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f1b5363ef84287" /></Relationships>
</file>

<file path=xl/workbook.xml><?xml version="1.0" encoding="utf-8"?>
<x:workbook xmlns:x="http://schemas.openxmlformats.org/spreadsheetml/2006/main">
  <x:sheets>
    <x:sheet xmlns:r="http://schemas.openxmlformats.org/officeDocument/2006/relationships" name="Население" sheetId="1" r:id="Rf6f8731896fa4bf5"/>
    <x:sheet xmlns:r="http://schemas.openxmlformats.org/officeDocument/2006/relationships" name="Рождения и смерти" sheetId="2" r:id="Rad35f04c9ace44a5"/>
    <x:sheet xmlns:r="http://schemas.openxmlformats.org/officeDocument/2006/relationships" name="Миграция" sheetId="3" r:id="Rfa2ff0fcddd44cbb"/>
    <x:sheet xmlns:r="http://schemas.openxmlformats.org/officeDocument/2006/relationships" name="Варианты" sheetId="4" r:id="Rdddb9279f13b4baa"/>
    <x:sheet xmlns:r="http://schemas.openxmlformats.org/officeDocument/2006/relationships" name="Примечания" sheetId="5" r:id="Rf82220264e58480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dd.mm.yyyy"/>
    <x:numFmt numFmtId="202" formatCode="#,##0.###"/>
    <x:numFmt numFmtId="203" formatCode="#,##0.00"/>
    <x:numFmt numFmtId="204" formatCode="0.0%"/>
  </x:numFmts>
  <x:fonts count="6">
    <x:font>
      <x:sz val="11"/>
      <x:name val="Carlito"/>
    </x:font>
    <x:font>
      <x:sz val="11"/>
      <x:color rgb="FF203146"/>
      <x:name val="Arial"/>
    </x:font>
    <x:font>
      <x:b/>
      <x:sz val="16"/>
      <x:color rgb="FF203146"/>
      <x:name val="Arial"/>
    </x:font>
    <x:font>
      <x:i/>
      <x:sz val="11"/>
      <x:color rgb="FF506379"/>
      <x:name val="Arial"/>
    </x:font>
    <x:font>
      <x:b/>
      <x:sz val="11"/>
      <x:color rgb="FFFFFFFF"/>
      <x:name val="Arial"/>
    </x:font>
    <x:font>
      <x:sz val="11"/>
      <x:color rgb="FF275C88"/>
      <x:name val="Arial"/>
    </x:font>
  </x:fonts>
  <x:fills count="7">
    <x:fill>
      <x:patternFill patternType="none"/>
    </x:fill>
    <x:fill>
      <x:patternFill patternType="gray125"/>
    </x:fill>
    <x:fill>
      <x:patternFill patternType="solid">
        <x:fgColor rgb="FFFFFFFF"/>
      </x:patternFill>
    </x:fill>
    <x:fill>
      <x:patternFill patternType="solid">
        <x:fgColor rgb="FF304B69"/>
      </x:patternFill>
    </x:fill>
    <x:fill>
      <x:patternFill patternType="solid">
        <x:fgColor rgb="FFF3F6F9"/>
      </x:patternFill>
    </x:fill>
    <x:fill>
      <x:patternFill patternType="solid">
        <x:fgColor rgb="FFEAF0F6"/>
      </x:patternFill>
    </x:fill>
    <x:fill>
      <x:patternFill patternType="solid">
        <x:fgColor rgb="FFFFF0CF"/>
      </x:patternFill>
    </x:fill>
  </x:fills>
  <x:borders count="2">
    <x:border>
      <x:left/>
      <x:right/>
      <x:top/>
      <x:bottom/>
      <x:diagonal/>
    </x:border>
    <x:border>
      <x:left/>
      <x:right/>
      <x:top/>
      <x:bottom style="thin">
        <x:color rgb="FFBBC9D8"/>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2" borderId="0" xfId="0" applyNumberFormat="1" applyFont="1" applyFill="1" applyBorder="1" applyAlignment="1">
      <x:alignment vertical="center"/>
    </x:xf>
    <x:xf numFmtId="200" fontId="1" fillId="4" borderId="0" xfId="0" applyNumberFormat="1" applyFont="1" applyFill="1" applyBorder="1" applyAlignment="1">
      <x:alignment vertical="center"/>
    </x:xf>
    <x:xf numFmtId="201" fontId="1" fillId="2" borderId="0" xfId="0" applyNumberFormat="1" applyFont="1" applyFill="1" applyBorder="1" applyAlignment="1">
      <x:alignment vertical="center"/>
    </x:xf>
    <x:xf numFmtId="201" fontId="1" fillId="4" borderId="0" xfId="0" applyNumberFormat="1" applyFont="1" applyFill="1" applyBorder="1" applyAlignment="1">
      <x:alignment vertical="center"/>
    </x:xf>
    <x:xf numFmtId="200" fontId="1" fillId="2" borderId="0" xfId="0" applyNumberFormat="1" applyFont="1" applyFill="1" applyBorder="1" applyAlignment="1">
      <x:alignment horizontal="right" vertical="center"/>
    </x:xf>
    <x:xf numFmtId="200" fontId="1" fillId="4"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200" fontId="1" fillId="5" borderId="0" xfId="0" applyNumberFormat="1" applyFont="1" applyFill="1" applyBorder="1" applyAlignment="1">
      <x:alignment horizontal="right" vertical="center"/>
    </x:xf>
    <x:xf numFmtId="0" fontId="1" fillId="6" borderId="0" xfId="0" applyNumberFormat="1" applyFont="1" applyFill="1" applyBorder="1" applyAlignment="1">
      <x:alignment vertical="center" wrapText="1"/>
    </x:xf>
    <x:xf numFmtId="200" fontId="1" fillId="6" borderId="0" xfId="0" applyNumberFormat="1" applyFont="1" applyFill="1" applyBorder="1" applyAlignment="1">
      <x:alignment horizontal="right" vertical="center"/>
    </x:xf>
    <x:xf numFmtId="202" fontId="1" fillId="2" borderId="0" xfId="0" applyNumberFormat="1" applyFont="1" applyFill="1" applyBorder="1" applyAlignment="1">
      <x:alignment vertical="center"/>
    </x:xf>
    <x:xf numFmtId="202" fontId="1" fillId="4" borderId="0" xfId="0" applyNumberFormat="1" applyFont="1" applyFill="1" applyBorder="1" applyAlignment="1">
      <x:alignment vertical="center"/>
    </x:xf>
    <x:xf numFmtId="203" fontId="1" fillId="2" borderId="0" xfId="0" applyNumberFormat="1" applyFont="1" applyFill="1" applyBorder="1" applyAlignment="1">
      <x:alignment vertical="center"/>
    </x:xf>
    <x:xf numFmtId="203" fontId="1" fillId="4" borderId="0" xfId="0" applyNumberFormat="1" applyFont="1" applyFill="1" applyBorder="1" applyAlignment="1">
      <x:alignment vertical="center"/>
    </x:xf>
    <x:xf numFmtId="204" fontId="1" fillId="2" borderId="0" xfId="0" applyNumberFormat="1" applyFont="1" applyFill="1" applyBorder="1" applyAlignment="1">
      <x:alignment vertical="center"/>
    </x:xf>
    <x:xf numFmtId="204"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0" fontId="1" fillId="2"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2"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0" fillId="0" borderId="0" xfId="0" applyNumberFormat="1" applyFont="1" applyFill="1" applyBorder="1" applyAlignment="1">
      <x:alignment horizontal="center"/>
    </x:xf>
  </x:cellXfs>
  <x:cellStyles count="1">
    <x:cellStyle name="Normal" xfId="0"/>
  </x:cellStyles>
  <x:dxfs count="2">
    <x:dxf>
      <x:font>
        <x:b/>
        <x:color rgb="FF7D4B16"/>
      </x:font>
      <x:fill>
        <x:patternFill patternType="solid">
          <x:bgColor rgb="FFFFF0CF"/>
        </x:patternFill>
      </x:fill>
    </x:dxf>
    <x:dxf>
      <x:font>
        <x:b/>
        <x:color rgb="FF7D4B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46c9947f614445" /><Relationship Type="http://schemas.openxmlformats.org/officeDocument/2006/relationships/theme" Target="/xl/theme/theme1.xml" Id="R1ce2498a49b64caf" /><Relationship Type="http://schemas.openxmlformats.org/officeDocument/2006/relationships/sharedStrings" Target="/xl/sharedStrings.xml" Id="R3f7623beb1a047f9" /><Relationship Type="http://schemas.openxmlformats.org/officeDocument/2006/relationships/worksheet" Target="/xl/worksheets/sheet1.xml" Id="Rf6f8731896fa4bf5" /><Relationship Type="http://schemas.openxmlformats.org/officeDocument/2006/relationships/worksheet" Target="/xl/worksheets/sheet2.xml" Id="Rad35f04c9ace44a5" /><Relationship Type="http://schemas.openxmlformats.org/officeDocument/2006/relationships/worksheet" Target="/xl/worksheets/sheet3.xml" Id="Rfa2ff0fcddd44cbb" /><Relationship Type="http://schemas.openxmlformats.org/officeDocument/2006/relationships/worksheet" Target="/xl/worksheets/sheet4.xml" Id="Rdddb9279f13b4baa" /><Relationship Type="http://schemas.openxmlformats.org/officeDocument/2006/relationships/worksheet" Target="/xl/worksheets/sheet5.xml" Id="Rf82220264e58480d" /></Relationships>
</file>

<file path=xl/tables/table1.xml><?xml version="1.0" encoding="utf-8"?>
<x:table xmlns:x="http://schemas.openxmlformats.org/spreadsheetml/2006/main" id="1" name="Population1881_1915" displayName="Population1881_1915" ref="A5:N40" headerRowCount="1" totalsRowCount="0" totalsRowShown="0">
  <x:autoFilter ref="A5:N40"/>
  <x:tableColumns count="14">
    <x:tableColumn id="1" name="Год"/>
    <x:tableColumn id="2" name="Момент оценки по источнику"/>
    <x:tableColumn id="3" name="Оседлое / условная группа, чел."/>
    <x:tableColumn id="4" name="Кочевое / условная группа, чел."/>
    <x:tableColumn id="5" name="Всего по источнику, чел."/>
    <x:tableColumn id="6" name="Сумма двух групп, чел."/>
    <x:tableColumn id="7" name="Итог минус сумма; кроме 1896"/>
    <x:tableColumn id="8" name="Охват / точность оценки"/>
    <x:tableColumn id="9" name="Границы групп"/>
    <x:tableColumn id="10" name="Код примечания"/>
    <x:tableColumn id="11" name="Частная сводка"/>
    <x:tableColumn id="12" name="Страницы первичного источника"/>
    <x:tableColumn id="13" name="PDF"/>
    <x:tableColumn id="14" name="Точная дата, если названа"/>
  </x:tableColumns>
  <x:tableStyleInfo name="TableStyleMedium2" showFirstColumn="0" showLastColumn="0" showRowStripes="1" showColumnStripes="0"/>
</x:table>
</file>

<file path=xl/tables/table2.xml><?xml version="1.0" encoding="utf-8"?>
<x:table xmlns:x="http://schemas.openxmlformats.org/spreadsheetml/2006/main" id="2" name="VitalEvents1881_1915" displayName="VitalEvents1881_1915" ref="A5:R40" headerRowCount="1" totalsRowCount="0" totalsRowShown="0">
  <x:autoFilter ref="A5:R40"/>
  <x:tableColumns count="18">
    <x:tableColumn id="1" name="Год"/>
    <x:tableColumn id="2" name="Рождения: оседлое"/>
    <x:tableColumn id="3" name="Рождения: кочевое"/>
    <x:tableColumn id="4" name="Сумма известных рождений"/>
    <x:tableColumn id="5" name="Рождения: областной итог регистрации"/>
    <x:tableColumn id="6" name="Смерти: оседлое"/>
    <x:tableColumn id="7" name="Смерти: кочевое"/>
    <x:tableColumn id="8" name="Сумма известных смертей"/>
    <x:tableColumn id="9" name="Смерти: областной итог регистрации"/>
    <x:tableColumn id="10" name="B−D: оседлое"/>
    <x:tableColumn id="11" name="B−D: кочевое"/>
    <x:tableColumn id="12" name="B−D: известные события"/>
    <x:tableColumn id="13" name="B−D: областной итог регистрации"/>
    <x:tableColumn id="14" name="Охват и полнота регистрации"/>
    <x:tableColumn id="15" name="Частная сводка"/>
    <x:tableColumn id="16" name="Страницы первичного источника"/>
    <x:tableColumn id="17" name="Код примечания"/>
    <x:tableColumn id="18" name="PDF"/>
  </x:tableColumns>
  <x:tableStyleInfo name="TableStyleMedium2" showFirstColumn="0" showLastColumn="0" showRowStripes="1" showColumnStripes="0"/>
</x:table>
</file>

<file path=xl/tables/table3.xml><?xml version="1.0" encoding="utf-8"?>
<x:table xmlns:x="http://schemas.openxmlformats.org/spreadsheetml/2006/main" id="3" name="AnnualMigration1881_1915" displayName="AnnualMigration1881_1915" ref="A5:G40" headerRowCount="1" totalsRowCount="0" totalsRowShown="0">
  <x:autoFilter ref="A5:G40"/>
  <x:tableColumns count="7">
    <x:tableColumn id="1" name="Год"/>
    <x:tableColumn id="2" name="Прибыло в область: полный годовой итог, чел."/>
    <x:tableColumn id="3" name="Выбыло из области: полный годовой итог, чел."/>
    <x:tableColumn id="4" name="Сальдо: полный годовой итог, чел."/>
    <x:tableColumn id="5" name="Что известно для этого года"/>
    <x:tableColumn id="6" name="Код примечания"/>
    <x:tableColumn id="7" name="Частная сводка"/>
  </x:tableColumns>
  <x:tableStyleInfo name="TableStyleMedium2" showFirstColumn="0" showLastColumn="0" showRowStripes="1" showColumnStripes="0"/>
</x:table>
</file>

<file path=xl/tables/table4.xml><?xml version="1.0" encoding="utf-8"?>
<x:table xmlns:x="http://schemas.openxmlformats.org/spreadsheetml/2006/main" id="4" name="DetailedMigrationIndicators" displayName="DetailedMigrationIndicators" ref="A46:K141" headerRowCount="1" totalsRowCount="0" totalsRowShown="0">
  <x:autoFilter ref="A46:K141"/>
  <x:tableColumns count="11">
    <x:tableColumn id="1" name="Год"/>
    <x:tableColumn id="2" name="Показатель"/>
    <x:tableColumn id="3" name="Значение"/>
    <x:tableColumn id="4" name="Единица"/>
    <x:tableColumn id="5" name="Тип показателя"/>
    <x:tableColumn id="6" name="Охват / момент / период"/>
    <x:tableColumn id="7" name="Точность"/>
    <x:tableColumn id="8" name="Оговорка и смысл"/>
    <x:tableColumn id="9" name="Страницы первичного источника"/>
    <x:tableColumn id="10" name="Частная сводка"/>
    <x:tableColumn id="11" name="PDF"/>
  </x:tableColumns>
  <x:tableStyleInfo name="TableStyleMedium2" showFirstColumn="0" showLastColumn="0" showRowStripes="1" showColumnStripes="0"/>
</x:table>
</file>

<file path=xl/tables/table5.xml><?xml version="1.0" encoding="utf-8"?>
<x:table xmlns:x="http://schemas.openxmlformats.org/spreadsheetml/2006/main" id="5" name="AlternateVersionsAndEstimates" displayName="AlternateVersionsAndEstimates" ref="A5:L17" headerRowCount="1" totalsRowCount="0" totalsRowShown="0">
  <x:autoFilter ref="A5:L17"/>
  <x:tableColumns count="12">
    <x:tableColumn id="1" name="Год"/>
    <x:tableColumn id="2" name="Вариант источника"/>
    <x:tableColumn id="3" name="Группа / территория"/>
    <x:tableColumn id="4" name="Рождения"/>
    <x:tableColumn id="5" name="Смерти"/>
    <x:tableColumn id="6" name="B−D, расчёт"/>
    <x:tableColumn id="7" name="Прирост напечатан"/>
    <x:tableColumn id="8" name="Напечатан минус расчёт"/>
    <x:tableColumn id="9" name="Смысл / выбор основной версии"/>
    <x:tableColumn id="10" name="Страницы"/>
    <x:tableColumn id="11" name="Частная сводка"/>
    <x:tableColumn id="12" name="PDF"/>
  </x:tableColumns>
  <x:tableStyleInfo name="TableStyleMedium2" showFirstColumn="0" showLastColumn="0" showRowStripes="1" showColumnStripes="0"/>
</x:table>
</file>

<file path=xl/tables/table6.xml><?xml version="1.0" encoding="utf-8"?>
<x:table xmlns:x="http://schemas.openxmlformats.org/spreadsheetml/2006/main" id="6" name="FullSourceNotes" displayName="FullSourceNotes" ref="A5:I196" headerRowCount="1" totalsRowCount="0" totalsRowShown="0">
  <x:autoFilter ref="A5:I196"/>
  <x:tableColumns count="9">
    <x:tableColumn id="1" name="Код"/>
    <x:tableColumn id="2" name="Год / период"/>
    <x:tableColumn id="3" name="Тема"/>
    <x:tableColumn id="4" name="Содержание примечания"/>
    <x:tableColumn id="5" name="Основание / исходные проверочные числа"/>
    <x:tableColumn id="6" name="Страницы первичного источника"/>
    <x:tableColumn id="7" name="Частная сводка"/>
    <x:tableColumn id="8" name="Источник 1"/>
    <x:tableColumn id="9" name="Источник 2"/>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a2f1c8fdff44f8" /></Relationships>
</file>

<file path=xl/worksheets/_rels/sheet2.xml.rels>&#65279;<?xml version="1.0" encoding="utf-8"?><Relationships xmlns="http://schemas.openxmlformats.org/package/2006/relationships"><Relationship Type="http://schemas.openxmlformats.org/officeDocument/2006/relationships/table" Target="/xl/tables/table2.xml" Id="R2ede1ff83f7442db" /></Relationships>
</file>

<file path=xl/worksheets/_rels/sheet3.xml.rels>&#65279;<?xml version="1.0" encoding="utf-8"?><Relationships xmlns="http://schemas.openxmlformats.org/package/2006/relationships"><Relationship Type="http://schemas.openxmlformats.org/officeDocument/2006/relationships/table" Target="/xl/tables/table3.xml" Id="R593343f125574bbd" /><Relationship Type="http://schemas.openxmlformats.org/officeDocument/2006/relationships/table" Target="/xl/tables/table4.xml" Id="R18fd7d421ff947b1" /></Relationships>
</file>

<file path=xl/worksheets/_rels/sheet4.xml.rels>&#65279;<?xml version="1.0" encoding="utf-8"?><Relationships xmlns="http://schemas.openxmlformats.org/package/2006/relationships"><Relationship Type="http://schemas.openxmlformats.org/officeDocument/2006/relationships/table" Target="/xl/tables/table5.xml" Id="R930c9cd51e13435e" /></Relationships>
</file>

<file path=xl/worksheets/_rels/sheet5.xml.rels>&#65279;<?xml version="1.0" encoding="utf-8"?><Relationships xmlns="http://schemas.openxmlformats.org/package/2006/relationships"><Relationship Type="http://schemas.openxmlformats.org/officeDocument/2006/relationships/table" Target="/xl/tables/table6.xml" Id="R78827c8c103b4d73" /></Relationships>
</file>

<file path=xl/worksheets/sheet1.xml><?xml version="1.0" encoding="utf-8"?>
<x:worksheet xmlns:x="http://schemas.openxmlformats.org/spreadsheetml/2006/main">
  <x:sheetPr>
    <x:tabColor rgb="FF304B69"/>
  </x:sheetPr>
  <x:sheetViews>
    <x:sheetView showGridLines="0" workbookViewId="0">
      <x:pane xSplit="1" ySplit="5" topLeftCell="B6" activePane="bottomRight" state="frozen"/>
    </x:sheetView>
  </x:sheetViews>
  <x:sheetFormatPr defaultRowHeight="15"/>
  <x:cols>
    <x:col min="1" max="1" width="8" hidden="0" customWidth="1"/>
    <x:col min="2" max="2" width="48" hidden="0" customWidth="1"/>
    <x:col min="3" max="3" width="16" hidden="0" customWidth="1"/>
    <x:col min="4" max="4" width="16" hidden="0" customWidth="1"/>
    <x:col min="5" max="5" width="16" hidden="0" customWidth="1"/>
    <x:col min="6" max="6" width="16" hidden="0" customWidth="1"/>
    <x:col min="7" max="7" width="18" hidden="0" customWidth="1"/>
    <x:col min="8" max="8" width="46" hidden="0" customWidth="1"/>
    <x:col min="9" max="9" width="53" hidden="0" customWidth="1"/>
    <x:col min="10" max="10" width="15" hidden="0" customWidth="1"/>
    <x:col min="11" max="11" width="43" hidden="0" customWidth="1"/>
    <x:col min="12" max="12" width="60" hidden="0" customWidth="1"/>
    <x:col min="13" max="13" width="62" hidden="0" customWidth="1"/>
    <x:col min="14" max="14" width="17" hidden="0" customWidth="1"/>
  </x:cols>
  <x:sheetData>
    <x:row r="1">
      <x:c r="A1" s="3"/>
      <x:c r="B1" s="3"/>
      <x:c r="C1" s="3"/>
      <x:c r="D1" s="3"/>
      <x:c r="E1" s="3"/>
      <x:c r="F1" s="3"/>
      <x:c r="G1" s="3"/>
      <x:c r="H1" s="3"/>
      <x:c r="I1" s="3"/>
      <x:c r="J1" s="3"/>
      <x:c r="K1" s="3"/>
      <x:c r="L1" s="3"/>
      <x:c r="M1" s="3"/>
      <x:c r="N1" s="3"/>
    </x:row>
    <x:row r="2" ht="26" customHeight="1">
      <x:c r="A2" s="5" t="str">
        <x:v>Уральская область. Население, 1881–1915</x:v>
      </x:c>
      <x:c r="B2" s="6"/>
      <x:c r="C2" s="6"/>
      <x:c r="D2" s="6"/>
      <x:c r="E2" s="6"/>
      <x:c r="F2" s="6"/>
      <x:c r="G2" s="6"/>
      <x:c r="H2" s="6"/>
      <x:c r="I2" s="6"/>
      <x:c r="J2" s="6"/>
      <x:c r="K2" s="6"/>
      <x:c r="L2" s="6"/>
      <x:c r="M2" s="6"/>
      <x:c r="N2" s="6"/>
    </x:row>
    <x:row r="3" ht="23" customHeight="1">
      <x:c r="A3" s="7" t="str">
        <x:v>Человек обоего пола. Пропуск означает отсутствие сведений. Границы групп и точность оценки указаны в строке.</x:v>
      </x:c>
      <x:c r="B3" s="3"/>
      <x:c r="C3" s="3"/>
      <x:c r="D3" s="3"/>
      <x:c r="E3" s="3"/>
      <x:c r="F3" s="3"/>
      <x:c r="G3" s="3"/>
      <x:c r="H3" s="3"/>
      <x:c r="I3" s="3"/>
      <x:c r="J3" s="3"/>
      <x:c r="K3" s="3"/>
      <x:c r="L3" s="3"/>
      <x:c r="M3" s="3"/>
      <x:c r="N3" s="3"/>
    </x:row>
    <x:row r="4">
      <x:c r="A4" s="3"/>
      <x:c r="B4" s="3"/>
      <x:c r="C4" s="3"/>
      <x:c r="D4" s="3"/>
      <x:c r="E4" s="3"/>
      <x:c r="F4" s="3"/>
      <x:c r="G4" s="3"/>
      <x:c r="H4" s="3"/>
      <x:c r="I4" s="3"/>
      <x:c r="J4" s="3"/>
      <x:c r="K4" s="3"/>
      <x:c r="L4" s="3"/>
      <x:c r="M4" s="3"/>
      <x:c r="N4" s="3"/>
    </x:row>
    <x:row r="5" ht="64" customHeight="1">
      <x:c r="A5" s="11" t="str">
        <x:v>Год</x:v>
      </x:c>
      <x:c r="B5" s="11" t="str">
        <x:v>Момент оценки по источнику</x:v>
      </x:c>
      <x:c r="C5" s="11" t="str">
        <x:v>Оседлое / условная группа, чел.</x:v>
      </x:c>
      <x:c r="D5" s="11" t="str">
        <x:v>Кочевое / условная группа, чел.</x:v>
      </x:c>
      <x:c r="E5" s="11" t="str">
        <x:v>Всего по источнику, чел.</x:v>
      </x:c>
      <x:c r="F5" s="11" t="str">
        <x:v>Сумма двух групп, чел.</x:v>
      </x:c>
      <x:c r="G5" s="11" t="str">
        <x:v>Итог минус сумма; кроме 1896</x:v>
      </x:c>
      <x:c r="H5" s="11" t="str">
        <x:v>Охват / точность оценки</x:v>
      </x:c>
      <x:c r="I5" s="11" t="str">
        <x:v>Границы групп</x:v>
      </x:c>
      <x:c r="J5" s="11" t="str">
        <x:v>Код примечания</x:v>
      </x:c>
      <x:c r="K5" s="11" t="str">
        <x:v>Частная сводка</x:v>
      </x:c>
      <x:c r="L5" s="11" t="str">
        <x:v>Страницы первичного источника</x:v>
      </x:c>
      <x:c r="M5" s="11" t="str">
        <x:v>PDF</x:v>
      </x:c>
      <x:c r="N5" s="11" t="str">
        <x:v>Точная дата, если названа</x:v>
      </x:c>
    </x:row>
    <x:row r="6" ht="44" customHeight="1">
      <x:c r="A6" s="37" t="n">
        <x:v>1881</x:v>
      </x:c>
      <x:c r="B6" s="13" t="str">
        <x:v>За 1881 г.; точная дата не указана</x:v>
      </x:c>
      <x:c r="C6" s="19" t="n">
        <x:v>109553</x:v>
      </x:c>
      <x:c r="D6" s="19" t="n">
        <x:v>412474</x:v>
      </x:c>
      <x:c r="E6" s="19" t="n">
        <x:v>522027</x:v>
      </x:c>
      <x:c r="F6" s="25" t="n">
        <x:f>IF(COUNT(C6:D6)=2,SUM(C6:D6),"")</x:f>
        <x:v>522027</x:v>
      </x:c>
      <x:c r="G6" s="25" t="n">
        <x:f>IF(AND(COUNT(E6:F6)=2,A6&lt;&gt;1896),E6-F6,"")</x:f>
        <x:v>0</x:v>
      </x:c>
      <x:c r="H6" s="13" t="str">
        <x:v>Охват и группировка по частной сводке</x:v>
      </x:c>
      <x:c r="I6" s="13" t="str">
        <x:v>Условно: общий итог минус сословная строка инородцев</x:v>
      </x:c>
      <x:c r="J6" s="3" t="str">
        <x:v>Г1881</x:v>
      </x:c>
      <x:c r="K6" s="13" t="str">
        <x:v>Uralskaia-1881-1885(1).md</x:v>
      </x:c>
      <x:c r="L6" s="13" t="str">
        <x:v>вед. А, PDF 31</x:v>
      </x:c>
      <x:c r="M6" s="22" t="str">
        <x:v>https://archive.org/download/obzor_uralskoi_oblasti/Обзор Уральской области за 1881 - RAW.pdf</x:v>
      </x:c>
      <x:c r="N6" s="17"/>
    </x:row>
    <x:row r="7" ht="44" customHeight="1">
      <x:c r="A7" s="38" t="n">
        <x:v>1882</x:v>
      </x:c>
      <x:c r="B7" s="14" t="str">
        <x:v>За 1882 г.; точная дата не указана</x:v>
      </x:c>
      <x:c r="C7" s="20" t="n">
        <x:v>108943</x:v>
      </x:c>
      <x:c r="D7" s="20" t="n">
        <x:v>412601</x:v>
      </x:c>
      <x:c r="E7" s="20" t="n">
        <x:v>521544</x:v>
      </x:c>
      <x:c r="F7" s="25" t="n">
        <x:f>IF(COUNT(C7:D7)=2,SUM(C7:D7),"")</x:f>
        <x:v>521544</x:v>
      </x:c>
      <x:c r="G7" s="25" t="n">
        <x:f>IF(AND(COUNT(E7:F7)=2,A7&lt;&gt;1896),E7-F7,"")</x:f>
        <x:v>0</x:v>
      </x:c>
      <x:c r="H7" s="14" t="str">
        <x:v>Охват и группировка по частной сводке</x:v>
      </x:c>
      <x:c r="I7" s="14" t="str">
        <x:v>Условно: общий итог минус сословная строка инородцев</x:v>
      </x:c>
      <x:c r="J7" s="12" t="str">
        <x:v>Г1882</x:v>
      </x:c>
      <x:c r="K7" s="14" t="str">
        <x:v>Uralskaia-1881-1885(1).md</x:v>
      </x:c>
      <x:c r="L7" s="14" t="str">
        <x:v>вед. А, PDF 23</x:v>
      </x:c>
      <x:c r="M7" s="24" t="str">
        <x:v>https://archive.org/download/obzor_uralskoi_oblasti/Обзор Уральской области за 1882 - RAW.pdf</x:v>
      </x:c>
      <x:c r="N7" s="18"/>
    </x:row>
    <x:row r="8" ht="44" customHeight="1">
      <x:c r="A8" s="37" t="n">
        <x:v>1883</x:v>
      </x:c>
      <x:c r="B8" s="13" t="str">
        <x:v>За 1883 г.; точная дата не указана</x:v>
      </x:c>
      <x:c r="C8" s="19" t="n">
        <x:v>113087</x:v>
      </x:c>
      <x:c r="D8" s="19" t="n">
        <x:v>393260</x:v>
      </x:c>
      <x:c r="E8" s="19" t="n">
        <x:v>506347</x:v>
      </x:c>
      <x:c r="F8" s="25" t="n">
        <x:f>IF(COUNT(C8:D8)=2,SUM(C8:D8),"")</x:f>
        <x:v>506347</x:v>
      </x:c>
      <x:c r="G8" s="25" t="n">
        <x:f>IF(AND(COUNT(E8:F8)=2,A8&lt;&gt;1896),E8-F8,"")</x:f>
        <x:v>0</x:v>
      </x:c>
      <x:c r="H8" s="13" t="str">
        <x:v>Охват и группировка по частной сводке</x:v>
      </x:c>
      <x:c r="I8" s="13" t="str">
        <x:v>Условно: общий итог минус сословная строка инородцев</x:v>
      </x:c>
      <x:c r="J8" s="3" t="str">
        <x:v>Г1883</x:v>
      </x:c>
      <x:c r="K8" s="13" t="str">
        <x:v>Uralskaia-1881-1885(1).md</x:v>
      </x:c>
      <x:c r="L8" s="13" t="str">
        <x:v>вед. А, PDF 32</x:v>
      </x:c>
      <x:c r="M8" s="22" t="str">
        <x:v>https://archive.org/download/obzor_uralskoi_oblasti/Обзор Уральской области за 1883 - RAW.pdf</x:v>
      </x:c>
      <x:c r="N8" s="17"/>
    </x:row>
    <x:row r="9" ht="44" customHeight="1">
      <x:c r="A9" s="38" t="n">
        <x:v>1884</x:v>
      </x:c>
      <x:c r="B9" s="14" t="str">
        <x:v>Оценка не найдена</x:v>
      </x:c>
      <x:c r="C9" s="20"/>
      <x:c r="D9" s="20"/>
      <x:c r="E9" s="20"/>
      <x:c r="F9" s="25" t="str">
        <x:f>IF(COUNT(C9:D9)=2,SUM(C9:D9),"")</x:f>
      </x:c>
      <x:c r="G9" s="25" t="str">
        <x:f>IF(AND(COUNT(E9:F9)=2,A9&lt;&gt;1896),E9-F9,"")</x:f>
      </x:c>
      <x:c r="H9" s="14" t="str">
        <x:v>Охват и группировка по частной сводке</x:v>
      </x:c>
      <x:c r="I9" s="14" t="str">
        <x:v>Областная численность не установлена</x:v>
      </x:c>
      <x:c r="J9" s="12" t="str">
        <x:v>Г1884</x:v>
      </x:c>
      <x:c r="K9" s="14" t="str">
        <x:v>Uralskaia-1881-1885(1).md</x:v>
      </x:c>
      <x:c r="L9" s="14" t="str">
        <x:v>разд. VI, PDF 13; ведомости А и Б не найдены</x:v>
      </x:c>
      <x:c r="M9" s="24" t="str">
        <x:v>https://archive.org/download/obzor_uralskoi_oblasti/Обзор Уральской области за 1884 - RAW.pdf</x:v>
      </x:c>
      <x:c r="N9" s="18"/>
    </x:row>
    <x:row r="10" ht="44" customHeight="1">
      <x:c r="A10" s="37" t="n">
        <x:v>1885</x:v>
      </x:c>
      <x:c r="B10" s="13" t="str">
        <x:v>За 1885 г.; точная дата не указана</x:v>
      </x:c>
      <x:c r="C10" s="19" t="n">
        <x:v>139129</x:v>
      </x:c>
      <x:c r="D10" s="19" t="n">
        <x:v>388472</x:v>
      </x:c>
      <x:c r="E10" s="19" t="n">
        <x:v>527601</x:v>
      </x:c>
      <x:c r="F10" s="25" t="n">
        <x:f>IF(COUNT(C10:D10)=2,SUM(C10:D10),"")</x:f>
        <x:v>527601</x:v>
      </x:c>
      <x:c r="G10" s="25" t="n">
        <x:f>IF(AND(COUNT(E10:F10)=2,A10&lt;&gt;1896),E10-F10,"")</x:f>
        <x:v>0</x:v>
      </x:c>
      <x:c r="H10" s="13" t="str">
        <x:v>Охват и группировка по частной сводке</x:v>
      </x:c>
      <x:c r="I10" s="13" t="str">
        <x:v>По группам обзора; оседлые = казаки + иногородние</x:v>
      </x:c>
      <x:c r="J10" s="3" t="str">
        <x:v>Г1885</x:v>
      </x:c>
      <x:c r="K10" s="13" t="str">
        <x:v>Uralskaia-1881-1885(1).md</x:v>
      </x:c>
      <x:c r="L10" s="13" t="str">
        <x:v>разд. VI-а / PDF 13</x:v>
      </x:c>
      <x:c r="M10" s="22" t="str">
        <x:v>https://archive.org/download/obzor_uralskoi_oblasti/Обзор Уральской области за 1885 - RAW.pdf</x:v>
      </x:c>
      <x:c r="N10" s="17"/>
    </x:row>
    <x:row r="11" ht="44" customHeight="1">
      <x:c r="A11" s="38" t="n">
        <x:v>1886</x:v>
      </x:c>
      <x:c r="B11" s="14" t="str">
        <x:v>Статистическая перепись 1886 г.; день не указан</x:v>
      </x:c>
      <x:c r="C11" s="20" t="n">
        <x:v>144224</x:v>
      </x:c>
      <x:c r="D11" s="20" t="n">
        <x:v>401550</x:v>
      </x:c>
      <x:c r="E11" s="20" t="n">
        <x:v>545774</x:v>
      </x:c>
      <x:c r="F11" s="25" t="n">
        <x:f>IF(COUNT(C11:D11)=2,SUM(C11:D11),"")</x:f>
        <x:v>545774</x:v>
      </x:c>
      <x:c r="G11" s="25" t="n">
        <x:f>IF(AND(COUNT(E11:F11)=2,A11&lt;&gt;1896),E11-F11,"")</x:f>
        <x:v>0</x:v>
      </x:c>
      <x:c r="H11" s="14" t="str">
        <x:v>Охват и группировка по частной сводке</x:v>
      </x:c>
      <x:c r="I11" s="14" t="str">
        <x:v>По группам обзора; оседлые = казаки + иногородние</x:v>
      </x:c>
      <x:c r="J11" s="12" t="str">
        <x:v>Г1886</x:v>
      </x:c>
      <x:c r="K11" s="14" t="str">
        <x:v>Uralskaia-1886-1889(1).md</x:v>
      </x:c>
      <x:c r="L11" s="14" t="str">
        <x:v>с. 9 / PDF 13; вед. А / PDF 36, Б / PDF 38</x:v>
      </x:c>
      <x:c r="M11" s="24" t="str">
        <x:v>https://archive.org/download/obzor_uralskoi_oblasti/Обзор Уральской области за 1886 - RAW.pdf</x:v>
      </x:c>
      <x:c r="N11" s="18"/>
    </x:row>
    <x:row r="12" ht="44" customHeight="1">
      <x:c r="A12" s="37" t="n">
        <x:v>1887</x:v>
      </x:c>
      <x:c r="B12" s="13" t="str">
        <x:v>За 1887 г.; точная дата не указана</x:v>
      </x:c>
      <x:c r="C12" s="19" t="n">
        <x:v>155154</x:v>
      </x:c>
      <x:c r="D12" s="19" t="n">
        <x:v>407199</x:v>
      </x:c>
      <x:c r="E12" s="19" t="n">
        <x:v>562353</x:v>
      </x:c>
      <x:c r="F12" s="25" t="n">
        <x:f>IF(COUNT(C12:D12)=2,SUM(C12:D12),"")</x:f>
        <x:v>562353</x:v>
      </x:c>
      <x:c r="G12" s="25" t="n">
        <x:f>IF(AND(COUNT(E12:F12)=2,A12&lt;&gt;1896),E12-F12,"")</x:f>
        <x:v>0</x:v>
      </x:c>
      <x:c r="H12" s="13" t="str">
        <x:v>Охват и группировка по частной сводке</x:v>
      </x:c>
      <x:c r="I12" s="13" t="str">
        <x:v>По группам обзора; оседлые = казаки + иногородние</x:v>
      </x:c>
      <x:c r="J12" s="3" t="str">
        <x:v>Г1887</x:v>
      </x:c>
      <x:c r="K12" s="13" t="str">
        <x:v>Uralskaia-1886-1889(1).md</x:v>
      </x:c>
      <x:c r="L12" s="13" t="str">
        <x:v>с. 9 / PDF 13; вед. А / PDF 30</x:v>
      </x:c>
      <x:c r="M12" s="22" t="str">
        <x:v>https://archive.org/download/obzor_uralskoi_oblasti/Обзор Уральской области за 1887 - RAW.pdf</x:v>
      </x:c>
      <x:c r="N12" s="17"/>
    </x:row>
    <x:row r="13" ht="44" customHeight="1">
      <x:c r="A13" s="38" t="n">
        <x:v>1888</x:v>
      </x:c>
      <x:c r="B13" s="14" t="str">
        <x:v>За 1888 г.; точная дата не указана</x:v>
      </x:c>
      <x:c r="C13" s="20" t="n">
        <x:v>144084</x:v>
      </x:c>
      <x:c r="D13" s="20" t="n">
        <x:v>407411</x:v>
      </x:c>
      <x:c r="E13" s="20" t="n">
        <x:v>551495</x:v>
      </x:c>
      <x:c r="F13" s="25" t="n">
        <x:f>IF(COUNT(C13:D13)=2,SUM(C13:D13),"")</x:f>
        <x:v>551495</x:v>
      </x:c>
      <x:c r="G13" s="25" t="n">
        <x:f>IF(AND(COUNT(E13:F13)=2,A13&lt;&gt;1896),E13-F13,"")</x:f>
        <x:v>0</x:v>
      </x:c>
      <x:c r="H13" s="14" t="str">
        <x:v>Охват и группировка по частной сводке</x:v>
      </x:c>
      <x:c r="I13" s="14" t="str">
        <x:v>По группам обзора; оседлые = казаки + иногородние</x:v>
      </x:c>
      <x:c r="J13" s="12" t="str">
        <x:v>Г1888</x:v>
      </x:c>
      <x:c r="K13" s="14" t="str">
        <x:v>Uralskaia-1886-1889(1).md</x:v>
      </x:c>
      <x:c r="L13" s="14" t="str">
        <x:v>с. 9 / PDF 15; вед. № 11 / PDF 34</x:v>
      </x:c>
      <x:c r="M13" s="24" t="str">
        <x:v>https://archive.org/download/obzor_uralskoi_oblasti/Обзор Уральской области за 1888 - RAW.pdf</x:v>
      </x:c>
      <x:c r="N13" s="18"/>
    </x:row>
    <x:row r="14" ht="44" customHeight="1">
      <x:c r="A14" s="37" t="n">
        <x:v>1889</x:v>
      </x:c>
      <x:c r="B14" s="13" t="str">
        <x:v>За 1889 г.; точная дата не указана</x:v>
      </x:c>
      <x:c r="C14" s="19" t="n">
        <x:v>143328</x:v>
      </x:c>
      <x:c r="D14" s="19" t="n">
        <x:v>416224</x:v>
      </x:c>
      <x:c r="E14" s="19" t="n">
        <x:v>559552</x:v>
      </x:c>
      <x:c r="F14" s="25" t="n">
        <x:f>IF(COUNT(C14:D14)=2,SUM(C14:D14),"")</x:f>
        <x:v>559552</x:v>
      </x:c>
      <x:c r="G14" s="25" t="n">
        <x:f>IF(AND(COUNT(E14:F14)=2,A14&lt;&gt;1896),E14-F14,"")</x:f>
        <x:v>0</x:v>
      </x:c>
      <x:c r="H14" s="13" t="str">
        <x:v>Охват и группировка по частной сводке</x:v>
      </x:c>
      <x:c r="I14" s="13" t="str">
        <x:v>По группам обзора; оседлые = казаки + иногородние</x:v>
      </x:c>
      <x:c r="J14" s="3" t="str">
        <x:v>Г1889</x:v>
      </x:c>
      <x:c r="K14" s="13" t="str">
        <x:v>Uralskaia-1886-1889(1).md</x:v>
      </x:c>
      <x:c r="L14" s="13" t="str">
        <x:v>с. 10 / PDF 16; вед. № 11 / PDF 35</x:v>
      </x:c>
      <x:c r="M14" s="22" t="str">
        <x:v>https://archive.org/download/obzor_uralskoi_oblasti/Обзор Уральской области за 1889 - RAW.pdf</x:v>
      </x:c>
      <x:c r="N14" s="17"/>
    </x:row>
    <x:row r="15" ht="44" customHeight="1">
      <x:c r="A15" s="38" t="n">
        <x:v>1890</x:v>
      </x:c>
      <x:c r="B15" s="14" t="str">
        <x:v>За 1890 г.; точная дата не указана</x:v>
      </x:c>
      <x:c r="C15" s="20" t="n">
        <x:v>145898</x:v>
      </x:c>
      <x:c r="D15" s="20" t="n">
        <x:v>416587</x:v>
      </x:c>
      <x:c r="E15" s="20" t="n">
        <x:v>562485</x:v>
      </x:c>
      <x:c r="F15" s="25" t="n">
        <x:f>IF(COUNT(C15:D15)=2,SUM(C15:D15),"")</x:f>
        <x:v>562485</x:v>
      </x:c>
      <x:c r="G15" s="25" t="n">
        <x:f>IF(AND(COUNT(E15:F15)=2,A15&lt;&gt;1896),E15-F15,"")</x:f>
        <x:v>0</x:v>
      </x:c>
      <x:c r="H15" s="14" t="str">
        <x:v>Охват и группировка по частной сводке</x:v>
      </x:c>
      <x:c r="I15" s="14" t="str">
        <x:v>По группам обзора; оседлые = казаки + иногородние</x:v>
      </x:c>
      <x:c r="J15" s="12" t="str">
        <x:v>Г1890</x:v>
      </x:c>
      <x:c r="K15" s="14" t="str">
        <x:v>Uralskaia-1890-1894(1).md</x:v>
      </x:c>
      <x:c r="L15" s="14" t="str">
        <x:v>с. 10 / PDF 16; вед. № 11 / PDF 37</x:v>
      </x:c>
      <x:c r="M15" s="24" t="str">
        <x:v>https://archive.org/download/obzor_uralskoi_oblasti/Обзор Уральской области за 1890 - RAW.pdf</x:v>
      </x:c>
      <x:c r="N15" s="18"/>
    </x:row>
    <x:row r="16" ht="44" customHeight="1">
      <x:c r="A16" s="37" t="n">
        <x:v>1891</x:v>
      </x:c>
      <x:c r="B16" s="13" t="str">
        <x:v>За 1891 г.; точная дата не указана</x:v>
      </x:c>
      <x:c r="C16" s="19" t="n">
        <x:v>143200</x:v>
      </x:c>
      <x:c r="D16" s="19" t="n">
        <x:v>411703</x:v>
      </x:c>
      <x:c r="E16" s="19" t="n">
        <x:v>554903</x:v>
      </x:c>
      <x:c r="F16" s="25" t="n">
        <x:f>IF(COUNT(C16:D16)=2,SUM(C16:D16),"")</x:f>
        <x:v>554903</x:v>
      </x:c>
      <x:c r="G16" s="25" t="n">
        <x:f>IF(AND(COUNT(E16:F16)=2,A16&lt;&gt;1896),E16-F16,"")</x:f>
        <x:v>0</x:v>
      </x:c>
      <x:c r="H16" s="13" t="str">
        <x:v>Охват и группировка по частной сводке</x:v>
      </x:c>
      <x:c r="I16" s="13" t="str">
        <x:v>По группам обзора; оседлые = казаки + иногородние</x:v>
      </x:c>
      <x:c r="J16" s="3" t="str">
        <x:v>Г1891</x:v>
      </x:c>
      <x:c r="K16" s="13" t="str">
        <x:v>Uralskaia-1890-1894(1).md</x:v>
      </x:c>
      <x:c r="L16" s="13" t="str">
        <x:v>с. 10 / PDF 16; вед. № 11 / PDF 40</x:v>
      </x:c>
      <x:c r="M16" s="22" t="str">
        <x:v>https://archive.org/download/obzor_uralskoi_oblasti/Обзор Уральской области за 1891 - RAW.pdf</x:v>
      </x:c>
      <x:c r="N16" s="17"/>
    </x:row>
    <x:row r="17" ht="44" customHeight="1">
      <x:c r="A17" s="38" t="n">
        <x:v>1892</x:v>
      </x:c>
      <x:c r="B17" s="14" t="str">
        <x:v>За 1892 г.; точная дата не указана</x:v>
      </x:c>
      <x:c r="C17" s="20" t="n">
        <x:v>140962</x:v>
      </x:c>
      <x:c r="D17" s="20" t="n">
        <x:v>397998</x:v>
      </x:c>
      <x:c r="E17" s="20" t="n">
        <x:v>538960</x:v>
      </x:c>
      <x:c r="F17" s="25" t="n">
        <x:f>IF(COUNT(C17:D17)=2,SUM(C17:D17),"")</x:f>
        <x:v>538960</x:v>
      </x:c>
      <x:c r="G17" s="25" t="n">
        <x:f>IF(AND(COUNT(E17:F17)=2,A17&lt;&gt;1896),E17-F17,"")</x:f>
        <x:v>0</x:v>
      </x:c>
      <x:c r="H17" s="14" t="str">
        <x:v>Охват и группировка по частной сводке</x:v>
      </x:c>
      <x:c r="I17" s="14" t="str">
        <x:v>По группам обзора; оседлые = казаки + иногородние</x:v>
      </x:c>
      <x:c r="J17" s="12" t="str">
        <x:v>Г1892</x:v>
      </x:c>
      <x:c r="K17" s="14" t="str">
        <x:v>Uralskaia-1890-1894(1).md</x:v>
      </x:c>
      <x:c r="L17" s="14" t="str">
        <x:v>с. 11–12 / PDF 19–20; вед. № 11 / PDF 42</x:v>
      </x:c>
      <x:c r="M17" s="24" t="str">
        <x:v>https://archive.org/download/obzor_uralskoi_oblasti/Обзор Уральской области за 1892 - RAW.pdf</x:v>
      </x:c>
      <x:c r="N17" s="18"/>
    </x:row>
    <x:row r="18" ht="44" customHeight="1">
      <x:c r="A18" s="37" t="n">
        <x:v>1893</x:v>
      </x:c>
      <x:c r="B18" s="13" t="str">
        <x:v>За 1893 г.; точная дата не указана</x:v>
      </x:c>
      <x:c r="C18" s="19" t="n">
        <x:v>143819</x:v>
      </x:c>
      <x:c r="D18" s="19" t="n">
        <x:v>401569</x:v>
      </x:c>
      <x:c r="E18" s="19" t="n">
        <x:v>545388</x:v>
      </x:c>
      <x:c r="F18" s="25" t="n">
        <x:f>IF(COUNT(C18:D18)=2,SUM(C18:D18),"")</x:f>
        <x:v>545388</x:v>
      </x:c>
      <x:c r="G18" s="25" t="n">
        <x:f>IF(AND(COUNT(E18:F18)=2,A18&lt;&gt;1896),E18-F18,"")</x:f>
        <x:v>0</x:v>
      </x:c>
      <x:c r="H18" s="13" t="str">
        <x:v>Охват и группировка по частной сводке</x:v>
      </x:c>
      <x:c r="I18" s="13" t="str">
        <x:v>По группам обзора; оседлые = казаки + иногородние</x:v>
      </x:c>
      <x:c r="J18" s="3" t="str">
        <x:v>Г1893</x:v>
      </x:c>
      <x:c r="K18" s="13" t="str">
        <x:v>Uralskaia-1890-1894(1).md</x:v>
      </x:c>
      <x:c r="L18" s="13" t="str">
        <x:v>с. 12 / PDF 20; вед. А / PDF 41</x:v>
      </x:c>
      <x:c r="M18" s="22" t="str">
        <x:v>https://archive.org/download/obzor_uralskoi_oblasti/Обзор Уральской области за 1893 - RAW.pdf</x:v>
      </x:c>
      <x:c r="N18" s="17"/>
    </x:row>
    <x:row r="19" ht="44" customHeight="1">
      <x:c r="A19" s="38" t="n">
        <x:v>1894</x:v>
      </x:c>
      <x:c r="B19" s="14" t="str">
        <x:v>Статистическая перепись 1894 г.; день не указан</x:v>
      </x:c>
      <x:c r="C19" s="20" t="n">
        <x:v>143991</x:v>
      </x:c>
      <x:c r="D19" s="20" t="n">
        <x:v>404293</x:v>
      </x:c>
      <x:c r="E19" s="20" t="n">
        <x:v>548284</x:v>
      </x:c>
      <x:c r="F19" s="25" t="n">
        <x:f>IF(COUNT(C19:D19)=2,SUM(C19:D19),"")</x:f>
        <x:v>548284</x:v>
      </x:c>
      <x:c r="G19" s="25" t="n">
        <x:f>IF(AND(COUNT(E19:F19)=2,A19&lt;&gt;1896),E19-F19,"")</x:f>
        <x:v>0</x:v>
      </x:c>
      <x:c r="H19" s="14" t="str">
        <x:v>Охват и группировка по частной сводке</x:v>
      </x:c>
      <x:c r="I19" s="14" t="str">
        <x:v>По группам обзора; оседлые = казаки + иногородние</x:v>
      </x:c>
      <x:c r="J19" s="12" t="str">
        <x:v>Г1894</x:v>
      </x:c>
      <x:c r="K19" s="14" t="str">
        <x:v>Uralskaia-1890-1894(1).md</x:v>
      </x:c>
      <x:c r="L19" s="14" t="str">
        <x:v>с. 13 / PDF 21; вед. А / PDF 41</x:v>
      </x:c>
      <x:c r="M19" s="24" t="str">
        <x:v>https://archive.org/download/obzor_uralskoi_oblasti/Обзор Уральской области за 1894 - RAW.pdf</x:v>
      </x:c>
      <x:c r="N19" s="18"/>
    </x:row>
    <x:row r="20" ht="44" customHeight="1">
      <x:c r="A20" s="37" t="n">
        <x:v>1895</x:v>
      </x:c>
      <x:c r="B20" s="13" t="str">
        <x:v>За 1895 г.; точная дата не указана</x:v>
      </x:c>
      <x:c r="C20" s="19" t="n">
        <x:v>147327</x:v>
      </x:c>
      <x:c r="D20" s="19" t="n">
        <x:v>410893</x:v>
      </x:c>
      <x:c r="E20" s="19" t="n">
        <x:v>558220</x:v>
      </x:c>
      <x:c r="F20" s="25" t="n">
        <x:f>IF(COUNT(C20:D20)=2,SUM(C20:D20),"")</x:f>
        <x:v>558220</x:v>
      </x:c>
      <x:c r="G20" s="25" t="n">
        <x:f>IF(AND(COUNT(E20:F20)=2,A20&lt;&gt;1896),E20-F20,"")</x:f>
        <x:v>0</x:v>
      </x:c>
      <x:c r="H20" s="13" t="str">
        <x:v>Охват и группировка по частной сводке</x:v>
      </x:c>
      <x:c r="I20" s="13" t="str">
        <x:v>По группам обзора; оседлые = казаки + иногородние</x:v>
      </x:c>
      <x:c r="J20" s="3" t="str">
        <x:v>Г1895</x:v>
      </x:c>
      <x:c r="K20" s="13" t="str">
        <x:v>Uralskaia-1895-1899(1).md</x:v>
      </x:c>
      <x:c r="L20" s="13" t="str">
        <x:v>с. 13 / PDF 14; вед. А / PDF 25</x:v>
      </x:c>
      <x:c r="M20" s="22" t="str">
        <x:v>https://archive.org/download/obzor_uralskoi_oblasti/Обзор Уральской области за 1895 - RAW.pdf</x:v>
      </x:c>
      <x:c r="N20" s="17"/>
    </x:row>
    <x:row r="21" ht="44" customHeight="1">
      <x:c r="A21" s="38" t="n">
        <x:v>1896</x:v>
      </x:c>
      <x:c r="B21" s="14" t="str">
        <x:v>До всеобщей переписи 1897 г.; дата не указана</x:v>
      </x:c>
      <x:c r="C21" s="20" t="n">
        <x:v>151991</x:v>
      </x:c>
      <x:c r="D21" s="20" t="n">
        <x:v>410893</x:v>
      </x:c>
      <x:c r="E21" s="27" t="n">
        <x:v>560000</x:v>
      </x:c>
      <x:c r="F21" s="25" t="n">
        <x:f>IF(COUNT(C21:D21)=2,SUM(C21:D21),"")</x:f>
        <x:v>562884</x:v>
      </x:c>
      <x:c r="G21" s="25" t="str">
        <x:f>IF(AND(COUNT(E21:F21)=2,A21&lt;&gt;1896),E21-F21,"")</x:f>
      </x:c>
      <x:c r="H21" s="26" t="str">
        <x:v>Приблизительно «до 560 тысяч»; территориальное деление</x:v>
      </x:c>
      <x:c r="I21" s="26" t="str">
        <x:v>Правый / левый берег; левый включает оседлую степную часть</x:v>
      </x:c>
      <x:c r="J21" s="12" t="str">
        <x:v>Г1896</x:v>
      </x:c>
      <x:c r="K21" s="14" t="str">
        <x:v>Uralskaia-1895-1899(1).md</x:v>
      </x:c>
      <x:c r="L21" s="14" t="str">
        <x:v>с. 16 / PDF 17</x:v>
      </x:c>
      <x:c r="M21" s="24" t="str">
        <x:v>https://archive.org/download/obzor_uralskoi_oblasti/Обзор Уральской области за 1896 - RAW.pdf</x:v>
      </x:c>
      <x:c r="N21" s="18"/>
    </x:row>
    <x:row r="22" ht="44" customHeight="1">
      <x:c r="A22" s="37" t="n">
        <x:v>1897</x:v>
      </x:c>
      <x:c r="B22" s="13" t="str">
        <x:v>Перепись начала 1897 г.; предварительное наличное; день не назван</x:v>
      </x:c>
      <x:c r="C22" s="19" t="n">
        <x:v>219696</x:v>
      </x:c>
      <x:c r="D22" s="19" t="n">
        <x:v>425733</x:v>
      </x:c>
      <x:c r="E22" s="19" t="n">
        <x:v>645429</x:v>
      </x:c>
      <x:c r="F22" s="25" t="n">
        <x:f>IF(COUNT(C22:D22)=2,SUM(C22:D22),"")</x:f>
        <x:v>645429</x:v>
      </x:c>
      <x:c r="G22" s="25" t="n">
        <x:f>IF(AND(COUNT(E22:F22)=2,A22&lt;&gt;1896),E22-F22,"")</x:f>
        <x:v>0</x:v>
      </x:c>
      <x:c r="H22" s="13" t="str">
        <x:v>Охват и группировка по частной сводке</x:v>
      </x:c>
      <x:c r="I22" s="13" t="str">
        <x:v>По характеру поселения в переписной таблице</x:v>
      </x:c>
      <x:c r="J22" s="3" t="str">
        <x:v>Г1897</x:v>
      </x:c>
      <x:c r="K22" s="13" t="str">
        <x:v>Uralskaia-1895-1899(1).md</x:v>
      </x:c>
      <x:c r="L22" s="13" t="str">
        <x:v>с. 1–2 / PDF 9–10</x:v>
      </x:c>
      <x:c r="M22" s="22" t="str">
        <x:v>https://archive.org/download/obzor_uralskoi_oblasti/Обзор Уральской области за 1897 - RAW.pdf</x:v>
      </x:c>
      <x:c r="N22" s="17"/>
    </x:row>
    <x:row r="23" ht="44" customHeight="1">
      <x:c r="A23" s="38" t="n">
        <x:v>1898</x:v>
      </x:c>
      <x:c r="B23" s="14" t="str">
        <x:v>К январю 1899 г.; день не указан</x:v>
      </x:c>
      <x:c r="C23" s="20" t="n">
        <x:v>227675</x:v>
      </x:c>
      <x:c r="D23" s="20" t="n">
        <x:v>438078</x:v>
      </x:c>
      <x:c r="E23" s="20" t="n">
        <x:v>665763</x:v>
      </x:c>
      <x:c r="F23" s="25" t="n">
        <x:f>IF(COUNT(C23:D23)=2,SUM(C23:D23),"")</x:f>
        <x:v>665753</x:v>
      </x:c>
      <x:c r="G23" s="25" t="n">
        <x:f>IF(AND(COUNT(E23:F23)=2,A23&lt;&gt;1896),E23-F23,"")</x:f>
        <x:v>10</x:v>
      </x:c>
      <x:c r="H23" s="14" t="str">
        <x:v>Охват и группировка по частной сводке</x:v>
      </x:c>
      <x:c r="I23" s="14" t="str">
        <x:v>По группам обзора; оседлые = казаки + иногородние</x:v>
      </x:c>
      <x:c r="J23" s="12" t="str">
        <x:v>Г1898</x:v>
      </x:c>
      <x:c r="K23" s="14" t="str">
        <x:v>Uralskaia-1895-1899(1).md</x:v>
      </x:c>
      <x:c r="L23" s="14" t="str">
        <x:v>с. 1–2 / PDF 9–10</x:v>
      </x:c>
      <x:c r="M23" s="24" t="str">
        <x:v>https://archive.org/download/obzor_uralskoi_oblasti/Обзор Уральской области за 1898 - RAW.pdf</x:v>
      </x:c>
      <x:c r="N23" s="18"/>
    </x:row>
    <x:row r="24" ht="44" customHeight="1">
      <x:c r="A24" s="37" t="n">
        <x:v>1899</x:v>
      </x:c>
      <x:c r="B24" s="13" t="str">
        <x:v>К январю 1900 г.; день не указан</x:v>
      </x:c>
      <x:c r="C24" s="19" t="n">
        <x:v>234676</x:v>
      </x:c>
      <x:c r="D24" s="19" t="n">
        <x:v>449191</x:v>
      </x:c>
      <x:c r="E24" s="19" t="n">
        <x:v>683867</x:v>
      </x:c>
      <x:c r="F24" s="25" t="n">
        <x:f>IF(COUNT(C24:D24)=2,SUM(C24:D24),"")</x:f>
        <x:v>683867</x:v>
      </x:c>
      <x:c r="G24" s="25" t="n">
        <x:f>IF(AND(COUNT(E24:F24)=2,A24&lt;&gt;1896),E24-F24,"")</x:f>
        <x:v>0</x:v>
      </x:c>
      <x:c r="H24" s="13" t="str">
        <x:v>Охват и группировка по частной сводке</x:v>
      </x:c>
      <x:c r="I24" s="13" t="str">
        <x:v>Оседлое с отдельно выделенными поселенцами</x:v>
      </x:c>
      <x:c r="J24" s="3" t="str">
        <x:v>Г1899</x:v>
      </x:c>
      <x:c r="K24" s="13" t="str">
        <x:v>Uralskaia-1895-1899(1).md</x:v>
      </x:c>
      <x:c r="L24" s="13" t="str">
        <x:v>с. 2 / PDF 10; copy 2 / PDF 4</x:v>
      </x:c>
      <x:c r="M24" s="22" t="str">
        <x:v>https://archive.org/download/obzor_uralskoi_oblasti/Обзор Уральской области за 1899 - RAW.pdf</x:v>
      </x:c>
      <x:c r="N24" s="17"/>
    </x:row>
    <x:row r="25" ht="44" customHeight="1">
      <x:c r="A25" s="38" t="n">
        <x:v>1900</x:v>
      </x:c>
      <x:c r="B25" s="14" t="str">
        <x:v>К январю 1901 г.; день не указан</x:v>
      </x:c>
      <x:c r="C25" s="20" t="n">
        <x:v>238713</x:v>
      </x:c>
      <x:c r="D25" s="20" t="n">
        <x:v>452974</x:v>
      </x:c>
      <x:c r="E25" s="20" t="n">
        <x:v>691687</x:v>
      </x:c>
      <x:c r="F25" s="25" t="n">
        <x:f>IF(COUNT(C25:D25)=2,SUM(C25:D25),"")</x:f>
        <x:v>691687</x:v>
      </x:c>
      <x:c r="G25" s="25" t="n">
        <x:f>IF(AND(COUNT(E25:F25)=2,A25&lt;&gt;1896),E25-F25,"")</x:f>
        <x:v>0</x:v>
      </x:c>
      <x:c r="H25" s="14" t="str">
        <x:v>Охват и группировка по частной сводке</x:v>
      </x:c>
      <x:c r="I25" s="14" t="str">
        <x:v>Оседлое с отдельно выделенными поселенцами</x:v>
      </x:c>
      <x:c r="J25" s="12" t="str">
        <x:v>Г1900</x:v>
      </x:c>
      <x:c r="K25" s="14" t="str">
        <x:v>Uralskaia-1900-1904(1).md</x:v>
      </x:c>
      <x:c r="L25" s="14" t="str">
        <x:v>с. 2 / основной RAW PDF 10; copy 2 PDF 5</x:v>
      </x:c>
      <x:c r="M25" s="24" t="str">
        <x:v>https://archive.org/download/obzor_uralskoi_oblasti/Обзор Уральской области за 1900 - RAW.pdf</x:v>
      </x:c>
      <x:c r="N25" s="18"/>
    </x:row>
    <x:row r="26" ht="44" customHeight="1">
      <x:c r="A26" s="37" t="n">
        <x:v>1901</x:v>
      </x:c>
      <x:c r="B26" s="13" t="str">
        <x:v>К январю 1902 г.; день не указан</x:v>
      </x:c>
      <x:c r="C26" s="19" t="n">
        <x:v>241475</x:v>
      </x:c>
      <x:c r="D26" s="19" t="n">
        <x:v>458539</x:v>
      </x:c>
      <x:c r="E26" s="19" t="n">
        <x:v>700014</x:v>
      </x:c>
      <x:c r="F26" s="25" t="n">
        <x:f>IF(COUNT(C26:D26)=2,SUM(C26:D26),"")</x:f>
        <x:v>700014</x:v>
      </x:c>
      <x:c r="G26" s="25" t="n">
        <x:f>IF(AND(COUNT(E26:F26)=2,A26&lt;&gt;1896),E26-F26,"")</x:f>
        <x:v>0</x:v>
      </x:c>
      <x:c r="H26" s="13" t="str">
        <x:v>Охват и группировка по частной сводке</x:v>
      </x:c>
      <x:c r="I26" s="13" t="str">
        <x:v>Оседлое с отдельно выделенными поселенцами</x:v>
      </x:c>
      <x:c r="J26" s="3" t="str">
        <x:v>Г1901</x:v>
      </x:c>
      <x:c r="K26" s="13" t="str">
        <x:v>Uralskaia-1900-1904(1).md</x:v>
      </x:c>
      <x:c r="L26" s="13" t="str">
        <x:v>с. 2 / основной RAW PDF 10; copy 2 PDF 5</x:v>
      </x:c>
      <x:c r="M26" s="22" t="str">
        <x:v>https://archive.org/download/obzor_uralskoi_oblasti/Обзор Уральской области за 1901 - RAW.pdf</x:v>
      </x:c>
      <x:c r="N26" s="17"/>
    </x:row>
    <x:row r="27" ht="44" customHeight="1">
      <x:c r="A27" s="38" t="n">
        <x:v>1902</x:v>
      </x:c>
      <x:c r="B27" s="14" t="str">
        <x:v>01.01.1903</x:v>
      </x:c>
      <x:c r="C27" s="20" t="n">
        <x:v>245746</x:v>
      </x:c>
      <x:c r="D27" s="20" t="n">
        <x:v>463419</x:v>
      </x:c>
      <x:c r="E27" s="20" t="n">
        <x:v>709165</x:v>
      </x:c>
      <x:c r="F27" s="25" t="n">
        <x:f>IF(COUNT(C27:D27)=2,SUM(C27:D27),"")</x:f>
        <x:v>709165</x:v>
      </x:c>
      <x:c r="G27" s="25" t="n">
        <x:f>IF(AND(COUNT(E27:F27)=2,A27&lt;&gt;1896),E27-F27,"")</x:f>
        <x:v>0</x:v>
      </x:c>
      <x:c r="H27" s="14" t="str">
        <x:v>Охват и группировка по частной сводке</x:v>
      </x:c>
      <x:c r="I27" s="14" t="str">
        <x:v>Оседлое с отдельно выделенными поселенцами</x:v>
      </x:c>
      <x:c r="J27" s="12" t="str">
        <x:v>Г1902</x:v>
      </x:c>
      <x:c r="K27" s="14" t="str">
        <x:v>Uralskaia-1900-1904(1).md</x:v>
      </x:c>
      <x:c r="L27" s="14" t="str">
        <x:v>с. 2 / основной RAW PDF 10; copy 2 PDF 5</x:v>
      </x:c>
      <x:c r="M27" s="24" t="str">
        <x:v>https://archive.org/download/obzor_uralskoi_oblasti/Обзор Уральской области за 1902 - RAW.pdf</x:v>
      </x:c>
      <x:c r="N27" s="18" t="d">
        <x:v>1903-01-01T00:00:00.000Z</x:v>
      </x:c>
    </x:row>
    <x:row r="28" ht="44" customHeight="1">
      <x:c r="A28" s="37" t="n">
        <x:v>1903</x:v>
      </x:c>
      <x:c r="B28" s="13" t="str">
        <x:v>01.01.1904</x:v>
      </x:c>
      <x:c r="C28" s="19" t="n">
        <x:v>250821</x:v>
      </x:c>
      <x:c r="D28" s="19" t="n">
        <x:v>468499</x:v>
      </x:c>
      <x:c r="E28" s="19" t="n">
        <x:v>719320</x:v>
      </x:c>
      <x:c r="F28" s="25" t="n">
        <x:f>IF(COUNT(C28:D28)=2,SUM(C28:D28),"")</x:f>
        <x:v>719320</x:v>
      </x:c>
      <x:c r="G28" s="25" t="n">
        <x:f>IF(AND(COUNT(E28:F28)=2,A28&lt;&gt;1896),E28-F28,"")</x:f>
        <x:v>0</x:v>
      </x:c>
      <x:c r="H28" s="13" t="str">
        <x:v>Охват и группировка по частной сводке</x:v>
      </x:c>
      <x:c r="I28" s="13" t="str">
        <x:v>Оседлое с отдельно выделенными поселенцами</x:v>
      </x:c>
      <x:c r="J28" s="3" t="str">
        <x:v>Г1903</x:v>
      </x:c>
      <x:c r="K28" s="13" t="str">
        <x:v>Uralskaia-1900-1904(1).md</x:v>
      </x:c>
      <x:c r="L28" s="13" t="str">
        <x:v>с. 2 / основной RAW PDF 10; copy 2 PDF 5</x:v>
      </x:c>
      <x:c r="M28" s="22" t="str">
        <x:v>https://archive.org/download/obzor_uralskoi_oblasti/Обзор Уральской области за 1903 - RAW.pdf</x:v>
      </x:c>
      <x:c r="N28" s="17" t="d">
        <x:v>1904-01-01T00:00:00.000Z</x:v>
      </x:c>
    </x:row>
    <x:row r="29" ht="44" customHeight="1">
      <x:c r="A29" s="38" t="n">
        <x:v>1904</x:v>
      </x:c>
      <x:c r="B29" s="14" t="str">
        <x:v>01.01.1905</x:v>
      </x:c>
      <x:c r="C29" s="20" t="n">
        <x:v>253175</x:v>
      </x:c>
      <x:c r="D29" s="20" t="n">
        <x:v>471464</x:v>
      </x:c>
      <x:c r="E29" s="20" t="n">
        <x:v>724639</x:v>
      </x:c>
      <x:c r="F29" s="25" t="n">
        <x:f>IF(COUNT(C29:D29)=2,SUM(C29:D29),"")</x:f>
        <x:v>724639</x:v>
      </x:c>
      <x:c r="G29" s="25" t="n">
        <x:f>IF(AND(COUNT(E29:F29)=2,A29&lt;&gt;1896),E29-F29,"")</x:f>
        <x:v>0</x:v>
      </x:c>
      <x:c r="H29" s="14" t="str">
        <x:v>Охват и группировка по частной сводке</x:v>
      </x:c>
      <x:c r="I29" s="14" t="str">
        <x:v>Оседлое с отдельно выделенными поселенцами</x:v>
      </x:c>
      <x:c r="J29" s="12" t="str">
        <x:v>Г1904</x:v>
      </x:c>
      <x:c r="K29" s="14" t="str">
        <x:v>Uralskaia-1900-1904(1).md</x:v>
      </x:c>
      <x:c r="L29" s="14" t="str">
        <x:v>с. 2 / основной RAW PDF 10; copy 2 PDF 5</x:v>
      </x:c>
      <x:c r="M29" s="24" t="str">
        <x:v>https://archive.org/download/obzor_uralskoi_oblasti/Обзор Уральской области за 1904 - RAW.pdf</x:v>
      </x:c>
      <x:c r="N29" s="18" t="d">
        <x:v>1905-01-01T00:00:00.000Z</x:v>
      </x:c>
    </x:row>
    <x:row r="30" ht="44" customHeight="1">
      <x:c r="A30" s="37" t="n">
        <x:v>1905</x:v>
      </x:c>
      <x:c r="B30" s="13" t="str">
        <x:v>01.01.1906</x:v>
      </x:c>
      <x:c r="C30" s="19" t="n">
        <x:v>256918</x:v>
      </x:c>
      <x:c r="D30" s="19" t="n">
        <x:v>472633</x:v>
      </x:c>
      <x:c r="E30" s="19" t="n">
        <x:v>729551</x:v>
      </x:c>
      <x:c r="F30" s="25" t="n">
        <x:f>IF(COUNT(C30:D30)=2,SUM(C30:D30),"")</x:f>
        <x:v>729551</x:v>
      </x:c>
      <x:c r="G30" s="25" t="n">
        <x:f>IF(AND(COUNT(E30:F30)=2,A30&lt;&gt;1896),E30-F30,"")</x:f>
        <x:v>0</x:v>
      </x:c>
      <x:c r="H30" s="13" t="str">
        <x:v>Охват и группировка по частной сводке</x:v>
      </x:c>
      <x:c r="I30" s="13" t="str">
        <x:v>Оседлое с отдельно выделенными поселенцами</x:v>
      </x:c>
      <x:c r="J30" s="3" t="str">
        <x:v>Г1905</x:v>
      </x:c>
      <x:c r="K30" s="13" t="str">
        <x:v>Uralskaia-1905-1906(1).md</x:v>
      </x:c>
      <x:c r="L30" s="13" t="str">
        <x:v>с. 2 / основной RAW PDF 10; copy 2 PDF 5</x:v>
      </x:c>
      <x:c r="M30" s="22" t="str">
        <x:v>https://archive.org/download/obzor_uralskoi_oblasti/Обзор Уральской области за 1905 - RAW.pdf</x:v>
      </x:c>
      <x:c r="N30" s="17" t="d">
        <x:v>1906-01-01T00:00:00.000Z</x:v>
      </x:c>
    </x:row>
    <x:row r="31" ht="44" customHeight="1">
      <x:c r="A31" s="38" t="n">
        <x:v>1906</x:v>
      </x:c>
      <x:c r="B31" s="14" t="str">
        <x:v>01.01.1907</x:v>
      </x:c>
      <x:c r="C31" s="20" t="n">
        <x:v>261559</x:v>
      </x:c>
      <x:c r="D31" s="20" t="n">
        <x:v>475206</x:v>
      </x:c>
      <x:c r="E31" s="20" t="n">
        <x:v>736765</x:v>
      </x:c>
      <x:c r="F31" s="25" t="n">
        <x:f>IF(COUNT(C31:D31)=2,SUM(C31:D31),"")</x:f>
        <x:v>736765</x:v>
      </x:c>
      <x:c r="G31" s="25" t="n">
        <x:f>IF(AND(COUNT(E31:F31)=2,A31&lt;&gt;1896),E31-F31,"")</x:f>
        <x:v>0</x:v>
      </x:c>
      <x:c r="H31" s="14" t="str">
        <x:v>Охват и группировка по частной сводке</x:v>
      </x:c>
      <x:c r="I31" s="14" t="str">
        <x:v>Оседлое с отдельно выделенными поселенцами</x:v>
      </x:c>
      <x:c r="J31" s="12" t="str">
        <x:v>Г1906</x:v>
      </x:c>
      <x:c r="K31" s="14" t="str">
        <x:v>Uralskaia-1905-1906(1).md</x:v>
      </x:c>
      <x:c r="L31" s="14" t="str">
        <x:v>с. 2 / основной RAW PDF 10; copy 2 PDF 5</x:v>
      </x:c>
      <x:c r="M31" s="24" t="str">
        <x:v>https://archive.org/download/obzor_uralskoi_oblasti/Обзор Уральской области за 1906 - RAW.pdf</x:v>
      </x:c>
      <x:c r="N31" s="18" t="d">
        <x:v>1907-01-01T00:00:00.000Z</x:v>
      </x:c>
    </x:row>
    <x:row r="32" ht="44" customHeight="1">
      <x:c r="A32" s="37" t="n">
        <x:v>1907</x:v>
      </x:c>
      <x:c r="B32" s="13" t="str">
        <x:v>01.01.1908</x:v>
      </x:c>
      <x:c r="C32" s="19" t="n">
        <x:v>266996</x:v>
      </x:c>
      <x:c r="D32" s="19" t="n">
        <x:v>476822</x:v>
      </x:c>
      <x:c r="E32" s="19" t="n">
        <x:v>743818</x:v>
      </x:c>
      <x:c r="F32" s="25" t="n">
        <x:f>IF(COUNT(C32:D32)=2,SUM(C32:D32),"")</x:f>
        <x:v>743818</x:v>
      </x:c>
      <x:c r="G32" s="25" t="n">
        <x:f>IF(AND(COUNT(E32:F32)=2,A32&lt;&gt;1896),E32-F32,"")</x:f>
        <x:v>0</x:v>
      </x:c>
      <x:c r="H32" s="13" t="str">
        <x:v>Охват и группировка по частной сводке</x:v>
      </x:c>
      <x:c r="I32" s="13" t="str">
        <x:v>Оседлое с отдельно выделенными поселенцами</x:v>
      </x:c>
      <x:c r="J32" s="3" t="str">
        <x:v>Г1907</x:v>
      </x:c>
      <x:c r="K32" s="13" t="str">
        <x:v>Uralskaia-1907-1909(1).md</x:v>
      </x:c>
      <x:c r="L32" s="13" t="str">
        <x:v>с. 2 / основной RAW PDF 10; copy 2 PDF 5</x:v>
      </x:c>
      <x:c r="M32" s="22" t="str">
        <x:v>https://archive.org/download/obzor_uralskoi_oblasti/Обзор Уральской области за 1907 - RAW.pdf</x:v>
      </x:c>
      <x:c r="N32" s="17" t="d">
        <x:v>1908-01-01T00:00:00.000Z</x:v>
      </x:c>
    </x:row>
    <x:row r="33" ht="44" customHeight="1">
      <x:c r="A33" s="38" t="n">
        <x:v>1908</x:v>
      </x:c>
      <x:c r="B33" s="14" t="str">
        <x:v>01.01.1909</x:v>
      </x:c>
      <x:c r="C33" s="20" t="n">
        <x:v>271874</x:v>
      </x:c>
      <x:c r="D33" s="20" t="n">
        <x:v>478354</x:v>
      </x:c>
      <x:c r="E33" s="20" t="n">
        <x:v>750228</x:v>
      </x:c>
      <x:c r="F33" s="25" t="n">
        <x:f>IF(COUNT(C33:D33)=2,SUM(C33:D33),"")</x:f>
        <x:v>750228</x:v>
      </x:c>
      <x:c r="G33" s="25" t="n">
        <x:f>IF(AND(COUNT(E33:F33)=2,A33&lt;&gt;1896),E33-F33,"")</x:f>
        <x:v>0</x:v>
      </x:c>
      <x:c r="H33" s="14" t="str">
        <x:v>Новые переселенцы 1908 г. исключены</x:v>
      </x:c>
      <x:c r="I33" s="14" t="str">
        <x:v>Оседлое с отдельно выделенными поселенцами</x:v>
      </x:c>
      <x:c r="J33" s="12" t="str">
        <x:v>Г1908</x:v>
      </x:c>
      <x:c r="K33" s="14" t="str">
        <x:v>Uralskaia-1907-1909(1).md</x:v>
      </x:c>
      <x:c r="L33" s="14" t="str">
        <x:v>с. 2 / PDF 8</x:v>
      </x:c>
      <x:c r="M33" s="24" t="str">
        <x:v>https://archive.org/download/obzor_uralskoi_oblasti/Обзор Уральской области за 1908 - RAW.pdf</x:v>
      </x:c>
      <x:c r="N33" s="18" t="d">
        <x:v>1909-01-01T00:00:00.000Z</x:v>
      </x:c>
    </x:row>
    <x:row r="34" ht="44" customHeight="1">
      <x:c r="A34" s="37" t="n">
        <x:v>1909</x:v>
      </x:c>
      <x:c r="B34" s="13" t="str">
        <x:v>01.01.1910</x:v>
      </x:c>
      <x:c r="C34" s="19" t="n">
        <x:v>297963</x:v>
      </x:c>
      <x:c r="D34" s="19" t="n">
        <x:v>480013</x:v>
      </x:c>
      <x:c r="E34" s="19" t="n">
        <x:v>777976</x:v>
      </x:c>
      <x:c r="F34" s="25" t="n">
        <x:f>IF(COUNT(C34:D34)=2,SUM(C34:D34),"")</x:f>
        <x:v>777976</x:v>
      </x:c>
      <x:c r="G34" s="25" t="n">
        <x:f>IF(AND(COUNT(E34:F34)=2,A34&lt;&gt;1896),E34-F34,"")</x:f>
        <x:v>0</x:v>
      </x:c>
      <x:c r="H34" s="13" t="str">
        <x:v>Переселенческая группа расширена</x:v>
      </x:c>
      <x:c r="I34" s="13" t="str">
        <x:v>Оседлое с отдельно выделенными поселенцами</x:v>
      </x:c>
      <x:c r="J34" s="3" t="str">
        <x:v>Г1909</x:v>
      </x:c>
      <x:c r="K34" s="13" t="str">
        <x:v>Uralskaia-1907-1909(1).md</x:v>
      </x:c>
      <x:c r="L34" s="13" t="str">
        <x:v>с. 2 / PDF 8</x:v>
      </x:c>
      <x:c r="M34" s="22" t="str">
        <x:v>https://archive.org/download/obzor_uralskoi_oblasti/Обзор Уральской области за 1909 - RAW.pdf</x:v>
      </x:c>
      <x:c r="N34" s="17" t="d">
        <x:v>1910-01-01T00:00:00.000Z</x:v>
      </x:c>
    </x:row>
    <x:row r="35" ht="44" customHeight="1">
      <x:c r="A35" s="38" t="n">
        <x:v>1910</x:v>
      </x:c>
      <x:c r="B35" s="14" t="str">
        <x:v>01.01.1911</x:v>
      </x:c>
      <x:c r="C35" s="20" t="n">
        <x:v>321670</x:v>
      </x:c>
      <x:c r="D35" s="20" t="n">
        <x:v>482575</x:v>
      </x:c>
      <x:c r="E35" s="20" t="n">
        <x:v>804245</x:v>
      </x:c>
      <x:c r="F35" s="25" t="n">
        <x:f>IF(COUNT(C35:D35)=2,SUM(C35:D35),"")</x:f>
        <x:v>804245</x:v>
      </x:c>
      <x:c r="G35" s="25" t="n">
        <x:f>IF(AND(COUNT(E35:F35)=2,A35&lt;&gt;1896),E35-F35,"")</x:f>
        <x:v>0</x:v>
      </x:c>
      <x:c r="H35" s="14" t="str">
        <x:v>Охват и группировка по частной сводке</x:v>
      </x:c>
      <x:c r="I35" s="14" t="str">
        <x:v>Условно: «киргизское» население и остальные категории</x:v>
      </x:c>
      <x:c r="J35" s="12" t="str">
        <x:v>Г1910</x:v>
      </x:c>
      <x:c r="K35" s="14" t="str">
        <x:v>Uralskaia-1910-1912(1).md</x:v>
      </x:c>
      <x:c r="L35" s="14" t="str">
        <x:v>с. 2 / RAW copy 2 PDF 5; OCR PDF 10</x:v>
      </x:c>
      <x:c r="M35" s="24" t="str">
        <x:v>https://archive.org/download/obzor_uralskoi_oblasti/Обзор Уральской области за 1910 (copy 2) - RAW.pdf</x:v>
      </x:c>
      <x:c r="N35" s="18" t="d">
        <x:v>1911-01-01T00:00:00.000Z</x:v>
      </x:c>
    </x:row>
    <x:row r="36" ht="44" customHeight="1">
      <x:c r="A36" s="37" t="n">
        <x:v>1911</x:v>
      </x:c>
      <x:c r="B36" s="13" t="str">
        <x:v>01.01.1912</x:v>
      </x:c>
      <x:c r="C36" s="19" t="n">
        <x:v>331693</x:v>
      </x:c>
      <x:c r="D36" s="19" t="n">
        <x:v>482255</x:v>
      </x:c>
      <x:c r="E36" s="19" t="n">
        <x:v>813948</x:v>
      </x:c>
      <x:c r="F36" s="25" t="n">
        <x:f>IF(COUNT(C36:D36)=2,SUM(C36:D36),"")</x:f>
        <x:v>813948</x:v>
      </x:c>
      <x:c r="G36" s="25" t="n">
        <x:f>IF(AND(COUNT(E36:F36)=2,A36&lt;&gt;1896),E36-F36,"")</x:f>
        <x:v>0</x:v>
      </x:c>
      <x:c r="H36" s="13" t="str">
        <x:v>Охват и группировка по частной сводке</x:v>
      </x:c>
      <x:c r="I36" s="13" t="str">
        <x:v>Условно: «киргизское» население и остальные категории</x:v>
      </x:c>
      <x:c r="J36" s="3" t="str">
        <x:v>Г1911</x:v>
      </x:c>
      <x:c r="K36" s="13" t="str">
        <x:v>Uralskaia-1910-1912(1).md</x:v>
      </x:c>
      <x:c r="L36" s="13" t="str">
        <x:v>с. 3 / RAW copy 2 PDF 6; OCR PDF 13</x:v>
      </x:c>
      <x:c r="M36" s="22" t="str">
        <x:v>https://archive.org/download/obzor_uralskoi_oblasti/Обзор Уральской области за 1911 (copy 2) - RAW.pdf</x:v>
      </x:c>
      <x:c r="N36" s="17" t="d">
        <x:v>1912-01-01T00:00:00.000Z</x:v>
      </x:c>
    </x:row>
    <x:row r="37" ht="44" customHeight="1">
      <x:c r="A37" s="38" t="n">
        <x:v>1912</x:v>
      </x:c>
      <x:c r="B37" s="14" t="str">
        <x:v>01.01.1913</x:v>
      </x:c>
      <x:c r="C37" s="20" t="n">
        <x:v>337193</x:v>
      </x:c>
      <x:c r="D37" s="20" t="n">
        <x:v>481067</x:v>
      </x:c>
      <x:c r="E37" s="20" t="n">
        <x:v>818260</x:v>
      </x:c>
      <x:c r="F37" s="25" t="n">
        <x:f>IF(COUNT(C37:D37)=2,SUM(C37:D37),"")</x:f>
        <x:v>818260</x:v>
      </x:c>
      <x:c r="G37" s="25" t="n">
        <x:f>IF(AND(COUNT(E37:F37)=2,A37&lt;&gt;1896),E37-F37,"")</x:f>
        <x:v>0</x:v>
      </x:c>
      <x:c r="H37" s="14" t="str">
        <x:v>Охват и группировка по частной сводке</x:v>
      </x:c>
      <x:c r="I37" s="14" t="str">
        <x:v>Условно: «киргизское» население и остальные категории</x:v>
      </x:c>
      <x:c r="J37" s="12" t="str">
        <x:v>Г1912</x:v>
      </x:c>
      <x:c r="K37" s="14" t="str">
        <x:v>Uralskaia-1910-1912(1).md</x:v>
      </x:c>
      <x:c r="L37" s="14" t="str">
        <x:v>с. 3 / RAW и OCR PDF 7</x:v>
      </x:c>
      <x:c r="M37" s="24" t="str">
        <x:v>https://archive.org/download/obzor_uralskoi_oblasti/Обзор Уральской области за 1912 - RAW.pdf</x:v>
      </x:c>
      <x:c r="N37" s="18" t="d">
        <x:v>1913-01-01T00:00:00.000Z</x:v>
      </x:c>
    </x:row>
    <x:row r="38" ht="44" customHeight="1">
      <x:c r="A38" s="37" t="n">
        <x:v>1913</x:v>
      </x:c>
      <x:c r="B38" s="13" t="str">
        <x:v>01.01.1914</x:v>
      </x:c>
      <x:c r="C38" s="19" t="n">
        <x:v>354909</x:v>
      </x:c>
      <x:c r="D38" s="19" t="n">
        <x:v>481019</x:v>
      </x:c>
      <x:c r="E38" s="19" t="n">
        <x:v>835928</x:v>
      </x:c>
      <x:c r="F38" s="25" t="n">
        <x:f>IF(COUNT(C38:D38)=2,SUM(C38:D38),"")</x:f>
        <x:v>835928</x:v>
      </x:c>
      <x:c r="G38" s="25" t="n">
        <x:f>IF(AND(COUNT(E38:F38)=2,A38&lt;&gt;1896),E38-F38,"")</x:f>
        <x:v>0</x:v>
      </x:c>
      <x:c r="H38" s="13" t="str">
        <x:v>Охват и группировка по частной сводке</x:v>
      </x:c>
      <x:c r="I38" s="13" t="str">
        <x:v>Условно: «киргизское» население и остальные категории</x:v>
      </x:c>
      <x:c r="J38" s="3" t="str">
        <x:v>Г1913</x:v>
      </x:c>
      <x:c r="K38" s="13" t="str">
        <x:v>Uralskaia-1913-1915(1).md</x:v>
      </x:c>
      <x:c r="L38" s="13" t="str">
        <x:v>с. 2–3 / RAW PDF 12–13</x:v>
      </x:c>
      <x:c r="M38" s="22" t="str">
        <x:v>https://archive.org/download/obzor_uralskoi_oblasti/Обзор Уральской области за 1913 - RAW.pdf</x:v>
      </x:c>
      <x:c r="N38" s="17" t="d">
        <x:v>1914-01-01T00:00:00.000Z</x:v>
      </x:c>
    </x:row>
    <x:row r="39" ht="44" customHeight="1">
      <x:c r="A39" s="38" t="n">
        <x:v>1914</x:v>
      </x:c>
      <x:c r="B39" s="14" t="str">
        <x:v>01.01.1915</x:v>
      </x:c>
      <x:c r="C39" s="20" t="n">
        <x:v>375537</x:v>
      </x:c>
      <x:c r="D39" s="20" t="n">
        <x:v>480985</x:v>
      </x:c>
      <x:c r="E39" s="20" t="n">
        <x:v>856522</x:v>
      </x:c>
      <x:c r="F39" s="25" t="n">
        <x:f>IF(COUNT(C39:D39)=2,SUM(C39:D39),"")</x:f>
        <x:v>856522</x:v>
      </x:c>
      <x:c r="G39" s="25" t="n">
        <x:f>IF(AND(COUNT(E39:F39)=2,A39&lt;&gt;1896),E39-F39,"")</x:f>
        <x:v>0</x:v>
      </x:c>
      <x:c r="H39" s="14" t="str">
        <x:v>Охват и группировка по частной сводке</x:v>
      </x:c>
      <x:c r="I39" s="14" t="str">
        <x:v>Условно: «киргизское» население и остальные категории</x:v>
      </x:c>
      <x:c r="J39" s="12" t="str">
        <x:v>Г1914</x:v>
      </x:c>
      <x:c r="K39" s="14" t="str">
        <x:v>Uralskaia-1913-1915(1).md</x:v>
      </x:c>
      <x:c r="L39" s="14" t="str">
        <x:v>с. 2–3 / RAW copy 2 PDF 6–7</x:v>
      </x:c>
      <x:c r="M39" s="24" t="str">
        <x:v>https://archive.org/download/obzor_uralskoi_oblasti/Обзор Уральской области за 1914 (copy 2) - RAW.pdf</x:v>
      </x:c>
      <x:c r="N39" s="18" t="d">
        <x:v>1915-01-01T00:00:00.000Z</x:v>
      </x:c>
    </x:row>
    <x:row r="40" ht="44" customHeight="1">
      <x:c r="A40" s="37" t="n">
        <x:v>1915</x:v>
      </x:c>
      <x:c r="B40" s="13" t="str">
        <x:v>01.01.1916</x:v>
      </x:c>
      <x:c r="C40" s="19" t="n">
        <x:v>385035</x:v>
      </x:c>
      <x:c r="D40" s="19" t="n">
        <x:v>481911</x:v>
      </x:c>
      <x:c r="E40" s="19" t="n">
        <x:v>866946</x:v>
      </x:c>
      <x:c r="F40" s="25" t="n">
        <x:f>IF(COUNT(C40:D40)=2,SUM(C40:D40),"")</x:f>
        <x:v>866946</x:v>
      </x:c>
      <x:c r="G40" s="25" t="n">
        <x:f>IF(AND(COUNT(E40:F40)=2,A40&lt;&gt;1896),E40-F40,"")</x:f>
        <x:v>0</x:v>
      </x:c>
      <x:c r="H40" s="13" t="str">
        <x:v>Охват и группировка по частной сводке</x:v>
      </x:c>
      <x:c r="I40" s="13" t="str">
        <x:v>Условно: «киргизское» население и остальные категории</x:v>
      </x:c>
      <x:c r="J40" s="3" t="str">
        <x:v>Г1915</x:v>
      </x:c>
      <x:c r="K40" s="13" t="str">
        <x:v>Uralskaia-1913-1915(1).md</x:v>
      </x:c>
      <x:c r="L40" s="13" t="str">
        <x:v>с. 2–4 / RAW copy 2 PDF 7–9</x:v>
      </x:c>
      <x:c r="M40" s="22" t="str">
        <x:v>https://archive.org/download/obzor_uralskoi_oblasti/Обзор Уральской области за 1915 (copy 2) - RAW.pdf</x:v>
      </x:c>
      <x:c r="N40" s="17" t="d">
        <x:v>1916-01-01T00:00:00.000Z</x:v>
      </x:c>
    </x:row>
  </x:sheetData>
  <x:conditionalFormatting sqref="G6:G40">
    <x:cfRule type="cellIs" dxfId="0" priority="1" operator="notEqual">
      <x:formula>0</x:formula>
    </x:cfRule>
  </x:conditionalFormatting>
  <x:pageMargins left="0.7" right="0.7" top="0.75" bottom="0.75" header="0.3" footer="0.3"/>
  <x:tableParts count="1">
    <x:tablePart xmlns:r="http://schemas.openxmlformats.org/officeDocument/2006/relationships" r:id="R10a2f1c8fdff44f8"/>
  </x:tableParts>
</x:worksheet>
</file>

<file path=xl/worksheets/sheet2.xml><?xml version="1.0" encoding="utf-8"?>
<x:worksheet xmlns:x="http://schemas.openxmlformats.org/spreadsheetml/2006/main">
  <x:sheetPr>
    <x:tabColor rgb="FF304B69"/>
  </x:sheetPr>
  <x:sheetViews>
    <x:sheetView showGridLines="0" workbookViewId="0">
      <x:pane xSplit="1" ySplit="5" topLeftCell="B6" activePane="bottomRight" state="frozen"/>
    </x:sheetView>
  </x:sheetViews>
  <x:sheetFormatPr defaultRowHeight="15"/>
  <x:cols>
    <x:col min="1" max="1" width="8" hidden="0" customWidth="1"/>
    <x:col min="2" max="2" width="14" hidden="0" customWidth="1"/>
    <x:col min="3" max="3" width="14" hidden="0" customWidth="1"/>
    <x:col min="4" max="4" width="16" hidden="0" customWidth="1"/>
    <x:col min="5" max="5" width="19" hidden="0" customWidth="1"/>
    <x:col min="6" max="6" width="14" hidden="0" customWidth="1"/>
    <x:col min="7" max="7" width="14" hidden="0" customWidth="1"/>
    <x:col min="8" max="8" width="16" hidden="0" customWidth="1"/>
    <x:col min="9" max="9" width="19" hidden="0" customWidth="1"/>
    <x:col min="10" max="10" width="14" hidden="0" customWidth="1"/>
    <x:col min="11" max="11" width="14" hidden="0" customWidth="1"/>
    <x:col min="12" max="12" width="17" hidden="0" customWidth="1"/>
    <x:col min="13" max="13" width="20" hidden="0" customWidth="1"/>
    <x:col min="14" max="14" width="67" hidden="0" customWidth="1"/>
    <x:col min="15" max="15" width="43" hidden="0" customWidth="1"/>
    <x:col min="16" max="16" width="68" hidden="0" customWidth="1"/>
    <x:col min="17" max="17" width="15" hidden="0" customWidth="1"/>
    <x:col min="18" max="18" width="62" hidden="0" customWidth="1"/>
  </x:cols>
  <x:sheetData>
    <x:row r="1">
      <x:c r="A1" s="3"/>
      <x:c r="B1" s="3"/>
      <x:c r="C1" s="3"/>
      <x:c r="D1" s="3"/>
      <x:c r="E1" s="3"/>
      <x:c r="F1" s="3"/>
      <x:c r="G1" s="3"/>
      <x:c r="H1" s="3"/>
      <x:c r="I1" s="3"/>
      <x:c r="J1" s="3"/>
      <x:c r="K1" s="3"/>
      <x:c r="L1" s="3"/>
      <x:c r="M1" s="3"/>
      <x:c r="N1" s="3"/>
      <x:c r="O1" s="3"/>
      <x:c r="P1" s="3"/>
      <x:c r="Q1" s="3"/>
      <x:c r="R1" s="3"/>
    </x:row>
    <x:row r="2" ht="26" customHeight="1">
      <x:c r="A2" s="5" t="str">
        <x:v>Уральская область. Рождения и смерти, 1881–1915</x:v>
      </x:c>
      <x:c r="B2" s="6"/>
      <x:c r="C2" s="6"/>
      <x:c r="D2" s="6"/>
      <x:c r="E2" s="6"/>
      <x:c r="F2" s="6"/>
      <x:c r="G2" s="6"/>
      <x:c r="H2" s="6"/>
      <x:c r="I2" s="6"/>
      <x:c r="J2" s="6"/>
      <x:c r="K2" s="6"/>
      <x:c r="L2" s="6"/>
      <x:c r="M2" s="6"/>
      <x:c r="N2" s="6"/>
      <x:c r="O2" s="6"/>
      <x:c r="P2" s="6"/>
      <x:c r="Q2" s="6"/>
      <x:c r="R2" s="6"/>
    </x:row>
    <x:row r="3" ht="23" customHeight="1">
      <x:c r="A3" s="7" t="str">
        <x:v>Человек. Сумма известных событий и опубликованный областной итог регистрации имеют разный охват.</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64" customHeight="1">
      <x:c r="A5" s="11" t="str">
        <x:v>Год</x:v>
      </x:c>
      <x:c r="B5" s="11" t="str">
        <x:v>Рождения: оседлое</x:v>
      </x:c>
      <x:c r="C5" s="11" t="str">
        <x:v>Рождения: кочевое</x:v>
      </x:c>
      <x:c r="D5" s="11" t="str">
        <x:v>Сумма известных рождений</x:v>
      </x:c>
      <x:c r="E5" s="11" t="str">
        <x:v>Рождения: областной итог регистрации</x:v>
      </x:c>
      <x:c r="F5" s="11" t="str">
        <x:v>Смерти: оседлое</x:v>
      </x:c>
      <x:c r="G5" s="11" t="str">
        <x:v>Смерти: кочевое</x:v>
      </x:c>
      <x:c r="H5" s="11" t="str">
        <x:v>Сумма известных смертей</x:v>
      </x:c>
      <x:c r="I5" s="11" t="str">
        <x:v>Смерти: областной итог регистрации</x:v>
      </x:c>
      <x:c r="J5" s="11" t="str">
        <x:v>B−D: оседлое</x:v>
      </x:c>
      <x:c r="K5" s="11" t="str">
        <x:v>B−D: кочевое</x:v>
      </x:c>
      <x:c r="L5" s="11" t="str">
        <x:v>B−D: известные события</x:v>
      </x:c>
      <x:c r="M5" s="11" t="str">
        <x:v>B−D: областной итог регистрации</x:v>
      </x:c>
      <x:c r="N5" s="11" t="str">
        <x:v>Охват и полнота регистрации</x:v>
      </x:c>
      <x:c r="O5" s="11" t="str">
        <x:v>Частная сводка</x:v>
      </x:c>
      <x:c r="P5" s="11" t="str">
        <x:v>Страницы первичного источника</x:v>
      </x:c>
      <x:c r="Q5" s="11" t="str">
        <x:v>Код примечания</x:v>
      </x:c>
      <x:c r="R5" s="11" t="str">
        <x:v>PDF</x:v>
      </x:c>
    </x:row>
    <x:row r="6" ht="44" customHeight="1">
      <x:c r="A6" s="37" t="n">
        <x:v>1881</x:v>
      </x:c>
      <x:c r="B6" s="19" t="n">
        <x:v>3885</x:v>
      </x:c>
      <x:c r="C6" s="19"/>
      <x:c r="D6" s="25" t="n">
        <x:f>IF(COUNT(B6:C6)&gt;0,SUM(B6:C6),"")</x:f>
        <x:v>3885</x:v>
      </x:c>
      <x:c r="E6" s="19"/>
      <x:c r="F6" s="19" t="n">
        <x:v>3400</x:v>
      </x:c>
      <x:c r="G6" s="19"/>
      <x:c r="H6" s="25" t="n">
        <x:f>IF(COUNT(F6:G6)&gt;0,SUM(F6:G6),"")</x:f>
        <x:v>3400</x:v>
      </x:c>
      <x:c r="I6" s="19"/>
      <x:c r="J6" s="25" t="n">
        <x:f>IF(COUNT(B6,F6)=2,B6-F6,"")</x:f>
        <x:v>485</x:v>
      </x:c>
      <x:c r="K6" s="25" t="str">
        <x:f>IF(COUNT(C6,G6)=2,C6-G6,"")</x:f>
      </x:c>
      <x:c r="L6" s="25" t="n">
        <x:f>IF(COUNT(D6,H6)=2,D6-H6,"")</x:f>
        <x:v>485</x:v>
      </x:c>
      <x:c r="M6" s="25" t="str">
        <x:f>IF(COUNT(E6,I6)=2,E6-I6,"")</x:f>
      </x:c>
      <x:c r="N6" s="13" t="str">
        <x:v>Только оседлое; кочевые события отсутствуют; полный областной итог неизвестен</x:v>
      </x:c>
      <x:c r="O6" s="13" t="str">
        <x:v>Uralskaia-1881-1885(1).md</x:v>
      </x:c>
      <x:c r="P6" s="13" t="str">
        <x:v>разд. I-е / PDF 9; вед. № 3 / PDF 21</x:v>
      </x:c>
      <x:c r="Q6" s="3" t="str">
        <x:v>Г1881</x:v>
      </x:c>
      <x:c r="R6" s="22" t="str">
        <x:v>https://archive.org/download/obzor_uralskoi_oblasti/Обзор Уральской области за 1881 - RAW.pdf</x:v>
      </x:c>
    </x:row>
    <x:row r="7" ht="44" customHeight="1">
      <x:c r="A7" s="38" t="n">
        <x:v>1882</x:v>
      </x:c>
      <x:c r="B7" s="20" t="n">
        <x:v>4423</x:v>
      </x:c>
      <x:c r="C7" s="20"/>
      <x:c r="D7" s="25" t="n">
        <x:f>IF(COUNT(B7:C7)&gt;0,SUM(B7:C7),"")</x:f>
        <x:v>4423</x:v>
      </x:c>
      <x:c r="E7" s="20"/>
      <x:c r="F7" s="20" t="n">
        <x:v>3641</x:v>
      </x:c>
      <x:c r="G7" s="20"/>
      <x:c r="H7" s="25" t="n">
        <x:f>IF(COUNT(F7:G7)&gt;0,SUM(F7:G7),"")</x:f>
        <x:v>3641</x:v>
      </x:c>
      <x:c r="I7" s="20"/>
      <x:c r="J7" s="25" t="n">
        <x:f>IF(COUNT(B7,F7)=2,B7-F7,"")</x:f>
        <x:v>782</x:v>
      </x:c>
      <x:c r="K7" s="25" t="str">
        <x:f>IF(COUNT(C7,G7)=2,C7-G7,"")</x:f>
      </x:c>
      <x:c r="L7" s="25" t="n">
        <x:f>IF(COUNT(D7,H7)=2,D7-H7,"")</x:f>
        <x:v>782</x:v>
      </x:c>
      <x:c r="M7" s="25" t="str">
        <x:f>IF(COUNT(E7,I7)=2,E7-I7,"")</x:f>
      </x:c>
      <x:c r="N7" s="14" t="str">
        <x:v>Только оседлое; кочевые события отсутствуют; полный областной итог неизвестен</x:v>
      </x:c>
      <x:c r="O7" s="14" t="str">
        <x:v>Uralskaia-1881-1885(1).md</x:v>
      </x:c>
      <x:c r="P7" s="14" t="str">
        <x:v>разд. I-е / PDF 9</x:v>
      </x:c>
      <x:c r="Q7" s="12" t="str">
        <x:v>Г1882</x:v>
      </x:c>
      <x:c r="R7" s="24" t="str">
        <x:v>https://archive.org/download/obzor_uralskoi_oblasti/Обзор Уральской области за 1882 - RAW.pdf</x:v>
      </x:c>
    </x:row>
    <x:row r="8" ht="44" customHeight="1">
      <x:c r="A8" s="37" t="n">
        <x:v>1883</x:v>
      </x:c>
      <x:c r="B8" s="19" t="n">
        <x:v>4004</x:v>
      </x:c>
      <x:c r="C8" s="19"/>
      <x:c r="D8" s="25" t="n">
        <x:f>IF(COUNT(B8:C8)&gt;0,SUM(B8:C8),"")</x:f>
        <x:v>4004</x:v>
      </x:c>
      <x:c r="E8" s="19"/>
      <x:c r="F8" s="19" t="n">
        <x:v>2756</x:v>
      </x:c>
      <x:c r="G8" s="19"/>
      <x:c r="H8" s="25" t="n">
        <x:f>IF(COUNT(F8:G8)&gt;0,SUM(F8:G8),"")</x:f>
        <x:v>2756</x:v>
      </x:c>
      <x:c r="I8" s="19"/>
      <x:c r="J8" s="25" t="n">
        <x:f>IF(COUNT(B8,F8)=2,B8-F8,"")</x:f>
        <x:v>1248</x:v>
      </x:c>
      <x:c r="K8" s="25" t="str">
        <x:f>IF(COUNT(C8,G8)=2,C8-G8,"")</x:f>
      </x:c>
      <x:c r="L8" s="25" t="n">
        <x:f>IF(COUNT(D8,H8)=2,D8-H8,"")</x:f>
        <x:v>1248</x:v>
      </x:c>
      <x:c r="M8" s="25" t="str">
        <x:f>IF(COUNT(E8,I8)=2,E8-I8,"")</x:f>
      </x:c>
      <x:c r="N8" s="13" t="str">
        <x:v>Только оседлое; кочевые события отсутствуют; полный областной итог неизвестен</x:v>
      </x:c>
      <x:c r="O8" s="13" t="str">
        <x:v>Uralskaia-1881-1885(1).md</x:v>
      </x:c>
      <x:c r="P8" s="13" t="str">
        <x:v>разд. I-е / PDF 5; вед. № 3 / PDF 17</x:v>
      </x:c>
      <x:c r="Q8" s="3" t="str">
        <x:v>Г1883</x:v>
      </x:c>
      <x:c r="R8" s="22" t="str">
        <x:v>https://archive.org/download/obzor_uralskoi_oblasti/Обзор Уральской области за 1883 - RAW.pdf</x:v>
      </x:c>
    </x:row>
    <x:row r="9" ht="44" customHeight="1">
      <x:c r="A9" s="38" t="n">
        <x:v>1884</x:v>
      </x:c>
      <x:c r="B9" s="20" t="n">
        <x:v>4473</x:v>
      </x:c>
      <x:c r="C9" s="20"/>
      <x:c r="D9" s="25" t="n">
        <x:f>IF(COUNT(B9:C9)&gt;0,SUM(B9:C9),"")</x:f>
        <x:v>4473</x:v>
      </x:c>
      <x:c r="E9" s="20"/>
      <x:c r="F9" s="20" t="n">
        <x:v>2756</x:v>
      </x:c>
      <x:c r="G9" s="20"/>
      <x:c r="H9" s="25" t="n">
        <x:f>IF(COUNT(F9:G9)&gt;0,SUM(F9:G9),"")</x:f>
        <x:v>2756</x:v>
      </x:c>
      <x:c r="I9" s="20"/>
      <x:c r="J9" s="25" t="n">
        <x:f>IF(COUNT(B9,F9)=2,B9-F9,"")</x:f>
        <x:v>1717</x:v>
      </x:c>
      <x:c r="K9" s="25" t="str">
        <x:f>IF(COUNT(C9,G9)=2,C9-G9,"")</x:f>
      </x:c>
      <x:c r="L9" s="25" t="n">
        <x:f>IF(COUNT(D9,H9)=2,D9-H9,"")</x:f>
        <x:v>1717</x:v>
      </x:c>
      <x:c r="M9" s="25" t="str">
        <x:f>IF(COUNT(E9,I9)=2,E9-I9,"")</x:f>
      </x:c>
      <x:c r="N9" s="14" t="str">
        <x:v>Только оседлое; кочевые события отсутствуют; полный областной итог неизвестен</x:v>
      </x:c>
      <x:c r="O9" s="14" t="str">
        <x:v>Uralskaia-1881-1885(1).md</x:v>
      </x:c>
      <x:c r="P9" s="14" t="str">
        <x:v>разд. I-е / PDF 7</x:v>
      </x:c>
      <x:c r="Q9" s="12" t="str">
        <x:v>Г1884</x:v>
      </x:c>
      <x:c r="R9" s="24" t="str">
        <x:v>https://archive.org/download/obzor_uralskoi_oblasti/Обзор Уральской области за 1884 - RAW.pdf</x:v>
      </x:c>
    </x:row>
    <x:row r="10" ht="44" customHeight="1">
      <x:c r="A10" s="37" t="n">
        <x:v>1885</x:v>
      </x:c>
      <x:c r="B10" s="19" t="n">
        <x:v>4295</x:v>
      </x:c>
      <x:c r="C10" s="19"/>
      <x:c r="D10" s="25" t="n">
        <x:f>IF(COUNT(B10:C10)&gt;0,SUM(B10:C10),"")</x:f>
        <x:v>4295</x:v>
      </x:c>
      <x:c r="E10" s="19"/>
      <x:c r="F10" s="19" t="n">
        <x:v>3598</x:v>
      </x:c>
      <x:c r="G10" s="19"/>
      <x:c r="H10" s="25" t="n">
        <x:f>IF(COUNT(F10:G10)&gt;0,SUM(F10:G10),"")</x:f>
        <x:v>3598</x:v>
      </x:c>
      <x:c r="I10" s="19"/>
      <x:c r="J10" s="25" t="n">
        <x:f>IF(COUNT(B10,F10)=2,B10-F10,"")</x:f>
        <x:v>697</x:v>
      </x:c>
      <x:c r="K10" s="25" t="str">
        <x:f>IF(COUNT(C10,G10)=2,C10-G10,"")</x:f>
      </x:c>
      <x:c r="L10" s="25" t="n">
        <x:f>IF(COUNT(D10,H10)=2,D10-H10,"")</x:f>
        <x:v>697</x:v>
      </x:c>
      <x:c r="M10" s="25" t="str">
        <x:f>IF(COUNT(E10,I10)=2,E10-I10,"")</x:f>
      </x:c>
      <x:c r="N10" s="13" t="str">
        <x:v>Только оседлое; кочевые события отсутствуют; полный областной итог неизвестен</x:v>
      </x:c>
      <x:c r="O10" s="13" t="str">
        <x:v>Uralskaia-1881-1885(1).md</x:v>
      </x:c>
      <x:c r="P10" s="13" t="str">
        <x:v>разд. I-е / PDF 7</x:v>
      </x:c>
      <x:c r="Q10" s="3" t="str">
        <x:v>Г1885</x:v>
      </x:c>
      <x:c r="R10" s="22" t="str">
        <x:v>https://archive.org/download/obzor_uralskoi_oblasti/Обзор Уральской области за 1885 - RAW.pdf</x:v>
      </x:c>
    </x:row>
    <x:row r="11" ht="44" customHeight="1">
      <x:c r="A11" s="38" t="n">
        <x:v>1886</x:v>
      </x:c>
      <x:c r="B11" s="20" t="n">
        <x:v>4278</x:v>
      </x:c>
      <x:c r="C11" s="20"/>
      <x:c r="D11" s="25" t="n">
        <x:f>IF(COUNT(B11:C11)&gt;0,SUM(B11:C11),"")</x:f>
        <x:v>4278</x:v>
      </x:c>
      <x:c r="E11" s="20"/>
      <x:c r="F11" s="20" t="n">
        <x:v>2890</x:v>
      </x:c>
      <x:c r="G11" s="20"/>
      <x:c r="H11" s="25" t="n">
        <x:f>IF(COUNT(F11:G11)&gt;0,SUM(F11:G11),"")</x:f>
        <x:v>2890</x:v>
      </x:c>
      <x:c r="I11" s="20"/>
      <x:c r="J11" s="25" t="n">
        <x:f>IF(COUNT(B11,F11)=2,B11-F11,"")</x:f>
        <x:v>1388</x:v>
      </x:c>
      <x:c r="K11" s="25" t="str">
        <x:f>IF(COUNT(C11,G11)=2,C11-G11,"")</x:f>
      </x:c>
      <x:c r="L11" s="25" t="n">
        <x:f>IF(COUNT(D11,H11)=2,D11-H11,"")</x:f>
        <x:v>1388</x:v>
      </x:c>
      <x:c r="M11" s="25" t="str">
        <x:f>IF(COUNT(E11,I11)=2,E11-I11,"")</x:f>
      </x:c>
      <x:c r="N11" s="14" t="str">
        <x:v>Только оседлое; кочевые события отсутствуют; полный областной итог неизвестен</x:v>
      </x:c>
      <x:c r="O11" s="14" t="str">
        <x:v>Uralskaia-1886-1889(1).md</x:v>
      </x:c>
      <x:c r="P11" s="14" t="str">
        <x:v>с. 3 / PDF 7; вед. № 3 / PDF 19</x:v>
      </x:c>
      <x:c r="Q11" s="12" t="str">
        <x:v>Г1886</x:v>
      </x:c>
      <x:c r="R11" s="24" t="str">
        <x:v>https://archive.org/download/obzor_uralskoi_oblasti/Обзор Уральской области за 1886 - RAW.pdf</x:v>
      </x:c>
    </x:row>
    <x:row r="12" ht="44" customHeight="1">
      <x:c r="A12" s="37" t="n">
        <x:v>1887</x:v>
      </x:c>
      <x:c r="B12" s="19" t="n">
        <x:v>4219</x:v>
      </x:c>
      <x:c r="C12" s="19"/>
      <x:c r="D12" s="25" t="n">
        <x:f>IF(COUNT(B12:C12)&gt;0,SUM(B12:C12),"")</x:f>
        <x:v>4219</x:v>
      </x:c>
      <x:c r="E12" s="19"/>
      <x:c r="F12" s="19" t="n">
        <x:v>3053</x:v>
      </x:c>
      <x:c r="G12" s="19"/>
      <x:c r="H12" s="25" t="n">
        <x:f>IF(COUNT(F12:G12)&gt;0,SUM(F12:G12),"")</x:f>
        <x:v>3053</x:v>
      </x:c>
      <x:c r="I12" s="19"/>
      <x:c r="J12" s="25" t="n">
        <x:f>IF(COUNT(B12,F12)=2,B12-F12,"")</x:f>
        <x:v>1166</x:v>
      </x:c>
      <x:c r="K12" s="25" t="str">
        <x:f>IF(COUNT(C12,G12)=2,C12-G12,"")</x:f>
      </x:c>
      <x:c r="L12" s="25" t="n">
        <x:f>IF(COUNT(D12,H12)=2,D12-H12,"")</x:f>
        <x:v>1166</x:v>
      </x:c>
      <x:c r="M12" s="25" t="str">
        <x:f>IF(COUNT(E12,I12)=2,E12-I12,"")</x:f>
      </x:c>
      <x:c r="N12" s="13" t="str">
        <x:v>Только оседлое; кочевые события отсутствуют; полный областной итог неизвестен</x:v>
      </x:c>
      <x:c r="O12" s="13" t="str">
        <x:v>Uralskaia-1886-1889(1).md</x:v>
      </x:c>
      <x:c r="P12" s="13" t="str">
        <x:v>с. 3 / PDF 7; вед. № 3 / PDF 19</x:v>
      </x:c>
      <x:c r="Q12" s="3" t="str">
        <x:v>Г1887</x:v>
      </x:c>
      <x:c r="R12" s="22" t="str">
        <x:v>https://archive.org/download/obzor_uralskoi_oblasti/Обзор Уральской области за 1887 - RAW.pdf</x:v>
      </x:c>
    </x:row>
    <x:row r="13" ht="44" customHeight="1">
      <x:c r="A13" s="38" t="n">
        <x:v>1888</x:v>
      </x:c>
      <x:c r="B13" s="20" t="n">
        <x:v>6921</x:v>
      </x:c>
      <x:c r="C13" s="20"/>
      <x:c r="D13" s="25" t="n">
        <x:f>IF(COUNT(B13:C13)&gt;0,SUM(B13:C13),"")</x:f>
        <x:v>6921</x:v>
      </x:c>
      <x:c r="E13" s="20"/>
      <x:c r="F13" s="20" t="n">
        <x:v>4511</x:v>
      </x:c>
      <x:c r="G13" s="20"/>
      <x:c r="H13" s="25" t="n">
        <x:f>IF(COUNT(F13:G13)&gt;0,SUM(F13:G13),"")</x:f>
        <x:v>4511</x:v>
      </x:c>
      <x:c r="I13" s="20"/>
      <x:c r="J13" s="25" t="n">
        <x:f>IF(COUNT(B13,F13)=2,B13-F13,"")</x:f>
        <x:v>2410</x:v>
      </x:c>
      <x:c r="K13" s="25" t="str">
        <x:f>IF(COUNT(C13,G13)=2,C13-G13,"")</x:f>
      </x:c>
      <x:c r="L13" s="25" t="n">
        <x:f>IF(COUNT(D13,H13)=2,D13-H13,"")</x:f>
        <x:v>2410</x:v>
      </x:c>
      <x:c r="M13" s="25" t="str">
        <x:f>IF(COUNT(E13,I13)=2,E13-I13,"")</x:f>
      </x:c>
      <x:c r="N13" s="14" t="str">
        <x:v>Только оседлое; кочевые события отсутствуют; полный областной итог неизвестен</x:v>
      </x:c>
      <x:c r="O13" s="14" t="str">
        <x:v>Uralskaia-1886-1889(1).md</x:v>
      </x:c>
      <x:c r="P13" s="14" t="str">
        <x:v>с. 3 / PDF 9; вед. № 3 / PDF 21</x:v>
      </x:c>
      <x:c r="Q13" s="12" t="str">
        <x:v>Г1888</x:v>
      </x:c>
      <x:c r="R13" s="24" t="str">
        <x:v>https://archive.org/download/obzor_uralskoi_oblasti/Обзор Уральской области за 1888 - RAW.pdf</x:v>
      </x:c>
    </x:row>
    <x:row r="14" ht="44" customHeight="1">
      <x:c r="A14" s="37" t="n">
        <x:v>1889</x:v>
      </x:c>
      <x:c r="B14" s="19" t="n">
        <x:v>8009</x:v>
      </x:c>
      <x:c r="C14" s="19"/>
      <x:c r="D14" s="25" t="n">
        <x:f>IF(COUNT(B14:C14)&gt;0,SUM(B14:C14),"")</x:f>
        <x:v>8009</x:v>
      </x:c>
      <x:c r="E14" s="19"/>
      <x:c r="F14" s="19" t="n">
        <x:v>5576</x:v>
      </x:c>
      <x:c r="G14" s="19"/>
      <x:c r="H14" s="25" t="n">
        <x:f>IF(COUNT(F14:G14)&gt;0,SUM(F14:G14),"")</x:f>
        <x:v>5576</x:v>
      </x:c>
      <x:c r="I14" s="19"/>
      <x:c r="J14" s="25" t="n">
        <x:f>IF(COUNT(B14,F14)=2,B14-F14,"")</x:f>
        <x:v>2433</x:v>
      </x:c>
      <x:c r="K14" s="25" t="str">
        <x:f>IF(COUNT(C14,G14)=2,C14-G14,"")</x:f>
      </x:c>
      <x:c r="L14" s="25" t="n">
        <x:f>IF(COUNT(D14,H14)=2,D14-H14,"")</x:f>
        <x:v>2433</x:v>
      </x:c>
      <x:c r="M14" s="25" t="str">
        <x:f>IF(COUNT(E14,I14)=2,E14-I14,"")</x:f>
      </x:c>
      <x:c r="N14" s="13" t="str">
        <x:v>Только оседлое; кочевые события отсутствуют; полный областной итог неизвестен</x:v>
      </x:c>
      <x:c r="O14" s="13" t="str">
        <x:v>Uralskaia-1886-1889(1).md</x:v>
      </x:c>
      <x:c r="P14" s="13" t="str">
        <x:v>с. 3–4 / PDF 9–10; вед. № 3 / PDF 20</x:v>
      </x:c>
      <x:c r="Q14" s="3" t="str">
        <x:v>Г1889</x:v>
      </x:c>
      <x:c r="R14" s="22" t="str">
        <x:v>https://archive.org/download/obzor_uralskoi_oblasti/Обзор Уральской области за 1889 - RAW.pdf</x:v>
      </x:c>
    </x:row>
    <x:row r="15" ht="44" customHeight="1">
      <x:c r="A15" s="38" t="n">
        <x:v>1890</x:v>
      </x:c>
      <x:c r="B15" s="20" t="n">
        <x:v>7889</x:v>
      </x:c>
      <x:c r="C15" s="20"/>
      <x:c r="D15" s="25" t="n">
        <x:f>IF(COUNT(B15:C15)&gt;0,SUM(B15:C15),"")</x:f>
        <x:v>7889</x:v>
      </x:c>
      <x:c r="E15" s="20"/>
      <x:c r="F15" s="20" t="n">
        <x:v>4448</x:v>
      </x:c>
      <x:c r="G15" s="20"/>
      <x:c r="H15" s="25" t="n">
        <x:f>IF(COUNT(F15:G15)&gt;0,SUM(F15:G15),"")</x:f>
        <x:v>4448</x:v>
      </x:c>
      <x:c r="I15" s="20"/>
      <x:c r="J15" s="25" t="n">
        <x:f>IF(COUNT(B15,F15)=2,B15-F15,"")</x:f>
        <x:v>3441</x:v>
      </x:c>
      <x:c r="K15" s="25" t="str">
        <x:f>IF(COUNT(C15,G15)=2,C15-G15,"")</x:f>
      </x:c>
      <x:c r="L15" s="25" t="n">
        <x:f>IF(COUNT(D15,H15)=2,D15-H15,"")</x:f>
        <x:v>3441</x:v>
      </x:c>
      <x:c r="M15" s="25" t="str">
        <x:f>IF(COUNT(E15,I15)=2,E15-I15,"")</x:f>
      </x:c>
      <x:c r="N15" s="14" t="str">
        <x:v>Только оседлое; кочевые события отсутствуют; полный областной итог неизвестен</x:v>
      </x:c>
      <x:c r="O15" s="14" t="str">
        <x:v>Uralskaia-1890-1894(1).md</x:v>
      </x:c>
      <x:c r="P15" s="14" t="str">
        <x:v>с. 4 / PDF 10; вед. № 3 / PDF 20</x:v>
      </x:c>
      <x:c r="Q15" s="12" t="str">
        <x:v>Г1890</x:v>
      </x:c>
      <x:c r="R15" s="24" t="str">
        <x:v>https://archive.org/download/obzor_uralskoi_oblasti/Обзор Уральской области за 1890 - RAW.pdf</x:v>
      </x:c>
    </x:row>
    <x:row r="16" ht="44" customHeight="1">
      <x:c r="A16" s="37" t="n">
        <x:v>1891</x:v>
      </x:c>
      <x:c r="B16" s="19" t="n">
        <x:v>7527</x:v>
      </x:c>
      <x:c r="C16" s="19"/>
      <x:c r="D16" s="25" t="n">
        <x:f>IF(COUNT(B16:C16)&gt;0,SUM(B16:C16),"")</x:f>
        <x:v>7527</x:v>
      </x:c>
      <x:c r="E16" s="19"/>
      <x:c r="F16" s="19" t="n">
        <x:v>5682</x:v>
      </x:c>
      <x:c r="G16" s="19"/>
      <x:c r="H16" s="25" t="n">
        <x:f>IF(COUNT(F16:G16)&gt;0,SUM(F16:G16),"")</x:f>
        <x:v>5682</x:v>
      </x:c>
      <x:c r="I16" s="19"/>
      <x:c r="J16" s="25" t="n">
        <x:f>IF(COUNT(B16,F16)=2,B16-F16,"")</x:f>
        <x:v>1845</x:v>
      </x:c>
      <x:c r="K16" s="25" t="str">
        <x:f>IF(COUNT(C16,G16)=2,C16-G16,"")</x:f>
      </x:c>
      <x:c r="L16" s="25" t="n">
        <x:f>IF(COUNT(D16,H16)=2,D16-H16,"")</x:f>
        <x:v>1845</x:v>
      </x:c>
      <x:c r="M16" s="25" t="str">
        <x:f>IF(COUNT(E16,I16)=2,E16-I16,"")</x:f>
      </x:c>
      <x:c r="N16" s="13" t="str">
        <x:v>Только оседлое; кочевые события отсутствуют; полный областной итог неизвестен</x:v>
      </x:c>
      <x:c r="O16" s="13" t="str">
        <x:v>Uralskaia-1890-1894(1).md</x:v>
      </x:c>
      <x:c r="P16" s="13" t="str">
        <x:v>с. 4 / PDF 10; вед. № 3 / PDF 23</x:v>
      </x:c>
      <x:c r="Q16" s="3" t="str">
        <x:v>Г1891</x:v>
      </x:c>
      <x:c r="R16" s="22" t="str">
        <x:v>https://archive.org/download/obzor_uralskoi_oblasti/Обзор Уральской области за 1891 - RAW.pdf</x:v>
      </x:c>
    </x:row>
    <x:row r="17" ht="44" customHeight="1">
      <x:c r="A17" s="38" t="n">
        <x:v>1892</x:v>
      </x:c>
      <x:c r="B17" s="20" t="n">
        <x:v>8473</x:v>
      </x:c>
      <x:c r="C17" s="20"/>
      <x:c r="D17" s="25" t="n">
        <x:f>IF(COUNT(B17:C17)&gt;0,SUM(B17:C17),"")</x:f>
        <x:v>8473</x:v>
      </x:c>
      <x:c r="E17" s="20"/>
      <x:c r="F17" s="20" t="n">
        <x:v>8844</x:v>
      </x:c>
      <x:c r="G17" s="20"/>
      <x:c r="H17" s="25" t="n">
        <x:f>IF(COUNT(F17:G17)&gt;0,SUM(F17:G17),"")</x:f>
        <x:v>8844</x:v>
      </x:c>
      <x:c r="I17" s="20"/>
      <x:c r="J17" s="25" t="n">
        <x:f>IF(COUNT(B17,F17)=2,B17-F17,"")</x:f>
        <x:v>-371</x:v>
      </x:c>
      <x:c r="K17" s="25" t="str">
        <x:f>IF(COUNT(C17,G17)=2,C17-G17,"")</x:f>
      </x:c>
      <x:c r="L17" s="25" t="n">
        <x:f>IF(COUNT(D17,H17)=2,D17-H17,"")</x:f>
        <x:v>-371</x:v>
      </x:c>
      <x:c r="M17" s="25" t="str">
        <x:f>IF(COUNT(E17,I17)=2,E17-I17,"")</x:f>
      </x:c>
      <x:c r="N17" s="14" t="str">
        <x:v>Только оседлое; кочевые события отсутствуют; полный областной итог неизвестен</x:v>
      </x:c>
      <x:c r="O17" s="14" t="str">
        <x:v>Uralskaia-1890-1894(1).md</x:v>
      </x:c>
      <x:c r="P17" s="14" t="str">
        <x:v>с. 4 / PDF 12; вед. № 3 / PDF 25</x:v>
      </x:c>
      <x:c r="Q17" s="12" t="str">
        <x:v>Г1892</x:v>
      </x:c>
      <x:c r="R17" s="24" t="str">
        <x:v>https://archive.org/download/obzor_uralskoi_oblasti/Обзор Уральской области за 1892 - RAW.pdf</x:v>
      </x:c>
    </x:row>
    <x:row r="18" ht="44" customHeight="1">
      <x:c r="A18" s="37" t="n">
        <x:v>1893</x:v>
      </x:c>
      <x:c r="B18" s="19" t="n">
        <x:v>7703</x:v>
      </x:c>
      <x:c r="C18" s="19"/>
      <x:c r="D18" s="25" t="n">
        <x:f>IF(COUNT(B18:C18)&gt;0,SUM(B18:C18),"")</x:f>
        <x:v>7703</x:v>
      </x:c>
      <x:c r="E18" s="19"/>
      <x:c r="F18" s="19" t="n">
        <x:v>5120</x:v>
      </x:c>
      <x:c r="G18" s="19"/>
      <x:c r="H18" s="25" t="n">
        <x:f>IF(COUNT(F18:G18)&gt;0,SUM(F18:G18),"")</x:f>
        <x:v>5120</x:v>
      </x:c>
      <x:c r="I18" s="19"/>
      <x:c r="J18" s="25" t="n">
        <x:f>IF(COUNT(B18,F18)=2,B18-F18,"")</x:f>
        <x:v>2583</x:v>
      </x:c>
      <x:c r="K18" s="25" t="str">
        <x:f>IF(COUNT(C18,G18)=2,C18-G18,"")</x:f>
      </x:c>
      <x:c r="L18" s="25" t="n">
        <x:f>IF(COUNT(D18,H18)=2,D18-H18,"")</x:f>
        <x:v>2583</x:v>
      </x:c>
      <x:c r="M18" s="25" t="str">
        <x:f>IF(COUNT(E18,I18)=2,E18-I18,"")</x:f>
      </x:c>
      <x:c r="N18" s="13" t="str">
        <x:v>Только оседлое; кочевые события отсутствуют; полный областной итог неизвестен</x:v>
      </x:c>
      <x:c r="O18" s="13" t="str">
        <x:v>Uralskaia-1890-1894(1).md</x:v>
      </x:c>
      <x:c r="P18" s="13" t="str">
        <x:v>с. 4 / PDF 12; вед. № 3 / PDF 25</x:v>
      </x:c>
      <x:c r="Q18" s="3" t="str">
        <x:v>Г1893</x:v>
      </x:c>
      <x:c r="R18" s="22" t="str">
        <x:v>https://archive.org/download/obzor_uralskoi_oblasti/Обзор Уральской области за 1893 - RAW.pdf</x:v>
      </x:c>
    </x:row>
    <x:row r="19" ht="44" customHeight="1">
      <x:c r="A19" s="38" t="n">
        <x:v>1894</x:v>
      </x:c>
      <x:c r="B19" s="20" t="n">
        <x:v>7837</x:v>
      </x:c>
      <x:c r="C19" s="20"/>
      <x:c r="D19" s="25" t="n">
        <x:f>IF(COUNT(B19:C19)&gt;0,SUM(B19:C19),"")</x:f>
        <x:v>7837</x:v>
      </x:c>
      <x:c r="E19" s="20"/>
      <x:c r="F19" s="20" t="n">
        <x:v>5344</x:v>
      </x:c>
      <x:c r="G19" s="20"/>
      <x:c r="H19" s="25" t="n">
        <x:f>IF(COUNT(F19:G19)&gt;0,SUM(F19:G19),"")</x:f>
        <x:v>5344</x:v>
      </x:c>
      <x:c r="I19" s="20"/>
      <x:c r="J19" s="25" t="n">
        <x:f>IF(COUNT(B19,F19)=2,B19-F19,"")</x:f>
        <x:v>2493</x:v>
      </x:c>
      <x:c r="K19" s="25" t="str">
        <x:f>IF(COUNT(C19,G19)=2,C19-G19,"")</x:f>
      </x:c>
      <x:c r="L19" s="25" t="n">
        <x:f>IF(COUNT(D19,H19)=2,D19-H19,"")</x:f>
        <x:v>2493</x:v>
      </x:c>
      <x:c r="M19" s="25" t="str">
        <x:f>IF(COUNT(E19,I19)=2,E19-I19,"")</x:f>
      </x:c>
      <x:c r="N19" s="14" t="str">
        <x:v>Только оседлое; кочевые события отсутствуют; полный областной итог неизвестен</x:v>
      </x:c>
      <x:c r="O19" s="14" t="str">
        <x:v>Uralskaia-1890-1894(1).md</x:v>
      </x:c>
      <x:c r="P19" s="14" t="str">
        <x:v>с. 4 / PDF 12; вед. № 3 / PDF 27</x:v>
      </x:c>
      <x:c r="Q19" s="12" t="str">
        <x:v>Г1894</x:v>
      </x:c>
      <x:c r="R19" s="24" t="str">
        <x:v>https://archive.org/download/obzor_uralskoi_oblasti/Обзор Уральской области за 1894 - RAW.pdf</x:v>
      </x:c>
    </x:row>
    <x:row r="20" ht="44" customHeight="1">
      <x:c r="A20" s="37" t="n">
        <x:v>1895</x:v>
      </x:c>
      <x:c r="B20" s="19" t="n">
        <x:v>9110</x:v>
      </x:c>
      <x:c r="C20" s="19"/>
      <x:c r="D20" s="25" t="n">
        <x:f>IF(COUNT(B20:C20)&gt;0,SUM(B20:C20),"")</x:f>
        <x:v>9110</x:v>
      </x:c>
      <x:c r="E20" s="19"/>
      <x:c r="F20" s="19" t="n">
        <x:v>5369</x:v>
      </x:c>
      <x:c r="G20" s="19"/>
      <x:c r="H20" s="25" t="n">
        <x:f>IF(COUNT(F20:G20)&gt;0,SUM(F20:G20),"")</x:f>
        <x:v>5369</x:v>
      </x:c>
      <x:c r="I20" s="19"/>
      <x:c r="J20" s="25" t="n">
        <x:f>IF(COUNT(B20,F20)=2,B20-F20,"")</x:f>
        <x:v>3741</x:v>
      </x:c>
      <x:c r="K20" s="25" t="str">
        <x:f>IF(COUNT(C20,G20)=2,C20-G20,"")</x:f>
      </x:c>
      <x:c r="L20" s="25" t="n">
        <x:f>IF(COUNT(D20,H20)=2,D20-H20,"")</x:f>
        <x:v>3741</x:v>
      </x:c>
      <x:c r="M20" s="25" t="str">
        <x:f>IF(COUNT(E20,I20)=2,E20-I20,"")</x:f>
      </x:c>
      <x:c r="N20" s="13" t="str">
        <x:v>Только оседлое; кочевые события отсутствуют; полный областной итог неизвестен</x:v>
      </x:c>
      <x:c r="O20" s="13" t="str">
        <x:v>Uralskaia-1895-1899(1).md</x:v>
      </x:c>
      <x:c r="P20" s="13" t="str">
        <x:v>с. 4 / PDF 5; вед. № 3 / PDF 17</x:v>
      </x:c>
      <x:c r="Q20" s="3" t="str">
        <x:v>Г1895</x:v>
      </x:c>
      <x:c r="R20" s="22" t="str">
        <x:v>https://archive.org/download/obzor_uralskoi_oblasti/Обзор Уральской области за 1895 - RAW.pdf</x:v>
      </x:c>
    </x:row>
    <x:row r="21" ht="44" customHeight="1">
      <x:c r="A21" s="38" t="n">
        <x:v>1896</x:v>
      </x:c>
      <x:c r="B21" s="20" t="n">
        <x:v>10270</x:v>
      </x:c>
      <x:c r="C21" s="20"/>
      <x:c r="D21" s="25" t="n">
        <x:f>IF(COUNT(B21:C21)&gt;0,SUM(B21:C21),"")</x:f>
        <x:v>10270</x:v>
      </x:c>
      <x:c r="E21" s="20"/>
      <x:c r="F21" s="20" t="n">
        <x:v>5606</x:v>
      </x:c>
      <x:c r="G21" s="20"/>
      <x:c r="H21" s="25" t="n">
        <x:f>IF(COUNT(F21:G21)&gt;0,SUM(F21:G21),"")</x:f>
        <x:v>5606</x:v>
      </x:c>
      <x:c r="I21" s="20"/>
      <x:c r="J21" s="25" t="n">
        <x:f>IF(COUNT(B21,F21)=2,B21-F21,"")</x:f>
        <x:v>4664</x:v>
      </x:c>
      <x:c r="K21" s="25" t="str">
        <x:f>IF(COUNT(C21,G21)=2,C21-G21,"")</x:f>
      </x:c>
      <x:c r="L21" s="25" t="n">
        <x:f>IF(COUNT(D21,H21)=2,D21-H21,"")</x:f>
        <x:v>4664</x:v>
      </x:c>
      <x:c r="M21" s="25" t="str">
        <x:f>IF(COUNT(E21,I21)=2,E21-I21,"")</x:f>
      </x:c>
      <x:c r="N21" s="14" t="str">
        <x:v>Только оседлое; кочевые события отсутствуют; полный областной итог неизвестен</x:v>
      </x:c>
      <x:c r="O21" s="14" t="str">
        <x:v>Uralskaia-1895-1899(1).md</x:v>
      </x:c>
      <x:c r="P21" s="14" t="str">
        <x:v>вед. № 6 / PDF 24; текст с. 5 / PDF 6</x:v>
      </x:c>
      <x:c r="Q21" s="12" t="str">
        <x:v>Г1896</x:v>
      </x:c>
      <x:c r="R21" s="24" t="str">
        <x:v>https://archive.org/download/obzor_uralskoi_oblasti/Обзор Уральской области за 1896 - RAW.pdf</x:v>
      </x:c>
    </x:row>
    <x:row r="22" ht="44" customHeight="1">
      <x:c r="A22" s="37" t="n">
        <x:v>1897</x:v>
      </x:c>
      <x:c r="B22" s="19" t="n">
        <x:v>9130</x:v>
      </x:c>
      <x:c r="C22" s="19" t="n">
        <x:v>6636</x:v>
      </x:c>
      <x:c r="D22" s="25" t="n">
        <x:f>IF(COUNT(B22:C22)&gt;0,SUM(B22:C22),"")</x:f>
        <x:v>15766</x:v>
      </x:c>
      <x:c r="E22" s="19"/>
      <x:c r="F22" s="19" t="n">
        <x:v>4231</x:v>
      </x:c>
      <x:c r="G22" s="19" t="n">
        <x:v>3390</x:v>
      </x:c>
      <x:c r="H22" s="25" t="n">
        <x:f>IF(COUNT(F22:G22)&gt;0,SUM(F22:G22),"")</x:f>
        <x:v>7621</x:v>
      </x:c>
      <x:c r="I22" s="19"/>
      <x:c r="J22" s="25" t="n">
        <x:f>IF(COUNT(B22,F22)=2,B22-F22,"")</x:f>
        <x:v>4899</x:v>
      </x:c>
      <x:c r="K22" s="25" t="n">
        <x:f>IF(COUNT(C22,G22)=2,C22-G22,"")</x:f>
        <x:v>3246</x:v>
      </x:c>
      <x:c r="L22" s="25" t="n">
        <x:f>IF(COUNT(D22,H22)=2,D22-H22,"")</x:f>
        <x:v>8145</x:v>
      </x:c>
      <x:c r="M22" s="25" t="str">
        <x:f>IF(COUNT(E22,I22)=2,E22-I22,"")</x:f>
      </x:c>
      <x:c r="N22" s="26" t="str">
        <x:v>Оседлое и кочевое Уральского/Калмыковского уездов; два южных уезда отсутствуют</x:v>
      </x:c>
      <x:c r="O22" s="13" t="str">
        <x:v>Uralskaia-1895-1899(1).md</x:v>
      </x:c>
      <x:c r="P22" s="13" t="str">
        <x:v>с. 16 / PDF 24; вед. № 6 / PDF 54</x:v>
      </x:c>
      <x:c r="Q22" s="3" t="str">
        <x:v>Г1897</x:v>
      </x:c>
      <x:c r="R22" s="22" t="str">
        <x:v>https://archive.org/download/obzor_uralskoi_oblasti/Обзор Уральской области за 1897 - RAW.pdf</x:v>
      </x:c>
    </x:row>
    <x:row r="23" ht="44" customHeight="1">
      <x:c r="A23" s="38" t="n">
        <x:v>1898</x:v>
      </x:c>
      <x:c r="B23" s="20" t="n">
        <x:v>9345</x:v>
      </x:c>
      <x:c r="C23" s="20" t="n">
        <x:v>8592</x:v>
      </x:c>
      <x:c r="D23" s="25" t="n">
        <x:f>IF(COUNT(B23:C23)&gt;0,SUM(B23:C23),"")</x:f>
        <x:v>17937</x:v>
      </x:c>
      <x:c r="E23" s="20"/>
      <x:c r="F23" s="20" t="n">
        <x:v>5020</x:v>
      </x:c>
      <x:c r="G23" s="20" t="n">
        <x:v>4402</x:v>
      </x:c>
      <x:c r="H23" s="25" t="n">
        <x:f>IF(COUNT(F23:G23)&gt;0,SUM(F23:G23),"")</x:f>
        <x:v>9422</x:v>
      </x:c>
      <x:c r="I23" s="20"/>
      <x:c r="J23" s="25" t="n">
        <x:f>IF(COUNT(B23,F23)=2,B23-F23,"")</x:f>
        <x:v>4325</x:v>
      </x:c>
      <x:c r="K23" s="25" t="n">
        <x:f>IF(COUNT(C23,G23)=2,C23-G23,"")</x:f>
        <x:v>4190</x:v>
      </x:c>
      <x:c r="L23" s="25" t="n">
        <x:f>IF(COUNT(D23,H23)=2,D23-H23,"")</x:f>
        <x:v>8515</x:v>
      </x:c>
      <x:c r="M23" s="25" t="str">
        <x:f>IF(COUNT(E23,I23)=2,E23-I23,"")</x:f>
      </x:c>
      <x:c r="N23" s="26" t="str">
        <x:v>Оседлое и кочевое Уральского/Калмыковского уездов; два южных уезда отсутствуют</x:v>
      </x:c>
      <x:c r="O23" s="14" t="str">
        <x:v>Uralskaia-1895-1899(1).md</x:v>
      </x:c>
      <x:c r="P23" s="14" t="str">
        <x:v>с. 14 / PDF 22; вед. № 6 / PDF 54</x:v>
      </x:c>
      <x:c r="Q23" s="12" t="str">
        <x:v>Г1898</x:v>
      </x:c>
      <x:c r="R23" s="24" t="str">
        <x:v>https://archive.org/download/obzor_uralskoi_oblasti/Обзор Уральской области за 1898 - RAW.pdf</x:v>
      </x:c>
    </x:row>
    <x:row r="24" ht="44" customHeight="1">
      <x:c r="A24" s="37" t="n">
        <x:v>1899</x:v>
      </x:c>
      <x:c r="B24" s="19" t="n">
        <x:v>9209</x:v>
      </x:c>
      <x:c r="C24" s="19" t="n">
        <x:v>12223</x:v>
      </x:c>
      <x:c r="D24" s="25" t="n">
        <x:f>IF(COUNT(B24:C24)&gt;0,SUM(B24:C24),"")</x:f>
        <x:v>21432</x:v>
      </x:c>
      <x:c r="E24" s="19" t="n">
        <x:v>21432</x:v>
      </x:c>
      <x:c r="F24" s="19" t="n">
        <x:v>6060</x:v>
      </x:c>
      <x:c r="G24" s="19" t="n">
        <x:v>9302</x:v>
      </x:c>
      <x:c r="H24" s="25" t="n">
        <x:f>IF(COUNT(F24:G24)&gt;0,SUM(F24:G24),"")</x:f>
        <x:v>15362</x:v>
      </x:c>
      <x:c r="I24" s="19" t="n">
        <x:v>15362</x:v>
      </x:c>
      <x:c r="J24" s="25" t="n">
        <x:f>IF(COUNT(B24,F24)=2,B24-F24,"")</x:f>
        <x:v>3149</x:v>
      </x:c>
      <x:c r="K24" s="25" t="n">
        <x:f>IF(COUNT(C24,G24)=2,C24-G24,"")</x:f>
        <x:v>2921</x:v>
      </x:c>
      <x:c r="L24" s="25" t="n">
        <x:f>IF(COUNT(D24,H24)=2,D24-H24,"")</x:f>
        <x:v>6070</x:v>
      </x:c>
      <x:c r="M24" s="25" t="n">
        <x:f>IF(COUNT(E24,I24)=2,E24-I24,"")</x:f>
        <x:v>6070</x:v>
      </x:c>
      <x:c r="N24" s="13" t="str">
        <x:v>Все четыре уезда; полнота регистрации внутри групп не измерена</x:v>
      </x:c>
      <x:c r="O24" s="13" t="str">
        <x:v>Uralskaia-1895-1899(1).md</x:v>
      </x:c>
      <x:c r="P24" s="13" t="str">
        <x:v>с. 16 / PDF 24; вед. № 6 / PDF 56; copy 2 PDF 18, 45</x:v>
      </x:c>
      <x:c r="Q24" s="3" t="str">
        <x:v>Г1899</x:v>
      </x:c>
      <x:c r="R24" s="22" t="str">
        <x:v>https://archive.org/download/obzor_uralskoi_oblasti/Обзор Уральской области за 1899 - RAW.pdf</x:v>
      </x:c>
    </x:row>
    <x:row r="25" ht="44" customHeight="1">
      <x:c r="A25" s="38" t="n">
        <x:v>1900</x:v>
      </x:c>
      <x:c r="B25" s="20" t="n">
        <x:v>8886</x:v>
      </x:c>
      <x:c r="C25" s="20" t="n">
        <x:v>12396</x:v>
      </x:c>
      <x:c r="D25" s="25" t="n">
        <x:f>IF(COUNT(B25:C25)&gt;0,SUM(B25:C25),"")</x:f>
        <x:v>21282</x:v>
      </x:c>
      <x:c r="E25" s="20" t="n">
        <x:v>21282</x:v>
      </x:c>
      <x:c r="F25" s="20" t="n">
        <x:v>4860</x:v>
      </x:c>
      <x:c r="G25" s="20" t="n">
        <x:v>8401</x:v>
      </x:c>
      <x:c r="H25" s="25" t="n">
        <x:f>IF(COUNT(F25:G25)&gt;0,SUM(F25:G25),"")</x:f>
        <x:v>13261</x:v>
      </x:c>
      <x:c r="I25" s="20" t="n">
        <x:v>13261</x:v>
      </x:c>
      <x:c r="J25" s="25" t="n">
        <x:f>IF(COUNT(B25,F25)=2,B25-F25,"")</x:f>
        <x:v>4026</x:v>
      </x:c>
      <x:c r="K25" s="25" t="n">
        <x:f>IF(COUNT(C25,G25)=2,C25-G25,"")</x:f>
        <x:v>3995</x:v>
      </x:c>
      <x:c r="L25" s="25" t="n">
        <x:f>IF(COUNT(D25,H25)=2,D25-H25,"")</x:f>
        <x:v>8021</x:v>
      </x:c>
      <x:c r="M25" s="25" t="n">
        <x:f>IF(COUNT(E25,I25)=2,E25-I25,"")</x:f>
        <x:v>8021</x:v>
      </x:c>
      <x:c r="N25" s="14" t="str">
        <x:v>Все четыре уезда; полнота регистрации внутри групп не измерена</x:v>
      </x:c>
      <x:c r="O25" s="14" t="str">
        <x:v>Uralskaia-1900-1904(1).md</x:v>
      </x:c>
      <x:c r="P25" s="14" t="str">
        <x:v>с. 16 / PDF 24; вед. № 6 / PDF 56; copy 2 PDF 47</x:v>
      </x:c>
      <x:c r="Q25" s="12" t="str">
        <x:v>Г1900</x:v>
      </x:c>
      <x:c r="R25" s="24" t="str">
        <x:v>https://archive.org/download/obzor_uralskoi_oblasti/Обзор Уральской области за 1900 - RAW.pdf</x:v>
      </x:c>
    </x:row>
    <x:row r="26" ht="44" customHeight="1">
      <x:c r="A26" s="37" t="n">
        <x:v>1901</x:v>
      </x:c>
      <x:c r="B26" s="19" t="n">
        <x:v>7480</x:v>
      </x:c>
      <x:c r="C26" s="19" t="n">
        <x:v>12817</x:v>
      </x:c>
      <x:c r="D26" s="25" t="n">
        <x:f>IF(COUNT(B26:C26)&gt;0,SUM(B26:C26),"")</x:f>
        <x:v>20297</x:v>
      </x:c>
      <x:c r="E26" s="19" t="n">
        <x:v>20297</x:v>
      </x:c>
      <x:c r="F26" s="19" t="n">
        <x:v>3277</x:v>
      </x:c>
      <x:c r="G26" s="19" t="n">
        <x:v>7231</x:v>
      </x:c>
      <x:c r="H26" s="25" t="n">
        <x:f>IF(COUNT(F26:G26)&gt;0,SUM(F26:G26),"")</x:f>
        <x:v>10508</x:v>
      </x:c>
      <x:c r="I26" s="19" t="n">
        <x:v>10508</x:v>
      </x:c>
      <x:c r="J26" s="25" t="n">
        <x:f>IF(COUNT(B26,F26)=2,B26-F26,"")</x:f>
        <x:v>4203</x:v>
      </x:c>
      <x:c r="K26" s="25" t="n">
        <x:f>IF(COUNT(C26,G26)=2,C26-G26,"")</x:f>
        <x:v>5586</x:v>
      </x:c>
      <x:c r="L26" s="25" t="n">
        <x:f>IF(COUNT(D26,H26)=2,D26-H26,"")</x:f>
        <x:v>9789</x:v>
      </x:c>
      <x:c r="M26" s="25" t="n">
        <x:f>IF(COUNT(E26,I26)=2,E26-I26,"")</x:f>
        <x:v>9789</x:v>
      </x:c>
      <x:c r="N26" s="13" t="str">
        <x:v>Все четыре уезда; полнота регистрации внутри групп не измерена</x:v>
      </x:c>
      <x:c r="O26" s="13" t="str">
        <x:v>Uralskaia-1900-1904(1).md</x:v>
      </x:c>
      <x:c r="P26" s="13" t="str">
        <x:v>с. 13–14 / PDF 21–22; вед. № 6 / PDF 54; copy 2 PDF 44</x:v>
      </x:c>
      <x:c r="Q26" s="3" t="str">
        <x:v>Г1901</x:v>
      </x:c>
      <x:c r="R26" s="22" t="str">
        <x:v>https://archive.org/download/obzor_uralskoi_oblasti/Обзор Уральской области за 1901 - RAW.pdf</x:v>
      </x:c>
    </x:row>
    <x:row r="27" ht="44" customHeight="1">
      <x:c r="A27" s="38" t="n">
        <x:v>1902</x:v>
      </x:c>
      <x:c r="B27" s="20" t="n">
        <x:v>7840</x:v>
      </x:c>
      <x:c r="C27" s="20" t="n">
        <x:v>12270</x:v>
      </x:c>
      <x:c r="D27" s="25" t="n">
        <x:f>IF(COUNT(B27:C27)&gt;0,SUM(B27:C27),"")</x:f>
        <x:v>20110</x:v>
      </x:c>
      <x:c r="E27" s="20" t="n">
        <x:v>20110</x:v>
      </x:c>
      <x:c r="F27" s="20" t="n">
        <x:v>4806</x:v>
      </x:c>
      <x:c r="G27" s="20" t="n">
        <x:v>8403</x:v>
      </x:c>
      <x:c r="H27" s="25" t="n">
        <x:f>IF(COUNT(F27:G27)&gt;0,SUM(F27:G27),"")</x:f>
        <x:v>13209</x:v>
      </x:c>
      <x:c r="I27" s="20" t="n">
        <x:v>13209</x:v>
      </x:c>
      <x:c r="J27" s="25" t="n">
        <x:f>IF(COUNT(B27,F27)=2,B27-F27,"")</x:f>
        <x:v>3034</x:v>
      </x:c>
      <x:c r="K27" s="25" t="n">
        <x:f>IF(COUNT(C27,G27)=2,C27-G27,"")</x:f>
        <x:v>3867</x:v>
      </x:c>
      <x:c r="L27" s="25" t="n">
        <x:f>IF(COUNT(D27,H27)=2,D27-H27,"")</x:f>
        <x:v>6901</x:v>
      </x:c>
      <x:c r="M27" s="25" t="n">
        <x:f>IF(COUNT(E27,I27)=2,E27-I27,"")</x:f>
        <x:v>6901</x:v>
      </x:c>
      <x:c r="N27" s="14" t="str">
        <x:v>Все четыре уезда; полнота регистрации внутри групп не измерена</x:v>
      </x:c>
      <x:c r="O27" s="14" t="str">
        <x:v>Uralskaia-1900-1904(1).md</x:v>
      </x:c>
      <x:c r="P27" s="14" t="str">
        <x:v>с. 14 / PDF 22; вед. № 6 / PDF 50; copy 2 PDF 58</x:v>
      </x:c>
      <x:c r="Q27" s="12" t="str">
        <x:v>Г1902</x:v>
      </x:c>
      <x:c r="R27" s="24" t="str">
        <x:v>https://archive.org/download/obzor_uralskoi_oblasti/Обзор Уральской области за 1902 - RAW.pdf</x:v>
      </x:c>
    </x:row>
    <x:row r="28" ht="44" customHeight="1">
      <x:c r="A28" s="37" t="n">
        <x:v>1903</x:v>
      </x:c>
      <x:c r="B28" s="19" t="n">
        <x:v>9054</x:v>
      </x:c>
      <x:c r="C28" s="19" t="n">
        <x:v>12349</x:v>
      </x:c>
      <x:c r="D28" s="25" t="n">
        <x:f>IF(COUNT(B28:C28)&gt;0,SUM(B28:C28),"")</x:f>
        <x:v>21403</x:v>
      </x:c>
      <x:c r="E28" s="19" t="n">
        <x:v>21403</x:v>
      </x:c>
      <x:c r="F28" s="19" t="n">
        <x:v>4103</x:v>
      </x:c>
      <x:c r="G28" s="19" t="n">
        <x:v>7269</x:v>
      </x:c>
      <x:c r="H28" s="25" t="n">
        <x:f>IF(COUNT(F28:G28)&gt;0,SUM(F28:G28),"")</x:f>
        <x:v>11372</x:v>
      </x:c>
      <x:c r="I28" s="19" t="n">
        <x:v>11372</x:v>
      </x:c>
      <x:c r="J28" s="25" t="n">
        <x:f>IF(COUNT(B28,F28)=2,B28-F28,"")</x:f>
        <x:v>4951</x:v>
      </x:c>
      <x:c r="K28" s="25" t="n">
        <x:f>IF(COUNT(C28,G28)=2,C28-G28,"")</x:f>
        <x:v>5080</x:v>
      </x:c>
      <x:c r="L28" s="25" t="n">
        <x:f>IF(COUNT(D28,H28)=2,D28-H28,"")</x:f>
        <x:v>10031</x:v>
      </x:c>
      <x:c r="M28" s="25" t="n">
        <x:f>IF(COUNT(E28,I28)=2,E28-I28,"")</x:f>
        <x:v>10031</x:v>
      </x:c>
      <x:c r="N28" s="13" t="str">
        <x:v>Все четыре уезда; полнота регистрации внутри групп не измерена</x:v>
      </x:c>
      <x:c r="O28" s="13" t="str">
        <x:v>Uralskaia-1900-1904(1).md</x:v>
      </x:c>
      <x:c r="P28" s="13" t="str">
        <x:v>с. 17 / PDF 25; вед. № 6 / PDF 60; copy 2 PDF 47</x:v>
      </x:c>
      <x:c r="Q28" s="3" t="str">
        <x:v>Г1903</x:v>
      </x:c>
      <x:c r="R28" s="22" t="str">
        <x:v>https://archive.org/download/obzor_uralskoi_oblasti/Обзор Уральской области за 1903 - RAW.pdf</x:v>
      </x:c>
    </x:row>
    <x:row r="29" ht="44" customHeight="1">
      <x:c r="A29" s="38" t="n">
        <x:v>1904</x:v>
      </x:c>
      <x:c r="B29" s="20" t="n">
        <x:v>9439</x:v>
      </x:c>
      <x:c r="C29" s="20" t="n">
        <x:v>10806</x:v>
      </x:c>
      <x:c r="D29" s="25" t="n">
        <x:f>IF(COUNT(B29:C29)&gt;0,SUM(B29:C29),"")</x:f>
        <x:v>20245</x:v>
      </x:c>
      <x:c r="E29" s="20" t="n">
        <x:v>20245</x:v>
      </x:c>
      <x:c r="F29" s="20" t="n">
        <x:v>7270</x:v>
      </x:c>
      <x:c r="G29" s="20" t="n">
        <x:v>7841</x:v>
      </x:c>
      <x:c r="H29" s="25" t="n">
        <x:f>IF(COUNT(F29:G29)&gt;0,SUM(F29:G29),"")</x:f>
        <x:v>15111</x:v>
      </x:c>
      <x:c r="I29" s="20" t="n">
        <x:v>15111</x:v>
      </x:c>
      <x:c r="J29" s="25" t="n">
        <x:f>IF(COUNT(B29,F29)=2,B29-F29,"")</x:f>
        <x:v>2169</x:v>
      </x:c>
      <x:c r="K29" s="25" t="n">
        <x:f>IF(COUNT(C29,G29)=2,C29-G29,"")</x:f>
        <x:v>2965</x:v>
      </x:c>
      <x:c r="L29" s="25" t="n">
        <x:f>IF(COUNT(D29,H29)=2,D29-H29,"")</x:f>
        <x:v>5134</x:v>
      </x:c>
      <x:c r="M29" s="25" t="n">
        <x:f>IF(COUNT(E29,I29)=2,E29-I29,"")</x:f>
        <x:v>5134</x:v>
      </x:c>
      <x:c r="N29" s="14" t="str">
        <x:v>Все четыре уезда; полнота регистрации внутри групп не измерена</x:v>
      </x:c>
      <x:c r="O29" s="14" t="str">
        <x:v>Uralskaia-1900-1904(1).md</x:v>
      </x:c>
      <x:c r="P29" s="14" t="str">
        <x:v>с. 14–16 / PDF 22–24; вед. № 6 / PDF 49; copy 2 PDF 45</x:v>
      </x:c>
      <x:c r="Q29" s="12" t="str">
        <x:v>Г1904</x:v>
      </x:c>
      <x:c r="R29" s="24" t="str">
        <x:v>https://archive.org/download/obzor_uralskoi_oblasti/Обзор Уральской области за 1904 - RAW.pdf</x:v>
      </x:c>
    </x:row>
    <x:row r="30" ht="44" customHeight="1">
      <x:c r="A30" s="37" t="n">
        <x:v>1905</x:v>
      </x:c>
      <x:c r="B30" s="19" t="n">
        <x:v>9350</x:v>
      </x:c>
      <x:c r="C30" s="19" t="n">
        <x:v>10624</x:v>
      </x:c>
      <x:c r="D30" s="25" t="n">
        <x:f>IF(COUNT(B30:C30)&gt;0,SUM(B30:C30),"")</x:f>
        <x:v>19974</x:v>
      </x:c>
      <x:c r="E30" s="19" t="n">
        <x:v>19974</x:v>
      </x:c>
      <x:c r="F30" s="19" t="n">
        <x:v>5617</x:v>
      </x:c>
      <x:c r="G30" s="19" t="n">
        <x:v>9455</x:v>
      </x:c>
      <x:c r="H30" s="25" t="n">
        <x:f>IF(COUNT(F30:G30)&gt;0,SUM(F30:G30),"")</x:f>
        <x:v>15072</x:v>
      </x:c>
      <x:c r="I30" s="19" t="n">
        <x:v>15072</x:v>
      </x:c>
      <x:c r="J30" s="25" t="n">
        <x:f>IF(COUNT(B30,F30)=2,B30-F30,"")</x:f>
        <x:v>3733</x:v>
      </x:c>
      <x:c r="K30" s="25" t="n">
        <x:f>IF(COUNT(C30,G30)=2,C30-G30,"")</x:f>
        <x:v>1169</x:v>
      </x:c>
      <x:c r="L30" s="25" t="n">
        <x:f>IF(COUNT(D30,H30)=2,D30-H30,"")</x:f>
        <x:v>4902</x:v>
      </x:c>
      <x:c r="M30" s="25" t="n">
        <x:f>IF(COUNT(E30,I30)=2,E30-I30,"")</x:f>
        <x:v>4902</x:v>
      </x:c>
      <x:c r="N30" s="13" t="str">
        <x:v>Все четыре уезда; полнота регистрации внутри групп не измерена</x:v>
      </x:c>
      <x:c r="O30" s="13" t="str">
        <x:v>Uralskaia-1905-1906(1).md</x:v>
      </x:c>
      <x:c r="P30" s="13" t="str">
        <x:v>с. 13 / PDF 21; вед. № 6 / PDF 47; copy 2 PDF 42</x:v>
      </x:c>
      <x:c r="Q30" s="3" t="str">
        <x:v>Г1905</x:v>
      </x:c>
      <x:c r="R30" s="22" t="str">
        <x:v>https://archive.org/download/obzor_uralskoi_oblasti/Обзор Уральской области за 1905 - RAW.pdf</x:v>
      </x:c>
    </x:row>
    <x:row r="31" ht="44" customHeight="1">
      <x:c r="A31" s="38" t="n">
        <x:v>1906</x:v>
      </x:c>
      <x:c r="B31" s="20" t="n">
        <x:v>8983</x:v>
      </x:c>
      <x:c r="C31" s="20" t="n">
        <x:v>10988</x:v>
      </x:c>
      <x:c r="D31" s="25" t="n">
        <x:f>IF(COUNT(B31:C31)&gt;0,SUM(B31:C31),"")</x:f>
        <x:v>19971</x:v>
      </x:c>
      <x:c r="E31" s="20" t="n">
        <x:v>19971</x:v>
      </x:c>
      <x:c r="F31" s="20" t="n">
        <x:v>4409</x:v>
      </x:c>
      <x:c r="G31" s="20" t="n">
        <x:v>8415</x:v>
      </x:c>
      <x:c r="H31" s="25" t="n">
        <x:f>IF(COUNT(F31:G31)&gt;0,SUM(F31:G31),"")</x:f>
        <x:v>12824</x:v>
      </x:c>
      <x:c r="I31" s="20" t="n">
        <x:v>12824</x:v>
      </x:c>
      <x:c r="J31" s="25" t="n">
        <x:f>IF(COUNT(B31,F31)=2,B31-F31,"")</x:f>
        <x:v>4574</x:v>
      </x:c>
      <x:c r="K31" s="25" t="n">
        <x:f>IF(COUNT(C31,G31)=2,C31-G31,"")</x:f>
        <x:v>2573</x:v>
      </x:c>
      <x:c r="L31" s="25" t="n">
        <x:f>IF(COUNT(D31,H31)=2,D31-H31,"")</x:f>
        <x:v>7147</x:v>
      </x:c>
      <x:c r="M31" s="25" t="n">
        <x:f>IF(COUNT(E31,I31)=2,E31-I31,"")</x:f>
        <x:v>7147</x:v>
      </x:c>
      <x:c r="N31" s="14" t="str">
        <x:v>Все четыре уезда; полнота регистрации внутри групп не измерена</x:v>
      </x:c>
      <x:c r="O31" s="14" t="str">
        <x:v>Uralskaia-1905-1906(1).md</x:v>
      </x:c>
      <x:c r="P31" s="14" t="str">
        <x:v>вед. № 6 / PDF 45; copy 2 PDF 40; текст с. 14 / PDF 22</x:v>
      </x:c>
      <x:c r="Q31" s="12" t="str">
        <x:v>Г1906</x:v>
      </x:c>
      <x:c r="R31" s="24" t="str">
        <x:v>https://archive.org/download/obzor_uralskoi_oblasti/Обзор Уральской области за 1906 - RAW.pdf</x:v>
      </x:c>
    </x:row>
    <x:row r="32" ht="44" customHeight="1">
      <x:c r="A32" s="37" t="n">
        <x:v>1907</x:v>
      </x:c>
      <x:c r="B32" s="19" t="n">
        <x:v>10110</x:v>
      </x:c>
      <x:c r="C32" s="19" t="n">
        <x:v>9029</x:v>
      </x:c>
      <x:c r="D32" s="25" t="n">
        <x:f>IF(COUNT(B32:C32)&gt;0,SUM(B32:C32),"")</x:f>
        <x:v>19139</x:v>
      </x:c>
      <x:c r="E32" s="19" t="n">
        <x:v>19139</x:v>
      </x:c>
      <x:c r="F32" s="19" t="n">
        <x:v>4673</x:v>
      </x:c>
      <x:c r="G32" s="19" t="n">
        <x:v>7413</x:v>
      </x:c>
      <x:c r="H32" s="25" t="n">
        <x:f>IF(COUNT(F32:G32)&gt;0,SUM(F32:G32),"")</x:f>
        <x:v>12086</x:v>
      </x:c>
      <x:c r="I32" s="19" t="n">
        <x:v>12086</x:v>
      </x:c>
      <x:c r="J32" s="25" t="n">
        <x:f>IF(COUNT(B32,F32)=2,B32-F32,"")</x:f>
        <x:v>5437</x:v>
      </x:c>
      <x:c r="K32" s="25" t="n">
        <x:f>IF(COUNT(C32,G32)=2,C32-G32,"")</x:f>
        <x:v>1616</x:v>
      </x:c>
      <x:c r="L32" s="25" t="n">
        <x:f>IF(COUNT(D32,H32)=2,D32-H32,"")</x:f>
        <x:v>7053</x:v>
      </x:c>
      <x:c r="M32" s="25" t="n">
        <x:f>IF(COUNT(E32,I32)=2,E32-I32,"")</x:f>
        <x:v>7053</x:v>
      </x:c>
      <x:c r="N32" s="13" t="str">
        <x:v>Все четыре уезда; полнота регистрации внутри групп не измерена</x:v>
      </x:c>
      <x:c r="O32" s="13" t="str">
        <x:v>Uralskaia-1907-1909(1).md</x:v>
      </x:c>
      <x:c r="P32" s="13" t="str">
        <x:v>с. 12–13 / PDF 20–21; вед. № 6 / PDF 43; copy 2 PDF 39</x:v>
      </x:c>
      <x:c r="Q32" s="3" t="str">
        <x:v>Г1907</x:v>
      </x:c>
      <x:c r="R32" s="22" t="str">
        <x:v>https://archive.org/download/obzor_uralskoi_oblasti/Обзор Уральской области за 1907 - RAW.pdf</x:v>
      </x:c>
    </x:row>
    <x:row r="33" ht="44" customHeight="1">
      <x:c r="A33" s="38" t="n">
        <x:v>1908</x:v>
      </x:c>
      <x:c r="B33" s="20" t="n">
        <x:v>10420</x:v>
      </x:c>
      <x:c r="C33" s="20" t="n">
        <x:v>9675</x:v>
      </x:c>
      <x:c r="D33" s="25" t="n">
        <x:f>IF(COUNT(B33:C33)&gt;0,SUM(B33:C33),"")</x:f>
        <x:v>20095</x:v>
      </x:c>
      <x:c r="E33" s="20" t="n">
        <x:v>20095</x:v>
      </x:c>
      <x:c r="F33" s="20" t="n">
        <x:v>5577</x:v>
      </x:c>
      <x:c r="G33" s="20" t="n">
        <x:v>8143</x:v>
      </x:c>
      <x:c r="H33" s="25" t="n">
        <x:f>IF(COUNT(F33:G33)&gt;0,SUM(F33:G33),"")</x:f>
        <x:v>13720</x:v>
      </x:c>
      <x:c r="I33" s="20" t="n">
        <x:v>13720</x:v>
      </x:c>
      <x:c r="J33" s="25" t="n">
        <x:f>IF(COUNT(B33,F33)=2,B33-F33,"")</x:f>
        <x:v>4843</x:v>
      </x:c>
      <x:c r="K33" s="25" t="n">
        <x:f>IF(COUNT(C33,G33)=2,C33-G33,"")</x:f>
        <x:v>1532</x:v>
      </x:c>
      <x:c r="L33" s="25" t="n">
        <x:f>IF(COUNT(D33,H33)=2,D33-H33,"")</x:f>
        <x:v>6375</x:v>
      </x:c>
      <x:c r="M33" s="25" t="n">
        <x:f>IF(COUNT(E33,I33)=2,E33-I33,"")</x:f>
        <x:v>6375</x:v>
      </x:c>
      <x:c r="N33" s="14" t="str">
        <x:v>Все четыре уезда; полнота регистрации внутри групп не измерена</x:v>
      </x:c>
      <x:c r="O33" s="14" t="str">
        <x:v>Uralskaia-1907-1909(1).md</x:v>
      </x:c>
      <x:c r="P33" s="14" t="str">
        <x:v>с. 12–13 / PDF 18–19; вед. № 6 / PDF 41</x:v>
      </x:c>
      <x:c r="Q33" s="12" t="str">
        <x:v>Г1908</x:v>
      </x:c>
      <x:c r="R33" s="24" t="str">
        <x:v>https://archive.org/download/obzor_uralskoi_oblasti/Обзор Уральской области за 1908 - RAW.pdf</x:v>
      </x:c>
    </x:row>
    <x:row r="34" ht="44" customHeight="1">
      <x:c r="A34" s="37" t="n">
        <x:v>1909</x:v>
      </x:c>
      <x:c r="B34" s="19" t="n">
        <x:v>10322</x:v>
      </x:c>
      <x:c r="C34" s="19" t="n">
        <x:v>9817</x:v>
      </x:c>
      <x:c r="D34" s="25" t="n">
        <x:f>IF(COUNT(B34:C34)&gt;0,SUM(B34:C34),"")</x:f>
        <x:v>20139</x:v>
      </x:c>
      <x:c r="E34" s="19" t="n">
        <x:v>20139</x:v>
      </x:c>
      <x:c r="F34" s="19" t="n">
        <x:v>5735</x:v>
      </x:c>
      <x:c r="G34" s="19" t="n">
        <x:v>8158</x:v>
      </x:c>
      <x:c r="H34" s="25" t="n">
        <x:f>IF(COUNT(F34:G34)&gt;0,SUM(F34:G34),"")</x:f>
        <x:v>13893</x:v>
      </x:c>
      <x:c r="I34" s="19" t="n">
        <x:v>13893</x:v>
      </x:c>
      <x:c r="J34" s="25" t="n">
        <x:f>IF(COUNT(B34,F34)=2,B34-F34,"")</x:f>
        <x:v>4587</x:v>
      </x:c>
      <x:c r="K34" s="25" t="n">
        <x:f>IF(COUNT(C34,G34)=2,C34-G34,"")</x:f>
        <x:v>1659</x:v>
      </x:c>
      <x:c r="L34" s="25" t="n">
        <x:f>IF(COUNT(D34,H34)=2,D34-H34,"")</x:f>
        <x:v>6246</x:v>
      </x:c>
      <x:c r="M34" s="25" t="n">
        <x:f>IF(COUNT(E34,I34)=2,E34-I34,"")</x:f>
        <x:v>6246</x:v>
      </x:c>
      <x:c r="N34" s="26" t="str">
        <x:v>Итоги ведомости; охват недавно осевших переселенцев не установлен</x:v>
      </x:c>
      <x:c r="O34" s="13" t="str">
        <x:v>Uralskaia-1907-1909(1).md</x:v>
      </x:c>
      <x:c r="P34" s="13" t="str">
        <x:v>с. 12–13 / PDF 18–19; вед. № 6 / PDF 41</x:v>
      </x:c>
      <x:c r="Q34" s="3" t="str">
        <x:v>Г1909</x:v>
      </x:c>
      <x:c r="R34" s="22" t="str">
        <x:v>https://archive.org/download/obzor_uralskoi_oblasti/Обзор Уральской области за 1909 - RAW.pdf</x:v>
      </x:c>
    </x:row>
    <x:row r="35" ht="44" customHeight="1">
      <x:c r="A35" s="38" t="n">
        <x:v>1910</x:v>
      </x:c>
      <x:c r="B35" s="20" t="n">
        <x:v>11770</x:v>
      </x:c>
      <x:c r="C35" s="20" t="n">
        <x:v>10683</x:v>
      </x:c>
      <x:c r="D35" s="25" t="n">
        <x:f>IF(COUNT(B35:C35)&gt;0,SUM(B35:C35),"")</x:f>
        <x:v>22453</x:v>
      </x:c>
      <x:c r="E35" s="20" t="n">
        <x:v>22453</x:v>
      </x:c>
      <x:c r="F35" s="20" t="n">
        <x:v>7274</x:v>
      </x:c>
      <x:c r="G35" s="20" t="n">
        <x:v>7949</x:v>
      </x:c>
      <x:c r="H35" s="25" t="n">
        <x:f>IF(COUNT(F35:G35)&gt;0,SUM(F35:G35),"")</x:f>
        <x:v>15223</x:v>
      </x:c>
      <x:c r="I35" s="20" t="n">
        <x:v>15223</x:v>
      </x:c>
      <x:c r="J35" s="25" t="n">
        <x:f>IF(COUNT(B35,F35)=2,B35-F35,"")</x:f>
        <x:v>4496</x:v>
      </x:c>
      <x:c r="K35" s="25" t="n">
        <x:f>IF(COUNT(C35,G35)=2,C35-G35,"")</x:f>
        <x:v>2734</x:v>
      </x:c>
      <x:c r="L35" s="25" t="n">
        <x:f>IF(COUNT(D35,H35)=2,D35-H35,"")</x:f>
        <x:v>7230</x:v>
      </x:c>
      <x:c r="M35" s="25" t="n">
        <x:f>IF(COUNT(E35,I35)=2,E35-I35,"")</x:f>
        <x:v>7230</x:v>
      </x:c>
      <x:c r="N35" s="26" t="str">
        <x:v>Исключены самовольцы и переселенцы Темирского уезда</x:v>
      </x:c>
      <x:c r="O35" s="14" t="str">
        <x:v>Uralskaia-1910-1912(1).md</x:v>
      </x:c>
      <x:c r="P35" s="14" t="str">
        <x:v>с. 3–4 / RAW copy 2 PDF 6–7; вед. № 6 / RAW PDF 58, OCR PDF 62</x:v>
      </x:c>
      <x:c r="Q35" s="12" t="str">
        <x:v>Г1910</x:v>
      </x:c>
      <x:c r="R35" s="24" t="str">
        <x:v>https://archive.org/download/obzor_uralskoi_oblasti/Обзор Уральской области за 1910 (copy 2) - RAW.pdf</x:v>
      </x:c>
    </x:row>
    <x:row r="36" ht="44" customHeight="1">
      <x:c r="A36" s="37" t="n">
        <x:v>1911</x:v>
      </x:c>
      <x:c r="B36" s="19" t="n">
        <x:v>11120</x:v>
      </x:c>
      <x:c r="C36" s="19" t="n">
        <x:v>7959</x:v>
      </x:c>
      <x:c r="D36" s="25" t="n">
        <x:f>IF(COUNT(B36:C36)&gt;0,SUM(B36:C36),"")</x:f>
        <x:v>19079</x:v>
      </x:c>
      <x:c r="E36" s="19" t="n">
        <x:v>19079</x:v>
      </x:c>
      <x:c r="F36" s="19" t="n">
        <x:v>6461</x:v>
      </x:c>
      <x:c r="G36" s="19" t="n">
        <x:v>8279</x:v>
      </x:c>
      <x:c r="H36" s="25" t="n">
        <x:f>IF(COUNT(F36:G36)&gt;0,SUM(F36:G36),"")</x:f>
        <x:v>14740</x:v>
      </x:c>
      <x:c r="I36" s="19" t="n">
        <x:v>14740</x:v>
      </x:c>
      <x:c r="J36" s="25" t="n">
        <x:f>IF(COUNT(B36,F36)=2,B36-F36,"")</x:f>
        <x:v>4659</x:v>
      </x:c>
      <x:c r="K36" s="25" t="n">
        <x:f>IF(COUNT(C36,G36)=2,C36-G36,"")</x:f>
        <x:v>-320</x:v>
      </x:c>
      <x:c r="L36" s="25" t="n">
        <x:f>IF(COUNT(D36,H36)=2,D36-H36,"")</x:f>
        <x:v>4339</x:v>
      </x:c>
      <x:c r="M36" s="25" t="n">
        <x:f>IF(COUNT(E36,I36)=2,E36-I36,"")</x:f>
        <x:v>4339</x:v>
      </x:c>
      <x:c r="N36" s="13" t="str">
        <x:v>Основные группы включены; полнота регистрации не измерена</x:v>
      </x:c>
      <x:c r="O36" s="13" t="str">
        <x:v>Uralskaia-1910-1912(1).md</x:v>
      </x:c>
      <x:c r="P36" s="13" t="str">
        <x:v>с. 4–5 / RAW copy 2 PDF 7–8; вед. № 6 / RAW PDF 86, OCR PDF 90</x:v>
      </x:c>
      <x:c r="Q36" s="3" t="str">
        <x:v>Г1911</x:v>
      </x:c>
      <x:c r="R36" s="22" t="str">
        <x:v>https://archive.org/download/obzor_uralskoi_oblasti/Обзор Уральской области за 1911 (copy 2) - RAW.pdf</x:v>
      </x:c>
    </x:row>
    <x:row r="37" ht="44" customHeight="1">
      <x:c r="A37" s="38" t="n">
        <x:v>1912</x:v>
      </x:c>
      <x:c r="B37" s="20" t="n">
        <x:v>11280</x:v>
      </x:c>
      <x:c r="C37" s="20" t="n">
        <x:v>6576</x:v>
      </x:c>
      <x:c r="D37" s="25" t="n">
        <x:f>IF(COUNT(B37:C37)&gt;0,SUM(B37:C37),"")</x:f>
        <x:v>17856</x:v>
      </x:c>
      <x:c r="E37" s="20" t="n">
        <x:v>17856</x:v>
      </x:c>
      <x:c r="F37" s="20" t="n">
        <x:v>6347</x:v>
      </x:c>
      <x:c r="G37" s="20" t="n">
        <x:v>7764</x:v>
      </x:c>
      <x:c r="H37" s="25" t="n">
        <x:f>IF(COUNT(F37:G37)&gt;0,SUM(F37:G37),"")</x:f>
        <x:v>14111</x:v>
      </x:c>
      <x:c r="I37" s="20" t="n">
        <x:v>14111</x:v>
      </x:c>
      <x:c r="J37" s="25" t="n">
        <x:f>IF(COUNT(B37,F37)=2,B37-F37,"")</x:f>
        <x:v>4933</x:v>
      </x:c>
      <x:c r="K37" s="25" t="n">
        <x:f>IF(COUNT(C37,G37)=2,C37-G37,"")</x:f>
        <x:v>-1188</x:v>
      </x:c>
      <x:c r="L37" s="25" t="n">
        <x:f>IF(COUNT(D37,H37)=2,D37-H37,"")</x:f>
        <x:v>3745</x:v>
      </x:c>
      <x:c r="M37" s="25" t="n">
        <x:f>IF(COUNT(E37,I37)=2,E37-I37,"")</x:f>
        <x:v>3745</x:v>
      </x:c>
      <x:c r="N37" s="14" t="str">
        <x:v>Основные группы включены; полнота регистрации не измерена</x:v>
      </x:c>
      <x:c r="O37" s="14" t="str">
        <x:v>Uralskaia-1910-1912(1).md</x:v>
      </x:c>
      <x:c r="P37" s="14" t="str">
        <x:v>с. 4–5 / PDF 8–9; вед. № 6 / PDF 120</x:v>
      </x:c>
      <x:c r="Q37" s="12" t="str">
        <x:v>Г1912</x:v>
      </x:c>
      <x:c r="R37" s="24" t="str">
        <x:v>https://archive.org/download/obzor_uralskoi_oblasti/Обзор Уральской области за 1912 - RAW.pdf</x:v>
      </x:c>
    </x:row>
    <x:row r="38" ht="44" customHeight="1">
      <x:c r="A38" s="37" t="n">
        <x:v>1913</x:v>
      </x:c>
      <x:c r="B38" s="19" t="n">
        <x:v>12287</x:v>
      </x:c>
      <x:c r="C38" s="19" t="n">
        <x:v>7654</x:v>
      </x:c>
      <x:c r="D38" s="25" t="n">
        <x:f>IF(COUNT(B38:C38)&gt;0,SUM(B38:C38),"")</x:f>
        <x:v>19941</x:v>
      </x:c>
      <x:c r="E38" s="19" t="n">
        <x:v>19941</x:v>
      </x:c>
      <x:c r="F38" s="19" t="n">
        <x:v>6894</x:v>
      </x:c>
      <x:c r="G38" s="19" t="n">
        <x:v>7702</x:v>
      </x:c>
      <x:c r="H38" s="25" t="n">
        <x:f>IF(COUNT(F38:G38)&gt;0,SUM(F38:G38),"")</x:f>
        <x:v>14596</x:v>
      </x:c>
      <x:c r="I38" s="19" t="n">
        <x:v>14596</x:v>
      </x:c>
      <x:c r="J38" s="25" t="n">
        <x:f>IF(COUNT(B38,F38)=2,B38-F38,"")</x:f>
        <x:v>5393</x:v>
      </x:c>
      <x:c r="K38" s="25" t="n">
        <x:f>IF(COUNT(C38,G38)=2,C38-G38,"")</x:f>
        <x:v>-48</x:v>
      </x:c>
      <x:c r="L38" s="25" t="n">
        <x:f>IF(COUNT(D38,H38)=2,D38-H38,"")</x:f>
        <x:v>5345</x:v>
      </x:c>
      <x:c r="M38" s="25" t="n">
        <x:f>IF(COUNT(E38,I38)=2,E38-I38,"")</x:f>
        <x:v>5345</x:v>
      </x:c>
      <x:c r="N38" s="13" t="str">
        <x:v>Основные группы включены; полнота регистрации не измерена</x:v>
      </x:c>
      <x:c r="O38" s="13" t="str">
        <x:v>Uralskaia-1913-1915(1).md</x:v>
      </x:c>
      <x:c r="P38" s="13" t="str">
        <x:v>с. 5 / RAW PDF 15; вед. № 6 / RAW PDF 143</x:v>
      </x:c>
      <x:c r="Q38" s="3" t="str">
        <x:v>Г1913</x:v>
      </x:c>
      <x:c r="R38" s="22" t="str">
        <x:v>https://archive.org/download/obzor_uralskoi_oblasti/Обзор Уральской области за 1913 - RAW.pdf</x:v>
      </x:c>
    </x:row>
    <x:row r="39" ht="44" customHeight="1">
      <x:c r="A39" s="38" t="n">
        <x:v>1914</x:v>
      </x:c>
      <x:c r="B39" s="20" t="n">
        <x:v>13054</x:v>
      </x:c>
      <x:c r="C39" s="20" t="n">
        <x:v>7647</x:v>
      </x:c>
      <x:c r="D39" s="25" t="n">
        <x:f>IF(COUNT(B39:C39)&gt;0,SUM(B39:C39),"")</x:f>
        <x:v>20701</x:v>
      </x:c>
      <x:c r="E39" s="20" t="n">
        <x:v>20701</x:v>
      </x:c>
      <x:c r="F39" s="20" t="n">
        <x:v>7272</x:v>
      </x:c>
      <x:c r="G39" s="20" t="n">
        <x:v>7681</x:v>
      </x:c>
      <x:c r="H39" s="25" t="n">
        <x:f>IF(COUNT(F39:G39)&gt;0,SUM(F39:G39),"")</x:f>
        <x:v>14953</x:v>
      </x:c>
      <x:c r="I39" s="20" t="n">
        <x:v>14953</x:v>
      </x:c>
      <x:c r="J39" s="25" t="n">
        <x:f>IF(COUNT(B39,F39)=2,B39-F39,"")</x:f>
        <x:v>5782</x:v>
      </x:c>
      <x:c r="K39" s="25" t="n">
        <x:f>IF(COUNT(C39,G39)=2,C39-G39,"")</x:f>
        <x:v>-34</x:v>
      </x:c>
      <x:c r="L39" s="25" t="n">
        <x:f>IF(COUNT(D39,H39)=2,D39-H39,"")</x:f>
        <x:v>5748</x:v>
      </x:c>
      <x:c r="M39" s="25" t="n">
        <x:f>IF(COUNT(E39,I39)=2,E39-I39,"")</x:f>
        <x:v>5748</x:v>
      </x:c>
      <x:c r="N39" s="14" t="str">
        <x:v>Основные группы включены; полнота регистрации не измерена</x:v>
      </x:c>
      <x:c r="O39" s="14" t="str">
        <x:v>Uralskaia-1913-1915(1).md</x:v>
      </x:c>
      <x:c r="P39" s="14" t="str">
        <x:v>с. 5 / RAW copy 2 PDF 9; вед. № 6 / PDF 160</x:v>
      </x:c>
      <x:c r="Q39" s="12" t="str">
        <x:v>Г1914</x:v>
      </x:c>
      <x:c r="R39" s="24" t="str">
        <x:v>https://archive.org/download/obzor_uralskoi_oblasti/Обзор Уральской области за 1914 (copy 2) - RAW.pdf</x:v>
      </x:c>
    </x:row>
    <x:row r="40" ht="44" customHeight="1">
      <x:c r="A40" s="37" t="n">
        <x:v>1915</x:v>
      </x:c>
      <x:c r="B40" s="19" t="n">
        <x:v>13237</x:v>
      </x:c>
      <x:c r="C40" s="19" t="n">
        <x:v>8393</x:v>
      </x:c>
      <x:c r="D40" s="25" t="n">
        <x:f>IF(COUNT(B40:C40)&gt;0,SUM(B40:C40),"")</x:f>
        <x:v>21630</x:v>
      </x:c>
      <x:c r="E40" s="19" t="n">
        <x:v>21630</x:v>
      </x:c>
      <x:c r="F40" s="19" t="n">
        <x:v>8159</x:v>
      </x:c>
      <x:c r="G40" s="19" t="n">
        <x:v>7467</x:v>
      </x:c>
      <x:c r="H40" s="25" t="n">
        <x:f>IF(COUNT(F40:G40)&gt;0,SUM(F40:G40),"")</x:f>
        <x:v>15626</x:v>
      </x:c>
      <x:c r="I40" s="19" t="n">
        <x:v>15626</x:v>
      </x:c>
      <x:c r="J40" s="25" t="n">
        <x:f>IF(COUNT(B40,F40)=2,B40-F40,"")</x:f>
        <x:v>5078</x:v>
      </x:c>
      <x:c r="K40" s="25" t="n">
        <x:f>IF(COUNT(C40,G40)=2,C40-G40,"")</x:f>
        <x:v>926</x:v>
      </x:c>
      <x:c r="L40" s="25" t="n">
        <x:f>IF(COUNT(D40,H40)=2,D40-H40,"")</x:f>
        <x:v>6004</x:v>
      </x:c>
      <x:c r="M40" s="25" t="n">
        <x:f>IF(COUNT(E40,I40)=2,E40-I40,"")</x:f>
        <x:v>6004</x:v>
      </x:c>
      <x:c r="N40" s="26" t="str">
        <x:v>Группы ведомости; включение беженцев и военных потерь не установлено</x:v>
      </x:c>
      <x:c r="O40" s="13" t="str">
        <x:v>Uralskaia-1913-1915(1).md</x:v>
      </x:c>
      <x:c r="P40" s="13" t="str">
        <x:v>с. 5 / RAW copy 2 PDF 10; вед. № 6 / RAW PDF 150, OCR PDF 155</x:v>
      </x:c>
      <x:c r="Q40" s="3" t="str">
        <x:v>Г1915</x:v>
      </x:c>
      <x:c r="R40" s="22" t="str">
        <x:v>https://archive.org/download/obzor_uralskoi_oblasti/Обзор Уральской области за 1915 (copy 2) - RAW.pdf</x:v>
      </x:c>
    </x:row>
  </x:sheetData>
  <x:pageMargins left="0.7" right="0.7" top="0.75" bottom="0.75" header="0.3" footer="0.3"/>
  <x:tableParts count="1">
    <x:tablePart xmlns:r="http://schemas.openxmlformats.org/officeDocument/2006/relationships" r:id="R2ede1ff83f7442db"/>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 hidden="0" customWidth="1"/>
    <x:col min="2" max="2" width="46" hidden="0" customWidth="1"/>
    <x:col min="3" max="3" width="18" hidden="0" customWidth="1"/>
    <x:col min="4" max="4" width="29" hidden="0" customWidth="1"/>
    <x:col min="5" max="5" width="39" hidden="0" customWidth="1"/>
    <x:col min="6" max="6" width="37" hidden="0" customWidth="1"/>
    <x:col min="7" max="7" width="43" hidden="0" customWidth="1"/>
    <x:col min="8" max="8" width="91" hidden="0" customWidth="1"/>
    <x:col min="9" max="9" width="67" hidden="0" customWidth="1"/>
    <x:col min="10" max="10" width="43" hidden="0" customWidth="1"/>
    <x:col min="11" max="11" width="62" hidden="0" customWidth="1"/>
  </x:cols>
  <x:sheetData>
    <x:row r="1">
      <x:c r="A1" s="3"/>
      <x:c r="B1" s="3"/>
      <x:c r="C1" s="3"/>
      <x:c r="D1" s="3"/>
      <x:c r="E1" s="3"/>
      <x:c r="F1" s="3"/>
      <x:c r="G1" s="3"/>
      <x:c r="H1" s="3"/>
      <x:c r="I1" s="3"/>
      <x:c r="J1" s="3"/>
      <x:c r="K1" s="3"/>
    </x:row>
    <x:row r="2" ht="26" customHeight="1">
      <x:c r="A2" s="5" t="str">
        <x:v>Уральская область. Миграционные сведения, 1881–1915</x:v>
      </x:c>
      <x:c r="B2" s="6"/>
      <x:c r="C2" s="6"/>
      <x:c r="D2" s="6"/>
      <x:c r="E2" s="6"/>
      <x:c r="F2" s="6"/>
      <x:c r="G2" s="6"/>
      <x:c r="H2" s="6"/>
      <x:c r="I2" s="6"/>
      <x:c r="J2" s="6"/>
      <x:c r="K2" s="6"/>
    </x:row>
    <x:row r="3" ht="23" customHeight="1">
      <x:c r="A3" s="7" t="str">
        <x:v>Общего годового итога прибытия, выбытия и сальдо области нет ни за один год. Частные показатели приведены ниже.</x:v>
      </x:c>
      <x:c r="B3" s="3"/>
      <x:c r="C3" s="3"/>
      <x:c r="D3" s="3"/>
      <x:c r="E3" s="3"/>
      <x:c r="F3" s="3"/>
      <x:c r="G3" s="3"/>
      <x:c r="H3" s="3"/>
      <x:c r="I3" s="3"/>
      <x:c r="J3" s="3"/>
      <x:c r="K3" s="3"/>
    </x:row>
    <x:row r="4">
      <x:c r="A4" s="3"/>
      <x:c r="B4" s="3"/>
      <x:c r="C4" s="3"/>
      <x:c r="D4" s="3"/>
      <x:c r="E4" s="3"/>
      <x:c r="F4" s="3"/>
      <x:c r="G4" s="3"/>
      <x:c r="H4" s="3"/>
      <x:c r="I4" s="3"/>
      <x:c r="J4" s="3"/>
      <x:c r="K4" s="3"/>
    </x:row>
    <x:row r="5" ht="64" customHeight="1">
      <x:c r="A5" s="11" t="str">
        <x:v>Год</x:v>
      </x:c>
      <x:c r="B5" s="11" t="str">
        <x:v>Прибыло в область: полный годовой итог, чел.</x:v>
      </x:c>
      <x:c r="C5" s="11" t="str">
        <x:v>Выбыло из области: полный годовой итог, чел.</x:v>
      </x:c>
      <x:c r="D5" s="11" t="str">
        <x:v>Сальдо: полный годовой итог, чел.</x:v>
      </x:c>
      <x:c r="E5" s="11" t="str">
        <x:v>Что известно для этого года</x:v>
      </x:c>
      <x:c r="F5" s="11" t="str">
        <x:v>Код примечания</x:v>
      </x:c>
      <x:c r="G5" s="11" t="str">
        <x:v>Частная сводка</x:v>
      </x:c>
      <x:c r="H5" s="3"/>
      <x:c r="I5" s="3"/>
      <x:c r="J5" s="3"/>
      <x:c r="K5" s="3"/>
    </x:row>
    <x:row r="6" ht="44" customHeight="1">
      <x:c r="A6" s="37" t="n">
        <x:v>1881</x:v>
      </x:c>
      <x:c r="B6" s="3"/>
      <x:c r="C6" s="3"/>
      <x:c r="D6" s="3"/>
      <x:c r="E6" s="13" t="str">
        <x:v>Числа прибытий и выбытий не найдены.</x:v>
      </x:c>
      <x:c r="F6" s="3" t="str">
        <x:v>Г1881</x:v>
      </x:c>
      <x:c r="G6" s="13" t="str">
        <x:v>Uralskaia-1881-1885(1).md</x:v>
      </x:c>
      <x:c r="H6" s="3"/>
      <x:c r="I6" s="3"/>
      <x:c r="J6" s="3"/>
      <x:c r="K6" s="3"/>
    </x:row>
    <x:row r="7" ht="44" customHeight="1">
      <x:c r="A7" s="38" t="n">
        <x:v>1882</x:v>
      </x:c>
      <x:c r="B7" s="12"/>
      <x:c r="C7" s="12"/>
      <x:c r="D7" s="12"/>
      <x:c r="E7" s="14" t="str">
        <x:v>Числа прибытий и выбытий не найдены.</x:v>
      </x:c>
      <x:c r="F7" s="12" t="str">
        <x:v>Г1882</x:v>
      </x:c>
      <x:c r="G7" s="14" t="str">
        <x:v>Uralskaia-1881-1885(1).md</x:v>
      </x:c>
      <x:c r="H7" s="3"/>
      <x:c r="I7" s="3"/>
      <x:c r="J7" s="3"/>
      <x:c r="K7" s="3"/>
    </x:row>
    <x:row r="8" ht="44" customHeight="1">
      <x:c r="A8" s="37" t="n">
        <x:v>1883</x:v>
      </x:c>
      <x:c r="B8" s="3"/>
      <x:c r="C8" s="3"/>
      <x:c r="D8" s="3"/>
      <x:c r="E8" s="13" t="str">
        <x:v>Снижение оценки вследствие перечёта кибиток не принято за отток.</x:v>
      </x:c>
      <x:c r="F8" s="3" t="str">
        <x:v>Г1883</x:v>
      </x:c>
      <x:c r="G8" s="13" t="str">
        <x:v>Uralskaia-1881-1885(1).md</x:v>
      </x:c>
      <x:c r="H8" s="3"/>
      <x:c r="I8" s="3"/>
      <x:c r="J8" s="3"/>
      <x:c r="K8" s="3"/>
    </x:row>
    <x:row r="9" ht="45" customHeight="1">
      <x:c r="A9" s="38" t="n">
        <x:v>1884</x:v>
      </x:c>
      <x:c r="B9" s="12"/>
      <x:c r="C9" s="12"/>
      <x:c r="D9" s="12"/>
      <x:c r="E9" s="14" t="str">
        <x:v>Паспортные сборы на отход: 7 368,35 руб.; число людей и пересечение границы неизвестны.</x:v>
      </x:c>
      <x:c r="F9" s="12" t="str">
        <x:v>Г1884</x:v>
      </x:c>
      <x:c r="G9" s="14" t="str">
        <x:v>Uralskaia-1881-1885(1).md</x:v>
      </x:c>
      <x:c r="H9" s="3"/>
      <x:c r="I9" s="3"/>
      <x:c r="J9" s="3"/>
      <x:c r="K9" s="3"/>
    </x:row>
    <x:row r="10" ht="45" customHeight="1">
      <x:c r="A10" s="37" t="n">
        <x:v>1885</x:v>
      </x:c>
      <x:c r="B10" s="3"/>
      <x:c r="C10" s="3"/>
      <x:c r="D10" s="3"/>
      <x:c r="E10" s="13" t="str">
        <x:v>Паспортные сборы: 6 317,31 руб.; рост численности объяснён улучшением учёта.</x:v>
      </x:c>
      <x:c r="F10" s="3" t="str">
        <x:v>Г1885</x:v>
      </x:c>
      <x:c r="G10" s="13" t="str">
        <x:v>Uralskaia-1881-1885(1).md</x:v>
      </x:c>
      <x:c r="H10" s="3"/>
      <x:c r="I10" s="3"/>
      <x:c r="J10" s="3"/>
      <x:c r="K10" s="3"/>
    </x:row>
    <x:row r="11" ht="45" customHeight="1">
      <x:c r="A11" s="38" t="n">
        <x:v>1886</x:v>
      </x:c>
      <x:c r="B11" s="12"/>
      <x:c r="C11" s="12"/>
      <x:c r="D11" s="12"/>
      <x:c r="E11" s="14" t="str">
        <x:v>Паспортные сборы 5 274,24 руб.; 281 отставной нижний чин с семьями — наличие.</x:v>
      </x:c>
      <x:c r="F11" s="12" t="str">
        <x:v>Г1886</x:v>
      </x:c>
      <x:c r="G11" s="14" t="str">
        <x:v>Uralskaia-1886-1889(1).md</x:v>
      </x:c>
      <x:c r="H11" s="3"/>
      <x:c r="I11" s="3"/>
      <x:c r="J11" s="3"/>
      <x:c r="K11" s="3"/>
    </x:row>
    <x:row r="12" ht="44" customHeight="1">
      <x:c r="A12" s="37" t="n">
        <x:v>1887</x:v>
      </x:c>
      <x:c r="B12" s="3"/>
      <x:c r="C12" s="3"/>
      <x:c r="D12" s="3"/>
      <x:c r="E12" s="13" t="str">
        <x:v>Паспортные сборы 2 863,40 руб.; 664 отставных с семьями — наличие.</x:v>
      </x:c>
      <x:c r="F12" s="3" t="str">
        <x:v>Г1887</x:v>
      </x:c>
      <x:c r="G12" s="13" t="str">
        <x:v>Uralskaia-1886-1889(1).md</x:v>
      </x:c>
      <x:c r="H12" s="3"/>
      <x:c r="I12" s="3"/>
      <x:c r="J12" s="3"/>
      <x:c r="K12" s="3"/>
    </x:row>
    <x:row r="13" ht="44" customHeight="1">
      <x:c r="A13" s="38" t="n">
        <x:v>1888</x:v>
      </x:c>
      <x:c r="B13" s="12"/>
      <x:c r="C13" s="12"/>
      <x:c r="D13" s="12"/>
      <x:c r="E13" s="14" t="str">
        <x:v>Паспортные сборы 4 973,80 руб.; 859 отставных с семьями — наличие.</x:v>
      </x:c>
      <x:c r="F13" s="12" t="str">
        <x:v>Г1888</x:v>
      </x:c>
      <x:c r="G13" s="14" t="str">
        <x:v>Uralskaia-1886-1889(1).md</x:v>
      </x:c>
      <x:c r="H13" s="3"/>
      <x:c r="I13" s="3"/>
      <x:c r="J13" s="3"/>
      <x:c r="K13" s="3"/>
    </x:row>
    <x:row r="14" ht="44" customHeight="1">
      <x:c r="A14" s="37" t="n">
        <x:v>1889</x:v>
      </x:c>
      <x:c r="B14" s="3"/>
      <x:c r="C14" s="3"/>
      <x:c r="D14" s="3"/>
      <x:c r="E14" s="13" t="str">
        <x:v>Паспортные сборы 4 676,15 руб.; отставные упомянуты без числа.</x:v>
      </x:c>
      <x:c r="F14" s="3" t="str">
        <x:v>Г1889</x:v>
      </x:c>
      <x:c r="G14" s="13" t="str">
        <x:v>Uralskaia-1886-1889(1).md</x:v>
      </x:c>
      <x:c r="H14" s="3"/>
      <x:c r="I14" s="3"/>
      <x:c r="J14" s="3"/>
      <x:c r="K14" s="3"/>
    </x:row>
    <x:row r="15" ht="44" customHeight="1">
      <x:c r="A15" s="38" t="n">
        <x:v>1890</x:v>
      </x:c>
      <x:c r="B15" s="12"/>
      <x:c r="C15" s="12"/>
      <x:c r="D15" s="12"/>
      <x:c r="E15" s="14" t="str">
        <x:v>Паспортные сборы 4 157,46 руб.; это не число мигрантов.</x:v>
      </x:c>
      <x:c r="F15" s="12" t="str">
        <x:v>Г1890</x:v>
      </x:c>
      <x:c r="G15" s="14" t="str">
        <x:v>Uralskaia-1890-1894(1).md</x:v>
      </x:c>
      <x:c r="H15" s="3"/>
      <x:c r="I15" s="3"/>
      <x:c r="J15" s="3"/>
      <x:c r="K15" s="3"/>
    </x:row>
    <x:row r="16" ht="44" customHeight="1">
      <x:c r="A16" s="37" t="n">
        <x:v>1891</x:v>
      </x:c>
      <x:c r="B16" s="3"/>
      <x:c r="C16" s="3"/>
      <x:c r="D16" s="3"/>
      <x:c r="E16" s="13" t="str">
        <x:v>Паспортные сборы 5 048,15 руб.; это не число мигрантов.</x:v>
      </x:c>
      <x:c r="F16" s="3" t="str">
        <x:v>Г1891</x:v>
      </x:c>
      <x:c r="G16" s="13" t="str">
        <x:v>Uralskaia-1890-1894(1).md</x:v>
      </x:c>
      <x:c r="H16" s="3"/>
      <x:c r="I16" s="3"/>
      <x:c r="J16" s="3"/>
      <x:c r="K16" s="3"/>
    </x:row>
    <x:row r="17" ht="44" customHeight="1">
      <x:c r="A17" s="38" t="n">
        <x:v>1892</x:v>
      </x:c>
      <x:c r="B17" s="12"/>
      <x:c r="C17" s="12"/>
      <x:c r="D17" s="12"/>
      <x:c r="E17" s="14" t="str">
        <x:v>Паспортные сборы 3 228,50 руб.; это не число мигрантов.</x:v>
      </x:c>
      <x:c r="F17" s="12" t="str">
        <x:v>Г1892</x:v>
      </x:c>
      <x:c r="G17" s="14" t="str">
        <x:v>Uralskaia-1890-1894(1).md</x:v>
      </x:c>
      <x:c r="H17" s="3"/>
      <x:c r="I17" s="3"/>
      <x:c r="J17" s="3"/>
      <x:c r="K17" s="3"/>
    </x:row>
    <x:row r="18" ht="44" customHeight="1">
      <x:c r="A18" s="37" t="n">
        <x:v>1893</x:v>
      </x:c>
      <x:c r="B18" s="3"/>
      <x:c r="C18" s="3"/>
      <x:c r="D18" s="3"/>
      <x:c r="E18" s="13" t="str">
        <x:v>Паспортные сборы 7 139,90 руб.; это не число мигрантов.</x:v>
      </x:c>
      <x:c r="F18" s="3" t="str">
        <x:v>Г1893</x:v>
      </x:c>
      <x:c r="G18" s="13" t="str">
        <x:v>Uralskaia-1890-1894(1).md</x:v>
      </x:c>
      <x:c r="H18" s="3"/>
      <x:c r="I18" s="3"/>
      <x:c r="J18" s="3"/>
      <x:c r="K18" s="3"/>
    </x:row>
    <x:row r="19" ht="44" customHeight="1">
      <x:c r="A19" s="38" t="n">
        <x:v>1894</x:v>
      </x:c>
      <x:c r="B19" s="12"/>
      <x:c r="C19" s="12"/>
      <x:c r="D19" s="12"/>
      <x:c r="E19" s="14" t="str">
        <x:v>Паспортные сборы 6 852,75 руб.; это не число мигрантов.</x:v>
      </x:c>
      <x:c r="F19" s="12" t="str">
        <x:v>Г1894</x:v>
      </x:c>
      <x:c r="G19" s="14" t="str">
        <x:v>Uralskaia-1890-1894(1).md</x:v>
      </x:c>
      <x:c r="H19" s="3"/>
      <x:c r="I19" s="3"/>
      <x:c r="J19" s="3"/>
      <x:c r="K19" s="3"/>
    </x:row>
    <x:row r="20" ht="44" customHeight="1">
      <x:c r="A20" s="37" t="n">
        <x:v>1895</x:v>
      </x:c>
      <x:c r="B20" s="3"/>
      <x:c r="C20" s="3"/>
      <x:c r="D20" s="3"/>
      <x:c r="E20" s="13" t="str">
        <x:v>Временно проживающие отставные нижние чины, без годовых потоков.</x:v>
      </x:c>
      <x:c r="F20" s="3" t="str">
        <x:v>Г1895</x:v>
      </x:c>
      <x:c r="G20" s="13" t="str">
        <x:v>Uralskaia-1895-1899(1).md</x:v>
      </x:c>
      <x:c r="H20" s="3"/>
      <x:c r="I20" s="3"/>
      <x:c r="J20" s="3"/>
      <x:c r="K20" s="3"/>
    </x:row>
    <x:row r="21" ht="44" customHeight="1">
      <x:c r="A21" s="38" t="n">
        <x:v>1896</x:v>
      </x:c>
      <x:c r="B21" s="12"/>
      <x:c r="C21" s="12"/>
      <x:c r="D21" s="12"/>
      <x:c r="E21" s="14" t="str">
        <x:v>Аналогичное описание временно проживающих отставных нижних чинов.</x:v>
      </x:c>
      <x:c r="F21" s="12" t="str">
        <x:v>Г1896</x:v>
      </x:c>
      <x:c r="G21" s="14" t="str">
        <x:v>Uralskaia-1895-1899(1).md</x:v>
      </x:c>
      <x:c r="H21" s="3"/>
      <x:c r="I21" s="3"/>
      <x:c r="J21" s="3"/>
      <x:c r="K21" s="3"/>
    </x:row>
    <x:row r="22" ht="57" customHeight="1">
      <x:c r="A22" s="37" t="n">
        <x:v>1897</x:v>
      </x:c>
      <x:c r="B22" s="3"/>
      <x:c r="C22" s="3"/>
      <x:c r="D22" s="3"/>
      <x:c r="E22" s="13" t="str">
        <x:v>Железная дорога и переселения из центральных губерний; перекочёвки в Хиву, иногда с зимовкой. Чисел потоков нет.</x:v>
      </x:c>
      <x:c r="F22" s="3" t="str">
        <x:v>Г1897</x:v>
      </x:c>
      <x:c r="G22" s="13" t="str">
        <x:v>Uralskaia-1895-1899(1).md</x:v>
      </x:c>
      <x:c r="H22" s="3"/>
      <x:c r="I22" s="3"/>
      <x:c r="J22" s="3"/>
      <x:c r="K22" s="3"/>
    </x:row>
    <x:row r="23" ht="69" customHeight="1">
      <x:c r="A23" s="38" t="n">
        <x:v>1898</x:v>
      </x:c>
      <x:c r="B23" s="12"/>
      <x:c r="C23" s="12"/>
      <x:c r="D23" s="12"/>
      <x:c r="E23" s="14" t="str">
        <x:v>Весенний приход десятков тысяч сельских рабочих, частичное возвращение и оседание; перекочёвки в Хиву и Бухару. Точных годовых потоков нет.</x:v>
      </x:c>
      <x:c r="F23" s="12" t="str">
        <x:v>Г1898</x:v>
      </x:c>
      <x:c r="G23" s="14" t="str">
        <x:v>Uralskaia-1895-1899(1).md</x:v>
      </x:c>
      <x:c r="H23" s="3"/>
      <x:c r="I23" s="3"/>
      <x:c r="J23" s="3"/>
      <x:c r="K23" s="3"/>
    </x:row>
    <x:row r="24" ht="45" customHeight="1">
      <x:c r="A24" s="37" t="n">
        <x:v>1899</x:v>
      </x:c>
      <x:c r="B24" s="3"/>
      <x:c r="C24" s="3"/>
      <x:c r="D24" s="3"/>
      <x:c r="E24" s="13" t="str">
        <x:v>Сезонные рабочие и перекочёвки; 5 830 поселенцев — наличие, не годовой приток.</x:v>
      </x:c>
      <x:c r="F24" s="3" t="str">
        <x:v>Г1899</x:v>
      </x:c>
      <x:c r="G24" s="13" t="str">
        <x:v>Uralskaia-1895-1899(1).md</x:v>
      </x:c>
      <x:c r="H24" s="3"/>
      <x:c r="I24" s="3"/>
      <x:c r="J24" s="3"/>
      <x:c r="K24" s="3"/>
    </x:row>
    <x:row r="25" ht="57" customHeight="1">
      <x:c r="A25" s="38" t="n">
        <x:v>1900</x:v>
      </x:c>
      <x:c r="B25" s="12"/>
      <x:c r="C25" s="12"/>
      <x:c r="D25" s="12"/>
      <x:c r="E25" s="14" t="str">
        <x:v>Общее описание десятков тысяч сезонных рабочих и перекочёвок. Численность поселенцев — наличие; расчёт населения исключает миграцию.</x:v>
      </x:c>
      <x:c r="F25" s="12" t="str">
        <x:v>Г1900</x:v>
      </x:c>
      <x:c r="G25" s="14" t="str">
        <x:v>Uralskaia-1900-1904(1).md</x:v>
      </x:c>
      <x:c r="H25" s="3"/>
      <x:c r="I25" s="3"/>
      <x:c r="J25" s="3"/>
      <x:c r="K25" s="3"/>
    </x:row>
    <x:row r="26" ht="57" customHeight="1">
      <x:c r="A26" s="37" t="n">
        <x:v>1901</x:v>
      </x:c>
      <x:c r="B26" s="3"/>
      <x:c r="C26" s="3"/>
      <x:c r="D26" s="3"/>
      <x:c r="E26" s="13" t="str">
        <x:v>Общее описание десятков тысяч сезонных рабочих и перекочёвок. Численность поселенцев — наличие; расчёт населения исключает миграцию.</x:v>
      </x:c>
      <x:c r="F26" s="3" t="str">
        <x:v>Г1901</x:v>
      </x:c>
      <x:c r="G26" s="13" t="str">
        <x:v>Uralskaia-1900-1904(1).md</x:v>
      </x:c>
      <x:c r="H26" s="3"/>
      <x:c r="I26" s="3"/>
      <x:c r="J26" s="3"/>
      <x:c r="K26" s="3"/>
    </x:row>
    <x:row r="27" ht="57" customHeight="1">
      <x:c r="A27" s="38" t="n">
        <x:v>1902</x:v>
      </x:c>
      <x:c r="B27" s="12"/>
      <x:c r="C27" s="12"/>
      <x:c r="D27" s="12"/>
      <x:c r="E27" s="14" t="str">
        <x:v>Общее описание десятков тысяч сезонных рабочих и перекочёвок. Численность поселенцев — наличие; расчёт населения исключает миграцию.</x:v>
      </x:c>
      <x:c r="F27" s="12" t="str">
        <x:v>Г1902</x:v>
      </x:c>
      <x:c r="G27" s="14" t="str">
        <x:v>Uralskaia-1900-1904(1).md</x:v>
      </x:c>
      <x:c r="H27" s="3"/>
      <x:c r="I27" s="3"/>
      <x:c r="J27" s="3"/>
      <x:c r="K27" s="3"/>
    </x:row>
    <x:row r="28" ht="57" customHeight="1">
      <x:c r="A28" s="37" t="n">
        <x:v>1903</x:v>
      </x:c>
      <x:c r="B28" s="3"/>
      <x:c r="C28" s="3"/>
      <x:c r="D28" s="3"/>
      <x:c r="E28" s="13" t="str">
        <x:v>Общее описание десятков тысяч сезонных рабочих и перекочёвок. Численность поселенцев — наличие; расчёт населения исключает миграцию.</x:v>
      </x:c>
      <x:c r="F28" s="3" t="str">
        <x:v>Г1903</x:v>
      </x:c>
      <x:c r="G28" s="13" t="str">
        <x:v>Uralskaia-1900-1904(1).md</x:v>
      </x:c>
      <x:c r="H28" s="3"/>
      <x:c r="I28" s="3"/>
      <x:c r="J28" s="3"/>
      <x:c r="K28" s="3"/>
    </x:row>
    <x:row r="29" ht="57" customHeight="1">
      <x:c r="A29" s="38" t="n">
        <x:v>1904</x:v>
      </x:c>
      <x:c r="B29" s="12"/>
      <x:c r="C29" s="12"/>
      <x:c r="D29" s="12"/>
      <x:c r="E29" s="14" t="str">
        <x:v>Общее описание десятков тысяч сезонных рабочих и перекочёвок. Численность поселенцев — наличие; расчёт населения исключает миграцию.</x:v>
      </x:c>
      <x:c r="F29" s="12" t="str">
        <x:v>Г1904</x:v>
      </x:c>
      <x:c r="G29" s="14" t="str">
        <x:v>Uralskaia-1900-1904(1).md</x:v>
      </x:c>
      <x:c r="H29" s="3"/>
      <x:c r="I29" s="3"/>
      <x:c r="J29" s="3"/>
      <x:c r="K29" s="3"/>
    </x:row>
    <x:row r="30" ht="45" customHeight="1">
      <x:c r="A30" s="37" t="n">
        <x:v>1905</x:v>
      </x:c>
      <x:c r="B30" s="3"/>
      <x:c r="C30" s="3"/>
      <x:c r="D30" s="3"/>
      <x:c r="E30" s="13" t="str">
        <x:v>Сезонное движение без годовых потоков. 1 530 отставных нижних чинов — наличие, не прибытие.</x:v>
      </x:c>
      <x:c r="F30" s="3" t="str">
        <x:v>Г1905</x:v>
      </x:c>
      <x:c r="G30" s="13" t="str">
        <x:v>Uralskaia-1905-1906(1).md</x:v>
      </x:c>
      <x:c r="H30" s="3"/>
      <x:c r="I30" s="3"/>
      <x:c r="J30" s="3"/>
      <x:c r="K30" s="3"/>
    </x:row>
    <x:row r="31" ht="57" customHeight="1">
      <x:c r="A31" s="38" t="n">
        <x:v>1906</x:v>
      </x:c>
      <x:c r="B31" s="12"/>
      <x:c r="C31" s="12"/>
      <x:c r="D31" s="12"/>
      <x:c r="E31" s="14" t="str">
        <x:v>Сезонное движение без годовых потоков. 539 отставных — наличие. Перевод Никольской волости в Темир — смена категории.</x:v>
      </x:c>
      <x:c r="F31" s="12" t="str">
        <x:v>Г1906</x:v>
      </x:c>
      <x:c r="G31" s="14" t="str">
        <x:v>Uralskaia-1905-1906(1).md</x:v>
      </x:c>
      <x:c r="H31" s="3"/>
      <x:c r="I31" s="3"/>
      <x:c r="J31" s="3"/>
      <x:c r="K31" s="3"/>
    </x:row>
    <x:row r="32" ht="57" customHeight="1">
      <x:c r="A32" s="37" t="n">
        <x:v>1907</x:v>
      </x:c>
      <x:c r="B32" s="3"/>
      <x:c r="C32" s="3"/>
      <x:c r="D32" s="3"/>
      <x:c r="E32" s="13" t="str">
        <x:v>Покровская волость образована из существующей группы. 482 проживающих отставных — наличие; 3 приписавшихся не дают внешнего потока.</x:v>
      </x:c>
      <x:c r="F32" s="3" t="str">
        <x:v>Г1907</x:v>
      </x:c>
      <x:c r="G32" s="13" t="str">
        <x:v>Uralskaia-1907-1909(1).md</x:v>
      </x:c>
      <x:c r="H32" s="3"/>
      <x:c r="I32" s="3"/>
      <x:c r="J32" s="3"/>
      <x:c r="K32" s="3"/>
    </x:row>
    <x:row r="33" ht="57" customHeight="1">
      <x:c r="A33" s="38" t="n">
        <x:v>1908</x:v>
      </x:c>
      <x:c r="B33" s="12"/>
      <x:c r="C33" s="12"/>
      <x:c r="D33" s="12"/>
      <x:c r="E33" s="14" t="str">
        <x:v>8 974 мужские души / земельные доли зачисления, 89 740 десятин; не общий приток обоего пола. Новые переселенцы не включены в население.</x:v>
      </x:c>
      <x:c r="F33" s="12" t="str">
        <x:v>Г1908</x:v>
      </x:c>
      <x:c r="G33" s="14" t="str">
        <x:v>Uralskaia-1907-1909(1).md</x:v>
      </x:c>
      <x:c r="H33" s="3"/>
      <x:c r="I33" s="3"/>
      <x:c r="J33" s="3"/>
      <x:c r="K33" s="3"/>
    </x:row>
    <x:row r="34" ht="69" customHeight="1">
      <x:c r="A34" s="37" t="n">
        <x:v>1909</x:v>
      </x:c>
      <x:c r="B34" s="3"/>
      <x:c r="C34" s="3"/>
      <x:c r="D34" s="3"/>
      <x:c r="E34" s="13" t="str">
        <x:v>К 1910 г. 29 446 мужских душ / долей — накопленное зачисление. 24 844 на участках двух уездов плюс 2 427 жителей старых пунктов — наличие.</x:v>
      </x:c>
      <x:c r="F34" s="3" t="str">
        <x:v>Г1909</x:v>
      </x:c>
      <x:c r="G34" s="13" t="str">
        <x:v>Uralskaia-1907-1909(1).md</x:v>
      </x:c>
      <x:c r="H34" s="3"/>
      <x:c r="I34" s="3"/>
      <x:c r="J34" s="3"/>
      <x:c r="K34" s="3"/>
    </x:row>
    <x:row r="35" ht="81" customHeight="1">
      <x:c r="A35" s="38" t="n">
        <x:v>1910</x:v>
      </x:c>
      <x:c r="B35" s="12"/>
      <x:c r="C35" s="12"/>
      <x:c r="D35" s="12"/>
      <x:c r="E35" s="14" t="str">
        <x:v>Зачислены 2 591 семья / 8 387 мужских душ; формально исключены 333 семьи / 830 мужских душ в трёх подрайонах. Период не уточнён, реальный уход больше. Отход работников у 1 425 семей.</x:v>
      </x:c>
      <x:c r="F35" s="12" t="str">
        <x:v>Г1910</x:v>
      </x:c>
      <x:c r="G35" s="14" t="str">
        <x:v>Uralskaia-1910-1912(1).md</x:v>
      </x:c>
      <x:c r="H35" s="3"/>
      <x:c r="I35" s="3"/>
      <x:c r="J35" s="3"/>
      <x:c r="K35" s="3"/>
    </x:row>
    <x:row r="36" ht="57" customHeight="1">
      <x:c r="A36" s="37" t="n">
        <x:v>1911</x:v>
      </x:c>
      <x:c r="B36" s="3"/>
      <x:c r="C36" s="3"/>
      <x:c r="D36" s="3"/>
      <x:c r="E36" s="13" t="str">
        <x:v>За год ушло 5 166 переселенцев; перевес новых над ушедшими 2 970 душ, пол отдельно не указан. Полного областного баланса нет.</x:v>
      </x:c>
      <x:c r="F36" s="3" t="str">
        <x:v>Г1911</x:v>
      </x:c>
      <x:c r="G36" s="13" t="str">
        <x:v>Uralskaia-1910-1912(1).md</x:v>
      </x:c>
      <x:c r="H36" s="3"/>
      <x:c r="I36" s="3"/>
      <x:c r="J36" s="3"/>
      <x:c r="K36" s="3"/>
    </x:row>
    <x:row r="37" ht="57" customHeight="1">
      <x:c r="A37" s="38" t="n">
        <x:v>1912</x:v>
      </x:c>
      <x:c r="B37" s="12"/>
      <x:c r="C37" s="12"/>
      <x:c r="D37" s="12"/>
      <x:c r="E37" s="14" t="str">
        <x:v>Ушло почти 2 000 мужских душ, отдельный период не назван. Вне области на заработки выезжали 1 162 семьи.</x:v>
      </x:c>
      <x:c r="F37" s="12" t="str">
        <x:v>Г1912</x:v>
      </x:c>
      <x:c r="G37" s="14" t="str">
        <x:v>Uralskaia-1910-1912(1).md</x:v>
      </x:c>
      <x:c r="H37" s="3"/>
      <x:c r="I37" s="3"/>
      <x:c r="J37" s="3"/>
      <x:c r="K37" s="3"/>
    </x:row>
    <x:row r="38" ht="57" customHeight="1">
      <x:c r="A38" s="37" t="n">
        <x:v>1913</x:v>
      </x:c>
      <x:c r="B38" s="3"/>
      <x:c r="C38" s="3"/>
      <x:c r="D38" s="3"/>
      <x:c r="E38" s="13" t="str">
        <x:v>Переселенческие доли и проценты ухода/водворения — частные показатели. 318 семей на работах на стороне; общего потока в людях нет.</x:v>
      </x:c>
      <x:c r="F38" s="3" t="str">
        <x:v>Г1913</x:v>
      </x:c>
      <x:c r="G38" s="13" t="str">
        <x:v>Uralskaia-1913-1915(1).md</x:v>
      </x:c>
      <x:c r="H38" s="3"/>
      <x:c r="I38" s="3"/>
      <x:c r="J38" s="3"/>
      <x:c r="K38" s="3"/>
    </x:row>
    <x:row r="39" ht="69" customHeight="1">
      <x:c r="A39" s="38" t="n">
        <x:v>1914</x:v>
      </x:c>
      <x:c r="B39" s="12"/>
      <x:c r="C39" s="12"/>
      <x:c r="D39" s="12"/>
      <x:c r="E39" s="14" t="str">
        <x:v>Частные земельные и процентные показатели; 403 семьи на работах на стороне, включая работы внутри области. Итоги водворения противоречат друг другу.</x:v>
      </x:c>
      <x:c r="F39" s="12" t="str">
        <x:v>Г1914</x:v>
      </x:c>
      <x:c r="G39" s="14" t="str">
        <x:v>Uralskaia-1913-1915(1).md</x:v>
      </x:c>
      <x:c r="H39" s="3"/>
      <x:c r="I39" s="3"/>
      <x:c r="J39" s="3"/>
      <x:c r="K39" s="3"/>
    </x:row>
    <x:row r="40" ht="57" customHeight="1">
      <x:c r="A40" s="37" t="n">
        <x:v>1915</x:v>
      </x:c>
      <x:c r="B40" s="3"/>
      <x:c r="C40" s="3"/>
      <x:c r="D40" s="3"/>
      <x:c r="E40" s="13" t="str">
        <x:v>Частные земельные показатели; 242 семьи на работах на стороне. К 01.01.1916 эвакуировано 6 502 беженца, без полного баланса.</x:v>
      </x:c>
      <x:c r="F40" s="3" t="str">
        <x:v>Г1915</x:v>
      </x:c>
      <x:c r="G40" s="13" t="str">
        <x:v>Uralskaia-1913-1915(1).md</x:v>
      </x:c>
      <x:c r="H40" s="3"/>
      <x:c r="I40" s="3"/>
      <x:c r="J40" s="3"/>
      <x:c r="K40" s="3"/>
    </x:row>
    <x:row r="41">
      <x:c r="A41" s="3"/>
      <x:c r="B41" s="3"/>
      <x:c r="C41" s="3"/>
      <x:c r="D41" s="3"/>
      <x:c r="E41" s="3"/>
      <x:c r="F41" s="3"/>
      <x:c r="G41" s="3"/>
      <x:c r="H41" s="3"/>
      <x:c r="I41" s="3"/>
      <x:c r="J41" s="3"/>
      <x:c r="K41" s="3"/>
    </x:row>
    <x:row r="42">
      <x:c r="A42" s="3"/>
      <x:c r="B42" s="3"/>
      <x:c r="C42" s="3"/>
      <x:c r="D42" s="3"/>
      <x:c r="E42" s="3"/>
      <x:c r="F42" s="3"/>
      <x:c r="G42" s="3"/>
      <x:c r="H42" s="3"/>
      <x:c r="I42" s="3"/>
      <x:c r="J42" s="3"/>
      <x:c r="K42" s="3"/>
    </x:row>
    <x:row r="43">
      <x:c r="A43" s="3"/>
      <x:c r="B43" s="3"/>
      <x:c r="C43" s="3"/>
      <x:c r="D43" s="3"/>
      <x:c r="E43" s="3"/>
      <x:c r="F43" s="3"/>
      <x:c r="G43" s="3"/>
      <x:c r="H43" s="3"/>
      <x:c r="I43" s="3"/>
      <x:c r="J43" s="3"/>
      <x:c r="K43" s="3"/>
    </x:row>
    <x:row r="44">
      <x:c r="A44" s="4" t="str">
        <x:v>Частные сведения о переселении, наличии населения и трудовом отходе</x:v>
      </x:c>
      <x:c r="B44" s="3"/>
      <x:c r="C44" s="3"/>
      <x:c r="D44" s="3"/>
      <x:c r="E44" s="3"/>
      <x:c r="F44" s="3"/>
      <x:c r="G44" s="3"/>
      <x:c r="H44" s="3"/>
      <x:c r="I44" s="3"/>
      <x:c r="J44" s="3"/>
      <x:c r="K44" s="3"/>
    </x:row>
    <x:row r="45">
      <x:c r="A45" s="3" t="str">
        <x:v>Семьи, мужские души, доли земли и денежные сборы сохранены в исходных единицах. Доли в столбце C отображаются в процентах.</x:v>
      </x:c>
      <x:c r="B45" s="3"/>
      <x:c r="C45" s="3"/>
      <x:c r="D45" s="3"/>
      <x:c r="E45" s="3"/>
      <x:c r="F45" s="3"/>
      <x:c r="G45" s="3"/>
      <x:c r="H45" s="3"/>
      <x:c r="I45" s="3"/>
      <x:c r="J45" s="3"/>
      <x:c r="K45" s="3"/>
    </x:row>
    <x:row r="46" ht="64" customHeight="1">
      <x:c r="A46" s="11" t="str">
        <x:v>Год</x:v>
      </x:c>
      <x:c r="B46" s="11" t="str">
        <x:v>Показатель</x:v>
      </x:c>
      <x:c r="C46" s="11" t="str">
        <x:v>Значение</x:v>
      </x:c>
      <x:c r="D46" s="11" t="str">
        <x:v>Единица</x:v>
      </x:c>
      <x:c r="E46" s="11" t="str">
        <x:v>Тип показателя</x:v>
      </x:c>
      <x:c r="F46" s="11" t="str">
        <x:v>Охват / момент / период</x:v>
      </x:c>
      <x:c r="G46" s="11" t="str">
        <x:v>Точность</x:v>
      </x:c>
      <x:c r="H46" s="11" t="str">
        <x:v>Оговорка и смысл</x:v>
      </x:c>
      <x:c r="I46" s="11" t="str">
        <x:v>Страницы первичного источника</x:v>
      </x:c>
      <x:c r="J46" s="11" t="str">
        <x:v>Частная сводка</x:v>
      </x:c>
      <x:c r="K46" s="11" t="str">
        <x:v>PDF</x:v>
      </x:c>
    </x:row>
    <x:row r="47" ht="48" customHeight="1">
      <x:c r="A47" s="3" t="n">
        <x:v>1884</x:v>
      </x:c>
      <x:c r="B47" s="13" t="str">
        <x:v>Сборы за паспорта на отход из кочевий на заработки</x:v>
      </x:c>
      <x:c r="C47" s="30" t="n">
        <x:v>7368.35</x:v>
      </x:c>
      <x:c r="D47" s="13" t="str">
        <x:v>рубли</x:v>
      </x:c>
      <x:c r="E47" s="13" t="str">
        <x:v>Денежный сбор</x:v>
      </x:c>
      <x:c r="F47" s="13" t="str">
        <x:v>За 1884 г.</x:v>
      </x:c>
      <x:c r="G47" s="13" t="str">
        <x:v>Точное число</x:v>
      </x:c>
      <x:c r="H47" s="13" t="str">
        <x:v>Число людей, сроки, возвращения и пересечение границы области не установлены.</x:v>
      </x:c>
      <x:c r="I47" s="13" t="str">
        <x:v>Раздел о податях; PDF 7</x:v>
      </x:c>
      <x:c r="J47" s="13" t="str">
        <x:v>Uralskaia-1881-1885(1).md</x:v>
      </x:c>
      <x:c r="K47" s="22" t="str">
        <x:v>https://archive.org/download/obzor_uralskoi_oblasti/Обзор Уральской области за 1884 - RAW.pdf</x:v>
      </x:c>
    </x:row>
    <x:row r="48" ht="48" customHeight="1">
      <x:c r="A48" s="12" t="n">
        <x:v>1885</x:v>
      </x:c>
      <x:c r="B48" s="14" t="str">
        <x:v>Сборы за паспорта на отход из кочевий на заработки</x:v>
      </x:c>
      <x:c r="C48" s="31" t="n">
        <x:v>6317.31</x:v>
      </x:c>
      <x:c r="D48" s="14" t="str">
        <x:v>рубли</x:v>
      </x:c>
      <x:c r="E48" s="14" t="str">
        <x:v>Денежный сбор</x:v>
      </x:c>
      <x:c r="F48" s="14" t="str">
        <x:v>За 1885 г.</x:v>
      </x:c>
      <x:c r="G48" s="14" t="str">
        <x:v>Точное число</x:v>
      </x:c>
      <x:c r="H48" s="14" t="str">
        <x:v>Число людей, сроки, возвращения и пересечение границы области не установлены.</x:v>
      </x:c>
      <x:c r="I48" s="14" t="str">
        <x:v>Раздел о податях; PDF 8</x:v>
      </x:c>
      <x:c r="J48" s="14" t="str">
        <x:v>Uralskaia-1881-1885(1).md</x:v>
      </x:c>
      <x:c r="K48" s="24" t="str">
        <x:v>https://archive.org/download/obzor_uralskoi_oblasti/Обзор Уральской области за 1885 - RAW.pdf</x:v>
      </x:c>
    </x:row>
    <x:row r="49" ht="48" customHeight="1">
      <x:c r="A49" s="3" t="n">
        <x:v>1886</x:v>
      </x:c>
      <x:c r="B49" s="13" t="str">
        <x:v>Сборы за паспорта на отход из кочевий на заработки</x:v>
      </x:c>
      <x:c r="C49" s="30" t="n">
        <x:v>5274.24</x:v>
      </x:c>
      <x:c r="D49" s="13" t="str">
        <x:v>рубли</x:v>
      </x:c>
      <x:c r="E49" s="13" t="str">
        <x:v>Денежный сбор</x:v>
      </x:c>
      <x:c r="F49" s="13" t="str">
        <x:v>За 1886 г.</x:v>
      </x:c>
      <x:c r="G49" s="13" t="str">
        <x:v>Точное число</x:v>
      </x:c>
      <x:c r="H49" s="13" t="str">
        <x:v>Число людей, сроки, возвращения и пересечение границы области не установлены.</x:v>
      </x:c>
      <x:c r="I49" s="13" t="str">
        <x:v>Раздел о податях; PDF 8</x:v>
      </x:c>
      <x:c r="J49" s="13" t="str">
        <x:v>Uralskaia-1886-1889(1).md</x:v>
      </x:c>
      <x:c r="K49" s="22" t="str">
        <x:v>https://archive.org/download/obzor_uralskoi_oblasti/Обзор Уральской области за 1886 - RAW.pdf</x:v>
      </x:c>
    </x:row>
    <x:row r="50" ht="48" customHeight="1">
      <x:c r="A50" s="12" t="n">
        <x:v>1887</x:v>
      </x:c>
      <x:c r="B50" s="14" t="str">
        <x:v>Сборы за паспорта на отход из кочевий на заработки</x:v>
      </x:c>
      <x:c r="C50" s="31" t="n">
        <x:v>2863.4</x:v>
      </x:c>
      <x:c r="D50" s="14" t="str">
        <x:v>рубли</x:v>
      </x:c>
      <x:c r="E50" s="14" t="str">
        <x:v>Денежный сбор</x:v>
      </x:c>
      <x:c r="F50" s="14" t="str">
        <x:v>За 1887 г.</x:v>
      </x:c>
      <x:c r="G50" s="14" t="str">
        <x:v>Точное число</x:v>
      </x:c>
      <x:c r="H50" s="14" t="str">
        <x:v>Число людей, сроки, возвращения и пересечение границы области не установлены.</x:v>
      </x:c>
      <x:c r="I50" s="14" t="str">
        <x:v>Раздел о податях; PDF 8</x:v>
      </x:c>
      <x:c r="J50" s="14" t="str">
        <x:v>Uralskaia-1886-1889(1).md</x:v>
      </x:c>
      <x:c r="K50" s="24" t="str">
        <x:v>https://archive.org/download/obzor_uralskoi_oblasti/Обзор Уральской области за 1887 - RAW.pdf</x:v>
      </x:c>
    </x:row>
    <x:row r="51" ht="48" customHeight="1">
      <x:c r="A51" s="3" t="n">
        <x:v>1888</x:v>
      </x:c>
      <x:c r="B51" s="13" t="str">
        <x:v>Сборы за паспорта на отход из кочевий на заработки</x:v>
      </x:c>
      <x:c r="C51" s="30" t="n">
        <x:v>4973.8</x:v>
      </x:c>
      <x:c r="D51" s="13" t="str">
        <x:v>рубли</x:v>
      </x:c>
      <x:c r="E51" s="13" t="str">
        <x:v>Денежный сбор</x:v>
      </x:c>
      <x:c r="F51" s="13" t="str">
        <x:v>За 1888 г.</x:v>
      </x:c>
      <x:c r="G51" s="13" t="str">
        <x:v>Точное число</x:v>
      </x:c>
      <x:c r="H51" s="13" t="str">
        <x:v>Число людей, сроки, возвращения и пересечение границы области не установлены.</x:v>
      </x:c>
      <x:c r="I51" s="13" t="str">
        <x:v>Раздел о податях; PDF 10</x:v>
      </x:c>
      <x:c r="J51" s="13" t="str">
        <x:v>Uralskaia-1886-1889(1).md</x:v>
      </x:c>
      <x:c r="K51" s="22" t="str">
        <x:v>https://archive.org/download/obzor_uralskoi_oblasti/Обзор Уральской области за 1888 - RAW.pdf</x:v>
      </x:c>
    </x:row>
    <x:row r="52" ht="48" customHeight="1">
      <x:c r="A52" s="12" t="n">
        <x:v>1889</x:v>
      </x:c>
      <x:c r="B52" s="14" t="str">
        <x:v>Сборы за паспорта на отход из кочевий на заработки</x:v>
      </x:c>
      <x:c r="C52" s="31" t="n">
        <x:v>4676.15</x:v>
      </x:c>
      <x:c r="D52" s="14" t="str">
        <x:v>рубли</x:v>
      </x:c>
      <x:c r="E52" s="14" t="str">
        <x:v>Денежный сбор</x:v>
      </x:c>
      <x:c r="F52" s="14" t="str">
        <x:v>За 1889 г.</x:v>
      </x:c>
      <x:c r="G52" s="14" t="str">
        <x:v>Точное число</x:v>
      </x:c>
      <x:c r="H52" s="14" t="str">
        <x:v>Число людей, сроки, возвращения и пересечение границы области не установлены.</x:v>
      </x:c>
      <x:c r="I52" s="14" t="str">
        <x:v>Раздел о податях; PDF 10</x:v>
      </x:c>
      <x:c r="J52" s="14" t="str">
        <x:v>Uralskaia-1886-1889(1).md</x:v>
      </x:c>
      <x:c r="K52" s="24" t="str">
        <x:v>https://archive.org/download/obzor_uralskoi_oblasti/Обзор Уральской области за 1889 - RAW.pdf</x:v>
      </x:c>
    </x:row>
    <x:row r="53" ht="48" customHeight="1">
      <x:c r="A53" s="3" t="n">
        <x:v>1890</x:v>
      </x:c>
      <x:c r="B53" s="13" t="str">
        <x:v>Сборы за паспорта на отход из кочевий на заработки</x:v>
      </x:c>
      <x:c r="C53" s="30" t="n">
        <x:v>4157.46</x:v>
      </x:c>
      <x:c r="D53" s="13" t="str">
        <x:v>рубли</x:v>
      </x:c>
      <x:c r="E53" s="13" t="str">
        <x:v>Денежный сбор</x:v>
      </x:c>
      <x:c r="F53" s="13" t="str">
        <x:v>За 1890 г.</x:v>
      </x:c>
      <x:c r="G53" s="13" t="str">
        <x:v>Точное число</x:v>
      </x:c>
      <x:c r="H53" s="13" t="str">
        <x:v>Число людей, сроки, возвращения и пересечение границы области не установлены.</x:v>
      </x:c>
      <x:c r="I53" s="13" t="str">
        <x:v>Раздел о податях; PDF 10</x:v>
      </x:c>
      <x:c r="J53" s="13" t="str">
        <x:v>Uralskaia-1890-1894(1).md</x:v>
      </x:c>
      <x:c r="K53" s="22" t="str">
        <x:v>https://archive.org/download/obzor_uralskoi_oblasti/Обзор Уральской области за 1890 - RAW.pdf</x:v>
      </x:c>
    </x:row>
    <x:row r="54" ht="48" customHeight="1">
      <x:c r="A54" s="12" t="n">
        <x:v>1891</x:v>
      </x:c>
      <x:c r="B54" s="14" t="str">
        <x:v>Сборы за паспорта на отход из кочевий на заработки</x:v>
      </x:c>
      <x:c r="C54" s="31" t="n">
        <x:v>5048.15</x:v>
      </x:c>
      <x:c r="D54" s="14" t="str">
        <x:v>рубли</x:v>
      </x:c>
      <x:c r="E54" s="14" t="str">
        <x:v>Денежный сбор</x:v>
      </x:c>
      <x:c r="F54" s="14" t="str">
        <x:v>За 1891 г.</x:v>
      </x:c>
      <x:c r="G54" s="14" t="str">
        <x:v>Точное число</x:v>
      </x:c>
      <x:c r="H54" s="14" t="str">
        <x:v>Число людей, сроки, возвращения и пересечение границы области не установлены.</x:v>
      </x:c>
      <x:c r="I54" s="14" t="str">
        <x:v>Раздел о податях; PDF 10</x:v>
      </x:c>
      <x:c r="J54" s="14" t="str">
        <x:v>Uralskaia-1890-1894(1).md</x:v>
      </x:c>
      <x:c r="K54" s="24" t="str">
        <x:v>https://archive.org/download/obzor_uralskoi_oblasti/Обзор Уральской области за 1891 - RAW.pdf</x:v>
      </x:c>
    </x:row>
    <x:row r="55" ht="48" customHeight="1">
      <x:c r="A55" s="3" t="n">
        <x:v>1892</x:v>
      </x:c>
      <x:c r="B55" s="13" t="str">
        <x:v>Сборы за паспорта на отход из кочевий на заработки</x:v>
      </x:c>
      <x:c r="C55" s="30" t="n">
        <x:v>3228.5</x:v>
      </x:c>
      <x:c r="D55" s="13" t="str">
        <x:v>рубли</x:v>
      </x:c>
      <x:c r="E55" s="13" t="str">
        <x:v>Денежный сбор</x:v>
      </x:c>
      <x:c r="F55" s="13" t="str">
        <x:v>За 1892 г.</x:v>
      </x:c>
      <x:c r="G55" s="13" t="str">
        <x:v>Точное число</x:v>
      </x:c>
      <x:c r="H55" s="13" t="str">
        <x:v>Число людей, сроки, возвращения и пересечение границы области не установлены.</x:v>
      </x:c>
      <x:c r="I55" s="13" t="str">
        <x:v>Раздел о податях; PDF 12</x:v>
      </x:c>
      <x:c r="J55" s="13" t="str">
        <x:v>Uralskaia-1890-1894(1).md</x:v>
      </x:c>
      <x:c r="K55" s="22" t="str">
        <x:v>https://archive.org/download/obzor_uralskoi_oblasti/Обзор Уральской области за 1892 - RAW.pdf</x:v>
      </x:c>
    </x:row>
    <x:row r="56" ht="48" customHeight="1">
      <x:c r="A56" s="12" t="n">
        <x:v>1893</x:v>
      </x:c>
      <x:c r="B56" s="14" t="str">
        <x:v>Сборы за паспорта на отход из кочевий на заработки</x:v>
      </x:c>
      <x:c r="C56" s="31" t="n">
        <x:v>7139.9</x:v>
      </x:c>
      <x:c r="D56" s="14" t="str">
        <x:v>рубли</x:v>
      </x:c>
      <x:c r="E56" s="14" t="str">
        <x:v>Денежный сбор</x:v>
      </x:c>
      <x:c r="F56" s="14" t="str">
        <x:v>За 1893 г.</x:v>
      </x:c>
      <x:c r="G56" s="14" t="str">
        <x:v>Точное число</x:v>
      </x:c>
      <x:c r="H56" s="14" t="str">
        <x:v>Число людей, сроки, возвращения и пересечение границы области не установлены.</x:v>
      </x:c>
      <x:c r="I56" s="14" t="str">
        <x:v>Раздел о податях; PDF 12</x:v>
      </x:c>
      <x:c r="J56" s="14" t="str">
        <x:v>Uralskaia-1890-1894(1).md</x:v>
      </x:c>
      <x:c r="K56" s="24" t="str">
        <x:v>https://archive.org/download/obzor_uralskoi_oblasti/Обзор Уральской области за 1893 - RAW.pdf</x:v>
      </x:c>
    </x:row>
    <x:row r="57" ht="48" customHeight="1">
      <x:c r="A57" s="3" t="n">
        <x:v>1894</x:v>
      </x:c>
      <x:c r="B57" s="13" t="str">
        <x:v>Сборы за паспорта на отход из кочевий на заработки</x:v>
      </x:c>
      <x:c r="C57" s="30" t="n">
        <x:v>6852.75</x:v>
      </x:c>
      <x:c r="D57" s="13" t="str">
        <x:v>рубли</x:v>
      </x:c>
      <x:c r="E57" s="13" t="str">
        <x:v>Денежный сбор</x:v>
      </x:c>
      <x:c r="F57" s="13" t="str">
        <x:v>За 1894 г.</x:v>
      </x:c>
      <x:c r="G57" s="13" t="str">
        <x:v>Точное число</x:v>
      </x:c>
      <x:c r="H57" s="13" t="str">
        <x:v>Число людей, сроки, возвращения и пересечение границы области не установлены.</x:v>
      </x:c>
      <x:c r="I57" s="13" t="str">
        <x:v>Раздел о податях; PDF 13</x:v>
      </x:c>
      <x:c r="J57" s="13" t="str">
        <x:v>Uralskaia-1890-1894(1).md</x:v>
      </x:c>
      <x:c r="K57" s="22" t="str">
        <x:v>https://archive.org/download/obzor_uralskoi_oblasti/Обзор Уральской области за 1894 - RAW.pdf</x:v>
      </x:c>
    </x:row>
    <x:row r="58" ht="48" customHeight="1">
      <x:c r="A58" s="12" t="n">
        <x:v>1886</x:v>
      </x:c>
      <x:c r="B58" s="14" t="str">
        <x:v>Проживающие отставные нижние чины с семьями</x:v>
      </x:c>
      <x:c r="C58" s="29" t="n">
        <x:v>281</x:v>
      </x:c>
      <x:c r="D58" s="14" t="str">
        <x:v>человек</x:v>
      </x:c>
      <x:c r="E58" s="14" t="str">
        <x:v>Наличие населения</x:v>
      </x:c>
      <x:c r="F58" s="14" t="str">
        <x:v>Выпуск за 1886 г.</x:v>
      </x:c>
      <x:c r="G58" s="14" t="str">
        <x:v>Точное число</x:v>
      </x:c>
      <x:c r="H58" s="14" t="str">
        <x:v>Запас жителей частной категории, не годовое прибытие или выбытие.</x:v>
      </x:c>
      <x:c r="I58" s="14" t="str">
        <x:v>с. 9 / PDF 13</x:v>
      </x:c>
      <x:c r="J58" s="14" t="str">
        <x:v>Uralskaia-1886-1889(1).md</x:v>
      </x:c>
      <x:c r="K58" s="24" t="str">
        <x:v>https://archive.org/download/obzor_uralskoi_oblasti/Обзор Уральской области за 1886 - RAW.pdf</x:v>
      </x:c>
    </x:row>
    <x:row r="59" ht="48" customHeight="1">
      <x:c r="A59" s="3" t="n">
        <x:v>1887</x:v>
      </x:c>
      <x:c r="B59" s="13" t="str">
        <x:v>Проживающие отставные нижние чины с семьями</x:v>
      </x:c>
      <x:c r="C59" s="28" t="n">
        <x:v>664</x:v>
      </x:c>
      <x:c r="D59" s="13" t="str">
        <x:v>человек</x:v>
      </x:c>
      <x:c r="E59" s="13" t="str">
        <x:v>Наличие населения</x:v>
      </x:c>
      <x:c r="F59" s="13" t="str">
        <x:v>Выпуск за 1887 г.</x:v>
      </x:c>
      <x:c r="G59" s="13" t="str">
        <x:v>Точное число</x:v>
      </x:c>
      <x:c r="H59" s="13" t="str">
        <x:v>Запас жителей частной категории, не годовое прибытие или выбытие.</x:v>
      </x:c>
      <x:c r="I59" s="13" t="str">
        <x:v>с. 9 / PDF 13</x:v>
      </x:c>
      <x:c r="J59" s="13" t="str">
        <x:v>Uralskaia-1886-1889(1).md</x:v>
      </x:c>
      <x:c r="K59" s="22" t="str">
        <x:v>https://archive.org/download/obzor_uralskoi_oblasti/Обзор Уральской области за 1887 - RAW.pdf</x:v>
      </x:c>
    </x:row>
    <x:row r="60" ht="48" customHeight="1">
      <x:c r="A60" s="12" t="n">
        <x:v>1888</x:v>
      </x:c>
      <x:c r="B60" s="14" t="str">
        <x:v>Проживающие отставные нижние чины с семьями</x:v>
      </x:c>
      <x:c r="C60" s="29" t="n">
        <x:v>859</x:v>
      </x:c>
      <x:c r="D60" s="14" t="str">
        <x:v>человек</x:v>
      </x:c>
      <x:c r="E60" s="14" t="str">
        <x:v>Наличие населения</x:v>
      </x:c>
      <x:c r="F60" s="14" t="str">
        <x:v>Выпуск за 1888 г.</x:v>
      </x:c>
      <x:c r="G60" s="14" t="str">
        <x:v>Точное число</x:v>
      </x:c>
      <x:c r="H60" s="14" t="str">
        <x:v>Запас жителей частной категории, не годовое прибытие или выбытие.</x:v>
      </x:c>
      <x:c r="I60" s="14" t="str">
        <x:v>с. 9 / PDF 15</x:v>
      </x:c>
      <x:c r="J60" s="14" t="str">
        <x:v>Uralskaia-1886-1889(1).md</x:v>
      </x:c>
      <x:c r="K60" s="24" t="str">
        <x:v>https://archive.org/download/obzor_uralskoi_oblasti/Обзор Уральской области за 1888 - RAW.pdf</x:v>
      </x:c>
    </x:row>
    <x:row r="61" ht="48" customHeight="1">
      <x:c r="A61" s="3" t="n">
        <x:v>1905</x:v>
      </x:c>
      <x:c r="B61" s="13" t="str">
        <x:v>Проживающие отставные нижние чины</x:v>
      </x:c>
      <x:c r="C61" s="28" t="n">
        <x:v>1530</x:v>
      </x:c>
      <x:c r="D61" s="13" t="str">
        <x:v>человек</x:v>
      </x:c>
      <x:c r="E61" s="13" t="str">
        <x:v>Наличие населения</x:v>
      </x:c>
      <x:c r="F61" s="13" t="str">
        <x:v>Выпуск за 1905 г.</x:v>
      </x:c>
      <x:c r="G61" s="13" t="str">
        <x:v>Точное число</x:v>
      </x:c>
      <x:c r="H61" s="13" t="str">
        <x:v>Запас жителей частной категории, не годовое прибытие или выбытие.</x:v>
      </x:c>
      <x:c r="I61" s="13" t="str">
        <x:v>вед. № 14 / PDF 55</x:v>
      </x:c>
      <x:c r="J61" s="13" t="str">
        <x:v>Uralskaia-1905-1906(1).md</x:v>
      </x:c>
      <x:c r="K61" s="22" t="str">
        <x:v>https://archive.org/download/obzor_uralskoi_oblasti/Обзор Уральской области за 1905 - RAW.pdf</x:v>
      </x:c>
    </x:row>
    <x:row r="62" ht="48" customHeight="1">
      <x:c r="A62" s="12" t="n">
        <x:v>1906</x:v>
      </x:c>
      <x:c r="B62" s="14" t="str">
        <x:v>Проживающие отставные нижние чины</x:v>
      </x:c>
      <x:c r="C62" s="29" t="n">
        <x:v>539</x:v>
      </x:c>
      <x:c r="D62" s="14" t="str">
        <x:v>человек</x:v>
      </x:c>
      <x:c r="E62" s="14" t="str">
        <x:v>Наличие населения</x:v>
      </x:c>
      <x:c r="F62" s="14" t="str">
        <x:v>Выпуск за 1906 г.</x:v>
      </x:c>
      <x:c r="G62" s="14" t="str">
        <x:v>Точное число</x:v>
      </x:c>
      <x:c r="H62" s="14" t="str">
        <x:v>Запас жителей частной категории, не годовое прибытие или выбытие.</x:v>
      </x:c>
      <x:c r="I62" s="14" t="str">
        <x:v>вед. № 14 / PDF 53</x:v>
      </x:c>
      <x:c r="J62" s="14" t="str">
        <x:v>Uralskaia-1905-1906(1).md</x:v>
      </x:c>
      <x:c r="K62" s="24" t="str">
        <x:v>https://archive.org/download/obzor_uralskoi_oblasti/Обзор Уральской области за 1906 - RAW.pdf</x:v>
      </x:c>
    </x:row>
    <x:row r="63" ht="48" customHeight="1">
      <x:c r="A63" s="3" t="n">
        <x:v>1897</x:v>
      </x:c>
      <x:c r="B63" s="13" t="str">
        <x:v>Сезонные рабочие и перекочёвки</x:v>
      </x:c>
      <x:c r="C63" s="28"/>
      <x:c r="D63" s="13" t="str">
        <x:v>нечисловое описание</x:v>
      </x:c>
      <x:c r="E63" s="13" t="str">
        <x:v>Качественное сообщение</x:v>
      </x:c>
      <x:c r="F63" s="13" t="str">
        <x:v>Повторяющаяся характеристика</x:v>
      </x:c>
      <x:c r="G63" s="13" t="str">
        <x:v>Точное число</x:v>
      </x:c>
      <x:c r="H63" s="13" t="str">
        <x:v>Железная дорога и переселения из центральных губерний; перекочёвки в Хиву, иногда с зимовкой. Чисел потоков нет.</x:v>
      </x:c>
      <x:c r="I63" s="13" t="str">
        <x:v>Вводные разделы и разделы о движении населения</x:v>
      </x:c>
      <x:c r="J63" s="13" t="str">
        <x:v>Uralskaia-1895-1899(1).md</x:v>
      </x:c>
      <x:c r="K63" s="22" t="str">
        <x:v>https://archive.org/download/obzor_uralskoi_oblasti/Обзор Уральской области за 1897 - RAW.pdf</x:v>
      </x:c>
    </x:row>
    <x:row r="64" ht="57" customHeight="1">
      <x:c r="A64" s="12" t="n">
        <x:v>1898</x:v>
      </x:c>
      <x:c r="B64" s="14" t="str">
        <x:v>Сезонные рабочие и перекочёвки</x:v>
      </x:c>
      <x:c r="C64" s="29"/>
      <x:c r="D64" s="14" t="str">
        <x:v>нечисловое описание</x:v>
      </x:c>
      <x:c r="E64" s="14" t="str">
        <x:v>Качественное сообщение</x:v>
      </x:c>
      <x:c r="F64" s="14" t="str">
        <x:v>Повторяющаяся характеристика</x:v>
      </x:c>
      <x:c r="G64" s="14" t="str">
        <x:v>Точное число</x:v>
      </x:c>
      <x:c r="H64" s="14" t="str">
        <x:v>Весенний приход десятков тысяч сельских рабочих, частичное возвращение и оседание; перекочёвки в Хиву и Бухару. Точных годовых потоков нет. Вводные разделы описывают десятки тысяч весенних работников, частичное возвращение и оседание, а также кочевья в Хиву и Бухару.</x:v>
      </x:c>
      <x:c r="I64" s="14" t="str">
        <x:v>Вводные разделы и разделы о движении населения</x:v>
      </x:c>
      <x:c r="J64" s="14" t="str">
        <x:v>Uralskaia-1895-1899(1).md</x:v>
      </x:c>
      <x:c r="K64" s="24" t="str">
        <x:v>https://archive.org/download/obzor_uralskoi_oblasti/Обзор Уральской области за 1898 - RAW.pdf</x:v>
      </x:c>
    </x:row>
    <x:row r="65" ht="48" customHeight="1">
      <x:c r="A65" s="3" t="n">
        <x:v>1899</x:v>
      </x:c>
      <x:c r="B65" s="13" t="str">
        <x:v>Сезонные рабочие и перекочёвки</x:v>
      </x:c>
      <x:c r="C65" s="28"/>
      <x:c r="D65" s="13" t="str">
        <x:v>нечисловое описание</x:v>
      </x:c>
      <x:c r="E65" s="13" t="str">
        <x:v>Качественное сообщение</x:v>
      </x:c>
      <x:c r="F65" s="13" t="str">
        <x:v>Повторяющаяся характеристика</x:v>
      </x:c>
      <x:c r="G65" s="13" t="str">
        <x:v>Точное число</x:v>
      </x:c>
      <x:c r="H65" s="13" t="str">
        <x:v>Сезонные рабочие и перекочёвки; 5 830 поселенцев — наличие, не годовой приток. Вводные разделы описывают десятки тысяч весенних работников, частичное возвращение и оседание, а также кочевья в Хиву и Бухару.</x:v>
      </x:c>
      <x:c r="I65" s="13" t="str">
        <x:v>Вводные разделы и разделы о движении населения</x:v>
      </x:c>
      <x:c r="J65" s="13" t="str">
        <x:v>Uralskaia-1895-1899(1).md</x:v>
      </x:c>
      <x:c r="K65" s="22" t="str">
        <x:v>https://archive.org/download/obzor_uralskoi_oblasti/Обзор Уральской области за 1899 - RAW.pdf</x:v>
      </x:c>
    </x:row>
    <x:row r="66" ht="57" customHeight="1">
      <x:c r="A66" s="12" t="n">
        <x:v>1900</x:v>
      </x:c>
      <x:c r="B66" s="14" t="str">
        <x:v>Сезонные рабочие и перекочёвки</x:v>
      </x:c>
      <x:c r="C66" s="29"/>
      <x:c r="D66" s="14" t="str">
        <x:v>нечисловое описание</x:v>
      </x:c>
      <x:c r="E66" s="14" t="str">
        <x:v>Качественное сообщение</x:v>
      </x:c>
      <x:c r="F66" s="14" t="str">
        <x:v>Повторяющаяся характеристика</x:v>
      </x:c>
      <x:c r="G66" s="14" t="str">
        <x:v>Точное число</x:v>
      </x:c>
      <x:c r="H66" s="14" t="str">
        <x:v>Общее описание десятков тысяч сезонных рабочих и перекочёвок. Численность поселенцев — наличие; расчёт населения исключает миграцию. Вводные разделы описывают десятки тысяч весенних работников, частичное возвращение и оседание, а также кочевья в Хиву и Бухару.</x:v>
      </x:c>
      <x:c r="I66" s="14" t="str">
        <x:v>Вводные разделы и разделы о движении населения</x:v>
      </x:c>
      <x:c r="J66" s="14" t="str">
        <x:v>Uralskaia-1900-1904(1).md</x:v>
      </x:c>
      <x:c r="K66" s="24" t="str">
        <x:v>https://archive.org/download/obzor_uralskoi_oblasti/Обзор Уральской области за 1900 - RAW.pdf</x:v>
      </x:c>
    </x:row>
    <x:row r="67" ht="57" customHeight="1">
      <x:c r="A67" s="3" t="n">
        <x:v>1901</x:v>
      </x:c>
      <x:c r="B67" s="13" t="str">
        <x:v>Сезонные рабочие и перекочёвки</x:v>
      </x:c>
      <x:c r="C67" s="28"/>
      <x:c r="D67" s="13" t="str">
        <x:v>нечисловое описание</x:v>
      </x:c>
      <x:c r="E67" s="13" t="str">
        <x:v>Качественное сообщение</x:v>
      </x:c>
      <x:c r="F67" s="13" t="str">
        <x:v>Повторяющаяся характеристика</x:v>
      </x:c>
      <x:c r="G67" s="13" t="str">
        <x:v>Точное число</x:v>
      </x:c>
      <x:c r="H67" s="13" t="str">
        <x:v>Общее описание десятков тысяч сезонных рабочих и перекочёвок. Численность поселенцев — наличие; расчёт населения исключает миграцию. Вводные разделы описывают десятки тысяч весенних работников, частичное возвращение и оседание, а также кочевья в Хиву и Бухару.</x:v>
      </x:c>
      <x:c r="I67" s="13" t="str">
        <x:v>Вводные разделы и разделы о движении населения</x:v>
      </x:c>
      <x:c r="J67" s="13" t="str">
        <x:v>Uralskaia-1900-1904(1).md</x:v>
      </x:c>
      <x:c r="K67" s="22" t="str">
        <x:v>https://archive.org/download/obzor_uralskoi_oblasti/Обзор Уральской области за 1901 - RAW.pdf</x:v>
      </x:c>
    </x:row>
    <x:row r="68" ht="57" customHeight="1">
      <x:c r="A68" s="12" t="n">
        <x:v>1902</x:v>
      </x:c>
      <x:c r="B68" s="14" t="str">
        <x:v>Сезонные рабочие и перекочёвки</x:v>
      </x:c>
      <x:c r="C68" s="29"/>
      <x:c r="D68" s="14" t="str">
        <x:v>нечисловое описание</x:v>
      </x:c>
      <x:c r="E68" s="14" t="str">
        <x:v>Качественное сообщение</x:v>
      </x:c>
      <x:c r="F68" s="14" t="str">
        <x:v>Повторяющаяся характеристика</x:v>
      </x:c>
      <x:c r="G68" s="14" t="str">
        <x:v>Точное число</x:v>
      </x:c>
      <x:c r="H68" s="14" t="str">
        <x:v>Общее описание десятков тысяч сезонных рабочих и перекочёвок. Численность поселенцев — наличие; расчёт населения исключает миграцию. Вводные разделы описывают десятки тысяч весенних работников, частичное возвращение и оседание, а также кочевья в Хиву и Бухару.</x:v>
      </x:c>
      <x:c r="I68" s="14" t="str">
        <x:v>Вводные разделы и разделы о движении населения</x:v>
      </x:c>
      <x:c r="J68" s="14" t="str">
        <x:v>Uralskaia-1900-1904(1).md</x:v>
      </x:c>
      <x:c r="K68" s="24" t="str">
        <x:v>https://archive.org/download/obzor_uralskoi_oblasti/Обзор Уральской области за 1902 - RAW.pdf</x:v>
      </x:c>
    </x:row>
    <x:row r="69" ht="57" customHeight="1">
      <x:c r="A69" s="3" t="n">
        <x:v>1903</x:v>
      </x:c>
      <x:c r="B69" s="13" t="str">
        <x:v>Сезонные рабочие и перекочёвки</x:v>
      </x:c>
      <x:c r="C69" s="28"/>
      <x:c r="D69" s="13" t="str">
        <x:v>нечисловое описание</x:v>
      </x:c>
      <x:c r="E69" s="13" t="str">
        <x:v>Качественное сообщение</x:v>
      </x:c>
      <x:c r="F69" s="13" t="str">
        <x:v>Повторяющаяся характеристика</x:v>
      </x:c>
      <x:c r="G69" s="13" t="str">
        <x:v>Точное число</x:v>
      </x:c>
      <x:c r="H69" s="13" t="str">
        <x:v>Общее описание десятков тысяч сезонных рабочих и перекочёвок. Численность поселенцев — наличие; расчёт населения исключает миграцию. Вводные разделы описывают десятки тысяч весенних работников, частичное возвращение и оседание, а также кочевья в Хиву и Бухару.</x:v>
      </x:c>
      <x:c r="I69" s="13" t="str">
        <x:v>Вводные разделы и разделы о движении населения</x:v>
      </x:c>
      <x:c r="J69" s="13" t="str">
        <x:v>Uralskaia-1900-1904(1).md</x:v>
      </x:c>
      <x:c r="K69" s="22" t="str">
        <x:v>https://archive.org/download/obzor_uralskoi_oblasti/Обзор Уральской области за 1903 - RAW.pdf</x:v>
      </x:c>
    </x:row>
    <x:row r="70" ht="57" customHeight="1">
      <x:c r="A70" s="12" t="n">
        <x:v>1904</x:v>
      </x:c>
      <x:c r="B70" s="14" t="str">
        <x:v>Сезонные рабочие и перекочёвки</x:v>
      </x:c>
      <x:c r="C70" s="29"/>
      <x:c r="D70" s="14" t="str">
        <x:v>нечисловое описание</x:v>
      </x:c>
      <x:c r="E70" s="14" t="str">
        <x:v>Качественное сообщение</x:v>
      </x:c>
      <x:c r="F70" s="14" t="str">
        <x:v>Повторяющаяся характеристика</x:v>
      </x:c>
      <x:c r="G70" s="14" t="str">
        <x:v>Точное число</x:v>
      </x:c>
      <x:c r="H70" s="14" t="str">
        <x:v>Общее описание десятков тысяч сезонных рабочих и перекочёвок. Численность поселенцев — наличие; расчёт населения исключает миграцию. Вводные разделы описывают десятки тысяч весенних работников, частичное возвращение и оседание, а также кочевья в Хиву и Бухару.</x:v>
      </x:c>
      <x:c r="I70" s="14" t="str">
        <x:v>Вводные разделы и разделы о движении населения</x:v>
      </x:c>
      <x:c r="J70" s="14" t="str">
        <x:v>Uralskaia-1900-1904(1).md</x:v>
      </x:c>
      <x:c r="K70" s="24" t="str">
        <x:v>https://archive.org/download/obzor_uralskoi_oblasti/Обзор Уральской области за 1904 - RAW.pdf</x:v>
      </x:c>
    </x:row>
    <x:row r="71" ht="48" customHeight="1">
      <x:c r="A71" s="3" t="n">
        <x:v>1905</x:v>
      </x:c>
      <x:c r="B71" s="13" t="str">
        <x:v>Сезонные рабочие и перекочёвки</x:v>
      </x:c>
      <x:c r="C71" s="28"/>
      <x:c r="D71" s="13" t="str">
        <x:v>нечисловое описание</x:v>
      </x:c>
      <x:c r="E71" s="13" t="str">
        <x:v>Качественное сообщение</x:v>
      </x:c>
      <x:c r="F71" s="13" t="str">
        <x:v>Повторяющаяся характеристика</x:v>
      </x:c>
      <x:c r="G71" s="13" t="str">
        <x:v>Точное число</x:v>
      </x:c>
      <x:c r="H71" s="13" t="str">
        <x:v>Сезонное движение без годовых потоков. 1 530 отставных нижних чинов — наличие, не прибытие. Вводные разделы описывают десятки тысяч весенних работников, частичное возвращение и оседание, а также кочевья в Хиву и Бухару.</x:v>
      </x:c>
      <x:c r="I71" s="13" t="str">
        <x:v>Вводные разделы и разделы о движении населения</x:v>
      </x:c>
      <x:c r="J71" s="13" t="str">
        <x:v>Uralskaia-1905-1906(1).md</x:v>
      </x:c>
      <x:c r="K71" s="22" t="str">
        <x:v>https://archive.org/download/obzor_uralskoi_oblasti/Обзор Уральской области за 1905 - RAW.pdf</x:v>
      </x:c>
    </x:row>
    <x:row r="72" ht="48" customHeight="1">
      <x:c r="A72" s="12" t="n">
        <x:v>1906</x:v>
      </x:c>
      <x:c r="B72" s="14" t="str">
        <x:v>Сезонные рабочие и перекочёвки</x:v>
      </x:c>
      <x:c r="C72" s="29"/>
      <x:c r="D72" s="14" t="str">
        <x:v>нечисловое описание</x:v>
      </x:c>
      <x:c r="E72" s="14" t="str">
        <x:v>Качественное сообщение</x:v>
      </x:c>
      <x:c r="F72" s="14" t="str">
        <x:v>Повторяющаяся характеристика</x:v>
      </x:c>
      <x:c r="G72" s="14" t="str">
        <x:v>Точное число</x:v>
      </x:c>
      <x:c r="H72" s="14" t="str">
        <x:v>Сезонное движение без годовых потоков. 539 отставных — наличие. Перевод Никольской волости в Темир — смена категории. Вводные разделы описывают десятки тысяч весенних работников, частичное возвращение и оседание, а также кочевья в Хиву и Бухару.</x:v>
      </x:c>
      <x:c r="I72" s="14" t="str">
        <x:v>Вводные разделы и разделы о движении населения</x:v>
      </x:c>
      <x:c r="J72" s="14" t="str">
        <x:v>Uralskaia-1905-1906(1).md</x:v>
      </x:c>
      <x:c r="K72" s="24" t="str">
        <x:v>https://archive.org/download/obzor_uralskoi_oblasti/Обзор Уральской области за 1906 - RAW.pdf</x:v>
      </x:c>
    </x:row>
    <x:row r="73" ht="48" customHeight="1">
      <x:c r="A73" s="3" t="n">
        <x:v>1899</x:v>
      </x:c>
      <x:c r="B73" s="13" t="str">
        <x:v>Русские поселенцы</x:v>
      </x:c>
      <x:c r="C73" s="28" t="n">
        <x:v>5830</x:v>
      </x:c>
      <x:c r="D73" s="13" t="str">
        <x:v>человек</x:v>
      </x:c>
      <x:c r="E73" s="13" t="str">
        <x:v>Наличие населения</x:v>
      </x:c>
      <x:c r="F73" s="13" t="str">
        <x:v>К январю 1900 г.</x:v>
      </x:c>
      <x:c r="G73" s="13" t="str">
        <x:v>Точное число</x:v>
      </x:c>
      <x:c r="H73" s="13" t="str">
        <x:v>2 388 Джиренькупинская волость; 1 990 Жилая Коса, Ракуша и Прорва; 1 452 Шиповская и Никольская волости. Не годовой приток.</x:v>
      </x:c>
      <x:c r="I73" s="13" t="str">
        <x:v>с. 2 / PDF 10; copy 2 PDF 4</x:v>
      </x:c>
      <x:c r="J73" s="13" t="str">
        <x:v>Uralskaia-1895-1899(1).md</x:v>
      </x:c>
      <x:c r="K73" s="22" t="str">
        <x:v>https://archive.org/download/obzor_uralskoi_oblasti/Обзор Уральской области за 1899 - RAW.pdf</x:v>
      </x:c>
    </x:row>
    <x:row r="74" ht="48" customHeight="1">
      <x:c r="A74" s="12" t="n">
        <x:v>1907</x:v>
      </x:c>
      <x:c r="B74" s="14" t="str">
        <x:v>Сезонное движение рабочих</x:v>
      </x:c>
      <x:c r="C74" s="29"/>
      <x:c r="D74" s="14" t="str">
        <x:v>нечисловое описание</x:v>
      </x:c>
      <x:c r="E74" s="14" t="str">
        <x:v>Трудовая подвижность</x:v>
      </x:c>
      <x:c r="F74" s="14" t="str">
        <x:v>Повторяющееся описание</x:v>
      </x:c>
      <x:c r="G74" s="14" t="str">
        <x:v>По источнику</x:v>
      </x:c>
      <x:c r="H74" s="14" t="str">
        <x:v>Весной прибывают десятки тысяч сельских рабочих из соседних губерний. После летних работ уходят обратно, часть остаётся. Годовой итог не указан.</x:v>
      </x:c>
      <x:c r="I74" s="14" t="str">
        <x:v>с. 1 / PDF 9
https://archive.org/download/obzor_uralskoi_oblasti/Обзор Уральской области за 1907 - RAW.pdf#page=9</x:v>
      </x:c>
      <x:c r="J74" s="14" t="str">
        <x:v>Uralskaia-1907-1909(1).xlsx</x:v>
      </x:c>
      <x:c r="K74" s="24" t="str">
        <x:v>https://archive.org/download/obzor_uralskoi_oblasti/Обзор Уральской области за 1907 - RAW.pdf</x:v>
      </x:c>
    </x:row>
    <x:row r="75" ht="48" customHeight="1">
      <x:c r="A75" s="3" t="n">
        <x:v>1908</x:v>
      </x:c>
      <x:c r="B75" s="13" t="str">
        <x:v>Сезонное движение рабочих</x:v>
      </x:c>
      <x:c r="C75" s="28"/>
      <x:c r="D75" s="13" t="str">
        <x:v>нечисловое описание</x:v>
      </x:c>
      <x:c r="E75" s="13" t="str">
        <x:v>Трудовая подвижность</x:v>
      </x:c>
      <x:c r="F75" s="13" t="str">
        <x:v>Повторяющееся описание</x:v>
      </x:c>
      <x:c r="G75" s="13" t="str">
        <x:v>По источнику</x:v>
      </x:c>
      <x:c r="H75" s="13" t="str">
        <x:v>Весной прибывают десятки тысяч сельских рабочих из соседних губерний. После летних работ уходят обратно, часть остаётся. Годовой итог не указан.</x:v>
      </x:c>
      <x:c r="I75" s="13" t="str">
        <x:v>с. 1 / PDF 7
https://archive.org/download/obzor_uralskoi_oblasti/Обзор Уральской области за 1908 - RAW.pdf#page=7</x:v>
      </x:c>
      <x:c r="J75" s="13" t="str">
        <x:v>Uralskaia-1907-1909(1).xlsx</x:v>
      </x:c>
      <x:c r="K75" s="22" t="str">
        <x:v>https://archive.org/download/obzor_uralskoi_oblasti/Обзор Уральской области за 1908 - RAW.pdf</x:v>
      </x:c>
    </x:row>
    <x:row r="76" ht="48" customHeight="1">
      <x:c r="A76" s="12" t="n">
        <x:v>1909</x:v>
      </x:c>
      <x:c r="B76" s="14" t="str">
        <x:v>Сезонное движение рабочих</x:v>
      </x:c>
      <x:c r="C76" s="29"/>
      <x:c r="D76" s="14" t="str">
        <x:v>нечисловое описание</x:v>
      </x:c>
      <x:c r="E76" s="14" t="str">
        <x:v>Трудовая подвижность</x:v>
      </x:c>
      <x:c r="F76" s="14" t="str">
        <x:v>Повторяющееся описание</x:v>
      </x:c>
      <x:c r="G76" s="14" t="str">
        <x:v>По источнику</x:v>
      </x:c>
      <x:c r="H76" s="14" t="str">
        <x:v>Весной прибывают десятки тысяч сельских рабочих из соседних губерний. После летних работ уходят обратно, часть остаётся. Годовой итог не указан.</x:v>
      </x:c>
      <x:c r="I76" s="14" t="str">
        <x:v>с. 1 / PDF 7
https://archive.org/download/obzor_uralskoi_oblasti/Обзор Уральской области за 1909 - RAW.pdf#page=7</x:v>
      </x:c>
      <x:c r="J76" s="14" t="str">
        <x:v>Uralskaia-1907-1909(1).xlsx</x:v>
      </x:c>
      <x:c r="K76" s="24" t="str">
        <x:v>https://archive.org/download/obzor_uralskoi_oblasti/Обзор Уральской области за 1909 - RAW.pdf</x:v>
      </x:c>
    </x:row>
    <x:row r="77" ht="48" customHeight="1">
      <x:c r="A77" s="3" t="n">
        <x:v>1907</x:v>
      </x:c>
      <x:c r="B77" s="13" t="str">
        <x:v>Покровская волость</x:v>
      </x:c>
      <x:c r="C77" s="28"/>
      <x:c r="D77" s="13" t="str">
        <x:v>административное изменение</x:v>
      </x:c>
      <x:c r="E77" s="13" t="str">
        <x:v>Наличие / переселенческий учёт</x:v>
      </x:c>
      <x:c r="F77" s="13" t="str">
        <x:v>05.12.1907</x:v>
      </x:c>
      <x:c r="G77" s="13" t="str">
        <x:v>По источнику</x:v>
      </x:c>
      <x:c r="H77" s="13" t="str">
        <x:v>Образована из поселенцев Джиренькупинского базара. Число прибывших за год из этого не следует.</x:v>
      </x:c>
      <x:c r="I77" s="13" t="str">
        <x:v>с. 1 / PDF 9
https://archive.org/download/obzor_uralskoi_oblasti/Обзор Уральской области за 1907 - RAW.pdf#page=9</x:v>
      </x:c>
      <x:c r="J77" s="13" t="str">
        <x:v>Uralskaia-1907-1909(1).xlsx</x:v>
      </x:c>
      <x:c r="K77" s="22" t="str">
        <x:v>https://archive.org/download/obzor_uralskoi_oblasti/Обзор Уральской области за 1907 - RAW.pdf</x:v>
      </x:c>
    </x:row>
    <x:row r="78" ht="48" customHeight="1">
      <x:c r="A78" s="12" t="n">
        <x:v>1907</x:v>
      </x:c>
      <x:c r="B78" s="14" t="str">
        <x:v>Отставные нижние чины, проживающие</x:v>
      </x:c>
      <x:c r="C78" s="29" t="n">
        <x:v>482</x:v>
      </x:c>
      <x:c r="D78" s="14" t="str">
        <x:v>человек</x:v>
      </x:c>
      <x:c r="E78" s="14" t="str">
        <x:v>Наличие / переселенческий учёт</x:v>
      </x:c>
      <x:c r="F78" s="14" t="str">
        <x:v>За 1907 г.</x:v>
      </x:c>
      <x:c r="G78" s="14" t="str">
        <x:v>По источнику</x:v>
      </x:c>
      <x:c r="H78" s="14" t="str">
        <x:v>Численность проживающих, не годовой миграционный поток.</x:v>
      </x:c>
      <x:c r="I78" s="14" t="str">
        <x:v>вед. №14 / PDF 51
https://archive.org/download/obzor_uralskoi_oblasti/Обзор Уральской области за 1907 - RAW.pdf#page=51</x:v>
      </x:c>
      <x:c r="J78" s="14" t="str">
        <x:v>Uralskaia-1907-1909(1).xlsx</x:v>
      </x:c>
      <x:c r="K78" s="24" t="str">
        <x:v>https://archive.org/download/obzor_uralskoi_oblasti/Обзор Уральской области за 1907 - RAW.pdf</x:v>
      </x:c>
    </x:row>
    <x:row r="79" ht="48" customHeight="1">
      <x:c r="A79" s="3" t="n">
        <x:v>1907</x:v>
      </x:c>
      <x:c r="B79" s="13" t="str">
        <x:v>Приписавшиеся к посторонним сельским обществам</x:v>
      </x:c>
      <x:c r="C79" s="28" t="n">
        <x:v>3</x:v>
      </x:c>
      <x:c r="D79" s="13" t="str">
        <x:v>человек</x:v>
      </x:c>
      <x:c r="E79" s="13" t="str">
        <x:v>Наличие / переселенческий учёт</x:v>
      </x:c>
      <x:c r="F79" s="13" t="str">
        <x:v>За 1907 г.</x:v>
      </x:c>
      <x:c r="G79" s="13" t="str">
        <x:v>По источнику</x:v>
      </x:c>
      <x:c r="H79" s="13" t="str">
        <x:v>Частная категория ведомости №14. Пересечение границы области не установлено.</x:v>
      </x:c>
      <x:c r="I79" s="13" t="str">
        <x:v>вед. №14 / PDF 51
https://archive.org/download/obzor_uralskoi_oblasti/Обзор Уральской области за 1907 - RAW.pdf#page=51</x:v>
      </x:c>
      <x:c r="J79" s="13" t="str">
        <x:v>Uralskaia-1907-1909(1).xlsx</x:v>
      </x:c>
      <x:c r="K79" s="22" t="str">
        <x:v>https://archive.org/download/obzor_uralskoi_oblasti/Обзор Уральской области за 1907 - RAW.pdf</x:v>
      </x:c>
    </x:row>
    <x:row r="80" ht="48" customHeight="1">
      <x:c r="A80" s="12" t="n">
        <x:v>1908</x:v>
      </x:c>
      <x:c r="B80" s="14" t="str">
        <x:v>Новые волости</x:v>
      </x:c>
      <x:c r="C80" s="29" t="n">
        <x:v>4</x:v>
      </x:c>
      <x:c r="D80" s="14" t="str">
        <x:v>волость</x:v>
      </x:c>
      <x:c r="E80" s="14" t="str">
        <x:v>Наличие / переселенческий учёт</x:v>
      </x:c>
      <x:c r="F80" s="14" t="str">
        <x:v>В 1908 г.</x:v>
      </x:c>
      <x:c r="G80" s="14" t="str">
        <x:v>По источнику</x:v>
      </x:c>
      <x:c r="H80" s="14" t="str">
        <x:v>Административный показатель, не число мигрантов.</x:v>
      </x:c>
      <x:c r="I80" s="14" t="str">
        <x:v>с. 1 / PDF 7
https://archive.org/download/obzor_uralskoi_oblasti/Обзор Уральской области за 1908 - RAW.pdf#page=7</x:v>
      </x:c>
      <x:c r="J80" s="14" t="str">
        <x:v>Uralskaia-1907-1909(1).xlsx</x:v>
      </x:c>
      <x:c r="K80" s="24" t="str">
        <x:v>https://archive.org/download/obzor_uralskoi_oblasti/Обзор Уральской области за 1908 - RAW.pdf</x:v>
      </x:c>
    </x:row>
    <x:row r="81" ht="48" customHeight="1">
      <x:c r="A81" s="3" t="n">
        <x:v>1908</x:v>
      </x:c>
      <x:c r="B81" s="13" t="str">
        <x:v>Новые сельские общества</x:v>
      </x:c>
      <x:c r="C81" s="28" t="n">
        <x:v>21</x:v>
      </x:c>
      <x:c r="D81" s="13" t="str">
        <x:v>общество</x:v>
      </x:c>
      <x:c r="E81" s="13" t="str">
        <x:v>Наличие / переселенческий учёт</x:v>
      </x:c>
      <x:c r="F81" s="13" t="str">
        <x:v>В 1908 г.</x:v>
      </x:c>
      <x:c r="G81" s="13" t="str">
        <x:v>По источнику</x:v>
      </x:c>
      <x:c r="H81" s="13" t="str">
        <x:v>Административный показатель, не число мигрантов.</x:v>
      </x:c>
      <x:c r="I81" s="13" t="str">
        <x:v>с. 1 / PDF 7
https://archive.org/download/obzor_uralskoi_oblasti/Обзор Уральской области за 1908 - RAW.pdf#page=7</x:v>
      </x:c>
      <x:c r="J81" s="13" t="str">
        <x:v>Uralskaia-1907-1909(1).xlsx</x:v>
      </x:c>
      <x:c r="K81" s="22" t="str">
        <x:v>https://archive.org/download/obzor_uralskoi_oblasti/Обзор Уральской области за 1908 - RAW.pdf</x:v>
      </x:c>
    </x:row>
    <x:row r="82" ht="48" customHeight="1">
      <x:c r="A82" s="12" t="n">
        <x:v>1908</x:v>
      </x:c>
      <x:c r="B82" s="14" t="str">
        <x:v>Зачисленные доли в Уральском уезде</x:v>
      </x:c>
      <x:c r="C82" s="29" t="n">
        <x:v>8974</x:v>
      </x:c>
      <x:c r="D82" s="14" t="str">
        <x:v>доля / мужская душа при зачислении</x:v>
      </x:c>
      <x:c r="E82" s="14" t="str">
        <x:v>Административное зачисление</x:v>
      </x:c>
      <x:c r="F82" s="14" t="str">
        <x:v>В 1908 г.</x:v>
      </x:c>
      <x:c r="G82" s="14" t="str">
        <x:v>По источнику</x:v>
      </x:c>
      <x:c r="H82" s="14" t="str">
        <x:v>Не общий итог фактически прибывших обоего пола.</x:v>
      </x:c>
      <x:c r="I82" s="14" t="str">
        <x:v>с. 1 / PDF 7
https://archive.org/download/obzor_uralskoi_oblasti/Обзор Уральской области за 1908 - RAW.pdf#page=7</x:v>
      </x:c>
      <x:c r="J82" s="14" t="str">
        <x:v>Uralskaia-1907-1909(1).xlsx</x:v>
      </x:c>
      <x:c r="K82" s="24" t="str">
        <x:v>https://archive.org/download/obzor_uralskoi_oblasti/Обзор Уральской области за 1908 - RAW.pdf</x:v>
      </x:c>
    </x:row>
    <x:row r="83" ht="48" customHeight="1">
      <x:c r="A83" s="3" t="n">
        <x:v>1908</x:v>
      </x:c>
      <x:c r="B83" s="13" t="str">
        <x:v>Земля по зачисленным долям</x:v>
      </x:c>
      <x:c r="C83" s="28" t="n">
        <x:v>89740</x:v>
      </x:c>
      <x:c r="D83" s="13" t="str">
        <x:v>десятина</x:v>
      </x:c>
      <x:c r="E83" s="13" t="str">
        <x:v>Административное зачисление</x:v>
      </x:c>
      <x:c r="F83" s="13" t="str">
        <x:v>В 1908 г.</x:v>
      </x:c>
      <x:c r="G83" s="13" t="str">
        <x:v>По источнику</x:v>
      </x:c>
      <x:c r="H83" s="13" t="str">
        <x:v>Площадь земли.</x:v>
      </x:c>
      <x:c r="I83" s="13" t="str">
        <x:v>с. 1 / PDF 7
https://archive.org/download/obzor_uralskoi_oblasti/Обзор Уральской области за 1908 - RAW.pdf#page=7</x:v>
      </x:c>
      <x:c r="J83" s="13" t="str">
        <x:v>Uralskaia-1907-1909(1).xlsx</x:v>
      </x:c>
      <x:c r="K83" s="22" t="str">
        <x:v>https://archive.org/download/obzor_uralskoi_oblasti/Обзор Уральской области за 1908 - RAW.pdf</x:v>
      </x:c>
    </x:row>
    <x:row r="84" ht="48" customHeight="1">
      <x:c r="A84" s="12" t="n">
        <x:v>1909</x:v>
      </x:c>
      <x:c r="B84" s="14" t="str">
        <x:v>Русские волости, всего утверждено</x:v>
      </x:c>
      <x:c r="C84" s="29" t="n">
        <x:v>14</x:v>
      </x:c>
      <x:c r="D84" s="14" t="str">
        <x:v>волость</x:v>
      </x:c>
      <x:c r="E84" s="14" t="str">
        <x:v>Наличие / переселенческий учёт</x:v>
      </x:c>
      <x:c r="F84" s="14" t="str">
        <x:v>К 1910 г.</x:v>
      </x:c>
      <x:c r="G84" s="14" t="str">
        <x:v>По источнику</x:v>
      </x:c>
      <x:c r="H84" s="14" t="str">
        <x:v>Накопленный административный итог.</x:v>
      </x:c>
      <x:c r="I84" s="14" t="str">
        <x:v>с. 1 / PDF 7
https://archive.org/download/obzor_uralskoi_oblasti/Обзор Уральской области за 1909 - RAW.pdf#page=7</x:v>
      </x:c>
      <x:c r="J84" s="14" t="str">
        <x:v>Uralskaia-1907-1909(1).xlsx</x:v>
      </x:c>
      <x:c r="K84" s="24" t="str">
        <x:v>https://archive.org/download/obzor_uralskoi_oblasti/Обзор Уральской области за 1909 - RAW.pdf</x:v>
      </x:c>
    </x:row>
    <x:row r="85" ht="48" customHeight="1">
      <x:c r="A85" s="3" t="n">
        <x:v>1909</x:v>
      </x:c>
      <x:c r="B85" s="13" t="str">
        <x:v>Сельские общества, всего утверждено</x:v>
      </x:c>
      <x:c r="C85" s="28" t="n">
        <x:v>46</x:v>
      </x:c>
      <x:c r="D85" s="13" t="str">
        <x:v>общество</x:v>
      </x:c>
      <x:c r="E85" s="13" t="str">
        <x:v>Наличие / переселенческий учёт</x:v>
      </x:c>
      <x:c r="F85" s="13" t="str">
        <x:v>К 1910 г.</x:v>
      </x:c>
      <x:c r="G85" s="13" t="str">
        <x:v>По источнику</x:v>
      </x:c>
      <x:c r="H85" s="13" t="str">
        <x:v>Накопленный административный итог.</x:v>
      </x:c>
      <x:c r="I85" s="13" t="str">
        <x:v>с. 1 / PDF 7
https://archive.org/download/obzor_uralskoi_oblasti/Обзор Уральской области за 1909 - RAW.pdf#page=7</x:v>
      </x:c>
      <x:c r="J85" s="13" t="str">
        <x:v>Uralskaia-1907-1909(1).xlsx</x:v>
      </x:c>
      <x:c r="K85" s="22" t="str">
        <x:v>https://archive.org/download/obzor_uralskoi_oblasti/Обзор Уральской области за 1909 - RAW.pdf</x:v>
      </x:c>
    </x:row>
    <x:row r="86" ht="48" customHeight="1">
      <x:c r="A86" s="12" t="n">
        <x:v>1909</x:v>
      </x:c>
      <x:c r="B86" s="14" t="str">
        <x:v>Зачисленные доли в Уральском уезде</x:v>
      </x:c>
      <x:c r="C86" s="29" t="n">
        <x:v>29446</x:v>
      </x:c>
      <x:c r="D86" s="14" t="str">
        <x:v>доля / мужская душа при зачислении</x:v>
      </x:c>
      <x:c r="E86" s="14" t="str">
        <x:v>Административное зачисление</x:v>
      </x:c>
      <x:c r="F86" s="14" t="str">
        <x:v>К 1910 г.</x:v>
      </x:c>
      <x:c r="G86" s="14" t="str">
        <x:v>По источнику</x:v>
      </x:c>
      <x:c r="H86" s="14" t="str">
        <x:v>Накопленный итог, не годовой поток 1909 г. Земля — свыше 300 000 десятин.</x:v>
      </x:c>
      <x:c r="I86" s="14" t="str">
        <x:v>с. 1 / PDF 7
https://archive.org/download/obzor_uralskoi_oblasti/Обзор Уральской области за 1909 - RAW.pdf#page=7</x:v>
      </x:c>
      <x:c r="J86" s="14" t="str">
        <x:v>Uralskaia-1907-1909(1).xlsx</x:v>
      </x:c>
      <x:c r="K86" s="24" t="str">
        <x:v>https://archive.org/download/obzor_uralskoi_oblasti/Обзор Уральской области за 1909 - RAW.pdf</x:v>
      </x:c>
    </x:row>
    <x:row r="87" ht="48" customHeight="1">
      <x:c r="A87" s="3" t="n">
        <x:v>1909</x:v>
      </x:c>
      <x:c r="B87" s="13" t="str">
        <x:v>Водворенные: Уральский уезд</x:v>
      </x:c>
      <x:c r="C87" s="28" t="n">
        <x:v>22743</x:v>
      </x:c>
      <x:c r="D87" s="13" t="str">
        <x:v>человек обоего пола</x:v>
      </x:c>
      <x:c r="E87" s="13" t="str">
        <x:v>Наличие / переселенческий учёт</x:v>
      </x:c>
      <x:c r="F87" s="13" t="str">
        <x:v>01.01.1910</x:v>
      </x:c>
      <x:c r="G87" s="13" t="str">
        <x:v>По источнику</x:v>
      </x:c>
      <x:c r="H87" s="13" t="str">
        <x:v>11 642 мужчины + 11 101 женщина. Численность на участках, не годовой приток.</x:v>
      </x:c>
      <x:c r="I87" s="13" t="str">
        <x:v>с. 2 / PDF 8
https://archive.org/download/obzor_uralskoi_oblasti/Обзор Уральской области за 1909 - RAW.pdf#page=8</x:v>
      </x:c>
      <x:c r="J87" s="13" t="str">
        <x:v>Uralskaia-1907-1909(1).xlsx</x:v>
      </x:c>
      <x:c r="K87" s="22" t="str">
        <x:v>https://archive.org/download/obzor_uralskoi_oblasti/Обзор Уральской области за 1909 - RAW.pdf</x:v>
      </x:c>
    </x:row>
    <x:row r="88" ht="48" customHeight="1">
      <x:c r="A88" s="12" t="n">
        <x:v>1909</x:v>
      </x:c>
      <x:c r="B88" s="14" t="str">
        <x:v>Водворенные: Темирский уезд</x:v>
      </x:c>
      <x:c r="C88" s="29" t="n">
        <x:v>2101</x:v>
      </x:c>
      <x:c r="D88" s="14" t="str">
        <x:v>человек обоего пола</x:v>
      </x:c>
      <x:c r="E88" s="14" t="str">
        <x:v>Наличие / переселенческий учёт</x:v>
      </x:c>
      <x:c r="F88" s="14" t="str">
        <x:v>01.01.1910</x:v>
      </x:c>
      <x:c r="G88" s="14" t="str">
        <x:v>По источнику</x:v>
      </x:c>
      <x:c r="H88" s="14" t="str">
        <x:v>1 166 мужчин + 935 женщин. Численность на участках, не годовой приток.</x:v>
      </x:c>
      <x:c r="I88" s="14" t="str">
        <x:v>с. 2 / PDF 8
https://archive.org/download/obzor_uralskoi_oblasti/Обзор Уральской области за 1909 - RAW.pdf#page=8</x:v>
      </x:c>
      <x:c r="J88" s="14" t="str">
        <x:v>Uralskaia-1907-1909(1).xlsx</x:v>
      </x:c>
      <x:c r="K88" s="24" t="str">
        <x:v>https://archive.org/download/obzor_uralskoi_oblasti/Обзор Уральской области за 1909 - RAW.pdf</x:v>
      </x:c>
    </x:row>
    <x:row r="89" ht="48" customHeight="1">
      <x:c r="A89" s="3" t="n">
        <x:v>1909</x:v>
      </x:c>
      <x:c r="B89" s="13" t="str">
        <x:v>Жилая Коса, Ракуша и Прорва</x:v>
      </x:c>
      <x:c r="C89" s="28" t="n">
        <x:v>2427</x:v>
      </x:c>
      <x:c r="D89" s="13" t="str">
        <x:v>человек обоего пола</x:v>
      </x:c>
      <x:c r="E89" s="13" t="str">
        <x:v>Наличие / переселенческий учёт</x:v>
      </x:c>
      <x:c r="F89" s="13" t="str">
        <x:v>01.01.1910</x:v>
      </x:c>
      <x:c r="G89" s="13" t="str">
        <x:v>По источнику</x:v>
      </x:c>
      <x:c r="H89" s="13" t="str">
        <x:v>1 385 мужчин + 1 042 женщины. Старые поселения, включённые в отдельную группу.</x:v>
      </x:c>
      <x:c r="I89" s="13" t="str">
        <x:v>с. 2 / PDF 8
https://archive.org/download/obzor_uralskoi_oblasti/Обзор Уральской области за 1909 - RAW.pdf#page=8</x:v>
      </x:c>
      <x:c r="J89" s="13" t="str">
        <x:v>Uralskaia-1907-1909(1).xlsx</x:v>
      </x:c>
      <x:c r="K89" s="22" t="str">
        <x:v>https://archive.org/download/obzor_uralskoi_oblasti/Обзор Уральской области за 1909 - RAW.pdf</x:v>
      </x:c>
    </x:row>
    <x:row r="90" ht="48" customHeight="1">
      <x:c r="A90" s="12" t="n">
        <x:v>1909</x:v>
      </x:c>
      <x:c r="B90" s="14" t="str">
        <x:v>Отдельная переселенческая группа, всего</x:v>
      </x:c>
      <x:c r="C90" s="29" t="n">
        <x:v>27271</x:v>
      </x:c>
      <x:c r="D90" s="14" t="str">
        <x:v>человек обоего пола</x:v>
      </x:c>
      <x:c r="E90" s="14" t="str">
        <x:v>Наличие / переселенческий учёт</x:v>
      </x:c>
      <x:c r="F90" s="14" t="str">
        <x:v>01.01.1910</x:v>
      </x:c>
      <x:c r="G90" s="14" t="str">
        <x:v>По источнику</x:v>
      </x:c>
      <x:c r="H90" s="14" t="str">
        <x:v>22 743 + 2 101 + 2 427. Не число новых прибывших за 1909 г.</x:v>
      </x:c>
      <x:c r="I90" s="14" t="str">
        <x:v>с. 2 / PDF 8
https://archive.org/download/obzor_uralskoi_oblasti/Обзор Уральской области за 1909 - RAW.pdf#page=8</x:v>
      </x:c>
      <x:c r="J90" s="14" t="str">
        <x:v>Uralskaia-1907-1909(1).xlsx</x:v>
      </x:c>
      <x:c r="K90" s="24" t="str">
        <x:v>https://archive.org/download/obzor_uralskoi_oblasti/Обзор Уральской области за 1909 - RAW.pdf</x:v>
      </x:c>
    </x:row>
    <x:row r="91" ht="48" customHeight="1">
      <x:c r="A91" s="3" t="n">
        <x:v>1910</x:v>
      </x:c>
      <x:c r="B91" s="13" t="str">
        <x:v>Зачислены на участки</x:v>
      </x:c>
      <x:c r="C91" s="28" t="n">
        <x:v>2591</x:v>
      </x:c>
      <x:c r="D91" s="13" t="str">
        <x:v>семьи</x:v>
      </x:c>
      <x:c r="E91" s="13" t="str">
        <x:v>Административное зачисление</x:v>
      </x:c>
      <x:c r="F91" s="13" t="str">
        <x:v>Только три подрайона</x:v>
      </x:c>
      <x:c r="G91" s="13" t="str">
        <x:v>Точное число</x:v>
      </x:c>
      <x:c r="H91" s="13" t="str">
        <x:v>Административное зачисление; календарный интервал прямо не обозначен. Указано в обзоре 1910 г. в контексте положения к 1911 г.</x:v>
      </x:c>
      <x:c r="I91" s="13" t="str">
        <x:v>1910, 12; RAW PDF 15, OCR PDF 20</x:v>
      </x:c>
      <x:c r="J91" s="13" t="str">
        <x:v>Uralskaia-1910-1912(1).xlsx</x:v>
      </x:c>
      <x:c r="K91" s="22" t="str">
        <x:v>https://archive.org/download/obzor_uralskoi_oblasti/Обзор Уральской области за 1910 (copy 2) - RAW.pdf</x:v>
      </x:c>
    </x:row>
    <x:row r="92" ht="48" customHeight="1">
      <x:c r="A92" s="12" t="n">
        <x:v>1910</x:v>
      </x:c>
      <x:c r="B92" s="14" t="str">
        <x:v>Зачислены на участки</x:v>
      </x:c>
      <x:c r="C92" s="29" t="n">
        <x:v>8387</x:v>
      </x:c>
      <x:c r="D92" s="14" t="str">
        <x:v>души мужского пола</x:v>
      </x:c>
      <x:c r="E92" s="14" t="str">
        <x:v>Административное зачисление</x:v>
      </x:c>
      <x:c r="F92" s="14" t="str">
        <x:v>Те же 2 591 семья, три подрайона</x:v>
      </x:c>
      <x:c r="G92" s="14" t="str">
        <x:v>Точное число</x:v>
      </x:c>
      <x:c r="H92" s="14" t="str">
        <x:v>Это мужские души в составе семей, а не число прибывших обоего пола.</x:v>
      </x:c>
      <x:c r="I92" s="14" t="str">
        <x:v>1910, 12; RAW PDF 15, OCR PDF 20</x:v>
      </x:c>
      <x:c r="J92" s="14" t="str">
        <x:v>Uralskaia-1910-1912(1).xlsx</x:v>
      </x:c>
      <x:c r="K92" s="24" t="str">
        <x:v>https://archive.org/download/obzor_uralskoi_oblasti/Обзор Уральской области за 1910 (copy 2) - RAW.pdf</x:v>
      </x:c>
    </x:row>
    <x:row r="93" ht="48" customHeight="1">
      <x:c r="A93" s="3" t="n">
        <x:v>1910</x:v>
      </x:c>
      <x:c r="B93" s="13" t="str">
        <x:v>Выбыли, формально исключены</x:v>
      </x:c>
      <x:c r="C93" s="28" t="n">
        <x:v>333</x:v>
      </x:c>
      <x:c r="D93" s="13" t="str">
        <x:v>семьи</x:v>
      </x:c>
      <x:c r="E93" s="13" t="str">
        <x:v>Частное сообщение об уходе</x:v>
      </x:c>
      <x:c r="F93" s="13" t="str">
        <x:v>Водворенные переселенцы, три подрайона</x:v>
      </x:c>
      <x:c r="G93" s="13" t="str">
        <x:v>Точное число</x:v>
      </x:c>
      <x:c r="H93" s="13" t="str">
        <x:v>Источник сообщает, что действительное число ушедших к 1911 г. в несколько раз больше числа формально исключённых.</x:v>
      </x:c>
      <x:c r="I93" s="13" t="str">
        <x:v>1910, 12; RAW PDF 15, OCR PDF 20</x:v>
      </x:c>
      <x:c r="J93" s="13" t="str">
        <x:v>Uralskaia-1910-1912(1).xlsx</x:v>
      </x:c>
      <x:c r="K93" s="22" t="str">
        <x:v>https://archive.org/download/obzor_uralskoi_oblasti/Обзор Уральской области за 1910 (copy 2) - RAW.pdf</x:v>
      </x:c>
    </x:row>
    <x:row r="94" ht="48" customHeight="1">
      <x:c r="A94" s="12" t="n">
        <x:v>1910</x:v>
      </x:c>
      <x:c r="B94" s="14" t="str">
        <x:v>Выбыли, формально исключены</x:v>
      </x:c>
      <x:c r="C94" s="29" t="n">
        <x:v>830</x:v>
      </x:c>
      <x:c r="D94" s="14" t="str">
        <x:v>души мужского пола</x:v>
      </x:c>
      <x:c r="E94" s="14" t="str">
        <x:v>Частное сообщение об уходе</x:v>
      </x:c>
      <x:c r="F94" s="14" t="str">
        <x:v>Те же 333 семьи, три подрайона</x:v>
      </x:c>
      <x:c r="G94" s="14" t="str">
        <x:v>Точное число</x:v>
      </x:c>
      <x:c r="H94" s="14" t="str">
        <x:v>Только мужской пол; сведения неполны и не охватывают всю область.</x:v>
      </x:c>
      <x:c r="I94" s="14" t="str">
        <x:v>1910, 12; RAW PDF 15, OCR PDF 20</x:v>
      </x:c>
      <x:c r="J94" s="14" t="str">
        <x:v>Uralskaia-1910-1912(1).xlsx</x:v>
      </x:c>
      <x:c r="K94" s="24" t="str">
        <x:v>https://archive.org/download/obzor_uralskoi_oblasti/Обзор Уральской области за 1910 (copy 2) - RAW.pdf</x:v>
      </x:c>
    </x:row>
    <x:row r="95" ht="48" customHeight="1">
      <x:c r="A95" s="3" t="n">
        <x:v>1910</x:v>
      </x:c>
      <x:c r="B95" s="13" t="str">
        <x:v>Отпускают работников на сторону</x:v>
      </x:c>
      <x:c r="C95" s="28" t="n">
        <x:v>1425</x:v>
      </x:c>
      <x:c r="D95" s="13" t="str">
        <x:v>семьи</x:v>
      </x:c>
      <x:c r="E95" s="13" t="str">
        <x:v>Трудовая подвижность</x:v>
      </x:c>
      <x:c r="F95" s="13" t="str">
        <x:v>Переселенческие семьи, отдающие работников</x:v>
      </x:c>
      <x:c r="G95" s="13" t="str">
        <x:v>Точное число</x:v>
      </x:c>
      <x:c r="H95" s="13" t="str">
        <x:v>Занятость на стороне. Не указано, что все работники покидали область; число людей и семей, переселившихся окончательно, из этой цифры не определяется.</x:v>
      </x:c>
      <x:c r="I95" s="13" t="str">
        <x:v>1910, 11; RAW PDF 14, OCR PDF 19</x:v>
      </x:c>
      <x:c r="J95" s="13" t="str">
        <x:v>Uralskaia-1910-1912(1).xlsx</x:v>
      </x:c>
      <x:c r="K95" s="22" t="str">
        <x:v>https://archive.org/download/obzor_uralskoi_oblasti/Обзор Уральской области за 1910 (copy 2) - RAW.pdf</x:v>
      </x:c>
    </x:row>
    <x:row r="96" ht="48" customHeight="1">
      <x:c r="A96" s="12" t="n">
        <x:v>1911</x:v>
      </x:c>
      <x:c r="B96" s="14" t="str">
        <x:v>Ушли из области за 1911 год</x:v>
      </x:c>
      <x:c r="C96" s="29" t="n">
        <x:v>5166</x:v>
      </x:c>
      <x:c r="D96" s="14" t="str">
        <x:v>человек</x:v>
      </x:c>
      <x:c r="E96" s="14" t="str">
        <x:v>Частное сообщение об уходе</x:v>
      </x:c>
      <x:c r="F96" s="14" t="str">
        <x:v>Переселенцы; пол отдельно не оговорён</x:v>
      </x:c>
      <x:c r="G96" s="14" t="str">
        <x:v>Точное число</x:v>
      </x:c>
      <x:c r="H96" s="14" t="str">
        <x:v>Отъезд связан с неурожаями и расстройством хозяйств. Общий отток всего населения области не сообщён.</x:v>
      </x:c>
      <x:c r="I96" s="14" t="str">
        <x:v>1911, 14; RAW PDF 17, OCR PDF 24</x:v>
      </x:c>
      <x:c r="J96" s="14" t="str">
        <x:v>Uralskaia-1910-1912(1).xlsx</x:v>
      </x:c>
      <x:c r="K96" s="24" t="str">
        <x:v>https://archive.org/download/obzor_uralskoi_oblasti/Обзор Уральской области за 1911 (copy 2) - RAW.pdf</x:v>
      </x:c>
    </x:row>
    <x:row r="97" ht="48" customHeight="1">
      <x:c r="A97" s="3" t="n">
        <x:v>1911</x:v>
      </x:c>
      <x:c r="B97" s="13" t="str">
        <x:v>Пришедшие на участки минус ушедшие</x:v>
      </x:c>
      <x:c r="C97" s="28" t="n">
        <x:v>2970</x:v>
      </x:c>
      <x:c r="D97" s="13" t="str">
        <x:v>души, пол не указан</x:v>
      </x:c>
      <x:c r="E97" s="13" t="str">
        <x:v>Частное сообщение о перевесе прихода</x:v>
      </x:c>
      <x:c r="F97" s="13" t="str">
        <x:v>Переселенцы на участках</x:v>
      </x:c>
      <x:c r="G97" s="13" t="str">
        <x:v>Точное число</x:v>
      </x:c>
      <x:c r="H97" s="13" t="str">
        <x:v>Прямо напечатанное сальдо. Отдельное число прибывших не приведено. Совпадение охвата с числом 5 166 ушедших не доказано.</x:v>
      </x:c>
      <x:c r="I97" s="13" t="str">
        <x:v>1911, 14; RAW PDF 17, OCR PDF 24</x:v>
      </x:c>
      <x:c r="J97" s="13" t="str">
        <x:v>Uralskaia-1910-1912(1).xlsx</x:v>
      </x:c>
      <x:c r="K97" s="22" t="str">
        <x:v>https://archive.org/download/obzor_uralskoi_oblasti/Обзор Уральской области за 1911 (copy 2) - RAW.pdf</x:v>
      </x:c>
    </x:row>
    <x:row r="98" ht="48" customHeight="1">
      <x:c r="A98" s="12" t="n">
        <x:v>1912</x:v>
      </x:c>
      <x:c r="B98" s="14" t="str">
        <x:v>Ушли из области</x:v>
      </x:c>
      <x:c r="C98" s="29" t="n">
        <x:v>2000</x:v>
      </x:c>
      <x:c r="D98" s="14" t="str">
        <x:v>души мужского пола</x:v>
      </x:c>
      <x:c r="E98" s="14" t="str">
        <x:v>Частное сообщение об уходе</x:v>
      </x:c>
      <x:c r="F98" s="14" t="str">
        <x:v>Переселенцы в контексте смены семей</x:v>
      </x:c>
      <x:c r="G98" s="14" t="str">
        <x:v>Почти</x:v>
      </x:c>
      <x:c r="H98" s="14" t="str">
        <x:v>В источнике: «почти 2000 м. душъ». Число приблизительное; отдельный календарный интервал не указан в этой фразе. Контекст — последствия неурожаев и новые семьи в 1912 г.</x:v>
      </x:c>
      <x:c r="I98" s="14" t="str">
        <x:v>1912, 10; RAW PDF 14, OCR PDF 14</x:v>
      </x:c>
      <x:c r="J98" s="14" t="str">
        <x:v>Uralskaia-1910-1912(1).xlsx</x:v>
      </x:c>
      <x:c r="K98" s="24" t="str">
        <x:v>https://archive.org/download/obzor_uralskoi_oblasti/Обзор Уральской области за 1912 - RAW.pdf</x:v>
      </x:c>
    </x:row>
    <x:row r="99" ht="48" customHeight="1">
      <x:c r="A99" s="3" t="n">
        <x:v>1912</x:v>
      </x:c>
      <x:c r="B99" s="13" t="str">
        <x:v>Выезжали на отхожие заработки вне области</x:v>
      </x:c>
      <x:c r="C99" s="28" t="n">
        <x:v>1162</x:v>
      </x:c>
      <x:c r="D99" s="13" t="str">
        <x:v>семьи</x:v>
      </x:c>
      <x:c r="E99" s="13" t="str">
        <x:v>Трудовая подвижность</x:v>
      </x:c>
      <x:c r="F99" s="13" t="str">
        <x:v>Переселенческие семьи</x:v>
      </x:c>
      <x:c r="G99" s="13" t="str">
        <x:v>Точное число</x:v>
      </x:c>
      <x:c r="H99" s="13" t="str">
        <x:v>Временный трудовой отход. Главным образом прежние места приписки — Екатеринославская, Херсонская и др. губернии; также Самарская, Оренбургская, Ташкент и железные дороги.</x:v>
      </x:c>
      <x:c r="I99" s="13" t="str">
        <x:v>1912, 16; RAW PDF 20, OCR PDF 20</x:v>
      </x:c>
      <x:c r="J99" s="13" t="str">
        <x:v>Uralskaia-1910-1912(1).xlsx</x:v>
      </x:c>
      <x:c r="K99" s="22" t="str">
        <x:v>https://archive.org/download/obzor_uralskoi_oblasti/Обзор Уральской области за 1912 - RAW.pdf</x:v>
      </x:c>
    </x:row>
    <x:row r="100" ht="48" customHeight="1">
      <x:c r="A100" s="12" t="n">
        <x:v>1913</x:v>
      </x:c>
      <x:c r="B100" s="14" t="str">
        <x:v>Заготовленный фонд долей</x:v>
      </x:c>
      <x:c r="C100" s="29" t="n">
        <x:v>48387</x:v>
      </x:c>
      <x:c r="D100" s="14" t="str">
        <x:v>душевые доли</x:v>
      </x:c>
      <x:c r="E100" s="14" t="str">
        <x:v>Наличие / переселенческий учёт</x:v>
      </x:c>
      <x:c r="F100" s="14" t="str">
        <x:v>Вся область; на 01.01.1914</x:v>
      </x:c>
      <x:c r="G100" s="14" t="str">
        <x:v>По источнику</x:v>
      </x:c>
      <x:c r="H100" s="14" t="str">
        <x:v>Учёт душевых земельных долей. Это не число переселившихся жителей обоего пола за год.</x:v>
      </x:c>
      <x:c r="I100" s="14" t="str">
        <x:v>с. 9; RAW PDF 19</x:v>
      </x:c>
      <x:c r="J100" s="14" t="str">
        <x:v>Uralskaia-1913-1915(1).xlsx</x:v>
      </x:c>
      <x:c r="K100" s="24" t="str">
        <x:v>https://archive.org/download/obzor_uralskoi_oblasti/Обзор Уральской области за 1913 - RAW.pdf</x:v>
      </x:c>
    </x:row>
    <x:row r="101" ht="48" customHeight="1">
      <x:c r="A101" s="3" t="n">
        <x:v>1913</x:v>
      </x:c>
      <x:c r="B101" s="13" t="str">
        <x:v>Зачислено, ещё не водворено</x:v>
      </x:c>
      <x:c r="C101" s="28" t="n">
        <x:v>17265</x:v>
      </x:c>
      <x:c r="D101" s="13" t="str">
        <x:v>душевые доли</x:v>
      </x:c>
      <x:c r="E101" s="13" t="str">
        <x:v>Административное зачисление</x:v>
      </x:c>
      <x:c r="F101" s="13" t="str">
        <x:v>Вся область; на 01.01.1914</x:v>
      </x:c>
      <x:c r="G101" s="13" t="str">
        <x:v>По источнику</x:v>
      </x:c>
      <x:c r="H101" s="13" t="str">
        <x:v>Учёт душевых земельных долей. Это не число переселившихся жителей обоего пола за год.</x:v>
      </x:c>
      <x:c r="I101" s="13" t="str">
        <x:v>с. 9; RAW PDF 19</x:v>
      </x:c>
      <x:c r="J101" s="13" t="str">
        <x:v>Uralskaia-1913-1915(1).xlsx</x:v>
      </x:c>
      <x:c r="K101" s="22" t="str">
        <x:v>https://archive.org/download/obzor_uralskoi_oblasti/Обзор Уральской области за 1913 - RAW.pdf</x:v>
      </x:c>
    </x:row>
    <x:row r="102" ht="48" customHeight="1">
      <x:c r="A102" s="12" t="n">
        <x:v>1913</x:v>
      </x:c>
      <x:c r="B102" s="14" t="str">
        <x:v>Состоит водворенных, как напечатано</x:v>
      </x:c>
      <x:c r="C102" s="29" t="n">
        <x:v>30643</x:v>
      </x:c>
      <x:c r="D102" s="14" t="str">
        <x:v>душевые доли</x:v>
      </x:c>
      <x:c r="E102" s="14" t="str">
        <x:v>Наличие / переселенческий учёт</x:v>
      </x:c>
      <x:c r="F102" s="14" t="str">
        <x:v>Вся область; на 01.01.1914</x:v>
      </x:c>
      <x:c r="G102" s="14" t="str">
        <x:v>По источнику</x:v>
      </x:c>
      <x:c r="H102" s="14" t="str">
        <x:v>Учёт душевых земельных долей. Это не число переселившихся жителей обоего пола за год.</x:v>
      </x:c>
      <x:c r="I102" s="14" t="str">
        <x:v>с. 9; RAW PDF 19</x:v>
      </x:c>
      <x:c r="J102" s="14" t="str">
        <x:v>Uralskaia-1913-1915(1).xlsx</x:v>
      </x:c>
      <x:c r="K102" s="24" t="str">
        <x:v>https://archive.org/download/obzor_uralskoi_oblasti/Обзор Уральской области за 1913 - RAW.pdf</x:v>
      </x:c>
    </x:row>
    <x:row r="103" ht="48" customHeight="1">
      <x:c r="A103" s="3" t="n">
        <x:v>1913</x:v>
      </x:c>
      <x:c r="B103" s="13" t="str">
        <x:v>Состоит водворенных</x:v>
      </x:c>
      <x:c r="C103" s="28" t="n">
        <x:v>22740</x:v>
      </x:c>
      <x:c r="D103" s="13" t="str">
        <x:v>душевые доли</x:v>
      </x:c>
      <x:c r="E103" s="13" t="str">
        <x:v>Наличие / переселенческий учёт</x:v>
      </x:c>
      <x:c r="F103" s="13" t="str">
        <x:v>Уральский уезд; на 01.01.1914</x:v>
      </x:c>
      <x:c r="G103" s="13" t="str">
        <x:v>По источнику</x:v>
      </x:c>
      <x:c r="H103" s="13" t="str">
        <x:v>Учёт душевых земельных долей. Это не число переселившихся жителей обоего пола за год.</x:v>
      </x:c>
      <x:c r="I103" s="13" t="str">
        <x:v>с. 9; RAW PDF 19</x:v>
      </x:c>
      <x:c r="J103" s="13" t="str">
        <x:v>Uralskaia-1913-1915(1).xlsx</x:v>
      </x:c>
      <x:c r="K103" s="22" t="str">
        <x:v>https://archive.org/download/obzor_uralskoi_oblasti/Обзор Уральской области за 1913 - RAW.pdf</x:v>
      </x:c>
    </x:row>
    <x:row r="104" ht="48" customHeight="1">
      <x:c r="A104" s="12" t="n">
        <x:v>1913</x:v>
      </x:c>
      <x:c r="B104" s="14" t="str">
        <x:v>Состоит водворенных</x:v>
      </x:c>
      <x:c r="C104" s="29" t="n">
        <x:v>7903</x:v>
      </x:c>
      <x:c r="D104" s="14" t="str">
        <x:v>душевые доли</x:v>
      </x:c>
      <x:c r="E104" s="14" t="str">
        <x:v>Наличие / переселенческий учёт</x:v>
      </x:c>
      <x:c r="F104" s="14" t="str">
        <x:v>Темирский уезд; на 01.01.1914</x:v>
      </x:c>
      <x:c r="G104" s="14" t="str">
        <x:v>По источнику</x:v>
      </x:c>
      <x:c r="H104" s="14" t="str">
        <x:v>Учёт душевых земельных долей. Это не число переселившихся жителей обоего пола за год.</x:v>
      </x:c>
      <x:c r="I104" s="14" t="str">
        <x:v>с. 9; RAW PDF 19</x:v>
      </x:c>
      <x:c r="J104" s="14" t="str">
        <x:v>Uralskaia-1913-1915(1).xlsx</x:v>
      </x:c>
      <x:c r="K104" s="24" t="str">
        <x:v>https://archive.org/download/obzor_uralskoi_oblasti/Обзор Уральской области за 1913 - RAW.pdf</x:v>
      </x:c>
    </x:row>
    <x:row r="105" ht="48" customHeight="1">
      <x:c r="A105" s="3" t="n">
        <x:v>1913</x:v>
      </x:c>
      <x:c r="B105" s="13" t="str">
        <x:v>Уход ранее водворенных</x:v>
      </x:c>
      <x:c r="C105" s="32" t="n">
        <x:v>0.013</x:v>
      </x:c>
      <x:c r="D105" s="13" t="str">
        <x:v>доля</x:v>
      </x:c>
      <x:c r="E105" s="13" t="str">
        <x:v>Доля, не абсолютный поток</x:v>
      </x:c>
      <x:c r="F105" s="13" t="str">
        <x:v>Уральский уезд; за 1913 год</x:v>
      </x:c>
      <x:c r="G105" s="13" t="str">
        <x:v>По источнику</x:v>
      </x:c>
      <x:c r="H105" s="13" t="str">
        <x:v>Источник даёт процент ушедших водворенных. Абсолютный отток жителей обоего пола не вычисляется.</x:v>
      </x:c>
      <x:c r="I105" s="13" t="str">
        <x:v>с. 9; RAW PDF 19</x:v>
      </x:c>
      <x:c r="J105" s="13" t="str">
        <x:v>Uralskaia-1913-1915(1).xlsx</x:v>
      </x:c>
      <x:c r="K105" s="22" t="str">
        <x:v>https://archive.org/download/obzor_uralskoi_oblasti/Обзор Уральской области за 1913 - RAW.pdf</x:v>
      </x:c>
    </x:row>
    <x:row r="106" ht="48" customHeight="1">
      <x:c r="A106" s="12" t="n">
        <x:v>1913</x:v>
      </x:c>
      <x:c r="B106" s="14" t="str">
        <x:v>Уход ранее водворенных</x:v>
      </x:c>
      <x:c r="C106" s="33" t="n">
        <x:v>0.044</x:v>
      </x:c>
      <x:c r="D106" s="14" t="str">
        <x:v>доля</x:v>
      </x:c>
      <x:c r="E106" s="14" t="str">
        <x:v>Доля, не абсолютный поток</x:v>
      </x:c>
      <x:c r="F106" s="14" t="str">
        <x:v>Темирский уезд; за 1913 год</x:v>
      </x:c>
      <x:c r="G106" s="14" t="str">
        <x:v>По источнику</x:v>
      </x:c>
      <x:c r="H106" s="14" t="str">
        <x:v>Источник даёт процент ушедших водворенных. Абсолютный отток жителей обоего пола не вычисляется.</x:v>
      </x:c>
      <x:c r="I106" s="14" t="str">
        <x:v>с. 9; RAW PDF 19</x:v>
      </x:c>
      <x:c r="J106" s="14" t="str">
        <x:v>Uralskaia-1913-1915(1).xlsx</x:v>
      </x:c>
      <x:c r="K106" s="24" t="str">
        <x:v>https://archive.org/download/obzor_uralskoi_oblasti/Обзор Уральской области за 1913 - RAW.pdf</x:v>
      </x:c>
    </x:row>
    <x:row r="107" ht="48" customHeight="1">
      <x:c r="A107" s="3" t="n">
        <x:v>1913</x:v>
      </x:c>
      <x:c r="B107" s="13" t="str">
        <x:v>Остаток зачисленных прошлого года</x:v>
      </x:c>
      <x:c r="C107" s="28" t="n">
        <x:v>5949</x:v>
      </x:c>
      <x:c r="D107" s="13" t="str">
        <x:v>душевые доли</x:v>
      </x:c>
      <x:c r="E107" s="13" t="str">
        <x:v>Административное зачисление</x:v>
      </x:c>
      <x:c r="F107" s="13" t="str">
        <x:v>Темирский уезд; начало 1913 года</x:v>
      </x:c>
      <x:c r="G107" s="13" t="str">
        <x:v>По источнику</x:v>
      </x:c>
      <x:c r="H107" s="13" t="str">
        <x:v>Зачисление на долю не доказывает прибытие. Межгодовые остатки источника не гармонизированы.</x:v>
      </x:c>
      <x:c r="I107" s="13" t="str">
        <x:v>с. 9; RAW PDF 19</x:v>
      </x:c>
      <x:c r="J107" s="13" t="str">
        <x:v>Uralskaia-1913-1915(1).xlsx</x:v>
      </x:c>
      <x:c r="K107" s="22" t="str">
        <x:v>https://archive.org/download/obzor_uralskoi_oblasti/Обзор Уральской области за 1913 - RAW.pdf</x:v>
      </x:c>
    </x:row>
    <x:row r="108" ht="48" customHeight="1">
      <x:c r="A108" s="12" t="n">
        <x:v>1913</x:v>
      </x:c>
      <x:c r="B108" s="14" t="str">
        <x:v>Новые зачисления</x:v>
      </x:c>
      <x:c r="C108" s="29" t="n">
        <x:v>14364</x:v>
      </x:c>
      <x:c r="D108" s="14" t="str">
        <x:v>душевые доли</x:v>
      </x:c>
      <x:c r="E108" s="14" t="str">
        <x:v>Административное зачисление</x:v>
      </x:c>
      <x:c r="F108" s="14" t="str">
        <x:v>Темирский уезд; за 1913 год</x:v>
      </x:c>
      <x:c r="G108" s="14" t="str">
        <x:v>По источнику</x:v>
      </x:c>
      <x:c r="H108" s="14" t="str">
        <x:v>Административное зачисление на участки. Это не число прибывших семей или жителей обоего пола.</x:v>
      </x:c>
      <x:c r="I108" s="14" t="str">
        <x:v>с. 9; RAW PDF 19</x:v>
      </x:c>
      <x:c r="J108" s="14" t="str">
        <x:v>Uralskaia-1913-1915(1).xlsx</x:v>
      </x:c>
      <x:c r="K108" s="24" t="str">
        <x:v>https://archive.org/download/obzor_uralskoi_oblasti/Обзор Уральской области за 1913 - RAW.pdf</x:v>
      </x:c>
    </x:row>
    <x:row r="109" ht="48" customHeight="1">
      <x:c r="A109" s="3" t="n">
        <x:v>1913</x:v>
      </x:c>
      <x:c r="B109" s="13" t="str">
        <x:v>Водворилось из числа зачисленных</x:v>
      </x:c>
      <x:c r="C109" s="32" t="n">
        <x:v>0.15</x:v>
      </x:c>
      <x:c r="D109" s="13" t="str">
        <x:v>доля</x:v>
      </x:c>
      <x:c r="E109" s="13" t="str">
        <x:v>Доля, не абсолютный поток</x:v>
      </x:c>
      <x:c r="F109" s="13" t="str">
        <x:v>Темирский уезд; за 1913 год</x:v>
      </x:c>
      <x:c r="G109" s="13" t="str">
        <x:v>Около</x:v>
      </x:c>
      <x:c r="H109" s="13" t="str">
        <x:v>Около указанной доли от остатка прошлогодних и новых зачислений. Не общий приток населения.</x:v>
      </x:c>
      <x:c r="I109" s="13" t="str">
        <x:v>с. 9; RAW PDF 19</x:v>
      </x:c>
      <x:c r="J109" s="13" t="str">
        <x:v>Uralskaia-1913-1915(1).xlsx</x:v>
      </x:c>
      <x:c r="K109" s="22" t="str">
        <x:v>https://archive.org/download/obzor_uralskoi_oblasti/Обзор Уральской области за 1913 - RAW.pdf</x:v>
      </x:c>
    </x:row>
    <x:row r="110" ht="48" customHeight="1">
      <x:c r="A110" s="12" t="n">
        <x:v>1913</x:v>
      </x:c>
      <x:c r="B110" s="14" t="str">
        <x:v>Отказались, не явились в срок и прочие</x:v>
      </x:c>
      <x:c r="C110" s="33" t="n">
        <x:v>0.21</x:v>
      </x:c>
      <x:c r="D110" s="14" t="str">
        <x:v>доля</x:v>
      </x:c>
      <x:c r="E110" s="14" t="str">
        <x:v>Доля, не абсолютный поток</x:v>
      </x:c>
      <x:c r="F110" s="14" t="str">
        <x:v>Темирский уезд; за 1913 год</x:v>
      </x:c>
      <x:c r="G110" s="14" t="str">
        <x:v>По источнику</x:v>
      </x:c>
      <x:c r="H110" s="14" t="str">
        <x:v>Доля от остатка прошлогодних и новых зачислений. Не число выбывших из области.</x:v>
      </x:c>
      <x:c r="I110" s="14" t="str">
        <x:v>с. 9; RAW PDF 19</x:v>
      </x:c>
      <x:c r="J110" s="14" t="str">
        <x:v>Uralskaia-1913-1915(1).xlsx</x:v>
      </x:c>
      <x:c r="K110" s="24" t="str">
        <x:v>https://archive.org/download/obzor_uralskoi_oblasti/Обзор Уральской области за 1913 - RAW.pdf</x:v>
      </x:c>
    </x:row>
    <x:row r="111" ht="48" customHeight="1">
      <x:c r="A111" s="3" t="n">
        <x:v>1913</x:v>
      </x:c>
      <x:c r="B111" s="13" t="str">
        <x:v>Отказались и не явились по зачислении</x:v>
      </x:c>
      <x:c r="C111" s="32" t="n">
        <x:v>0.077</x:v>
      </x:c>
      <x:c r="D111" s="13" t="str">
        <x:v>доля</x:v>
      </x:c>
      <x:c r="E111" s="13" t="str">
        <x:v>Доля, не абсолютный поток</x:v>
      </x:c>
      <x:c r="F111" s="13" t="str">
        <x:v>Уральский уезд; за 1913 год</x:v>
      </x:c>
      <x:c r="G111" s="13" t="str">
        <x:v>По источнику</x:v>
      </x:c>
      <x:c r="H111" s="13" t="str">
        <x:v>Знаменатель в тексте — общий заготовленный фонд долей за отчётный год.</x:v>
      </x:c>
      <x:c r="I111" s="13" t="str">
        <x:v>с. 9; RAW PDF 19</x:v>
      </x:c>
      <x:c r="J111" s="13" t="str">
        <x:v>Uralskaia-1913-1915(1).xlsx</x:v>
      </x:c>
      <x:c r="K111" s="22" t="str">
        <x:v>https://archive.org/download/obzor_uralskoi_oblasti/Обзор Уральской области за 1913 - RAW.pdf</x:v>
      </x:c>
    </x:row>
    <x:row r="112" ht="48" customHeight="1">
      <x:c r="A112" s="12" t="n">
        <x:v>1913</x:v>
      </x:c>
      <x:c r="B112" s="14" t="str">
        <x:v>На работах на стороне</x:v>
      </x:c>
      <x:c r="C112" s="29" t="n">
        <x:v>318</x:v>
      </x:c>
      <x:c r="D112" s="14" t="str">
        <x:v>семьи</x:v>
      </x:c>
      <x:c r="E112" s="14" t="str">
        <x:v>Наличие / переселенческий учёт</x:v>
      </x:c>
      <x:c r="F112" s="14" t="str">
        <x:v>Переселенцы; за 1913 год</x:v>
      </x:c>
      <x:c r="G112" s="14" t="str">
        <x:v>По источнику</x:v>
      </x:c>
      <x:c r="H112" s="14" t="str">
        <x:v>Трудовая подвижность. Упомянуты Оренбургская и Самарская губернии. Также названы родина переселенцев и другие места; число не равно окончательно выбывшим семьям.</x:v>
      </x:c>
      <x:c r="I112" s="14" t="str">
        <x:v>с. 67; OCR PDF 76</x:v>
      </x:c>
      <x:c r="J112" s="14" t="str">
        <x:v>Uralskaia-1913-1915(1).xlsx</x:v>
      </x:c>
      <x:c r="K112" s="24" t="str">
        <x:v>https://archive.org/download/obzor_uralskoi_oblasti/Обзор Уральской области за 1913 - RAW.pdf</x:v>
      </x:c>
    </x:row>
    <x:row r="113" ht="48" customHeight="1">
      <x:c r="A113" s="3" t="n">
        <x:v>1914</x:v>
      </x:c>
      <x:c r="B113" s="13" t="str">
        <x:v>Заготовленный фонд долей</x:v>
      </x:c>
      <x:c r="C113" s="28" t="n">
        <x:v>49731</x:v>
      </x:c>
      <x:c r="D113" s="13" t="str">
        <x:v>душевые доли</x:v>
      </x:c>
      <x:c r="E113" s="13" t="str">
        <x:v>Наличие / переселенческий учёт</x:v>
      </x:c>
      <x:c r="F113" s="13" t="str">
        <x:v>Вся область; на 01.01.1915</x:v>
      </x:c>
      <x:c r="G113" s="13" t="str">
        <x:v>По источнику</x:v>
      </x:c>
      <x:c r="H113" s="13" t="str">
        <x:v>Учёт душевых земельных долей. Это не число переселившихся жителей обоего пола за год.</x:v>
      </x:c>
      <x:c r="I113" s="13" t="str">
        <x:v>с. 9; RAW copy 2 PDF 13</x:v>
      </x:c>
      <x:c r="J113" s="13" t="str">
        <x:v>Uralskaia-1913-1915(1).xlsx</x:v>
      </x:c>
      <x:c r="K113" s="22" t="str">
        <x:v>https://archive.org/download/obzor_uralskoi_oblasti/Обзор Уральской области за 1914 (copy 2) - RAW.pdf</x:v>
      </x:c>
    </x:row>
    <x:row r="114" ht="48" customHeight="1">
      <x:c r="A114" s="12" t="n">
        <x:v>1914</x:v>
      </x:c>
      <x:c r="B114" s="14" t="str">
        <x:v>Зачислено, ещё не водворено</x:v>
      </x:c>
      <x:c r="C114" s="29" t="n">
        <x:v>10442</x:v>
      </x:c>
      <x:c r="D114" s="14" t="str">
        <x:v>душевые доли</x:v>
      </x:c>
      <x:c r="E114" s="14" t="str">
        <x:v>Административное зачисление</x:v>
      </x:c>
      <x:c r="F114" s="14" t="str">
        <x:v>Вся область; на 01.01.1915</x:v>
      </x:c>
      <x:c r="G114" s="14" t="str">
        <x:v>По источнику</x:v>
      </x:c>
      <x:c r="H114" s="14" t="str">
        <x:v>Учёт душевых земельных долей. Это не число переселившихся жителей обоего пола за год.</x:v>
      </x:c>
      <x:c r="I114" s="14" t="str">
        <x:v>с. 9; RAW copy 2 PDF 13</x:v>
      </x:c>
      <x:c r="J114" s="14" t="str">
        <x:v>Uralskaia-1913-1915(1).xlsx</x:v>
      </x:c>
      <x:c r="K114" s="24" t="str">
        <x:v>https://archive.org/download/obzor_uralskoi_oblasti/Обзор Уральской области за 1914 (copy 2) - RAW.pdf</x:v>
      </x:c>
    </x:row>
    <x:row r="115" ht="48" customHeight="1">
      <x:c r="A115" s="3" t="n">
        <x:v>1914</x:v>
      </x:c>
      <x:c r="B115" s="13" t="str">
        <x:v>Состоит водворенных, как напечатано</x:v>
      </x:c>
      <x:c r="C115" s="28" t="n">
        <x:v>37958</x:v>
      </x:c>
      <x:c r="D115" s="13" t="str">
        <x:v>душевые доли</x:v>
      </x:c>
      <x:c r="E115" s="13" t="str">
        <x:v>Наличие / переселенческий учёт</x:v>
      </x:c>
      <x:c r="F115" s="13" t="str">
        <x:v>Вся область; на 01.01.1915</x:v>
      </x:c>
      <x:c r="G115" s="13" t="str">
        <x:v>По источнику</x:v>
      </x:c>
      <x:c r="H115" s="13" t="str">
        <x:v>Учёт душевых земельных долей. Это не число переселившихся жителей обоего пола за год. В тексте 37 958, но сумма уездных цифр 39 263. Сохранено печатное значение.</x:v>
      </x:c>
      <x:c r="I115" s="13" t="str">
        <x:v>с. 9; RAW copy 2 PDF 13</x:v>
      </x:c>
      <x:c r="J115" s="13" t="str">
        <x:v>Uralskaia-1913-1915(1).xlsx</x:v>
      </x:c>
      <x:c r="K115" s="22" t="str">
        <x:v>https://archive.org/download/obzor_uralskoi_oblasti/Обзор Уральской области за 1914 (copy 2) - RAW.pdf</x:v>
      </x:c>
    </x:row>
    <x:row r="116" ht="48" customHeight="1">
      <x:c r="A116" s="12" t="n">
        <x:v>1914</x:v>
      </x:c>
      <x:c r="B116" s="14" t="str">
        <x:v>Состоит водворенных</x:v>
      </x:c>
      <x:c r="C116" s="29" t="n">
        <x:v>27029</x:v>
      </x:c>
      <x:c r="D116" s="14" t="str">
        <x:v>душевые доли</x:v>
      </x:c>
      <x:c r="E116" s="14" t="str">
        <x:v>Наличие / переселенческий учёт</x:v>
      </x:c>
      <x:c r="F116" s="14" t="str">
        <x:v>Уральский уезд; на 01.01.1915</x:v>
      </x:c>
      <x:c r="G116" s="14" t="str">
        <x:v>По источнику</x:v>
      </x:c>
      <x:c r="H116" s="14" t="str">
        <x:v>Учёт душевых земельных долей. Это не число переселившихся жителей обоего пола за год.</x:v>
      </x:c>
      <x:c r="I116" s="14" t="str">
        <x:v>с. 9; RAW copy 2 PDF 13</x:v>
      </x:c>
      <x:c r="J116" s="14" t="str">
        <x:v>Uralskaia-1913-1915(1).xlsx</x:v>
      </x:c>
      <x:c r="K116" s="24" t="str">
        <x:v>https://archive.org/download/obzor_uralskoi_oblasti/Обзор Уральской области за 1914 (copy 2) - RAW.pdf</x:v>
      </x:c>
    </x:row>
    <x:row r="117" ht="48" customHeight="1">
      <x:c r="A117" s="3" t="n">
        <x:v>1914</x:v>
      </x:c>
      <x:c r="B117" s="13" t="str">
        <x:v>Состоит водворенных</x:v>
      </x:c>
      <x:c r="C117" s="28" t="n">
        <x:v>12234</x:v>
      </x:c>
      <x:c r="D117" s="13" t="str">
        <x:v>душевые доли</x:v>
      </x:c>
      <x:c r="E117" s="13" t="str">
        <x:v>Наличие / переселенческий учёт</x:v>
      </x:c>
      <x:c r="F117" s="13" t="str">
        <x:v>Темирский уезд; на 01.01.1915</x:v>
      </x:c>
      <x:c r="G117" s="13" t="str">
        <x:v>По источнику</x:v>
      </x:c>
      <x:c r="H117" s="13" t="str">
        <x:v>Учёт душевых земельных долей. Это не число переселившихся жителей обоего пола за год.</x:v>
      </x:c>
      <x:c r="I117" s="13" t="str">
        <x:v>с. 9; RAW copy 2 PDF 13</x:v>
      </x:c>
      <x:c r="J117" s="13" t="str">
        <x:v>Uralskaia-1913-1915(1).xlsx</x:v>
      </x:c>
      <x:c r="K117" s="22" t="str">
        <x:v>https://archive.org/download/obzor_uralskoi_oblasti/Обзор Уральской области за 1914 (copy 2) - RAW.pdf</x:v>
      </x:c>
    </x:row>
    <x:row r="118" ht="48" customHeight="1">
      <x:c r="A118" s="12" t="n">
        <x:v>1914</x:v>
      </x:c>
      <x:c r="B118" s="14" t="str">
        <x:v>Уход ранее водворенных</x:v>
      </x:c>
      <x:c r="C118" s="33" t="n">
        <x:v>0.02</x:v>
      </x:c>
      <x:c r="D118" s="14" t="str">
        <x:v>доля</x:v>
      </x:c>
      <x:c r="E118" s="14" t="str">
        <x:v>Доля, не абсолютный поток</x:v>
      </x:c>
      <x:c r="F118" s="14" t="str">
        <x:v>Уральский уезд; за 1914 год</x:v>
      </x:c>
      <x:c r="G118" s="14" t="str">
        <x:v>По источнику</x:v>
      </x:c>
      <x:c r="H118" s="14" t="str">
        <x:v>Источник даёт процент ушедших водворенных. Абсолютный отток жителей обоего пола не вычисляется.</x:v>
      </x:c>
      <x:c r="I118" s="14" t="str">
        <x:v>с. 9; RAW copy 2 PDF 13</x:v>
      </x:c>
      <x:c r="J118" s="14" t="str">
        <x:v>Uralskaia-1913-1915(1).xlsx</x:v>
      </x:c>
      <x:c r="K118" s="24" t="str">
        <x:v>https://archive.org/download/obzor_uralskoi_oblasti/Обзор Уральской области за 1914 (copy 2) - RAW.pdf</x:v>
      </x:c>
    </x:row>
    <x:row r="119" ht="48" customHeight="1">
      <x:c r="A119" s="3" t="n">
        <x:v>1914</x:v>
      </x:c>
      <x:c r="B119" s="13" t="str">
        <x:v>Уход ранее водворенных</x:v>
      </x:c>
      <x:c r="C119" s="32" t="n">
        <x:v>0.017</x:v>
      </x:c>
      <x:c r="D119" s="13" t="str">
        <x:v>доля</x:v>
      </x:c>
      <x:c r="E119" s="13" t="str">
        <x:v>Доля, не абсолютный поток</x:v>
      </x:c>
      <x:c r="F119" s="13" t="str">
        <x:v>Темирский уезд; за 1914 год</x:v>
      </x:c>
      <x:c r="G119" s="13" t="str">
        <x:v>По источнику</x:v>
      </x:c>
      <x:c r="H119" s="13" t="str">
        <x:v>Источник даёт процент ушедших водворенных. Абсолютный отток жителей обоего пола не вычисляется.</x:v>
      </x:c>
      <x:c r="I119" s="13" t="str">
        <x:v>с. 9; RAW copy 2 PDF 13</x:v>
      </x:c>
      <x:c r="J119" s="13" t="str">
        <x:v>Uralskaia-1913-1915(1).xlsx</x:v>
      </x:c>
      <x:c r="K119" s="22" t="str">
        <x:v>https://archive.org/download/obzor_uralskoi_oblasti/Обзор Уральской области за 1914 (copy 2) - RAW.pdf</x:v>
      </x:c>
    </x:row>
    <x:row r="120" ht="48" customHeight="1">
      <x:c r="A120" s="12" t="n">
        <x:v>1914</x:v>
      </x:c>
      <x:c r="B120" s="14" t="str">
        <x:v>Остаток зачисленных прошлого года</x:v>
      </x:c>
      <x:c r="C120" s="29" t="n">
        <x:v>12885</x:v>
      </x:c>
      <x:c r="D120" s="14" t="str">
        <x:v>душевые доли</x:v>
      </x:c>
      <x:c r="E120" s="14" t="str">
        <x:v>Административное зачисление</x:v>
      </x:c>
      <x:c r="F120" s="14" t="str">
        <x:v>Темирский уезд; начало 1914 года</x:v>
      </x:c>
      <x:c r="G120" s="14" t="str">
        <x:v>По источнику</x:v>
      </x:c>
      <x:c r="H120" s="14" t="str">
        <x:v>Зачисление на долю не доказывает прибытие. Межгодовые остатки источника не гармонизированы.</x:v>
      </x:c>
      <x:c r="I120" s="14" t="str">
        <x:v>с. 9; RAW copy 2 PDF 13</x:v>
      </x:c>
      <x:c r="J120" s="14" t="str">
        <x:v>Uralskaia-1913-1915(1).xlsx</x:v>
      </x:c>
      <x:c r="K120" s="24" t="str">
        <x:v>https://archive.org/download/obzor_uralskoi_oblasti/Обзор Уральской области за 1914 (copy 2) - RAW.pdf</x:v>
      </x:c>
    </x:row>
    <x:row r="121" ht="48" customHeight="1">
      <x:c r="A121" s="3" t="n">
        <x:v>1914</x:v>
      </x:c>
      <x:c r="B121" s="13" t="str">
        <x:v>Новые зачисления</x:v>
      </x:c>
      <x:c r="C121" s="28" t="n">
        <x:v>2305</x:v>
      </x:c>
      <x:c r="D121" s="13" t="str">
        <x:v>душевые доли</x:v>
      </x:c>
      <x:c r="E121" s="13" t="str">
        <x:v>Административное зачисление</x:v>
      </x:c>
      <x:c r="F121" s="13" t="str">
        <x:v>Темирский уезд; за 1914 год</x:v>
      </x:c>
      <x:c r="G121" s="13" t="str">
        <x:v>По источнику</x:v>
      </x:c>
      <x:c r="H121" s="13" t="str">
        <x:v>Административное зачисление на участки. Это не число прибывших семей или жителей обоего пола.</x:v>
      </x:c>
      <x:c r="I121" s="13" t="str">
        <x:v>с. 9; RAW copy 2 PDF 13</x:v>
      </x:c>
      <x:c r="J121" s="13" t="str">
        <x:v>Uralskaia-1913-1915(1).xlsx</x:v>
      </x:c>
      <x:c r="K121" s="22" t="str">
        <x:v>https://archive.org/download/obzor_uralskoi_oblasti/Обзор Уральской области за 1914 (copy 2) - RAW.pdf</x:v>
      </x:c>
    </x:row>
    <x:row r="122" ht="48" customHeight="1">
      <x:c r="A122" s="12" t="n">
        <x:v>1914</x:v>
      </x:c>
      <x:c r="B122" s="14" t="str">
        <x:v>Водворилось из числа зачисленных</x:v>
      </x:c>
      <x:c r="C122" s="33" t="n">
        <x:v>0.3</x:v>
      </x:c>
      <x:c r="D122" s="14" t="str">
        <x:v>доля</x:v>
      </x:c>
      <x:c r="E122" s="14" t="str">
        <x:v>Доля, не абсолютный поток</x:v>
      </x:c>
      <x:c r="F122" s="14" t="str">
        <x:v>Темирский уезд; за 1914 год</x:v>
      </x:c>
      <x:c r="G122" s="14" t="str">
        <x:v>Около</x:v>
      </x:c>
      <x:c r="H122" s="14" t="str">
        <x:v>Около указанной доли от остатка прошлогодних и новых зачислений. Не общий приток населения.</x:v>
      </x:c>
      <x:c r="I122" s="14" t="str">
        <x:v>с. 9; RAW copy 2 PDF 13</x:v>
      </x:c>
      <x:c r="J122" s="14" t="str">
        <x:v>Uralskaia-1913-1915(1).xlsx</x:v>
      </x:c>
      <x:c r="K122" s="24" t="str">
        <x:v>https://archive.org/download/obzor_uralskoi_oblasti/Обзор Уральской области за 1914 (copy 2) - RAW.pdf</x:v>
      </x:c>
    </x:row>
    <x:row r="123" ht="48" customHeight="1">
      <x:c r="A123" s="3" t="n">
        <x:v>1914</x:v>
      </x:c>
      <x:c r="B123" s="13" t="str">
        <x:v>Отказались, не явились в срок и прочие</x:v>
      </x:c>
      <x:c r="C123" s="32" t="n">
        <x:v>0.119</x:v>
      </x:c>
      <x:c r="D123" s="13" t="str">
        <x:v>доля</x:v>
      </x:c>
      <x:c r="E123" s="13" t="str">
        <x:v>Доля, не абсолютный поток</x:v>
      </x:c>
      <x:c r="F123" s="13" t="str">
        <x:v>Темирский уезд; за 1914 год</x:v>
      </x:c>
      <x:c r="G123" s="13" t="str">
        <x:v>По источнику</x:v>
      </x:c>
      <x:c r="H123" s="13" t="str">
        <x:v>Доля от остатка прошлогодних и новых зачислений. Не число выбывших из области.</x:v>
      </x:c>
      <x:c r="I123" s="13" t="str">
        <x:v>с. 9; RAW copy 2 PDF 13</x:v>
      </x:c>
      <x:c r="J123" s="13" t="str">
        <x:v>Uralskaia-1913-1915(1).xlsx</x:v>
      </x:c>
      <x:c r="K123" s="22" t="str">
        <x:v>https://archive.org/download/obzor_uralskoi_oblasti/Обзор Уральской области за 1914 (copy 2) - RAW.pdf</x:v>
      </x:c>
    </x:row>
    <x:row r="124" ht="48" customHeight="1">
      <x:c r="A124" s="12" t="n">
        <x:v>1914</x:v>
      </x:c>
      <x:c r="B124" s="14" t="str">
        <x:v>Отказались и не явились по зачислении</x:v>
      </x:c>
      <x:c r="C124" s="33" t="n">
        <x:v>0.02</x:v>
      </x:c>
      <x:c r="D124" s="14" t="str">
        <x:v>доля</x:v>
      </x:c>
      <x:c r="E124" s="14" t="str">
        <x:v>Доля, не абсолютный поток</x:v>
      </x:c>
      <x:c r="F124" s="14" t="str">
        <x:v>Уральский уезд; за 1914 год</x:v>
      </x:c>
      <x:c r="G124" s="14" t="str">
        <x:v>По источнику</x:v>
      </x:c>
      <x:c r="H124" s="14" t="str">
        <x:v>Знаменатель в тексте — общий заготовленный фонд долей за отчётный год.</x:v>
      </x:c>
      <x:c r="I124" s="14" t="str">
        <x:v>с. 9; RAW copy 2 PDF 13</x:v>
      </x:c>
      <x:c r="J124" s="14" t="str">
        <x:v>Uralskaia-1913-1915(1).xlsx</x:v>
      </x:c>
      <x:c r="K124" s="24" t="str">
        <x:v>https://archive.org/download/obzor_uralskoi_oblasti/Обзор Уральской области за 1914 (copy 2) - RAW.pdf</x:v>
      </x:c>
    </x:row>
    <x:row r="125" ht="48" customHeight="1">
      <x:c r="A125" s="3" t="n">
        <x:v>1914</x:v>
      </x:c>
      <x:c r="B125" s="13" t="str">
        <x:v>На работах на стороне</x:v>
      </x:c>
      <x:c r="C125" s="28" t="n">
        <x:v>403</x:v>
      </x:c>
      <x:c r="D125" s="13" t="str">
        <x:v>семьи</x:v>
      </x:c>
      <x:c r="E125" s="13" t="str">
        <x:v>Наличие / переселенческий учёт</x:v>
      </x:c>
      <x:c r="F125" s="13" t="str">
        <x:v>Переселенцы; за 1914 год</x:v>
      </x:c>
      <x:c r="G125" s="13" t="str">
        <x:v>По источнику</x:v>
      </x:c>
      <x:c r="H125" s="13" t="str">
        <x:v>Трудовая подвижность. Упомянуты Оренбургская и Самарская губернии. В тот же показатель могли входить работы внутри Уральской области (железная дорога, казаки). Доля именно внешнего отхода не выделена.</x:v>
      </x:c>
      <x:c r="I125" s="13" t="str">
        <x:v>с. 87; OCR PDF 94</x:v>
      </x:c>
      <x:c r="J125" s="13" t="str">
        <x:v>Uralskaia-1913-1915(1).xlsx</x:v>
      </x:c>
      <x:c r="K125" s="22" t="str">
        <x:v>https://archive.org/download/obzor_uralskoi_oblasti/Обзор Уральской области за 1914 (copy 2) - RAW.pdf</x:v>
      </x:c>
    </x:row>
    <x:row r="126" ht="48" customHeight="1">
      <x:c r="A126" s="12" t="n">
        <x:v>1915</x:v>
      </x:c>
      <x:c r="B126" s="14" t="str">
        <x:v>Заготовленный фонд долей</x:v>
      </x:c>
      <x:c r="C126" s="29" t="n">
        <x:v>52741</x:v>
      </x:c>
      <x:c r="D126" s="14" t="str">
        <x:v>душевые доли</x:v>
      </x:c>
      <x:c r="E126" s="14" t="str">
        <x:v>Наличие / переселенческий учёт</x:v>
      </x:c>
      <x:c r="F126" s="14" t="str">
        <x:v>Вся область; на 01.01.1916</x:v>
      </x:c>
      <x:c r="G126" s="14" t="str">
        <x:v>По источнику</x:v>
      </x:c>
      <x:c r="H126" s="14" t="str">
        <x:v>Учёт душевых земельных долей. Это не число переселившихся жителей обоего пола за год.</x:v>
      </x:c>
      <x:c r="I126" s="14" t="str">
        <x:v>с. 9–10; RAW copy 2 PDF 14–15</x:v>
      </x:c>
      <x:c r="J126" s="14" t="str">
        <x:v>Uralskaia-1913-1915(1).xlsx</x:v>
      </x:c>
      <x:c r="K126" s="24" t="str">
        <x:v>https://archive.org/download/obzor_uralskoi_oblasti/Обзор Уральской области за 1915 (copy 2) - RAW.pdf</x:v>
      </x:c>
    </x:row>
    <x:row r="127" ht="48" customHeight="1">
      <x:c r="A127" s="3" t="n">
        <x:v>1915</x:v>
      </x:c>
      <x:c r="B127" s="13" t="str">
        <x:v>Зачислено, ещё не водворено</x:v>
      </x:c>
      <x:c r="C127" s="28" t="n">
        <x:v>11201</x:v>
      </x:c>
      <x:c r="D127" s="13" t="str">
        <x:v>душевые доли</x:v>
      </x:c>
      <x:c r="E127" s="13" t="str">
        <x:v>Административное зачисление</x:v>
      </x:c>
      <x:c r="F127" s="13" t="str">
        <x:v>Вся область; на 01.01.1916</x:v>
      </x:c>
      <x:c r="G127" s="13" t="str">
        <x:v>По источнику</x:v>
      </x:c>
      <x:c r="H127" s="13" t="str">
        <x:v>Учёт душевых земельных долей. Это не число переселившихся жителей обоего пола за год.</x:v>
      </x:c>
      <x:c r="I127" s="13" t="str">
        <x:v>с. 9–10; RAW copy 2 PDF 14–15</x:v>
      </x:c>
      <x:c r="J127" s="13" t="str">
        <x:v>Uralskaia-1913-1915(1).xlsx</x:v>
      </x:c>
      <x:c r="K127" s="22" t="str">
        <x:v>https://archive.org/download/obzor_uralskoi_oblasti/Обзор Уральской области за 1915 (copy 2) - RAW.pdf</x:v>
      </x:c>
    </x:row>
    <x:row r="128" ht="48" customHeight="1">
      <x:c r="A128" s="12" t="n">
        <x:v>1915</x:v>
      </x:c>
      <x:c r="B128" s="14" t="str">
        <x:v>Состоит водворенных, как напечатано</x:v>
      </x:c>
      <x:c r="C128" s="29" t="n">
        <x:v>38935</x:v>
      </x:c>
      <x:c r="D128" s="14" t="str">
        <x:v>душевые доли</x:v>
      </x:c>
      <x:c r="E128" s="14" t="str">
        <x:v>Наличие / переселенческий учёт</x:v>
      </x:c>
      <x:c r="F128" s="14" t="str">
        <x:v>Вся область; на 01.01.1916</x:v>
      </x:c>
      <x:c r="G128" s="14" t="str">
        <x:v>По источнику</x:v>
      </x:c>
      <x:c r="H128" s="14" t="str">
        <x:v>Учёт душевых земельных долей. Это не число переселившихся жителей обоего пола за год. В тексте 38 935, но сумма уездных цифр после издательской поправки 38 900. Сохранено печатное значение.</x:v>
      </x:c>
      <x:c r="I128" s="14" t="str">
        <x:v>с. 9–10; RAW copy 2 PDF 14–15</x:v>
      </x:c>
      <x:c r="J128" s="14" t="str">
        <x:v>Uralskaia-1913-1915(1).xlsx</x:v>
      </x:c>
      <x:c r="K128" s="24" t="str">
        <x:v>https://archive.org/download/obzor_uralskoi_oblasti/Обзор Уральской области за 1915 (copy 2) - RAW.pdf</x:v>
      </x:c>
    </x:row>
    <x:row r="129" ht="48" customHeight="1">
      <x:c r="A129" s="3" t="n">
        <x:v>1915</x:v>
      </x:c>
      <x:c r="B129" s="13" t="str">
        <x:v>Состоит водворенных</x:v>
      </x:c>
      <x:c r="C129" s="28" t="n">
        <x:v>26149</x:v>
      </x:c>
      <x:c r="D129" s="13" t="str">
        <x:v>душевые доли</x:v>
      </x:c>
      <x:c r="E129" s="13" t="str">
        <x:v>Наличие / переселенческий учёт</x:v>
      </x:c>
      <x:c r="F129" s="13" t="str">
        <x:v>Уральский уезд; на 01.01.1916</x:v>
      </x:c>
      <x:c r="G129" s="13" t="str">
        <x:v>По источнику</x:v>
      </x:c>
      <x:c r="H129" s="13" t="str">
        <x:v>Учёт душевых земельных долей. Это не число переселившихся жителей обоего пола за год. Принята издательская поправка: 26 189 на с. 9 следует читать 26 149 (лист «Опечатки», RAW copy 2 PDF 2).</x:v>
      </x:c>
      <x:c r="I129" s="13" t="str">
        <x:v>с. 9–10; RAW copy 2 PDF 14–15</x:v>
      </x:c>
      <x:c r="J129" s="13" t="str">
        <x:v>Uralskaia-1913-1915(1).xlsx</x:v>
      </x:c>
      <x:c r="K129" s="22" t="str">
        <x:v>https://archive.org/download/obzor_uralskoi_oblasti/Обзор Уральской области за 1915 (copy 2) - RAW.pdf</x:v>
      </x:c>
    </x:row>
    <x:row r="130" ht="48" customHeight="1">
      <x:c r="A130" s="12" t="n">
        <x:v>1915</x:v>
      </x:c>
      <x:c r="B130" s="14" t="str">
        <x:v>Состоит водворенных</x:v>
      </x:c>
      <x:c r="C130" s="29" t="n">
        <x:v>12751</x:v>
      </x:c>
      <x:c r="D130" s="14" t="str">
        <x:v>душевые доли</x:v>
      </x:c>
      <x:c r="E130" s="14" t="str">
        <x:v>Наличие / переселенческий учёт</x:v>
      </x:c>
      <x:c r="F130" s="14" t="str">
        <x:v>Темирский уезд; на 01.01.1916</x:v>
      </x:c>
      <x:c r="G130" s="14" t="str">
        <x:v>По источнику</x:v>
      </x:c>
      <x:c r="H130" s="14" t="str">
        <x:v>Учёт душевых земельных долей. Это не число переселившихся жителей обоего пола за год.</x:v>
      </x:c>
      <x:c r="I130" s="14" t="str">
        <x:v>с. 9–10; RAW copy 2 PDF 14–15</x:v>
      </x:c>
      <x:c r="J130" s="14" t="str">
        <x:v>Uralskaia-1913-1915(1).xlsx</x:v>
      </x:c>
      <x:c r="K130" s="24" t="str">
        <x:v>https://archive.org/download/obzor_uralskoi_oblasti/Обзор Уральской области за 1915 (copy 2) - RAW.pdf</x:v>
      </x:c>
    </x:row>
    <x:row r="131" ht="48" customHeight="1">
      <x:c r="A131" s="3" t="n">
        <x:v>1915</x:v>
      </x:c>
      <x:c r="B131" s="13" t="str">
        <x:v>Уход ранее водворенных</x:v>
      </x:c>
      <x:c r="C131" s="32" t="n">
        <x:v>0.005</x:v>
      </x:c>
      <x:c r="D131" s="13" t="str">
        <x:v>доля</x:v>
      </x:c>
      <x:c r="E131" s="13" t="str">
        <x:v>Доля, не абсолютный поток</x:v>
      </x:c>
      <x:c r="F131" s="13" t="str">
        <x:v>Уральский уезд; за 1915 год</x:v>
      </x:c>
      <x:c r="G131" s="13" t="str">
        <x:v>По источнику</x:v>
      </x:c>
      <x:c r="H131" s="13" t="str">
        <x:v>Источник даёт процент ушедших водворенных. Абсолютный отток жителей обоего пола не вычисляется.</x:v>
      </x:c>
      <x:c r="I131" s="13" t="str">
        <x:v>с. 9–10; RAW copy 2 PDF 14–15</x:v>
      </x:c>
      <x:c r="J131" s="13" t="str">
        <x:v>Uralskaia-1913-1915(1).xlsx</x:v>
      </x:c>
      <x:c r="K131" s="22" t="str">
        <x:v>https://archive.org/download/obzor_uralskoi_oblasti/Обзор Уральской области за 1915 (copy 2) - RAW.pdf</x:v>
      </x:c>
    </x:row>
    <x:row r="132" ht="48" customHeight="1">
      <x:c r="A132" s="12" t="n">
        <x:v>1915</x:v>
      </x:c>
      <x:c r="B132" s="14" t="str">
        <x:v>Уход ранее водворенных</x:v>
      </x:c>
      <x:c r="C132" s="33" t="n">
        <x:v>0.012</x:v>
      </x:c>
      <x:c r="D132" s="14" t="str">
        <x:v>доля</x:v>
      </x:c>
      <x:c r="E132" s="14" t="str">
        <x:v>Доля, не абсолютный поток</x:v>
      </x:c>
      <x:c r="F132" s="14" t="str">
        <x:v>Темирский уезд; за 1915 год</x:v>
      </x:c>
      <x:c r="G132" s="14" t="str">
        <x:v>По источнику</x:v>
      </x:c>
      <x:c r="H132" s="14" t="str">
        <x:v>Источник даёт процент ушедших водворенных. Абсолютный отток жителей обоего пола не вычисляется.</x:v>
      </x:c>
      <x:c r="I132" s="14" t="str">
        <x:v>с. 9–10; RAW copy 2 PDF 14–15</x:v>
      </x:c>
      <x:c r="J132" s="14" t="str">
        <x:v>Uralskaia-1913-1915(1).xlsx</x:v>
      </x:c>
      <x:c r="K132" s="24" t="str">
        <x:v>https://archive.org/download/obzor_uralskoi_oblasti/Обзор Уральской области за 1915 (copy 2) - RAW.pdf</x:v>
      </x:c>
    </x:row>
    <x:row r="133" ht="48" customHeight="1">
      <x:c r="A133" s="3" t="n">
        <x:v>1915</x:v>
      </x:c>
      <x:c r="B133" s="13" t="str">
        <x:v>Остаток зачисленных прошлого года</x:v>
      </x:c>
      <x:c r="C133" s="28" t="n">
        <x:v>8794</x:v>
      </x:c>
      <x:c r="D133" s="13" t="str">
        <x:v>душевые доли</x:v>
      </x:c>
      <x:c r="E133" s="13" t="str">
        <x:v>Административное зачисление</x:v>
      </x:c>
      <x:c r="F133" s="13" t="str">
        <x:v>Темирский уезд; начало 1915 года</x:v>
      </x:c>
      <x:c r="G133" s="13" t="str">
        <x:v>По источнику</x:v>
      </x:c>
      <x:c r="H133" s="13" t="str">
        <x:v>Зачисление на долю не доказывает прибытие. Межгодовые остатки источника не гармонизированы.</x:v>
      </x:c>
      <x:c r="I133" s="13" t="str">
        <x:v>с. 9–10; RAW copy 2 PDF 14–15</x:v>
      </x:c>
      <x:c r="J133" s="13" t="str">
        <x:v>Uralskaia-1913-1915(1).xlsx</x:v>
      </x:c>
      <x:c r="K133" s="22" t="str">
        <x:v>https://archive.org/download/obzor_uralskoi_oblasti/Обзор Уральской области за 1915 (copy 2) - RAW.pdf</x:v>
      </x:c>
    </x:row>
    <x:row r="134" ht="48" customHeight="1">
      <x:c r="A134" s="12" t="n">
        <x:v>1915</x:v>
      </x:c>
      <x:c r="B134" s="14" t="str">
        <x:v>Новые зачисления</x:v>
      </x:c>
      <x:c r="C134" s="29" t="n">
        <x:v>442</x:v>
      </x:c>
      <x:c r="D134" s="14" t="str">
        <x:v>душевые доли</x:v>
      </x:c>
      <x:c r="E134" s="14" t="str">
        <x:v>Административное зачисление</x:v>
      </x:c>
      <x:c r="F134" s="14" t="str">
        <x:v>Темирский уезд; за 1915 год</x:v>
      </x:c>
      <x:c r="G134" s="14" t="str">
        <x:v>По источнику</x:v>
      </x:c>
      <x:c r="H134" s="14" t="str">
        <x:v>Административное зачисление на участки. Это не число прибывших семей или жителей обоего пола.</x:v>
      </x:c>
      <x:c r="I134" s="14" t="str">
        <x:v>с. 9–10; RAW copy 2 PDF 14–15</x:v>
      </x:c>
      <x:c r="J134" s="14" t="str">
        <x:v>Uralskaia-1913-1915(1).xlsx</x:v>
      </x:c>
      <x:c r="K134" s="24" t="str">
        <x:v>https://archive.org/download/obzor_uralskoi_oblasti/Обзор Уральской области за 1915 (copy 2) - RAW.pdf</x:v>
      </x:c>
    </x:row>
    <x:row r="135" ht="48" customHeight="1">
      <x:c r="A135" s="3" t="n">
        <x:v>1915</x:v>
      </x:c>
      <x:c r="B135" s="13" t="str">
        <x:v>Водворилось из числа зачисленных</x:v>
      </x:c>
      <x:c r="C135" s="32" t="n">
        <x:v>0.075</x:v>
      </x:c>
      <x:c r="D135" s="13" t="str">
        <x:v>доля</x:v>
      </x:c>
      <x:c r="E135" s="13" t="str">
        <x:v>Доля, не абсолютный поток</x:v>
      </x:c>
      <x:c r="F135" s="13" t="str">
        <x:v>Темирский уезд; за 1915 год</x:v>
      </x:c>
      <x:c r="G135" s="13" t="str">
        <x:v>Около</x:v>
      </x:c>
      <x:c r="H135" s="13" t="str">
        <x:v>Около указанной доли от остатка прошлогодних и новых зачислений. Не общий приток населения.</x:v>
      </x:c>
      <x:c r="I135" s="13" t="str">
        <x:v>с. 9–10; RAW copy 2 PDF 14–15</x:v>
      </x:c>
      <x:c r="J135" s="13" t="str">
        <x:v>Uralskaia-1913-1915(1).xlsx</x:v>
      </x:c>
      <x:c r="K135" s="22" t="str">
        <x:v>https://archive.org/download/obzor_uralskoi_oblasti/Обзор Уральской области за 1915 (copy 2) - RAW.pdf</x:v>
      </x:c>
    </x:row>
    <x:row r="136" ht="48" customHeight="1">
      <x:c r="A136" s="12" t="n">
        <x:v>1915</x:v>
      </x:c>
      <x:c r="B136" s="14" t="str">
        <x:v>Отказались, не явились в срок и прочие</x:v>
      </x:c>
      <x:c r="C136" s="33" t="n">
        <x:v>0.025</x:v>
      </x:c>
      <x:c r="D136" s="14" t="str">
        <x:v>доля</x:v>
      </x:c>
      <x:c r="E136" s="14" t="str">
        <x:v>Доля, не абсолютный поток</x:v>
      </x:c>
      <x:c r="F136" s="14" t="str">
        <x:v>Темирский уезд; за 1915 год</x:v>
      </x:c>
      <x:c r="G136" s="14" t="str">
        <x:v>По источнику</x:v>
      </x:c>
      <x:c r="H136" s="14" t="str">
        <x:v>Доля от остатка прошлогодних и новых зачислений. Не число выбывших из области. На изображении 2½%; OCR теряет целую часть.</x:v>
      </x:c>
      <x:c r="I136" s="14" t="str">
        <x:v>с. 9–10; RAW copy 2 PDF 14–15</x:v>
      </x:c>
      <x:c r="J136" s="14" t="str">
        <x:v>Uralskaia-1913-1915(1).xlsx</x:v>
      </x:c>
      <x:c r="K136" s="24" t="str">
        <x:v>https://archive.org/download/obzor_uralskoi_oblasti/Обзор Уральской области за 1915 (copy 2) - RAW.pdf</x:v>
      </x:c>
    </x:row>
    <x:row r="137" ht="48" customHeight="1">
      <x:c r="A137" s="3" t="n">
        <x:v>1915</x:v>
      </x:c>
      <x:c r="B137" s="13" t="str">
        <x:v>Отказались и не явились по зачислении</x:v>
      </x:c>
      <x:c r="C137" s="32" t="n">
        <x:v>0.035</x:v>
      </x:c>
      <x:c r="D137" s="13" t="str">
        <x:v>доля</x:v>
      </x:c>
      <x:c r="E137" s="13" t="str">
        <x:v>Доля, не абсолютный поток</x:v>
      </x:c>
      <x:c r="F137" s="13" t="str">
        <x:v>Уральский уезд; за 1915 год</x:v>
      </x:c>
      <x:c r="G137" s="13" t="str">
        <x:v>По источнику</x:v>
      </x:c>
      <x:c r="H137" s="13" t="str">
        <x:v>Знаменатель в тексте — общее число зачисленных за отчётный год; он отличается от формулировки 1913–1914 годов.</x:v>
      </x:c>
      <x:c r="I137" s="13" t="str">
        <x:v>с. 9–10; RAW copy 2 PDF 14–15</x:v>
      </x:c>
      <x:c r="J137" s="13" t="str">
        <x:v>Uralskaia-1913-1915(1).xlsx</x:v>
      </x:c>
      <x:c r="K137" s="22" t="str">
        <x:v>https://archive.org/download/obzor_uralskoi_oblasti/Обзор Уральской области за 1915 (copy 2) - RAW.pdf</x:v>
      </x:c>
    </x:row>
    <x:row r="138" ht="48" customHeight="1">
      <x:c r="A138" s="12" t="n">
        <x:v>1915</x:v>
      </x:c>
      <x:c r="B138" s="14" t="str">
        <x:v>Эвакуированные беженцы — всего</x:v>
      </x:c>
      <x:c r="C138" s="29" t="n">
        <x:v>6502</x:v>
      </x:c>
      <x:c r="D138" s="14" t="str">
        <x:v>человек</x:v>
      </x:c>
      <x:c r="E138" s="14" t="str">
        <x:v>Эвакуированные к дате</x:v>
      </x:c>
      <x:c r="F138" s="14" t="str">
        <x:v>Вся область; к 01.01.1916</x:v>
      </x:c>
      <x:c r="G138" s="14" t="str">
        <x:v>По источнику</x:v>
      </x:c>
      <x:c r="H138" s="14" t="str">
        <x:v>Отдельный итог эвакуированных беженцев к указанной дате. Не полное годовое сальдо. Включение в основную оценку населения не оговорено.</x:v>
      </x:c>
      <x:c r="I138" s="14" t="str">
        <x:v>с. 138; RAW copy 2 PDF 143; OCR PDF 146</x:v>
      </x:c>
      <x:c r="J138" s="14" t="str">
        <x:v>Uralskaia-1913-1915(1).xlsx</x:v>
      </x:c>
      <x:c r="K138" s="24" t="str">
        <x:v>https://archive.org/download/obzor_uralskoi_oblasti/Обзор Уральской области за 1915 (copy 2) - RAW.pdf</x:v>
      </x:c>
    </x:row>
    <x:row r="139" ht="48" customHeight="1">
      <x:c r="A139" s="3" t="n">
        <x:v>1915</x:v>
      </x:c>
      <x:c r="B139" s="13" t="str">
        <x:v>Эвакуированные беженцы — взрослые</x:v>
      </x:c>
      <x:c r="C139" s="28" t="n">
        <x:v>3427</x:v>
      </x:c>
      <x:c r="D139" s="13" t="str">
        <x:v>человек</x:v>
      </x:c>
      <x:c r="E139" s="13" t="str">
        <x:v>Эвакуированные к дате</x:v>
      </x:c>
      <x:c r="F139" s="13" t="str">
        <x:v>Вся область; к 01.01.1916</x:v>
      </x:c>
      <x:c r="G139" s="13" t="str">
        <x:v>По источнику</x:v>
      </x:c>
      <x:c r="H139" s="13" t="str">
        <x:v>Отдельный итог эвакуированных беженцев к указанной дате. Не полное годовое сальдо. Включение в основную оценку населения не оговорено.</x:v>
      </x:c>
      <x:c r="I139" s="13" t="str">
        <x:v>с. 138; RAW copy 2 PDF 143; OCR PDF 146</x:v>
      </x:c>
      <x:c r="J139" s="13" t="str">
        <x:v>Uralskaia-1913-1915(1).xlsx</x:v>
      </x:c>
      <x:c r="K139" s="22" t="str">
        <x:v>https://archive.org/download/obzor_uralskoi_oblasti/Обзор Уральской области за 1915 (copy 2) - RAW.pdf</x:v>
      </x:c>
    </x:row>
    <x:row r="140" ht="48" customHeight="1">
      <x:c r="A140" s="12" t="n">
        <x:v>1915</x:v>
      </x:c>
      <x:c r="B140" s="14" t="str">
        <x:v>Эвакуированные беженцы — дети</x:v>
      </x:c>
      <x:c r="C140" s="29" t="n">
        <x:v>3075</x:v>
      </x:c>
      <x:c r="D140" s="14" t="str">
        <x:v>человек</x:v>
      </x:c>
      <x:c r="E140" s="14" t="str">
        <x:v>Эвакуированные к дате</x:v>
      </x:c>
      <x:c r="F140" s="14" t="str">
        <x:v>Вся область; к 01.01.1916</x:v>
      </x:c>
      <x:c r="G140" s="14" t="str">
        <x:v>По источнику</x:v>
      </x:c>
      <x:c r="H140" s="14" t="str">
        <x:v>Отдельный итог эвакуированных беженцев к указанной дате. Не полное годовое сальдо. Включение в основную оценку населения не оговорено.</x:v>
      </x:c>
      <x:c r="I140" s="14" t="str">
        <x:v>с. 138; RAW copy 2 PDF 143; OCR PDF 146</x:v>
      </x:c>
      <x:c r="J140" s="14" t="str">
        <x:v>Uralskaia-1913-1915(1).xlsx</x:v>
      </x:c>
      <x:c r="K140" s="24" t="str">
        <x:v>https://archive.org/download/obzor_uralskoi_oblasti/Обзор Уральской области за 1915 (copy 2) - RAW.pdf</x:v>
      </x:c>
    </x:row>
    <x:row r="141" ht="48" customHeight="1">
      <x:c r="A141" s="3" t="n">
        <x:v>1915</x:v>
      </x:c>
      <x:c r="B141" s="13" t="str">
        <x:v>На работах на стороне</x:v>
      </x:c>
      <x:c r="C141" s="28" t="n">
        <x:v>242</x:v>
      </x:c>
      <x:c r="D141" s="13" t="str">
        <x:v>семьи</x:v>
      </x:c>
      <x:c r="E141" s="13" t="str">
        <x:v>Наличие / переселенческий учёт</x:v>
      </x:c>
      <x:c r="F141" s="13" t="str">
        <x:v>Переселенцы; за 1915 год</x:v>
      </x:c>
      <x:c r="G141" s="13" t="str">
        <x:v>По источнику</x:v>
      </x:c>
      <x:c r="H141" s="13" t="str">
        <x:v>Трудовая подвижность. Упомянуты Оренбургская и Самарская губернии. В тот же показатель могли входить работы внутри Уральской области (железная дорога, казаки). Доля именно внешнего отхода не выделена.</x:v>
      </x:c>
      <x:c r="I141" s="13" t="str">
        <x:v>с. 69; OCR PDF 78</x:v>
      </x:c>
      <x:c r="J141" s="13" t="str">
        <x:v>Uralskaia-1913-1915(1).xlsx</x:v>
      </x:c>
      <x:c r="K141" s="22" t="str">
        <x:v>https://archive.org/download/obzor_uralskoi_oblasti/Обзор Уральской области за 1915 (copy 2) - RAW.pdf</x:v>
      </x:c>
    </x:row>
  </x:sheetData>
  <x:pageMargins left="0.7" right="0.7" top="0.75" bottom="0.75" header="0.3" footer="0.3"/>
  <x:tableParts count="2">
    <x:tablePart xmlns:r="http://schemas.openxmlformats.org/officeDocument/2006/relationships" r:id="R593343f125574bbd"/>
    <x:tablePart xmlns:r="http://schemas.openxmlformats.org/officeDocument/2006/relationships" r:id="R18fd7d421ff947b1"/>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 hidden="0" customWidth="1"/>
    <x:col min="2" max="2" width="47" hidden="0" customWidth="1"/>
    <x:col min="3" max="3" width="38" hidden="0" customWidth="1"/>
    <x:col min="4" max="4" width="14" hidden="0" customWidth="1"/>
    <x:col min="5" max="5" width="14" hidden="0" customWidth="1"/>
    <x:col min="6" max="6" width="16" hidden="0" customWidth="1"/>
    <x:col min="7" max="7" width="18" hidden="0" customWidth="1"/>
    <x:col min="8" max="8" width="20" hidden="0" customWidth="1"/>
    <x:col min="9" max="9" width="87" hidden="0" customWidth="1"/>
    <x:col min="10" max="10" width="55" hidden="0" customWidth="1"/>
    <x:col min="11" max="11" width="43" hidden="0" customWidth="1"/>
    <x:col min="12" max="12" width="62" hidden="0" customWidth="1"/>
  </x:cols>
  <x:sheetData>
    <x:row r="1">
      <x:c r="A1" s="3"/>
      <x:c r="B1" s="3"/>
      <x:c r="C1" s="3"/>
      <x:c r="D1" s="3"/>
      <x:c r="E1" s="3"/>
      <x:c r="F1" s="3"/>
      <x:c r="G1" s="3"/>
      <x:c r="H1" s="3"/>
      <x:c r="I1" s="3"/>
      <x:c r="J1" s="3"/>
      <x:c r="K1" s="3"/>
      <x:c r="L1" s="3"/>
    </x:row>
    <x:row r="2" ht="26" customHeight="1">
      <x:c r="A2" s="5" t="str">
        <x:v>Уральская область. Другие версии и авторские оценки</x:v>
      </x:c>
      <x:c r="B2" s="6"/>
      <x:c r="C2" s="6"/>
      <x:c r="D2" s="6"/>
      <x:c r="E2" s="6"/>
      <x:c r="F2" s="6"/>
      <x:c r="G2" s="6"/>
      <x:c r="H2" s="6"/>
      <x:c r="I2" s="6"/>
      <x:c r="J2" s="6"/>
      <x:c r="K2" s="6"/>
      <x:c r="L2" s="6"/>
    </x:row>
    <x:row r="3" ht="23" customHeight="1">
      <x:c r="A3" s="7" t="str">
        <x:v>Альтернативы одного года не складываются. Авторские оценки отсутствующих событий не включены в основной регистрационный ряд.</x:v>
      </x:c>
      <x:c r="B3" s="3"/>
      <x:c r="C3" s="3"/>
      <x:c r="D3" s="3"/>
      <x:c r="E3" s="3"/>
      <x:c r="F3" s="3"/>
      <x:c r="G3" s="3"/>
      <x:c r="H3" s="3"/>
      <x:c r="I3" s="3"/>
      <x:c r="J3" s="3"/>
      <x:c r="K3" s="3"/>
      <x:c r="L3" s="3"/>
    </x:row>
    <x:row r="4">
      <x:c r="A4" s="3"/>
      <x:c r="B4" s="3"/>
      <x:c r="C4" s="3"/>
      <x:c r="D4" s="3"/>
      <x:c r="E4" s="3"/>
      <x:c r="F4" s="3"/>
      <x:c r="G4" s="3"/>
      <x:c r="H4" s="3"/>
      <x:c r="I4" s="3"/>
      <x:c r="J4" s="3"/>
      <x:c r="K4" s="3"/>
      <x:c r="L4" s="3"/>
    </x:row>
    <x:row r="5" ht="64" customHeight="1">
      <x:c r="A5" s="11" t="str">
        <x:v>Год</x:v>
      </x:c>
      <x:c r="B5" s="11" t="str">
        <x:v>Вариант источника</x:v>
      </x:c>
      <x:c r="C5" s="11" t="str">
        <x:v>Группа / территория</x:v>
      </x:c>
      <x:c r="D5" s="11" t="str">
        <x:v>Рождения</x:v>
      </x:c>
      <x:c r="E5" s="11" t="str">
        <x:v>Смерти</x:v>
      </x:c>
      <x:c r="F5" s="11" t="str">
        <x:v>B−D, расчёт</x:v>
      </x:c>
      <x:c r="G5" s="11" t="str">
        <x:v>Прирост напечатан</x:v>
      </x:c>
      <x:c r="H5" s="11" t="str">
        <x:v>Напечатан минус расчёт</x:v>
      </x:c>
      <x:c r="I5" s="11" t="str">
        <x:v>Смысл / выбор основной версии</x:v>
      </x:c>
      <x:c r="J5" s="11" t="str">
        <x:v>Страницы</x:v>
      </x:c>
      <x:c r="K5" s="11" t="str">
        <x:v>Частная сводка</x:v>
      </x:c>
      <x:c r="L5" s="11" t="str">
        <x:v>PDF</x:v>
      </x:c>
    </x:row>
    <x:row r="6" ht="48" customHeight="1">
      <x:c r="A6" s="37" t="n">
        <x:v>1896</x:v>
      </x:c>
      <x:c r="B6" s="13" t="str">
        <x:v>Основной текст, альтернативная версия</x:v>
      </x:c>
      <x:c r="C6" s="13" t="str">
        <x:v>Оседлое</x:v>
      </x:c>
      <x:c r="D6" s="15" t="n">
        <x:v>10123</x:v>
      </x:c>
      <x:c r="E6" s="15" t="n">
        <x:v>5560</x:v>
      </x:c>
      <x:c r="F6" s="34" t="n">
        <x:f>IF(COUNT(D6:E6)=2,D6-E6,"")</x:f>
        <x:v>4563</x:v>
      </x:c>
      <x:c r="G6" s="15" t="n">
        <x:v>4563</x:v>
      </x:c>
      <x:c r="H6" s="34" t="n">
        <x:f>IF(COUNT(F6:G6)=2,G6-F6,"")</x:f>
        <x:v>0</x:v>
      </x:c>
      <x:c r="I6" s="13" t="str">
        <x:v>В основной ряд выбрана ведомость № 6: 10 270 / 5 606. В тексте внутри выпуска стоит «в 1895 году».</x:v>
      </x:c>
      <x:c r="J6" s="13" t="str">
        <x:v>с. 5 / PDF 6</x:v>
      </x:c>
      <x:c r="K6" s="13" t="str">
        <x:v>Uralskaia-1895-1899(1).md</x:v>
      </x:c>
      <x:c r="L6" s="22" t="str">
        <x:v>https://archive.org/download/obzor_uralskoi_oblasti/Обзор Уральской области за 1896 - RAW.pdf</x:v>
      </x:c>
    </x:row>
    <x:row r="7" ht="48" customHeight="1">
      <x:c r="A7" s="38" t="n">
        <x:v>1897</x:v>
      </x:c>
      <x:c r="B7" s="14" t="str">
        <x:v>Авторская оценка отсутствующих событий</x:v>
      </x:c>
      <x:c r="C7" s="14" t="str">
        <x:v>Гурьевский уезд, кочевое</x:v>
      </x:c>
      <x:c r="D7" s="16" t="n">
        <x:v>2224</x:v>
      </x:c>
      <x:c r="E7" s="16" t="n">
        <x:v>1038</x:v>
      </x:c>
      <x:c r="F7" s="34" t="n">
        <x:f>IF(COUNT(D7:E7)=2,D7-E7,"")</x:f>
        <x:v>1186</x:v>
      </x:c>
      <x:c r="G7" s="16" t="n">
        <x:v>1086</x:v>
      </x:c>
      <x:c r="H7" s="34" t="n">
        <x:f>IF(COUNT(F7:G7)=2,G7-F7,"")</x:f>
        <x:v>-100</x:v>
      </x:c>
      <x:c r="I7" s="14" t="str">
        <x:v>Не наблюдённая регистрация; не включена в основной ряд.</x:v>
      </x:c>
      <x:c r="J7" s="14" t="str">
        <x:v>с. 16 / PDF 24</x:v>
      </x:c>
      <x:c r="K7" s="14" t="str">
        <x:v>Uralskaia-1895-1899(1).md</x:v>
      </x:c>
      <x:c r="L7" s="24" t="str">
        <x:v>https://archive.org/download/obzor_uralskoi_oblasti/Обзор Уральской области за 1897 - RAW.pdf</x:v>
      </x:c>
    </x:row>
    <x:row r="8" ht="48" customHeight="1">
      <x:c r="A8" s="37" t="n">
        <x:v>1897</x:v>
      </x:c>
      <x:c r="B8" s="13" t="str">
        <x:v>Авторская оценка отсутствующих событий</x:v>
      </x:c>
      <x:c r="C8" s="13" t="str">
        <x:v>Темирский уезд, кочевое</x:v>
      </x:c>
      <x:c r="D8" s="15" t="n">
        <x:v>2505</x:v>
      </x:c>
      <x:c r="E8" s="15" t="n">
        <x:v>1282</x:v>
      </x:c>
      <x:c r="F8" s="34" t="n">
        <x:f>IF(COUNT(D8:E8)=2,D8-E8,"")</x:f>
        <x:v>1223</x:v>
      </x:c>
      <x:c r="G8" s="15" t="n">
        <x:v>1223</x:v>
      </x:c>
      <x:c r="H8" s="34" t="n">
        <x:f>IF(COUNT(F8:G8)=2,G8-F8,"")</x:f>
        <x:v>0</x:v>
      </x:c>
      <x:c r="I8" s="13" t="str">
        <x:v>Не наблюдённая регистрация; не включена в основной ряд.</x:v>
      </x:c>
      <x:c r="J8" s="13" t="str">
        <x:v>с. 16 / PDF 24</x:v>
      </x:c>
      <x:c r="K8" s="13" t="str">
        <x:v>Uralskaia-1895-1899(1).md</x:v>
      </x:c>
      <x:c r="L8" s="22" t="str">
        <x:v>https://archive.org/download/obzor_uralskoi_oblasti/Обзор Уральской области за 1897 - RAW.pdf</x:v>
      </x:c>
    </x:row>
    <x:row r="9" ht="48" customHeight="1">
      <x:c r="A9" s="38" t="n">
        <x:v>1898</x:v>
      </x:c>
      <x:c r="B9" s="14" t="str">
        <x:v>Авторская оценка отсутствующих событий</x:v>
      </x:c>
      <x:c r="C9" s="14" t="str">
        <x:v>Гурьевский уезд, кочевое</x:v>
      </x:c>
      <x:c r="D9" s="16" t="n">
        <x:v>2676</x:v>
      </x:c>
      <x:c r="E9" s="16" t="n">
        <x:v>1368</x:v>
      </x:c>
      <x:c r="F9" s="34" t="n">
        <x:f>IF(COUNT(D9:E9)=2,D9-E9,"")</x:f>
        <x:v>1308</x:v>
      </x:c>
      <x:c r="G9" s="16" t="n">
        <x:v>1308</x:v>
      </x:c>
      <x:c r="H9" s="34" t="n">
        <x:f>IF(COUNT(F9:G9)=2,G9-F9,"")</x:f>
        <x:v>0</x:v>
      </x:c>
      <x:c r="I9" s="14" t="str">
        <x:v>Не наблюдённая регистрация; не включена в основной ряд.</x:v>
      </x:c>
      <x:c r="J9" s="14" t="str">
        <x:v>с. 14 / PDF 22</x:v>
      </x:c>
      <x:c r="K9" s="14" t="str">
        <x:v>Uralskaia-1895-1899(1).md</x:v>
      </x:c>
      <x:c r="L9" s="24" t="str">
        <x:v>https://archive.org/download/obzor_uralskoi_oblasti/Обзор Уральской области за 1898 - RAW.pdf</x:v>
      </x:c>
    </x:row>
    <x:row r="10" ht="48" customHeight="1">
      <x:c r="A10" s="37" t="n">
        <x:v>1898</x:v>
      </x:c>
      <x:c r="B10" s="13" t="str">
        <x:v>Авторская оценка отсутствующих событий</x:v>
      </x:c>
      <x:c r="C10" s="13" t="str">
        <x:v>Темирский уезд, кочевое</x:v>
      </x:c>
      <x:c r="D10" s="15" t="n">
        <x:v>3014</x:v>
      </x:c>
      <x:c r="E10" s="15" t="n">
        <x:v>1541</x:v>
      </x:c>
      <x:c r="F10" s="34" t="n">
        <x:f>IF(COUNT(D10:E10)=2,D10-E10,"")</x:f>
        <x:v>1473</x:v>
      </x:c>
      <x:c r="G10" s="15" t="n">
        <x:v>1473</x:v>
      </x:c>
      <x:c r="H10" s="34" t="n">
        <x:f>IF(COUNT(F10:G10)=2,G10-F10,"")</x:f>
        <x:v>0</x:v>
      </x:c>
      <x:c r="I10" s="13" t="str">
        <x:v>Не наблюдённая регистрация; не включена в основной ряд.</x:v>
      </x:c>
      <x:c r="J10" s="13" t="str">
        <x:v>с. 14 / PDF 22</x:v>
      </x:c>
      <x:c r="K10" s="13" t="str">
        <x:v>Uralskaia-1895-1899(1).md</x:v>
      </x:c>
      <x:c r="L10" s="22" t="str">
        <x:v>https://archive.org/download/obzor_uralskoi_oblasti/Обзор Уральской области за 1898 - RAW.pdf</x:v>
      </x:c>
    </x:row>
    <x:row r="11" ht="48" customHeight="1">
      <x:c r="A11" s="38" t="n">
        <x:v>1897</x:v>
      </x:c>
      <x:c r="B11" s="14" t="str">
        <x:v>Доставленные сведения + авторские оценки</x:v>
      </x:c>
      <x:c r="C11" s="14" t="str">
        <x:v>Кочевое с оценками</x:v>
      </x:c>
      <x:c r="D11" s="16" t="n">
        <x:v>11365</x:v>
      </x:c>
      <x:c r="E11" s="16" t="n">
        <x:v>5710</x:v>
      </x:c>
      <x:c r="F11" s="34" t="n">
        <x:f>IF(COUNT(D11:E11)=2,D11-E11,"")</x:f>
        <x:v>5655</x:v>
      </x:c>
      <x:c r="G11" s="16" t="n">
        <x:v>5555</x:v>
      </x:c>
      <x:c r="H11" s="34" t="n">
        <x:f>IF(COUNT(F11:G11)=2,G11-F11,"")</x:f>
        <x:v>-100</x:v>
      </x:c>
      <x:c r="I11" s="14" t="str">
        <x:v>Включает оценки двух южных уездов. В 1897 разность рождений и смертей на 100 больше напечатанного прироста.</x:v>
      </x:c>
      <x:c r="J11" s="14" t="str">
        <x:v>с. 16 / PDF 24</x:v>
      </x:c>
      <x:c r="K11" s="14" t="str">
        <x:v>Uralskaia-1895-1899(1).md</x:v>
      </x:c>
      <x:c r="L11" s="24" t="str">
        <x:v>https://archive.org/download/obzor_uralskoi_oblasti/Обзор Уральской области за 1897 - RAW.pdf</x:v>
      </x:c>
    </x:row>
    <x:row r="12" ht="48" customHeight="1">
      <x:c r="A12" s="37" t="n">
        <x:v>1897</x:v>
      </x:c>
      <x:c r="B12" s="13" t="str">
        <x:v>Доставленные сведения + авторские оценки</x:v>
      </x:c>
      <x:c r="C12" s="13" t="str">
        <x:v>Вся область с оценками</x:v>
      </x:c>
      <x:c r="D12" s="15" t="n">
        <x:v>20495</x:v>
      </x:c>
      <x:c r="E12" s="15" t="n">
        <x:v>9941</x:v>
      </x:c>
      <x:c r="F12" s="34" t="n">
        <x:f>IF(COUNT(D12:E12)=2,D12-E12,"")</x:f>
        <x:v>10554</x:v>
      </x:c>
      <x:c r="G12" s="15" t="n">
        <x:v>10454</x:v>
      </x:c>
      <x:c r="H12" s="34" t="n">
        <x:f>IF(COUNT(F12:G12)=2,G12-F12,"")</x:f>
        <x:v>-100</x:v>
      </x:c>
      <x:c r="I12" s="13" t="str">
        <x:v>Включает оценки двух южных уездов. В 1897 разность рождений и смертей на 100 больше напечатанного прироста.</x:v>
      </x:c>
      <x:c r="J12" s="13" t="str">
        <x:v>с. 16 / PDF 24</x:v>
      </x:c>
      <x:c r="K12" s="13" t="str">
        <x:v>Uralskaia-1895-1899(1).md</x:v>
      </x:c>
      <x:c r="L12" s="22" t="str">
        <x:v>https://archive.org/download/obzor_uralskoi_oblasti/Обзор Уральской области за 1897 - RAW.pdf</x:v>
      </x:c>
    </x:row>
    <x:row r="13" ht="48" customHeight="1">
      <x:c r="A13" s="38" t="n">
        <x:v>1898</x:v>
      </x:c>
      <x:c r="B13" s="14" t="str">
        <x:v>Доставленные сведения + авторские оценки</x:v>
      </x:c>
      <x:c r="C13" s="14" t="str">
        <x:v>Кочевое с оценками</x:v>
      </x:c>
      <x:c r="D13" s="16" t="n">
        <x:v>14282</x:v>
      </x:c>
      <x:c r="E13" s="16" t="n">
        <x:v>7311</x:v>
      </x:c>
      <x:c r="F13" s="34" t="n">
        <x:f>IF(COUNT(D13:E13)=2,D13-E13,"")</x:f>
        <x:v>6971</x:v>
      </x:c>
      <x:c r="G13" s="16"/>
      <x:c r="H13" s="34" t="str">
        <x:f>IF(COUNT(F13:G13)=2,G13-F13,"")</x:f>
      </x:c>
      <x:c r="I13" s="14" t="str">
        <x:v>Включает оценки двух южных уездов. В 1897 разность рождений и смертей на 100 больше напечатанного прироста.</x:v>
      </x:c>
      <x:c r="J13" s="14" t="str">
        <x:v>с. 14 / PDF 22</x:v>
      </x:c>
      <x:c r="K13" s="14" t="str">
        <x:v>Uralskaia-1895-1899(1).md</x:v>
      </x:c>
      <x:c r="L13" s="24" t="str">
        <x:v>https://archive.org/download/obzor_uralskoi_oblasti/Обзор Уральской области за 1898 - RAW.pdf</x:v>
      </x:c>
    </x:row>
    <x:row r="14" ht="48" customHeight="1">
      <x:c r="A14" s="37" t="n">
        <x:v>1898</x:v>
      </x:c>
      <x:c r="B14" s="13" t="str">
        <x:v>Доставленные сведения + авторские оценки</x:v>
      </x:c>
      <x:c r="C14" s="13" t="str">
        <x:v>Вся область с оценками</x:v>
      </x:c>
      <x:c r="D14" s="15" t="n">
        <x:v>23627</x:v>
      </x:c>
      <x:c r="E14" s="15" t="n">
        <x:v>12331</x:v>
      </x:c>
      <x:c r="F14" s="34" t="n">
        <x:f>IF(COUNT(D14:E14)=2,D14-E14,"")</x:f>
        <x:v>11296</x:v>
      </x:c>
      <x:c r="G14" s="15" t="n">
        <x:v>11296</x:v>
      </x:c>
      <x:c r="H14" s="34" t="n">
        <x:f>IF(COUNT(F14:G14)=2,G14-F14,"")</x:f>
        <x:v>0</x:v>
      </x:c>
      <x:c r="I14" s="13" t="str">
        <x:v>Включает оценки двух южных уездов. В 1897 разность рождений и смертей на 100 больше напечатанного прироста.</x:v>
      </x:c>
      <x:c r="J14" s="13" t="str">
        <x:v>с. 14 / PDF 22</x:v>
      </x:c>
      <x:c r="K14" s="13" t="str">
        <x:v>Uralskaia-1895-1899(1).md</x:v>
      </x:c>
      <x:c r="L14" s="22" t="str">
        <x:v>https://archive.org/download/obzor_uralskoi_oblasti/Обзор Уральской области за 1898 - RAW.pdf</x:v>
      </x:c>
    </x:row>
    <x:row r="15" ht="48" customHeight="1">
      <x:c r="A15" s="38" t="n">
        <x:v>1899</x:v>
      </x:c>
      <x:c r="B15" s="14" t="str">
        <x:v>Основной текст, альтернативная версия</x:v>
      </x:c>
      <x:c r="C15" s="14" t="str">
        <x:v>Вся область</x:v>
      </x:c>
      <x:c r="D15" s="16" t="n">
        <x:v>21342</x:v>
      </x:c>
      <x:c r="E15" s="16" t="n">
        <x:v>15362</x:v>
      </x:c>
      <x:c r="F15" s="34" t="n">
        <x:f>IF(COUNT(D15:E15)=2,D15-E15,"")</x:f>
        <x:v>5980</x:v>
      </x:c>
      <x:c r="G15" s="16" t="n">
        <x:v>5980</x:v>
      </x:c>
      <x:c r="H15" s="34" t="n">
        <x:f>IF(COUNT(F15:G15)=2,G15-F15,"")</x:f>
        <x:v>0</x:v>
      </x:c>
      <x:c r="I15" s="14" t="str">
        <x:v>Кочевых рождений 12 133; в ведомости 12 223, областной итог 21 432.</x:v>
      </x:c>
      <x:c r="J15" s="14" t="str">
        <x:v>с. 16 / PDF 24; copy 2 PDF 18</x:v>
      </x:c>
      <x:c r="K15" s="14" t="str">
        <x:v>Uralskaia-1895-1899(1).md</x:v>
      </x:c>
      <x:c r="L15" s="24" t="str">
        <x:v>https://archive.org/download/obzor_uralskoi_oblasti/Обзор Уральской области за 1899 - RAW.pdf</x:v>
      </x:c>
    </x:row>
    <x:row r="16" ht="48" customHeight="1">
      <x:c r="A16" s="37" t="n">
        <x:v>1906</x:v>
      </x:c>
      <x:c r="B16" s="13" t="str">
        <x:v>Основной текст, альтернативная версия</x:v>
      </x:c>
      <x:c r="C16" s="13" t="str">
        <x:v>Оседлое с поселенцами</x:v>
      </x:c>
      <x:c r="D16" s="15" t="n">
        <x:v>8997</x:v>
      </x:c>
      <x:c r="E16" s="15" t="n">
        <x:v>4356</x:v>
      </x:c>
      <x:c r="F16" s="34" t="n">
        <x:f>IF(COUNT(D16:E16)=2,D16-E16,"")</x:f>
        <x:v>4641</x:v>
      </x:c>
      <x:c r="G16" s="15" t="n">
        <x:v>4641</x:v>
      </x:c>
      <x:c r="H16" s="34" t="n">
        <x:f>IF(COUNT(F16:G16)=2,G16-F16,"")</x:f>
        <x:v>0</x:v>
      </x:c>
      <x:c r="I16" s="13" t="str">
        <x:v>Без отдельного поселенческого подытога: 8 749 / 4 214; поселенцы 248 / 142.</x:v>
      </x:c>
      <x:c r="J16" s="13" t="str">
        <x:v>с. 14 / PDF 22; copy 2 PDF 17</x:v>
      </x:c>
      <x:c r="K16" s="13" t="str">
        <x:v>Uralskaia-1905-1906(1).md</x:v>
      </x:c>
      <x:c r="L16" s="22" t="str">
        <x:v>https://archive.org/download/obzor_uralskoi_oblasti/Обзор Уральской области за 1906 - RAW.pdf</x:v>
      </x:c>
    </x:row>
    <x:row r="17" ht="48" customHeight="1">
      <x:c r="A17" s="38" t="n">
        <x:v>1906</x:v>
      </x:c>
      <x:c r="B17" s="14" t="str">
        <x:v>Основной текст, альтернативная версия</x:v>
      </x:c>
      <x:c r="C17" s="14" t="str">
        <x:v>Вся область</x:v>
      </x:c>
      <x:c r="D17" s="16" t="n">
        <x:v>19985</x:v>
      </x:c>
      <x:c r="E17" s="16" t="n">
        <x:v>12771</x:v>
      </x:c>
      <x:c r="F17" s="34" t="n">
        <x:f>IF(COUNT(D17:E17)=2,D17-E17,"")</x:f>
        <x:v>7214</x:v>
      </x:c>
      <x:c r="G17" s="16" t="n">
        <x:v>7214</x:v>
      </x:c>
      <x:c r="H17" s="34" t="n">
        <x:f>IF(COUNT(F17:G17)=2,G17-F17,"")</x:f>
        <x:v>0</x:v>
      </x:c>
      <x:c r="I17" s="14" t="str">
        <x:v>Основной ряд по ведомости № 6: 19 971 / 12 824, прирост 7 147. Варианты одного года не складываются.</x:v>
      </x:c>
      <x:c r="J17" s="14" t="str">
        <x:v>с. 14 / PDF 22; copy 2 PDF 17</x:v>
      </x:c>
      <x:c r="K17" s="14" t="str">
        <x:v>Uralskaia-1905-1906(1).md</x:v>
      </x:c>
      <x:c r="L17" s="24" t="str">
        <x:v>https://archive.org/download/obzor_uralskoi_oblasti/Обзор Уральской области за 1906 - RAW.pdf</x:v>
      </x:c>
    </x:row>
    <x:row r="18">
      <x:c r="A18" s="39"/>
    </x:row>
    <x:row r="19">
      <x:c r="A19" s="39"/>
    </x:row>
    <x:row r="20">
      <x:c r="A20" s="39"/>
    </x:row>
    <x:row r="21">
      <x:c r="A21" s="39"/>
    </x:row>
    <x:row r="22">
      <x:c r="A22" s="39"/>
    </x:row>
    <x:row r="23">
      <x:c r="A23" s="39"/>
    </x:row>
    <x:row r="24">
      <x:c r="A24" s="39"/>
    </x:row>
    <x:row r="25">
      <x:c r="A25" s="39"/>
    </x:row>
    <x:row r="26">
      <x:c r="A26" s="39"/>
    </x:row>
    <x:row r="27">
      <x:c r="A27" s="39"/>
    </x:row>
    <x:row r="28">
      <x:c r="A28" s="39"/>
    </x:row>
    <x:row r="29">
      <x:c r="A29" s="39"/>
    </x:row>
    <x:row r="30">
      <x:c r="A30" s="39"/>
    </x:row>
    <x:row r="31">
      <x:c r="A31" s="39"/>
    </x:row>
    <x:row r="32">
      <x:c r="A32" s="39"/>
    </x:row>
    <x:row r="33">
      <x:c r="A33" s="39"/>
    </x:row>
    <x:row r="34">
      <x:c r="A34" s="39"/>
    </x:row>
    <x:row r="35">
      <x:c r="A35" s="39"/>
    </x:row>
    <x:row r="36">
      <x:c r="A36" s="39"/>
    </x:row>
    <x:row r="37">
      <x:c r="A37" s="39"/>
    </x:row>
    <x:row r="38">
      <x:c r="A38" s="39"/>
    </x:row>
    <x:row r="39">
      <x:c r="A39" s="39"/>
    </x:row>
    <x:row r="40">
      <x:c r="A40" s="39"/>
    </x:row>
  </x:sheetData>
  <x:conditionalFormatting sqref="H6:H17">
    <x:cfRule type="cellIs" dxfId="1" priority="1" operator="notEqual">
      <x:formula>0</x:formula>
    </x:cfRule>
  </x:conditionalFormatting>
  <x:pageMargins left="0.7" right="0.7" top="0.75" bottom="0.75" header="0.3" footer="0.3"/>
  <x:tableParts count="1">
    <x:tablePart xmlns:r="http://schemas.openxmlformats.org/officeDocument/2006/relationships" r:id="R930c9cd51e13435e"/>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6" hidden="0" customWidth="1"/>
    <x:col min="2" max="2" width="17" hidden="0" customWidth="1"/>
    <x:col min="3" max="3" width="39" hidden="0" customWidth="1"/>
    <x:col min="4" max="4" width="102" hidden="0" customWidth="1"/>
    <x:col min="5" max="5" width="55" hidden="0" customWidth="1"/>
    <x:col min="6" max="6" width="67" hidden="0" customWidth="1"/>
    <x:col min="7" max="7" width="43" hidden="0" customWidth="1"/>
    <x:col min="8" max="8" width="62" hidden="0" customWidth="1"/>
    <x:col min="9" max="9" width="15" hidden="0" customWidth="1"/>
  </x:cols>
  <x:sheetData>
    <x:row r="1">
      <x:c r="A1" s="3"/>
      <x:c r="B1" s="3"/>
      <x:c r="C1" s="3"/>
      <x:c r="D1" s="3"/>
      <x:c r="E1" s="3"/>
      <x:c r="F1" s="3"/>
      <x:c r="G1" s="3"/>
      <x:c r="H1" s="3"/>
      <x:c r="I1" s="3"/>
    </x:row>
    <x:row r="2" ht="26" customHeight="1">
      <x:c r="A2" s="5" t="str">
        <x:v>Уральская область. Оговорки, расхождения и источники</x:v>
      </x:c>
      <x:c r="B2" s="6"/>
      <x:c r="C2" s="6"/>
      <x:c r="D2" s="6"/>
      <x:c r="E2" s="6"/>
      <x:c r="F2" s="6"/>
      <x:c r="G2" s="6"/>
      <x:c r="H2" s="6"/>
      <x:c r="I2" s="6"/>
    </x:row>
    <x:row r="3" ht="23" customHeight="1">
      <x:c r="A3" s="7" t="str">
        <x:v>35 годовых оговорок общей сводки и 156 полных примечаний из девяти исходных книг. Коды исходных примечаний дополнены периодом.</x:v>
      </x:c>
      <x:c r="B3" s="3"/>
      <x:c r="C3" s="3"/>
      <x:c r="D3" s="3"/>
      <x:c r="E3" s="3"/>
      <x:c r="F3" s="3"/>
      <x:c r="G3" s="3"/>
      <x:c r="H3" s="3"/>
      <x:c r="I3" s="3"/>
    </x:row>
    <x:row r="4">
      <x:c r="A4" s="3"/>
      <x:c r="B4" s="3"/>
      <x:c r="C4" s="3"/>
      <x:c r="D4" s="3"/>
      <x:c r="E4" s="3"/>
      <x:c r="F4" s="3"/>
      <x:c r="G4" s="3"/>
      <x:c r="H4" s="3"/>
      <x:c r="I4" s="3"/>
    </x:row>
    <x:row r="5" ht="64" customHeight="1">
      <x:c r="A5" s="11" t="str">
        <x:v>Код</x:v>
      </x:c>
      <x:c r="B5" s="11" t="str">
        <x:v>Год / период</x:v>
      </x:c>
      <x:c r="C5" s="11" t="str">
        <x:v>Тема</x:v>
      </x:c>
      <x:c r="D5" s="11" t="str">
        <x:v>Содержание примечания</x:v>
      </x:c>
      <x:c r="E5" s="11" t="str">
        <x:v>Основание / исходные проверочные числа</x:v>
      </x:c>
      <x:c r="F5" s="11" t="str">
        <x:v>Страницы первичного источника</x:v>
      </x:c>
      <x:c r="G5" s="11" t="str">
        <x:v>Частная сводка</x:v>
      </x:c>
      <x:c r="H5" s="11" t="str">
        <x:v>Источник 1</x:v>
      </x:c>
      <x:c r="I5" s="11" t="str">
        <x:v>Источник 2</x:v>
      </x:c>
    </x:row>
    <x:row r="6" ht="48" customHeight="1">
      <x:c r="A6" s="13" t="str">
        <x:v>Г1881</x:v>
      </x:c>
      <x:c r="B6" s="13" t="str">
        <x:v>1881</x:v>
      </x:c>
      <x:c r="C6" s="13" t="str">
        <x:v>Годовая оговорка общей сводки</x:v>
      </x:c>
      <x:c r="D6" s="35" t="str">
        <x:v>Условно: общий итог минус сословная строка инородцев. Только оседлое; кочевые события отсутствуют; полный областной итог неизвестен. Оседлая численность = общий итог минус строка инородцев. Мужской уездный итог инородцев на 5 больше напечатанного областного; сохранён печатный итог 412 474.</x:v>
      </x:c>
      <x:c r="E6" s="35" t="str">
        <x:v>Объединение предоставленных сводок; новые поправки не вводились</x:v>
      </x:c>
      <x:c r="F6" s="35" t="str">
        <x:v>Население: вед. А, PDF 31; движение: разд. I-е / PDF 9; вед. № 3 / PDF 21</x:v>
      </x:c>
      <x:c r="G6" s="13" t="str">
        <x:v>Uralskaia-1881-1885(1).md</x:v>
      </x:c>
      <x:c r="H6" s="22" t="str">
        <x:v>https://archive.org/download/obzor_uralskoi_oblasti/Обзор Уральской области за 1881 - RAW.pdf</x:v>
      </x:c>
      <x:c r="I6" s="3"/>
    </x:row>
    <x:row r="7" ht="48" customHeight="1">
      <x:c r="A7" s="14" t="str">
        <x:v>Г1882</x:v>
      </x:c>
      <x:c r="B7" s="14" t="str">
        <x:v>1882</x:v>
      </x:c>
      <x:c r="C7" s="14" t="str">
        <x:v>Годовая оговорка общей сводки</x:v>
      </x:c>
      <x:c r="D7" s="36" t="str">
        <x:v>Условно: общий итог минус сословная строка инородцев. Только оседлое; кочевые события отсутствуют; полный областной итог неизвестен. В строку инородцев включены 13 жителей Уральска; условная группа не равна заведомо только кочующим.</x:v>
      </x:c>
      <x:c r="E7" s="36" t="str">
        <x:v>Объединение предоставленных сводок; новые поправки не вводились</x:v>
      </x:c>
      <x:c r="F7" s="36" t="str">
        <x:v>Население: вед. А, PDF 23; движение: разд. I-е / PDF 9</x:v>
      </x:c>
      <x:c r="G7" s="14" t="str">
        <x:v>Uralskaia-1881-1885(1).md</x:v>
      </x:c>
      <x:c r="H7" s="24" t="str">
        <x:v>https://archive.org/download/obzor_uralskoi_oblasti/Обзор Уральской области за 1882 - RAW.pdf</x:v>
      </x:c>
      <x:c r="I7" s="12"/>
    </x:row>
    <x:row r="8" ht="48" customHeight="1">
      <x:c r="A8" s="13" t="str">
        <x:v>Г1883</x:v>
      </x:c>
      <x:c r="B8" s="13" t="str">
        <x:v>1883</x:v>
      </x:c>
      <x:c r="C8" s="13" t="str">
        <x:v>Годовая оговорка общей сводки</x:v>
      </x:c>
      <x:c r="D8" s="35" t="str">
        <x:v>Условно: общий итог минус сословная строка инородцев. Только оседлое; кочевые события отсутствуют; полный областной итог неизвестен. Снижение кочевой оценки связано с перечётом кибиток на 1884–1886 гг.; это не установленная физическая убыль или миграция.</x:v>
      </x:c>
      <x:c r="E8" s="35" t="str">
        <x:v>Объединение предоставленных сводок; новые поправки не вводились</x:v>
      </x:c>
      <x:c r="F8" s="35" t="str">
        <x:v>Население: вед. А, PDF 32; движение: разд. I-е / PDF 5; вед. № 3 / PDF 17</x:v>
      </x:c>
      <x:c r="G8" s="13" t="str">
        <x:v>Uralskaia-1881-1885(1).md</x:v>
      </x:c>
      <x:c r="H8" s="22" t="str">
        <x:v>https://archive.org/download/obzor_uralskoi_oblasti/Обзор Уральской области за 1883 - RAW.pdf</x:v>
      </x:c>
      <x:c r="I8" s="3"/>
    </x:row>
    <x:row r="9" ht="48" customHeight="1">
      <x:c r="A9" s="14" t="str">
        <x:v>Г1884</x:v>
      </x:c>
      <x:c r="B9" s="14" t="str">
        <x:v>1884</x:v>
      </x:c>
      <x:c r="C9" s="14" t="str">
        <x:v>Годовая оговорка общей сводки</x:v>
      </x:c>
      <x:c r="D9" s="36" t="str">
        <x:v>Областная численность не установлена. Только оседлое; кочевые события отсутствуют; полный областной итог неизвестен. Областные ведомости численности не найдены. 77 633 кибитки × 5 = 388 165 — условный расчёт, в основной ряд не включён. Рукописные таблицы войска имеют иной охват.</x:v>
      </x:c>
      <x:c r="E9" s="36" t="str">
        <x:v>Объединение предоставленных сводок; новые поправки не вводились</x:v>
      </x:c>
      <x:c r="F9" s="36" t="str">
        <x:v>Население: разд. VI, PDF 13; ведомости А и Б не найдены; движение: разд. I-е / PDF 7</x:v>
      </x:c>
      <x:c r="G9" s="14" t="str">
        <x:v>Uralskaia-1881-1885(1).md</x:v>
      </x:c>
      <x:c r="H9" s="24" t="str">
        <x:v>https://archive.org/download/obzor_uralskoi_oblasti/Обзор Уральской области за 1884 - RAW.pdf</x:v>
      </x:c>
      <x:c r="I9" s="12"/>
    </x:row>
    <x:row r="10" ht="57" customHeight="1">
      <x:c r="A10" s="13" t="str">
        <x:v>Г1885</x:v>
      </x:c>
      <x:c r="B10" s="13" t="str">
        <x:v>1885</x:v>
      </x:c>
      <x:c r="C10" s="13" t="str">
        <x:v>Годовая оговорка общей сводки</x:v>
      </x:c>
      <x:c r="D10" s="35" t="str">
        <x:v>По группам обзора; оседлые = казаки + иногородние. Только оседлое; кочевые события отсутствуют; полный областной итог неизвестен. Рост оседлой оценки объяснён более правильным сбором статистики; это изменение учёта численности, не доказанный приток и не доказанная поправка регистрации событий.</x:v>
      </x:c>
      <x:c r="E10" s="35" t="str">
        <x:v>Объединение предоставленных сводок; новые поправки не вводились</x:v>
      </x:c>
      <x:c r="F10" s="35" t="str">
        <x:v>Население: разд. VI-а / PDF 13; движение: разд. I-е / PDF 7</x:v>
      </x:c>
      <x:c r="G10" s="13" t="str">
        <x:v>Uralskaia-1881-1885(1).md</x:v>
      </x:c>
      <x:c r="H10" s="22" t="str">
        <x:v>https://archive.org/download/obzor_uralskoi_oblasti/Обзор Уральской области за 1885 - RAW.pdf</x:v>
      </x:c>
      <x:c r="I10" s="3"/>
    </x:row>
    <x:row r="11" ht="48" customHeight="1">
      <x:c r="A11" s="14" t="str">
        <x:v>Г1886</x:v>
      </x:c>
      <x:c r="B11" s="14" t="str">
        <x:v>1886</x:v>
      </x:c>
      <x:c r="C11" s="14" t="str">
        <x:v>Годовая оговорка общей сводки</x:v>
      </x:c>
      <x:c r="D11" s="36" t="str">
        <x:v>По группам обзора; оседлые = казаки + иногородние. Только оседлое; кочевые события отсутствуют; полный областной итог неизвестен. В файл подшиты приложения за 1889 г.; для 1886 использована собственная ведомость № 3. Женский итог населения в тексте ошибочно уменьшен на 5.</x:v>
      </x:c>
      <x:c r="E11" s="36" t="str">
        <x:v>Объединение предоставленных сводок; новые поправки не вводились</x:v>
      </x:c>
      <x:c r="F11" s="36" t="str">
        <x:v>Население: с. 9 / PDF 13; вед. А / PDF 36, Б / PDF 38; движение: с. 3 / PDF 7; вед. № 3 / PDF 19</x:v>
      </x:c>
      <x:c r="G11" s="14" t="str">
        <x:v>Uralskaia-1886-1889(1).md</x:v>
      </x:c>
      <x:c r="H11" s="24" t="str">
        <x:v>https://archive.org/download/obzor_uralskoi_oblasti/Обзор Уральской области за 1886 - RAW.pdf</x:v>
      </x:c>
      <x:c r="I11" s="12"/>
    </x:row>
    <x:row r="12" ht="48" customHeight="1">
      <x:c r="A12" s="13" t="str">
        <x:v>Г1887</x:v>
      </x:c>
      <x:c r="B12" s="13" t="str">
        <x:v>1887</x:v>
      </x:c>
      <x:c r="C12" s="13" t="str">
        <x:v>Годовая оговорка общей сводки</x:v>
      </x:c>
      <x:c r="D12" s="35" t="str">
        <x:v>По группам обзора; оседлые = казаки + иногородние. Только оседлое; кочевые события отсутствуют; полный областной итог неизвестен. Вместе с 1886 г. находится до резкого подъёма зарегистрированных событий 1888 г.; причина и поправка по этим источникам не установлены.</x:v>
      </x:c>
      <x:c r="E12" s="35" t="str">
        <x:v>Объединение предоставленных сводок; новые поправки не вводились</x:v>
      </x:c>
      <x:c r="F12" s="35" t="str">
        <x:v>Население: с. 9 / PDF 13; вед. А / PDF 30; движение: с. 3 / PDF 7; вед. № 3 / PDF 19</x:v>
      </x:c>
      <x:c r="G12" s="13" t="str">
        <x:v>Uralskaia-1886-1889(1).md</x:v>
      </x:c>
      <x:c r="H12" s="22" t="str">
        <x:v>https://archive.org/download/obzor_uralskoi_oblasti/Обзор Уральской области за 1887 - RAW.pdf</x:v>
      </x:c>
      <x:c r="I12" s="3"/>
    </x:row>
    <x:row r="13" ht="48" customHeight="1">
      <x:c r="A13" s="14" t="str">
        <x:v>Г1888</x:v>
      </x:c>
      <x:c r="B13" s="14" t="str">
        <x:v>1888</x:v>
      </x:c>
      <x:c r="C13" s="14" t="str">
        <x:v>Годовая оговорка общей сводки</x:v>
      </x:c>
      <x:c r="D13" s="36" t="str">
        <x:v>По группам обзора; оседлые = казаки + иногородние. Только оседлое; кочевые события отсутствуют; полный областной итог неизвестен. Скачок рождений и смертей при близкой оседлой численности указывает на возможную неоднородность охвата; количественной поправки нет.</x:v>
      </x:c>
      <x:c r="E13" s="36" t="str">
        <x:v>Объединение предоставленных сводок; новые поправки не вводились</x:v>
      </x:c>
      <x:c r="F13" s="36" t="str">
        <x:v>Население: с. 9 / PDF 15; вед. № 11 / PDF 34; движение: с. 3 / PDF 9; вед. № 3 / PDF 21</x:v>
      </x:c>
      <x:c r="G13" s="14" t="str">
        <x:v>Uralskaia-1886-1889(1).md</x:v>
      </x:c>
      <x:c r="H13" s="24" t="str">
        <x:v>https://archive.org/download/obzor_uralskoi_oblasti/Обзор Уральской области за 1888 - RAW.pdf</x:v>
      </x:c>
      <x:c r="I13" s="12"/>
    </x:row>
    <x:row r="14" ht="48" customHeight="1">
      <x:c r="A14" s="13" t="str">
        <x:v>Г1889</x:v>
      </x:c>
      <x:c r="B14" s="13" t="str">
        <x:v>1889</x:v>
      </x:c>
      <x:c r="C14" s="13" t="str">
        <x:v>Годовая оговорка общей сводки</x:v>
      </x:c>
      <x:c r="D14" s="35" t="str">
        <x:v>По группам обзора; оседлые = казаки + иногородние. Только оседлое; кочевые события отсутствуют; полный областной итог неизвестен. Сохранён печатный итог 559 552. Необъяснённая карандашная правка до 518 536 не принята как официальное исправление. Рождений девочек 3 968, а не 3 908 из OCR.</x:v>
      </x:c>
      <x:c r="E14" s="35" t="str">
        <x:v>Объединение предоставленных сводок; новые поправки не вводились</x:v>
      </x:c>
      <x:c r="F14" s="35" t="str">
        <x:v>Население: с. 10 / PDF 16; вед. № 11 / PDF 35; движение: с. 3–4 / PDF 9–10; вед. № 3 / PDF 20</x:v>
      </x:c>
      <x:c r="G14" s="13" t="str">
        <x:v>Uralskaia-1886-1889(1).md</x:v>
      </x:c>
      <x:c r="H14" s="22" t="str">
        <x:v>https://archive.org/download/obzor_uralskoi_oblasti/Обзор Уральской области за 1889 - RAW.pdf</x:v>
      </x:c>
      <x:c r="I14" s="3"/>
    </x:row>
    <x:row r="15" ht="48" customHeight="1">
      <x:c r="A15" s="14" t="str">
        <x:v>Г1890</x:v>
      </x:c>
      <x:c r="B15" s="14" t="str">
        <x:v>1890</x:v>
      </x:c>
      <x:c r="C15" s="14" t="str">
        <x:v>Годовая оговорка общей сводки</x:v>
      </x:c>
      <x:c r="D15" s="36" t="str">
        <x:v>По группам обзора; оседлые = казаки + иногородние. Только оседлое; кочевые события отсутствуют; полный областной итог неизвестен.</x:v>
      </x:c>
      <x:c r="E15" s="36" t="str">
        <x:v>Объединение предоставленных сводок; новые поправки не вводились</x:v>
      </x:c>
      <x:c r="F15" s="36" t="str">
        <x:v>Население: с. 10 / PDF 16; вед. № 11 / PDF 37; движение: с. 4 / PDF 10; вед. № 3 / PDF 20</x:v>
      </x:c>
      <x:c r="G15" s="14" t="str">
        <x:v>Uralskaia-1890-1894(1).md</x:v>
      </x:c>
      <x:c r="H15" s="24" t="str">
        <x:v>https://archive.org/download/obzor_uralskoi_oblasti/Обзор Уральской области за 1890 - RAW.pdf</x:v>
      </x:c>
      <x:c r="I15" s="12"/>
    </x:row>
    <x:row r="16" ht="48" customHeight="1">
      <x:c r="A16" s="13" t="str">
        <x:v>Г1891</x:v>
      </x:c>
      <x:c r="B16" s="13" t="str">
        <x:v>1891</x:v>
      </x:c>
      <x:c r="C16" s="13" t="str">
        <x:v>Годовая оговорка общей сводки</x:v>
      </x:c>
      <x:c r="D16" s="35" t="str">
        <x:v>По группам обзора; оседлые = казаки + иногородние. Только оседлое; кочевые события отсутствуют; полный областной итог неизвестен. Неурожай хлеба и трав, продолжительная зима, недостаток кормов и падёж скота — контекст обзора, не оценка миграции или недоучёта.</x:v>
      </x:c>
      <x:c r="E16" s="35" t="str">
        <x:v>Объединение предоставленных сводок; новые поправки не вводились</x:v>
      </x:c>
      <x:c r="F16" s="35" t="str">
        <x:v>Население: с. 10 / PDF 16; вед. № 11 / PDF 40; движение: с. 4 / PDF 10; вед. № 3 / PDF 23</x:v>
      </x:c>
      <x:c r="G16" s="13" t="str">
        <x:v>Uralskaia-1890-1894(1).md</x:v>
      </x:c>
      <x:c r="H16" s="22" t="str">
        <x:v>https://archive.org/download/obzor_uralskoi_oblasti/Обзор Уральской области за 1891 - RAW.pdf</x:v>
      </x:c>
      <x:c r="I16" s="3"/>
    </x:row>
    <x:row r="17" ht="48" customHeight="1">
      <x:c r="A17" s="14" t="str">
        <x:v>Г1892</x:v>
      </x:c>
      <x:c r="B17" s="14" t="str">
        <x:v>1892</x:v>
      </x:c>
      <x:c r="C17" s="14" t="str">
        <x:v>Годовая оговорка общей сводки</x:v>
      </x:c>
      <x:c r="D17" s="36" t="str">
        <x:v>По группам обзора; оседлые = казаки + иногородние. Только оседлое; кочевые события отсутствуют; полный областной итог неизвестен. Естественная убыль оседлых 371; обзор связывает её с холерой. Медицинские 3 293 смерти от холеры не прибавлены к демографическим смертям.</x:v>
      </x:c>
      <x:c r="E17" s="36" t="str">
        <x:v>Объединение предоставленных сводок; новые поправки не вводились</x:v>
      </x:c>
      <x:c r="F17" s="36" t="str">
        <x:v>Население: с. 11–12 / PDF 19–20; вед. № 11 / PDF 42; движение: с. 4 / PDF 12; вед. № 3 / PDF 25</x:v>
      </x:c>
      <x:c r="G17" s="14" t="str">
        <x:v>Uralskaia-1890-1894(1).md</x:v>
      </x:c>
      <x:c r="H17" s="24" t="str">
        <x:v>https://archive.org/download/obzor_uralskoi_oblasti/Обзор Уральской области за 1892 - RAW.pdf</x:v>
      </x:c>
      <x:c r="I17" s="12"/>
    </x:row>
    <x:row r="18" ht="48" customHeight="1">
      <x:c r="A18" s="13" t="str">
        <x:v>Г1893</x:v>
      </x:c>
      <x:c r="B18" s="13" t="str">
        <x:v>1893</x:v>
      </x:c>
      <x:c r="C18" s="13" t="str">
        <x:v>Годовая оговорка общей сводки</x:v>
      </x:c>
      <x:c r="D18" s="35" t="str">
        <x:v>По группам обзора; оседлые = казаки + иногородние. Только оседлое; кочевые события отсутствуют; полный областной итог неизвестен. Медицинские сведения о дифтерите и холере не складываются с годовым демографическим итогом смертей.</x:v>
      </x:c>
      <x:c r="E18" s="35" t="str">
        <x:v>Объединение предоставленных сводок; новые поправки не вводились</x:v>
      </x:c>
      <x:c r="F18" s="35" t="str">
        <x:v>Население: с. 12 / PDF 20; вед. А / PDF 41; движение: с. 4 / PDF 12; вед. № 3 / PDF 25</x:v>
      </x:c>
      <x:c r="G18" s="13" t="str">
        <x:v>Uralskaia-1890-1894(1).md</x:v>
      </x:c>
      <x:c r="H18" s="22" t="str">
        <x:v>https://archive.org/download/obzor_uralskoi_oblasti/Обзор Уральской области за 1893 - RAW.pdf</x:v>
      </x:c>
      <x:c r="I18" s="3"/>
    </x:row>
    <x:row r="19" ht="57" customHeight="1">
      <x:c r="A19" s="14" t="str">
        <x:v>Г1894</x:v>
      </x:c>
      <x:c r="B19" s="14" t="str">
        <x:v>1894</x:v>
      </x:c>
      <x:c r="C19" s="14" t="str">
        <x:v>Годовая оговорка общей сводки</x:v>
      </x:c>
      <x:c r="D19" s="36" t="str">
        <x:v>По группам обзора; оседлые = казаки + иногородние. Только оседлое; кочевые события отсутствуют; полный областной итог неизвестен. В числе иногородних женщин вероятная опечатка 16 218 вместо 16 318; сохранены групповые итоги. Оспа у кочевых: 49 смертей в трёх волостях — частичная медицинская статистика.</x:v>
      </x:c>
      <x:c r="E19" s="36" t="str">
        <x:v>Объединение предоставленных сводок; новые поправки не вводились</x:v>
      </x:c>
      <x:c r="F19" s="36" t="str">
        <x:v>Население: с. 13 / PDF 21; вед. А / PDF 41; движение: с. 4 / PDF 12; вед. № 3 / PDF 27</x:v>
      </x:c>
      <x:c r="G19" s="14" t="str">
        <x:v>Uralskaia-1890-1894(1).md</x:v>
      </x:c>
      <x:c r="H19" s="24" t="str">
        <x:v>https://archive.org/download/obzor_uralskoi_oblasti/Обзор Уральской области за 1894 - RAW.pdf</x:v>
      </x:c>
      <x:c r="I19" s="12"/>
    </x:row>
    <x:row r="20" ht="48" customHeight="1">
      <x:c r="A20" s="13" t="str">
        <x:v>Г1895</x:v>
      </x:c>
      <x:c r="B20" s="13" t="str">
        <x:v>1895</x:v>
      </x:c>
      <x:c r="C20" s="13" t="str">
        <x:v>Годовая оговорка общей сводки</x:v>
      </x:c>
      <x:c r="D20" s="35" t="str">
        <x:v>По группам обзора; оседлые = казаки + иногородние. Только оседлое; кочевые события отсутствуют; полный областной итог неизвестен.</x:v>
      </x:c>
      <x:c r="E20" s="35" t="str">
        <x:v>Объединение предоставленных сводок; новые поправки не вводились</x:v>
      </x:c>
      <x:c r="F20" s="35" t="str">
        <x:v>Население: с. 13 / PDF 14; вед. А / PDF 25; движение: с. 4 / PDF 5; вед. № 3 / PDF 17</x:v>
      </x:c>
      <x:c r="G20" s="13" t="str">
        <x:v>Uralskaia-1895-1899(1).md</x:v>
      </x:c>
      <x:c r="H20" s="22" t="str">
        <x:v>https://archive.org/download/obzor_uralskoi_oblasti/Обзор Уральской области за 1895 - RAW.pdf</x:v>
      </x:c>
      <x:c r="I20" s="3"/>
    </x:row>
    <x:row r="21" ht="69" customHeight="1">
      <x:c r="A21" s="14" t="str">
        <x:v>Г1896</x:v>
      </x:c>
      <x:c r="B21" s="14" t="str">
        <x:v>1896</x:v>
      </x:c>
      <x:c r="C21" s="14" t="str">
        <x:v>Годовая оговорка общей сводки</x:v>
      </x:c>
      <x:c r="D21" s="36" t="str">
        <x:v>Правый / левый берег; левый включает оседлую степную часть. Только оседлое; кочевые события отсутствуют; полный областной итог неизвестен. Территориальные группы: 151 991 на правом берегу, 410 893 на левом, включая оседлых Зауральской степи. Чистого деления по образу жизни нет. Напечатано приблизительно «до 560 тысяч», сумма частей 562 884. События выбраны по ведомости № 6; текст даёт 10 123 / 5 560.</x:v>
      </x:c>
      <x:c r="E21" s="36" t="str">
        <x:v>Объединение предоставленных сводок; новые поправки не вводились</x:v>
      </x:c>
      <x:c r="F21" s="36" t="str">
        <x:v>Население: с. 16 / PDF 17; движение: вед. № 6 / PDF 24; текст с. 5 / PDF 6</x:v>
      </x:c>
      <x:c r="G21" s="14" t="str">
        <x:v>Uralskaia-1895-1899(1).md</x:v>
      </x:c>
      <x:c r="H21" s="24" t="str">
        <x:v>https://archive.org/download/obzor_uralskoi_oblasti/Обзор Уральской области за 1896 - RAW.pdf</x:v>
      </x:c>
      <x:c r="I21" s="12"/>
    </x:row>
    <x:row r="22" ht="69" customHeight="1">
      <x:c r="A22" s="13" t="str">
        <x:v>Г1897</x:v>
      </x:c>
      <x:c r="B22" s="13" t="str">
        <x:v>1897</x:v>
      </x:c>
      <x:c r="C22" s="13" t="str">
        <x:v>Годовая оговорка общей сводки</x:v>
      </x:c>
      <x:c r="D22" s="35" t="str">
        <x:v>По характеру поселения в переписной таблице. Оседлое и кочевое Уральского/Калмыковского уездов; два южных уезда отсутствуют. Численность — предварительное наличное население переписи начала 1897 г. Деление по характеру поселения: 219 696 оседлых и 425 733 кочевых. Рождения и смерти кочевых только двух северных уездов. Авторские оценки южных уездов отделены от регистрации; в приросте с оценками расхождение 100.</x:v>
      </x:c>
      <x:c r="E22" s="35" t="str">
        <x:v>Объединение предоставленных сводок; новые поправки не вводились</x:v>
      </x:c>
      <x:c r="F22" s="35" t="str">
        <x:v>Население: с. 1–2 / PDF 9–10; движение: с. 16 / PDF 24; вед. № 6 / PDF 54</x:v>
      </x:c>
      <x:c r="G22" s="13" t="str">
        <x:v>Uralskaia-1895-1899(1).md</x:v>
      </x:c>
      <x:c r="H22" s="22" t="str">
        <x:v>https://archive.org/download/obzor_uralskoi_oblasti/Обзор Уральской области за 1897 - RAW.pdf</x:v>
      </x:c>
      <x:c r="I22" s="3"/>
    </x:row>
    <x:row r="23" ht="57" customHeight="1">
      <x:c r="A23" s="14" t="str">
        <x:v>Г1898</x:v>
      </x:c>
      <x:c r="B23" s="14" t="str">
        <x:v>1898</x:v>
      </x:c>
      <x:c r="C23" s="14" t="str">
        <x:v>Годовая оговорка общей сводки</x:v>
      </x:c>
      <x:c r="D23" s="36" t="str">
        <x:v>По группам обзора; оседлые = казаки + иногородние. Оседлое и кочевое Уральского/Калмыковского уездов; два южных уезда отсутствуют. Напечатанные группы дают 665 753, общий итог 665 763. Уездные строки оседлых дают 227 685 вместо 227 675. По кочевым событиям нет двух южных уездов; авторские оценки приведены отдельно.</x:v>
      </x:c>
      <x:c r="E23" s="36" t="str">
        <x:v>Объединение предоставленных сводок; новые поправки не вводились</x:v>
      </x:c>
      <x:c r="F23" s="36" t="str">
        <x:v>Население: с. 1–2 / PDF 9–10; движение: с. 14 / PDF 22; вед. № 6 / PDF 54</x:v>
      </x:c>
      <x:c r="G23" s="14" t="str">
        <x:v>Uralskaia-1895-1899(1).md</x:v>
      </x:c>
      <x:c r="H23" s="24" t="str">
        <x:v>https://archive.org/download/obzor_uralskoi_oblasti/Обзор Уральской области за 1898 - RAW.pdf</x:v>
      </x:c>
      <x:c r="I23" s="12"/>
    </x:row>
    <x:row r="24" ht="57" customHeight="1">
      <x:c r="A24" s="13" t="str">
        <x:v>Г1899</x:v>
      </x:c>
      <x:c r="B24" s="13" t="str">
        <x:v>1899</x:v>
      </x:c>
      <x:c r="C24" s="13" t="str">
        <x:v>Годовая оговорка общей сводки</x:v>
      </x:c>
      <x:c r="D24" s="35" t="str">
        <x:v>Оседлое с отдельно выделенными поселенцами. Все четыре уезда; полнота регистрации внутри групп не измерена. В оседлое население включены 5 830 отдельных поселенцев. Выбраны рождения ведомости № 6: 21 432 против 21 342 в тексте. В кочевой части 12 223 против 12 133. Карточный учёт охватывает все четыре уезда, полнота не измерена.</x:v>
      </x:c>
      <x:c r="E24" s="35" t="str">
        <x:v>Объединение предоставленных сводок; новые поправки не вводились</x:v>
      </x:c>
      <x:c r="F24" s="35" t="str">
        <x:v>Население: с. 2 / PDF 10; copy 2 / PDF 4; движение: с. 16 / PDF 24; вед. № 6 / PDF 56; copy 2 PDF 18, 45</x:v>
      </x:c>
      <x:c r="G24" s="13" t="str">
        <x:v>Uralskaia-1895-1899(1).md</x:v>
      </x:c>
      <x:c r="H24" s="22" t="str">
        <x:v>https://archive.org/download/obzor_uralskoi_oblasti/Обзор Уральской области за 1899 - RAW.pdf</x:v>
      </x:c>
      <x:c r="I24" s="3"/>
    </x:row>
    <x:row r="25" ht="48" customHeight="1">
      <x:c r="A25" s="14" t="str">
        <x:v>Г1900</x:v>
      </x:c>
      <x:c r="B25" s="14" t="str">
        <x:v>1900</x:v>
      </x:c>
      <x:c r="C25" s="14" t="str">
        <x:v>Годовая оговорка общей сводки</x:v>
      </x:c>
      <x:c r="D25" s="36" t="str">
        <x:v>Оседлое с отдельно выделенными поселенцами. Все четыре уезда; полнота регистрации внутри групп не измерена. Поселенцы добавлены к оседлой численности; в событиях уже входят в оседлый итог. При дате «к январю 1901» в тексте напечатан период прироста 1897–1899; несогласованность сохранена.</x:v>
      </x:c>
      <x:c r="E25" s="36" t="str">
        <x:v>Объединение предоставленных сводок; новые поправки не вводились</x:v>
      </x:c>
      <x:c r="F25" s="36" t="str">
        <x:v>Население: с. 2 / основной RAW PDF 10; copy 2 PDF 5; движение: с. 16 / PDF 24; вед. № 6 / PDF 56; copy 2 PDF 47</x:v>
      </x:c>
      <x:c r="G25" s="14" t="str">
        <x:v>Uralskaia-1900-1904(1).md</x:v>
      </x:c>
      <x:c r="H25" s="24" t="str">
        <x:v>https://archive.org/download/obzor_uralskoi_oblasti/Обзор Уральской области за 1900 - RAW.pdf</x:v>
      </x:c>
      <x:c r="I25" s="12"/>
    </x:row>
    <x:row r="26" ht="57" customHeight="1">
      <x:c r="A26" s="13" t="str">
        <x:v>Г1901</x:v>
      </x:c>
      <x:c r="B26" s="13" t="str">
        <x:v>1901</x:v>
      </x:c>
      <x:c r="C26" s="13" t="str">
        <x:v>Годовая оговорка общей сводки</x:v>
      </x:c>
      <x:c r="D26" s="35" t="str">
        <x:v>Оседлое с отдельно выделенными поселенцами. Все четыре уезда; полнота регистрации внутри групп не измерена. Поселенцы приняты как 4 943 по суммам полов и территорий, напечатано 4 949. Общий итог 700 014 сохранён. В событиях поселенцы уже включены. Напечатанный период прироста 1897–1899 не соответствует дате «к январю 1902».</x:v>
      </x:c>
      <x:c r="E26" s="35" t="str">
        <x:v>Объединение предоставленных сводок; новые поправки не вводились</x:v>
      </x:c>
      <x:c r="F26" s="35" t="str">
        <x:v>Население: с. 2 / основной RAW PDF 10; copy 2 PDF 5; движение: с. 13–14 / PDF 21–22; вед. № 6 / PDF 54; copy 2 PDF 44</x:v>
      </x:c>
      <x:c r="G26" s="13" t="str">
        <x:v>Uralskaia-1900-1904(1).md</x:v>
      </x:c>
      <x:c r="H26" s="22" t="str">
        <x:v>https://archive.org/download/obzor_uralskoi_oblasti/Обзор Уральской области за 1901 - RAW.pdf</x:v>
      </x:c>
      <x:c r="I26" s="3"/>
    </x:row>
    <x:row r="27" ht="48" customHeight="1">
      <x:c r="A27" s="14" t="str">
        <x:v>Г1902</x:v>
      </x:c>
      <x:c r="B27" s="14" t="str">
        <x:v>1902</x:v>
      </x:c>
      <x:c r="C27" s="14" t="str">
        <x:v>Годовая оговорка общей сводки</x:v>
      </x:c>
      <x:c r="D27" s="36" t="str">
        <x:v>Оседлое с отдельно выделенными поселенцами. Все четыре уезда; полнота регистрации внутри групп не измерена. К оседлым событиям прибавлены отдельные поселенцы: 179 рождений и 87 смертей. Прирост кочевых 3 867, а не текстовые 3 876; прирост поселенцев 92, а не 99.</x:v>
      </x:c>
      <x:c r="E27" s="36" t="str">
        <x:v>Объединение предоставленных сводок; новые поправки не вводились</x:v>
      </x:c>
      <x:c r="F27" s="36" t="str">
        <x:v>Население: с. 2 / основной RAW PDF 10; copy 2 PDF 5; движение: с. 14 / PDF 22; вед. № 6 / PDF 50; copy 2 PDF 58</x:v>
      </x:c>
      <x:c r="G27" s="14" t="str">
        <x:v>Uralskaia-1900-1904(1).md</x:v>
      </x:c>
      <x:c r="H27" s="24" t="str">
        <x:v>https://archive.org/download/obzor_uralskoi_oblasti/Обзор Уральской области за 1902 - RAW.pdf</x:v>
      </x:c>
      <x:c r="I27" s="12"/>
    </x:row>
    <x:row r="28" ht="48" customHeight="1">
      <x:c r="A28" s="13" t="str">
        <x:v>Г1903</x:v>
      </x:c>
      <x:c r="B28" s="13" t="str">
        <x:v>1903</x:v>
      </x:c>
      <x:c r="C28" s="13" t="str">
        <x:v>Годовая оговорка общей сводки</x:v>
      </x:c>
      <x:c r="D28" s="35" t="str">
        <x:v>Оседлое с отдельно выделенными поселенцами. Все четыре уезда; полнота регистрации внутри групп не измерена. Вторая копия на странице населения воспроизводит 1900 г.; использована таблица основного RAW за 1903. Её ведомость № 6 за 1903 пригодна для проверки.</x:v>
      </x:c>
      <x:c r="E28" s="35" t="str">
        <x:v>Объединение предоставленных сводок; новые поправки не вводились</x:v>
      </x:c>
      <x:c r="F28" s="35" t="str">
        <x:v>Население: с. 2 / основной RAW PDF 10; copy 2 PDF 5; движение: с. 17 / PDF 25; вед. № 6 / PDF 60; copy 2 PDF 47</x:v>
      </x:c>
      <x:c r="G28" s="13" t="str">
        <x:v>Uralskaia-1900-1904(1).md</x:v>
      </x:c>
      <x:c r="H28" s="22" t="str">
        <x:v>https://archive.org/download/obzor_uralskoi_oblasti/Обзор Уральской области за 1903 - RAW.pdf</x:v>
      </x:c>
      <x:c r="I28" s="3"/>
    </x:row>
    <x:row r="29" ht="57" customHeight="1">
      <x:c r="A29" s="14" t="str">
        <x:v>Г1904</x:v>
      </x:c>
      <x:c r="B29" s="14" t="str">
        <x:v>1904</x:v>
      </x:c>
      <x:c r="C29" s="14" t="str">
        <x:v>Годовая оговорка общей сводки</x:v>
      </x:c>
      <x:c r="D29" s="36" t="str">
        <x:v>Оседлое с отдельно выделенными поселенцами. Все четыре уезда; полнота регистрации внутри групп не измерена. Использованы 7 190 смертей основного оседлого подытога вместо текстовых 7 120 и 196 рождений поселенцев вместо 198; вместе оседлые 9 439 / 7 270. Мужской областной итог рождений в ведомости ошибочен на 90.</x:v>
      </x:c>
      <x:c r="E29" s="36" t="str">
        <x:v>Объединение предоставленных сводок; новые поправки не вводились</x:v>
      </x:c>
      <x:c r="F29" s="36" t="str">
        <x:v>Население: с. 2 / основной RAW PDF 10; copy 2 PDF 5; движение: с. 14–16 / PDF 22–24; вед. № 6 / PDF 49; copy 2 PDF 45</x:v>
      </x:c>
      <x:c r="G29" s="14" t="str">
        <x:v>Uralskaia-1900-1904(1).md</x:v>
      </x:c>
      <x:c r="H29" s="24" t="str">
        <x:v>https://archive.org/download/obzor_uralskoi_oblasti/Обзор Уральской области за 1904 - RAW.pdf</x:v>
      </x:c>
      <x:c r="I29" s="12"/>
    </x:row>
    <x:row r="30" ht="48" customHeight="1">
      <x:c r="A30" s="13" t="str">
        <x:v>Г1905</x:v>
      </x:c>
      <x:c r="B30" s="13" t="str">
        <x:v>1905</x:v>
      </x:c>
      <x:c r="C30" s="13" t="str">
        <x:v>Годовая оговорка общей сводки</x:v>
      </x:c>
      <x:c r="D30" s="35" t="str">
        <x:v>Оседлое с отдельно выделенными поселенцами. Все четыре уезда; полнота регистрации внутри групп не измерена. Оседлое население и события включают отдельный подытог поселенцев. Прирост оседлых вместе с ними 3 733, без них 3 651.</x:v>
      </x:c>
      <x:c r="E30" s="35" t="str">
        <x:v>Объединение предоставленных сводок; новые поправки не вводились</x:v>
      </x:c>
      <x:c r="F30" s="35" t="str">
        <x:v>Население: с. 2 / основной RAW PDF 10; copy 2 PDF 5; движение: с. 13 / PDF 21; вед. № 6 / PDF 47; copy 2 PDF 42</x:v>
      </x:c>
      <x:c r="G30" s="13" t="str">
        <x:v>Uralskaia-1905-1906(1).md</x:v>
      </x:c>
      <x:c r="H30" s="22" t="str">
        <x:v>https://archive.org/download/obzor_uralskoi_oblasti/Обзор Уральской области за 1905 - RAW.pdf</x:v>
      </x:c>
      <x:c r="I30" s="3"/>
    </x:row>
    <x:row r="31" ht="57" customHeight="1">
      <x:c r="A31" s="14" t="str">
        <x:v>Г1906</x:v>
      </x:c>
      <x:c r="B31" s="14" t="str">
        <x:v>1906</x:v>
      </x:c>
      <x:c r="C31" s="14" t="str">
        <x:v>Годовая оговорка общей сводки</x:v>
      </x:c>
      <x:c r="D31" s="36" t="str">
        <x:v>Оседлое с отдельно выделенными поселенцами. Все четыре уезда; полнота регистрации внутри групп не измерена. Основной вариант — ведомость № 6: 19 971 / 12 824. Текст: 19 985 / 12 771, прирост больше на 67. Оба варианта внутренне согласованы. Никольская волость перечислена в г. Темир; смена категорий не равна оттоку.</x:v>
      </x:c>
      <x:c r="E31" s="36" t="str">
        <x:v>Объединение предоставленных сводок; новые поправки не вводились</x:v>
      </x:c>
      <x:c r="F31" s="36" t="str">
        <x:v>Население: с. 2 / основной RAW PDF 10; copy 2 PDF 5; движение: вед. № 6 / PDF 45; copy 2 PDF 40; текст с. 14 / PDF 22</x:v>
      </x:c>
      <x:c r="G31" s="14" t="str">
        <x:v>Uralskaia-1905-1906(1).md</x:v>
      </x:c>
      <x:c r="H31" s="24" t="str">
        <x:v>https://archive.org/download/obzor_uralskoi_oblasti/Обзор Уральской области за 1906 - RAW.pdf</x:v>
      </x:c>
      <x:c r="I31" s="12"/>
    </x:row>
    <x:row r="32" ht="57" customHeight="1">
      <x:c r="A32" s="13" t="str">
        <x:v>Г1907</x:v>
      </x:c>
      <x:c r="B32" s="13" t="str">
        <x:v>1907</x:v>
      </x:c>
      <x:c r="C32" s="13" t="str">
        <x:v>Годовая оговорка общей сводки</x:v>
      </x:c>
      <x:c r="D32" s="35" t="str">
        <x:v>Оседлое с отдельно выделенными поселенцами. Все четыре уезда; полнота регистрации внутри групп не измерена. Покровская волость и Джиренькупинская волость — названия одной исходной группы. Прирост основного оседлого подытога 5 366, не 5 256. Брачные и внебрачные графы расходятся с графой всех рождений на 208; выбран итог всех рождений.</x:v>
      </x:c>
      <x:c r="E32" s="35" t="str">
        <x:v>Объединение предоставленных сводок; новые поправки не вводились</x:v>
      </x:c>
      <x:c r="F32" s="35" t="str">
        <x:v>Население: с. 2 / основной RAW PDF 10; copy 2 PDF 5; движение: с. 12–13 / PDF 20–21; вед. № 6 / PDF 43; copy 2 PDF 39</x:v>
      </x:c>
      <x:c r="G32" s="13" t="str">
        <x:v>Uralskaia-1907-1909(1).md</x:v>
      </x:c>
      <x:c r="H32" s="22" t="str">
        <x:v>https://archive.org/download/obzor_uralskoi_oblasti/Обзор Уральской области за 1907 - RAW.pdf</x:v>
      </x:c>
      <x:c r="I32" s="3"/>
    </x:row>
    <x:row r="33" ht="48" customHeight="1">
      <x:c r="A33" s="14" t="str">
        <x:v>Г1908</x:v>
      </x:c>
      <x:c r="B33" s="14" t="str">
        <x:v>1908</x:v>
      </x:c>
      <x:c r="C33" s="14" t="str">
        <x:v>Годовая оговорка общей сводки</x:v>
      </x:c>
      <x:c r="D33" s="36" t="str">
        <x:v>Оседлое с отдельно выделенными поселенцами. Все четыре уезда; полнота регистрации внутри групп не измерена. Новые переселенцы 1908 г. прямо исключены из численности 750 228; отдельные 5 419 — прежняя группа. Опечатка рождений Уральска 1 093 вместо 2 093 не меняет областного итога.</x:v>
      </x:c>
      <x:c r="E33" s="36" t="str">
        <x:v>Объединение предоставленных сводок; новые поправки не вводились</x:v>
      </x:c>
      <x:c r="F33" s="36" t="str">
        <x:v>Население: с. 2 / PDF 8; движение: с. 12–13 / PDF 18–19; вед. № 6 / PDF 41</x:v>
      </x:c>
      <x:c r="G33" s="14" t="str">
        <x:v>Uralskaia-1907-1909(1).md</x:v>
      </x:c>
      <x:c r="H33" s="24" t="str">
        <x:v>https://archive.org/download/obzor_uralskoi_oblasti/Обзор Уральской области за 1908 - RAW.pdf</x:v>
      </x:c>
      <x:c r="I33" s="12"/>
    </x:row>
    <x:row r="34" ht="57" customHeight="1">
      <x:c r="A34" s="13" t="str">
        <x:v>Г1909</x:v>
      </x:c>
      <x:c r="B34" s="13" t="str">
        <x:v>1909</x:v>
      </x:c>
      <x:c r="C34" s="13" t="str">
        <x:v>Годовая оговорка общей сводки</x:v>
      </x:c>
      <x:c r="D34" s="35" t="str">
        <x:v>Оседлое с отдельно выделенными поселенцами. Итоги ведомости; охват недавно осевших переселенцев не установлен. Переселенческая группа расширена до 27 271. Ведомость говорит о присоединении поселенцев к оседлым, текст — об исключении недавно осевших переселенцев из прироста. Полнота событий у новых переселенцев не установлена. Остаток 21 502 не принят за миграцию.</x:v>
      </x:c>
      <x:c r="E34" s="35" t="str">
        <x:v>Объединение предоставленных сводок; новые поправки не вводились</x:v>
      </x:c>
      <x:c r="F34" s="35" t="str">
        <x:v>Население: с. 2 / PDF 8; движение: с. 12–13 / PDF 18–19; вед. № 6 / PDF 41</x:v>
      </x:c>
      <x:c r="G34" s="13" t="str">
        <x:v>Uralskaia-1907-1909(1).md</x:v>
      </x:c>
      <x:c r="H34" s="22" t="str">
        <x:v>https://archive.org/download/obzor_uralskoi_oblasti/Обзор Уральской области за 1909 - RAW.pdf</x:v>
      </x:c>
      <x:c r="I34" s="3"/>
    </x:row>
    <x:row r="35" ht="48" customHeight="1">
      <x:c r="A35" s="14" t="str">
        <x:v>Г1910</x:v>
      </x:c>
      <x:c r="B35" s="14" t="str">
        <x:v>1910</x:v>
      </x:c>
      <x:c r="C35" s="14" t="str">
        <x:v>Годовая оговорка общей сводки</x:v>
      </x:c>
      <x:c r="D35" s="36" t="str">
        <x:v>Условно: «киргизское» население и остальные категории. Исключены самовольцы и переселенцы Темирского уезда. Из событий прямо исключены самовольные переселенцы и переселенцы Темирского уезда, хотя в численность они включены. Итоги 22 453 / 15 223 заведомо частичные.</x:v>
      </x:c>
      <x:c r="E35" s="36" t="str">
        <x:v>Объединение предоставленных сводок; новые поправки не вводились</x:v>
      </x:c>
      <x:c r="F35" s="36" t="str">
        <x:v>Население: с. 2 / RAW copy 2 PDF 5; OCR PDF 10; движение: с. 3–4 / RAW copy 2 PDF 6–7; вед. № 6 / RAW PDF 58, OCR PDF 62</x:v>
      </x:c>
      <x:c r="G35" s="14" t="str">
        <x:v>Uralskaia-1910-1912(1).md</x:v>
      </x:c>
      <x:c r="H35" s="24" t="str">
        <x:v>https://archive.org/download/obzor_uralskoi_oblasti/Обзор Уральской области за 1910 (copy 2) - RAW.pdf</x:v>
      </x:c>
      <x:c r="I35" s="12"/>
    </x:row>
    <x:row r="36" ht="57" customHeight="1">
      <x:c r="A36" s="13" t="str">
        <x:v>Г1911</x:v>
      </x:c>
      <x:c r="B36" s="13" t="str">
        <x:v>1911</x:v>
      </x:c>
      <x:c r="C36" s="13" t="str">
        <x:v>Годовая оговорка общей сводки</x:v>
      </x:c>
      <x:c r="D36" s="35" t="str">
        <x:v>Условно: «киргизское» население и остальные категории. Основные группы включены; полнота регистрации не измерена. В отличие от 1910, ведомость включает переселенцев и самовольцев, в том числе Темирского уезда. 5 166 ушедших и перевес новых над ушедшими 2 970 — частные сведения о переселенцах; 8 136 прибывших не восстановлены.</x:v>
      </x:c>
      <x:c r="E36" s="35" t="str">
        <x:v>Объединение предоставленных сводок; новые поправки не вводились</x:v>
      </x:c>
      <x:c r="F36" s="35" t="str">
        <x:v>Население: с. 3 / RAW copy 2 PDF 6; OCR PDF 13; движение: с. 4–5 / RAW copy 2 PDF 7–8; вед. № 6 / RAW PDF 86, OCR PDF 90</x:v>
      </x:c>
      <x:c r="G36" s="13" t="str">
        <x:v>Uralskaia-1910-1912(1).md</x:v>
      </x:c>
      <x:c r="H36" s="22" t="str">
        <x:v>https://archive.org/download/obzor_uralskoi_oblasti/Обзор Уральской области за 1911 (copy 2) - RAW.pdf</x:v>
      </x:c>
      <x:c r="I36" s="3"/>
    </x:row>
    <x:row r="37" ht="57" customHeight="1">
      <x:c r="A37" s="14" t="str">
        <x:v>Г1912</x:v>
      </x:c>
      <x:c r="B37" s="14" t="str">
        <x:v>1912</x:v>
      </x:c>
      <x:c r="C37" s="14" t="str">
        <x:v>Годовая оговорка общей сводки</x:v>
      </x:c>
      <x:c r="D37" s="36" t="str">
        <x:v>Условно: «киргизское» население и остальные категории. Основные группы включены; полнота регистрации не измерена. Ошибка Темирского уезда на 10 не затрагивает согласованный областной итог 818 260. Снижение самовольцев связано также с легализацией на участках. «Почти 2 000» ушедших — мужские души, период отдельно не обозначен.</x:v>
      </x:c>
      <x:c r="E37" s="36" t="str">
        <x:v>Объединение предоставленных сводок; новые поправки не вводились</x:v>
      </x:c>
      <x:c r="F37" s="36" t="str">
        <x:v>Население: с. 3 / RAW и OCR PDF 7; движение: с. 4–5 / PDF 8–9; вед. № 6 / PDF 120</x:v>
      </x:c>
      <x:c r="G37" s="14" t="str">
        <x:v>Uralskaia-1910-1912(1).md</x:v>
      </x:c>
      <x:c r="H37" s="24" t="str">
        <x:v>https://archive.org/download/obzor_uralskoi_oblasti/Обзор Уральской области за 1912 - RAW.pdf</x:v>
      </x:c>
      <x:c r="I37" s="12"/>
    </x:row>
    <x:row r="38" ht="48" customHeight="1">
      <x:c r="A38" s="13" t="str">
        <x:v>Г1913</x:v>
      </x:c>
      <x:c r="B38" s="13" t="str">
        <x:v>1913</x:v>
      </x:c>
      <x:c r="C38" s="13" t="str">
        <x:v>Годовая оговорка общей сводки</x:v>
      </x:c>
      <x:c r="D38" s="35" t="str">
        <x:v>Условно: «киргизское» население и остальные категории. Основные группы включены; полнота регистрации не измерена. Прирост условно оседлой группы 5 393, а не дважды напечатанные 6 393. Ошибка женского уездного подытога на 10 000 не перенесена в областной итог. Кочевая убыль 48.</x:v>
      </x:c>
      <x:c r="E38" s="35" t="str">
        <x:v>Объединение предоставленных сводок; новые поправки не вводились</x:v>
      </x:c>
      <x:c r="F38" s="35" t="str">
        <x:v>Население: с. 2–3 / RAW PDF 12–13; движение: с. 5 / RAW PDF 15; вед. № 6 / RAW PDF 143</x:v>
      </x:c>
      <x:c r="G38" s="13" t="str">
        <x:v>Uralskaia-1913-1915(1).md</x:v>
      </x:c>
      <x:c r="H38" s="22" t="str">
        <x:v>https://archive.org/download/obzor_uralskoi_oblasti/Обзор Уральской области за 1913 - RAW.pdf</x:v>
      </x:c>
      <x:c r="I38" s="3"/>
    </x:row>
    <x:row r="39" ht="48" customHeight="1">
      <x:c r="A39" s="14" t="str">
        <x:v>Г1914</x:v>
      </x:c>
      <x:c r="B39" s="14" t="str">
        <x:v>1914</x:v>
      </x:c>
      <x:c r="C39" s="14" t="str">
        <x:v>Годовая оговорка общей сводки</x:v>
      </x:c>
      <x:c r="D39" s="36" t="str">
        <x:v>Условно: «киргизское» население и остальные категории. Основные группы включены; полнота регистрации не измерена. Исправления частных опечаток не меняют согласованные областные итоги. Общий и уездные итоги водворения расходятся на 1 305 земельных долей; это не миграционный баланс.</x:v>
      </x:c>
      <x:c r="E39" s="36" t="str">
        <x:v>Объединение предоставленных сводок; новые поправки не вводились</x:v>
      </x:c>
      <x:c r="F39" s="36" t="str">
        <x:v>Население: с. 2–3 / RAW copy 2 PDF 6–7; движение: с. 5 / RAW copy 2 PDF 9; вед. № 6 / PDF 160</x:v>
      </x:c>
      <x:c r="G39" s="14" t="str">
        <x:v>Uralskaia-1913-1915(1).md</x:v>
      </x:c>
      <x:c r="H39" s="24" t="str">
        <x:v>https://archive.org/download/obzor_uralskoi_oblasti/Обзор Уральской области за 1914 (copy 2) - RAW.pdf</x:v>
      </x:c>
      <x:c r="I39" s="12"/>
    </x:row>
    <x:row r="40" ht="69" customHeight="1">
      <x:c r="A40" s="13" t="str">
        <x:v>Г1915</x:v>
      </x:c>
      <x:c r="B40" s="13" t="str">
        <x:v>1915</x:v>
      </x:c>
      <x:c r="C40" s="13" t="str">
        <x:v>Годовая оговорка общей сводки</x:v>
      </x:c>
      <x:c r="D40" s="35" t="str">
        <x:v>Условно: «киргизское» население и остальные категории. Группы ведомости; включение беженцев и военных потерь не установлено. К 01.01.1916 эвакуировано 6 502 беженца: 3 427 взрослых и 3 075 детей. Их включение в 866 946 не установлено; они не прибавлены повторно. Включение беженцев и военных потерь в события также не установлено. Издательская поправка водворения 26 189 → 26 149; остаточное противоречие 35 долей сохранено.</x:v>
      </x:c>
      <x:c r="E40" s="35" t="str">
        <x:v>Объединение предоставленных сводок; новые поправки не вводились</x:v>
      </x:c>
      <x:c r="F40" s="35" t="str">
        <x:v>Население: с. 2–4 / RAW copy 2 PDF 7–9; движение: с. 5 / RAW copy 2 PDF 10; вед. № 6 / RAW PDF 150, OCR PDF 155</x:v>
      </x:c>
      <x:c r="G40" s="13" t="str">
        <x:v>Uralskaia-1913-1915(1).md</x:v>
      </x:c>
      <x:c r="H40" s="22" t="str">
        <x:v>https://archive.org/download/obzor_uralskoi_oblasti/Обзор Уральской области за 1915 (copy 2) - RAW.pdf</x:v>
      </x:c>
      <x:c r="I40" s="3"/>
    </x:row>
    <x:row r="41" ht="69" customHeight="1">
      <x:c r="A41" s="14" t="str">
        <x:v>1881-1885/N01</x:v>
      </x:c>
      <x:c r="B41" s="14" t="str">
        <x:v>1881–1885</x:v>
      </x:c>
      <x:c r="C41" s="14" t="str">
        <x:v>Охват рождений и смертей</x:v>
      </x:c>
      <x:c r="D41" s="36" t="str">
        <x:v>Во всех пяти выпусках прямо сказано: рождения и смерти известны только для оседлого населения, по киргизскому населению сведений нет. Причины, названные авторами: кочевой образ жизни, затруднения получения статистических сведений и кибиточный, а не подушный, учёт. Полнота регистрации внутри оседлой группы специально не оценена. Итог рождений и смертей по всей области неизвестен: пропуск кочевых данных не равен нулю.</x:v>
      </x:c>
      <x:c r="E41" s="36" t="str">
        <x:v>Исходное примечание</x:v>
      </x:c>
      <x:c r="F41" s="36" t="str">
        <x:v>Раздел I-е: 1881 PDF 9; 1882 PDF 9; 1883 PDF 5; 1884 PDF 7; 1885 PDF 7</x:v>
      </x:c>
      <x:c r="G41" s="14" t="str">
        <x:v>Uralskaia-1881-1885(1).xlsx</x:v>
      </x:c>
      <x:c r="H41" s="12"/>
      <x:c r="I41" s="12"/>
    </x:row>
    <x:row r="42" ht="57" customHeight="1">
      <x:c r="A42" s="13" t="str">
        <x:v>1881-1885/N02</x:v>
      </x:c>
      <x:c r="B42" s="13" t="str">
        <x:v>1881–1885</x:v>
      </x:c>
      <x:c r="C42" s="13" t="str">
        <x:v>Момент оценки населения</x:v>
      </x:c>
      <x:c r="D42" s="35" t="str">
        <x:v>Для 1881–1883 ведомости А озаглавлены «по статистической переписи за [год]». В 1885 приведена приблизительная оценка в годовом обзоре. Точный момент (начало, середина или конец года; 1 января следующего года) в этих местах не указан. Дата не домыслена. За 1884 сам итог численности всей области в предоставленном скане не найден.</x:v>
      </x:c>
      <x:c r="E42" s="35" t="str">
        <x:v>Исходное примечание</x:v>
      </x:c>
      <x:c r="F42" s="35" t="str">
        <x:v>1881 PDF 31; 1882 PDF 23; 1883 PDF 32; 1884 PDF 13; 1885 PDF 13</x:v>
      </x:c>
      <x:c r="G42" s="13" t="str">
        <x:v>Uralskaia-1881-1885(1).xlsx</x:v>
      </x:c>
      <x:c r="H42" s="3"/>
      <x:c r="I42" s="3"/>
    </x:row>
    <x:row r="43" ht="69" customHeight="1">
      <x:c r="A43" s="14" t="str">
        <x:v>1881-1885/N03</x:v>
      </x:c>
      <x:c r="B43" s="14" t="str">
        <x:v>1881–1883</x:v>
      </x:c>
      <x:c r="C43" s="14" t="str">
        <x:v>Условное деление численности</x:v>
      </x:c>
      <x:c r="D43" s="36" t="str">
        <x:v>Источники дают население по сословиям. Для сопоставления к кочевой группе условно отнесена строка «Инородцевъ-киргизовъ» (1881) / «Инородцевъ» (1882–1883). Оседлое население рассчитано как общий итог минус эта строка. Это унификация сословной классификации, а не прямо напечатанное деление по образу жизни. Использованы печатные итоги графы «Всего в области», без исправления исходной статистики.</x:v>
      </x:c>
      <x:c r="E43" s="36" t="str">
        <x:v>Исходное примечание</x:v>
      </x:c>
      <x:c r="F43" s="36" t="str">
        <x:v>Ведомости лит. А: 1881 PDF 31; 1882 PDF 23; 1883 PDF 32</x:v>
      </x:c>
      <x:c r="G43" s="14" t="str">
        <x:v>Uralskaia-1881-1885(1).xlsx</x:v>
      </x:c>
      <x:c r="H43" s="12"/>
      <x:c r="I43" s="12"/>
    </x:row>
    <x:row r="44" ht="48" customHeight="1">
      <x:c r="A44" s="13" t="str">
        <x:v>1881-1885/N04</x:v>
      </x:c>
      <x:c r="B44" s="13" t="str">
        <x:v>1882</x:v>
      </x:c>
      <x:c r="C44" s="13" t="str">
        <x:v>Городские инородцы</x:v>
      </x:c>
      <x:c r="D44" s="35" t="str">
        <x:v>В строке «Инородцевъ» ведомости А показаны 6 мужчин и 7 женщин в городе Уральске. Поэтому её итог 412601 не является заведомо чистой численностью лиц, ведущих кочевой образ жизни. В сводке сохранён итог строки, а условность классификации обозначена явно.</x:v>
      </x:c>
      <x:c r="E44" s="35" t="str">
        <x:v>Исходное примечание</x:v>
      </x:c>
      <x:c r="F44" s="35" t="str">
        <x:v>1882, ведомость лит. А, PDF 23</x:v>
      </x:c>
      <x:c r="G44" s="13" t="str">
        <x:v>Uralskaia-1881-1885(1).xlsx</x:v>
      </x:c>
      <x:c r="H44" s="3"/>
      <x:c r="I44" s="3"/>
    </x:row>
    <x:row r="45" ht="57" customHeight="1">
      <x:c r="A45" s="14" t="str">
        <x:v>1881-1885/N05</x:v>
      </x:c>
      <x:c r="B45" s="14" t="str">
        <x:v>1883</x:v>
      </x:c>
      <x:c r="C45" s="14" t="str">
        <x:v>Пересчёт кибиток и спад численности</x:v>
      </x:c>
      <x:c r="D45" s="36" t="str">
        <x:v>Авторы объясняют уменьшение киргизского населения против 1882 года перечётом кибиток на трёхлетие 1884–1886. Уменьшение числа кибиток связывается со смертью владельцев, их обеднением и другими причинами. Численность населения оценивалась приблизительно, по 5 душ на кибитку. Поэтому спад оценки нельзя целиком принимать за физическую убыль людей или миграционное сальдо.</x:v>
      </x:c>
      <x:c r="E45" s="36" t="str">
        <x:v>Исходное примечание</x:v>
      </x:c>
      <x:c r="F45" s="36" t="str">
        <x:v>1883, раздел VI, PDF 11; налоговый счёт 1883 по старому перечёту: PDF 5</x:v>
      </x:c>
      <x:c r="G45" s="14" t="str">
        <x:v>Uralskaia-1881-1885(1).xlsx</x:v>
      </x:c>
      <x:c r="H45" s="12"/>
      <x:c r="I45" s="12"/>
    </x:row>
    <x:row r="46" ht="69" customHeight="1">
      <x:c r="A46" s="13" t="str">
        <x:v>1881-1885/N06</x:v>
      </x:c>
      <x:c r="B46" s="13" t="str">
        <x:v>1884</x:v>
      </x:c>
      <x:c r="C46" s="13" t="str">
        <x:v>Пробел в численности области</x:v>
      </x:c>
      <x:c r="D46" s="35" t="str">
        <x:v>Раздел VI ссылается на ведомости А (по сословиям) и Б (по вероисповеданиям), но сами ведомости с полным населением области в обеих предоставленных PDF-версиях не найдены. Рукописные таблицы PDF 32–34 относятся к населению Уральского казачьего войска и имеют иной охват. Их итог не подставлен вместо всей области или всей оседлой группы. Пропуски в основной сводке означают отсутствие установленного значения, а не нулевую численность.</x:v>
      </x:c>
      <x:c r="E46" s="35" t="str">
        <x:v>Исходное примечание</x:v>
      </x:c>
      <x:c r="F46" s="35" t="str">
        <x:v>1884, раздел VI, PDF 13; рукописные таблицы PDF 32–34; просмотрены все 78 страниц</x:v>
      </x:c>
      <x:c r="G46" s="13" t="str">
        <x:v>Uralskaia-1881-1885(1).xlsx</x:v>
      </x:c>
      <x:c r="H46" s="3"/>
      <x:c r="I46" s="3"/>
    </x:row>
    <x:row r="47" ht="57" customHeight="1">
      <x:c r="A47" s="14" t="str">
        <x:v>1881-1885/N07</x:v>
      </x:c>
      <x:c r="B47" s="14" t="str">
        <x:v>1884</x:v>
      </x:c>
      <x:c r="C47" s="14" t="str">
        <x:v>Условный пересчёт кибиток</x:v>
      </x:c>
      <x:c r="D47" s="36" t="str">
        <x:v>Для податного обложения приведено 77633 кибитки по перечёту 1884–1886. Если механически применить упомянутые в обзоре 1883 года 5 душ на кибитку, получится 388165 человек. Это наш условный расчёт по податному основанию, а не найденная в обзоре 1884 года оценка населения. В основную таблицу численности он не внесён.</x:v>
      </x:c>
      <x:c r="E47" s="36" t="str">
        <x:v>Исходное примечание</x:v>
      </x:c>
      <x:c r="F47" s="36" t="str">
        <x:v>1884, раздел II-а, PDF 7; правило 5 душ: 1883 PDF 11</x:v>
      </x:c>
      <x:c r="G47" s="14" t="str">
        <x:v>Uralskaia-1881-1885(1).xlsx</x:v>
      </x:c>
      <x:c r="H47" s="12"/>
      <x:c r="I47" s="12"/>
    </x:row>
    <x:row r="48" ht="69" customHeight="1">
      <x:c r="A48" s="13" t="str">
        <x:v>1881-1885/N08</x:v>
      </x:c>
      <x:c r="B48" s="13" t="str">
        <x:v>1885</x:v>
      </x:c>
      <x:c r="C48" s="13" t="str">
        <x:v>Исправление охвата численности</x:v>
      </x:c>
      <x:c r="D48" s="35" t="str">
        <x:v>Раздел VI-а прямо делит население на оседлое и кочевое. Оседлое: уральские казаки 105863 и иногородние 33266, вместе 139129. Кочевое: киргизы 388472. Всего 527601. Увеличение оседлого населения против отчётности 1884 года авторы объясняют более правильными приёмами сбора статистических сведений в 1885 году. Этот скачок нельзя автоматически считать массовым притоком; поправка численности сама по себе не доказывает исправления ряда рождений и смертей.</x:v>
      </x:c>
      <x:c r="E48" s="35" t="str">
        <x:v>Исходное примечание</x:v>
      </x:c>
      <x:c r="F48" s="35" t="str">
        <x:v>1885, раздел VI-а, PDF 13</x:v>
      </x:c>
      <x:c r="G48" s="13" t="str">
        <x:v>Uralskaia-1881-1885(1).xlsx</x:v>
      </x:c>
      <x:c r="H48" s="3"/>
      <x:c r="I48" s="3"/>
    </x:row>
    <x:row r="49" ht="57" customHeight="1">
      <x:c r="A49" s="14" t="str">
        <x:v>1881-1885/N09</x:v>
      </x:c>
      <x:c r="B49" s="14" t="str">
        <x:v>1881–1885</x:v>
      </x:c>
      <x:c r="C49" s="14" t="str">
        <x:v>Прибытия, выбытия, сальдо</x:v>
      </x:c>
      <x:c r="D49" s="36" t="str">
        <x:v>Годовые численные итоги прибытия в область, выбытия из области и миграционного сальдо не найдены. «Прибыло рождением» и графа «Прибыль или убыль» в ведомостях № 3 означают рождения минус смерти. Они не являются миграцией. Разности соседних оценок населения также не приняты за миграционное сальдо, поскольку менялись охват и способы учёта.</x:v>
      </x:c>
      <x:c r="E49" s="36" t="str">
        <x:v>Исходное примечание</x:v>
      </x:c>
      <x:c r="F49" s="36" t="str">
        <x:v>Разделы I-е и VI всех пяти выпусков; ведомости № 3: 1881 PDF 21; 1883 PDF 17</x:v>
      </x:c>
      <x:c r="G49" s="14" t="str">
        <x:v>Uralskaia-1881-1885(1).xlsx</x:v>
      </x:c>
      <x:c r="H49" s="12"/>
      <x:c r="I49" s="12"/>
    </x:row>
    <x:row r="50" ht="48" customHeight="1">
      <x:c r="A50" s="13" t="str">
        <x:v>1881-1885/N10</x:v>
      </x:c>
      <x:c r="B50" s="13" t="str">
        <x:v>1884</x:v>
      </x:c>
      <x:c r="C50" s="13" t="str">
        <x:v>Уход на заработки</x:v>
      </x:c>
      <x:c r="D50" s="35" t="str">
        <x:v>Упомянуты паспорта киргизам, отправляющимся из своих кочевий на заработки. Сбор за них составил 7368 руб. 35 коп. Число людей, направление поездок, пересечение границы области и возвращения не указаны. Это свидетельство трудовой подвижности, но не количественный итог выбытия из области.</x:v>
      </x:c>
      <x:c r="E50" s="35" t="str">
        <x:v>Исходное примечание</x:v>
      </x:c>
      <x:c r="F50" s="35" t="str">
        <x:v>1884, раздел II-а, PDF 7</x:v>
      </x:c>
      <x:c r="G50" s="13" t="str">
        <x:v>Uralskaia-1881-1885(1).xlsx</x:v>
      </x:c>
      <x:c r="H50" s="3"/>
      <x:c r="I50" s="3"/>
    </x:row>
    <x:row r="51" ht="48" customHeight="1">
      <x:c r="A51" s="14" t="str">
        <x:v>1881-1885/N11</x:v>
      </x:c>
      <x:c r="B51" s="14" t="str">
        <x:v>1885</x:v>
      </x:c>
      <x:c r="C51" s="14" t="str">
        <x:v>Уход на заработки</x:v>
      </x:c>
      <x:c r="D51" s="36" t="str">
        <x:v>Сбор за паспорта киргизам, отправляющимся из своих кочевий на заработки, составил 6317 руб. 31 коп. Число мигрантов не дано. Сумма сбора не пересчитана в людей и не отнесена к безвозвратному выбытию или к поездкам обязательно за пределы области.</x:v>
      </x:c>
      <x:c r="E51" s="36" t="str">
        <x:v>Исходное примечание</x:v>
      </x:c>
      <x:c r="F51" s="36" t="str">
        <x:v>1885, раздел II-а, PDF 8</x:v>
      </x:c>
      <x:c r="G51" s="14" t="str">
        <x:v>Uralskaia-1881-1885(1).xlsx</x:v>
      </x:c>
      <x:c r="H51" s="12"/>
      <x:c r="I51" s="12"/>
    </x:row>
    <x:row r="52" ht="57" customHeight="1">
      <x:c r="A52" s="13" t="str">
        <x:v>1881-1885/N12</x:v>
      </x:c>
      <x:c r="B52" s="13" t="str">
        <x:v>1881–1885</x:v>
      </x:c>
      <x:c r="C52" s="13" t="str">
        <x:v>Податный и демографический счёт</x:v>
      </x:c>
      <x:c r="D52" s="35" t="str">
        <x:v>Податное число кибиток и демографический итог строки инородцев не отождествлены. В частности, 82513 кибиток в налоговом разделе за 1883 год относятся к старому перечёту 1881–1883, тогда как раздел VI объясняет спад населения новым перечётом. Печатные оценки населения сохранены, даже когда они не равны числу податных кибиток, умноженному на 5.</x:v>
      </x:c>
      <x:c r="E52" s="35" t="str">
        <x:v>Исходное примечание</x:v>
      </x:c>
      <x:c r="F52" s="35" t="str">
        <x:v>Разделы II-а всех выпусков; 1883, раздел VI, PDF 11</x:v>
      </x:c>
      <x:c r="G52" s="13" t="str">
        <x:v>Uralskaia-1881-1885(1).xlsx</x:v>
      </x:c>
      <x:c r="H52" s="3"/>
      <x:c r="I52" s="3"/>
    </x:row>
    <x:row r="53" ht="81" customHeight="1">
      <x:c r="A53" s="14" t="str">
        <x:v>1881-1885/N13</x:v>
      </x:c>
      <x:c r="B53" s="14" t="str">
        <x:v>1881–1885</x:v>
      </x:c>
      <x:c r="C53" s="14" t="str">
        <x:v>Визуальная проверка</x:v>
      </x:c>
      <x:c r="D53" s="36" t="str">
        <x:v>OCR использован для поиска. Все включённые основные показатели населения, рождения и смерти по полу и в сумме, естественный прирост, числа кибиток, паспортные сборы и критические оговорки сверены с изображениями RAW. Ведомости А за 1881–1883 просмотрены после поворота на 90 градусов, включая вертикальные числа. Рукописные приложения просмотрены отдельно; данные с иным охватом не смешаны с областными итогами. Нумерация PDF начинается с 1 и включает обложки и пустые листы. В RAW и OCR она совпадает.</x:v>
      </x:c>
      <x:c r="E53" s="36" t="str">
        <x:v>Исходное примечание</x:v>
      </x:c>
      <x:c r="F53" s="36" t="str">
        <x:v>1881: 93 страницы; 1882: 41; 1883: 87; 1884: 78; 1885: 79</x:v>
      </x:c>
      <x:c r="G53" s="14" t="str">
        <x:v>Uralskaia-1881-1885(1).xlsx</x:v>
      </x:c>
      <x:c r="H53" s="12"/>
      <x:c r="I53" s="12"/>
    </x:row>
    <x:row r="54" ht="57" customHeight="1">
      <x:c r="A54" s="13" t="str">
        <x:v>1881-1885/N14</x:v>
      </x:c>
      <x:c r="B54" s="13" t="str">
        <x:v>1881</x:v>
      </x:c>
      <x:c r="C54" s="13" t="str">
        <x:v>Расхождение внутри строки инородцев</x:v>
      </x:c>
      <x:c r="D54" s="35" t="str">
        <x:v>Ведомость А печатает для инородцев 205165 мужчин, 207309 женщин и 412474 обоего пола. Мужские значения по четырём уездам: 57207 + 59075 + 43188 + 45700 = 205170, на 5 больше напечатанного мужского итога. В сводке сохранён печатный итог 412474; расчёт оседлой группы 109553 опирается на него. Это расхождение оригинала, а не исправленная OCR-ошибка.</x:v>
      </x:c>
      <x:c r="E54" s="35" t="str">
        <x:v>Исходное примечание</x:v>
      </x:c>
      <x:c r="F54" s="35" t="str">
        <x:v>1881, ведомость лит. А, PDF 31</x:v>
      </x:c>
      <x:c r="G54" s="13" t="str">
        <x:v>Uralskaia-1881-1885(1).xlsx</x:v>
      </x:c>
      <x:c r="H54" s="3"/>
      <x:c r="I54" s="3"/>
    </x:row>
    <x:row r="55" ht="48" customHeight="1">
      <x:c r="A55" s="14" t="str">
        <x:v>1881-1885/N15</x:v>
      </x:c>
      <x:c r="B55" s="14" t="str">
        <x:v>1883–1884</x:v>
      </x:c>
      <x:c r="C55" s="14" t="str">
        <x:v>Одинаковое число смертей</x:v>
      </x:c>
      <x:c r="D55" s="36" t="str">
        <x:v>В обоих годах напечатано 2756 смертей оседлого населения. В 1883 распределение по полу 1516 и 1240; в 1884 — 1413 и 1343. Оба сложения дают 2756, и напечатанный естественный прирост согласуется с ними. Совпадение итогов сохранено как факт источника; оно не возникло при копировании сводки.</x:v>
      </x:c>
      <x:c r="E55" s="36" t="str">
        <x:v>Исходное примечание</x:v>
      </x:c>
      <x:c r="F55" s="36" t="str">
        <x:v>1883 PDF 5 и 17; 1884 PDF 7</x:v>
      </x:c>
      <x:c r="G55" s="14" t="str">
        <x:v>Uralskaia-1881-1885(1).xlsx</x:v>
      </x:c>
      <x:c r="H55" s="12"/>
      <x:c r="I55" s="12"/>
    </x:row>
    <x:row r="56" ht="48" customHeight="1">
      <x:c r="A56" s="13" t="str">
        <x:v>1886-1889/R6</x:v>
      </x:c>
      <x:c r="B56" s="13" t="str">
        <x:v>Все годы</x:v>
      </x:c>
      <x:c r="C56" s="13" t="str">
        <x:v>Единицы и пропуски</x:v>
      </x:c>
      <x:c r="D56" s="35" t="str">
        <x:v>Население, рождения, смерти и естественный прирост — человек. Пустые числовые ячейки означают отсутствие сведений или невозможность полного итога; это не нули.</x:v>
      </x:c>
      <x:c r="E56" s="35" t="str">
        <x:v>Исходное примечание</x:v>
      </x:c>
      <x:c r="F56" s="35" t="str">
        <x:v>Основные тексты и вед. № 3 за каждый год</x:v>
      </x:c>
      <x:c r="G56" s="13" t="str">
        <x:v>Uralskaia-1886-1889(1).xlsx</x:v>
      </x:c>
      <x:c r="H56" s="3"/>
      <x:c r="I56" s="3"/>
    </x:row>
    <x:row r="57" ht="48" customHeight="1">
      <x:c r="A57" s="14" t="str">
        <x:v>1886-1889/R7</x:v>
      </x:c>
      <x:c r="B57" s="14" t="str">
        <x:v>Все годы</x:v>
      </x:c>
      <x:c r="C57" s="14" t="str">
        <x:v>Оседлое и кочевое</x:v>
      </x:c>
      <x:c r="D57" s="36" t="str">
        <x:v>Разделение следует основному тексту обзора: оседлое = уральские казаки + иногородние разных сословий; кочевое = группа, названная в источнике «киргизами». Сумма оседлого населения рассчитана из двух опубликованных групп.</x:v>
      </x:c>
      <x:c r="E57" s="36" t="str">
        <x:v>Исходное примечание</x:v>
      </x:c>
      <x:c r="F57" s="36" t="str">
        <x:v>1886–1888: раздел VI, с. 9; 1889: раздел VI, с. 10</x:v>
      </x:c>
      <x:c r="G57" s="14" t="str">
        <x:v>Uralskaia-1886-1889(1).xlsx</x:v>
      </x:c>
      <x:c r="H57" s="12"/>
      <x:c r="I57" s="12"/>
    </x:row>
    <x:row r="58" ht="48" customHeight="1">
      <x:c r="A58" s="13" t="str">
        <x:v>1886-1889/R8</x:v>
      </x:c>
      <x:c r="B58" s="13" t="str">
        <x:v>Все годы</x:v>
      </x:c>
      <x:c r="C58" s="13" t="str">
        <x:v>Дата оценки</x:v>
      </x:c>
      <x:c r="D58" s="35" t="str">
        <x:v>Точный день оценки населения не указан. «За год» не преобразовано в 1 января следующего года. В 1886 г. приложение говорит о статистической переписи 1886 г., но её дата не названа.</x:v>
      </x:c>
      <x:c r="E58" s="35" t="str">
        <x:v>Исходное примечание</x:v>
      </x:c>
      <x:c r="F58" s="35" t="str">
        <x:v>1886: вед. лит. А, PDF 36; 1887: вед. лит. А, PDF 30; 1888: вед. № 11, PDF 34; 1889: вед. № 11, PDF 35</x:v>
      </x:c>
      <x:c r="G58" s="13" t="str">
        <x:v>Uralskaia-1886-1889(1).xlsx</x:v>
      </x:c>
      <x:c r="H58" s="3"/>
      <x:c r="I58" s="3"/>
    </x:row>
    <x:row r="59" ht="48" customHeight="1">
      <x:c r="A59" s="14" t="str">
        <x:v>1886-1889/R9</x:v>
      </x:c>
      <x:c r="B59" s="14" t="str">
        <x:v>1886</x:v>
      </x:c>
      <x:c r="C59" s="14" t="str">
        <x:v>Охват регистрации</x:v>
      </x:c>
      <x:c r="D59" s="36" t="str">
        <x:v>Число родившихся и умерших известно только для оседлого населения. По кочевому населению сведения отсутствуют. Названы трудности сбора при кочевом образе жизни и нежелание сообщать статистические сведения; податной учёт кибиточный.</x:v>
      </x:c>
      <x:c r="E59" s="36" t="str">
        <x:v>Исходное примечание</x:v>
      </x:c>
      <x:c r="F59" s="36" t="str">
        <x:v>С. 3, PDF 7; вед. № 3, PDF 19</x:v>
      </x:c>
      <x:c r="G59" s="14" t="str">
        <x:v>Uralskaia-1886-1889(1).xlsx</x:v>
      </x:c>
      <x:c r="H59" s="12"/>
      <x:c r="I59" s="12"/>
    </x:row>
    <x:row r="60" ht="48" customHeight="1">
      <x:c r="A60" s="13" t="str">
        <x:v>1886-1889/R10</x:v>
      </x:c>
      <x:c r="B60" s="13" t="str">
        <x:v>1887</x:v>
      </x:c>
      <x:c r="C60" s="13" t="str">
        <x:v>Охват регистрации</x:v>
      </x:c>
      <x:c r="D60" s="35" t="str">
        <x:v>Повторено ограничение оседлым населением. Сбор сведений о рождениях и смертях кочевников признан невозможным. В тексте нет подтверждения исчерпывающего охвата всех групп оседлого населения.</x:v>
      </x:c>
      <x:c r="E60" s="35" t="str">
        <x:v>Исходное примечание</x:v>
      </x:c>
      <x:c r="F60" s="35" t="str">
        <x:v>С. 3, PDF 7; вед. № 3, PDF 19</x:v>
      </x:c>
      <x:c r="G60" s="13" t="str">
        <x:v>Uralskaia-1886-1889(1).xlsx</x:v>
      </x:c>
      <x:c r="H60" s="3"/>
      <x:c r="I60" s="3"/>
    </x:row>
    <x:row r="61" ht="48" customHeight="1">
      <x:c r="A61" s="14" t="str">
        <x:v>1886-1889/R11</x:v>
      </x:c>
      <x:c r="B61" s="14" t="str">
        <x:v>1888</x:v>
      </x:c>
      <x:c r="C61" s="14" t="str">
        <x:v>Охват регистрации</x:v>
      </x:c>
      <x:c r="D61" s="36" t="str">
        <x:v>Регистрация относится только к оседлому населению; по кочевому сведений нет. В объяснении кибиточного учёта прямо указано среднее по 5 душ на кибитку. Это характеристика метода учёта, а не зарегистрированное число рождений и смертей.</x:v>
      </x:c>
      <x:c r="E61" s="36" t="str">
        <x:v>Исходное примечание</x:v>
      </x:c>
      <x:c r="F61" s="36" t="str">
        <x:v>С. 3, PDF 9; вед. № 3, PDF 21</x:v>
      </x:c>
      <x:c r="G61" s="14" t="str">
        <x:v>Uralskaia-1886-1889(1).xlsx</x:v>
      </x:c>
      <x:c r="H61" s="12"/>
      <x:c r="I61" s="12"/>
    </x:row>
    <x:row r="62" ht="48" customHeight="1">
      <x:c r="A62" s="13" t="str">
        <x:v>1886-1889/R12</x:v>
      </x:c>
      <x:c r="B62" s="13" t="str">
        <x:v>1889</x:v>
      </x:c>
      <x:c r="C62" s="13" t="str">
        <x:v>Охват регистрации</x:v>
      </x:c>
      <x:c r="D62" s="35" t="str">
        <x:v>То же ограничение оседлым населением и отсутствие данных по кочевникам. Повторено среднее по 5 душ на кибитку. Общие рождения и смерти по всей области неизвестны.</x:v>
      </x:c>
      <x:c r="E62" s="35" t="str">
        <x:v>Исходное примечание</x:v>
      </x:c>
      <x:c r="F62" s="35" t="str">
        <x:v>С. 3–4, PDF 9–10; вед. № 3, PDF 20</x:v>
      </x:c>
      <x:c r="G62" s="13" t="str">
        <x:v>Uralskaia-1886-1889(1).xlsx</x:v>
      </x:c>
      <x:c r="H62" s="3"/>
      <x:c r="I62" s="3"/>
    </x:row>
    <x:row r="63" ht="48" customHeight="1">
      <x:c r="A63" s="14" t="str">
        <x:v>1886-1889/R13</x:v>
      </x:c>
      <x:c r="B63" s="14" t="str">
        <x:v>Все годы</x:v>
      </x:c>
      <x:c r="C63" s="14" t="str">
        <x:v>Годовая миграция</x:v>
      </x:c>
      <x:c r="D63" s="36" t="str">
        <x:v>Числа прибывших в область, выбывших из области и годовое сальдо в просмотренных текстах и демографических приложениях не обнаружены. Не вычислены из изменения населения: даты оценок неясны, рождения и смерти кочевников отсутствуют.</x:v>
      </x:c>
      <x:c r="E63" s="36" t="str">
        <x:v>Исходное примечание</x:v>
      </x:c>
      <x:c r="F63" s="36" t="str">
        <x:v>Разделы о населении, движении населения и податях за 1886–1889 гг.</x:v>
      </x:c>
      <x:c r="G63" s="14" t="str">
        <x:v>Uralskaia-1886-1889(1).xlsx</x:v>
      </x:c>
      <x:c r="H63" s="12"/>
      <x:c r="I63" s="12"/>
    </x:row>
    <x:row r="64" ht="48" customHeight="1">
      <x:c r="A64" s="13" t="str">
        <x:v>1886-1889/R14</x:v>
      </x:c>
      <x:c r="B64" s="13" t="str">
        <x:v>Все годы</x:v>
      </x:c>
      <x:c r="C64" s="13" t="str">
        <x:v>Паспортные сборы</x:v>
      </x:c>
      <x:c r="D64" s="35" t="str">
        <x:v>Указаны денежные поступления за паспорта кочевникам, отправлявшимся из своих кочевий на заработки. Нет числа людей, срока отлучки или подтверждения пересечения границы области. Сборы не переведены в численность мигрантов.</x:v>
      </x:c>
      <x:c r="E64" s="35" t="str">
        <x:v>Исходное примечание</x:v>
      </x:c>
      <x:c r="F64" s="35" t="str">
        <x:v>1886: с. 4, PDF 8; 1887: с. 4, PDF 8; 1888: с. 4, PDF 10; 1889: с. 4, PDF 10</x:v>
      </x:c>
      <x:c r="G64" s="13" t="str">
        <x:v>Uralskaia-1886-1889(1).xlsx</x:v>
      </x:c>
      <x:c r="H64" s="3"/>
      <x:c r="I64" s="3"/>
    </x:row>
    <x:row r="65" ht="48" customHeight="1">
      <x:c r="A65" s="14" t="str">
        <x:v>1886-1889/R15</x:v>
      </x:c>
      <x:c r="B65" s="14" t="str">
        <x:v>1886–1888</x:v>
      </x:c>
      <x:c r="C65" s="14" t="str">
        <x:v>Отставные нижние чины</x:v>
      </x:c>
      <x:c r="D65" s="36" t="str">
        <x:v>281, 664 и 859 человек соответственно, включая семьи, — численность проживавших в области отставных нижних чинов неказачьего сословия. Это запас населения, не число прибывших за год. В 1889 г. аналогичный абзац есть, численность не названа.</x:v>
      </x:c>
      <x:c r="E65" s="36" t="str">
        <x:v>Исходное примечание</x:v>
      </x:c>
      <x:c r="F65" s="36" t="str">
        <x:v>1886: с. 9, PDF 13; 1887: с. 9, PDF 13; 1888: с. 9, PDF 15; 1889: с. 10, PDF 16</x:v>
      </x:c>
      <x:c r="G65" s="14" t="str">
        <x:v>Uralskaia-1886-1889(1).xlsx</x:v>
      </x:c>
      <x:c r="H65" s="12"/>
      <x:c r="I65" s="12"/>
    </x:row>
    <x:row r="66" ht="48" customHeight="1">
      <x:c r="A66" s="13" t="str">
        <x:v>1886-1889/R16</x:v>
      </x:c>
      <x:c r="B66" s="13" t="str">
        <x:v>1886</x:v>
      </x:c>
      <x:c r="C66" s="13" t="str">
        <x:v>Смешанные приложения</x:v>
      </x:c>
      <x:c r="D66" s="35" t="str">
        <x:v>В PDF обзора 1886 г. начиная с PDF 52 подшит блок таблиц за 1889 г. В частности, вед. № 3 на PDF 52 содержит 8 009 рождений и 5 576 смертей за 1889 г. Для 1886 г. взяты 4 278 и 2 890 из его собственной вед. № 3, PDF 19.</x:v>
      </x:c>
      <x:c r="E66" s="35" t="str">
        <x:v>Исходное примечание</x:v>
      </x:c>
      <x:c r="F66" s="35" t="str">
        <x:v>Обзор за 1886: PDF 19 и PDF 52</x:v>
      </x:c>
      <x:c r="G66" s="13" t="str">
        <x:v>Uralskaia-1886-1889(1).xlsx</x:v>
      </x:c>
      <x:c r="H66" s="3"/>
      <x:c r="I66" s="3"/>
    </x:row>
    <x:row r="67" ht="48" customHeight="1">
      <x:c r="A67" s="14" t="str">
        <x:v>1886-1889/R17</x:v>
      </x:c>
      <x:c r="B67" s="14" t="str">
        <x:v>1886</x:v>
      </x:c>
      <x:c r="C67" s="14" t="str">
        <x:v>Опечатка суммы женщин</x:v>
      </x:c>
      <x:c r="D67" s="36" t="str">
        <x:v>В основном тексте напечатан итог женщин 273 043. Сумма трёх групп равна 273 048, и это значение напечатано в приложениях. Общий итог 545 774 согласуется с 273 048. Поправка касается только половой суммы и не меняет итог населения.</x:v>
      </x:c>
      <x:c r="E67" s="36" t="str">
        <x:v>Исходное примечание</x:v>
      </x:c>
      <x:c r="F67" s="36" t="str">
        <x:v>С. 9, PDF 13; вед. лит. А, PDF 36; вед. лит. Б, PDF 38</x:v>
      </x:c>
      <x:c r="G67" s="14" t="str">
        <x:v>Uralskaia-1886-1889(1).xlsx</x:v>
      </x:c>
      <x:c r="H67" s="12"/>
      <x:c r="I67" s="12"/>
    </x:row>
    <x:row r="68" ht="48" customHeight="1">
      <x:c r="A68" s="13" t="str">
        <x:v>1886-1889/R18</x:v>
      </x:c>
      <x:c r="B68" s="13" t="str">
        <x:v>1889</x:v>
      </x:c>
      <x:c r="C68" s="13" t="str">
        <x:v>Ошибка OCR</x:v>
      </x:c>
      <x:c r="D68" s="35" t="str">
        <x:v>В OCR основного текста число родившихся женщин распознано как 3 908. На изображении напечатано 3 968; такое же число стоит в вед. № 3. Правильная сумма: 4 041 + 3 968 = 8 009.</x:v>
      </x:c>
      <x:c r="E68" s="35" t="str">
        <x:v>Исходное примечание</x:v>
      </x:c>
      <x:c r="F68" s="35" t="str">
        <x:v>С. 4, PDF 10; вед. № 3, PDF 20</x:v>
      </x:c>
      <x:c r="G68" s="13" t="str">
        <x:v>Uralskaia-1886-1889(1).xlsx</x:v>
      </x:c>
      <x:c r="H68" s="3"/>
      <x:c r="I68" s="3"/>
    </x:row>
    <x:row r="69" ht="48" customHeight="1">
      <x:c r="A69" s="14" t="str">
        <x:v>1886-1889/R19</x:v>
      </x:c>
      <x:c r="B69" s="14" t="str">
        <x:v>1889</x:v>
      </x:c>
      <x:c r="C69" s="14" t="str">
        <x:v>Карандашная помета</x:v>
      </x:c>
      <x:c r="D69" s="36" t="str">
        <x:v>Под напечатанным итогом 559 552 в вед. № 11 вписан карандашный расчёт: −41 016, затем 518 536. Пояснения и подписи нет. Он отмечен отдельно; основная сводка сохраняет напечатанные 559 552, повторенные в основном тексте.</x:v>
      </x:c>
      <x:c r="E69" s="36" t="str">
        <x:v>Исходное примечание</x:v>
      </x:c>
      <x:c r="F69" s="36" t="str">
        <x:v>Вед. № 11, PDF 35; основной текст, с. 10, PDF 16</x:v>
      </x:c>
      <x:c r="G69" s="14" t="str">
        <x:v>Uralskaia-1886-1889(1).xlsx</x:v>
      </x:c>
      <x:c r="H69" s="12"/>
      <x:c r="I69" s="12"/>
    </x:row>
    <x:row r="70" ht="48" customHeight="1">
      <x:c r="A70" s="13" t="str">
        <x:v>1886-1889/R20</x:v>
      </x:c>
      <x:c r="B70" s="13" t="str">
        <x:v>1886–1889</x:v>
      </x:c>
      <x:c r="C70" s="13" t="str">
        <x:v>Сопоставимость ряда</x:v>
      </x:c>
      <x:c r="D70" s="35" t="str">
        <x:v>Рождения: 4 278 → 4 219 → 6 921 → 8 009. При близком оседлом населении особенно меняются числа Уральска: 257 → 214 → 639 → 1 930. Это основание проверить полноту и сопоставимость регистрации. Причина изменения охвата в этих выпусках прямо не объяснена.</x:v>
      </x:c>
      <x:c r="E70" s="35" t="str">
        <x:v>Исходное примечание</x:v>
      </x:c>
      <x:c r="F70" s="35" t="str">
        <x:v>Вед. № 3 каждого года; детали на листе «Источники»</x:v>
      </x:c>
      <x:c r="G70" s="13" t="str">
        <x:v>Uralskaia-1886-1889(1).xlsx</x:v>
      </x:c>
      <x:c r="H70" s="3"/>
      <x:c r="I70" s="3"/>
    </x:row>
    <x:row r="71" ht="48" customHeight="1">
      <x:c r="A71" s="14" t="str">
        <x:v>1886-1889/R21</x:v>
      </x:c>
      <x:c r="B71" s="14" t="str">
        <x:v>Все годы</x:v>
      </x:c>
      <x:c r="C71" s="14" t="str">
        <x:v>Диагностические отношения</x:v>
      </x:c>
      <x:c r="D71" s="36" t="str">
        <x:v>На листе «Сводка» рождения и смерти делятся на опубликованную оценку оседлого населения и умножаются на 1 000. Эти отношения помогают увидеть неоднородность регистрации; они не являются строгими годовыми коэффициентами из-за неясной даты знаменателя.</x:v>
      </x:c>
      <x:c r="E71" s="36" t="str">
        <x:v>Исходное примечание</x:v>
      </x:c>
      <x:c r="F71" s="36" t="str">
        <x:v>Расчёт из опубликованных чисел населения, рождений и смертей</x:v>
      </x:c>
      <x:c r="G71" s="14" t="str">
        <x:v>Uralskaia-1886-1889(1).xlsx</x:v>
      </x:c>
      <x:c r="H71" s="12"/>
      <x:c r="I71" s="12"/>
    </x:row>
    <x:row r="72" ht="48" customHeight="1">
      <x:c r="A72" s="13" t="str">
        <x:v>1886-1889/R22</x:v>
      </x:c>
      <x:c r="B72" s="13" t="str">
        <x:v>Все годы</x:v>
      </x:c>
      <x:c r="C72" s="13" t="str">
        <x:v>Визуальная проверка</x:v>
      </x:c>
      <x:c r="D72" s="35" t="str">
        <x:v>Основные числа и критические оговорки сверены по RAW. Повернуты для чтения таблицы населения: 1886 PDF 36 и 38; 1887 PDF 30; 1888 PDF 34; 1889 PDF 35. Номера PDF считаются от первой страницы файла и совпадают в OCR и RAW.</x:v>
      </x:c>
      <x:c r="E72" s="35" t="str">
        <x:v>Исходное примечание</x:v>
      </x:c>
      <x:c r="F72" s="35" t="str">
        <x:v>Файлы «Обзор Уральской области за YYYY - RAW.pdf» и соответствующие OCR.pdf</x:v>
      </x:c>
      <x:c r="G72" s="13" t="str">
        <x:v>Uralskaia-1886-1889(1).xlsx</x:v>
      </x:c>
      <x:c r="H72" s="3"/>
      <x:c r="I72" s="3"/>
    </x:row>
    <x:row r="73" ht="48" customHeight="1">
      <x:c r="A73" s="14" t="str">
        <x:v>1886-1889/R23</x:v>
      </x:c>
      <x:c r="B73" s="14" t="str">
        <x:v>Все годы</x:v>
      </x:c>
      <x:c r="C73" s="14" t="str">
        <x:v>Итог ведомости движения</x:v>
      </x:c>
      <x:c r="D73" s="36" t="str">
        <x:v>Опубликованный итог рождений и смертей совпадает с оседлым населением, по которому имеются сведения. Он не является полным итогом по оседлому и кочевому населению. «Прибыль» в вед. № 3 — рождения минус смерти, не сальдо миграции.</x:v>
      </x:c>
      <x:c r="E73" s="36" t="str">
        <x:v>Исходное примечание</x:v>
      </x:c>
      <x:c r="F73" s="36" t="str">
        <x:v>Вед. № 3 за 1886–1889 гг.; пояснения в основном тексте</x:v>
      </x:c>
      <x:c r="G73" s="14" t="str">
        <x:v>Uralskaia-1886-1889(1).xlsx</x:v>
      </x:c>
      <x:c r="H73" s="12"/>
      <x:c r="I73" s="12"/>
    </x:row>
    <x:row r="74" ht="48" customHeight="1">
      <x:c r="A74" s="13" t="str">
        <x:v>1890-1894/R2</x:v>
      </x:c>
      <x:c r="B74" s="13" t="str">
        <x:v>1890–1894</x:v>
      </x:c>
      <x:c r="C74" s="13" t="str">
        <x:v>Состав групп</x:v>
      </x:c>
      <x:c r="D74" s="35" t="str">
        <x:v>Оседлое население в сводке — сумма двух групп основного текста: уральские казаки и иногородние люди разных сословий. Кочевое — группа, названная в обзорах «киргизами». Сохранена классификация источника.</x:v>
      </x:c>
      <x:c r="E74" s="35" t="str">
        <x:v>Исходное примечание</x:v>
      </x:c>
      <x:c r="F74" s="35" t="str">
        <x:v>Обзоры за 1890–1894 гг.; Разделы о численном составе населения; страницы указаны на листе «Сводка».</x:v>
      </x:c>
      <x:c r="G74" s="13" t="str">
        <x:v>Uralskaia-1890-1894(1).xlsx</x:v>
      </x:c>
      <x:c r="H74" s="3"/>
      <x:c r="I74" s="3"/>
    </x:row>
    <x:row r="75" ht="57" customHeight="1">
      <x:c r="A75" s="14" t="str">
        <x:v>1890-1894/R3</x:v>
      </x:c>
      <x:c r="B75" s="14" t="str">
        <x:v>1890–1894</x:v>
      </x:c>
      <x:c r="C75" s="14" t="str">
        <x:v>Момент оценки</x:v>
      </x:c>
      <x:c r="D75" s="36" t="str">
        <x:v>В разделах о численности и соответствующих ведомостях точная календарная дата оценки не указана. Для 1890–1893 гг. ведомости озаглавлены «за … год». Для 1894 г. ведомость указывает «по статистической переписи 1894 года», без дня и месяца. Эти оценки нельзя без дополнительного основания датировать 1 января следующего года.</x:v>
      </x:c>
      <x:c r="E75" s="36" t="str">
        <x:v>Исходное примечание</x:v>
      </x:c>
      <x:c r="F75" s="36" t="str">
        <x:v>Обзоры за 1890–1894 гг.; Население: основной текст и сословные ведомости.</x:v>
      </x:c>
      <x:c r="G75" s="14" t="str">
        <x:v>Uralskaia-1890-1894(1).xlsx</x:v>
      </x:c>
      <x:c r="H75" s="12"/>
      <x:c r="I75" s="12"/>
    </x:row>
    <x:row r="76" ht="48" customHeight="1">
      <x:c r="A76" s="13" t="str">
        <x:v>1890-1894/R4</x:v>
      </x:c>
      <x:c r="B76" s="13" t="str">
        <x:v>1890–1894</x:v>
      </x:c>
      <x:c r="C76" s="13" t="str">
        <x:v>Полнота регистрации</x:v>
      </x:c>
      <x:c r="D76" s="35" t="str">
        <x:v>Каждый обзор прямо сообщает, что рождения и смерти известны только для оседлого населения, а для кочевого населения таких сведений нет. Годовые итоги рождений и смертей по всей области неизвестны. В ячейках «н/д» отсутствуют сведения; это не нулевые значения.</x:v>
      </x:c>
      <x:c r="E76" s="35" t="str">
        <x:v>Исходное примечание</x:v>
      </x:c>
      <x:c r="F76" s="35" t="str">
        <x:v>Обзоры за 1890–1894 гг.; Печатная с. 4 во всех пяти выпусках. PDF 10 в 1890–1891 гг.; PDF 12 в 1892–1894 гг.</x:v>
      </x:c>
      <x:c r="G76" s="13" t="str">
        <x:v>Uralskaia-1890-1894(1).xlsx</x:v>
      </x:c>
      <x:c r="H76" s="3"/>
      <x:c r="I76" s="3"/>
    </x:row>
    <x:row r="77" ht="48" customHeight="1">
      <x:c r="A77" s="14" t="str">
        <x:v>1890-1894/R5</x:v>
      </x:c>
      <x:c r="B77" s="14" t="str">
        <x:v>1890–1894</x:v>
      </x:c>
      <x:c r="C77" s="14" t="str">
        <x:v>Кибиточный учёт</x:v>
      </x:c>
      <x:c r="D77" s="36" t="str">
        <x:v>В объяснении отсутствия сведений о кочевом населении источник ссылается на кочевой образ жизни и трудности сбора статистики. Податный счёт ведётся по кибиткам, условно по 5 человек на кибитку. Это описание порядка учёта; числа населения в сводке не пересчитывались из числа кибиток.</x:v>
      </x:c>
      <x:c r="E77" s="36" t="str">
        <x:v>Исходное примечание</x:v>
      </x:c>
      <x:c r="F77" s="36" t="str">
        <x:v>Обзоры за 1890–1894 гг.; Раздел «Движение населения», печатная с. 4.</x:v>
      </x:c>
      <x:c r="G77" s="14" t="str">
        <x:v>Uralskaia-1890-1894(1).xlsx</x:v>
      </x:c>
      <x:c r="H77" s="12"/>
      <x:c r="I77" s="12"/>
    </x:row>
    <x:row r="78" ht="48" customHeight="1">
      <x:c r="A78" s="13" t="str">
        <x:v>1890-1894/R6</x:v>
      </x:c>
      <x:c r="B78" s="13" t="str">
        <x:v>1890–1894</x:v>
      </x:c>
      <x:c r="C78" s="13" t="str">
        <x:v>Миграция</x:v>
      </x:c>
      <x:c r="D78" s="35" t="str">
        <x:v>Численные годовые сведения о прибытии в область, выбытии из области и сальдо миграции не найдены. «Прибыль или убыль» в ведомости № 3 означает рождения минус смерти. Её нельзя использовать как миграционное сальдо. Численность иногородних также не является числом прибывших за год.</x:v>
      </x:c>
      <x:c r="E78" s="35" t="str">
        <x:v>Исходное примечание</x:v>
      </x:c>
      <x:c r="F78" s="35" t="str">
        <x:v>Обзоры за 1890–1894 гг.; Ведомости № 3 и разделы о населении, податях и повинностях.</x:v>
      </x:c>
      <x:c r="G78" s="13" t="str">
        <x:v>Uralskaia-1890-1894(1).xlsx</x:v>
      </x:c>
      <x:c r="H78" s="3"/>
      <x:c r="I78" s="3"/>
    </x:row>
    <x:row r="79" ht="48" customHeight="1">
      <x:c r="A79" s="14" t="str">
        <x:v>1890-1894/R7</x:v>
      </x:c>
      <x:c r="B79" s="14" t="str">
        <x:v>1890–1894</x:v>
      </x:c>
      <x:c r="C79" s="14" t="str">
        <x:v>Паспорта на заработки</x:v>
      </x:c>
      <x:c r="D79" s="36" t="str">
        <x:v>Упоминается выдача паспортов кочевому населению, отправляющемуся из своих кочевий на заработки. Приведены суммы сборов в рублях, а не количество людей или паспортов. Не установлено, какие перемещения пересекали границу области. По этим суммам численность мигрантов не рассчитывалась.</x:v>
      </x:c>
      <x:c r="E79" s="36" t="str">
        <x:v>Исходное примечание</x:v>
      </x:c>
      <x:c r="F79" s="36" t="str">
        <x:v>Обзоры за 1890–1894 гг.; Паспортные сборы: страницы указаны на листе «Сводка».</x:v>
      </x:c>
      <x:c r="G79" s="14" t="str">
        <x:v>Uralskaia-1890-1894(1).xlsx</x:v>
      </x:c>
      <x:c r="H79" s="12"/>
      <x:c r="I79" s="12"/>
    </x:row>
    <x:row r="80" ht="48" customHeight="1">
      <x:c r="A80" s="13" t="str">
        <x:v>1890-1894/R8</x:v>
      </x:c>
      <x:c r="B80" s="13" t="str">
        <x:v>1891</x:v>
      </x:c>
      <x:c r="C80" s="13" t="str">
        <x:v>Продовольственные условия</x:v>
      </x:c>
      <x:c r="D80" s="35" t="str">
        <x:v>Раздел о податях объясняет недоимки неурожаем хлеба и трав, продолжительной зимой, недостатком корма и падежом скота. Самостоятельной количественной оценки недоучёта рождений или смертей оседлого населения не дано.</x:v>
      </x:c>
      <x:c r="E80" s="35" t="str">
        <x:v>Исходное примечание</x:v>
      </x:c>
      <x:c r="F80" s="35" t="str">
        <x:v>Обзор Уральской области за 1891 - RAW.pdf; Печатная с. 4; PDF 10.</x:v>
      </x:c>
      <x:c r="G80" s="13" t="str">
        <x:v>Uralskaia-1890-1894(1).xlsx</x:v>
      </x:c>
      <x:c r="H80" s="3"/>
      <x:c r="I80" s="3"/>
    </x:row>
    <x:row r="81" ht="57" customHeight="1">
      <x:c r="A81" s="14" t="str">
        <x:v>1890-1894/R9</x:v>
      </x:c>
      <x:c r="B81" s="14" t="str">
        <x:v>1892</x:v>
      </x:c>
      <x:c r="C81" s="14" t="str">
        <x:v>Холера</x:v>
      </x:c>
      <x:c r="D81" s="36" t="str">
        <x:v>Обзор прямо объясняет превышение смертей над рождениями холерной эпидемией. По ведомости № 3: естественная убыль оседлого населения 371 человек. Медицинский раздел отдельно сообщает о 6 596 заболевших холерой и 3 293 умерших. Это данные об эпидемии, без отдельного полного годового итога для кочевого населения. Их нельзя прибавлять к общему числу умерших оседлых.</x:v>
      </x:c>
      <x:c r="E81" s="36" t="str">
        <x:v>Исходное примечание</x:v>
      </x:c>
      <x:c r="F81" s="36" t="str">
        <x:v>Обзор Уральской области за 1892 - RAW.pdf; Печатные с. 4, 8; PDF 12, 16. Ведомость № 3: PDF 25.</x:v>
      </x:c>
      <x:c r="G81" s="14" t="str">
        <x:v>Uralskaia-1890-1894(1).xlsx</x:v>
      </x:c>
      <x:c r="H81" s="12"/>
      <x:c r="I81" s="12"/>
    </x:row>
    <x:row r="82" ht="48" customHeight="1">
      <x:c r="A82" s="13" t="str">
        <x:v>1890-1894/R10</x:v>
      </x:c>
      <x:c r="B82" s="13" t="str">
        <x:v>1893</x:v>
      </x:c>
      <x:c r="C82" s="13" t="str">
        <x:v>Эпидемии</x:v>
      </x:c>
      <x:c r="D82" s="35" t="str">
        <x:v>Описаны дифтерит в Уральске и близлежащих станицах (271 заболевший, 134 умерших) и отдельные случаи холеры в области (27 заболевших, 15 умерших). Эти медицинские сведения не заменяют годовой демографический учёт и не прибавляются к его итогам.</x:v>
      </x:c>
      <x:c r="E82" s="35" t="str">
        <x:v>Исходное примечание</x:v>
      </x:c>
      <x:c r="F82" s="35" t="str">
        <x:v>Обзор Уральской области за 1893 - RAW.pdf; Печатные с. 8–9; PDF 16–17.</x:v>
      </x:c>
      <x:c r="G82" s="13" t="str">
        <x:v>Uralskaia-1890-1894(1).xlsx</x:v>
      </x:c>
      <x:c r="H82" s="3"/>
      <x:c r="I82" s="3"/>
    </x:row>
    <x:row r="83" ht="69" customHeight="1">
      <x:c r="A83" s="14" t="str">
        <x:v>1890-1894/R11</x:v>
      </x:c>
      <x:c r="B83" s="14" t="str">
        <x:v>1894</x:v>
      </x:c>
      <x:c r="C83" s="14" t="str">
        <x:v>Ошибка в распределении по полу</x:v>
      </x:c>
      <x:c r="D83" s="36" t="str">
        <x:v>В основном тексте у иногородних напечатано: мужчин 17 367, женщин 16 218, обоего пола 33 685. Первые два числа дают 33 585, на 100 меньше напечатанного итога. В сословной ведомости: женщин всего 276 916, казачек 56 032, киргизок 204 566. Остаток для иногородних — 16 318. Он согласуется с итогом 33 685 и общей численностью 548 284. В основной таблице сохранены опубликованные итоги: оседлое 143 991 и всего 548 284. Вероятная опечатка относится к 16 218 в тексте.</x:v>
      </x:c>
      <x:c r="E83" s="36" t="str">
        <x:v>Исходное примечание</x:v>
      </x:c>
      <x:c r="F83" s="36" t="str">
        <x:v>Обзор Уральской области за 1894 - RAW.pdf; Печатная с. 13; PDF 21. Ведомость лит. А: PDF 41, повёрнута.</x:v>
      </x:c>
      <x:c r="G83" s="14" t="str">
        <x:v>Uralskaia-1890-1894(1).xlsx</x:v>
      </x:c>
      <x:c r="H83" s="12"/>
      <x:c r="I83" s="12"/>
    </x:row>
    <x:row r="84" ht="57" customHeight="1">
      <x:c r="A84" s="13" t="str">
        <x:v>1890-1894/R12</x:v>
      </x:c>
      <x:c r="B84" s="13" t="str">
        <x:v>1894</x:v>
      </x:c>
      <x:c r="C84" s="13" t="str">
        <x:v>Медицинская регистрация</x:v>
      </x:c>
      <x:c r="D84" s="35" t="str">
        <x:v>Медицинский раздел прямо указывает, что многие больные не охватываются регистрацией из-за недостатка врачей, расстояний и разбросанности населения. В степи эпидемия могла закончиться до прибытия врача. Эта оговорка относится к регистрации заболеваний; численного коэффициента недоучёта демографических событий из неё получить нельзя.</x:v>
      </x:c>
      <x:c r="E84" s="35" t="str">
        <x:v>Исходное примечание</x:v>
      </x:c>
      <x:c r="F84" s="35" t="str">
        <x:v>Обзор Уральской области за 1894 - RAW.pdf; Печатные с. 9–10; PDF 17–18.</x:v>
      </x:c>
      <x:c r="G84" s="13" t="str">
        <x:v>Uralskaia-1890-1894(1).xlsx</x:v>
      </x:c>
      <x:c r="H84" s="3"/>
      <x:c r="I84" s="3"/>
    </x:row>
    <x:row r="85" ht="48" customHeight="1">
      <x:c r="A85" s="14" t="str">
        <x:v>1890-1894/R13</x:v>
      </x:c>
      <x:c r="B85" s="14" t="str">
        <x:v>1894</x:v>
      </x:c>
      <x:c r="C85" s="14" t="str">
        <x:v>Частичные сведения о смертях кочевых</x:v>
      </x:c>
      <x:c r="D85" s="36" t="str">
        <x:v>Для киргизского населения трёх волостей Темирского уезда приведено 120 заболевших оспой и 49 умерших. Это частичный учёт отдельной эпидемии, не годовое число всех умерших кочевых. Годовое значение в сводной таблице оставлено неизвестным.</x:v>
      </x:c>
      <x:c r="E85" s="36" t="str">
        <x:v>Исходное примечание</x:v>
      </x:c>
      <x:c r="F85" s="36" t="str">
        <x:v>Обзор Уральской области за 1894 - RAW.pdf; Печатная с. 10; PDF 18.</x:v>
      </x:c>
      <x:c r="G85" s="14" t="str">
        <x:v>Uralskaia-1890-1894(1).xlsx</x:v>
      </x:c>
      <x:c r="H85" s="12"/>
      <x:c r="I85" s="12"/>
    </x:row>
    <x:row r="86" ht="57" customHeight="1">
      <x:c r="A86" s="13" t="str">
        <x:v>1890-1894/R14</x:v>
      </x:c>
      <x:c r="B86" s="13" t="str">
        <x:v>1890–1894</x:v>
      </x:c>
      <x:c r="C86" s="13" t="str">
        <x:v>Визуальная сверка и страницы</x:v>
      </x:c>
      <x:c r="D86" s="35" t="str">
        <x:v>OCR использован для поиска. Итоги численности, рождений, смертей, паспортные сборы и включённые в примечания числа эпидемической статистики сверены по изображениям RAW. Сословные ведомости проверены после поворота. PDF-страницы считаются с 1, включая обложки и пустые листы. Печатные номера страниц указаны отдельно.</x:v>
      </x:c>
      <x:c r="E86" s="35" t="str">
        <x:v>Исходное примечание</x:v>
      </x:c>
      <x:c r="F86" s="35" t="str">
        <x:v>Пары OCR/RAW за 1890–1894 гг.; Полный указатель ключевых страниц включён в файл Markdown.</x:v>
      </x:c>
      <x:c r="G86" s="13" t="str">
        <x:v>Uralskaia-1890-1894(1).xlsx</x:v>
      </x:c>
      <x:c r="H86" s="3"/>
      <x:c r="I86" s="3"/>
    </x:row>
    <x:row r="87" ht="48" customHeight="1">
      <x:c r="A87" s="14" t="str">
        <x:v>1895-1899/Н95</x:v>
      </x:c>
      <x:c r="B87" s="14" t="str">
        <x:v>1895</x:v>
      </x:c>
      <x:c r="C87" s="14" t="str">
        <x:v>Население и дата</x:v>
      </x:c>
      <x:c r="D87" s="36" t="str">
        <x:v>147327 = 112410 казаков + 34917 иногородних. Кочевое 410893, всего 558220. В разделе о населении точная дата не названа. Ведомость лит. А озаглавлена «по статистической переписи за 1895 год», но это не всеобщая перепись 1897 года.</x:v>
      </x:c>
      <x:c r="E87" s="36" t="str">
        <x:v>Исходное примечание</x:v>
      </x:c>
      <x:c r="F87" s="36" t="str">
        <x:v>С. 13 / PDF 14; ведомость лит. А / PDF 25 (повёрнута).</x:v>
      </x:c>
      <x:c r="G87" s="14" t="str">
        <x:v>Uralskaia-1895-1899(1).xlsx</x:v>
      </x:c>
      <x:c r="H87" s="12"/>
      <x:c r="I87" s="12"/>
    </x:row>
    <x:row r="88" ht="48" customHeight="1">
      <x:c r="A88" s="13" t="str">
        <x:v>1895-1899/Н96</x:v>
      </x:c>
      <x:c r="B88" s="13" t="str">
        <x:v>1896</x:v>
      </x:c>
      <x:c r="C88" s="13" t="str">
        <x:v>Численность до переписи</x:v>
      </x:c>
      <x:c r="D88" s="35" t="str">
        <x:v>На правом берегу 151991, на левом 410893. Последняя цифра включает оседлое население Зауральской степной части. Сумма 562884, но общий итог напечатан приблизительно: «до 560/т.». Точная дата не названа. 147327 + 4664 = 151991.</x:v>
      </x:c>
      <x:c r="E88" s="35" t="str">
        <x:v>Исходное примечание</x:v>
      </x:c>
      <x:c r="F88" s="35" t="str">
        <x:v>С. 16 / PDF 17.</x:v>
      </x:c>
      <x:c r="G88" s="13" t="str">
        <x:v>Uralskaia-1895-1899(1).xlsx</x:v>
      </x:c>
      <x:c r="H88" s="3"/>
      <x:c r="I88" s="3"/>
    </x:row>
    <x:row r="89" ht="48" customHeight="1">
      <x:c r="A89" s="14" t="str">
        <x:v>1895-1899/Р96</x:v>
      </x:c>
      <x:c r="B89" s="14" t="str">
        <x:v>1896</x:v>
      </x:c>
      <x:c r="C89" s="14" t="str">
        <x:v>Две версии движения</x:v>
      </x:c>
      <x:c r="D89" s="36" t="str">
        <x:v>Текст: 10123 рождения, 5560 смертей, прирост 4563. Ведомость № 6: 10270, 5606, прирост по разности 4664. Основная сводка использует ведомость: её уездные строки согласуются с итогом и с приростом в расчёте населения. В тексте к тому же ошибочно стоит 1895 год.</x:v>
      </x:c>
      <x:c r="E89" s="36" t="str">
        <x:v>Исходное примечание</x:v>
      </x:c>
      <x:c r="F89" s="36" t="str">
        <x:v>С. 5 / PDF 6; с. 16 / PDF 17; ведомость № 6 / PDF 24.</x:v>
      </x:c>
      <x:c r="G89" s="14" t="str">
        <x:v>Uralskaia-1895-1899(1).xlsx</x:v>
      </x:c>
      <x:c r="H89" s="12"/>
      <x:c r="I89" s="12"/>
    </x:row>
    <x:row r="90" ht="57" customHeight="1">
      <x:c r="A90" s="13" t="str">
        <x:v>1895-1899/Н97</x:v>
      </x:c>
      <x:c r="B90" s="13" t="str">
        <x:v>1897</x:v>
      </x:c>
      <x:c r="C90" s="13" t="str">
        <x:v>Перепись и классификация</x:v>
      </x:c>
      <x:c r="D90" s="35" t="str">
        <x:v>Предварительное наличное население на момент переписи, не конец 1897 года. Оседлое 219696 = 56646 городских + 163050 сельских; кочевое 425733; всего 645429. Точная календарная дата в этом разделе не названа. Строки «казаки», «иногородние», «киргизы» на с. 1 имеют другую классификацию и не подменяют разбивку по оседлости.</x:v>
      </x:c>
      <x:c r="E90" s="35" t="str">
        <x:v>Исходное примечание</x:v>
      </x:c>
      <x:c r="F90" s="35" t="str">
        <x:v>С. 1–2 / PDF 9–10; выпуск 1898, с. 1 / PDF 9.</x:v>
      </x:c>
      <x:c r="G90" s="13" t="str">
        <x:v>Uralskaia-1895-1899(1).xlsx</x:v>
      </x:c>
      <x:c r="H90" s="3"/>
      <x:c r="I90" s="3"/>
    </x:row>
    <x:row r="91" ht="57" customHeight="1">
      <x:c r="A91" s="14" t="str">
        <x:v>1895-1899/Р97</x:v>
      </x:c>
      <x:c r="B91" s="14" t="str">
        <x:v>1897</x:v>
      </x:c>
      <x:c r="C91" s="14" t="str">
        <x:v>Частичный охват и оценки</x:v>
      </x:c>
      <x:c r="D91" s="36" t="str">
        <x:v>Для кочевников имеются сведения только Уральского и Калмыковского уездов. По Гурьевскому и Темирскому сведения не доставлены. Оценки авторов для этих двух уездов даны отдельно. Для Гурьевского напечатано 2224 рождения, 1038 смертей и прирост 1086, тогда как разность 1186. Общий расчётный прирост напечатан 10454, по опубликованным рождениям и смертям получается 10554.</x:v>
      </x:c>
      <x:c r="E91" s="36" t="str">
        <x:v>Исходное примечание</x:v>
      </x:c>
      <x:c r="F91" s="36" t="str">
        <x:v>С. 16 / PDF 24; ведомость № 6 / PDF 54.</x:v>
      </x:c>
      <x:c r="G91" s="14" t="str">
        <x:v>Uralskaia-1895-1899(1).xlsx</x:v>
      </x:c>
      <x:c r="H91" s="12"/>
      <x:c r="I91" s="12"/>
    </x:row>
    <x:row r="92" ht="48" customHeight="1">
      <x:c r="A92" s="13" t="str">
        <x:v>1895-1899/Н98</x:v>
      </x:c>
      <x:c r="B92" s="13" t="str">
        <x:v>1898</x:v>
      </x:c>
      <x:c r="C92" s="13" t="str">
        <x:v>Расхождение 10 человек</x:v>
      </x:c>
      <x:c r="D92" s="35" t="str">
        <x:v>К январю 1899: итог оседлого 227675, кочевого 438078, общий итог 665763. Сумма итогов групп 665753. Четыре строки оседлого населения по уездам дают 227685, и с этим числом общий итог 665763 согласуется. Напечатанные значения сохранены, альтернативное сложение отмечено отдельно.</x:v>
      </x:c>
      <x:c r="E92" s="35" t="str">
        <x:v>Исходное примечание</x:v>
      </x:c>
      <x:c r="F92" s="35" t="str">
        <x:v>С. 1–2 / PDF 9–10.</x:v>
      </x:c>
      <x:c r="G92" s="13" t="str">
        <x:v>Uralskaia-1895-1899(1).xlsx</x:v>
      </x:c>
      <x:c r="H92" s="3"/>
      <x:c r="I92" s="3"/>
    </x:row>
    <x:row r="93" ht="57" customHeight="1">
      <x:c r="A93" s="14" t="str">
        <x:v>1895-1899/Р98</x:v>
      </x:c>
      <x:c r="B93" s="14" t="str">
        <x:v>1898</x:v>
      </x:c>
      <x:c r="C93" s="14" t="str">
        <x:v>Частичный охват и оценки</x:v>
      </x:c>
      <x:c r="D93" s="36" t="str">
        <x:v>Сведения кочевого населения только Уральского и Калмыковского уездов. Для Гурьевского и Темирского авторы применяют экстраполяцию. Основная сводка содержит зарегистрированные 8592 рождения и 4402 смерти кочевников двух уездов; оценочные добавления хранятся отдельно. Авторы прямо считают полученный прирост ниже действительного.</x:v>
      </x:c>
      <x:c r="E93" s="36" t="str">
        <x:v>Исходное примечание</x:v>
      </x:c>
      <x:c r="F93" s="36" t="str">
        <x:v>С. 14 / PDF 22; ведомость № 6 / PDF 54.</x:v>
      </x:c>
      <x:c r="G93" s="14" t="str">
        <x:v>Uralskaia-1895-1899(1).xlsx</x:v>
      </x:c>
      <x:c r="H93" s="12"/>
      <x:c r="I93" s="12"/>
    </x:row>
    <x:row r="94" ht="57" customHeight="1">
      <x:c r="A94" s="13" t="str">
        <x:v>1895-1899/Н99</x:v>
      </x:c>
      <x:c r="B94" s="13" t="str">
        <x:v>1899</x:v>
      </x:c>
      <x:c r="C94" s="13" t="str">
        <x:v>Поселенцы в численности</x:v>
      </x:c>
      <x:c r="D94" s="35" t="str">
        <x:v>К январю 1900 напечатано: оседлое 228846, русские поселенцы отдельно 5830, кочевое 449191, всего 683867. Для сводки оседлое = 234676. Поселенцы: 2388 Джиренькупинской волости, 1990 Жилой Косы, Ракуши и Прорвы, 1452 Шиповской и Никольской волостей. В итоговых строках мужские/женские числа 111696 и 209710 переставлены между группами. Общие итоги групп от этого не меняются.</x:v>
      </x:c>
      <x:c r="E94" s="35" t="str">
        <x:v>Исходное примечание</x:v>
      </x:c>
      <x:c r="F94" s="35" t="str">
        <x:v>С. 2 / PDF 10; copy 2 / PDF 4.</x:v>
      </x:c>
      <x:c r="G94" s="13" t="str">
        <x:v>Uralskaia-1895-1899(1).xlsx</x:v>
      </x:c>
      <x:c r="H94" s="3"/>
      <x:c r="I94" s="3"/>
    </x:row>
    <x:row r="95" ht="81" customHeight="1">
      <x:c r="A95" s="14" t="str">
        <x:v>1895-1899/Р99</x:v>
      </x:c>
      <x:c r="B95" s="14" t="str">
        <x:v>1899</x:v>
      </x:c>
      <x:c r="C95" s="14" t="str">
        <x:v>Расхождение текста и ведомости</x:v>
      </x:c>
      <x:c r="D95" s="36" t="str">
        <x:v>Ведомость: рождения кочевников 2262 + 3888 + 2776 + 3297 = 12223, смерти 9302. В тексте рождения 12133, то есть на 90 меньше. Итог ведомости всех рождений 21432 включает 90 незаконнорождённых сверх 21342 законнорождённых. Текст даёт сумму 21342. Основная сводка использует ведомость. В её строке оседлого Лбищенского уезда напечатано 1148 смертей, хотя 764 + 684 = 1448; общий итог 15362 согласуется с суммами полов. В тексте кочевые смерти по полу 4619 + 4682 = 9301, хотя итог 9302; ведомость даёт 4683 женщины. Все различия подтверждены второй копией.</x:v>
      </x:c>
      <x:c r="E95" s="36" t="str">
        <x:v>Исходное примечание</x:v>
      </x:c>
      <x:c r="F95" s="36" t="str">
        <x:v>С. 16 / PDF 24; ведомость № 6 / PDF 56; copy 2 / PDF 18 и 45.</x:v>
      </x:c>
      <x:c r="G95" s="14" t="str">
        <x:v>Uralskaia-1895-1899(1).xlsx</x:v>
      </x:c>
      <x:c r="H95" s="12"/>
      <x:c r="I95" s="12"/>
    </x:row>
    <x:row r="96" ht="48" customHeight="1">
      <x:c r="A96" s="13" t="str">
        <x:v>1895-1899/О95–96</x:v>
      </x:c>
      <x:c r="B96" s="13" t="str">
        <x:v>1895–1896</x:v>
      </x:c>
      <x:c r="C96" s="13" t="str">
        <x:v>Регистрация кочевников</x:v>
      </x:c>
      <x:c r="D96" s="35" t="str">
        <x:v>Авторы сообщают, что рождения и смерти известны только для оседлого населения. Кочевые рождения и смерти отсутствуют. Оценка по 5 душ на кибитку касается численности, а не событий естественного движения.</x:v>
      </x:c>
      <x:c r="E96" s="35" t="str">
        <x:v>Исходное примечание</x:v>
      </x:c>
      <x:c r="F96" s="35" t="str">
        <x:v>1895: с. 4 / PDF 5. 1896: с. 5 / PDF 6.</x:v>
      </x:c>
      <x:c r="G96" s="13" t="str">
        <x:v>Uralskaia-1895-1899(1).xlsx</x:v>
      </x:c>
      <x:c r="H96" s="3"/>
      <x:c r="I96" s="3"/>
    </x:row>
    <x:row r="97" ht="57" customHeight="1">
      <x:c r="A97" s="14" t="str">
        <x:v>1895-1899/О99</x:v>
      </x:c>
      <x:c r="B97" s="14" t="str">
        <x:v>1899</x:v>
      </x:c>
      <x:c r="C97" s="14" t="str">
        <x:v>Карточки и полнота</x:v>
      </x:c>
      <x:c r="D97" s="36" t="str">
        <x:v>В 1898 году комитет разослал по аулам персональные карточки для браков, рождений и смертей. Сведения ретроспективно извлекались из посемейных списков, начиная с указанного авторами 29 января 1897 года. В 1899 ведомость охватывает кочевое население всех четырёх уездов. Это расширение географического охвата, не доказательство исчерпывающей регистрации.</x:v>
      </x:c>
      <x:c r="E97" s="36" t="str">
        <x:v>Исходное примечание</x:v>
      </x:c>
      <x:c r="F97" s="36" t="str">
        <x:v>С. 16 / PDF 24; copy 2 / PDF 18; ведомость № 6 / PDF 56.</x:v>
      </x:c>
      <x:c r="G97" s="14" t="str">
        <x:v>Uralskaia-1895-1899(1).xlsx</x:v>
      </x:c>
      <x:c r="H97" s="12"/>
      <x:c r="I97" s="12"/>
    </x:row>
    <x:row r="98" ht="48" customHeight="1">
      <x:c r="A98" s="13" t="str">
        <x:v>1895-1899/М95–96</x:v>
      </x:c>
      <x:c r="B98" s="13" t="str">
        <x:v>1895–1896</x:v>
      </x:c>
      <x:c r="C98" s="13" t="str">
        <x:v>Миграционные потоки</x:v>
      </x:c>
      <x:c r="D98" s="35" t="str">
        <x:v>Численные годовые прибытия, выбытия и сальдо в выпусках не найдены. Упоминание временно проживающих отставных нижних чинов не содержит потока за год. Отсутствие чисел не означает нулевую миграцию.</x:v>
      </x:c>
      <x:c r="E98" s="35" t="str">
        <x:v>Исходное примечание</x:v>
      </x:c>
      <x:c r="F98" s="35" t="str">
        <x:v>1895: с. 13 / PDF 14. 1896: с. 16–17 / PDF 17–18.</x:v>
      </x:c>
      <x:c r="G98" s="13" t="str">
        <x:v>Uralskaia-1895-1899(1).xlsx</x:v>
      </x:c>
      <x:c r="H98" s="3"/>
      <x:c r="I98" s="3"/>
    </x:row>
    <x:row r="99" ht="57" customHeight="1">
      <x:c r="A99" s="14" t="str">
        <x:v>1895-1899/М97</x:v>
      </x:c>
      <x:c r="B99" s="14" t="str">
        <x:v>1897</x:v>
      </x:c>
      <x:c r="C99" s="14" t="str">
        <x:v>Приток и переписная поправка</x:v>
      </x:c>
      <x:c r="D99" s="36" t="str">
        <x:v>Рост числа иногородних связывается с железной дорогой и переселениями из центральных губерний. Числа годового притока и оттока не приведены. Разница прежней численности и переписи 87209 человек не является миграцией за 1897 год. Кочевники Гурьевского и Темирского уездов уходят летом в Хивинские пределы; часть остаётся зимовать.</x:v>
      </x:c>
      <x:c r="E99" s="36" t="str">
        <x:v>Исходное примечание</x:v>
      </x:c>
      <x:c r="F99" s="36" t="str">
        <x:v>С. 1 / PDF 9; с. 16 / PDF 24.</x:v>
      </x:c>
      <x:c r="G99" s="14" t="str">
        <x:v>Uralskaia-1895-1899(1).xlsx</x:v>
      </x:c>
      <x:c r="H99" s="12"/>
      <x:c r="I99" s="12"/>
    </x:row>
    <x:row r="100" ht="69" customHeight="1">
      <x:c r="A100" s="13" t="str">
        <x:v>1895-1899/М98–99</x:v>
      </x:c>
      <x:c r="B100" s="13" t="str">
        <x:v>1898–1899</x:v>
      </x:c>
      <x:c r="C100" s="13" t="str">
        <x:v>Сезонные перемещения</x:v>
      </x:c>
      <x:c r="D100" s="35" t="str">
        <x:v>Весной ежегодно прибывают «десятки тысяч» сельских рабочих из соседних губерний, после летних работ многие уходят обратно; часть остаётся. Это качественная оценка сезонного оборота, не точное число прибывших в конкретном году и не сальдо. Упомянуты перекочёвки в Хиву и Бухару. Годовые численные приток, отток и сальдо не найдены. Выпуск 1899 прямо исключает иммиграцию и эмиграцию из расчёта населения.</x:v>
      </x:c>
      <x:c r="E100" s="35" t="str">
        <x:v>Исходное примечание</x:v>
      </x:c>
      <x:c r="F100" s="35" t="str">
        <x:v>1898: с. 1 / PDF 9; с. 14 / PDF 22. 1899: с. 2 / PDF 10; с. 16 / PDF 24.</x:v>
      </x:c>
      <x:c r="G100" s="13" t="str">
        <x:v>Uralskaia-1895-1899(1).xlsx</x:v>
      </x:c>
      <x:c r="H100" s="3"/>
      <x:c r="I100" s="3"/>
    </x:row>
    <x:row r="101" ht="48" customHeight="1">
      <x:c r="A101" s="14" t="str">
        <x:v>1895-1899/А99</x:v>
      </x:c>
      <x:c r="B101" s="14" t="str">
        <x:v>1899</x:v>
      </x:c>
      <x:c r="C101" s="14" t="str">
        <x:v>Уездные границы</x:v>
      </x:c>
      <x:c r="D101" s="36" t="str">
        <x:v>После решения 9 февраля 1899 изменены внутренние границы уездов, Калмыковский сменился Лбищенским, ряд станиц и волостей перераспределён. Уездные ряды до и после изменения непосредственно несопоставимы. Перераспределение внутри области не следует считать миграцией через границу области.</x:v>
      </x:c>
      <x:c r="E101" s="36" t="str">
        <x:v>Исходное примечание</x:v>
      </x:c>
      <x:c r="F101" s="36" t="str">
        <x:v>С. 1 / PDF 9; copy 2 / PDF 3.</x:v>
      </x:c>
      <x:c r="G101" s="14" t="str">
        <x:v>Uralskaia-1895-1899(1).xlsx</x:v>
      </x:c>
      <x:c r="H101" s="12"/>
      <x:c r="I101" s="12"/>
    </x:row>
    <x:row r="102" ht="81" customHeight="1">
      <x:c r="A102" s="13" t="str">
        <x:v>1900-1904/R2</x:v>
      </x:c>
      <x:c r="B102" s="13" t="str">
        <x:v>1900</x:v>
      </x:c>
      <x:c r="C102" s="13" t="str">
        <x:v>Охват регистрации и миграция</x:v>
      </x:c>
      <x:c r="D102" s="35" t="str">
        <x:v>Обзор повторяет: до 1898 г. сведений о движении кочевого населения Гурьевского и Темирского уездов не поступало; сведения двух остальных уездов были ненадёжны. С 1898 г. введены личные карточки, заполненные по посемейным спискам ретроспективно с 29 января 1897 г. Процент полноты регистрации за отчётный год не указан. Описаны ежегодные сезонные приезды десятков тысяч рабочих, их возвращение и частичное оседание. Общие годовые числа прибывших и выбывших не найдены. Расчёт численности по естественному приросту прямо исключает иммиграцию и эмиграцию.</x:v>
      </x:c>
      <x:c r="E102" s="35" t="str">
        <x:v>Исходное примечание</x:v>
      </x:c>
      <x:c r="F102" s="35" t="str">
        <x:v>Основной RAW 1900: с. 1 (PDF 9); с. 16 (PDF 24); ведомость № 6 (PDF 56).</x:v>
      </x:c>
      <x:c r="G102" s="13" t="str">
        <x:v>Uralskaia-1900-1904(1).xlsx</x:v>
      </x:c>
      <x:c r="H102" s="3"/>
      <x:c r="I102" s="3"/>
    </x:row>
    <x:row r="103" ht="81" customHeight="1">
      <x:c r="A103" s="14" t="str">
        <x:v>1900-1904/R3</x:v>
      </x:c>
      <x:c r="B103" s="14" t="str">
        <x:v>1901</x:v>
      </x:c>
      <x:c r="C103" s="14" t="str">
        <x:v>Охват регистрации и миграция</x:v>
      </x:c>
      <x:c r="D103" s="36" t="str">
        <x:v>Обзор повторяет: до 1898 г. сведений о движении кочевого населения Гурьевского и Темирского уездов не поступало; сведения двух остальных уездов были ненадёжны. С 1898 г. введены личные карточки, заполненные по посемейным спискам ретроспективно с 29 января 1897 г. Процент полноты регистрации за отчётный год не указан. Описаны ежегодные сезонные приезды десятков тысяч рабочих, их возвращение и частичное оседание. Общие годовые числа прибывших и выбывших не найдены. Оговорка при расчёте численности буквально называет только иммиграцию.</x:v>
      </x:c>
      <x:c r="E103" s="36" t="str">
        <x:v>Исходное примечание</x:v>
      </x:c>
      <x:c r="F103" s="36" t="str">
        <x:v>Основной RAW 1901: с. 1 (PDF 9); с. 13–14 (PDF 21–22); ведомость № 6 (PDF 54).</x:v>
      </x:c>
      <x:c r="G103" s="14" t="str">
        <x:v>Uralskaia-1900-1904(1).xlsx</x:v>
      </x:c>
      <x:c r="H103" s="12"/>
      <x:c r="I103" s="12"/>
    </x:row>
    <x:row r="104" ht="81" customHeight="1">
      <x:c r="A104" s="13" t="str">
        <x:v>1900-1904/R4</x:v>
      </x:c>
      <x:c r="B104" s="13" t="str">
        <x:v>1902</x:v>
      </x:c>
      <x:c r="C104" s="13" t="str">
        <x:v>Охват регистрации и миграция</x:v>
      </x:c>
      <x:c r="D104" s="35" t="str">
        <x:v>Обзор повторяет: до 1898 г. сведений о движении кочевого населения Гурьевского и Темирского уездов не поступало; сведения двух остальных уездов были ненадёжны. С 1898 г. введены личные карточки, заполненные по посемейным спискам ретроспективно с 29 января 1897 г. Процент полноты регистрации за отчётный год не указан. Описаны ежегодные сезонные приезды десятков тысяч рабочих, их возвращение и частичное оседание. Общие годовые числа прибывших и выбывших не найдены. Расчёт численности по естественному приросту прямо исключает иммиграцию и эмиграцию.</x:v>
      </x:c>
      <x:c r="E104" s="35" t="str">
        <x:v>Исходное примечание</x:v>
      </x:c>
      <x:c r="F104" s="35" t="str">
        <x:v>Основной RAW 1902: с. 1 (PDF 9); с. 14 (PDF 22); ведомость № 6 (PDF 50).</x:v>
      </x:c>
      <x:c r="G104" s="13" t="str">
        <x:v>Uralskaia-1900-1904(1).xlsx</x:v>
      </x:c>
      <x:c r="H104" s="3"/>
      <x:c r="I104" s="3"/>
    </x:row>
    <x:row r="105" ht="81" customHeight="1">
      <x:c r="A105" s="14" t="str">
        <x:v>1900-1904/R5</x:v>
      </x:c>
      <x:c r="B105" s="14" t="str">
        <x:v>1903</x:v>
      </x:c>
      <x:c r="C105" s="14" t="str">
        <x:v>Охват регистрации и миграция</x:v>
      </x:c>
      <x:c r="D105" s="36" t="str">
        <x:v>Обзор повторяет: до 1898 г. сведений о движении кочевого населения Гурьевского и Темирского уездов не поступало; сведения двух остальных уездов были ненадёжны. С 1898 г. введены личные карточки, заполненные по посемейным спискам ретроспективно с 29 января 1897 г. Процент полноты регистрации за отчётный год не указан. Описаны ежегодные сезонные приезды десятков тысяч рабочих, их возвращение и частичное оседание. Общие годовые числа прибывших и выбывших не найдены. Расчёт численности по естественному приросту прямо исключает иммиграцию и эмиграцию.</x:v>
      </x:c>
      <x:c r="E105" s="36" t="str">
        <x:v>Исходное примечание</x:v>
      </x:c>
      <x:c r="F105" s="36" t="str">
        <x:v>Основной RAW 1903: с. 1 (PDF 9); с. 17 (PDF 25); ведомость № 6 (PDF 60).</x:v>
      </x:c>
      <x:c r="G105" s="14" t="str">
        <x:v>Uralskaia-1900-1904(1).xlsx</x:v>
      </x:c>
      <x:c r="H105" s="12"/>
      <x:c r="I105" s="12"/>
    </x:row>
    <x:row r="106" ht="81" customHeight="1">
      <x:c r="A106" s="13" t="str">
        <x:v>1900-1904/R6</x:v>
      </x:c>
      <x:c r="B106" s="13" t="str">
        <x:v>1904</x:v>
      </x:c>
      <x:c r="C106" s="13" t="str">
        <x:v>Охват регистрации и миграция</x:v>
      </x:c>
      <x:c r="D106" s="35" t="str">
        <x:v>Обзор повторяет: до 1898 г. сведений о движении кочевого населения Гурьевского и Темирского уездов не поступало; сведения двух остальных уездов были ненадёжны. С 1898 г. введены личные карточки, заполненные по посемейным спискам ретроспективно с 29 января 1897 г. Процент полноты регистрации за отчётный год не указан. Описаны ежегодные сезонные приезды десятков тысяч рабочих, их возвращение и частичное оседание. Общие годовые числа прибывших и выбывших не найдены. Расчёт численности по естественному приросту прямо исключает иммиграцию и эмиграцию.</x:v>
      </x:c>
      <x:c r="E106" s="35" t="str">
        <x:v>Исходное примечание</x:v>
      </x:c>
      <x:c r="F106" s="35" t="str">
        <x:v>Основной RAW 1904: с. 1 (PDF 9); с. 14–16 (PDF 22–24); ведомость № 6 (PDF 49).</x:v>
      </x:c>
      <x:c r="G106" s="13" t="str">
        <x:v>Uralskaia-1900-1904(1).xlsx</x:v>
      </x:c>
      <x:c r="H106" s="3"/>
      <x:c r="I106" s="3"/>
    </x:row>
    <x:row r="107" ht="81" customHeight="1">
      <x:c r="A107" s="14" t="str">
        <x:v>1900-1904/R7</x:v>
      </x:c>
      <x:c r="B107" s="14" t="str">
        <x:v>1900–1904</x:v>
      </x:c>
      <x:c r="C107" s="14" t="str">
        <x:v>Объединение групп</x:v>
      </x:c>
      <x:c r="D107" s="36" t="str">
        <x:v>В таблицах численности «оседлое население» и «русские поселенцы» выделены отдельно. В сводке оседлое с поселенцами равно их сумме. В 1900–1901 опубликованное число рождений и смертей оседлого населения уже включает отдельно перечисленные поселки. В 1902–1904 в ведомости № 6 есть отдельный итог русских поселенцев: он добавлен к итогу оседлого. В 1900–1903 строка «г. Темир и с. Никольское» не позволяет полностью отделить город от поселенцев, поэтому отдельные поселенческие итоги источника не следует считать точным эквивалентом категории в таблице численности.</x:v>
      </x:c>
      <x:c r="E107" s="36" t="str">
        <x:v>Исходное примечание</x:v>
      </x:c>
      <x:c r="F107" s="36" t="str">
        <x:v>Основные RAW: с. 1–2; ведомости № 6 за соответствующий год.</x:v>
      </x:c>
      <x:c r="G107" s="14" t="str">
        <x:v>Uralskaia-1900-1904(1).xlsx</x:v>
      </x:c>
      <x:c r="H107" s="12"/>
      <x:c r="I107" s="12"/>
    </x:row>
    <x:row r="108" ht="57" customHeight="1">
      <x:c r="A108" s="13" t="str">
        <x:v>1900-1904/R8</x:v>
      </x:c>
      <x:c r="B108" s="13" t="str">
        <x:v>1900–1901</x:v>
      </x:c>
      <x:c r="C108" s="13" t="str">
        <x:v>Период расчёта населения</x:v>
      </x:c>
      <x:c r="D108" s="35" t="str">
        <x:v>При оценке «к январю 1901» и «к январю 1902» напечатано прибавление естественного прироста за 1897–1899 гг. Это не соответствует конечной дате заявленного расчёта. Формулировка сохранена как внутренняя несогласованность источника; момент оценки взят из прямо указанного января следующего года. Для первых двух выпусков день месяца не указан.</x:v>
      </x:c>
      <x:c r="E108" s="35" t="str">
        <x:v>Исходное примечание</x:v>
      </x:c>
      <x:c r="F108" s="35" t="str">
        <x:v>1900 RAW: с. 2 (PDF 10); 1901 RAW: с. 1 (PDF 9).</x:v>
      </x:c>
      <x:c r="G108" s="13" t="str">
        <x:v>Uralskaia-1900-1904(1).xlsx</x:v>
      </x:c>
      <x:c r="H108" s="3"/>
      <x:c r="I108" s="3"/>
    </x:row>
    <x:row r="109" ht="57" customHeight="1">
      <x:c r="A109" s="14" t="str">
        <x:v>1900-1904/R9</x:v>
      </x:c>
      <x:c r="B109" s="14" t="str">
        <x:v>1901</x:v>
      </x:c>
      <x:c r="C109" s="14" t="str">
        <x:v>Численность поселенцев</x:v>
      </x:c>
      <x:c r="D109" s="36" t="str">
        <x:v>В итоговой строке напечатано 4 949. Сумма полов 2 622 + 2 321 = 4 943, как и сумма трёх территориальных итогов 1 367 + 2 084 + 1 492. Общий итог 700 014 согласуется с 236 532 + 458 539 + 4 943. В сводке принято арифметически согласованное значение 4 943; напечатанное 4 949 сохранено на листе «Данные». Оседлое с поселенцами — 241 475.</x:v>
      </x:c>
      <x:c r="E109" s="36" t="str">
        <x:v>Исходное примечание</x:v>
      </x:c>
      <x:c r="F109" s="36" t="str">
        <x:v>1901 RAW: с. 2 (PDF 10); copy 2: с. 2 (PDF 5).</x:v>
      </x:c>
      <x:c r="G109" s="14" t="str">
        <x:v>Uralskaia-1900-1904(1).xlsx</x:v>
      </x:c>
      <x:c r="H109" s="12"/>
      <x:c r="I109" s="12"/>
    </x:row>
    <x:row r="110" ht="57" customHeight="1">
      <x:c r="A110" s="13" t="str">
        <x:v>1900-1904/R10</x:v>
      </x:c>
      <x:c r="B110" s="13" t="str">
        <x:v>1901</x:v>
      </x:c>
      <x:c r="C110" s="13" t="str">
        <x:v>Частные числа населения по полу</x:v>
      </x:c>
      <x:c r="D110" s="35" t="str">
        <x:v>В таблице также напечатано 68 945 мужчин-кочевников Лбищенского уезда при 59 187 женщинах и общем итоге 128 135: из итога получается 68 948. В гурьевских русских поселках напечатано 865 женщин при 1 216 мужчинах и общем итоге 2 084: из итога получается 868. Эти частные опечатки отмечены; общий опубликованный итог области 700 014 сохранён.</x:v>
      </x:c>
      <x:c r="E110" s="35" t="str">
        <x:v>Исходное примечание</x:v>
      </x:c>
      <x:c r="F110" s="35" t="str">
        <x:v>1901 RAW: с. 2 (PDF 10); copy 2: PDF 5.</x:v>
      </x:c>
      <x:c r="G110" s="13" t="str">
        <x:v>Uralskaia-1900-1904(1).xlsx</x:v>
      </x:c>
      <x:c r="H110" s="3"/>
      <x:c r="I110" s="3"/>
    </x:row>
    <x:row r="111" ht="48" customHeight="1">
      <x:c r="A111" s="14" t="str">
        <x:v>1900-1904/R11</x:v>
      </x:c>
      <x:c r="B111" s="14" t="str">
        <x:v>1901</x:v>
      </x:c>
      <x:c r="C111" s="14" t="str">
        <x:v>Рождения в Жилой Косе и Ракуше</x:v>
      </x:c>
      <x:c r="D111" s="36" t="str">
        <x:v>В графах законнорождённых напечатано 55 мальчиков, 48 девочек и итог 133. В графах всех родившихся — 55, 78 и 133. В сводке используется общий итог 133; опубликованный областной итог 20 297 согласуется с итогами всех строк.</x:v>
      </x:c>
      <x:c r="E111" s="36" t="str">
        <x:v>Исходное примечание</x:v>
      </x:c>
      <x:c r="F111" s="36" t="str">
        <x:v>1901 RAW: ведомость № 6 (PDF 54); copy 2: PDF 44.</x:v>
      </x:c>
      <x:c r="G111" s="14" t="str">
        <x:v>Uralskaia-1900-1904(1).xlsx</x:v>
      </x:c>
      <x:c r="H111" s="12"/>
      <x:c r="I111" s="12"/>
    </x:row>
    <x:row r="112" ht="48" customHeight="1">
      <x:c r="A112" s="13" t="str">
        <x:v>1900-1904/R12</x:v>
      </x:c>
      <x:c r="B112" s="13" t="str">
        <x:v>1902</x:v>
      </x:c>
      <x:c r="C112" s="13" t="str">
        <x:v>Прирост кочевого населения</x:v>
      </x:c>
      <x:c r="D112" s="35" t="str">
        <x:v>В тексте напечатано 3 876, но 12 270 − 8 403 = 3 867. Ведомость № 6 даёт 3 867. Рождения 12 270 и смерти 8 403 совпадают в тексте и ведомости.</x:v>
      </x:c>
      <x:c r="E112" s="35" t="str">
        <x:v>Исходное примечание</x:v>
      </x:c>
      <x:c r="F112" s="35" t="str">
        <x:v>1902 RAW: с. 14 (PDF 22); ведомость № 6 (PDF 50).</x:v>
      </x:c>
      <x:c r="G112" s="13" t="str">
        <x:v>Uralskaia-1900-1904(1).xlsx</x:v>
      </x:c>
      <x:c r="H112" s="3"/>
      <x:c r="I112" s="3"/>
    </x:row>
    <x:row r="113" ht="48" customHeight="1">
      <x:c r="A113" s="14" t="str">
        <x:v>1900-1904/R13</x:v>
      </x:c>
      <x:c r="B113" s="14" t="str">
        <x:v>1902</x:v>
      </x:c>
      <x:c r="C113" s="14" t="str">
        <x:v>Прирост русских поселенцев</x:v>
      </x:c>
      <x:c r="D113" s="36" t="str">
        <x:v>В ведомости № 6 напечатан прирост +99 при 179 рождениях и 87 смертях. Арифметически прирост равен 92. Областной прирост 6 901 напечатан верно и согласуется с 20 110 − 13 209.</x:v>
      </x:c>
      <x:c r="E113" s="36" t="str">
        <x:v>Исходное примечание</x:v>
      </x:c>
      <x:c r="F113" s="36" t="str">
        <x:v>1902 RAW: ведомость № 6 (PDF 50); copy 2: PDF 58.</x:v>
      </x:c>
      <x:c r="G113" s="14" t="str">
        <x:v>Uralskaia-1900-1904(1).xlsx</x:v>
      </x:c>
      <x:c r="H113" s="12"/>
      <x:c r="I113" s="12"/>
    </x:row>
    <x:row r="114" ht="48" customHeight="1">
      <x:c r="A114" s="13" t="str">
        <x:v>1900-1904/R14</x:v>
      </x:c>
      <x:c r="B114" s="13" t="str">
        <x:v>1904</x:v>
      </x:c>
      <x:c r="C114" s="13" t="str">
        <x:v>Смерти оседлого населения</x:v>
      </x:c>
      <x:c r="D114" s="35" t="str">
        <x:v>В основном тексте напечатано 7 120 при 3 717 мужчинах и 3 473 женщинах. Сумма полов — 7 190; это же число приведено в ведомости № 6 и даёт опубликованный прирост 2 053. Принято 7 190 без отдельно выделенных поселенцев и 7 270 с их включением.</x:v>
      </x:c>
      <x:c r="E114" s="35" t="str">
        <x:v>Исходное примечание</x:v>
      </x:c>
      <x:c r="F114" s="35" t="str">
        <x:v>1904 RAW: с. 14 (PDF 22); ведомость № 6 (PDF 49); copy 2: PDF 45.</x:v>
      </x:c>
      <x:c r="G114" s="13" t="str">
        <x:v>Uralskaia-1900-1904(1).xlsx</x:v>
      </x:c>
      <x:c r="H114" s="3"/>
      <x:c r="I114" s="3"/>
    </x:row>
    <x:row r="115" ht="48" customHeight="1">
      <x:c r="A115" s="14" t="str">
        <x:v>1900-1904/R15</x:v>
      </x:c>
      <x:c r="B115" s="14" t="str">
        <x:v>1904</x:v>
      </x:c>
      <x:c r="C115" s="14" t="str">
        <x:v>Рождения русских поселенцев</x:v>
      </x:c>
      <x:c r="D115" s="36" t="str">
        <x:v>В тексте напечатано 198 при 101 мальчике и 95 девочках. Сумма — 196; ведомость № 6 также даёт 196, что согласуется с 80 смертями и приростом 116. В сводке принято 196.</x:v>
      </x:c>
      <x:c r="E115" s="36" t="str">
        <x:v>Исходное примечание</x:v>
      </x:c>
      <x:c r="F115" s="36" t="str">
        <x:v>1904 RAW: с. 15 (PDF 23); ведомость № 6 (PDF 49); copy 2: PDF 18 (повёрнутая строка), PDF 45.</x:v>
      </x:c>
      <x:c r="G115" s="14" t="str">
        <x:v>Uralskaia-1900-1904(1).xlsx</x:v>
      </x:c>
      <x:c r="H115" s="12"/>
      <x:c r="I115" s="12"/>
    </x:row>
    <x:row r="116" ht="48" customHeight="1">
      <x:c r="A116" s="13" t="str">
        <x:v>1900-1904/R16</x:v>
      </x:c>
      <x:c r="B116" s="13" t="str">
        <x:v>1904</x:v>
      </x:c>
      <x:c r="C116" s="13" t="str">
        <x:v>Областной итог рождений по полу</x:v>
      </x:c>
      <x:c r="D116" s="35" t="str">
        <x:v>В нижней строке ведомости № 6 мужской итог всех рождений напечатан 10 506. По трём групповым итогам получается 4 839 + 5 656 + 101 = 10 596. Женский итог 9 649 и общий итог 20 245 арифметически согласуются с 10 596. Общий итог 20 245 принят без изменения.</x:v>
      </x:c>
      <x:c r="E116" s="35" t="str">
        <x:v>Исходное примечание</x:v>
      </x:c>
      <x:c r="F116" s="35" t="str">
        <x:v>1904 RAW: ведомость № 6 (PDF 49); copy 2: PDF 45.</x:v>
      </x:c>
      <x:c r="G116" s="13" t="str">
        <x:v>Uralskaia-1900-1904(1).xlsx</x:v>
      </x:c>
      <x:c r="H116" s="3"/>
      <x:c r="I116" s="3"/>
    </x:row>
    <x:row r="117" ht="57" customHeight="1">
      <x:c r="A117" s="14" t="str">
        <x:v>1900-1904/R17</x:v>
      </x:c>
      <x:c r="B117" s="14" t="str">
        <x:v>1902</x:v>
      </x:c>
      <x:c r="C117" s="14" t="str">
        <x:v>Посторонние страницы в copy 2</x:v>
      </x:c>
      <x:c r="D117" s="36" t="str">
        <x:v>Среди приложений второй копии присутствуют финансовые ведомости Оренбургской губернии за 1899 г. Например, PDF 54 — титул ведомости о распределении недоимок по городам и уездам Оренбургской губернии за 1899 г. Эти страницы исключены из уральской сводки. Правильная ведомость движения населения Уральской области за 1902 г. находится в этой копии на PDF 58.</x:v>
      </x:c>
      <x:c r="E117" s="36" t="str">
        <x:v>Исходное примечание</x:v>
      </x:c>
      <x:c r="F117" s="36" t="str">
        <x:v>1902 copy 2: PDF 54 и PDF 58; основной RAW: ведомость № 6, PDF 50.</x:v>
      </x:c>
      <x:c r="G117" s="14" t="str">
        <x:v>Uralskaia-1900-1904(1).xlsx</x:v>
      </x:c>
      <x:c r="H117" s="12"/>
      <x:c r="I117" s="12"/>
    </x:row>
    <x:row r="118" ht="69" customHeight="1">
      <x:c r="A118" s="13" t="str">
        <x:v>1900-1904/R18</x:v>
      </x:c>
      <x:c r="B118" s="13" t="str">
        <x:v>1903</x:v>
      </x:c>
      <x:c r="C118" s="13" t="str">
        <x:v>Население в copy 2 относится к 1900</x:v>
      </x:c>
      <x:c r="D118" s="35" t="str">
        <x:v>Обложка второй копии указывает 1903 г., но на печатной с. 2 (PDF 5) приведена оценка «к январю 1901» и население 691 687, полностью соответствующие выпуску 1900 г. Таблица населения второй копии для 1903 г. непригодна. Принято 719 320 из основного RAW за 1903 г. При этом ведомость № 6 второй копии на PDF 47 действительно относится к 1903 г. и подтверждает основные числа рождений и смертей.</x:v>
      </x:c>
      <x:c r="E118" s="35" t="str">
        <x:v>Исходное примечание</x:v>
      </x:c>
      <x:c r="F118" s="35" t="str">
        <x:v>1903 copy 2: PDF 1, 5, 47; основной RAW: с. 2 (PDF 10), ведомость № 6 (PDF 60).</x:v>
      </x:c>
      <x:c r="G118" s="13" t="str">
        <x:v>Uralskaia-1900-1904(1).xlsx</x:v>
      </x:c>
      <x:c r="H118" s="3"/>
      <x:c r="I118" s="3"/>
    </x:row>
    <x:row r="119" ht="69" customHeight="1">
      <x:c r="A119" s="14" t="str">
        <x:v>1900-1904/R19</x:v>
      </x:c>
      <x:c r="B119" s="14" t="str">
        <x:v>1900–1904</x:v>
      </x:c>
      <x:c r="C119" s="14" t="str">
        <x:v>Сверка и отсутствующая миграция</x:v>
      </x:c>
      <x:c r="D119" s="36" t="str">
        <x:v>Н/д означает, что общего годового числа миграции в просмотренном выпуске не найдено. Пустые числовые клетки «Данных» не означают нуль. Остаток между изменением соседних оценок населения и естественным приростом служит проверке согласованности; он не является зарегистрированным балансом миграции, поскольку метод источника миграцию не учитывает, а таблицы содержат опечатки и несогласованности.</x:v>
      </x:c>
      <x:c r="E119" s="36" t="str">
        <x:v>Исходное примечание</x:v>
      </x:c>
      <x:c r="F119" s="36" t="str">
        <x:v>Основные RAW: разделы «Население» и «Движение населения» всех пяти выпусков.</x:v>
      </x:c>
      <x:c r="G119" s="14" t="str">
        <x:v>Uralskaia-1900-1904(1).xlsx</x:v>
      </x:c>
      <x:c r="H119" s="12"/>
      <x:c r="I119" s="12"/>
    </x:row>
    <x:row r="120" ht="48" customHeight="1">
      <x:c r="A120" s="13" t="str">
        <x:v>1905-1906/R5</x:v>
      </x:c>
      <x:c r="B120" s="13" t="str">
        <x:v>1905-1906</x:v>
      </x:c>
      <x:c r="C120" s="13" t="str">
        <x:v>Момент оценки</x:v>
      </x:c>
      <x:c r="D120" s="35" t="str">
        <x:v>1905: на 1 января 1906 г. 1906: на 1 января 1907 г. К данным переписи прибавлен естественный прирост за 1897–отчётный год. Это не среднегодовая численность.</x:v>
      </x:c>
      <x:c r="E120" s="35" t="str">
        <x:v>Исходное примечание</x:v>
      </x:c>
      <x:c r="F120" s="35" t="str">
        <x:v>Оба выпуска, с. 2 / RAW PDF 10; copy 2 PDF 5.</x:v>
      </x:c>
      <x:c r="G120" s="13" t="str">
        <x:v>Uralskaia-1905-1906(1).xlsx</x:v>
      </x:c>
      <x:c r="H120" s="3"/>
      <x:c r="I120" s="3"/>
    </x:row>
    <x:row r="121" ht="48" customHeight="1">
      <x:c r="A121" s="14" t="str">
        <x:v>1905-1906/R6</x:v>
      </x:c>
      <x:c r="B121" s="14" t="str">
        <x:v>1905-1906</x:v>
      </x:c>
      <x:c r="C121" s="14" t="str">
        <x:v>Оседлая группа</x:v>
      </x:c>
      <x:c r="D121" s="36" t="str">
        <x:v>В источнике оседлые и русские поселенцы показаны отдельными подытогами. В итоговой оседлой группе они сложены. Поселенцев нельзя прибавлять к общему областному итогу повторно.</x:v>
      </x:c>
      <x:c r="E121" s="36" t="str">
        <x:v>Исходное примечание</x:v>
      </x:c>
      <x:c r="F121" s="36" t="str">
        <x:v>Население: с. 2. Движение: ведомости № 6.</x:v>
      </x:c>
      <x:c r="G121" s="14" t="str">
        <x:v>Uralskaia-1905-1906(1).xlsx</x:v>
      </x:c>
      <x:c r="H121" s="12"/>
      <x:c r="I121" s="12"/>
    </x:row>
    <x:row r="122" ht="48" customHeight="1">
      <x:c r="A122" s="13" t="str">
        <x:v>1905-1906/R7</x:v>
      </x:c>
      <x:c r="B122" s="13" t="str">
        <x:v>1905-1906</x:v>
      </x:c>
      <x:c r="C122" s="13" t="str">
        <x:v>Регистрация до 1898</x:v>
      </x:c>
      <x:c r="D122" s="35" t="str">
        <x:v>До 1898 г. Гурьевский и Темирский уезды не доставляли сведений о движении кочевого населения. В остальных двух уездах сведения были ненадёжны из-за отсутствия подобия метрических записей.</x:v>
      </x:c>
      <x:c r="E122" s="35" t="str">
        <x:v>Исходное примечание</x:v>
      </x:c>
      <x:c r="F122" s="35" t="str">
        <x:v>1905: с. 13 / PDF 21. 1906: с. 13 / PDF 21.</x:v>
      </x:c>
      <x:c r="G122" s="13" t="str">
        <x:v>Uralskaia-1905-1906(1).xlsx</x:v>
      </x:c>
      <x:c r="H122" s="3"/>
      <x:c r="I122" s="3"/>
    </x:row>
    <x:row r="123" ht="48" customHeight="1">
      <x:c r="A123" s="14" t="str">
        <x:v>1905-1906/R8</x:v>
      </x:c>
      <x:c r="B123" s="14" t="str">
        <x:v>1905-1906</x:v>
      </x:c>
      <x:c r="C123" s="14" t="str">
        <x:v>Карточки с 1898</x:v>
      </x:c>
      <x:c r="D123" s="36" t="str">
        <x:v>В 1898 г. введены личные регистрационные карточки разных цветов для браков, рождений и смертей. В них ретроспективно переносились сведения из посемейных списков начиная с 29 января 1897 г.</x:v>
      </x:c>
      <x:c r="E123" s="36" t="str">
        <x:v>Исходное примечание</x:v>
      </x:c>
      <x:c r="F123" s="36" t="str">
        <x:v>1905: с. 13 / PDF 21. 1906: с. 13–14 / PDF 21–22.</x:v>
      </x:c>
      <x:c r="G123" s="14" t="str">
        <x:v>Uralskaia-1905-1906(1).xlsx</x:v>
      </x:c>
      <x:c r="H123" s="12"/>
      <x:c r="I123" s="12"/>
    </x:row>
    <x:row r="124" ht="48" customHeight="1">
      <x:c r="A124" s="13" t="str">
        <x:v>1905-1906/R9</x:v>
      </x:c>
      <x:c r="B124" s="13" t="str">
        <x:v>1905-1906</x:v>
      </x:c>
      <x:c r="C124" s="13" t="str">
        <x:v>Охват 1905–1906</x:v>
      </x:c>
      <x:c r="D124" s="35" t="str">
        <x:v>Кочевые рождения и смерти показаны по всем четырём уездам. Историческая оговорка о периоде до 1898 г. не означает отсутствия этих уездов в текущих ведомостях. Размер недорегистрации за 1905–1906 гг. не установлен. Поправки на недоучёт не вводились.</x:v>
      </x:c>
      <x:c r="E124" s="35" t="str">
        <x:v>Исходное примечание</x:v>
      </x:c>
      <x:c r="F124" s="35" t="str">
        <x:v>Ведомость № 6: RAW 1905 PDF 47; RAW 1906 PDF 45.</x:v>
      </x:c>
      <x:c r="G124" s="13" t="str">
        <x:v>Uralskaia-1905-1906(1).xlsx</x:v>
      </x:c>
      <x:c r="H124" s="3"/>
      <x:c r="I124" s="3"/>
    </x:row>
    <x:row r="125" ht="48" customHeight="1">
      <x:c r="A125" s="14" t="str">
        <x:v>1905-1906/R10</x:v>
      </x:c>
      <x:c r="B125" s="14" t="str">
        <x:v>1905-1906</x:v>
      </x:c>
      <x:c r="C125" s="14" t="str">
        <x:v>Миграция в расчёте</x:v>
      </x:c>
      <x:c r="D125" s="36" t="str">
        <x:v>Источник прямо оговаривает исключение иммиграции и эмиграции из расчёта населения по переписи и естественному приросту. Изменение такого ряда не является независимым измерением миграции.</x:v>
      </x:c>
      <x:c r="E125" s="36" t="str">
        <x:v>Исходное примечание</x:v>
      </x:c>
      <x:c r="F125" s="36" t="str">
        <x:v>1905: с. 13 / PDF 21. 1906: с. 14 / PDF 22.</x:v>
      </x:c>
      <x:c r="G125" s="14" t="str">
        <x:v>Uralskaia-1905-1906(1).xlsx</x:v>
      </x:c>
      <x:c r="H125" s="12"/>
      <x:c r="I125" s="12"/>
    </x:row>
    <x:row r="126" ht="48" customHeight="1">
      <x:c r="A126" s="13" t="str">
        <x:v>1905-1906/R11</x:v>
      </x:c>
      <x:c r="B126" s="13" t="str">
        <x:v>1905-1906</x:v>
      </x:c>
      <x:c r="C126" s="13" t="str">
        <x:v>Прибытия и выбытия</x:v>
      </x:c>
      <x:c r="D126" s="35" t="str">
        <x:v>Общие годовые числовые итоги прибытия в область, выбытия и миграционного баланса за оба года не найдены. Отсутствие показателя не заменено нулём.</x:v>
      </x:c>
      <x:c r="E126" s="35" t="str">
        <x:v>Исходное примечание</x:v>
      </x:c>
      <x:c r="F126" s="35" t="str">
        <x:v>Просмотр текста по OCR, проверка найденных мест и приложений по RAW.</x:v>
      </x:c>
      <x:c r="G126" s="13" t="str">
        <x:v>Uralskaia-1905-1906(1).xlsx</x:v>
      </x:c>
      <x:c r="H126" s="3"/>
      <x:c r="I126" s="3"/>
    </x:row>
    <x:row r="127" ht="48" customHeight="1">
      <x:c r="A127" s="14" t="str">
        <x:v>1905-1906/R12</x:v>
      </x:c>
      <x:c r="B127" s="14" t="str">
        <x:v>1905-1906</x:v>
      </x:c>
      <x:c r="C127" s="14" t="str">
        <x:v>Сезонное движение</x:v>
      </x:c>
      <x:c r="D127" s="36" t="str">
        <x:v>Оба обзора описывают весенний приезд десятков тысяч сельских рабочих из соседних губерний, возвращение после летних работ и оставление некоторой части в области. Это общая характеристика подвижности, а не измеренный годовой поток отдельно за 1905 или 1906 г.</x:v>
      </x:c>
      <x:c r="E127" s="36" t="str">
        <x:v>Исходное примечание</x:v>
      </x:c>
      <x:c r="F127" s="36" t="str">
        <x:v>Оба выпуска: с. 1 / RAW PDF 9.</x:v>
      </x:c>
      <x:c r="G127" s="14" t="str">
        <x:v>Uralskaia-1905-1906(1).xlsx</x:v>
      </x:c>
      <x:c r="H127" s="12"/>
      <x:c r="I127" s="12"/>
    </x:row>
    <x:row r="128" ht="48" customHeight="1">
      <x:c r="A128" s="13" t="str">
        <x:v>1905-1906/R13</x:v>
      </x:c>
      <x:c r="B128" s="13" t="str">
        <x:v>1905-1906</x:v>
      </x:c>
      <x:c r="C128" s="13" t="str">
        <x:v>Кочевания</x:v>
      </x:c>
      <x:c r="D128" s="35" t="str">
        <x:v>Упомянуты кочевания с переходом границы в Хиву и Бухару, без годовых чисел прибывших и выбывших.</x:v>
      </x:c>
      <x:c r="E128" s="35" t="str">
        <x:v>Исходное примечание</x:v>
      </x:c>
      <x:c r="F128" s="35" t="str">
        <x:v>Оба выпуска: с. 1 / RAW PDF 9.</x:v>
      </x:c>
      <x:c r="G128" s="13" t="str">
        <x:v>Uralskaia-1905-1906(1).xlsx</x:v>
      </x:c>
      <x:c r="H128" s="3"/>
      <x:c r="I128" s="3"/>
    </x:row>
    <x:row r="129" ht="48" customHeight="1">
      <x:c r="A129" s="14" t="str">
        <x:v>1905-1906/R14</x:v>
      </x:c>
      <x:c r="B129" s="14" t="str">
        <x:v>1905-1906</x:v>
      </x:c>
      <x:c r="C129" s="14" t="str">
        <x:v>Никольская волость</x:v>
      </x:c>
      <x:c r="D129" s="36" t="str">
        <x:v>23 августа 1906 г. Никольская волость упразднена, её надел включён в г. Темир, крестьяне перечислены в темирское мещанское общество. Темир: 882 → 1 909 жителей. Отдельные поселенцы области: 6 109 → 5 239. Изменение категории не принято за отток.</x:v>
      </x:c>
      <x:c r="E129" s="36" t="str">
        <x:v>Исходное примечание</x:v>
      </x:c>
      <x:c r="F129" s="36" t="str">
        <x:v>1906: с. 1–2 / RAW PDF 9–10; copy 2 PDF 4–5.</x:v>
      </x:c>
      <x:c r="G129" s="14" t="str">
        <x:v>Uralskaia-1905-1906(1).xlsx</x:v>
      </x:c>
      <x:c r="H129" s="12"/>
      <x:c r="I129" s="12"/>
    </x:row>
    <x:row r="130" ht="48" customHeight="1">
      <x:c r="A130" s="13" t="str">
        <x:v>1905-1906/R15</x:v>
      </x:c>
      <x:c r="B130" s="13" t="str">
        <x:v>1905-1906</x:v>
      </x:c>
      <x:c r="C130" s="13" t="str">
        <x:v>Перегруппировка, расчёт</x:v>
      </x:c>
      <x:c r="D130" s="35" t="str">
        <x:v>Оседлый подытог вырос на 5 511 при приросте по тексту 4 535: остаток +976. Поселенцы уменьшились на 870 при приросте 106: остаток −976. Это согласуется с административным переводом. 976 — расчётный остаток, не опубликованное число переведённых жителей.</x:v>
      </x:c>
      <x:c r="E130" s="35" t="str">
        <x:v>Исходное примечание</x:v>
      </x:c>
      <x:c r="F130" s="35" t="str">
        <x:v>Расчёт по с. 2 обоих выпусков и с. 14 выпуска 1906.</x:v>
      </x:c>
      <x:c r="G130" s="13" t="str">
        <x:v>Uralskaia-1905-1906(1).xlsx</x:v>
      </x:c>
      <x:c r="H130" s="3"/>
      <x:c r="I130" s="3"/>
    </x:row>
    <x:row r="131" ht="48" customHeight="1">
      <x:c r="A131" s="14" t="str">
        <x:v>1905-1906/R16</x:v>
      </x:c>
      <x:c r="B131" s="14" t="str">
        <x:v>1905-1906</x:v>
      </x:c>
      <x:c r="C131" s="14" t="str">
        <x:v>1906: два варианта</x:v>
      </x:c>
      <x:c r="D131" s="36" t="str">
        <x:v>Основной текст: оседлый подытог 8 749 рождений и 4 214 смертей. Ведомость № 6: 8 735 и 4 267. Поселенцы 248/142 и кочевые 10 988/8 415 совпадают. Оба варианта подтверждены во второй копии. Истинный вариант регистрации не установлен.</x:v>
      </x:c>
      <x:c r="E131" s="36" t="str">
        <x:v>Исходное примечание</x:v>
      </x:c>
      <x:c r="F131" s="36" t="str">
        <x:v>1906: RAW PDF 22 и 45; copy 2 PDF 17 и 40.</x:v>
      </x:c>
      <x:c r="G131" s="14" t="str">
        <x:v>Uralskaia-1905-1906(1).xlsx</x:v>
      </x:c>
      <x:c r="H131" s="12"/>
      <x:c r="I131" s="12"/>
    </x:row>
    <x:row r="132" ht="48" customHeight="1">
      <x:c r="A132" s="13" t="str">
        <x:v>1905-1906/R17</x:v>
      </x:c>
      <x:c r="B132" s="13" t="str">
        <x:v>1905-1906</x:v>
      </x:c>
      <x:c r="C132" s="13" t="str">
        <x:v>1906: общий прирост</x:v>
      </x:c>
      <x:c r="D132" s="35" t="str">
        <x:v>По тексту: 19 985 рождений, 12 771 смерть, прирост 7 214. По ведомости: 19 971, 12 824, прирост 7 147. Разница прироста 67. Изменение опубликованного населения 736 765 − 729 551 = 7 214 соответствует тексту; остаток 67 по ведомости не принят за миграцию.</x:v>
      </x:c>
      <x:c r="E132" s="35" t="str">
        <x:v>Исходное примечание</x:v>
      </x:c>
      <x:c r="F132" s="35" t="str">
        <x:v>Расчёт по с. 2 и ведомости № 6; текст 1906 с. 14.</x:v>
      </x:c>
      <x:c r="G132" s="13" t="str">
        <x:v>Uralskaia-1905-1906(1).xlsx</x:v>
      </x:c>
      <x:c r="H132" s="3"/>
      <x:c r="I132" s="3"/>
    </x:row>
    <x:row r="133" ht="48" customHeight="1">
      <x:c r="A133" s="14" t="str">
        <x:v>1905-1906/R18</x:v>
      </x:c>
      <x:c r="B133" s="14" t="str">
        <x:v>1905-1906</x:v>
      </x:c>
      <x:c r="C133" s="14" t="str">
        <x:v>1905: прирост оседлых</x:v>
      </x:c>
      <x:c r="D133" s="36" t="str">
        <x:v>Текст после абзаца о поселенцах называет прирост оседлого населения 3 651. Это первый оседлый подытог. Вместе с приростом отдельных поселенцев 82 получается 3 733.</x:v>
      </x:c>
      <x:c r="E133" s="36" t="str">
        <x:v>Исходное примечание</x:v>
      </x:c>
      <x:c r="F133" s="36" t="str">
        <x:v>1905: с. 13 / RAW PDF 21; copy 2 PDF 16.</x:v>
      </x:c>
      <x:c r="G133" s="14" t="str">
        <x:v>Uralskaia-1905-1906(1).xlsx</x:v>
      </x:c>
      <x:c r="H133" s="12"/>
      <x:c r="I133" s="12"/>
    </x:row>
    <x:row r="134" ht="48" customHeight="1">
      <x:c r="A134" s="13" t="str">
        <x:v>1905-1906/R19</x:v>
      </x:c>
      <x:c r="B134" s="13" t="str">
        <x:v>1905-1906</x:v>
      </x:c>
      <x:c r="C134" s="13" t="str">
        <x:v>1906: подграфа пола</x:v>
      </x:c>
      <x:c r="D134" s="35" t="str">
        <x:v>В общем итоге всех родившихся женского пола напечатано 3 508. Сумма подытогов 4 183 + 5 200 + 125 = 9 508. Итог обоего пола 19 971 согласован с суммой групп. Исходная ошибочная подграфа не подменена исправленным числом.</x:v>
      </x:c>
      <x:c r="E134" s="35" t="str">
        <x:v>Исходное примечание</x:v>
      </x:c>
      <x:c r="F134" s="35" t="str">
        <x:v>1906: ведомость № 6 / RAW PDF 45; copy 2 PDF 40.</x:v>
      </x:c>
      <x:c r="G134" s="13" t="str">
        <x:v>Uralskaia-1905-1906(1).xlsx</x:v>
      </x:c>
      <x:c r="H134" s="3"/>
      <x:c r="I134" s="3"/>
    </x:row>
    <x:row r="135" ht="48" customHeight="1">
      <x:c r="A135" s="14" t="str">
        <x:v>1905-1906/R20</x:v>
      </x:c>
      <x:c r="B135" s="14" t="str">
        <x:v>1905-1906</x:v>
      </x:c>
      <x:c r="C135" s="14" t="str">
        <x:v>1906: Гурьев, рождения</x:v>
      </x:c>
      <x:c r="D135" s="36" t="str">
        <x:v>В оседлой строке брачные рождения: 570 мужчин + 561 женщина, напечатано всего 1 140. Сумма даёт 1 131. Все родившиеся: 584 мужчины + 564 женщины = 1 148. В сводке использована напечатанная графа всех рождений обоего пола. Брачная подграфа не исправлялась.</x:v>
      </x:c>
      <x:c r="E135" s="36" t="str">
        <x:v>Исходное примечание</x:v>
      </x:c>
      <x:c r="F135" s="36" t="str">
        <x:v>1906: ведомость № 6 / RAW PDF 45; copy 2 PDF 40.</x:v>
      </x:c>
      <x:c r="G135" s="14" t="str">
        <x:v>Uralskaia-1905-1906(1).xlsx</x:v>
      </x:c>
      <x:c r="H135" s="12"/>
      <x:c r="I135" s="12"/>
    </x:row>
    <x:row r="136" ht="48" customHeight="1">
      <x:c r="A136" s="13" t="str">
        <x:v>1905-1906/R21</x:v>
      </x:c>
      <x:c r="B136" s="13" t="str">
        <x:v>1905-1906</x:v>
      </x:c>
      <x:c r="C136" s="13" t="str">
        <x:v>Географические строки</x:v>
      </x:c>
      <x:c r="D136" s="35" t="str">
        <x:v>В ведомости № 6 г. Уральск является отдельной строкой, добавляемой к уездным строкам. Географические подытоги населения на с. 2 построены иначе. Не следует напрямую отождествлять строки двух таблиц.</x:v>
      </x:c>
      <x:c r="E136" s="35" t="str">
        <x:v>Исходное примечание</x:v>
      </x:c>
      <x:c r="F136" s="35" t="str">
        <x:v>Оба выпуска: с. 2 и ведомость № 6.</x:v>
      </x:c>
      <x:c r="G136" s="13" t="str">
        <x:v>Uralskaia-1905-1906(1).xlsx</x:v>
      </x:c>
      <x:c r="H136" s="3"/>
      <x:c r="I136" s="3"/>
    </x:row>
    <x:row r="137" ht="48" customHeight="1">
      <x:c r="A137" s="14" t="str">
        <x:v>1905-1906/R22</x:v>
      </x:c>
      <x:c r="B137" s="14" t="str">
        <x:v>1905-1906</x:v>
      </x:c>
      <x:c r="C137" s="14" t="str">
        <x:v>Отставные нижние чины</x:v>
      </x:c>
      <x:c r="D137" s="36" t="str">
        <x:v>Ведомости № 14 показывают 1 530 проживающих в 1905 г. и 539 в 1906 г. Это численность частной категории, не общий поток миграции. В графе переселения на новые участки — прочерки. Они не использованы как нули общих прибытий или выбытий; разница численности не принята за отток.</x:v>
      </x:c>
      <x:c r="E137" s="36" t="str">
        <x:v>Исходное примечание</x:v>
      </x:c>
      <x:c r="F137" s="36" t="str">
        <x:v>1905: RAW PDF 55. 1906: RAW PDF 53.</x:v>
      </x:c>
      <x:c r="G137" s="14" t="str">
        <x:v>Uralskaia-1905-1906(1).xlsx</x:v>
      </x:c>
      <x:c r="H137" s="12"/>
      <x:c r="I137" s="12"/>
    </x:row>
    <x:row r="138" ht="48" customHeight="1">
      <x:c r="A138" s="13" t="str">
        <x:v>1905-1906/R23</x:v>
      </x:c>
      <x:c r="B138" s="13" t="str">
        <x:v>1905-1906</x:v>
      </x:c>
      <x:c r="C138" s="13" t="str">
        <x:v>Смешанное приложение</x:v>
      </x:c>
      <x:c r="D138" s="35" t="str">
        <x:v>В файле 1905 (copy 2), PDF 41, ведомость № 5 имеет заголовок за 1906 год. На PDF 42 следующая ведомость № 6 относится к 1905 году и совпадает с основным RAW. Год проверялся по содержанию листа, а не только имени файла.</x:v>
      </x:c>
      <x:c r="E138" s="35" t="str">
        <x:v>Исходное примечание</x:v>
      </x:c>
      <x:c r="F138" s="35" t="str">
        <x:v>1905 (copy 2): PDF 41–42.</x:v>
      </x:c>
      <x:c r="G138" s="13" t="str">
        <x:v>Uralskaia-1905-1906(1).xlsx</x:v>
      </x:c>
      <x:c r="H138" s="3"/>
      <x:c r="I138" s="3"/>
    </x:row>
    <x:row r="139" ht="48" customHeight="1">
      <x:c r="A139" s="14" t="str">
        <x:v>1905-1906/R24</x:v>
      </x:c>
      <x:c r="B139" s="14" t="str">
        <x:v>1905-1906</x:v>
      </x:c>
      <x:c r="C139" s="14" t="str">
        <x:v>Правило объединения</x:v>
      </x:c>
      <x:c r="D139" s="36" t="str">
        <x:v>В строках естественного движения 1906 г. представлены альтернативные варианты одного года. Их нельзя складывать. Основная строка по ведомости № 6 выбрана для единообразия и проверки по территориальным данным; это не признание текстового варианта ошибочным.</x:v>
      </x:c>
      <x:c r="E139" s="36" t="str">
        <x:v>Исходное примечание</x:v>
      </x:c>
      <x:c r="F139" s="36" t="str">
        <x:v>Метод составления сводки.</x:v>
      </x:c>
      <x:c r="G139" s="14" t="str">
        <x:v>Uralskaia-1905-1906(1).xlsx</x:v>
      </x:c>
      <x:c r="H139" s="12"/>
      <x:c r="I139" s="12"/>
    </x:row>
    <x:row r="140" ht="48" customHeight="1">
      <x:c r="A140" s="13" t="str">
        <x:v>1907-1909/R6</x:v>
      </x:c>
      <x:c r="B140" s="13" t="str">
        <x:v>1907</x:v>
      </x:c>
      <x:c r="C140" s="13" t="str">
        <x:v>Прирост оседлого, с. 13</x:v>
      </x:c>
      <x:c r="D140" s="35" t="str">
        <x:v>Принят 5 366 по рождениям, смертям, с. 12 и ведомости №6. Вместе с отдельными поселенцами — 5 437. В copy 2 повторено расхождение.</x:v>
      </x:c>
      <x:c r="E140" s="35" t="str">
        <x:v>C: 5256; D: 9923; E: 4557; F: 5366</x:v>
      </x:c>
      <x:c r="F140" s="35" t="str">
        <x:v>с. 12–13 / PDF 20–21
https://archive.org/download/obzor_uralskoi_oblasti/Обзор Уральской области за 1907 - RAW.pdf#page=21</x:v>
      </x:c>
      <x:c r="G140" s="13" t="str">
        <x:v>Uralskaia-1907-1909(1).xlsx</x:v>
      </x:c>
      <x:c r="H140" s="3"/>
      <x:c r="I140" s="3"/>
    </x:row>
    <x:row r="141" ht="48" customHeight="1">
      <x:c r="A141" s="14" t="str">
        <x:v>1907-1909/R7</x:v>
      </x:c>
      <x:c r="B141" s="14" t="str">
        <x:v>1907</x:v>
      </x:c>
      <x:c r="C141" s="14" t="str">
        <x:v>Все рождения: оседлые Уральского уезда</x:v>
      </x:c>
      <x:c r="D141" s="36" t="str">
        <x:v>Подграфы дают 3 984, разность 208. Итог всех родившихся сохранён, первоначальную ошибочную запись установить нельзя.</x:v>
      </x:c>
      <x:c r="E141" s="36" t="str">
        <x:v>C: 4192; D: 3956; E: 28; F: 3984</x:v>
      </x:c>
      <x:c r="F141" s="36" t="str">
        <x:v>вед. №6 / PDF 43; copy 2 PDF 39
https://archive.org/download/obzor_uralskoi_oblasti/Обзор Уральской области за 1907 - RAW.pdf#page=43</x:v>
      </x:c>
      <x:c r="G141" s="14" t="str">
        <x:v>Uralskaia-1907-1909(1).xlsx</x:v>
      </x:c>
      <x:c r="H141" s="12"/>
      <x:c r="I141" s="12"/>
    </x:row>
    <x:row r="142" ht="48" customHeight="1">
      <x:c r="A142" s="13" t="str">
        <x:v>1907-1909/R8</x:v>
      </x:c>
      <x:c r="B142" s="13" t="str">
        <x:v>1907</x:v>
      </x:c>
      <x:c r="C142" s="13" t="str">
        <x:v>Все рождения: оседлый подытог</x:v>
      </x:c>
      <x:c r="D142" s="35" t="str">
        <x:v>Брачные + внебрачные дают 9 715. Использовано 9 923 по графе всех родившихся.</x:v>
      </x:c>
      <x:c r="E142" s="35" t="str">
        <x:v>C: 9923; D: 9657; E: 58; F: 9715</x:v>
      </x:c>
      <x:c r="F142" s="35" t="str">
        <x:v>вед. №6 / PDF 43
https://archive.org/download/obzor_uralskoi_oblasti/Обзор Уральской области за 1907 - RAW.pdf#page=43</x:v>
      </x:c>
      <x:c r="G142" s="13" t="str">
        <x:v>Uralskaia-1907-1909(1).xlsx</x:v>
      </x:c>
      <x:c r="H142" s="3"/>
      <x:c r="I142" s="3"/>
    </x:row>
    <x:row r="143" ht="48" customHeight="1">
      <x:c r="A143" s="14" t="str">
        <x:v>1907-1909/R9</x:v>
      </x:c>
      <x:c r="B143" s="14" t="str">
        <x:v>1907</x:v>
      </x:c>
      <x:c r="C143" s="14" t="str">
        <x:v>Все рождения: область</x:v>
      </x:c>
      <x:c r="D143" s="36" t="str">
        <x:v>Брачные + внебрачные дают 18 931. Использовано 19 139 по итоговым графам.</x:v>
      </x:c>
      <x:c r="E143" s="36" t="str">
        <x:v>C: 19139; D: 18873; E: 58; F: 18931</x:v>
      </x:c>
      <x:c r="F143" s="36" t="str">
        <x:v>вед. №6 / PDF 43
https://archive.org/download/obzor_uralskoi_oblasti/Обзор Уральской области за 1907 - RAW.pdf#page=43</x:v>
      </x:c>
      <x:c r="G143" s="14" t="str">
        <x:v>Uralskaia-1907-1909(1).xlsx</x:v>
      </x:c>
      <x:c r="H143" s="12"/>
      <x:c r="I143" s="12"/>
    </x:row>
    <x:row r="144" ht="48" customHeight="1">
      <x:c r="A144" s="13" t="str">
        <x:v>1907-1909/R10</x:v>
      </x:c>
      <x:c r="B144" s="13" t="str">
        <x:v>1908</x:v>
      </x:c>
      <x:c r="C144" s="13" t="str">
        <x:v>Рождения в г. Уральске, оба пола</x:v>
      </x:c>
      <x:c r="D144" s="35" t="str">
        <x:v>Опечатка оригинала. По полу 2 093; 2 086 брачных + 7 внебрачных тоже дают 2 093. Итог оседлых 10 071 уже использует 2 093.</x:v>
      </x:c>
      <x:c r="E144" s="35" t="str">
        <x:v>C: 1093; D: 1099; E: 994; F: 2093</x:v>
      </x:c>
      <x:c r="F144" s="35" t="str">
        <x:v>вед. №6 / PDF 41
https://archive.org/download/obzor_uralskoi_oblasti/Обзор Уральской области за 1908 - RAW.pdf#page=41</x:v>
      </x:c>
      <x:c r="G144" s="13" t="str">
        <x:v>Uralskaia-1907-1909(1).xlsx</x:v>
      </x:c>
      <x:c r="H144" s="3"/>
      <x:c r="I144" s="3"/>
    </x:row>
    <x:row r="145" ht="48" customHeight="1">
      <x:c r="A145" s="14" t="str">
        <x:v>1907-1909/R11</x:v>
      </x:c>
      <x:c r="B145" s="14" t="str">
        <x:v>1909</x:v>
      </x:c>
      <x:c r="C145" s="14" t="str">
        <x:v>Прирост кочевого населения: Темирский уезд</x:v>
      </x:c>
      <x:c r="D145" s="36" t="str">
        <x:v>Арифметическое восстановление +468. Кочевой итог 1 659 согласуется с исправленной детальной строкой; областные B и D не менялись.</x:v>
      </x:c>
      <x:c r="E145" s="36" t="str">
        <x:v>C: 659; D: 2518; E: 2050; F: 468</x:v>
      </x:c>
      <x:c r="F145" s="36" t="str">
        <x:v>вед. №6 / PDF 41
https://archive.org/download/obzor_uralskoi_oblasti/Обзор Уральской области за 1909 - RAW.pdf#page=41</x:v>
      </x:c>
      <x:c r="G145" s="14" t="str">
        <x:v>Uralskaia-1907-1909(1).xlsx</x:v>
      </x:c>
      <x:c r="H145" s="12"/>
      <x:c r="I145" s="12"/>
    </x:row>
    <x:row r="146" ht="48" customHeight="1">
      <x:c r="A146" s="13" t="str">
        <x:v>1907-1909/R12</x:v>
      </x:c>
      <x:c r="B146" s="13" t="str">
        <x:v>1907</x:v>
      </x:c>
      <x:c r="C146" s="13" t="str">
        <x:v>Регистрация кочевого населения</x:v>
      </x:c>
      <x:c r="D146" s="35" t="str">
        <x:v>До 1898 г. по Гурьевскому и Темирскому уездам сведений не было, по двум другим ненадёжны. В 1898 г. введены карточки из посемейных списков ретроспективно с 29.01.1897. Метод населения: перепись + естественный прирост, без иммиграции и эмиграции. Количественная поправка на недоучёт не дана.</x:v>
      </x:c>
      <x:c r="E146" s="35" t="str"/>
      <x:c r="F146" s="35" t="str">
        <x:v>с. 12 / PDF 20; copy 2 PDF 15
https://archive.org/download/obzor_uralskoi_oblasti/Обзор Уральской области за 1907 - RAW.pdf#page=20</x:v>
      </x:c>
      <x:c r="G146" s="13" t="str">
        <x:v>Uralskaia-1907-1909(1).xlsx</x:v>
      </x:c>
      <x:c r="H146" s="3"/>
      <x:c r="I146" s="3"/>
    </x:row>
    <x:row r="147" ht="48" customHeight="1">
      <x:c r="A147" s="14" t="str">
        <x:v>1907-1909/R13</x:v>
      </x:c>
      <x:c r="B147" s="14" t="str">
        <x:v>1908</x:v>
      </x:c>
      <x:c r="C147" s="14" t="str">
        <x:v>Регистрация и население</x:v>
      </x:c>
      <x:c r="D147" s="36" t="str">
        <x:v>Повторено описание карточек с 1898 г., ретроспективно с 29.01.1897, и метода без иммиграции/эмиграции. После таблицы населения прямо исключены новые переселенцы, зачисленные на участки в 1908 г.</x:v>
      </x:c>
      <x:c r="E147" s="36" t="str"/>
      <x:c r="F147" s="36" t="str">
        <x:v>с. 2, 12 / PDF 8, 18
https://archive.org/download/obzor_uralskoi_oblasti/Обзор Уральской области за 1908 - RAW.pdf#page=8</x:v>
      </x:c>
      <x:c r="G147" s="14" t="str">
        <x:v>Uralskaia-1907-1909(1).xlsx</x:v>
      </x:c>
      <x:c r="H147" s="12"/>
      <x:c r="I147" s="12"/>
    </x:row>
    <x:row r="148" ht="48" customHeight="1">
      <x:c r="A148" s="13" t="str">
        <x:v>1907-1909/R14</x:v>
      </x:c>
      <x:c r="B148" s="13" t="str">
        <x:v>1909</x:v>
      </x:c>
      <x:c r="C148" s="13" t="str">
        <x:v>Охват переселенцев в естественном движении</x:v>
      </x:c>
      <x:c r="D148" s="35" t="str">
        <x:v>Ведомость №6: поселенцы присоединены к оседлому. Текст с. 13: прирост исключает переселенцев, как недавно осевших. Раздельных B/D для новых переселенцев нет. Полнота их включения не установлена. Повторён метод карточек и расчёт населения без иммиграции/эмиграции.</x:v>
      </x:c>
      <x:c r="E148" s="35" t="str"/>
      <x:c r="F148" s="35" t="str">
        <x:v>с. 12–13 / PDF 18–19; вед. №6 PDF 41
https://archive.org/download/obzor_uralskoi_oblasti/Обзор Уральской области за 1909 - RAW.pdf#page=19</x:v>
      </x:c>
      <x:c r="G148" s="13" t="str">
        <x:v>Uralskaia-1907-1909(1).xlsx</x:v>
      </x:c>
      <x:c r="H148" s="3"/>
      <x:c r="I148" s="3"/>
    </x:row>
    <x:row r="149" ht="57" customHeight="1">
      <x:c r="A149" s="14" t="str">
        <x:v>1910-1912/R6</x:v>
      </x:c>
      <x:c r="B149" s="14" t="str">
        <x:v>1910–1912</x:v>
      </x:c>
      <x:c r="C149" s="14" t="str">
        <x:v>Группировка населения</x:v>
      </x:c>
      <x:c r="D149" s="36" t="str">
        <x:v>Для сводки кочевое/полукочевое население принято равным отдельной строке источника «киргизское население» (историческое обозначение казахского населения). Оседлое — сумма остальных групп. Это рабочая группировка по рубрикам источника. Она не устанавливает образ жизни каждого жителя и не совпадает с этническим разделением всего населения.</x:v>
      </x:c>
      <x:c r="E149" s="36" t="str">
        <x:v>Правило составления сводки</x:v>
      </x:c>
      <x:c r="F149" s="36" t="str">
        <x:v>1912, 2–4; RAW PDF 6, OCR PDF 6</x:v>
      </x:c>
      <x:c r="G149" s="14" t="str">
        <x:v>Uralskaia-1910-1912(1).xlsx</x:v>
      </x:c>
      <x:c r="H149" s="12"/>
      <x:c r="I149" s="12"/>
    </x:row>
    <x:row r="150" ht="48" customHeight="1">
      <x:c r="A150" s="13" t="str">
        <x:v>1910-1912/R7</x:v>
      </x:c>
      <x:c r="B150" s="13" t="str">
        <x:v>1910</x:v>
      </x:c>
      <x:c r="C150" s="13" t="str">
        <x:v>Метод оценки населения</x:v>
      </x:c>
      <x:c r="D150" s="35" t="str">
        <x:v>Момент оценки — 1 января 1911 г. Обзор описывает прибавление естественного прироста 1897–1910 гг. к переписи 1897 г. Переселенцы и самовольцы выделены отдельными строками. Формула описания на с. 2 сама по себе не раскрывает всех миграционных поправок.</x:v>
      </x:c>
      <x:c r="E150" s="35" t="str">
        <x:v>Сообщение источника и предел его описания</x:v>
      </x:c>
      <x:c r="F150" s="35" t="str">
        <x:v>1910, 2; RAW PDF 5, OCR PDF 10</x:v>
      </x:c>
      <x:c r="G150" s="13" t="str">
        <x:v>Uralskaia-1910-1912(1).xlsx</x:v>
      </x:c>
      <x:c r="H150" s="3"/>
      <x:c r="I150" s="3"/>
    </x:row>
    <x:row r="151" ht="48" customHeight="1">
      <x:c r="A151" s="14" t="str">
        <x:v>1910-1912/R8</x:v>
      </x:c>
      <x:c r="B151" s="14" t="str">
        <x:v>1911</x:v>
      </x:c>
      <x:c r="C151" s="14" t="str">
        <x:v>Метод оценки населения</x:v>
      </x:c>
      <x:c r="D151" s="36" t="str">
        <x:v>Момент оценки — 1 января 1912 г. К данным переписи прибавлен естественный прирост 1897–1911 гг.; для переселенцев дополнительно названа регистрация ушедших из области и новых семей на участках.</x:v>
      </x:c>
      <x:c r="E151" s="36" t="str">
        <x:v>Сообщение источника</x:v>
      </x:c>
      <x:c r="F151" s="36" t="str">
        <x:v>1911, 2; RAW PDF 5, OCR PDF 12</x:v>
      </x:c>
      <x:c r="G151" s="14" t="str">
        <x:v>Uralskaia-1910-1912(1).xlsx</x:v>
      </x:c>
      <x:c r="H151" s="12"/>
      <x:c r="I151" s="12"/>
    </x:row>
    <x:row r="152" ht="48" customHeight="1">
      <x:c r="A152" s="13" t="str">
        <x:v>1910-1912/R9</x:v>
      </x:c>
      <x:c r="B152" s="13" t="str">
        <x:v>1912</x:v>
      </x:c>
      <x:c r="C152" s="13" t="str">
        <x:v>Метод оценки населения</x:v>
      </x:c>
      <x:c r="D152" s="35" t="str">
        <x:v>Момент оценки — 1 января 1913 г. К данным переписи прибавлен естественный прирост 1897–1912 гг.; для переселенцев названа регистрация ушедших и новых семей, для остальных иногородних — возможный учёт механического передвижения.</x:v>
      </x:c>
      <x:c r="E152" s="35" t="str">
        <x:v>Сообщение источника</x:v>
      </x:c>
      <x:c r="F152" s="35" t="str">
        <x:v>1912, 2; RAW PDF 6, OCR PDF 6</x:v>
      </x:c>
      <x:c r="G152" s="13" t="str">
        <x:v>Uralskaia-1910-1912(1).xlsx</x:v>
      </x:c>
      <x:c r="H152" s="3"/>
      <x:c r="I152" s="3"/>
    </x:row>
    <x:row r="153" ht="57" customHeight="1">
      <x:c r="A153" s="14" t="str">
        <x:v>1910-1912/R10</x:v>
      </x:c>
      <x:c r="B153" s="14" t="str">
        <x:v>1910–1912</x:v>
      </x:c>
      <x:c r="C153" s="14" t="str">
        <x:v>Карточная регистрация в степи</x:v>
      </x:c>
      <x:c r="D153" s="36" t="str">
        <x:v>Обзоры повторяют: до 1898 г. из Гурьевского и Темирского уездов не поступало сведений о движении киргизского населения; в двух других уездах они были весьма сомнительны. С 1898 г. по аулам рассылались отдельные карточки браков, рождений и смертей с выписками из посемейных списков. Это историческая оговорка о прежнем учёте и описание текущей системы, а не доказательство её полноты.</x:v>
      </x:c>
      <x:c r="E153" s="36" t="str">
        <x:v>Сообщение источников</x:v>
      </x:c>
      <x:c r="F153" s="36" t="str">
        <x:v>1910, 3–4; RAW PDF 6, OCR PDF 11</x:v>
      </x:c>
      <x:c r="G153" s="14" t="str">
        <x:v>Uralskaia-1910-1912(1).xlsx</x:v>
      </x:c>
      <x:c r="H153" s="12"/>
      <x:c r="I153" s="12"/>
    </x:row>
    <x:row r="154" ht="57" customHeight="1">
      <x:c r="A154" s="13" t="str">
        <x:v>1910-1912/R11</x:v>
      </x:c>
      <x:c r="B154" s="13" t="str">
        <x:v>1910</x:v>
      </x:c>
      <x:c r="C154" s="13" t="str">
        <x:v>Прямо обозначенный неполный охват</x:v>
      </x:c>
      <x:c r="D154" s="35" t="str">
        <x:v>Сноска на с. 4: походный причт не дал сведений о движении переселенцев Темирского уезда. Итог ведомости № 6 прямо исключает самовольцев и переселенцев Темирского уезда. Они включены в численность населения, поэтому охват численности и рождений/смертей неодинаков. Все итоговые рождения и смерти 1910 г. относятся к зарегистрированной части населения.</x:v>
      </x:c>
      <x:c r="E154" s="35" t="str">
        <x:v>Прямая оговорка источника</x:v>
      </x:c>
      <x:c r="F154" s="35" t="str">
        <x:v>1910, 4; ведомость № 6; RAW PDF 7, OCR PDF 12</x:v>
      </x:c>
      <x:c r="G154" s="13" t="str">
        <x:v>Uralskaia-1910-1912(1).xlsx</x:v>
      </x:c>
      <x:c r="H154" s="3"/>
      <x:c r="I154" s="3"/>
    </x:row>
    <x:row r="155" ht="48" customHeight="1">
      <x:c r="A155" s="14" t="str">
        <x:v>1910-1912/R12</x:v>
      </x:c>
      <x:c r="B155" s="14" t="str">
        <x:v>1911</x:v>
      </x:c>
      <x:c r="C155" s="14" t="str">
        <x:v>Охват регистрации</x:v>
      </x:c>
      <x:c r="D155" s="36" t="str">
        <x:v>Ведомость № 6 включает переселенцев и самовольцев обоих переселенческих уездов, жителей торгово-промышленных пунктов и г. Темира. Оговорки об исключении этих групп, аналогичной 1910 г., в ней нет. Это подтверждает состав таблицы, но степень полноты регистрации внутри групп не установлена.</x:v>
      </x:c>
      <x:c r="E155" s="36" t="str">
        <x:v>Состав ведомости; предел вывода</x:v>
      </x:c>
      <x:c r="F155" s="36" t="str">
        <x:v>1911, ведомость № 6; RAW PDF 86, OCR PDF 90</x:v>
      </x:c>
      <x:c r="G155" s="14" t="str">
        <x:v>Uralskaia-1910-1912(1).xlsx</x:v>
      </x:c>
      <x:c r="H155" s="12"/>
      <x:c r="I155" s="12"/>
    </x:row>
    <x:row r="156" ht="57" customHeight="1">
      <x:c r="A156" s="13" t="str">
        <x:v>1910-1912/R13</x:v>
      </x:c>
      <x:c r="B156" s="13" t="str">
        <x:v>1912</x:v>
      </x:c>
      <x:c r="C156" s="13" t="str">
        <x:v>Охват регистрации</x:v>
      </x:c>
      <x:c r="D156" s="35" t="str">
        <x:v>Ведомость № 6 включает те же основные группы, что и в 1911 г., в том числе переселенцев и самовольцев обоих уездов. Прямой оценки полноты карточного учёта за отчётный год не найдено. Число рождений киргизского населения заметно ниже, чем в 1910–1911 гг.; по одному этому ряду нельзя установить долю реального снижения и возможного недоучёта. Поправки не внесены.</x:v>
      </x:c>
      <x:c r="E156" s="35" t="str">
        <x:v>Состав ведомости и ограничение интерпретации</x:v>
      </x:c>
      <x:c r="F156" s="35" t="str">
        <x:v>1912, 5; ведомость № 6; RAW PDF 9, OCR PDF 9</x:v>
      </x:c>
      <x:c r="G156" s="13" t="str">
        <x:v>Uralskaia-1910-1912(1).xlsx</x:v>
      </x:c>
      <x:c r="H156" s="3"/>
      <x:c r="I156" s="3"/>
    </x:row>
    <x:row r="157" ht="57" customHeight="1">
      <x:c r="A157" s="14" t="str">
        <x:v>1910-1912/R14</x:v>
      </x:c>
      <x:c r="B157" s="14" t="str">
        <x:v>1910–1912</x:v>
      </x:c>
      <x:c r="C157" s="14" t="str">
        <x:v>Миграция и сезонная подвижность</x:v>
      </x:c>
      <x:c r="D157" s="36" t="str">
        <x:v>Все три обзора описывают ежегодный весенний приход десятков тысяч сезонных работников из соседних губерний, с частичным возвращением после летних работ, и перекочёвки степного населения, в том числе за пределы империи. Это общая характеристика, не годовая статистика прибытия. Полного годового учёта прибытий и выбытий всего населения области не найдено.</x:v>
      </x:c>
      <x:c r="E157" s="36" t="str">
        <x:v>Общая характеристика источников</x:v>
      </x:c>
      <x:c r="F157" s="36" t="str">
        <x:v>1912, 1–2; RAW PDF 5, OCR PDF 5</x:v>
      </x:c>
      <x:c r="G157" s="14" t="str">
        <x:v>Uralskaia-1910-1912(1).xlsx</x:v>
      </x:c>
      <x:c r="H157" s="12"/>
      <x:c r="I157" s="12"/>
    </x:row>
    <x:row r="158" ht="48" customHeight="1">
      <x:c r="A158" s="13" t="str">
        <x:v>1910-1912/R15</x:v>
      </x:c>
      <x:c r="B158" s="13" t="str">
        <x:v>1912</x:v>
      </x:c>
      <x:c r="C158" s="13" t="str">
        <x:v>Изменение категории самовольцев</x:v>
      </x:c>
      <x:c r="D158" s="35" t="str">
        <x:v>Источник связывает уменьшение числа самовольцев также со свободой легального устройства на участках. Снижение этой категории с 1 766 до 517 человек нельзя целиком считать отъездом из области.</x:v>
      </x:c>
      <x:c r="E158" s="35" t="str">
        <x:v>Прямое объяснение источника</x:v>
      </x:c>
      <x:c r="F158" s="35" t="str">
        <x:v>1912, 10; RAW PDF 14, OCR PDF 14</x:v>
      </x:c>
      <x:c r="G158" s="13" t="str">
        <x:v>Uralskaia-1910-1912(1).xlsx</x:v>
      </x:c>
      <x:c r="H158" s="3"/>
      <x:c r="I158" s="3"/>
    </x:row>
    <x:row r="159" ht="48" customHeight="1">
      <x:c r="A159" s="14" t="str">
        <x:v>1910-1912/R16</x:v>
      </x:c>
      <x:c r="B159" s="14" t="str">
        <x:v>1912</x:v>
      </x:c>
      <x:c r="C159" s="14" t="str">
        <x:v>Ошибка в итоге по Темирскому уезду</x:v>
      </x:c>
      <x:c r="D159" s="36" t="str">
        <x:v>Напечатано: мужчин 85 387, женщин 74 751, всего 160 138. Сумма пяти женских строк — 74 761, сумма всех групп уезда — 160 148. Расхождение 10 человек. Общий итог области 818 260 согласуется с суммой областных групп и сохранён без изменения.</x:v>
      </x:c>
      <x:c r="E159" s="36" t="str">
        <x:v>Визуальная сверка и арифметика</x:v>
      </x:c>
      <x:c r="F159" s="36" t="str">
        <x:v>1912, 3; RAW PDF 7, OCR PDF 7</x:v>
      </x:c>
      <x:c r="G159" s="14" t="str">
        <x:v>Uralskaia-1910-1912(1).xlsx</x:v>
      </x:c>
      <x:c r="H159" s="12"/>
      <x:c r="I159" s="12"/>
    </x:row>
    <x:row r="160" ht="48" customHeight="1">
      <x:c r="A160" s="13" t="str">
        <x:v>1910-1912/R17</x:v>
      </x:c>
      <x:c r="B160" s="13" t="str">
        <x:v>1911–1912</x:v>
      </x:c>
      <x:c r="C160" s="13" t="str">
        <x:v>Зависимость оценок населения от регистрации</x:v>
      </x:c>
      <x:c r="D160" s="35" t="str">
        <x:v>Киргизское население уменьшается на 320 человек в оценке за 1911 г. и на 1 188 в оценке за 1912 г., ровно на зарегистрированную естественную убыль этих лет. Совпадение объясняется методом передвижки переписи и не даёт независимой проверки полноты регистрации.</x:v>
      </x:c>
      <x:c r="E160" s="35" t="str">
        <x:v>Расчёт по источникам и описанный метод</x:v>
      </x:c>
      <x:c r="F160" s="35" t="str">
        <x:v>1912, 2–5; RAW PDF 6, OCR PDF 6</x:v>
      </x:c>
      <x:c r="G160" s="13" t="str">
        <x:v>Uralskaia-1910-1912(1).xlsx</x:v>
      </x:c>
      <x:c r="H160" s="3"/>
      <x:c r="I160" s="3"/>
    </x:row>
    <x:row r="161" ht="48" customHeight="1">
      <x:c r="A161" s="14" t="str">
        <x:v>1910-1912/R22</x:v>
      </x:c>
      <x:c r="B161" s="14" t="str">
        <x:v>Год</x:v>
      </x:c>
      <x:c r="C161" s="14" t="str">
        <x:v>Формат</x:v>
      </x:c>
      <x:c r="D161" s="36" t="str">
        <x:v>Имя файла; ниже — полный адрес PDF</x:v>
      </x:c>
      <x:c r="E161" s="36"/>
      <x:c r="F161" s="36"/>
      <x:c r="G161" s="14" t="str">
        <x:v>Uralskaia-1910-1912(1).xlsx</x:v>
      </x:c>
      <x:c r="H161" s="12"/>
      <x:c r="I161" s="12"/>
    </x:row>
    <x:row r="162" ht="48" customHeight="1">
      <x:c r="A162" s="13" t="str">
        <x:v>1910-1912/R23</x:v>
      </x:c>
      <x:c r="B162" s="13" t="str">
        <x:v>1910</x:v>
      </x:c>
      <x:c r="C162" s="13" t="str">
        <x:v>OCR</x:v>
      </x:c>
      <x:c r="D162" s="35" t="str">
        <x:v>Обзор Уральской области за 1910 - OCR.pdf</x:v>
      </x:c>
      <x:c r="E162" s="35"/>
      <x:c r="F162" s="35"/>
      <x:c r="G162" s="13" t="str">
        <x:v>Uralskaia-1910-1912(1).xlsx</x:v>
      </x:c>
      <x:c r="H162" s="3"/>
      <x:c r="I162" s="3"/>
    </x:row>
    <x:row r="163" ht="48" customHeight="1">
      <x:c r="A163" s="14" t="str">
        <x:v>1910-1912/R24</x:v>
      </x:c>
      <x:c r="B163" s="14" t="str">
        <x:v>1910-1912</x:v>
      </x:c>
      <x:c r="C163" s="14"/>
      <x:c r="D163" s="36" t="str">
        <x:v>https://archive.org/download/obzor_uralskoi_oblasti/%D0%9E%D0%B1%D0%B7%D0%BE%D1%80%20%D0%A3%D1%80%D0%B0%D0%BB%D1%8C%D1%81%D0%BA%D0%BE%D0%B9%20%D0%BE%D0%B1%D0%BB%D0%B0%D1%81%D1%82%D0%B8%20%D0%B7%D0%B0%201910%20-%20OCR.pdf</x:v>
      </x:c>
      <x:c r="E163" s="36"/>
      <x:c r="F163" s="36"/>
      <x:c r="G163" s="14" t="str">
        <x:v>Uralskaia-1910-1912(1).xlsx</x:v>
      </x:c>
      <x:c r="H163" s="12"/>
      <x:c r="I163" s="12"/>
    </x:row>
    <x:row r="164" ht="48" customHeight="1">
      <x:c r="A164" s="13" t="str">
        <x:v>1910-1912/R25</x:v>
      </x:c>
      <x:c r="B164" s="13" t="str">
        <x:v>1910</x:v>
      </x:c>
      <x:c r="C164" s="13" t="str">
        <x:v>RAW copy 2</x:v>
      </x:c>
      <x:c r="D164" s="35" t="str">
        <x:v>Обзор Уральской области за 1910 (copy 2) - RAW.pdf</x:v>
      </x:c>
      <x:c r="E164" s="35"/>
      <x:c r="F164" s="35"/>
      <x:c r="G164" s="13" t="str">
        <x:v>Uralskaia-1910-1912(1).xlsx</x:v>
      </x:c>
      <x:c r="H164" s="3"/>
      <x:c r="I164" s="3"/>
    </x:row>
    <x:row r="165" ht="48" customHeight="1">
      <x:c r="A165" s="14" t="str">
        <x:v>1910-1912/R26</x:v>
      </x:c>
      <x:c r="B165" s="14" t="str">
        <x:v>1910-1912</x:v>
      </x:c>
      <x:c r="C165" s="14"/>
      <x:c r="D165" s="36" t="str">
        <x:v>https://archive.org/download/obzor_uralskoi_oblasti/%D0%9E%D0%B1%D0%B7%D0%BE%D1%80%20%D0%A3%D1%80%D0%B0%D0%BB%D1%8C%D1%81%D0%BA%D0%BE%D0%B9%20%D0%BE%D0%B1%D0%BB%D0%B0%D1%81%D1%82%D0%B8%20%D0%B7%D0%B0%201910%20%28copy%202%29%20-%20RAW.pdf</x:v>
      </x:c>
      <x:c r="E165" s="36"/>
      <x:c r="F165" s="36"/>
      <x:c r="G165" s="14" t="str">
        <x:v>Uralskaia-1910-1912(1).xlsx</x:v>
      </x:c>
      <x:c r="H165" s="12"/>
      <x:c r="I165" s="12"/>
    </x:row>
    <x:row r="166" ht="48" customHeight="1">
      <x:c r="A166" s="13" t="str">
        <x:v>1910-1912/R27</x:v>
      </x:c>
      <x:c r="B166" s="13" t="str">
        <x:v>1911</x:v>
      </x:c>
      <x:c r="C166" s="13" t="str">
        <x:v>OCR</x:v>
      </x:c>
      <x:c r="D166" s="35" t="str">
        <x:v>Обзор Уральской области за 1911 - OCR.pdf</x:v>
      </x:c>
      <x:c r="E166" s="35"/>
      <x:c r="F166" s="35"/>
      <x:c r="G166" s="13" t="str">
        <x:v>Uralskaia-1910-1912(1).xlsx</x:v>
      </x:c>
      <x:c r="H166" s="3"/>
      <x:c r="I166" s="3"/>
    </x:row>
    <x:row r="167" ht="48" customHeight="1">
      <x:c r="A167" s="14" t="str">
        <x:v>1910-1912/R28</x:v>
      </x:c>
      <x:c r="B167" s="14" t="str">
        <x:v>1910-1912</x:v>
      </x:c>
      <x:c r="C167" s="14"/>
      <x:c r="D167" s="36" t="str">
        <x:v>https://archive.org/download/obzor_uralskoi_oblasti/%D0%9E%D0%B1%D0%B7%D0%BE%D1%80%20%D0%A3%D1%80%D0%B0%D0%BB%D1%8C%D1%81%D0%BA%D0%BE%D0%B9%20%D0%BE%D0%B1%D0%BB%D0%B0%D1%81%D1%82%D0%B8%20%D0%B7%D0%B0%201911%20-%20OCR.pdf</x:v>
      </x:c>
      <x:c r="E167" s="36"/>
      <x:c r="F167" s="36"/>
      <x:c r="G167" s="14" t="str">
        <x:v>Uralskaia-1910-1912(1).xlsx</x:v>
      </x:c>
      <x:c r="H167" s="12"/>
      <x:c r="I167" s="12"/>
    </x:row>
    <x:row r="168" ht="48" customHeight="1">
      <x:c r="A168" s="13" t="str">
        <x:v>1910-1912/R29</x:v>
      </x:c>
      <x:c r="B168" s="13" t="str">
        <x:v>1911</x:v>
      </x:c>
      <x:c r="C168" s="13" t="str">
        <x:v>RAW copy 2</x:v>
      </x:c>
      <x:c r="D168" s="35" t="str">
        <x:v>Обзор Уральской области за 1911 (copy 2) - RAW.pdf</x:v>
      </x:c>
      <x:c r="E168" s="35"/>
      <x:c r="F168" s="35"/>
      <x:c r="G168" s="13" t="str">
        <x:v>Uralskaia-1910-1912(1).xlsx</x:v>
      </x:c>
      <x:c r="H168" s="3"/>
      <x:c r="I168" s="3"/>
    </x:row>
    <x:row r="169" ht="48" customHeight="1">
      <x:c r="A169" s="14" t="str">
        <x:v>1910-1912/R30</x:v>
      </x:c>
      <x:c r="B169" s="14" t="str">
        <x:v>1910-1912</x:v>
      </x:c>
      <x:c r="C169" s="14"/>
      <x:c r="D169" s="36" t="str">
        <x:v>https://archive.org/download/obzor_uralskoi_oblasti/%D0%9E%D0%B1%D0%B7%D0%BE%D1%80%20%D0%A3%D1%80%D0%B0%D0%BB%D1%8C%D1%81%D0%BA%D0%BE%D0%B9%20%D0%BE%D0%B1%D0%BB%D0%B0%D1%81%D1%82%D0%B8%20%D0%B7%D0%B0%201911%20%28copy%202%29%20-%20RAW.pdf</x:v>
      </x:c>
      <x:c r="E169" s="36"/>
      <x:c r="F169" s="36"/>
      <x:c r="G169" s="14" t="str">
        <x:v>Uralskaia-1910-1912(1).xlsx</x:v>
      </x:c>
      <x:c r="H169" s="12"/>
      <x:c r="I169" s="12"/>
    </x:row>
    <x:row r="170" ht="48" customHeight="1">
      <x:c r="A170" s="13" t="str">
        <x:v>1910-1912/R31</x:v>
      </x:c>
      <x:c r="B170" s="13" t="str">
        <x:v>1912</x:v>
      </x:c>
      <x:c r="C170" s="13" t="str">
        <x:v>OCR</x:v>
      </x:c>
      <x:c r="D170" s="35" t="str">
        <x:v>Обзор Уральской области за 1912 - OCR.pdf</x:v>
      </x:c>
      <x:c r="E170" s="35"/>
      <x:c r="F170" s="35"/>
      <x:c r="G170" s="13" t="str">
        <x:v>Uralskaia-1910-1912(1).xlsx</x:v>
      </x:c>
      <x:c r="H170" s="3"/>
      <x:c r="I170" s="3"/>
    </x:row>
    <x:row r="171" ht="48" customHeight="1">
      <x:c r="A171" s="14" t="str">
        <x:v>1910-1912/R32</x:v>
      </x:c>
      <x:c r="B171" s="14" t="str">
        <x:v>1910-1912</x:v>
      </x:c>
      <x:c r="C171" s="14"/>
      <x:c r="D171" s="36" t="str">
        <x:v>https://archive.org/download/obzor_uralskoi_oblasti/%D0%9E%D0%B1%D0%B7%D0%BE%D1%80%20%D0%A3%D1%80%D0%B0%D0%BB%D1%8C%D1%81%D0%BA%D0%BE%D0%B9%20%D0%BE%D0%B1%D0%BB%D0%B0%D1%81%D1%82%D0%B8%20%D0%B7%D0%B0%201912%20-%20OCR.pdf</x:v>
      </x:c>
      <x:c r="E171" s="36"/>
      <x:c r="F171" s="36"/>
      <x:c r="G171" s="14" t="str">
        <x:v>Uralskaia-1910-1912(1).xlsx</x:v>
      </x:c>
      <x:c r="H171" s="12"/>
      <x:c r="I171" s="12"/>
    </x:row>
    <x:row r="172" ht="48" customHeight="1">
      <x:c r="A172" s="13" t="str">
        <x:v>1910-1912/R33</x:v>
      </x:c>
      <x:c r="B172" s="13" t="str">
        <x:v>1912</x:v>
      </x:c>
      <x:c r="C172" s="13" t="str">
        <x:v>RAW</x:v>
      </x:c>
      <x:c r="D172" s="35" t="str">
        <x:v>Обзор Уральской области за 1912 - RAW.pdf</x:v>
      </x:c>
      <x:c r="E172" s="35"/>
      <x:c r="F172" s="35"/>
      <x:c r="G172" s="13" t="str">
        <x:v>Uralskaia-1910-1912(1).xlsx</x:v>
      </x:c>
      <x:c r="H172" s="3"/>
      <x:c r="I172" s="3"/>
    </x:row>
    <x:row r="173" ht="48" customHeight="1">
      <x:c r="A173" s="14" t="str">
        <x:v>1910-1912/R34</x:v>
      </x:c>
      <x:c r="B173" s="14" t="str">
        <x:v>1910-1912</x:v>
      </x:c>
      <x:c r="C173" s="14"/>
      <x:c r="D173" s="36" t="str">
        <x:v>https://archive.org/download/obzor_uralskoi_oblasti/%D0%9E%D0%B1%D0%B7%D0%BE%D1%80%20%D0%A3%D1%80%D0%B0%D0%BB%D1%8C%D1%81%D0%BA%D0%BE%D0%B9%20%D0%BE%D0%B1%D0%BB%D0%B0%D1%81%D1%82%D0%B8%20%D0%B7%D0%B0%201912%20-%20RAW.pdf</x:v>
      </x:c>
      <x:c r="E173" s="36"/>
      <x:c r="F173" s="36"/>
      <x:c r="G173" s="14" t="str">
        <x:v>Uralskaia-1910-1912(1).xlsx</x:v>
      </x:c>
      <x:c r="H173" s="12"/>
      <x:c r="I173" s="12"/>
    </x:row>
    <x:row r="174" ht="57" customHeight="1">
      <x:c r="A174" s="13" t="str">
        <x:v>1913-1915/R6</x:v>
      </x:c>
      <x:c r="B174" s="13" t="str">
        <x:v>1913–1915</x:v>
      </x:c>
      <x:c r="C174" s="13" t="str">
        <x:v>Границы групп</x:v>
      </x:c>
      <x:c r="D174" s="35" t="str">
        <x:v>«Кочевое*» в сводке означает категорию «киргизское население» источника (казахское население области). «Оседлое*» — все остальные категории. Это условная группировка: часть казахского населения уже оседала, а иногородние были подвижны. Точного числа только кочевых и только оседлых жителей выпуски не дают.</x:v>
      </x:c>
      <x:c r="E174" s="35" t="str">
        <x:v>Исходное примечание</x:v>
      </x:c>
      <x:c r="F174" s="35" t="str">
        <x:v>с. 2–5 всех выпусков</x:v>
      </x:c>
      <x:c r="G174" s="13" t="str">
        <x:v>Uralskaia-1913-1915(1).xlsx</x:v>
      </x:c>
      <x:c r="H174" s="3"/>
      <x:c r="I174" s="3"/>
    </x:row>
    <x:row r="175" ht="48" customHeight="1">
      <x:c r="A175" s="14" t="str">
        <x:v>1913-1915/R7</x:v>
      </x:c>
      <x:c r="B175" s="14" t="str">
        <x:v>1913–1915</x:v>
      </x:c>
      <x:c r="C175" s="14" t="str">
        <x:v>Момент оценки</x:v>
      </x:c>
      <x:c r="D175" s="36" t="str">
        <x:v>Численность за отчётный год дана на 1 января следующего года: 1913 → 01.01.1914, 1914 → 01.01.1915, 1915 → 01.01.1916. Рождения и смерти относятся к самому отчётному календарному году. Даты сохранены в календаре источника.</x:v>
      </x:c>
      <x:c r="E175" s="36" t="str">
        <x:v>Исходное примечание</x:v>
      </x:c>
      <x:c r="F175" s="36" t="str">
        <x:v>с. 2 всех выпусков</x:v>
      </x:c>
      <x:c r="G175" s="14" t="str">
        <x:v>Uralskaia-1913-1915(1).xlsx</x:v>
      </x:c>
      <x:c r="H175" s="12"/>
      <x:c r="I175" s="12"/>
    </x:row>
    <x:row r="176" ht="48" customHeight="1">
      <x:c r="A176" s="13" t="str">
        <x:v>1913-1915/R8</x:v>
      </x:c>
      <x:c r="B176" s="13" t="str">
        <x:v>1913–1915</x:v>
      </x:c>
      <x:c r="C176" s="13" t="str">
        <x:v>Способ оценки населения</x:v>
      </x:c>
      <x:c r="D176" s="35" t="str">
        <x:v>Оценка строится от переписи 1897 года прибавлением зарегистрированного естественного прироста. Для переселенцев учитываются пришедшие и ушедшие семьи, для прочих иногородних — по возможности механическое передвижение. Это накопительная административная оценка, а не новая перепись.</x:v>
      </x:c>
      <x:c r="E176" s="35" t="str">
        <x:v>Исходное примечание</x:v>
      </x:c>
      <x:c r="F176" s="35" t="str">
        <x:v>с. 2 всех выпусков</x:v>
      </x:c>
      <x:c r="G176" s="13" t="str">
        <x:v>Uralskaia-1913-1915(1).xlsx</x:v>
      </x:c>
      <x:c r="H176" s="3"/>
      <x:c r="I176" s="3"/>
    </x:row>
    <x:row r="177" ht="57" customHeight="1">
      <x:c r="A177" s="14" t="str">
        <x:v>1913-1915/R9</x:v>
      </x:c>
      <x:c r="B177" s="14" t="str">
        <x:v>1913</x:v>
      </x:c>
      <x:c r="C177" s="14" t="str">
        <x:v>Полнота регистрации</x:v>
      </x:c>
      <x:c r="D177" s="36" t="str">
        <x:v>До 1898 года по Гурьевскому и Темирскому уездам сведений о движении казахского населения не доставлялось, по двум другим они названы проблематичными. С 1898 года рассылались личные карточки по аулам; в них переносились сведения посемейных списков. Полнота регистрации за 1913 год количественно не подтверждена; поправка на недоучёт не вводилась.</x:v>
      </x:c>
      <x:c r="E177" s="36" t="str">
        <x:v>Исходное примечание</x:v>
      </x:c>
      <x:c r="F177" s="36" t="str">
        <x:v>с. 5; RAW PDF 15</x:v>
      </x:c>
      <x:c r="G177" s="14" t="str">
        <x:v>Uralskaia-1913-1915(1).xlsx</x:v>
      </x:c>
      <x:c r="H177" s="12"/>
      <x:c r="I177" s="12"/>
    </x:row>
    <x:row r="178" ht="48" customHeight="1">
      <x:c r="A178" s="13" t="str">
        <x:v>1913-1915/R10</x:v>
      </x:c>
      <x:c r="B178" s="13" t="str">
        <x:v>1914</x:v>
      </x:c>
      <x:c r="C178" s="13" t="str">
        <x:v>Полнота регистрации</x:v>
      </x:c>
      <x:c r="D178" s="35" t="str">
        <x:v>Повторена оговорка о прежней ненадёжности учёта и карточной регистрации с 1898 года. Оценка автора «довольно близкое к истине» не является независимой проверкой полноты. Коэффициент охвата за 1914 год не приведён; опубликованные события сохранены без корректировки.</x:v>
      </x:c>
      <x:c r="E178" s="35" t="str">
        <x:v>Исходное примечание</x:v>
      </x:c>
      <x:c r="F178" s="35" t="str">
        <x:v>с. 5; RAW copy 2 PDF 9</x:v>
      </x:c>
      <x:c r="G178" s="13" t="str">
        <x:v>Uralskaia-1913-1915(1).xlsx</x:v>
      </x:c>
      <x:c r="H178" s="3"/>
      <x:c r="I178" s="3"/>
    </x:row>
    <x:row r="179" ht="48" customHeight="1">
      <x:c r="A179" s="14" t="str">
        <x:v>1913-1915/R11</x:v>
      </x:c>
      <x:c r="B179" s="14" t="str">
        <x:v>1915</x:v>
      </x:c>
      <x:c r="C179" s="14" t="str">
        <x:v>Полнота регистрации</x:v>
      </x:c>
      <x:c r="D179" s="36" t="str">
        <x:v>Повторено описание карточной регистрации с 1898 года; измерения её полноты нет. В ведомости № 6 нет отдельных строк беженцев и военных потерь. Из этого нельзя установить, какие такие события включены в общие числа. Опубликованные итоги не исправлялись на предполагаемый недоучёт.</x:v>
      </x:c>
      <x:c r="E179" s="36" t="str">
        <x:v>Исходное примечание</x:v>
      </x:c>
      <x:c r="F179" s="36" t="str">
        <x:v>с. 5 и ведомость № 6</x:v>
      </x:c>
      <x:c r="G179" s="14" t="str">
        <x:v>Uralskaia-1913-1915(1).xlsx</x:v>
      </x:c>
      <x:c r="H179" s="12"/>
      <x:c r="I179" s="12"/>
    </x:row>
    <x:row r="180" ht="57" customHeight="1">
      <x:c r="A180" s="13" t="str">
        <x:v>1913-1915/R12</x:v>
      </x:c>
      <x:c r="B180" s="13" t="str">
        <x:v>1913–1915</x:v>
      </x:c>
      <x:c r="C180" s="13" t="str">
        <x:v>Ненулевой сезонный обмен</x:v>
      </x:c>
      <x:c r="D180" s="35" t="str">
        <x:v>На с. 2 ежегодно повторено качественное сообщение о десятках тысяч сельских рабочих, прибывающих весной из соседних губерний и частично возвращающихся после летних работ. Это общее описание подвижности, а не измеренный годовой поток за каждый из трёх лет. Кочевья упомянуты также в направлении Хивы и Бухары.</x:v>
      </x:c>
      <x:c r="E180" s="35" t="str">
        <x:v>Исходное примечание</x:v>
      </x:c>
      <x:c r="F180" s="35" t="str">
        <x:v>с. 2 всех выпусков</x:v>
      </x:c>
      <x:c r="G180" s="13" t="str">
        <x:v>Uralskaia-1913-1915(1).xlsx</x:v>
      </x:c>
      <x:c r="H180" s="3"/>
      <x:c r="I180" s="3"/>
    </x:row>
    <x:row r="181" ht="48" customHeight="1">
      <x:c r="A181" s="14" t="str">
        <x:v>1913-1915/R13</x:v>
      </x:c>
      <x:c r="B181" s="14" t="str">
        <x:v>1913</x:v>
      </x:c>
      <x:c r="C181" s="14" t="str">
        <x:v>Годовая миграция</x:v>
      </x:c>
      <x:c r="D181" s="36" t="str">
        <x:v>Полные годовые итоги прибывших и выбывших жителей обоего пола не найдены. Есть земельный учёт переселенцев и проценты ухода.</x:v>
      </x:c>
      <x:c r="E181" s="36" t="str">
        <x:v>Исходное примечание</x:v>
      </x:c>
      <x:c r="F181" s="36" t="str">
        <x:v>с. 9; RAW PDF 19</x:v>
      </x:c>
      <x:c r="G181" s="14" t="str">
        <x:v>Uralskaia-1913-1915(1).xlsx</x:v>
      </x:c>
      <x:c r="H181" s="12"/>
      <x:c r="I181" s="12"/>
    </x:row>
    <x:row r="182" ht="48" customHeight="1">
      <x:c r="A182" s="13" t="str">
        <x:v>1913-1915/R14</x:v>
      </x:c>
      <x:c r="B182" s="13" t="str">
        <x:v>1914</x:v>
      </x:c>
      <x:c r="C182" s="13" t="str">
        <x:v>Годовая миграция</x:v>
      </x:c>
      <x:c r="D182" s="35" t="str">
        <x:v>Полные годовые итоги прибывших и выбывших жителей обоего пола не найдены. Общий и уездные итоги водворения противоречат друг другу.</x:v>
      </x:c>
      <x:c r="E182" s="35" t="str">
        <x:v>Исходное примечание</x:v>
      </x:c>
      <x:c r="F182" s="35" t="str">
        <x:v>с. 9; RAW copy 2 PDF 13</x:v>
      </x:c>
      <x:c r="G182" s="13" t="str">
        <x:v>Uralskaia-1913-1915(1).xlsx</x:v>
      </x:c>
      <x:c r="H182" s="3"/>
      <x:c r="I182" s="3"/>
    </x:row>
    <x:row r="183" ht="48" customHeight="1">
      <x:c r="A183" s="14" t="str">
        <x:v>1913-1915/R15</x:v>
      </x:c>
      <x:c r="B183" s="14" t="str">
        <x:v>1915</x:v>
      </x:c>
      <x:c r="C183" s="14" t="str">
        <x:v>Годовая миграция</x:v>
      </x:c>
      <x:c r="D183" s="36" t="str">
        <x:v>Полные годовые итоги прибывших и выбывших не найдены. Отдельно сообщено о 6 502 эвакуированных беженцах к 01.01.1916; это не полное годовое сальдо.</x:v>
      </x:c>
      <x:c r="E183" s="36" t="str">
        <x:v>Исходное примечание</x:v>
      </x:c>
      <x:c r="F183" s="36" t="str">
        <x:v>с. 9–10; RAW copy 2 PDF 14–15</x:v>
      </x:c>
      <x:c r="G183" s="14" t="str">
        <x:v>Uralskaia-1913-1915(1).xlsx</x:v>
      </x:c>
      <x:c r="H183" s="12"/>
      <x:c r="I183" s="12"/>
    </x:row>
    <x:row r="184" ht="48" customHeight="1">
      <x:c r="A184" s="13" t="str">
        <x:v>1913-1915/R16</x:v>
      </x:c>
      <x:c r="B184" s="13" t="str">
        <x:v>1913–1915</x:v>
      </x:c>
      <x:c r="C184" s="13" t="str">
        <x:v>Единицы переселенческого учёта</x:v>
      </x:c>
      <x:c r="D184" s="35" t="str">
        <x:v>Душевые земельные доли, зачисления, водворение и процент ухода не равны числу прибывших/выбывших жителей обоего пола. Наличие на конец года не равно притоку за год. Отказы и неявки нельзя автоматически считать эмиграцией: часть зачисленных могла вообще не прибыть.</x:v>
      </x:c>
      <x:c r="E184" s="35" t="str">
        <x:v>Исходное примечание</x:v>
      </x:c>
      <x:c r="F184" s="35" t="str">
        <x:v>с. 9; в 1915 также с. 10</x:v>
      </x:c>
      <x:c r="G184" s="13" t="str">
        <x:v>Uralskaia-1913-1915(1).xlsx</x:v>
      </x:c>
      <x:c r="H184" s="3"/>
      <x:c r="I184" s="3"/>
    </x:row>
    <x:row r="185" ht="48" customHeight="1">
      <x:c r="A185" s="14" t="str">
        <x:v>1913-1915/R17</x:v>
      </x:c>
      <x:c r="B185" s="14" t="str">
        <x:v>1913</x:v>
      </x:c>
      <x:c r="C185" s="14" t="str">
        <x:v>Ошибка прироста в основном тексте</x:v>
      </x:c>
      <x:c r="D185" s="36" t="str">
        <x:v>На с. 5 дважды напечатано 6 393 для прироста «русского» населения. Рождения 12 287 минус смерти 6 894 дают 5 393; мужской и женский прирост 2 724 + 2 669 также даёт 5 393. В сводке принят расчёт 5 393. Итог ведомости № 6 по области: 19 941 − 14 596 = 5 345.</x:v>
      </x:c>
      <x:c r="E185" s="36" t="str">
        <x:v>Исходное примечание</x:v>
      </x:c>
      <x:c r="F185" s="36" t="str">
        <x:v>с. 5 и ведомость № 6; RAW PDF 15, 143</x:v>
      </x:c>
      <x:c r="G185" s="14" t="str">
        <x:v>Uralskaia-1913-1915(1).xlsx</x:v>
      </x:c>
      <x:c r="H185" s="12"/>
      <x:c r="I185" s="12"/>
    </x:row>
    <x:row r="186" ht="57" customHeight="1">
      <x:c r="A186" s="13" t="str">
        <x:v>1913-1915/R18</x:v>
      </x:c>
      <x:c r="B186" s="13" t="str">
        <x:v>1913</x:v>
      </x:c>
      <x:c r="C186" s="13" t="str">
        <x:v>Ошибка женского подытога населения</x:v>
      </x:c>
      <x:c r="D186" s="35" t="str">
        <x:v>На с. 2 у иногородних Уральского уезда напечатано 42 050 мужчин, 29 352 женщины, всего 81 402. Сумма полов не сходится на 10 000; по итоговой женской численности иногородних на с. 3 получается 39 352. Основная сводка использует согласованные областные итоги с. 3, а не сумму ошибочной уездной строки.</x:v>
      </x:c>
      <x:c r="E186" s="35" t="str">
        <x:v>Исходное примечание</x:v>
      </x:c>
      <x:c r="F186" s="35" t="str">
        <x:v>с. 2–3; RAW PDF 12–13</x:v>
      </x:c>
      <x:c r="G186" s="13" t="str">
        <x:v>Uralskaia-1913-1915(1).xlsx</x:v>
      </x:c>
      <x:c r="H186" s="3"/>
      <x:c r="I186" s="3"/>
    </x:row>
    <x:row r="187" ht="48" customHeight="1">
      <x:c r="A187" s="14" t="str">
        <x:v>1913-1915/R19</x:v>
      </x:c>
      <x:c r="B187" s="14" t="str">
        <x:v>1914</x:v>
      </x:c>
      <x:c r="C187" s="14" t="str">
        <x:v>Ошибка числа рождённых девочек</x:v>
      </x:c>
      <x:c r="D187" s="36" t="str">
        <x:v>На с. 5 у «киргизского» населения напечатано 3 196 девочек при 4 351 мальчике и итоге 7 647. В ведомости № 6 указано 3 296 девочек: 4 351 + 3 296 = 7 647. Для обоих полов принят подтверждённый итог 7 647.</x:v>
      </x:c>
      <x:c r="E187" s="36" t="str">
        <x:v>Исходное примечание</x:v>
      </x:c>
      <x:c r="F187" s="36" t="str">
        <x:v>с. 5 и ведомость № 6; RAW copy 2 PDF 9, 160</x:v>
      </x:c>
      <x:c r="G187" s="14" t="str">
        <x:v>Uralskaia-1913-1915(1).xlsx</x:v>
      </x:c>
      <x:c r="H187" s="12"/>
      <x:c r="I187" s="12"/>
    </x:row>
    <x:row r="188" ht="48" customHeight="1">
      <x:c r="A188" s="13" t="str">
        <x:v>1913-1915/R20</x:v>
      </x:c>
      <x:c r="B188" s="13" t="str">
        <x:v>1914</x:v>
      </x:c>
      <x:c r="C188" s="13" t="str">
        <x:v>Ошибка смертей в Уральске</x:v>
      </x:c>
      <x:c r="D188" s="35" t="str">
        <x:v>В строке города Уральска ведомости № 6 напечатано 626 умерших, хотя 481 + 345 = 826; прирост +764 также требует 826. Областной итог 14 953 и итог «русского» населения 7 272 согласованы с суммами полов. В сводке использованы эти агрегаты.</x:v>
      </x:c>
      <x:c r="E188" s="35" t="str">
        <x:v>Исходное примечание</x:v>
      </x:c>
      <x:c r="F188" s="35" t="str">
        <x:v>ведомость № 6; RAW copy 2 PDF 160</x:v>
      </x:c>
      <x:c r="G188" s="13" t="str">
        <x:v>Uralskaia-1913-1915(1).xlsx</x:v>
      </x:c>
      <x:c r="H188" s="3"/>
      <x:c r="I188" s="3"/>
    </x:row>
    <x:row r="189" ht="48" customHeight="1">
      <x:c r="A189" s="14" t="str">
        <x:v>1913-1915/R21</x:v>
      </x:c>
      <x:c r="B189" s="14" t="str">
        <x:v>1914</x:v>
      </x:c>
      <x:c r="C189" s="14" t="str">
        <x:v>Несогласованность водворения</x:v>
      </x:c>
      <x:c r="D189" s="36" t="str">
        <x:v>На с. 9 общий итог водворенных напечатан 37 958, а уездные — 27 029 и 12 234, то есть 39 263. Это расхождение источника на 1 305 долей. Значения сохранены раздельно; предполагаемое исправление общего итога не делалось.</x:v>
      </x:c>
      <x:c r="E189" s="36" t="str">
        <x:v>Исходное примечание</x:v>
      </x:c>
      <x:c r="F189" s="36" t="str">
        <x:v>с. 9; RAW copy 2 PDF 13</x:v>
      </x:c>
      <x:c r="G189" s="14" t="str">
        <x:v>Uralskaia-1913-1915(1).xlsx</x:v>
      </x:c>
      <x:c r="H189" s="12"/>
      <x:c r="I189" s="12"/>
    </x:row>
    <x:row r="190" ht="57" customHeight="1">
      <x:c r="A190" s="13" t="str">
        <x:v>1913-1915/R22</x:v>
      </x:c>
      <x:c r="B190" s="13" t="str">
        <x:v>1915</x:v>
      </x:c>
      <x:c r="C190" s="13" t="str">
        <x:v>Ошибки подытогов населения</x:v>
      </x:c>
      <x:c r="D190" s="35" t="str">
        <x:v>На с. 2 у непричисленных русских Уральского уезда напечатано всего 3 084 при 2 576 мужчинах и 2 508 женщинах (сумма 5 084). На с. 3 у торгово-промышленных пунктов напечатано 3 838 мужчин, но итог 6 657 и с. 4 требуют 3 238. Областные итоги 866 946 и «киргизское» 481 911 сохранены: они согласуются с итогами полов и суммой категорий обоего пола.</x:v>
      </x:c>
      <x:c r="E190" s="35" t="str">
        <x:v>Исходное примечание</x:v>
      </x:c>
      <x:c r="F190" s="35" t="str">
        <x:v>с. 2–4; RAW copy 2 PDF 7–9</x:v>
      </x:c>
      <x:c r="G190" s="13" t="str">
        <x:v>Uralskaia-1913-1915(1).xlsx</x:v>
      </x:c>
      <x:c r="H190" s="3"/>
      <x:c r="I190" s="3"/>
    </x:row>
    <x:row r="191" ht="48" customHeight="1">
      <x:c r="A191" s="14" t="str">
        <x:v>1913-1915/R23</x:v>
      </x:c>
      <x:c r="B191" s="14" t="str">
        <x:v>1915</x:v>
      </x:c>
      <x:c r="C191" s="14" t="str">
        <x:v>Издательская поправка водворения</x:v>
      </x:c>
      <x:c r="D191" s="36" t="str">
        <x:v>Лист «Опечатки» предписывает читать на с. 9 число 26 189 как 26 149. В таблице переселения принято 26 149. Вместе с 12 751 по Темирскому уезду это 38 900, тогда как общий итог в тексте 38 935. Расхождение 35 долей сохранено и не обращено в миграционный поток.</x:v>
      </x:c>
      <x:c r="E191" s="36" t="str">
        <x:v>Исходное примечание</x:v>
      </x:c>
      <x:c r="F191" s="36" t="str">
        <x:v>лист «Опечатки» и с. 9; RAW copy 2 PDF 2, 14</x:v>
      </x:c>
      <x:c r="G191" s="14" t="str">
        <x:v>Uralskaia-1913-1915(1).xlsx</x:v>
      </x:c>
      <x:c r="H191" s="12"/>
      <x:c r="I191" s="12"/>
    </x:row>
    <x:row r="192" ht="48" customHeight="1">
      <x:c r="A192" s="13" t="str">
        <x:v>1913-1915/R24</x:v>
      </x:c>
      <x:c r="B192" s="13" t="str">
        <x:v>1915</x:v>
      </x:c>
      <x:c r="C192" s="13" t="str">
        <x:v>Ошибки OCR</x:v>
      </x:c>
      <x:c r="D192" s="35" t="str">
        <x:v>На изображении с. 9 отказавшиеся/неявившиеся в Темирском уезде — 2½%, тогда как OCR теряет целую часть. В последней строке ведомости № 6 прирост +6 004, а не +6 001 из OCR. В сводке приняты 2,5% и 6 004. Это ошибки распознавания, в отличие от перечисленных выше печатных ошибок.</x:v>
      </x:c>
      <x:c r="E192" s="35" t="str">
        <x:v>Исходное примечание</x:v>
      </x:c>
      <x:c r="F192" s="35" t="str">
        <x:v>с. 9 и ведомость № 6</x:v>
      </x:c>
      <x:c r="G192" s="13" t="str">
        <x:v>Uralskaia-1913-1915(1).xlsx</x:v>
      </x:c>
      <x:c r="H192" s="3"/>
      <x:c r="I192" s="3"/>
    </x:row>
    <x:row r="193" ht="57" customHeight="1">
      <x:c r="A193" s="14" t="str">
        <x:v>1913-1915/R25</x:v>
      </x:c>
      <x:c r="B193" s="14" t="str">
        <x:v>1915</x:v>
      </x:c>
      <x:c r="C193" s="14" t="str">
        <x:v>Беженцы</x:v>
      </x:c>
      <x:c r="D193" s="36" t="str">
        <x:v>К 01.01.1916 сообщено о 6 502 эвакуированных беженцах: 3 427 взрослых и 3 075 детей. Выходцы из 19 губерний, преимущественно Львовской, Гродненской и Волынской; около трети размещено в Уральске. Отдельного баланса прибытия и выбытия беженцев нет. Включение этого итога в 866 946 жителей не оговорено, поэтому он не прибавлялся к численности и к балансовому остатку.</x:v>
      </x:c>
      <x:c r="E193" s="36" t="str">
        <x:v>Исходное примечание</x:v>
      </x:c>
      <x:c r="F193" s="36" t="str">
        <x:v>с. 138; RAW copy 2 PDF 143</x:v>
      </x:c>
      <x:c r="G193" s="14" t="str">
        <x:v>Uralskaia-1913-1915(1).xlsx</x:v>
      </x:c>
      <x:c r="H193" s="12"/>
      <x:c r="I193" s="12"/>
    </x:row>
    <x:row r="194" ht="57" customHeight="1">
      <x:c r="A194" s="13" t="str">
        <x:v>1913-1915/R26</x:v>
      </x:c>
      <x:c r="B194" s="13" t="str">
        <x:v>1913–1915</x:v>
      </x:c>
      <x:c r="C194" s="13" t="str">
        <x:v>Отход на заработки</x:v>
      </x:c>
      <x:c r="D194" s="35" t="str">
        <x:v>На работах на стороне отмечено 318 переселенческих семей в 1913 году, 403 в 1914-м и 242 в 1915-м. Названы Оренбургская и Самарская губернии; в 1914–1915 годах также работы внутри Уральской области. Это сведения о трудовой подвижности в семьях, не число безвозвратно выбывших жителей. Внешний и внутренний отход не разделены.</x:v>
      </x:c>
      <x:c r="E194" s="35" t="str">
        <x:v>Исходное примечание</x:v>
      </x:c>
      <x:c r="F194" s="35" t="str">
        <x:v>1913 с. 67 (OCR PDF 76); 1914 с. 87 (OCR PDF 94); 1915 с. 69 (OCR PDF 78)</x:v>
      </x:c>
      <x:c r="G194" s="13" t="str">
        <x:v>Uralskaia-1913-1915(1).xlsx</x:v>
      </x:c>
      <x:c r="H194" s="3"/>
      <x:c r="I194" s="3"/>
    </x:row>
    <x:row r="195" ht="57" customHeight="1">
      <x:c r="A195" s="14" t="str">
        <x:v>1913-1915/R27</x:v>
      </x:c>
      <x:c r="B195" s="14" t="str">
        <x:v>1915</x:v>
      </x:c>
      <x:c r="C195" s="14" t="str">
        <x:v>Неполнота промыслового учёта</x:v>
      </x:c>
      <x:c r="D195" s="36" t="str">
        <x:v>В таблицу занятых рыболовством XIX морского участка не вошли пришлые «адайцы» и часть «джамбайцев»: их кратковременная деятельность не поддавалась регистрации. Сведения о рыболовах по протокам и ильменям также признаны непригодными. Это оговорка о промысловой статистике, а не измерение охвата регистрации рождений и смертей.</x:v>
      </x:c>
      <x:c r="E195" s="36" t="str">
        <x:v>Исходное примечание</x:v>
      </x:c>
      <x:c r="F195" s="36" t="str">
        <x:v>с. 63; OCR PDF 72</x:v>
      </x:c>
      <x:c r="G195" s="14" t="str">
        <x:v>Uralskaia-1913-1915(1).xlsx</x:v>
      </x:c>
      <x:c r="H195" s="12"/>
      <x:c r="I195" s="12"/>
    </x:row>
    <x:row r="196" ht="57" customHeight="1">
      <x:c r="A196" s="13" t="str">
        <x:v>1913-1915/R28</x:v>
      </x:c>
      <x:c r="B196" s="13" t="str">
        <x:v>1914–1915</x:v>
      </x:c>
      <x:c r="C196" s="13" t="str">
        <x:v>Балансовый остаток</x:v>
      </x:c>
      <x:c r="D196" s="35" t="str">
        <x:v>ΔP − (B − D) составляет 14 846 в 1914 году и 4 420 в 1915 году. Это расчётный остаток, который может включать миграцию и изменения/погрешности административного учёта. Он не является непосредственно зарегистрированным сальдо. У «киргизского» населения ΔP точно равна B − D в обоих годах, что согласуется с накопительным способом оценки и не доказывает отсутствия миграции.</x:v>
      </x:c>
      <x:c r="E196" s="35" t="str">
        <x:v>Исходное примечание</x:v>
      </x:c>
      <x:c r="F196" s="35" t="str">
        <x:v>расчёт по опубликованным областным итогам</x:v>
      </x:c>
      <x:c r="G196" s="13" t="str">
        <x:v>Uralskaia-1913-1915(1).xlsx</x:v>
      </x:c>
      <x:c r="H196" s="3"/>
      <x:c r="I196" s="3"/>
    </x:row>
  </x:sheetData>
  <x:pageMargins left="0.7" right="0.7" top="0.75" bottom="0.75" header="0.3" footer="0.3"/>
  <x:tableParts count="1">
    <x:tablePart xmlns:r="http://schemas.openxmlformats.org/officeDocument/2006/relationships" r:id="R78827c8c103b4d73"/>
  </x:tableParts>
</x:worksheet>
</file>