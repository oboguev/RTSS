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pre1917\output\"/>
    </mc:Choice>
  </mc:AlternateContent>
  <xr:revisionPtr revIDLastSave="0" documentId="13_ncr:1_{29C3C2F9-9583-4542-A943-9518A1487B6C}" xr6:coauthVersionLast="45" xr6:coauthVersionMax="45" xr10:uidLastSave="{00000000-0000-0000-0000-000000000000}"/>
  <bookViews>
    <workbookView xWindow="2295" yWindow="1635" windowWidth="21165" windowHeight="21885" xr2:uid="{CD6A3FA1-ECCF-46AD-86DE-0432F21AB25D}"/>
  </bookViews>
  <sheets>
    <sheet name="Империя" sheetId="4" r:id="rId1"/>
    <sheet name="РСФСР-1991" sheetId="3" r:id="rId2"/>
  </sheets>
  <definedNames>
    <definedName name="NGR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5" i="4" l="1"/>
  <c r="V14" i="4"/>
  <c r="U15" i="4"/>
  <c r="U14" i="4"/>
  <c r="U16" i="4"/>
  <c r="U1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O26" i="3"/>
  <c r="O26" i="4" l="1"/>
  <c r="M22" i="4"/>
  <c r="I22" i="4"/>
  <c r="M21" i="4"/>
  <c r="I21" i="4"/>
  <c r="M20" i="4"/>
  <c r="I20" i="4"/>
  <c r="M19" i="4"/>
  <c r="I19" i="4"/>
  <c r="M18" i="4"/>
  <c r="I18" i="4"/>
  <c r="M17" i="4"/>
  <c r="I17" i="4"/>
  <c r="M16" i="4"/>
  <c r="I16" i="4"/>
  <c r="J16" i="4" s="1"/>
  <c r="M15" i="4"/>
  <c r="I15" i="4"/>
  <c r="M14" i="4"/>
  <c r="I14" i="4"/>
  <c r="M13" i="4"/>
  <c r="I13" i="4"/>
  <c r="M12" i="4"/>
  <c r="I12" i="4"/>
  <c r="J13" i="4" s="1"/>
  <c r="M11" i="4"/>
  <c r="I11" i="4"/>
  <c r="M10" i="4"/>
  <c r="I10" i="4"/>
  <c r="M9" i="4"/>
  <c r="I9" i="4"/>
  <c r="M8" i="4"/>
  <c r="I8" i="4"/>
  <c r="M7" i="4"/>
  <c r="I7" i="4"/>
  <c r="M6" i="4"/>
  <c r="I6" i="4"/>
  <c r="M5" i="4"/>
  <c r="I5" i="4"/>
  <c r="M22" i="3"/>
  <c r="M21" i="3"/>
  <c r="M20" i="3"/>
  <c r="M19" i="3"/>
  <c r="M18" i="3"/>
  <c r="M17" i="3"/>
  <c r="M16" i="3"/>
  <c r="M15" i="3"/>
  <c r="M14" i="3"/>
  <c r="M13" i="3"/>
  <c r="M12" i="3"/>
  <c r="N12" i="3" s="1"/>
  <c r="M11" i="3"/>
  <c r="M10" i="3"/>
  <c r="M9" i="3"/>
  <c r="M8" i="3"/>
  <c r="M7" i="3"/>
  <c r="M6" i="3"/>
  <c r="M5" i="3"/>
  <c r="I22" i="3"/>
  <c r="I21" i="3"/>
  <c r="I20" i="3"/>
  <c r="I19" i="3"/>
  <c r="I18" i="3"/>
  <c r="I17" i="3"/>
  <c r="I16" i="3"/>
  <c r="J16" i="3" s="1"/>
  <c r="I15" i="3"/>
  <c r="I14" i="3"/>
  <c r="I13" i="3"/>
  <c r="I12" i="3"/>
  <c r="J13" i="3" s="1"/>
  <c r="I11" i="3"/>
  <c r="I10" i="3"/>
  <c r="I9" i="3"/>
  <c r="I8" i="3"/>
  <c r="I7" i="3"/>
  <c r="I6" i="3"/>
  <c r="I5" i="3"/>
  <c r="N16" i="3" l="1"/>
  <c r="N16" i="4"/>
  <c r="N12" i="4"/>
  <c r="J15" i="4"/>
  <c r="K15" i="4" s="1"/>
  <c r="J14" i="4"/>
  <c r="K14" i="4" s="1"/>
  <c r="K25" i="4" s="1"/>
  <c r="K28" i="4" s="1"/>
  <c r="N13" i="4"/>
  <c r="O13" i="4" s="1"/>
  <c r="N15" i="4"/>
  <c r="O15" i="4" s="1"/>
  <c r="N14" i="4"/>
  <c r="O14" i="4" s="1"/>
  <c r="J15" i="3"/>
  <c r="K15" i="3" s="1"/>
  <c r="N14" i="3"/>
  <c r="O14" i="3" s="1"/>
  <c r="N15" i="3"/>
  <c r="O15" i="3" s="1"/>
  <c r="N13" i="3"/>
  <c r="O13" i="3" s="1"/>
  <c r="J14" i="3"/>
  <c r="K14" i="3" s="1"/>
  <c r="K25" i="3" s="1"/>
  <c r="K28" i="3" s="1"/>
  <c r="O25" i="3" l="1"/>
  <c r="O25" i="4"/>
  <c r="O28" i="4" s="1"/>
  <c r="O28" i="3"/>
  <c r="O35" i="3" s="1"/>
  <c r="O35" i="4" l="1"/>
  <c r="K31" i="4"/>
  <c r="K35" i="4" s="1"/>
  <c r="K31" i="3"/>
  <c r="K35" i="3" s="1"/>
</calcChain>
</file>

<file path=xl/sharedStrings.xml><?xml version="1.0" encoding="utf-8"?>
<sst xmlns="http://schemas.openxmlformats.org/spreadsheetml/2006/main" count="52" uniqueCount="23">
  <si>
    <t>чр</t>
  </si>
  <si>
    <t>чс</t>
  </si>
  <si>
    <t>чр-до-после</t>
  </si>
  <si>
    <t>чс-до-после</t>
  </si>
  <si>
    <t>потери чр</t>
  </si>
  <si>
    <t>и интерполяция</t>
  </si>
  <si>
    <t>год</t>
  </si>
  <si>
    <t>р</t>
  </si>
  <si>
    <t>с</t>
  </si>
  <si>
    <t>чж</t>
  </si>
  <si>
    <t>избыток чс</t>
  </si>
  <si>
    <t>потери чр всего</t>
  </si>
  <si>
    <t>потери старше 2 лет</t>
  </si>
  <si>
    <t>избыток чс всего</t>
  </si>
  <si>
    <t>избыток чс в тылу</t>
  </si>
  <si>
    <t>военные чс</t>
  </si>
  <si>
    <t>дефицит чс и чр</t>
  </si>
  <si>
    <t>Демографические потери в событиях 1905-1907 гг. для населения территории Империи</t>
  </si>
  <si>
    <t>Демографические потери в событиях 1905-1907 гг. для населения территории РСФСР-1991</t>
  </si>
  <si>
    <t>разы больше военных чс</t>
  </si>
  <si>
    <t>мигр</t>
  </si>
  <si>
    <t>мигр-до-после</t>
  </si>
  <si>
    <t>избыток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</si>
</sst>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3" fontId="1" fillId="0" borderId="0" xfId="0" applyNumberFormat="1" applyFont="1"/>
    <xf numFmtId="0" fontId="2" fillId="0" borderId="0" xfId="0" applyFont="1"/>
    <xf numFmtId="3" fontId="1" fillId="0" borderId="0" xfId="0" applyNumberFormat="1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Font="1" applyBorder="1"/>
    <xf numFmtId="165" fontId="0" fillId="0" borderId="0" xfId="0" applyNumberFormat="1" applyFont="1" applyBorder="1"/>
    <xf numFmtId="0" fontId="3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3" fontId="0" fillId="0" borderId="0" xfId="0" applyNumberFormat="1" applyFont="1" applyBorder="1"/>
    <xf numFmtId="0" fontId="0" fillId="2" borderId="0" xfId="0" applyFont="1" applyFill="1" applyBorder="1" applyAlignment="1">
      <alignment horizontal="center" vertical="center" wrapText="1"/>
    </xf>
    <xf numFmtId="3" fontId="0" fillId="2" borderId="0" xfId="0" applyNumberFormat="1" applyFont="1" applyFill="1" applyBorder="1"/>
    <xf numFmtId="3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164" fontId="0" fillId="0" borderId="0" xfId="0" applyNumberFormat="1" applyFont="1" applyBorder="1"/>
    <xf numFmtId="0" fontId="0" fillId="0" borderId="0" xfId="0" applyFont="1"/>
    <xf numFmtId="165" fontId="0" fillId="0" borderId="0" xfId="0" applyNumberFormat="1" applyFont="1"/>
    <xf numFmtId="3" fontId="0" fillId="0" borderId="0" xfId="0" applyNumberFormat="1" applyFont="1"/>
    <xf numFmtId="3" fontId="0" fillId="2" borderId="0" xfId="0" applyNumberFormat="1" applyFont="1" applyFill="1"/>
    <xf numFmtId="165" fontId="0" fillId="0" borderId="0" xfId="0" applyNumberFormat="1" applyFont="1" applyBorder="1" applyAlignment="1">
      <alignment vertical="center" wrapText="1"/>
    </xf>
    <xf numFmtId="164" fontId="0" fillId="0" borderId="0" xfId="0" applyNumberFormat="1" applyFont="1"/>
    <xf numFmtId="0" fontId="0" fillId="0" borderId="0" xfId="0" applyFont="1" applyBorder="1" applyAlignment="1">
      <alignment horizontal="right"/>
    </xf>
    <xf numFmtId="165" fontId="1" fillId="0" borderId="0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3" fontId="3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/>
    </xf>
    <xf numFmtId="3" fontId="3" fillId="0" borderId="0" xfId="0" applyNumberFormat="1" applyFont="1" applyBorder="1" applyAlignment="1">
      <alignment horizontal="center" vertical="center" wrapText="1"/>
    </xf>
    <xf numFmtId="165" fontId="3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Империя!$T$4</c:f>
              <c:strCache>
                <c:ptCount val="1"/>
                <c:pt idx="0">
                  <c:v>мигр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Империя!$S$5:$S$22</c:f>
              <c:numCache>
                <c:formatCode>General</c:formatCode>
                <c:ptCount val="18"/>
                <c:pt idx="0">
                  <c:v>1896</c:v>
                </c:pt>
                <c:pt idx="1">
                  <c:v>1897</c:v>
                </c:pt>
                <c:pt idx="2">
                  <c:v>1898</c:v>
                </c:pt>
                <c:pt idx="3">
                  <c:v>1899</c:v>
                </c:pt>
                <c:pt idx="4">
                  <c:v>1900</c:v>
                </c:pt>
                <c:pt idx="5">
                  <c:v>1901</c:v>
                </c:pt>
                <c:pt idx="6">
                  <c:v>1902</c:v>
                </c:pt>
                <c:pt idx="7">
                  <c:v>1903</c:v>
                </c:pt>
                <c:pt idx="8">
                  <c:v>1904</c:v>
                </c:pt>
                <c:pt idx="9">
                  <c:v>1905</c:v>
                </c:pt>
                <c:pt idx="10">
                  <c:v>1906</c:v>
                </c:pt>
                <c:pt idx="11">
                  <c:v>1907</c:v>
                </c:pt>
                <c:pt idx="12">
                  <c:v>1908</c:v>
                </c:pt>
                <c:pt idx="13">
                  <c:v>1909</c:v>
                </c:pt>
                <c:pt idx="14">
                  <c:v>1910</c:v>
                </c:pt>
                <c:pt idx="15">
                  <c:v>1911</c:v>
                </c:pt>
                <c:pt idx="16">
                  <c:v>1912</c:v>
                </c:pt>
                <c:pt idx="17">
                  <c:v>1913</c:v>
                </c:pt>
              </c:numCache>
            </c:numRef>
          </c:xVal>
          <c:yVal>
            <c:numRef>
              <c:f>Империя!$T$5:$T$22</c:f>
              <c:numCache>
                <c:formatCode>#,##0</c:formatCode>
                <c:ptCount val="18"/>
                <c:pt idx="0">
                  <c:v>20573</c:v>
                </c:pt>
                <c:pt idx="1">
                  <c:v>63602</c:v>
                </c:pt>
                <c:pt idx="2">
                  <c:v>59624</c:v>
                </c:pt>
                <c:pt idx="3">
                  <c:v>40206</c:v>
                </c:pt>
                <c:pt idx="4">
                  <c:v>6798</c:v>
                </c:pt>
                <c:pt idx="5">
                  <c:v>20407</c:v>
                </c:pt>
                <c:pt idx="6">
                  <c:v>4557</c:v>
                </c:pt>
                <c:pt idx="7">
                  <c:v>-40101</c:v>
                </c:pt>
                <c:pt idx="8">
                  <c:v>-81471</c:v>
                </c:pt>
                <c:pt idx="9">
                  <c:v>-171743</c:v>
                </c:pt>
                <c:pt idx="10">
                  <c:v>-204101</c:v>
                </c:pt>
                <c:pt idx="11">
                  <c:v>-57734</c:v>
                </c:pt>
                <c:pt idx="12">
                  <c:v>-3929</c:v>
                </c:pt>
                <c:pt idx="13">
                  <c:v>5878</c:v>
                </c:pt>
                <c:pt idx="14">
                  <c:v>-86789</c:v>
                </c:pt>
                <c:pt idx="15">
                  <c:v>-16960</c:v>
                </c:pt>
                <c:pt idx="16">
                  <c:v>-81648</c:v>
                </c:pt>
                <c:pt idx="17">
                  <c:v>-48434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96-48E0-8D5E-B93542014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346360"/>
        <c:axId val="519342096"/>
      </c:scatterChart>
      <c:valAx>
        <c:axId val="519346360"/>
        <c:scaling>
          <c:orientation val="minMax"/>
          <c:max val="1913"/>
          <c:min val="189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342096"/>
        <c:crosses val="autoZero"/>
        <c:crossBetween val="midCat"/>
        <c:majorUnit val="1"/>
      </c:valAx>
      <c:valAx>
        <c:axId val="51934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9346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604837</xdr:colOff>
      <xdr:row>32</xdr:row>
      <xdr:rowOff>23811</xdr:rowOff>
    </xdr:from>
    <xdr:to>
      <xdr:col>28</xdr:col>
      <xdr:colOff>600075</xdr:colOff>
      <xdr:row>56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E09AB-5626-4803-9B1B-A1DA3D0C5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487C-1685-47AC-95F8-BCE843CF213E}">
  <dimension ref="A1:V39"/>
  <sheetViews>
    <sheetView tabSelected="1" workbookViewId="0">
      <selection activeCell="F45" sqref="F45"/>
    </sheetView>
  </sheetViews>
  <sheetFormatPr defaultRowHeight="15" x14ac:dyDescent="0.25"/>
  <cols>
    <col min="1" max="1" width="9.140625" style="18"/>
    <col min="2" max="2" width="13.5703125" style="18" customWidth="1"/>
    <col min="3" max="3" width="11.5703125" style="19" customWidth="1"/>
    <col min="4" max="4" width="9.140625" style="19"/>
    <col min="5" max="5" width="9.140625" style="18"/>
    <col min="6" max="7" width="10.140625" style="18" bestFit="1" customWidth="1"/>
    <col min="8" max="8" width="14.140625" style="18" customWidth="1"/>
    <col min="9" max="9" width="12.7109375" style="18" customWidth="1"/>
    <col min="10" max="10" width="15.5703125" style="18" customWidth="1"/>
    <col min="11" max="12" width="12.7109375" style="18" customWidth="1"/>
    <col min="13" max="13" width="12.140625" style="18" customWidth="1"/>
    <col min="14" max="14" width="17.85546875" style="18" customWidth="1"/>
    <col min="15" max="15" width="13.85546875" style="18" customWidth="1"/>
    <col min="16" max="20" width="9.140625" style="18"/>
    <col min="21" max="21" width="20.5703125" style="18" customWidth="1"/>
    <col min="22" max="16384" width="9.140625" style="18"/>
  </cols>
  <sheetData>
    <row r="1" spans="1:22" ht="18.75" x14ac:dyDescent="0.3">
      <c r="A1" s="2" t="s">
        <v>17</v>
      </c>
    </row>
    <row r="3" spans="1:22" x14ac:dyDescent="0.25">
      <c r="J3" s="5" t="s">
        <v>2</v>
      </c>
      <c r="N3" s="5" t="s">
        <v>3</v>
      </c>
      <c r="U3" s="5" t="s">
        <v>21</v>
      </c>
      <c r="V3" s="4" t="s">
        <v>22</v>
      </c>
    </row>
    <row r="4" spans="1:22" x14ac:dyDescent="0.25">
      <c r="A4" s="5" t="s">
        <v>6</v>
      </c>
      <c r="B4" s="5" t="s">
        <v>9</v>
      </c>
      <c r="C4" s="26" t="s">
        <v>7</v>
      </c>
      <c r="D4" s="26" t="s">
        <v>8</v>
      </c>
      <c r="E4" s="6" t="s">
        <v>20</v>
      </c>
      <c r="F4" s="4"/>
      <c r="G4" s="4"/>
      <c r="H4" s="5" t="s">
        <v>6</v>
      </c>
      <c r="I4" s="5" t="s">
        <v>0</v>
      </c>
      <c r="J4" s="5" t="s">
        <v>5</v>
      </c>
      <c r="K4" s="5" t="s">
        <v>4</v>
      </c>
      <c r="L4" s="5" t="s">
        <v>6</v>
      </c>
      <c r="M4" s="5" t="s">
        <v>1</v>
      </c>
      <c r="N4" s="5" t="s">
        <v>5</v>
      </c>
      <c r="O4" s="5" t="s">
        <v>10</v>
      </c>
      <c r="S4" s="5" t="s">
        <v>6</v>
      </c>
      <c r="T4" s="6" t="s">
        <v>20</v>
      </c>
      <c r="U4" s="5" t="s">
        <v>5</v>
      </c>
      <c r="V4" s="6" t="s">
        <v>20</v>
      </c>
    </row>
    <row r="5" spans="1:22" x14ac:dyDescent="0.25">
      <c r="A5" s="10">
        <v>1896</v>
      </c>
      <c r="B5" s="29">
        <v>124402156</v>
      </c>
      <c r="C5" s="10">
        <v>49.4</v>
      </c>
      <c r="D5" s="10">
        <v>32.200000000000003</v>
      </c>
      <c r="E5" s="27">
        <v>20573</v>
      </c>
      <c r="F5" s="8"/>
      <c r="G5" s="8"/>
      <c r="H5" s="11">
        <v>1896</v>
      </c>
      <c r="I5" s="12">
        <f>B5*C5/1000</f>
        <v>6145466.5063999994</v>
      </c>
      <c r="J5" s="12"/>
      <c r="K5" s="12"/>
      <c r="L5" s="11">
        <v>1896</v>
      </c>
      <c r="M5" s="12">
        <f>B5*D5/1000</f>
        <v>4005749.4232000001</v>
      </c>
      <c r="N5" s="8"/>
      <c r="S5" s="11">
        <v>1896</v>
      </c>
      <c r="T5" s="20">
        <f>E5</f>
        <v>20573</v>
      </c>
    </row>
    <row r="6" spans="1:22" x14ac:dyDescent="0.25">
      <c r="A6" s="10">
        <v>1897</v>
      </c>
      <c r="B6" s="29">
        <v>126660365</v>
      </c>
      <c r="C6" s="10">
        <v>49.2</v>
      </c>
      <c r="D6" s="10">
        <v>30.9</v>
      </c>
      <c r="E6" s="27">
        <v>63602</v>
      </c>
      <c r="F6" s="8"/>
      <c r="G6" s="8"/>
      <c r="H6" s="11">
        <v>1897</v>
      </c>
      <c r="I6" s="12">
        <f t="shared" ref="I6:I22" si="0">B6*C6/1000</f>
        <v>6231689.9579999996</v>
      </c>
      <c r="J6" s="12"/>
      <c r="K6" s="12"/>
      <c r="L6" s="11">
        <v>1897</v>
      </c>
      <c r="M6" s="12">
        <f t="shared" ref="M6:M22" si="1">B6*D6/1000</f>
        <v>3913805.2785</v>
      </c>
      <c r="N6" s="8"/>
      <c r="S6" s="11">
        <v>1897</v>
      </c>
      <c r="T6" s="20">
        <f t="shared" ref="T6:T22" si="2">E6</f>
        <v>63602</v>
      </c>
    </row>
    <row r="7" spans="1:22" x14ac:dyDescent="0.25">
      <c r="A7" s="10">
        <v>1898</v>
      </c>
      <c r="B7" s="29">
        <v>128850846</v>
      </c>
      <c r="C7" s="10">
        <v>47.7</v>
      </c>
      <c r="D7" s="10">
        <v>32.200000000000003</v>
      </c>
      <c r="E7" s="27">
        <v>59624</v>
      </c>
      <c r="F7" s="8"/>
      <c r="G7" s="8"/>
      <c r="H7" s="11">
        <v>1898</v>
      </c>
      <c r="I7" s="12">
        <f t="shared" si="0"/>
        <v>6146185.3542000009</v>
      </c>
      <c r="J7" s="12"/>
      <c r="K7" s="12"/>
      <c r="L7" s="11">
        <v>1898</v>
      </c>
      <c r="M7" s="12">
        <f t="shared" si="1"/>
        <v>4148997.2412000005</v>
      </c>
      <c r="N7" s="8"/>
      <c r="S7" s="11">
        <v>1898</v>
      </c>
      <c r="T7" s="20">
        <f t="shared" si="2"/>
        <v>59624</v>
      </c>
    </row>
    <row r="8" spans="1:22" x14ac:dyDescent="0.25">
      <c r="A8" s="10">
        <v>1899</v>
      </c>
      <c r="B8" s="29">
        <v>131026209</v>
      </c>
      <c r="C8" s="10">
        <v>48.1</v>
      </c>
      <c r="D8" s="10">
        <v>30.3</v>
      </c>
      <c r="E8" s="27">
        <v>40206</v>
      </c>
      <c r="F8" s="8"/>
      <c r="G8" s="8"/>
      <c r="H8" s="11">
        <v>1899</v>
      </c>
      <c r="I8" s="12">
        <f t="shared" si="0"/>
        <v>6302360.652900001</v>
      </c>
      <c r="J8" s="12"/>
      <c r="K8" s="12"/>
      <c r="L8" s="11">
        <v>1899</v>
      </c>
      <c r="M8" s="12">
        <f t="shared" si="1"/>
        <v>3970094.1327000004</v>
      </c>
      <c r="N8" s="8"/>
      <c r="S8" s="11">
        <v>1899</v>
      </c>
      <c r="T8" s="20">
        <f t="shared" si="2"/>
        <v>40206</v>
      </c>
    </row>
    <row r="9" spans="1:22" x14ac:dyDescent="0.25">
      <c r="A9" s="10">
        <v>1900</v>
      </c>
      <c r="B9" s="29">
        <v>133378985</v>
      </c>
      <c r="C9" s="10">
        <v>48.6</v>
      </c>
      <c r="D9" s="10">
        <v>30.3</v>
      </c>
      <c r="E9" s="27">
        <v>6798</v>
      </c>
      <c r="F9" s="8"/>
      <c r="G9" s="8"/>
      <c r="H9" s="11">
        <v>1900</v>
      </c>
      <c r="I9" s="12">
        <f t="shared" si="0"/>
        <v>6482218.6710000001</v>
      </c>
      <c r="J9" s="12"/>
      <c r="K9" s="12"/>
      <c r="L9" s="11">
        <v>1900</v>
      </c>
      <c r="M9" s="12">
        <f t="shared" si="1"/>
        <v>4041383.2455000002</v>
      </c>
      <c r="N9" s="8"/>
      <c r="S9" s="11">
        <v>1900</v>
      </c>
      <c r="T9" s="20">
        <f t="shared" si="2"/>
        <v>6798</v>
      </c>
    </row>
    <row r="10" spans="1:22" x14ac:dyDescent="0.25">
      <c r="A10" s="10">
        <v>1901</v>
      </c>
      <c r="B10" s="29">
        <v>135680595</v>
      </c>
      <c r="C10" s="10">
        <v>47.5</v>
      </c>
      <c r="D10" s="10">
        <v>31.1</v>
      </c>
      <c r="E10" s="27">
        <v>20407</v>
      </c>
      <c r="F10" s="8"/>
      <c r="G10" s="8"/>
      <c r="H10" s="11">
        <v>1901</v>
      </c>
      <c r="I10" s="12">
        <f t="shared" si="0"/>
        <v>6444828.2625000002</v>
      </c>
      <c r="J10" s="12"/>
      <c r="K10" s="12"/>
      <c r="L10" s="11">
        <v>1901</v>
      </c>
      <c r="M10" s="12">
        <f t="shared" si="1"/>
        <v>4219666.5044999998</v>
      </c>
      <c r="N10" s="8"/>
      <c r="S10" s="11">
        <v>1901</v>
      </c>
      <c r="T10" s="20">
        <f t="shared" si="2"/>
        <v>20407</v>
      </c>
    </row>
    <row r="11" spans="1:22" x14ac:dyDescent="0.25">
      <c r="A11" s="10">
        <v>1902</v>
      </c>
      <c r="B11" s="29">
        <v>138016007</v>
      </c>
      <c r="C11" s="10">
        <v>48.7</v>
      </c>
      <c r="D11" s="10">
        <v>30.8</v>
      </c>
      <c r="E11" s="27">
        <v>4557</v>
      </c>
      <c r="F11" s="8"/>
      <c r="G11" s="8"/>
      <c r="H11" s="11">
        <v>1902</v>
      </c>
      <c r="I11" s="12">
        <f t="shared" si="0"/>
        <v>6721379.5409000004</v>
      </c>
      <c r="J11" s="12"/>
      <c r="K11" s="12"/>
      <c r="L11" s="11">
        <v>1902</v>
      </c>
      <c r="M11" s="12">
        <f t="shared" si="1"/>
        <v>4250893.0155999996</v>
      </c>
      <c r="N11" s="8"/>
      <c r="S11" s="11">
        <v>1902</v>
      </c>
      <c r="T11" s="20">
        <f t="shared" si="2"/>
        <v>4557</v>
      </c>
    </row>
    <row r="12" spans="1:22" x14ac:dyDescent="0.25">
      <c r="A12" s="10">
        <v>1903</v>
      </c>
      <c r="B12" s="29">
        <v>140508848</v>
      </c>
      <c r="C12" s="10">
        <v>47.8</v>
      </c>
      <c r="D12" s="10">
        <v>29.2</v>
      </c>
      <c r="E12" s="27">
        <v>-40101</v>
      </c>
      <c r="F12" s="8"/>
      <c r="G12" s="8"/>
      <c r="H12" s="11">
        <v>1903</v>
      </c>
      <c r="I12" s="12">
        <f t="shared" si="0"/>
        <v>6716322.9343999997</v>
      </c>
      <c r="J12" s="12"/>
      <c r="K12" s="12"/>
      <c r="L12" s="11">
        <v>1903</v>
      </c>
      <c r="M12" s="12">
        <f t="shared" si="1"/>
        <v>4102858.3615999999</v>
      </c>
      <c r="N12" s="3">
        <f>AVERAGE(M11:M12)</f>
        <v>4176875.6886</v>
      </c>
      <c r="S12" s="11">
        <v>1903</v>
      </c>
      <c r="T12" s="20">
        <f t="shared" si="2"/>
        <v>-40101</v>
      </c>
    </row>
    <row r="13" spans="1:22" x14ac:dyDescent="0.25">
      <c r="A13" s="10">
        <v>1904</v>
      </c>
      <c r="B13" s="29">
        <v>143020865</v>
      </c>
      <c r="C13" s="10">
        <v>47.9</v>
      </c>
      <c r="D13" s="10">
        <v>29.6</v>
      </c>
      <c r="E13" s="27">
        <v>-81471</v>
      </c>
      <c r="F13" s="8"/>
      <c r="G13" s="8"/>
      <c r="H13" s="11">
        <v>1904</v>
      </c>
      <c r="I13" s="12">
        <f t="shared" si="0"/>
        <v>6850699.4335000003</v>
      </c>
      <c r="J13" s="3">
        <f>AVERAGE(I12:I13)</f>
        <v>6783511.1839499995</v>
      </c>
      <c r="K13" s="12"/>
      <c r="L13" s="11">
        <v>1904</v>
      </c>
      <c r="M13" s="12">
        <f t="shared" si="1"/>
        <v>4233417.6040000003</v>
      </c>
      <c r="N13" s="12">
        <f>_xlfn.FORECAST.LINEAR(ROW(),CHOOSE({1,2},$N$12,$N$16),CHOOSE({1,2},ROW($N$12),ROW($N$16)))</f>
        <v>4209310.1487499997</v>
      </c>
      <c r="O13" s="20">
        <f>M13-N13</f>
        <v>24107.455250000581</v>
      </c>
      <c r="S13" s="11">
        <v>1904</v>
      </c>
      <c r="T13" s="20">
        <f t="shared" si="2"/>
        <v>-81471</v>
      </c>
      <c r="U13" s="1">
        <f>AVERAGE(T5:T13)</f>
        <v>10466.111111111111</v>
      </c>
    </row>
    <row r="14" spans="1:22" x14ac:dyDescent="0.25">
      <c r="A14" s="10">
        <v>1905</v>
      </c>
      <c r="B14" s="29">
        <v>145195894</v>
      </c>
      <c r="C14" s="10">
        <v>44.8</v>
      </c>
      <c r="D14" s="10">
        <v>31.2</v>
      </c>
      <c r="E14" s="27">
        <v>-171743</v>
      </c>
      <c r="F14" s="8"/>
      <c r="G14" s="8"/>
      <c r="H14" s="13">
        <v>1905</v>
      </c>
      <c r="I14" s="14">
        <f t="shared" si="0"/>
        <v>6504776.0511999996</v>
      </c>
      <c r="J14" s="14">
        <f>_xlfn.FORECAST.LINEAR(ROW(),CHOOSE({1,2},$J$13,$J$16),CHOOSE({1,2},ROW($J$13),ROW($J$16)))</f>
        <v>6866607.9786999989</v>
      </c>
      <c r="K14" s="14">
        <f>J14-I14</f>
        <v>361831.92749999929</v>
      </c>
      <c r="L14" s="13">
        <v>1905</v>
      </c>
      <c r="M14" s="14">
        <f t="shared" si="1"/>
        <v>4530111.8928000005</v>
      </c>
      <c r="N14" s="14">
        <f>_xlfn.FORECAST.LINEAR(ROW(),CHOOSE({1,2},$N$12,$N$16),CHOOSE({1,2},ROW($N$12),ROW($N$16)))</f>
        <v>4241744.6088999994</v>
      </c>
      <c r="O14" s="21">
        <f>M14-N14</f>
        <v>288367.28390000109</v>
      </c>
      <c r="S14" s="13">
        <v>1905</v>
      </c>
      <c r="T14" s="20">
        <f t="shared" si="2"/>
        <v>-171743</v>
      </c>
      <c r="U14" s="18">
        <f>_xlfn.FORECAST.LINEAR(ROW(),CHOOSE({1,2},$U$13,$U$16),CHOOSE({1,2},ROW($U$13),ROW($U$16)))</f>
        <v>-6813.8306878306903</v>
      </c>
      <c r="V14" s="20">
        <f>T14-U14</f>
        <v>-164929.16931216931</v>
      </c>
    </row>
    <row r="15" spans="1:22" x14ac:dyDescent="0.25">
      <c r="A15" s="10">
        <v>1906</v>
      </c>
      <c r="B15" s="29">
        <v>147274679</v>
      </c>
      <c r="C15" s="10">
        <v>46.9</v>
      </c>
      <c r="D15" s="10">
        <v>29.6</v>
      </c>
      <c r="E15" s="27">
        <v>-204101</v>
      </c>
      <c r="F15" s="8"/>
      <c r="G15" s="8"/>
      <c r="H15" s="11">
        <v>1906</v>
      </c>
      <c r="I15" s="12">
        <f t="shared" si="0"/>
        <v>6907182.4450999992</v>
      </c>
      <c r="J15" s="12">
        <f>_xlfn.FORECAST.LINEAR(ROW(),CHOOSE({1,2},$J$13,$J$16),CHOOSE({1,2},ROW($J$13),ROW($J$16)))</f>
        <v>6949704.7734499993</v>
      </c>
      <c r="K15" s="12">
        <f>J15-I15</f>
        <v>42522.328350000083</v>
      </c>
      <c r="L15" s="11">
        <v>1906</v>
      </c>
      <c r="M15" s="12">
        <f t="shared" si="1"/>
        <v>4359330.4984000009</v>
      </c>
      <c r="N15" s="12">
        <f>_xlfn.FORECAST.LINEAR(ROW(),CHOOSE({1,2},$N$12,$N$16),CHOOSE({1,2},ROW($N$12),ROW($N$16)))</f>
        <v>4274179.0690499991</v>
      </c>
      <c r="O15" s="20">
        <f>M15-N15</f>
        <v>85151.429350001737</v>
      </c>
      <c r="S15" s="11">
        <v>1906</v>
      </c>
      <c r="T15" s="20">
        <f t="shared" si="2"/>
        <v>-204101</v>
      </c>
      <c r="U15" s="18">
        <f>_xlfn.FORECAST.LINEAR(ROW(),CHOOSE({1,2},$U$13,$U$16),CHOOSE({1,2},ROW($U$13),ROW($U$16)))</f>
        <v>-24093.772486772476</v>
      </c>
      <c r="V15" s="20">
        <f>T15-U15</f>
        <v>-180007.22751322752</v>
      </c>
    </row>
    <row r="16" spans="1:22" x14ac:dyDescent="0.25">
      <c r="A16" s="10">
        <v>1907</v>
      </c>
      <c r="B16" s="29">
        <v>149788316</v>
      </c>
      <c r="C16" s="10">
        <v>47.4</v>
      </c>
      <c r="D16" s="10">
        <v>28.4</v>
      </c>
      <c r="E16" s="27">
        <v>-57734</v>
      </c>
      <c r="F16" s="8"/>
      <c r="G16" s="8"/>
      <c r="H16" s="11">
        <v>1907</v>
      </c>
      <c r="I16" s="12">
        <f t="shared" si="0"/>
        <v>7099966.1783999996</v>
      </c>
      <c r="J16" s="3">
        <f>AVERAGE(I16:I17)</f>
        <v>7032801.5681999996</v>
      </c>
      <c r="K16" s="12"/>
      <c r="L16" s="11">
        <v>1907</v>
      </c>
      <c r="M16" s="12">
        <f t="shared" si="1"/>
        <v>4253988.1743999999</v>
      </c>
      <c r="N16" s="3">
        <f>AVERAGE(M16:M17)</f>
        <v>4306613.5291999998</v>
      </c>
      <c r="S16" s="11">
        <v>1907</v>
      </c>
      <c r="T16" s="20">
        <f t="shared" si="2"/>
        <v>-57734</v>
      </c>
      <c r="U16" s="1">
        <f>AVERAGE(T16:T22)</f>
        <v>-41373.714285714283</v>
      </c>
    </row>
    <row r="17" spans="1:20" x14ac:dyDescent="0.25">
      <c r="A17" s="10">
        <v>1908</v>
      </c>
      <c r="B17" s="29">
        <v>152420940</v>
      </c>
      <c r="C17" s="10">
        <v>45.7</v>
      </c>
      <c r="D17" s="10">
        <v>28.6</v>
      </c>
      <c r="E17" s="27">
        <v>-3929</v>
      </c>
      <c r="F17" s="8"/>
      <c r="G17" s="8"/>
      <c r="H17" s="11">
        <v>1908</v>
      </c>
      <c r="I17" s="12">
        <f t="shared" si="0"/>
        <v>6965636.9579999996</v>
      </c>
      <c r="J17" s="12"/>
      <c r="K17" s="12"/>
      <c r="L17" s="11">
        <v>1908</v>
      </c>
      <c r="M17" s="12">
        <f t="shared" si="1"/>
        <v>4359238.8839999996</v>
      </c>
      <c r="N17" s="8"/>
      <c r="S17" s="11">
        <v>1908</v>
      </c>
      <c r="T17" s="20">
        <f t="shared" si="2"/>
        <v>-3929</v>
      </c>
    </row>
    <row r="18" spans="1:20" x14ac:dyDescent="0.25">
      <c r="A18" s="10">
        <v>1909</v>
      </c>
      <c r="B18" s="29">
        <v>154883249</v>
      </c>
      <c r="C18" s="10">
        <v>45.9</v>
      </c>
      <c r="D18" s="10">
        <v>30.1</v>
      </c>
      <c r="E18" s="27">
        <v>5878</v>
      </c>
      <c r="F18" s="8"/>
      <c r="G18" s="8"/>
      <c r="H18" s="11">
        <v>1909</v>
      </c>
      <c r="I18" s="12">
        <f t="shared" si="0"/>
        <v>7109141.1290999996</v>
      </c>
      <c r="J18" s="12"/>
      <c r="K18" s="12"/>
      <c r="L18" s="11">
        <v>1909</v>
      </c>
      <c r="M18" s="12">
        <f t="shared" si="1"/>
        <v>4661985.794900001</v>
      </c>
      <c r="N18" s="8"/>
      <c r="S18" s="11">
        <v>1909</v>
      </c>
      <c r="T18" s="20">
        <f t="shared" si="2"/>
        <v>5878</v>
      </c>
    </row>
    <row r="19" spans="1:20" x14ac:dyDescent="0.25">
      <c r="A19" s="10">
        <v>1910</v>
      </c>
      <c r="B19" s="29">
        <v>157163827</v>
      </c>
      <c r="C19" s="10">
        <v>46.3</v>
      </c>
      <c r="D19" s="10">
        <v>31.5</v>
      </c>
      <c r="E19" s="27">
        <v>-86789</v>
      </c>
      <c r="F19" s="8"/>
      <c r="G19" s="8"/>
      <c r="H19" s="11">
        <v>1910</v>
      </c>
      <c r="I19" s="12">
        <f t="shared" si="0"/>
        <v>7276685.1900999993</v>
      </c>
      <c r="J19" s="12"/>
      <c r="K19" s="12"/>
      <c r="L19" s="11">
        <v>1910</v>
      </c>
      <c r="M19" s="12">
        <f t="shared" si="1"/>
        <v>4950660.5504999999</v>
      </c>
      <c r="N19" s="8"/>
      <c r="S19" s="11">
        <v>1910</v>
      </c>
      <c r="T19" s="20">
        <f t="shared" si="2"/>
        <v>-86789</v>
      </c>
    </row>
    <row r="20" spans="1:20" x14ac:dyDescent="0.25">
      <c r="A20" s="10">
        <v>1911</v>
      </c>
      <c r="B20" s="29">
        <v>159686444</v>
      </c>
      <c r="C20" s="10">
        <v>46.1</v>
      </c>
      <c r="D20" s="10">
        <v>27.8</v>
      </c>
      <c r="E20" s="27">
        <v>-16960</v>
      </c>
      <c r="F20" s="8"/>
      <c r="G20" s="8"/>
      <c r="H20" s="11">
        <v>1911</v>
      </c>
      <c r="I20" s="12">
        <f t="shared" si="0"/>
        <v>7361545.0684000002</v>
      </c>
      <c r="J20" s="12"/>
      <c r="K20" s="12"/>
      <c r="L20" s="11">
        <v>1911</v>
      </c>
      <c r="M20" s="12">
        <f t="shared" si="1"/>
        <v>4439283.1431999998</v>
      </c>
      <c r="N20" s="8"/>
      <c r="S20" s="11">
        <v>1911</v>
      </c>
      <c r="T20" s="20">
        <f t="shared" si="2"/>
        <v>-16960</v>
      </c>
    </row>
    <row r="21" spans="1:20" x14ac:dyDescent="0.25">
      <c r="A21" s="10">
        <v>1912</v>
      </c>
      <c r="B21" s="29">
        <v>162527755</v>
      </c>
      <c r="C21" s="10">
        <v>45</v>
      </c>
      <c r="D21" s="10">
        <v>26.9</v>
      </c>
      <c r="E21" s="27">
        <v>-81648</v>
      </c>
      <c r="F21" s="8"/>
      <c r="G21" s="8"/>
      <c r="H21" s="11">
        <v>1912</v>
      </c>
      <c r="I21" s="12">
        <f t="shared" si="0"/>
        <v>7313748.9749999996</v>
      </c>
      <c r="J21" s="12"/>
      <c r="K21" s="12"/>
      <c r="L21" s="11">
        <v>1912</v>
      </c>
      <c r="M21" s="12">
        <f t="shared" si="1"/>
        <v>4371996.6095000003</v>
      </c>
      <c r="N21" s="8"/>
      <c r="S21" s="11">
        <v>1912</v>
      </c>
      <c r="T21" s="20">
        <f t="shared" si="2"/>
        <v>-81648</v>
      </c>
    </row>
    <row r="22" spans="1:20" x14ac:dyDescent="0.25">
      <c r="A22" s="10">
        <v>1913</v>
      </c>
      <c r="B22" s="29">
        <v>165261347</v>
      </c>
      <c r="C22" s="10">
        <v>44.5</v>
      </c>
      <c r="D22" s="10">
        <v>27.8</v>
      </c>
      <c r="E22" s="27">
        <v>-48434</v>
      </c>
      <c r="F22" s="8"/>
      <c r="G22" s="8"/>
      <c r="H22" s="11">
        <v>1913</v>
      </c>
      <c r="I22" s="12">
        <f t="shared" si="0"/>
        <v>7354129.9414999997</v>
      </c>
      <c r="J22" s="12"/>
      <c r="K22" s="12"/>
      <c r="L22" s="11">
        <v>1913</v>
      </c>
      <c r="M22" s="12">
        <f t="shared" si="1"/>
        <v>4594265.4466000004</v>
      </c>
      <c r="N22" s="8"/>
      <c r="S22" s="11">
        <v>1913</v>
      </c>
      <c r="T22" s="20">
        <f t="shared" si="2"/>
        <v>-48434</v>
      </c>
    </row>
    <row r="23" spans="1:20" x14ac:dyDescent="0.25">
      <c r="A23" s="11"/>
      <c r="B23" s="15"/>
      <c r="C23" s="22"/>
      <c r="D23" s="22"/>
      <c r="E23" s="11"/>
      <c r="F23" s="8"/>
      <c r="G23" s="8"/>
      <c r="H23" s="8"/>
      <c r="I23" s="8"/>
      <c r="J23" s="8"/>
      <c r="K23" s="8"/>
      <c r="L23" s="8"/>
      <c r="M23" s="8"/>
      <c r="N23" s="8"/>
    </row>
    <row r="24" spans="1:20" x14ac:dyDescent="0.25">
      <c r="A24" s="8"/>
      <c r="B24" s="15"/>
      <c r="C24" s="22"/>
      <c r="D24" s="22"/>
      <c r="E24" s="16"/>
      <c r="F24" s="8"/>
      <c r="G24" s="8"/>
      <c r="H24" s="8"/>
      <c r="I24" s="8"/>
      <c r="J24" s="8"/>
      <c r="K24" s="8"/>
      <c r="L24" s="8"/>
      <c r="M24" s="8"/>
      <c r="N24" s="8"/>
    </row>
    <row r="25" spans="1:20" x14ac:dyDescent="0.25">
      <c r="A25" s="8"/>
      <c r="B25" s="8"/>
      <c r="C25" s="9"/>
      <c r="D25" s="9"/>
      <c r="E25" s="8"/>
      <c r="F25" s="8"/>
      <c r="G25" s="8"/>
      <c r="H25" s="28" t="s">
        <v>11</v>
      </c>
      <c r="I25" s="28"/>
      <c r="J25" s="28"/>
      <c r="K25" s="12">
        <f>SUM(K14:K15)</f>
        <v>404354.25584999938</v>
      </c>
      <c r="L25" s="8"/>
      <c r="M25" s="8"/>
      <c r="N25" s="7" t="s">
        <v>13</v>
      </c>
      <c r="O25" s="20">
        <f>SUM(O13:O15)</f>
        <v>397626.1685000034</v>
      </c>
    </row>
    <row r="26" spans="1:20" x14ac:dyDescent="0.25">
      <c r="A26" s="8"/>
      <c r="B26" s="8"/>
      <c r="C26" s="9"/>
      <c r="D26" s="9"/>
      <c r="E26" s="8"/>
      <c r="F26" s="8"/>
      <c r="G26" s="8"/>
      <c r="H26" s="24"/>
      <c r="I26" s="24"/>
      <c r="J26" s="24"/>
      <c r="K26" s="8"/>
      <c r="L26" s="8"/>
      <c r="M26" s="8"/>
      <c r="N26" s="7" t="s">
        <v>15</v>
      </c>
      <c r="O26" s="20">
        <f>Q26*1</f>
        <v>50952</v>
      </c>
      <c r="Q26" s="20">
        <v>50952</v>
      </c>
    </row>
    <row r="27" spans="1:20" x14ac:dyDescent="0.25">
      <c r="A27" s="8"/>
      <c r="B27" s="8"/>
      <c r="C27" s="9"/>
      <c r="D27" s="9"/>
      <c r="E27" s="8"/>
      <c r="F27" s="8"/>
      <c r="G27" s="8"/>
      <c r="H27" s="24"/>
      <c r="I27" s="24"/>
      <c r="J27" s="24"/>
      <c r="K27" s="8"/>
      <c r="L27" s="8"/>
      <c r="M27" s="8"/>
      <c r="N27" s="7"/>
    </row>
    <row r="28" spans="1:20" x14ac:dyDescent="0.25">
      <c r="A28" s="8"/>
      <c r="B28" s="8"/>
      <c r="C28" s="9"/>
      <c r="D28" s="9"/>
      <c r="E28" s="8"/>
      <c r="F28" s="8"/>
      <c r="G28" s="8"/>
      <c r="H28" s="28" t="s">
        <v>12</v>
      </c>
      <c r="I28" s="28"/>
      <c r="J28" s="28"/>
      <c r="K28" s="12">
        <f>K25*0.68</f>
        <v>274960.89397799957</v>
      </c>
      <c r="L28" s="12"/>
      <c r="M28" s="12"/>
      <c r="N28" s="3" t="s">
        <v>14</v>
      </c>
      <c r="O28" s="20">
        <f>O25-O26</f>
        <v>346674.1685000034</v>
      </c>
    </row>
    <row r="29" spans="1:20" x14ac:dyDescent="0.25">
      <c r="A29" s="8"/>
      <c r="B29" s="8"/>
      <c r="C29" s="9"/>
      <c r="D29" s="9"/>
      <c r="E29" s="8"/>
      <c r="F29" s="8"/>
      <c r="G29" s="8"/>
      <c r="H29" s="24"/>
      <c r="I29" s="24"/>
      <c r="J29" s="24"/>
      <c r="K29" s="12"/>
      <c r="L29" s="12"/>
      <c r="M29" s="12"/>
      <c r="N29" s="12"/>
      <c r="O29" s="20"/>
    </row>
    <row r="30" spans="1:20" x14ac:dyDescent="0.25">
      <c r="A30" s="8"/>
      <c r="B30" s="8"/>
      <c r="C30" s="9"/>
      <c r="D30" s="9"/>
      <c r="E30" s="8"/>
      <c r="F30" s="8"/>
      <c r="G30" s="8"/>
      <c r="H30" s="24"/>
      <c r="I30" s="24"/>
      <c r="J30" s="24"/>
      <c r="K30" s="12"/>
      <c r="L30" s="12"/>
      <c r="M30" s="12"/>
      <c r="N30" s="12"/>
      <c r="O30" s="20"/>
    </row>
    <row r="31" spans="1:20" x14ac:dyDescent="0.25">
      <c r="A31" s="8"/>
      <c r="B31" s="8"/>
      <c r="C31" s="9"/>
      <c r="D31" s="9"/>
      <c r="E31" s="8"/>
      <c r="F31" s="8"/>
      <c r="G31" s="8"/>
      <c r="H31" s="28" t="s">
        <v>16</v>
      </c>
      <c r="I31" s="28"/>
      <c r="J31" s="28"/>
      <c r="K31" s="12">
        <f>K28+O28</f>
        <v>621635.06247800298</v>
      </c>
      <c r="L31" s="12"/>
      <c r="M31" s="12"/>
      <c r="N31" s="12"/>
      <c r="O31" s="20"/>
    </row>
    <row r="32" spans="1:20" x14ac:dyDescent="0.25">
      <c r="A32" s="8"/>
      <c r="B32" s="8"/>
      <c r="C32" s="9"/>
      <c r="D32" s="9"/>
      <c r="E32" s="8"/>
      <c r="F32" s="8"/>
      <c r="G32" s="8"/>
      <c r="H32" s="24"/>
      <c r="I32" s="24"/>
      <c r="J32" s="24"/>
      <c r="K32" s="12"/>
      <c r="L32" s="12"/>
      <c r="M32" s="12"/>
      <c r="N32" s="12"/>
      <c r="O32" s="20"/>
    </row>
    <row r="33" spans="1:15" x14ac:dyDescent="0.25">
      <c r="A33" s="8"/>
      <c r="B33" s="8"/>
      <c r="C33" s="9"/>
      <c r="D33" s="9"/>
      <c r="E33" s="8"/>
      <c r="F33" s="8"/>
      <c r="G33" s="8"/>
      <c r="H33" s="24"/>
      <c r="I33" s="24"/>
      <c r="J33" s="24"/>
      <c r="K33" s="12"/>
      <c r="L33" s="12"/>
      <c r="M33" s="12"/>
      <c r="N33" s="12"/>
      <c r="O33" s="20"/>
    </row>
    <row r="34" spans="1:15" x14ac:dyDescent="0.25">
      <c r="A34" s="8"/>
      <c r="B34" s="8"/>
      <c r="C34" s="9"/>
      <c r="D34" s="9"/>
      <c r="E34" s="8"/>
      <c r="F34" s="8"/>
      <c r="G34" s="8"/>
      <c r="H34" s="24"/>
      <c r="I34" s="24"/>
      <c r="J34" s="24"/>
      <c r="K34" s="12"/>
      <c r="L34" s="12"/>
      <c r="M34" s="12"/>
      <c r="N34" s="12"/>
      <c r="O34" s="20"/>
    </row>
    <row r="35" spans="1:15" x14ac:dyDescent="0.25">
      <c r="A35" s="8"/>
      <c r="B35" s="8"/>
      <c r="C35" s="9"/>
      <c r="D35" s="9"/>
      <c r="E35" s="8"/>
      <c r="F35" s="8"/>
      <c r="G35" s="8"/>
      <c r="H35" s="28" t="s">
        <v>19</v>
      </c>
      <c r="I35" s="28"/>
      <c r="J35" s="28"/>
      <c r="K35" s="17">
        <f>K31/O26</f>
        <v>12.200405528301205</v>
      </c>
      <c r="L35" s="17"/>
      <c r="M35" s="17"/>
      <c r="N35" s="17"/>
      <c r="O35" s="23">
        <f>O28/O26</f>
        <v>6.8039364205527439</v>
      </c>
    </row>
    <row r="36" spans="1:15" x14ac:dyDescent="0.25">
      <c r="A36" s="8"/>
      <c r="B36" s="8"/>
      <c r="C36" s="9"/>
      <c r="D36" s="9"/>
      <c r="E36" s="8"/>
      <c r="F36" s="8"/>
      <c r="G36" s="8"/>
      <c r="H36" s="8"/>
      <c r="I36" s="8"/>
      <c r="J36" s="8"/>
      <c r="K36" s="12"/>
      <c r="L36" s="12"/>
      <c r="M36" s="12"/>
      <c r="N36" s="12"/>
      <c r="O36" s="20"/>
    </row>
    <row r="37" spans="1:15" x14ac:dyDescent="0.25">
      <c r="A37" s="8"/>
      <c r="B37" s="8"/>
      <c r="C37" s="9"/>
      <c r="D37" s="9"/>
      <c r="E37" s="8"/>
      <c r="F37" s="8"/>
      <c r="G37" s="8"/>
      <c r="H37" s="8"/>
      <c r="I37" s="8"/>
      <c r="J37" s="8"/>
      <c r="K37" s="12"/>
      <c r="L37" s="12"/>
      <c r="M37" s="12"/>
      <c r="N37" s="12"/>
      <c r="O37" s="20"/>
    </row>
    <row r="38" spans="1:15" x14ac:dyDescent="0.25">
      <c r="A38" s="8"/>
      <c r="B38" s="8"/>
      <c r="C38" s="9"/>
      <c r="D38" s="9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5" x14ac:dyDescent="0.25">
      <c r="A39" s="8"/>
      <c r="B39" s="8"/>
      <c r="C39" s="9"/>
      <c r="D39" s="9"/>
      <c r="E39" s="8"/>
      <c r="F39" s="8"/>
      <c r="G39" s="8"/>
      <c r="H39" s="8"/>
      <c r="I39" s="8"/>
      <c r="J39" s="8"/>
      <c r="K39" s="8"/>
      <c r="L39" s="8"/>
      <c r="M39" s="8"/>
      <c r="N39" s="8"/>
    </row>
  </sheetData>
  <mergeCells count="4">
    <mergeCell ref="H25:J25"/>
    <mergeCell ref="H28:J28"/>
    <mergeCell ref="H31:J31"/>
    <mergeCell ref="H35:J3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3905-8164-42F0-8C89-791B14C294D3}">
  <dimension ref="A1:T41"/>
  <sheetViews>
    <sheetView workbookViewId="0">
      <selection activeCell="C5" sqref="C5:D23"/>
    </sheetView>
  </sheetViews>
  <sheetFormatPr defaultRowHeight="15" x14ac:dyDescent="0.25"/>
  <cols>
    <col min="2" max="2" width="13.5703125" customWidth="1"/>
    <col min="3" max="3" width="11.5703125" customWidth="1"/>
    <col min="6" max="7" width="10.140625" bestFit="1" customWidth="1"/>
    <col min="8" max="8" width="14.140625" customWidth="1"/>
    <col min="9" max="9" width="12.7109375" customWidth="1"/>
    <col min="10" max="10" width="16.85546875" customWidth="1"/>
    <col min="11" max="12" width="12.7109375" customWidth="1"/>
    <col min="13" max="13" width="12.140625" customWidth="1"/>
    <col min="14" max="14" width="16" customWidth="1"/>
    <col min="15" max="15" width="11.5703125" customWidth="1"/>
  </cols>
  <sheetData>
    <row r="1" spans="1:20" ht="18.75" x14ac:dyDescent="0.3">
      <c r="A1" s="2" t="s">
        <v>18</v>
      </c>
    </row>
    <row r="2" spans="1:20" x14ac:dyDescent="0.25">
      <c r="A2" s="8"/>
      <c r="B2" s="8"/>
      <c r="C2" s="9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25">
      <c r="A3" s="8"/>
      <c r="B3" s="8"/>
      <c r="C3" s="9"/>
      <c r="D3" s="9"/>
      <c r="E3" s="8"/>
      <c r="F3" s="8"/>
      <c r="G3" s="8"/>
      <c r="H3" s="8"/>
      <c r="I3" s="8"/>
      <c r="J3" s="6" t="s">
        <v>2</v>
      </c>
      <c r="K3" s="8"/>
      <c r="L3" s="8"/>
      <c r="M3" s="8"/>
      <c r="N3" s="6" t="s">
        <v>3</v>
      </c>
      <c r="O3" s="8"/>
      <c r="P3" s="8"/>
      <c r="Q3" s="8"/>
      <c r="R3" s="8"/>
      <c r="S3" s="8"/>
      <c r="T3" s="8"/>
    </row>
    <row r="4" spans="1:20" x14ac:dyDescent="0.25">
      <c r="A4" s="6" t="s">
        <v>6</v>
      </c>
      <c r="B4" s="6" t="s">
        <v>9</v>
      </c>
      <c r="C4" s="25" t="s">
        <v>7</v>
      </c>
      <c r="D4" s="25" t="s">
        <v>8</v>
      </c>
      <c r="E4" s="6" t="s">
        <v>20</v>
      </c>
      <c r="F4" s="7"/>
      <c r="G4" s="7"/>
      <c r="H4" s="5" t="s">
        <v>6</v>
      </c>
      <c r="I4" s="6" t="s">
        <v>0</v>
      </c>
      <c r="J4" s="6" t="s">
        <v>5</v>
      </c>
      <c r="K4" s="6" t="s">
        <v>4</v>
      </c>
      <c r="L4" s="5" t="s">
        <v>6</v>
      </c>
      <c r="M4" s="6" t="s">
        <v>1</v>
      </c>
      <c r="N4" s="6" t="s">
        <v>5</v>
      </c>
      <c r="O4" s="6" t="s">
        <v>10</v>
      </c>
      <c r="P4" s="8"/>
      <c r="Q4" s="8"/>
      <c r="R4" s="8"/>
      <c r="S4" s="8"/>
      <c r="T4" s="8"/>
    </row>
    <row r="5" spans="1:20" x14ac:dyDescent="0.25">
      <c r="A5" s="10">
        <v>1896</v>
      </c>
      <c r="B5" s="29">
        <v>65413316</v>
      </c>
      <c r="C5" s="30">
        <v>52.9</v>
      </c>
      <c r="D5" s="30">
        <v>36.9</v>
      </c>
      <c r="E5" s="27">
        <v>63927</v>
      </c>
      <c r="F5" s="8"/>
      <c r="G5" s="8"/>
      <c r="H5" s="11">
        <v>1896</v>
      </c>
      <c r="I5" s="12">
        <f>B5*C5/1000</f>
        <v>3460364.4164</v>
      </c>
      <c r="J5" s="12"/>
      <c r="K5" s="12"/>
      <c r="L5" s="11">
        <v>1896</v>
      </c>
      <c r="M5" s="12">
        <f>B5*D5/1000</f>
        <v>2413751.3604000001</v>
      </c>
      <c r="N5" s="8"/>
      <c r="O5" s="8"/>
      <c r="P5" s="8"/>
      <c r="Q5" s="8"/>
      <c r="R5" s="8"/>
      <c r="S5" s="8"/>
      <c r="T5" s="8"/>
    </row>
    <row r="6" spans="1:20" x14ac:dyDescent="0.25">
      <c r="A6" s="10">
        <v>1897</v>
      </c>
      <c r="B6" s="29">
        <v>66574444</v>
      </c>
      <c r="C6" s="30">
        <v>52.8</v>
      </c>
      <c r="D6" s="30">
        <v>34.799999999999997</v>
      </c>
      <c r="E6" s="27">
        <v>34340</v>
      </c>
      <c r="F6" s="8"/>
      <c r="G6" s="8"/>
      <c r="H6" s="11">
        <v>1897</v>
      </c>
      <c r="I6" s="12">
        <f t="shared" ref="I6:I22" si="0">B6*C6/1000</f>
        <v>3515130.6431999998</v>
      </c>
      <c r="J6" s="12"/>
      <c r="K6" s="12"/>
      <c r="L6" s="11">
        <v>1897</v>
      </c>
      <c r="M6" s="12">
        <f t="shared" ref="M6:M22" si="1">B6*D6/1000</f>
        <v>2316790.6511999997</v>
      </c>
      <c r="N6" s="8"/>
      <c r="O6" s="8"/>
      <c r="P6" s="8"/>
      <c r="Q6" s="8"/>
      <c r="R6" s="8"/>
      <c r="S6" s="8"/>
      <c r="T6" s="8"/>
    </row>
    <row r="7" spans="1:20" x14ac:dyDescent="0.25">
      <c r="A7" s="10">
        <v>1898</v>
      </c>
      <c r="B7" s="29">
        <v>67665782</v>
      </c>
      <c r="C7" s="30">
        <v>50.6</v>
      </c>
      <c r="D7" s="30">
        <v>37</v>
      </c>
      <c r="E7" s="27">
        <v>40485</v>
      </c>
      <c r="F7" s="8"/>
      <c r="G7" s="8"/>
      <c r="H7" s="11">
        <v>1898</v>
      </c>
      <c r="I7" s="12">
        <f t="shared" si="0"/>
        <v>3423888.5692000003</v>
      </c>
      <c r="J7" s="12"/>
      <c r="K7" s="12"/>
      <c r="L7" s="11">
        <v>1898</v>
      </c>
      <c r="M7" s="12">
        <f t="shared" si="1"/>
        <v>2503633.9339999999</v>
      </c>
      <c r="N7" s="8"/>
      <c r="O7" s="8"/>
      <c r="P7" s="8"/>
      <c r="Q7" s="8"/>
      <c r="R7" s="8"/>
      <c r="S7" s="8"/>
      <c r="T7" s="8"/>
    </row>
    <row r="8" spans="1:20" x14ac:dyDescent="0.25">
      <c r="A8" s="10">
        <v>1899</v>
      </c>
      <c r="B8" s="29">
        <v>68759297</v>
      </c>
      <c r="C8" s="30">
        <v>51.2</v>
      </c>
      <c r="D8" s="30">
        <v>33.5</v>
      </c>
      <c r="E8" s="27">
        <v>30853</v>
      </c>
      <c r="F8" s="8"/>
      <c r="G8" s="8"/>
      <c r="H8" s="11">
        <v>1899</v>
      </c>
      <c r="I8" s="12">
        <f t="shared" si="0"/>
        <v>3520476.0064000003</v>
      </c>
      <c r="J8" s="12"/>
      <c r="K8" s="12"/>
      <c r="L8" s="11">
        <v>1899</v>
      </c>
      <c r="M8" s="12">
        <f t="shared" si="1"/>
        <v>2303436.4495000001</v>
      </c>
      <c r="N8" s="8"/>
      <c r="O8" s="8"/>
      <c r="P8" s="8"/>
      <c r="Q8" s="8"/>
      <c r="R8" s="8"/>
      <c r="S8" s="8"/>
      <c r="T8" s="8"/>
    </row>
    <row r="9" spans="1:20" x14ac:dyDescent="0.25">
      <c r="A9" s="10">
        <v>1900</v>
      </c>
      <c r="B9" s="29">
        <v>70023158</v>
      </c>
      <c r="C9" s="30">
        <v>51.9</v>
      </c>
      <c r="D9" s="30">
        <v>34.4</v>
      </c>
      <c r="E9" s="27">
        <v>82832</v>
      </c>
      <c r="F9" s="8"/>
      <c r="G9" s="8"/>
      <c r="H9" s="11">
        <v>1900</v>
      </c>
      <c r="I9" s="12">
        <f t="shared" si="0"/>
        <v>3634201.9002</v>
      </c>
      <c r="J9" s="12"/>
      <c r="K9" s="12"/>
      <c r="L9" s="11">
        <v>1900</v>
      </c>
      <c r="M9" s="12">
        <f t="shared" si="1"/>
        <v>2408796.6351999999</v>
      </c>
      <c r="N9" s="8"/>
      <c r="O9" s="8"/>
      <c r="P9" s="8"/>
      <c r="Q9" s="8"/>
      <c r="R9" s="8"/>
      <c r="S9" s="8"/>
      <c r="T9" s="8"/>
    </row>
    <row r="10" spans="1:20" x14ac:dyDescent="0.25">
      <c r="A10" s="10">
        <v>1901</v>
      </c>
      <c r="B10" s="29">
        <v>71275437</v>
      </c>
      <c r="C10" s="30">
        <v>51.5</v>
      </c>
      <c r="D10" s="30">
        <v>35.6</v>
      </c>
      <c r="E10" s="27">
        <v>72876</v>
      </c>
      <c r="F10" s="8"/>
      <c r="G10" s="8"/>
      <c r="H10" s="11">
        <v>1901</v>
      </c>
      <c r="I10" s="12">
        <f t="shared" si="0"/>
        <v>3670685.0055</v>
      </c>
      <c r="J10" s="12"/>
      <c r="K10" s="12"/>
      <c r="L10" s="11">
        <v>1901</v>
      </c>
      <c r="M10" s="12">
        <f t="shared" si="1"/>
        <v>2537405.5572000002</v>
      </c>
      <c r="N10" s="8"/>
      <c r="O10" s="8"/>
      <c r="P10" s="8"/>
      <c r="Q10" s="8"/>
      <c r="R10" s="8"/>
      <c r="S10" s="8"/>
      <c r="T10" s="8"/>
    </row>
    <row r="11" spans="1:20" x14ac:dyDescent="0.25">
      <c r="A11" s="10">
        <v>1902</v>
      </c>
      <c r="B11" s="29">
        <v>72522254</v>
      </c>
      <c r="C11" s="30">
        <v>52.4</v>
      </c>
      <c r="D11" s="30">
        <v>35.4</v>
      </c>
      <c r="E11" s="27">
        <v>66287</v>
      </c>
      <c r="F11" s="8"/>
      <c r="G11" s="8"/>
      <c r="H11" s="11">
        <v>1902</v>
      </c>
      <c r="I11" s="12">
        <f t="shared" si="0"/>
        <v>3800166.1096000001</v>
      </c>
      <c r="J11" s="12"/>
      <c r="K11" s="12"/>
      <c r="L11" s="11">
        <v>1902</v>
      </c>
      <c r="M11" s="12">
        <f t="shared" si="1"/>
        <v>2567287.7916000001</v>
      </c>
      <c r="N11" s="8"/>
      <c r="O11" s="8"/>
      <c r="P11" s="8"/>
      <c r="Q11" s="8"/>
      <c r="R11" s="8"/>
      <c r="S11" s="8"/>
      <c r="T11" s="8"/>
    </row>
    <row r="12" spans="1:20" x14ac:dyDescent="0.25">
      <c r="A12" s="10">
        <v>1903</v>
      </c>
      <c r="B12" s="29">
        <v>73889414</v>
      </c>
      <c r="C12" s="30">
        <v>52</v>
      </c>
      <c r="D12" s="30">
        <v>32.9</v>
      </c>
      <c r="E12" s="27">
        <v>46579</v>
      </c>
      <c r="F12" s="8"/>
      <c r="G12" s="8"/>
      <c r="H12" s="11">
        <v>1903</v>
      </c>
      <c r="I12" s="12">
        <f t="shared" si="0"/>
        <v>3842249.5279999999</v>
      </c>
      <c r="J12" s="12"/>
      <c r="K12" s="12"/>
      <c r="L12" s="11">
        <v>1903</v>
      </c>
      <c r="M12" s="12">
        <f t="shared" si="1"/>
        <v>2430961.7206000001</v>
      </c>
      <c r="N12" s="3">
        <f>AVERAGE(M11:M12)</f>
        <v>2499124.7560999999</v>
      </c>
      <c r="O12" s="8"/>
      <c r="P12" s="8"/>
      <c r="Q12" s="8"/>
      <c r="R12" s="8"/>
      <c r="S12" s="8"/>
      <c r="T12" s="8"/>
    </row>
    <row r="13" spans="1:20" x14ac:dyDescent="0.25">
      <c r="A13" s="10">
        <v>1904</v>
      </c>
      <c r="B13" s="29">
        <v>75324248</v>
      </c>
      <c r="C13" s="30">
        <v>52.2</v>
      </c>
      <c r="D13" s="30">
        <v>33.299999999999997</v>
      </c>
      <c r="E13" s="27">
        <v>2837</v>
      </c>
      <c r="F13" s="8"/>
      <c r="G13" s="8"/>
      <c r="H13" s="11">
        <v>1904</v>
      </c>
      <c r="I13" s="12">
        <f t="shared" si="0"/>
        <v>3931925.7456000005</v>
      </c>
      <c r="J13" s="3">
        <f>AVERAGE(I12:I13)</f>
        <v>3887087.6368000004</v>
      </c>
      <c r="K13" s="12"/>
      <c r="L13" s="11">
        <v>1904</v>
      </c>
      <c r="M13" s="12">
        <f t="shared" si="1"/>
        <v>2508297.4583999994</v>
      </c>
      <c r="N13" s="12">
        <f>_xlfn.FORECAST.LINEAR(ROW(),CHOOSE({1,2},$N$12,$N$16),CHOOSE({1,2},ROW($N$12),ROW($N$16)))</f>
        <v>2525716.0706000002</v>
      </c>
      <c r="O13" s="12">
        <f>M13-N13</f>
        <v>-17418.612200000789</v>
      </c>
      <c r="P13" s="8"/>
      <c r="Q13" s="8"/>
      <c r="R13" s="8"/>
      <c r="S13" s="8"/>
      <c r="T13" s="8"/>
    </row>
    <row r="14" spans="1:20" x14ac:dyDescent="0.25">
      <c r="A14" s="10">
        <v>1905</v>
      </c>
      <c r="B14" s="29">
        <v>76567737</v>
      </c>
      <c r="C14" s="30">
        <v>48.6</v>
      </c>
      <c r="D14" s="30">
        <v>34.700000000000003</v>
      </c>
      <c r="E14" s="27">
        <v>1525</v>
      </c>
      <c r="F14" s="8"/>
      <c r="G14" s="8"/>
      <c r="H14" s="13">
        <v>1905</v>
      </c>
      <c r="I14" s="14">
        <f t="shared" si="0"/>
        <v>3721192.0182000003</v>
      </c>
      <c r="J14" s="14">
        <f>_xlfn.FORECAST.LINEAR(ROW(),CHOOSE({1,2},$J$13,$J$16),CHOOSE({1,2},ROW($J$13),ROW($J$16)))</f>
        <v>3935213.0635333331</v>
      </c>
      <c r="K14" s="14">
        <f>J14-I14</f>
        <v>214021.04533333285</v>
      </c>
      <c r="L14" s="13">
        <v>1905</v>
      </c>
      <c r="M14" s="14">
        <f t="shared" si="1"/>
        <v>2656900.4739000001</v>
      </c>
      <c r="N14" s="14">
        <f>_xlfn.FORECAST.LINEAR(ROW(),CHOOSE({1,2},$N$12,$N$16),CHOOSE({1,2},ROW($N$12),ROW($N$16)))</f>
        <v>2552307.3851000001</v>
      </c>
      <c r="O14" s="14">
        <f>M14-N14</f>
        <v>104593.08880000003</v>
      </c>
      <c r="P14" s="8"/>
      <c r="Q14" s="8"/>
      <c r="R14" s="8"/>
      <c r="S14" s="8"/>
      <c r="T14" s="8"/>
    </row>
    <row r="15" spans="1:20" x14ac:dyDescent="0.25">
      <c r="A15" s="10">
        <v>1906</v>
      </c>
      <c r="B15" s="29">
        <v>77792482</v>
      </c>
      <c r="C15" s="30">
        <v>51.1</v>
      </c>
      <c r="D15" s="30">
        <v>33.5</v>
      </c>
      <c r="E15" s="27">
        <v>28979</v>
      </c>
      <c r="F15" s="8"/>
      <c r="G15" s="8"/>
      <c r="H15" s="11">
        <v>1906</v>
      </c>
      <c r="I15" s="12">
        <f t="shared" si="0"/>
        <v>3975195.8302000002</v>
      </c>
      <c r="J15" s="12">
        <f>_xlfn.FORECAST.LINEAR(ROW(),CHOOSE({1,2},$J$13,$J$16),CHOOSE({1,2},ROW($J$13),ROW($J$16)))</f>
        <v>3983338.4902666663</v>
      </c>
      <c r="K15" s="12">
        <f>J15-I15</f>
        <v>8142.6600666660815</v>
      </c>
      <c r="L15" s="11">
        <v>1906</v>
      </c>
      <c r="M15" s="12">
        <f t="shared" si="1"/>
        <v>2606048.1469999999</v>
      </c>
      <c r="N15" s="12">
        <f>_xlfn.FORECAST.LINEAR(ROW(),CHOOSE({1,2},$N$12,$N$16),CHOOSE({1,2},ROW($N$12),ROW($N$16)))</f>
        <v>2578898.6995999999</v>
      </c>
      <c r="O15" s="12">
        <f>M15-N15</f>
        <v>27149.447399999946</v>
      </c>
      <c r="P15" s="8"/>
      <c r="Q15" s="8"/>
      <c r="R15" s="8"/>
      <c r="S15" s="8"/>
      <c r="T15" s="8"/>
    </row>
    <row r="16" spans="1:20" x14ac:dyDescent="0.25">
      <c r="A16" s="10">
        <v>1907</v>
      </c>
      <c r="B16" s="29">
        <v>79344385</v>
      </c>
      <c r="C16" s="30">
        <v>51.1</v>
      </c>
      <c r="D16" s="30">
        <v>32.200000000000003</v>
      </c>
      <c r="E16" s="27">
        <v>231385</v>
      </c>
      <c r="F16" s="8"/>
      <c r="G16" s="8"/>
      <c r="H16" s="11">
        <v>1907</v>
      </c>
      <c r="I16" s="12">
        <f t="shared" si="0"/>
        <v>4054498.0734999999</v>
      </c>
      <c r="J16" s="3">
        <f>AVERAGE(I16:I17)</f>
        <v>4031463.9169999999</v>
      </c>
      <c r="K16" s="12"/>
      <c r="L16" s="11">
        <v>1907</v>
      </c>
      <c r="M16" s="12">
        <f t="shared" si="1"/>
        <v>2554889.1970000002</v>
      </c>
      <c r="N16" s="3">
        <f>AVERAGE(M16:M17)</f>
        <v>2605490.0141000003</v>
      </c>
      <c r="O16" s="8"/>
      <c r="P16" s="8"/>
      <c r="Q16" s="8"/>
      <c r="R16" s="8"/>
      <c r="S16" s="8"/>
      <c r="T16" s="8"/>
    </row>
    <row r="17" spans="1:20" x14ac:dyDescent="0.25">
      <c r="A17" s="10">
        <v>1908</v>
      </c>
      <c r="B17" s="29">
        <v>80978379</v>
      </c>
      <c r="C17" s="30">
        <v>49.5</v>
      </c>
      <c r="D17" s="30">
        <v>32.799999999999997</v>
      </c>
      <c r="E17" s="27">
        <v>198764</v>
      </c>
      <c r="F17" s="8"/>
      <c r="G17" s="8"/>
      <c r="H17" s="11">
        <v>1908</v>
      </c>
      <c r="I17" s="12">
        <f t="shared" si="0"/>
        <v>4008429.7604999999</v>
      </c>
      <c r="J17" s="12"/>
      <c r="K17" s="12"/>
      <c r="L17" s="11">
        <v>1908</v>
      </c>
      <c r="M17" s="12">
        <f t="shared" si="1"/>
        <v>2656090.8311999999</v>
      </c>
      <c r="N17" s="8"/>
      <c r="O17" s="8"/>
      <c r="P17" s="8"/>
      <c r="Q17" s="8"/>
      <c r="R17" s="8"/>
      <c r="S17" s="8"/>
      <c r="T17" s="8"/>
    </row>
    <row r="18" spans="1:20" x14ac:dyDescent="0.25">
      <c r="A18" s="10">
        <v>1909</v>
      </c>
      <c r="B18" s="29">
        <v>82470452</v>
      </c>
      <c r="C18" s="30">
        <v>49.9</v>
      </c>
      <c r="D18" s="30">
        <v>34.5</v>
      </c>
      <c r="E18" s="27">
        <v>171814</v>
      </c>
      <c r="F18" s="8"/>
      <c r="G18" s="8"/>
      <c r="H18" s="11">
        <v>1909</v>
      </c>
      <c r="I18" s="12">
        <f t="shared" si="0"/>
        <v>4115275.5547999996</v>
      </c>
      <c r="J18" s="12"/>
      <c r="K18" s="12"/>
      <c r="L18" s="11">
        <v>1909</v>
      </c>
      <c r="M18" s="12">
        <f t="shared" si="1"/>
        <v>2845230.594</v>
      </c>
      <c r="N18" s="8"/>
      <c r="O18" s="8"/>
      <c r="P18" s="8"/>
      <c r="Q18" s="8"/>
      <c r="R18" s="8"/>
      <c r="S18" s="8"/>
      <c r="T18" s="8"/>
    </row>
    <row r="19" spans="1:20" x14ac:dyDescent="0.25">
      <c r="A19" s="10">
        <v>1910</v>
      </c>
      <c r="B19" s="29">
        <v>83874891</v>
      </c>
      <c r="C19" s="30">
        <v>50.8</v>
      </c>
      <c r="D19" s="30">
        <v>35.6</v>
      </c>
      <c r="E19" s="27">
        <v>110396</v>
      </c>
      <c r="F19" s="8"/>
      <c r="G19" s="8"/>
      <c r="H19" s="11">
        <v>1910</v>
      </c>
      <c r="I19" s="12">
        <f t="shared" si="0"/>
        <v>4260844.4627999999</v>
      </c>
      <c r="J19" s="12"/>
      <c r="K19" s="12"/>
      <c r="L19" s="11">
        <v>1910</v>
      </c>
      <c r="M19" s="12">
        <f t="shared" si="1"/>
        <v>2985946.1195999999</v>
      </c>
      <c r="N19" s="8"/>
      <c r="O19" s="8"/>
      <c r="P19" s="8"/>
      <c r="Q19" s="8"/>
      <c r="R19" s="8"/>
      <c r="S19" s="8"/>
      <c r="T19" s="8"/>
    </row>
    <row r="20" spans="1:20" x14ac:dyDescent="0.25">
      <c r="A20" s="10">
        <v>1911</v>
      </c>
      <c r="B20" s="29">
        <v>85383352</v>
      </c>
      <c r="C20" s="30">
        <v>50.4</v>
      </c>
      <c r="D20" s="30">
        <v>31.5</v>
      </c>
      <c r="E20" s="27">
        <v>43236</v>
      </c>
      <c r="F20" s="8"/>
      <c r="G20" s="8"/>
      <c r="H20" s="11">
        <v>1911</v>
      </c>
      <c r="I20" s="12">
        <f t="shared" si="0"/>
        <v>4303320.9408</v>
      </c>
      <c r="J20" s="12"/>
      <c r="K20" s="12"/>
      <c r="L20" s="11">
        <v>1911</v>
      </c>
      <c r="M20" s="12">
        <f t="shared" si="1"/>
        <v>2689575.588</v>
      </c>
      <c r="N20" s="8"/>
      <c r="O20" s="8"/>
      <c r="P20" s="8"/>
      <c r="Q20" s="8"/>
      <c r="R20" s="8"/>
      <c r="S20" s="8"/>
      <c r="T20" s="8"/>
    </row>
    <row r="21" spans="1:20" x14ac:dyDescent="0.25">
      <c r="A21" s="10">
        <v>1912</v>
      </c>
      <c r="B21" s="29">
        <v>86975881</v>
      </c>
      <c r="C21" s="30">
        <v>48.5</v>
      </c>
      <c r="D21" s="30">
        <v>31.1</v>
      </c>
      <c r="E21" s="27">
        <v>37232</v>
      </c>
      <c r="F21" s="8"/>
      <c r="G21" s="8"/>
      <c r="H21" s="11">
        <v>1912</v>
      </c>
      <c r="I21" s="12">
        <f t="shared" si="0"/>
        <v>4218330.2285000002</v>
      </c>
      <c r="J21" s="12"/>
      <c r="K21" s="12"/>
      <c r="L21" s="11">
        <v>1912</v>
      </c>
      <c r="M21" s="12">
        <f t="shared" si="1"/>
        <v>2704949.8991</v>
      </c>
      <c r="N21" s="8"/>
      <c r="O21" s="8"/>
      <c r="P21" s="8"/>
      <c r="Q21" s="8"/>
      <c r="R21" s="8"/>
      <c r="S21" s="8"/>
      <c r="T21" s="8"/>
    </row>
    <row r="22" spans="1:20" x14ac:dyDescent="0.25">
      <c r="A22" s="10">
        <v>1913</v>
      </c>
      <c r="B22" s="29">
        <v>88520164</v>
      </c>
      <c r="C22" s="30">
        <v>48.4</v>
      </c>
      <c r="D22" s="30">
        <v>31.6</v>
      </c>
      <c r="E22" s="27">
        <v>65207</v>
      </c>
      <c r="F22" s="8"/>
      <c r="G22" s="8"/>
      <c r="H22" s="11">
        <v>1913</v>
      </c>
      <c r="I22" s="12">
        <f t="shared" si="0"/>
        <v>4284375.9375999998</v>
      </c>
      <c r="J22" s="12"/>
      <c r="K22" s="12"/>
      <c r="L22" s="11">
        <v>1913</v>
      </c>
      <c r="M22" s="12">
        <f t="shared" si="1"/>
        <v>2797237.1824000003</v>
      </c>
      <c r="N22" s="8"/>
      <c r="O22" s="8"/>
      <c r="P22" s="8"/>
      <c r="Q22" s="8"/>
      <c r="R22" s="8"/>
      <c r="S22" s="8"/>
      <c r="T22" s="8"/>
    </row>
    <row r="23" spans="1:20" x14ac:dyDescent="0.25">
      <c r="A23" s="10">
        <v>1914</v>
      </c>
      <c r="B23" s="29">
        <v>90062796</v>
      </c>
      <c r="C23" s="30">
        <v>48</v>
      </c>
      <c r="D23" s="30">
        <v>31.2</v>
      </c>
      <c r="E23" s="27">
        <v>33340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25">
      <c r="A24" s="8"/>
      <c r="B24" s="15"/>
      <c r="C24" s="16"/>
      <c r="D24" s="16"/>
      <c r="E24" s="16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25">
      <c r="A25" s="8"/>
      <c r="B25" s="8"/>
      <c r="C25" s="8"/>
      <c r="D25" s="8"/>
      <c r="E25" s="8"/>
      <c r="F25" s="8"/>
      <c r="G25" s="8"/>
      <c r="H25" s="28" t="s">
        <v>11</v>
      </c>
      <c r="I25" s="28"/>
      <c r="J25" s="28"/>
      <c r="K25" s="12">
        <f>SUM(K14:K15)</f>
        <v>222163.70539999893</v>
      </c>
      <c r="L25" s="8"/>
      <c r="M25" s="8"/>
      <c r="N25" s="7" t="s">
        <v>13</v>
      </c>
      <c r="O25" s="12">
        <f>SUM(O13:O15)</f>
        <v>114323.92399999918</v>
      </c>
      <c r="P25" s="8"/>
      <c r="Q25" s="8"/>
      <c r="R25" s="8"/>
      <c r="S25" s="8"/>
      <c r="T25" s="8"/>
    </row>
    <row r="26" spans="1:20" x14ac:dyDescent="0.25">
      <c r="A26" s="8"/>
      <c r="B26" s="8"/>
      <c r="C26" s="8"/>
      <c r="D26" s="8"/>
      <c r="E26" s="8"/>
      <c r="F26" s="8"/>
      <c r="G26" s="8"/>
      <c r="H26" s="24"/>
      <c r="I26" s="24"/>
      <c r="J26" s="24"/>
      <c r="K26" s="8"/>
      <c r="L26" s="8"/>
      <c r="M26" s="8"/>
      <c r="N26" s="7" t="s">
        <v>15</v>
      </c>
      <c r="O26" s="12">
        <f>Q26*0.526246</f>
        <v>26813.286192</v>
      </c>
      <c r="P26" s="8"/>
      <c r="Q26" s="12">
        <v>50952</v>
      </c>
      <c r="R26" s="8"/>
      <c r="S26" s="8"/>
      <c r="T26" s="8"/>
    </row>
    <row r="27" spans="1:20" x14ac:dyDescent="0.25">
      <c r="A27" s="8"/>
      <c r="B27" s="8"/>
      <c r="C27" s="8"/>
      <c r="D27" s="8"/>
      <c r="E27" s="8"/>
      <c r="F27" s="8"/>
      <c r="G27" s="8"/>
      <c r="H27" s="24"/>
      <c r="I27" s="24"/>
      <c r="J27" s="24"/>
      <c r="K27" s="8"/>
      <c r="L27" s="8"/>
      <c r="M27" s="8"/>
      <c r="N27" s="7"/>
      <c r="O27" s="8"/>
      <c r="P27" s="8"/>
      <c r="Q27" s="8"/>
      <c r="R27" s="8"/>
      <c r="S27" s="8"/>
      <c r="T27" s="8"/>
    </row>
    <row r="28" spans="1:20" x14ac:dyDescent="0.25">
      <c r="A28" s="8"/>
      <c r="B28" s="8"/>
      <c r="C28" s="8"/>
      <c r="D28" s="8"/>
      <c r="E28" s="8"/>
      <c r="F28" s="8"/>
      <c r="G28" s="8"/>
      <c r="H28" s="28" t="s">
        <v>12</v>
      </c>
      <c r="I28" s="28"/>
      <c r="J28" s="28"/>
      <c r="K28" s="12">
        <f>K25*0.68</f>
        <v>151071.31967199928</v>
      </c>
      <c r="L28" s="12"/>
      <c r="M28" s="12"/>
      <c r="N28" s="3" t="s">
        <v>14</v>
      </c>
      <c r="O28" s="12">
        <f>O25-O26</f>
        <v>87510.637807999185</v>
      </c>
      <c r="P28" s="8"/>
      <c r="Q28" s="8"/>
      <c r="R28" s="8"/>
      <c r="S28" s="8"/>
      <c r="T28" s="8"/>
    </row>
    <row r="29" spans="1:20" x14ac:dyDescent="0.25">
      <c r="A29" s="8"/>
      <c r="B29" s="8"/>
      <c r="C29" s="8"/>
      <c r="D29" s="8"/>
      <c r="E29" s="8"/>
      <c r="F29" s="8"/>
      <c r="G29" s="8"/>
      <c r="H29" s="24"/>
      <c r="I29" s="24"/>
      <c r="J29" s="24"/>
      <c r="K29" s="12"/>
      <c r="L29" s="12"/>
      <c r="M29" s="12"/>
      <c r="N29" s="12"/>
      <c r="O29" s="12"/>
      <c r="P29" s="8"/>
      <c r="Q29" s="8"/>
      <c r="R29" s="8"/>
      <c r="S29" s="8"/>
      <c r="T29" s="8"/>
    </row>
    <row r="30" spans="1:20" x14ac:dyDescent="0.25">
      <c r="A30" s="8"/>
      <c r="B30" s="8"/>
      <c r="C30" s="8"/>
      <c r="D30" s="8"/>
      <c r="E30" s="8"/>
      <c r="F30" s="8"/>
      <c r="G30" s="8"/>
      <c r="H30" s="24"/>
      <c r="I30" s="24"/>
      <c r="J30" s="24"/>
      <c r="K30" s="12"/>
      <c r="L30" s="12"/>
      <c r="M30" s="12"/>
      <c r="N30" s="12"/>
      <c r="O30" s="12"/>
      <c r="P30" s="8"/>
      <c r="Q30" s="8"/>
      <c r="R30" s="8"/>
      <c r="S30" s="8"/>
      <c r="T30" s="8"/>
    </row>
    <row r="31" spans="1:20" x14ac:dyDescent="0.25">
      <c r="A31" s="8"/>
      <c r="B31" s="8"/>
      <c r="C31" s="8"/>
      <c r="D31" s="8"/>
      <c r="E31" s="8"/>
      <c r="F31" s="8"/>
      <c r="G31" s="8"/>
      <c r="H31" s="28" t="s">
        <v>16</v>
      </c>
      <c r="I31" s="28"/>
      <c r="J31" s="28"/>
      <c r="K31" s="12">
        <f>K28+O28</f>
        <v>238581.95747999847</v>
      </c>
      <c r="L31" s="12"/>
      <c r="M31" s="12"/>
      <c r="N31" s="12"/>
      <c r="O31" s="12"/>
      <c r="P31" s="8"/>
      <c r="Q31" s="8"/>
      <c r="R31" s="8"/>
      <c r="S31" s="8"/>
      <c r="T31" s="8"/>
    </row>
    <row r="32" spans="1:20" x14ac:dyDescent="0.25">
      <c r="A32" s="8"/>
      <c r="B32" s="8"/>
      <c r="C32" s="8"/>
      <c r="D32" s="8"/>
      <c r="E32" s="8"/>
      <c r="F32" s="8"/>
      <c r="G32" s="8"/>
      <c r="H32" s="24"/>
      <c r="I32" s="24"/>
      <c r="J32" s="24"/>
      <c r="K32" s="12"/>
      <c r="L32" s="12"/>
      <c r="M32" s="12"/>
      <c r="N32" s="12"/>
      <c r="O32" s="12"/>
      <c r="P32" s="8"/>
      <c r="Q32" s="8"/>
      <c r="R32" s="8"/>
      <c r="S32" s="8"/>
      <c r="T32" s="8"/>
    </row>
    <row r="33" spans="1:20" x14ac:dyDescent="0.25">
      <c r="A33" s="8"/>
      <c r="B33" s="8"/>
      <c r="C33" s="8"/>
      <c r="D33" s="8"/>
      <c r="E33" s="8"/>
      <c r="F33" s="8"/>
      <c r="G33" s="8"/>
      <c r="H33" s="24"/>
      <c r="I33" s="24"/>
      <c r="J33" s="24"/>
      <c r="K33" s="12"/>
      <c r="L33" s="12"/>
      <c r="M33" s="12"/>
      <c r="N33" s="12"/>
      <c r="O33" s="12"/>
      <c r="P33" s="8"/>
      <c r="Q33" s="8"/>
      <c r="R33" s="8"/>
      <c r="S33" s="8"/>
      <c r="T33" s="8"/>
    </row>
    <row r="34" spans="1:20" x14ac:dyDescent="0.25">
      <c r="A34" s="8"/>
      <c r="B34" s="8"/>
      <c r="C34" s="8"/>
      <c r="D34" s="8"/>
      <c r="E34" s="8"/>
      <c r="F34" s="8"/>
      <c r="G34" s="8"/>
      <c r="H34" s="24"/>
      <c r="I34" s="24"/>
      <c r="J34" s="24"/>
      <c r="K34" s="12"/>
      <c r="L34" s="12"/>
      <c r="M34" s="12"/>
      <c r="N34" s="12"/>
      <c r="O34" s="12"/>
      <c r="P34" s="8"/>
      <c r="Q34" s="8"/>
      <c r="R34" s="8"/>
      <c r="S34" s="8"/>
      <c r="T34" s="8"/>
    </row>
    <row r="35" spans="1:20" x14ac:dyDescent="0.25">
      <c r="A35" s="8"/>
      <c r="B35" s="8"/>
      <c r="C35" s="8"/>
      <c r="D35" s="8"/>
      <c r="E35" s="8"/>
      <c r="F35" s="8"/>
      <c r="G35" s="8"/>
      <c r="H35" s="28" t="s">
        <v>19</v>
      </c>
      <c r="I35" s="28"/>
      <c r="J35" s="28"/>
      <c r="K35" s="17">
        <f>K31/O26</f>
        <v>8.8979006814607331</v>
      </c>
      <c r="L35" s="17"/>
      <c r="M35" s="17"/>
      <c r="N35" s="17"/>
      <c r="O35" s="17">
        <f>O28/O26</f>
        <v>3.2637043136513726</v>
      </c>
      <c r="P35" s="8"/>
      <c r="Q35" s="8"/>
      <c r="R35" s="8"/>
      <c r="S35" s="8"/>
      <c r="T35" s="8"/>
    </row>
    <row r="36" spans="1:20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12"/>
      <c r="L36" s="12"/>
      <c r="M36" s="12"/>
      <c r="N36" s="12"/>
      <c r="O36" s="12"/>
      <c r="P36" s="8"/>
      <c r="Q36" s="8"/>
      <c r="R36" s="8"/>
      <c r="S36" s="8"/>
      <c r="T36" s="8"/>
    </row>
    <row r="37" spans="1:2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12"/>
      <c r="L37" s="12"/>
      <c r="M37" s="12"/>
      <c r="N37" s="12"/>
      <c r="O37" s="12"/>
      <c r="P37" s="8"/>
      <c r="Q37" s="8"/>
      <c r="R37" s="8"/>
      <c r="S37" s="8"/>
      <c r="T37" s="8"/>
    </row>
    <row r="38" spans="1:2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 spans="1:2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pans="1:2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 spans="1:2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</sheetData>
  <mergeCells count="4">
    <mergeCell ref="H25:J25"/>
    <mergeCell ref="H28:J28"/>
    <mergeCell ref="H31:J31"/>
    <mergeCell ref="H35:J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Империя</vt:lpstr>
      <vt:lpstr>РСФСР-1991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2026-04-30T04:48:13Z</dcterms:created>
  <dcterms:modified xsi:type="dcterms:W3CDTF">2026-05-10T20:20:57Z</dcterms:modified>
</cp:coreProperties>
</file>