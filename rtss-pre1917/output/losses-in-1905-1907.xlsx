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output\"/>
    </mc:Choice>
  </mc:AlternateContent>
  <xr:revisionPtr revIDLastSave="0" documentId="8_{4214B6B2-0F7D-4460-B453-874545251193}" xr6:coauthVersionLast="45" xr6:coauthVersionMax="45" xr10:uidLastSave="{00000000-0000-0000-0000-000000000000}"/>
  <bookViews>
    <workbookView xWindow="2820" yWindow="2265" windowWidth="21045" windowHeight="20055" activeTab="1" xr2:uid="{CD6A3FA1-ECCF-46AD-86DE-0432F21AB25D}"/>
  </bookViews>
  <sheets>
    <sheet name="РСФСР-1991" sheetId="3" r:id="rId1"/>
    <sheet name="Империя" sheetId="4" r:id="rId2"/>
  </sheets>
  <definedNames>
    <definedName name="NGR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5" i="3" l="1"/>
  <c r="O25" i="4"/>
  <c r="O26" i="4"/>
  <c r="M22" i="4"/>
  <c r="I22" i="4"/>
  <c r="M21" i="4"/>
  <c r="I21" i="4"/>
  <c r="M20" i="4"/>
  <c r="I20" i="4"/>
  <c r="M19" i="4"/>
  <c r="I19" i="4"/>
  <c r="M18" i="4"/>
  <c r="I18" i="4"/>
  <c r="M17" i="4"/>
  <c r="I17" i="4"/>
  <c r="M16" i="4"/>
  <c r="N16" i="4" s="1"/>
  <c r="I16" i="4"/>
  <c r="J16" i="4" s="1"/>
  <c r="M15" i="4"/>
  <c r="I15" i="4"/>
  <c r="M14" i="4"/>
  <c r="I14" i="4"/>
  <c r="M13" i="4"/>
  <c r="I13" i="4"/>
  <c r="M12" i="4"/>
  <c r="I12" i="4"/>
  <c r="J13" i="4" s="1"/>
  <c r="M11" i="4"/>
  <c r="I11" i="4"/>
  <c r="M10" i="4"/>
  <c r="I10" i="4"/>
  <c r="M9" i="4"/>
  <c r="I9" i="4"/>
  <c r="M8" i="4"/>
  <c r="I8" i="4"/>
  <c r="M7" i="4"/>
  <c r="I7" i="4"/>
  <c r="M6" i="4"/>
  <c r="I6" i="4"/>
  <c r="M5" i="4"/>
  <c r="I5" i="4"/>
  <c r="N16" i="3"/>
  <c r="J16" i="3"/>
  <c r="O26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I22" i="3"/>
  <c r="I21" i="3"/>
  <c r="I20" i="3"/>
  <c r="I19" i="3"/>
  <c r="I18" i="3"/>
  <c r="I17" i="3"/>
  <c r="I16" i="3"/>
  <c r="I15" i="3"/>
  <c r="I14" i="3"/>
  <c r="I13" i="3"/>
  <c r="I12" i="3"/>
  <c r="J13" i="3" s="1"/>
  <c r="I11" i="3"/>
  <c r="I10" i="3"/>
  <c r="I9" i="3"/>
  <c r="I8" i="3"/>
  <c r="I7" i="3"/>
  <c r="I6" i="3"/>
  <c r="I5" i="3"/>
  <c r="N12" i="3"/>
  <c r="N12" i="4" l="1"/>
  <c r="J15" i="4"/>
  <c r="K15" i="4" s="1"/>
  <c r="J14" i="4"/>
  <c r="K14" i="4" s="1"/>
  <c r="K25" i="4" s="1"/>
  <c r="K28" i="4" s="1"/>
  <c r="N13" i="4"/>
  <c r="O13" i="4" s="1"/>
  <c r="O28" i="4" s="1"/>
  <c r="O35" i="4" s="1"/>
  <c r="N15" i="4"/>
  <c r="O15" i="4" s="1"/>
  <c r="N14" i="4"/>
  <c r="O14" i="4" s="1"/>
  <c r="J15" i="3"/>
  <c r="K15" i="3" s="1"/>
  <c r="N14" i="3"/>
  <c r="O14" i="3" s="1"/>
  <c r="N15" i="3"/>
  <c r="O15" i="3" s="1"/>
  <c r="N13" i="3"/>
  <c r="O13" i="3" s="1"/>
  <c r="J14" i="3"/>
  <c r="K14" i="3" s="1"/>
  <c r="K25" i="3" s="1"/>
  <c r="K28" i="3" s="1"/>
  <c r="K31" i="4" l="1"/>
  <c r="K35" i="4" s="1"/>
  <c r="O28" i="3"/>
  <c r="O35" i="3" s="1"/>
  <c r="K31" i="3" l="1"/>
  <c r="K35" i="3" s="1"/>
</calcChain>
</file>

<file path=xl/sharedStrings.xml><?xml version="1.0" encoding="utf-8"?>
<sst xmlns="http://schemas.openxmlformats.org/spreadsheetml/2006/main" count="14" uniqueCount="7">
  <si>
    <t>чр</t>
  </si>
  <si>
    <t>чс</t>
  </si>
  <si>
    <t>чр-до-после</t>
  </si>
  <si>
    <t>чс-до-после</t>
  </si>
  <si>
    <t>loss чр</t>
  </si>
  <si>
    <t>excess чс</t>
  </si>
  <si>
    <t>Демографические потери в событиях 1905-1907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</si>
</sst>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1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3" fontId="0" fillId="2" borderId="0" xfId="0" applyNumberFormat="1" applyFill="1"/>
    <xf numFmtId="3" fontId="2" fillId="0" borderId="0" xfId="0" applyNumberFormat="1" applyFont="1"/>
    <xf numFmtId="169" fontId="0" fillId="0" borderId="0" xfId="0" applyNumberFormat="1"/>
    <xf numFmtId="0" fontId="0" fillId="0" borderId="1" xfId="0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3905-8164-42F0-8C89-791B14C294D3}">
  <dimension ref="A1:Q37"/>
  <sheetViews>
    <sheetView workbookViewId="0"/>
  </sheetViews>
  <sheetFormatPr defaultRowHeight="15" x14ac:dyDescent="0.25"/>
  <cols>
    <col min="2" max="2" width="13.5703125" customWidth="1"/>
    <col min="3" max="3" width="11.5703125" customWidth="1"/>
    <col min="6" max="7" width="10.140625" bestFit="1" customWidth="1"/>
    <col min="8" max="8" width="14.140625" customWidth="1"/>
    <col min="9" max="12" width="12.7109375" customWidth="1"/>
    <col min="13" max="13" width="12.140625" customWidth="1"/>
    <col min="14" max="14" width="12.7109375" customWidth="1"/>
    <col min="15" max="15" width="10.140625" bestFit="1" customWidth="1"/>
  </cols>
  <sheetData>
    <row r="1" spans="1:15" ht="18.75" x14ac:dyDescent="0.3">
      <c r="A1" s="11" t="s">
        <v>6</v>
      </c>
    </row>
    <row r="4" spans="1:15" x14ac:dyDescent="0.25">
      <c r="I4" s="4" t="s">
        <v>0</v>
      </c>
      <c r="J4" s="4" t="s">
        <v>2</v>
      </c>
      <c r="K4" s="4" t="s">
        <v>4</v>
      </c>
      <c r="L4" s="4"/>
      <c r="M4" s="4" t="s">
        <v>1</v>
      </c>
      <c r="N4" s="4" t="s">
        <v>3</v>
      </c>
      <c r="O4" s="4" t="s">
        <v>5</v>
      </c>
    </row>
    <row r="5" spans="1:15" x14ac:dyDescent="0.25">
      <c r="A5" s="2">
        <v>1896</v>
      </c>
      <c r="B5" s="3">
        <v>64871274</v>
      </c>
      <c r="C5" s="2">
        <v>53</v>
      </c>
      <c r="D5" s="2">
        <v>37</v>
      </c>
      <c r="E5" s="2"/>
      <c r="H5" s="2">
        <v>1896</v>
      </c>
      <c r="I5" s="1">
        <f>B5*C5/1000</f>
        <v>3438177.5219999999</v>
      </c>
      <c r="J5" s="1"/>
      <c r="K5" s="1"/>
      <c r="L5" s="2">
        <v>1896</v>
      </c>
      <c r="M5" s="1">
        <f>B5*D5/1000</f>
        <v>2400237.1379999998</v>
      </c>
    </row>
    <row r="6" spans="1:15" x14ac:dyDescent="0.25">
      <c r="A6" s="2">
        <v>1897</v>
      </c>
      <c r="B6" s="3">
        <v>65965796</v>
      </c>
      <c r="C6" s="2">
        <v>53</v>
      </c>
      <c r="D6" s="2">
        <v>34.9</v>
      </c>
      <c r="E6" s="2"/>
      <c r="H6" s="2">
        <v>1897</v>
      </c>
      <c r="I6" s="1">
        <f t="shared" ref="I6:I22" si="0">B6*C6/1000</f>
        <v>3496187.1880000001</v>
      </c>
      <c r="J6" s="1"/>
      <c r="K6" s="1"/>
      <c r="L6" s="2">
        <v>1897</v>
      </c>
      <c r="M6" s="1">
        <f t="shared" ref="M6:M22" si="1">B6*D6/1000</f>
        <v>2302206.2804</v>
      </c>
    </row>
    <row r="7" spans="1:15" x14ac:dyDescent="0.25">
      <c r="A7" s="2">
        <v>1898</v>
      </c>
      <c r="B7" s="3">
        <v>67183862</v>
      </c>
      <c r="C7" s="2">
        <v>50.7</v>
      </c>
      <c r="D7" s="2">
        <v>37</v>
      </c>
      <c r="E7" s="2"/>
      <c r="H7" s="2">
        <v>1898</v>
      </c>
      <c r="I7" s="1">
        <f t="shared" si="0"/>
        <v>3406221.8034000001</v>
      </c>
      <c r="J7" s="1"/>
      <c r="K7" s="1"/>
      <c r="L7" s="2">
        <v>1898</v>
      </c>
      <c r="M7" s="1">
        <f t="shared" si="1"/>
        <v>2485802.8939999999</v>
      </c>
    </row>
    <row r="8" spans="1:15" x14ac:dyDescent="0.25">
      <c r="A8" s="2">
        <v>1899</v>
      </c>
      <c r="B8" s="3">
        <v>68140033</v>
      </c>
      <c r="C8" s="2">
        <v>51.3</v>
      </c>
      <c r="D8" s="2">
        <v>33.700000000000003</v>
      </c>
      <c r="E8" s="2"/>
      <c r="H8" s="2">
        <v>1899</v>
      </c>
      <c r="I8" s="1">
        <f t="shared" si="0"/>
        <v>3495583.6928999997</v>
      </c>
      <c r="J8" s="1"/>
      <c r="K8" s="1"/>
      <c r="L8" s="2">
        <v>1899</v>
      </c>
      <c r="M8" s="1">
        <f t="shared" si="1"/>
        <v>2296319.1121000005</v>
      </c>
    </row>
    <row r="9" spans="1:15" x14ac:dyDescent="0.25">
      <c r="A9" s="2">
        <v>1900</v>
      </c>
      <c r="B9" s="3">
        <v>69364381</v>
      </c>
      <c r="C9" s="2">
        <v>52.1</v>
      </c>
      <c r="D9" s="2">
        <v>34.5</v>
      </c>
      <c r="E9" s="2"/>
      <c r="H9" s="2">
        <v>1900</v>
      </c>
      <c r="I9" s="1">
        <f t="shared" si="0"/>
        <v>3613884.2500999998</v>
      </c>
      <c r="J9" s="1"/>
      <c r="K9" s="1"/>
      <c r="L9" s="2">
        <v>1900</v>
      </c>
      <c r="M9" s="1">
        <f t="shared" si="1"/>
        <v>2393071.1444999999</v>
      </c>
    </row>
    <row r="10" spans="1:15" x14ac:dyDescent="0.25">
      <c r="A10" s="2">
        <v>1901</v>
      </c>
      <c r="B10" s="3">
        <v>70661837</v>
      </c>
      <c r="C10" s="2">
        <v>51.7</v>
      </c>
      <c r="D10" s="2">
        <v>35.6</v>
      </c>
      <c r="E10" s="2"/>
      <c r="H10" s="2">
        <v>1901</v>
      </c>
      <c r="I10" s="1">
        <f t="shared" si="0"/>
        <v>3653216.9728999999</v>
      </c>
      <c r="J10" s="1"/>
      <c r="K10" s="1"/>
      <c r="L10" s="2">
        <v>1901</v>
      </c>
      <c r="M10" s="1">
        <f t="shared" si="1"/>
        <v>2515561.3972000005</v>
      </c>
    </row>
    <row r="11" spans="1:15" x14ac:dyDescent="0.25">
      <c r="A11" s="2">
        <v>1902</v>
      </c>
      <c r="B11" s="3">
        <v>71864966</v>
      </c>
      <c r="C11" s="2">
        <v>52.5</v>
      </c>
      <c r="D11" s="2">
        <v>35.5</v>
      </c>
      <c r="E11" s="2"/>
      <c r="H11" s="2">
        <v>1902</v>
      </c>
      <c r="I11" s="1">
        <f t="shared" si="0"/>
        <v>3772910.7149999999</v>
      </c>
      <c r="J11" s="1"/>
      <c r="K11" s="1"/>
      <c r="L11" s="2">
        <v>1902</v>
      </c>
      <c r="M11" s="1">
        <f t="shared" si="1"/>
        <v>2551206.2930000001</v>
      </c>
    </row>
    <row r="12" spans="1:15" x14ac:dyDescent="0.25">
      <c r="A12" s="2">
        <v>1903</v>
      </c>
      <c r="B12" s="3">
        <v>73151507</v>
      </c>
      <c r="C12" s="2">
        <v>52.1</v>
      </c>
      <c r="D12" s="2">
        <v>33</v>
      </c>
      <c r="E12" s="2"/>
      <c r="H12" s="2">
        <v>1903</v>
      </c>
      <c r="I12" s="1">
        <f t="shared" si="0"/>
        <v>3811193.5147000002</v>
      </c>
      <c r="J12" s="1"/>
      <c r="K12" s="1"/>
      <c r="L12" s="2">
        <v>1903</v>
      </c>
      <c r="M12" s="1">
        <f t="shared" si="1"/>
        <v>2413999.7310000001</v>
      </c>
      <c r="N12" s="5">
        <f>AVERAGE(M11:M12)</f>
        <v>2482603.0120000001</v>
      </c>
    </row>
    <row r="13" spans="1:15" x14ac:dyDescent="0.25">
      <c r="A13" s="2">
        <v>1904</v>
      </c>
      <c r="B13" s="3">
        <v>74592743</v>
      </c>
      <c r="C13" s="2">
        <v>52.4</v>
      </c>
      <c r="D13" s="2">
        <v>33.4</v>
      </c>
      <c r="E13" s="2"/>
      <c r="H13" s="2">
        <v>1904</v>
      </c>
      <c r="I13" s="1">
        <f t="shared" si="0"/>
        <v>3908659.7331999997</v>
      </c>
      <c r="J13" s="5">
        <f>AVERAGE(I12:I13)</f>
        <v>3859926.6239499999</v>
      </c>
      <c r="K13" s="1"/>
      <c r="L13" s="2">
        <v>1904</v>
      </c>
      <c r="M13" s="1">
        <f t="shared" si="1"/>
        <v>2491397.6161999996</v>
      </c>
      <c r="N13" s="1">
        <f>_xlfn.FORECAST.LINEAR(ROW(),CHOOSE({1,2},$N$12,$N$16),CHOOSE({1,2},ROW($N$12),ROW($N$16)))</f>
        <v>2509321.3574999995</v>
      </c>
      <c r="O13" s="1">
        <f>M13-N13</f>
        <v>-17923.741299999878</v>
      </c>
    </row>
    <row r="14" spans="1:15" x14ac:dyDescent="0.25">
      <c r="A14" s="2">
        <v>1905</v>
      </c>
      <c r="B14" s="3">
        <v>76010458</v>
      </c>
      <c r="C14" s="2">
        <v>48.6</v>
      </c>
      <c r="D14" s="2">
        <v>34.799999999999997</v>
      </c>
      <c r="E14" s="2"/>
      <c r="H14" s="6">
        <v>1905</v>
      </c>
      <c r="I14" s="1">
        <f t="shared" si="0"/>
        <v>3694108.2588000004</v>
      </c>
      <c r="J14" s="7">
        <f>_xlfn.FORECAST.LINEAR(ROW(),CHOOSE({1,2},$J$13,$J$16),CHOOSE({1,2},ROW($J$13),ROW($J$16)))</f>
        <v>3909335.6032166667</v>
      </c>
      <c r="K14" s="7">
        <f>J14-I14</f>
        <v>215227.34441666631</v>
      </c>
      <c r="L14" s="6">
        <v>1905</v>
      </c>
      <c r="M14" s="1">
        <f t="shared" si="1"/>
        <v>2645163.9383999994</v>
      </c>
      <c r="N14" s="7">
        <f>_xlfn.FORECAST.LINEAR(ROW(),CHOOSE({1,2},$N$12,$N$16),CHOOSE({1,2},ROW($N$12),ROW($N$16)))</f>
        <v>2536039.7029999997</v>
      </c>
      <c r="O14" s="7">
        <f>M14-N14</f>
        <v>109124.23539999966</v>
      </c>
    </row>
    <row r="15" spans="1:15" x14ac:dyDescent="0.25">
      <c r="A15" s="2">
        <v>1906</v>
      </c>
      <c r="B15" s="3">
        <v>77061505</v>
      </c>
      <c r="C15" s="2">
        <v>51.3</v>
      </c>
      <c r="D15" s="2">
        <v>33.6</v>
      </c>
      <c r="E15" s="2"/>
      <c r="H15" s="2">
        <v>1906</v>
      </c>
      <c r="I15" s="1">
        <f t="shared" si="0"/>
        <v>3953255.2064999999</v>
      </c>
      <c r="J15" s="1">
        <f>_xlfn.FORECAST.LINEAR(ROW(),CHOOSE({1,2},$J$13,$J$16),CHOOSE({1,2},ROW($J$13),ROW($J$16)))</f>
        <v>3958744.5824833331</v>
      </c>
      <c r="K15" s="1">
        <f>J15-I15</f>
        <v>5489.3759833332151</v>
      </c>
      <c r="L15" s="2">
        <v>1906</v>
      </c>
      <c r="M15" s="1">
        <f t="shared" si="1"/>
        <v>2589266.568</v>
      </c>
      <c r="N15" s="1">
        <f>_xlfn.FORECAST.LINEAR(ROW(),CHOOSE({1,2},$N$12,$N$16),CHOOSE({1,2},ROW($N$12),ROW($N$16)))</f>
        <v>2562758.0484999996</v>
      </c>
      <c r="O15" s="1">
        <f>M15-N15</f>
        <v>26508.519500000402</v>
      </c>
    </row>
    <row r="16" spans="1:15" x14ac:dyDescent="0.25">
      <c r="A16" s="2">
        <v>1907</v>
      </c>
      <c r="B16" s="3">
        <v>78446539</v>
      </c>
      <c r="C16" s="2">
        <v>51.3</v>
      </c>
      <c r="D16" s="2">
        <v>32.4</v>
      </c>
      <c r="E16" s="2"/>
      <c r="H16" s="2">
        <v>1907</v>
      </c>
      <c r="I16" s="1">
        <f t="shared" si="0"/>
        <v>4024307.4506999999</v>
      </c>
      <c r="J16" s="5">
        <f>AVERAGE(I16:I17)</f>
        <v>4008153.5617499999</v>
      </c>
      <c r="K16" s="1"/>
      <c r="L16" s="2">
        <v>1907</v>
      </c>
      <c r="M16" s="1">
        <f t="shared" si="1"/>
        <v>2541667.8635999998</v>
      </c>
      <c r="N16" s="5">
        <f>AVERAGE(M16:M17)</f>
        <v>2589476.3939999999</v>
      </c>
    </row>
    <row r="17" spans="1:17" x14ac:dyDescent="0.25">
      <c r="A17" s="2">
        <v>1908</v>
      </c>
      <c r="B17" s="3">
        <v>80160636</v>
      </c>
      <c r="C17" s="2">
        <v>49.8</v>
      </c>
      <c r="D17" s="2">
        <v>32.9</v>
      </c>
      <c r="E17" s="2"/>
      <c r="H17" s="2">
        <v>1908</v>
      </c>
      <c r="I17" s="1">
        <f t="shared" si="0"/>
        <v>3991999.6727999998</v>
      </c>
      <c r="J17" s="1"/>
      <c r="K17" s="1"/>
      <c r="L17" s="2">
        <v>1908</v>
      </c>
      <c r="M17" s="1">
        <f t="shared" si="1"/>
        <v>2637284.9243999999</v>
      </c>
    </row>
    <row r="18" spans="1:17" x14ac:dyDescent="0.25">
      <c r="A18" s="2">
        <v>1909</v>
      </c>
      <c r="B18" s="3">
        <v>81710155</v>
      </c>
      <c r="C18" s="2">
        <v>50.1</v>
      </c>
      <c r="D18" s="2">
        <v>34.700000000000003</v>
      </c>
      <c r="E18" s="2"/>
      <c r="H18" s="2">
        <v>1909</v>
      </c>
      <c r="I18" s="1">
        <f t="shared" si="0"/>
        <v>4093678.7655000002</v>
      </c>
      <c r="J18" s="1"/>
      <c r="K18" s="1"/>
      <c r="L18" s="2">
        <v>1909</v>
      </c>
      <c r="M18" s="1">
        <f t="shared" si="1"/>
        <v>2835342.3785000001</v>
      </c>
    </row>
    <row r="19" spans="1:17" x14ac:dyDescent="0.25">
      <c r="A19" s="2">
        <v>1910</v>
      </c>
      <c r="B19" s="3">
        <v>83141439</v>
      </c>
      <c r="C19" s="2">
        <v>51</v>
      </c>
      <c r="D19" s="2">
        <v>35.799999999999997</v>
      </c>
      <c r="E19" s="2"/>
      <c r="H19" s="2">
        <v>1910</v>
      </c>
      <c r="I19" s="1">
        <f t="shared" si="0"/>
        <v>4240213.3890000004</v>
      </c>
      <c r="J19" s="1"/>
      <c r="K19" s="1"/>
      <c r="L19" s="2">
        <v>1910</v>
      </c>
      <c r="M19" s="1">
        <f t="shared" si="1"/>
        <v>2976463.5162</v>
      </c>
    </row>
    <row r="20" spans="1:17" x14ac:dyDescent="0.25">
      <c r="A20" s="2">
        <v>1911</v>
      </c>
      <c r="B20" s="3">
        <v>84516096</v>
      </c>
      <c r="C20" s="2">
        <v>50.7</v>
      </c>
      <c r="D20" s="2">
        <v>31.7</v>
      </c>
      <c r="E20" s="2"/>
      <c r="H20" s="2">
        <v>1911</v>
      </c>
      <c r="I20" s="1">
        <f t="shared" si="0"/>
        <v>4284966.0672000004</v>
      </c>
      <c r="J20" s="1"/>
      <c r="K20" s="1"/>
      <c r="L20" s="2">
        <v>1911</v>
      </c>
      <c r="M20" s="1">
        <f t="shared" si="1"/>
        <v>2679160.2431999999</v>
      </c>
    </row>
    <row r="21" spans="1:17" x14ac:dyDescent="0.25">
      <c r="A21" s="2">
        <v>1912</v>
      </c>
      <c r="B21" s="3">
        <v>86157392</v>
      </c>
      <c r="C21" s="2">
        <v>48.7</v>
      </c>
      <c r="D21" s="2">
        <v>31.2</v>
      </c>
      <c r="E21" s="2"/>
      <c r="H21" s="2">
        <v>1912</v>
      </c>
      <c r="I21" s="1">
        <f t="shared" si="0"/>
        <v>4195864.9904000005</v>
      </c>
      <c r="J21" s="1"/>
      <c r="K21" s="1"/>
      <c r="L21" s="2">
        <v>1912</v>
      </c>
      <c r="M21" s="1">
        <f t="shared" si="1"/>
        <v>2688110.6304000001</v>
      </c>
    </row>
    <row r="22" spans="1:17" x14ac:dyDescent="0.25">
      <c r="A22" s="2">
        <v>1913</v>
      </c>
      <c r="B22" s="3">
        <v>87697965</v>
      </c>
      <c r="C22" s="2">
        <v>48.6</v>
      </c>
      <c r="D22" s="2">
        <v>31.7</v>
      </c>
      <c r="E22" s="2"/>
      <c r="H22" s="2">
        <v>1913</v>
      </c>
      <c r="I22" s="1">
        <f t="shared" si="0"/>
        <v>4262121.0990000004</v>
      </c>
      <c r="J22" s="1"/>
      <c r="K22" s="1"/>
      <c r="L22" s="2">
        <v>1913</v>
      </c>
      <c r="M22" s="1">
        <f t="shared" si="1"/>
        <v>2780025.4904999998</v>
      </c>
    </row>
    <row r="23" spans="1:17" x14ac:dyDescent="0.25">
      <c r="B23" s="3">
        <v>89243366</v>
      </c>
      <c r="C23" s="2">
        <v>48.3</v>
      </c>
      <c r="D23" s="2">
        <v>31.4</v>
      </c>
      <c r="E23" s="2"/>
    </row>
    <row r="24" spans="1:17" x14ac:dyDescent="0.25">
      <c r="B24" s="3">
        <v>90783851</v>
      </c>
      <c r="C24" s="10"/>
      <c r="D24" s="10"/>
      <c r="E24" s="10"/>
    </row>
    <row r="25" spans="1:17" x14ac:dyDescent="0.25">
      <c r="K25" s="1">
        <f>SUM(K14:K15)</f>
        <v>220716.72039999953</v>
      </c>
      <c r="O25" s="1">
        <f>SUM(O13:O15)</f>
        <v>117709.01360000018</v>
      </c>
    </row>
    <row r="26" spans="1:17" x14ac:dyDescent="0.25">
      <c r="O26" s="8">
        <f>Q26*0.526</f>
        <v>26800.752</v>
      </c>
      <c r="Q26" s="8">
        <v>50952</v>
      </c>
    </row>
    <row r="28" spans="1:17" x14ac:dyDescent="0.25">
      <c r="K28" s="1">
        <f>K25*0.68</f>
        <v>150087.36987199969</v>
      </c>
      <c r="L28" s="1"/>
      <c r="M28" s="1"/>
      <c r="N28" s="1"/>
      <c r="O28" s="8">
        <f>O25-O26</f>
        <v>90908.261600000173</v>
      </c>
    </row>
    <row r="29" spans="1:17" x14ac:dyDescent="0.25">
      <c r="K29" s="1"/>
      <c r="L29" s="1"/>
      <c r="M29" s="1"/>
      <c r="N29" s="1"/>
      <c r="O29" s="1"/>
    </row>
    <row r="30" spans="1:17" x14ac:dyDescent="0.25">
      <c r="K30" s="1"/>
      <c r="L30" s="1"/>
      <c r="M30" s="1"/>
      <c r="N30" s="1"/>
      <c r="O30" s="1"/>
    </row>
    <row r="31" spans="1:17" x14ac:dyDescent="0.25">
      <c r="K31" s="1">
        <f>K28+O28</f>
        <v>240995.63147199986</v>
      </c>
      <c r="L31" s="1"/>
      <c r="M31" s="1"/>
      <c r="N31" s="1"/>
      <c r="O31" s="1"/>
    </row>
    <row r="32" spans="1:17" x14ac:dyDescent="0.25">
      <c r="K32" s="1"/>
      <c r="L32" s="1"/>
      <c r="M32" s="1"/>
      <c r="N32" s="1"/>
      <c r="O32" s="1"/>
    </row>
    <row r="33" spans="11:15" x14ac:dyDescent="0.25">
      <c r="K33" s="1"/>
      <c r="L33" s="1"/>
      <c r="M33" s="1"/>
      <c r="N33" s="1"/>
      <c r="O33" s="1"/>
    </row>
    <row r="34" spans="11:15" x14ac:dyDescent="0.25">
      <c r="K34" s="1"/>
      <c r="L34" s="1"/>
      <c r="M34" s="1"/>
      <c r="N34" s="1"/>
      <c r="O34" s="1"/>
    </row>
    <row r="35" spans="11:15" x14ac:dyDescent="0.25">
      <c r="K35" s="9">
        <f>K31/O26</f>
        <v>8.99212199239782</v>
      </c>
      <c r="L35" s="9"/>
      <c r="M35" s="9"/>
      <c r="N35" s="9"/>
      <c r="O35" s="9">
        <f>O28/O26</f>
        <v>3.3920041348093579</v>
      </c>
    </row>
    <row r="36" spans="11:15" x14ac:dyDescent="0.25">
      <c r="K36" s="1"/>
      <c r="L36" s="1"/>
      <c r="M36" s="1"/>
      <c r="N36" s="1"/>
      <c r="O36" s="1"/>
    </row>
    <row r="37" spans="11:15" x14ac:dyDescent="0.25">
      <c r="K37" s="1"/>
      <c r="L37" s="1"/>
      <c r="M37" s="1"/>
      <c r="N37" s="1"/>
      <c r="O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487C-1685-47AC-95F8-BCE843CF213E}">
  <dimension ref="A1:Q37"/>
  <sheetViews>
    <sheetView tabSelected="1" workbookViewId="0">
      <selection activeCell="F29" sqref="F29"/>
    </sheetView>
  </sheetViews>
  <sheetFormatPr defaultRowHeight="15" x14ac:dyDescent="0.25"/>
  <cols>
    <col min="2" max="2" width="13.5703125" customWidth="1"/>
    <col min="3" max="3" width="11.5703125" customWidth="1"/>
    <col min="6" max="7" width="10.140625" bestFit="1" customWidth="1"/>
    <col min="8" max="8" width="14.140625" customWidth="1"/>
    <col min="9" max="12" width="12.7109375" customWidth="1"/>
    <col min="13" max="13" width="12.140625" customWidth="1"/>
    <col min="14" max="14" width="12.7109375" customWidth="1"/>
    <col min="15" max="15" width="10.140625" bestFit="1" customWidth="1"/>
  </cols>
  <sheetData>
    <row r="1" spans="1:15" ht="18.75" x14ac:dyDescent="0.3">
      <c r="A1" s="11" t="s">
        <v>6</v>
      </c>
    </row>
    <row r="4" spans="1:15" x14ac:dyDescent="0.25">
      <c r="I4" s="4" t="s">
        <v>0</v>
      </c>
      <c r="J4" s="4" t="s">
        <v>2</v>
      </c>
      <c r="K4" s="4" t="s">
        <v>4</v>
      </c>
      <c r="L4" s="4"/>
      <c r="M4" s="4" t="s">
        <v>1</v>
      </c>
      <c r="N4" s="4" t="s">
        <v>3</v>
      </c>
      <c r="O4" s="4" t="s">
        <v>5</v>
      </c>
    </row>
    <row r="5" spans="1:15" x14ac:dyDescent="0.25">
      <c r="A5" s="2">
        <v>1896</v>
      </c>
      <c r="B5" s="3">
        <v>123325928</v>
      </c>
      <c r="C5" s="2">
        <v>49.7</v>
      </c>
      <c r="D5" s="2">
        <v>32.299999999999997</v>
      </c>
      <c r="E5" s="2"/>
      <c r="H5" s="2">
        <v>1896</v>
      </c>
      <c r="I5" s="1">
        <f>B5*C5/1000</f>
        <v>6129298.6216000002</v>
      </c>
      <c r="J5" s="1"/>
      <c r="K5" s="1"/>
      <c r="L5" s="2">
        <v>1896</v>
      </c>
      <c r="M5" s="1">
        <f>B5*D5/1000</f>
        <v>3983427.4743999997</v>
      </c>
    </row>
    <row r="6" spans="1:15" x14ac:dyDescent="0.25">
      <c r="A6" s="2">
        <v>1897</v>
      </c>
      <c r="B6" s="3">
        <v>125490378</v>
      </c>
      <c r="C6" s="2">
        <v>49.5</v>
      </c>
      <c r="D6" s="2">
        <v>31.1</v>
      </c>
      <c r="E6" s="2"/>
      <c r="H6" s="2">
        <v>1897</v>
      </c>
      <c r="I6" s="1">
        <f t="shared" ref="I6:I22" si="0">B6*C6/1000</f>
        <v>6211773.7110000001</v>
      </c>
      <c r="J6" s="1"/>
      <c r="K6" s="1"/>
      <c r="L6" s="2">
        <v>1897</v>
      </c>
      <c r="M6" s="1">
        <f t="shared" ref="M6:M22" si="1">B6*D6/1000</f>
        <v>3902750.7558000004</v>
      </c>
    </row>
    <row r="7" spans="1:15" x14ac:dyDescent="0.25">
      <c r="A7" s="2">
        <v>1898</v>
      </c>
      <c r="B7" s="3">
        <v>127834639</v>
      </c>
      <c r="C7" s="2">
        <v>47.9</v>
      </c>
      <c r="D7" s="2">
        <v>32.299999999999997</v>
      </c>
      <c r="E7" s="2"/>
      <c r="H7" s="2">
        <v>1898</v>
      </c>
      <c r="I7" s="1">
        <f t="shared" si="0"/>
        <v>6123279.2080999995</v>
      </c>
      <c r="J7" s="1"/>
      <c r="K7" s="1"/>
      <c r="L7" s="2">
        <v>1898</v>
      </c>
      <c r="M7" s="1">
        <f t="shared" si="1"/>
        <v>4129058.8396999999</v>
      </c>
    </row>
    <row r="8" spans="1:15" x14ac:dyDescent="0.25">
      <c r="A8" s="2">
        <v>1899</v>
      </c>
      <c r="B8" s="3">
        <v>129862453</v>
      </c>
      <c r="C8" s="2">
        <v>48.4</v>
      </c>
      <c r="D8" s="2">
        <v>30.4</v>
      </c>
      <c r="E8" s="2"/>
      <c r="H8" s="2">
        <v>1899</v>
      </c>
      <c r="I8" s="1">
        <f t="shared" si="0"/>
        <v>6285342.7252000002</v>
      </c>
      <c r="J8" s="1"/>
      <c r="K8" s="1"/>
      <c r="L8" s="2">
        <v>1899</v>
      </c>
      <c r="M8" s="1">
        <f t="shared" si="1"/>
        <v>3947818.5711999997</v>
      </c>
    </row>
    <row r="9" spans="1:15" x14ac:dyDescent="0.25">
      <c r="A9" s="2">
        <v>1900</v>
      </c>
      <c r="B9" s="3">
        <v>132178976</v>
      </c>
      <c r="C9" s="2">
        <v>48.9</v>
      </c>
      <c r="D9" s="2">
        <v>30.5</v>
      </c>
      <c r="E9" s="2"/>
      <c r="H9" s="2">
        <v>1900</v>
      </c>
      <c r="I9" s="1">
        <f t="shared" si="0"/>
        <v>6463551.9263999993</v>
      </c>
      <c r="J9" s="1"/>
      <c r="K9" s="1"/>
      <c r="L9" s="2">
        <v>1900</v>
      </c>
      <c r="M9" s="1">
        <f t="shared" si="1"/>
        <v>4031458.7680000002</v>
      </c>
    </row>
    <row r="10" spans="1:15" x14ac:dyDescent="0.25">
      <c r="A10" s="2">
        <v>1901</v>
      </c>
      <c r="B10" s="3">
        <v>134561985</v>
      </c>
      <c r="C10" s="2">
        <v>47.7</v>
      </c>
      <c r="D10" s="2">
        <v>31.2</v>
      </c>
      <c r="E10" s="2"/>
      <c r="H10" s="2">
        <v>1901</v>
      </c>
      <c r="I10" s="1">
        <f t="shared" si="0"/>
        <v>6418606.6845000004</v>
      </c>
      <c r="J10" s="1"/>
      <c r="K10" s="1"/>
      <c r="L10" s="2">
        <v>1901</v>
      </c>
      <c r="M10" s="1">
        <f t="shared" si="1"/>
        <v>4198333.932</v>
      </c>
    </row>
    <row r="11" spans="1:15" x14ac:dyDescent="0.25">
      <c r="A11" s="2">
        <v>1902</v>
      </c>
      <c r="B11" s="3">
        <v>136777780</v>
      </c>
      <c r="C11" s="2">
        <v>49</v>
      </c>
      <c r="D11" s="2">
        <v>30.9</v>
      </c>
      <c r="E11" s="2"/>
      <c r="H11" s="2">
        <v>1902</v>
      </c>
      <c r="I11" s="1">
        <f t="shared" si="0"/>
        <v>6702111.2199999997</v>
      </c>
      <c r="J11" s="1"/>
      <c r="K11" s="1"/>
      <c r="L11" s="2">
        <v>1902</v>
      </c>
      <c r="M11" s="1">
        <f t="shared" si="1"/>
        <v>4226433.4019999998</v>
      </c>
    </row>
    <row r="12" spans="1:15" x14ac:dyDescent="0.25">
      <c r="A12" s="2">
        <v>1903</v>
      </c>
      <c r="B12" s="3">
        <v>139229654</v>
      </c>
      <c r="C12" s="2">
        <v>48</v>
      </c>
      <c r="D12" s="2">
        <v>29.4</v>
      </c>
      <c r="E12" s="2"/>
      <c r="H12" s="2">
        <v>1903</v>
      </c>
      <c r="I12" s="1">
        <f t="shared" si="0"/>
        <v>6683023.392</v>
      </c>
      <c r="J12" s="1"/>
      <c r="K12" s="1"/>
      <c r="L12" s="2">
        <v>1903</v>
      </c>
      <c r="M12" s="1">
        <f t="shared" si="1"/>
        <v>4093351.8276</v>
      </c>
      <c r="N12" s="5">
        <f>AVERAGE(M11:M12)</f>
        <v>4159892.6147999996</v>
      </c>
    </row>
    <row r="13" spans="1:15" x14ac:dyDescent="0.25">
      <c r="A13" s="2">
        <v>1904</v>
      </c>
      <c r="B13" s="3">
        <v>141756348</v>
      </c>
      <c r="C13" s="2">
        <v>48.2</v>
      </c>
      <c r="D13" s="2">
        <v>29.8</v>
      </c>
      <c r="E13" s="2"/>
      <c r="H13" s="2">
        <v>1904</v>
      </c>
      <c r="I13" s="1">
        <f t="shared" si="0"/>
        <v>6832655.9736000001</v>
      </c>
      <c r="J13" s="5">
        <f>AVERAGE(I12:I13)</f>
        <v>6757839.6828000005</v>
      </c>
      <c r="K13" s="1"/>
      <c r="L13" s="2">
        <v>1904</v>
      </c>
      <c r="M13" s="1">
        <f t="shared" si="1"/>
        <v>4224339.1704000002</v>
      </c>
      <c r="N13" s="1">
        <f>_xlfn.FORECAST.LINEAR(ROW(),CHOOSE({1,2},$N$12,$N$16),CHOOSE({1,2},ROW($N$12),ROW($N$16)))</f>
        <v>4194400.7788500004</v>
      </c>
      <c r="O13" s="1">
        <f>M13-N13</f>
        <v>29938.391549999826</v>
      </c>
    </row>
    <row r="14" spans="1:15" x14ac:dyDescent="0.25">
      <c r="A14" s="2">
        <v>1905</v>
      </c>
      <c r="B14" s="3">
        <v>144242942</v>
      </c>
      <c r="C14" s="2">
        <v>44.9</v>
      </c>
      <c r="D14" s="2">
        <v>31.3</v>
      </c>
      <c r="E14" s="2"/>
      <c r="H14" s="6">
        <v>1905</v>
      </c>
      <c r="I14" s="1">
        <f t="shared" si="0"/>
        <v>6476508.0958000002</v>
      </c>
      <c r="J14" s="7">
        <f>_xlfn.FORECAST.LINEAR(ROW(),CHOOSE({1,2},$J$13,$J$16),CHOOSE({1,2},ROW($J$13),ROW($J$16)))</f>
        <v>6840898.618900001</v>
      </c>
      <c r="K14" s="7">
        <f>J14-I14</f>
        <v>364390.52310000081</v>
      </c>
      <c r="L14" s="6">
        <v>1905</v>
      </c>
      <c r="M14" s="1">
        <f t="shared" si="1"/>
        <v>4514804.0846000006</v>
      </c>
      <c r="N14" s="7">
        <f>_xlfn.FORECAST.LINEAR(ROW(),CHOOSE({1,2},$N$12,$N$16),CHOOSE({1,2},ROW($N$12),ROW($N$16)))</f>
        <v>4228908.9429000001</v>
      </c>
      <c r="O14" s="7">
        <f>M14-N14</f>
        <v>285895.1417000005</v>
      </c>
    </row>
    <row r="15" spans="1:15" x14ac:dyDescent="0.25">
      <c r="A15" s="2">
        <v>1906</v>
      </c>
      <c r="B15" s="3">
        <v>146087128</v>
      </c>
      <c r="C15" s="2">
        <v>47.1</v>
      </c>
      <c r="D15" s="2">
        <v>29.7</v>
      </c>
      <c r="E15" s="2"/>
      <c r="H15" s="2">
        <v>1906</v>
      </c>
      <c r="I15" s="1">
        <f t="shared" si="0"/>
        <v>6880703.7288000006</v>
      </c>
      <c r="J15" s="1">
        <f>_xlfn.FORECAST.LINEAR(ROW(),CHOOSE({1,2},$J$13,$J$16),CHOOSE({1,2},ROW($J$13),ROW($J$16)))</f>
        <v>6923957.5550000006</v>
      </c>
      <c r="K15" s="1">
        <f>J15-I15</f>
        <v>43253.82620000001</v>
      </c>
      <c r="L15" s="2">
        <v>1906</v>
      </c>
      <c r="M15" s="1">
        <f t="shared" si="1"/>
        <v>4338787.7015999993</v>
      </c>
      <c r="N15" s="1">
        <f>_xlfn.FORECAST.LINEAR(ROW(),CHOOSE({1,2},$N$12,$N$16),CHOOSE({1,2},ROW($N$12),ROW($N$16)))</f>
        <v>4263417.1069499999</v>
      </c>
      <c r="O15" s="1">
        <f>M15-N15</f>
        <v>75370.594649999402</v>
      </c>
    </row>
    <row r="16" spans="1:15" x14ac:dyDescent="0.25">
      <c r="A16" s="2">
        <v>1907</v>
      </c>
      <c r="B16" s="3">
        <v>148387578</v>
      </c>
      <c r="C16" s="2">
        <v>47.7</v>
      </c>
      <c r="D16" s="2">
        <v>28.6</v>
      </c>
      <c r="E16" s="2"/>
      <c r="H16" s="2">
        <v>1907</v>
      </c>
      <c r="I16" s="1">
        <f t="shared" si="0"/>
        <v>7078087.4706000006</v>
      </c>
      <c r="J16" s="5">
        <f>AVERAGE(I16:I17)</f>
        <v>7007016.4911000002</v>
      </c>
      <c r="K16" s="1"/>
      <c r="L16" s="2">
        <v>1907</v>
      </c>
      <c r="M16" s="1">
        <f t="shared" si="1"/>
        <v>4243884.7308</v>
      </c>
      <c r="N16" s="5">
        <f>AVERAGE(M16:M17)</f>
        <v>4297925.2709999997</v>
      </c>
    </row>
    <row r="17" spans="1:17" x14ac:dyDescent="0.25">
      <c r="A17" s="2">
        <v>1908</v>
      </c>
      <c r="B17" s="3">
        <v>151109924</v>
      </c>
      <c r="C17" s="2">
        <v>45.9</v>
      </c>
      <c r="D17" s="2">
        <v>28.8</v>
      </c>
      <c r="E17" s="2"/>
      <c r="H17" s="2">
        <v>1908</v>
      </c>
      <c r="I17" s="1">
        <f t="shared" si="0"/>
        <v>6935945.5115999999</v>
      </c>
      <c r="J17" s="1"/>
      <c r="K17" s="1"/>
      <c r="L17" s="2">
        <v>1908</v>
      </c>
      <c r="M17" s="1">
        <f t="shared" si="1"/>
        <v>4351965.8111999994</v>
      </c>
    </row>
    <row r="18" spans="1:17" x14ac:dyDescent="0.25">
      <c r="A18" s="2">
        <v>1909</v>
      </c>
      <c r="B18" s="3">
        <v>153648484</v>
      </c>
      <c r="C18" s="2">
        <v>46.1</v>
      </c>
      <c r="D18" s="2">
        <v>30.3</v>
      </c>
      <c r="E18" s="2"/>
      <c r="H18" s="2">
        <v>1909</v>
      </c>
      <c r="I18" s="1">
        <f t="shared" si="0"/>
        <v>7083195.1124000009</v>
      </c>
      <c r="J18" s="1"/>
      <c r="K18" s="1"/>
      <c r="L18" s="2">
        <v>1909</v>
      </c>
      <c r="M18" s="1">
        <f t="shared" si="1"/>
        <v>4655549.0652000001</v>
      </c>
    </row>
    <row r="19" spans="1:17" x14ac:dyDescent="0.25">
      <c r="A19" s="2">
        <v>1910</v>
      </c>
      <c r="B19" s="3">
        <v>156031061</v>
      </c>
      <c r="C19" s="2">
        <v>46.5</v>
      </c>
      <c r="D19" s="2">
        <v>31.7</v>
      </c>
      <c r="E19" s="2"/>
      <c r="H19" s="2">
        <v>1910</v>
      </c>
      <c r="I19" s="1">
        <f t="shared" si="0"/>
        <v>7255444.3365000002</v>
      </c>
      <c r="J19" s="1"/>
      <c r="K19" s="1"/>
      <c r="L19" s="2">
        <v>1910</v>
      </c>
      <c r="M19" s="1">
        <f t="shared" si="1"/>
        <v>4946184.6337000001</v>
      </c>
    </row>
    <row r="20" spans="1:17" x14ac:dyDescent="0.25">
      <c r="A20" s="2">
        <v>1911</v>
      </c>
      <c r="B20" s="3">
        <v>158205998</v>
      </c>
      <c r="C20" s="2">
        <v>46.4</v>
      </c>
      <c r="D20" s="2">
        <v>28</v>
      </c>
      <c r="E20" s="2"/>
      <c r="H20" s="2">
        <v>1911</v>
      </c>
      <c r="I20" s="1">
        <f t="shared" si="0"/>
        <v>7340758.3071999997</v>
      </c>
      <c r="J20" s="1"/>
      <c r="K20" s="1"/>
      <c r="L20" s="2">
        <v>1911</v>
      </c>
      <c r="M20" s="1">
        <f t="shared" si="1"/>
        <v>4429767.9440000001</v>
      </c>
    </row>
    <row r="21" spans="1:17" x14ac:dyDescent="0.25">
      <c r="A21" s="2">
        <v>1912</v>
      </c>
      <c r="B21" s="3">
        <v>161077414</v>
      </c>
      <c r="C21" s="2">
        <v>45.3</v>
      </c>
      <c r="D21" s="2">
        <v>27.1</v>
      </c>
      <c r="E21" s="2"/>
      <c r="H21" s="2">
        <v>1912</v>
      </c>
      <c r="I21" s="1">
        <f t="shared" si="0"/>
        <v>7296806.8541999999</v>
      </c>
      <c r="J21" s="1"/>
      <c r="K21" s="1"/>
      <c r="L21" s="2">
        <v>1912</v>
      </c>
      <c r="M21" s="1">
        <f t="shared" si="1"/>
        <v>4365197.9194000009</v>
      </c>
    </row>
    <row r="22" spans="1:17" x14ac:dyDescent="0.25">
      <c r="A22" s="2">
        <v>1913</v>
      </c>
      <c r="B22" s="3">
        <v>163885621</v>
      </c>
      <c r="C22" s="2">
        <v>44.8</v>
      </c>
      <c r="D22" s="2">
        <v>27.9</v>
      </c>
      <c r="E22" s="2"/>
      <c r="H22" s="2">
        <v>1913</v>
      </c>
      <c r="I22" s="1">
        <f t="shared" si="0"/>
        <v>7342075.8207999989</v>
      </c>
      <c r="J22" s="1"/>
      <c r="K22" s="1"/>
      <c r="L22" s="2">
        <v>1913</v>
      </c>
      <c r="M22" s="1">
        <f t="shared" si="1"/>
        <v>4572408.8258999996</v>
      </c>
    </row>
    <row r="23" spans="1:17" x14ac:dyDescent="0.25">
      <c r="A23" s="2">
        <v>1914</v>
      </c>
      <c r="B23" s="3">
        <v>166541080</v>
      </c>
      <c r="C23" s="10"/>
      <c r="D23" s="10"/>
      <c r="E23" s="2"/>
    </row>
    <row r="24" spans="1:17" x14ac:dyDescent="0.25">
      <c r="B24" s="3">
        <v>90783851</v>
      </c>
      <c r="C24" s="10"/>
      <c r="D24" s="10"/>
      <c r="E24" s="10"/>
    </row>
    <row r="25" spans="1:17" x14ac:dyDescent="0.25">
      <c r="K25" s="1">
        <f>SUM(K14:K15)</f>
        <v>407644.34930000082</v>
      </c>
      <c r="O25" s="1">
        <f>SUM(O13:O15)</f>
        <v>391204.12789999973</v>
      </c>
    </row>
    <row r="26" spans="1:17" x14ac:dyDescent="0.25">
      <c r="O26" s="8">
        <f>Q26*1</f>
        <v>50952</v>
      </c>
      <c r="Q26" s="8">
        <v>50952</v>
      </c>
    </row>
    <row r="28" spans="1:17" x14ac:dyDescent="0.25">
      <c r="K28" s="1">
        <f>K25*0.68</f>
        <v>277198.15752400056</v>
      </c>
      <c r="L28" s="1"/>
      <c r="M28" s="1"/>
      <c r="N28" s="1"/>
      <c r="O28" s="8">
        <f>O25-O26</f>
        <v>340252.12789999973</v>
      </c>
    </row>
    <row r="29" spans="1:17" x14ac:dyDescent="0.25">
      <c r="K29" s="1"/>
      <c r="L29" s="1"/>
      <c r="M29" s="1"/>
      <c r="N29" s="1"/>
      <c r="O29" s="1"/>
    </row>
    <row r="30" spans="1:17" x14ac:dyDescent="0.25">
      <c r="K30" s="1"/>
      <c r="L30" s="1"/>
      <c r="M30" s="1"/>
      <c r="N30" s="1"/>
      <c r="O30" s="1"/>
    </row>
    <row r="31" spans="1:17" x14ac:dyDescent="0.25">
      <c r="K31" s="1">
        <f>K28+O28</f>
        <v>617450.28542400035</v>
      </c>
      <c r="L31" s="1"/>
      <c r="M31" s="1"/>
      <c r="N31" s="1"/>
      <c r="O31" s="1"/>
    </row>
    <row r="32" spans="1:17" x14ac:dyDescent="0.25">
      <c r="K32" s="1"/>
      <c r="L32" s="1"/>
      <c r="M32" s="1"/>
      <c r="N32" s="1"/>
      <c r="O32" s="1"/>
    </row>
    <row r="33" spans="11:15" x14ac:dyDescent="0.25">
      <c r="K33" s="1"/>
      <c r="L33" s="1"/>
      <c r="M33" s="1"/>
      <c r="N33" s="1"/>
      <c r="O33" s="1"/>
    </row>
    <row r="34" spans="11:15" x14ac:dyDescent="0.25">
      <c r="K34" s="1"/>
      <c r="L34" s="1"/>
      <c r="M34" s="1"/>
      <c r="N34" s="1"/>
      <c r="O34" s="1"/>
    </row>
    <row r="35" spans="11:15" x14ac:dyDescent="0.25">
      <c r="K35" s="9">
        <f>K31/O26</f>
        <v>12.118273775788985</v>
      </c>
      <c r="L35" s="9"/>
      <c r="M35" s="9"/>
      <c r="N35" s="9"/>
      <c r="O35" s="9">
        <f>O28/O26</f>
        <v>6.6778954290312402</v>
      </c>
    </row>
    <row r="36" spans="11:15" x14ac:dyDescent="0.25">
      <c r="K36" s="1"/>
      <c r="L36" s="1"/>
      <c r="M36" s="1"/>
      <c r="N36" s="1"/>
      <c r="O36" s="1"/>
    </row>
    <row r="37" spans="11:15" x14ac:dyDescent="0.25">
      <c r="K37" s="1"/>
      <c r="L37" s="1"/>
      <c r="M37" s="1"/>
      <c r="N37" s="1"/>
      <c r="O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РСФСР-1991</vt:lpstr>
      <vt:lpstr>Империя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2026-04-30T04:48:13Z</dcterms:created>
  <dcterms:modified xsi:type="dcterms:W3CDTF">2026-04-30T17:56:09Z</dcterms:modified>
</cp:coreProperties>
</file>