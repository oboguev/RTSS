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"/>
    </mc:Choice>
  </mc:AlternateContent>
  <xr:revisionPtr revIDLastSave="0" documentId="13_ncr:1_{5F68BC11-97EA-4C03-ACBF-B0FF7F551BA2}" xr6:coauthVersionLast="47" xr6:coauthVersionMax="47" xr10:uidLastSave="{00000000-0000-0000-0000-000000000000}"/>
  <bookViews>
    <workbookView xWindow="57480" yWindow="-120" windowWidth="51840" windowHeight="21120" xr2:uid="{A060995A-2749-4ABA-851F-F51FEC648169}"/>
  </bookViews>
  <sheets>
    <sheet name="not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" l="1"/>
  <c r="R16" i="2"/>
  <c r="T16" i="2" s="1"/>
  <c r="Q16" i="2"/>
  <c r="P16" i="2"/>
  <c r="R15" i="2"/>
  <c r="T15" i="2" s="1"/>
  <c r="Q15" i="2"/>
  <c r="S15" i="2" s="1"/>
  <c r="P15" i="2"/>
  <c r="R14" i="2"/>
  <c r="T14" i="2" s="1"/>
  <c r="Q14" i="2"/>
  <c r="S14" i="2" s="1"/>
  <c r="P14" i="2"/>
  <c r="R13" i="2"/>
  <c r="T13" i="2" s="1"/>
  <c r="Q13" i="2"/>
  <c r="S13" i="2" s="1"/>
  <c r="P13" i="2"/>
  <c r="R12" i="2"/>
  <c r="T12" i="2" s="1"/>
  <c r="Q12" i="2"/>
  <c r="S12" i="2" s="1"/>
  <c r="P12" i="2"/>
  <c r="R11" i="2"/>
  <c r="T11" i="2" s="1"/>
  <c r="Q11" i="2"/>
  <c r="S11" i="2" s="1"/>
  <c r="P11" i="2"/>
  <c r="P10" i="2"/>
  <c r="R10" i="2" s="1"/>
  <c r="T10" i="2" s="1"/>
  <c r="P9" i="2"/>
  <c r="R9" i="2" s="1"/>
  <c r="T9" i="2" s="1"/>
  <c r="P8" i="2"/>
  <c r="Q8" i="2" s="1"/>
  <c r="S8" i="2" s="1"/>
  <c r="P7" i="2"/>
  <c r="Q7" i="2" s="1"/>
  <c r="S7" i="2" s="1"/>
  <c r="P6" i="2"/>
  <c r="R6" i="2" s="1"/>
  <c r="T6" i="2" s="1"/>
  <c r="P5" i="2"/>
  <c r="R5" i="2" s="1"/>
  <c r="T5" i="2" s="1"/>
  <c r="S4" i="2"/>
  <c r="R4" i="2"/>
  <c r="T4" i="2" s="1"/>
  <c r="Q4" i="2"/>
  <c r="P4" i="2"/>
  <c r="R3" i="2"/>
  <c r="T3" i="2" s="1"/>
  <c r="P3" i="2"/>
  <c r="Q3" i="2" s="1"/>
  <c r="S3" i="2" s="1"/>
  <c r="P2" i="2"/>
  <c r="R2" i="2" s="1"/>
  <c r="T2" i="2" s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2" i="2"/>
  <c r="B16" i="2"/>
  <c r="B15" i="2" s="1"/>
  <c r="B14" i="2" s="1"/>
  <c r="B13" i="2" s="1"/>
  <c r="B12" i="2" s="1"/>
  <c r="B11" i="2" s="1"/>
  <c r="B10" i="2" s="1"/>
  <c r="B9" i="2" s="1"/>
  <c r="B8" i="2" s="1"/>
  <c r="B7" i="2" s="1"/>
  <c r="B6" i="2" s="1"/>
  <c r="B5" i="2" s="1"/>
  <c r="B4" i="2" s="1"/>
  <c r="B3" i="2" s="1"/>
  <c r="P37" i="2"/>
  <c r="R37" i="2" s="1"/>
  <c r="T37" i="2" s="1"/>
  <c r="P36" i="2"/>
  <c r="Q36" i="2" s="1"/>
  <c r="S36" i="2" s="1"/>
  <c r="P35" i="2"/>
  <c r="R35" i="2" s="1"/>
  <c r="T35" i="2" s="1"/>
  <c r="P34" i="2"/>
  <c r="Q34" i="2" s="1"/>
  <c r="S34" i="2" s="1"/>
  <c r="P33" i="2"/>
  <c r="R33" i="2" s="1"/>
  <c r="T33" i="2" s="1"/>
  <c r="P32" i="2"/>
  <c r="Q32" i="2" s="1"/>
  <c r="S32" i="2" s="1"/>
  <c r="P31" i="2"/>
  <c r="R31" i="2" s="1"/>
  <c r="T31" i="2" s="1"/>
  <c r="P30" i="2"/>
  <c r="R30" i="2" s="1"/>
  <c r="T30" i="2" s="1"/>
  <c r="P29" i="2"/>
  <c r="R29" i="2" s="1"/>
  <c r="T29" i="2" s="1"/>
  <c r="P28" i="2"/>
  <c r="Q28" i="2" s="1"/>
  <c r="S28" i="2" s="1"/>
  <c r="P27" i="2"/>
  <c r="R27" i="2" s="1"/>
  <c r="T27" i="2" s="1"/>
  <c r="P26" i="2"/>
  <c r="R26" i="2" s="1"/>
  <c r="T26" i="2" s="1"/>
  <c r="P25" i="2"/>
  <c r="R25" i="2" s="1"/>
  <c r="T25" i="2" s="1"/>
  <c r="P24" i="2"/>
  <c r="R24" i="2" s="1"/>
  <c r="T24" i="2" s="1"/>
  <c r="P23" i="2"/>
  <c r="Q23" i="2" s="1"/>
  <c r="S23" i="2" s="1"/>
  <c r="P22" i="2"/>
  <c r="R22" i="2" s="1"/>
  <c r="T22" i="2" s="1"/>
  <c r="P21" i="2"/>
  <c r="R21" i="2" s="1"/>
  <c r="T21" i="2" s="1"/>
  <c r="P20" i="2"/>
  <c r="R20" i="2" s="1"/>
  <c r="P19" i="2"/>
  <c r="R19" i="2" s="1"/>
  <c r="P18" i="2"/>
  <c r="Q18" i="2" s="1"/>
  <c r="P17" i="2"/>
  <c r="R17" i="2" s="1"/>
  <c r="K17" i="2"/>
  <c r="J17" i="2"/>
  <c r="K18" i="2"/>
  <c r="J18" i="2"/>
  <c r="K19" i="2"/>
  <c r="J19" i="2"/>
  <c r="K20" i="2"/>
  <c r="J20" i="2"/>
  <c r="N36" i="2"/>
  <c r="N35" i="2"/>
  <c r="N34" i="2"/>
  <c r="N33" i="2"/>
  <c r="N37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R7" i="2" l="1"/>
  <c r="T7" i="2" s="1"/>
  <c r="Q5" i="2"/>
  <c r="S5" i="2" s="1"/>
  <c r="R8" i="2"/>
  <c r="T8" i="2" s="1"/>
  <c r="Q2" i="2"/>
  <c r="S2" i="2" s="1"/>
  <c r="Q9" i="2"/>
  <c r="S9" i="2" s="1"/>
  <c r="Q6" i="2"/>
  <c r="S6" i="2" s="1"/>
  <c r="Q10" i="2"/>
  <c r="S10" i="2" s="1"/>
  <c r="T17" i="2"/>
  <c r="T19" i="2"/>
  <c r="Q31" i="2"/>
  <c r="S31" i="2" s="1"/>
  <c r="S18" i="2"/>
  <c r="T20" i="2"/>
  <c r="Q21" i="2"/>
  <c r="S21" i="2" s="1"/>
  <c r="Q20" i="2"/>
  <c r="S20" i="2" s="1"/>
  <c r="R28" i="2"/>
  <c r="T28" i="2" s="1"/>
  <c r="R18" i="2"/>
  <c r="T18" i="2" s="1"/>
  <c r="R34" i="2"/>
  <c r="T34" i="2" s="1"/>
  <c r="Q17" i="2"/>
  <c r="S17" i="2" s="1"/>
  <c r="Q25" i="2"/>
  <c r="S25" i="2" s="1"/>
  <c r="Q29" i="2"/>
  <c r="S29" i="2" s="1"/>
  <c r="R32" i="2"/>
  <c r="T32" i="2" s="1"/>
  <c r="Q22" i="2"/>
  <c r="S22" i="2" s="1"/>
  <c r="Q26" i="2"/>
  <c r="S26" i="2" s="1"/>
  <c r="Q35" i="2"/>
  <c r="S35" i="2" s="1"/>
  <c r="Q19" i="2"/>
  <c r="S19" i="2" s="1"/>
  <c r="Q33" i="2"/>
  <c r="S33" i="2" s="1"/>
  <c r="Q30" i="2"/>
  <c r="S30" i="2" s="1"/>
  <c r="Q27" i="2"/>
  <c r="S27" i="2" s="1"/>
  <c r="R36" i="2"/>
  <c r="T36" i="2" s="1"/>
  <c r="Q24" i="2"/>
  <c r="S24" i="2" s="1"/>
  <c r="R23" i="2"/>
  <c r="T23" i="2" s="1"/>
  <c r="Q37" i="2"/>
  <c r="S37" i="2" s="1"/>
</calcChain>
</file>

<file path=xl/sharedStrings.xml><?xml version="1.0" encoding="utf-8"?>
<sst xmlns="http://schemas.openxmlformats.org/spreadsheetml/2006/main" count="84" uniqueCount="80">
  <si>
    <t>губ</t>
  </si>
  <si>
    <t>Выборгская</t>
  </si>
  <si>
    <t>год</t>
  </si>
  <si>
    <t xml:space="preserve">р </t>
  </si>
  <si>
    <t>с</t>
  </si>
  <si>
    <t>еп</t>
  </si>
  <si>
    <t>"Suomen Tilastollinen Vuosikirja Uusi Sarja Kuudestoista Vuosikerta 1918"</t>
  </si>
  <si>
    <t>"Annuaire Statistique de Finlande Nouvelle Série Seizième Année 1918"</t>
  </si>
  <si>
    <t>Publication du Bureau Central de Statistique de Finlande, Helsinki, 1919</t>
  </si>
  <si>
    <t>№51 стр. 88</t>
  </si>
  <si>
    <t>№40 стр. 75</t>
  </si>
  <si>
    <t>№33 стр. 68</t>
  </si>
  <si>
    <t>v-еп</t>
  </si>
  <si>
    <t>№8 стр. 10-11</t>
  </si>
  <si>
    <t>р - рождаемость (промилле)</t>
  </si>
  <si>
    <t>с - смертность</t>
  </si>
  <si>
    <t>еп - естественный прирост</t>
  </si>
  <si>
    <t>Колонки:</t>
  </si>
  <si>
    <t>чж-о</t>
  </si>
  <si>
    <t>чр</t>
  </si>
  <si>
    <t>чп</t>
  </si>
  <si>
    <t>v-чп</t>
  </si>
  <si>
    <t>Число рождений и смертей -- по таблице "Mouvement de la population en…" в ежегодниках за 1899-1918 гг.</t>
  </si>
  <si>
    <t>Рождаемость и смертность вычислены от СРЕДНЕГОДОВОГО населения, ср. таблицы 34, 45, 57</t>
  </si>
  <si>
    <t>чо - численность населения обоих полов на НАЧАЛО года (в таблице 8 она приведена на КОНЕЦ года, мы сдвинули ряд на год)</t>
  </si>
  <si>
    <t>v-чж-середина года</t>
  </si>
  <si>
    <t>v-чр</t>
  </si>
  <si>
    <t>v-dif-чр</t>
  </si>
  <si>
    <t>чу</t>
  </si>
  <si>
    <t>v-чу</t>
  </si>
  <si>
    <t>v-dif-чу</t>
  </si>
  <si>
    <t>Разрыв между погодовым измением чж-о и величиной (чр - чс) объясняется миграцией между финскими губерниями.</t>
  </si>
  <si>
    <t>Сальдо опубликовано не в Suomen tilastollinen vuosikirja, а в специальных выпусках SVT VI. Väkiluvun-tilastoa — годовых обзорах движения населения.</t>
  </si>
  <si>
    <t>Разрыв между погодовым измением чж-о и величиной (чр - чс) близко сходится с величиной миграции.</t>
  </si>
  <si>
    <t>Так, например, для 1897–1899 оно находится в текстовой части, раздел “Sisäänja ulosmuuttaneet” / “Immigrations et émigrations”, на печатной стр. 4.</t>
  </si>
  <si>
    <t>Yleinen katsaus väkiluvunmuutoksiin Suomessa vuonna</t>
  </si>
  <si>
    <t>Источник для 1896-1917:</t>
  </si>
  <si>
    <t>Источники для 1881-1895:</t>
  </si>
  <si>
    <t>Tilastollinen päätoimisto. Pääpiirteet Suomen väestötilastosta vuosina 1750–1890. 1: Väestön tila [Основные черты статистики населения Финляндии за 1750–1890 годы. Ч. 1: Состояние населения]. Helsinki, 1899. Suomenmaan virallinen tilasto, VI:29:1. Файл vara29_1_1750-1890.pdf.</t>
  </si>
  <si>
    <t>Печатная с. 6, табл. № 1 — численность населения Выборгской губернии на конец 1880–1890 годов; эти значения использованы как население на начало 1881–1891 годов.</t>
  </si>
  <si>
    <t>Tilastollinen päätoimisto. Pääpiirteet Suomen väestötilastosta vuosilta 1750–1890. 2: Väestön muutokset [Основные черты статистики населения Финляндии за 1750–1890 годы. Ч. 2: Движение населения]. Helsinki, 1902. Suomenmaan virallinen tilasto, VI:33:2. Файл vara33_2_1750-1890.pdf.</t>
  </si>
  <si>
    <t>Печатная с. 155, табл. № 126 — живорождённые, 1881–1890;</t>
  </si>
  <si>
    <t>с. 206–207, табл. № 134 — рождаемость, 1881–1890;</t>
  </si>
  <si>
    <t>с. 292, табл. № 181 — умершие, 1881–1890;</t>
  </si>
  <si>
    <t>с. 300–301, табл. № 182 — смертность, 1881–1890.</t>
  </si>
  <si>
    <t>Tilastollinen päätoimisto. Yleinen katsaus väkiluvunmuutoksiin Suomessa vuonna 1891 [Общий обзор изменений населения Финляндии в 1891 году]. Helsinki, 1893. Suomenmaan virallinen tilasto, VI:21. Файл vamu1891.pdf.</t>
  </si>
  <si>
    <t>Печатная с. 1 — живорождённые и умершие за 1891 год;</t>
  </si>
  <si>
    <t>с. 2 — рождаемость и смертность;</t>
  </si>
  <si>
    <t>с. 6 — население на 31 декабря 1891 года, использованное как население на начало 1892 года.</t>
  </si>
  <si>
    <t>Tilastollinen päätoimisto. Yleinen katsaus väkiluvunmuutoksiin Suomessa vuonna 1892. Helsinki, 1894. Suomenmaan virallinen tilasto, VI:23. Файл vamu1892.pdf.</t>
  </si>
  <si>
    <t>Печатная с. 1 — живорождённые и умершие за 1892 год;</t>
  </si>
  <si>
    <t>с. 5 — население на 31 декабря 1892 года, использованное как население на начало 1893 года.</t>
  </si>
  <si>
    <t>Tilastollinen päätoimisto. Yleinen katsaus väkiluvunmuutoksiin Suomessa vuonna 1893. Helsinki, 1895. Suomenmaan virallinen tilasto, VI:25. Файл vamu1893.pdf.</t>
  </si>
  <si>
    <t>Печатная с. 1 — живорождённые и умершие за 1893 год;</t>
  </si>
  <si>
    <t>с. 6 — население на 31 декабря 1893 года, использованное как население на начало 1894 года.</t>
  </si>
  <si>
    <t>Tilastollinen päätoimisto. Yleinen katsaus väkiluvunmuutoksiin Suomessa vuonna 1894. Helsinki, 1896. Suomenmaan virallinen tilasto, VI:26. Файл vamu1894.pdf.</t>
  </si>
  <si>
    <t>Печатная с. 1 — живорождённые и умершие за 1894 год;</t>
  </si>
  <si>
    <t>с. 6 — население на 31 декабря 1894 года, использованное как население на начало 1895 года.</t>
  </si>
  <si>
    <t>Tilastollinen päätoimisto. Yleinen katsaus väkiluvunmuutoksiin Suomessa vuonna 1895. Helsinki, 1897. Suomenmaan virallinen tilasto, VI:27. Файл vamu1895.pdf.</t>
  </si>
  <si>
    <t>Печатная с. 1 — живорождённые и умершие за 1895 год;</t>
  </si>
  <si>
    <t>с. 6 — население на 31 декабря 1895 года, использованное как население на начало 1896 года.</t>
  </si>
  <si>
    <t>Tilastollinen päätoimisto. Yleinen katsaus väkiluvunmuutoksiin Suomessa vuonna 1896. Helsinki, 1898. Suomenmaan virallinen tilasto, VI:28. Файл vamu1896.pdf.</t>
  </si>
  <si>
    <t>Печатная с. 1 — живорождённые и умершие за 1896 год;</t>
  </si>
  <si>
    <t>с. 2 — рождаемость и смертность.</t>
  </si>
  <si>
    <t>https://otos.stat.fi/items/779e5181-37dc-4f85-a572-ea95a0ed5037</t>
  </si>
  <si>
    <t>https://doria.fi/bitstream/handle/10024/67354/vara29_1_1750-1890.pdf?isAllowed=y&amp;sequence=1</t>
  </si>
  <si>
    <t>https://otos.stat.fi/items/887aadac-6fff-4ce9-82bd-226af360b460 https://doria.fi/bitstream/handle/10024/67354/vara29_1_1750-1890.pdf?isAllowed=y&amp;sequence=1</t>
  </si>
  <si>
    <t>https://otos.stat.fi/bitstreams/52888f1c-4184-4700-9879-48cf47e66426/download</t>
  </si>
  <si>
    <t>https://otos.stat.fi/items/9ae8d287-f884-4f5b-95d2-a2b5c55fa391</t>
  </si>
  <si>
    <t>https://otos.stat.fi/bitstreams/8f332303-4461-4ba1-aa0b-cbea7dc62aa7/download</t>
  </si>
  <si>
    <t>https://otos.stat.fi/items/4927d3c9-1d01-4d28-a694-5f1b13ddd10c</t>
  </si>
  <si>
    <t>https://otos.stat.fi/bitstreams/9ee20af9-75aa-4ac0-b586-faeab988f5e0/download</t>
  </si>
  <si>
    <t>https://otos.stat.fi/items/40e10d8f-bf2f-4d78-84e6-2f361ce5117c</t>
  </si>
  <si>
    <t>https://otos.stat.fi/bitstreams/0b02a298-1b4f-427d-9fbd-7c0bbab41927/download</t>
  </si>
  <si>
    <t>https://otos.stat.fi/items/a93d6a0e-d419-44ad-95c0-68fdc69a70d2</t>
  </si>
  <si>
    <t>https://otos.stat.fi/bitstreams/4b7a22f5-a453-4c1d-8f32-c48bbcc2b325/download</t>
  </si>
  <si>
    <t>https://otos.stat.fi/items/fbf8763a-2200-4afe-b0bd-b558978b53d7</t>
  </si>
  <si>
    <t>https://otos.stat.fi/bitstreams/a6cacb34-efc6-40ab-9a9d-0aa666870c6f/download</t>
  </si>
  <si>
    <t>https://otos.stat.fi/items/425e6fbb-50a7-4093-aaee-6c0588d73f92</t>
  </si>
  <si>
    <t>https://otos.stat.fi/bitstreams/f5e5b5b1-f478-4e9c-b760-bfba84766023/download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</si>
</sst>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165" fontId="0" fillId="2" borderId="0" xfId="0" applyNumberFormat="1" applyFill="1"/>
    <xf numFmtId="3" fontId="0" fillId="0" borderId="0" xfId="0" applyNumberFormat="1"/>
    <xf numFmtId="3" fontId="0" fillId="2" borderId="0" xfId="0" applyNumberFormat="1" applyFill="1"/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0" fillId="0" borderId="0" xfId="0" applyNumberFormat="1" applyFont="1" applyAlignment="1">
      <alignment horizontal="right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14B5-51C3-4801-A462-A7A992E82D76}">
  <dimension ref="A1:E89"/>
  <sheetViews>
    <sheetView tabSelected="1" workbookViewId="0">
      <selection activeCell="K17" sqref="K17"/>
    </sheetView>
  </sheetViews>
  <sheetFormatPr defaultRowHeight="14.4" x14ac:dyDescent="0.55000000000000004"/>
  <sheetData>
    <row r="1" spans="1:5" x14ac:dyDescent="0.55000000000000004">
      <c r="A1" s="13" t="s">
        <v>36</v>
      </c>
      <c r="B1" s="14"/>
      <c r="C1" s="14"/>
      <c r="D1" s="14"/>
      <c r="E1" s="14"/>
    </row>
    <row r="3" spans="1:5" x14ac:dyDescent="0.55000000000000004">
      <c r="B3" t="s">
        <v>6</v>
      </c>
    </row>
    <row r="4" spans="1:5" x14ac:dyDescent="0.55000000000000004">
      <c r="B4" t="s">
        <v>7</v>
      </c>
    </row>
    <row r="6" spans="1:5" x14ac:dyDescent="0.55000000000000004">
      <c r="B6" t="s">
        <v>8</v>
      </c>
    </row>
    <row r="9" spans="1:5" x14ac:dyDescent="0.55000000000000004">
      <c r="B9" t="s">
        <v>13</v>
      </c>
    </row>
    <row r="10" spans="1:5" x14ac:dyDescent="0.55000000000000004">
      <c r="B10" t="s">
        <v>11</v>
      </c>
    </row>
    <row r="11" spans="1:5" x14ac:dyDescent="0.55000000000000004">
      <c r="B11" t="s">
        <v>10</v>
      </c>
    </row>
    <row r="12" spans="1:5" x14ac:dyDescent="0.55000000000000004">
      <c r="B12" s="1" t="s">
        <v>9</v>
      </c>
    </row>
    <row r="15" spans="1:5" x14ac:dyDescent="0.55000000000000004">
      <c r="A15" t="s">
        <v>17</v>
      </c>
    </row>
    <row r="17" spans="1:2" x14ac:dyDescent="0.55000000000000004">
      <c r="B17" t="s">
        <v>24</v>
      </c>
    </row>
    <row r="18" spans="1:2" x14ac:dyDescent="0.55000000000000004">
      <c r="B18" t="s">
        <v>14</v>
      </c>
    </row>
    <row r="19" spans="1:2" x14ac:dyDescent="0.55000000000000004">
      <c r="B19" t="s">
        <v>15</v>
      </c>
    </row>
    <row r="20" spans="1:2" x14ac:dyDescent="0.55000000000000004">
      <c r="B20" t="s">
        <v>16</v>
      </c>
    </row>
    <row r="22" spans="1:2" x14ac:dyDescent="0.55000000000000004">
      <c r="A22" t="s">
        <v>22</v>
      </c>
    </row>
    <row r="25" spans="1:2" x14ac:dyDescent="0.55000000000000004">
      <c r="A25" t="s">
        <v>23</v>
      </c>
    </row>
    <row r="28" spans="1:2" x14ac:dyDescent="0.55000000000000004">
      <c r="A28" t="s">
        <v>31</v>
      </c>
    </row>
    <row r="29" spans="1:2" x14ac:dyDescent="0.55000000000000004">
      <c r="A29" t="s">
        <v>32</v>
      </c>
    </row>
    <row r="30" spans="1:2" x14ac:dyDescent="0.55000000000000004">
      <c r="B30" t="s">
        <v>35</v>
      </c>
    </row>
    <row r="31" spans="1:2" x14ac:dyDescent="0.55000000000000004">
      <c r="A31" t="s">
        <v>34</v>
      </c>
    </row>
    <row r="32" spans="1:2" x14ac:dyDescent="0.55000000000000004">
      <c r="A32" t="s">
        <v>33</v>
      </c>
    </row>
    <row r="35" spans="1:5" x14ac:dyDescent="0.55000000000000004">
      <c r="A35" s="13" t="s">
        <v>37</v>
      </c>
      <c r="B35" s="14"/>
      <c r="C35" s="14"/>
      <c r="D35" s="14"/>
      <c r="E35" s="14"/>
    </row>
    <row r="37" spans="1:5" x14ac:dyDescent="0.55000000000000004">
      <c r="A37" t="s">
        <v>38</v>
      </c>
    </row>
    <row r="38" spans="1:5" x14ac:dyDescent="0.55000000000000004">
      <c r="A38" t="s">
        <v>39</v>
      </c>
    </row>
    <row r="39" spans="1:5" x14ac:dyDescent="0.55000000000000004">
      <c r="A39" t="s">
        <v>66</v>
      </c>
    </row>
    <row r="40" spans="1:5" x14ac:dyDescent="0.55000000000000004">
      <c r="A40" t="s">
        <v>65</v>
      </c>
    </row>
    <row r="42" spans="1:5" x14ac:dyDescent="0.55000000000000004">
      <c r="A42" t="s">
        <v>40</v>
      </c>
    </row>
    <row r="43" spans="1:5" x14ac:dyDescent="0.55000000000000004">
      <c r="A43" t="s">
        <v>41</v>
      </c>
    </row>
    <row r="44" spans="1:5" x14ac:dyDescent="0.55000000000000004">
      <c r="A44" t="s">
        <v>42</v>
      </c>
    </row>
    <row r="45" spans="1:5" x14ac:dyDescent="0.55000000000000004">
      <c r="A45" t="s">
        <v>43</v>
      </c>
    </row>
    <row r="46" spans="1:5" x14ac:dyDescent="0.55000000000000004">
      <c r="A46" t="s">
        <v>44</v>
      </c>
    </row>
    <row r="47" spans="1:5" x14ac:dyDescent="0.55000000000000004">
      <c r="A47" t="s">
        <v>64</v>
      </c>
    </row>
    <row r="48" spans="1:5" x14ac:dyDescent="0.55000000000000004">
      <c r="A48" t="s">
        <v>67</v>
      </c>
    </row>
    <row r="50" spans="1:1" x14ac:dyDescent="0.55000000000000004">
      <c r="A50" t="s">
        <v>45</v>
      </c>
    </row>
    <row r="51" spans="1:1" x14ac:dyDescent="0.55000000000000004">
      <c r="A51" t="s">
        <v>46</v>
      </c>
    </row>
    <row r="52" spans="1:1" x14ac:dyDescent="0.55000000000000004">
      <c r="A52" t="s">
        <v>47</v>
      </c>
    </row>
    <row r="53" spans="1:1" x14ac:dyDescent="0.55000000000000004">
      <c r="A53" t="s">
        <v>48</v>
      </c>
    </row>
    <row r="54" spans="1:1" x14ac:dyDescent="0.55000000000000004">
      <c r="A54" t="s">
        <v>68</v>
      </c>
    </row>
    <row r="55" spans="1:1" x14ac:dyDescent="0.55000000000000004">
      <c r="A55" t="s">
        <v>69</v>
      </c>
    </row>
    <row r="57" spans="1:1" x14ac:dyDescent="0.55000000000000004">
      <c r="A57" t="s">
        <v>49</v>
      </c>
    </row>
    <row r="58" spans="1:1" x14ac:dyDescent="0.55000000000000004">
      <c r="A58" t="s">
        <v>50</v>
      </c>
    </row>
    <row r="59" spans="1:1" x14ac:dyDescent="0.55000000000000004">
      <c r="A59" t="s">
        <v>47</v>
      </c>
    </row>
    <row r="60" spans="1:1" x14ac:dyDescent="0.55000000000000004">
      <c r="A60" t="s">
        <v>51</v>
      </c>
    </row>
    <row r="61" spans="1:1" x14ac:dyDescent="0.55000000000000004">
      <c r="A61" t="s">
        <v>70</v>
      </c>
    </row>
    <row r="62" spans="1:1" x14ac:dyDescent="0.55000000000000004">
      <c r="A62" t="s">
        <v>71</v>
      </c>
    </row>
    <row r="64" spans="1:1" x14ac:dyDescent="0.55000000000000004">
      <c r="A64" t="s">
        <v>52</v>
      </c>
    </row>
    <row r="65" spans="1:1" x14ac:dyDescent="0.55000000000000004">
      <c r="A65" t="s">
        <v>53</v>
      </c>
    </row>
    <row r="66" spans="1:1" x14ac:dyDescent="0.55000000000000004">
      <c r="A66" t="s">
        <v>47</v>
      </c>
    </row>
    <row r="67" spans="1:1" x14ac:dyDescent="0.55000000000000004">
      <c r="A67" t="s">
        <v>54</v>
      </c>
    </row>
    <row r="68" spans="1:1" x14ac:dyDescent="0.55000000000000004">
      <c r="A68" t="s">
        <v>72</v>
      </c>
    </row>
    <row r="69" spans="1:1" x14ac:dyDescent="0.55000000000000004">
      <c r="A69" t="s">
        <v>73</v>
      </c>
    </row>
    <row r="71" spans="1:1" x14ac:dyDescent="0.55000000000000004">
      <c r="A71" t="s">
        <v>55</v>
      </c>
    </row>
    <row r="72" spans="1:1" x14ac:dyDescent="0.55000000000000004">
      <c r="A72" t="s">
        <v>56</v>
      </c>
    </row>
    <row r="73" spans="1:1" x14ac:dyDescent="0.55000000000000004">
      <c r="A73" t="s">
        <v>47</v>
      </c>
    </row>
    <row r="74" spans="1:1" x14ac:dyDescent="0.55000000000000004">
      <c r="A74" t="s">
        <v>57</v>
      </c>
    </row>
    <row r="75" spans="1:1" x14ac:dyDescent="0.55000000000000004">
      <c r="A75" t="s">
        <v>74</v>
      </c>
    </row>
    <row r="76" spans="1:1" x14ac:dyDescent="0.55000000000000004">
      <c r="A76" t="s">
        <v>75</v>
      </c>
    </row>
    <row r="78" spans="1:1" x14ac:dyDescent="0.55000000000000004">
      <c r="A78" t="s">
        <v>58</v>
      </c>
    </row>
    <row r="79" spans="1:1" x14ac:dyDescent="0.55000000000000004">
      <c r="A79" t="s">
        <v>59</v>
      </c>
    </row>
    <row r="80" spans="1:1" x14ac:dyDescent="0.55000000000000004">
      <c r="A80" t="s">
        <v>47</v>
      </c>
    </row>
    <row r="81" spans="1:1" x14ac:dyDescent="0.55000000000000004">
      <c r="A81" t="s">
        <v>60</v>
      </c>
    </row>
    <row r="82" spans="1:1" x14ac:dyDescent="0.55000000000000004">
      <c r="A82" t="s">
        <v>76</v>
      </c>
    </row>
    <row r="83" spans="1:1" x14ac:dyDescent="0.55000000000000004">
      <c r="A83" t="s">
        <v>77</v>
      </c>
    </row>
    <row r="85" spans="1:1" x14ac:dyDescent="0.55000000000000004">
      <c r="A85" t="s">
        <v>61</v>
      </c>
    </row>
    <row r="86" spans="1:1" x14ac:dyDescent="0.55000000000000004">
      <c r="A86" t="s">
        <v>62</v>
      </c>
    </row>
    <row r="87" spans="1:1" x14ac:dyDescent="0.55000000000000004">
      <c r="A87" t="s">
        <v>63</v>
      </c>
    </row>
    <row r="88" spans="1:1" x14ac:dyDescent="0.55000000000000004">
      <c r="A88" t="s">
        <v>78</v>
      </c>
    </row>
    <row r="89" spans="1:1" x14ac:dyDescent="0.55000000000000004">
      <c r="A8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0549-9918-4379-BD4C-03644962493B}">
  <dimension ref="A1:T69"/>
  <sheetViews>
    <sheetView workbookViewId="0">
      <selection activeCell="F2" sqref="F2"/>
    </sheetView>
  </sheetViews>
  <sheetFormatPr defaultRowHeight="14.4" x14ac:dyDescent="0.55000000000000004"/>
  <cols>
    <col min="1" max="1" width="14.26171875" customWidth="1"/>
    <col min="16" max="16" width="18.15625" customWidth="1"/>
    <col min="17" max="17" width="10.68359375" bestFit="1" customWidth="1"/>
  </cols>
  <sheetData>
    <row r="1" spans="1:20" x14ac:dyDescent="0.55000000000000004">
      <c r="A1" s="3" t="s">
        <v>0</v>
      </c>
      <c r="B1" s="3" t="s">
        <v>2</v>
      </c>
      <c r="C1" s="3" t="s">
        <v>18</v>
      </c>
      <c r="D1" s="3" t="s">
        <v>3</v>
      </c>
      <c r="E1" s="3" t="s">
        <v>4</v>
      </c>
      <c r="F1" s="3" t="s">
        <v>5</v>
      </c>
      <c r="H1" s="5" t="s">
        <v>12</v>
      </c>
      <c r="J1" s="3" t="s">
        <v>19</v>
      </c>
      <c r="K1" s="3" t="s">
        <v>28</v>
      </c>
      <c r="L1" s="3" t="s">
        <v>20</v>
      </c>
      <c r="N1" s="5" t="s">
        <v>21</v>
      </c>
      <c r="P1" s="5" t="s">
        <v>25</v>
      </c>
      <c r="Q1" s="5" t="s">
        <v>26</v>
      </c>
      <c r="R1" s="5" t="s">
        <v>29</v>
      </c>
      <c r="S1" s="5" t="s">
        <v>27</v>
      </c>
      <c r="T1" s="5" t="s">
        <v>30</v>
      </c>
    </row>
    <row r="2" spans="1:20" x14ac:dyDescent="0.55000000000000004">
      <c r="A2" t="s">
        <v>1</v>
      </c>
      <c r="B2" s="9">
        <f t="shared" ref="B2:B16" si="0">B3-1</f>
        <v>1881</v>
      </c>
      <c r="C2" s="10">
        <v>301975</v>
      </c>
      <c r="D2" s="11">
        <v>33.200000000000003</v>
      </c>
      <c r="E2" s="11">
        <v>27.1</v>
      </c>
      <c r="F2" s="12">
        <f>D2-E2</f>
        <v>6.1000000000000014</v>
      </c>
      <c r="H2" s="5"/>
      <c r="J2" s="10">
        <v>10095</v>
      </c>
      <c r="K2" s="10">
        <v>8230</v>
      </c>
      <c r="L2" s="3"/>
      <c r="N2" s="5"/>
      <c r="P2" s="8">
        <f t="shared" ref="P2:P16" si="1">(C2+C3)/2</f>
        <v>303776.5</v>
      </c>
      <c r="Q2" s="8">
        <f t="shared" ref="Q2:Q16" si="2">P2*D2/1000</f>
        <v>10085.379800000001</v>
      </c>
      <c r="R2" s="8">
        <f t="shared" ref="R2:R16" si="3">P2*E2/1000</f>
        <v>8232.3431500000006</v>
      </c>
      <c r="S2" s="8">
        <f t="shared" ref="S2:S16" si="4">Q2-J2</f>
        <v>-9.6201999999993859</v>
      </c>
      <c r="T2" s="8">
        <f t="shared" ref="T2:T16" si="5">R2-K2</f>
        <v>2.3431500000006054</v>
      </c>
    </row>
    <row r="3" spans="1:20" x14ac:dyDescent="0.55000000000000004">
      <c r="A3" s="3"/>
      <c r="B3" s="9">
        <f t="shared" si="0"/>
        <v>1882</v>
      </c>
      <c r="C3" s="10">
        <v>305578</v>
      </c>
      <c r="D3" s="11">
        <v>34.6</v>
      </c>
      <c r="E3" s="11">
        <v>24</v>
      </c>
      <c r="F3" s="12">
        <f t="shared" ref="F3:F16" si="6">D3-E3</f>
        <v>10.600000000000001</v>
      </c>
      <c r="H3" s="5"/>
      <c r="J3" s="10">
        <v>10673</v>
      </c>
      <c r="K3" s="10">
        <v>7406</v>
      </c>
      <c r="L3" s="3"/>
      <c r="N3" s="5"/>
      <c r="P3" s="8">
        <f t="shared" si="1"/>
        <v>308043</v>
      </c>
      <c r="Q3" s="8">
        <f t="shared" si="2"/>
        <v>10658.2878</v>
      </c>
      <c r="R3" s="8">
        <f t="shared" si="3"/>
        <v>7393.0320000000002</v>
      </c>
      <c r="S3" s="8">
        <f t="shared" si="4"/>
        <v>-14.712199999999939</v>
      </c>
      <c r="T3" s="8">
        <f t="shared" si="5"/>
        <v>-12.967999999999847</v>
      </c>
    </row>
    <row r="4" spans="1:20" x14ac:dyDescent="0.55000000000000004">
      <c r="A4" s="3"/>
      <c r="B4" s="9">
        <f t="shared" si="0"/>
        <v>1883</v>
      </c>
      <c r="C4" s="10">
        <v>310508</v>
      </c>
      <c r="D4" s="11">
        <v>32.9</v>
      </c>
      <c r="E4" s="11">
        <v>23</v>
      </c>
      <c r="F4" s="12">
        <f t="shared" si="6"/>
        <v>9.8999999999999986</v>
      </c>
      <c r="H4" s="5"/>
      <c r="J4" s="10">
        <v>10306</v>
      </c>
      <c r="K4" s="10">
        <v>7188</v>
      </c>
      <c r="L4" s="3"/>
      <c r="N4" s="5"/>
      <c r="P4" s="8">
        <f t="shared" si="1"/>
        <v>312798</v>
      </c>
      <c r="Q4" s="8">
        <f t="shared" si="2"/>
        <v>10291.054199999999</v>
      </c>
      <c r="R4" s="8">
        <f t="shared" si="3"/>
        <v>7194.3540000000003</v>
      </c>
      <c r="S4" s="8">
        <f t="shared" si="4"/>
        <v>-14.945800000001327</v>
      </c>
      <c r="T4" s="8">
        <f t="shared" si="5"/>
        <v>6.3540000000002692</v>
      </c>
    </row>
    <row r="5" spans="1:20" x14ac:dyDescent="0.55000000000000004">
      <c r="A5" s="3"/>
      <c r="B5" s="9">
        <f t="shared" si="0"/>
        <v>1884</v>
      </c>
      <c r="C5" s="10">
        <v>315088</v>
      </c>
      <c r="D5" s="11">
        <v>35.5</v>
      </c>
      <c r="E5" s="11">
        <v>25.3</v>
      </c>
      <c r="F5" s="12">
        <f t="shared" si="6"/>
        <v>10.199999999999999</v>
      </c>
      <c r="H5" s="5"/>
      <c r="J5" s="10">
        <v>11283</v>
      </c>
      <c r="K5" s="10">
        <v>8033</v>
      </c>
      <c r="L5" s="3"/>
      <c r="N5" s="5"/>
      <c r="P5" s="8">
        <f t="shared" si="1"/>
        <v>317571</v>
      </c>
      <c r="Q5" s="8">
        <f t="shared" si="2"/>
        <v>11273.770500000001</v>
      </c>
      <c r="R5" s="8">
        <f t="shared" si="3"/>
        <v>8034.5463</v>
      </c>
      <c r="S5" s="8">
        <f t="shared" si="4"/>
        <v>-9.2294999999994616</v>
      </c>
      <c r="T5" s="8">
        <f t="shared" si="5"/>
        <v>1.5462999999999738</v>
      </c>
    </row>
    <row r="6" spans="1:20" x14ac:dyDescent="0.55000000000000004">
      <c r="A6" s="3"/>
      <c r="B6" s="9">
        <f t="shared" si="0"/>
        <v>1885</v>
      </c>
      <c r="C6" s="10">
        <v>320054</v>
      </c>
      <c r="D6" s="11">
        <v>32.799999999999997</v>
      </c>
      <c r="E6" s="11">
        <v>23.4</v>
      </c>
      <c r="F6" s="12">
        <f t="shared" si="6"/>
        <v>9.3999999999999986</v>
      </c>
      <c r="H6" s="5"/>
      <c r="J6" s="10">
        <v>10586</v>
      </c>
      <c r="K6" s="10">
        <v>7538</v>
      </c>
      <c r="L6" s="3"/>
      <c r="N6" s="5"/>
      <c r="P6" s="8">
        <f t="shared" si="1"/>
        <v>322346.5</v>
      </c>
      <c r="Q6" s="8">
        <f t="shared" si="2"/>
        <v>10572.965199999999</v>
      </c>
      <c r="R6" s="8">
        <f t="shared" si="3"/>
        <v>7542.9080999999996</v>
      </c>
      <c r="S6" s="8">
        <f t="shared" si="4"/>
        <v>-13.034800000001269</v>
      </c>
      <c r="T6" s="8">
        <f t="shared" si="5"/>
        <v>4.9080999999996493</v>
      </c>
    </row>
    <row r="7" spans="1:20" x14ac:dyDescent="0.55000000000000004">
      <c r="A7" s="3"/>
      <c r="B7" s="9">
        <f t="shared" si="0"/>
        <v>1886</v>
      </c>
      <c r="C7" s="10">
        <v>324639</v>
      </c>
      <c r="D7" s="11">
        <v>32.200000000000003</v>
      </c>
      <c r="E7" s="11">
        <v>22.2</v>
      </c>
      <c r="F7" s="12">
        <f t="shared" si="6"/>
        <v>10.000000000000004</v>
      </c>
      <c r="H7" s="5"/>
      <c r="J7" s="10">
        <v>10524</v>
      </c>
      <c r="K7" s="10">
        <v>7268</v>
      </c>
      <c r="L7" s="3"/>
      <c r="N7" s="5"/>
      <c r="P7" s="8">
        <f t="shared" si="1"/>
        <v>326921.5</v>
      </c>
      <c r="Q7" s="8">
        <f t="shared" si="2"/>
        <v>10526.872300000001</v>
      </c>
      <c r="R7" s="8">
        <f t="shared" si="3"/>
        <v>7257.6572999999999</v>
      </c>
      <c r="S7" s="8">
        <f t="shared" si="4"/>
        <v>2.8723000000009051</v>
      </c>
      <c r="T7" s="8">
        <f t="shared" si="5"/>
        <v>-10.34270000000015</v>
      </c>
    </row>
    <row r="8" spans="1:20" x14ac:dyDescent="0.55000000000000004">
      <c r="A8" s="3"/>
      <c r="B8" s="9">
        <f t="shared" si="0"/>
        <v>1887</v>
      </c>
      <c r="C8" s="10">
        <v>329204</v>
      </c>
      <c r="D8" s="11">
        <v>33.6</v>
      </c>
      <c r="E8" s="11">
        <v>21.8</v>
      </c>
      <c r="F8" s="12">
        <f t="shared" si="6"/>
        <v>11.8</v>
      </c>
      <c r="H8" s="5"/>
      <c r="J8" s="10">
        <v>11156</v>
      </c>
      <c r="K8" s="10">
        <v>7226</v>
      </c>
      <c r="L8" s="3"/>
      <c r="N8" s="5"/>
      <c r="P8" s="8">
        <f t="shared" si="1"/>
        <v>331910</v>
      </c>
      <c r="Q8" s="8">
        <f t="shared" si="2"/>
        <v>11152.175999999999</v>
      </c>
      <c r="R8" s="8">
        <f t="shared" si="3"/>
        <v>7235.6379999999999</v>
      </c>
      <c r="S8" s="8">
        <f t="shared" si="4"/>
        <v>-3.8240000000005239</v>
      </c>
      <c r="T8" s="8">
        <f t="shared" si="5"/>
        <v>9.63799999999992</v>
      </c>
    </row>
    <row r="9" spans="1:20" x14ac:dyDescent="0.55000000000000004">
      <c r="A9" s="3"/>
      <c r="B9" s="9">
        <f t="shared" si="0"/>
        <v>1888</v>
      </c>
      <c r="C9" s="10">
        <v>334616</v>
      </c>
      <c r="D9" s="11">
        <v>34.700000000000003</v>
      </c>
      <c r="E9" s="11">
        <v>22.5</v>
      </c>
      <c r="F9" s="12">
        <f t="shared" si="6"/>
        <v>12.200000000000003</v>
      </c>
      <c r="H9" s="5"/>
      <c r="J9" s="10">
        <v>11722</v>
      </c>
      <c r="K9" s="10">
        <v>7610</v>
      </c>
      <c r="L9" s="3"/>
      <c r="N9" s="5"/>
      <c r="P9" s="8">
        <f t="shared" si="1"/>
        <v>337461</v>
      </c>
      <c r="Q9" s="8">
        <f t="shared" si="2"/>
        <v>11709.896700000001</v>
      </c>
      <c r="R9" s="8">
        <f t="shared" si="3"/>
        <v>7592.8725000000004</v>
      </c>
      <c r="S9" s="8">
        <f t="shared" si="4"/>
        <v>-12.103299999998853</v>
      </c>
      <c r="T9" s="8">
        <f t="shared" si="5"/>
        <v>-17.1274999999996</v>
      </c>
    </row>
    <row r="10" spans="1:20" x14ac:dyDescent="0.55000000000000004">
      <c r="A10" s="3"/>
      <c r="B10" s="9">
        <f t="shared" si="0"/>
        <v>1889</v>
      </c>
      <c r="C10" s="10">
        <v>340306</v>
      </c>
      <c r="D10" s="11">
        <v>33.700000000000003</v>
      </c>
      <c r="E10" s="11">
        <v>24.1</v>
      </c>
      <c r="F10" s="12">
        <f t="shared" si="6"/>
        <v>9.6000000000000014</v>
      </c>
      <c r="H10" s="5"/>
      <c r="J10" s="10">
        <v>11571</v>
      </c>
      <c r="K10" s="10">
        <v>8277</v>
      </c>
      <c r="L10" s="3"/>
      <c r="N10" s="5"/>
      <c r="P10" s="8">
        <f t="shared" si="1"/>
        <v>342932.5</v>
      </c>
      <c r="Q10" s="8">
        <f t="shared" si="2"/>
        <v>11556.825250000002</v>
      </c>
      <c r="R10" s="8">
        <f t="shared" si="3"/>
        <v>8264.6732500000016</v>
      </c>
      <c r="S10" s="8">
        <f t="shared" si="4"/>
        <v>-14.174749999998312</v>
      </c>
      <c r="T10" s="8">
        <f t="shared" si="5"/>
        <v>-12.326749999998356</v>
      </c>
    </row>
    <row r="11" spans="1:20" x14ac:dyDescent="0.55000000000000004">
      <c r="A11" s="3"/>
      <c r="B11" s="9">
        <f t="shared" si="0"/>
        <v>1890</v>
      </c>
      <c r="C11" s="10">
        <v>345559</v>
      </c>
      <c r="D11" s="11">
        <v>33.1</v>
      </c>
      <c r="E11" s="11">
        <v>21.6</v>
      </c>
      <c r="F11" s="12">
        <f t="shared" si="6"/>
        <v>11.5</v>
      </c>
      <c r="H11" s="5"/>
      <c r="J11" s="10">
        <v>11564</v>
      </c>
      <c r="K11" s="10">
        <v>7540</v>
      </c>
      <c r="L11" s="3"/>
      <c r="N11" s="5"/>
      <c r="P11" s="8">
        <f t="shared" si="1"/>
        <v>348579.5</v>
      </c>
      <c r="Q11" s="8">
        <f t="shared" si="2"/>
        <v>11537.981450000001</v>
      </c>
      <c r="R11" s="8">
        <f t="shared" si="3"/>
        <v>7529.3172000000004</v>
      </c>
      <c r="S11" s="8">
        <f t="shared" si="4"/>
        <v>-26.018549999998868</v>
      </c>
      <c r="T11" s="8">
        <f t="shared" si="5"/>
        <v>-10.682799999999588</v>
      </c>
    </row>
    <row r="12" spans="1:20" x14ac:dyDescent="0.55000000000000004">
      <c r="A12" s="3"/>
      <c r="B12" s="9">
        <f t="shared" si="0"/>
        <v>1891</v>
      </c>
      <c r="C12" s="10">
        <v>351600</v>
      </c>
      <c r="D12" s="11">
        <v>34.6</v>
      </c>
      <c r="E12" s="11">
        <v>22.9</v>
      </c>
      <c r="F12" s="12">
        <f t="shared" si="6"/>
        <v>11.700000000000003</v>
      </c>
      <c r="H12" s="5"/>
      <c r="J12" s="10">
        <v>12274</v>
      </c>
      <c r="K12" s="10">
        <v>8126</v>
      </c>
      <c r="L12" s="3"/>
      <c r="N12" s="5"/>
      <c r="P12" s="8">
        <f t="shared" si="1"/>
        <v>354461</v>
      </c>
      <c r="Q12" s="8">
        <f t="shared" si="2"/>
        <v>12264.3506</v>
      </c>
      <c r="R12" s="8">
        <f t="shared" si="3"/>
        <v>8117.156899999999</v>
      </c>
      <c r="S12" s="8">
        <f t="shared" si="4"/>
        <v>-9.6494000000002416</v>
      </c>
      <c r="T12" s="8">
        <f t="shared" si="5"/>
        <v>-8.843100000000959</v>
      </c>
    </row>
    <row r="13" spans="1:20" x14ac:dyDescent="0.55000000000000004">
      <c r="A13" s="3"/>
      <c r="B13" s="9">
        <f t="shared" si="0"/>
        <v>1892</v>
      </c>
      <c r="C13" s="10">
        <v>357322</v>
      </c>
      <c r="D13" s="11">
        <v>32</v>
      </c>
      <c r="E13" s="11">
        <v>23.7</v>
      </c>
      <c r="F13" s="12">
        <f t="shared" si="6"/>
        <v>8.3000000000000007</v>
      </c>
      <c r="H13" s="5"/>
      <c r="J13" s="10">
        <v>11511</v>
      </c>
      <c r="K13" s="10">
        <v>8524</v>
      </c>
      <c r="L13" s="3"/>
      <c r="N13" s="5"/>
      <c r="P13" s="8">
        <f t="shared" si="1"/>
        <v>359567</v>
      </c>
      <c r="Q13" s="8">
        <f t="shared" si="2"/>
        <v>11506.144</v>
      </c>
      <c r="R13" s="8">
        <f t="shared" si="3"/>
        <v>8521.7379000000001</v>
      </c>
      <c r="S13" s="8">
        <f t="shared" si="4"/>
        <v>-4.8559999999997672</v>
      </c>
      <c r="T13" s="8">
        <f t="shared" si="5"/>
        <v>-2.2620999999999185</v>
      </c>
    </row>
    <row r="14" spans="1:20" x14ac:dyDescent="0.55000000000000004">
      <c r="A14" s="3"/>
      <c r="B14" s="9">
        <f t="shared" si="0"/>
        <v>1893</v>
      </c>
      <c r="C14" s="10">
        <v>361812</v>
      </c>
      <c r="D14" s="11">
        <v>30.7</v>
      </c>
      <c r="E14" s="11">
        <v>23</v>
      </c>
      <c r="F14" s="12">
        <f t="shared" si="6"/>
        <v>7.6999999999999993</v>
      </c>
      <c r="H14" s="5"/>
      <c r="J14" s="10">
        <v>11157</v>
      </c>
      <c r="K14" s="10">
        <v>8365</v>
      </c>
      <c r="L14" s="3"/>
      <c r="N14" s="5"/>
      <c r="P14" s="8">
        <f t="shared" si="1"/>
        <v>363939</v>
      </c>
      <c r="Q14" s="8">
        <f t="shared" si="2"/>
        <v>11172.927299999999</v>
      </c>
      <c r="R14" s="8">
        <f t="shared" si="3"/>
        <v>8370.5969999999998</v>
      </c>
      <c r="S14" s="8">
        <f t="shared" si="4"/>
        <v>15.927299999999377</v>
      </c>
      <c r="T14" s="8">
        <f t="shared" si="5"/>
        <v>5.5969999999997526</v>
      </c>
    </row>
    <row r="15" spans="1:20" x14ac:dyDescent="0.55000000000000004">
      <c r="A15" s="3"/>
      <c r="B15" s="9">
        <f t="shared" si="0"/>
        <v>1894</v>
      </c>
      <c r="C15" s="10">
        <v>366066</v>
      </c>
      <c r="D15" s="11">
        <v>32</v>
      </c>
      <c r="E15" s="11">
        <v>21.5</v>
      </c>
      <c r="F15" s="12">
        <f t="shared" si="6"/>
        <v>10.5</v>
      </c>
      <c r="H15" s="5"/>
      <c r="J15" s="10">
        <v>11806</v>
      </c>
      <c r="K15" s="10">
        <v>7938</v>
      </c>
      <c r="L15" s="3"/>
      <c r="N15" s="5"/>
      <c r="P15" s="8">
        <f t="shared" si="1"/>
        <v>369040.5</v>
      </c>
      <c r="Q15" s="8">
        <f t="shared" si="2"/>
        <v>11809.296</v>
      </c>
      <c r="R15" s="8">
        <f t="shared" si="3"/>
        <v>7934.37075</v>
      </c>
      <c r="S15" s="8">
        <f t="shared" si="4"/>
        <v>3.2960000000002765</v>
      </c>
      <c r="T15" s="8">
        <f t="shared" si="5"/>
        <v>-3.6292499999999563</v>
      </c>
    </row>
    <row r="16" spans="1:20" x14ac:dyDescent="0.55000000000000004">
      <c r="A16" s="3"/>
      <c r="B16" s="9">
        <f t="shared" si="0"/>
        <v>1895</v>
      </c>
      <c r="C16" s="10">
        <v>372015</v>
      </c>
      <c r="D16" s="11">
        <v>33.1</v>
      </c>
      <c r="E16" s="11">
        <v>20.6</v>
      </c>
      <c r="F16" s="12">
        <f t="shared" si="6"/>
        <v>12.5</v>
      </c>
      <c r="H16" s="5"/>
      <c r="J16" s="10">
        <v>12434</v>
      </c>
      <c r="K16" s="10">
        <v>7733</v>
      </c>
      <c r="L16" s="3"/>
      <c r="N16" s="5"/>
      <c r="P16" s="8">
        <f t="shared" si="1"/>
        <v>375532</v>
      </c>
      <c r="Q16" s="8">
        <f t="shared" si="2"/>
        <v>12430.109200000001</v>
      </c>
      <c r="R16" s="8">
        <f t="shared" si="3"/>
        <v>7735.9592000000002</v>
      </c>
      <c r="S16" s="8">
        <f t="shared" si="4"/>
        <v>-3.8907999999992171</v>
      </c>
      <c r="T16" s="8">
        <f t="shared" si="5"/>
        <v>2.9592000000002372</v>
      </c>
    </row>
    <row r="17" spans="2:20" x14ac:dyDescent="0.55000000000000004">
      <c r="B17" s="9">
        <v>1896</v>
      </c>
      <c r="C17" s="7">
        <v>379049</v>
      </c>
      <c r="D17" s="4">
        <v>33</v>
      </c>
      <c r="E17" s="4">
        <v>19.8</v>
      </c>
      <c r="F17" s="2">
        <v>13.2</v>
      </c>
      <c r="H17" s="6">
        <f>D17-E17-F17</f>
        <v>0</v>
      </c>
      <c r="J17" s="7">
        <f>6476+6161</f>
        <v>12637</v>
      </c>
      <c r="K17" s="7">
        <f>3911+3674</f>
        <v>7585</v>
      </c>
      <c r="L17" s="7"/>
      <c r="N17" s="8"/>
      <c r="P17" s="8">
        <f>(C17+C18)/2</f>
        <v>382744.5</v>
      </c>
      <c r="Q17" s="8">
        <f>P17*D17/1000</f>
        <v>12630.568499999999</v>
      </c>
      <c r="R17" s="8">
        <f>P17*E17/1000</f>
        <v>7578.3411000000006</v>
      </c>
      <c r="S17" s="8">
        <f>Q17-J17</f>
        <v>-6.4315000000005966</v>
      </c>
      <c r="T17" s="8">
        <f>R17-K17</f>
        <v>-6.6588999999994485</v>
      </c>
    </row>
    <row r="18" spans="2:20" x14ac:dyDescent="0.55000000000000004">
      <c r="B18" s="9">
        <f>B17+1</f>
        <v>1897</v>
      </c>
      <c r="C18" s="7">
        <v>386440</v>
      </c>
      <c r="D18" s="4">
        <v>32.700000000000003</v>
      </c>
      <c r="E18" s="4">
        <v>19.3</v>
      </c>
      <c r="F18" s="2">
        <v>13.4</v>
      </c>
      <c r="H18" s="6">
        <f t="shared" ref="H18:H37" si="7">D18-E18-F18</f>
        <v>0</v>
      </c>
      <c r="J18" s="7">
        <f>6646+6124</f>
        <v>12770</v>
      </c>
      <c r="K18" s="7">
        <f>3848+3676</f>
        <v>7524</v>
      </c>
      <c r="L18" s="7"/>
      <c r="N18" s="8"/>
      <c r="P18" s="8">
        <f t="shared" ref="P18:P37" si="8">(C18+C19)/2</f>
        <v>390380</v>
      </c>
      <c r="Q18" s="8">
        <f t="shared" ref="Q18:Q37" si="9">P18*D18/1000</f>
        <v>12765.426000000001</v>
      </c>
      <c r="R18" s="8">
        <f t="shared" ref="R18:R37" si="10">P18*E18/1000</f>
        <v>7534.3339999999998</v>
      </c>
      <c r="S18" s="8">
        <f t="shared" ref="S18:S37" si="11">Q18-J18</f>
        <v>-4.5739999999987049</v>
      </c>
      <c r="T18" s="8">
        <f t="shared" ref="T18:T37" si="12">R18-K18</f>
        <v>10.333999999999833</v>
      </c>
    </row>
    <row r="19" spans="2:20" x14ac:dyDescent="0.55000000000000004">
      <c r="B19" s="9">
        <f t="shared" ref="B19:B37" si="13">B18+1</f>
        <v>1898</v>
      </c>
      <c r="C19" s="7">
        <v>394320</v>
      </c>
      <c r="D19" s="4">
        <v>35.799999999999997</v>
      </c>
      <c r="E19" s="4">
        <v>19.2</v>
      </c>
      <c r="F19" s="2">
        <v>16.600000000000001</v>
      </c>
      <c r="H19" s="6">
        <f t="shared" si="7"/>
        <v>0</v>
      </c>
      <c r="J19" s="7">
        <f>7458+6813</f>
        <v>14271</v>
      </c>
      <c r="K19" s="7">
        <f>3995+3658</f>
        <v>7653</v>
      </c>
      <c r="L19" s="7"/>
      <c r="N19" s="8"/>
      <c r="P19" s="8">
        <f t="shared" si="8"/>
        <v>399056.5</v>
      </c>
      <c r="Q19" s="8">
        <f t="shared" si="9"/>
        <v>14286.222699999998</v>
      </c>
      <c r="R19" s="8">
        <f t="shared" si="10"/>
        <v>7661.8847999999998</v>
      </c>
      <c r="S19" s="8">
        <f t="shared" si="11"/>
        <v>15.22269999999844</v>
      </c>
      <c r="T19" s="8">
        <f t="shared" si="12"/>
        <v>8.8847999999998137</v>
      </c>
    </row>
    <row r="20" spans="2:20" x14ac:dyDescent="0.55000000000000004">
      <c r="B20" s="9">
        <f t="shared" si="13"/>
        <v>1899</v>
      </c>
      <c r="C20" s="7">
        <v>403793</v>
      </c>
      <c r="D20" s="4">
        <v>35.4</v>
      </c>
      <c r="E20" s="4">
        <v>19.5</v>
      </c>
      <c r="F20" s="2">
        <v>15.9</v>
      </c>
      <c r="H20" s="6">
        <f t="shared" si="7"/>
        <v>0</v>
      </c>
      <c r="J20" s="7">
        <f>7350+7099</f>
        <v>14449</v>
      </c>
      <c r="K20" s="7">
        <f>4075+3903</f>
        <v>7978</v>
      </c>
      <c r="L20" s="7"/>
      <c r="N20" s="8"/>
      <c r="P20" s="8">
        <f t="shared" si="8"/>
        <v>408636</v>
      </c>
      <c r="Q20" s="8">
        <f t="shared" si="9"/>
        <v>14465.714399999999</v>
      </c>
      <c r="R20" s="8">
        <f t="shared" si="10"/>
        <v>7968.402</v>
      </c>
      <c r="S20" s="8">
        <f t="shared" si="11"/>
        <v>16.714399999998932</v>
      </c>
      <c r="T20" s="8">
        <f t="shared" si="12"/>
        <v>-9.5979999999999563</v>
      </c>
    </row>
    <row r="21" spans="2:20" x14ac:dyDescent="0.55000000000000004">
      <c r="B21" s="9">
        <f t="shared" si="13"/>
        <v>1900</v>
      </c>
      <c r="C21" s="7">
        <v>413479</v>
      </c>
      <c r="D21" s="4">
        <v>34.700000000000003</v>
      </c>
      <c r="E21" s="4">
        <v>21.4</v>
      </c>
      <c r="F21" s="2">
        <v>13.3</v>
      </c>
      <c r="H21" s="6">
        <f t="shared" si="7"/>
        <v>0</v>
      </c>
      <c r="J21" s="7">
        <v>14489</v>
      </c>
      <c r="K21" s="7">
        <v>8915</v>
      </c>
      <c r="L21" s="7"/>
      <c r="N21" s="8"/>
      <c r="P21" s="8">
        <f t="shared" si="8"/>
        <v>417544.5</v>
      </c>
      <c r="Q21" s="8">
        <f t="shared" si="9"/>
        <v>14488.79415</v>
      </c>
      <c r="R21" s="8">
        <f t="shared" si="10"/>
        <v>8935.452299999999</v>
      </c>
      <c r="S21" s="8">
        <f t="shared" si="11"/>
        <v>-0.20585000000028231</v>
      </c>
      <c r="T21" s="8">
        <f t="shared" si="12"/>
        <v>20.452299999999013</v>
      </c>
    </row>
    <row r="22" spans="2:20" x14ac:dyDescent="0.55000000000000004">
      <c r="B22" s="9">
        <f t="shared" si="13"/>
        <v>1901</v>
      </c>
      <c r="C22" s="7">
        <v>421610</v>
      </c>
      <c r="D22" s="4">
        <v>34.799999999999997</v>
      </c>
      <c r="E22" s="4">
        <v>21.2</v>
      </c>
      <c r="F22" s="2">
        <v>13.6</v>
      </c>
      <c r="H22" s="6">
        <f t="shared" si="7"/>
        <v>0</v>
      </c>
      <c r="J22" s="7">
        <v>14807</v>
      </c>
      <c r="K22" s="7">
        <v>9029</v>
      </c>
      <c r="L22" s="7"/>
      <c r="N22" s="8"/>
      <c r="P22" s="8">
        <f t="shared" si="8"/>
        <v>426042</v>
      </c>
      <c r="Q22" s="8">
        <f t="shared" si="9"/>
        <v>14826.2616</v>
      </c>
      <c r="R22" s="8">
        <f t="shared" si="10"/>
        <v>9032.090400000001</v>
      </c>
      <c r="S22" s="8">
        <f t="shared" si="11"/>
        <v>19.261599999999817</v>
      </c>
      <c r="T22" s="8">
        <f t="shared" si="12"/>
        <v>3.0904000000009546</v>
      </c>
    </row>
    <row r="23" spans="2:20" x14ac:dyDescent="0.55000000000000004">
      <c r="B23" s="9">
        <f t="shared" si="13"/>
        <v>1902</v>
      </c>
      <c r="C23" s="7">
        <v>430474</v>
      </c>
      <c r="D23" s="4">
        <v>34.299999999999997</v>
      </c>
      <c r="E23" s="4">
        <v>20.8</v>
      </c>
      <c r="F23" s="2">
        <v>13.5</v>
      </c>
      <c r="H23" s="6">
        <f t="shared" si="7"/>
        <v>0</v>
      </c>
      <c r="J23" s="7">
        <v>14905</v>
      </c>
      <c r="K23" s="7">
        <v>9032</v>
      </c>
      <c r="L23" s="7"/>
      <c r="N23" s="8"/>
      <c r="P23" s="8">
        <f t="shared" si="8"/>
        <v>435016.5</v>
      </c>
      <c r="Q23" s="8">
        <f t="shared" si="9"/>
        <v>14921.06595</v>
      </c>
      <c r="R23" s="8">
        <f t="shared" si="10"/>
        <v>9048.3432000000012</v>
      </c>
      <c r="S23" s="8">
        <f t="shared" si="11"/>
        <v>16.065950000000157</v>
      </c>
      <c r="T23" s="8">
        <f t="shared" si="12"/>
        <v>16.343200000001161</v>
      </c>
    </row>
    <row r="24" spans="2:20" x14ac:dyDescent="0.55000000000000004">
      <c r="B24" s="9">
        <f t="shared" si="13"/>
        <v>1903</v>
      </c>
      <c r="C24" s="7">
        <v>439559</v>
      </c>
      <c r="D24" s="4">
        <v>33.9</v>
      </c>
      <c r="E24" s="4">
        <v>18.600000000000001</v>
      </c>
      <c r="F24" s="2">
        <v>15.3</v>
      </c>
      <c r="H24" s="6">
        <f t="shared" si="7"/>
        <v>0</v>
      </c>
      <c r="J24" s="7">
        <v>15065</v>
      </c>
      <c r="K24" s="7">
        <v>8298</v>
      </c>
      <c r="L24" s="7"/>
      <c r="N24" s="8"/>
      <c r="P24" s="8">
        <f t="shared" si="8"/>
        <v>444983</v>
      </c>
      <c r="Q24" s="8">
        <f t="shared" si="9"/>
        <v>15084.923699999999</v>
      </c>
      <c r="R24" s="8">
        <f t="shared" si="10"/>
        <v>8276.6838000000007</v>
      </c>
      <c r="S24" s="8">
        <f t="shared" si="11"/>
        <v>19.923699999999371</v>
      </c>
      <c r="T24" s="8">
        <f t="shared" si="12"/>
        <v>-21.316199999999299</v>
      </c>
    </row>
    <row r="25" spans="2:20" x14ac:dyDescent="0.55000000000000004">
      <c r="B25" s="9">
        <f t="shared" si="13"/>
        <v>1904</v>
      </c>
      <c r="C25" s="7">
        <v>450407</v>
      </c>
      <c r="D25" s="4">
        <v>34.700000000000003</v>
      </c>
      <c r="E25" s="4">
        <v>19.5</v>
      </c>
      <c r="F25" s="2">
        <v>15.2</v>
      </c>
      <c r="H25" s="6">
        <f t="shared" si="7"/>
        <v>0</v>
      </c>
      <c r="J25" s="7">
        <v>15795</v>
      </c>
      <c r="K25" s="7">
        <v>8875</v>
      </c>
      <c r="L25" s="7"/>
      <c r="N25" s="8"/>
      <c r="P25" s="8">
        <f t="shared" si="8"/>
        <v>455836.5</v>
      </c>
      <c r="Q25" s="8">
        <f t="shared" si="9"/>
        <v>15817.52655</v>
      </c>
      <c r="R25" s="8">
        <f t="shared" si="10"/>
        <v>8888.8117500000008</v>
      </c>
      <c r="S25" s="8">
        <f t="shared" si="11"/>
        <v>22.526550000000498</v>
      </c>
      <c r="T25" s="8">
        <f t="shared" si="12"/>
        <v>13.811750000000757</v>
      </c>
    </row>
    <row r="26" spans="2:20" x14ac:dyDescent="0.55000000000000004">
      <c r="B26" s="9">
        <f t="shared" si="13"/>
        <v>1905</v>
      </c>
      <c r="C26" s="7">
        <v>461266</v>
      </c>
      <c r="D26" s="4">
        <v>33.4</v>
      </c>
      <c r="E26" s="4">
        <v>20.7</v>
      </c>
      <c r="F26" s="2">
        <v>12.7</v>
      </c>
      <c r="H26" s="6">
        <f t="shared" si="7"/>
        <v>0</v>
      </c>
      <c r="J26" s="7">
        <v>15573</v>
      </c>
      <c r="K26" s="7">
        <v>9667</v>
      </c>
      <c r="L26" s="7"/>
      <c r="N26" s="8"/>
      <c r="P26" s="8">
        <f t="shared" si="8"/>
        <v>465904</v>
      </c>
      <c r="Q26" s="8">
        <f t="shared" si="9"/>
        <v>15561.193600000001</v>
      </c>
      <c r="R26" s="8">
        <f t="shared" si="10"/>
        <v>9644.2127999999993</v>
      </c>
      <c r="S26" s="8">
        <f t="shared" si="11"/>
        <v>-11.806399999999485</v>
      </c>
      <c r="T26" s="8">
        <f t="shared" si="12"/>
        <v>-22.787200000000666</v>
      </c>
    </row>
    <row r="27" spans="2:20" x14ac:dyDescent="0.55000000000000004">
      <c r="B27" s="9">
        <f t="shared" si="13"/>
        <v>1906</v>
      </c>
      <c r="C27" s="7">
        <v>470542</v>
      </c>
      <c r="D27" s="4">
        <v>34.200000000000003</v>
      </c>
      <c r="E27" s="4">
        <v>20.2</v>
      </c>
      <c r="F27" s="2">
        <v>14</v>
      </c>
      <c r="H27" s="6">
        <f t="shared" si="7"/>
        <v>0</v>
      </c>
      <c r="J27" s="7">
        <v>16273</v>
      </c>
      <c r="K27" s="7">
        <v>9593</v>
      </c>
      <c r="L27" s="7"/>
      <c r="N27" s="8"/>
      <c r="P27" s="8">
        <f t="shared" si="8"/>
        <v>475781.5</v>
      </c>
      <c r="Q27" s="8">
        <f t="shared" si="9"/>
        <v>16271.7273</v>
      </c>
      <c r="R27" s="8">
        <f t="shared" si="10"/>
        <v>9610.7862999999998</v>
      </c>
      <c r="S27" s="8">
        <f t="shared" si="11"/>
        <v>-1.2726999999995314</v>
      </c>
      <c r="T27" s="8">
        <f t="shared" si="12"/>
        <v>17.786299999999756</v>
      </c>
    </row>
    <row r="28" spans="2:20" x14ac:dyDescent="0.55000000000000004">
      <c r="B28" s="9">
        <f t="shared" si="13"/>
        <v>1907</v>
      </c>
      <c r="C28" s="7">
        <v>481021</v>
      </c>
      <c r="D28" s="4">
        <v>34.9</v>
      </c>
      <c r="E28" s="4">
        <v>19</v>
      </c>
      <c r="F28" s="2">
        <v>15.9</v>
      </c>
      <c r="H28" s="6">
        <f t="shared" si="7"/>
        <v>0</v>
      </c>
      <c r="J28" s="7">
        <v>17007</v>
      </c>
      <c r="K28" s="7">
        <v>9236</v>
      </c>
      <c r="L28" s="7"/>
      <c r="N28" s="8"/>
      <c r="P28" s="8">
        <f t="shared" si="8"/>
        <v>486760</v>
      </c>
      <c r="Q28" s="8">
        <f t="shared" si="9"/>
        <v>16987.923999999999</v>
      </c>
      <c r="R28" s="8">
        <f t="shared" si="10"/>
        <v>9248.44</v>
      </c>
      <c r="S28" s="8">
        <f t="shared" si="11"/>
        <v>-19.076000000000931</v>
      </c>
      <c r="T28" s="8">
        <f t="shared" si="12"/>
        <v>12.440000000000509</v>
      </c>
    </row>
    <row r="29" spans="2:20" x14ac:dyDescent="0.55000000000000004">
      <c r="B29" s="9">
        <f t="shared" si="13"/>
        <v>1908</v>
      </c>
      <c r="C29" s="7">
        <v>492499</v>
      </c>
      <c r="D29" s="4">
        <v>33.9</v>
      </c>
      <c r="E29" s="4">
        <v>19.600000000000001</v>
      </c>
      <c r="F29" s="2">
        <v>14.3</v>
      </c>
      <c r="H29" s="6">
        <f t="shared" si="7"/>
        <v>0</v>
      </c>
      <c r="J29" s="7">
        <v>16851</v>
      </c>
      <c r="K29" s="7">
        <v>9727</v>
      </c>
      <c r="L29" s="7"/>
      <c r="N29" s="8"/>
      <c r="P29" s="8">
        <f t="shared" si="8"/>
        <v>497498</v>
      </c>
      <c r="Q29" s="8">
        <f t="shared" si="9"/>
        <v>16865.182199999999</v>
      </c>
      <c r="R29" s="8">
        <f t="shared" si="10"/>
        <v>9750.9608000000007</v>
      </c>
      <c r="S29" s="8">
        <f t="shared" si="11"/>
        <v>14.182199999999284</v>
      </c>
      <c r="T29" s="8">
        <f t="shared" si="12"/>
        <v>23.960800000000745</v>
      </c>
    </row>
    <row r="30" spans="2:20" x14ac:dyDescent="0.55000000000000004">
      <c r="B30" s="9">
        <f t="shared" si="13"/>
        <v>1909</v>
      </c>
      <c r="C30" s="7">
        <v>502497</v>
      </c>
      <c r="D30" s="4">
        <v>34.4</v>
      </c>
      <c r="E30" s="4">
        <v>17.399999999999999</v>
      </c>
      <c r="F30" s="2">
        <v>17</v>
      </c>
      <c r="H30" s="6">
        <f t="shared" si="7"/>
        <v>0</v>
      </c>
      <c r="J30" s="7">
        <v>17473</v>
      </c>
      <c r="K30" s="7">
        <v>8824</v>
      </c>
      <c r="L30" s="7"/>
      <c r="N30" s="8"/>
      <c r="P30" s="8">
        <f t="shared" si="8"/>
        <v>507739</v>
      </c>
      <c r="Q30" s="8">
        <f t="shared" si="9"/>
        <v>17466.221599999997</v>
      </c>
      <c r="R30" s="8">
        <f t="shared" si="10"/>
        <v>8834.6585999999988</v>
      </c>
      <c r="S30" s="8">
        <f t="shared" si="11"/>
        <v>-6.7784000000028755</v>
      </c>
      <c r="T30" s="8">
        <f t="shared" si="12"/>
        <v>10.658599999998842</v>
      </c>
    </row>
    <row r="31" spans="2:20" x14ac:dyDescent="0.55000000000000004">
      <c r="B31" s="9">
        <f t="shared" si="13"/>
        <v>1910</v>
      </c>
      <c r="C31" s="7">
        <v>512981</v>
      </c>
      <c r="D31" s="4">
        <v>32</v>
      </c>
      <c r="E31" s="4">
        <v>18.5</v>
      </c>
      <c r="F31" s="2">
        <v>13.5</v>
      </c>
      <c r="H31" s="6">
        <f t="shared" si="7"/>
        <v>0</v>
      </c>
      <c r="J31" s="7">
        <v>16565</v>
      </c>
      <c r="K31" s="7">
        <v>9545</v>
      </c>
      <c r="L31" s="7"/>
      <c r="N31" s="8"/>
      <c r="P31" s="8">
        <f t="shared" si="8"/>
        <v>517225</v>
      </c>
      <c r="Q31" s="8">
        <f t="shared" si="9"/>
        <v>16551.2</v>
      </c>
      <c r="R31" s="8">
        <f t="shared" si="10"/>
        <v>9568.6625000000004</v>
      </c>
      <c r="S31" s="8">
        <f t="shared" si="11"/>
        <v>-13.799999999999272</v>
      </c>
      <c r="T31" s="8">
        <f t="shared" si="12"/>
        <v>23.662500000000364</v>
      </c>
    </row>
    <row r="32" spans="2:20" x14ac:dyDescent="0.55000000000000004">
      <c r="B32" s="9">
        <f t="shared" si="13"/>
        <v>1911</v>
      </c>
      <c r="C32" s="7">
        <v>521469</v>
      </c>
      <c r="D32" s="4">
        <v>31.4</v>
      </c>
      <c r="E32" s="4">
        <v>17.2</v>
      </c>
      <c r="F32" s="2">
        <v>14.2</v>
      </c>
      <c r="H32" s="6">
        <f t="shared" si="7"/>
        <v>0</v>
      </c>
      <c r="J32" s="7">
        <v>16526</v>
      </c>
      <c r="K32" s="7">
        <v>9059</v>
      </c>
      <c r="L32" s="7"/>
      <c r="N32" s="8"/>
      <c r="P32" s="8">
        <f t="shared" si="8"/>
        <v>525523</v>
      </c>
      <c r="Q32" s="8">
        <f t="shared" si="9"/>
        <v>16501.422200000001</v>
      </c>
      <c r="R32" s="8">
        <f t="shared" si="10"/>
        <v>9038.9956000000002</v>
      </c>
      <c r="S32" s="8">
        <f t="shared" si="11"/>
        <v>-24.577799999999115</v>
      </c>
      <c r="T32" s="8">
        <f t="shared" si="12"/>
        <v>-20.004399999999805</v>
      </c>
    </row>
    <row r="33" spans="2:20" x14ac:dyDescent="0.55000000000000004">
      <c r="B33" s="9">
        <f t="shared" si="13"/>
        <v>1912</v>
      </c>
      <c r="C33" s="7">
        <v>529577</v>
      </c>
      <c r="D33" s="4">
        <v>30.8</v>
      </c>
      <c r="E33" s="4">
        <v>16.8</v>
      </c>
      <c r="F33" s="2">
        <v>14</v>
      </c>
      <c r="H33" s="6">
        <f t="shared" si="7"/>
        <v>0</v>
      </c>
      <c r="J33" s="7">
        <v>16473</v>
      </c>
      <c r="K33" s="7">
        <v>8967</v>
      </c>
      <c r="L33" s="7">
        <v>7506</v>
      </c>
      <c r="N33" s="8">
        <f t="shared" ref="N33:N36" si="14">J33-K33-L33</f>
        <v>0</v>
      </c>
      <c r="P33" s="8">
        <f t="shared" si="8"/>
        <v>533975.5</v>
      </c>
      <c r="Q33" s="8">
        <f t="shared" si="9"/>
        <v>16446.445400000001</v>
      </c>
      <c r="R33" s="8">
        <f t="shared" si="10"/>
        <v>8970.7884000000013</v>
      </c>
      <c r="S33" s="8">
        <f t="shared" si="11"/>
        <v>-26.554599999999482</v>
      </c>
      <c r="T33" s="8">
        <f t="shared" si="12"/>
        <v>3.7884000000012747</v>
      </c>
    </row>
    <row r="34" spans="2:20" x14ac:dyDescent="0.55000000000000004">
      <c r="B34" s="9">
        <f t="shared" si="13"/>
        <v>1913</v>
      </c>
      <c r="C34" s="7">
        <v>538374</v>
      </c>
      <c r="D34" s="4">
        <v>28.7</v>
      </c>
      <c r="E34" s="4">
        <v>16.2</v>
      </c>
      <c r="F34" s="2">
        <v>12.5</v>
      </c>
      <c r="H34" s="6">
        <f t="shared" si="7"/>
        <v>0</v>
      </c>
      <c r="J34" s="7">
        <v>15567</v>
      </c>
      <c r="K34" s="7">
        <v>8771</v>
      </c>
      <c r="L34" s="7">
        <v>6796</v>
      </c>
      <c r="N34" s="8">
        <f t="shared" si="14"/>
        <v>0</v>
      </c>
      <c r="P34" s="8">
        <f t="shared" si="8"/>
        <v>542463.5</v>
      </c>
      <c r="Q34" s="8">
        <f t="shared" si="9"/>
        <v>15568.702449999999</v>
      </c>
      <c r="R34" s="8">
        <f t="shared" si="10"/>
        <v>8787.9087</v>
      </c>
      <c r="S34" s="8">
        <f t="shared" si="11"/>
        <v>1.702449999998862</v>
      </c>
      <c r="T34" s="8">
        <f t="shared" si="12"/>
        <v>16.908699999999953</v>
      </c>
    </row>
    <row r="35" spans="2:20" x14ac:dyDescent="0.55000000000000004">
      <c r="B35" s="9">
        <f t="shared" si="13"/>
        <v>1914</v>
      </c>
      <c r="C35" s="7">
        <v>546553</v>
      </c>
      <c r="D35" s="4">
        <v>28.7</v>
      </c>
      <c r="E35" s="4">
        <v>15.8</v>
      </c>
      <c r="F35" s="2">
        <v>12.9</v>
      </c>
      <c r="H35" s="6">
        <f t="shared" si="7"/>
        <v>0</v>
      </c>
      <c r="J35" s="7">
        <v>15799</v>
      </c>
      <c r="K35" s="7">
        <v>8699</v>
      </c>
      <c r="L35" s="7">
        <v>7100</v>
      </c>
      <c r="N35" s="8">
        <f t="shared" si="14"/>
        <v>0</v>
      </c>
      <c r="P35" s="8">
        <f t="shared" si="8"/>
        <v>550884</v>
      </c>
      <c r="Q35" s="8">
        <f t="shared" si="9"/>
        <v>15810.370799999999</v>
      </c>
      <c r="R35" s="8">
        <f t="shared" si="10"/>
        <v>8703.967200000001</v>
      </c>
      <c r="S35" s="8">
        <f t="shared" si="11"/>
        <v>11.370799999998781</v>
      </c>
      <c r="T35" s="8">
        <f t="shared" si="12"/>
        <v>4.9672000000009575</v>
      </c>
    </row>
    <row r="36" spans="2:20" x14ac:dyDescent="0.55000000000000004">
      <c r="B36" s="9">
        <f t="shared" si="13"/>
        <v>1915</v>
      </c>
      <c r="C36" s="7">
        <v>555215</v>
      </c>
      <c r="D36" s="4">
        <v>26.7</v>
      </c>
      <c r="E36" s="4">
        <v>16</v>
      </c>
      <c r="F36" s="2">
        <v>10.7</v>
      </c>
      <c r="H36" s="6">
        <f t="shared" si="7"/>
        <v>0</v>
      </c>
      <c r="J36" s="7">
        <v>14932</v>
      </c>
      <c r="K36" s="7">
        <v>8964</v>
      </c>
      <c r="L36" s="7">
        <v>5968</v>
      </c>
      <c r="N36" s="8">
        <f t="shared" si="14"/>
        <v>0</v>
      </c>
      <c r="P36" s="8">
        <f t="shared" si="8"/>
        <v>558756.5</v>
      </c>
      <c r="Q36" s="8">
        <f t="shared" si="9"/>
        <v>14918.79855</v>
      </c>
      <c r="R36" s="8">
        <f t="shared" si="10"/>
        <v>8940.1039999999994</v>
      </c>
      <c r="S36" s="8">
        <f t="shared" si="11"/>
        <v>-13.201450000000477</v>
      </c>
      <c r="T36" s="8">
        <f t="shared" si="12"/>
        <v>-23.89600000000064</v>
      </c>
    </row>
    <row r="37" spans="2:20" x14ac:dyDescent="0.55000000000000004">
      <c r="B37" s="9">
        <f t="shared" si="13"/>
        <v>1916</v>
      </c>
      <c r="C37" s="7">
        <v>562298</v>
      </c>
      <c r="D37" s="4">
        <v>25.2</v>
      </c>
      <c r="E37" s="4">
        <v>17.7</v>
      </c>
      <c r="F37" s="2">
        <v>7.5</v>
      </c>
      <c r="H37" s="6">
        <f t="shared" si="7"/>
        <v>0</v>
      </c>
      <c r="J37" s="7">
        <v>14242</v>
      </c>
      <c r="K37" s="7">
        <v>10007</v>
      </c>
      <c r="L37" s="7">
        <v>4235</v>
      </c>
      <c r="N37" s="8">
        <f>J37-K37-L37</f>
        <v>0</v>
      </c>
      <c r="P37" s="8">
        <f t="shared" si="8"/>
        <v>564742.5</v>
      </c>
      <c r="Q37" s="8">
        <f t="shared" si="9"/>
        <v>14231.511</v>
      </c>
      <c r="R37" s="8">
        <f t="shared" si="10"/>
        <v>9995.9422500000001</v>
      </c>
      <c r="S37" s="8">
        <f t="shared" si="11"/>
        <v>-10.488999999999578</v>
      </c>
      <c r="T37" s="8">
        <f t="shared" si="12"/>
        <v>-11.057749999999942</v>
      </c>
    </row>
    <row r="38" spans="2:20" x14ac:dyDescent="0.55000000000000004">
      <c r="B38" s="9">
        <v>1917</v>
      </c>
      <c r="C38" s="7">
        <v>567187</v>
      </c>
      <c r="Q38" s="2"/>
      <c r="R38" s="4"/>
      <c r="T38" s="7"/>
    </row>
    <row r="39" spans="2:20" x14ac:dyDescent="0.55000000000000004">
      <c r="Q39" s="2"/>
      <c r="R39" s="4"/>
      <c r="T39" s="7"/>
    </row>
    <row r="40" spans="2:20" x14ac:dyDescent="0.55000000000000004">
      <c r="Q40" s="2"/>
      <c r="R40" s="4"/>
      <c r="T40" s="7"/>
    </row>
    <row r="41" spans="2:20" x14ac:dyDescent="0.55000000000000004">
      <c r="Q41" s="2"/>
      <c r="R41" s="4"/>
      <c r="T41" s="7"/>
    </row>
    <row r="42" spans="2:20" x14ac:dyDescent="0.55000000000000004">
      <c r="Q42" s="2"/>
      <c r="R42" s="4"/>
      <c r="T42" s="7"/>
    </row>
    <row r="43" spans="2:20" x14ac:dyDescent="0.55000000000000004">
      <c r="Q43" s="2"/>
      <c r="R43" s="4"/>
      <c r="T43" s="7"/>
    </row>
    <row r="44" spans="2:20" x14ac:dyDescent="0.55000000000000004">
      <c r="Q44" s="2"/>
      <c r="R44" s="4"/>
      <c r="T44" s="7"/>
    </row>
    <row r="45" spans="2:20" x14ac:dyDescent="0.55000000000000004">
      <c r="Q45" s="2"/>
      <c r="R45" s="4"/>
      <c r="T45" s="7"/>
    </row>
    <row r="46" spans="2:20" x14ac:dyDescent="0.55000000000000004">
      <c r="Q46" s="2"/>
      <c r="R46" s="4"/>
      <c r="T46" s="7"/>
    </row>
    <row r="47" spans="2:20" x14ac:dyDescent="0.55000000000000004">
      <c r="Q47" s="2"/>
      <c r="R47" s="4"/>
      <c r="T47" s="7"/>
    </row>
    <row r="48" spans="2:20" x14ac:dyDescent="0.55000000000000004">
      <c r="Q48" s="2"/>
      <c r="R48" s="4"/>
      <c r="T48" s="7"/>
    </row>
    <row r="49" spans="17:20" x14ac:dyDescent="0.55000000000000004">
      <c r="Q49" s="2"/>
      <c r="R49" s="4"/>
      <c r="T49" s="7"/>
    </row>
    <row r="50" spans="17:20" x14ac:dyDescent="0.55000000000000004">
      <c r="Q50" s="2"/>
      <c r="R50" s="4"/>
      <c r="T50" s="7"/>
    </row>
    <row r="51" spans="17:20" x14ac:dyDescent="0.55000000000000004">
      <c r="Q51" s="2"/>
      <c r="R51" s="4"/>
      <c r="T51" s="7"/>
    </row>
    <row r="52" spans="17:20" x14ac:dyDescent="0.55000000000000004">
      <c r="Q52" s="2"/>
      <c r="R52" s="4"/>
      <c r="T52" s="7"/>
    </row>
    <row r="53" spans="17:20" x14ac:dyDescent="0.55000000000000004">
      <c r="Q53" s="2"/>
      <c r="R53" s="4"/>
      <c r="T53" s="7"/>
    </row>
    <row r="54" spans="17:20" x14ac:dyDescent="0.55000000000000004">
      <c r="Q54" s="2"/>
      <c r="R54" s="4"/>
      <c r="T54" s="7"/>
    </row>
    <row r="55" spans="17:20" x14ac:dyDescent="0.55000000000000004">
      <c r="Q55" s="2"/>
      <c r="R55" s="4"/>
      <c r="T55" s="7"/>
    </row>
    <row r="56" spans="17:20" x14ac:dyDescent="0.55000000000000004">
      <c r="Q56" s="2"/>
      <c r="R56" s="4"/>
      <c r="T56" s="7"/>
    </row>
    <row r="57" spans="17:20" x14ac:dyDescent="0.55000000000000004">
      <c r="Q57" s="2"/>
      <c r="R57" s="4"/>
      <c r="T57" s="7"/>
    </row>
    <row r="58" spans="17:20" x14ac:dyDescent="0.55000000000000004">
      <c r="Q58" s="2"/>
      <c r="R58" s="4"/>
      <c r="T58" s="7"/>
    </row>
    <row r="59" spans="17:20" x14ac:dyDescent="0.55000000000000004">
      <c r="Q59" s="2"/>
      <c r="R59" s="4"/>
      <c r="T59" s="7"/>
    </row>
    <row r="60" spans="17:20" x14ac:dyDescent="0.55000000000000004">
      <c r="R60" s="4"/>
      <c r="T60" s="7"/>
    </row>
    <row r="61" spans="17:20" x14ac:dyDescent="0.55000000000000004">
      <c r="R61" s="4"/>
      <c r="T61" s="7"/>
    </row>
    <row r="62" spans="17:20" x14ac:dyDescent="0.55000000000000004">
      <c r="R62" s="4"/>
      <c r="T62" s="7"/>
    </row>
    <row r="63" spans="17:20" x14ac:dyDescent="0.55000000000000004">
      <c r="T63" s="7"/>
    </row>
    <row r="64" spans="17:20" x14ac:dyDescent="0.55000000000000004">
      <c r="T64" s="7"/>
    </row>
    <row r="65" spans="20:20" x14ac:dyDescent="0.55000000000000004">
      <c r="T65" s="7"/>
    </row>
    <row r="66" spans="20:20" x14ac:dyDescent="0.55000000000000004">
      <c r="T66" s="7"/>
    </row>
    <row r="67" spans="20:20" x14ac:dyDescent="0.55000000000000004">
      <c r="T67" s="7"/>
    </row>
    <row r="68" spans="20:20" x14ac:dyDescent="0.55000000000000004">
      <c r="T68" s="7"/>
    </row>
    <row r="69" spans="20:20" x14ac:dyDescent="0.55000000000000004">
      <c r="T69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2024-10-09T01:10:32Z</dcterms:created>
  <dcterms:modified xsi:type="dcterms:W3CDTF">2026-07-29T02:30:33Z</dcterms:modified>
</cp:coreProperties>
</file>