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D9A3A1B1-EF36-4F62-A70C-2CE680F455FD}" xr6:coauthVersionLast="47" xr6:coauthVersionMax="47" xr10:uidLastSave="{00000000-0000-0000-0000-000000000000}"/>
  <bookViews>
    <workbookView xWindow="-120" yWindow="-120" windowWidth="38640" windowHeight="23520" xr2:uid="{BB18BFB1-C03A-41FE-BE1A-93D139757D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9" i="1" l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B7" i="1"/>
  <c r="C6" i="1" s="1"/>
  <c r="G6" i="1" s="1"/>
  <c r="F8" i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7" i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D7" i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H6" i="1" l="1"/>
  <c r="B8" i="1"/>
  <c r="C7" i="1" l="1"/>
  <c r="B9" i="1"/>
  <c r="B10" i="1" l="1"/>
  <c r="C9" i="1"/>
  <c r="C8" i="1"/>
  <c r="B11" i="1" l="1"/>
  <c r="C10" i="1" s="1"/>
  <c r="B12" i="1" l="1"/>
  <c r="B13" i="1" l="1"/>
  <c r="C12" i="1"/>
  <c r="C11" i="1"/>
  <c r="B14" i="1" l="1"/>
  <c r="C13" i="1"/>
  <c r="B15" i="1" l="1"/>
  <c r="C14" i="1"/>
  <c r="B16" i="1" l="1"/>
  <c r="B17" i="1" l="1"/>
  <c r="C16" i="1"/>
  <c r="C15" i="1"/>
  <c r="B18" i="1" l="1"/>
  <c r="B19" i="1" l="1"/>
  <c r="C18" i="1"/>
  <c r="C17" i="1"/>
  <c r="B20" i="1" l="1"/>
  <c r="C19" i="1"/>
  <c r="B21" i="1" l="1"/>
  <c r="C20" i="1" s="1"/>
  <c r="B22" i="1" l="1"/>
  <c r="C21" i="1"/>
  <c r="B23" i="1" l="1"/>
  <c r="C22" i="1"/>
  <c r="B24" i="1" l="1"/>
  <c r="C23" i="1"/>
  <c r="B25" i="1" l="1"/>
  <c r="C24" i="1"/>
  <c r="B26" i="1" l="1"/>
  <c r="C25" i="1" s="1"/>
  <c r="B27" i="1" l="1"/>
  <c r="C26" i="1"/>
  <c r="B28" i="1" l="1"/>
  <c r="C27" i="1"/>
  <c r="B29" i="1" l="1"/>
  <c r="C28" i="1"/>
  <c r="B30" i="1" l="1"/>
  <c r="C29" i="1"/>
  <c r="B31" i="1" l="1"/>
  <c r="C30" i="1"/>
  <c r="B32" i="1" l="1"/>
  <c r="C31" i="1"/>
  <c r="B33" i="1" l="1"/>
  <c r="C32" i="1" s="1"/>
  <c r="B34" i="1" l="1"/>
  <c r="C33" i="1"/>
  <c r="B35" i="1" l="1"/>
  <c r="C34" i="1"/>
  <c r="B36" i="1" l="1"/>
  <c r="C35" i="1" s="1"/>
  <c r="B37" i="1" l="1"/>
  <c r="C36" i="1"/>
  <c r="B38" i="1" l="1"/>
  <c r="B39" i="1" l="1"/>
  <c r="C38" i="1" s="1"/>
  <c r="C37" i="1"/>
  <c r="B40" i="1" l="1"/>
  <c r="C39" i="1" s="1"/>
</calcChain>
</file>

<file path=xl/sharedStrings.xml><?xml version="1.0" encoding="utf-8"?>
<sst xmlns="http://schemas.openxmlformats.org/spreadsheetml/2006/main" count="11" uniqueCount="11">
  <si>
    <t>XXX</t>
  </si>
  <si>
    <t>Территория включена в учёт естественного движения</t>
  </si>
  <si>
    <t>год</t>
  </si>
  <si>
    <t>начало года</t>
  </si>
  <si>
    <t>среднегодовое</t>
  </si>
  <si>
    <t>чр</t>
  </si>
  <si>
    <t>чс</t>
  </si>
  <si>
    <t xml:space="preserve">р </t>
  </si>
  <si>
    <t>с</t>
  </si>
  <si>
    <t>мигр</t>
  </si>
  <si>
    <t>население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</si>
</sst>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рождаемость и смертность</a:t>
            </a:r>
            <a:r>
              <a:rPr lang="en-US"/>
              <a:t> (</a:t>
            </a:r>
            <a:r>
              <a:rPr lang="ru-RU"/>
              <a:t>на</a:t>
            </a:r>
            <a:r>
              <a:rPr lang="ru-RU" baseline="0"/>
              <a:t> 1</a:t>
            </a:r>
            <a:r>
              <a:rPr lang="en-US" baseline="0"/>
              <a:t>,000 </a:t>
            </a:r>
            <a:r>
              <a:rPr lang="ru-RU" baseline="0"/>
              <a:t>среднегодового населения)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data!$G$5</c:f>
              <c:strCache>
                <c:ptCount val="1"/>
                <c:pt idx="0">
                  <c:v>р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data!$G$6:$G$40</c:f>
              <c:numCache>
                <c:formatCode>0.0</c:formatCode>
                <c:ptCount val="35"/>
                <c:pt idx="0">
                  <c:v>49.503725155317937</c:v>
                </c:pt>
                <c:pt idx="1">
                  <c:v>48.636999068033553</c:v>
                </c:pt>
                <c:pt idx="2">
                  <c:v>47.802922453565941</c:v>
                </c:pt>
                <c:pt idx="3">
                  <c:v>46.99968230831044</c:v>
                </c:pt>
                <c:pt idx="4">
                  <c:v>46.225597424573856</c:v>
                </c:pt>
                <c:pt idx="5">
                  <c:v>45.479106628242072</c:v>
                </c:pt>
                <c:pt idx="6">
                  <c:v>44.758758254054605</c:v>
                </c:pt>
                <c:pt idx="7">
                  <c:v>44.063200709182873</c:v>
                </c:pt>
                <c:pt idx="8">
                  <c:v>43.391173996045254</c:v>
                </c:pt>
                <c:pt idx="9">
                  <c:v>42.741502082493618</c:v>
                </c:pt>
                <c:pt idx="10">
                  <c:v>42.113086022171302</c:v>
                </c:pt>
                <c:pt idx="11">
                  <c:v>41.504897740379143</c:v>
                </c:pt>
                <c:pt idx="12">
                  <c:v>40.915974411533192</c:v>
                </c:pt>
                <c:pt idx="13">
                  <c:v>40.34541336353341</c:v>
                </c:pt>
                <c:pt idx="14">
                  <c:v>39.792367452320775</c:v>
                </c:pt>
                <c:pt idx="15">
                  <c:v>39.256040856772614</c:v>
                </c:pt>
                <c:pt idx="16">
                  <c:v>38.735685250036596</c:v>
                </c:pt>
                <c:pt idx="17">
                  <c:v>38.230596308566021</c:v>
                </c:pt>
                <c:pt idx="18">
                  <c:v>37.740110524609392</c:v>
                </c:pt>
                <c:pt idx="19">
                  <c:v>37.26360229181924</c:v>
                </c:pt>
                <c:pt idx="20">
                  <c:v>36.800481237062328</c:v>
                </c:pt>
                <c:pt idx="21">
                  <c:v>36.350189774503235</c:v>
                </c:pt>
                <c:pt idx="22">
                  <c:v>35.912200860654472</c:v>
                </c:pt>
                <c:pt idx="23">
                  <c:v>35.486015931389176</c:v>
                </c:pt>
                <c:pt idx="24">
                  <c:v>35.071163003938807</c:v>
                </c:pt>
                <c:pt idx="25">
                  <c:v>34.66719492868463</c:v>
                </c:pt>
                <c:pt idx="26">
                  <c:v>34.273687777129808</c:v>
                </c:pt>
                <c:pt idx="27">
                  <c:v>33.89023935383468</c:v>
                </c:pt>
                <c:pt idx="28">
                  <c:v>33.516467821334373</c:v>
                </c:pt>
                <c:pt idx="29">
                  <c:v>33.152010428156018</c:v>
                </c:pt>
                <c:pt idx="30">
                  <c:v>32.796522331028299</c:v>
                </c:pt>
                <c:pt idx="31">
                  <c:v>32.449675503244968</c:v>
                </c:pt>
                <c:pt idx="32">
                  <c:v>32.11115772191858</c:v>
                </c:pt>
                <c:pt idx="33">
                  <c:v>31.780671627551992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F7-4D15-83B1-A0950252F51B}"/>
            </c:ext>
          </c:extLst>
        </c:ser>
        <c:ser>
          <c:idx val="1"/>
          <c:order val="1"/>
          <c:tx>
            <c:strRef>
              <c:f>data!$H$5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data!$H$6:$H$40</c:f>
              <c:numCache>
                <c:formatCode>0.0</c:formatCode>
                <c:ptCount val="35"/>
                <c:pt idx="0">
                  <c:v>29.702235093190762</c:v>
                </c:pt>
                <c:pt idx="1">
                  <c:v>29.22103137620379</c:v>
                </c:pt>
                <c:pt idx="2">
                  <c:v>28.757933428240861</c:v>
                </c:pt>
                <c:pt idx="3">
                  <c:v>28.311935863654202</c:v>
                </c:pt>
                <c:pt idx="4">
                  <c:v>27.882106383076298</c:v>
                </c:pt>
                <c:pt idx="5">
                  <c:v>27.467579250720462</c:v>
                </c:pt>
                <c:pt idx="6">
                  <c:v>27.067549457985589</c:v>
                </c:pt>
                <c:pt idx="7">
                  <c:v>26.681267490570303</c:v>
                </c:pt>
                <c:pt idx="8">
                  <c:v>26.308034627523501</c:v>
                </c:pt>
                <c:pt idx="9">
                  <c:v>25.947198710197501</c:v>
                </c:pt>
                <c:pt idx="10">
                  <c:v>25.598150327202166</c:v>
                </c:pt>
                <c:pt idx="11">
                  <c:v>25.260319368410791</c:v>
                </c:pt>
                <c:pt idx="12">
                  <c:v>24.933171907028036</c:v>
                </c:pt>
                <c:pt idx="13">
                  <c:v>24.616207373851765</c:v>
                </c:pt>
                <c:pt idx="14">
                  <c:v>24.308955992273777</c:v>
                </c:pt>
                <c:pt idx="15">
                  <c:v>24.010976446375484</c:v>
                </c:pt>
                <c:pt idx="16">
                  <c:v>23.721853757774351</c:v>
                </c:pt>
                <c:pt idx="17">
                  <c:v>23.441197349739706</c:v>
                </c:pt>
                <c:pt idx="18">
                  <c:v>23.168639279586461</c:v>
                </c:pt>
                <c:pt idx="19">
                  <c:v>22.903832622524735</c:v>
                </c:pt>
                <c:pt idx="20">
                  <c:v>22.646449992038356</c:v>
                </c:pt>
                <c:pt idx="21">
                  <c:v>22.396182183523106</c:v>
                </c:pt>
                <c:pt idx="22">
                  <c:v>22.15273692936923</c:v>
                </c:pt>
                <c:pt idx="23">
                  <c:v>21.91583775494972</c:v>
                </c:pt>
                <c:pt idx="24">
                  <c:v>21.685222926099573</c:v>
                </c:pt>
                <c:pt idx="25">
                  <c:v>21.460644479661912</c:v>
                </c:pt>
                <c:pt idx="26">
                  <c:v>21.241867329551933</c:v>
                </c:pt>
                <c:pt idx="27">
                  <c:v>21.028668441563454</c:v>
                </c:pt>
                <c:pt idx="28">
                  <c:v>20.820836070828928</c:v>
                </c:pt>
                <c:pt idx="29">
                  <c:v>20.61816905645242</c:v>
                </c:pt>
                <c:pt idx="30">
                  <c:v>20.420476168376108</c:v>
                </c:pt>
                <c:pt idx="31">
                  <c:v>20.227575502022759</c:v>
                </c:pt>
                <c:pt idx="32">
                  <c:v>20.039293916686031</c:v>
                </c:pt>
                <c:pt idx="33">
                  <c:v>19.855466514024041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F7-4D15-83B1-A0950252F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634816"/>
        <c:axId val="449392528"/>
      </c:scatterChart>
      <c:valAx>
        <c:axId val="51963481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392528"/>
        <c:crosses val="autoZero"/>
        <c:crossBetween val="midCat"/>
      </c:valAx>
      <c:valAx>
        <c:axId val="4493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1963481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число рождений</a:t>
            </a:r>
            <a:r>
              <a:rPr lang="ru-RU" baseline="0"/>
              <a:t> и смертей</a:t>
            </a:r>
            <a:endParaRPr lang="en-US"/>
          </a:p>
        </c:rich>
      </c:tx>
      <c:layout>
        <c:manualLayout>
          <c:xMode val="edge"/>
          <c:yMode val="edge"/>
          <c:x val="0.45905114027213723"/>
          <c:y val="9.307735351035375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data!$D$5</c:f>
              <c:strCache>
                <c:ptCount val="1"/>
                <c:pt idx="0">
                  <c:v>чр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50000</c:v>
                </c:pt>
                <c:pt idx="1">
                  <c:v>50100</c:v>
                </c:pt>
                <c:pt idx="2">
                  <c:v>50200</c:v>
                </c:pt>
                <c:pt idx="3">
                  <c:v>50300</c:v>
                </c:pt>
                <c:pt idx="4">
                  <c:v>50400</c:v>
                </c:pt>
                <c:pt idx="5">
                  <c:v>50500</c:v>
                </c:pt>
                <c:pt idx="6">
                  <c:v>50600</c:v>
                </c:pt>
                <c:pt idx="7">
                  <c:v>50700</c:v>
                </c:pt>
                <c:pt idx="8">
                  <c:v>50800</c:v>
                </c:pt>
                <c:pt idx="9">
                  <c:v>50900</c:v>
                </c:pt>
                <c:pt idx="10">
                  <c:v>51000</c:v>
                </c:pt>
                <c:pt idx="11">
                  <c:v>51100</c:v>
                </c:pt>
                <c:pt idx="12">
                  <c:v>51200</c:v>
                </c:pt>
                <c:pt idx="13">
                  <c:v>51300</c:v>
                </c:pt>
                <c:pt idx="14">
                  <c:v>51400</c:v>
                </c:pt>
                <c:pt idx="15">
                  <c:v>51500</c:v>
                </c:pt>
                <c:pt idx="16">
                  <c:v>51600</c:v>
                </c:pt>
                <c:pt idx="17">
                  <c:v>51700</c:v>
                </c:pt>
                <c:pt idx="18">
                  <c:v>51800</c:v>
                </c:pt>
                <c:pt idx="19">
                  <c:v>51900</c:v>
                </c:pt>
                <c:pt idx="20">
                  <c:v>52000</c:v>
                </c:pt>
                <c:pt idx="21">
                  <c:v>52100</c:v>
                </c:pt>
                <c:pt idx="22">
                  <c:v>52200</c:v>
                </c:pt>
                <c:pt idx="23">
                  <c:v>52300</c:v>
                </c:pt>
                <c:pt idx="24">
                  <c:v>52400</c:v>
                </c:pt>
                <c:pt idx="25">
                  <c:v>52500</c:v>
                </c:pt>
                <c:pt idx="26">
                  <c:v>52600</c:v>
                </c:pt>
                <c:pt idx="27">
                  <c:v>52700</c:v>
                </c:pt>
                <c:pt idx="28">
                  <c:v>52800</c:v>
                </c:pt>
                <c:pt idx="29">
                  <c:v>52900</c:v>
                </c:pt>
                <c:pt idx="30">
                  <c:v>53000</c:v>
                </c:pt>
                <c:pt idx="31">
                  <c:v>53100</c:v>
                </c:pt>
                <c:pt idx="32">
                  <c:v>53200</c:v>
                </c:pt>
                <c:pt idx="33">
                  <c:v>53300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96-464D-8A26-6C14AD7373CE}"/>
            </c:ext>
          </c:extLst>
        </c:ser>
        <c:ser>
          <c:idx val="1"/>
          <c:order val="1"/>
          <c:tx>
            <c:strRef>
              <c:f>data!$E$5</c:f>
              <c:strCache>
                <c:ptCount val="1"/>
                <c:pt idx="0">
                  <c:v>чс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30000</c:v>
                </c:pt>
                <c:pt idx="1">
                  <c:v>30100</c:v>
                </c:pt>
                <c:pt idx="2">
                  <c:v>30200</c:v>
                </c:pt>
                <c:pt idx="3">
                  <c:v>30300</c:v>
                </c:pt>
                <c:pt idx="4">
                  <c:v>30400</c:v>
                </c:pt>
                <c:pt idx="5">
                  <c:v>30500</c:v>
                </c:pt>
                <c:pt idx="6">
                  <c:v>30600</c:v>
                </c:pt>
                <c:pt idx="7">
                  <c:v>30700</c:v>
                </c:pt>
                <c:pt idx="8">
                  <c:v>30800</c:v>
                </c:pt>
                <c:pt idx="9">
                  <c:v>30900</c:v>
                </c:pt>
                <c:pt idx="10">
                  <c:v>31000</c:v>
                </c:pt>
                <c:pt idx="11">
                  <c:v>31100</c:v>
                </c:pt>
                <c:pt idx="12">
                  <c:v>31200</c:v>
                </c:pt>
                <c:pt idx="13">
                  <c:v>31300</c:v>
                </c:pt>
                <c:pt idx="14">
                  <c:v>31400</c:v>
                </c:pt>
                <c:pt idx="15">
                  <c:v>31500</c:v>
                </c:pt>
                <c:pt idx="16">
                  <c:v>31600</c:v>
                </c:pt>
                <c:pt idx="17">
                  <c:v>31700</c:v>
                </c:pt>
                <c:pt idx="18">
                  <c:v>31800</c:v>
                </c:pt>
                <c:pt idx="19">
                  <c:v>31900</c:v>
                </c:pt>
                <c:pt idx="20">
                  <c:v>32000</c:v>
                </c:pt>
                <c:pt idx="21">
                  <c:v>32100</c:v>
                </c:pt>
                <c:pt idx="22">
                  <c:v>32200</c:v>
                </c:pt>
                <c:pt idx="23">
                  <c:v>32300</c:v>
                </c:pt>
                <c:pt idx="24">
                  <c:v>32400</c:v>
                </c:pt>
                <c:pt idx="25">
                  <c:v>32500</c:v>
                </c:pt>
                <c:pt idx="26">
                  <c:v>32600</c:v>
                </c:pt>
                <c:pt idx="27">
                  <c:v>32700</c:v>
                </c:pt>
                <c:pt idx="28">
                  <c:v>32800</c:v>
                </c:pt>
                <c:pt idx="29">
                  <c:v>32900</c:v>
                </c:pt>
                <c:pt idx="30">
                  <c:v>33000</c:v>
                </c:pt>
                <c:pt idx="31">
                  <c:v>33100</c:v>
                </c:pt>
                <c:pt idx="32">
                  <c:v>33200</c:v>
                </c:pt>
                <c:pt idx="33">
                  <c:v>33300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96-464D-8A26-6C14AD737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994464"/>
        <c:axId val="449600368"/>
      </c:scatterChart>
      <c:valAx>
        <c:axId val="51799446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600368"/>
        <c:crosses val="autoZero"/>
        <c:crossBetween val="midCat"/>
      </c:valAx>
      <c:valAx>
        <c:axId val="449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1799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население</a:t>
            </a:r>
            <a:r>
              <a:rPr lang="ru-RU" baseline="0"/>
              <a:t> на </a:t>
            </a:r>
            <a:r>
              <a:rPr lang="ru-RU"/>
              <a:t>начало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начало года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1000000</c:v>
                </c:pt>
                <c:pt idx="1">
                  <c:v>1020050</c:v>
                </c:pt>
                <c:pt idx="2">
                  <c:v>1040110</c:v>
                </c:pt>
                <c:pt idx="3">
                  <c:v>1060180</c:v>
                </c:pt>
                <c:pt idx="4">
                  <c:v>1080260</c:v>
                </c:pt>
                <c:pt idx="5">
                  <c:v>1100350</c:v>
                </c:pt>
                <c:pt idx="6">
                  <c:v>1120450</c:v>
                </c:pt>
                <c:pt idx="7">
                  <c:v>1140560</c:v>
                </c:pt>
                <c:pt idx="8">
                  <c:v>1160680</c:v>
                </c:pt>
                <c:pt idx="9">
                  <c:v>1180810</c:v>
                </c:pt>
                <c:pt idx="10">
                  <c:v>1200950</c:v>
                </c:pt>
                <c:pt idx="11">
                  <c:v>1221100</c:v>
                </c:pt>
                <c:pt idx="12">
                  <c:v>1241260</c:v>
                </c:pt>
                <c:pt idx="13">
                  <c:v>1261430</c:v>
                </c:pt>
                <c:pt idx="14">
                  <c:v>1281610</c:v>
                </c:pt>
                <c:pt idx="15">
                  <c:v>1301800</c:v>
                </c:pt>
                <c:pt idx="16">
                  <c:v>1322000</c:v>
                </c:pt>
                <c:pt idx="17">
                  <c:v>1342210</c:v>
                </c:pt>
                <c:pt idx="18">
                  <c:v>1362430</c:v>
                </c:pt>
                <c:pt idx="19">
                  <c:v>1382660</c:v>
                </c:pt>
                <c:pt idx="20">
                  <c:v>1402900</c:v>
                </c:pt>
                <c:pt idx="21">
                  <c:v>1423150</c:v>
                </c:pt>
                <c:pt idx="22">
                  <c:v>1443410</c:v>
                </c:pt>
                <c:pt idx="23">
                  <c:v>1463680</c:v>
                </c:pt>
                <c:pt idx="24">
                  <c:v>1483960</c:v>
                </c:pt>
                <c:pt idx="25">
                  <c:v>1504250</c:v>
                </c:pt>
                <c:pt idx="26">
                  <c:v>1524550</c:v>
                </c:pt>
                <c:pt idx="27">
                  <c:v>1544860</c:v>
                </c:pt>
                <c:pt idx="28">
                  <c:v>1565180</c:v>
                </c:pt>
                <c:pt idx="29">
                  <c:v>1585510</c:v>
                </c:pt>
                <c:pt idx="30">
                  <c:v>1605850</c:v>
                </c:pt>
                <c:pt idx="31">
                  <c:v>1626200</c:v>
                </c:pt>
                <c:pt idx="32">
                  <c:v>1646560</c:v>
                </c:pt>
                <c:pt idx="33">
                  <c:v>1666930</c:v>
                </c:pt>
                <c:pt idx="34">
                  <c:v>1687310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66-4375-8930-D071BD6C3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105984"/>
        <c:axId val="449398288"/>
      </c:scatterChart>
      <c:valAx>
        <c:axId val="662105984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49398288"/>
        <c:crosses val="autoZero"/>
        <c:crossBetween val="midCat"/>
      </c:valAx>
      <c:valAx>
        <c:axId val="449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66210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0</xdr:row>
      <xdr:rowOff>280986</xdr:rowOff>
    </xdr:from>
    <xdr:to>
      <xdr:col>29</xdr:col>
      <xdr:colOff>600075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1C917-F823-E9E3-5B31-72A2823A5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4762</xdr:colOff>
      <xdr:row>45</xdr:row>
      <xdr:rowOff>14286</xdr:rowOff>
    </xdr:from>
    <xdr:to>
      <xdr:col>30</xdr:col>
      <xdr:colOff>19050</xdr:colOff>
      <xdr:row>91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00A0E-0D0C-9338-59F1-EE8EEED9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</xdr:colOff>
      <xdr:row>92</xdr:row>
      <xdr:rowOff>4761</xdr:rowOff>
    </xdr:from>
    <xdr:to>
      <xdr:col>29</xdr:col>
      <xdr:colOff>590550</xdr:colOff>
      <xdr:row>137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512FC-B941-1D22-EACF-4A5DD08DD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1D7-C433-4B50-AA6E-BF1C75F28F7F}">
  <dimension ref="A1:H40"/>
  <sheetViews>
    <sheetView tabSelected="1" topLeftCell="A73" workbookViewId="0">
      <selection activeCell="AJ96" sqref="AJ96"/>
    </sheetView>
  </sheetViews>
  <sheetFormatPr defaultRowHeight="15" x14ac:dyDescent="0.25"/>
  <cols>
    <col min="1" max="1" width="9.140625" customWidth="1"/>
    <col min="2" max="2" width="13.140625" customWidth="1"/>
    <col min="3" max="3" width="15.5703125" customWidth="1"/>
  </cols>
  <sheetData>
    <row r="1" spans="1:8" ht="23.25" x14ac:dyDescent="0.35">
      <c r="A1" s="8" t="s">
        <v>0</v>
      </c>
      <c r="B1" s="7"/>
      <c r="C1" s="7"/>
      <c r="D1" s="7"/>
      <c r="E1" s="7"/>
      <c r="F1" s="7"/>
      <c r="G1" s="7"/>
      <c r="H1" s="7"/>
    </row>
    <row r="2" spans="1:8" ht="15.75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15.75" x14ac:dyDescent="0.25">
      <c r="A3" s="1"/>
      <c r="B3" s="1"/>
      <c r="C3" s="1"/>
      <c r="D3" s="1"/>
      <c r="E3" s="1"/>
      <c r="F3" s="1"/>
      <c r="G3" s="1"/>
      <c r="H3" s="1"/>
    </row>
    <row r="4" spans="1:8" ht="15.75" x14ac:dyDescent="0.25">
      <c r="A4" s="9" t="s">
        <v>2</v>
      </c>
      <c r="B4" s="10" t="s">
        <v>10</v>
      </c>
      <c r="C4" s="10"/>
      <c r="D4" s="2"/>
      <c r="E4" s="2"/>
      <c r="F4" s="2"/>
      <c r="G4" s="2"/>
      <c r="H4" s="2"/>
    </row>
    <row r="5" spans="1:8" ht="15.75" x14ac:dyDescent="0.25">
      <c r="A5" s="2"/>
      <c r="B5" s="2" t="s">
        <v>3</v>
      </c>
      <c r="C5" s="2" t="s">
        <v>4</v>
      </c>
      <c r="D5" s="9" t="s">
        <v>5</v>
      </c>
      <c r="E5" s="9" t="s">
        <v>6</v>
      </c>
      <c r="F5" s="9" t="s">
        <v>9</v>
      </c>
      <c r="G5" s="9" t="s">
        <v>7</v>
      </c>
      <c r="H5" s="9" t="s">
        <v>8</v>
      </c>
    </row>
    <row r="6" spans="1:8" ht="15.75" x14ac:dyDescent="0.25">
      <c r="A6" s="3">
        <v>1881</v>
      </c>
      <c r="B6" s="5">
        <v>1000000</v>
      </c>
      <c r="C6" s="5">
        <f>(B6+B7) /2</f>
        <v>1010025</v>
      </c>
      <c r="D6" s="5">
        <v>50000</v>
      </c>
      <c r="E6" s="5">
        <v>30000</v>
      </c>
      <c r="F6" s="5">
        <v>50</v>
      </c>
      <c r="G6" s="6">
        <f>D6/C6*1000</f>
        <v>49.503725155317937</v>
      </c>
      <c r="H6" s="6">
        <f>E6/C6*1000</f>
        <v>29.702235093190762</v>
      </c>
    </row>
    <row r="7" spans="1:8" ht="15.75" x14ac:dyDescent="0.25">
      <c r="A7" s="3">
        <f>A6+1</f>
        <v>1882</v>
      </c>
      <c r="B7" s="5">
        <f>B6+D6-E6+F6</f>
        <v>1020050</v>
      </c>
      <c r="C7" s="5">
        <f t="shared" ref="C7:C39" si="0">(B7+B8) /2</f>
        <v>1030080</v>
      </c>
      <c r="D7" s="5">
        <f>D6+100</f>
        <v>50100</v>
      </c>
      <c r="E7" s="5">
        <f>E6+100</f>
        <v>30100</v>
      </c>
      <c r="F7" s="5">
        <f>F6+10</f>
        <v>60</v>
      </c>
      <c r="G7" s="6">
        <f t="shared" ref="G7:G39" si="1">D7/C7*1000</f>
        <v>48.636999068033553</v>
      </c>
      <c r="H7" s="6">
        <f t="shared" ref="H7:H39" si="2">E7/C7*1000</f>
        <v>29.22103137620379</v>
      </c>
    </row>
    <row r="8" spans="1:8" ht="15.75" x14ac:dyDescent="0.25">
      <c r="A8" s="3">
        <f t="shared" ref="A8:A38" si="3">A7+1</f>
        <v>1883</v>
      </c>
      <c r="B8" s="5">
        <f t="shared" ref="B8:B40" si="4">B7+D7-E7+F7</f>
        <v>1040110</v>
      </c>
      <c r="C8" s="5">
        <f t="shared" si="0"/>
        <v>1050145</v>
      </c>
      <c r="D8" s="5">
        <f t="shared" ref="D8:D39" si="5">D7+100</f>
        <v>50200</v>
      </c>
      <c r="E8" s="5">
        <f t="shared" ref="E8:E39" si="6">E7+100</f>
        <v>30200</v>
      </c>
      <c r="F8" s="5">
        <f t="shared" ref="F8:F39" si="7">F7+10</f>
        <v>70</v>
      </c>
      <c r="G8" s="6">
        <f t="shared" si="1"/>
        <v>47.802922453565941</v>
      </c>
      <c r="H8" s="6">
        <f t="shared" si="2"/>
        <v>28.757933428240861</v>
      </c>
    </row>
    <row r="9" spans="1:8" ht="15.75" x14ac:dyDescent="0.25">
      <c r="A9" s="3">
        <f t="shared" si="3"/>
        <v>1884</v>
      </c>
      <c r="B9" s="5">
        <f t="shared" si="4"/>
        <v>1060180</v>
      </c>
      <c r="C9" s="5">
        <f t="shared" si="0"/>
        <v>1070220</v>
      </c>
      <c r="D9" s="5">
        <f t="shared" si="5"/>
        <v>50300</v>
      </c>
      <c r="E9" s="5">
        <f t="shared" si="6"/>
        <v>30300</v>
      </c>
      <c r="F9" s="5">
        <f t="shared" si="7"/>
        <v>80</v>
      </c>
      <c r="G9" s="6">
        <f t="shared" si="1"/>
        <v>46.99968230831044</v>
      </c>
      <c r="H9" s="6">
        <f t="shared" si="2"/>
        <v>28.311935863654202</v>
      </c>
    </row>
    <row r="10" spans="1:8" ht="15.75" x14ac:dyDescent="0.25">
      <c r="A10" s="3">
        <f t="shared" si="3"/>
        <v>1885</v>
      </c>
      <c r="B10" s="5">
        <f t="shared" si="4"/>
        <v>1080260</v>
      </c>
      <c r="C10" s="5">
        <f t="shared" si="0"/>
        <v>1090305</v>
      </c>
      <c r="D10" s="5">
        <f t="shared" si="5"/>
        <v>50400</v>
      </c>
      <c r="E10" s="5">
        <f t="shared" si="6"/>
        <v>30400</v>
      </c>
      <c r="F10" s="5">
        <f t="shared" si="7"/>
        <v>90</v>
      </c>
      <c r="G10" s="6">
        <f t="shared" si="1"/>
        <v>46.225597424573856</v>
      </c>
      <c r="H10" s="6">
        <f t="shared" si="2"/>
        <v>27.882106383076298</v>
      </c>
    </row>
    <row r="11" spans="1:8" ht="15.75" x14ac:dyDescent="0.25">
      <c r="A11" s="3">
        <f t="shared" si="3"/>
        <v>1886</v>
      </c>
      <c r="B11" s="5">
        <f t="shared" si="4"/>
        <v>1100350</v>
      </c>
      <c r="C11" s="5">
        <f t="shared" si="0"/>
        <v>1110400</v>
      </c>
      <c r="D11" s="5">
        <f t="shared" si="5"/>
        <v>50500</v>
      </c>
      <c r="E11" s="5">
        <f t="shared" si="6"/>
        <v>30500</v>
      </c>
      <c r="F11" s="5">
        <f t="shared" si="7"/>
        <v>100</v>
      </c>
      <c r="G11" s="6">
        <f t="shared" si="1"/>
        <v>45.479106628242072</v>
      </c>
      <c r="H11" s="6">
        <f t="shared" si="2"/>
        <v>27.467579250720462</v>
      </c>
    </row>
    <row r="12" spans="1:8" ht="15.75" x14ac:dyDescent="0.25">
      <c r="A12" s="3">
        <f t="shared" si="3"/>
        <v>1887</v>
      </c>
      <c r="B12" s="5">
        <f t="shared" si="4"/>
        <v>1120450</v>
      </c>
      <c r="C12" s="5">
        <f t="shared" si="0"/>
        <v>1130505</v>
      </c>
      <c r="D12" s="5">
        <f t="shared" si="5"/>
        <v>50600</v>
      </c>
      <c r="E12" s="5">
        <f t="shared" si="6"/>
        <v>30600</v>
      </c>
      <c r="F12" s="5">
        <f t="shared" si="7"/>
        <v>110</v>
      </c>
      <c r="G12" s="6">
        <f t="shared" si="1"/>
        <v>44.758758254054605</v>
      </c>
      <c r="H12" s="6">
        <f t="shared" si="2"/>
        <v>27.067549457985589</v>
      </c>
    </row>
    <row r="13" spans="1:8" ht="15.75" x14ac:dyDescent="0.25">
      <c r="A13" s="3">
        <f t="shared" si="3"/>
        <v>1888</v>
      </c>
      <c r="B13" s="5">
        <f t="shared" si="4"/>
        <v>1140560</v>
      </c>
      <c r="C13" s="5">
        <f t="shared" si="0"/>
        <v>1150620</v>
      </c>
      <c r="D13" s="5">
        <f t="shared" si="5"/>
        <v>50700</v>
      </c>
      <c r="E13" s="5">
        <f t="shared" si="6"/>
        <v>30700</v>
      </c>
      <c r="F13" s="5">
        <f t="shared" si="7"/>
        <v>120</v>
      </c>
      <c r="G13" s="6">
        <f t="shared" si="1"/>
        <v>44.063200709182873</v>
      </c>
      <c r="H13" s="6">
        <f t="shared" si="2"/>
        <v>26.681267490570303</v>
      </c>
    </row>
    <row r="14" spans="1:8" ht="15.75" x14ac:dyDescent="0.25">
      <c r="A14" s="3">
        <f t="shared" si="3"/>
        <v>1889</v>
      </c>
      <c r="B14" s="5">
        <f t="shared" si="4"/>
        <v>1160680</v>
      </c>
      <c r="C14" s="5">
        <f t="shared" si="0"/>
        <v>1170745</v>
      </c>
      <c r="D14" s="5">
        <f t="shared" si="5"/>
        <v>50800</v>
      </c>
      <c r="E14" s="5">
        <f t="shared" si="6"/>
        <v>30800</v>
      </c>
      <c r="F14" s="5">
        <f t="shared" si="7"/>
        <v>130</v>
      </c>
      <c r="G14" s="6">
        <f t="shared" si="1"/>
        <v>43.391173996045254</v>
      </c>
      <c r="H14" s="6">
        <f t="shared" si="2"/>
        <v>26.308034627523501</v>
      </c>
    </row>
    <row r="15" spans="1:8" ht="15.75" x14ac:dyDescent="0.25">
      <c r="A15" s="3">
        <f t="shared" si="3"/>
        <v>1890</v>
      </c>
      <c r="B15" s="5">
        <f t="shared" si="4"/>
        <v>1180810</v>
      </c>
      <c r="C15" s="5">
        <f t="shared" si="0"/>
        <v>1190880</v>
      </c>
      <c r="D15" s="5">
        <f t="shared" si="5"/>
        <v>50900</v>
      </c>
      <c r="E15" s="5">
        <f t="shared" si="6"/>
        <v>30900</v>
      </c>
      <c r="F15" s="5">
        <f t="shared" si="7"/>
        <v>140</v>
      </c>
      <c r="G15" s="6">
        <f t="shared" si="1"/>
        <v>42.741502082493618</v>
      </c>
      <c r="H15" s="6">
        <f t="shared" si="2"/>
        <v>25.947198710197501</v>
      </c>
    </row>
    <row r="16" spans="1:8" ht="15.75" x14ac:dyDescent="0.25">
      <c r="A16" s="3">
        <f t="shared" si="3"/>
        <v>1891</v>
      </c>
      <c r="B16" s="5">
        <f t="shared" si="4"/>
        <v>1200950</v>
      </c>
      <c r="C16" s="5">
        <f t="shared" si="0"/>
        <v>1211025</v>
      </c>
      <c r="D16" s="5">
        <f t="shared" si="5"/>
        <v>51000</v>
      </c>
      <c r="E16" s="5">
        <f t="shared" si="6"/>
        <v>31000</v>
      </c>
      <c r="F16" s="5">
        <f t="shared" si="7"/>
        <v>150</v>
      </c>
      <c r="G16" s="6">
        <f t="shared" si="1"/>
        <v>42.113086022171302</v>
      </c>
      <c r="H16" s="6">
        <f t="shared" si="2"/>
        <v>25.598150327202166</v>
      </c>
    </row>
    <row r="17" spans="1:8" ht="15.75" x14ac:dyDescent="0.25">
      <c r="A17" s="3">
        <f t="shared" si="3"/>
        <v>1892</v>
      </c>
      <c r="B17" s="5">
        <f t="shared" si="4"/>
        <v>1221100</v>
      </c>
      <c r="C17" s="5">
        <f t="shared" si="0"/>
        <v>1231180</v>
      </c>
      <c r="D17" s="5">
        <f t="shared" si="5"/>
        <v>51100</v>
      </c>
      <c r="E17" s="5">
        <f t="shared" si="6"/>
        <v>31100</v>
      </c>
      <c r="F17" s="5">
        <f t="shared" si="7"/>
        <v>160</v>
      </c>
      <c r="G17" s="6">
        <f t="shared" si="1"/>
        <v>41.504897740379143</v>
      </c>
      <c r="H17" s="6">
        <f t="shared" si="2"/>
        <v>25.260319368410791</v>
      </c>
    </row>
    <row r="18" spans="1:8" ht="15.75" x14ac:dyDescent="0.25">
      <c r="A18" s="3">
        <f t="shared" si="3"/>
        <v>1893</v>
      </c>
      <c r="B18" s="5">
        <f t="shared" si="4"/>
        <v>1241260</v>
      </c>
      <c r="C18" s="5">
        <f t="shared" si="0"/>
        <v>1251345</v>
      </c>
      <c r="D18" s="5">
        <f t="shared" si="5"/>
        <v>51200</v>
      </c>
      <c r="E18" s="5">
        <f t="shared" si="6"/>
        <v>31200</v>
      </c>
      <c r="F18" s="5">
        <f t="shared" si="7"/>
        <v>170</v>
      </c>
      <c r="G18" s="6">
        <f t="shared" si="1"/>
        <v>40.915974411533192</v>
      </c>
      <c r="H18" s="6">
        <f t="shared" si="2"/>
        <v>24.933171907028036</v>
      </c>
    </row>
    <row r="19" spans="1:8" ht="15.75" x14ac:dyDescent="0.25">
      <c r="A19" s="3">
        <f t="shared" si="3"/>
        <v>1894</v>
      </c>
      <c r="B19" s="5">
        <f t="shared" si="4"/>
        <v>1261430</v>
      </c>
      <c r="C19" s="5">
        <f t="shared" si="0"/>
        <v>1271520</v>
      </c>
      <c r="D19" s="5">
        <f t="shared" si="5"/>
        <v>51300</v>
      </c>
      <c r="E19" s="5">
        <f t="shared" si="6"/>
        <v>31300</v>
      </c>
      <c r="F19" s="5">
        <f t="shared" si="7"/>
        <v>180</v>
      </c>
      <c r="G19" s="6">
        <f t="shared" si="1"/>
        <v>40.34541336353341</v>
      </c>
      <c r="H19" s="6">
        <f t="shared" si="2"/>
        <v>24.616207373851765</v>
      </c>
    </row>
    <row r="20" spans="1:8" ht="15.75" x14ac:dyDescent="0.25">
      <c r="A20" s="3">
        <f t="shared" si="3"/>
        <v>1895</v>
      </c>
      <c r="B20" s="5">
        <f t="shared" si="4"/>
        <v>1281610</v>
      </c>
      <c r="C20" s="5">
        <f t="shared" si="0"/>
        <v>1291705</v>
      </c>
      <c r="D20" s="5">
        <f t="shared" si="5"/>
        <v>51400</v>
      </c>
      <c r="E20" s="5">
        <f t="shared" si="6"/>
        <v>31400</v>
      </c>
      <c r="F20" s="5">
        <f t="shared" si="7"/>
        <v>190</v>
      </c>
      <c r="G20" s="6">
        <f t="shared" si="1"/>
        <v>39.792367452320775</v>
      </c>
      <c r="H20" s="6">
        <f t="shared" si="2"/>
        <v>24.308955992273777</v>
      </c>
    </row>
    <row r="21" spans="1:8" ht="15.75" x14ac:dyDescent="0.25">
      <c r="A21" s="3">
        <f t="shared" si="3"/>
        <v>1896</v>
      </c>
      <c r="B21" s="5">
        <f t="shared" si="4"/>
        <v>1301800</v>
      </c>
      <c r="C21" s="5">
        <f t="shared" si="0"/>
        <v>1311900</v>
      </c>
      <c r="D21" s="5">
        <f t="shared" si="5"/>
        <v>51500</v>
      </c>
      <c r="E21" s="5">
        <f t="shared" si="6"/>
        <v>31500</v>
      </c>
      <c r="F21" s="5">
        <f t="shared" si="7"/>
        <v>200</v>
      </c>
      <c r="G21" s="6">
        <f t="shared" si="1"/>
        <v>39.256040856772614</v>
      </c>
      <c r="H21" s="6">
        <f t="shared" si="2"/>
        <v>24.010976446375484</v>
      </c>
    </row>
    <row r="22" spans="1:8" ht="15.75" x14ac:dyDescent="0.25">
      <c r="A22" s="3">
        <f t="shared" si="3"/>
        <v>1897</v>
      </c>
      <c r="B22" s="5">
        <f t="shared" si="4"/>
        <v>1322000</v>
      </c>
      <c r="C22" s="5">
        <f t="shared" si="0"/>
        <v>1332105</v>
      </c>
      <c r="D22" s="5">
        <f t="shared" si="5"/>
        <v>51600</v>
      </c>
      <c r="E22" s="5">
        <f t="shared" si="6"/>
        <v>31600</v>
      </c>
      <c r="F22" s="5">
        <f t="shared" si="7"/>
        <v>210</v>
      </c>
      <c r="G22" s="6">
        <f t="shared" si="1"/>
        <v>38.735685250036596</v>
      </c>
      <c r="H22" s="6">
        <f t="shared" si="2"/>
        <v>23.721853757774351</v>
      </c>
    </row>
    <row r="23" spans="1:8" ht="15.75" x14ac:dyDescent="0.25">
      <c r="A23" s="3">
        <f t="shared" si="3"/>
        <v>1898</v>
      </c>
      <c r="B23" s="5">
        <f t="shared" si="4"/>
        <v>1342210</v>
      </c>
      <c r="C23" s="5">
        <f t="shared" si="0"/>
        <v>1352320</v>
      </c>
      <c r="D23" s="5">
        <f t="shared" si="5"/>
        <v>51700</v>
      </c>
      <c r="E23" s="5">
        <f t="shared" si="6"/>
        <v>31700</v>
      </c>
      <c r="F23" s="5">
        <f t="shared" si="7"/>
        <v>220</v>
      </c>
      <c r="G23" s="6">
        <f t="shared" si="1"/>
        <v>38.230596308566021</v>
      </c>
      <c r="H23" s="6">
        <f t="shared" si="2"/>
        <v>23.441197349739706</v>
      </c>
    </row>
    <row r="24" spans="1:8" ht="15.75" x14ac:dyDescent="0.25">
      <c r="A24" s="3">
        <f t="shared" si="3"/>
        <v>1899</v>
      </c>
      <c r="B24" s="5">
        <f t="shared" si="4"/>
        <v>1362430</v>
      </c>
      <c r="C24" s="5">
        <f t="shared" si="0"/>
        <v>1372545</v>
      </c>
      <c r="D24" s="5">
        <f t="shared" si="5"/>
        <v>51800</v>
      </c>
      <c r="E24" s="5">
        <f t="shared" si="6"/>
        <v>31800</v>
      </c>
      <c r="F24" s="5">
        <f t="shared" si="7"/>
        <v>230</v>
      </c>
      <c r="G24" s="6">
        <f t="shared" si="1"/>
        <v>37.740110524609392</v>
      </c>
      <c r="H24" s="6">
        <f t="shared" si="2"/>
        <v>23.168639279586461</v>
      </c>
    </row>
    <row r="25" spans="1:8" ht="15.75" x14ac:dyDescent="0.25">
      <c r="A25" s="3">
        <f t="shared" si="3"/>
        <v>1900</v>
      </c>
      <c r="B25" s="5">
        <f t="shared" si="4"/>
        <v>1382660</v>
      </c>
      <c r="C25" s="5">
        <f t="shared" si="0"/>
        <v>1392780</v>
      </c>
      <c r="D25" s="5">
        <f t="shared" si="5"/>
        <v>51900</v>
      </c>
      <c r="E25" s="5">
        <f t="shared" si="6"/>
        <v>31900</v>
      </c>
      <c r="F25" s="5">
        <f t="shared" si="7"/>
        <v>240</v>
      </c>
      <c r="G25" s="6">
        <f t="shared" si="1"/>
        <v>37.26360229181924</v>
      </c>
      <c r="H25" s="6">
        <f t="shared" si="2"/>
        <v>22.903832622524735</v>
      </c>
    </row>
    <row r="26" spans="1:8" ht="15.75" x14ac:dyDescent="0.25">
      <c r="A26" s="3">
        <f t="shared" si="3"/>
        <v>1901</v>
      </c>
      <c r="B26" s="5">
        <f t="shared" si="4"/>
        <v>1402900</v>
      </c>
      <c r="C26" s="5">
        <f t="shared" si="0"/>
        <v>1413025</v>
      </c>
      <c r="D26" s="5">
        <f t="shared" si="5"/>
        <v>52000</v>
      </c>
      <c r="E26" s="5">
        <f t="shared" si="6"/>
        <v>32000</v>
      </c>
      <c r="F26" s="5">
        <f t="shared" si="7"/>
        <v>250</v>
      </c>
      <c r="G26" s="6">
        <f t="shared" si="1"/>
        <v>36.800481237062328</v>
      </c>
      <c r="H26" s="6">
        <f t="shared" si="2"/>
        <v>22.646449992038356</v>
      </c>
    </row>
    <row r="27" spans="1:8" ht="15.75" x14ac:dyDescent="0.25">
      <c r="A27" s="3">
        <f t="shared" si="3"/>
        <v>1902</v>
      </c>
      <c r="B27" s="5">
        <f t="shared" si="4"/>
        <v>1423150</v>
      </c>
      <c r="C27" s="5">
        <f t="shared" si="0"/>
        <v>1433280</v>
      </c>
      <c r="D27" s="5">
        <f t="shared" si="5"/>
        <v>52100</v>
      </c>
      <c r="E27" s="5">
        <f t="shared" si="6"/>
        <v>32100</v>
      </c>
      <c r="F27" s="5">
        <f t="shared" si="7"/>
        <v>260</v>
      </c>
      <c r="G27" s="6">
        <f t="shared" si="1"/>
        <v>36.350189774503235</v>
      </c>
      <c r="H27" s="6">
        <f t="shared" si="2"/>
        <v>22.396182183523106</v>
      </c>
    </row>
    <row r="28" spans="1:8" ht="15.75" x14ac:dyDescent="0.25">
      <c r="A28" s="3">
        <f t="shared" si="3"/>
        <v>1903</v>
      </c>
      <c r="B28" s="5">
        <f t="shared" si="4"/>
        <v>1443410</v>
      </c>
      <c r="C28" s="5">
        <f t="shared" si="0"/>
        <v>1453545</v>
      </c>
      <c r="D28" s="5">
        <f t="shared" si="5"/>
        <v>52200</v>
      </c>
      <c r="E28" s="5">
        <f t="shared" si="6"/>
        <v>32200</v>
      </c>
      <c r="F28" s="5">
        <f t="shared" si="7"/>
        <v>270</v>
      </c>
      <c r="G28" s="6">
        <f t="shared" si="1"/>
        <v>35.912200860654472</v>
      </c>
      <c r="H28" s="6">
        <f t="shared" si="2"/>
        <v>22.15273692936923</v>
      </c>
    </row>
    <row r="29" spans="1:8" ht="15.75" x14ac:dyDescent="0.25">
      <c r="A29" s="3">
        <f t="shared" si="3"/>
        <v>1904</v>
      </c>
      <c r="B29" s="5">
        <f t="shared" si="4"/>
        <v>1463680</v>
      </c>
      <c r="C29" s="5">
        <f t="shared" si="0"/>
        <v>1473820</v>
      </c>
      <c r="D29" s="5">
        <f t="shared" si="5"/>
        <v>52300</v>
      </c>
      <c r="E29" s="5">
        <f t="shared" si="6"/>
        <v>32300</v>
      </c>
      <c r="F29" s="5">
        <f t="shared" si="7"/>
        <v>280</v>
      </c>
      <c r="G29" s="6">
        <f t="shared" si="1"/>
        <v>35.486015931389176</v>
      </c>
      <c r="H29" s="6">
        <f t="shared" si="2"/>
        <v>21.91583775494972</v>
      </c>
    </row>
    <row r="30" spans="1:8" ht="15.75" x14ac:dyDescent="0.25">
      <c r="A30" s="3">
        <f t="shared" si="3"/>
        <v>1905</v>
      </c>
      <c r="B30" s="5">
        <f t="shared" si="4"/>
        <v>1483960</v>
      </c>
      <c r="C30" s="5">
        <f t="shared" si="0"/>
        <v>1494105</v>
      </c>
      <c r="D30" s="5">
        <f t="shared" si="5"/>
        <v>52400</v>
      </c>
      <c r="E30" s="5">
        <f t="shared" si="6"/>
        <v>32400</v>
      </c>
      <c r="F30" s="5">
        <f t="shared" si="7"/>
        <v>290</v>
      </c>
      <c r="G30" s="6">
        <f t="shared" si="1"/>
        <v>35.071163003938807</v>
      </c>
      <c r="H30" s="6">
        <f t="shared" si="2"/>
        <v>21.685222926099573</v>
      </c>
    </row>
    <row r="31" spans="1:8" ht="15.75" x14ac:dyDescent="0.25">
      <c r="A31" s="3">
        <f t="shared" si="3"/>
        <v>1906</v>
      </c>
      <c r="B31" s="5">
        <f t="shared" si="4"/>
        <v>1504250</v>
      </c>
      <c r="C31" s="5">
        <f t="shared" si="0"/>
        <v>1514400</v>
      </c>
      <c r="D31" s="5">
        <f t="shared" si="5"/>
        <v>52500</v>
      </c>
      <c r="E31" s="5">
        <f t="shared" si="6"/>
        <v>32500</v>
      </c>
      <c r="F31" s="5">
        <f t="shared" si="7"/>
        <v>300</v>
      </c>
      <c r="G31" s="6">
        <f t="shared" si="1"/>
        <v>34.66719492868463</v>
      </c>
      <c r="H31" s="6">
        <f t="shared" si="2"/>
        <v>21.460644479661912</v>
      </c>
    </row>
    <row r="32" spans="1:8" ht="15.75" x14ac:dyDescent="0.25">
      <c r="A32" s="3">
        <f t="shared" si="3"/>
        <v>1907</v>
      </c>
      <c r="B32" s="5">
        <f t="shared" si="4"/>
        <v>1524550</v>
      </c>
      <c r="C32" s="5">
        <f t="shared" si="0"/>
        <v>1534705</v>
      </c>
      <c r="D32" s="5">
        <f t="shared" si="5"/>
        <v>52600</v>
      </c>
      <c r="E32" s="5">
        <f t="shared" si="6"/>
        <v>32600</v>
      </c>
      <c r="F32" s="5">
        <f t="shared" si="7"/>
        <v>310</v>
      </c>
      <c r="G32" s="6">
        <f t="shared" si="1"/>
        <v>34.273687777129808</v>
      </c>
      <c r="H32" s="6">
        <f t="shared" si="2"/>
        <v>21.241867329551933</v>
      </c>
    </row>
    <row r="33" spans="1:8" ht="15.75" x14ac:dyDescent="0.25">
      <c r="A33" s="3">
        <f t="shared" si="3"/>
        <v>1908</v>
      </c>
      <c r="B33" s="5">
        <f t="shared" si="4"/>
        <v>1544860</v>
      </c>
      <c r="C33" s="5">
        <f t="shared" si="0"/>
        <v>1555020</v>
      </c>
      <c r="D33" s="5">
        <f t="shared" si="5"/>
        <v>52700</v>
      </c>
      <c r="E33" s="5">
        <f t="shared" si="6"/>
        <v>32700</v>
      </c>
      <c r="F33" s="5">
        <f t="shared" si="7"/>
        <v>320</v>
      </c>
      <c r="G33" s="6">
        <f t="shared" si="1"/>
        <v>33.89023935383468</v>
      </c>
      <c r="H33" s="6">
        <f t="shared" si="2"/>
        <v>21.028668441563454</v>
      </c>
    </row>
    <row r="34" spans="1:8" ht="15.75" x14ac:dyDescent="0.25">
      <c r="A34" s="3">
        <f t="shared" si="3"/>
        <v>1909</v>
      </c>
      <c r="B34" s="5">
        <f t="shared" si="4"/>
        <v>1565180</v>
      </c>
      <c r="C34" s="5">
        <f t="shared" si="0"/>
        <v>1575345</v>
      </c>
      <c r="D34" s="5">
        <f t="shared" si="5"/>
        <v>52800</v>
      </c>
      <c r="E34" s="5">
        <f t="shared" si="6"/>
        <v>32800</v>
      </c>
      <c r="F34" s="5">
        <f t="shared" si="7"/>
        <v>330</v>
      </c>
      <c r="G34" s="6">
        <f t="shared" si="1"/>
        <v>33.516467821334373</v>
      </c>
      <c r="H34" s="6">
        <f t="shared" si="2"/>
        <v>20.820836070828928</v>
      </c>
    </row>
    <row r="35" spans="1:8" ht="15.75" x14ac:dyDescent="0.25">
      <c r="A35" s="3">
        <f t="shared" si="3"/>
        <v>1910</v>
      </c>
      <c r="B35" s="5">
        <f t="shared" si="4"/>
        <v>1585510</v>
      </c>
      <c r="C35" s="5">
        <f t="shared" si="0"/>
        <v>1595680</v>
      </c>
      <c r="D35" s="5">
        <f t="shared" si="5"/>
        <v>52900</v>
      </c>
      <c r="E35" s="5">
        <f t="shared" si="6"/>
        <v>32900</v>
      </c>
      <c r="F35" s="5">
        <f t="shared" si="7"/>
        <v>340</v>
      </c>
      <c r="G35" s="6">
        <f t="shared" si="1"/>
        <v>33.152010428156018</v>
      </c>
      <c r="H35" s="6">
        <f t="shared" si="2"/>
        <v>20.61816905645242</v>
      </c>
    </row>
    <row r="36" spans="1:8" ht="15.75" x14ac:dyDescent="0.25">
      <c r="A36" s="3">
        <f t="shared" si="3"/>
        <v>1911</v>
      </c>
      <c r="B36" s="5">
        <f t="shared" si="4"/>
        <v>1605850</v>
      </c>
      <c r="C36" s="5">
        <f t="shared" si="0"/>
        <v>1616025</v>
      </c>
      <c r="D36" s="5">
        <f t="shared" si="5"/>
        <v>53000</v>
      </c>
      <c r="E36" s="5">
        <f t="shared" si="6"/>
        <v>33000</v>
      </c>
      <c r="F36" s="5">
        <f t="shared" si="7"/>
        <v>350</v>
      </c>
      <c r="G36" s="6">
        <f t="shared" si="1"/>
        <v>32.796522331028299</v>
      </c>
      <c r="H36" s="6">
        <f t="shared" si="2"/>
        <v>20.420476168376108</v>
      </c>
    </row>
    <row r="37" spans="1:8" ht="15.75" x14ac:dyDescent="0.25">
      <c r="A37" s="3">
        <f t="shared" si="3"/>
        <v>1912</v>
      </c>
      <c r="B37" s="5">
        <f t="shared" si="4"/>
        <v>1626200</v>
      </c>
      <c r="C37" s="5">
        <f t="shared" si="0"/>
        <v>1636380</v>
      </c>
      <c r="D37" s="5">
        <f t="shared" si="5"/>
        <v>53100</v>
      </c>
      <c r="E37" s="5">
        <f t="shared" si="6"/>
        <v>33100</v>
      </c>
      <c r="F37" s="5">
        <f t="shared" si="7"/>
        <v>360</v>
      </c>
      <c r="G37" s="6">
        <f t="shared" si="1"/>
        <v>32.449675503244968</v>
      </c>
      <c r="H37" s="6">
        <f t="shared" si="2"/>
        <v>20.227575502022759</v>
      </c>
    </row>
    <row r="38" spans="1:8" ht="15.75" x14ac:dyDescent="0.25">
      <c r="A38" s="3">
        <f t="shared" si="3"/>
        <v>1913</v>
      </c>
      <c r="B38" s="5">
        <f t="shared" si="4"/>
        <v>1646560</v>
      </c>
      <c r="C38" s="5">
        <f t="shared" si="0"/>
        <v>1656745</v>
      </c>
      <c r="D38" s="5">
        <f t="shared" si="5"/>
        <v>53200</v>
      </c>
      <c r="E38" s="5">
        <f t="shared" si="6"/>
        <v>33200</v>
      </c>
      <c r="F38" s="5">
        <f t="shared" si="7"/>
        <v>370</v>
      </c>
      <c r="G38" s="6">
        <f t="shared" si="1"/>
        <v>32.11115772191858</v>
      </c>
      <c r="H38" s="6">
        <f t="shared" si="2"/>
        <v>20.039293916686031</v>
      </c>
    </row>
    <row r="39" spans="1:8" ht="15.75" x14ac:dyDescent="0.25">
      <c r="A39" s="3">
        <f>A38+1</f>
        <v>1914</v>
      </c>
      <c r="B39" s="5">
        <f t="shared" si="4"/>
        <v>1666930</v>
      </c>
      <c r="C39" s="5">
        <f t="shared" si="0"/>
        <v>1677120</v>
      </c>
      <c r="D39" s="5">
        <f t="shared" si="5"/>
        <v>53300</v>
      </c>
      <c r="E39" s="5">
        <f t="shared" si="6"/>
        <v>33300</v>
      </c>
      <c r="F39" s="5">
        <f t="shared" si="7"/>
        <v>380</v>
      </c>
      <c r="G39" s="6">
        <f t="shared" si="1"/>
        <v>31.780671627551992</v>
      </c>
      <c r="H39" s="6">
        <f t="shared" si="2"/>
        <v>19.855466514024041</v>
      </c>
    </row>
    <row r="40" spans="1:8" ht="15.75" x14ac:dyDescent="0.25">
      <c r="A40" s="3">
        <f>A39+1</f>
        <v>1915</v>
      </c>
      <c r="B40" s="5">
        <f t="shared" si="4"/>
        <v>1687310</v>
      </c>
      <c r="C40" s="5"/>
      <c r="D40" s="5"/>
      <c r="E40" s="5"/>
      <c r="F40" s="5"/>
      <c r="G40" s="4"/>
      <c r="H40" s="4"/>
    </row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2026-09-09T16:46:57Z</dcterms:created>
  <dcterms:modified xsi:type="dcterms:W3CDTF">2026-09-09T17:07:50Z</dcterms:modified>
</cp:coreProperties>
</file>