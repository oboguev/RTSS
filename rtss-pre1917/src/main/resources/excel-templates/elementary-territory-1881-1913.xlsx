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E158FE9F-5919-4AF1-8FC4-23CE167A98D7}" xr6:coauthVersionLast="47" xr6:coauthVersionMax="47" xr10:uidLastSave="{00000000-0000-0000-0000-000000000000}"/>
  <bookViews>
    <workbookView xWindow="57480" yWindow="-120" windowWidth="51840" windowHeight="21120" xr2:uid="{BB18BFB1-C03A-41FE-BE1A-93D139757D6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1" i="1" l="1"/>
  <c r="H41" i="1"/>
  <c r="G41" i="1"/>
  <c r="O41" i="1"/>
  <c r="O43" i="1" s="1"/>
  <c r="N41" i="1"/>
  <c r="N43" i="1" s="1"/>
  <c r="L41" i="1"/>
  <c r="K41" i="1"/>
  <c r="K43" i="1" s="1"/>
  <c r="J41" i="1"/>
  <c r="F41" i="1"/>
  <c r="E41" i="1"/>
  <c r="D41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O42" i="1"/>
  <c r="N42" i="1"/>
  <c r="O38" i="1"/>
  <c r="N38" i="1"/>
  <c r="N37" i="1"/>
  <c r="O37" i="1" s="1"/>
  <c r="O36" i="1"/>
  <c r="N36" i="1"/>
  <c r="N35" i="1"/>
  <c r="O35" i="1" s="1"/>
  <c r="N34" i="1"/>
  <c r="O34" i="1" s="1"/>
  <c r="N33" i="1"/>
  <c r="O33" i="1" s="1"/>
  <c r="N32" i="1"/>
  <c r="O32" i="1" s="1"/>
  <c r="N31" i="1"/>
  <c r="O31" i="1" s="1"/>
  <c r="O30" i="1"/>
  <c r="N30" i="1"/>
  <c r="N29" i="1"/>
  <c r="O29" i="1" s="1"/>
  <c r="O28" i="1"/>
  <c r="N28" i="1"/>
  <c r="N27" i="1"/>
  <c r="O27" i="1" s="1"/>
  <c r="N26" i="1"/>
  <c r="O26" i="1" s="1"/>
  <c r="N25" i="1"/>
  <c r="O25" i="1" s="1"/>
  <c r="N24" i="1"/>
  <c r="O24" i="1" s="1"/>
  <c r="N23" i="1"/>
  <c r="O23" i="1" s="1"/>
  <c r="O22" i="1"/>
  <c r="N22" i="1"/>
  <c r="N21" i="1"/>
  <c r="O21" i="1" s="1"/>
  <c r="O20" i="1"/>
  <c r="N20" i="1"/>
  <c r="N19" i="1"/>
  <c r="O19" i="1" s="1"/>
  <c r="N18" i="1"/>
  <c r="O18" i="1" s="1"/>
  <c r="N17" i="1"/>
  <c r="O17" i="1" s="1"/>
  <c r="N16" i="1"/>
  <c r="O16" i="1" s="1"/>
  <c r="N15" i="1"/>
  <c r="O15" i="1" s="1"/>
  <c r="O14" i="1"/>
  <c r="N14" i="1"/>
  <c r="N13" i="1"/>
  <c r="O13" i="1" s="1"/>
  <c r="O12" i="1"/>
  <c r="N12" i="1"/>
  <c r="N11" i="1"/>
  <c r="O11" i="1" s="1"/>
  <c r="N10" i="1"/>
  <c r="O10" i="1" s="1"/>
  <c r="N9" i="1"/>
  <c r="O9" i="1" s="1"/>
  <c r="N8" i="1"/>
  <c r="O8" i="1" s="1"/>
  <c r="N7" i="1"/>
  <c r="O7" i="1" s="1"/>
  <c r="O6" i="1"/>
  <c r="N6" i="1"/>
  <c r="L42" i="1"/>
  <c r="L43" i="1"/>
  <c r="K42" i="1"/>
  <c r="J42" i="1"/>
  <c r="J43" i="1"/>
  <c r="I43" i="1"/>
  <c r="I42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D42" i="1"/>
  <c r="B7" i="1"/>
  <c r="C6" i="1" s="1"/>
  <c r="G6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F22" i="1" l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D43" i="1"/>
  <c r="E43" i="1"/>
  <c r="E42" i="1"/>
  <c r="H6" i="1"/>
  <c r="B8" i="1"/>
  <c r="F42" i="1" l="1"/>
  <c r="F43" i="1" s="1"/>
  <c r="C7" i="1"/>
  <c r="B9" i="1"/>
  <c r="H7" i="1" l="1"/>
  <c r="G7" i="1"/>
  <c r="B10" i="1"/>
  <c r="C9" i="1"/>
  <c r="C8" i="1"/>
  <c r="G8" i="1" l="1"/>
  <c r="H8" i="1"/>
  <c r="G9" i="1"/>
  <c r="H9" i="1"/>
  <c r="B11" i="1"/>
  <c r="C10" i="1" s="1"/>
  <c r="H10" i="1" l="1"/>
  <c r="G10" i="1"/>
  <c r="B12" i="1"/>
  <c r="B13" i="1" l="1"/>
  <c r="C12" i="1"/>
  <c r="C11" i="1"/>
  <c r="H11" i="1" l="1"/>
  <c r="G11" i="1"/>
  <c r="H12" i="1"/>
  <c r="G12" i="1"/>
  <c r="B14" i="1"/>
  <c r="C13" i="1"/>
  <c r="G13" i="1" l="1"/>
  <c r="H13" i="1"/>
  <c r="B15" i="1"/>
  <c r="C14" i="1"/>
  <c r="H14" i="1" l="1"/>
  <c r="G14" i="1"/>
  <c r="B16" i="1"/>
  <c r="B17" i="1" l="1"/>
  <c r="C16" i="1"/>
  <c r="C15" i="1"/>
  <c r="H15" i="1" l="1"/>
  <c r="G15" i="1"/>
  <c r="G16" i="1"/>
  <c r="H16" i="1"/>
  <c r="B18" i="1"/>
  <c r="B19" i="1" l="1"/>
  <c r="C18" i="1"/>
  <c r="C17" i="1"/>
  <c r="G17" i="1" l="1"/>
  <c r="H17" i="1"/>
  <c r="G18" i="1"/>
  <c r="H18" i="1"/>
  <c r="B20" i="1"/>
  <c r="C19" i="1" s="1"/>
  <c r="H19" i="1" l="1"/>
  <c r="G19" i="1"/>
  <c r="B21" i="1"/>
  <c r="C20" i="1" s="1"/>
  <c r="H20" i="1" l="1"/>
  <c r="G20" i="1"/>
  <c r="B22" i="1"/>
  <c r="C21" i="1" s="1"/>
  <c r="G21" i="1" l="1"/>
  <c r="H21" i="1"/>
  <c r="B23" i="1"/>
  <c r="C22" i="1"/>
  <c r="H22" i="1" l="1"/>
  <c r="G22" i="1"/>
  <c r="B24" i="1"/>
  <c r="C23" i="1" s="1"/>
  <c r="G23" i="1" l="1"/>
  <c r="H23" i="1"/>
  <c r="B25" i="1"/>
  <c r="C24" i="1"/>
  <c r="G24" i="1" l="1"/>
  <c r="H24" i="1"/>
  <c r="B26" i="1"/>
  <c r="C25" i="1" s="1"/>
  <c r="G25" i="1" l="1"/>
  <c r="H25" i="1"/>
  <c r="B27" i="1"/>
  <c r="C26" i="1"/>
  <c r="H26" i="1" l="1"/>
  <c r="G26" i="1"/>
  <c r="B28" i="1"/>
  <c r="C27" i="1"/>
  <c r="H27" i="1" l="1"/>
  <c r="G27" i="1"/>
  <c r="B29" i="1"/>
  <c r="C28" i="1"/>
  <c r="G28" i="1" l="1"/>
  <c r="H28" i="1"/>
  <c r="B30" i="1"/>
  <c r="C29" i="1"/>
  <c r="H29" i="1" l="1"/>
  <c r="G29" i="1"/>
  <c r="B31" i="1"/>
  <c r="C30" i="1"/>
  <c r="H30" i="1" l="1"/>
  <c r="G30" i="1"/>
  <c r="B32" i="1"/>
  <c r="C31" i="1"/>
  <c r="H31" i="1" l="1"/>
  <c r="G31" i="1"/>
  <c r="B33" i="1"/>
  <c r="C32" i="1" s="1"/>
  <c r="H32" i="1" l="1"/>
  <c r="G32" i="1"/>
  <c r="B34" i="1"/>
  <c r="C33" i="1" s="1"/>
  <c r="G33" i="1" l="1"/>
  <c r="H33" i="1"/>
  <c r="B35" i="1"/>
  <c r="C34" i="1"/>
  <c r="G34" i="1" l="1"/>
  <c r="H34" i="1"/>
  <c r="B36" i="1"/>
  <c r="C35" i="1" s="1"/>
  <c r="G35" i="1" l="1"/>
  <c r="H35" i="1"/>
  <c r="B37" i="1"/>
  <c r="C36" i="1"/>
  <c r="G36" i="1" l="1"/>
  <c r="H36" i="1"/>
  <c r="B38" i="1"/>
  <c r="B39" i="1" l="1"/>
  <c r="C38" i="1" s="1"/>
  <c r="C37" i="1"/>
  <c r="G37" i="1" l="1"/>
  <c r="H37" i="1"/>
  <c r="G38" i="1"/>
  <c r="H38" i="1"/>
  <c r="H43" i="1" l="1"/>
  <c r="H42" i="1"/>
  <c r="G43" i="1"/>
  <c r="G42" i="1"/>
</calcChain>
</file>

<file path=xl/sharedStrings.xml><?xml version="1.0" encoding="utf-8"?>
<sst xmlns="http://schemas.openxmlformats.org/spreadsheetml/2006/main" count="22" uniqueCount="22">
  <si>
    <t>XXX</t>
  </si>
  <si>
    <t>Территория включена в учёт естественного движения</t>
  </si>
  <si>
    <t>год</t>
  </si>
  <si>
    <t>начало года</t>
  </si>
  <si>
    <t>среднегодовое</t>
  </si>
  <si>
    <t>чр</t>
  </si>
  <si>
    <t>чс</t>
  </si>
  <si>
    <t xml:space="preserve">р </t>
  </si>
  <si>
    <t>с</t>
  </si>
  <si>
    <t>мигр</t>
  </si>
  <si>
    <t>население</t>
  </si>
  <si>
    <t>1881-1895</t>
  </si>
  <si>
    <t>1896-1913</t>
  </si>
  <si>
    <t>1881-1913</t>
  </si>
  <si>
    <t>еп</t>
  </si>
  <si>
    <t>эмигр</t>
  </si>
  <si>
    <t>иммигр</t>
  </si>
  <si>
    <t>внутр. мигр</t>
  </si>
  <si>
    <t>ест.</t>
  </si>
  <si>
    <t>ест. + мех.</t>
  </si>
  <si>
    <t>прирост населения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</si>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</sst>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 applyAlignment="1">
      <alignment horizontal="center" vertical="center"/>
    </xf>
    <xf numFmtId="0" fontId="2" fillId="4" borderId="0" xfId="0" applyFont="1" applyFill="1"/>
    <xf numFmtId="3" fontId="2" fillId="4" borderId="0" xfId="0" applyNumberFormat="1" applyFont="1" applyFill="1"/>
    <xf numFmtId="164" fontId="2" fillId="4" borderId="0" xfId="0" applyNumberFormat="1" applyFont="1" applyFill="1"/>
    <xf numFmtId="3" fontId="0" fillId="0" borderId="0" xfId="0" applyNumberFormat="1"/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число рождений</a:t>
            </a:r>
            <a:r>
              <a:rPr lang="ru-RU" baseline="0"/>
              <a:t> и смертей</a:t>
            </a:r>
            <a:endParaRPr lang="en-US"/>
          </a:p>
        </c:rich>
      </c:tx>
      <c:layout>
        <c:manualLayout>
          <c:xMode val="edge"/>
          <c:yMode val="edge"/>
          <c:x val="0.45905114027213723"/>
          <c:y val="9.30773535103537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data!$D$5</c:f>
              <c:strCache>
                <c:ptCount val="1"/>
                <c:pt idx="0">
                  <c:v>чр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50000</c:v>
                </c:pt>
                <c:pt idx="1">
                  <c:v>50100</c:v>
                </c:pt>
                <c:pt idx="2">
                  <c:v>50200</c:v>
                </c:pt>
                <c:pt idx="3">
                  <c:v>50300</c:v>
                </c:pt>
                <c:pt idx="4">
                  <c:v>50400</c:v>
                </c:pt>
                <c:pt idx="5">
                  <c:v>50500</c:v>
                </c:pt>
                <c:pt idx="6">
                  <c:v>50600</c:v>
                </c:pt>
                <c:pt idx="7">
                  <c:v>50700</c:v>
                </c:pt>
                <c:pt idx="8">
                  <c:v>50800</c:v>
                </c:pt>
                <c:pt idx="9">
                  <c:v>50900</c:v>
                </c:pt>
                <c:pt idx="10">
                  <c:v>51000</c:v>
                </c:pt>
                <c:pt idx="11">
                  <c:v>51100</c:v>
                </c:pt>
                <c:pt idx="12">
                  <c:v>51200</c:v>
                </c:pt>
                <c:pt idx="13">
                  <c:v>51300</c:v>
                </c:pt>
                <c:pt idx="14">
                  <c:v>51400</c:v>
                </c:pt>
                <c:pt idx="15">
                  <c:v>51500</c:v>
                </c:pt>
                <c:pt idx="16">
                  <c:v>51600</c:v>
                </c:pt>
                <c:pt idx="17">
                  <c:v>51700</c:v>
                </c:pt>
                <c:pt idx="18">
                  <c:v>51800</c:v>
                </c:pt>
                <c:pt idx="19">
                  <c:v>51900</c:v>
                </c:pt>
                <c:pt idx="20">
                  <c:v>52000</c:v>
                </c:pt>
                <c:pt idx="21">
                  <c:v>52100</c:v>
                </c:pt>
                <c:pt idx="22">
                  <c:v>52200</c:v>
                </c:pt>
                <c:pt idx="23">
                  <c:v>52300</c:v>
                </c:pt>
                <c:pt idx="24">
                  <c:v>52400</c:v>
                </c:pt>
                <c:pt idx="25">
                  <c:v>52500</c:v>
                </c:pt>
                <c:pt idx="26">
                  <c:v>52600</c:v>
                </c:pt>
                <c:pt idx="27">
                  <c:v>52700</c:v>
                </c:pt>
                <c:pt idx="28">
                  <c:v>52800</c:v>
                </c:pt>
                <c:pt idx="29">
                  <c:v>52900</c:v>
                </c:pt>
                <c:pt idx="30">
                  <c:v>53000</c:v>
                </c:pt>
                <c:pt idx="31">
                  <c:v>53100</c:v>
                </c:pt>
                <c:pt idx="32">
                  <c:v>53200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96-464D-8A26-6C14AD7373CE}"/>
            </c:ext>
          </c:extLst>
        </c:ser>
        <c:ser>
          <c:idx val="1"/>
          <c:order val="1"/>
          <c:tx>
            <c:strRef>
              <c:f>data!$E$5</c:f>
              <c:strCache>
                <c:ptCount val="1"/>
                <c:pt idx="0">
                  <c:v>чс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30000</c:v>
                </c:pt>
                <c:pt idx="1">
                  <c:v>30100</c:v>
                </c:pt>
                <c:pt idx="2">
                  <c:v>30200</c:v>
                </c:pt>
                <c:pt idx="3">
                  <c:v>30300</c:v>
                </c:pt>
                <c:pt idx="4">
                  <c:v>30400</c:v>
                </c:pt>
                <c:pt idx="5">
                  <c:v>30500</c:v>
                </c:pt>
                <c:pt idx="6">
                  <c:v>30600</c:v>
                </c:pt>
                <c:pt idx="7">
                  <c:v>30700</c:v>
                </c:pt>
                <c:pt idx="8">
                  <c:v>30800</c:v>
                </c:pt>
                <c:pt idx="9">
                  <c:v>30900</c:v>
                </c:pt>
                <c:pt idx="10">
                  <c:v>31000</c:v>
                </c:pt>
                <c:pt idx="11">
                  <c:v>31100</c:v>
                </c:pt>
                <c:pt idx="12">
                  <c:v>31200</c:v>
                </c:pt>
                <c:pt idx="13">
                  <c:v>31300</c:v>
                </c:pt>
                <c:pt idx="14">
                  <c:v>31400</c:v>
                </c:pt>
                <c:pt idx="15">
                  <c:v>31500</c:v>
                </c:pt>
                <c:pt idx="16">
                  <c:v>31600</c:v>
                </c:pt>
                <c:pt idx="17">
                  <c:v>31700</c:v>
                </c:pt>
                <c:pt idx="18">
                  <c:v>31800</c:v>
                </c:pt>
                <c:pt idx="19">
                  <c:v>31900</c:v>
                </c:pt>
                <c:pt idx="20">
                  <c:v>32000</c:v>
                </c:pt>
                <c:pt idx="21">
                  <c:v>32100</c:v>
                </c:pt>
                <c:pt idx="22">
                  <c:v>32200</c:v>
                </c:pt>
                <c:pt idx="23">
                  <c:v>32300</c:v>
                </c:pt>
                <c:pt idx="24">
                  <c:v>32400</c:v>
                </c:pt>
                <c:pt idx="25">
                  <c:v>32500</c:v>
                </c:pt>
                <c:pt idx="26">
                  <c:v>32600</c:v>
                </c:pt>
                <c:pt idx="27">
                  <c:v>32700</c:v>
                </c:pt>
                <c:pt idx="28">
                  <c:v>32800</c:v>
                </c:pt>
                <c:pt idx="29">
                  <c:v>32900</c:v>
                </c:pt>
                <c:pt idx="30">
                  <c:v>33000</c:v>
                </c:pt>
                <c:pt idx="31">
                  <c:v>33100</c:v>
                </c:pt>
                <c:pt idx="32">
                  <c:v>33200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96-464D-8A26-6C14AD737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994464"/>
        <c:axId val="449600368"/>
      </c:scatterChart>
      <c:valAx>
        <c:axId val="517994464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49600368"/>
        <c:crosses val="autoZero"/>
        <c:crossBetween val="midCat"/>
      </c:valAx>
      <c:valAx>
        <c:axId val="44960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51799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население</a:t>
            </a:r>
            <a:r>
              <a:rPr lang="ru-RU" baseline="0"/>
              <a:t> на </a:t>
            </a:r>
            <a:r>
              <a:rPr lang="ru-RU"/>
              <a:t>начало года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начало года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1000000</c:v>
                </c:pt>
                <c:pt idx="1">
                  <c:v>1020050</c:v>
                </c:pt>
                <c:pt idx="2">
                  <c:v>1040110</c:v>
                </c:pt>
                <c:pt idx="3">
                  <c:v>1060180</c:v>
                </c:pt>
                <c:pt idx="4">
                  <c:v>1080260</c:v>
                </c:pt>
                <c:pt idx="5">
                  <c:v>1100350</c:v>
                </c:pt>
                <c:pt idx="6">
                  <c:v>1120450</c:v>
                </c:pt>
                <c:pt idx="7">
                  <c:v>1140560</c:v>
                </c:pt>
                <c:pt idx="8">
                  <c:v>1160680</c:v>
                </c:pt>
                <c:pt idx="9">
                  <c:v>1180810</c:v>
                </c:pt>
                <c:pt idx="10">
                  <c:v>1200950</c:v>
                </c:pt>
                <c:pt idx="11">
                  <c:v>1221100</c:v>
                </c:pt>
                <c:pt idx="12">
                  <c:v>1241260</c:v>
                </c:pt>
                <c:pt idx="13">
                  <c:v>1261430</c:v>
                </c:pt>
                <c:pt idx="14">
                  <c:v>1281610</c:v>
                </c:pt>
                <c:pt idx="15">
                  <c:v>1301800</c:v>
                </c:pt>
                <c:pt idx="16">
                  <c:v>1322000</c:v>
                </c:pt>
                <c:pt idx="17">
                  <c:v>1342210</c:v>
                </c:pt>
                <c:pt idx="18">
                  <c:v>1362430</c:v>
                </c:pt>
                <c:pt idx="19">
                  <c:v>1382660</c:v>
                </c:pt>
                <c:pt idx="20">
                  <c:v>1402900</c:v>
                </c:pt>
                <c:pt idx="21">
                  <c:v>1423150</c:v>
                </c:pt>
                <c:pt idx="22">
                  <c:v>1443410</c:v>
                </c:pt>
                <c:pt idx="23">
                  <c:v>1463680</c:v>
                </c:pt>
                <c:pt idx="24">
                  <c:v>1483960</c:v>
                </c:pt>
                <c:pt idx="25">
                  <c:v>1504250</c:v>
                </c:pt>
                <c:pt idx="26">
                  <c:v>1524550</c:v>
                </c:pt>
                <c:pt idx="27">
                  <c:v>1544860</c:v>
                </c:pt>
                <c:pt idx="28">
                  <c:v>1565180</c:v>
                </c:pt>
                <c:pt idx="29">
                  <c:v>1585510</c:v>
                </c:pt>
                <c:pt idx="30">
                  <c:v>1605850</c:v>
                </c:pt>
                <c:pt idx="31">
                  <c:v>1626200</c:v>
                </c:pt>
                <c:pt idx="32">
                  <c:v>1646560</c:v>
                </c:pt>
                <c:pt idx="33">
                  <c:v>1666930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66-4375-8930-D071BD6C3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105984"/>
        <c:axId val="449398288"/>
      </c:scatterChart>
      <c:valAx>
        <c:axId val="662105984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49398288"/>
        <c:crosses val="autoZero"/>
        <c:crossBetween val="midCat"/>
      </c:valAx>
      <c:valAx>
        <c:axId val="4493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66210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рождаемость, смертность</a:t>
            </a:r>
            <a:r>
              <a:rPr lang="en-US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 </a:t>
            </a:r>
            <a:r>
              <a:rPr lang="ru-RU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и естественный прирост </a:t>
            </a:r>
            <a:r>
              <a:rPr lang="en-US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(</a:t>
            </a:r>
            <a:r>
              <a:rPr lang="ru-RU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на 1</a:t>
            </a:r>
            <a:r>
              <a:rPr lang="en-US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,000 </a:t>
            </a:r>
            <a:r>
              <a:rPr lang="ru-RU" sz="168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</a:rPr>
              <a:t>среднегодового населения)</a:t>
            </a:r>
            <a:endParaRPr lang="en-US" sz="168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data!$G$5</c:f>
              <c:strCache>
                <c:ptCount val="1"/>
                <c:pt idx="0">
                  <c:v>р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data!$A$6:$A$38</c:f>
              <c:numCache>
                <c:formatCode>General</c:formatCode>
                <c:ptCount val="33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</c:numCache>
            </c:numRef>
          </c:xVal>
          <c:yVal>
            <c:numRef>
              <c:f>data!$G$6:$G$38</c:f>
              <c:numCache>
                <c:formatCode>0.0</c:formatCode>
                <c:ptCount val="33"/>
                <c:pt idx="0">
                  <c:v>49.503725155317937</c:v>
                </c:pt>
                <c:pt idx="1">
                  <c:v>48.636999068033553</c:v>
                </c:pt>
                <c:pt idx="2">
                  <c:v>47.802922453565941</c:v>
                </c:pt>
                <c:pt idx="3">
                  <c:v>46.99968230831044</c:v>
                </c:pt>
                <c:pt idx="4">
                  <c:v>46.225597424573856</c:v>
                </c:pt>
                <c:pt idx="5">
                  <c:v>45.479106628242072</c:v>
                </c:pt>
                <c:pt idx="6">
                  <c:v>44.758758254054605</c:v>
                </c:pt>
                <c:pt idx="7">
                  <c:v>44.063200709182873</c:v>
                </c:pt>
                <c:pt idx="8">
                  <c:v>43.391173996045254</c:v>
                </c:pt>
                <c:pt idx="9">
                  <c:v>42.741502082493618</c:v>
                </c:pt>
                <c:pt idx="10">
                  <c:v>42.113086022171302</c:v>
                </c:pt>
                <c:pt idx="11">
                  <c:v>41.504897740379143</c:v>
                </c:pt>
                <c:pt idx="12">
                  <c:v>40.915974411533192</c:v>
                </c:pt>
                <c:pt idx="13">
                  <c:v>40.34541336353341</c:v>
                </c:pt>
                <c:pt idx="14">
                  <c:v>39.792367452320775</c:v>
                </c:pt>
                <c:pt idx="15">
                  <c:v>39.256040856772614</c:v>
                </c:pt>
                <c:pt idx="16">
                  <c:v>38.735685250036596</c:v>
                </c:pt>
                <c:pt idx="17">
                  <c:v>38.230596308566021</c:v>
                </c:pt>
                <c:pt idx="18">
                  <c:v>37.740110524609392</c:v>
                </c:pt>
                <c:pt idx="19">
                  <c:v>37.26360229181924</c:v>
                </c:pt>
                <c:pt idx="20">
                  <c:v>36.800481237062328</c:v>
                </c:pt>
                <c:pt idx="21">
                  <c:v>36.350189774503235</c:v>
                </c:pt>
                <c:pt idx="22">
                  <c:v>35.912200860654472</c:v>
                </c:pt>
                <c:pt idx="23">
                  <c:v>35.486015931389176</c:v>
                </c:pt>
                <c:pt idx="24">
                  <c:v>35.071163003938807</c:v>
                </c:pt>
                <c:pt idx="25">
                  <c:v>34.66719492868463</c:v>
                </c:pt>
                <c:pt idx="26">
                  <c:v>34.273687777129808</c:v>
                </c:pt>
                <c:pt idx="27">
                  <c:v>33.89023935383468</c:v>
                </c:pt>
                <c:pt idx="28">
                  <c:v>33.516467821334373</c:v>
                </c:pt>
                <c:pt idx="29">
                  <c:v>33.152010428156018</c:v>
                </c:pt>
                <c:pt idx="30">
                  <c:v>32.796522331028299</c:v>
                </c:pt>
                <c:pt idx="31">
                  <c:v>32.449675503244968</c:v>
                </c:pt>
                <c:pt idx="32">
                  <c:v>32.11115772191858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D3-4551-AEEC-1BFCC39DD9F9}"/>
            </c:ext>
          </c:extLst>
        </c:ser>
        <c:ser>
          <c:idx val="1"/>
          <c:order val="1"/>
          <c:tx>
            <c:strRef>
              <c:f>data!$H$5</c:f>
              <c:strCache>
                <c:ptCount val="1"/>
                <c:pt idx="0">
                  <c:v>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data!$A$6:$A$38</c:f>
              <c:numCache>
                <c:formatCode>General</c:formatCode>
                <c:ptCount val="33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</c:numCache>
            </c:numRef>
          </c:xVal>
          <c:yVal>
            <c:numRef>
              <c:f>data!$H$6:$H$38</c:f>
              <c:numCache>
                <c:formatCode>0.0</c:formatCode>
                <c:ptCount val="33"/>
                <c:pt idx="0">
                  <c:v>29.702235093190762</c:v>
                </c:pt>
                <c:pt idx="1">
                  <c:v>29.22103137620379</c:v>
                </c:pt>
                <c:pt idx="2">
                  <c:v>28.757933428240861</c:v>
                </c:pt>
                <c:pt idx="3">
                  <c:v>28.311935863654202</c:v>
                </c:pt>
                <c:pt idx="4">
                  <c:v>27.882106383076298</c:v>
                </c:pt>
                <c:pt idx="5">
                  <c:v>27.467579250720462</c:v>
                </c:pt>
                <c:pt idx="6">
                  <c:v>27.067549457985589</c:v>
                </c:pt>
                <c:pt idx="7">
                  <c:v>26.681267490570303</c:v>
                </c:pt>
                <c:pt idx="8">
                  <c:v>26.308034627523501</c:v>
                </c:pt>
                <c:pt idx="9">
                  <c:v>25.947198710197501</c:v>
                </c:pt>
                <c:pt idx="10">
                  <c:v>25.598150327202166</c:v>
                </c:pt>
                <c:pt idx="11">
                  <c:v>25.260319368410791</c:v>
                </c:pt>
                <c:pt idx="12">
                  <c:v>24.933171907028036</c:v>
                </c:pt>
                <c:pt idx="13">
                  <c:v>24.616207373851765</c:v>
                </c:pt>
                <c:pt idx="14">
                  <c:v>24.308955992273777</c:v>
                </c:pt>
                <c:pt idx="15">
                  <c:v>24.010976446375484</c:v>
                </c:pt>
                <c:pt idx="16">
                  <c:v>23.721853757774351</c:v>
                </c:pt>
                <c:pt idx="17">
                  <c:v>23.441197349739706</c:v>
                </c:pt>
                <c:pt idx="18">
                  <c:v>23.168639279586461</c:v>
                </c:pt>
                <c:pt idx="19">
                  <c:v>22.903832622524735</c:v>
                </c:pt>
                <c:pt idx="20">
                  <c:v>22.646449992038356</c:v>
                </c:pt>
                <c:pt idx="21">
                  <c:v>22.396182183523106</c:v>
                </c:pt>
                <c:pt idx="22">
                  <c:v>22.15273692936923</c:v>
                </c:pt>
                <c:pt idx="23">
                  <c:v>21.91583775494972</c:v>
                </c:pt>
                <c:pt idx="24">
                  <c:v>21.685222926099573</c:v>
                </c:pt>
                <c:pt idx="25">
                  <c:v>21.460644479661912</c:v>
                </c:pt>
                <c:pt idx="26">
                  <c:v>21.241867329551933</c:v>
                </c:pt>
                <c:pt idx="27">
                  <c:v>21.028668441563454</c:v>
                </c:pt>
                <c:pt idx="28">
                  <c:v>20.820836070828928</c:v>
                </c:pt>
                <c:pt idx="29">
                  <c:v>20.61816905645242</c:v>
                </c:pt>
                <c:pt idx="30">
                  <c:v>20.420476168376108</c:v>
                </c:pt>
                <c:pt idx="31">
                  <c:v>20.227575502022759</c:v>
                </c:pt>
                <c:pt idx="32">
                  <c:v>20.039293916686031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D3-4551-AEEC-1BFCC39DD9F9}"/>
            </c:ext>
          </c:extLst>
        </c:ser>
        <c:ser>
          <c:idx val="2"/>
          <c:order val="2"/>
          <c:tx>
            <c:strRef>
              <c:f>data!$I$5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data!$A$6:$A$38</c:f>
              <c:numCache>
                <c:formatCode>General</c:formatCode>
                <c:ptCount val="33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</c:numCache>
            </c:numRef>
          </c:xVal>
          <c:yVal>
            <c:numRef>
              <c:f>data!$I$6:$I$38</c:f>
              <c:numCache>
                <c:formatCode>0.0</c:formatCode>
                <c:ptCount val="33"/>
                <c:pt idx="0">
                  <c:v>19.801490062127176</c:v>
                </c:pt>
                <c:pt idx="1">
                  <c:v>19.415967691829763</c:v>
                </c:pt>
                <c:pt idx="2">
                  <c:v>19.04498902532508</c:v>
                </c:pt>
                <c:pt idx="3">
                  <c:v>18.687746444656238</c:v>
                </c:pt>
                <c:pt idx="4">
                  <c:v>18.343491041497558</c:v>
                </c:pt>
                <c:pt idx="5">
                  <c:v>18.01152737752161</c:v>
                </c:pt>
                <c:pt idx="6">
                  <c:v>17.691208796069017</c:v>
                </c:pt>
                <c:pt idx="7">
                  <c:v>17.38193321861257</c:v>
                </c:pt>
                <c:pt idx="8">
                  <c:v>17.083139368521753</c:v>
                </c:pt>
                <c:pt idx="9">
                  <c:v>16.794303372296117</c:v>
                </c:pt>
                <c:pt idx="10">
                  <c:v>16.514935694969136</c:v>
                </c:pt>
                <c:pt idx="11">
                  <c:v>16.244578371968352</c:v>
                </c:pt>
                <c:pt idx="12">
                  <c:v>15.982802504505155</c:v>
                </c:pt>
                <c:pt idx="13">
                  <c:v>15.729205989681645</c:v>
                </c:pt>
                <c:pt idx="14">
                  <c:v>15.483411460046998</c:v>
                </c:pt>
                <c:pt idx="15">
                  <c:v>15.245064410397131</c:v>
                </c:pt>
                <c:pt idx="16">
                  <c:v>15.013831492262245</c:v>
                </c:pt>
                <c:pt idx="17">
                  <c:v>14.789398958826315</c:v>
                </c:pt>
                <c:pt idx="18">
                  <c:v>14.571471245022931</c:v>
                </c:pt>
                <c:pt idx="19">
                  <c:v>14.359769669294504</c:v>
                </c:pt>
                <c:pt idx="20">
                  <c:v>14.154031245023972</c:v>
                </c:pt>
                <c:pt idx="21">
                  <c:v>13.95400759098013</c:v>
                </c:pt>
                <c:pt idx="22">
                  <c:v>13.759463931285243</c:v>
                </c:pt>
                <c:pt idx="23">
                  <c:v>13.570178176439455</c:v>
                </c:pt>
                <c:pt idx="24">
                  <c:v>13.385940077839233</c:v>
                </c:pt>
                <c:pt idx="25">
                  <c:v>13.206550449022718</c:v>
                </c:pt>
                <c:pt idx="26">
                  <c:v>13.031820447577875</c:v>
                </c:pt>
                <c:pt idx="27">
                  <c:v>12.861570912271226</c:v>
                </c:pt>
                <c:pt idx="28">
                  <c:v>12.695631750505445</c:v>
                </c:pt>
                <c:pt idx="29">
                  <c:v>12.533841371703598</c:v>
                </c:pt>
                <c:pt idx="30">
                  <c:v>12.376046162652191</c:v>
                </c:pt>
                <c:pt idx="31">
                  <c:v>12.222100001222209</c:v>
                </c:pt>
                <c:pt idx="32">
                  <c:v>12.07186380523255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D3-4551-AEEC-1BFCC39DD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512672"/>
        <c:axId val="1410196976"/>
      </c:scatterChart>
      <c:valAx>
        <c:axId val="1502512672"/>
        <c:scaling>
          <c:orientation val="minMax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410196976"/>
        <c:crosses val="autoZero"/>
        <c:crossBetween val="midCat"/>
      </c:valAx>
      <c:valAx>
        <c:axId val="14101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0251267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705802</xdr:colOff>
      <xdr:row>93</xdr:row>
      <xdr:rowOff>18096</xdr:rowOff>
    </xdr:from>
    <xdr:to>
      <xdr:col>21</xdr:col>
      <xdr:colOff>9525</xdr:colOff>
      <xdr:row>139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100A0E-0D0C-9338-59F1-EE8EEED94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694372</xdr:colOff>
      <xdr:row>140</xdr:row>
      <xdr:rowOff>8571</xdr:rowOff>
    </xdr:from>
    <xdr:to>
      <xdr:col>20</xdr:col>
      <xdr:colOff>628650</xdr:colOff>
      <xdr:row>185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B512FC-B941-1D22-EACF-4A5DD08DD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702945</xdr:colOff>
      <xdr:row>43</xdr:row>
      <xdr:rowOff>162876</xdr:rowOff>
    </xdr:from>
    <xdr:to>
      <xdr:col>21</xdr:col>
      <xdr:colOff>0</xdr:colOff>
      <xdr:row>92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9D47B1-F1ED-4335-C533-4F5C4D290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21D7-C433-4B50-AA6E-BF1C75F28F7F}">
  <dimension ref="A1:Q43"/>
  <sheetViews>
    <sheetView tabSelected="1" workbookViewId="0">
      <selection activeCell="O41" sqref="O41"/>
    </sheetView>
  </sheetViews>
  <sheetFormatPr defaultRowHeight="14.4" x14ac:dyDescent="0.55000000000000004"/>
  <cols>
    <col min="1" max="1" width="9.83984375" customWidth="1"/>
    <col min="2" max="2" width="13.15625" customWidth="1"/>
    <col min="3" max="3" width="15.578125" customWidth="1"/>
    <col min="4" max="5" width="9.26171875" bestFit="1" customWidth="1"/>
    <col min="6" max="9" width="8.83984375" bestFit="1" customWidth="1"/>
    <col min="10" max="11" width="10.15625" customWidth="1"/>
    <col min="12" max="12" width="11.734375" customWidth="1"/>
    <col min="14" max="14" width="12.68359375" customWidth="1"/>
    <col min="15" max="15" width="13.83984375" customWidth="1"/>
    <col min="16" max="16" width="10.578125" customWidth="1"/>
  </cols>
  <sheetData>
    <row r="1" spans="1:17" ht="23.1" x14ac:dyDescent="0.85">
      <c r="A1" s="8" t="s">
        <v>0</v>
      </c>
      <c r="B1" s="7"/>
      <c r="C1" s="7"/>
      <c r="D1" s="7"/>
      <c r="E1" s="7"/>
      <c r="F1" s="7"/>
      <c r="G1" s="7"/>
      <c r="H1" s="7"/>
      <c r="I1" s="7"/>
    </row>
    <row r="2" spans="1:17" ht="15.6" x14ac:dyDescent="0.6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7" ht="15.6" x14ac:dyDescent="0.6">
      <c r="A3" s="1"/>
      <c r="B3" s="1"/>
      <c r="C3" s="1"/>
      <c r="D3" s="1"/>
      <c r="E3" s="1"/>
      <c r="F3" s="1"/>
      <c r="G3" s="1"/>
      <c r="H3" s="1"/>
      <c r="I3" s="1"/>
    </row>
    <row r="4" spans="1:17" ht="15.6" x14ac:dyDescent="0.55000000000000004">
      <c r="A4" s="9" t="s">
        <v>2</v>
      </c>
      <c r="B4" s="16" t="s">
        <v>10</v>
      </c>
      <c r="C4" s="16"/>
      <c r="D4" s="2"/>
      <c r="E4" s="2"/>
      <c r="F4" s="2"/>
      <c r="G4" s="2"/>
      <c r="H4" s="2"/>
      <c r="I4" s="2"/>
      <c r="N4" s="17" t="s">
        <v>20</v>
      </c>
      <c r="O4" s="17"/>
      <c r="P4" s="15"/>
    </row>
    <row r="5" spans="1:17" ht="15.6" x14ac:dyDescent="0.55000000000000004">
      <c r="A5" s="2"/>
      <c r="B5" s="2" t="s">
        <v>3</v>
      </c>
      <c r="C5" s="2" t="s">
        <v>4</v>
      </c>
      <c r="D5" s="9" t="s">
        <v>5</v>
      </c>
      <c r="E5" s="9" t="s">
        <v>6</v>
      </c>
      <c r="F5" s="9" t="s">
        <v>9</v>
      </c>
      <c r="G5" s="9" t="s">
        <v>7</v>
      </c>
      <c r="H5" s="9" t="s">
        <v>8</v>
      </c>
      <c r="I5" s="9" t="s">
        <v>14</v>
      </c>
      <c r="J5" s="9" t="s">
        <v>15</v>
      </c>
      <c r="K5" s="9" t="s">
        <v>16</v>
      </c>
      <c r="L5" s="9" t="s">
        <v>17</v>
      </c>
      <c r="N5" s="9" t="s">
        <v>18</v>
      </c>
      <c r="O5" s="9" t="s">
        <v>19</v>
      </c>
      <c r="Q5" s="14" t="s">
        <v>21</v>
      </c>
    </row>
    <row r="6" spans="1:17" ht="15.6" x14ac:dyDescent="0.55000000000000004">
      <c r="A6" s="3">
        <v>1881</v>
      </c>
      <c r="B6" s="5">
        <v>1000000</v>
      </c>
      <c r="C6" s="5">
        <f>(B6+B7) /2</f>
        <v>1010025</v>
      </c>
      <c r="D6" s="5">
        <v>50000</v>
      </c>
      <c r="E6" s="5">
        <v>30000</v>
      </c>
      <c r="F6" s="5">
        <v>50</v>
      </c>
      <c r="G6" s="6">
        <f>D6/C6*1000</f>
        <v>49.503725155317937</v>
      </c>
      <c r="H6" s="6">
        <f>E6/C6*1000</f>
        <v>29.702235093190762</v>
      </c>
      <c r="I6" s="6">
        <f>G6-H6</f>
        <v>19.801490062127176</v>
      </c>
      <c r="J6" s="13"/>
      <c r="K6" s="13"/>
      <c r="L6" s="13"/>
      <c r="N6" s="13">
        <f>D6-E6</f>
        <v>20000</v>
      </c>
      <c r="O6" s="13">
        <f>N6+F6</f>
        <v>20050</v>
      </c>
      <c r="Q6" s="13">
        <f>B7-B6-O6</f>
        <v>0</v>
      </c>
    </row>
    <row r="7" spans="1:17" ht="15.6" x14ac:dyDescent="0.55000000000000004">
      <c r="A7" s="3">
        <f>A6+1</f>
        <v>1882</v>
      </c>
      <c r="B7" s="5">
        <f>B6+D6-E6+F6</f>
        <v>1020050</v>
      </c>
      <c r="C7" s="5">
        <f t="shared" ref="C7:C38" si="0">(B7+B8) /2</f>
        <v>1030080</v>
      </c>
      <c r="D7" s="5">
        <f>D6+100</f>
        <v>50100</v>
      </c>
      <c r="E7" s="5">
        <f>E6+100</f>
        <v>30100</v>
      </c>
      <c r="F7" s="5">
        <f>F6+10</f>
        <v>60</v>
      </c>
      <c r="G7" s="6">
        <f t="shared" ref="G7:G38" si="1">D7/C7*1000</f>
        <v>48.636999068033553</v>
      </c>
      <c r="H7" s="6">
        <f t="shared" ref="H7:H38" si="2">E7/C7*1000</f>
        <v>29.22103137620379</v>
      </c>
      <c r="I7" s="6">
        <f t="shared" ref="I7:I38" si="3">G7-H7</f>
        <v>19.415967691829763</v>
      </c>
      <c r="J7" s="13"/>
      <c r="K7" s="13"/>
      <c r="L7" s="13"/>
      <c r="N7" s="13">
        <f t="shared" ref="N7:N38" si="4">D7-E7</f>
        <v>20000</v>
      </c>
      <c r="O7" s="13">
        <f t="shared" ref="O7:O38" si="5">N7+F7</f>
        <v>20060</v>
      </c>
      <c r="Q7" s="13">
        <f t="shared" ref="Q7:Q38" si="6">B8-B7-O7</f>
        <v>0</v>
      </c>
    </row>
    <row r="8" spans="1:17" ht="15.6" x14ac:dyDescent="0.55000000000000004">
      <c r="A8" s="3">
        <f t="shared" ref="A8:A38" si="7">A7+1</f>
        <v>1883</v>
      </c>
      <c r="B8" s="5">
        <f t="shared" ref="B8:B39" si="8">B7+D7-E7+F7</f>
        <v>1040110</v>
      </c>
      <c r="C8" s="5">
        <f t="shared" si="0"/>
        <v>1050145</v>
      </c>
      <c r="D8" s="5">
        <f t="shared" ref="D8:D38" si="9">D7+100</f>
        <v>50200</v>
      </c>
      <c r="E8" s="5">
        <f t="shared" ref="E8:E38" si="10">E7+100</f>
        <v>30200</v>
      </c>
      <c r="F8" s="5">
        <f t="shared" ref="F8:F38" si="11">F7+10</f>
        <v>70</v>
      </c>
      <c r="G8" s="6">
        <f t="shared" si="1"/>
        <v>47.802922453565941</v>
      </c>
      <c r="H8" s="6">
        <f t="shared" si="2"/>
        <v>28.757933428240861</v>
      </c>
      <c r="I8" s="6">
        <f t="shared" si="3"/>
        <v>19.04498902532508</v>
      </c>
      <c r="J8" s="13"/>
      <c r="K8" s="13"/>
      <c r="L8" s="13"/>
      <c r="N8" s="13">
        <f t="shared" si="4"/>
        <v>20000</v>
      </c>
      <c r="O8" s="13">
        <f t="shared" si="5"/>
        <v>20070</v>
      </c>
      <c r="Q8" s="13">
        <f t="shared" si="6"/>
        <v>0</v>
      </c>
    </row>
    <row r="9" spans="1:17" ht="15.6" x14ac:dyDescent="0.55000000000000004">
      <c r="A9" s="3">
        <f t="shared" si="7"/>
        <v>1884</v>
      </c>
      <c r="B9" s="5">
        <f t="shared" si="8"/>
        <v>1060180</v>
      </c>
      <c r="C9" s="5">
        <f t="shared" si="0"/>
        <v>1070220</v>
      </c>
      <c r="D9" s="5">
        <f t="shared" si="9"/>
        <v>50300</v>
      </c>
      <c r="E9" s="5">
        <f t="shared" si="10"/>
        <v>30300</v>
      </c>
      <c r="F9" s="5">
        <f t="shared" si="11"/>
        <v>80</v>
      </c>
      <c r="G9" s="6">
        <f t="shared" si="1"/>
        <v>46.99968230831044</v>
      </c>
      <c r="H9" s="6">
        <f t="shared" si="2"/>
        <v>28.311935863654202</v>
      </c>
      <c r="I9" s="6">
        <f t="shared" si="3"/>
        <v>18.687746444656238</v>
      </c>
      <c r="J9" s="13"/>
      <c r="K9" s="13"/>
      <c r="L9" s="13"/>
      <c r="N9" s="13">
        <f t="shared" si="4"/>
        <v>20000</v>
      </c>
      <c r="O9" s="13">
        <f t="shared" si="5"/>
        <v>20080</v>
      </c>
      <c r="Q9" s="13">
        <f t="shared" si="6"/>
        <v>0</v>
      </c>
    </row>
    <row r="10" spans="1:17" ht="15.6" x14ac:dyDescent="0.55000000000000004">
      <c r="A10" s="3">
        <f t="shared" si="7"/>
        <v>1885</v>
      </c>
      <c r="B10" s="5">
        <f t="shared" si="8"/>
        <v>1080260</v>
      </c>
      <c r="C10" s="5">
        <f t="shared" si="0"/>
        <v>1090305</v>
      </c>
      <c r="D10" s="5">
        <f t="shared" si="9"/>
        <v>50400</v>
      </c>
      <c r="E10" s="5">
        <f t="shared" si="10"/>
        <v>30400</v>
      </c>
      <c r="F10" s="5">
        <f t="shared" si="11"/>
        <v>90</v>
      </c>
      <c r="G10" s="6">
        <f t="shared" si="1"/>
        <v>46.225597424573856</v>
      </c>
      <c r="H10" s="6">
        <f t="shared" si="2"/>
        <v>27.882106383076298</v>
      </c>
      <c r="I10" s="6">
        <f t="shared" si="3"/>
        <v>18.343491041497558</v>
      </c>
      <c r="J10" s="13"/>
      <c r="K10" s="13"/>
      <c r="L10" s="13"/>
      <c r="N10" s="13">
        <f t="shared" si="4"/>
        <v>20000</v>
      </c>
      <c r="O10" s="13">
        <f t="shared" si="5"/>
        <v>20090</v>
      </c>
      <c r="Q10" s="13">
        <f t="shared" si="6"/>
        <v>0</v>
      </c>
    </row>
    <row r="11" spans="1:17" ht="15.6" x14ac:dyDescent="0.55000000000000004">
      <c r="A11" s="3">
        <f t="shared" si="7"/>
        <v>1886</v>
      </c>
      <c r="B11" s="5">
        <f t="shared" si="8"/>
        <v>1100350</v>
      </c>
      <c r="C11" s="5">
        <f t="shared" si="0"/>
        <v>1110400</v>
      </c>
      <c r="D11" s="5">
        <f t="shared" si="9"/>
        <v>50500</v>
      </c>
      <c r="E11" s="5">
        <f t="shared" si="10"/>
        <v>30500</v>
      </c>
      <c r="F11" s="5">
        <f t="shared" si="11"/>
        <v>100</v>
      </c>
      <c r="G11" s="6">
        <f t="shared" si="1"/>
        <v>45.479106628242072</v>
      </c>
      <c r="H11" s="6">
        <f t="shared" si="2"/>
        <v>27.467579250720462</v>
      </c>
      <c r="I11" s="6">
        <f t="shared" si="3"/>
        <v>18.01152737752161</v>
      </c>
      <c r="J11" s="13"/>
      <c r="K11" s="13"/>
      <c r="L11" s="13"/>
      <c r="N11" s="13">
        <f t="shared" si="4"/>
        <v>20000</v>
      </c>
      <c r="O11" s="13">
        <f t="shared" si="5"/>
        <v>20100</v>
      </c>
      <c r="Q11" s="13">
        <f t="shared" si="6"/>
        <v>0</v>
      </c>
    </row>
    <row r="12" spans="1:17" ht="15.6" x14ac:dyDescent="0.55000000000000004">
      <c r="A12" s="3">
        <f t="shared" si="7"/>
        <v>1887</v>
      </c>
      <c r="B12" s="5">
        <f t="shared" si="8"/>
        <v>1120450</v>
      </c>
      <c r="C12" s="5">
        <f t="shared" si="0"/>
        <v>1130505</v>
      </c>
      <c r="D12" s="5">
        <f t="shared" si="9"/>
        <v>50600</v>
      </c>
      <c r="E12" s="5">
        <f t="shared" si="10"/>
        <v>30600</v>
      </c>
      <c r="F12" s="5">
        <f t="shared" si="11"/>
        <v>110</v>
      </c>
      <c r="G12" s="6">
        <f t="shared" si="1"/>
        <v>44.758758254054605</v>
      </c>
      <c r="H12" s="6">
        <f t="shared" si="2"/>
        <v>27.067549457985589</v>
      </c>
      <c r="I12" s="6">
        <f t="shared" si="3"/>
        <v>17.691208796069017</v>
      </c>
      <c r="J12" s="13"/>
      <c r="K12" s="13"/>
      <c r="L12" s="13"/>
      <c r="N12" s="13">
        <f t="shared" si="4"/>
        <v>20000</v>
      </c>
      <c r="O12" s="13">
        <f t="shared" si="5"/>
        <v>20110</v>
      </c>
      <c r="Q12" s="13">
        <f t="shared" si="6"/>
        <v>0</v>
      </c>
    </row>
    <row r="13" spans="1:17" ht="15.6" x14ac:dyDescent="0.55000000000000004">
      <c r="A13" s="3">
        <f t="shared" si="7"/>
        <v>1888</v>
      </c>
      <c r="B13" s="5">
        <f t="shared" si="8"/>
        <v>1140560</v>
      </c>
      <c r="C13" s="5">
        <f t="shared" si="0"/>
        <v>1150620</v>
      </c>
      <c r="D13" s="5">
        <f t="shared" si="9"/>
        <v>50700</v>
      </c>
      <c r="E13" s="5">
        <f t="shared" si="10"/>
        <v>30700</v>
      </c>
      <c r="F13" s="5">
        <f t="shared" si="11"/>
        <v>120</v>
      </c>
      <c r="G13" s="6">
        <f t="shared" si="1"/>
        <v>44.063200709182873</v>
      </c>
      <c r="H13" s="6">
        <f t="shared" si="2"/>
        <v>26.681267490570303</v>
      </c>
      <c r="I13" s="6">
        <f t="shared" si="3"/>
        <v>17.38193321861257</v>
      </c>
      <c r="J13" s="13"/>
      <c r="K13" s="13"/>
      <c r="L13" s="13"/>
      <c r="N13" s="13">
        <f t="shared" si="4"/>
        <v>20000</v>
      </c>
      <c r="O13" s="13">
        <f t="shared" si="5"/>
        <v>20120</v>
      </c>
      <c r="Q13" s="13">
        <f t="shared" si="6"/>
        <v>0</v>
      </c>
    </row>
    <row r="14" spans="1:17" ht="15.6" x14ac:dyDescent="0.55000000000000004">
      <c r="A14" s="3">
        <f t="shared" si="7"/>
        <v>1889</v>
      </c>
      <c r="B14" s="5">
        <f t="shared" si="8"/>
        <v>1160680</v>
      </c>
      <c r="C14" s="5">
        <f t="shared" si="0"/>
        <v>1170745</v>
      </c>
      <c r="D14" s="5">
        <f t="shared" si="9"/>
        <v>50800</v>
      </c>
      <c r="E14" s="5">
        <f t="shared" si="10"/>
        <v>30800</v>
      </c>
      <c r="F14" s="5">
        <f t="shared" si="11"/>
        <v>130</v>
      </c>
      <c r="G14" s="6">
        <f t="shared" si="1"/>
        <v>43.391173996045254</v>
      </c>
      <c r="H14" s="6">
        <f t="shared" si="2"/>
        <v>26.308034627523501</v>
      </c>
      <c r="I14" s="6">
        <f t="shared" si="3"/>
        <v>17.083139368521753</v>
      </c>
      <c r="J14" s="13"/>
      <c r="K14" s="13"/>
      <c r="L14" s="13"/>
      <c r="N14" s="13">
        <f t="shared" si="4"/>
        <v>20000</v>
      </c>
      <c r="O14" s="13">
        <f t="shared" si="5"/>
        <v>20130</v>
      </c>
      <c r="Q14" s="13">
        <f t="shared" si="6"/>
        <v>0</v>
      </c>
    </row>
    <row r="15" spans="1:17" ht="15.6" x14ac:dyDescent="0.55000000000000004">
      <c r="A15" s="3">
        <f t="shared" si="7"/>
        <v>1890</v>
      </c>
      <c r="B15" s="5">
        <f t="shared" si="8"/>
        <v>1180810</v>
      </c>
      <c r="C15" s="5">
        <f t="shared" si="0"/>
        <v>1190880</v>
      </c>
      <c r="D15" s="5">
        <f t="shared" si="9"/>
        <v>50900</v>
      </c>
      <c r="E15" s="5">
        <f t="shared" si="10"/>
        <v>30900</v>
      </c>
      <c r="F15" s="5">
        <f t="shared" si="11"/>
        <v>140</v>
      </c>
      <c r="G15" s="6">
        <f t="shared" si="1"/>
        <v>42.741502082493618</v>
      </c>
      <c r="H15" s="6">
        <f t="shared" si="2"/>
        <v>25.947198710197501</v>
      </c>
      <c r="I15" s="6">
        <f t="shared" si="3"/>
        <v>16.794303372296117</v>
      </c>
      <c r="J15" s="13"/>
      <c r="K15" s="13"/>
      <c r="L15" s="13"/>
      <c r="N15" s="13">
        <f t="shared" si="4"/>
        <v>20000</v>
      </c>
      <c r="O15" s="13">
        <f t="shared" si="5"/>
        <v>20140</v>
      </c>
      <c r="Q15" s="13">
        <f t="shared" si="6"/>
        <v>0</v>
      </c>
    </row>
    <row r="16" spans="1:17" ht="15.6" x14ac:dyDescent="0.55000000000000004">
      <c r="A16" s="3">
        <f t="shared" si="7"/>
        <v>1891</v>
      </c>
      <c r="B16" s="5">
        <f t="shared" si="8"/>
        <v>1200950</v>
      </c>
      <c r="C16" s="5">
        <f t="shared" si="0"/>
        <v>1211025</v>
      </c>
      <c r="D16" s="5">
        <f t="shared" si="9"/>
        <v>51000</v>
      </c>
      <c r="E16" s="5">
        <f t="shared" si="10"/>
        <v>31000</v>
      </c>
      <c r="F16" s="5">
        <f t="shared" si="11"/>
        <v>150</v>
      </c>
      <c r="G16" s="6">
        <f t="shared" si="1"/>
        <v>42.113086022171302</v>
      </c>
      <c r="H16" s="6">
        <f t="shared" si="2"/>
        <v>25.598150327202166</v>
      </c>
      <c r="I16" s="6">
        <f t="shared" si="3"/>
        <v>16.514935694969136</v>
      </c>
      <c r="J16" s="13"/>
      <c r="K16" s="13"/>
      <c r="L16" s="13"/>
      <c r="N16" s="13">
        <f t="shared" si="4"/>
        <v>20000</v>
      </c>
      <c r="O16" s="13">
        <f t="shared" si="5"/>
        <v>20150</v>
      </c>
      <c r="Q16" s="13">
        <f t="shared" si="6"/>
        <v>0</v>
      </c>
    </row>
    <row r="17" spans="1:17" ht="15.6" x14ac:dyDescent="0.55000000000000004">
      <c r="A17" s="3">
        <f t="shared" si="7"/>
        <v>1892</v>
      </c>
      <c r="B17" s="5">
        <f t="shared" si="8"/>
        <v>1221100</v>
      </c>
      <c r="C17" s="5">
        <f t="shared" si="0"/>
        <v>1231180</v>
      </c>
      <c r="D17" s="5">
        <f t="shared" si="9"/>
        <v>51100</v>
      </c>
      <c r="E17" s="5">
        <f t="shared" si="10"/>
        <v>31100</v>
      </c>
      <c r="F17" s="5">
        <f t="shared" si="11"/>
        <v>160</v>
      </c>
      <c r="G17" s="6">
        <f t="shared" si="1"/>
        <v>41.504897740379143</v>
      </c>
      <c r="H17" s="6">
        <f t="shared" si="2"/>
        <v>25.260319368410791</v>
      </c>
      <c r="I17" s="6">
        <f t="shared" si="3"/>
        <v>16.244578371968352</v>
      </c>
      <c r="J17" s="13"/>
      <c r="K17" s="13"/>
      <c r="L17" s="13"/>
      <c r="N17" s="13">
        <f t="shared" si="4"/>
        <v>20000</v>
      </c>
      <c r="O17" s="13">
        <f t="shared" si="5"/>
        <v>20160</v>
      </c>
      <c r="Q17" s="13">
        <f t="shared" si="6"/>
        <v>0</v>
      </c>
    </row>
    <row r="18" spans="1:17" ht="15.6" x14ac:dyDescent="0.55000000000000004">
      <c r="A18" s="3">
        <f t="shared" si="7"/>
        <v>1893</v>
      </c>
      <c r="B18" s="5">
        <f t="shared" si="8"/>
        <v>1241260</v>
      </c>
      <c r="C18" s="5">
        <f t="shared" si="0"/>
        <v>1251345</v>
      </c>
      <c r="D18" s="5">
        <f t="shared" si="9"/>
        <v>51200</v>
      </c>
      <c r="E18" s="5">
        <f t="shared" si="10"/>
        <v>31200</v>
      </c>
      <c r="F18" s="5">
        <f t="shared" si="11"/>
        <v>170</v>
      </c>
      <c r="G18" s="6">
        <f t="shared" si="1"/>
        <v>40.915974411533192</v>
      </c>
      <c r="H18" s="6">
        <f t="shared" si="2"/>
        <v>24.933171907028036</v>
      </c>
      <c r="I18" s="6">
        <f t="shared" si="3"/>
        <v>15.982802504505155</v>
      </c>
      <c r="J18" s="13"/>
      <c r="K18" s="13"/>
      <c r="L18" s="13"/>
      <c r="N18" s="13">
        <f t="shared" si="4"/>
        <v>20000</v>
      </c>
      <c r="O18" s="13">
        <f t="shared" si="5"/>
        <v>20170</v>
      </c>
      <c r="Q18" s="13">
        <f t="shared" si="6"/>
        <v>0</v>
      </c>
    </row>
    <row r="19" spans="1:17" ht="15.6" x14ac:dyDescent="0.55000000000000004">
      <c r="A19" s="3">
        <f t="shared" si="7"/>
        <v>1894</v>
      </c>
      <c r="B19" s="5">
        <f t="shared" si="8"/>
        <v>1261430</v>
      </c>
      <c r="C19" s="5">
        <f t="shared" si="0"/>
        <v>1271520</v>
      </c>
      <c r="D19" s="5">
        <f t="shared" si="9"/>
        <v>51300</v>
      </c>
      <c r="E19" s="5">
        <f t="shared" si="10"/>
        <v>31300</v>
      </c>
      <c r="F19" s="5">
        <f t="shared" si="11"/>
        <v>180</v>
      </c>
      <c r="G19" s="6">
        <f t="shared" si="1"/>
        <v>40.34541336353341</v>
      </c>
      <c r="H19" s="6">
        <f t="shared" si="2"/>
        <v>24.616207373851765</v>
      </c>
      <c r="I19" s="6">
        <f t="shared" si="3"/>
        <v>15.729205989681645</v>
      </c>
      <c r="J19" s="13"/>
      <c r="K19" s="13"/>
      <c r="L19" s="13"/>
      <c r="N19" s="13">
        <f t="shared" si="4"/>
        <v>20000</v>
      </c>
      <c r="O19" s="13">
        <f t="shared" si="5"/>
        <v>20180</v>
      </c>
      <c r="Q19" s="13">
        <f t="shared" si="6"/>
        <v>0</v>
      </c>
    </row>
    <row r="20" spans="1:17" ht="15.6" x14ac:dyDescent="0.55000000000000004">
      <c r="A20" s="3">
        <f t="shared" si="7"/>
        <v>1895</v>
      </c>
      <c r="B20" s="5">
        <f t="shared" si="8"/>
        <v>1281610</v>
      </c>
      <c r="C20" s="5">
        <f t="shared" si="0"/>
        <v>1291705</v>
      </c>
      <c r="D20" s="5">
        <f t="shared" si="9"/>
        <v>51400</v>
      </c>
      <c r="E20" s="5">
        <f t="shared" si="10"/>
        <v>31400</v>
      </c>
      <c r="F20" s="5">
        <f t="shared" si="11"/>
        <v>190</v>
      </c>
      <c r="G20" s="6">
        <f t="shared" si="1"/>
        <v>39.792367452320775</v>
      </c>
      <c r="H20" s="6">
        <f t="shared" si="2"/>
        <v>24.308955992273777</v>
      </c>
      <c r="I20" s="6">
        <f t="shared" si="3"/>
        <v>15.483411460046998</v>
      </c>
      <c r="J20" s="13"/>
      <c r="K20" s="13"/>
      <c r="L20" s="13"/>
      <c r="N20" s="13">
        <f t="shared" si="4"/>
        <v>20000</v>
      </c>
      <c r="O20" s="13">
        <f t="shared" si="5"/>
        <v>20190</v>
      </c>
      <c r="Q20" s="13">
        <f t="shared" si="6"/>
        <v>0</v>
      </c>
    </row>
    <row r="21" spans="1:17" ht="15.6" x14ac:dyDescent="0.55000000000000004">
      <c r="A21" s="3">
        <f t="shared" si="7"/>
        <v>1896</v>
      </c>
      <c r="B21" s="5">
        <f t="shared" si="8"/>
        <v>1301800</v>
      </c>
      <c r="C21" s="5">
        <f t="shared" si="0"/>
        <v>1311900</v>
      </c>
      <c r="D21" s="5">
        <f t="shared" si="9"/>
        <v>51500</v>
      </c>
      <c r="E21" s="5">
        <f t="shared" si="10"/>
        <v>31500</v>
      </c>
      <c r="F21" s="5">
        <f t="shared" si="11"/>
        <v>200</v>
      </c>
      <c r="G21" s="6">
        <f t="shared" si="1"/>
        <v>39.256040856772614</v>
      </c>
      <c r="H21" s="6">
        <f t="shared" si="2"/>
        <v>24.010976446375484</v>
      </c>
      <c r="I21" s="6">
        <f t="shared" si="3"/>
        <v>15.245064410397131</v>
      </c>
      <c r="J21" s="13"/>
      <c r="K21" s="13"/>
      <c r="L21" s="13"/>
      <c r="N21" s="13">
        <f t="shared" si="4"/>
        <v>20000</v>
      </c>
      <c r="O21" s="13">
        <f t="shared" si="5"/>
        <v>20200</v>
      </c>
      <c r="Q21" s="13">
        <f t="shared" si="6"/>
        <v>0</v>
      </c>
    </row>
    <row r="22" spans="1:17" ht="15.6" x14ac:dyDescent="0.55000000000000004">
      <c r="A22" s="3">
        <f t="shared" si="7"/>
        <v>1897</v>
      </c>
      <c r="B22" s="5">
        <f t="shared" si="8"/>
        <v>1322000</v>
      </c>
      <c r="C22" s="5">
        <f t="shared" si="0"/>
        <v>1332105</v>
      </c>
      <c r="D22" s="5">
        <f t="shared" si="9"/>
        <v>51600</v>
      </c>
      <c r="E22" s="5">
        <f t="shared" si="10"/>
        <v>31600</v>
      </c>
      <c r="F22" s="5">
        <f t="shared" si="11"/>
        <v>210</v>
      </c>
      <c r="G22" s="6">
        <f t="shared" si="1"/>
        <v>38.735685250036596</v>
      </c>
      <c r="H22" s="6">
        <f t="shared" si="2"/>
        <v>23.721853757774351</v>
      </c>
      <c r="I22" s="6">
        <f t="shared" si="3"/>
        <v>15.013831492262245</v>
      </c>
      <c r="J22" s="13"/>
      <c r="K22" s="13"/>
      <c r="L22" s="13"/>
      <c r="N22" s="13">
        <f t="shared" si="4"/>
        <v>20000</v>
      </c>
      <c r="O22" s="13">
        <f t="shared" si="5"/>
        <v>20210</v>
      </c>
      <c r="Q22" s="13">
        <f t="shared" si="6"/>
        <v>0</v>
      </c>
    </row>
    <row r="23" spans="1:17" ht="15.6" x14ac:dyDescent="0.55000000000000004">
      <c r="A23" s="3">
        <f t="shared" si="7"/>
        <v>1898</v>
      </c>
      <c r="B23" s="5">
        <f t="shared" si="8"/>
        <v>1342210</v>
      </c>
      <c r="C23" s="5">
        <f t="shared" si="0"/>
        <v>1352320</v>
      </c>
      <c r="D23" s="5">
        <f t="shared" si="9"/>
        <v>51700</v>
      </c>
      <c r="E23" s="5">
        <f t="shared" si="10"/>
        <v>31700</v>
      </c>
      <c r="F23" s="5">
        <f t="shared" si="11"/>
        <v>220</v>
      </c>
      <c r="G23" s="6">
        <f t="shared" si="1"/>
        <v>38.230596308566021</v>
      </c>
      <c r="H23" s="6">
        <f t="shared" si="2"/>
        <v>23.441197349739706</v>
      </c>
      <c r="I23" s="6">
        <f t="shared" si="3"/>
        <v>14.789398958826315</v>
      </c>
      <c r="J23" s="13"/>
      <c r="K23" s="13"/>
      <c r="L23" s="13"/>
      <c r="N23" s="13">
        <f t="shared" si="4"/>
        <v>20000</v>
      </c>
      <c r="O23" s="13">
        <f t="shared" si="5"/>
        <v>20220</v>
      </c>
      <c r="Q23" s="13">
        <f t="shared" si="6"/>
        <v>0</v>
      </c>
    </row>
    <row r="24" spans="1:17" ht="15.6" x14ac:dyDescent="0.55000000000000004">
      <c r="A24" s="3">
        <f t="shared" si="7"/>
        <v>1899</v>
      </c>
      <c r="B24" s="5">
        <f t="shared" si="8"/>
        <v>1362430</v>
      </c>
      <c r="C24" s="5">
        <f t="shared" si="0"/>
        <v>1372545</v>
      </c>
      <c r="D24" s="5">
        <f t="shared" si="9"/>
        <v>51800</v>
      </c>
      <c r="E24" s="5">
        <f t="shared" si="10"/>
        <v>31800</v>
      </c>
      <c r="F24" s="5">
        <f t="shared" si="11"/>
        <v>230</v>
      </c>
      <c r="G24" s="6">
        <f t="shared" si="1"/>
        <v>37.740110524609392</v>
      </c>
      <c r="H24" s="6">
        <f t="shared" si="2"/>
        <v>23.168639279586461</v>
      </c>
      <c r="I24" s="6">
        <f t="shared" si="3"/>
        <v>14.571471245022931</v>
      </c>
      <c r="J24" s="13"/>
      <c r="K24" s="13"/>
      <c r="L24" s="13"/>
      <c r="N24" s="13">
        <f t="shared" si="4"/>
        <v>20000</v>
      </c>
      <c r="O24" s="13">
        <f t="shared" si="5"/>
        <v>20230</v>
      </c>
      <c r="Q24" s="13">
        <f t="shared" si="6"/>
        <v>0</v>
      </c>
    </row>
    <row r="25" spans="1:17" ht="15.6" x14ac:dyDescent="0.55000000000000004">
      <c r="A25" s="3">
        <f t="shared" si="7"/>
        <v>1900</v>
      </c>
      <c r="B25" s="5">
        <f t="shared" si="8"/>
        <v>1382660</v>
      </c>
      <c r="C25" s="5">
        <f t="shared" si="0"/>
        <v>1392780</v>
      </c>
      <c r="D25" s="5">
        <f t="shared" si="9"/>
        <v>51900</v>
      </c>
      <c r="E25" s="5">
        <f t="shared" si="10"/>
        <v>31900</v>
      </c>
      <c r="F25" s="5">
        <f t="shared" si="11"/>
        <v>240</v>
      </c>
      <c r="G25" s="6">
        <f t="shared" si="1"/>
        <v>37.26360229181924</v>
      </c>
      <c r="H25" s="6">
        <f t="shared" si="2"/>
        <v>22.903832622524735</v>
      </c>
      <c r="I25" s="6">
        <f t="shared" si="3"/>
        <v>14.359769669294504</v>
      </c>
      <c r="J25" s="13"/>
      <c r="K25" s="13"/>
      <c r="L25" s="13"/>
      <c r="N25" s="13">
        <f t="shared" si="4"/>
        <v>20000</v>
      </c>
      <c r="O25" s="13">
        <f t="shared" si="5"/>
        <v>20240</v>
      </c>
      <c r="Q25" s="13">
        <f t="shared" si="6"/>
        <v>0</v>
      </c>
    </row>
    <row r="26" spans="1:17" ht="15.6" x14ac:dyDescent="0.55000000000000004">
      <c r="A26" s="3">
        <f t="shared" si="7"/>
        <v>1901</v>
      </c>
      <c r="B26" s="5">
        <f t="shared" si="8"/>
        <v>1402900</v>
      </c>
      <c r="C26" s="5">
        <f t="shared" si="0"/>
        <v>1413025</v>
      </c>
      <c r="D26" s="5">
        <f t="shared" si="9"/>
        <v>52000</v>
      </c>
      <c r="E26" s="5">
        <f t="shared" si="10"/>
        <v>32000</v>
      </c>
      <c r="F26" s="5">
        <f t="shared" si="11"/>
        <v>250</v>
      </c>
      <c r="G26" s="6">
        <f t="shared" si="1"/>
        <v>36.800481237062328</v>
      </c>
      <c r="H26" s="6">
        <f t="shared" si="2"/>
        <v>22.646449992038356</v>
      </c>
      <c r="I26" s="6">
        <f t="shared" si="3"/>
        <v>14.154031245023972</v>
      </c>
      <c r="J26" s="13"/>
      <c r="K26" s="13"/>
      <c r="L26" s="13"/>
      <c r="N26" s="13">
        <f t="shared" si="4"/>
        <v>20000</v>
      </c>
      <c r="O26" s="13">
        <f t="shared" si="5"/>
        <v>20250</v>
      </c>
      <c r="Q26" s="13">
        <f t="shared" si="6"/>
        <v>0</v>
      </c>
    </row>
    <row r="27" spans="1:17" ht="15.6" x14ac:dyDescent="0.55000000000000004">
      <c r="A27" s="3">
        <f t="shared" si="7"/>
        <v>1902</v>
      </c>
      <c r="B27" s="5">
        <f t="shared" si="8"/>
        <v>1423150</v>
      </c>
      <c r="C27" s="5">
        <f t="shared" si="0"/>
        <v>1433280</v>
      </c>
      <c r="D27" s="5">
        <f t="shared" si="9"/>
        <v>52100</v>
      </c>
      <c r="E27" s="5">
        <f t="shared" si="10"/>
        <v>32100</v>
      </c>
      <c r="F27" s="5">
        <f t="shared" si="11"/>
        <v>260</v>
      </c>
      <c r="G27" s="6">
        <f t="shared" si="1"/>
        <v>36.350189774503235</v>
      </c>
      <c r="H27" s="6">
        <f t="shared" si="2"/>
        <v>22.396182183523106</v>
      </c>
      <c r="I27" s="6">
        <f t="shared" si="3"/>
        <v>13.95400759098013</v>
      </c>
      <c r="J27" s="13"/>
      <c r="K27" s="13"/>
      <c r="L27" s="13"/>
      <c r="N27" s="13">
        <f t="shared" si="4"/>
        <v>20000</v>
      </c>
      <c r="O27" s="13">
        <f t="shared" si="5"/>
        <v>20260</v>
      </c>
      <c r="Q27" s="13">
        <f t="shared" si="6"/>
        <v>0</v>
      </c>
    </row>
    <row r="28" spans="1:17" ht="15.6" x14ac:dyDescent="0.55000000000000004">
      <c r="A28" s="3">
        <f t="shared" si="7"/>
        <v>1903</v>
      </c>
      <c r="B28" s="5">
        <f t="shared" si="8"/>
        <v>1443410</v>
      </c>
      <c r="C28" s="5">
        <f t="shared" si="0"/>
        <v>1453545</v>
      </c>
      <c r="D28" s="5">
        <f t="shared" si="9"/>
        <v>52200</v>
      </c>
      <c r="E28" s="5">
        <f t="shared" si="10"/>
        <v>32200</v>
      </c>
      <c r="F28" s="5">
        <f t="shared" si="11"/>
        <v>270</v>
      </c>
      <c r="G28" s="6">
        <f t="shared" si="1"/>
        <v>35.912200860654472</v>
      </c>
      <c r="H28" s="6">
        <f t="shared" si="2"/>
        <v>22.15273692936923</v>
      </c>
      <c r="I28" s="6">
        <f t="shared" si="3"/>
        <v>13.759463931285243</v>
      </c>
      <c r="J28" s="13"/>
      <c r="K28" s="13"/>
      <c r="L28" s="13"/>
      <c r="N28" s="13">
        <f t="shared" si="4"/>
        <v>20000</v>
      </c>
      <c r="O28" s="13">
        <f t="shared" si="5"/>
        <v>20270</v>
      </c>
      <c r="Q28" s="13">
        <f t="shared" si="6"/>
        <v>0</v>
      </c>
    </row>
    <row r="29" spans="1:17" ht="15.6" x14ac:dyDescent="0.55000000000000004">
      <c r="A29" s="3">
        <f t="shared" si="7"/>
        <v>1904</v>
      </c>
      <c r="B29" s="5">
        <f t="shared" si="8"/>
        <v>1463680</v>
      </c>
      <c r="C29" s="5">
        <f t="shared" si="0"/>
        <v>1473820</v>
      </c>
      <c r="D29" s="5">
        <f t="shared" si="9"/>
        <v>52300</v>
      </c>
      <c r="E29" s="5">
        <f t="shared" si="10"/>
        <v>32300</v>
      </c>
      <c r="F29" s="5">
        <f t="shared" si="11"/>
        <v>280</v>
      </c>
      <c r="G29" s="6">
        <f t="shared" si="1"/>
        <v>35.486015931389176</v>
      </c>
      <c r="H29" s="6">
        <f t="shared" si="2"/>
        <v>21.91583775494972</v>
      </c>
      <c r="I29" s="6">
        <f t="shared" si="3"/>
        <v>13.570178176439455</v>
      </c>
      <c r="J29" s="13"/>
      <c r="K29" s="13"/>
      <c r="L29" s="13"/>
      <c r="N29" s="13">
        <f t="shared" si="4"/>
        <v>20000</v>
      </c>
      <c r="O29" s="13">
        <f t="shared" si="5"/>
        <v>20280</v>
      </c>
      <c r="Q29" s="13">
        <f t="shared" si="6"/>
        <v>0</v>
      </c>
    </row>
    <row r="30" spans="1:17" ht="15.6" x14ac:dyDescent="0.55000000000000004">
      <c r="A30" s="3">
        <f t="shared" si="7"/>
        <v>1905</v>
      </c>
      <c r="B30" s="5">
        <f t="shared" si="8"/>
        <v>1483960</v>
      </c>
      <c r="C30" s="5">
        <f t="shared" si="0"/>
        <v>1494105</v>
      </c>
      <c r="D30" s="5">
        <f t="shared" si="9"/>
        <v>52400</v>
      </c>
      <c r="E30" s="5">
        <f t="shared" si="10"/>
        <v>32400</v>
      </c>
      <c r="F30" s="5">
        <f t="shared" si="11"/>
        <v>290</v>
      </c>
      <c r="G30" s="6">
        <f t="shared" si="1"/>
        <v>35.071163003938807</v>
      </c>
      <c r="H30" s="6">
        <f t="shared" si="2"/>
        <v>21.685222926099573</v>
      </c>
      <c r="I30" s="6">
        <f t="shared" si="3"/>
        <v>13.385940077839233</v>
      </c>
      <c r="J30" s="13"/>
      <c r="K30" s="13"/>
      <c r="L30" s="13"/>
      <c r="N30" s="13">
        <f t="shared" si="4"/>
        <v>20000</v>
      </c>
      <c r="O30" s="13">
        <f t="shared" si="5"/>
        <v>20290</v>
      </c>
      <c r="Q30" s="13">
        <f t="shared" si="6"/>
        <v>0</v>
      </c>
    </row>
    <row r="31" spans="1:17" ht="15.6" x14ac:dyDescent="0.55000000000000004">
      <c r="A31" s="3">
        <f t="shared" si="7"/>
        <v>1906</v>
      </c>
      <c r="B31" s="5">
        <f t="shared" si="8"/>
        <v>1504250</v>
      </c>
      <c r="C31" s="5">
        <f t="shared" si="0"/>
        <v>1514400</v>
      </c>
      <c r="D31" s="5">
        <f t="shared" si="9"/>
        <v>52500</v>
      </c>
      <c r="E31" s="5">
        <f t="shared" si="10"/>
        <v>32500</v>
      </c>
      <c r="F31" s="5">
        <f t="shared" si="11"/>
        <v>300</v>
      </c>
      <c r="G31" s="6">
        <f t="shared" si="1"/>
        <v>34.66719492868463</v>
      </c>
      <c r="H31" s="6">
        <f t="shared" si="2"/>
        <v>21.460644479661912</v>
      </c>
      <c r="I31" s="6">
        <f t="shared" si="3"/>
        <v>13.206550449022718</v>
      </c>
      <c r="J31" s="13"/>
      <c r="K31" s="13"/>
      <c r="L31" s="13"/>
      <c r="N31" s="13">
        <f t="shared" si="4"/>
        <v>20000</v>
      </c>
      <c r="O31" s="13">
        <f t="shared" si="5"/>
        <v>20300</v>
      </c>
      <c r="Q31" s="13">
        <f t="shared" si="6"/>
        <v>0</v>
      </c>
    </row>
    <row r="32" spans="1:17" ht="15.6" x14ac:dyDescent="0.55000000000000004">
      <c r="A32" s="3">
        <f t="shared" si="7"/>
        <v>1907</v>
      </c>
      <c r="B32" s="5">
        <f t="shared" si="8"/>
        <v>1524550</v>
      </c>
      <c r="C32" s="5">
        <f t="shared" si="0"/>
        <v>1534705</v>
      </c>
      <c r="D32" s="5">
        <f t="shared" si="9"/>
        <v>52600</v>
      </c>
      <c r="E32" s="5">
        <f t="shared" si="10"/>
        <v>32600</v>
      </c>
      <c r="F32" s="5">
        <f t="shared" si="11"/>
        <v>310</v>
      </c>
      <c r="G32" s="6">
        <f t="shared" si="1"/>
        <v>34.273687777129808</v>
      </c>
      <c r="H32" s="6">
        <f t="shared" si="2"/>
        <v>21.241867329551933</v>
      </c>
      <c r="I32" s="6">
        <f t="shared" si="3"/>
        <v>13.031820447577875</v>
      </c>
      <c r="J32" s="13"/>
      <c r="K32" s="13"/>
      <c r="L32" s="13"/>
      <c r="N32" s="13">
        <f t="shared" si="4"/>
        <v>20000</v>
      </c>
      <c r="O32" s="13">
        <f t="shared" si="5"/>
        <v>20310</v>
      </c>
      <c r="Q32" s="13">
        <f t="shared" si="6"/>
        <v>0</v>
      </c>
    </row>
    <row r="33" spans="1:17" ht="15.6" x14ac:dyDescent="0.55000000000000004">
      <c r="A33" s="3">
        <f t="shared" si="7"/>
        <v>1908</v>
      </c>
      <c r="B33" s="5">
        <f t="shared" si="8"/>
        <v>1544860</v>
      </c>
      <c r="C33" s="5">
        <f t="shared" si="0"/>
        <v>1555020</v>
      </c>
      <c r="D33" s="5">
        <f t="shared" si="9"/>
        <v>52700</v>
      </c>
      <c r="E33" s="5">
        <f t="shared" si="10"/>
        <v>32700</v>
      </c>
      <c r="F33" s="5">
        <f t="shared" si="11"/>
        <v>320</v>
      </c>
      <c r="G33" s="6">
        <f t="shared" si="1"/>
        <v>33.89023935383468</v>
      </c>
      <c r="H33" s="6">
        <f t="shared" si="2"/>
        <v>21.028668441563454</v>
      </c>
      <c r="I33" s="6">
        <f t="shared" si="3"/>
        <v>12.861570912271226</v>
      </c>
      <c r="J33" s="13"/>
      <c r="K33" s="13"/>
      <c r="L33" s="13"/>
      <c r="N33" s="13">
        <f t="shared" si="4"/>
        <v>20000</v>
      </c>
      <c r="O33" s="13">
        <f t="shared" si="5"/>
        <v>20320</v>
      </c>
      <c r="Q33" s="13">
        <f t="shared" si="6"/>
        <v>0</v>
      </c>
    </row>
    <row r="34" spans="1:17" ht="15.6" x14ac:dyDescent="0.55000000000000004">
      <c r="A34" s="3">
        <f t="shared" si="7"/>
        <v>1909</v>
      </c>
      <c r="B34" s="5">
        <f t="shared" si="8"/>
        <v>1565180</v>
      </c>
      <c r="C34" s="5">
        <f t="shared" si="0"/>
        <v>1575345</v>
      </c>
      <c r="D34" s="5">
        <f t="shared" si="9"/>
        <v>52800</v>
      </c>
      <c r="E34" s="5">
        <f t="shared" si="10"/>
        <v>32800</v>
      </c>
      <c r="F34" s="5">
        <f t="shared" si="11"/>
        <v>330</v>
      </c>
      <c r="G34" s="6">
        <f t="shared" si="1"/>
        <v>33.516467821334373</v>
      </c>
      <c r="H34" s="6">
        <f t="shared" si="2"/>
        <v>20.820836070828928</v>
      </c>
      <c r="I34" s="6">
        <f t="shared" si="3"/>
        <v>12.695631750505445</v>
      </c>
      <c r="J34" s="13"/>
      <c r="K34" s="13"/>
      <c r="L34" s="13"/>
      <c r="N34" s="13">
        <f t="shared" si="4"/>
        <v>20000</v>
      </c>
      <c r="O34" s="13">
        <f t="shared" si="5"/>
        <v>20330</v>
      </c>
      <c r="Q34" s="13">
        <f t="shared" si="6"/>
        <v>0</v>
      </c>
    </row>
    <row r="35" spans="1:17" ht="15.6" x14ac:dyDescent="0.55000000000000004">
      <c r="A35" s="3">
        <f t="shared" si="7"/>
        <v>1910</v>
      </c>
      <c r="B35" s="5">
        <f t="shared" si="8"/>
        <v>1585510</v>
      </c>
      <c r="C35" s="5">
        <f t="shared" si="0"/>
        <v>1595680</v>
      </c>
      <c r="D35" s="5">
        <f t="shared" si="9"/>
        <v>52900</v>
      </c>
      <c r="E35" s="5">
        <f t="shared" si="10"/>
        <v>32900</v>
      </c>
      <c r="F35" s="5">
        <f t="shared" si="11"/>
        <v>340</v>
      </c>
      <c r="G35" s="6">
        <f t="shared" si="1"/>
        <v>33.152010428156018</v>
      </c>
      <c r="H35" s="6">
        <f t="shared" si="2"/>
        <v>20.61816905645242</v>
      </c>
      <c r="I35" s="6">
        <f t="shared" si="3"/>
        <v>12.533841371703598</v>
      </c>
      <c r="J35" s="13"/>
      <c r="K35" s="13"/>
      <c r="L35" s="13"/>
      <c r="N35" s="13">
        <f t="shared" si="4"/>
        <v>20000</v>
      </c>
      <c r="O35" s="13">
        <f t="shared" si="5"/>
        <v>20340</v>
      </c>
      <c r="Q35" s="13">
        <f t="shared" si="6"/>
        <v>0</v>
      </c>
    </row>
    <row r="36" spans="1:17" ht="15.6" x14ac:dyDescent="0.55000000000000004">
      <c r="A36" s="3">
        <f t="shared" si="7"/>
        <v>1911</v>
      </c>
      <c r="B36" s="5">
        <f t="shared" si="8"/>
        <v>1605850</v>
      </c>
      <c r="C36" s="5">
        <f t="shared" si="0"/>
        <v>1616025</v>
      </c>
      <c r="D36" s="5">
        <f t="shared" si="9"/>
        <v>53000</v>
      </c>
      <c r="E36" s="5">
        <f t="shared" si="10"/>
        <v>33000</v>
      </c>
      <c r="F36" s="5">
        <f t="shared" si="11"/>
        <v>350</v>
      </c>
      <c r="G36" s="6">
        <f t="shared" si="1"/>
        <v>32.796522331028299</v>
      </c>
      <c r="H36" s="6">
        <f t="shared" si="2"/>
        <v>20.420476168376108</v>
      </c>
      <c r="I36" s="6">
        <f t="shared" si="3"/>
        <v>12.376046162652191</v>
      </c>
      <c r="J36" s="13"/>
      <c r="K36" s="13"/>
      <c r="L36" s="13"/>
      <c r="N36" s="13">
        <f t="shared" si="4"/>
        <v>20000</v>
      </c>
      <c r="O36" s="13">
        <f t="shared" si="5"/>
        <v>20350</v>
      </c>
      <c r="Q36" s="13">
        <f t="shared" si="6"/>
        <v>0</v>
      </c>
    </row>
    <row r="37" spans="1:17" ht="15.6" x14ac:dyDescent="0.55000000000000004">
      <c r="A37" s="3">
        <f t="shared" si="7"/>
        <v>1912</v>
      </c>
      <c r="B37" s="5">
        <f t="shared" si="8"/>
        <v>1626200</v>
      </c>
      <c r="C37" s="5">
        <f t="shared" si="0"/>
        <v>1636380</v>
      </c>
      <c r="D37" s="5">
        <f t="shared" si="9"/>
        <v>53100</v>
      </c>
      <c r="E37" s="5">
        <f t="shared" si="10"/>
        <v>33100</v>
      </c>
      <c r="F37" s="5">
        <f t="shared" si="11"/>
        <v>360</v>
      </c>
      <c r="G37" s="6">
        <f t="shared" si="1"/>
        <v>32.449675503244968</v>
      </c>
      <c r="H37" s="6">
        <f t="shared" si="2"/>
        <v>20.227575502022759</v>
      </c>
      <c r="I37" s="6">
        <f t="shared" si="3"/>
        <v>12.222100001222209</v>
      </c>
      <c r="J37" s="13"/>
      <c r="K37" s="13"/>
      <c r="L37" s="13"/>
      <c r="N37" s="13">
        <f t="shared" si="4"/>
        <v>20000</v>
      </c>
      <c r="O37" s="13">
        <f t="shared" si="5"/>
        <v>20360</v>
      </c>
      <c r="Q37" s="13">
        <f t="shared" si="6"/>
        <v>0</v>
      </c>
    </row>
    <row r="38" spans="1:17" ht="15.6" x14ac:dyDescent="0.55000000000000004">
      <c r="A38" s="3">
        <f t="shared" si="7"/>
        <v>1913</v>
      </c>
      <c r="B38" s="5">
        <f t="shared" si="8"/>
        <v>1646560</v>
      </c>
      <c r="C38" s="5">
        <f t="shared" si="0"/>
        <v>1656745</v>
      </c>
      <c r="D38" s="5">
        <f t="shared" si="9"/>
        <v>53200</v>
      </c>
      <c r="E38" s="5">
        <f t="shared" si="10"/>
        <v>33200</v>
      </c>
      <c r="F38" s="5">
        <f t="shared" si="11"/>
        <v>370</v>
      </c>
      <c r="G38" s="6">
        <f t="shared" si="1"/>
        <v>32.11115772191858</v>
      </c>
      <c r="H38" s="6">
        <f t="shared" si="2"/>
        <v>20.039293916686031</v>
      </c>
      <c r="I38" s="6">
        <f t="shared" si="3"/>
        <v>12.07186380523255</v>
      </c>
      <c r="J38" s="13"/>
      <c r="K38" s="13"/>
      <c r="L38" s="13"/>
      <c r="N38" s="13">
        <f t="shared" si="4"/>
        <v>20000</v>
      </c>
      <c r="O38" s="13">
        <f t="shared" si="5"/>
        <v>20370</v>
      </c>
      <c r="Q38" s="13">
        <f t="shared" si="6"/>
        <v>0</v>
      </c>
    </row>
    <row r="39" spans="1:17" ht="15.6" x14ac:dyDescent="0.55000000000000004">
      <c r="A39" s="3">
        <f>A38+1</f>
        <v>1914</v>
      </c>
      <c r="B39" s="5">
        <f t="shared" si="8"/>
        <v>1666930</v>
      </c>
      <c r="C39" s="5"/>
      <c r="D39" s="5"/>
      <c r="E39" s="5"/>
      <c r="F39" s="5"/>
      <c r="G39" s="6"/>
      <c r="H39" s="6"/>
      <c r="I39" s="6"/>
      <c r="J39" s="13"/>
      <c r="K39" s="13"/>
      <c r="L39" s="13"/>
    </row>
    <row r="40" spans="1:17" ht="15.6" x14ac:dyDescent="0.55000000000000004">
      <c r="A40" s="3"/>
      <c r="B40" s="5"/>
      <c r="C40" s="5"/>
      <c r="D40" s="5"/>
      <c r="E40" s="5"/>
      <c r="F40" s="5"/>
      <c r="G40" s="4"/>
      <c r="H40" s="4"/>
      <c r="I40" s="4"/>
      <c r="J40" s="13"/>
      <c r="K40" s="13"/>
      <c r="L40" s="13"/>
    </row>
    <row r="41" spans="1:17" ht="15.6" x14ac:dyDescent="0.6">
      <c r="A41" s="10" t="s">
        <v>11</v>
      </c>
      <c r="B41" s="10"/>
      <c r="C41" s="10"/>
      <c r="D41" s="11">
        <f>SUM(D6:D20)</f>
        <v>760500</v>
      </c>
      <c r="E41" s="11">
        <f t="shared" ref="E41:O41" si="12">SUM(E6:E20)</f>
        <v>460500</v>
      </c>
      <c r="F41" s="11">
        <f t="shared" si="12"/>
        <v>1800</v>
      </c>
      <c r="G41" s="12">
        <f>AVERAGE(G6:G20)</f>
        <v>44.284960471317206</v>
      </c>
      <c r="H41" s="12">
        <f>AVERAGE(H6:H20)</f>
        <v>26.804245110008651</v>
      </c>
      <c r="I41" s="12">
        <f>AVERAGE(I6:I20)</f>
        <v>17.480715361308548</v>
      </c>
      <c r="J41" s="11">
        <f t="shared" si="12"/>
        <v>0</v>
      </c>
      <c r="K41" s="11">
        <f t="shared" si="12"/>
        <v>0</v>
      </c>
      <c r="L41" s="11">
        <f t="shared" si="12"/>
        <v>0</v>
      </c>
      <c r="N41" s="11">
        <f t="shared" si="12"/>
        <v>300000</v>
      </c>
      <c r="O41" s="11">
        <f t="shared" si="12"/>
        <v>301800</v>
      </c>
    </row>
    <row r="42" spans="1:17" ht="15.6" x14ac:dyDescent="0.6">
      <c r="A42" s="10" t="s">
        <v>12</v>
      </c>
      <c r="B42" s="10"/>
      <c r="C42" s="10"/>
      <c r="D42" s="11">
        <f>SUM(D21:D39)</f>
        <v>942300</v>
      </c>
      <c r="E42" s="11">
        <f>SUM(E21:E39)</f>
        <v>582300</v>
      </c>
      <c r="F42" s="11">
        <f>SUM(F21:F39)</f>
        <v>5130</v>
      </c>
      <c r="G42" s="12">
        <f>AVERAGE(G21:G38)</f>
        <v>35.4279467724824</v>
      </c>
      <c r="H42" s="12">
        <f>AVERAGE(H21:H38)</f>
        <v>21.883358900395795</v>
      </c>
      <c r="I42" s="12">
        <f>AVERAGE(I21:I38)</f>
        <v>13.544587872086607</v>
      </c>
      <c r="J42" s="11">
        <f>SUM(J21:J39)</f>
        <v>0</v>
      </c>
      <c r="K42" s="11">
        <f>SUM(K21:K39)</f>
        <v>0</v>
      </c>
      <c r="L42" s="11">
        <f>SUM(L21:L39)</f>
        <v>0</v>
      </c>
      <c r="N42" s="11">
        <f>SUM(N21:N39)</f>
        <v>360000</v>
      </c>
      <c r="O42" s="11">
        <f>SUM(O21:O39)</f>
        <v>365130</v>
      </c>
    </row>
    <row r="43" spans="1:17" ht="15.6" x14ac:dyDescent="0.6">
      <c r="A43" s="10" t="s">
        <v>13</v>
      </c>
      <c r="B43" s="10"/>
      <c r="C43" s="10"/>
      <c r="D43" s="11">
        <f>D41+D42</f>
        <v>1702800</v>
      </c>
      <c r="E43" s="11">
        <f>E41+E42</f>
        <v>1042800</v>
      </c>
      <c r="F43" s="11">
        <f>F41+F42</f>
        <v>6930</v>
      </c>
      <c r="G43" s="12">
        <f>AVERAGE(G6:G38)</f>
        <v>39.453862090134571</v>
      </c>
      <c r="H43" s="12">
        <f>AVERAGE(H6:H38)</f>
        <v>24.12012535931073</v>
      </c>
      <c r="I43" s="12">
        <f>AVERAGE(I6:I38)</f>
        <v>15.333736730823857</v>
      </c>
      <c r="J43" s="11">
        <f>J41+J42</f>
        <v>0</v>
      </c>
      <c r="K43" s="11">
        <f>K41+K42</f>
        <v>0</v>
      </c>
      <c r="L43" s="11">
        <f>L41+L42</f>
        <v>0</v>
      </c>
      <c r="N43" s="11">
        <f>N41+N42</f>
        <v>660000</v>
      </c>
      <c r="O43" s="11">
        <f>O41+O42</f>
        <v>666930</v>
      </c>
    </row>
  </sheetData>
  <mergeCells count="2">
    <mergeCell ref="B4:C4"/>
    <mergeCell ref="N4:O4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2026-09-09T16:46:57Z</dcterms:created>
  <dcterms:modified xsi:type="dcterms:W3CDTF">2026-09-17T23:40:56Z</dcterms:modified>
</cp:coreProperties>
</file>