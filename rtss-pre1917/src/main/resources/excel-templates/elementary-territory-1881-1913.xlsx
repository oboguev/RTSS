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C97B12AF-5CB4-4942-A7A0-006A5C865B44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3" i="1" l="1"/>
  <c r="I42" i="1"/>
  <c r="I41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D42" i="1"/>
  <c r="B7" i="1"/>
  <c r="C6" i="1" s="1"/>
  <c r="G6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D41" i="1" a="1"/>
  <c r="D41" i="1" s="1"/>
  <c r="D43" i="1" s="1"/>
  <c r="E41" i="1" a="1"/>
  <c r="E41" i="1" s="1"/>
  <c r="E43" i="1" s="1"/>
  <c r="E42" i="1"/>
  <c r="F41" i="1" a="1"/>
  <c r="F41" i="1" s="1"/>
  <c r="H6" i="1"/>
  <c r="B8" i="1"/>
  <c r="F42" i="1" l="1"/>
  <c r="F43" i="1" s="1"/>
  <c r="C7" i="1"/>
  <c r="B9" i="1"/>
  <c r="H7" i="1" l="1"/>
  <c r="G7" i="1"/>
  <c r="B10" i="1"/>
  <c r="C9" i="1"/>
  <c r="C8" i="1"/>
  <c r="G8" i="1" l="1"/>
  <c r="H8" i="1"/>
  <c r="G9" i="1"/>
  <c r="H9" i="1"/>
  <c r="B11" i="1"/>
  <c r="C10" i="1" s="1"/>
  <c r="H10" i="1" l="1"/>
  <c r="G10" i="1"/>
  <c r="B12" i="1"/>
  <c r="B13" i="1" l="1"/>
  <c r="C12" i="1"/>
  <c r="C11" i="1"/>
  <c r="H11" i="1" l="1"/>
  <c r="G11" i="1"/>
  <c r="H12" i="1"/>
  <c r="G12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H15" i="1" l="1"/>
  <c r="G15" i="1"/>
  <c r="G16" i="1"/>
  <c r="H16" i="1"/>
  <c r="B18" i="1"/>
  <c r="B19" i="1" l="1"/>
  <c r="C18" i="1"/>
  <c r="C17" i="1"/>
  <c r="G17" i="1" l="1"/>
  <c r="H17" i="1"/>
  <c r="G18" i="1"/>
  <c r="H18" i="1"/>
  <c r="B20" i="1"/>
  <c r="C19" i="1" s="1"/>
  <c r="H19" i="1" l="1"/>
  <c r="G19" i="1"/>
  <c r="B21" i="1"/>
  <c r="C20" i="1" s="1"/>
  <c r="H20" i="1" l="1"/>
  <c r="H41" i="1" s="1"/>
  <c r="G20" i="1"/>
  <c r="G41" i="1" s="1"/>
  <c r="B22" i="1"/>
  <c r="C21" i="1" s="1"/>
  <c r="G21" i="1" l="1"/>
  <c r="H21" i="1"/>
  <c r="B23" i="1"/>
  <c r="C22" i="1"/>
  <c r="H22" i="1" l="1"/>
  <c r="G22" i="1"/>
  <c r="B24" i="1"/>
  <c r="C23" i="1" s="1"/>
  <c r="G23" i="1" l="1"/>
  <c r="H23" i="1"/>
  <c r="B25" i="1"/>
  <c r="C24" i="1"/>
  <c r="G24" i="1" l="1"/>
  <c r="H24" i="1"/>
  <c r="B26" i="1"/>
  <c r="C25" i="1" s="1"/>
  <c r="G25" i="1" l="1"/>
  <c r="H25" i="1"/>
  <c r="B27" i="1"/>
  <c r="C26" i="1"/>
  <c r="H26" i="1" l="1"/>
  <c r="G26" i="1"/>
  <c r="B28" i="1"/>
  <c r="C27" i="1"/>
  <c r="H27" i="1" l="1"/>
  <c r="G27" i="1"/>
  <c r="B29" i="1"/>
  <c r="C28" i="1"/>
  <c r="G28" i="1" l="1"/>
  <c r="H28" i="1"/>
  <c r="B30" i="1"/>
  <c r="C29" i="1"/>
  <c r="H29" i="1" l="1"/>
  <c r="G29" i="1"/>
  <c r="B31" i="1"/>
  <c r="C30" i="1"/>
  <c r="H30" i="1" l="1"/>
  <c r="G30" i="1"/>
  <c r="B32" i="1"/>
  <c r="C31" i="1"/>
  <c r="H31" i="1" l="1"/>
  <c r="G31" i="1"/>
  <c r="B33" i="1"/>
  <c r="C32" i="1" s="1"/>
  <c r="H32" i="1" l="1"/>
  <c r="G32" i="1"/>
  <c r="B34" i="1"/>
  <c r="C33" i="1" s="1"/>
  <c r="G33" i="1" l="1"/>
  <c r="H33" i="1"/>
  <c r="B35" i="1"/>
  <c r="C34" i="1"/>
  <c r="G34" i="1" l="1"/>
  <c r="H34" i="1"/>
  <c r="B36" i="1"/>
  <c r="C35" i="1" s="1"/>
  <c r="G35" i="1" l="1"/>
  <c r="H35" i="1"/>
  <c r="B37" i="1"/>
  <c r="C36" i="1"/>
  <c r="G36" i="1" l="1"/>
  <c r="H36" i="1"/>
  <c r="B38" i="1"/>
  <c r="B39" i="1" l="1"/>
  <c r="C38" i="1" s="1"/>
  <c r="C37" i="1"/>
  <c r="G37" i="1" l="1"/>
  <c r="H37" i="1"/>
  <c r="G38" i="1"/>
  <c r="H38" i="1"/>
  <c r="H43" i="1" l="1"/>
  <c r="H42" i="1"/>
  <c r="G43" i="1"/>
  <c r="G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<sst xmlns="http://schemas.openxmlformats.org/spreadsheetml/2006/main" count="15" uniqueCount="15">
  <si>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</si>
  <si>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</si>
  <si>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</si>
  <si>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</si>
  <si>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</si>
  <si>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</si>
  <si>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</si>
  <si>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</si>
  <si>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</si>
  <si>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</si>
  <si>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</si>
  <si>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</si>
  <si>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1896-1913</t>
  </si>
  <si>
    <t>1881-1913</t>
  </si>
  <si>
    <t>еп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</si>
</sst>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data!$G$6:$G$38</c:f>
              <c:numCache>
                <c:formatCode>0.0</c:formatCode>
                <c:ptCount val="33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D3-4551-AEEC-1BFCC39DD9F9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data!$H$6:$H$38</c:f>
              <c:numCache>
                <c:formatCode>0.0</c:formatCode>
                <c:ptCount val="33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D3-4551-AEEC-1BFCC39DD9F9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data!$I$6:$I$38</c:f>
              <c:numCache>
                <c:formatCode>0.0</c:formatCode>
                <c:ptCount val="33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D3-4551-AEEC-1BFCC39D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2512672"/>
        <c:axId val="1410196976"/>
      </c:scatterChart>
      <c:valAx>
        <c:axId val="1502512672"/>
        <c:scaling>
          <c:orientation val="minMax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410196976"/>
        <c:crosses val="autoZero"/>
        <c:crossBetween val="midCat"/>
      </c:valAx>
      <c:valAx>
        <c:axId val="14101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50251267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45</xdr:row>
      <xdr:rowOff>14286</xdr:rowOff>
    </xdr:from>
    <xdr:to>
      <xdr:col>31</xdr:col>
      <xdr:colOff>19050</xdr:colOff>
      <xdr:row>91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</xdr:colOff>
      <xdr:row>92</xdr:row>
      <xdr:rowOff>4761</xdr:rowOff>
    </xdr:from>
    <xdr:to>
      <xdr:col>30</xdr:col>
      <xdr:colOff>590550</xdr:colOff>
      <xdr:row>137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626745</xdr:colOff>
      <xdr:row>0</xdr:row>
      <xdr:rowOff>277176</xdr:rowOff>
    </xdr:from>
    <xdr:to>
      <xdr:col>30</xdr:col>
      <xdr:colOff>619125</xdr:colOff>
      <xdr:row>43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9D47B1-F1ED-4335-C533-4F5C4D290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I43"/>
  <sheetViews>
    <sheetView tabSelected="1" workbookViewId="0">
      <selection activeCell="AP34" sqref="AP34"/>
    </sheetView>
  </sheetViews>
  <sheetFormatPr defaultRowHeight="14.4" x14ac:dyDescent="0.55000000000000004"/>
  <cols>
    <col min="1" max="1" width="9.83984375" customWidth="1"/>
    <col min="2" max="2" width="13.15625" customWidth="1"/>
    <col min="3" max="3" width="15.578125" customWidth="1"/>
    <col min="4" max="5" width="9.26171875" bestFit="1" customWidth="1"/>
    <col min="6" max="9" width="8.89453125" bestFit="1" customWidth="1"/>
  </cols>
  <sheetData>
    <row r="1" spans="1:9" ht="23.1" x14ac:dyDescent="0.8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9" ht="15.6" x14ac:dyDescent="0.6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ht="15.6" x14ac:dyDescent="0.6">
      <c r="A3" s="1"/>
      <c r="B3" s="1"/>
      <c r="C3" s="1"/>
      <c r="D3" s="1"/>
      <c r="E3" s="1"/>
      <c r="F3" s="1"/>
      <c r="G3" s="1"/>
      <c r="H3" s="1"/>
      <c r="I3" s="1"/>
    </row>
    <row r="4" spans="1:9" ht="15.6" x14ac:dyDescent="0.55000000000000004">
      <c r="A4" s="9" t="s">
        <v>2</v>
      </c>
      <c r="B4" s="10" t="s">
        <v>10</v>
      </c>
      <c r="C4" s="10"/>
      <c r="D4" s="2"/>
      <c r="E4" s="2"/>
      <c r="F4" s="2"/>
      <c r="G4" s="2"/>
      <c r="H4" s="2"/>
      <c r="I4" s="2"/>
    </row>
    <row r="5" spans="1:9" ht="15.6" x14ac:dyDescent="0.55000000000000004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</row>
    <row r="6" spans="1:9" ht="15.6" x14ac:dyDescent="0.55000000000000004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</row>
    <row r="7" spans="1:9" ht="15.6" x14ac:dyDescent="0.55000000000000004">
      <c r="A7" s="3">
        <f>A6+1</f>
        <v>1882</v>
      </c>
      <c r="B7" s="5">
        <f>B6+D6-E6+F6</f>
        <v>1020050</v>
      </c>
      <c r="C7" s="5">
        <f t="shared" ref="C7:C38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8" si="1">D7/C7*1000</f>
        <v>48.636999068033553</v>
      </c>
      <c r="H7" s="6">
        <f t="shared" ref="H7:H38" si="2">E7/C7*1000</f>
        <v>29.22103137620379</v>
      </c>
      <c r="I7" s="6">
        <f t="shared" ref="I7:I38" si="3">G7-H7</f>
        <v>19.415967691829763</v>
      </c>
    </row>
    <row r="8" spans="1:9" ht="15.6" x14ac:dyDescent="0.55000000000000004">
      <c r="A8" s="3">
        <f t="shared" ref="A8:A38" si="4">A7+1</f>
        <v>1883</v>
      </c>
      <c r="B8" s="5">
        <f t="shared" ref="B8:B39" si="5">B7+D7-E7+F7</f>
        <v>1040110</v>
      </c>
      <c r="C8" s="5">
        <f t="shared" si="0"/>
        <v>1050145</v>
      </c>
      <c r="D8" s="5">
        <f t="shared" ref="D8:D38" si="6">D7+100</f>
        <v>50200</v>
      </c>
      <c r="E8" s="5">
        <f t="shared" ref="E8:E38" si="7">E7+100</f>
        <v>30200</v>
      </c>
      <c r="F8" s="5">
        <f t="shared" ref="F8:F38" si="8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</row>
    <row r="9" spans="1:9" ht="15.6" x14ac:dyDescent="0.55000000000000004">
      <c r="A9" s="3">
        <f t="shared" si="4"/>
        <v>1884</v>
      </c>
      <c r="B9" s="5">
        <f t="shared" si="5"/>
        <v>1060180</v>
      </c>
      <c r="C9" s="5">
        <f t="shared" si="0"/>
        <v>1070220</v>
      </c>
      <c r="D9" s="5">
        <f t="shared" si="6"/>
        <v>50300</v>
      </c>
      <c r="E9" s="5">
        <f t="shared" si="7"/>
        <v>30300</v>
      </c>
      <c r="F9" s="5">
        <f t="shared" si="8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</row>
    <row r="10" spans="1:9" ht="15.6" x14ac:dyDescent="0.55000000000000004">
      <c r="A10" s="3">
        <f t="shared" si="4"/>
        <v>1885</v>
      </c>
      <c r="B10" s="5">
        <f t="shared" si="5"/>
        <v>1080260</v>
      </c>
      <c r="C10" s="5">
        <f t="shared" si="0"/>
        <v>1090305</v>
      </c>
      <c r="D10" s="5">
        <f t="shared" si="6"/>
        <v>50400</v>
      </c>
      <c r="E10" s="5">
        <f t="shared" si="7"/>
        <v>30400</v>
      </c>
      <c r="F10" s="5">
        <f t="shared" si="8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</row>
    <row r="11" spans="1:9" ht="15.6" x14ac:dyDescent="0.55000000000000004">
      <c r="A11" s="3">
        <f t="shared" si="4"/>
        <v>1886</v>
      </c>
      <c r="B11" s="5">
        <f t="shared" si="5"/>
        <v>1100350</v>
      </c>
      <c r="C11" s="5">
        <f t="shared" si="0"/>
        <v>1110400</v>
      </c>
      <c r="D11" s="5">
        <f t="shared" si="6"/>
        <v>50500</v>
      </c>
      <c r="E11" s="5">
        <f t="shared" si="7"/>
        <v>30500</v>
      </c>
      <c r="F11" s="5">
        <f t="shared" si="8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</row>
    <row r="12" spans="1:9" ht="15.6" x14ac:dyDescent="0.55000000000000004">
      <c r="A12" s="3">
        <f t="shared" si="4"/>
        <v>1887</v>
      </c>
      <c r="B12" s="5">
        <f t="shared" si="5"/>
        <v>1120450</v>
      </c>
      <c r="C12" s="5">
        <f t="shared" si="0"/>
        <v>1130505</v>
      </c>
      <c r="D12" s="5">
        <f t="shared" si="6"/>
        <v>50600</v>
      </c>
      <c r="E12" s="5">
        <f t="shared" si="7"/>
        <v>30600</v>
      </c>
      <c r="F12" s="5">
        <f t="shared" si="8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</row>
    <row r="13" spans="1:9" ht="15.6" x14ac:dyDescent="0.55000000000000004">
      <c r="A13" s="3">
        <f t="shared" si="4"/>
        <v>1888</v>
      </c>
      <c r="B13" s="5">
        <f t="shared" si="5"/>
        <v>1140560</v>
      </c>
      <c r="C13" s="5">
        <f t="shared" si="0"/>
        <v>1150620</v>
      </c>
      <c r="D13" s="5">
        <f t="shared" si="6"/>
        <v>50700</v>
      </c>
      <c r="E13" s="5">
        <f t="shared" si="7"/>
        <v>30700</v>
      </c>
      <c r="F13" s="5">
        <f t="shared" si="8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</row>
    <row r="14" spans="1:9" ht="15.6" x14ac:dyDescent="0.55000000000000004">
      <c r="A14" s="3">
        <f t="shared" si="4"/>
        <v>1889</v>
      </c>
      <c r="B14" s="5">
        <f t="shared" si="5"/>
        <v>1160680</v>
      </c>
      <c r="C14" s="5">
        <f t="shared" si="0"/>
        <v>1170745</v>
      </c>
      <c r="D14" s="5">
        <f t="shared" si="6"/>
        <v>50800</v>
      </c>
      <c r="E14" s="5">
        <f t="shared" si="7"/>
        <v>30800</v>
      </c>
      <c r="F14" s="5">
        <f t="shared" si="8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</row>
    <row r="15" spans="1:9" ht="15.6" x14ac:dyDescent="0.55000000000000004">
      <c r="A15" s="3">
        <f t="shared" si="4"/>
        <v>1890</v>
      </c>
      <c r="B15" s="5">
        <f t="shared" si="5"/>
        <v>1180810</v>
      </c>
      <c r="C15" s="5">
        <f t="shared" si="0"/>
        <v>1190880</v>
      </c>
      <c r="D15" s="5">
        <f t="shared" si="6"/>
        <v>50900</v>
      </c>
      <c r="E15" s="5">
        <f t="shared" si="7"/>
        <v>30900</v>
      </c>
      <c r="F15" s="5">
        <f t="shared" si="8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</row>
    <row r="16" spans="1:9" ht="15.6" x14ac:dyDescent="0.55000000000000004">
      <c r="A16" s="3">
        <f t="shared" si="4"/>
        <v>1891</v>
      </c>
      <c r="B16" s="5">
        <f t="shared" si="5"/>
        <v>1200950</v>
      </c>
      <c r="C16" s="5">
        <f t="shared" si="0"/>
        <v>1211025</v>
      </c>
      <c r="D16" s="5">
        <f t="shared" si="6"/>
        <v>51000</v>
      </c>
      <c r="E16" s="5">
        <f t="shared" si="7"/>
        <v>31000</v>
      </c>
      <c r="F16" s="5">
        <f t="shared" si="8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</row>
    <row r="17" spans="1:9" ht="15.6" x14ac:dyDescent="0.55000000000000004">
      <c r="A17" s="3">
        <f t="shared" si="4"/>
        <v>1892</v>
      </c>
      <c r="B17" s="5">
        <f t="shared" si="5"/>
        <v>1221100</v>
      </c>
      <c r="C17" s="5">
        <f t="shared" si="0"/>
        <v>1231180</v>
      </c>
      <c r="D17" s="5">
        <f t="shared" si="6"/>
        <v>51100</v>
      </c>
      <c r="E17" s="5">
        <f t="shared" si="7"/>
        <v>31100</v>
      </c>
      <c r="F17" s="5">
        <f t="shared" si="8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</row>
    <row r="18" spans="1:9" ht="15.6" x14ac:dyDescent="0.55000000000000004">
      <c r="A18" s="3">
        <f t="shared" si="4"/>
        <v>1893</v>
      </c>
      <c r="B18" s="5">
        <f t="shared" si="5"/>
        <v>1241260</v>
      </c>
      <c r="C18" s="5">
        <f t="shared" si="0"/>
        <v>1251345</v>
      </c>
      <c r="D18" s="5">
        <f t="shared" si="6"/>
        <v>51200</v>
      </c>
      <c r="E18" s="5">
        <f t="shared" si="7"/>
        <v>31200</v>
      </c>
      <c r="F18" s="5">
        <f t="shared" si="8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</row>
    <row r="19" spans="1:9" ht="15.6" x14ac:dyDescent="0.55000000000000004">
      <c r="A19" s="3">
        <f t="shared" si="4"/>
        <v>1894</v>
      </c>
      <c r="B19" s="5">
        <f t="shared" si="5"/>
        <v>1261430</v>
      </c>
      <c r="C19" s="5">
        <f t="shared" si="0"/>
        <v>1271520</v>
      </c>
      <c r="D19" s="5">
        <f t="shared" si="6"/>
        <v>51300</v>
      </c>
      <c r="E19" s="5">
        <f t="shared" si="7"/>
        <v>31300</v>
      </c>
      <c r="F19" s="5">
        <f t="shared" si="8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</row>
    <row r="20" spans="1:9" ht="15.6" x14ac:dyDescent="0.55000000000000004">
      <c r="A20" s="3">
        <f t="shared" si="4"/>
        <v>1895</v>
      </c>
      <c r="B20" s="5">
        <f t="shared" si="5"/>
        <v>1281610</v>
      </c>
      <c r="C20" s="5">
        <f t="shared" si="0"/>
        <v>1291705</v>
      </c>
      <c r="D20" s="5">
        <f t="shared" si="6"/>
        <v>51400</v>
      </c>
      <c r="E20" s="5">
        <f t="shared" si="7"/>
        <v>31400</v>
      </c>
      <c r="F20" s="5">
        <f t="shared" si="8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</row>
    <row r="21" spans="1:9" ht="15.6" x14ac:dyDescent="0.55000000000000004">
      <c r="A21" s="3">
        <f t="shared" si="4"/>
        <v>1896</v>
      </c>
      <c r="B21" s="5">
        <f t="shared" si="5"/>
        <v>1301800</v>
      </c>
      <c r="C21" s="5">
        <f t="shared" si="0"/>
        <v>1311900</v>
      </c>
      <c r="D21" s="5">
        <f t="shared" si="6"/>
        <v>51500</v>
      </c>
      <c r="E21" s="5">
        <f t="shared" si="7"/>
        <v>31500</v>
      </c>
      <c r="F21" s="5">
        <f t="shared" si="8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</row>
    <row r="22" spans="1:9" ht="15.6" x14ac:dyDescent="0.55000000000000004">
      <c r="A22" s="3">
        <f t="shared" si="4"/>
        <v>1897</v>
      </c>
      <c r="B22" s="5">
        <f t="shared" si="5"/>
        <v>1322000</v>
      </c>
      <c r="C22" s="5">
        <f t="shared" si="0"/>
        <v>1332105</v>
      </c>
      <c r="D22" s="5">
        <f t="shared" si="6"/>
        <v>51600</v>
      </c>
      <c r="E22" s="5">
        <f t="shared" si="7"/>
        <v>31600</v>
      </c>
      <c r="F22" s="5">
        <f t="shared" si="8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</row>
    <row r="23" spans="1:9" ht="15.6" x14ac:dyDescent="0.55000000000000004">
      <c r="A23" s="3">
        <f t="shared" si="4"/>
        <v>1898</v>
      </c>
      <c r="B23" s="5">
        <f t="shared" si="5"/>
        <v>1342210</v>
      </c>
      <c r="C23" s="5">
        <f t="shared" si="0"/>
        <v>1352320</v>
      </c>
      <c r="D23" s="5">
        <f t="shared" si="6"/>
        <v>51700</v>
      </c>
      <c r="E23" s="5">
        <f t="shared" si="7"/>
        <v>31700</v>
      </c>
      <c r="F23" s="5">
        <f t="shared" si="8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</row>
    <row r="24" spans="1:9" ht="15.6" x14ac:dyDescent="0.55000000000000004">
      <c r="A24" s="3">
        <f t="shared" si="4"/>
        <v>1899</v>
      </c>
      <c r="B24" s="5">
        <f t="shared" si="5"/>
        <v>1362430</v>
      </c>
      <c r="C24" s="5">
        <f t="shared" si="0"/>
        <v>1372545</v>
      </c>
      <c r="D24" s="5">
        <f t="shared" si="6"/>
        <v>51800</v>
      </c>
      <c r="E24" s="5">
        <f t="shared" si="7"/>
        <v>31800</v>
      </c>
      <c r="F24" s="5">
        <f t="shared" si="8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</row>
    <row r="25" spans="1:9" ht="15.6" x14ac:dyDescent="0.55000000000000004">
      <c r="A25" s="3">
        <f t="shared" si="4"/>
        <v>1900</v>
      </c>
      <c r="B25" s="5">
        <f t="shared" si="5"/>
        <v>1382660</v>
      </c>
      <c r="C25" s="5">
        <f t="shared" si="0"/>
        <v>1392780</v>
      </c>
      <c r="D25" s="5">
        <f t="shared" si="6"/>
        <v>51900</v>
      </c>
      <c r="E25" s="5">
        <f t="shared" si="7"/>
        <v>31900</v>
      </c>
      <c r="F25" s="5">
        <f t="shared" si="8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</row>
    <row r="26" spans="1:9" ht="15.6" x14ac:dyDescent="0.55000000000000004">
      <c r="A26" s="3">
        <f t="shared" si="4"/>
        <v>1901</v>
      </c>
      <c r="B26" s="5">
        <f t="shared" si="5"/>
        <v>1402900</v>
      </c>
      <c r="C26" s="5">
        <f t="shared" si="0"/>
        <v>1413025</v>
      </c>
      <c r="D26" s="5">
        <f t="shared" si="6"/>
        <v>52000</v>
      </c>
      <c r="E26" s="5">
        <f t="shared" si="7"/>
        <v>32000</v>
      </c>
      <c r="F26" s="5">
        <f t="shared" si="8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</row>
    <row r="27" spans="1:9" ht="15.6" x14ac:dyDescent="0.55000000000000004">
      <c r="A27" s="3">
        <f t="shared" si="4"/>
        <v>1902</v>
      </c>
      <c r="B27" s="5">
        <f t="shared" si="5"/>
        <v>1423150</v>
      </c>
      <c r="C27" s="5">
        <f t="shared" si="0"/>
        <v>1433280</v>
      </c>
      <c r="D27" s="5">
        <f t="shared" si="6"/>
        <v>52100</v>
      </c>
      <c r="E27" s="5">
        <f t="shared" si="7"/>
        <v>32100</v>
      </c>
      <c r="F27" s="5">
        <f t="shared" si="8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</row>
    <row r="28" spans="1:9" ht="15.6" x14ac:dyDescent="0.55000000000000004">
      <c r="A28" s="3">
        <f t="shared" si="4"/>
        <v>1903</v>
      </c>
      <c r="B28" s="5">
        <f t="shared" si="5"/>
        <v>1443410</v>
      </c>
      <c r="C28" s="5">
        <f t="shared" si="0"/>
        <v>1453545</v>
      </c>
      <c r="D28" s="5">
        <f t="shared" si="6"/>
        <v>52200</v>
      </c>
      <c r="E28" s="5">
        <f t="shared" si="7"/>
        <v>32200</v>
      </c>
      <c r="F28" s="5">
        <f t="shared" si="8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</row>
    <row r="29" spans="1:9" ht="15.6" x14ac:dyDescent="0.55000000000000004">
      <c r="A29" s="3">
        <f t="shared" si="4"/>
        <v>1904</v>
      </c>
      <c r="B29" s="5">
        <f t="shared" si="5"/>
        <v>1463680</v>
      </c>
      <c r="C29" s="5">
        <f t="shared" si="0"/>
        <v>1473820</v>
      </c>
      <c r="D29" s="5">
        <f t="shared" si="6"/>
        <v>52300</v>
      </c>
      <c r="E29" s="5">
        <f t="shared" si="7"/>
        <v>32300</v>
      </c>
      <c r="F29" s="5">
        <f t="shared" si="8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</row>
    <row r="30" spans="1:9" ht="15.6" x14ac:dyDescent="0.55000000000000004">
      <c r="A30" s="3">
        <f t="shared" si="4"/>
        <v>1905</v>
      </c>
      <c r="B30" s="5">
        <f t="shared" si="5"/>
        <v>1483960</v>
      </c>
      <c r="C30" s="5">
        <f t="shared" si="0"/>
        <v>1494105</v>
      </c>
      <c r="D30" s="5">
        <f t="shared" si="6"/>
        <v>52400</v>
      </c>
      <c r="E30" s="5">
        <f t="shared" si="7"/>
        <v>32400</v>
      </c>
      <c r="F30" s="5">
        <f t="shared" si="8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</row>
    <row r="31" spans="1:9" ht="15.6" x14ac:dyDescent="0.55000000000000004">
      <c r="A31" s="3">
        <f t="shared" si="4"/>
        <v>1906</v>
      </c>
      <c r="B31" s="5">
        <f t="shared" si="5"/>
        <v>1504250</v>
      </c>
      <c r="C31" s="5">
        <f t="shared" si="0"/>
        <v>1514400</v>
      </c>
      <c r="D31" s="5">
        <f t="shared" si="6"/>
        <v>52500</v>
      </c>
      <c r="E31" s="5">
        <f t="shared" si="7"/>
        <v>32500</v>
      </c>
      <c r="F31" s="5">
        <f t="shared" si="8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</row>
    <row r="32" spans="1:9" ht="15.6" x14ac:dyDescent="0.55000000000000004">
      <c r="A32" s="3">
        <f t="shared" si="4"/>
        <v>1907</v>
      </c>
      <c r="B32" s="5">
        <f t="shared" si="5"/>
        <v>1524550</v>
      </c>
      <c r="C32" s="5">
        <f t="shared" si="0"/>
        <v>1534705</v>
      </c>
      <c r="D32" s="5">
        <f t="shared" si="6"/>
        <v>52600</v>
      </c>
      <c r="E32" s="5">
        <f t="shared" si="7"/>
        <v>32600</v>
      </c>
      <c r="F32" s="5">
        <f t="shared" si="8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</row>
    <row r="33" spans="1:9" ht="15.6" x14ac:dyDescent="0.55000000000000004">
      <c r="A33" s="3">
        <f t="shared" si="4"/>
        <v>1908</v>
      </c>
      <c r="B33" s="5">
        <f t="shared" si="5"/>
        <v>1544860</v>
      </c>
      <c r="C33" s="5">
        <f t="shared" si="0"/>
        <v>1555020</v>
      </c>
      <c r="D33" s="5">
        <f t="shared" si="6"/>
        <v>52700</v>
      </c>
      <c r="E33" s="5">
        <f t="shared" si="7"/>
        <v>32700</v>
      </c>
      <c r="F33" s="5">
        <f t="shared" si="8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</row>
    <row r="34" spans="1:9" ht="15.6" x14ac:dyDescent="0.55000000000000004">
      <c r="A34" s="3">
        <f t="shared" si="4"/>
        <v>1909</v>
      </c>
      <c r="B34" s="5">
        <f t="shared" si="5"/>
        <v>1565180</v>
      </c>
      <c r="C34" s="5">
        <f t="shared" si="0"/>
        <v>1575345</v>
      </c>
      <c r="D34" s="5">
        <f t="shared" si="6"/>
        <v>52800</v>
      </c>
      <c r="E34" s="5">
        <f t="shared" si="7"/>
        <v>32800</v>
      </c>
      <c r="F34" s="5">
        <f t="shared" si="8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</row>
    <row r="35" spans="1:9" ht="15.6" x14ac:dyDescent="0.55000000000000004">
      <c r="A35" s="3">
        <f t="shared" si="4"/>
        <v>1910</v>
      </c>
      <c r="B35" s="5">
        <f t="shared" si="5"/>
        <v>1585510</v>
      </c>
      <c r="C35" s="5">
        <f t="shared" si="0"/>
        <v>1595680</v>
      </c>
      <c r="D35" s="5">
        <f t="shared" si="6"/>
        <v>52900</v>
      </c>
      <c r="E35" s="5">
        <f t="shared" si="7"/>
        <v>32900</v>
      </c>
      <c r="F35" s="5">
        <f t="shared" si="8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</row>
    <row r="36" spans="1:9" ht="15.6" x14ac:dyDescent="0.55000000000000004">
      <c r="A36" s="3">
        <f t="shared" si="4"/>
        <v>1911</v>
      </c>
      <c r="B36" s="5">
        <f t="shared" si="5"/>
        <v>1605850</v>
      </c>
      <c r="C36" s="5">
        <f t="shared" si="0"/>
        <v>1616025</v>
      </c>
      <c r="D36" s="5">
        <f t="shared" si="6"/>
        <v>53000</v>
      </c>
      <c r="E36" s="5">
        <f t="shared" si="7"/>
        <v>33000</v>
      </c>
      <c r="F36" s="5">
        <f t="shared" si="8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</row>
    <row r="37" spans="1:9" ht="15.6" x14ac:dyDescent="0.55000000000000004">
      <c r="A37" s="3">
        <f t="shared" si="4"/>
        <v>1912</v>
      </c>
      <c r="B37" s="5">
        <f t="shared" si="5"/>
        <v>1626200</v>
      </c>
      <c r="C37" s="5">
        <f t="shared" si="0"/>
        <v>1636380</v>
      </c>
      <c r="D37" s="5">
        <f t="shared" si="6"/>
        <v>53100</v>
      </c>
      <c r="E37" s="5">
        <f t="shared" si="7"/>
        <v>33100</v>
      </c>
      <c r="F37" s="5">
        <f t="shared" si="8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</row>
    <row r="38" spans="1:9" ht="15.6" x14ac:dyDescent="0.55000000000000004">
      <c r="A38" s="3">
        <f t="shared" si="4"/>
        <v>1913</v>
      </c>
      <c r="B38" s="5">
        <f t="shared" si="5"/>
        <v>1646560</v>
      </c>
      <c r="C38" s="5">
        <f t="shared" si="0"/>
        <v>1656745</v>
      </c>
      <c r="D38" s="5">
        <f t="shared" si="6"/>
        <v>53200</v>
      </c>
      <c r="E38" s="5">
        <f t="shared" si="7"/>
        <v>33200</v>
      </c>
      <c r="F38" s="5">
        <f t="shared" si="8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</row>
    <row r="39" spans="1:9" ht="15.6" x14ac:dyDescent="0.55000000000000004">
      <c r="A39" s="3">
        <f>A38+1</f>
        <v>1914</v>
      </c>
      <c r="B39" s="5">
        <f t="shared" si="5"/>
        <v>1666930</v>
      </c>
      <c r="C39" s="5"/>
      <c r="D39" s="5"/>
      <c r="E39" s="5"/>
      <c r="F39" s="5"/>
      <c r="G39" s="6"/>
      <c r="H39" s="6"/>
      <c r="I39" s="6"/>
    </row>
    <row r="40" spans="1:9" ht="15.6" x14ac:dyDescent="0.55000000000000004">
      <c r="A40" s="3"/>
      <c r="B40" s="5"/>
      <c r="C40" s="5"/>
      <c r="D40" s="5"/>
      <c r="E40" s="5"/>
      <c r="F40" s="5"/>
      <c r="G40" s="4"/>
      <c r="H40" s="4"/>
      <c r="I40" s="4"/>
    </row>
    <row r="41" spans="1:9" ht="15.6" x14ac:dyDescent="0.6">
      <c r="A41" s="11" t="s">
        <v>11</v>
      </c>
      <c r="B41" s="11"/>
      <c r="C41" s="11"/>
      <c r="D41" s="12" cm="1">
        <f t="array" ref="D41">SUM(D6+D6:D20)</f>
        <v>1510500</v>
      </c>
      <c r="E41" s="12" cm="1">
        <f t="array" ref="E41">SUM(E6+E6:E20)</f>
        <v>910500</v>
      </c>
      <c r="F41" s="12" cm="1">
        <f t="array" ref="F41">SUM(F6+F6:F20)</f>
        <v>2550</v>
      </c>
      <c r="G41" s="13">
        <f>AVERAGE(G6:G20)</f>
        <v>44.284960471317206</v>
      </c>
      <c r="H41" s="13">
        <f>AVERAGE(H6:H20)</f>
        <v>26.804245110008651</v>
      </c>
      <c r="I41" s="13">
        <f>AVERAGE(I6:I20)</f>
        <v>17.480715361308548</v>
      </c>
    </row>
    <row r="42" spans="1:9" ht="15.6" x14ac:dyDescent="0.6">
      <c r="A42" s="11" t="s">
        <v>12</v>
      </c>
      <c r="B42" s="11"/>
      <c r="C42" s="11"/>
      <c r="D42" s="12">
        <f>SUM(D21:D39)</f>
        <v>942300</v>
      </c>
      <c r="E42" s="12">
        <f>SUM(E21:E39)</f>
        <v>582300</v>
      </c>
      <c r="F42" s="12">
        <f>SUM(F21:F39)</f>
        <v>5130</v>
      </c>
      <c r="G42" s="13">
        <f>AVERAGE(G21:G38)</f>
        <v>35.4279467724824</v>
      </c>
      <c r="H42" s="13">
        <f>AVERAGE(H21:H38)</f>
        <v>21.883358900395795</v>
      </c>
      <c r="I42" s="13">
        <f>AVERAGE(I21:I38)</f>
        <v>13.544587872086607</v>
      </c>
    </row>
    <row r="43" spans="1:9" ht="15.6" x14ac:dyDescent="0.6">
      <c r="A43" s="11" t="s">
        <v>13</v>
      </c>
      <c r="B43" s="11"/>
      <c r="C43" s="11"/>
      <c r="D43" s="12">
        <f>D41+D42</f>
        <v>2452800</v>
      </c>
      <c r="E43" s="12">
        <f>E41+E42</f>
        <v>1492800</v>
      </c>
      <c r="F43" s="12">
        <f>F41+F42</f>
        <v>7680</v>
      </c>
      <c r="G43" s="13">
        <f>AVERAGE(G6:G38)</f>
        <v>39.453862090134571</v>
      </c>
      <c r="H43" s="13">
        <f>AVERAGE(H6:H38)</f>
        <v>24.12012535931073</v>
      </c>
      <c r="I43" s="13">
        <f>AVERAGE(I6:I38)</f>
        <v>15.333736730823857</v>
      </c>
    </row>
  </sheetData>
  <mergeCells count="1">
    <mergeCell ref="B4:C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2026-09-09T20:32:20Z</dcterms:modified>
</cp:coreProperties>
</file>