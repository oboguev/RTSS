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hub\RTSS\rtss-pre1917\src\main\resources\excel-templates\"/>
    </mc:Choice>
  </mc:AlternateContent>
  <xr:revisionPtr revIDLastSave="0" documentId="13_ncr:1_{90B268E7-8BF6-4048-BA8D-5F70FB185BCE}" xr6:coauthVersionLast="47" xr6:coauthVersionMax="47" xr10:uidLastSave="{00000000-0000-0000-0000-000000000000}"/>
  <bookViews>
    <workbookView xWindow="-120" yWindow="-120" windowWidth="38640" windowHeight="23520" xr2:uid="{BB18BFB1-C03A-41FE-BE1A-93D139757D6D}"/>
  </bookViews>
  <sheets>
    <sheet name="data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L42" i="1" l="1"/>
  <c r="L41" i="1"/>
  <c r="L40" i="1"/>
  <c r="L38" i="1"/>
  <c r="L37" i="1"/>
  <c r="L36" i="1"/>
  <c r="L35" i="1"/>
  <c r="L34" i="1"/>
  <c r="L33" i="1"/>
  <c r="L32" i="1"/>
  <c r="L31" i="1"/>
  <c r="L30" i="1"/>
  <c r="L29" i="1"/>
  <c r="L28" i="1"/>
  <c r="L27" i="1"/>
  <c r="L26" i="1"/>
  <c r="L25" i="1"/>
  <c r="L24" i="1"/>
  <c r="L23" i="1"/>
  <c r="L22" i="1"/>
  <c r="L21" i="1"/>
  <c r="L20" i="1"/>
  <c r="L19" i="1"/>
  <c r="L18" i="1"/>
  <c r="L17" i="1"/>
  <c r="L16" i="1"/>
  <c r="L15" i="1"/>
  <c r="L14" i="1"/>
  <c r="L13" i="1"/>
  <c r="L12" i="1"/>
  <c r="L11" i="1"/>
  <c r="L10" i="1"/>
  <c r="L9" i="1"/>
  <c r="L8" i="1"/>
  <c r="L7" i="1"/>
  <c r="L6" i="1"/>
  <c r="L5" i="1"/>
  <c r="B5" i="1"/>
  <c r="D6" i="1"/>
  <c r="E5" i="1" s="1"/>
  <c r="I5" i="1" s="1"/>
  <c r="H6" i="1"/>
  <c r="H7" i="1" s="1"/>
  <c r="H8" i="1" s="1"/>
  <c r="H9" i="1" s="1"/>
  <c r="H10" i="1" s="1"/>
  <c r="H11" i="1" s="1"/>
  <c r="H12" i="1" s="1"/>
  <c r="H13" i="1" s="1"/>
  <c r="H14" i="1" s="1"/>
  <c r="H15" i="1" s="1"/>
  <c r="H16" i="1" s="1"/>
  <c r="H17" i="1" s="1"/>
  <c r="H18" i="1" s="1"/>
  <c r="H19" i="1" s="1"/>
  <c r="H20" i="1" s="1"/>
  <c r="G6" i="1"/>
  <c r="G7" i="1" s="1"/>
  <c r="G8" i="1" s="1"/>
  <c r="G9" i="1" s="1"/>
  <c r="G10" i="1" s="1"/>
  <c r="G11" i="1" s="1"/>
  <c r="G12" i="1" s="1"/>
  <c r="G13" i="1" s="1"/>
  <c r="G14" i="1" s="1"/>
  <c r="G15" i="1" s="1"/>
  <c r="G16" i="1" s="1"/>
  <c r="G17" i="1" s="1"/>
  <c r="G18" i="1" s="1"/>
  <c r="G19" i="1" s="1"/>
  <c r="G20" i="1" s="1"/>
  <c r="G21" i="1" s="1"/>
  <c r="G22" i="1" s="1"/>
  <c r="G23" i="1" s="1"/>
  <c r="G24" i="1" s="1"/>
  <c r="G25" i="1" s="1"/>
  <c r="G26" i="1" s="1"/>
  <c r="G27" i="1" s="1"/>
  <c r="G28" i="1" s="1"/>
  <c r="G29" i="1" s="1"/>
  <c r="G30" i="1" s="1"/>
  <c r="G31" i="1" s="1"/>
  <c r="G32" i="1" s="1"/>
  <c r="G33" i="1" s="1"/>
  <c r="G34" i="1" s="1"/>
  <c r="G35" i="1" s="1"/>
  <c r="G36" i="1" s="1"/>
  <c r="G37" i="1" s="1"/>
  <c r="G38" i="1" s="1"/>
  <c r="F6" i="1"/>
  <c r="F7" i="1" s="1"/>
  <c r="F8" i="1" s="1"/>
  <c r="F9" i="1" s="1"/>
  <c r="F10" i="1" s="1"/>
  <c r="F11" i="1" s="1"/>
  <c r="F12" i="1" s="1"/>
  <c r="F13" i="1" s="1"/>
  <c r="F14" i="1" s="1"/>
  <c r="F15" i="1" s="1"/>
  <c r="F16" i="1" s="1"/>
  <c r="F17" i="1" s="1"/>
  <c r="F18" i="1" s="1"/>
  <c r="F19" i="1" s="1"/>
  <c r="F20" i="1" s="1"/>
  <c r="F21" i="1" s="1"/>
  <c r="F22" i="1" s="1"/>
  <c r="F23" i="1" s="1"/>
  <c r="F24" i="1" s="1"/>
  <c r="F25" i="1" s="1"/>
  <c r="F26" i="1" s="1"/>
  <c r="F27" i="1" s="1"/>
  <c r="F28" i="1" s="1"/>
  <c r="F29" i="1" s="1"/>
  <c r="F30" i="1" s="1"/>
  <c r="F31" i="1" s="1"/>
  <c r="F32" i="1" s="1"/>
  <c r="F33" i="1" s="1"/>
  <c r="F34" i="1" s="1"/>
  <c r="F35" i="1" s="1"/>
  <c r="F36" i="1" s="1"/>
  <c r="F37" i="1" s="1"/>
  <c r="F38" i="1" s="1"/>
  <c r="A6" i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C5" i="1" l="1"/>
  <c r="B6" i="1"/>
  <c r="G40" i="1" a="1"/>
  <c r="G40" i="1" s="1"/>
  <c r="H21" i="1"/>
  <c r="H22" i="1" s="1"/>
  <c r="H23" i="1" s="1"/>
  <c r="H24" i="1" s="1"/>
  <c r="H25" i="1" s="1"/>
  <c r="H26" i="1" s="1"/>
  <c r="H27" i="1" s="1"/>
  <c r="H28" i="1" s="1"/>
  <c r="H29" i="1" s="1"/>
  <c r="H30" i="1" s="1"/>
  <c r="H31" i="1" s="1"/>
  <c r="H32" i="1" s="1"/>
  <c r="H33" i="1" s="1"/>
  <c r="H34" i="1" s="1"/>
  <c r="H35" i="1" s="1"/>
  <c r="H36" i="1" s="1"/>
  <c r="H37" i="1" s="1"/>
  <c r="H38" i="1" s="1"/>
  <c r="F40" i="1" a="1"/>
  <c r="F40" i="1" s="1"/>
  <c r="F42" i="1" s="1"/>
  <c r="F41" i="1"/>
  <c r="G41" i="1"/>
  <c r="H40" i="1" a="1"/>
  <c r="H40" i="1" s="1"/>
  <c r="J5" i="1"/>
  <c r="K5" i="1" s="1"/>
  <c r="D7" i="1"/>
  <c r="B7" i="1" s="1"/>
  <c r="G42" i="1" l="1"/>
  <c r="C6" i="1"/>
  <c r="H41" i="1"/>
  <c r="H42" i="1" s="1"/>
  <c r="E6" i="1"/>
  <c r="D8" i="1"/>
  <c r="B8" i="1" s="1"/>
  <c r="C7" i="1" l="1"/>
  <c r="J6" i="1"/>
  <c r="I6" i="1"/>
  <c r="K6" i="1" s="1"/>
  <c r="D9" i="1"/>
  <c r="B9" i="1" s="1"/>
  <c r="E8" i="1"/>
  <c r="E7" i="1"/>
  <c r="C8" i="1" l="1"/>
  <c r="J7" i="1"/>
  <c r="I7" i="1"/>
  <c r="K7" i="1" s="1"/>
  <c r="I8" i="1"/>
  <c r="J8" i="1"/>
  <c r="D10" i="1"/>
  <c r="E9" i="1" l="1"/>
  <c r="B10" i="1"/>
  <c r="K8" i="1"/>
  <c r="J9" i="1"/>
  <c r="I9" i="1"/>
  <c r="K9" i="1" s="1"/>
  <c r="D11" i="1"/>
  <c r="B11" i="1" s="1"/>
  <c r="C10" i="1" l="1"/>
  <c r="C9" i="1"/>
  <c r="D12" i="1"/>
  <c r="E10" i="1"/>
  <c r="E11" i="1" l="1"/>
  <c r="B12" i="1"/>
  <c r="I11" i="1"/>
  <c r="J11" i="1"/>
  <c r="J10" i="1"/>
  <c r="I10" i="1"/>
  <c r="K10" i="1" s="1"/>
  <c r="D13" i="1"/>
  <c r="E12" i="1" l="1"/>
  <c r="B13" i="1"/>
  <c r="K11" i="1"/>
  <c r="C12" i="1"/>
  <c r="C11" i="1"/>
  <c r="J12" i="1"/>
  <c r="I12" i="1"/>
  <c r="K12" i="1" s="1"/>
  <c r="D14" i="1"/>
  <c r="E13" i="1" l="1"/>
  <c r="B14" i="1"/>
  <c r="C13" i="1"/>
  <c r="J13" i="1"/>
  <c r="I13" i="1"/>
  <c r="K13" i="1" s="1"/>
  <c r="D15" i="1"/>
  <c r="B15" i="1" s="1"/>
  <c r="C14" i="1" l="1"/>
  <c r="D16" i="1"/>
  <c r="B16" i="1" s="1"/>
  <c r="E15" i="1"/>
  <c r="E14" i="1"/>
  <c r="C15" i="1" l="1"/>
  <c r="I14" i="1"/>
  <c r="J14" i="1"/>
  <c r="I15" i="1"/>
  <c r="J15" i="1"/>
  <c r="D17" i="1"/>
  <c r="B17" i="1" s="1"/>
  <c r="K15" i="1" l="1"/>
  <c r="K14" i="1"/>
  <c r="C16" i="1"/>
  <c r="D18" i="1"/>
  <c r="B18" i="1" s="1"/>
  <c r="E17" i="1"/>
  <c r="E16" i="1"/>
  <c r="C17" i="1" l="1"/>
  <c r="I16" i="1"/>
  <c r="J16" i="1"/>
  <c r="J17" i="1"/>
  <c r="I17" i="1"/>
  <c r="K17" i="1" s="1"/>
  <c r="D19" i="1"/>
  <c r="B19" i="1" s="1"/>
  <c r="E18" i="1" l="1"/>
  <c r="K16" i="1"/>
  <c r="C18" i="1"/>
  <c r="J18" i="1"/>
  <c r="I18" i="1"/>
  <c r="K18" i="1" s="1"/>
  <c r="D20" i="1"/>
  <c r="E19" i="1" l="1"/>
  <c r="B20" i="1"/>
  <c r="J19" i="1"/>
  <c r="J40" i="1" s="1"/>
  <c r="I19" i="1"/>
  <c r="D21" i="1"/>
  <c r="I40" i="1" l="1"/>
  <c r="K19" i="1"/>
  <c r="K40" i="1" s="1"/>
  <c r="E20" i="1"/>
  <c r="B21" i="1"/>
  <c r="C20" i="1"/>
  <c r="C19" i="1"/>
  <c r="I20" i="1"/>
  <c r="J20" i="1"/>
  <c r="D22" i="1"/>
  <c r="E21" i="1" l="1"/>
  <c r="B22" i="1"/>
  <c r="K20" i="1"/>
  <c r="C21" i="1"/>
  <c r="J21" i="1"/>
  <c r="I21" i="1"/>
  <c r="K21" i="1" s="1"/>
  <c r="D23" i="1"/>
  <c r="B23" i="1" s="1"/>
  <c r="E22" i="1"/>
  <c r="C22" i="1" l="1"/>
  <c r="J22" i="1"/>
  <c r="I22" i="1"/>
  <c r="K22" i="1" s="1"/>
  <c r="D24" i="1"/>
  <c r="B24" i="1" s="1"/>
  <c r="E23" i="1" l="1"/>
  <c r="C23" i="1"/>
  <c r="J23" i="1"/>
  <c r="I23" i="1"/>
  <c r="K23" i="1" s="1"/>
  <c r="D25" i="1"/>
  <c r="E24" i="1" l="1"/>
  <c r="B25" i="1"/>
  <c r="I24" i="1"/>
  <c r="J24" i="1"/>
  <c r="D26" i="1"/>
  <c r="E25" i="1" l="1"/>
  <c r="B26" i="1"/>
  <c r="C25" i="1" s="1"/>
  <c r="K24" i="1"/>
  <c r="C24" i="1"/>
  <c r="J25" i="1"/>
  <c r="I25" i="1"/>
  <c r="K25" i="1" s="1"/>
  <c r="D27" i="1"/>
  <c r="B27" i="1" s="1"/>
  <c r="E26" i="1"/>
  <c r="C26" i="1" l="1"/>
  <c r="J26" i="1"/>
  <c r="I26" i="1"/>
  <c r="K26" i="1" s="1"/>
  <c r="D28" i="1"/>
  <c r="B28" i="1" s="1"/>
  <c r="E27" i="1" l="1"/>
  <c r="C27" i="1"/>
  <c r="J27" i="1"/>
  <c r="I27" i="1"/>
  <c r="D29" i="1"/>
  <c r="B29" i="1" s="1"/>
  <c r="E28" i="1"/>
  <c r="K27" i="1" l="1"/>
  <c r="C28" i="1"/>
  <c r="J28" i="1"/>
  <c r="I28" i="1"/>
  <c r="K28" i="1" s="1"/>
  <c r="D30" i="1"/>
  <c r="B30" i="1" s="1"/>
  <c r="E29" i="1"/>
  <c r="C29" i="1" l="1"/>
  <c r="J29" i="1"/>
  <c r="I29" i="1"/>
  <c r="K29" i="1" s="1"/>
  <c r="D31" i="1"/>
  <c r="B31" i="1" s="1"/>
  <c r="E30" i="1"/>
  <c r="C30" i="1" l="1"/>
  <c r="I30" i="1"/>
  <c r="J30" i="1"/>
  <c r="D32" i="1"/>
  <c r="E31" i="1" l="1"/>
  <c r="B32" i="1"/>
  <c r="K30" i="1"/>
  <c r="I31" i="1"/>
  <c r="J31" i="1"/>
  <c r="D33" i="1"/>
  <c r="B33" i="1" s="1"/>
  <c r="E32" i="1"/>
  <c r="K31" i="1" l="1"/>
  <c r="C32" i="1"/>
  <c r="C31" i="1"/>
  <c r="I32" i="1"/>
  <c r="J32" i="1"/>
  <c r="D34" i="1"/>
  <c r="E33" i="1" l="1"/>
  <c r="B34" i="1"/>
  <c r="K32" i="1"/>
  <c r="I33" i="1"/>
  <c r="J33" i="1"/>
  <c r="D35" i="1"/>
  <c r="E34" i="1" l="1"/>
  <c r="B35" i="1"/>
  <c r="K33" i="1"/>
  <c r="C34" i="1"/>
  <c r="C33" i="1"/>
  <c r="J34" i="1"/>
  <c r="I34" i="1"/>
  <c r="K34" i="1" s="1"/>
  <c r="D36" i="1"/>
  <c r="B36" i="1" s="1"/>
  <c r="E35" i="1" l="1"/>
  <c r="C35" i="1"/>
  <c r="I35" i="1"/>
  <c r="J35" i="1"/>
  <c r="D37" i="1"/>
  <c r="B37" i="1" s="1"/>
  <c r="K35" i="1" l="1"/>
  <c r="C36" i="1"/>
  <c r="D38" i="1"/>
  <c r="E36" i="1"/>
  <c r="E37" i="1" l="1"/>
  <c r="B38" i="1"/>
  <c r="J36" i="1"/>
  <c r="I36" i="1"/>
  <c r="K36" i="1" s="1"/>
  <c r="J37" i="1"/>
  <c r="I37" i="1"/>
  <c r="K37" i="1" s="1"/>
  <c r="D39" i="1"/>
  <c r="E38" i="1" l="1"/>
  <c r="B39" i="1"/>
  <c r="C38" i="1"/>
  <c r="C37" i="1"/>
  <c r="I38" i="1"/>
  <c r="J38" i="1"/>
  <c r="K38" i="1" l="1"/>
  <c r="J42" i="1"/>
  <c r="J41" i="1"/>
  <c r="I42" i="1"/>
  <c r="I41" i="1"/>
  <c r="K42" i="1" l="1"/>
  <c r="K41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<sst xmlns="http://schemas.openxmlformats.org/spreadsheetml/2006/main" count="18" uniqueCount="16">
  <si>
    <t>XXX</t>
  </si>
  <si>
    <t>год</t>
  </si>
  <si>
    <t>начало года</t>
  </si>
  <si>
    <t>среднегодовое</t>
  </si>
  <si>
    <t>чр</t>
  </si>
  <si>
    <t>чс</t>
  </si>
  <si>
    <t xml:space="preserve">р </t>
  </si>
  <si>
    <t>с</t>
  </si>
  <si>
    <t>мигр</t>
  </si>
  <si>
    <t>1881-1895</t>
  </si>
  <si>
    <t>1896-1914</t>
  </si>
  <si>
    <t>1881-1914</t>
  </si>
  <si>
    <t>еп</t>
  </si>
  <si>
    <t>население включённое в учёт естественного движения</t>
  </si>
  <si>
    <t>общее население</t>
  </si>
  <si>
    <t>%учёта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</si>
</sst>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5" x14ac:knownFonts="1">
    <font>
      <sz val="11"/>
      <color theme="1"/>
      <name val="Aptos Narrow"/>
      <family val="2"/>
      <scheme val="minor"/>
    </font>
    <font>
      <sz val="12"/>
      <color theme="1"/>
      <name val="Calibri"/>
      <family val="2"/>
    </font>
    <font>
      <b/>
      <sz val="12"/>
      <color theme="1"/>
      <name val="Calibri"/>
      <family val="2"/>
    </font>
    <font>
      <b/>
      <sz val="18"/>
      <color theme="1"/>
      <name val="Calibri"/>
      <family val="2"/>
    </font>
    <font>
      <b/>
      <sz val="16"/>
      <color theme="1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CCECFF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right" vertical="center"/>
    </xf>
    <xf numFmtId="3" fontId="1" fillId="0" borderId="0" xfId="0" applyNumberFormat="1" applyFont="1" applyAlignment="1">
      <alignment horizontal="right" vertical="center"/>
    </xf>
    <xf numFmtId="164" fontId="1" fillId="0" borderId="0" xfId="0" applyNumberFormat="1" applyFont="1" applyAlignment="1">
      <alignment horizontal="right" vertical="center"/>
    </xf>
    <xf numFmtId="0" fontId="3" fillId="2" borderId="0" xfId="0" applyFont="1" applyFill="1"/>
    <xf numFmtId="0" fontId="4" fillId="2" borderId="0" xfId="0" applyFont="1" applyFill="1"/>
    <xf numFmtId="0" fontId="2" fillId="3" borderId="0" xfId="0" applyFont="1" applyFill="1" applyAlignment="1">
      <alignment horizontal="center" vertical="center"/>
    </xf>
    <xf numFmtId="3" fontId="1" fillId="0" borderId="0" xfId="0" applyNumberFormat="1" applyFont="1" applyAlignment="1">
      <alignment horizontal="center" vertical="center"/>
    </xf>
    <xf numFmtId="164" fontId="1" fillId="0" borderId="0" xfId="0" applyNumberFormat="1" applyFont="1"/>
    <xf numFmtId="164" fontId="2" fillId="4" borderId="0" xfId="0" applyNumberFormat="1" applyFont="1" applyFill="1"/>
    <xf numFmtId="0" fontId="2" fillId="4" borderId="0" xfId="0" applyFont="1" applyFill="1"/>
    <xf numFmtId="3" fontId="2" fillId="4" borderId="0" xfId="0" applyNumberFormat="1" applyFont="1" applyFill="1"/>
    <xf numFmtId="0" fontId="2" fillId="5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 wrapText="1"/>
    </xf>
    <xf numFmtId="0" fontId="2" fillId="3" borderId="0" xfId="0" applyFon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CCECFF"/>
      <color rgb="FF99CCFF"/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8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+mn-ea"/>
                <a:cs typeface="+mn-cs"/>
              </a:defRPr>
            </a:pPr>
            <a:r>
              <a:rPr lang="ru-RU"/>
              <a:t>рождаемость, смертность и естественный прирост (на 1,000 среднегодового населения)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8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Calibri" panose="020F0502020204030204" pitchFamily="34" charset="0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data!$I$4</c:f>
              <c:strCache>
                <c:ptCount val="1"/>
                <c:pt idx="0">
                  <c:v>р 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xVal>
            <c:numRef>
              <c:f>data!$A$5:$A$39</c:f>
              <c:numCache>
                <c:formatCode>General</c:formatCode>
                <c:ptCount val="35"/>
                <c:pt idx="0">
                  <c:v>1881</c:v>
                </c:pt>
                <c:pt idx="1">
                  <c:v>1882</c:v>
                </c:pt>
                <c:pt idx="2">
                  <c:v>1883</c:v>
                </c:pt>
                <c:pt idx="3">
                  <c:v>1884</c:v>
                </c:pt>
                <c:pt idx="4">
                  <c:v>1885</c:v>
                </c:pt>
                <c:pt idx="5">
                  <c:v>1886</c:v>
                </c:pt>
                <c:pt idx="6">
                  <c:v>1887</c:v>
                </c:pt>
                <c:pt idx="7">
                  <c:v>1888</c:v>
                </c:pt>
                <c:pt idx="8">
                  <c:v>1889</c:v>
                </c:pt>
                <c:pt idx="9">
                  <c:v>1890</c:v>
                </c:pt>
                <c:pt idx="10">
                  <c:v>1891</c:v>
                </c:pt>
                <c:pt idx="11">
                  <c:v>1892</c:v>
                </c:pt>
                <c:pt idx="12">
                  <c:v>1893</c:v>
                </c:pt>
                <c:pt idx="13">
                  <c:v>1894</c:v>
                </c:pt>
                <c:pt idx="14">
                  <c:v>1895</c:v>
                </c:pt>
                <c:pt idx="15">
                  <c:v>1896</c:v>
                </c:pt>
                <c:pt idx="16">
                  <c:v>1897</c:v>
                </c:pt>
                <c:pt idx="17">
                  <c:v>1898</c:v>
                </c:pt>
                <c:pt idx="18">
                  <c:v>1899</c:v>
                </c:pt>
                <c:pt idx="19">
                  <c:v>1900</c:v>
                </c:pt>
                <c:pt idx="20">
                  <c:v>1901</c:v>
                </c:pt>
                <c:pt idx="21">
                  <c:v>1902</c:v>
                </c:pt>
                <c:pt idx="22">
                  <c:v>1903</c:v>
                </c:pt>
                <c:pt idx="23">
                  <c:v>1904</c:v>
                </c:pt>
                <c:pt idx="24">
                  <c:v>1905</c:v>
                </c:pt>
                <c:pt idx="25">
                  <c:v>1906</c:v>
                </c:pt>
                <c:pt idx="26">
                  <c:v>1907</c:v>
                </c:pt>
                <c:pt idx="27">
                  <c:v>1908</c:v>
                </c:pt>
                <c:pt idx="28">
                  <c:v>1909</c:v>
                </c:pt>
                <c:pt idx="29">
                  <c:v>1910</c:v>
                </c:pt>
                <c:pt idx="30">
                  <c:v>1911</c:v>
                </c:pt>
                <c:pt idx="31">
                  <c:v>1912</c:v>
                </c:pt>
                <c:pt idx="32">
                  <c:v>1913</c:v>
                </c:pt>
                <c:pt idx="33">
                  <c:v>1914</c:v>
                </c:pt>
                <c:pt idx="34">
                  <c:v>1915</c:v>
                </c:pt>
              </c:numCache>
            </c:numRef>
          </c:xVal>
          <c:yVal>
            <c:numRef>
              <c:f>data!$I$5:$I$39</c:f>
              <c:numCache>
                <c:formatCode>0.0</c:formatCode>
                <c:ptCount val="35"/>
                <c:pt idx="0">
                  <c:v>49.503725155317937</c:v>
                </c:pt>
                <c:pt idx="1">
                  <c:v>48.636999068033553</c:v>
                </c:pt>
                <c:pt idx="2">
                  <c:v>47.802922453565941</c:v>
                </c:pt>
                <c:pt idx="3">
                  <c:v>46.99968230831044</c:v>
                </c:pt>
                <c:pt idx="4">
                  <c:v>46.225597424573856</c:v>
                </c:pt>
                <c:pt idx="5">
                  <c:v>45.479106628242072</c:v>
                </c:pt>
                <c:pt idx="6">
                  <c:v>44.758758254054605</c:v>
                </c:pt>
                <c:pt idx="7">
                  <c:v>44.063200709182873</c:v>
                </c:pt>
                <c:pt idx="8">
                  <c:v>43.391173996045254</c:v>
                </c:pt>
                <c:pt idx="9">
                  <c:v>42.741502082493618</c:v>
                </c:pt>
                <c:pt idx="10">
                  <c:v>42.113086022171302</c:v>
                </c:pt>
                <c:pt idx="11">
                  <c:v>41.504897740379143</c:v>
                </c:pt>
                <c:pt idx="12">
                  <c:v>40.915974411533192</c:v>
                </c:pt>
                <c:pt idx="13">
                  <c:v>40.34541336353341</c:v>
                </c:pt>
                <c:pt idx="14">
                  <c:v>39.792367452320775</c:v>
                </c:pt>
                <c:pt idx="15">
                  <c:v>39.256040856772614</c:v>
                </c:pt>
                <c:pt idx="16">
                  <c:v>38.735685250036596</c:v>
                </c:pt>
                <c:pt idx="17">
                  <c:v>38.230596308566021</c:v>
                </c:pt>
                <c:pt idx="18">
                  <c:v>37.740110524609392</c:v>
                </c:pt>
                <c:pt idx="19">
                  <c:v>37.26360229181924</c:v>
                </c:pt>
                <c:pt idx="20">
                  <c:v>36.800481237062328</c:v>
                </c:pt>
                <c:pt idx="21">
                  <c:v>36.350189774503235</c:v>
                </c:pt>
                <c:pt idx="22">
                  <c:v>35.912200860654472</c:v>
                </c:pt>
                <c:pt idx="23">
                  <c:v>35.486015931389176</c:v>
                </c:pt>
                <c:pt idx="24">
                  <c:v>35.071163003938807</c:v>
                </c:pt>
                <c:pt idx="25">
                  <c:v>34.66719492868463</c:v>
                </c:pt>
                <c:pt idx="26">
                  <c:v>34.273687777129808</c:v>
                </c:pt>
                <c:pt idx="27">
                  <c:v>33.89023935383468</c:v>
                </c:pt>
                <c:pt idx="28">
                  <c:v>33.516467821334373</c:v>
                </c:pt>
                <c:pt idx="29">
                  <c:v>33.152010428156018</c:v>
                </c:pt>
                <c:pt idx="30">
                  <c:v>32.796522331028299</c:v>
                </c:pt>
                <c:pt idx="31">
                  <c:v>32.449675503244968</c:v>
                </c:pt>
                <c:pt idx="32">
                  <c:v>32.11115772191858</c:v>
                </c:pt>
                <c:pt idx="33">
                  <c:v>31.780671627551992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63D6-43DE-9F2E-E8406371E580}"/>
            </c:ext>
          </c:extLst>
        </c:ser>
        <c:ser>
          <c:idx val="1"/>
          <c:order val="1"/>
          <c:tx>
            <c:strRef>
              <c:f>data!$J$4</c:f>
              <c:strCache>
                <c:ptCount val="1"/>
                <c:pt idx="0">
                  <c:v>с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data!$A$5:$A$39</c:f>
              <c:numCache>
                <c:formatCode>General</c:formatCode>
                <c:ptCount val="35"/>
                <c:pt idx="0">
                  <c:v>1881</c:v>
                </c:pt>
                <c:pt idx="1">
                  <c:v>1882</c:v>
                </c:pt>
                <c:pt idx="2">
                  <c:v>1883</c:v>
                </c:pt>
                <c:pt idx="3">
                  <c:v>1884</c:v>
                </c:pt>
                <c:pt idx="4">
                  <c:v>1885</c:v>
                </c:pt>
                <c:pt idx="5">
                  <c:v>1886</c:v>
                </c:pt>
                <c:pt idx="6">
                  <c:v>1887</c:v>
                </c:pt>
                <c:pt idx="7">
                  <c:v>1888</c:v>
                </c:pt>
                <c:pt idx="8">
                  <c:v>1889</c:v>
                </c:pt>
                <c:pt idx="9">
                  <c:v>1890</c:v>
                </c:pt>
                <c:pt idx="10">
                  <c:v>1891</c:v>
                </c:pt>
                <c:pt idx="11">
                  <c:v>1892</c:v>
                </c:pt>
                <c:pt idx="12">
                  <c:v>1893</c:v>
                </c:pt>
                <c:pt idx="13">
                  <c:v>1894</c:v>
                </c:pt>
                <c:pt idx="14">
                  <c:v>1895</c:v>
                </c:pt>
                <c:pt idx="15">
                  <c:v>1896</c:v>
                </c:pt>
                <c:pt idx="16">
                  <c:v>1897</c:v>
                </c:pt>
                <c:pt idx="17">
                  <c:v>1898</c:v>
                </c:pt>
                <c:pt idx="18">
                  <c:v>1899</c:v>
                </c:pt>
                <c:pt idx="19">
                  <c:v>1900</c:v>
                </c:pt>
                <c:pt idx="20">
                  <c:v>1901</c:v>
                </c:pt>
                <c:pt idx="21">
                  <c:v>1902</c:v>
                </c:pt>
                <c:pt idx="22">
                  <c:v>1903</c:v>
                </c:pt>
                <c:pt idx="23">
                  <c:v>1904</c:v>
                </c:pt>
                <c:pt idx="24">
                  <c:v>1905</c:v>
                </c:pt>
                <c:pt idx="25">
                  <c:v>1906</c:v>
                </c:pt>
                <c:pt idx="26">
                  <c:v>1907</c:v>
                </c:pt>
                <c:pt idx="27">
                  <c:v>1908</c:v>
                </c:pt>
                <c:pt idx="28">
                  <c:v>1909</c:v>
                </c:pt>
                <c:pt idx="29">
                  <c:v>1910</c:v>
                </c:pt>
                <c:pt idx="30">
                  <c:v>1911</c:v>
                </c:pt>
                <c:pt idx="31">
                  <c:v>1912</c:v>
                </c:pt>
                <c:pt idx="32">
                  <c:v>1913</c:v>
                </c:pt>
                <c:pt idx="33">
                  <c:v>1914</c:v>
                </c:pt>
                <c:pt idx="34">
                  <c:v>1915</c:v>
                </c:pt>
              </c:numCache>
            </c:numRef>
          </c:xVal>
          <c:yVal>
            <c:numRef>
              <c:f>data!$J$5:$J$39</c:f>
              <c:numCache>
                <c:formatCode>0.0</c:formatCode>
                <c:ptCount val="35"/>
                <c:pt idx="0">
                  <c:v>29.702235093190762</c:v>
                </c:pt>
                <c:pt idx="1">
                  <c:v>29.22103137620379</c:v>
                </c:pt>
                <c:pt idx="2">
                  <c:v>28.757933428240861</c:v>
                </c:pt>
                <c:pt idx="3">
                  <c:v>28.311935863654202</c:v>
                </c:pt>
                <c:pt idx="4">
                  <c:v>27.882106383076298</c:v>
                </c:pt>
                <c:pt idx="5">
                  <c:v>27.467579250720462</c:v>
                </c:pt>
                <c:pt idx="6">
                  <c:v>27.067549457985589</c:v>
                </c:pt>
                <c:pt idx="7">
                  <c:v>26.681267490570303</c:v>
                </c:pt>
                <c:pt idx="8">
                  <c:v>26.308034627523501</c:v>
                </c:pt>
                <c:pt idx="9">
                  <c:v>25.947198710197501</c:v>
                </c:pt>
                <c:pt idx="10">
                  <c:v>25.598150327202166</c:v>
                </c:pt>
                <c:pt idx="11">
                  <c:v>25.260319368410791</c:v>
                </c:pt>
                <c:pt idx="12">
                  <c:v>24.933171907028036</c:v>
                </c:pt>
                <c:pt idx="13">
                  <c:v>24.616207373851765</c:v>
                </c:pt>
                <c:pt idx="14">
                  <c:v>24.308955992273777</c:v>
                </c:pt>
                <c:pt idx="15">
                  <c:v>24.010976446375484</c:v>
                </c:pt>
                <c:pt idx="16">
                  <c:v>23.721853757774351</c:v>
                </c:pt>
                <c:pt idx="17">
                  <c:v>23.441197349739706</c:v>
                </c:pt>
                <c:pt idx="18">
                  <c:v>23.168639279586461</c:v>
                </c:pt>
                <c:pt idx="19">
                  <c:v>22.903832622524735</c:v>
                </c:pt>
                <c:pt idx="20">
                  <c:v>22.646449992038356</c:v>
                </c:pt>
                <c:pt idx="21">
                  <c:v>22.396182183523106</c:v>
                </c:pt>
                <c:pt idx="22">
                  <c:v>22.15273692936923</c:v>
                </c:pt>
                <c:pt idx="23">
                  <c:v>21.91583775494972</c:v>
                </c:pt>
                <c:pt idx="24">
                  <c:v>21.685222926099573</c:v>
                </c:pt>
                <c:pt idx="25">
                  <c:v>21.460644479661912</c:v>
                </c:pt>
                <c:pt idx="26">
                  <c:v>21.241867329551933</c:v>
                </c:pt>
                <c:pt idx="27">
                  <c:v>21.028668441563454</c:v>
                </c:pt>
                <c:pt idx="28">
                  <c:v>20.820836070828928</c:v>
                </c:pt>
                <c:pt idx="29">
                  <c:v>20.61816905645242</c:v>
                </c:pt>
                <c:pt idx="30">
                  <c:v>20.420476168376108</c:v>
                </c:pt>
                <c:pt idx="31">
                  <c:v>20.227575502022759</c:v>
                </c:pt>
                <c:pt idx="32">
                  <c:v>20.039293916686031</c:v>
                </c:pt>
                <c:pt idx="33">
                  <c:v>19.855466514024041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63D6-43DE-9F2E-E8406371E580}"/>
            </c:ext>
          </c:extLst>
        </c:ser>
        <c:ser>
          <c:idx val="2"/>
          <c:order val="2"/>
          <c:tx>
            <c:strRef>
              <c:f>data!$K$4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F0"/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data!$A$5:$A$39</c:f>
              <c:numCache>
                <c:formatCode>General</c:formatCode>
                <c:ptCount val="35"/>
                <c:pt idx="0">
                  <c:v>1881</c:v>
                </c:pt>
                <c:pt idx="1">
                  <c:v>1882</c:v>
                </c:pt>
                <c:pt idx="2">
                  <c:v>1883</c:v>
                </c:pt>
                <c:pt idx="3">
                  <c:v>1884</c:v>
                </c:pt>
                <c:pt idx="4">
                  <c:v>1885</c:v>
                </c:pt>
                <c:pt idx="5">
                  <c:v>1886</c:v>
                </c:pt>
                <c:pt idx="6">
                  <c:v>1887</c:v>
                </c:pt>
                <c:pt idx="7">
                  <c:v>1888</c:v>
                </c:pt>
                <c:pt idx="8">
                  <c:v>1889</c:v>
                </c:pt>
                <c:pt idx="9">
                  <c:v>1890</c:v>
                </c:pt>
                <c:pt idx="10">
                  <c:v>1891</c:v>
                </c:pt>
                <c:pt idx="11">
                  <c:v>1892</c:v>
                </c:pt>
                <c:pt idx="12">
                  <c:v>1893</c:v>
                </c:pt>
                <c:pt idx="13">
                  <c:v>1894</c:v>
                </c:pt>
                <c:pt idx="14">
                  <c:v>1895</c:v>
                </c:pt>
                <c:pt idx="15">
                  <c:v>1896</c:v>
                </c:pt>
                <c:pt idx="16">
                  <c:v>1897</c:v>
                </c:pt>
                <c:pt idx="17">
                  <c:v>1898</c:v>
                </c:pt>
                <c:pt idx="18">
                  <c:v>1899</c:v>
                </c:pt>
                <c:pt idx="19">
                  <c:v>1900</c:v>
                </c:pt>
                <c:pt idx="20">
                  <c:v>1901</c:v>
                </c:pt>
                <c:pt idx="21">
                  <c:v>1902</c:v>
                </c:pt>
                <c:pt idx="22">
                  <c:v>1903</c:v>
                </c:pt>
                <c:pt idx="23">
                  <c:v>1904</c:v>
                </c:pt>
                <c:pt idx="24">
                  <c:v>1905</c:v>
                </c:pt>
                <c:pt idx="25">
                  <c:v>1906</c:v>
                </c:pt>
                <c:pt idx="26">
                  <c:v>1907</c:v>
                </c:pt>
                <c:pt idx="27">
                  <c:v>1908</c:v>
                </c:pt>
                <c:pt idx="28">
                  <c:v>1909</c:v>
                </c:pt>
                <c:pt idx="29">
                  <c:v>1910</c:v>
                </c:pt>
                <c:pt idx="30">
                  <c:v>1911</c:v>
                </c:pt>
                <c:pt idx="31">
                  <c:v>1912</c:v>
                </c:pt>
                <c:pt idx="32">
                  <c:v>1913</c:v>
                </c:pt>
                <c:pt idx="33">
                  <c:v>1914</c:v>
                </c:pt>
                <c:pt idx="34">
                  <c:v>1915</c:v>
                </c:pt>
              </c:numCache>
            </c:numRef>
          </c:xVal>
          <c:yVal>
            <c:numRef>
              <c:f>data!$K$5:$K$39</c:f>
              <c:numCache>
                <c:formatCode>0.0</c:formatCode>
                <c:ptCount val="35"/>
                <c:pt idx="0">
                  <c:v>19.801490062127176</c:v>
                </c:pt>
                <c:pt idx="1">
                  <c:v>19.415967691829763</c:v>
                </c:pt>
                <c:pt idx="2">
                  <c:v>19.04498902532508</c:v>
                </c:pt>
                <c:pt idx="3">
                  <c:v>18.687746444656238</c:v>
                </c:pt>
                <c:pt idx="4">
                  <c:v>18.343491041497558</c:v>
                </c:pt>
                <c:pt idx="5">
                  <c:v>18.01152737752161</c:v>
                </c:pt>
                <c:pt idx="6">
                  <c:v>17.691208796069017</c:v>
                </c:pt>
                <c:pt idx="7">
                  <c:v>17.38193321861257</c:v>
                </c:pt>
                <c:pt idx="8">
                  <c:v>17.083139368521753</c:v>
                </c:pt>
                <c:pt idx="9">
                  <c:v>16.794303372296117</c:v>
                </c:pt>
                <c:pt idx="10">
                  <c:v>16.514935694969136</c:v>
                </c:pt>
                <c:pt idx="11">
                  <c:v>16.244578371968352</c:v>
                </c:pt>
                <c:pt idx="12">
                  <c:v>15.982802504505155</c:v>
                </c:pt>
                <c:pt idx="13">
                  <c:v>15.729205989681645</c:v>
                </c:pt>
                <c:pt idx="14">
                  <c:v>15.483411460046998</c:v>
                </c:pt>
                <c:pt idx="15">
                  <c:v>15.245064410397131</c:v>
                </c:pt>
                <c:pt idx="16">
                  <c:v>15.013831492262245</c:v>
                </c:pt>
                <c:pt idx="17">
                  <c:v>14.789398958826315</c:v>
                </c:pt>
                <c:pt idx="18">
                  <c:v>14.571471245022931</c:v>
                </c:pt>
                <c:pt idx="19">
                  <c:v>14.359769669294504</c:v>
                </c:pt>
                <c:pt idx="20">
                  <c:v>14.154031245023972</c:v>
                </c:pt>
                <c:pt idx="21">
                  <c:v>13.95400759098013</c:v>
                </c:pt>
                <c:pt idx="22">
                  <c:v>13.759463931285243</c:v>
                </c:pt>
                <c:pt idx="23">
                  <c:v>13.570178176439455</c:v>
                </c:pt>
                <c:pt idx="24">
                  <c:v>13.385940077839233</c:v>
                </c:pt>
                <c:pt idx="25">
                  <c:v>13.206550449022718</c:v>
                </c:pt>
                <c:pt idx="26">
                  <c:v>13.031820447577875</c:v>
                </c:pt>
                <c:pt idx="27">
                  <c:v>12.861570912271226</c:v>
                </c:pt>
                <c:pt idx="28">
                  <c:v>12.695631750505445</c:v>
                </c:pt>
                <c:pt idx="29">
                  <c:v>12.533841371703598</c:v>
                </c:pt>
                <c:pt idx="30">
                  <c:v>12.376046162652191</c:v>
                </c:pt>
                <c:pt idx="31">
                  <c:v>12.222100001222209</c:v>
                </c:pt>
                <c:pt idx="32">
                  <c:v>12.07186380523255</c:v>
                </c:pt>
                <c:pt idx="33">
                  <c:v>11.925205113527952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63D6-43DE-9F2E-E8406371E58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24001840"/>
        <c:axId val="402763824"/>
      </c:scatterChart>
      <c:valAx>
        <c:axId val="524001840"/>
        <c:scaling>
          <c:orientation val="minMax"/>
          <c:max val="1915"/>
          <c:min val="18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+mn-ea"/>
                <a:cs typeface="+mn-cs"/>
              </a:defRPr>
            </a:pPr>
            <a:endParaRPr lang="en-US"/>
          </a:p>
        </c:txPr>
        <c:crossAx val="402763824"/>
        <c:crosses val="autoZero"/>
        <c:crossBetween val="midCat"/>
      </c:valAx>
      <c:valAx>
        <c:axId val="4027638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+mn-ea"/>
                <a:cs typeface="+mn-cs"/>
              </a:defRPr>
            </a:pPr>
            <a:endParaRPr lang="en-US"/>
          </a:p>
        </c:txPr>
        <c:crossAx val="524001840"/>
        <c:crosses val="autoZero"/>
        <c:crossBetween val="midCat"/>
        <c:majorUnit val="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i" panose="020F0502020204030204" pitchFamily="34" charset="0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400" b="1" i="0" baseline="0">
          <a:latin typeface="Calibri" panose="020F050202020403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8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+mn-ea"/>
                <a:cs typeface="+mn-cs"/>
              </a:defRPr>
            </a:pPr>
            <a:r>
              <a:rPr lang="ru-RU"/>
              <a:t>общее</a:t>
            </a:r>
            <a:r>
              <a:rPr lang="ru-RU" baseline="0"/>
              <a:t> население в начале года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8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Calibri" panose="020F0502020204030204" pitchFamily="34" charset="0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data!$B$4</c:f>
              <c:strCache>
                <c:ptCount val="1"/>
                <c:pt idx="0">
                  <c:v>начало года</c:v>
                </c:pt>
              </c:strCache>
            </c:strRef>
          </c:tx>
          <c:spPr>
            <a:ln w="19050" cap="rnd">
              <a:solidFill>
                <a:schemeClr val="tx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tx2">
                  <a:lumMod val="50000"/>
                  <a:lumOff val="50000"/>
                </a:schemeClr>
              </a:solidFill>
              <a:ln w="9525">
                <a:solidFill>
                  <a:schemeClr val="tx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data!$A$5:$A$39</c:f>
              <c:numCache>
                <c:formatCode>General</c:formatCode>
                <c:ptCount val="35"/>
                <c:pt idx="0">
                  <c:v>1881</c:v>
                </c:pt>
                <c:pt idx="1">
                  <c:v>1882</c:v>
                </c:pt>
                <c:pt idx="2">
                  <c:v>1883</c:v>
                </c:pt>
                <c:pt idx="3">
                  <c:v>1884</c:v>
                </c:pt>
                <c:pt idx="4">
                  <c:v>1885</c:v>
                </c:pt>
                <c:pt idx="5">
                  <c:v>1886</c:v>
                </c:pt>
                <c:pt idx="6">
                  <c:v>1887</c:v>
                </c:pt>
                <c:pt idx="7">
                  <c:v>1888</c:v>
                </c:pt>
                <c:pt idx="8">
                  <c:v>1889</c:v>
                </c:pt>
                <c:pt idx="9">
                  <c:v>1890</c:v>
                </c:pt>
                <c:pt idx="10">
                  <c:v>1891</c:v>
                </c:pt>
                <c:pt idx="11">
                  <c:v>1892</c:v>
                </c:pt>
                <c:pt idx="12">
                  <c:v>1893</c:v>
                </c:pt>
                <c:pt idx="13">
                  <c:v>1894</c:v>
                </c:pt>
                <c:pt idx="14">
                  <c:v>1895</c:v>
                </c:pt>
                <c:pt idx="15">
                  <c:v>1896</c:v>
                </c:pt>
                <c:pt idx="16">
                  <c:v>1897</c:v>
                </c:pt>
                <c:pt idx="17">
                  <c:v>1898</c:v>
                </c:pt>
                <c:pt idx="18">
                  <c:v>1899</c:v>
                </c:pt>
                <c:pt idx="19">
                  <c:v>1900</c:v>
                </c:pt>
                <c:pt idx="20">
                  <c:v>1901</c:v>
                </c:pt>
                <c:pt idx="21">
                  <c:v>1902</c:v>
                </c:pt>
                <c:pt idx="22">
                  <c:v>1903</c:v>
                </c:pt>
                <c:pt idx="23">
                  <c:v>1904</c:v>
                </c:pt>
                <c:pt idx="24">
                  <c:v>1905</c:v>
                </c:pt>
                <c:pt idx="25">
                  <c:v>1906</c:v>
                </c:pt>
                <c:pt idx="26">
                  <c:v>1907</c:v>
                </c:pt>
                <c:pt idx="27">
                  <c:v>1908</c:v>
                </c:pt>
                <c:pt idx="28">
                  <c:v>1909</c:v>
                </c:pt>
                <c:pt idx="29">
                  <c:v>1910</c:v>
                </c:pt>
                <c:pt idx="30">
                  <c:v>1911</c:v>
                </c:pt>
                <c:pt idx="31">
                  <c:v>1912</c:v>
                </c:pt>
                <c:pt idx="32">
                  <c:v>1913</c:v>
                </c:pt>
                <c:pt idx="33">
                  <c:v>1914</c:v>
                </c:pt>
                <c:pt idx="34">
                  <c:v>1915</c:v>
                </c:pt>
              </c:numCache>
            </c:numRef>
          </c:xVal>
          <c:yVal>
            <c:numRef>
              <c:f>data!$B$5:$B$39</c:f>
              <c:numCache>
                <c:formatCode>#,##0</c:formatCode>
                <c:ptCount val="35"/>
                <c:pt idx="0">
                  <c:v>1100000</c:v>
                </c:pt>
                <c:pt idx="1">
                  <c:v>1120050</c:v>
                </c:pt>
                <c:pt idx="2">
                  <c:v>1140110</c:v>
                </c:pt>
                <c:pt idx="3">
                  <c:v>1160180</c:v>
                </c:pt>
                <c:pt idx="4">
                  <c:v>1180260</c:v>
                </c:pt>
                <c:pt idx="5">
                  <c:v>1200350</c:v>
                </c:pt>
                <c:pt idx="6">
                  <c:v>1220450</c:v>
                </c:pt>
                <c:pt idx="7">
                  <c:v>1240560</c:v>
                </c:pt>
                <c:pt idx="8">
                  <c:v>1260680</c:v>
                </c:pt>
                <c:pt idx="9">
                  <c:v>1280810</c:v>
                </c:pt>
                <c:pt idx="10">
                  <c:v>1300950</c:v>
                </c:pt>
                <c:pt idx="11">
                  <c:v>1321100</c:v>
                </c:pt>
                <c:pt idx="12">
                  <c:v>1341260</c:v>
                </c:pt>
                <c:pt idx="13">
                  <c:v>1361430</c:v>
                </c:pt>
                <c:pt idx="14">
                  <c:v>1381610</c:v>
                </c:pt>
                <c:pt idx="15">
                  <c:v>1401800</c:v>
                </c:pt>
                <c:pt idx="16">
                  <c:v>1422000</c:v>
                </c:pt>
                <c:pt idx="17">
                  <c:v>1442210</c:v>
                </c:pt>
                <c:pt idx="18">
                  <c:v>1462430</c:v>
                </c:pt>
                <c:pt idx="19">
                  <c:v>1482660</c:v>
                </c:pt>
                <c:pt idx="20">
                  <c:v>1502900</c:v>
                </c:pt>
                <c:pt idx="21">
                  <c:v>1523150</c:v>
                </c:pt>
                <c:pt idx="22">
                  <c:v>1543410</c:v>
                </c:pt>
                <c:pt idx="23">
                  <c:v>1563680</c:v>
                </c:pt>
                <c:pt idx="24">
                  <c:v>1583960</c:v>
                </c:pt>
                <c:pt idx="25">
                  <c:v>1604250</c:v>
                </c:pt>
                <c:pt idx="26">
                  <c:v>1624550</c:v>
                </c:pt>
                <c:pt idx="27">
                  <c:v>1644860</c:v>
                </c:pt>
                <c:pt idx="28">
                  <c:v>1665180</c:v>
                </c:pt>
                <c:pt idx="29">
                  <c:v>1685510</c:v>
                </c:pt>
                <c:pt idx="30">
                  <c:v>1705850</c:v>
                </c:pt>
                <c:pt idx="31">
                  <c:v>1726200</c:v>
                </c:pt>
                <c:pt idx="32">
                  <c:v>1746560</c:v>
                </c:pt>
                <c:pt idx="33">
                  <c:v>1766930</c:v>
                </c:pt>
                <c:pt idx="34">
                  <c:v>1787310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2C57-46B3-90A7-92D1324C0E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00150912"/>
        <c:axId val="470662544"/>
      </c:scatterChart>
      <c:valAx>
        <c:axId val="500150912"/>
        <c:scaling>
          <c:orientation val="minMax"/>
          <c:max val="1915"/>
          <c:min val="18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+mn-ea"/>
                <a:cs typeface="+mn-cs"/>
              </a:defRPr>
            </a:pPr>
            <a:endParaRPr lang="en-US"/>
          </a:p>
        </c:txPr>
        <c:crossAx val="470662544"/>
        <c:crosses val="autoZero"/>
        <c:crossBetween val="midCat"/>
      </c:valAx>
      <c:valAx>
        <c:axId val="4706625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+mn-ea"/>
                <a:cs typeface="+mn-cs"/>
              </a:defRPr>
            </a:pPr>
            <a:endParaRPr lang="en-US"/>
          </a:p>
        </c:txPr>
        <c:crossAx val="50015091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400" b="1" i="0" baseline="0">
          <a:latin typeface="Calibri" panose="020F050202020403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0</xdr:row>
      <xdr:rowOff>284797</xdr:rowOff>
    </xdr:from>
    <xdr:to>
      <xdr:col>34</xdr:col>
      <xdr:colOff>619125</xdr:colOff>
      <xdr:row>47</xdr:row>
      <xdr:rowOff>9525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CDA63BE-01F3-6892-51EB-F25123FBFBA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</xdr:col>
      <xdr:colOff>952</xdr:colOff>
      <xdr:row>47</xdr:row>
      <xdr:rowOff>170497</xdr:rowOff>
    </xdr:from>
    <xdr:to>
      <xdr:col>34</xdr:col>
      <xdr:colOff>617220</xdr:colOff>
      <xdr:row>97</xdr:row>
      <xdr:rowOff>123825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5760AE8D-15E3-4EDF-9BB9-8BF9AABB6E9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B321D7-C433-4B50-AA6E-BF1C75F28F7F}">
  <dimension ref="A1:L42"/>
  <sheetViews>
    <sheetView tabSelected="1" workbookViewId="0">
      <selection activeCell="H51" sqref="H51"/>
    </sheetView>
  </sheetViews>
  <sheetFormatPr defaultRowHeight="15" x14ac:dyDescent="0.25"/>
  <cols>
    <col min="1" max="1" width="11.28515625" customWidth="1"/>
    <col min="2" max="2" width="14.5703125" customWidth="1"/>
    <col min="3" max="3" width="16.28515625" customWidth="1"/>
    <col min="4" max="4" width="13.140625" customWidth="1"/>
    <col min="5" max="5" width="15.5703125" customWidth="1"/>
    <col min="6" max="7" width="9.28515625" bestFit="1" customWidth="1"/>
    <col min="8" max="11" width="8.85546875" bestFit="1" customWidth="1"/>
    <col min="12" max="12" width="8.85546875" customWidth="1"/>
  </cols>
  <sheetData>
    <row r="1" spans="1:12" ht="23.25" x14ac:dyDescent="0.35">
      <c r="A1" s="7" t="s">
        <v>0</v>
      </c>
      <c r="B1" s="7"/>
      <c r="C1" s="7"/>
      <c r="D1" s="6"/>
      <c r="E1" s="6"/>
      <c r="F1" s="6"/>
      <c r="G1" s="6"/>
      <c r="H1" s="6"/>
      <c r="I1" s="6"/>
      <c r="J1" s="6"/>
    </row>
    <row r="2" spans="1:12" ht="15.75" x14ac:dyDescent="0.25">
      <c r="A2" s="1"/>
      <c r="B2" s="1"/>
      <c r="C2" s="1"/>
      <c r="D2" s="1"/>
      <c r="E2" s="1"/>
      <c r="F2" s="1"/>
      <c r="G2" s="1"/>
      <c r="H2" s="1"/>
      <c r="I2" s="1"/>
      <c r="J2" s="1"/>
    </row>
    <row r="3" spans="1:12" ht="20.100000000000001" customHeight="1" x14ac:dyDescent="0.25">
      <c r="A3" s="8" t="s">
        <v>1</v>
      </c>
      <c r="B3" s="15" t="s">
        <v>14</v>
      </c>
      <c r="C3" s="15"/>
      <c r="D3" s="16" t="s">
        <v>13</v>
      </c>
      <c r="E3" s="16"/>
      <c r="F3" s="16"/>
      <c r="G3" s="16"/>
      <c r="H3" s="16"/>
      <c r="I3" s="16"/>
      <c r="J3" s="16"/>
      <c r="K3" s="16"/>
      <c r="L3" s="16"/>
    </row>
    <row r="4" spans="1:12" ht="15.75" x14ac:dyDescent="0.25">
      <c r="A4" s="8"/>
      <c r="B4" s="14" t="s">
        <v>2</v>
      </c>
      <c r="C4" s="14" t="s">
        <v>3</v>
      </c>
      <c r="D4" s="8" t="s">
        <v>2</v>
      </c>
      <c r="E4" s="8" t="s">
        <v>3</v>
      </c>
      <c r="F4" s="8" t="s">
        <v>4</v>
      </c>
      <c r="G4" s="8" t="s">
        <v>5</v>
      </c>
      <c r="H4" s="8" t="s">
        <v>8</v>
      </c>
      <c r="I4" s="8" t="s">
        <v>6</v>
      </c>
      <c r="J4" s="8" t="s">
        <v>7</v>
      </c>
      <c r="K4" s="8" t="s">
        <v>12</v>
      </c>
      <c r="L4" s="8" t="s">
        <v>15</v>
      </c>
    </row>
    <row r="5" spans="1:12" ht="15.75" x14ac:dyDescent="0.25">
      <c r="A5" s="2">
        <v>1881</v>
      </c>
      <c r="B5" s="4">
        <f>D5 + 100000</f>
        <v>1100000</v>
      </c>
      <c r="C5" s="9">
        <f>(B5+B6) /2</f>
        <v>1110025</v>
      </c>
      <c r="D5" s="4">
        <v>1000000</v>
      </c>
      <c r="E5" s="4">
        <f>(D5+D6) /2</f>
        <v>1010025</v>
      </c>
      <c r="F5" s="4">
        <v>50000</v>
      </c>
      <c r="G5" s="4">
        <v>30000</v>
      </c>
      <c r="H5" s="4">
        <v>50</v>
      </c>
      <c r="I5" s="5">
        <f>F5/E5*1000</f>
        <v>49.503725155317937</v>
      </c>
      <c r="J5" s="5">
        <f>G5/E5*1000</f>
        <v>29.702235093190762</v>
      </c>
      <c r="K5" s="10">
        <f>I5-J5</f>
        <v>19.801490062127176</v>
      </c>
      <c r="L5" s="10">
        <f>E5/C5*100</f>
        <v>90.991193892029457</v>
      </c>
    </row>
    <row r="6" spans="1:12" ht="15.75" x14ac:dyDescent="0.25">
      <c r="A6" s="2">
        <f>A5+1</f>
        <v>1882</v>
      </c>
      <c r="B6" s="4">
        <f t="shared" ref="B6:B39" si="0">D6 + 100000</f>
        <v>1120050</v>
      </c>
      <c r="C6" s="9">
        <f t="shared" ref="C6:C38" si="1">(B6+B7) /2</f>
        <v>1130080</v>
      </c>
      <c r="D6" s="4">
        <f>D5+F5-G5+H5</f>
        <v>1020050</v>
      </c>
      <c r="E6" s="4">
        <f t="shared" ref="E6:E38" si="2">(D6+D7) /2</f>
        <v>1030080</v>
      </c>
      <c r="F6" s="4">
        <f>F5+100</f>
        <v>50100</v>
      </c>
      <c r="G6" s="4">
        <f>G5+100</f>
        <v>30100</v>
      </c>
      <c r="H6" s="4">
        <f>H5+10</f>
        <v>60</v>
      </c>
      <c r="I6" s="5">
        <f t="shared" ref="I6:I38" si="3">F6/E6*1000</f>
        <v>48.636999068033553</v>
      </c>
      <c r="J6" s="5">
        <f t="shared" ref="J6:J38" si="4">G6/E6*1000</f>
        <v>29.22103137620379</v>
      </c>
      <c r="K6" s="10">
        <f t="shared" ref="K6:K38" si="5">I6-J6</f>
        <v>19.415967691829763</v>
      </c>
      <c r="L6" s="10">
        <f t="shared" ref="L6:L38" si="6">E6/C6*100</f>
        <v>91.151068950870737</v>
      </c>
    </row>
    <row r="7" spans="1:12" ht="15.75" x14ac:dyDescent="0.25">
      <c r="A7" s="2">
        <f t="shared" ref="A7:A37" si="7">A6+1</f>
        <v>1883</v>
      </c>
      <c r="B7" s="4">
        <f t="shared" si="0"/>
        <v>1140110</v>
      </c>
      <c r="C7" s="9">
        <f t="shared" si="1"/>
        <v>1150145</v>
      </c>
      <c r="D7" s="4">
        <f t="shared" ref="D7:D39" si="8">D6+F6-G6+H6</f>
        <v>1040110</v>
      </c>
      <c r="E7" s="4">
        <f t="shared" si="2"/>
        <v>1050145</v>
      </c>
      <c r="F7" s="4">
        <f t="shared" ref="F7:F38" si="9">F6+100</f>
        <v>50200</v>
      </c>
      <c r="G7" s="4">
        <f t="shared" ref="G7:G38" si="10">G6+100</f>
        <v>30200</v>
      </c>
      <c r="H7" s="4">
        <f t="shared" ref="H7:H38" si="11">H6+10</f>
        <v>70</v>
      </c>
      <c r="I7" s="5">
        <f t="shared" si="3"/>
        <v>47.802922453565941</v>
      </c>
      <c r="J7" s="5">
        <f t="shared" si="4"/>
        <v>28.757933428240861</v>
      </c>
      <c r="K7" s="10">
        <f t="shared" si="5"/>
        <v>19.04498902532508</v>
      </c>
      <c r="L7" s="10">
        <f t="shared" si="6"/>
        <v>91.305444096179173</v>
      </c>
    </row>
    <row r="8" spans="1:12" ht="15.75" x14ac:dyDescent="0.25">
      <c r="A8" s="2">
        <f t="shared" si="7"/>
        <v>1884</v>
      </c>
      <c r="B8" s="4">
        <f t="shared" si="0"/>
        <v>1160180</v>
      </c>
      <c r="C8" s="9">
        <f t="shared" si="1"/>
        <v>1170220</v>
      </c>
      <c r="D8" s="4">
        <f t="shared" si="8"/>
        <v>1060180</v>
      </c>
      <c r="E8" s="4">
        <f t="shared" si="2"/>
        <v>1070220</v>
      </c>
      <c r="F8" s="4">
        <f t="shared" si="9"/>
        <v>50300</v>
      </c>
      <c r="G8" s="4">
        <f t="shared" si="10"/>
        <v>30300</v>
      </c>
      <c r="H8" s="4">
        <f t="shared" si="11"/>
        <v>80</v>
      </c>
      <c r="I8" s="5">
        <f t="shared" si="3"/>
        <v>46.99968230831044</v>
      </c>
      <c r="J8" s="5">
        <f t="shared" si="4"/>
        <v>28.311935863654202</v>
      </c>
      <c r="K8" s="10">
        <f t="shared" si="5"/>
        <v>18.687746444656238</v>
      </c>
      <c r="L8" s="10">
        <f t="shared" si="6"/>
        <v>91.454598280665181</v>
      </c>
    </row>
    <row r="9" spans="1:12" ht="15.75" x14ac:dyDescent="0.25">
      <c r="A9" s="2">
        <f t="shared" si="7"/>
        <v>1885</v>
      </c>
      <c r="B9" s="4">
        <f t="shared" si="0"/>
        <v>1180260</v>
      </c>
      <c r="C9" s="9">
        <f t="shared" si="1"/>
        <v>1190305</v>
      </c>
      <c r="D9" s="4">
        <f t="shared" si="8"/>
        <v>1080260</v>
      </c>
      <c r="E9" s="4">
        <f t="shared" si="2"/>
        <v>1090305</v>
      </c>
      <c r="F9" s="4">
        <f t="shared" si="9"/>
        <v>50400</v>
      </c>
      <c r="G9" s="4">
        <f t="shared" si="10"/>
        <v>30400</v>
      </c>
      <c r="H9" s="4">
        <f t="shared" si="11"/>
        <v>90</v>
      </c>
      <c r="I9" s="5">
        <f t="shared" si="3"/>
        <v>46.225597424573856</v>
      </c>
      <c r="J9" s="5">
        <f t="shared" si="4"/>
        <v>27.882106383076298</v>
      </c>
      <c r="K9" s="10">
        <f t="shared" si="5"/>
        <v>18.343491041497558</v>
      </c>
      <c r="L9" s="10">
        <f t="shared" si="6"/>
        <v>91.598791906276119</v>
      </c>
    </row>
    <row r="10" spans="1:12" ht="15.75" x14ac:dyDescent="0.25">
      <c r="A10" s="2">
        <f t="shared" si="7"/>
        <v>1886</v>
      </c>
      <c r="B10" s="4">
        <f t="shared" si="0"/>
        <v>1200350</v>
      </c>
      <c r="C10" s="9">
        <f t="shared" si="1"/>
        <v>1210400</v>
      </c>
      <c r="D10" s="4">
        <f t="shared" si="8"/>
        <v>1100350</v>
      </c>
      <c r="E10" s="4">
        <f t="shared" si="2"/>
        <v>1110400</v>
      </c>
      <c r="F10" s="4">
        <f t="shared" si="9"/>
        <v>50500</v>
      </c>
      <c r="G10" s="4">
        <f t="shared" si="10"/>
        <v>30500</v>
      </c>
      <c r="H10" s="4">
        <f t="shared" si="11"/>
        <v>100</v>
      </c>
      <c r="I10" s="5">
        <f t="shared" si="3"/>
        <v>45.479106628242072</v>
      </c>
      <c r="J10" s="5">
        <f t="shared" si="4"/>
        <v>27.467579250720462</v>
      </c>
      <c r="K10" s="10">
        <f t="shared" si="5"/>
        <v>18.01152737752161</v>
      </c>
      <c r="L10" s="10">
        <f t="shared" si="6"/>
        <v>91.738268341044289</v>
      </c>
    </row>
    <row r="11" spans="1:12" ht="15.75" x14ac:dyDescent="0.25">
      <c r="A11" s="2">
        <f t="shared" si="7"/>
        <v>1887</v>
      </c>
      <c r="B11" s="4">
        <f t="shared" si="0"/>
        <v>1220450</v>
      </c>
      <c r="C11" s="9">
        <f t="shared" si="1"/>
        <v>1230505</v>
      </c>
      <c r="D11" s="4">
        <f t="shared" si="8"/>
        <v>1120450</v>
      </c>
      <c r="E11" s="4">
        <f t="shared" si="2"/>
        <v>1130505</v>
      </c>
      <c r="F11" s="4">
        <f t="shared" si="9"/>
        <v>50600</v>
      </c>
      <c r="G11" s="4">
        <f t="shared" si="10"/>
        <v>30600</v>
      </c>
      <c r="H11" s="4">
        <f t="shared" si="11"/>
        <v>110</v>
      </c>
      <c r="I11" s="5">
        <f t="shared" si="3"/>
        <v>44.758758254054605</v>
      </c>
      <c r="J11" s="5">
        <f t="shared" si="4"/>
        <v>27.067549457985589</v>
      </c>
      <c r="K11" s="10">
        <f t="shared" si="5"/>
        <v>17.691208796069017</v>
      </c>
      <c r="L11" s="10">
        <f t="shared" si="6"/>
        <v>91.873255289494963</v>
      </c>
    </row>
    <row r="12" spans="1:12" ht="15.75" x14ac:dyDescent="0.25">
      <c r="A12" s="2">
        <f t="shared" si="7"/>
        <v>1888</v>
      </c>
      <c r="B12" s="4">
        <f t="shared" si="0"/>
        <v>1240560</v>
      </c>
      <c r="C12" s="9">
        <f t="shared" si="1"/>
        <v>1250620</v>
      </c>
      <c r="D12" s="4">
        <f t="shared" si="8"/>
        <v>1140560</v>
      </c>
      <c r="E12" s="4">
        <f t="shared" si="2"/>
        <v>1150620</v>
      </c>
      <c r="F12" s="4">
        <f t="shared" si="9"/>
        <v>50700</v>
      </c>
      <c r="G12" s="4">
        <f t="shared" si="10"/>
        <v>30700</v>
      </c>
      <c r="H12" s="4">
        <f t="shared" si="11"/>
        <v>120</v>
      </c>
      <c r="I12" s="5">
        <f t="shared" si="3"/>
        <v>44.063200709182873</v>
      </c>
      <c r="J12" s="5">
        <f t="shared" si="4"/>
        <v>26.681267490570303</v>
      </c>
      <c r="K12" s="10">
        <f t="shared" si="5"/>
        <v>17.38193321861257</v>
      </c>
      <c r="L12" s="10">
        <f t="shared" si="6"/>
        <v>92.0039660328477</v>
      </c>
    </row>
    <row r="13" spans="1:12" ht="15.75" x14ac:dyDescent="0.25">
      <c r="A13" s="2">
        <f t="shared" si="7"/>
        <v>1889</v>
      </c>
      <c r="B13" s="4">
        <f t="shared" si="0"/>
        <v>1260680</v>
      </c>
      <c r="C13" s="9">
        <f t="shared" si="1"/>
        <v>1270745</v>
      </c>
      <c r="D13" s="4">
        <f t="shared" si="8"/>
        <v>1160680</v>
      </c>
      <c r="E13" s="4">
        <f t="shared" si="2"/>
        <v>1170745</v>
      </c>
      <c r="F13" s="4">
        <f t="shared" si="9"/>
        <v>50800</v>
      </c>
      <c r="G13" s="4">
        <f t="shared" si="10"/>
        <v>30800</v>
      </c>
      <c r="H13" s="4">
        <f t="shared" si="11"/>
        <v>130</v>
      </c>
      <c r="I13" s="5">
        <f t="shared" si="3"/>
        <v>43.391173996045254</v>
      </c>
      <c r="J13" s="5">
        <f t="shared" si="4"/>
        <v>26.308034627523501</v>
      </c>
      <c r="K13" s="10">
        <f t="shared" si="5"/>
        <v>17.083139368521753</v>
      </c>
      <c r="L13" s="10">
        <f t="shared" si="6"/>
        <v>92.130600553218784</v>
      </c>
    </row>
    <row r="14" spans="1:12" ht="15.75" x14ac:dyDescent="0.25">
      <c r="A14" s="2">
        <f t="shared" si="7"/>
        <v>1890</v>
      </c>
      <c r="B14" s="4">
        <f t="shared" si="0"/>
        <v>1280810</v>
      </c>
      <c r="C14" s="9">
        <f t="shared" si="1"/>
        <v>1290880</v>
      </c>
      <c r="D14" s="4">
        <f t="shared" si="8"/>
        <v>1180810</v>
      </c>
      <c r="E14" s="4">
        <f t="shared" si="2"/>
        <v>1190880</v>
      </c>
      <c r="F14" s="4">
        <f t="shared" si="9"/>
        <v>50900</v>
      </c>
      <c r="G14" s="4">
        <f t="shared" si="10"/>
        <v>30900</v>
      </c>
      <c r="H14" s="4">
        <f t="shared" si="11"/>
        <v>140</v>
      </c>
      <c r="I14" s="5">
        <f t="shared" si="3"/>
        <v>42.741502082493618</v>
      </c>
      <c r="J14" s="5">
        <f t="shared" si="4"/>
        <v>25.947198710197501</v>
      </c>
      <c r="K14" s="10">
        <f t="shared" si="5"/>
        <v>16.794303372296117</v>
      </c>
      <c r="L14" s="10">
        <f t="shared" si="6"/>
        <v>92.253346554288555</v>
      </c>
    </row>
    <row r="15" spans="1:12" ht="15.75" x14ac:dyDescent="0.25">
      <c r="A15" s="2">
        <f t="shared" si="7"/>
        <v>1891</v>
      </c>
      <c r="B15" s="4">
        <f t="shared" si="0"/>
        <v>1300950</v>
      </c>
      <c r="C15" s="9">
        <f t="shared" si="1"/>
        <v>1311025</v>
      </c>
      <c r="D15" s="4">
        <f t="shared" si="8"/>
        <v>1200950</v>
      </c>
      <c r="E15" s="4">
        <f t="shared" si="2"/>
        <v>1211025</v>
      </c>
      <c r="F15" s="4">
        <f t="shared" si="9"/>
        <v>51000</v>
      </c>
      <c r="G15" s="4">
        <f t="shared" si="10"/>
        <v>31000</v>
      </c>
      <c r="H15" s="4">
        <f t="shared" si="11"/>
        <v>150</v>
      </c>
      <c r="I15" s="5">
        <f t="shared" si="3"/>
        <v>42.113086022171302</v>
      </c>
      <c r="J15" s="5">
        <f t="shared" si="4"/>
        <v>25.598150327202166</v>
      </c>
      <c r="K15" s="10">
        <f t="shared" si="5"/>
        <v>16.514935694969136</v>
      </c>
      <c r="L15" s="10">
        <f t="shared" si="6"/>
        <v>92.372380389389988</v>
      </c>
    </row>
    <row r="16" spans="1:12" ht="15.75" x14ac:dyDescent="0.25">
      <c r="A16" s="2">
        <f t="shared" si="7"/>
        <v>1892</v>
      </c>
      <c r="B16" s="4">
        <f t="shared" si="0"/>
        <v>1321100</v>
      </c>
      <c r="C16" s="9">
        <f t="shared" si="1"/>
        <v>1331180</v>
      </c>
      <c r="D16" s="4">
        <f t="shared" si="8"/>
        <v>1221100</v>
      </c>
      <c r="E16" s="4">
        <f t="shared" si="2"/>
        <v>1231180</v>
      </c>
      <c r="F16" s="4">
        <f t="shared" si="9"/>
        <v>51100</v>
      </c>
      <c r="G16" s="4">
        <f t="shared" si="10"/>
        <v>31100</v>
      </c>
      <c r="H16" s="4">
        <f t="shared" si="11"/>
        <v>160</v>
      </c>
      <c r="I16" s="5">
        <f t="shared" si="3"/>
        <v>41.504897740379143</v>
      </c>
      <c r="J16" s="5">
        <f t="shared" si="4"/>
        <v>25.260319368410791</v>
      </c>
      <c r="K16" s="10">
        <f t="shared" si="5"/>
        <v>16.244578371968352</v>
      </c>
      <c r="L16" s="10">
        <f t="shared" si="6"/>
        <v>92.48786790666928</v>
      </c>
    </row>
    <row r="17" spans="1:12" ht="15.75" x14ac:dyDescent="0.25">
      <c r="A17" s="2">
        <f t="shared" si="7"/>
        <v>1893</v>
      </c>
      <c r="B17" s="4">
        <f t="shared" si="0"/>
        <v>1341260</v>
      </c>
      <c r="C17" s="9">
        <f t="shared" si="1"/>
        <v>1351345</v>
      </c>
      <c r="D17" s="4">
        <f t="shared" si="8"/>
        <v>1241260</v>
      </c>
      <c r="E17" s="4">
        <f t="shared" si="2"/>
        <v>1251345</v>
      </c>
      <c r="F17" s="4">
        <f t="shared" si="9"/>
        <v>51200</v>
      </c>
      <c r="G17" s="4">
        <f t="shared" si="10"/>
        <v>31200</v>
      </c>
      <c r="H17" s="4">
        <f t="shared" si="11"/>
        <v>170</v>
      </c>
      <c r="I17" s="5">
        <f t="shared" si="3"/>
        <v>40.915974411533192</v>
      </c>
      <c r="J17" s="5">
        <f t="shared" si="4"/>
        <v>24.933171907028036</v>
      </c>
      <c r="K17" s="10">
        <f t="shared" si="5"/>
        <v>15.982802504505155</v>
      </c>
      <c r="L17" s="10">
        <f t="shared" si="6"/>
        <v>92.599965219836534</v>
      </c>
    </row>
    <row r="18" spans="1:12" ht="15.75" x14ac:dyDescent="0.25">
      <c r="A18" s="2">
        <f t="shared" si="7"/>
        <v>1894</v>
      </c>
      <c r="B18" s="4">
        <f t="shared" si="0"/>
        <v>1361430</v>
      </c>
      <c r="C18" s="9">
        <f t="shared" si="1"/>
        <v>1371520</v>
      </c>
      <c r="D18" s="4">
        <f t="shared" si="8"/>
        <v>1261430</v>
      </c>
      <c r="E18" s="4">
        <f t="shared" si="2"/>
        <v>1271520</v>
      </c>
      <c r="F18" s="4">
        <f t="shared" si="9"/>
        <v>51300</v>
      </c>
      <c r="G18" s="4">
        <f t="shared" si="10"/>
        <v>31300</v>
      </c>
      <c r="H18" s="4">
        <f t="shared" si="11"/>
        <v>180</v>
      </c>
      <c r="I18" s="5">
        <f t="shared" si="3"/>
        <v>40.34541336353341</v>
      </c>
      <c r="J18" s="5">
        <f t="shared" si="4"/>
        <v>24.616207373851765</v>
      </c>
      <c r="K18" s="10">
        <f t="shared" si="5"/>
        <v>15.729205989681645</v>
      </c>
      <c r="L18" s="10">
        <f t="shared" si="6"/>
        <v>92.708819412039205</v>
      </c>
    </row>
    <row r="19" spans="1:12" ht="15.75" x14ac:dyDescent="0.25">
      <c r="A19" s="2">
        <f t="shared" si="7"/>
        <v>1895</v>
      </c>
      <c r="B19" s="4">
        <f t="shared" si="0"/>
        <v>1381610</v>
      </c>
      <c r="C19" s="9">
        <f t="shared" si="1"/>
        <v>1391705</v>
      </c>
      <c r="D19" s="4">
        <f t="shared" si="8"/>
        <v>1281610</v>
      </c>
      <c r="E19" s="4">
        <f t="shared" si="2"/>
        <v>1291705</v>
      </c>
      <c r="F19" s="4">
        <f t="shared" si="9"/>
        <v>51400</v>
      </c>
      <c r="G19" s="4">
        <f t="shared" si="10"/>
        <v>31400</v>
      </c>
      <c r="H19" s="4">
        <f t="shared" si="11"/>
        <v>190</v>
      </c>
      <c r="I19" s="5">
        <f t="shared" si="3"/>
        <v>39.792367452320775</v>
      </c>
      <c r="J19" s="5">
        <f t="shared" si="4"/>
        <v>24.308955992273777</v>
      </c>
      <c r="K19" s="10">
        <f t="shared" si="5"/>
        <v>15.483411460046998</v>
      </c>
      <c r="L19" s="10">
        <f t="shared" si="6"/>
        <v>92.814569179531574</v>
      </c>
    </row>
    <row r="20" spans="1:12" ht="15.75" x14ac:dyDescent="0.25">
      <c r="A20" s="2">
        <f t="shared" si="7"/>
        <v>1896</v>
      </c>
      <c r="B20" s="4">
        <f t="shared" si="0"/>
        <v>1401800</v>
      </c>
      <c r="C20" s="9">
        <f t="shared" si="1"/>
        <v>1411900</v>
      </c>
      <c r="D20" s="4">
        <f t="shared" si="8"/>
        <v>1301800</v>
      </c>
      <c r="E20" s="4">
        <f t="shared" si="2"/>
        <v>1311900</v>
      </c>
      <c r="F20" s="4">
        <f t="shared" si="9"/>
        <v>51500</v>
      </c>
      <c r="G20" s="4">
        <f t="shared" si="10"/>
        <v>31500</v>
      </c>
      <c r="H20" s="4">
        <f t="shared" si="11"/>
        <v>200</v>
      </c>
      <c r="I20" s="5">
        <f t="shared" si="3"/>
        <v>39.256040856772614</v>
      </c>
      <c r="J20" s="5">
        <f t="shared" si="4"/>
        <v>24.010976446375484</v>
      </c>
      <c r="K20" s="10">
        <f t="shared" si="5"/>
        <v>15.245064410397131</v>
      </c>
      <c r="L20" s="10">
        <f t="shared" si="6"/>
        <v>92.917345421063814</v>
      </c>
    </row>
    <row r="21" spans="1:12" ht="15.75" x14ac:dyDescent="0.25">
      <c r="A21" s="2">
        <f t="shared" si="7"/>
        <v>1897</v>
      </c>
      <c r="B21" s="4">
        <f t="shared" si="0"/>
        <v>1422000</v>
      </c>
      <c r="C21" s="9">
        <f t="shared" si="1"/>
        <v>1432105</v>
      </c>
      <c r="D21" s="4">
        <f t="shared" si="8"/>
        <v>1322000</v>
      </c>
      <c r="E21" s="4">
        <f t="shared" si="2"/>
        <v>1332105</v>
      </c>
      <c r="F21" s="4">
        <f t="shared" si="9"/>
        <v>51600</v>
      </c>
      <c r="G21" s="4">
        <f t="shared" si="10"/>
        <v>31600</v>
      </c>
      <c r="H21" s="4">
        <f t="shared" si="11"/>
        <v>210</v>
      </c>
      <c r="I21" s="5">
        <f t="shared" si="3"/>
        <v>38.735685250036596</v>
      </c>
      <c r="J21" s="5">
        <f t="shared" si="4"/>
        <v>23.721853757774351</v>
      </c>
      <c r="K21" s="10">
        <f t="shared" si="5"/>
        <v>15.013831492262245</v>
      </c>
      <c r="L21" s="10">
        <f t="shared" si="6"/>
        <v>93.017271778256486</v>
      </c>
    </row>
    <row r="22" spans="1:12" ht="15.75" x14ac:dyDescent="0.25">
      <c r="A22" s="2">
        <f t="shared" si="7"/>
        <v>1898</v>
      </c>
      <c r="B22" s="4">
        <f t="shared" si="0"/>
        <v>1442210</v>
      </c>
      <c r="C22" s="9">
        <f t="shared" si="1"/>
        <v>1452320</v>
      </c>
      <c r="D22" s="4">
        <f t="shared" si="8"/>
        <v>1342210</v>
      </c>
      <c r="E22" s="4">
        <f t="shared" si="2"/>
        <v>1352320</v>
      </c>
      <c r="F22" s="4">
        <f t="shared" si="9"/>
        <v>51700</v>
      </c>
      <c r="G22" s="4">
        <f t="shared" si="10"/>
        <v>31700</v>
      </c>
      <c r="H22" s="4">
        <f t="shared" si="11"/>
        <v>220</v>
      </c>
      <c r="I22" s="5">
        <f t="shared" si="3"/>
        <v>38.230596308566021</v>
      </c>
      <c r="J22" s="5">
        <f t="shared" si="4"/>
        <v>23.441197349739706</v>
      </c>
      <c r="K22" s="10">
        <f t="shared" si="5"/>
        <v>14.789398958826315</v>
      </c>
      <c r="L22" s="10">
        <f t="shared" si="6"/>
        <v>93.114465131651428</v>
      </c>
    </row>
    <row r="23" spans="1:12" ht="15.75" x14ac:dyDescent="0.25">
      <c r="A23" s="2">
        <f t="shared" si="7"/>
        <v>1899</v>
      </c>
      <c r="B23" s="4">
        <f t="shared" si="0"/>
        <v>1462430</v>
      </c>
      <c r="C23" s="9">
        <f t="shared" si="1"/>
        <v>1472545</v>
      </c>
      <c r="D23" s="4">
        <f t="shared" si="8"/>
        <v>1362430</v>
      </c>
      <c r="E23" s="4">
        <f t="shared" si="2"/>
        <v>1372545</v>
      </c>
      <c r="F23" s="4">
        <f t="shared" si="9"/>
        <v>51800</v>
      </c>
      <c r="G23" s="4">
        <f t="shared" si="10"/>
        <v>31800</v>
      </c>
      <c r="H23" s="4">
        <f t="shared" si="11"/>
        <v>230</v>
      </c>
      <c r="I23" s="5">
        <f t="shared" si="3"/>
        <v>37.740110524609392</v>
      </c>
      <c r="J23" s="5">
        <f t="shared" si="4"/>
        <v>23.168639279586461</v>
      </c>
      <c r="K23" s="10">
        <f t="shared" si="5"/>
        <v>14.571471245022931</v>
      </c>
      <c r="L23" s="10">
        <f t="shared" si="6"/>
        <v>93.209036056623063</v>
      </c>
    </row>
    <row r="24" spans="1:12" ht="15.75" x14ac:dyDescent="0.25">
      <c r="A24" s="2">
        <f t="shared" si="7"/>
        <v>1900</v>
      </c>
      <c r="B24" s="4">
        <f t="shared" si="0"/>
        <v>1482660</v>
      </c>
      <c r="C24" s="9">
        <f t="shared" si="1"/>
        <v>1492780</v>
      </c>
      <c r="D24" s="4">
        <f t="shared" si="8"/>
        <v>1382660</v>
      </c>
      <c r="E24" s="4">
        <f t="shared" si="2"/>
        <v>1392780</v>
      </c>
      <c r="F24" s="4">
        <f t="shared" si="9"/>
        <v>51900</v>
      </c>
      <c r="G24" s="4">
        <f t="shared" si="10"/>
        <v>31900</v>
      </c>
      <c r="H24" s="4">
        <f t="shared" si="11"/>
        <v>240</v>
      </c>
      <c r="I24" s="5">
        <f t="shared" si="3"/>
        <v>37.26360229181924</v>
      </c>
      <c r="J24" s="5">
        <f t="shared" si="4"/>
        <v>22.903832622524735</v>
      </c>
      <c r="K24" s="10">
        <f t="shared" si="5"/>
        <v>14.359769669294504</v>
      </c>
      <c r="L24" s="10">
        <f t="shared" si="6"/>
        <v>93.301089242889105</v>
      </c>
    </row>
    <row r="25" spans="1:12" ht="15.75" x14ac:dyDescent="0.25">
      <c r="A25" s="2">
        <f t="shared" si="7"/>
        <v>1901</v>
      </c>
      <c r="B25" s="4">
        <f t="shared" si="0"/>
        <v>1502900</v>
      </c>
      <c r="C25" s="9">
        <f t="shared" si="1"/>
        <v>1513025</v>
      </c>
      <c r="D25" s="4">
        <f t="shared" si="8"/>
        <v>1402900</v>
      </c>
      <c r="E25" s="4">
        <f t="shared" si="2"/>
        <v>1413025</v>
      </c>
      <c r="F25" s="4">
        <f t="shared" si="9"/>
        <v>52000</v>
      </c>
      <c r="G25" s="4">
        <f t="shared" si="10"/>
        <v>32000</v>
      </c>
      <c r="H25" s="4">
        <f t="shared" si="11"/>
        <v>250</v>
      </c>
      <c r="I25" s="5">
        <f t="shared" si="3"/>
        <v>36.800481237062328</v>
      </c>
      <c r="J25" s="5">
        <f t="shared" si="4"/>
        <v>22.646449992038356</v>
      </c>
      <c r="K25" s="10">
        <f t="shared" si="5"/>
        <v>14.154031245023972</v>
      </c>
      <c r="L25" s="10">
        <f t="shared" si="6"/>
        <v>93.390723880966945</v>
      </c>
    </row>
    <row r="26" spans="1:12" ht="15.75" x14ac:dyDescent="0.25">
      <c r="A26" s="2">
        <f t="shared" si="7"/>
        <v>1902</v>
      </c>
      <c r="B26" s="4">
        <f t="shared" si="0"/>
        <v>1523150</v>
      </c>
      <c r="C26" s="9">
        <f t="shared" si="1"/>
        <v>1533280</v>
      </c>
      <c r="D26" s="4">
        <f t="shared" si="8"/>
        <v>1423150</v>
      </c>
      <c r="E26" s="4">
        <f t="shared" si="2"/>
        <v>1433280</v>
      </c>
      <c r="F26" s="4">
        <f t="shared" si="9"/>
        <v>52100</v>
      </c>
      <c r="G26" s="4">
        <f t="shared" si="10"/>
        <v>32100</v>
      </c>
      <c r="H26" s="4">
        <f t="shared" si="11"/>
        <v>260</v>
      </c>
      <c r="I26" s="5">
        <f t="shared" si="3"/>
        <v>36.350189774503235</v>
      </c>
      <c r="J26" s="5">
        <f t="shared" si="4"/>
        <v>22.396182183523106</v>
      </c>
      <c r="K26" s="10">
        <f t="shared" si="5"/>
        <v>13.95400759098013</v>
      </c>
      <c r="L26" s="10">
        <f t="shared" si="6"/>
        <v>93.478034018574562</v>
      </c>
    </row>
    <row r="27" spans="1:12" ht="15.75" x14ac:dyDescent="0.25">
      <c r="A27" s="2">
        <f t="shared" si="7"/>
        <v>1903</v>
      </c>
      <c r="B27" s="4">
        <f t="shared" si="0"/>
        <v>1543410</v>
      </c>
      <c r="C27" s="9">
        <f t="shared" si="1"/>
        <v>1553545</v>
      </c>
      <c r="D27" s="4">
        <f t="shared" si="8"/>
        <v>1443410</v>
      </c>
      <c r="E27" s="4">
        <f t="shared" si="2"/>
        <v>1453545</v>
      </c>
      <c r="F27" s="4">
        <f t="shared" si="9"/>
        <v>52200</v>
      </c>
      <c r="G27" s="4">
        <f t="shared" si="10"/>
        <v>32200</v>
      </c>
      <c r="H27" s="4">
        <f t="shared" si="11"/>
        <v>270</v>
      </c>
      <c r="I27" s="5">
        <f t="shared" si="3"/>
        <v>35.912200860654472</v>
      </c>
      <c r="J27" s="5">
        <f t="shared" si="4"/>
        <v>22.15273692936923</v>
      </c>
      <c r="K27" s="10">
        <f t="shared" si="5"/>
        <v>13.759463931285243</v>
      </c>
      <c r="L27" s="10">
        <f t="shared" si="6"/>
        <v>93.56310888966847</v>
      </c>
    </row>
    <row r="28" spans="1:12" ht="15.75" x14ac:dyDescent="0.25">
      <c r="A28" s="2">
        <f t="shared" si="7"/>
        <v>1904</v>
      </c>
      <c r="B28" s="4">
        <f t="shared" si="0"/>
        <v>1563680</v>
      </c>
      <c r="C28" s="9">
        <f t="shared" si="1"/>
        <v>1573820</v>
      </c>
      <c r="D28" s="4">
        <f t="shared" si="8"/>
        <v>1463680</v>
      </c>
      <c r="E28" s="4">
        <f t="shared" si="2"/>
        <v>1473820</v>
      </c>
      <c r="F28" s="4">
        <f t="shared" si="9"/>
        <v>52300</v>
      </c>
      <c r="G28" s="4">
        <f t="shared" si="10"/>
        <v>32300</v>
      </c>
      <c r="H28" s="4">
        <f t="shared" si="11"/>
        <v>280</v>
      </c>
      <c r="I28" s="5">
        <f t="shared" si="3"/>
        <v>35.486015931389176</v>
      </c>
      <c r="J28" s="5">
        <f t="shared" si="4"/>
        <v>21.91583775494972</v>
      </c>
      <c r="K28" s="10">
        <f t="shared" si="5"/>
        <v>13.570178176439455</v>
      </c>
      <c r="L28" s="10">
        <f t="shared" si="6"/>
        <v>93.646033218538335</v>
      </c>
    </row>
    <row r="29" spans="1:12" ht="15.75" x14ac:dyDescent="0.25">
      <c r="A29" s="2">
        <f t="shared" si="7"/>
        <v>1905</v>
      </c>
      <c r="B29" s="4">
        <f t="shared" si="0"/>
        <v>1583960</v>
      </c>
      <c r="C29" s="9">
        <f t="shared" si="1"/>
        <v>1594105</v>
      </c>
      <c r="D29" s="4">
        <f t="shared" si="8"/>
        <v>1483960</v>
      </c>
      <c r="E29" s="4">
        <f t="shared" si="2"/>
        <v>1494105</v>
      </c>
      <c r="F29" s="4">
        <f t="shared" si="9"/>
        <v>52400</v>
      </c>
      <c r="G29" s="4">
        <f t="shared" si="10"/>
        <v>32400</v>
      </c>
      <c r="H29" s="4">
        <f t="shared" si="11"/>
        <v>290</v>
      </c>
      <c r="I29" s="5">
        <f t="shared" si="3"/>
        <v>35.071163003938807</v>
      </c>
      <c r="J29" s="5">
        <f t="shared" si="4"/>
        <v>21.685222926099573</v>
      </c>
      <c r="K29" s="10">
        <f t="shared" si="5"/>
        <v>13.385940077839233</v>
      </c>
      <c r="L29" s="10">
        <f t="shared" si="6"/>
        <v>93.726887501137</v>
      </c>
    </row>
    <row r="30" spans="1:12" ht="15.75" x14ac:dyDescent="0.25">
      <c r="A30" s="2">
        <f t="shared" si="7"/>
        <v>1906</v>
      </c>
      <c r="B30" s="4">
        <f t="shared" si="0"/>
        <v>1604250</v>
      </c>
      <c r="C30" s="9">
        <f t="shared" si="1"/>
        <v>1614400</v>
      </c>
      <c r="D30" s="4">
        <f t="shared" si="8"/>
        <v>1504250</v>
      </c>
      <c r="E30" s="4">
        <f t="shared" si="2"/>
        <v>1514400</v>
      </c>
      <c r="F30" s="4">
        <f t="shared" si="9"/>
        <v>52500</v>
      </c>
      <c r="G30" s="4">
        <f t="shared" si="10"/>
        <v>32500</v>
      </c>
      <c r="H30" s="4">
        <f t="shared" si="11"/>
        <v>300</v>
      </c>
      <c r="I30" s="5">
        <f t="shared" si="3"/>
        <v>34.66719492868463</v>
      </c>
      <c r="J30" s="5">
        <f t="shared" si="4"/>
        <v>21.460644479661912</v>
      </c>
      <c r="K30" s="10">
        <f t="shared" si="5"/>
        <v>13.206550449022718</v>
      </c>
      <c r="L30" s="10">
        <f t="shared" si="6"/>
        <v>93.805748265609509</v>
      </c>
    </row>
    <row r="31" spans="1:12" ht="15.75" x14ac:dyDescent="0.25">
      <c r="A31" s="2">
        <f t="shared" si="7"/>
        <v>1907</v>
      </c>
      <c r="B31" s="4">
        <f t="shared" si="0"/>
        <v>1624550</v>
      </c>
      <c r="C31" s="9">
        <f t="shared" si="1"/>
        <v>1634705</v>
      </c>
      <c r="D31" s="4">
        <f t="shared" si="8"/>
        <v>1524550</v>
      </c>
      <c r="E31" s="4">
        <f t="shared" si="2"/>
        <v>1534705</v>
      </c>
      <c r="F31" s="4">
        <f t="shared" si="9"/>
        <v>52600</v>
      </c>
      <c r="G31" s="4">
        <f t="shared" si="10"/>
        <v>32600</v>
      </c>
      <c r="H31" s="4">
        <f t="shared" si="11"/>
        <v>310</v>
      </c>
      <c r="I31" s="5">
        <f t="shared" si="3"/>
        <v>34.273687777129808</v>
      </c>
      <c r="J31" s="5">
        <f t="shared" si="4"/>
        <v>21.241867329551933</v>
      </c>
      <c r="K31" s="10">
        <f t="shared" si="5"/>
        <v>13.031820447577875</v>
      </c>
      <c r="L31" s="10">
        <f t="shared" si="6"/>
        <v>93.882688313793622</v>
      </c>
    </row>
    <row r="32" spans="1:12" ht="15.75" x14ac:dyDescent="0.25">
      <c r="A32" s="2">
        <f t="shared" si="7"/>
        <v>1908</v>
      </c>
      <c r="B32" s="4">
        <f t="shared" si="0"/>
        <v>1644860</v>
      </c>
      <c r="C32" s="9">
        <f t="shared" si="1"/>
        <v>1655020</v>
      </c>
      <c r="D32" s="4">
        <f t="shared" si="8"/>
        <v>1544860</v>
      </c>
      <c r="E32" s="4">
        <f t="shared" si="2"/>
        <v>1555020</v>
      </c>
      <c r="F32" s="4">
        <f t="shared" si="9"/>
        <v>52700</v>
      </c>
      <c r="G32" s="4">
        <f t="shared" si="10"/>
        <v>32700</v>
      </c>
      <c r="H32" s="4">
        <f t="shared" si="11"/>
        <v>320</v>
      </c>
      <c r="I32" s="5">
        <f t="shared" si="3"/>
        <v>33.89023935383468</v>
      </c>
      <c r="J32" s="5">
        <f t="shared" si="4"/>
        <v>21.028668441563454</v>
      </c>
      <c r="K32" s="10">
        <f t="shared" si="5"/>
        <v>12.861570912271226</v>
      </c>
      <c r="L32" s="10">
        <f t="shared" si="6"/>
        <v>93.957776945293716</v>
      </c>
    </row>
    <row r="33" spans="1:12" ht="15.75" x14ac:dyDescent="0.25">
      <c r="A33" s="2">
        <f t="shared" si="7"/>
        <v>1909</v>
      </c>
      <c r="B33" s="4">
        <f t="shared" si="0"/>
        <v>1665180</v>
      </c>
      <c r="C33" s="9">
        <f t="shared" si="1"/>
        <v>1675345</v>
      </c>
      <c r="D33" s="4">
        <f t="shared" si="8"/>
        <v>1565180</v>
      </c>
      <c r="E33" s="4">
        <f t="shared" si="2"/>
        <v>1575345</v>
      </c>
      <c r="F33" s="4">
        <f t="shared" si="9"/>
        <v>52800</v>
      </c>
      <c r="G33" s="4">
        <f t="shared" si="10"/>
        <v>32800</v>
      </c>
      <c r="H33" s="4">
        <f t="shared" si="11"/>
        <v>330</v>
      </c>
      <c r="I33" s="5">
        <f t="shared" si="3"/>
        <v>33.516467821334373</v>
      </c>
      <c r="J33" s="5">
        <f t="shared" si="4"/>
        <v>20.820836070828928</v>
      </c>
      <c r="K33" s="10">
        <f t="shared" si="5"/>
        <v>12.695631750505445</v>
      </c>
      <c r="L33" s="10">
        <f t="shared" si="6"/>
        <v>94.031080165577833</v>
      </c>
    </row>
    <row r="34" spans="1:12" ht="15.75" x14ac:dyDescent="0.25">
      <c r="A34" s="2">
        <f t="shared" si="7"/>
        <v>1910</v>
      </c>
      <c r="B34" s="4">
        <f t="shared" si="0"/>
        <v>1685510</v>
      </c>
      <c r="C34" s="9">
        <f t="shared" si="1"/>
        <v>1695680</v>
      </c>
      <c r="D34" s="4">
        <f t="shared" si="8"/>
        <v>1585510</v>
      </c>
      <c r="E34" s="4">
        <f t="shared" si="2"/>
        <v>1595680</v>
      </c>
      <c r="F34" s="4">
        <f t="shared" si="9"/>
        <v>52900</v>
      </c>
      <c r="G34" s="4">
        <f t="shared" si="10"/>
        <v>32900</v>
      </c>
      <c r="H34" s="4">
        <f t="shared" si="11"/>
        <v>340</v>
      </c>
      <c r="I34" s="5">
        <f t="shared" si="3"/>
        <v>33.152010428156018</v>
      </c>
      <c r="J34" s="5">
        <f t="shared" si="4"/>
        <v>20.61816905645242</v>
      </c>
      <c r="K34" s="10">
        <f t="shared" si="5"/>
        <v>12.533841371703598</v>
      </c>
      <c r="L34" s="10">
        <f t="shared" si="6"/>
        <v>94.102660879411218</v>
      </c>
    </row>
    <row r="35" spans="1:12" ht="15.75" x14ac:dyDescent="0.25">
      <c r="A35" s="2">
        <f t="shared" si="7"/>
        <v>1911</v>
      </c>
      <c r="B35" s="4">
        <f t="shared" si="0"/>
        <v>1705850</v>
      </c>
      <c r="C35" s="9">
        <f t="shared" si="1"/>
        <v>1716025</v>
      </c>
      <c r="D35" s="4">
        <f t="shared" si="8"/>
        <v>1605850</v>
      </c>
      <c r="E35" s="4">
        <f t="shared" si="2"/>
        <v>1616025</v>
      </c>
      <c r="F35" s="4">
        <f t="shared" si="9"/>
        <v>53000</v>
      </c>
      <c r="G35" s="4">
        <f t="shared" si="10"/>
        <v>33000</v>
      </c>
      <c r="H35" s="4">
        <f t="shared" si="11"/>
        <v>350</v>
      </c>
      <c r="I35" s="5">
        <f t="shared" si="3"/>
        <v>32.796522331028299</v>
      </c>
      <c r="J35" s="5">
        <f t="shared" si="4"/>
        <v>20.420476168376108</v>
      </c>
      <c r="K35" s="10">
        <f t="shared" si="5"/>
        <v>12.376046162652191</v>
      </c>
      <c r="L35" s="10">
        <f t="shared" si="6"/>
        <v>94.172579070817733</v>
      </c>
    </row>
    <row r="36" spans="1:12" ht="15.75" x14ac:dyDescent="0.25">
      <c r="A36" s="2">
        <f t="shared" si="7"/>
        <v>1912</v>
      </c>
      <c r="B36" s="4">
        <f t="shared" si="0"/>
        <v>1726200</v>
      </c>
      <c r="C36" s="9">
        <f t="shared" si="1"/>
        <v>1736380</v>
      </c>
      <c r="D36" s="4">
        <f t="shared" si="8"/>
        <v>1626200</v>
      </c>
      <c r="E36" s="4">
        <f t="shared" si="2"/>
        <v>1636380</v>
      </c>
      <c r="F36" s="4">
        <f t="shared" si="9"/>
        <v>53100</v>
      </c>
      <c r="G36" s="4">
        <f t="shared" si="10"/>
        <v>33100</v>
      </c>
      <c r="H36" s="4">
        <f t="shared" si="11"/>
        <v>360</v>
      </c>
      <c r="I36" s="5">
        <f t="shared" si="3"/>
        <v>32.449675503244968</v>
      </c>
      <c r="J36" s="5">
        <f t="shared" si="4"/>
        <v>20.227575502022759</v>
      </c>
      <c r="K36" s="10">
        <f t="shared" si="5"/>
        <v>12.222100001222209</v>
      </c>
      <c r="L36" s="10">
        <f t="shared" si="6"/>
        <v>94.240891970651589</v>
      </c>
    </row>
    <row r="37" spans="1:12" ht="15.75" x14ac:dyDescent="0.25">
      <c r="A37" s="2">
        <f t="shared" si="7"/>
        <v>1913</v>
      </c>
      <c r="B37" s="4">
        <f t="shared" si="0"/>
        <v>1746560</v>
      </c>
      <c r="C37" s="9">
        <f t="shared" si="1"/>
        <v>1756745</v>
      </c>
      <c r="D37" s="4">
        <f t="shared" si="8"/>
        <v>1646560</v>
      </c>
      <c r="E37" s="4">
        <f t="shared" si="2"/>
        <v>1656745</v>
      </c>
      <c r="F37" s="4">
        <f t="shared" si="9"/>
        <v>53200</v>
      </c>
      <c r="G37" s="4">
        <f t="shared" si="10"/>
        <v>33200</v>
      </c>
      <c r="H37" s="4">
        <f t="shared" si="11"/>
        <v>370</v>
      </c>
      <c r="I37" s="5">
        <f t="shared" si="3"/>
        <v>32.11115772191858</v>
      </c>
      <c r="J37" s="5">
        <f t="shared" si="4"/>
        <v>20.039293916686031</v>
      </c>
      <c r="K37" s="10">
        <f t="shared" si="5"/>
        <v>12.07186380523255</v>
      </c>
      <c r="L37" s="10">
        <f t="shared" si="6"/>
        <v>94.307654212762799</v>
      </c>
    </row>
    <row r="38" spans="1:12" ht="15.75" x14ac:dyDescent="0.25">
      <c r="A38" s="2">
        <f>A37+1</f>
        <v>1914</v>
      </c>
      <c r="B38" s="4">
        <f t="shared" si="0"/>
        <v>1766930</v>
      </c>
      <c r="C38" s="9">
        <f t="shared" si="1"/>
        <v>1777120</v>
      </c>
      <c r="D38" s="4">
        <f t="shared" si="8"/>
        <v>1666930</v>
      </c>
      <c r="E38" s="4">
        <f t="shared" si="2"/>
        <v>1677120</v>
      </c>
      <c r="F38" s="4">
        <f t="shared" si="9"/>
        <v>53300</v>
      </c>
      <c r="G38" s="4">
        <f t="shared" si="10"/>
        <v>33300</v>
      </c>
      <c r="H38" s="4">
        <f t="shared" si="11"/>
        <v>380</v>
      </c>
      <c r="I38" s="5">
        <f t="shared" si="3"/>
        <v>31.780671627551992</v>
      </c>
      <c r="J38" s="5">
        <f t="shared" si="4"/>
        <v>19.855466514024041</v>
      </c>
      <c r="K38" s="10">
        <f t="shared" si="5"/>
        <v>11.925205113527952</v>
      </c>
      <c r="L38" s="10">
        <f t="shared" si="6"/>
        <v>94.37291797965247</v>
      </c>
    </row>
    <row r="39" spans="1:12" ht="15.75" x14ac:dyDescent="0.25">
      <c r="A39" s="2">
        <f>A38+1</f>
        <v>1915</v>
      </c>
      <c r="B39" s="4">
        <f t="shared" si="0"/>
        <v>1787310</v>
      </c>
      <c r="C39" s="2"/>
      <c r="D39" s="4">
        <f t="shared" si="8"/>
        <v>1687310</v>
      </c>
      <c r="E39" s="4"/>
      <c r="F39" s="4"/>
      <c r="G39" s="4"/>
      <c r="H39" s="4"/>
      <c r="I39" s="3"/>
      <c r="J39" s="3"/>
      <c r="K39" s="1"/>
      <c r="L39" s="1"/>
    </row>
    <row r="40" spans="1:12" ht="15.75" x14ac:dyDescent="0.25">
      <c r="A40" s="12" t="s">
        <v>9</v>
      </c>
      <c r="B40" s="12"/>
      <c r="C40" s="12"/>
      <c r="D40" s="12"/>
      <c r="E40" s="12"/>
      <c r="F40" s="13" cm="1">
        <f t="array" ref="F40">SUM(F5+F5:F19)</f>
        <v>1510500</v>
      </c>
      <c r="G40" s="13" cm="1">
        <f t="array" ref="G40">SUM(G5+G5:G19)</f>
        <v>910500</v>
      </c>
      <c r="H40" s="13" cm="1">
        <f t="array" ref="H40">SUM(H5+H5:H19)</f>
        <v>2550</v>
      </c>
      <c r="I40" s="11">
        <f>AVERAGE(I5:I19)</f>
        <v>44.284960471317206</v>
      </c>
      <c r="J40" s="11">
        <f>AVERAGE(J5:J19)</f>
        <v>26.804245110008651</v>
      </c>
      <c r="K40" s="11">
        <f>AVERAGE(K5:K19)</f>
        <v>17.480715361308548</v>
      </c>
      <c r="L40" s="11">
        <f>AVERAGE(L5:L19)</f>
        <v>91.965609066958763</v>
      </c>
    </row>
    <row r="41" spans="1:12" ht="15.75" x14ac:dyDescent="0.25">
      <c r="A41" s="12" t="s">
        <v>10</v>
      </c>
      <c r="B41" s="12"/>
      <c r="C41" s="12"/>
      <c r="D41" s="12"/>
      <c r="E41" s="12"/>
      <c r="F41" s="13">
        <f>SUM(F20:F38)</f>
        <v>995600</v>
      </c>
      <c r="G41" s="13">
        <f>SUM(G20:G38)</f>
        <v>615600</v>
      </c>
      <c r="H41" s="13">
        <f>SUM(H20:H38)</f>
        <v>5510</v>
      </c>
      <c r="I41" s="11">
        <f>AVERAGE(I20:I38)</f>
        <v>35.235984922749225</v>
      </c>
      <c r="J41" s="11">
        <f>AVERAGE(J20:J38)</f>
        <v>21.776627722165703</v>
      </c>
      <c r="K41" s="11">
        <f>AVERAGE(K20:K38)</f>
        <v>13.45935720058352</v>
      </c>
      <c r="L41" s="11">
        <f>AVERAGE(L20:L38)</f>
        <v>93.696736470681046</v>
      </c>
    </row>
    <row r="42" spans="1:12" ht="15.75" x14ac:dyDescent="0.25">
      <c r="A42" s="12" t="s">
        <v>11</v>
      </c>
      <c r="B42" s="12"/>
      <c r="C42" s="12"/>
      <c r="D42" s="12"/>
      <c r="E42" s="12"/>
      <c r="F42" s="13">
        <f>F40+F41</f>
        <v>2506100</v>
      </c>
      <c r="G42" s="13">
        <f>G40+G41</f>
        <v>1526100</v>
      </c>
      <c r="H42" s="13">
        <f>H40+H41</f>
        <v>8060</v>
      </c>
      <c r="I42" s="11">
        <f>AVERAGE(I5:I38)</f>
        <v>39.228180017705675</v>
      </c>
      <c r="J42" s="11">
        <f>AVERAGE(J5:J38)</f>
        <v>23.994694216802294</v>
      </c>
      <c r="K42" s="11">
        <f>AVERAGE(K5:K38)</f>
        <v>15.233485800903388</v>
      </c>
      <c r="L42" s="11">
        <f>AVERAGE(L5:L38)</f>
        <v>92.933003792568272</v>
      </c>
    </row>
  </sheetData>
  <mergeCells count="2">
    <mergeCell ref="B3:C3"/>
    <mergeCell ref="D3:L3"/>
  </mergeCells>
  <pageMargins left="0.7" right="0.7" top="0.75" bottom="0.75" header="0.3" footer="0.3"/>
  <pageSetup orientation="portrait" r:id="rId1"/>
  <ignoredErrors>
    <ignoredError sqref="D6:D38" formula="1"/>
  </ignoredErrors>
  <drawing r:id="rId2"/>
</worksheet>
</file>

<file path=docMetadata/LabelInfo.xml><?xml version="1.0" encoding="utf-8"?>
<clbl:labelList xmlns:clbl="http://schemas.microsoft.com/office/2020/mipLabelMetadata">
  <clbl:label id="{44ba9367-eb51-4860-91fd-089945178738}" enabled="1" method="Privileged" siteId="{42f7676c-f455-423c-82f6-dc2d99791af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Oboguev, Sergey</dc:creator>
  <cp:lastModifiedBy>Oboguev, Sergey</cp:lastModifiedBy>
  <dcterms:created xsi:type="dcterms:W3CDTF">2026-09-09T16:46:57Z</dcterms:created>
  <dcterms:modified xsi:type="dcterms:W3CDTF">2026-09-10T06:44:27Z</dcterms:modified>
</cp:coreProperties>
</file>