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42D91A14-FEB7-4DDF-9C79-CFA45F697E0E}" xr6:coauthVersionLast="47" xr6:coauthVersionMax="47" xr10:uidLastSave="{00000000-0000-0000-0000-000000000000}"/>
  <bookViews>
    <workbookView xWindow="57480" yWindow="-120" windowWidth="51840" windowHeight="21120" xr2:uid="{BB18BFB1-C03A-41FE-BE1A-93D139757D6D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41" i="1" l="1"/>
  <c r="W40" i="1" a="1"/>
  <c r="W40" i="1" s="1"/>
  <c r="W42" i="1" s="1"/>
  <c r="V41" i="1"/>
  <c r="V40" i="1" a="1"/>
  <c r="V40" i="1" s="1"/>
  <c r="V42" i="1" s="1"/>
  <c r="U41" i="1"/>
  <c r="U40" i="1" a="1"/>
  <c r="U40" i="1" s="1"/>
  <c r="U42" i="1" s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V38" i="1"/>
  <c r="W38" i="1" s="1"/>
  <c r="U38" i="1"/>
  <c r="W37" i="1"/>
  <c r="V37" i="1"/>
  <c r="U37" i="1"/>
  <c r="W36" i="1"/>
  <c r="V36" i="1"/>
  <c r="U36" i="1"/>
  <c r="V35" i="1"/>
  <c r="W35" i="1" s="1"/>
  <c r="U35" i="1"/>
  <c r="V34" i="1"/>
  <c r="W34" i="1" s="1"/>
  <c r="U34" i="1"/>
  <c r="W33" i="1"/>
  <c r="V33" i="1"/>
  <c r="U33" i="1"/>
  <c r="V32" i="1"/>
  <c r="W32" i="1" s="1"/>
  <c r="U32" i="1"/>
  <c r="V31" i="1"/>
  <c r="W31" i="1" s="1"/>
  <c r="U31" i="1"/>
  <c r="V30" i="1"/>
  <c r="W30" i="1" s="1"/>
  <c r="U30" i="1"/>
  <c r="V29" i="1"/>
  <c r="W29" i="1" s="1"/>
  <c r="U29" i="1"/>
  <c r="V28" i="1"/>
  <c r="W28" i="1" s="1"/>
  <c r="U28" i="1"/>
  <c r="V27" i="1"/>
  <c r="W27" i="1" s="1"/>
  <c r="U27" i="1"/>
  <c r="V26" i="1"/>
  <c r="W26" i="1" s="1"/>
  <c r="U26" i="1"/>
  <c r="V25" i="1"/>
  <c r="W25" i="1" s="1"/>
  <c r="U25" i="1"/>
  <c r="V24" i="1"/>
  <c r="W24" i="1" s="1"/>
  <c r="U24" i="1"/>
  <c r="V23" i="1"/>
  <c r="W23" i="1" s="1"/>
  <c r="U23" i="1"/>
  <c r="V22" i="1"/>
  <c r="W22" i="1" s="1"/>
  <c r="U22" i="1"/>
  <c r="W21" i="1"/>
  <c r="V21" i="1"/>
  <c r="U21" i="1"/>
  <c r="V20" i="1"/>
  <c r="W20" i="1" s="1"/>
  <c r="U20" i="1"/>
  <c r="V19" i="1"/>
  <c r="W19" i="1" s="1"/>
  <c r="U19" i="1"/>
  <c r="V18" i="1"/>
  <c r="W18" i="1" s="1"/>
  <c r="U18" i="1"/>
  <c r="W17" i="1"/>
  <c r="V17" i="1"/>
  <c r="U17" i="1"/>
  <c r="V16" i="1"/>
  <c r="W16" i="1" s="1"/>
  <c r="U16" i="1"/>
  <c r="V15" i="1"/>
  <c r="W15" i="1" s="1"/>
  <c r="U15" i="1"/>
  <c r="V14" i="1"/>
  <c r="W14" i="1" s="1"/>
  <c r="U14" i="1"/>
  <c r="V13" i="1"/>
  <c r="W13" i="1" s="1"/>
  <c r="U13" i="1"/>
  <c r="V12" i="1"/>
  <c r="W12" i="1" s="1"/>
  <c r="U12" i="1"/>
  <c r="V11" i="1"/>
  <c r="W11" i="1" s="1"/>
  <c r="U11" i="1"/>
  <c r="V10" i="1"/>
  <c r="W10" i="1" s="1"/>
  <c r="U10" i="1"/>
  <c r="V9" i="1"/>
  <c r="W9" i="1" s="1"/>
  <c r="U9" i="1"/>
  <c r="V8" i="1"/>
  <c r="W8" i="1" s="1"/>
  <c r="U8" i="1"/>
  <c r="V7" i="1"/>
  <c r="W7" i="1" s="1"/>
  <c r="U7" i="1"/>
  <c r="V6" i="1"/>
  <c r="W6" i="1" s="1"/>
  <c r="U6" i="1"/>
  <c r="Y5" i="1"/>
  <c r="W5" i="1"/>
  <c r="V5" i="1"/>
  <c r="U5" i="1"/>
  <c r="G41" i="1"/>
  <c r="G40" i="1" a="1"/>
  <c r="G40" i="1" s="1"/>
  <c r="G42" i="1" s="1"/>
  <c r="F41" i="1"/>
  <c r="F40" i="1" a="1"/>
  <c r="F40" i="1" s="1"/>
  <c r="F42" i="1" s="1"/>
  <c r="E41" i="1"/>
  <c r="E40" i="1" a="1"/>
  <c r="E40" i="1" s="1"/>
  <c r="E42" i="1" s="1"/>
  <c r="D41" i="1"/>
  <c r="D40" i="1" a="1"/>
  <c r="D40" i="1" s="1"/>
  <c r="D42" i="1" s="1"/>
  <c r="S41" i="1"/>
  <c r="S40" i="1" a="1"/>
  <c r="S40" i="1" s="1"/>
  <c r="S42" i="1" s="1"/>
  <c r="R41" i="1"/>
  <c r="R40" i="1" a="1"/>
  <c r="R40" i="1" s="1"/>
  <c r="R42" i="1" s="1"/>
  <c r="Q41" i="1"/>
  <c r="Q40" i="1" a="1"/>
  <c r="Q40" i="1" s="1"/>
  <c r="Q42" i="1" s="1"/>
  <c r="B5" i="1" l="1"/>
  <c r="H6" i="1"/>
  <c r="I5" i="1" s="1"/>
  <c r="M5" i="1" s="1"/>
  <c r="L6" i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K6" i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J6" i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B6" i="1" l="1"/>
  <c r="C5" i="1" s="1"/>
  <c r="P5" i="1" s="1"/>
  <c r="K40" i="1" a="1"/>
  <c r="K40" i="1" s="1"/>
  <c r="L21" i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J40" i="1" a="1"/>
  <c r="J40" i="1" s="1"/>
  <c r="J41" i="1"/>
  <c r="K41" i="1"/>
  <c r="L40" i="1" a="1"/>
  <c r="L40" i="1" s="1"/>
  <c r="N5" i="1"/>
  <c r="O5" i="1" s="1"/>
  <c r="H7" i="1"/>
  <c r="B7" i="1" s="1"/>
  <c r="J42" i="1" l="1"/>
  <c r="K42" i="1"/>
  <c r="C6" i="1"/>
  <c r="L41" i="1"/>
  <c r="L42" i="1" s="1"/>
  <c r="I6" i="1"/>
  <c r="P6" i="1" s="1"/>
  <c r="H8" i="1"/>
  <c r="B8" i="1" s="1"/>
  <c r="C7" i="1" l="1"/>
  <c r="N6" i="1"/>
  <c r="M6" i="1"/>
  <c r="O6" i="1" s="1"/>
  <c r="H9" i="1"/>
  <c r="B9" i="1" s="1"/>
  <c r="I8" i="1"/>
  <c r="I7" i="1"/>
  <c r="P7" i="1" s="1"/>
  <c r="C8" i="1" l="1"/>
  <c r="P8" i="1" s="1"/>
  <c r="N7" i="1"/>
  <c r="M7" i="1"/>
  <c r="O7" i="1" s="1"/>
  <c r="M8" i="1"/>
  <c r="N8" i="1"/>
  <c r="H10" i="1"/>
  <c r="I9" i="1" l="1"/>
  <c r="B10" i="1"/>
  <c r="O8" i="1"/>
  <c r="N9" i="1"/>
  <c r="M9" i="1"/>
  <c r="O9" i="1" s="1"/>
  <c r="H11" i="1"/>
  <c r="B11" i="1" s="1"/>
  <c r="C10" i="1" l="1"/>
  <c r="C9" i="1"/>
  <c r="P9" i="1" s="1"/>
  <c r="H12" i="1"/>
  <c r="I10" i="1"/>
  <c r="P10" i="1" s="1"/>
  <c r="I11" i="1" l="1"/>
  <c r="B12" i="1"/>
  <c r="M11" i="1"/>
  <c r="N11" i="1"/>
  <c r="N10" i="1"/>
  <c r="M10" i="1"/>
  <c r="O10" i="1" s="1"/>
  <c r="H13" i="1"/>
  <c r="I12" i="1" l="1"/>
  <c r="B13" i="1"/>
  <c r="O11" i="1"/>
  <c r="C12" i="1"/>
  <c r="C11" i="1"/>
  <c r="P11" i="1" s="1"/>
  <c r="N12" i="1"/>
  <c r="M12" i="1"/>
  <c r="O12" i="1" s="1"/>
  <c r="H14" i="1"/>
  <c r="P12" i="1" l="1"/>
  <c r="I13" i="1"/>
  <c r="B14" i="1"/>
  <c r="C13" i="1" s="1"/>
  <c r="N13" i="1"/>
  <c r="M13" i="1"/>
  <c r="H15" i="1"/>
  <c r="B15" i="1" s="1"/>
  <c r="O13" i="1" l="1"/>
  <c r="P13" i="1"/>
  <c r="C14" i="1"/>
  <c r="H16" i="1"/>
  <c r="B16" i="1" s="1"/>
  <c r="I15" i="1"/>
  <c r="I14" i="1"/>
  <c r="P14" i="1" s="1"/>
  <c r="C15" i="1" l="1"/>
  <c r="P15" i="1" s="1"/>
  <c r="M14" i="1"/>
  <c r="N14" i="1"/>
  <c r="M15" i="1"/>
  <c r="N15" i="1"/>
  <c r="H17" i="1"/>
  <c r="B17" i="1" s="1"/>
  <c r="O15" i="1" l="1"/>
  <c r="O14" i="1"/>
  <c r="C16" i="1"/>
  <c r="H18" i="1"/>
  <c r="B18" i="1" s="1"/>
  <c r="I16" i="1"/>
  <c r="P16" i="1" s="1"/>
  <c r="I17" i="1" l="1"/>
  <c r="C17" i="1"/>
  <c r="P17" i="1" s="1"/>
  <c r="M16" i="1"/>
  <c r="N16" i="1"/>
  <c r="N17" i="1"/>
  <c r="M17" i="1"/>
  <c r="O17" i="1" s="1"/>
  <c r="H19" i="1"/>
  <c r="B19" i="1" s="1"/>
  <c r="I18" i="1" l="1"/>
  <c r="O16" i="1"/>
  <c r="C18" i="1"/>
  <c r="N18" i="1"/>
  <c r="M18" i="1"/>
  <c r="O18" i="1" s="1"/>
  <c r="H20" i="1"/>
  <c r="P18" i="1" l="1"/>
  <c r="I19" i="1"/>
  <c r="B20" i="1"/>
  <c r="N19" i="1"/>
  <c r="N40" i="1" s="1"/>
  <c r="M19" i="1"/>
  <c r="H21" i="1"/>
  <c r="M40" i="1" l="1"/>
  <c r="O19" i="1"/>
  <c r="O40" i="1" s="1"/>
  <c r="I20" i="1"/>
  <c r="B21" i="1"/>
  <c r="C20" i="1" s="1"/>
  <c r="C19" i="1"/>
  <c r="P19" i="1" s="1"/>
  <c r="P40" i="1" s="1"/>
  <c r="M20" i="1"/>
  <c r="N20" i="1"/>
  <c r="H22" i="1"/>
  <c r="P20" i="1" l="1"/>
  <c r="I21" i="1"/>
  <c r="B22" i="1"/>
  <c r="O20" i="1"/>
  <c r="C21" i="1"/>
  <c r="N21" i="1"/>
  <c r="M21" i="1"/>
  <c r="H23" i="1"/>
  <c r="B23" i="1" s="1"/>
  <c r="I22" i="1" l="1"/>
  <c r="P21" i="1"/>
  <c r="O21" i="1"/>
  <c r="C22" i="1"/>
  <c r="H24" i="1"/>
  <c r="B24" i="1" s="1"/>
  <c r="P22" i="1" l="1"/>
  <c r="M22" i="1"/>
  <c r="N22" i="1"/>
  <c r="I23" i="1"/>
  <c r="N23" i="1" s="1"/>
  <c r="C23" i="1"/>
  <c r="M23" i="1"/>
  <c r="H25" i="1"/>
  <c r="O23" i="1" l="1"/>
  <c r="P23" i="1"/>
  <c r="O22" i="1"/>
  <c r="I24" i="1"/>
  <c r="B25" i="1"/>
  <c r="M24" i="1"/>
  <c r="N24" i="1"/>
  <c r="H26" i="1"/>
  <c r="I25" i="1" l="1"/>
  <c r="B26" i="1"/>
  <c r="C25" i="1" s="1"/>
  <c r="O24" i="1"/>
  <c r="C24" i="1"/>
  <c r="P24" i="1" s="1"/>
  <c r="N25" i="1"/>
  <c r="M25" i="1"/>
  <c r="O25" i="1" s="1"/>
  <c r="H27" i="1"/>
  <c r="B27" i="1" s="1"/>
  <c r="I26" i="1" l="1"/>
  <c r="P25" i="1"/>
  <c r="C26" i="1"/>
  <c r="N26" i="1"/>
  <c r="M26" i="1"/>
  <c r="O26" i="1" s="1"/>
  <c r="H28" i="1"/>
  <c r="B28" i="1" s="1"/>
  <c r="P26" i="1" l="1"/>
  <c r="I27" i="1"/>
  <c r="C27" i="1"/>
  <c r="N27" i="1"/>
  <c r="M27" i="1"/>
  <c r="H29" i="1"/>
  <c r="B29" i="1" s="1"/>
  <c r="I28" i="1"/>
  <c r="P27" i="1" l="1"/>
  <c r="O27" i="1"/>
  <c r="C28" i="1"/>
  <c r="P28" i="1" s="1"/>
  <c r="N28" i="1"/>
  <c r="M28" i="1"/>
  <c r="H30" i="1"/>
  <c r="B30" i="1" s="1"/>
  <c r="O28" i="1" l="1"/>
  <c r="I29" i="1"/>
  <c r="N29" i="1" s="1"/>
  <c r="C29" i="1"/>
  <c r="H31" i="1"/>
  <c r="B31" i="1" s="1"/>
  <c r="I30" i="1"/>
  <c r="M29" i="1" l="1"/>
  <c r="O29" i="1" s="1"/>
  <c r="P29" i="1"/>
  <c r="C30" i="1"/>
  <c r="P30" i="1" s="1"/>
  <c r="M30" i="1"/>
  <c r="N30" i="1"/>
  <c r="H32" i="1"/>
  <c r="I31" i="1" l="1"/>
  <c r="B32" i="1"/>
  <c r="O30" i="1"/>
  <c r="M31" i="1"/>
  <c r="N31" i="1"/>
  <c r="H33" i="1"/>
  <c r="B33" i="1" s="1"/>
  <c r="I32" i="1"/>
  <c r="O31" i="1" l="1"/>
  <c r="C32" i="1"/>
  <c r="P32" i="1" s="1"/>
  <c r="C31" i="1"/>
  <c r="P31" i="1" s="1"/>
  <c r="M32" i="1"/>
  <c r="N32" i="1"/>
  <c r="H34" i="1"/>
  <c r="I33" i="1" l="1"/>
  <c r="B34" i="1"/>
  <c r="O32" i="1"/>
  <c r="M33" i="1"/>
  <c r="N33" i="1"/>
  <c r="H35" i="1"/>
  <c r="I34" i="1" l="1"/>
  <c r="B35" i="1"/>
  <c r="O33" i="1"/>
  <c r="C34" i="1"/>
  <c r="C33" i="1"/>
  <c r="P33" i="1" s="1"/>
  <c r="N34" i="1"/>
  <c r="M34" i="1"/>
  <c r="O34" i="1" s="1"/>
  <c r="H36" i="1"/>
  <c r="B36" i="1" s="1"/>
  <c r="P34" i="1" l="1"/>
  <c r="I35" i="1"/>
  <c r="C35" i="1"/>
  <c r="N35" i="1"/>
  <c r="H37" i="1"/>
  <c r="B37" i="1" s="1"/>
  <c r="P35" i="1" l="1"/>
  <c r="M35" i="1"/>
  <c r="O35" i="1"/>
  <c r="C36" i="1"/>
  <c r="H38" i="1"/>
  <c r="I36" i="1"/>
  <c r="P36" i="1" s="1"/>
  <c r="I37" i="1" l="1"/>
  <c r="B38" i="1"/>
  <c r="N36" i="1"/>
  <c r="M36" i="1"/>
  <c r="O36" i="1" s="1"/>
  <c r="N37" i="1"/>
  <c r="M37" i="1"/>
  <c r="O37" i="1" s="1"/>
  <c r="H39" i="1"/>
  <c r="I38" i="1" l="1"/>
  <c r="B39" i="1"/>
  <c r="C38" i="1"/>
  <c r="C37" i="1"/>
  <c r="P37" i="1" s="1"/>
  <c r="M38" i="1"/>
  <c r="N38" i="1"/>
  <c r="P38" i="1" l="1"/>
  <c r="O38" i="1"/>
  <c r="N42" i="1"/>
  <c r="N41" i="1"/>
  <c r="M42" i="1"/>
  <c r="M41" i="1"/>
  <c r="P42" i="1" l="1"/>
  <c r="P41" i="1"/>
  <c r="O42" i="1"/>
  <c r="O4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<sst xmlns="http://schemas.openxmlformats.org/spreadsheetml/2006/main" count="30" uniqueCount="24">
  <si>
    <t>XXX</t>
  </si>
  <si>
    <t>год</t>
  </si>
  <si>
    <t>начало года</t>
  </si>
  <si>
    <t>среднегодовое</t>
  </si>
  <si>
    <t>чр</t>
  </si>
  <si>
    <t>чс</t>
  </si>
  <si>
    <t xml:space="preserve">р </t>
  </si>
  <si>
    <t>с</t>
  </si>
  <si>
    <t>мигр</t>
  </si>
  <si>
    <t>1881-1895</t>
  </si>
  <si>
    <t>1896-1914</t>
  </si>
  <si>
    <t>1881-1914</t>
  </si>
  <si>
    <t>еп</t>
  </si>
  <si>
    <t>население включённое в учёт естественного движения</t>
  </si>
  <si>
    <t>общее население</t>
  </si>
  <si>
    <t>%учёта</t>
  </si>
  <si>
    <t>эмигр</t>
  </si>
  <si>
    <t>иммигр</t>
  </si>
  <si>
    <t>внутр. мигр</t>
  </si>
  <si>
    <t>прирост населения</t>
  </si>
  <si>
    <t>общего</t>
  </si>
  <si>
    <t>ест.</t>
  </si>
  <si>
    <t>ест.+мех.</t>
  </si>
  <si>
    <t>verify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</si>
</sst>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0" fontId="3" fillId="2" borderId="0" xfId="0" applyFont="1" applyFill="1"/>
    <xf numFmtId="0" fontId="4" fillId="2" borderId="0" xfId="0" applyFont="1" applyFill="1"/>
    <xf numFmtId="0" fontId="2" fillId="3" borderId="0" xfId="0" applyFont="1" applyFill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64" fontId="1" fillId="0" borderId="0" xfId="0" applyNumberFormat="1" applyFont="1"/>
    <xf numFmtId="164" fontId="2" fillId="4" borderId="0" xfId="0" applyNumberFormat="1" applyFont="1" applyFill="1"/>
    <xf numFmtId="0" fontId="2" fillId="4" borderId="0" xfId="0" applyFont="1" applyFill="1"/>
    <xf numFmtId="3" fontId="2" fillId="4" borderId="0" xfId="0" applyNumberFormat="1" applyFont="1" applyFill="1"/>
    <xf numFmtId="0" fontId="2" fillId="5" borderId="0" xfId="0" applyFont="1" applyFill="1" applyAlignment="1">
      <alignment horizontal="center" vertical="center"/>
    </xf>
    <xf numFmtId="3" fontId="0" fillId="0" borderId="0" xfId="0" applyNumberFormat="1"/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ECFF"/>
      <color rgb="FF99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r>
              <a:rPr lang="ru-RU"/>
              <a:t>рождаемость, смертность и естественный прирост (на 1,000 среднегодового населения)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data!$M$4</c:f>
              <c:strCache>
                <c:ptCount val="1"/>
                <c:pt idx="0">
                  <c:v>р 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data!$A$5:$A$39</c:f>
              <c:numCache>
                <c:formatCode>General</c:formatCode>
                <c:ptCount val="35"/>
                <c:pt idx="0">
                  <c:v>1881</c:v>
                </c:pt>
                <c:pt idx="1">
                  <c:v>1882</c:v>
                </c:pt>
                <c:pt idx="2">
                  <c:v>1883</c:v>
                </c:pt>
                <c:pt idx="3">
                  <c:v>1884</c:v>
                </c:pt>
                <c:pt idx="4">
                  <c:v>1885</c:v>
                </c:pt>
                <c:pt idx="5">
                  <c:v>1886</c:v>
                </c:pt>
                <c:pt idx="6">
                  <c:v>1887</c:v>
                </c:pt>
                <c:pt idx="7">
                  <c:v>1888</c:v>
                </c:pt>
                <c:pt idx="8">
                  <c:v>1889</c:v>
                </c:pt>
                <c:pt idx="9">
                  <c:v>1890</c:v>
                </c:pt>
                <c:pt idx="10">
                  <c:v>1891</c:v>
                </c:pt>
                <c:pt idx="11">
                  <c:v>1892</c:v>
                </c:pt>
                <c:pt idx="12">
                  <c:v>1893</c:v>
                </c:pt>
                <c:pt idx="13">
                  <c:v>1894</c:v>
                </c:pt>
                <c:pt idx="14">
                  <c:v>1895</c:v>
                </c:pt>
                <c:pt idx="15">
                  <c:v>1896</c:v>
                </c:pt>
                <c:pt idx="16">
                  <c:v>1897</c:v>
                </c:pt>
                <c:pt idx="17">
                  <c:v>1898</c:v>
                </c:pt>
                <c:pt idx="18">
                  <c:v>1899</c:v>
                </c:pt>
                <c:pt idx="19">
                  <c:v>1900</c:v>
                </c:pt>
                <c:pt idx="20">
                  <c:v>1901</c:v>
                </c:pt>
                <c:pt idx="21">
                  <c:v>1902</c:v>
                </c:pt>
                <c:pt idx="22">
                  <c:v>1903</c:v>
                </c:pt>
                <c:pt idx="23">
                  <c:v>1904</c:v>
                </c:pt>
                <c:pt idx="24">
                  <c:v>1905</c:v>
                </c:pt>
                <c:pt idx="25">
                  <c:v>1906</c:v>
                </c:pt>
                <c:pt idx="26">
                  <c:v>1907</c:v>
                </c:pt>
                <c:pt idx="27">
                  <c:v>1908</c:v>
                </c:pt>
                <c:pt idx="28">
                  <c:v>1909</c:v>
                </c:pt>
                <c:pt idx="29">
                  <c:v>1910</c:v>
                </c:pt>
                <c:pt idx="30">
                  <c:v>1911</c:v>
                </c:pt>
                <c:pt idx="31">
                  <c:v>1912</c:v>
                </c:pt>
                <c:pt idx="32">
                  <c:v>1913</c:v>
                </c:pt>
                <c:pt idx="33">
                  <c:v>1914</c:v>
                </c:pt>
                <c:pt idx="34">
                  <c:v>1915</c:v>
                </c:pt>
              </c:numCache>
            </c:numRef>
          </c:xVal>
          <c:yVal>
            <c:numRef>
              <c:f>data!$M$5:$M$39</c:f>
              <c:numCache>
                <c:formatCode>0.0</c:formatCode>
                <c:ptCount val="35"/>
                <c:pt idx="0">
                  <c:v>49.503725155317937</c:v>
                </c:pt>
                <c:pt idx="1">
                  <c:v>48.636999068033553</c:v>
                </c:pt>
                <c:pt idx="2">
                  <c:v>47.802922453565941</c:v>
                </c:pt>
                <c:pt idx="3">
                  <c:v>46.99968230831044</c:v>
                </c:pt>
                <c:pt idx="4">
                  <c:v>46.225597424573856</c:v>
                </c:pt>
                <c:pt idx="5">
                  <c:v>45.479106628242072</c:v>
                </c:pt>
                <c:pt idx="6">
                  <c:v>44.758758254054605</c:v>
                </c:pt>
                <c:pt idx="7">
                  <c:v>44.063200709182873</c:v>
                </c:pt>
                <c:pt idx="8">
                  <c:v>43.391173996045254</c:v>
                </c:pt>
                <c:pt idx="9">
                  <c:v>42.741502082493618</c:v>
                </c:pt>
                <c:pt idx="10">
                  <c:v>42.113086022171302</c:v>
                </c:pt>
                <c:pt idx="11">
                  <c:v>41.504897740379143</c:v>
                </c:pt>
                <c:pt idx="12">
                  <c:v>40.915974411533192</c:v>
                </c:pt>
                <c:pt idx="13">
                  <c:v>40.34541336353341</c:v>
                </c:pt>
                <c:pt idx="14">
                  <c:v>39.792367452320775</c:v>
                </c:pt>
                <c:pt idx="15">
                  <c:v>39.256040856772614</c:v>
                </c:pt>
                <c:pt idx="16">
                  <c:v>38.735685250036596</c:v>
                </c:pt>
                <c:pt idx="17">
                  <c:v>38.230596308566021</c:v>
                </c:pt>
                <c:pt idx="18">
                  <c:v>37.740110524609392</c:v>
                </c:pt>
                <c:pt idx="19">
                  <c:v>37.26360229181924</c:v>
                </c:pt>
                <c:pt idx="20">
                  <c:v>36.800481237062328</c:v>
                </c:pt>
                <c:pt idx="21">
                  <c:v>36.350189774503235</c:v>
                </c:pt>
                <c:pt idx="22">
                  <c:v>35.912200860654472</c:v>
                </c:pt>
                <c:pt idx="23">
                  <c:v>35.486015931389176</c:v>
                </c:pt>
                <c:pt idx="24">
                  <c:v>35.071163003938807</c:v>
                </c:pt>
                <c:pt idx="25">
                  <c:v>34.66719492868463</c:v>
                </c:pt>
                <c:pt idx="26">
                  <c:v>34.273687777129808</c:v>
                </c:pt>
                <c:pt idx="27">
                  <c:v>33.89023935383468</c:v>
                </c:pt>
                <c:pt idx="28">
                  <c:v>33.516467821334373</c:v>
                </c:pt>
                <c:pt idx="29">
                  <c:v>33.152010428156018</c:v>
                </c:pt>
                <c:pt idx="30">
                  <c:v>32.796522331028299</c:v>
                </c:pt>
                <c:pt idx="31">
                  <c:v>32.449675503244968</c:v>
                </c:pt>
                <c:pt idx="32">
                  <c:v>32.11115772191858</c:v>
                </c:pt>
                <c:pt idx="33">
                  <c:v>31.780671627551992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D6-43DE-9F2E-E8406371E580}"/>
            </c:ext>
          </c:extLst>
        </c:ser>
        <c:ser>
          <c:idx val="1"/>
          <c:order val="1"/>
          <c:tx>
            <c:strRef>
              <c:f>data!$N$4</c:f>
              <c:strCache>
                <c:ptCount val="1"/>
                <c:pt idx="0">
                  <c:v>с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data!$A$5:$A$39</c:f>
              <c:numCache>
                <c:formatCode>General</c:formatCode>
                <c:ptCount val="35"/>
                <c:pt idx="0">
                  <c:v>1881</c:v>
                </c:pt>
                <c:pt idx="1">
                  <c:v>1882</c:v>
                </c:pt>
                <c:pt idx="2">
                  <c:v>1883</c:v>
                </c:pt>
                <c:pt idx="3">
                  <c:v>1884</c:v>
                </c:pt>
                <c:pt idx="4">
                  <c:v>1885</c:v>
                </c:pt>
                <c:pt idx="5">
                  <c:v>1886</c:v>
                </c:pt>
                <c:pt idx="6">
                  <c:v>1887</c:v>
                </c:pt>
                <c:pt idx="7">
                  <c:v>1888</c:v>
                </c:pt>
                <c:pt idx="8">
                  <c:v>1889</c:v>
                </c:pt>
                <c:pt idx="9">
                  <c:v>1890</c:v>
                </c:pt>
                <c:pt idx="10">
                  <c:v>1891</c:v>
                </c:pt>
                <c:pt idx="11">
                  <c:v>1892</c:v>
                </c:pt>
                <c:pt idx="12">
                  <c:v>1893</c:v>
                </c:pt>
                <c:pt idx="13">
                  <c:v>1894</c:v>
                </c:pt>
                <c:pt idx="14">
                  <c:v>1895</c:v>
                </c:pt>
                <c:pt idx="15">
                  <c:v>1896</c:v>
                </c:pt>
                <c:pt idx="16">
                  <c:v>1897</c:v>
                </c:pt>
                <c:pt idx="17">
                  <c:v>1898</c:v>
                </c:pt>
                <c:pt idx="18">
                  <c:v>1899</c:v>
                </c:pt>
                <c:pt idx="19">
                  <c:v>1900</c:v>
                </c:pt>
                <c:pt idx="20">
                  <c:v>1901</c:v>
                </c:pt>
                <c:pt idx="21">
                  <c:v>1902</c:v>
                </c:pt>
                <c:pt idx="22">
                  <c:v>1903</c:v>
                </c:pt>
                <c:pt idx="23">
                  <c:v>1904</c:v>
                </c:pt>
                <c:pt idx="24">
                  <c:v>1905</c:v>
                </c:pt>
                <c:pt idx="25">
                  <c:v>1906</c:v>
                </c:pt>
                <c:pt idx="26">
                  <c:v>1907</c:v>
                </c:pt>
                <c:pt idx="27">
                  <c:v>1908</c:v>
                </c:pt>
                <c:pt idx="28">
                  <c:v>1909</c:v>
                </c:pt>
                <c:pt idx="29">
                  <c:v>1910</c:v>
                </c:pt>
                <c:pt idx="30">
                  <c:v>1911</c:v>
                </c:pt>
                <c:pt idx="31">
                  <c:v>1912</c:v>
                </c:pt>
                <c:pt idx="32">
                  <c:v>1913</c:v>
                </c:pt>
                <c:pt idx="33">
                  <c:v>1914</c:v>
                </c:pt>
                <c:pt idx="34">
                  <c:v>1915</c:v>
                </c:pt>
              </c:numCache>
            </c:numRef>
          </c:xVal>
          <c:yVal>
            <c:numRef>
              <c:f>data!$N$5:$N$39</c:f>
              <c:numCache>
                <c:formatCode>0.0</c:formatCode>
                <c:ptCount val="35"/>
                <c:pt idx="0">
                  <c:v>29.702235093190762</c:v>
                </c:pt>
                <c:pt idx="1">
                  <c:v>29.22103137620379</c:v>
                </c:pt>
                <c:pt idx="2">
                  <c:v>28.757933428240861</c:v>
                </c:pt>
                <c:pt idx="3">
                  <c:v>28.311935863654202</c:v>
                </c:pt>
                <c:pt idx="4">
                  <c:v>27.882106383076298</c:v>
                </c:pt>
                <c:pt idx="5">
                  <c:v>27.467579250720462</c:v>
                </c:pt>
                <c:pt idx="6">
                  <c:v>27.067549457985589</c:v>
                </c:pt>
                <c:pt idx="7">
                  <c:v>26.681267490570303</c:v>
                </c:pt>
                <c:pt idx="8">
                  <c:v>26.308034627523501</c:v>
                </c:pt>
                <c:pt idx="9">
                  <c:v>25.947198710197501</c:v>
                </c:pt>
                <c:pt idx="10">
                  <c:v>25.598150327202166</c:v>
                </c:pt>
                <c:pt idx="11">
                  <c:v>25.260319368410791</c:v>
                </c:pt>
                <c:pt idx="12">
                  <c:v>24.933171907028036</c:v>
                </c:pt>
                <c:pt idx="13">
                  <c:v>24.616207373851765</c:v>
                </c:pt>
                <c:pt idx="14">
                  <c:v>24.308955992273777</c:v>
                </c:pt>
                <c:pt idx="15">
                  <c:v>24.010976446375484</c:v>
                </c:pt>
                <c:pt idx="16">
                  <c:v>23.721853757774351</c:v>
                </c:pt>
                <c:pt idx="17">
                  <c:v>23.441197349739706</c:v>
                </c:pt>
                <c:pt idx="18">
                  <c:v>23.168639279586461</c:v>
                </c:pt>
                <c:pt idx="19">
                  <c:v>22.903832622524735</c:v>
                </c:pt>
                <c:pt idx="20">
                  <c:v>22.646449992038356</c:v>
                </c:pt>
                <c:pt idx="21">
                  <c:v>22.396182183523106</c:v>
                </c:pt>
                <c:pt idx="22">
                  <c:v>22.15273692936923</c:v>
                </c:pt>
                <c:pt idx="23">
                  <c:v>21.91583775494972</c:v>
                </c:pt>
                <c:pt idx="24">
                  <c:v>21.685222926099573</c:v>
                </c:pt>
                <c:pt idx="25">
                  <c:v>21.460644479661912</c:v>
                </c:pt>
                <c:pt idx="26">
                  <c:v>21.241867329551933</c:v>
                </c:pt>
                <c:pt idx="27">
                  <c:v>21.028668441563454</c:v>
                </c:pt>
                <c:pt idx="28">
                  <c:v>20.820836070828928</c:v>
                </c:pt>
                <c:pt idx="29">
                  <c:v>20.61816905645242</c:v>
                </c:pt>
                <c:pt idx="30">
                  <c:v>20.420476168376108</c:v>
                </c:pt>
                <c:pt idx="31">
                  <c:v>20.227575502022759</c:v>
                </c:pt>
                <c:pt idx="32">
                  <c:v>20.039293916686031</c:v>
                </c:pt>
                <c:pt idx="33">
                  <c:v>19.855466514024041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3D6-43DE-9F2E-E8406371E580}"/>
            </c:ext>
          </c:extLst>
        </c:ser>
        <c:ser>
          <c:idx val="2"/>
          <c:order val="2"/>
          <c:tx>
            <c:strRef>
              <c:f>data!$O$4</c:f>
              <c:strCache>
                <c:ptCount val="1"/>
                <c:pt idx="0">
                  <c:v>еп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data!$A$5:$A$39</c:f>
              <c:numCache>
                <c:formatCode>General</c:formatCode>
                <c:ptCount val="35"/>
                <c:pt idx="0">
                  <c:v>1881</c:v>
                </c:pt>
                <c:pt idx="1">
                  <c:v>1882</c:v>
                </c:pt>
                <c:pt idx="2">
                  <c:v>1883</c:v>
                </c:pt>
                <c:pt idx="3">
                  <c:v>1884</c:v>
                </c:pt>
                <c:pt idx="4">
                  <c:v>1885</c:v>
                </c:pt>
                <c:pt idx="5">
                  <c:v>1886</c:v>
                </c:pt>
                <c:pt idx="6">
                  <c:v>1887</c:v>
                </c:pt>
                <c:pt idx="7">
                  <c:v>1888</c:v>
                </c:pt>
                <c:pt idx="8">
                  <c:v>1889</c:v>
                </c:pt>
                <c:pt idx="9">
                  <c:v>1890</c:v>
                </c:pt>
                <c:pt idx="10">
                  <c:v>1891</c:v>
                </c:pt>
                <c:pt idx="11">
                  <c:v>1892</c:v>
                </c:pt>
                <c:pt idx="12">
                  <c:v>1893</c:v>
                </c:pt>
                <c:pt idx="13">
                  <c:v>1894</c:v>
                </c:pt>
                <c:pt idx="14">
                  <c:v>1895</c:v>
                </c:pt>
                <c:pt idx="15">
                  <c:v>1896</c:v>
                </c:pt>
                <c:pt idx="16">
                  <c:v>1897</c:v>
                </c:pt>
                <c:pt idx="17">
                  <c:v>1898</c:v>
                </c:pt>
                <c:pt idx="18">
                  <c:v>1899</c:v>
                </c:pt>
                <c:pt idx="19">
                  <c:v>1900</c:v>
                </c:pt>
                <c:pt idx="20">
                  <c:v>1901</c:v>
                </c:pt>
                <c:pt idx="21">
                  <c:v>1902</c:v>
                </c:pt>
                <c:pt idx="22">
                  <c:v>1903</c:v>
                </c:pt>
                <c:pt idx="23">
                  <c:v>1904</c:v>
                </c:pt>
                <c:pt idx="24">
                  <c:v>1905</c:v>
                </c:pt>
                <c:pt idx="25">
                  <c:v>1906</c:v>
                </c:pt>
                <c:pt idx="26">
                  <c:v>1907</c:v>
                </c:pt>
                <c:pt idx="27">
                  <c:v>1908</c:v>
                </c:pt>
                <c:pt idx="28">
                  <c:v>1909</c:v>
                </c:pt>
                <c:pt idx="29">
                  <c:v>1910</c:v>
                </c:pt>
                <c:pt idx="30">
                  <c:v>1911</c:v>
                </c:pt>
                <c:pt idx="31">
                  <c:v>1912</c:v>
                </c:pt>
                <c:pt idx="32">
                  <c:v>1913</c:v>
                </c:pt>
                <c:pt idx="33">
                  <c:v>1914</c:v>
                </c:pt>
                <c:pt idx="34">
                  <c:v>1915</c:v>
                </c:pt>
              </c:numCache>
            </c:numRef>
          </c:xVal>
          <c:yVal>
            <c:numRef>
              <c:f>data!$O$5:$O$39</c:f>
              <c:numCache>
                <c:formatCode>0.0</c:formatCode>
                <c:ptCount val="35"/>
                <c:pt idx="0">
                  <c:v>19.801490062127176</c:v>
                </c:pt>
                <c:pt idx="1">
                  <c:v>19.415967691829763</c:v>
                </c:pt>
                <c:pt idx="2">
                  <c:v>19.04498902532508</c:v>
                </c:pt>
                <c:pt idx="3">
                  <c:v>18.687746444656238</c:v>
                </c:pt>
                <c:pt idx="4">
                  <c:v>18.343491041497558</c:v>
                </c:pt>
                <c:pt idx="5">
                  <c:v>18.01152737752161</c:v>
                </c:pt>
                <c:pt idx="6">
                  <c:v>17.691208796069017</c:v>
                </c:pt>
                <c:pt idx="7">
                  <c:v>17.38193321861257</c:v>
                </c:pt>
                <c:pt idx="8">
                  <c:v>17.083139368521753</c:v>
                </c:pt>
                <c:pt idx="9">
                  <c:v>16.794303372296117</c:v>
                </c:pt>
                <c:pt idx="10">
                  <c:v>16.514935694969136</c:v>
                </c:pt>
                <c:pt idx="11">
                  <c:v>16.244578371968352</c:v>
                </c:pt>
                <c:pt idx="12">
                  <c:v>15.982802504505155</c:v>
                </c:pt>
                <c:pt idx="13">
                  <c:v>15.729205989681645</c:v>
                </c:pt>
                <c:pt idx="14">
                  <c:v>15.483411460046998</c:v>
                </c:pt>
                <c:pt idx="15">
                  <c:v>15.245064410397131</c:v>
                </c:pt>
                <c:pt idx="16">
                  <c:v>15.013831492262245</c:v>
                </c:pt>
                <c:pt idx="17">
                  <c:v>14.789398958826315</c:v>
                </c:pt>
                <c:pt idx="18">
                  <c:v>14.571471245022931</c:v>
                </c:pt>
                <c:pt idx="19">
                  <c:v>14.359769669294504</c:v>
                </c:pt>
                <c:pt idx="20">
                  <c:v>14.154031245023972</c:v>
                </c:pt>
                <c:pt idx="21">
                  <c:v>13.95400759098013</c:v>
                </c:pt>
                <c:pt idx="22">
                  <c:v>13.759463931285243</c:v>
                </c:pt>
                <c:pt idx="23">
                  <c:v>13.570178176439455</c:v>
                </c:pt>
                <c:pt idx="24">
                  <c:v>13.385940077839233</c:v>
                </c:pt>
                <c:pt idx="25">
                  <c:v>13.206550449022718</c:v>
                </c:pt>
                <c:pt idx="26">
                  <c:v>13.031820447577875</c:v>
                </c:pt>
                <c:pt idx="27">
                  <c:v>12.861570912271226</c:v>
                </c:pt>
                <c:pt idx="28">
                  <c:v>12.695631750505445</c:v>
                </c:pt>
                <c:pt idx="29">
                  <c:v>12.533841371703598</c:v>
                </c:pt>
                <c:pt idx="30">
                  <c:v>12.376046162652191</c:v>
                </c:pt>
                <c:pt idx="31">
                  <c:v>12.222100001222209</c:v>
                </c:pt>
                <c:pt idx="32">
                  <c:v>12.07186380523255</c:v>
                </c:pt>
                <c:pt idx="33">
                  <c:v>11.925205113527952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3D6-43DE-9F2E-E8406371E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001840"/>
        <c:axId val="402763824"/>
      </c:scatterChart>
      <c:valAx>
        <c:axId val="524001840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402763824"/>
        <c:crosses val="autoZero"/>
        <c:crossBetween val="midCat"/>
      </c:valAx>
      <c:valAx>
        <c:axId val="402763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524001840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 i="0" baseline="0">
          <a:latin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r>
              <a:rPr lang="ru-RU"/>
              <a:t>общее</a:t>
            </a:r>
            <a:r>
              <a:rPr lang="ru-RU" baseline="0"/>
              <a:t> население в начале года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data!$B$4</c:f>
              <c:strCache>
                <c:ptCount val="1"/>
                <c:pt idx="0">
                  <c:v>начало года</c:v>
                </c:pt>
              </c:strCache>
            </c:strRef>
          </c:tx>
          <c:spPr>
            <a:ln w="19050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50000"/>
                  <a:lumOff val="50000"/>
                </a:schemeClr>
              </a:solidFill>
              <a:ln w="9525">
                <a:solidFill>
                  <a:schemeClr val="tx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data!$A$5:$A$39</c:f>
              <c:numCache>
                <c:formatCode>General</c:formatCode>
                <c:ptCount val="35"/>
                <c:pt idx="0">
                  <c:v>1881</c:v>
                </c:pt>
                <c:pt idx="1">
                  <c:v>1882</c:v>
                </c:pt>
                <c:pt idx="2">
                  <c:v>1883</c:v>
                </c:pt>
                <c:pt idx="3">
                  <c:v>1884</c:v>
                </c:pt>
                <c:pt idx="4">
                  <c:v>1885</c:v>
                </c:pt>
                <c:pt idx="5">
                  <c:v>1886</c:v>
                </c:pt>
                <c:pt idx="6">
                  <c:v>1887</c:v>
                </c:pt>
                <c:pt idx="7">
                  <c:v>1888</c:v>
                </c:pt>
                <c:pt idx="8">
                  <c:v>1889</c:v>
                </c:pt>
                <c:pt idx="9">
                  <c:v>1890</c:v>
                </c:pt>
                <c:pt idx="10">
                  <c:v>1891</c:v>
                </c:pt>
                <c:pt idx="11">
                  <c:v>1892</c:v>
                </c:pt>
                <c:pt idx="12">
                  <c:v>1893</c:v>
                </c:pt>
                <c:pt idx="13">
                  <c:v>1894</c:v>
                </c:pt>
                <c:pt idx="14">
                  <c:v>1895</c:v>
                </c:pt>
                <c:pt idx="15">
                  <c:v>1896</c:v>
                </c:pt>
                <c:pt idx="16">
                  <c:v>1897</c:v>
                </c:pt>
                <c:pt idx="17">
                  <c:v>1898</c:v>
                </c:pt>
                <c:pt idx="18">
                  <c:v>1899</c:v>
                </c:pt>
                <c:pt idx="19">
                  <c:v>1900</c:v>
                </c:pt>
                <c:pt idx="20">
                  <c:v>1901</c:v>
                </c:pt>
                <c:pt idx="21">
                  <c:v>1902</c:v>
                </c:pt>
                <c:pt idx="22">
                  <c:v>1903</c:v>
                </c:pt>
                <c:pt idx="23">
                  <c:v>1904</c:v>
                </c:pt>
                <c:pt idx="24">
                  <c:v>1905</c:v>
                </c:pt>
                <c:pt idx="25">
                  <c:v>1906</c:v>
                </c:pt>
                <c:pt idx="26">
                  <c:v>1907</c:v>
                </c:pt>
                <c:pt idx="27">
                  <c:v>1908</c:v>
                </c:pt>
                <c:pt idx="28">
                  <c:v>1909</c:v>
                </c:pt>
                <c:pt idx="29">
                  <c:v>1910</c:v>
                </c:pt>
                <c:pt idx="30">
                  <c:v>1911</c:v>
                </c:pt>
                <c:pt idx="31">
                  <c:v>1912</c:v>
                </c:pt>
                <c:pt idx="32">
                  <c:v>1913</c:v>
                </c:pt>
                <c:pt idx="33">
                  <c:v>1914</c:v>
                </c:pt>
                <c:pt idx="34">
                  <c:v>1915</c:v>
                </c:pt>
              </c:numCache>
            </c:numRef>
          </c:xVal>
          <c:yVal>
            <c:numRef>
              <c:f>data!$B$5:$B$39</c:f>
              <c:numCache>
                <c:formatCode>#,##0</c:formatCode>
                <c:ptCount val="35"/>
                <c:pt idx="0">
                  <c:v>1100000</c:v>
                </c:pt>
                <c:pt idx="1">
                  <c:v>1120050</c:v>
                </c:pt>
                <c:pt idx="2">
                  <c:v>1140110</c:v>
                </c:pt>
                <c:pt idx="3">
                  <c:v>1160180</c:v>
                </c:pt>
                <c:pt idx="4">
                  <c:v>1180260</c:v>
                </c:pt>
                <c:pt idx="5">
                  <c:v>1200350</c:v>
                </c:pt>
                <c:pt idx="6">
                  <c:v>1220450</c:v>
                </c:pt>
                <c:pt idx="7">
                  <c:v>1240560</c:v>
                </c:pt>
                <c:pt idx="8">
                  <c:v>1260680</c:v>
                </c:pt>
                <c:pt idx="9">
                  <c:v>1280810</c:v>
                </c:pt>
                <c:pt idx="10">
                  <c:v>1300950</c:v>
                </c:pt>
                <c:pt idx="11">
                  <c:v>1321100</c:v>
                </c:pt>
                <c:pt idx="12">
                  <c:v>1341260</c:v>
                </c:pt>
                <c:pt idx="13">
                  <c:v>1361430</c:v>
                </c:pt>
                <c:pt idx="14">
                  <c:v>1381610</c:v>
                </c:pt>
                <c:pt idx="15">
                  <c:v>1401800</c:v>
                </c:pt>
                <c:pt idx="16">
                  <c:v>1422000</c:v>
                </c:pt>
                <c:pt idx="17">
                  <c:v>1442210</c:v>
                </c:pt>
                <c:pt idx="18">
                  <c:v>1462430</c:v>
                </c:pt>
                <c:pt idx="19">
                  <c:v>1482660</c:v>
                </c:pt>
                <c:pt idx="20">
                  <c:v>1502900</c:v>
                </c:pt>
                <c:pt idx="21">
                  <c:v>1523150</c:v>
                </c:pt>
                <c:pt idx="22">
                  <c:v>1543410</c:v>
                </c:pt>
                <c:pt idx="23">
                  <c:v>1563680</c:v>
                </c:pt>
                <c:pt idx="24">
                  <c:v>1583960</c:v>
                </c:pt>
                <c:pt idx="25">
                  <c:v>1604250</c:v>
                </c:pt>
                <c:pt idx="26">
                  <c:v>1624550</c:v>
                </c:pt>
                <c:pt idx="27">
                  <c:v>1644860</c:v>
                </c:pt>
                <c:pt idx="28">
                  <c:v>1665180</c:v>
                </c:pt>
                <c:pt idx="29">
                  <c:v>1685510</c:v>
                </c:pt>
                <c:pt idx="30">
                  <c:v>1705850</c:v>
                </c:pt>
                <c:pt idx="31">
                  <c:v>1726200</c:v>
                </c:pt>
                <c:pt idx="32">
                  <c:v>1746560</c:v>
                </c:pt>
                <c:pt idx="33">
                  <c:v>1766930</c:v>
                </c:pt>
                <c:pt idx="34">
                  <c:v>1787310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57-46B3-90A7-92D1324C0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50912"/>
        <c:axId val="470662544"/>
      </c:scatterChart>
      <c:valAx>
        <c:axId val="50015091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470662544"/>
        <c:crosses val="autoZero"/>
        <c:crossBetween val="midCat"/>
      </c:valAx>
      <c:valAx>
        <c:axId val="47066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500150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 i="0" baseline="0">
          <a:latin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10477</xdr:rowOff>
    </xdr:from>
    <xdr:to>
      <xdr:col>24</xdr:col>
      <xdr:colOff>9525</xdr:colOff>
      <xdr:row>93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DA63BE-01F3-6892-51EB-F25123FBF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810577</xdr:colOff>
      <xdr:row>95</xdr:row>
      <xdr:rowOff>20002</xdr:rowOff>
    </xdr:from>
    <xdr:to>
      <xdr:col>23</xdr:col>
      <xdr:colOff>628650</xdr:colOff>
      <xdr:row>144</xdr:row>
      <xdr:rowOff>150495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60AE8D-15E3-4EDF-9BB9-8BF9AABB6E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321D7-C433-4B50-AA6E-BF1C75F28F7F}">
  <dimension ref="A1:Y42"/>
  <sheetViews>
    <sheetView tabSelected="1" workbookViewId="0">
      <selection activeCell="W40" sqref="W40:W42"/>
    </sheetView>
  </sheetViews>
  <sheetFormatPr defaultRowHeight="14.4" x14ac:dyDescent="0.55000000000000004"/>
  <cols>
    <col min="1" max="1" width="11.26171875" customWidth="1"/>
    <col min="2" max="2" width="14.578125" customWidth="1"/>
    <col min="3" max="3" width="16.26171875" customWidth="1"/>
    <col min="4" max="4" width="11.62890625" customWidth="1"/>
    <col min="5" max="5" width="9.7890625" customWidth="1"/>
    <col min="6" max="6" width="11.3671875" customWidth="1"/>
    <col min="7" max="7" width="13.3671875" customWidth="1"/>
    <col min="8" max="8" width="13.15625" customWidth="1"/>
    <col min="9" max="9" width="15.578125" customWidth="1"/>
    <col min="10" max="11" width="9.26171875" bestFit="1" customWidth="1"/>
    <col min="12" max="15" width="8.83984375" bestFit="1" customWidth="1"/>
    <col min="16" max="16" width="8.83984375" customWidth="1"/>
    <col min="19" max="19" width="11.3671875" customWidth="1"/>
  </cols>
  <sheetData>
    <row r="1" spans="1:25" ht="23.1" x14ac:dyDescent="0.85">
      <c r="A1" s="7" t="s">
        <v>0</v>
      </c>
      <c r="B1" s="7"/>
      <c r="C1" s="7"/>
      <c r="D1" s="7"/>
      <c r="E1" s="7"/>
      <c r="F1" s="7"/>
      <c r="G1" s="7"/>
      <c r="H1" s="6"/>
      <c r="I1" s="6"/>
      <c r="J1" s="6"/>
      <c r="K1" s="6"/>
      <c r="L1" s="6"/>
      <c r="M1" s="6"/>
      <c r="N1" s="6"/>
    </row>
    <row r="2" spans="1:25" ht="15.6" x14ac:dyDescent="0.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25" ht="20.100000000000001" customHeight="1" x14ac:dyDescent="0.55000000000000004">
      <c r="A3" s="8" t="s">
        <v>1</v>
      </c>
      <c r="B3" s="17" t="s">
        <v>14</v>
      </c>
      <c r="C3" s="17"/>
      <c r="D3" s="17"/>
      <c r="E3" s="17"/>
      <c r="F3" s="17"/>
      <c r="G3" s="17"/>
      <c r="H3" s="16" t="s">
        <v>13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U3" s="18" t="s">
        <v>19</v>
      </c>
      <c r="V3" s="18"/>
      <c r="W3" s="18"/>
    </row>
    <row r="4" spans="1:25" ht="15.6" x14ac:dyDescent="0.55000000000000004">
      <c r="A4" s="8"/>
      <c r="B4" s="14" t="s">
        <v>2</v>
      </c>
      <c r="C4" s="14" t="s">
        <v>3</v>
      </c>
      <c r="D4" s="14" t="s">
        <v>8</v>
      </c>
      <c r="E4" s="14" t="s">
        <v>16</v>
      </c>
      <c r="F4" s="14" t="s">
        <v>17</v>
      </c>
      <c r="G4" s="14" t="s">
        <v>18</v>
      </c>
      <c r="H4" s="8" t="s">
        <v>2</v>
      </c>
      <c r="I4" s="8" t="s">
        <v>3</v>
      </c>
      <c r="J4" s="8" t="s">
        <v>4</v>
      </c>
      <c r="K4" s="8" t="s">
        <v>5</v>
      </c>
      <c r="L4" s="8" t="s">
        <v>8</v>
      </c>
      <c r="M4" s="8" t="s">
        <v>6</v>
      </c>
      <c r="N4" s="8" t="s">
        <v>7</v>
      </c>
      <c r="O4" s="8" t="s">
        <v>12</v>
      </c>
      <c r="P4" s="8" t="s">
        <v>15</v>
      </c>
      <c r="Q4" s="8" t="s">
        <v>16</v>
      </c>
      <c r="R4" s="8" t="s">
        <v>17</v>
      </c>
      <c r="S4" s="8" t="s">
        <v>18</v>
      </c>
      <c r="U4" s="19" t="s">
        <v>20</v>
      </c>
      <c r="V4" s="8" t="s">
        <v>21</v>
      </c>
      <c r="W4" s="8" t="s">
        <v>22</v>
      </c>
      <c r="Y4" s="8" t="s">
        <v>23</v>
      </c>
    </row>
    <row r="5" spans="1:25" ht="15.6" x14ac:dyDescent="0.6">
      <c r="A5" s="2">
        <v>1881</v>
      </c>
      <c r="B5" s="4">
        <f>H5 + 100000</f>
        <v>1100000</v>
      </c>
      <c r="C5" s="9">
        <f>(B5+B6) /2</f>
        <v>1110025</v>
      </c>
      <c r="D5" s="9"/>
      <c r="E5" s="9"/>
      <c r="F5" s="9"/>
      <c r="G5" s="9"/>
      <c r="H5" s="4">
        <v>1000000</v>
      </c>
      <c r="I5" s="4">
        <f>(H5+H6) /2</f>
        <v>1010025</v>
      </c>
      <c r="J5" s="4">
        <v>50000</v>
      </c>
      <c r="K5" s="4">
        <v>30000</v>
      </c>
      <c r="L5" s="4">
        <v>50</v>
      </c>
      <c r="M5" s="5">
        <f>J5/I5*1000</f>
        <v>49.503725155317937</v>
      </c>
      <c r="N5" s="5">
        <f>K5/I5*1000</f>
        <v>29.702235093190762</v>
      </c>
      <c r="O5" s="10">
        <f>M5-N5</f>
        <v>19.801490062127176</v>
      </c>
      <c r="P5" s="10">
        <f>I5/C5*100</f>
        <v>90.991193892029457</v>
      </c>
      <c r="Q5" s="15"/>
      <c r="R5" s="15"/>
      <c r="S5" s="15"/>
      <c r="U5" s="15">
        <f>B6-B5</f>
        <v>20050</v>
      </c>
      <c r="V5" s="15">
        <f>J5-K5</f>
        <v>20000</v>
      </c>
      <c r="W5" s="15">
        <f>V5+L5</f>
        <v>20050</v>
      </c>
      <c r="Y5" s="15">
        <f>H6-H5-W5</f>
        <v>0</v>
      </c>
    </row>
    <row r="6" spans="1:25" ht="15.6" x14ac:dyDescent="0.6">
      <c r="A6" s="2">
        <f>A5+1</f>
        <v>1882</v>
      </c>
      <c r="B6" s="4">
        <f t="shared" ref="B6:B39" si="0">H6 + 100000</f>
        <v>1120050</v>
      </c>
      <c r="C6" s="9">
        <f t="shared" ref="C6:C38" si="1">(B6+B7) /2</f>
        <v>1130080</v>
      </c>
      <c r="D6" s="9"/>
      <c r="E6" s="9"/>
      <c r="F6" s="9"/>
      <c r="G6" s="9"/>
      <c r="H6" s="4">
        <f>H5+J5-K5+L5</f>
        <v>1020050</v>
      </c>
      <c r="I6" s="4">
        <f t="shared" ref="I6:I38" si="2">(H6+H7) /2</f>
        <v>1030080</v>
      </c>
      <c r="J6" s="4">
        <f>J5+100</f>
        <v>50100</v>
      </c>
      <c r="K6" s="4">
        <f>K5+100</f>
        <v>30100</v>
      </c>
      <c r="L6" s="4">
        <f>L5+10</f>
        <v>60</v>
      </c>
      <c r="M6" s="5">
        <f t="shared" ref="M6:M38" si="3">J6/I6*1000</f>
        <v>48.636999068033553</v>
      </c>
      <c r="N6" s="5">
        <f t="shared" ref="N6:N38" si="4">K6/I6*1000</f>
        <v>29.22103137620379</v>
      </c>
      <c r="O6" s="10">
        <f t="shared" ref="O6:O38" si="5">M6-N6</f>
        <v>19.415967691829763</v>
      </c>
      <c r="P6" s="10">
        <f t="shared" ref="P6:P38" si="6">I6/C6*100</f>
        <v>91.151068950870737</v>
      </c>
      <c r="Q6" s="15"/>
      <c r="R6" s="15"/>
      <c r="S6" s="15"/>
      <c r="U6" s="15">
        <f t="shared" ref="U6:U38" si="7">B7-B6</f>
        <v>20060</v>
      </c>
      <c r="V6" s="15">
        <f t="shared" ref="V6:V38" si="8">J6-K6</f>
        <v>20000</v>
      </c>
      <c r="W6" s="15">
        <f t="shared" ref="W6:W38" si="9">V6+L6</f>
        <v>20060</v>
      </c>
      <c r="Y6" s="15">
        <f t="shared" ref="Y6:Y38" si="10">H7-H6-W6</f>
        <v>0</v>
      </c>
    </row>
    <row r="7" spans="1:25" ht="15.6" x14ac:dyDescent="0.6">
      <c r="A7" s="2">
        <f t="shared" ref="A7:A37" si="11">A6+1</f>
        <v>1883</v>
      </c>
      <c r="B7" s="4">
        <f t="shared" si="0"/>
        <v>1140110</v>
      </c>
      <c r="C7" s="9">
        <f t="shared" si="1"/>
        <v>1150145</v>
      </c>
      <c r="D7" s="9"/>
      <c r="E7" s="9"/>
      <c r="F7" s="9"/>
      <c r="G7" s="9"/>
      <c r="H7" s="4">
        <f t="shared" ref="H7:H39" si="12">H6+J6-K6+L6</f>
        <v>1040110</v>
      </c>
      <c r="I7" s="4">
        <f t="shared" si="2"/>
        <v>1050145</v>
      </c>
      <c r="J7" s="4">
        <f t="shared" ref="J7:J38" si="13">J6+100</f>
        <v>50200</v>
      </c>
      <c r="K7" s="4">
        <f t="shared" ref="K7:K38" si="14">K6+100</f>
        <v>30200</v>
      </c>
      <c r="L7" s="4">
        <f t="shared" ref="L7:L38" si="15">L6+10</f>
        <v>70</v>
      </c>
      <c r="M7" s="5">
        <f t="shared" si="3"/>
        <v>47.802922453565941</v>
      </c>
      <c r="N7" s="5">
        <f t="shared" si="4"/>
        <v>28.757933428240861</v>
      </c>
      <c r="O7" s="10">
        <f t="shared" si="5"/>
        <v>19.04498902532508</v>
      </c>
      <c r="P7" s="10">
        <f t="shared" si="6"/>
        <v>91.305444096179173</v>
      </c>
      <c r="Q7" s="15"/>
      <c r="R7" s="15"/>
      <c r="S7" s="15"/>
      <c r="U7" s="15">
        <f t="shared" si="7"/>
        <v>20070</v>
      </c>
      <c r="V7" s="15">
        <f t="shared" si="8"/>
        <v>20000</v>
      </c>
      <c r="W7" s="15">
        <f t="shared" si="9"/>
        <v>20070</v>
      </c>
      <c r="Y7" s="15">
        <f t="shared" si="10"/>
        <v>0</v>
      </c>
    </row>
    <row r="8" spans="1:25" ht="15.6" x14ac:dyDescent="0.6">
      <c r="A8" s="2">
        <f t="shared" si="11"/>
        <v>1884</v>
      </c>
      <c r="B8" s="4">
        <f t="shared" si="0"/>
        <v>1160180</v>
      </c>
      <c r="C8" s="9">
        <f t="shared" si="1"/>
        <v>1170220</v>
      </c>
      <c r="D8" s="9"/>
      <c r="E8" s="9"/>
      <c r="F8" s="9"/>
      <c r="G8" s="9"/>
      <c r="H8" s="4">
        <f t="shared" si="12"/>
        <v>1060180</v>
      </c>
      <c r="I8" s="4">
        <f t="shared" si="2"/>
        <v>1070220</v>
      </c>
      <c r="J8" s="4">
        <f t="shared" si="13"/>
        <v>50300</v>
      </c>
      <c r="K8" s="4">
        <f t="shared" si="14"/>
        <v>30300</v>
      </c>
      <c r="L8" s="4">
        <f t="shared" si="15"/>
        <v>80</v>
      </c>
      <c r="M8" s="5">
        <f t="shared" si="3"/>
        <v>46.99968230831044</v>
      </c>
      <c r="N8" s="5">
        <f t="shared" si="4"/>
        <v>28.311935863654202</v>
      </c>
      <c r="O8" s="10">
        <f t="shared" si="5"/>
        <v>18.687746444656238</v>
      </c>
      <c r="P8" s="10">
        <f t="shared" si="6"/>
        <v>91.454598280665181</v>
      </c>
      <c r="Q8" s="15"/>
      <c r="R8" s="15"/>
      <c r="S8" s="15"/>
      <c r="U8" s="15">
        <f t="shared" si="7"/>
        <v>20080</v>
      </c>
      <c r="V8" s="15">
        <f t="shared" si="8"/>
        <v>20000</v>
      </c>
      <c r="W8" s="15">
        <f t="shared" si="9"/>
        <v>20080</v>
      </c>
      <c r="Y8" s="15">
        <f t="shared" si="10"/>
        <v>0</v>
      </c>
    </row>
    <row r="9" spans="1:25" ht="15.6" x14ac:dyDescent="0.6">
      <c r="A9" s="2">
        <f t="shared" si="11"/>
        <v>1885</v>
      </c>
      <c r="B9" s="4">
        <f t="shared" si="0"/>
        <v>1180260</v>
      </c>
      <c r="C9" s="9">
        <f t="shared" si="1"/>
        <v>1190305</v>
      </c>
      <c r="D9" s="9"/>
      <c r="E9" s="9"/>
      <c r="F9" s="9"/>
      <c r="G9" s="9"/>
      <c r="H9" s="4">
        <f t="shared" si="12"/>
        <v>1080260</v>
      </c>
      <c r="I9" s="4">
        <f t="shared" si="2"/>
        <v>1090305</v>
      </c>
      <c r="J9" s="4">
        <f t="shared" si="13"/>
        <v>50400</v>
      </c>
      <c r="K9" s="4">
        <f t="shared" si="14"/>
        <v>30400</v>
      </c>
      <c r="L9" s="4">
        <f t="shared" si="15"/>
        <v>90</v>
      </c>
      <c r="M9" s="5">
        <f t="shared" si="3"/>
        <v>46.225597424573856</v>
      </c>
      <c r="N9" s="5">
        <f t="shared" si="4"/>
        <v>27.882106383076298</v>
      </c>
      <c r="O9" s="10">
        <f t="shared" si="5"/>
        <v>18.343491041497558</v>
      </c>
      <c r="P9" s="10">
        <f t="shared" si="6"/>
        <v>91.598791906276119</v>
      </c>
      <c r="Q9" s="15"/>
      <c r="R9" s="15"/>
      <c r="S9" s="15"/>
      <c r="U9" s="15">
        <f t="shared" si="7"/>
        <v>20090</v>
      </c>
      <c r="V9" s="15">
        <f t="shared" si="8"/>
        <v>20000</v>
      </c>
      <c r="W9" s="15">
        <f t="shared" si="9"/>
        <v>20090</v>
      </c>
      <c r="Y9" s="15">
        <f t="shared" si="10"/>
        <v>0</v>
      </c>
    </row>
    <row r="10" spans="1:25" ht="15.6" x14ac:dyDescent="0.6">
      <c r="A10" s="2">
        <f t="shared" si="11"/>
        <v>1886</v>
      </c>
      <c r="B10" s="4">
        <f t="shared" si="0"/>
        <v>1200350</v>
      </c>
      <c r="C10" s="9">
        <f t="shared" si="1"/>
        <v>1210400</v>
      </c>
      <c r="D10" s="9"/>
      <c r="E10" s="9"/>
      <c r="F10" s="9"/>
      <c r="G10" s="9"/>
      <c r="H10" s="4">
        <f t="shared" si="12"/>
        <v>1100350</v>
      </c>
      <c r="I10" s="4">
        <f t="shared" si="2"/>
        <v>1110400</v>
      </c>
      <c r="J10" s="4">
        <f t="shared" si="13"/>
        <v>50500</v>
      </c>
      <c r="K10" s="4">
        <f t="shared" si="14"/>
        <v>30500</v>
      </c>
      <c r="L10" s="4">
        <f t="shared" si="15"/>
        <v>100</v>
      </c>
      <c r="M10" s="5">
        <f t="shared" si="3"/>
        <v>45.479106628242072</v>
      </c>
      <c r="N10" s="5">
        <f t="shared" si="4"/>
        <v>27.467579250720462</v>
      </c>
      <c r="O10" s="10">
        <f t="shared" si="5"/>
        <v>18.01152737752161</v>
      </c>
      <c r="P10" s="10">
        <f t="shared" si="6"/>
        <v>91.738268341044289</v>
      </c>
      <c r="Q10" s="15"/>
      <c r="R10" s="15"/>
      <c r="S10" s="15"/>
      <c r="U10" s="15">
        <f t="shared" si="7"/>
        <v>20100</v>
      </c>
      <c r="V10" s="15">
        <f t="shared" si="8"/>
        <v>20000</v>
      </c>
      <c r="W10" s="15">
        <f t="shared" si="9"/>
        <v>20100</v>
      </c>
      <c r="Y10" s="15">
        <f t="shared" si="10"/>
        <v>0</v>
      </c>
    </row>
    <row r="11" spans="1:25" ht="15.6" x14ac:dyDescent="0.6">
      <c r="A11" s="2">
        <f t="shared" si="11"/>
        <v>1887</v>
      </c>
      <c r="B11" s="4">
        <f t="shared" si="0"/>
        <v>1220450</v>
      </c>
      <c r="C11" s="9">
        <f t="shared" si="1"/>
        <v>1230505</v>
      </c>
      <c r="D11" s="9"/>
      <c r="E11" s="9"/>
      <c r="F11" s="9"/>
      <c r="G11" s="9"/>
      <c r="H11" s="4">
        <f t="shared" si="12"/>
        <v>1120450</v>
      </c>
      <c r="I11" s="4">
        <f t="shared" si="2"/>
        <v>1130505</v>
      </c>
      <c r="J11" s="4">
        <f t="shared" si="13"/>
        <v>50600</v>
      </c>
      <c r="K11" s="4">
        <f t="shared" si="14"/>
        <v>30600</v>
      </c>
      <c r="L11" s="4">
        <f t="shared" si="15"/>
        <v>110</v>
      </c>
      <c r="M11" s="5">
        <f t="shared" si="3"/>
        <v>44.758758254054605</v>
      </c>
      <c r="N11" s="5">
        <f t="shared" si="4"/>
        <v>27.067549457985589</v>
      </c>
      <c r="O11" s="10">
        <f t="shared" si="5"/>
        <v>17.691208796069017</v>
      </c>
      <c r="P11" s="10">
        <f t="shared" si="6"/>
        <v>91.873255289494963</v>
      </c>
      <c r="Q11" s="15"/>
      <c r="R11" s="15"/>
      <c r="S11" s="15"/>
      <c r="U11" s="15">
        <f t="shared" si="7"/>
        <v>20110</v>
      </c>
      <c r="V11" s="15">
        <f t="shared" si="8"/>
        <v>20000</v>
      </c>
      <c r="W11" s="15">
        <f t="shared" si="9"/>
        <v>20110</v>
      </c>
      <c r="Y11" s="15">
        <f t="shared" si="10"/>
        <v>0</v>
      </c>
    </row>
    <row r="12" spans="1:25" ht="15.6" x14ac:dyDescent="0.6">
      <c r="A12" s="2">
        <f t="shared" si="11"/>
        <v>1888</v>
      </c>
      <c r="B12" s="4">
        <f t="shared" si="0"/>
        <v>1240560</v>
      </c>
      <c r="C12" s="9">
        <f t="shared" si="1"/>
        <v>1250620</v>
      </c>
      <c r="D12" s="9"/>
      <c r="E12" s="9"/>
      <c r="F12" s="9"/>
      <c r="G12" s="9"/>
      <c r="H12" s="4">
        <f t="shared" si="12"/>
        <v>1140560</v>
      </c>
      <c r="I12" s="4">
        <f t="shared" si="2"/>
        <v>1150620</v>
      </c>
      <c r="J12" s="4">
        <f t="shared" si="13"/>
        <v>50700</v>
      </c>
      <c r="K12" s="4">
        <f t="shared" si="14"/>
        <v>30700</v>
      </c>
      <c r="L12" s="4">
        <f t="shared" si="15"/>
        <v>120</v>
      </c>
      <c r="M12" s="5">
        <f t="shared" si="3"/>
        <v>44.063200709182873</v>
      </c>
      <c r="N12" s="5">
        <f t="shared" si="4"/>
        <v>26.681267490570303</v>
      </c>
      <c r="O12" s="10">
        <f t="shared" si="5"/>
        <v>17.38193321861257</v>
      </c>
      <c r="P12" s="10">
        <f t="shared" si="6"/>
        <v>92.0039660328477</v>
      </c>
      <c r="Q12" s="15"/>
      <c r="R12" s="15"/>
      <c r="S12" s="15"/>
      <c r="U12" s="15">
        <f t="shared" si="7"/>
        <v>20120</v>
      </c>
      <c r="V12" s="15">
        <f t="shared" si="8"/>
        <v>20000</v>
      </c>
      <c r="W12" s="15">
        <f t="shared" si="9"/>
        <v>20120</v>
      </c>
      <c r="Y12" s="15">
        <f t="shared" si="10"/>
        <v>0</v>
      </c>
    </row>
    <row r="13" spans="1:25" ht="15.6" x14ac:dyDescent="0.6">
      <c r="A13" s="2">
        <f t="shared" si="11"/>
        <v>1889</v>
      </c>
      <c r="B13" s="4">
        <f t="shared" si="0"/>
        <v>1260680</v>
      </c>
      <c r="C13" s="9">
        <f t="shared" si="1"/>
        <v>1270745</v>
      </c>
      <c r="D13" s="9"/>
      <c r="E13" s="9"/>
      <c r="F13" s="9"/>
      <c r="G13" s="9"/>
      <c r="H13" s="4">
        <f t="shared" si="12"/>
        <v>1160680</v>
      </c>
      <c r="I13" s="4">
        <f t="shared" si="2"/>
        <v>1170745</v>
      </c>
      <c r="J13" s="4">
        <f t="shared" si="13"/>
        <v>50800</v>
      </c>
      <c r="K13" s="4">
        <f t="shared" si="14"/>
        <v>30800</v>
      </c>
      <c r="L13" s="4">
        <f t="shared" si="15"/>
        <v>130</v>
      </c>
      <c r="M13" s="5">
        <f t="shared" si="3"/>
        <v>43.391173996045254</v>
      </c>
      <c r="N13" s="5">
        <f t="shared" si="4"/>
        <v>26.308034627523501</v>
      </c>
      <c r="O13" s="10">
        <f t="shared" si="5"/>
        <v>17.083139368521753</v>
      </c>
      <c r="P13" s="10">
        <f t="shared" si="6"/>
        <v>92.130600553218784</v>
      </c>
      <c r="Q13" s="15"/>
      <c r="R13" s="15"/>
      <c r="S13" s="15"/>
      <c r="U13" s="15">
        <f t="shared" si="7"/>
        <v>20130</v>
      </c>
      <c r="V13" s="15">
        <f t="shared" si="8"/>
        <v>20000</v>
      </c>
      <c r="W13" s="15">
        <f t="shared" si="9"/>
        <v>20130</v>
      </c>
      <c r="Y13" s="15">
        <f t="shared" si="10"/>
        <v>0</v>
      </c>
    </row>
    <row r="14" spans="1:25" ht="15.6" x14ac:dyDescent="0.6">
      <c r="A14" s="2">
        <f t="shared" si="11"/>
        <v>1890</v>
      </c>
      <c r="B14" s="4">
        <f t="shared" si="0"/>
        <v>1280810</v>
      </c>
      <c r="C14" s="9">
        <f t="shared" si="1"/>
        <v>1290880</v>
      </c>
      <c r="D14" s="9"/>
      <c r="E14" s="9"/>
      <c r="F14" s="9"/>
      <c r="G14" s="9"/>
      <c r="H14" s="4">
        <f t="shared" si="12"/>
        <v>1180810</v>
      </c>
      <c r="I14" s="4">
        <f t="shared" si="2"/>
        <v>1190880</v>
      </c>
      <c r="J14" s="4">
        <f t="shared" si="13"/>
        <v>50900</v>
      </c>
      <c r="K14" s="4">
        <f t="shared" si="14"/>
        <v>30900</v>
      </c>
      <c r="L14" s="4">
        <f t="shared" si="15"/>
        <v>140</v>
      </c>
      <c r="M14" s="5">
        <f t="shared" si="3"/>
        <v>42.741502082493618</v>
      </c>
      <c r="N14" s="5">
        <f t="shared" si="4"/>
        <v>25.947198710197501</v>
      </c>
      <c r="O14" s="10">
        <f t="shared" si="5"/>
        <v>16.794303372296117</v>
      </c>
      <c r="P14" s="10">
        <f t="shared" si="6"/>
        <v>92.253346554288555</v>
      </c>
      <c r="Q14" s="15"/>
      <c r="R14" s="15"/>
      <c r="S14" s="15"/>
      <c r="U14" s="15">
        <f t="shared" si="7"/>
        <v>20140</v>
      </c>
      <c r="V14" s="15">
        <f t="shared" si="8"/>
        <v>20000</v>
      </c>
      <c r="W14" s="15">
        <f t="shared" si="9"/>
        <v>20140</v>
      </c>
      <c r="Y14" s="15">
        <f t="shared" si="10"/>
        <v>0</v>
      </c>
    </row>
    <row r="15" spans="1:25" ht="15.6" x14ac:dyDescent="0.6">
      <c r="A15" s="2">
        <f t="shared" si="11"/>
        <v>1891</v>
      </c>
      <c r="B15" s="4">
        <f t="shared" si="0"/>
        <v>1300950</v>
      </c>
      <c r="C15" s="9">
        <f t="shared" si="1"/>
        <v>1311025</v>
      </c>
      <c r="D15" s="9"/>
      <c r="E15" s="9"/>
      <c r="F15" s="9"/>
      <c r="G15" s="9"/>
      <c r="H15" s="4">
        <f t="shared" si="12"/>
        <v>1200950</v>
      </c>
      <c r="I15" s="4">
        <f t="shared" si="2"/>
        <v>1211025</v>
      </c>
      <c r="J15" s="4">
        <f t="shared" si="13"/>
        <v>51000</v>
      </c>
      <c r="K15" s="4">
        <f t="shared" si="14"/>
        <v>31000</v>
      </c>
      <c r="L15" s="4">
        <f t="shared" si="15"/>
        <v>150</v>
      </c>
      <c r="M15" s="5">
        <f t="shared" si="3"/>
        <v>42.113086022171302</v>
      </c>
      <c r="N15" s="5">
        <f t="shared" si="4"/>
        <v>25.598150327202166</v>
      </c>
      <c r="O15" s="10">
        <f t="shared" si="5"/>
        <v>16.514935694969136</v>
      </c>
      <c r="P15" s="10">
        <f t="shared" si="6"/>
        <v>92.372380389389988</v>
      </c>
      <c r="Q15" s="15"/>
      <c r="R15" s="15"/>
      <c r="S15" s="15"/>
      <c r="U15" s="15">
        <f t="shared" si="7"/>
        <v>20150</v>
      </c>
      <c r="V15" s="15">
        <f t="shared" si="8"/>
        <v>20000</v>
      </c>
      <c r="W15" s="15">
        <f t="shared" si="9"/>
        <v>20150</v>
      </c>
      <c r="Y15" s="15">
        <f t="shared" si="10"/>
        <v>0</v>
      </c>
    </row>
    <row r="16" spans="1:25" ht="15.6" x14ac:dyDescent="0.6">
      <c r="A16" s="2">
        <f t="shared" si="11"/>
        <v>1892</v>
      </c>
      <c r="B16" s="4">
        <f t="shared" si="0"/>
        <v>1321100</v>
      </c>
      <c r="C16" s="9">
        <f t="shared" si="1"/>
        <v>1331180</v>
      </c>
      <c r="D16" s="9"/>
      <c r="E16" s="9"/>
      <c r="F16" s="9"/>
      <c r="G16" s="9"/>
      <c r="H16" s="4">
        <f t="shared" si="12"/>
        <v>1221100</v>
      </c>
      <c r="I16" s="4">
        <f t="shared" si="2"/>
        <v>1231180</v>
      </c>
      <c r="J16" s="4">
        <f t="shared" si="13"/>
        <v>51100</v>
      </c>
      <c r="K16" s="4">
        <f t="shared" si="14"/>
        <v>31100</v>
      </c>
      <c r="L16" s="4">
        <f t="shared" si="15"/>
        <v>160</v>
      </c>
      <c r="M16" s="5">
        <f t="shared" si="3"/>
        <v>41.504897740379143</v>
      </c>
      <c r="N16" s="5">
        <f t="shared" si="4"/>
        <v>25.260319368410791</v>
      </c>
      <c r="O16" s="10">
        <f t="shared" si="5"/>
        <v>16.244578371968352</v>
      </c>
      <c r="P16" s="10">
        <f t="shared" si="6"/>
        <v>92.48786790666928</v>
      </c>
      <c r="Q16" s="15"/>
      <c r="R16" s="15"/>
      <c r="S16" s="15"/>
      <c r="U16" s="15">
        <f t="shared" si="7"/>
        <v>20160</v>
      </c>
      <c r="V16" s="15">
        <f t="shared" si="8"/>
        <v>20000</v>
      </c>
      <c r="W16" s="15">
        <f t="shared" si="9"/>
        <v>20160</v>
      </c>
      <c r="Y16" s="15">
        <f t="shared" si="10"/>
        <v>0</v>
      </c>
    </row>
    <row r="17" spans="1:25" ht="15.6" x14ac:dyDescent="0.6">
      <c r="A17" s="2">
        <f t="shared" si="11"/>
        <v>1893</v>
      </c>
      <c r="B17" s="4">
        <f t="shared" si="0"/>
        <v>1341260</v>
      </c>
      <c r="C17" s="9">
        <f t="shared" si="1"/>
        <v>1351345</v>
      </c>
      <c r="D17" s="9"/>
      <c r="E17" s="9"/>
      <c r="F17" s="9"/>
      <c r="G17" s="9"/>
      <c r="H17" s="4">
        <f t="shared" si="12"/>
        <v>1241260</v>
      </c>
      <c r="I17" s="4">
        <f t="shared" si="2"/>
        <v>1251345</v>
      </c>
      <c r="J17" s="4">
        <f t="shared" si="13"/>
        <v>51200</v>
      </c>
      <c r="K17" s="4">
        <f t="shared" si="14"/>
        <v>31200</v>
      </c>
      <c r="L17" s="4">
        <f t="shared" si="15"/>
        <v>170</v>
      </c>
      <c r="M17" s="5">
        <f t="shared" si="3"/>
        <v>40.915974411533192</v>
      </c>
      <c r="N17" s="5">
        <f t="shared" si="4"/>
        <v>24.933171907028036</v>
      </c>
      <c r="O17" s="10">
        <f t="shared" si="5"/>
        <v>15.982802504505155</v>
      </c>
      <c r="P17" s="10">
        <f t="shared" si="6"/>
        <v>92.599965219836534</v>
      </c>
      <c r="Q17" s="15"/>
      <c r="R17" s="15"/>
      <c r="S17" s="15"/>
      <c r="U17" s="15">
        <f t="shared" si="7"/>
        <v>20170</v>
      </c>
      <c r="V17" s="15">
        <f t="shared" si="8"/>
        <v>20000</v>
      </c>
      <c r="W17" s="15">
        <f t="shared" si="9"/>
        <v>20170</v>
      </c>
      <c r="Y17" s="15">
        <f t="shared" si="10"/>
        <v>0</v>
      </c>
    </row>
    <row r="18" spans="1:25" ht="15.6" x14ac:dyDescent="0.6">
      <c r="A18" s="2">
        <f t="shared" si="11"/>
        <v>1894</v>
      </c>
      <c r="B18" s="4">
        <f t="shared" si="0"/>
        <v>1361430</v>
      </c>
      <c r="C18" s="9">
        <f t="shared" si="1"/>
        <v>1371520</v>
      </c>
      <c r="D18" s="9"/>
      <c r="E18" s="9"/>
      <c r="F18" s="9"/>
      <c r="G18" s="9"/>
      <c r="H18" s="4">
        <f t="shared" si="12"/>
        <v>1261430</v>
      </c>
      <c r="I18" s="4">
        <f t="shared" si="2"/>
        <v>1271520</v>
      </c>
      <c r="J18" s="4">
        <f t="shared" si="13"/>
        <v>51300</v>
      </c>
      <c r="K18" s="4">
        <f t="shared" si="14"/>
        <v>31300</v>
      </c>
      <c r="L18" s="4">
        <f t="shared" si="15"/>
        <v>180</v>
      </c>
      <c r="M18" s="5">
        <f t="shared" si="3"/>
        <v>40.34541336353341</v>
      </c>
      <c r="N18" s="5">
        <f t="shared" si="4"/>
        <v>24.616207373851765</v>
      </c>
      <c r="O18" s="10">
        <f t="shared" si="5"/>
        <v>15.729205989681645</v>
      </c>
      <c r="P18" s="10">
        <f t="shared" si="6"/>
        <v>92.708819412039205</v>
      </c>
      <c r="Q18" s="15"/>
      <c r="R18" s="15"/>
      <c r="S18" s="15"/>
      <c r="U18" s="15">
        <f t="shared" si="7"/>
        <v>20180</v>
      </c>
      <c r="V18" s="15">
        <f t="shared" si="8"/>
        <v>20000</v>
      </c>
      <c r="W18" s="15">
        <f t="shared" si="9"/>
        <v>20180</v>
      </c>
      <c r="Y18" s="15">
        <f t="shared" si="10"/>
        <v>0</v>
      </c>
    </row>
    <row r="19" spans="1:25" ht="15.6" x14ac:dyDescent="0.6">
      <c r="A19" s="2">
        <f t="shared" si="11"/>
        <v>1895</v>
      </c>
      <c r="B19" s="4">
        <f t="shared" si="0"/>
        <v>1381610</v>
      </c>
      <c r="C19" s="9">
        <f t="shared" si="1"/>
        <v>1391705</v>
      </c>
      <c r="D19" s="9"/>
      <c r="E19" s="9"/>
      <c r="F19" s="9"/>
      <c r="G19" s="9"/>
      <c r="H19" s="4">
        <f t="shared" si="12"/>
        <v>1281610</v>
      </c>
      <c r="I19" s="4">
        <f t="shared" si="2"/>
        <v>1291705</v>
      </c>
      <c r="J19" s="4">
        <f t="shared" si="13"/>
        <v>51400</v>
      </c>
      <c r="K19" s="4">
        <f t="shared" si="14"/>
        <v>31400</v>
      </c>
      <c r="L19" s="4">
        <f t="shared" si="15"/>
        <v>190</v>
      </c>
      <c r="M19" s="5">
        <f t="shared" si="3"/>
        <v>39.792367452320775</v>
      </c>
      <c r="N19" s="5">
        <f t="shared" si="4"/>
        <v>24.308955992273777</v>
      </c>
      <c r="O19" s="10">
        <f t="shared" si="5"/>
        <v>15.483411460046998</v>
      </c>
      <c r="P19" s="10">
        <f t="shared" si="6"/>
        <v>92.814569179531574</v>
      </c>
      <c r="Q19" s="15"/>
      <c r="R19" s="15"/>
      <c r="S19" s="15"/>
      <c r="U19" s="15">
        <f t="shared" si="7"/>
        <v>20190</v>
      </c>
      <c r="V19" s="15">
        <f t="shared" si="8"/>
        <v>20000</v>
      </c>
      <c r="W19" s="15">
        <f t="shared" si="9"/>
        <v>20190</v>
      </c>
      <c r="Y19" s="15">
        <f t="shared" si="10"/>
        <v>0</v>
      </c>
    </row>
    <row r="20" spans="1:25" ht="15.6" x14ac:dyDescent="0.6">
      <c r="A20" s="2">
        <f t="shared" si="11"/>
        <v>1896</v>
      </c>
      <c r="B20" s="4">
        <f t="shared" si="0"/>
        <v>1401800</v>
      </c>
      <c r="C20" s="9">
        <f t="shared" si="1"/>
        <v>1411900</v>
      </c>
      <c r="D20" s="9"/>
      <c r="E20" s="9"/>
      <c r="F20" s="9"/>
      <c r="G20" s="9"/>
      <c r="H20" s="4">
        <f t="shared" si="12"/>
        <v>1301800</v>
      </c>
      <c r="I20" s="4">
        <f t="shared" si="2"/>
        <v>1311900</v>
      </c>
      <c r="J20" s="4">
        <f t="shared" si="13"/>
        <v>51500</v>
      </c>
      <c r="K20" s="4">
        <f t="shared" si="14"/>
        <v>31500</v>
      </c>
      <c r="L20" s="4">
        <f t="shared" si="15"/>
        <v>200</v>
      </c>
      <c r="M20" s="5">
        <f t="shared" si="3"/>
        <v>39.256040856772614</v>
      </c>
      <c r="N20" s="5">
        <f t="shared" si="4"/>
        <v>24.010976446375484</v>
      </c>
      <c r="O20" s="10">
        <f t="shared" si="5"/>
        <v>15.245064410397131</v>
      </c>
      <c r="P20" s="10">
        <f t="shared" si="6"/>
        <v>92.917345421063814</v>
      </c>
      <c r="Q20" s="15"/>
      <c r="R20" s="15"/>
      <c r="S20" s="15"/>
      <c r="U20" s="15">
        <f t="shared" si="7"/>
        <v>20200</v>
      </c>
      <c r="V20" s="15">
        <f t="shared" si="8"/>
        <v>20000</v>
      </c>
      <c r="W20" s="15">
        <f t="shared" si="9"/>
        <v>20200</v>
      </c>
      <c r="Y20" s="15">
        <f t="shared" si="10"/>
        <v>0</v>
      </c>
    </row>
    <row r="21" spans="1:25" ht="15.6" x14ac:dyDescent="0.6">
      <c r="A21" s="2">
        <f t="shared" si="11"/>
        <v>1897</v>
      </c>
      <c r="B21" s="4">
        <f t="shared" si="0"/>
        <v>1422000</v>
      </c>
      <c r="C21" s="9">
        <f t="shared" si="1"/>
        <v>1432105</v>
      </c>
      <c r="D21" s="9"/>
      <c r="E21" s="9"/>
      <c r="F21" s="9"/>
      <c r="G21" s="9"/>
      <c r="H21" s="4">
        <f t="shared" si="12"/>
        <v>1322000</v>
      </c>
      <c r="I21" s="4">
        <f t="shared" si="2"/>
        <v>1332105</v>
      </c>
      <c r="J21" s="4">
        <f t="shared" si="13"/>
        <v>51600</v>
      </c>
      <c r="K21" s="4">
        <f t="shared" si="14"/>
        <v>31600</v>
      </c>
      <c r="L21" s="4">
        <f t="shared" si="15"/>
        <v>210</v>
      </c>
      <c r="M21" s="5">
        <f t="shared" si="3"/>
        <v>38.735685250036596</v>
      </c>
      <c r="N21" s="5">
        <f t="shared" si="4"/>
        <v>23.721853757774351</v>
      </c>
      <c r="O21" s="10">
        <f t="shared" si="5"/>
        <v>15.013831492262245</v>
      </c>
      <c r="P21" s="10">
        <f t="shared" si="6"/>
        <v>93.017271778256486</v>
      </c>
      <c r="Q21" s="15"/>
      <c r="R21" s="15"/>
      <c r="S21" s="15"/>
      <c r="U21" s="15">
        <f t="shared" si="7"/>
        <v>20210</v>
      </c>
      <c r="V21" s="15">
        <f t="shared" si="8"/>
        <v>20000</v>
      </c>
      <c r="W21" s="15">
        <f t="shared" si="9"/>
        <v>20210</v>
      </c>
      <c r="Y21" s="15">
        <f t="shared" si="10"/>
        <v>0</v>
      </c>
    </row>
    <row r="22" spans="1:25" ht="15.6" x14ac:dyDescent="0.6">
      <c r="A22" s="2">
        <f t="shared" si="11"/>
        <v>1898</v>
      </c>
      <c r="B22" s="4">
        <f t="shared" si="0"/>
        <v>1442210</v>
      </c>
      <c r="C22" s="9">
        <f t="shared" si="1"/>
        <v>1452320</v>
      </c>
      <c r="D22" s="9"/>
      <c r="E22" s="9"/>
      <c r="F22" s="9"/>
      <c r="G22" s="9"/>
      <c r="H22" s="4">
        <f t="shared" si="12"/>
        <v>1342210</v>
      </c>
      <c r="I22" s="4">
        <f t="shared" si="2"/>
        <v>1352320</v>
      </c>
      <c r="J22" s="4">
        <f t="shared" si="13"/>
        <v>51700</v>
      </c>
      <c r="K22" s="4">
        <f t="shared" si="14"/>
        <v>31700</v>
      </c>
      <c r="L22" s="4">
        <f t="shared" si="15"/>
        <v>220</v>
      </c>
      <c r="M22" s="5">
        <f t="shared" si="3"/>
        <v>38.230596308566021</v>
      </c>
      <c r="N22" s="5">
        <f t="shared" si="4"/>
        <v>23.441197349739706</v>
      </c>
      <c r="O22" s="10">
        <f t="shared" si="5"/>
        <v>14.789398958826315</v>
      </c>
      <c r="P22" s="10">
        <f t="shared" si="6"/>
        <v>93.114465131651428</v>
      </c>
      <c r="Q22" s="15"/>
      <c r="R22" s="15"/>
      <c r="S22" s="15"/>
      <c r="U22" s="15">
        <f t="shared" si="7"/>
        <v>20220</v>
      </c>
      <c r="V22" s="15">
        <f t="shared" si="8"/>
        <v>20000</v>
      </c>
      <c r="W22" s="15">
        <f t="shared" si="9"/>
        <v>20220</v>
      </c>
      <c r="Y22" s="15">
        <f t="shared" si="10"/>
        <v>0</v>
      </c>
    </row>
    <row r="23" spans="1:25" ht="15.6" x14ac:dyDescent="0.6">
      <c r="A23" s="2">
        <f t="shared" si="11"/>
        <v>1899</v>
      </c>
      <c r="B23" s="4">
        <f t="shared" si="0"/>
        <v>1462430</v>
      </c>
      <c r="C23" s="9">
        <f t="shared" si="1"/>
        <v>1472545</v>
      </c>
      <c r="D23" s="9"/>
      <c r="E23" s="9"/>
      <c r="F23" s="9"/>
      <c r="G23" s="9"/>
      <c r="H23" s="4">
        <f t="shared" si="12"/>
        <v>1362430</v>
      </c>
      <c r="I23" s="4">
        <f t="shared" si="2"/>
        <v>1372545</v>
      </c>
      <c r="J23" s="4">
        <f t="shared" si="13"/>
        <v>51800</v>
      </c>
      <c r="K23" s="4">
        <f t="shared" si="14"/>
        <v>31800</v>
      </c>
      <c r="L23" s="4">
        <f t="shared" si="15"/>
        <v>230</v>
      </c>
      <c r="M23" s="5">
        <f t="shared" si="3"/>
        <v>37.740110524609392</v>
      </c>
      <c r="N23" s="5">
        <f t="shared" si="4"/>
        <v>23.168639279586461</v>
      </c>
      <c r="O23" s="10">
        <f t="shared" si="5"/>
        <v>14.571471245022931</v>
      </c>
      <c r="P23" s="10">
        <f t="shared" si="6"/>
        <v>93.209036056623063</v>
      </c>
      <c r="Q23" s="15"/>
      <c r="R23" s="15"/>
      <c r="S23" s="15"/>
      <c r="U23" s="15">
        <f t="shared" si="7"/>
        <v>20230</v>
      </c>
      <c r="V23" s="15">
        <f t="shared" si="8"/>
        <v>20000</v>
      </c>
      <c r="W23" s="15">
        <f t="shared" si="9"/>
        <v>20230</v>
      </c>
      <c r="Y23" s="15">
        <f t="shared" si="10"/>
        <v>0</v>
      </c>
    </row>
    <row r="24" spans="1:25" ht="15.6" x14ac:dyDescent="0.6">
      <c r="A24" s="2">
        <f t="shared" si="11"/>
        <v>1900</v>
      </c>
      <c r="B24" s="4">
        <f t="shared" si="0"/>
        <v>1482660</v>
      </c>
      <c r="C24" s="9">
        <f t="shared" si="1"/>
        <v>1492780</v>
      </c>
      <c r="D24" s="9"/>
      <c r="E24" s="9"/>
      <c r="F24" s="9"/>
      <c r="G24" s="9"/>
      <c r="H24" s="4">
        <f t="shared" si="12"/>
        <v>1382660</v>
      </c>
      <c r="I24" s="4">
        <f t="shared" si="2"/>
        <v>1392780</v>
      </c>
      <c r="J24" s="4">
        <f t="shared" si="13"/>
        <v>51900</v>
      </c>
      <c r="K24" s="4">
        <f t="shared" si="14"/>
        <v>31900</v>
      </c>
      <c r="L24" s="4">
        <f t="shared" si="15"/>
        <v>240</v>
      </c>
      <c r="M24" s="5">
        <f t="shared" si="3"/>
        <v>37.26360229181924</v>
      </c>
      <c r="N24" s="5">
        <f t="shared" si="4"/>
        <v>22.903832622524735</v>
      </c>
      <c r="O24" s="10">
        <f t="shared" si="5"/>
        <v>14.359769669294504</v>
      </c>
      <c r="P24" s="10">
        <f t="shared" si="6"/>
        <v>93.301089242889105</v>
      </c>
      <c r="Q24" s="15"/>
      <c r="R24" s="15"/>
      <c r="S24" s="15"/>
      <c r="U24" s="15">
        <f t="shared" si="7"/>
        <v>20240</v>
      </c>
      <c r="V24" s="15">
        <f t="shared" si="8"/>
        <v>20000</v>
      </c>
      <c r="W24" s="15">
        <f t="shared" si="9"/>
        <v>20240</v>
      </c>
      <c r="Y24" s="15">
        <f t="shared" si="10"/>
        <v>0</v>
      </c>
    </row>
    <row r="25" spans="1:25" ht="15.6" x14ac:dyDescent="0.6">
      <c r="A25" s="2">
        <f t="shared" si="11"/>
        <v>1901</v>
      </c>
      <c r="B25" s="4">
        <f t="shared" si="0"/>
        <v>1502900</v>
      </c>
      <c r="C25" s="9">
        <f t="shared" si="1"/>
        <v>1513025</v>
      </c>
      <c r="D25" s="9"/>
      <c r="E25" s="9"/>
      <c r="F25" s="9"/>
      <c r="G25" s="9"/>
      <c r="H25" s="4">
        <f t="shared" si="12"/>
        <v>1402900</v>
      </c>
      <c r="I25" s="4">
        <f t="shared" si="2"/>
        <v>1413025</v>
      </c>
      <c r="J25" s="4">
        <f t="shared" si="13"/>
        <v>52000</v>
      </c>
      <c r="K25" s="4">
        <f t="shared" si="14"/>
        <v>32000</v>
      </c>
      <c r="L25" s="4">
        <f t="shared" si="15"/>
        <v>250</v>
      </c>
      <c r="M25" s="5">
        <f t="shared" si="3"/>
        <v>36.800481237062328</v>
      </c>
      <c r="N25" s="5">
        <f t="shared" si="4"/>
        <v>22.646449992038356</v>
      </c>
      <c r="O25" s="10">
        <f t="shared" si="5"/>
        <v>14.154031245023972</v>
      </c>
      <c r="P25" s="10">
        <f t="shared" si="6"/>
        <v>93.390723880966945</v>
      </c>
      <c r="Q25" s="15"/>
      <c r="R25" s="15"/>
      <c r="S25" s="15"/>
      <c r="U25" s="15">
        <f t="shared" si="7"/>
        <v>20250</v>
      </c>
      <c r="V25" s="15">
        <f t="shared" si="8"/>
        <v>20000</v>
      </c>
      <c r="W25" s="15">
        <f t="shared" si="9"/>
        <v>20250</v>
      </c>
      <c r="Y25" s="15">
        <f t="shared" si="10"/>
        <v>0</v>
      </c>
    </row>
    <row r="26" spans="1:25" ht="15.6" x14ac:dyDescent="0.6">
      <c r="A26" s="2">
        <f t="shared" si="11"/>
        <v>1902</v>
      </c>
      <c r="B26" s="4">
        <f t="shared" si="0"/>
        <v>1523150</v>
      </c>
      <c r="C26" s="9">
        <f t="shared" si="1"/>
        <v>1533280</v>
      </c>
      <c r="D26" s="9"/>
      <c r="E26" s="9"/>
      <c r="F26" s="9"/>
      <c r="G26" s="9"/>
      <c r="H26" s="4">
        <f t="shared" si="12"/>
        <v>1423150</v>
      </c>
      <c r="I26" s="4">
        <f t="shared" si="2"/>
        <v>1433280</v>
      </c>
      <c r="J26" s="4">
        <f t="shared" si="13"/>
        <v>52100</v>
      </c>
      <c r="K26" s="4">
        <f t="shared" si="14"/>
        <v>32100</v>
      </c>
      <c r="L26" s="4">
        <f t="shared" si="15"/>
        <v>260</v>
      </c>
      <c r="M26" s="5">
        <f t="shared" si="3"/>
        <v>36.350189774503235</v>
      </c>
      <c r="N26" s="5">
        <f t="shared" si="4"/>
        <v>22.396182183523106</v>
      </c>
      <c r="O26" s="10">
        <f t="shared" si="5"/>
        <v>13.95400759098013</v>
      </c>
      <c r="P26" s="10">
        <f t="shared" si="6"/>
        <v>93.478034018574562</v>
      </c>
      <c r="Q26" s="15"/>
      <c r="R26" s="15"/>
      <c r="S26" s="15"/>
      <c r="U26" s="15">
        <f t="shared" si="7"/>
        <v>20260</v>
      </c>
      <c r="V26" s="15">
        <f t="shared" si="8"/>
        <v>20000</v>
      </c>
      <c r="W26" s="15">
        <f t="shared" si="9"/>
        <v>20260</v>
      </c>
      <c r="Y26" s="15">
        <f t="shared" si="10"/>
        <v>0</v>
      </c>
    </row>
    <row r="27" spans="1:25" ht="15.6" x14ac:dyDescent="0.6">
      <c r="A27" s="2">
        <f t="shared" si="11"/>
        <v>1903</v>
      </c>
      <c r="B27" s="4">
        <f t="shared" si="0"/>
        <v>1543410</v>
      </c>
      <c r="C27" s="9">
        <f t="shared" si="1"/>
        <v>1553545</v>
      </c>
      <c r="D27" s="9"/>
      <c r="E27" s="9"/>
      <c r="F27" s="9"/>
      <c r="G27" s="9"/>
      <c r="H27" s="4">
        <f t="shared" si="12"/>
        <v>1443410</v>
      </c>
      <c r="I27" s="4">
        <f t="shared" si="2"/>
        <v>1453545</v>
      </c>
      <c r="J27" s="4">
        <f t="shared" si="13"/>
        <v>52200</v>
      </c>
      <c r="K27" s="4">
        <f t="shared" si="14"/>
        <v>32200</v>
      </c>
      <c r="L27" s="4">
        <f t="shared" si="15"/>
        <v>270</v>
      </c>
      <c r="M27" s="5">
        <f t="shared" si="3"/>
        <v>35.912200860654472</v>
      </c>
      <c r="N27" s="5">
        <f t="shared" si="4"/>
        <v>22.15273692936923</v>
      </c>
      <c r="O27" s="10">
        <f t="shared" si="5"/>
        <v>13.759463931285243</v>
      </c>
      <c r="P27" s="10">
        <f t="shared" si="6"/>
        <v>93.56310888966847</v>
      </c>
      <c r="Q27" s="15"/>
      <c r="R27" s="15"/>
      <c r="S27" s="15"/>
      <c r="U27" s="15">
        <f t="shared" si="7"/>
        <v>20270</v>
      </c>
      <c r="V27" s="15">
        <f t="shared" si="8"/>
        <v>20000</v>
      </c>
      <c r="W27" s="15">
        <f t="shared" si="9"/>
        <v>20270</v>
      </c>
      <c r="Y27" s="15">
        <f t="shared" si="10"/>
        <v>0</v>
      </c>
    </row>
    <row r="28" spans="1:25" ht="15.6" x14ac:dyDescent="0.6">
      <c r="A28" s="2">
        <f t="shared" si="11"/>
        <v>1904</v>
      </c>
      <c r="B28" s="4">
        <f t="shared" si="0"/>
        <v>1563680</v>
      </c>
      <c r="C28" s="9">
        <f t="shared" si="1"/>
        <v>1573820</v>
      </c>
      <c r="D28" s="9"/>
      <c r="E28" s="9"/>
      <c r="F28" s="9"/>
      <c r="G28" s="9"/>
      <c r="H28" s="4">
        <f t="shared" si="12"/>
        <v>1463680</v>
      </c>
      <c r="I28" s="4">
        <f t="shared" si="2"/>
        <v>1473820</v>
      </c>
      <c r="J28" s="4">
        <f t="shared" si="13"/>
        <v>52300</v>
      </c>
      <c r="K28" s="4">
        <f t="shared" si="14"/>
        <v>32300</v>
      </c>
      <c r="L28" s="4">
        <f t="shared" si="15"/>
        <v>280</v>
      </c>
      <c r="M28" s="5">
        <f t="shared" si="3"/>
        <v>35.486015931389176</v>
      </c>
      <c r="N28" s="5">
        <f t="shared" si="4"/>
        <v>21.91583775494972</v>
      </c>
      <c r="O28" s="10">
        <f t="shared" si="5"/>
        <v>13.570178176439455</v>
      </c>
      <c r="P28" s="10">
        <f t="shared" si="6"/>
        <v>93.646033218538335</v>
      </c>
      <c r="Q28" s="15"/>
      <c r="R28" s="15"/>
      <c r="S28" s="15"/>
      <c r="U28" s="15">
        <f t="shared" si="7"/>
        <v>20280</v>
      </c>
      <c r="V28" s="15">
        <f t="shared" si="8"/>
        <v>20000</v>
      </c>
      <c r="W28" s="15">
        <f t="shared" si="9"/>
        <v>20280</v>
      </c>
      <c r="Y28" s="15">
        <f t="shared" si="10"/>
        <v>0</v>
      </c>
    </row>
    <row r="29" spans="1:25" ht="15.6" x14ac:dyDescent="0.6">
      <c r="A29" s="2">
        <f t="shared" si="11"/>
        <v>1905</v>
      </c>
      <c r="B29" s="4">
        <f t="shared" si="0"/>
        <v>1583960</v>
      </c>
      <c r="C29" s="9">
        <f t="shared" si="1"/>
        <v>1594105</v>
      </c>
      <c r="D29" s="9"/>
      <c r="E29" s="9"/>
      <c r="F29" s="9"/>
      <c r="G29" s="9"/>
      <c r="H29" s="4">
        <f t="shared" si="12"/>
        <v>1483960</v>
      </c>
      <c r="I29" s="4">
        <f t="shared" si="2"/>
        <v>1494105</v>
      </c>
      <c r="J29" s="4">
        <f t="shared" si="13"/>
        <v>52400</v>
      </c>
      <c r="K29" s="4">
        <f t="shared" si="14"/>
        <v>32400</v>
      </c>
      <c r="L29" s="4">
        <f t="shared" si="15"/>
        <v>290</v>
      </c>
      <c r="M29" s="5">
        <f t="shared" si="3"/>
        <v>35.071163003938807</v>
      </c>
      <c r="N29" s="5">
        <f t="shared" si="4"/>
        <v>21.685222926099573</v>
      </c>
      <c r="O29" s="10">
        <f t="shared" si="5"/>
        <v>13.385940077839233</v>
      </c>
      <c r="P29" s="10">
        <f t="shared" si="6"/>
        <v>93.726887501137</v>
      </c>
      <c r="Q29" s="15"/>
      <c r="R29" s="15"/>
      <c r="S29" s="15"/>
      <c r="U29" s="15">
        <f t="shared" si="7"/>
        <v>20290</v>
      </c>
      <c r="V29" s="15">
        <f t="shared" si="8"/>
        <v>20000</v>
      </c>
      <c r="W29" s="15">
        <f t="shared" si="9"/>
        <v>20290</v>
      </c>
      <c r="Y29" s="15">
        <f t="shared" si="10"/>
        <v>0</v>
      </c>
    </row>
    <row r="30" spans="1:25" ht="15.6" x14ac:dyDescent="0.6">
      <c r="A30" s="2">
        <f t="shared" si="11"/>
        <v>1906</v>
      </c>
      <c r="B30" s="4">
        <f t="shared" si="0"/>
        <v>1604250</v>
      </c>
      <c r="C30" s="9">
        <f t="shared" si="1"/>
        <v>1614400</v>
      </c>
      <c r="D30" s="9"/>
      <c r="E30" s="9"/>
      <c r="F30" s="9"/>
      <c r="G30" s="9"/>
      <c r="H30" s="4">
        <f t="shared" si="12"/>
        <v>1504250</v>
      </c>
      <c r="I30" s="4">
        <f t="shared" si="2"/>
        <v>1514400</v>
      </c>
      <c r="J30" s="4">
        <f t="shared" si="13"/>
        <v>52500</v>
      </c>
      <c r="K30" s="4">
        <f t="shared" si="14"/>
        <v>32500</v>
      </c>
      <c r="L30" s="4">
        <f t="shared" si="15"/>
        <v>300</v>
      </c>
      <c r="M30" s="5">
        <f t="shared" si="3"/>
        <v>34.66719492868463</v>
      </c>
      <c r="N30" s="5">
        <f t="shared" si="4"/>
        <v>21.460644479661912</v>
      </c>
      <c r="O30" s="10">
        <f t="shared" si="5"/>
        <v>13.206550449022718</v>
      </c>
      <c r="P30" s="10">
        <f t="shared" si="6"/>
        <v>93.805748265609509</v>
      </c>
      <c r="Q30" s="15"/>
      <c r="R30" s="15"/>
      <c r="S30" s="15"/>
      <c r="U30" s="15">
        <f t="shared" si="7"/>
        <v>20300</v>
      </c>
      <c r="V30" s="15">
        <f t="shared" si="8"/>
        <v>20000</v>
      </c>
      <c r="W30" s="15">
        <f t="shared" si="9"/>
        <v>20300</v>
      </c>
      <c r="Y30" s="15">
        <f t="shared" si="10"/>
        <v>0</v>
      </c>
    </row>
    <row r="31" spans="1:25" ht="15.6" x14ac:dyDescent="0.6">
      <c r="A31" s="2">
        <f t="shared" si="11"/>
        <v>1907</v>
      </c>
      <c r="B31" s="4">
        <f t="shared" si="0"/>
        <v>1624550</v>
      </c>
      <c r="C31" s="9">
        <f t="shared" si="1"/>
        <v>1634705</v>
      </c>
      <c r="D31" s="9"/>
      <c r="E31" s="9"/>
      <c r="F31" s="9"/>
      <c r="G31" s="9"/>
      <c r="H31" s="4">
        <f t="shared" si="12"/>
        <v>1524550</v>
      </c>
      <c r="I31" s="4">
        <f t="shared" si="2"/>
        <v>1534705</v>
      </c>
      <c r="J31" s="4">
        <f t="shared" si="13"/>
        <v>52600</v>
      </c>
      <c r="K31" s="4">
        <f t="shared" si="14"/>
        <v>32600</v>
      </c>
      <c r="L31" s="4">
        <f t="shared" si="15"/>
        <v>310</v>
      </c>
      <c r="M31" s="5">
        <f t="shared" si="3"/>
        <v>34.273687777129808</v>
      </c>
      <c r="N31" s="5">
        <f t="shared" si="4"/>
        <v>21.241867329551933</v>
      </c>
      <c r="O31" s="10">
        <f t="shared" si="5"/>
        <v>13.031820447577875</v>
      </c>
      <c r="P31" s="10">
        <f t="shared" si="6"/>
        <v>93.882688313793622</v>
      </c>
      <c r="Q31" s="15"/>
      <c r="R31" s="15"/>
      <c r="S31" s="15"/>
      <c r="U31" s="15">
        <f t="shared" si="7"/>
        <v>20310</v>
      </c>
      <c r="V31" s="15">
        <f t="shared" si="8"/>
        <v>20000</v>
      </c>
      <c r="W31" s="15">
        <f t="shared" si="9"/>
        <v>20310</v>
      </c>
      <c r="Y31" s="15">
        <f t="shared" si="10"/>
        <v>0</v>
      </c>
    </row>
    <row r="32" spans="1:25" ht="15.6" x14ac:dyDescent="0.6">
      <c r="A32" s="2">
        <f t="shared" si="11"/>
        <v>1908</v>
      </c>
      <c r="B32" s="4">
        <f t="shared" si="0"/>
        <v>1644860</v>
      </c>
      <c r="C32" s="9">
        <f t="shared" si="1"/>
        <v>1655020</v>
      </c>
      <c r="D32" s="9"/>
      <c r="E32" s="9"/>
      <c r="F32" s="9"/>
      <c r="G32" s="9"/>
      <c r="H32" s="4">
        <f t="shared" si="12"/>
        <v>1544860</v>
      </c>
      <c r="I32" s="4">
        <f t="shared" si="2"/>
        <v>1555020</v>
      </c>
      <c r="J32" s="4">
        <f t="shared" si="13"/>
        <v>52700</v>
      </c>
      <c r="K32" s="4">
        <f t="shared" si="14"/>
        <v>32700</v>
      </c>
      <c r="L32" s="4">
        <f t="shared" si="15"/>
        <v>320</v>
      </c>
      <c r="M32" s="5">
        <f t="shared" si="3"/>
        <v>33.89023935383468</v>
      </c>
      <c r="N32" s="5">
        <f t="shared" si="4"/>
        <v>21.028668441563454</v>
      </c>
      <c r="O32" s="10">
        <f t="shared" si="5"/>
        <v>12.861570912271226</v>
      </c>
      <c r="P32" s="10">
        <f t="shared" si="6"/>
        <v>93.957776945293716</v>
      </c>
      <c r="Q32" s="15"/>
      <c r="R32" s="15"/>
      <c r="S32" s="15"/>
      <c r="U32" s="15">
        <f t="shared" si="7"/>
        <v>20320</v>
      </c>
      <c r="V32" s="15">
        <f t="shared" si="8"/>
        <v>20000</v>
      </c>
      <c r="W32" s="15">
        <f t="shared" si="9"/>
        <v>20320</v>
      </c>
      <c r="Y32" s="15">
        <f t="shared" si="10"/>
        <v>0</v>
      </c>
    </row>
    <row r="33" spans="1:25" ht="15.6" x14ac:dyDescent="0.6">
      <c r="A33" s="2">
        <f t="shared" si="11"/>
        <v>1909</v>
      </c>
      <c r="B33" s="4">
        <f t="shared" si="0"/>
        <v>1665180</v>
      </c>
      <c r="C33" s="9">
        <f t="shared" si="1"/>
        <v>1675345</v>
      </c>
      <c r="D33" s="9"/>
      <c r="E33" s="9"/>
      <c r="F33" s="9"/>
      <c r="G33" s="9"/>
      <c r="H33" s="4">
        <f t="shared" si="12"/>
        <v>1565180</v>
      </c>
      <c r="I33" s="4">
        <f t="shared" si="2"/>
        <v>1575345</v>
      </c>
      <c r="J33" s="4">
        <f t="shared" si="13"/>
        <v>52800</v>
      </c>
      <c r="K33" s="4">
        <f t="shared" si="14"/>
        <v>32800</v>
      </c>
      <c r="L33" s="4">
        <f t="shared" si="15"/>
        <v>330</v>
      </c>
      <c r="M33" s="5">
        <f t="shared" si="3"/>
        <v>33.516467821334373</v>
      </c>
      <c r="N33" s="5">
        <f t="shared" si="4"/>
        <v>20.820836070828928</v>
      </c>
      <c r="O33" s="10">
        <f t="shared" si="5"/>
        <v>12.695631750505445</v>
      </c>
      <c r="P33" s="10">
        <f t="shared" si="6"/>
        <v>94.031080165577833</v>
      </c>
      <c r="Q33" s="15"/>
      <c r="R33" s="15"/>
      <c r="S33" s="15"/>
      <c r="U33" s="15">
        <f t="shared" si="7"/>
        <v>20330</v>
      </c>
      <c r="V33" s="15">
        <f t="shared" si="8"/>
        <v>20000</v>
      </c>
      <c r="W33" s="15">
        <f t="shared" si="9"/>
        <v>20330</v>
      </c>
      <c r="Y33" s="15">
        <f t="shared" si="10"/>
        <v>0</v>
      </c>
    </row>
    <row r="34" spans="1:25" ht="15.6" x14ac:dyDescent="0.6">
      <c r="A34" s="2">
        <f t="shared" si="11"/>
        <v>1910</v>
      </c>
      <c r="B34" s="4">
        <f t="shared" si="0"/>
        <v>1685510</v>
      </c>
      <c r="C34" s="9">
        <f t="shared" si="1"/>
        <v>1695680</v>
      </c>
      <c r="D34" s="9"/>
      <c r="E34" s="9"/>
      <c r="F34" s="9"/>
      <c r="G34" s="9"/>
      <c r="H34" s="4">
        <f t="shared" si="12"/>
        <v>1585510</v>
      </c>
      <c r="I34" s="4">
        <f t="shared" si="2"/>
        <v>1595680</v>
      </c>
      <c r="J34" s="4">
        <f t="shared" si="13"/>
        <v>52900</v>
      </c>
      <c r="K34" s="4">
        <f t="shared" si="14"/>
        <v>32900</v>
      </c>
      <c r="L34" s="4">
        <f t="shared" si="15"/>
        <v>340</v>
      </c>
      <c r="M34" s="5">
        <f t="shared" si="3"/>
        <v>33.152010428156018</v>
      </c>
      <c r="N34" s="5">
        <f t="shared" si="4"/>
        <v>20.61816905645242</v>
      </c>
      <c r="O34" s="10">
        <f t="shared" si="5"/>
        <v>12.533841371703598</v>
      </c>
      <c r="P34" s="10">
        <f t="shared" si="6"/>
        <v>94.102660879411218</v>
      </c>
      <c r="Q34" s="15"/>
      <c r="R34" s="15"/>
      <c r="S34" s="15"/>
      <c r="U34" s="15">
        <f t="shared" si="7"/>
        <v>20340</v>
      </c>
      <c r="V34" s="15">
        <f t="shared" si="8"/>
        <v>20000</v>
      </c>
      <c r="W34" s="15">
        <f t="shared" si="9"/>
        <v>20340</v>
      </c>
      <c r="Y34" s="15">
        <f t="shared" si="10"/>
        <v>0</v>
      </c>
    </row>
    <row r="35" spans="1:25" ht="15.6" x14ac:dyDescent="0.6">
      <c r="A35" s="2">
        <f t="shared" si="11"/>
        <v>1911</v>
      </c>
      <c r="B35" s="4">
        <f t="shared" si="0"/>
        <v>1705850</v>
      </c>
      <c r="C35" s="9">
        <f t="shared" si="1"/>
        <v>1716025</v>
      </c>
      <c r="D35" s="9"/>
      <c r="E35" s="9"/>
      <c r="F35" s="9"/>
      <c r="G35" s="9"/>
      <c r="H35" s="4">
        <f t="shared" si="12"/>
        <v>1605850</v>
      </c>
      <c r="I35" s="4">
        <f t="shared" si="2"/>
        <v>1616025</v>
      </c>
      <c r="J35" s="4">
        <f t="shared" si="13"/>
        <v>53000</v>
      </c>
      <c r="K35" s="4">
        <f t="shared" si="14"/>
        <v>33000</v>
      </c>
      <c r="L35" s="4">
        <f t="shared" si="15"/>
        <v>350</v>
      </c>
      <c r="M35" s="5">
        <f t="shared" si="3"/>
        <v>32.796522331028299</v>
      </c>
      <c r="N35" s="5">
        <f t="shared" si="4"/>
        <v>20.420476168376108</v>
      </c>
      <c r="O35" s="10">
        <f t="shared" si="5"/>
        <v>12.376046162652191</v>
      </c>
      <c r="P35" s="10">
        <f t="shared" si="6"/>
        <v>94.172579070817733</v>
      </c>
      <c r="Q35" s="15"/>
      <c r="R35" s="15"/>
      <c r="S35" s="15"/>
      <c r="U35" s="15">
        <f t="shared" si="7"/>
        <v>20350</v>
      </c>
      <c r="V35" s="15">
        <f t="shared" si="8"/>
        <v>20000</v>
      </c>
      <c r="W35" s="15">
        <f t="shared" si="9"/>
        <v>20350</v>
      </c>
      <c r="Y35" s="15">
        <f t="shared" si="10"/>
        <v>0</v>
      </c>
    </row>
    <row r="36" spans="1:25" ht="15.6" x14ac:dyDescent="0.6">
      <c r="A36" s="2">
        <f t="shared" si="11"/>
        <v>1912</v>
      </c>
      <c r="B36" s="4">
        <f t="shared" si="0"/>
        <v>1726200</v>
      </c>
      <c r="C36" s="9">
        <f t="shared" si="1"/>
        <v>1736380</v>
      </c>
      <c r="D36" s="9"/>
      <c r="E36" s="9"/>
      <c r="F36" s="9"/>
      <c r="G36" s="9"/>
      <c r="H36" s="4">
        <f t="shared" si="12"/>
        <v>1626200</v>
      </c>
      <c r="I36" s="4">
        <f t="shared" si="2"/>
        <v>1636380</v>
      </c>
      <c r="J36" s="4">
        <f t="shared" si="13"/>
        <v>53100</v>
      </c>
      <c r="K36" s="4">
        <f t="shared" si="14"/>
        <v>33100</v>
      </c>
      <c r="L36" s="4">
        <f t="shared" si="15"/>
        <v>360</v>
      </c>
      <c r="M36" s="5">
        <f t="shared" si="3"/>
        <v>32.449675503244968</v>
      </c>
      <c r="N36" s="5">
        <f t="shared" si="4"/>
        <v>20.227575502022759</v>
      </c>
      <c r="O36" s="10">
        <f t="shared" si="5"/>
        <v>12.222100001222209</v>
      </c>
      <c r="P36" s="10">
        <f t="shared" si="6"/>
        <v>94.240891970651589</v>
      </c>
      <c r="Q36" s="15"/>
      <c r="R36" s="15"/>
      <c r="S36" s="15"/>
      <c r="U36" s="15">
        <f t="shared" si="7"/>
        <v>20360</v>
      </c>
      <c r="V36" s="15">
        <f t="shared" si="8"/>
        <v>20000</v>
      </c>
      <c r="W36" s="15">
        <f t="shared" si="9"/>
        <v>20360</v>
      </c>
      <c r="Y36" s="15">
        <f t="shared" si="10"/>
        <v>0</v>
      </c>
    </row>
    <row r="37" spans="1:25" ht="15.6" x14ac:dyDescent="0.6">
      <c r="A37" s="2">
        <f t="shared" si="11"/>
        <v>1913</v>
      </c>
      <c r="B37" s="4">
        <f t="shared" si="0"/>
        <v>1746560</v>
      </c>
      <c r="C37" s="9">
        <f t="shared" si="1"/>
        <v>1756745</v>
      </c>
      <c r="D37" s="9"/>
      <c r="E37" s="9"/>
      <c r="F37" s="9"/>
      <c r="G37" s="9"/>
      <c r="H37" s="4">
        <f t="shared" si="12"/>
        <v>1646560</v>
      </c>
      <c r="I37" s="4">
        <f t="shared" si="2"/>
        <v>1656745</v>
      </c>
      <c r="J37" s="4">
        <f t="shared" si="13"/>
        <v>53200</v>
      </c>
      <c r="K37" s="4">
        <f t="shared" si="14"/>
        <v>33200</v>
      </c>
      <c r="L37" s="4">
        <f t="shared" si="15"/>
        <v>370</v>
      </c>
      <c r="M37" s="5">
        <f t="shared" si="3"/>
        <v>32.11115772191858</v>
      </c>
      <c r="N37" s="5">
        <f t="shared" si="4"/>
        <v>20.039293916686031</v>
      </c>
      <c r="O37" s="10">
        <f t="shared" si="5"/>
        <v>12.07186380523255</v>
      </c>
      <c r="P37" s="10">
        <f t="shared" si="6"/>
        <v>94.307654212762799</v>
      </c>
      <c r="Q37" s="15"/>
      <c r="R37" s="15"/>
      <c r="S37" s="15"/>
      <c r="U37" s="15">
        <f t="shared" si="7"/>
        <v>20370</v>
      </c>
      <c r="V37" s="15">
        <f t="shared" si="8"/>
        <v>20000</v>
      </c>
      <c r="W37" s="15">
        <f t="shared" si="9"/>
        <v>20370</v>
      </c>
      <c r="Y37" s="15">
        <f t="shared" si="10"/>
        <v>0</v>
      </c>
    </row>
    <row r="38" spans="1:25" ht="15.6" x14ac:dyDescent="0.6">
      <c r="A38" s="2">
        <f>A37+1</f>
        <v>1914</v>
      </c>
      <c r="B38" s="4">
        <f t="shared" si="0"/>
        <v>1766930</v>
      </c>
      <c r="C38" s="9">
        <f t="shared" si="1"/>
        <v>1777120</v>
      </c>
      <c r="D38" s="9"/>
      <c r="E38" s="9"/>
      <c r="F38" s="9"/>
      <c r="G38" s="9"/>
      <c r="H38" s="4">
        <f t="shared" si="12"/>
        <v>1666930</v>
      </c>
      <c r="I38" s="4">
        <f t="shared" si="2"/>
        <v>1677120</v>
      </c>
      <c r="J38" s="4">
        <f t="shared" si="13"/>
        <v>53300</v>
      </c>
      <c r="K38" s="4">
        <f t="shared" si="14"/>
        <v>33300</v>
      </c>
      <c r="L38" s="4">
        <f t="shared" si="15"/>
        <v>380</v>
      </c>
      <c r="M38" s="5">
        <f t="shared" si="3"/>
        <v>31.780671627551992</v>
      </c>
      <c r="N38" s="5">
        <f t="shared" si="4"/>
        <v>19.855466514024041</v>
      </c>
      <c r="O38" s="10">
        <f t="shared" si="5"/>
        <v>11.925205113527952</v>
      </c>
      <c r="P38" s="10">
        <f t="shared" si="6"/>
        <v>94.37291797965247</v>
      </c>
      <c r="Q38" s="15"/>
      <c r="R38" s="15"/>
      <c r="S38" s="15"/>
      <c r="U38" s="15">
        <f t="shared" si="7"/>
        <v>20380</v>
      </c>
      <c r="V38" s="15">
        <f t="shared" si="8"/>
        <v>20000</v>
      </c>
      <c r="W38" s="15">
        <f t="shared" si="9"/>
        <v>20380</v>
      </c>
      <c r="Y38" s="15">
        <f t="shared" si="10"/>
        <v>0</v>
      </c>
    </row>
    <row r="39" spans="1:25" ht="15.6" x14ac:dyDescent="0.6">
      <c r="A39" s="2">
        <f>A38+1</f>
        <v>1915</v>
      </c>
      <c r="B39" s="4">
        <f t="shared" si="0"/>
        <v>1787310</v>
      </c>
      <c r="C39" s="2"/>
      <c r="D39" s="2"/>
      <c r="E39" s="2"/>
      <c r="F39" s="2"/>
      <c r="G39" s="2"/>
      <c r="H39" s="4">
        <f t="shared" si="12"/>
        <v>1687310</v>
      </c>
      <c r="I39" s="4"/>
      <c r="J39" s="4"/>
      <c r="K39" s="4"/>
      <c r="L39" s="4"/>
      <c r="M39" s="3"/>
      <c r="N39" s="3"/>
      <c r="O39" s="1"/>
      <c r="P39" s="1"/>
    </row>
    <row r="40" spans="1:25" ht="15.6" x14ac:dyDescent="0.6">
      <c r="A40" s="12" t="s">
        <v>9</v>
      </c>
      <c r="B40" s="12"/>
      <c r="C40" s="12"/>
      <c r="D40" s="13" cm="1">
        <f t="array" ref="D40">SUM(D5+D5:D19)</f>
        <v>0</v>
      </c>
      <c r="E40" s="13" cm="1">
        <f t="array" ref="E40">SUM(E5+E5:E19)</f>
        <v>0</v>
      </c>
      <c r="F40" s="13" cm="1">
        <f t="array" ref="F40">SUM(F5+F5:F19)</f>
        <v>0</v>
      </c>
      <c r="G40" s="13" cm="1">
        <f t="array" ref="G40">SUM(G5+G5:G19)</f>
        <v>0</v>
      </c>
      <c r="H40" s="12"/>
      <c r="I40" s="12"/>
      <c r="J40" s="13" cm="1">
        <f t="array" ref="J40">SUM(J5+J5:J19)</f>
        <v>1510500</v>
      </c>
      <c r="K40" s="13" cm="1">
        <f t="array" ref="K40">SUM(K5+K5:K19)</f>
        <v>910500</v>
      </c>
      <c r="L40" s="13" cm="1">
        <f t="array" ref="L40">SUM(L5+L5:L19)</f>
        <v>2550</v>
      </c>
      <c r="M40" s="11">
        <f>AVERAGE(M5:M19)</f>
        <v>44.284960471317206</v>
      </c>
      <c r="N40" s="11">
        <f>AVERAGE(N5:N19)</f>
        <v>26.804245110008651</v>
      </c>
      <c r="O40" s="11">
        <f>AVERAGE(O5:O19)</f>
        <v>17.480715361308548</v>
      </c>
      <c r="P40" s="11">
        <f>AVERAGE(P5:P19)</f>
        <v>91.965609066958763</v>
      </c>
      <c r="Q40" s="13" cm="1">
        <f t="array" ref="Q40">SUM(Q5+Q5:Q19)</f>
        <v>0</v>
      </c>
      <c r="R40" s="13" cm="1">
        <f t="array" ref="R40">SUM(R5+R5:R19)</f>
        <v>0</v>
      </c>
      <c r="S40" s="13" cm="1">
        <f t="array" ref="S40">SUM(S5+S5:S19)</f>
        <v>0</v>
      </c>
      <c r="U40" s="13" cm="1">
        <f t="array" ref="U40">SUM(U5+U5:U19)</f>
        <v>602550</v>
      </c>
      <c r="V40" s="13" cm="1">
        <f t="array" ref="V40">SUM(V5+V5:V19)</f>
        <v>600000</v>
      </c>
      <c r="W40" s="13" cm="1">
        <f t="array" ref="W40">SUM(W5+W5:W19)</f>
        <v>602550</v>
      </c>
    </row>
    <row r="41" spans="1:25" ht="15.6" x14ac:dyDescent="0.6">
      <c r="A41" s="12" t="s">
        <v>10</v>
      </c>
      <c r="B41" s="12"/>
      <c r="C41" s="12"/>
      <c r="D41" s="13">
        <f>SUM(D20:D38)</f>
        <v>0</v>
      </c>
      <c r="E41" s="13">
        <f>SUM(E20:E38)</f>
        <v>0</v>
      </c>
      <c r="F41" s="13">
        <f>SUM(F20:F38)</f>
        <v>0</v>
      </c>
      <c r="G41" s="13">
        <f>SUM(G20:G38)</f>
        <v>0</v>
      </c>
      <c r="H41" s="12"/>
      <c r="I41" s="12"/>
      <c r="J41" s="13">
        <f>SUM(J20:J38)</f>
        <v>995600</v>
      </c>
      <c r="K41" s="13">
        <f>SUM(K20:K38)</f>
        <v>615600</v>
      </c>
      <c r="L41" s="13">
        <f>SUM(L20:L38)</f>
        <v>5510</v>
      </c>
      <c r="M41" s="11">
        <f>AVERAGE(M20:M38)</f>
        <v>35.235984922749225</v>
      </c>
      <c r="N41" s="11">
        <f>AVERAGE(N20:N38)</f>
        <v>21.776627722165703</v>
      </c>
      <c r="O41" s="11">
        <f>AVERAGE(O20:O38)</f>
        <v>13.45935720058352</v>
      </c>
      <c r="P41" s="11">
        <f>AVERAGE(P20:P38)</f>
        <v>93.696736470681046</v>
      </c>
      <c r="Q41" s="13">
        <f>SUM(Q20:Q38)</f>
        <v>0</v>
      </c>
      <c r="R41" s="13">
        <f>SUM(R20:R38)</f>
        <v>0</v>
      </c>
      <c r="S41" s="13">
        <f>SUM(S20:S38)</f>
        <v>0</v>
      </c>
      <c r="U41" s="13">
        <f>SUM(U20:U38)</f>
        <v>385510</v>
      </c>
      <c r="V41" s="13">
        <f>SUM(V20:V38)</f>
        <v>380000</v>
      </c>
      <c r="W41" s="13">
        <f>SUM(W20:W38)</f>
        <v>385510</v>
      </c>
    </row>
    <row r="42" spans="1:25" ht="15.6" x14ac:dyDescent="0.6">
      <c r="A42" s="12" t="s">
        <v>11</v>
      </c>
      <c r="B42" s="12"/>
      <c r="C42" s="12"/>
      <c r="D42" s="13">
        <f>D40+D41</f>
        <v>0</v>
      </c>
      <c r="E42" s="13">
        <f>E40+E41</f>
        <v>0</v>
      </c>
      <c r="F42" s="13">
        <f>F40+F41</f>
        <v>0</v>
      </c>
      <c r="G42" s="13">
        <f>G40+G41</f>
        <v>0</v>
      </c>
      <c r="H42" s="12"/>
      <c r="I42" s="12"/>
      <c r="J42" s="13">
        <f>J40+J41</f>
        <v>2506100</v>
      </c>
      <c r="K42" s="13">
        <f>K40+K41</f>
        <v>1526100</v>
      </c>
      <c r="L42" s="13">
        <f>L40+L41</f>
        <v>8060</v>
      </c>
      <c r="M42" s="11">
        <f>AVERAGE(M5:M38)</f>
        <v>39.228180017705675</v>
      </c>
      <c r="N42" s="11">
        <f>AVERAGE(N5:N38)</f>
        <v>23.994694216802294</v>
      </c>
      <c r="O42" s="11">
        <f>AVERAGE(O5:O38)</f>
        <v>15.233485800903388</v>
      </c>
      <c r="P42" s="11">
        <f>AVERAGE(P5:P38)</f>
        <v>92.933003792568272</v>
      </c>
      <c r="Q42" s="13">
        <f>Q40+Q41</f>
        <v>0</v>
      </c>
      <c r="R42" s="13">
        <f>R40+R41</f>
        <v>0</v>
      </c>
      <c r="S42" s="13">
        <f>S40+S41</f>
        <v>0</v>
      </c>
      <c r="U42" s="13">
        <f>U40+U41</f>
        <v>988060</v>
      </c>
      <c r="V42" s="13">
        <f>V40+V41</f>
        <v>980000</v>
      </c>
      <c r="W42" s="13">
        <f>W40+W41</f>
        <v>988060</v>
      </c>
    </row>
  </sheetData>
  <mergeCells count="3">
    <mergeCell ref="H3:S3"/>
    <mergeCell ref="B3:G3"/>
    <mergeCell ref="U3:W3"/>
  </mergeCells>
  <pageMargins left="0.7" right="0.7" top="0.75" bottom="0.75" header="0.3" footer="0.3"/>
  <pageSetup orientation="portrait" r:id="rId1"/>
  <ignoredErrors>
    <ignoredError sqref="H6:H38" formula="1"/>
  </ignoredErrors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Oboguev, Sergey</dc:creator>
  <cp:lastModifiedBy>Oboguev, Sergey</cp:lastModifiedBy>
  <dcterms:created xsi:type="dcterms:W3CDTF">2026-09-09T16:46:57Z</dcterms:created>
  <dcterms:modified xsi:type="dcterms:W3CDTF">2026-09-17T01:45:55Z</dcterms:modified>
</cp:coreProperties>
</file>