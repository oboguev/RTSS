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inner-migration\1881-1895\"/>
    </mc:Choice>
  </mc:AlternateContent>
  <xr:revisionPtr revIDLastSave="0" documentId="13_ncr:1_{AEF2C115-112A-4B6C-AF8B-70164F9E5733}" xr6:coauthVersionLast="47" xr6:coauthVersionMax="47" xr10:uidLastSave="{00000000-0000-0000-0000-000000000000}"/>
  <bookViews>
    <workbookView xWindow="61770" yWindow="2265" windowWidth="27960" windowHeight="18360" activeTab="2" xr2:uid="{47EC4337-547E-4887-AD04-14E4B8E0F3C0}"/>
  </bookViews>
  <sheets>
    <sheet name="note-1" sheetId="1" r:id="rId1"/>
    <sheet name="1885-1904 выход доноры" sheetId="2" r:id="rId2"/>
    <sheet name="1881-1904 выход доноры" sheetId="3" r:id="rId3"/>
    <sheet name="1894-1896 назначение" sheetId="4" r:id="rId4"/>
    <sheet name="оседание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53" i="3" l="1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F14" i="6"/>
  <c r="F12" i="6"/>
  <c r="F11" i="6"/>
  <c r="F10" i="6"/>
  <c r="F8" i="6"/>
  <c r="F7" i="6"/>
  <c r="F4" i="6"/>
  <c r="F3" i="6"/>
  <c r="F2" i="6"/>
  <c r="E12" i="6"/>
  <c r="E11" i="6"/>
  <c r="E10" i="6"/>
  <c r="E9" i="6"/>
  <c r="E8" i="6"/>
  <c r="E7" i="6"/>
  <c r="E6" i="6"/>
  <c r="E5" i="6"/>
  <c r="E4" i="6"/>
  <c r="E3" i="6"/>
  <c r="E2" i="6"/>
  <c r="AG15" i="4" l="1"/>
  <c r="AF15" i="4"/>
  <c r="AE15" i="4"/>
  <c r="AD15" i="4"/>
  <c r="AC15" i="4"/>
  <c r="AG13" i="4"/>
  <c r="AF13" i="4"/>
  <c r="AE13" i="4"/>
  <c r="AD13" i="4"/>
  <c r="AG12" i="4"/>
  <c r="AF12" i="4"/>
  <c r="AE12" i="4"/>
  <c r="AD12" i="4"/>
  <c r="AG11" i="4"/>
  <c r="AF11" i="4"/>
  <c r="AE11" i="4"/>
  <c r="AD11" i="4"/>
  <c r="AG10" i="4"/>
  <c r="AF10" i="4"/>
  <c r="AE10" i="4"/>
  <c r="AD10" i="4"/>
  <c r="AG9" i="4"/>
  <c r="AF9" i="4"/>
  <c r="AE9" i="4"/>
  <c r="AD9" i="4"/>
  <c r="AG8" i="4"/>
  <c r="AF8" i="4"/>
  <c r="AE8" i="4"/>
  <c r="AD8" i="4"/>
  <c r="AG7" i="4"/>
  <c r="AF7" i="4"/>
  <c r="AE7" i="4"/>
  <c r="AD7" i="4"/>
  <c r="AG6" i="4"/>
  <c r="AF6" i="4"/>
  <c r="AE6" i="4"/>
  <c r="AD6" i="4"/>
  <c r="AG5" i="4"/>
  <c r="AF5" i="4"/>
  <c r="AE5" i="4"/>
  <c r="AD5" i="4"/>
  <c r="AG4" i="4"/>
  <c r="AF4" i="4"/>
  <c r="AE4" i="4"/>
  <c r="AD4" i="4"/>
  <c r="AG3" i="4"/>
  <c r="AF3" i="4"/>
  <c r="AE3" i="4"/>
  <c r="AD3" i="4"/>
  <c r="AC13" i="4"/>
  <c r="AC12" i="4"/>
  <c r="AC11" i="4"/>
  <c r="AC10" i="4"/>
  <c r="AC9" i="4"/>
  <c r="AC8" i="4"/>
  <c r="AC7" i="4"/>
  <c r="AC6" i="4"/>
  <c r="AC5" i="4"/>
  <c r="AC4" i="4"/>
  <c r="AC3" i="4"/>
  <c r="AA15" i="4"/>
  <c r="Z15" i="4"/>
  <c r="Y15" i="4"/>
  <c r="X15" i="4"/>
  <c r="W15" i="4"/>
  <c r="U15" i="4"/>
  <c r="T15" i="4"/>
  <c r="S15" i="4"/>
  <c r="R15" i="4"/>
  <c r="P15" i="4"/>
  <c r="U3" i="4" s="1"/>
  <c r="O15" i="4"/>
  <c r="T3" i="4" s="1"/>
  <c r="N15" i="4"/>
  <c r="S3" i="4" s="1"/>
  <c r="M15" i="4"/>
  <c r="R11" i="4" s="1"/>
  <c r="B31" i="4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J15" i="4"/>
  <c r="K13" i="4" s="1"/>
  <c r="D15" i="4"/>
  <c r="H8" i="4" s="1"/>
  <c r="C15" i="4"/>
  <c r="G9" i="4" s="1"/>
  <c r="B15" i="4"/>
  <c r="F9" i="4" s="1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Y2" i="2"/>
  <c r="Y51" i="2"/>
  <c r="Y50" i="2"/>
  <c r="Y49" i="2"/>
  <c r="Y48" i="2"/>
  <c r="Y47" i="2"/>
  <c r="Y46" i="2"/>
  <c r="Y45" i="2"/>
  <c r="Y44" i="2"/>
  <c r="Y43" i="2"/>
  <c r="Y42" i="2"/>
  <c r="Y41" i="2"/>
  <c r="Y40" i="2"/>
  <c r="Y39" i="2"/>
  <c r="Y38" i="2"/>
  <c r="Y37" i="2"/>
  <c r="Y36" i="2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X2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I95" i="1"/>
  <c r="I94" i="1"/>
  <c r="I93" i="1"/>
  <c r="I92" i="1"/>
  <c r="I91" i="1"/>
  <c r="I90" i="1"/>
  <c r="I89" i="1"/>
  <c r="I88" i="1"/>
  <c r="E67" i="1"/>
  <c r="E66" i="1"/>
  <c r="E65" i="1"/>
  <c r="E64" i="1"/>
  <c r="E63" i="1"/>
  <c r="E62" i="1"/>
  <c r="E61" i="1"/>
  <c r="E60" i="1"/>
  <c r="F102" i="1"/>
  <c r="F101" i="1"/>
  <c r="F100" i="1"/>
  <c r="F99" i="1"/>
  <c r="B31" i="1"/>
  <c r="B32" i="1" s="1"/>
  <c r="B33" i="1" s="1"/>
  <c r="B34" i="1" s="1"/>
  <c r="B35" i="1" s="1"/>
  <c r="B36" i="1" s="1"/>
  <c r="B37" i="1" s="1"/>
  <c r="B38" i="1" s="1"/>
  <c r="B39" i="1" s="1"/>
  <c r="E102" i="1"/>
  <c r="E101" i="1"/>
  <c r="D102" i="1"/>
  <c r="D101" i="1"/>
  <c r="C102" i="1"/>
  <c r="C101" i="1"/>
  <c r="E100" i="1"/>
  <c r="D100" i="1"/>
  <c r="C100" i="1"/>
  <c r="C8" i="1"/>
  <c r="C25" i="1"/>
  <c r="C47" i="1"/>
  <c r="D99" i="1"/>
  <c r="C99" i="1"/>
  <c r="B76" i="1"/>
  <c r="B75" i="1" s="1"/>
  <c r="B74" i="1" s="1"/>
  <c r="B73" i="1" s="1"/>
  <c r="B78" i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17" i="1"/>
  <c r="B18" i="1" s="1"/>
  <c r="B19" i="1" s="1"/>
  <c r="B20" i="1" s="1"/>
  <c r="B21" i="1" s="1"/>
  <c r="B22" i="1" s="1"/>
  <c r="B23" i="1" s="1"/>
  <c r="B24" i="1" s="1"/>
  <c r="R12" i="4" l="1"/>
  <c r="S5" i="4"/>
  <c r="R5" i="4"/>
  <c r="R3" i="4"/>
  <c r="S11" i="4"/>
  <c r="S12" i="4"/>
  <c r="T11" i="4"/>
  <c r="T12" i="4"/>
  <c r="T5" i="4"/>
  <c r="U11" i="4"/>
  <c r="U12" i="4"/>
  <c r="U5" i="4"/>
  <c r="U7" i="4"/>
  <c r="F12" i="4"/>
  <c r="F5" i="4"/>
  <c r="F8" i="4"/>
  <c r="F3" i="4"/>
  <c r="G11" i="4"/>
  <c r="G7" i="4"/>
  <c r="G3" i="4"/>
  <c r="G13" i="4"/>
  <c r="F13" i="4"/>
  <c r="H3" i="4"/>
  <c r="H9" i="4"/>
  <c r="G12" i="4"/>
  <c r="H13" i="4"/>
  <c r="G5" i="4"/>
  <c r="G4" i="4"/>
  <c r="G8" i="4"/>
  <c r="K11" i="4"/>
  <c r="H7" i="4"/>
  <c r="F11" i="4"/>
  <c r="K12" i="4"/>
  <c r="K5" i="4"/>
  <c r="K7" i="4"/>
  <c r="F7" i="4"/>
  <c r="H12" i="4"/>
  <c r="K4" i="4"/>
  <c r="H11" i="4"/>
  <c r="F4" i="4"/>
  <c r="H5" i="4"/>
  <c r="K8" i="4"/>
  <c r="K3" i="4"/>
  <c r="K9" i="4"/>
  <c r="H4" i="4"/>
  <c r="K15" i="4" l="1"/>
  <c r="G15" i="4"/>
  <c r="F15" i="4"/>
  <c r="H15" i="4"/>
</calcChain>
</file>

<file path=xl/sharedStrings.xml><?xml version="1.0" encoding="utf-8"?>
<sst xmlns="http://schemas.openxmlformats.org/spreadsheetml/2006/main" count="363" uniqueCount="174">
  <si>
    <t>1862-1884</t>
  </si>
  <si>
    <t>годы</t>
  </si>
  <si>
    <t>число</t>
  </si>
  <si>
    <t>1885-1895</t>
  </si>
  <si>
    <t>1896-1900</t>
  </si>
  <si>
    <t>1885-1892</t>
  </si>
  <si>
    <t>1885-1893</t>
  </si>
  <si>
    <t>1894-1898</t>
  </si>
  <si>
    <t>1899-1903</t>
  </si>
  <si>
    <t>1901-1905</t>
  </si>
  <si>
    <t>N1 = Число переселенцев на окраины (Ежегодник ЦСК 1915:21), в прямом направлении, включая ходоков</t>
  </si>
  <si>
    <t>год</t>
  </si>
  <si>
    <t>N1</t>
  </si>
  <si>
    <t>N3</t>
  </si>
  <si>
    <t>всего</t>
  </si>
  <si>
    <t>1885-1903</t>
  </si>
  <si>
    <t>N3 = Движение переселенцев в Сибирь (Ежегодник ЦСК 1907:XLIII)</t>
  </si>
  <si>
    <t>источники данных</t>
  </si>
  <si>
    <t>"Колонизация Сибири", стр. 196 (итог исправлен) и 336</t>
  </si>
  <si>
    <t>"Переселение в Сибирь", стр. 22</t>
  </si>
  <si>
    <t>N2А = Движение переселенцев в Сибирь (Ставровский, Алексеев, "Переселение в Сибирь", 1906, стр. 2-3, табл. 1)</t>
  </si>
  <si>
    <t>N2А</t>
  </si>
  <si>
    <t>N2Б = Движение переселенцев в Сибирь (Ставровский, Алексеев, "Переселение в Сибирь", 1906, стр. 22-23, табл. XVII), без Уссурийского и Забайкальского краёв</t>
  </si>
  <si>
    <t>N2Б</t>
  </si>
  <si>
    <t>Разложение по годам (CSASRA, UnbinDataSum) в N1 N2А N2Б N3</t>
  </si>
  <si>
    <t>Для 1896-1903 для сравнительного контроля добавлены данные по "Итоги переселенческого движения за время с 1896 по 1909 г."</t>
  </si>
  <si>
    <t>Наиболее авторитетным до 1896 года следует полагать N2A</t>
  </si>
  <si>
    <t>N4 = "Итоги переселенческого движения за время с 1896 по 1909 г."</t>
  </si>
  <si>
    <t>outFlow</t>
  </si>
  <si>
    <t>inFLow</t>
  </si>
  <si>
    <t>сальдо</t>
  </si>
  <si>
    <t>N4A</t>
  </si>
  <si>
    <t>N4Б</t>
  </si>
  <si>
    <t>N4В</t>
  </si>
  <si>
    <t>прямые</t>
  </si>
  <si>
    <t>возвраты</t>
  </si>
  <si>
    <t>50 европейских губерний России, выдача модуля ShowMigrationSum</t>
  </si>
  <si>
    <t>Данные N2А 1896-1897 и вероятно более ранних лет соответствуют outflow (прямой ход) без учёта возвращений, для 1898+ с учётом возвращений</t>
  </si>
  <si>
    <t>Я. Ф. Ставровский, В. В. Алексеев. «Переселение в Сибирь». Вып. XVIII. С.-Петербург, 1906. Таблица I, печатные с. 2–3.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</si>
  <si>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</si>
  <si>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</si>
  <si>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</si>
  <si>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</si>
  <si>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</si>
  <si>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</si>
  <si>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</si>
  <si>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</si>
  <si>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</si>
  <si>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</si>
  <si>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</si>
  <si>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</si>
  <si>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Курская</t>
  </si>
  <si>
    <t>Тамбовская</t>
  </si>
  <si>
    <t>Пензенская</t>
  </si>
  <si>
    <t>Орловская</t>
  </si>
  <si>
    <t>Черниговская</t>
  </si>
  <si>
    <t>Тульская</t>
  </si>
  <si>
    <t>Рязанская</t>
  </si>
  <si>
    <t>Полтавская</t>
  </si>
  <si>
    <t>Харьковская</t>
  </si>
  <si>
    <t>Воронежская</t>
  </si>
  <si>
    <t>Киевская</t>
  </si>
  <si>
    <t>—</t>
  </si>
  <si>
    <t>Подольская</t>
  </si>
  <si>
    <t>Волынская</t>
  </si>
  <si>
    <t>Бессарабская</t>
  </si>
  <si>
    <t>Екатеринославская</t>
  </si>
  <si>
    <t>Херсонская</t>
  </si>
  <si>
    <t>Таврическая</t>
  </si>
  <si>
    <t>Обл. Войска Донского</t>
  </si>
  <si>
    <t>Астраханская</t>
  </si>
  <si>
    <t>Казанская</t>
  </si>
  <si>
    <t>Нижегородская</t>
  </si>
  <si>
    <t>Симбирская</t>
  </si>
  <si>
    <t>Саратовская</t>
  </si>
  <si>
    <t>Самарская</t>
  </si>
  <si>
    <t>Уфимская</t>
  </si>
  <si>
    <t>Оренбургская</t>
  </si>
  <si>
    <t>Московская</t>
  </si>
  <si>
    <t>Калужская</t>
  </si>
  <si>
    <t>Владимирская</t>
  </si>
  <si>
    <t>Ярославская</t>
  </si>
  <si>
    <t>Тверская</t>
  </si>
  <si>
    <t>Смоленская</t>
  </si>
  <si>
    <t>Гродненская</t>
  </si>
  <si>
    <t>Виленская</t>
  </si>
  <si>
    <t>Ковенская</t>
  </si>
  <si>
    <t>Могилевская</t>
  </si>
  <si>
    <t>Витебская</t>
  </si>
  <si>
    <t>Минская</t>
  </si>
  <si>
    <t>Костромская</t>
  </si>
  <si>
    <t>Вятская</t>
  </si>
  <si>
    <t>Пермская</t>
  </si>
  <si>
    <t>Псковская</t>
  </si>
  <si>
    <t>Новгородская</t>
  </si>
  <si>
    <t>С.-Петербургская</t>
  </si>
  <si>
    <t>Лифляндская</t>
  </si>
  <si>
    <t>Курляндская</t>
  </si>
  <si>
    <t>Эстляндская</t>
  </si>
  <si>
    <t>Вологодская</t>
  </si>
  <si>
    <t>Архангельская</t>
  </si>
  <si>
    <t>Олонецкая</t>
  </si>
  <si>
    <t>1894–1898</t>
  </si>
  <si>
    <t>среднее за
1894–1898</t>
  </si>
  <si>
    <t>1899–1903</t>
  </si>
  <si>
    <t>среднее за 1899–1903</t>
  </si>
  <si>
    <t>1894–1903</t>
  </si>
  <si>
    <t>среднее за
1894–1903</t>
  </si>
  <si>
    <t>1885–1904</t>
  </si>
  <si>
    <t>среднее за
1885–1904</t>
  </si>
  <si>
    <t>Всего 50 губ. Европ. России</t>
  </si>
  <si>
    <t>note</t>
  </si>
  <si>
    <t>Я. Ф. Ставровский, В. В. Алексеев. «Переселение в Сибирь». Вып. XVIII. С.-Петербург, 1906. Таблица I, печатные стр.  2–3.</t>
  </si>
  <si>
    <t>Таблица I. Движение переселенцев (душ обоего пола) в Сибирь за 20 лет (1885–1904 гг.)</t>
  </si>
  <si>
    <t xml:space="preserve">губерния </t>
  </si>
  <si>
    <t>губерния</t>
  </si>
  <si>
    <t>Область войска Донского</t>
  </si>
  <si>
    <t>Санкт-Петербургская</t>
  </si>
  <si>
    <t>1885-1904 выход доноры</t>
  </si>
  <si>
    <t>Разложение страницы [1885-1904 выход доноры] модулем InnerMigrationPre1896.</t>
  </si>
  <si>
    <t>Ручная правка для Полтавской и Пензенской губерний для снижения скорости роста и более равномерного распределения.</t>
  </si>
  <si>
    <t>Экстраполяция на 1881-1884 по участку 1885-1892.</t>
  </si>
  <si>
    <t>1881-1904 выход доноры</t>
  </si>
  <si>
    <t>Тобольская</t>
  </si>
  <si>
    <t>Томская</t>
  </si>
  <si>
    <t>Енисейская</t>
  </si>
  <si>
    <t>Иркутская</t>
  </si>
  <si>
    <t>Приморская обл.</t>
  </si>
  <si>
    <t>Акмолинская обл.</t>
  </si>
  <si>
    <t>Семипалатинская обл.</t>
  </si>
  <si>
    <t>Тургайская обл.</t>
  </si>
  <si>
    <t>1894-1896 назначение</t>
  </si>
  <si>
    <t>Я. Ф. Ставровский, В. В. Алексеев. «Переселение в Сибирь». Вып. XVIII. С.-Петербург, 1906. Таблица VII, печатные с. 22–23.</t>
  </si>
  <si>
    <t>куда направлялись переселенцы</t>
  </si>
  <si>
    <t>учёт по охвату становится осмысленным с 1895 года</t>
  </si>
  <si>
    <t>1885-1893%</t>
  </si>
  <si>
    <t>Сведения за 1885-1893</t>
  </si>
  <si>
    <t>Куда направлялись переселенцы</t>
  </si>
  <si>
    <t>Сведения за 1894-1896:</t>
  </si>
  <si>
    <t>С.-Петербург, Государственная типография, 1900, стр. 196</t>
  </si>
  <si>
    <t xml:space="preserve">До 1881 </t>
  </si>
  <si>
    <t>Комитет Сибирской Железной Дороги, "Колонизация Сибири в связи с общим переселенческим вопросом" , издание Канцелярии Комитета Министров,</t>
  </si>
  <si>
    <t>"Переселение в Сибирь"</t>
  </si>
  <si>
    <t>"Колонизация Сибири"</t>
  </si>
  <si>
    <t>Ежегодник ЦСК</t>
  </si>
  <si>
    <t>Ежегодник ЦСК:</t>
  </si>
  <si>
    <t>1908:105</t>
  </si>
  <si>
    <t>1010:784</t>
  </si>
  <si>
    <t>Доп. о колонизации Алтайского округа стр. 336:</t>
  </si>
  <si>
    <t>Амурская обл.</t>
  </si>
  <si>
    <t>Забайкальская обл.</t>
  </si>
  <si>
    <t>Семиреченская обл.</t>
  </si>
  <si>
    <t>1896-1899</t>
  </si>
  <si>
    <t>1896-1899%</t>
  </si>
  <si>
    <t>"Итоги переселенческого движения за время с 1896 по 1909 г."</t>
  </si>
  <si>
    <t>"Итоги переселенческого движения за время с 1896 по 1909 г. "</t>
  </si>
  <si>
    <t>Вывод модуля InnerMigrationShowSum</t>
  </si>
  <si>
    <t>Вывод</t>
  </si>
  <si>
    <t>Для 1895 и более ранних лет следует использовать разбивку "Переселения в Сибирь" на 1895 год</t>
  </si>
  <si>
    <t>как более достоверную сравнительно с другими источниками</t>
  </si>
  <si>
    <t>и согласующуюся с детализованными данными "Итогов переселенческого движения"</t>
  </si>
  <si>
    <t>Я. Ф. Ставровский, В. В. Алексеев. «Переселение в Сибирь». Вып. XVIII. С.-Петербург, 1906. Таблица VII, печатные с. 22–23, тж. см. 24-25</t>
  </si>
  <si>
    <t>% туда</t>
  </si>
  <si>
    <t>% возврата</t>
  </si>
  <si>
    <t>% оседания</t>
  </si>
  <si>
    <t>% туда × % оседания</t>
  </si>
  <si>
    <t xml:space="preserve">%туда </t>
  </si>
  <si>
    <t xml:space="preserve">% возврата </t>
  </si>
  <si>
    <t xml:space="preserve">% оседания </t>
  </si>
  <si>
    <t>доля оседающих в ней переселенцев</t>
  </si>
  <si>
    <t xml:space="preserve">последняя колонка </t>
  </si>
  <si>
    <t>даёт часть общего выходного потока оседающего именно в этой области и не возвращающегося из неё</t>
  </si>
  <si>
    <t>доля переселенцев в данную область возвращающихся из неё обратно (вывод модуля RTSS InnerMigrationShowSum, среднее за 1896-1899 гг.)</t>
  </si>
  <si>
    <t>доля общего переселенческого потока направляющуюся в названную область (на 1895 год)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</si>
</sst>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1F2937"/>
      <name val="Aptos Narrow"/>
      <family val="2"/>
      <scheme val="minor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5B7FA3"/>
      </patternFill>
    </fill>
    <fill>
      <patternFill patternType="solid">
        <fgColor rgb="FFF4F8FC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hair">
        <color rgb="FFD9E2F3"/>
      </left>
      <right/>
      <top style="hair">
        <color rgb="FFD9E2F3"/>
      </top>
      <bottom/>
      <diagonal/>
    </border>
    <border>
      <left/>
      <right/>
      <top style="hair">
        <color rgb="FFD9E2F3"/>
      </top>
      <bottom/>
      <diagonal/>
    </border>
    <border>
      <left/>
      <right style="hair">
        <color rgb="FFD9E2F3"/>
      </right>
      <top style="hair">
        <color rgb="FFD9E2F3"/>
      </top>
      <bottom/>
      <diagonal/>
    </border>
    <border>
      <left style="hair">
        <color rgb="FFD9E2F3"/>
      </left>
      <right/>
      <top/>
      <bottom/>
      <diagonal/>
    </border>
    <border>
      <left/>
      <right style="hair">
        <color rgb="FFD9E2F3"/>
      </right>
      <top/>
      <bottom/>
      <diagonal/>
    </border>
    <border>
      <left style="hair">
        <color rgb="FFD9E2F3"/>
      </left>
      <right/>
      <top/>
      <bottom style="hair">
        <color rgb="FFD9E2F3"/>
      </bottom>
      <diagonal/>
    </border>
    <border>
      <left/>
      <right/>
      <top/>
      <bottom style="hair">
        <color rgb="FFD9E2F3"/>
      </bottom>
      <diagonal/>
    </border>
    <border>
      <left/>
      <right style="hair">
        <color rgb="FFD9E2F3"/>
      </right>
      <top/>
      <bottom style="hair">
        <color rgb="FFD9E2F3"/>
      </bottom>
      <diagonal/>
    </border>
    <border>
      <left/>
      <right/>
      <top style="medium">
        <color rgb="FF1F4E78"/>
      </top>
      <bottom style="medium">
        <color rgb="FF1F4E78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/>
    <xf numFmtId="0" fontId="0" fillId="2" borderId="0" xfId="0" applyFill="1"/>
    <xf numFmtId="0" fontId="1" fillId="2" borderId="0" xfId="0" applyFont="1" applyFill="1"/>
    <xf numFmtId="0" fontId="1" fillId="3" borderId="0" xfId="0" applyFont="1" applyFill="1"/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3" fontId="3" fillId="0" borderId="4" xfId="0" applyNumberFormat="1" applyFont="1" applyBorder="1" applyAlignment="1">
      <alignment horizontal="right" vertical="center"/>
    </xf>
    <xf numFmtId="3" fontId="3" fillId="0" borderId="5" xfId="0" applyNumberFormat="1" applyFont="1" applyBorder="1" applyAlignment="1">
      <alignment horizontal="right" vertical="center"/>
    </xf>
    <xf numFmtId="0" fontId="3" fillId="5" borderId="6" xfId="0" applyFont="1" applyFill="1" applyBorder="1" applyAlignment="1">
      <alignment horizontal="left" vertical="center"/>
    </xf>
    <xf numFmtId="3" fontId="3" fillId="5" borderId="0" xfId="0" applyNumberFormat="1" applyFont="1" applyFill="1" applyAlignment="1">
      <alignment horizontal="right" vertical="center"/>
    </xf>
    <xf numFmtId="3" fontId="3" fillId="5" borderId="7" xfId="0" applyNumberFormat="1" applyFont="1" applyFill="1" applyBorder="1" applyAlignment="1">
      <alignment horizontal="right" vertical="center"/>
    </xf>
    <xf numFmtId="0" fontId="3" fillId="0" borderId="6" xfId="0" applyFont="1" applyBorder="1" applyAlignment="1">
      <alignment horizontal="left" vertical="center"/>
    </xf>
    <xf numFmtId="3" fontId="3" fillId="0" borderId="0" xfId="0" applyNumberFormat="1" applyFont="1" applyAlignment="1">
      <alignment horizontal="right" vertical="center"/>
    </xf>
    <xf numFmtId="3" fontId="3" fillId="0" borderId="7" xfId="0" applyNumberFormat="1" applyFont="1" applyBorder="1" applyAlignment="1">
      <alignment horizontal="right" vertical="center"/>
    </xf>
    <xf numFmtId="164" fontId="3" fillId="5" borderId="0" xfId="0" applyNumberFormat="1" applyFont="1" applyFill="1" applyAlignment="1">
      <alignment horizontal="right" vertical="center"/>
    </xf>
    <xf numFmtId="164" fontId="3" fillId="5" borderId="7" xfId="0" applyNumberFormat="1" applyFont="1" applyFill="1" applyBorder="1" applyAlignment="1">
      <alignment horizontal="right" vertical="center"/>
    </xf>
    <xf numFmtId="0" fontId="3" fillId="5" borderId="8" xfId="0" applyFont="1" applyFill="1" applyBorder="1" applyAlignment="1">
      <alignment horizontal="left" vertical="center"/>
    </xf>
    <xf numFmtId="3" fontId="3" fillId="5" borderId="9" xfId="0" applyNumberFormat="1" applyFont="1" applyFill="1" applyBorder="1" applyAlignment="1">
      <alignment horizontal="right" vertical="center"/>
    </xf>
    <xf numFmtId="164" fontId="3" fillId="5" borderId="10" xfId="0" applyNumberFormat="1" applyFont="1" applyFill="1" applyBorder="1" applyAlignment="1">
      <alignment horizontal="right" vertical="center"/>
    </xf>
    <xf numFmtId="0" fontId="4" fillId="6" borderId="11" xfId="0" applyFont="1" applyFill="1" applyBorder="1" applyAlignment="1">
      <alignment horizontal="left" vertical="center"/>
    </xf>
    <xf numFmtId="3" fontId="4" fillId="6" borderId="11" xfId="0" applyNumberFormat="1" applyFont="1" applyFill="1" applyBorder="1" applyAlignment="1">
      <alignment horizontal="right" vertical="center"/>
    </xf>
    <xf numFmtId="3" fontId="0" fillId="3" borderId="0" xfId="0" applyNumberFormat="1" applyFill="1"/>
    <xf numFmtId="0" fontId="0" fillId="3" borderId="0" xfId="0" applyFill="1"/>
    <xf numFmtId="0" fontId="1" fillId="7" borderId="0" xfId="0" applyFont="1" applyFill="1"/>
    <xf numFmtId="0" fontId="5" fillId="0" borderId="0" xfId="0" applyFont="1" applyAlignment="1">
      <alignment horizontal="right" vertical="center" wrapText="1"/>
    </xf>
    <xf numFmtId="164" fontId="0" fillId="0" borderId="0" xfId="0" applyNumberFormat="1"/>
    <xf numFmtId="9" fontId="1" fillId="7" borderId="0" xfId="0" applyNumberFormat="1" applyFont="1" applyFill="1"/>
    <xf numFmtId="0" fontId="1" fillId="7" borderId="0" xfId="0" applyFont="1" applyFill="1" applyAlignment="1">
      <alignment horizontal="center"/>
    </xf>
    <xf numFmtId="9" fontId="1" fillId="7" borderId="0" xfId="0" applyNumberFormat="1" applyFont="1" applyFill="1" applyAlignment="1">
      <alignment horizontal="center"/>
    </xf>
    <xf numFmtId="165" fontId="0" fillId="0" borderId="0" xfId="0" applyNumberFormat="1"/>
    <xf numFmtId="49" fontId="1" fillId="7" borderId="0" xfId="0" applyNumberFormat="1" applyFont="1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042B-733C-4FA0-B5DF-69D2DC019B96}">
  <dimension ref="A1:P119"/>
  <sheetViews>
    <sheetView topLeftCell="A20" workbookViewId="0">
      <selection activeCell="A119" sqref="A119"/>
    </sheetView>
  </sheetViews>
  <sheetFormatPr defaultRowHeight="14.4" x14ac:dyDescent="0.55000000000000004"/>
  <sheetData>
    <row r="1" spans="1:16" x14ac:dyDescent="0.55000000000000004">
      <c r="A1" s="5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3" spans="1:16" x14ac:dyDescent="0.55000000000000004">
      <c r="B3" s="2" t="s">
        <v>1</v>
      </c>
      <c r="C3" s="2" t="s">
        <v>2</v>
      </c>
    </row>
    <row r="4" spans="1:16" x14ac:dyDescent="0.55000000000000004">
      <c r="B4" t="s">
        <v>0</v>
      </c>
      <c r="C4" s="3">
        <v>300000</v>
      </c>
    </row>
    <row r="5" spans="1:16" x14ac:dyDescent="0.55000000000000004">
      <c r="B5" t="s">
        <v>3</v>
      </c>
      <c r="C5" s="3">
        <v>161671</v>
      </c>
    </row>
    <row r="6" spans="1:16" x14ac:dyDescent="0.55000000000000004">
      <c r="B6" t="s">
        <v>4</v>
      </c>
      <c r="C6" s="3">
        <v>932115</v>
      </c>
    </row>
    <row r="7" spans="1:16" x14ac:dyDescent="0.55000000000000004">
      <c r="B7" t="s">
        <v>9</v>
      </c>
      <c r="C7" s="3">
        <v>436584</v>
      </c>
    </row>
    <row r="8" spans="1:16" x14ac:dyDescent="0.55000000000000004">
      <c r="B8" t="s">
        <v>14</v>
      </c>
      <c r="C8" s="3">
        <f>SUM(C4:C7)</f>
        <v>1830370</v>
      </c>
    </row>
    <row r="10" spans="1:16" x14ac:dyDescent="0.55000000000000004">
      <c r="A10" s="5" t="s">
        <v>20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2" spans="1:16" x14ac:dyDescent="0.55000000000000004">
      <c r="B12" s="2" t="s">
        <v>1</v>
      </c>
      <c r="C12" s="2" t="s">
        <v>2</v>
      </c>
    </row>
    <row r="13" spans="1:16" x14ac:dyDescent="0.55000000000000004">
      <c r="B13" t="s">
        <v>5</v>
      </c>
      <c r="C13" s="3">
        <v>258154</v>
      </c>
    </row>
    <row r="14" spans="1:16" x14ac:dyDescent="0.55000000000000004">
      <c r="B14">
        <v>1893</v>
      </c>
      <c r="C14" s="3">
        <v>53350</v>
      </c>
    </row>
    <row r="15" spans="1:16" x14ac:dyDescent="0.55000000000000004">
      <c r="B15">
        <v>1894</v>
      </c>
      <c r="C15" s="3">
        <v>55776</v>
      </c>
    </row>
    <row r="16" spans="1:16" x14ac:dyDescent="0.55000000000000004">
      <c r="B16">
        <v>1895</v>
      </c>
      <c r="C16" s="3">
        <v>101995</v>
      </c>
    </row>
    <row r="17" spans="1:16" x14ac:dyDescent="0.55000000000000004">
      <c r="B17">
        <f>B16+1</f>
        <v>1896</v>
      </c>
      <c r="C17" s="3">
        <v>186166</v>
      </c>
    </row>
    <row r="18" spans="1:16" x14ac:dyDescent="0.55000000000000004">
      <c r="B18">
        <f t="shared" ref="B18:B24" si="0">B17+1</f>
        <v>1897</v>
      </c>
      <c r="C18" s="3">
        <v>81015</v>
      </c>
    </row>
    <row r="19" spans="1:16" x14ac:dyDescent="0.55000000000000004">
      <c r="B19">
        <f t="shared" si="0"/>
        <v>1898</v>
      </c>
      <c r="C19" s="3">
        <v>143697</v>
      </c>
    </row>
    <row r="20" spans="1:16" x14ac:dyDescent="0.55000000000000004">
      <c r="B20">
        <f t="shared" si="0"/>
        <v>1899</v>
      </c>
      <c r="C20" s="3">
        <v>162805</v>
      </c>
    </row>
    <row r="21" spans="1:16" x14ac:dyDescent="0.55000000000000004">
      <c r="B21">
        <f t="shared" si="0"/>
        <v>1900</v>
      </c>
      <c r="C21" s="3">
        <v>164639</v>
      </c>
    </row>
    <row r="22" spans="1:16" x14ac:dyDescent="0.55000000000000004">
      <c r="B22">
        <f t="shared" si="0"/>
        <v>1901</v>
      </c>
      <c r="C22" s="3">
        <v>86334</v>
      </c>
    </row>
    <row r="23" spans="1:16" x14ac:dyDescent="0.55000000000000004">
      <c r="B23">
        <f t="shared" si="0"/>
        <v>1902</v>
      </c>
      <c r="C23" s="3">
        <v>80499</v>
      </c>
    </row>
    <row r="24" spans="1:16" x14ac:dyDescent="0.55000000000000004">
      <c r="B24">
        <f t="shared" si="0"/>
        <v>1903</v>
      </c>
      <c r="C24" s="3">
        <v>83721</v>
      </c>
    </row>
    <row r="25" spans="1:16" x14ac:dyDescent="0.55000000000000004">
      <c r="B25" t="s">
        <v>14</v>
      </c>
      <c r="C25" s="3">
        <f>SUM(C13:C24)</f>
        <v>1458151</v>
      </c>
    </row>
    <row r="27" spans="1:16" x14ac:dyDescent="0.55000000000000004">
      <c r="A27" s="5" t="s">
        <v>22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9" spans="1:16" x14ac:dyDescent="0.55000000000000004">
      <c r="B29" s="2" t="s">
        <v>1</v>
      </c>
      <c r="C29" s="2" t="s">
        <v>2</v>
      </c>
    </row>
    <row r="30" spans="1:16" x14ac:dyDescent="0.55000000000000004">
      <c r="B30">
        <v>1894</v>
      </c>
      <c r="C30" s="3">
        <v>7233</v>
      </c>
    </row>
    <row r="31" spans="1:16" x14ac:dyDescent="0.55000000000000004">
      <c r="B31">
        <f>B30+1</f>
        <v>1895</v>
      </c>
      <c r="C31" s="3">
        <v>85933</v>
      </c>
    </row>
    <row r="32" spans="1:16" x14ac:dyDescent="0.55000000000000004">
      <c r="B32">
        <f t="shared" ref="B32:B39" si="1">B31+1</f>
        <v>1896</v>
      </c>
      <c r="C32" s="3">
        <v>177168</v>
      </c>
    </row>
    <row r="33" spans="1:16" x14ac:dyDescent="0.55000000000000004">
      <c r="B33">
        <f t="shared" si="1"/>
        <v>1897</v>
      </c>
      <c r="C33" s="3">
        <v>66747</v>
      </c>
    </row>
    <row r="34" spans="1:16" x14ac:dyDescent="0.55000000000000004">
      <c r="B34">
        <f t="shared" si="1"/>
        <v>1898</v>
      </c>
      <c r="C34" s="3">
        <v>144024</v>
      </c>
    </row>
    <row r="35" spans="1:16" x14ac:dyDescent="0.55000000000000004">
      <c r="B35">
        <f t="shared" si="1"/>
        <v>1899</v>
      </c>
      <c r="C35" s="3">
        <v>159747</v>
      </c>
    </row>
    <row r="36" spans="1:16" x14ac:dyDescent="0.55000000000000004">
      <c r="B36">
        <f t="shared" si="1"/>
        <v>1900</v>
      </c>
      <c r="C36" s="3">
        <v>152444</v>
      </c>
    </row>
    <row r="37" spans="1:16" x14ac:dyDescent="0.55000000000000004">
      <c r="B37">
        <f t="shared" si="1"/>
        <v>1901</v>
      </c>
      <c r="C37" s="3">
        <v>69015</v>
      </c>
    </row>
    <row r="38" spans="1:16" x14ac:dyDescent="0.55000000000000004">
      <c r="B38">
        <f t="shared" si="1"/>
        <v>1902</v>
      </c>
      <c r="C38" s="3">
        <v>64550</v>
      </c>
    </row>
    <row r="39" spans="1:16" x14ac:dyDescent="0.55000000000000004">
      <c r="B39">
        <f t="shared" si="1"/>
        <v>1903</v>
      </c>
      <c r="C39" s="3">
        <v>71139</v>
      </c>
    </row>
    <row r="41" spans="1:16" x14ac:dyDescent="0.55000000000000004">
      <c r="A41" s="5" t="s">
        <v>16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3" spans="1:16" x14ac:dyDescent="0.55000000000000004">
      <c r="B43" s="2" t="s">
        <v>1</v>
      </c>
      <c r="C43" s="2" t="s">
        <v>2</v>
      </c>
    </row>
    <row r="44" spans="1:16" x14ac:dyDescent="0.55000000000000004">
      <c r="B44" t="s">
        <v>6</v>
      </c>
      <c r="C44" s="3">
        <v>327100</v>
      </c>
    </row>
    <row r="45" spans="1:16" x14ac:dyDescent="0.55000000000000004">
      <c r="B45" t="s">
        <v>7</v>
      </c>
      <c r="C45" s="3">
        <v>495225</v>
      </c>
    </row>
    <row r="46" spans="1:16" x14ac:dyDescent="0.55000000000000004">
      <c r="B46" t="s">
        <v>8</v>
      </c>
      <c r="C46" s="3">
        <v>558071</v>
      </c>
    </row>
    <row r="47" spans="1:16" x14ac:dyDescent="0.55000000000000004">
      <c r="B47" t="s">
        <v>14</v>
      </c>
      <c r="C47" s="3">
        <f>SUM(C44:C46)</f>
        <v>1380396</v>
      </c>
    </row>
    <row r="48" spans="1:16" x14ac:dyDescent="0.55000000000000004">
      <c r="C48" s="3"/>
    </row>
    <row r="49" spans="1:16" x14ac:dyDescent="0.55000000000000004">
      <c r="B49" t="s">
        <v>17</v>
      </c>
      <c r="C49" s="3"/>
    </row>
    <row r="50" spans="1:16" x14ac:dyDescent="0.55000000000000004">
      <c r="B50" t="s">
        <v>6</v>
      </c>
      <c r="C50" s="3" t="s">
        <v>18</v>
      </c>
    </row>
    <row r="51" spans="1:16" x14ac:dyDescent="0.55000000000000004">
      <c r="B51" t="s">
        <v>7</v>
      </c>
      <c r="C51" s="3" t="s">
        <v>19</v>
      </c>
    </row>
    <row r="52" spans="1:16" x14ac:dyDescent="0.55000000000000004">
      <c r="B52" t="s">
        <v>8</v>
      </c>
      <c r="C52" s="3" t="s">
        <v>19</v>
      </c>
    </row>
    <row r="54" spans="1:16" x14ac:dyDescent="0.55000000000000004">
      <c r="A54" s="5" t="s">
        <v>27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x14ac:dyDescent="0.55000000000000004">
      <c r="A55" s="5" t="s">
        <v>36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7" spans="1:16" x14ac:dyDescent="0.55000000000000004">
      <c r="C57" s="2" t="s">
        <v>31</v>
      </c>
      <c r="D57" s="2" t="s">
        <v>32</v>
      </c>
      <c r="E57" s="2" t="s">
        <v>33</v>
      </c>
    </row>
    <row r="58" spans="1:16" x14ac:dyDescent="0.55000000000000004">
      <c r="C58" s="2" t="s">
        <v>34</v>
      </c>
      <c r="D58" s="2" t="s">
        <v>35</v>
      </c>
      <c r="E58" s="2"/>
    </row>
    <row r="59" spans="1:16" x14ac:dyDescent="0.55000000000000004">
      <c r="B59" s="2" t="s">
        <v>11</v>
      </c>
      <c r="C59" s="2" t="s">
        <v>28</v>
      </c>
      <c r="D59" s="2" t="s">
        <v>29</v>
      </c>
      <c r="E59" s="2" t="s">
        <v>30</v>
      </c>
    </row>
    <row r="60" spans="1:16" x14ac:dyDescent="0.55000000000000004">
      <c r="B60">
        <v>1896</v>
      </c>
      <c r="C60" s="3">
        <v>189936</v>
      </c>
      <c r="D60" s="3">
        <v>30054</v>
      </c>
      <c r="E60" s="3">
        <f>C60-D60</f>
        <v>159882</v>
      </c>
    </row>
    <row r="61" spans="1:16" x14ac:dyDescent="0.55000000000000004">
      <c r="B61">
        <v>1897</v>
      </c>
      <c r="C61" s="3">
        <v>86380</v>
      </c>
      <c r="D61" s="3">
        <v>36695</v>
      </c>
      <c r="E61" s="3">
        <f t="shared" ref="E61:E67" si="2">C61-D61</f>
        <v>49685</v>
      </c>
    </row>
    <row r="62" spans="1:16" x14ac:dyDescent="0.55000000000000004">
      <c r="B62">
        <v>1898</v>
      </c>
      <c r="C62" s="3">
        <v>202901</v>
      </c>
      <c r="D62" s="3">
        <v>59197</v>
      </c>
      <c r="E62" s="3">
        <f t="shared" si="2"/>
        <v>143704</v>
      </c>
    </row>
    <row r="63" spans="1:16" x14ac:dyDescent="0.55000000000000004">
      <c r="B63">
        <v>1899</v>
      </c>
      <c r="C63" s="3">
        <v>224772</v>
      </c>
      <c r="D63" s="3">
        <v>69830</v>
      </c>
      <c r="E63" s="3">
        <f t="shared" si="2"/>
        <v>154942</v>
      </c>
    </row>
    <row r="64" spans="1:16" x14ac:dyDescent="0.55000000000000004">
      <c r="B64">
        <v>1900</v>
      </c>
      <c r="C64" s="3">
        <v>220167</v>
      </c>
      <c r="D64" s="3">
        <v>91415</v>
      </c>
      <c r="E64" s="3">
        <f t="shared" si="2"/>
        <v>128752</v>
      </c>
    </row>
    <row r="65" spans="1:16" x14ac:dyDescent="0.55000000000000004">
      <c r="B65">
        <v>1901</v>
      </c>
      <c r="C65" s="3">
        <v>122910</v>
      </c>
      <c r="D65" s="3">
        <v>59978</v>
      </c>
      <c r="E65" s="3">
        <f t="shared" si="2"/>
        <v>62932</v>
      </c>
    </row>
    <row r="66" spans="1:16" x14ac:dyDescent="0.55000000000000004">
      <c r="B66">
        <v>1902</v>
      </c>
      <c r="C66" s="3">
        <v>114195</v>
      </c>
      <c r="D66" s="3">
        <v>49387</v>
      </c>
      <c r="E66" s="3">
        <f t="shared" si="2"/>
        <v>64808</v>
      </c>
    </row>
    <row r="67" spans="1:16" x14ac:dyDescent="0.55000000000000004">
      <c r="B67">
        <v>1903</v>
      </c>
      <c r="C67" s="3">
        <v>133072</v>
      </c>
      <c r="D67" s="3">
        <v>46197</v>
      </c>
      <c r="E67" s="3">
        <f t="shared" si="2"/>
        <v>86875</v>
      </c>
    </row>
    <row r="69" spans="1:16" x14ac:dyDescent="0.55000000000000004">
      <c r="A69" s="6" t="s">
        <v>24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x14ac:dyDescent="0.55000000000000004">
      <c r="A70" s="6" t="s">
        <v>25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2" spans="1:16" x14ac:dyDescent="0.55000000000000004">
      <c r="B72" s="1" t="s">
        <v>11</v>
      </c>
      <c r="C72" s="2" t="s">
        <v>12</v>
      </c>
      <c r="D72" s="2" t="s">
        <v>21</v>
      </c>
      <c r="E72" s="2" t="s">
        <v>23</v>
      </c>
      <c r="F72" s="2" t="s">
        <v>13</v>
      </c>
      <c r="G72" s="2" t="s">
        <v>31</v>
      </c>
      <c r="H72" s="2" t="s">
        <v>32</v>
      </c>
      <c r="I72" s="2" t="s">
        <v>33</v>
      </c>
    </row>
    <row r="73" spans="1:16" x14ac:dyDescent="0.55000000000000004">
      <c r="B73">
        <f>B74-1</f>
        <v>1881</v>
      </c>
      <c r="C73" s="3">
        <v>6492.9400850000002</v>
      </c>
    </row>
    <row r="74" spans="1:16" x14ac:dyDescent="0.55000000000000004">
      <c r="B74">
        <f>B75-1</f>
        <v>1882</v>
      </c>
      <c r="C74" s="3">
        <v>5345.4438110000001</v>
      </c>
    </row>
    <row r="75" spans="1:16" x14ac:dyDescent="0.55000000000000004">
      <c r="B75">
        <f>B76-1</f>
        <v>1883</v>
      </c>
      <c r="C75" s="3">
        <v>4174.0546619999996</v>
      </c>
    </row>
    <row r="76" spans="1:16" x14ac:dyDescent="0.55000000000000004">
      <c r="B76">
        <f>B77-1</f>
        <v>1884</v>
      </c>
      <c r="C76" s="3">
        <v>3001.3063069999998</v>
      </c>
    </row>
    <row r="77" spans="1:16" x14ac:dyDescent="0.55000000000000004">
      <c r="B77">
        <v>1885</v>
      </c>
      <c r="C77" s="3">
        <v>1661.2973549999999</v>
      </c>
      <c r="D77" s="3">
        <v>25025.540964</v>
      </c>
      <c r="E77" s="3"/>
      <c r="F77" s="3">
        <v>22137.742243000001</v>
      </c>
    </row>
    <row r="78" spans="1:16" x14ac:dyDescent="0.55000000000000004">
      <c r="B78">
        <f>B77+1</f>
        <v>1886</v>
      </c>
      <c r="C78" s="3">
        <v>1160.717044</v>
      </c>
      <c r="D78" s="3">
        <v>25595.238339</v>
      </c>
      <c r="E78" s="3"/>
      <c r="F78" s="3">
        <v>22939.139247999999</v>
      </c>
    </row>
    <row r="79" spans="1:16" x14ac:dyDescent="0.55000000000000004">
      <c r="B79">
        <f t="shared" ref="B79:B97" si="3">B78+1</f>
        <v>1887</v>
      </c>
      <c r="C79" s="3">
        <v>1061.5090970000001</v>
      </c>
      <c r="D79" s="3">
        <v>26777.430110000001</v>
      </c>
      <c r="E79" s="3"/>
      <c r="F79" s="3">
        <v>24614.52692</v>
      </c>
    </row>
    <row r="80" spans="1:16" x14ac:dyDescent="0.55000000000000004">
      <c r="B80">
        <f t="shared" si="3"/>
        <v>1888</v>
      </c>
      <c r="C80" s="3">
        <v>1352.683626</v>
      </c>
      <c r="D80" s="3">
        <v>28718.266469999999</v>
      </c>
      <c r="E80" s="3"/>
      <c r="F80" s="3">
        <v>27397.393515</v>
      </c>
    </row>
    <row r="81" spans="2:9" x14ac:dyDescent="0.55000000000000004">
      <c r="B81">
        <f t="shared" si="3"/>
        <v>1889</v>
      </c>
      <c r="C81" s="3">
        <v>2139.7641800000001</v>
      </c>
      <c r="D81" s="3">
        <v>31481.727653999998</v>
      </c>
      <c r="E81" s="3"/>
      <c r="F81" s="3">
        <v>31425.433763000001</v>
      </c>
    </row>
    <row r="82" spans="2:9" x14ac:dyDescent="0.55000000000000004">
      <c r="B82">
        <f t="shared" si="3"/>
        <v>1890</v>
      </c>
      <c r="C82" s="3">
        <v>3711.2289000000001</v>
      </c>
      <c r="D82" s="3">
        <v>35146.818431</v>
      </c>
      <c r="E82" s="3"/>
      <c r="F82" s="3">
        <v>36879.090257000003</v>
      </c>
    </row>
    <row r="83" spans="2:9" x14ac:dyDescent="0.55000000000000004">
      <c r="B83">
        <f t="shared" si="3"/>
        <v>1891</v>
      </c>
      <c r="C83" s="3">
        <v>6643.4669190000004</v>
      </c>
      <c r="D83" s="3">
        <v>39816.102378000003</v>
      </c>
      <c r="E83" s="3"/>
      <c r="F83" s="3">
        <v>44008.187974</v>
      </c>
    </row>
    <row r="84" spans="2:9" x14ac:dyDescent="0.55000000000000004">
      <c r="B84">
        <f t="shared" si="3"/>
        <v>1892</v>
      </c>
      <c r="C84" s="3">
        <v>12009.715506</v>
      </c>
      <c r="D84" s="3">
        <v>45592.875653000003</v>
      </c>
      <c r="E84" s="3"/>
      <c r="F84" s="3">
        <v>53145.628228000001</v>
      </c>
    </row>
    <row r="85" spans="2:9" x14ac:dyDescent="0.55000000000000004">
      <c r="B85">
        <f t="shared" si="3"/>
        <v>1893</v>
      </c>
      <c r="C85" s="3">
        <v>21782.286273000002</v>
      </c>
      <c r="D85" s="3">
        <v>53350</v>
      </c>
      <c r="E85" s="3"/>
      <c r="F85" s="3">
        <v>64552.857853000001</v>
      </c>
    </row>
    <row r="86" spans="2:9" x14ac:dyDescent="0.55000000000000004">
      <c r="B86">
        <f t="shared" si="3"/>
        <v>1894</v>
      </c>
      <c r="C86" s="3">
        <v>39620.892380999998</v>
      </c>
      <c r="D86" s="3">
        <v>55776</v>
      </c>
      <c r="E86" s="3">
        <v>7233</v>
      </c>
      <c r="F86" s="3">
        <v>80226.789336000002</v>
      </c>
    </row>
    <row r="87" spans="2:9" x14ac:dyDescent="0.55000000000000004">
      <c r="B87">
        <f t="shared" si="3"/>
        <v>1895</v>
      </c>
      <c r="C87" s="3">
        <v>70527.438718000005</v>
      </c>
      <c r="D87" s="3">
        <v>101995</v>
      </c>
      <c r="E87" s="3">
        <v>85933</v>
      </c>
      <c r="F87" s="3">
        <v>92405.860002999994</v>
      </c>
    </row>
    <row r="88" spans="2:9" x14ac:dyDescent="0.55000000000000004">
      <c r="B88">
        <f t="shared" si="3"/>
        <v>1896</v>
      </c>
      <c r="C88" s="3">
        <v>141349.99644300001</v>
      </c>
      <c r="D88" s="3">
        <v>186166</v>
      </c>
      <c r="E88" s="3">
        <v>177168</v>
      </c>
      <c r="F88" s="3">
        <v>101992.45347199999</v>
      </c>
      <c r="G88" s="3">
        <v>189936</v>
      </c>
      <c r="H88" s="3">
        <v>30054</v>
      </c>
      <c r="I88" s="3">
        <f>G88-H88</f>
        <v>159882</v>
      </c>
    </row>
    <row r="89" spans="2:9" x14ac:dyDescent="0.55000000000000004">
      <c r="B89">
        <f t="shared" si="3"/>
        <v>1897</v>
      </c>
      <c r="C89" s="3">
        <v>186524.122156</v>
      </c>
      <c r="D89" s="3">
        <v>81015</v>
      </c>
      <c r="E89" s="3">
        <v>66747</v>
      </c>
      <c r="F89" s="3">
        <v>108567.898115</v>
      </c>
      <c r="G89" s="3">
        <v>86380</v>
      </c>
      <c r="H89" s="3">
        <v>36695</v>
      </c>
      <c r="I89" s="3">
        <f t="shared" ref="I89:I95" si="4">G89-H89</f>
        <v>49685</v>
      </c>
    </row>
    <row r="90" spans="2:9" x14ac:dyDescent="0.55000000000000004">
      <c r="B90">
        <f t="shared" si="3"/>
        <v>1898</v>
      </c>
      <c r="C90" s="3">
        <v>210525.51942900001</v>
      </c>
      <c r="D90" s="3">
        <v>143697</v>
      </c>
      <c r="E90" s="3">
        <v>144024</v>
      </c>
      <c r="F90" s="3">
        <v>112031.99907400001</v>
      </c>
      <c r="G90" s="3">
        <v>202901</v>
      </c>
      <c r="H90" s="3">
        <v>59197</v>
      </c>
      <c r="I90" s="3">
        <f t="shared" si="4"/>
        <v>143704</v>
      </c>
    </row>
    <row r="91" spans="2:9" x14ac:dyDescent="0.55000000000000004">
      <c r="B91">
        <f t="shared" si="3"/>
        <v>1899</v>
      </c>
      <c r="C91" s="3">
        <v>209433.31628900001</v>
      </c>
      <c r="D91" s="3">
        <v>162805</v>
      </c>
      <c r="E91" s="3">
        <v>159747</v>
      </c>
      <c r="F91" s="3">
        <v>111452.62852100001</v>
      </c>
      <c r="G91" s="3">
        <v>224772</v>
      </c>
      <c r="H91" s="3">
        <v>69830</v>
      </c>
      <c r="I91" s="3">
        <f t="shared" si="4"/>
        <v>154942</v>
      </c>
    </row>
    <row r="92" spans="2:9" x14ac:dyDescent="0.55000000000000004">
      <c r="B92">
        <f t="shared" si="3"/>
        <v>1900</v>
      </c>
      <c r="C92" s="3">
        <v>184282.045683</v>
      </c>
      <c r="D92" s="3">
        <v>164639</v>
      </c>
      <c r="E92" s="3">
        <v>152444</v>
      </c>
      <c r="F92" s="3">
        <v>111600.289242</v>
      </c>
      <c r="G92" s="3">
        <v>220167</v>
      </c>
      <c r="H92" s="3">
        <v>91415</v>
      </c>
      <c r="I92" s="3">
        <f t="shared" si="4"/>
        <v>128752</v>
      </c>
    </row>
    <row r="93" spans="2:9" x14ac:dyDescent="0.55000000000000004">
      <c r="B93">
        <f t="shared" si="3"/>
        <v>1901</v>
      </c>
      <c r="C93" s="3">
        <v>129981.861118</v>
      </c>
      <c r="D93" s="3">
        <v>86334</v>
      </c>
      <c r="E93" s="3">
        <v>69015</v>
      </c>
      <c r="F93" s="3">
        <v>111646.527216</v>
      </c>
      <c r="G93" s="3">
        <v>122910</v>
      </c>
      <c r="H93" s="3">
        <v>59978</v>
      </c>
      <c r="I93" s="3">
        <f t="shared" si="4"/>
        <v>62932</v>
      </c>
    </row>
    <row r="94" spans="2:9" x14ac:dyDescent="0.55000000000000004">
      <c r="B94">
        <f t="shared" si="3"/>
        <v>1902</v>
      </c>
      <c r="C94" s="3">
        <v>99337.600627000007</v>
      </c>
      <c r="D94" s="3">
        <v>80499</v>
      </c>
      <c r="E94" s="3">
        <v>64550</v>
      </c>
      <c r="F94" s="3">
        <v>111678.05499999999</v>
      </c>
      <c r="G94" s="3">
        <v>114195</v>
      </c>
      <c r="H94" s="3">
        <v>49387</v>
      </c>
      <c r="I94" s="3">
        <f t="shared" si="4"/>
        <v>64808</v>
      </c>
    </row>
    <row r="95" spans="2:9" x14ac:dyDescent="0.55000000000000004">
      <c r="B95">
        <f t="shared" si="3"/>
        <v>1903</v>
      </c>
      <c r="C95" s="3">
        <v>78776.797391</v>
      </c>
      <c r="D95" s="3">
        <v>83721</v>
      </c>
      <c r="E95" s="3">
        <v>71139</v>
      </c>
      <c r="F95" s="3">
        <v>111693.50002000001</v>
      </c>
      <c r="G95" s="3">
        <v>133072</v>
      </c>
      <c r="H95" s="3">
        <v>46197</v>
      </c>
      <c r="I95" s="3">
        <f t="shared" si="4"/>
        <v>86875</v>
      </c>
    </row>
    <row r="96" spans="2:9" x14ac:dyDescent="0.55000000000000004">
      <c r="B96">
        <f t="shared" si="3"/>
        <v>1904</v>
      </c>
      <c r="C96" s="3">
        <v>66981.996801999994</v>
      </c>
    </row>
    <row r="97" spans="1:16" x14ac:dyDescent="0.55000000000000004">
      <c r="B97">
        <f t="shared" si="3"/>
        <v>1905</v>
      </c>
      <c r="C97" s="3">
        <v>61505.744061999998</v>
      </c>
    </row>
    <row r="99" spans="1:16" x14ac:dyDescent="0.55000000000000004">
      <c r="B99" t="s">
        <v>14</v>
      </c>
      <c r="C99" s="3">
        <f>SUM(C73:C97)</f>
        <v>1549383.744864</v>
      </c>
      <c r="D99" s="3">
        <f>SUM(D73:D97)</f>
        <v>1458150.999999</v>
      </c>
      <c r="E99" s="3"/>
      <c r="F99" s="3">
        <f>SUM(F73:F97)</f>
        <v>1380395.9999999998</v>
      </c>
    </row>
    <row r="100" spans="1:16" x14ac:dyDescent="0.55000000000000004">
      <c r="B100" t="s">
        <v>15</v>
      </c>
      <c r="C100" s="3">
        <f>SUM(C77:C95)</f>
        <v>1401882.2591349999</v>
      </c>
      <c r="D100" s="3">
        <f>SUM(D77:D95)</f>
        <v>1458150.999999</v>
      </c>
      <c r="E100" s="3">
        <f>SUM(E77:E95)</f>
        <v>998000</v>
      </c>
      <c r="F100" s="3">
        <f>SUM(F77:F95)</f>
        <v>1380395.9999999998</v>
      </c>
    </row>
    <row r="101" spans="1:16" x14ac:dyDescent="0.55000000000000004">
      <c r="B101" t="s">
        <v>7</v>
      </c>
      <c r="C101" s="3">
        <f>SUM(C86:C90)</f>
        <v>648547.96912699996</v>
      </c>
      <c r="D101" s="3">
        <f>SUM(D86:D90)</f>
        <v>568649</v>
      </c>
      <c r="E101" s="3">
        <f>SUM(E86:E90)</f>
        <v>481105</v>
      </c>
      <c r="F101" s="3">
        <f>SUM(F86:F90)</f>
        <v>495224.99999999994</v>
      </c>
    </row>
    <row r="102" spans="1:16" x14ac:dyDescent="0.55000000000000004">
      <c r="B102" t="s">
        <v>8</v>
      </c>
      <c r="C102" s="3">
        <f>SUM(C91:C95)</f>
        <v>701811.62110799993</v>
      </c>
      <c r="D102" s="3">
        <f>SUM(D91:D95)</f>
        <v>577998</v>
      </c>
      <c r="E102" s="3">
        <f>SUM(E91:E95)</f>
        <v>516895</v>
      </c>
      <c r="F102" s="3">
        <f>SUM(F91:F95)</f>
        <v>558070.99999899999</v>
      </c>
    </row>
    <row r="104" spans="1:16" x14ac:dyDescent="0.55000000000000004">
      <c r="B104" t="s">
        <v>26</v>
      </c>
    </row>
    <row r="105" spans="1:16" x14ac:dyDescent="0.55000000000000004">
      <c r="B105" t="s">
        <v>37</v>
      </c>
    </row>
    <row r="109" spans="1:16" x14ac:dyDescent="0.55000000000000004">
      <c r="A109" s="6" t="s">
        <v>118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</row>
    <row r="110" spans="1:16" x14ac:dyDescent="0.55000000000000004">
      <c r="A110" t="s">
        <v>38</v>
      </c>
    </row>
    <row r="112" spans="1:16" x14ac:dyDescent="0.55000000000000004">
      <c r="A112" s="6" t="s">
        <v>122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</row>
    <row r="113" spans="1:16" x14ac:dyDescent="0.55000000000000004">
      <c r="A113" t="s">
        <v>119</v>
      </c>
    </row>
    <row r="114" spans="1:16" x14ac:dyDescent="0.55000000000000004">
      <c r="A114" t="s">
        <v>120</v>
      </c>
    </row>
    <row r="115" spans="1:16" x14ac:dyDescent="0.55000000000000004">
      <c r="A115" t="s">
        <v>121</v>
      </c>
    </row>
    <row r="117" spans="1:16" x14ac:dyDescent="0.55000000000000004">
      <c r="A117" s="6" t="s">
        <v>131</v>
      </c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</row>
    <row r="118" spans="1:16" x14ac:dyDescent="0.55000000000000004">
      <c r="A118" t="s">
        <v>133</v>
      </c>
    </row>
    <row r="119" spans="1:16" x14ac:dyDescent="0.55000000000000004">
      <c r="A119" t="s">
        <v>132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6ABE5-578E-4890-83BE-C69EB8587AC3}">
  <dimension ref="A1:AA58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A52" sqref="A52"/>
    </sheetView>
  </sheetViews>
  <sheetFormatPr defaultRowHeight="14.4" x14ac:dyDescent="0.55000000000000004"/>
  <cols>
    <col min="1" max="1" width="26.15625" bestFit="1" customWidth="1"/>
    <col min="2" max="2" width="7.578125" bestFit="1" customWidth="1"/>
    <col min="3" max="4" width="6.578125" bestFit="1" customWidth="1"/>
    <col min="5" max="6" width="7.578125" bestFit="1" customWidth="1"/>
    <col min="7" max="7" width="6.578125" bestFit="1" customWidth="1"/>
    <col min="8" max="8" width="7.578125" bestFit="1" customWidth="1"/>
    <col min="9" max="10" width="9.83984375" bestFit="1" customWidth="1"/>
    <col min="11" max="12" width="7.578125" bestFit="1" customWidth="1"/>
    <col min="13" max="15" width="6.578125" bestFit="1" customWidth="1"/>
    <col min="16" max="19" width="9.83984375" bestFit="1" customWidth="1"/>
    <col min="20" max="20" width="6.578125" bestFit="1" customWidth="1"/>
    <col min="21" max="21" width="9.15625" bestFit="1" customWidth="1"/>
    <col min="22" max="22" width="9.83984375" bestFit="1" customWidth="1"/>
  </cols>
  <sheetData>
    <row r="1" spans="1:27" ht="43.2" x14ac:dyDescent="0.55000000000000004">
      <c r="A1" s="7" t="s">
        <v>114</v>
      </c>
      <c r="B1" s="8" t="s">
        <v>5</v>
      </c>
      <c r="C1" s="8" t="s">
        <v>39</v>
      </c>
      <c r="D1" s="8" t="s">
        <v>40</v>
      </c>
      <c r="E1" s="8" t="s">
        <v>41</v>
      </c>
      <c r="F1" s="8" t="s">
        <v>42</v>
      </c>
      <c r="G1" s="8" t="s">
        <v>43</v>
      </c>
      <c r="H1" s="8" t="s">
        <v>44</v>
      </c>
      <c r="I1" s="8" t="s">
        <v>102</v>
      </c>
      <c r="J1" s="8" t="s">
        <v>103</v>
      </c>
      <c r="K1" s="8" t="s">
        <v>45</v>
      </c>
      <c r="L1" s="8" t="s">
        <v>46</v>
      </c>
      <c r="M1" s="8" t="s">
        <v>47</v>
      </c>
      <c r="N1" s="8" t="s">
        <v>48</v>
      </c>
      <c r="O1" s="8" t="s">
        <v>49</v>
      </c>
      <c r="P1" s="8" t="s">
        <v>104</v>
      </c>
      <c r="Q1" s="8" t="s">
        <v>105</v>
      </c>
      <c r="R1" s="8" t="s">
        <v>106</v>
      </c>
      <c r="S1" s="8" t="s">
        <v>107</v>
      </c>
      <c r="T1" s="8" t="s">
        <v>50</v>
      </c>
      <c r="U1" s="8" t="s">
        <v>108</v>
      </c>
      <c r="V1" s="8" t="s">
        <v>109</v>
      </c>
    </row>
    <row r="2" spans="1:27" x14ac:dyDescent="0.55000000000000004">
      <c r="A2" s="9" t="s">
        <v>51</v>
      </c>
      <c r="B2" s="10">
        <v>66338</v>
      </c>
      <c r="C2" s="10">
        <v>4108</v>
      </c>
      <c r="D2" s="10">
        <v>4943</v>
      </c>
      <c r="E2" s="10">
        <v>8940</v>
      </c>
      <c r="F2" s="10">
        <v>14298</v>
      </c>
      <c r="G2" s="10">
        <v>4273</v>
      </c>
      <c r="H2" s="10">
        <v>9194</v>
      </c>
      <c r="I2" s="10">
        <v>41648</v>
      </c>
      <c r="J2" s="10">
        <v>8330</v>
      </c>
      <c r="K2" s="10">
        <v>13656</v>
      </c>
      <c r="L2" s="10">
        <v>16278</v>
      </c>
      <c r="M2" s="10">
        <v>5410</v>
      </c>
      <c r="N2" s="10">
        <v>2139</v>
      </c>
      <c r="O2" s="10">
        <v>1662</v>
      </c>
      <c r="P2" s="10">
        <v>39145</v>
      </c>
      <c r="Q2" s="10">
        <v>7829</v>
      </c>
      <c r="R2" s="10">
        <v>80793</v>
      </c>
      <c r="S2" s="10">
        <v>8079</v>
      </c>
      <c r="T2" s="10">
        <v>334</v>
      </c>
      <c r="U2" s="10">
        <v>151573</v>
      </c>
      <c r="V2" s="11">
        <v>7579</v>
      </c>
      <c r="X2" s="25">
        <f>SUM(D2:H2)-I2</f>
        <v>0</v>
      </c>
      <c r="Y2" s="25">
        <f>SUM(K2:O2)-P2</f>
        <v>0</v>
      </c>
      <c r="Z2" s="25">
        <f>I2+P2-R2</f>
        <v>0</v>
      </c>
      <c r="AA2" s="25">
        <f t="shared" ref="AA2:AA51" si="0">SUM(B2)+SUM(I2)+SUM(P2)+SUM(T2)-U2+SUM(C2)</f>
        <v>0</v>
      </c>
    </row>
    <row r="3" spans="1:27" x14ac:dyDescent="0.55000000000000004">
      <c r="A3" s="12" t="s">
        <v>52</v>
      </c>
      <c r="B3" s="13">
        <v>37276</v>
      </c>
      <c r="C3" s="13">
        <v>5087</v>
      </c>
      <c r="D3" s="13">
        <v>3605</v>
      </c>
      <c r="E3" s="13">
        <v>3208</v>
      </c>
      <c r="F3" s="13">
        <v>6693</v>
      </c>
      <c r="G3" s="13">
        <v>3604</v>
      </c>
      <c r="H3" s="13">
        <v>14689</v>
      </c>
      <c r="I3" s="13">
        <v>31799</v>
      </c>
      <c r="J3" s="13">
        <v>6360</v>
      </c>
      <c r="K3" s="13">
        <v>14331</v>
      </c>
      <c r="L3" s="13">
        <v>5610</v>
      </c>
      <c r="M3" s="13">
        <v>2081</v>
      </c>
      <c r="N3" s="13">
        <v>1868</v>
      </c>
      <c r="O3" s="13">
        <v>2003</v>
      </c>
      <c r="P3" s="13">
        <v>25893</v>
      </c>
      <c r="Q3" s="13">
        <v>5179</v>
      </c>
      <c r="R3" s="13">
        <v>57692</v>
      </c>
      <c r="S3" s="13">
        <v>5769</v>
      </c>
      <c r="T3" s="13">
        <v>428</v>
      </c>
      <c r="U3" s="13">
        <v>100483</v>
      </c>
      <c r="V3" s="14">
        <v>5024</v>
      </c>
      <c r="X3" s="25">
        <f t="shared" ref="X3:X50" si="1">SUM(D3:H3)-I3</f>
        <v>0</v>
      </c>
      <c r="Y3" s="25">
        <f t="shared" ref="Y3:Y51" si="2">SUM(K3:O3)-P3</f>
        <v>0</v>
      </c>
      <c r="Z3" s="25">
        <f t="shared" ref="Z3:Z50" si="3">I3+P3-R3</f>
        <v>0</v>
      </c>
      <c r="AA3" s="25">
        <f t="shared" si="0"/>
        <v>0</v>
      </c>
    </row>
    <row r="4" spans="1:27" x14ac:dyDescent="0.55000000000000004">
      <c r="A4" s="15" t="s">
        <v>53</v>
      </c>
      <c r="B4" s="16">
        <v>5493</v>
      </c>
      <c r="C4" s="16">
        <v>2951</v>
      </c>
      <c r="D4" s="16">
        <v>851</v>
      </c>
      <c r="E4" s="16">
        <v>23113</v>
      </c>
      <c r="F4" s="16">
        <v>5293</v>
      </c>
      <c r="G4" s="16">
        <v>1100</v>
      </c>
      <c r="H4" s="16">
        <v>3100</v>
      </c>
      <c r="I4" s="16">
        <v>33457</v>
      </c>
      <c r="J4" s="16">
        <v>6691</v>
      </c>
      <c r="K4" s="16">
        <v>5449</v>
      </c>
      <c r="L4" s="16">
        <v>2763</v>
      </c>
      <c r="M4" s="16">
        <v>1097</v>
      </c>
      <c r="N4" s="16">
        <v>1025</v>
      </c>
      <c r="O4" s="16">
        <v>1526</v>
      </c>
      <c r="P4" s="16">
        <v>11860</v>
      </c>
      <c r="Q4" s="16">
        <v>2372</v>
      </c>
      <c r="R4" s="16">
        <v>45317</v>
      </c>
      <c r="S4" s="16">
        <v>4532</v>
      </c>
      <c r="T4" s="16">
        <v>1249</v>
      </c>
      <c r="U4" s="16">
        <v>55010</v>
      </c>
      <c r="V4" s="17">
        <v>2750</v>
      </c>
      <c r="X4" s="25">
        <f t="shared" si="1"/>
        <v>0</v>
      </c>
      <c r="Y4" s="25">
        <f t="shared" si="2"/>
        <v>0</v>
      </c>
      <c r="Z4" s="25">
        <f t="shared" si="3"/>
        <v>0</v>
      </c>
      <c r="AA4" s="25">
        <f t="shared" si="0"/>
        <v>0</v>
      </c>
    </row>
    <row r="5" spans="1:27" x14ac:dyDescent="0.55000000000000004">
      <c r="A5" s="12" t="s">
        <v>54</v>
      </c>
      <c r="B5" s="13">
        <v>6166</v>
      </c>
      <c r="C5" s="13">
        <v>2049</v>
      </c>
      <c r="D5" s="13">
        <v>2228</v>
      </c>
      <c r="E5" s="13">
        <v>4898</v>
      </c>
      <c r="F5" s="13">
        <v>15987</v>
      </c>
      <c r="G5" s="13">
        <v>5848</v>
      </c>
      <c r="H5" s="13">
        <v>11258</v>
      </c>
      <c r="I5" s="13">
        <v>40219</v>
      </c>
      <c r="J5" s="13">
        <v>8044</v>
      </c>
      <c r="K5" s="13">
        <v>7137</v>
      </c>
      <c r="L5" s="13">
        <v>3871</v>
      </c>
      <c r="M5" s="13">
        <v>2313</v>
      </c>
      <c r="N5" s="13">
        <v>1518</v>
      </c>
      <c r="O5" s="13">
        <v>1628</v>
      </c>
      <c r="P5" s="13">
        <v>16467</v>
      </c>
      <c r="Q5" s="13">
        <v>3293</v>
      </c>
      <c r="R5" s="13">
        <v>56686</v>
      </c>
      <c r="S5" s="13">
        <v>5669</v>
      </c>
      <c r="T5" s="13">
        <v>250</v>
      </c>
      <c r="U5" s="13">
        <v>65151</v>
      </c>
      <c r="V5" s="14">
        <v>3258</v>
      </c>
      <c r="X5" s="25">
        <f t="shared" si="1"/>
        <v>0</v>
      </c>
      <c r="Y5" s="25">
        <f t="shared" si="2"/>
        <v>0</v>
      </c>
      <c r="Z5" s="25">
        <f t="shared" si="3"/>
        <v>0</v>
      </c>
      <c r="AA5" s="25">
        <f t="shared" si="0"/>
        <v>0</v>
      </c>
    </row>
    <row r="6" spans="1:27" x14ac:dyDescent="0.55000000000000004">
      <c r="A6" s="15" t="s">
        <v>55</v>
      </c>
      <c r="B6" s="16">
        <v>6335</v>
      </c>
      <c r="C6" s="16">
        <v>3612</v>
      </c>
      <c r="D6" s="16">
        <v>6972</v>
      </c>
      <c r="E6" s="16">
        <v>15135</v>
      </c>
      <c r="F6" s="16">
        <v>36198</v>
      </c>
      <c r="G6" s="16">
        <v>11640</v>
      </c>
      <c r="H6" s="16">
        <v>5874</v>
      </c>
      <c r="I6" s="16">
        <v>75819</v>
      </c>
      <c r="J6" s="16">
        <v>15164</v>
      </c>
      <c r="K6" s="16">
        <v>6205</v>
      </c>
      <c r="L6" s="16">
        <v>11400</v>
      </c>
      <c r="M6" s="16">
        <v>8883</v>
      </c>
      <c r="N6" s="16">
        <v>6283</v>
      </c>
      <c r="O6" s="16">
        <v>4149</v>
      </c>
      <c r="P6" s="16">
        <v>36920</v>
      </c>
      <c r="Q6" s="16">
        <v>7384</v>
      </c>
      <c r="R6" s="16">
        <v>112739</v>
      </c>
      <c r="S6" s="16">
        <v>11274</v>
      </c>
      <c r="T6" s="16">
        <v>1190</v>
      </c>
      <c r="U6" s="16">
        <v>123876</v>
      </c>
      <c r="V6" s="17">
        <v>6194</v>
      </c>
      <c r="X6" s="25">
        <f t="shared" si="1"/>
        <v>0</v>
      </c>
      <c r="Y6" s="25">
        <f t="shared" si="2"/>
        <v>0</v>
      </c>
      <c r="Z6" s="25">
        <f t="shared" si="3"/>
        <v>0</v>
      </c>
      <c r="AA6" s="25">
        <f t="shared" si="0"/>
        <v>0</v>
      </c>
    </row>
    <row r="7" spans="1:27" x14ac:dyDescent="0.55000000000000004">
      <c r="A7" s="12" t="s">
        <v>56</v>
      </c>
      <c r="B7" s="13">
        <v>204</v>
      </c>
      <c r="C7" s="13">
        <v>456</v>
      </c>
      <c r="D7" s="13">
        <v>1102</v>
      </c>
      <c r="E7" s="13">
        <v>1743</v>
      </c>
      <c r="F7" s="13">
        <v>7819</v>
      </c>
      <c r="G7" s="13">
        <v>1574</v>
      </c>
      <c r="H7" s="13">
        <v>5816</v>
      </c>
      <c r="I7" s="13">
        <v>18054</v>
      </c>
      <c r="J7" s="13">
        <v>3611</v>
      </c>
      <c r="K7" s="13">
        <v>3271</v>
      </c>
      <c r="L7" s="13">
        <v>1058</v>
      </c>
      <c r="M7" s="13">
        <v>461</v>
      </c>
      <c r="N7" s="13">
        <v>427</v>
      </c>
      <c r="O7" s="13">
        <v>259</v>
      </c>
      <c r="P7" s="13">
        <v>5476</v>
      </c>
      <c r="Q7" s="13">
        <v>1095</v>
      </c>
      <c r="R7" s="13">
        <v>23530</v>
      </c>
      <c r="S7" s="13">
        <v>2353</v>
      </c>
      <c r="T7" s="13">
        <v>68</v>
      </c>
      <c r="U7" s="13">
        <v>24258</v>
      </c>
      <c r="V7" s="14">
        <v>1213</v>
      </c>
      <c r="X7" s="25">
        <f t="shared" si="1"/>
        <v>0</v>
      </c>
      <c r="Y7" s="25">
        <f t="shared" si="2"/>
        <v>0</v>
      </c>
      <c r="Z7" s="25">
        <f t="shared" si="3"/>
        <v>0</v>
      </c>
      <c r="AA7" s="25">
        <f t="shared" si="0"/>
        <v>0</v>
      </c>
    </row>
    <row r="8" spans="1:27" x14ac:dyDescent="0.55000000000000004">
      <c r="A8" s="15" t="s">
        <v>57</v>
      </c>
      <c r="B8" s="16">
        <v>10435</v>
      </c>
      <c r="C8" s="16">
        <v>3438</v>
      </c>
      <c r="D8" s="16">
        <v>762</v>
      </c>
      <c r="E8" s="16">
        <v>2525</v>
      </c>
      <c r="F8" s="16">
        <v>2512</v>
      </c>
      <c r="G8" s="16">
        <v>1251</v>
      </c>
      <c r="H8" s="16">
        <v>5247</v>
      </c>
      <c r="I8" s="16">
        <v>12297</v>
      </c>
      <c r="J8" s="16">
        <v>2459</v>
      </c>
      <c r="K8" s="16">
        <v>4116</v>
      </c>
      <c r="L8" s="16">
        <v>1073</v>
      </c>
      <c r="M8" s="16">
        <v>447</v>
      </c>
      <c r="N8" s="16">
        <v>460</v>
      </c>
      <c r="O8" s="16">
        <v>358</v>
      </c>
      <c r="P8" s="16">
        <v>6454</v>
      </c>
      <c r="Q8" s="16">
        <v>1291</v>
      </c>
      <c r="R8" s="16">
        <v>18751</v>
      </c>
      <c r="S8" s="16">
        <v>1875</v>
      </c>
      <c r="T8" s="16">
        <v>157</v>
      </c>
      <c r="U8" s="16">
        <v>32781</v>
      </c>
      <c r="V8" s="17">
        <v>1639</v>
      </c>
      <c r="X8" s="25">
        <f t="shared" si="1"/>
        <v>0</v>
      </c>
      <c r="Y8" s="25">
        <f t="shared" si="2"/>
        <v>0</v>
      </c>
      <c r="Z8" s="25">
        <f t="shared" si="3"/>
        <v>0</v>
      </c>
      <c r="AA8" s="25">
        <f t="shared" si="0"/>
        <v>0</v>
      </c>
    </row>
    <row r="9" spans="1:27" x14ac:dyDescent="0.55000000000000004">
      <c r="A9" s="12" t="s">
        <v>58</v>
      </c>
      <c r="B9" s="13">
        <v>11493</v>
      </c>
      <c r="C9" s="13">
        <v>11468</v>
      </c>
      <c r="D9" s="13">
        <v>26029</v>
      </c>
      <c r="E9" s="13">
        <v>18841</v>
      </c>
      <c r="F9" s="13">
        <v>38819</v>
      </c>
      <c r="G9" s="13">
        <v>7932</v>
      </c>
      <c r="H9" s="13">
        <v>4310</v>
      </c>
      <c r="I9" s="13">
        <v>95931</v>
      </c>
      <c r="J9" s="13">
        <v>19186</v>
      </c>
      <c r="K9" s="13">
        <v>10711</v>
      </c>
      <c r="L9" s="13">
        <v>26632</v>
      </c>
      <c r="M9" s="13">
        <v>12063</v>
      </c>
      <c r="N9" s="13">
        <v>10412</v>
      </c>
      <c r="O9" s="13">
        <v>7892</v>
      </c>
      <c r="P9" s="13">
        <v>67710</v>
      </c>
      <c r="Q9" s="13">
        <v>13542</v>
      </c>
      <c r="R9" s="13">
        <v>163641</v>
      </c>
      <c r="S9" s="13">
        <v>16364</v>
      </c>
      <c r="T9" s="13">
        <v>2668</v>
      </c>
      <c r="U9" s="13">
        <v>189270</v>
      </c>
      <c r="V9" s="14">
        <v>9463</v>
      </c>
      <c r="X9" s="25">
        <f t="shared" si="1"/>
        <v>0</v>
      </c>
      <c r="Y9" s="25">
        <f t="shared" si="2"/>
        <v>0</v>
      </c>
      <c r="Z9" s="25">
        <f t="shared" si="3"/>
        <v>0</v>
      </c>
      <c r="AA9" s="25">
        <f t="shared" si="0"/>
        <v>0</v>
      </c>
    </row>
    <row r="10" spans="1:27" x14ac:dyDescent="0.55000000000000004">
      <c r="A10" s="15" t="s">
        <v>59</v>
      </c>
      <c r="B10" s="16">
        <v>9807</v>
      </c>
      <c r="C10" s="16">
        <v>1811</v>
      </c>
      <c r="D10" s="16">
        <v>1706</v>
      </c>
      <c r="E10" s="16">
        <v>2739</v>
      </c>
      <c r="F10" s="16">
        <v>8497</v>
      </c>
      <c r="G10" s="16">
        <v>3152</v>
      </c>
      <c r="H10" s="16">
        <v>3497</v>
      </c>
      <c r="I10" s="16">
        <v>19591</v>
      </c>
      <c r="J10" s="16">
        <v>3918</v>
      </c>
      <c r="K10" s="16">
        <v>6833</v>
      </c>
      <c r="L10" s="16">
        <v>11141</v>
      </c>
      <c r="M10" s="16">
        <v>3182</v>
      </c>
      <c r="N10" s="16">
        <v>3374</v>
      </c>
      <c r="O10" s="16">
        <v>3106</v>
      </c>
      <c r="P10" s="16">
        <v>27636</v>
      </c>
      <c r="Q10" s="16">
        <v>5527</v>
      </c>
      <c r="R10" s="16">
        <v>47227</v>
      </c>
      <c r="S10" s="16">
        <v>4723</v>
      </c>
      <c r="T10" s="16">
        <v>2616</v>
      </c>
      <c r="U10" s="16">
        <v>61461</v>
      </c>
      <c r="V10" s="17">
        <v>3073</v>
      </c>
      <c r="X10" s="25">
        <f t="shared" si="1"/>
        <v>0</v>
      </c>
      <c r="Y10" s="25">
        <f t="shared" si="2"/>
        <v>0</v>
      </c>
      <c r="Z10" s="25">
        <f t="shared" si="3"/>
        <v>0</v>
      </c>
      <c r="AA10" s="25">
        <f t="shared" si="0"/>
        <v>0</v>
      </c>
    </row>
    <row r="11" spans="1:27" x14ac:dyDescent="0.55000000000000004">
      <c r="A11" s="12" t="s">
        <v>60</v>
      </c>
      <c r="B11" s="13">
        <v>21796</v>
      </c>
      <c r="C11" s="13">
        <v>5555</v>
      </c>
      <c r="D11" s="13">
        <v>3605</v>
      </c>
      <c r="E11" s="13">
        <v>3271</v>
      </c>
      <c r="F11" s="13">
        <v>5540</v>
      </c>
      <c r="G11" s="13">
        <v>4423</v>
      </c>
      <c r="H11" s="13">
        <v>7043</v>
      </c>
      <c r="I11" s="13">
        <v>23882</v>
      </c>
      <c r="J11" s="13">
        <v>4776</v>
      </c>
      <c r="K11" s="13">
        <v>9919</v>
      </c>
      <c r="L11" s="13">
        <v>8200</v>
      </c>
      <c r="M11" s="13">
        <v>2124</v>
      </c>
      <c r="N11" s="13">
        <v>2809</v>
      </c>
      <c r="O11" s="13">
        <v>3705</v>
      </c>
      <c r="P11" s="13">
        <v>26757</v>
      </c>
      <c r="Q11" s="13">
        <v>5351</v>
      </c>
      <c r="R11" s="13">
        <v>50639</v>
      </c>
      <c r="S11" s="13">
        <v>5064</v>
      </c>
      <c r="T11" s="13">
        <v>1251</v>
      </c>
      <c r="U11" s="13">
        <v>79241</v>
      </c>
      <c r="V11" s="14">
        <v>3962</v>
      </c>
      <c r="X11" s="25">
        <f t="shared" si="1"/>
        <v>0</v>
      </c>
      <c r="Y11" s="25">
        <f t="shared" si="2"/>
        <v>0</v>
      </c>
      <c r="Z11" s="25">
        <f t="shared" si="3"/>
        <v>0</v>
      </c>
      <c r="AA11" s="25">
        <f t="shared" si="0"/>
        <v>0</v>
      </c>
    </row>
    <row r="12" spans="1:27" x14ac:dyDescent="0.55000000000000004">
      <c r="A12" s="15" t="s">
        <v>61</v>
      </c>
      <c r="B12" s="16" t="s">
        <v>62</v>
      </c>
      <c r="C12" s="16" t="s">
        <v>62</v>
      </c>
      <c r="D12" s="16">
        <v>46</v>
      </c>
      <c r="E12" s="16">
        <v>313</v>
      </c>
      <c r="F12" s="16">
        <v>1967</v>
      </c>
      <c r="G12" s="16">
        <v>1318</v>
      </c>
      <c r="H12" s="16">
        <v>3539</v>
      </c>
      <c r="I12" s="16">
        <v>7183</v>
      </c>
      <c r="J12" s="16">
        <v>1437</v>
      </c>
      <c r="K12" s="16">
        <v>3428</v>
      </c>
      <c r="L12" s="16">
        <v>3636</v>
      </c>
      <c r="M12" s="16">
        <v>3195</v>
      </c>
      <c r="N12" s="16">
        <v>3523</v>
      </c>
      <c r="O12" s="16">
        <v>1704</v>
      </c>
      <c r="P12" s="16">
        <v>15486</v>
      </c>
      <c r="Q12" s="16">
        <v>3097</v>
      </c>
      <c r="R12" s="16">
        <v>22669</v>
      </c>
      <c r="S12" s="16">
        <v>2267</v>
      </c>
      <c r="T12" s="16">
        <v>1976</v>
      </c>
      <c r="U12" s="16">
        <v>24645</v>
      </c>
      <c r="V12" s="17">
        <v>1232</v>
      </c>
      <c r="X12" s="25">
        <f t="shared" si="1"/>
        <v>0</v>
      </c>
      <c r="Y12" s="25">
        <f t="shared" si="2"/>
        <v>0</v>
      </c>
      <c r="Z12" s="25">
        <f t="shared" si="3"/>
        <v>0</v>
      </c>
      <c r="AA12" s="25">
        <f t="shared" si="0"/>
        <v>0</v>
      </c>
    </row>
    <row r="13" spans="1:27" x14ac:dyDescent="0.55000000000000004">
      <c r="A13" s="12" t="s">
        <v>63</v>
      </c>
      <c r="B13" s="13" t="s">
        <v>62</v>
      </c>
      <c r="C13" s="13" t="s">
        <v>62</v>
      </c>
      <c r="D13" s="13" t="s">
        <v>62</v>
      </c>
      <c r="E13" s="13">
        <v>64</v>
      </c>
      <c r="F13" s="13">
        <v>137</v>
      </c>
      <c r="G13" s="13">
        <v>364</v>
      </c>
      <c r="H13" s="13">
        <v>123</v>
      </c>
      <c r="I13" s="13">
        <v>688</v>
      </c>
      <c r="J13" s="13">
        <v>138</v>
      </c>
      <c r="K13" s="13">
        <v>148</v>
      </c>
      <c r="L13" s="13">
        <v>1253</v>
      </c>
      <c r="M13" s="13">
        <v>2026</v>
      </c>
      <c r="N13" s="13">
        <v>2356</v>
      </c>
      <c r="O13" s="13">
        <v>1028</v>
      </c>
      <c r="P13" s="13">
        <v>6811</v>
      </c>
      <c r="Q13" s="13">
        <v>1362</v>
      </c>
      <c r="R13" s="13">
        <v>7499</v>
      </c>
      <c r="S13" s="13">
        <v>750</v>
      </c>
      <c r="T13" s="13">
        <v>1023</v>
      </c>
      <c r="U13" s="13">
        <v>8522</v>
      </c>
      <c r="V13" s="14">
        <v>426</v>
      </c>
      <c r="X13" s="25">
        <f t="shared" si="1"/>
        <v>0</v>
      </c>
      <c r="Y13" s="25">
        <f t="shared" si="2"/>
        <v>0</v>
      </c>
      <c r="Z13" s="25">
        <f t="shared" si="3"/>
        <v>0</v>
      </c>
      <c r="AA13" s="25">
        <f t="shared" si="0"/>
        <v>0</v>
      </c>
    </row>
    <row r="14" spans="1:27" x14ac:dyDescent="0.55000000000000004">
      <c r="A14" s="15" t="s">
        <v>64</v>
      </c>
      <c r="B14" s="16" t="s">
        <v>62</v>
      </c>
      <c r="C14" s="16" t="s">
        <v>62</v>
      </c>
      <c r="D14" s="16" t="s">
        <v>62</v>
      </c>
      <c r="E14" s="16" t="s">
        <v>62</v>
      </c>
      <c r="F14" s="16">
        <v>428</v>
      </c>
      <c r="G14" s="16">
        <v>921</v>
      </c>
      <c r="H14" s="16">
        <v>992</v>
      </c>
      <c r="I14" s="16">
        <v>2341</v>
      </c>
      <c r="J14" s="16">
        <v>468</v>
      </c>
      <c r="K14" s="16">
        <v>1408</v>
      </c>
      <c r="L14" s="16">
        <v>2006</v>
      </c>
      <c r="M14" s="16">
        <v>1938</v>
      </c>
      <c r="N14" s="16">
        <v>863</v>
      </c>
      <c r="O14" s="16">
        <v>960</v>
      </c>
      <c r="P14" s="16">
        <v>7175</v>
      </c>
      <c r="Q14" s="16">
        <v>1435</v>
      </c>
      <c r="R14" s="16">
        <v>9516</v>
      </c>
      <c r="S14" s="16">
        <v>952</v>
      </c>
      <c r="T14" s="16">
        <v>79</v>
      </c>
      <c r="U14" s="16">
        <v>9595</v>
      </c>
      <c r="V14" s="17">
        <v>480</v>
      </c>
      <c r="X14" s="25">
        <f t="shared" si="1"/>
        <v>0</v>
      </c>
      <c r="Y14" s="25">
        <f t="shared" si="2"/>
        <v>0</v>
      </c>
      <c r="Z14" s="25">
        <f t="shared" si="3"/>
        <v>0</v>
      </c>
      <c r="AA14" s="25">
        <f t="shared" si="0"/>
        <v>0</v>
      </c>
    </row>
    <row r="15" spans="1:27" x14ac:dyDescent="0.55000000000000004">
      <c r="A15" s="12" t="s">
        <v>65</v>
      </c>
      <c r="B15" s="13" t="s">
        <v>62</v>
      </c>
      <c r="C15" s="13" t="s">
        <v>62</v>
      </c>
      <c r="D15" s="13" t="s">
        <v>62</v>
      </c>
      <c r="E15" s="13">
        <v>320</v>
      </c>
      <c r="F15" s="13">
        <v>798</v>
      </c>
      <c r="G15" s="13">
        <v>243</v>
      </c>
      <c r="H15" s="13">
        <v>95</v>
      </c>
      <c r="I15" s="13">
        <v>1456</v>
      </c>
      <c r="J15" s="13">
        <v>291</v>
      </c>
      <c r="K15" s="13">
        <v>114</v>
      </c>
      <c r="L15" s="13">
        <v>558</v>
      </c>
      <c r="M15" s="13">
        <v>355</v>
      </c>
      <c r="N15" s="13">
        <v>727</v>
      </c>
      <c r="O15" s="13">
        <v>574</v>
      </c>
      <c r="P15" s="13">
        <v>2328</v>
      </c>
      <c r="Q15" s="13">
        <v>466</v>
      </c>
      <c r="R15" s="13">
        <v>3784</v>
      </c>
      <c r="S15" s="13">
        <v>378</v>
      </c>
      <c r="T15" s="13">
        <v>558</v>
      </c>
      <c r="U15" s="13">
        <v>4342</v>
      </c>
      <c r="V15" s="14">
        <v>217</v>
      </c>
      <c r="X15" s="25">
        <f t="shared" si="1"/>
        <v>0</v>
      </c>
      <c r="Y15" s="25">
        <f t="shared" si="2"/>
        <v>0</v>
      </c>
      <c r="Z15" s="25">
        <f t="shared" si="3"/>
        <v>0</v>
      </c>
      <c r="AA15" s="25">
        <f t="shared" si="0"/>
        <v>0</v>
      </c>
    </row>
    <row r="16" spans="1:27" x14ac:dyDescent="0.55000000000000004">
      <c r="A16" s="15" t="s">
        <v>66</v>
      </c>
      <c r="B16" s="16" t="s">
        <v>62</v>
      </c>
      <c r="C16" s="16" t="s">
        <v>62</v>
      </c>
      <c r="D16" s="16">
        <v>49</v>
      </c>
      <c r="E16" s="16">
        <v>159</v>
      </c>
      <c r="F16" s="16">
        <v>1969</v>
      </c>
      <c r="G16" s="16">
        <v>2305</v>
      </c>
      <c r="H16" s="16">
        <v>1243</v>
      </c>
      <c r="I16" s="16">
        <v>5725</v>
      </c>
      <c r="J16" s="16">
        <v>1145</v>
      </c>
      <c r="K16" s="16">
        <v>2325</v>
      </c>
      <c r="L16" s="16">
        <v>5562</v>
      </c>
      <c r="M16" s="16">
        <v>4872</v>
      </c>
      <c r="N16" s="16">
        <v>4858</v>
      </c>
      <c r="O16" s="16">
        <v>4028</v>
      </c>
      <c r="P16" s="16">
        <v>21645</v>
      </c>
      <c r="Q16" s="16">
        <v>4329</v>
      </c>
      <c r="R16" s="16">
        <v>27370</v>
      </c>
      <c r="S16" s="16">
        <v>2737</v>
      </c>
      <c r="T16" s="16">
        <v>2977</v>
      </c>
      <c r="U16" s="16">
        <v>30347</v>
      </c>
      <c r="V16" s="17">
        <v>1517</v>
      </c>
      <c r="X16" s="25">
        <f t="shared" si="1"/>
        <v>0</v>
      </c>
      <c r="Y16" s="25">
        <f t="shared" si="2"/>
        <v>0</v>
      </c>
      <c r="Z16" s="25">
        <f t="shared" si="3"/>
        <v>0</v>
      </c>
      <c r="AA16" s="25">
        <f t="shared" si="0"/>
        <v>0</v>
      </c>
    </row>
    <row r="17" spans="1:27" x14ac:dyDescent="0.55000000000000004">
      <c r="A17" s="12" t="s">
        <v>67</v>
      </c>
      <c r="B17" s="13" t="s">
        <v>62</v>
      </c>
      <c r="C17" s="13" t="s">
        <v>62</v>
      </c>
      <c r="D17" s="13">
        <v>3</v>
      </c>
      <c r="E17" s="13">
        <v>587</v>
      </c>
      <c r="F17" s="13">
        <v>3762</v>
      </c>
      <c r="G17" s="13">
        <v>3735</v>
      </c>
      <c r="H17" s="13">
        <v>1315</v>
      </c>
      <c r="I17" s="13">
        <v>9402</v>
      </c>
      <c r="J17" s="13">
        <v>1880</v>
      </c>
      <c r="K17" s="13">
        <v>2607</v>
      </c>
      <c r="L17" s="13">
        <v>4191</v>
      </c>
      <c r="M17" s="13">
        <v>3192</v>
      </c>
      <c r="N17" s="13">
        <v>2488</v>
      </c>
      <c r="O17" s="13">
        <v>2396</v>
      </c>
      <c r="P17" s="13">
        <v>14874</v>
      </c>
      <c r="Q17" s="13">
        <v>2975</v>
      </c>
      <c r="R17" s="13">
        <v>24276</v>
      </c>
      <c r="S17" s="13">
        <v>2428</v>
      </c>
      <c r="T17" s="13">
        <v>5263</v>
      </c>
      <c r="U17" s="13">
        <v>29539</v>
      </c>
      <c r="V17" s="14">
        <v>1477</v>
      </c>
      <c r="X17" s="25">
        <f t="shared" si="1"/>
        <v>0</v>
      </c>
      <c r="Y17" s="25">
        <f t="shared" si="2"/>
        <v>0</v>
      </c>
      <c r="Z17" s="25">
        <f t="shared" si="3"/>
        <v>0</v>
      </c>
      <c r="AA17" s="25">
        <f t="shared" si="0"/>
        <v>0</v>
      </c>
    </row>
    <row r="18" spans="1:27" x14ac:dyDescent="0.55000000000000004">
      <c r="A18" s="15" t="s">
        <v>68</v>
      </c>
      <c r="B18" s="16" t="s">
        <v>62</v>
      </c>
      <c r="C18" s="16" t="s">
        <v>62</v>
      </c>
      <c r="D18" s="16">
        <v>59</v>
      </c>
      <c r="E18" s="16">
        <v>104</v>
      </c>
      <c r="F18" s="16">
        <v>150</v>
      </c>
      <c r="G18" s="16">
        <v>712</v>
      </c>
      <c r="H18" s="16">
        <v>749</v>
      </c>
      <c r="I18" s="16">
        <v>1774</v>
      </c>
      <c r="J18" s="16">
        <v>355</v>
      </c>
      <c r="K18" s="16">
        <v>1510</v>
      </c>
      <c r="L18" s="16">
        <v>3117</v>
      </c>
      <c r="M18" s="16">
        <v>3265</v>
      </c>
      <c r="N18" s="16">
        <v>3721</v>
      </c>
      <c r="O18" s="16">
        <v>2781</v>
      </c>
      <c r="P18" s="16">
        <v>14394</v>
      </c>
      <c r="Q18" s="16">
        <v>2879</v>
      </c>
      <c r="R18" s="16">
        <v>16168</v>
      </c>
      <c r="S18" s="16">
        <v>1617</v>
      </c>
      <c r="T18" s="16">
        <v>1185</v>
      </c>
      <c r="U18" s="16">
        <v>17353</v>
      </c>
      <c r="V18" s="17">
        <v>868</v>
      </c>
      <c r="X18" s="25">
        <f t="shared" si="1"/>
        <v>0</v>
      </c>
      <c r="Y18" s="25">
        <f t="shared" si="2"/>
        <v>0</v>
      </c>
      <c r="Z18" s="25">
        <f t="shared" si="3"/>
        <v>0</v>
      </c>
      <c r="AA18" s="25">
        <f t="shared" si="0"/>
        <v>0</v>
      </c>
    </row>
    <row r="19" spans="1:27" x14ac:dyDescent="0.55000000000000004">
      <c r="A19" s="12" t="s">
        <v>69</v>
      </c>
      <c r="B19" s="13" t="s">
        <v>62</v>
      </c>
      <c r="C19" s="13" t="s">
        <v>62</v>
      </c>
      <c r="D19" s="13">
        <v>26</v>
      </c>
      <c r="E19" s="13">
        <v>823</v>
      </c>
      <c r="F19" s="13">
        <v>843</v>
      </c>
      <c r="G19" s="13">
        <v>533</v>
      </c>
      <c r="H19" s="13">
        <v>657</v>
      </c>
      <c r="I19" s="13">
        <v>2882</v>
      </c>
      <c r="J19" s="13">
        <v>576</v>
      </c>
      <c r="K19" s="13">
        <v>1265</v>
      </c>
      <c r="L19" s="13">
        <v>1764</v>
      </c>
      <c r="M19" s="13">
        <v>478</v>
      </c>
      <c r="N19" s="13">
        <v>745</v>
      </c>
      <c r="O19" s="13">
        <v>681</v>
      </c>
      <c r="P19" s="13">
        <v>4933</v>
      </c>
      <c r="Q19" s="13">
        <v>987</v>
      </c>
      <c r="R19" s="13">
        <v>7815</v>
      </c>
      <c r="S19" s="13">
        <v>781</v>
      </c>
      <c r="T19" s="13">
        <v>663</v>
      </c>
      <c r="U19" s="13">
        <v>8478</v>
      </c>
      <c r="V19" s="14">
        <v>424</v>
      </c>
      <c r="X19" s="25">
        <f t="shared" si="1"/>
        <v>0</v>
      </c>
      <c r="Y19" s="25">
        <f t="shared" si="2"/>
        <v>0</v>
      </c>
      <c r="Z19" s="25">
        <f t="shared" si="3"/>
        <v>0</v>
      </c>
      <c r="AA19" s="25">
        <f t="shared" si="0"/>
        <v>0</v>
      </c>
    </row>
    <row r="20" spans="1:27" x14ac:dyDescent="0.55000000000000004">
      <c r="A20" s="15" t="s">
        <v>70</v>
      </c>
      <c r="B20" s="16" t="s">
        <v>62</v>
      </c>
      <c r="C20" s="16" t="s">
        <v>62</v>
      </c>
      <c r="D20" s="16">
        <v>11</v>
      </c>
      <c r="E20" s="16">
        <v>194</v>
      </c>
      <c r="F20" s="16">
        <v>190</v>
      </c>
      <c r="G20" s="16">
        <v>23</v>
      </c>
      <c r="H20" s="16">
        <v>24</v>
      </c>
      <c r="I20" s="16">
        <v>442</v>
      </c>
      <c r="J20" s="16">
        <v>88</v>
      </c>
      <c r="K20" s="16">
        <v>64</v>
      </c>
      <c r="L20" s="16">
        <v>81</v>
      </c>
      <c r="M20" s="16">
        <v>17</v>
      </c>
      <c r="N20" s="16">
        <v>37</v>
      </c>
      <c r="O20" s="16">
        <v>1</v>
      </c>
      <c r="P20" s="16">
        <v>200</v>
      </c>
      <c r="Q20" s="16">
        <v>40</v>
      </c>
      <c r="R20" s="16">
        <v>642</v>
      </c>
      <c r="S20" s="16">
        <v>64</v>
      </c>
      <c r="T20" s="16">
        <v>3</v>
      </c>
      <c r="U20" s="16">
        <v>645</v>
      </c>
      <c r="V20" s="17">
        <v>32</v>
      </c>
      <c r="X20" s="25">
        <f t="shared" si="1"/>
        <v>0</v>
      </c>
      <c r="Y20" s="25">
        <f t="shared" si="2"/>
        <v>0</v>
      </c>
      <c r="Z20" s="25">
        <f t="shared" si="3"/>
        <v>0</v>
      </c>
      <c r="AA20" s="25">
        <f t="shared" si="0"/>
        <v>0</v>
      </c>
    </row>
    <row r="21" spans="1:27" x14ac:dyDescent="0.55000000000000004">
      <c r="A21" s="12" t="s">
        <v>71</v>
      </c>
      <c r="B21" s="13">
        <v>8476</v>
      </c>
      <c r="C21" s="13">
        <v>1056</v>
      </c>
      <c r="D21" s="13">
        <v>450</v>
      </c>
      <c r="E21" s="13">
        <v>537</v>
      </c>
      <c r="F21" s="13">
        <v>675</v>
      </c>
      <c r="G21" s="13">
        <v>205</v>
      </c>
      <c r="H21" s="13">
        <v>1531</v>
      </c>
      <c r="I21" s="13">
        <v>3398</v>
      </c>
      <c r="J21" s="13">
        <v>680</v>
      </c>
      <c r="K21" s="13">
        <v>2220</v>
      </c>
      <c r="L21" s="13">
        <v>539</v>
      </c>
      <c r="M21" s="13">
        <v>247</v>
      </c>
      <c r="N21" s="13">
        <v>217</v>
      </c>
      <c r="O21" s="13">
        <v>464</v>
      </c>
      <c r="P21" s="13">
        <v>3687</v>
      </c>
      <c r="Q21" s="13">
        <v>737</v>
      </c>
      <c r="R21" s="13">
        <v>7085</v>
      </c>
      <c r="S21" s="13">
        <v>708</v>
      </c>
      <c r="T21" s="13">
        <v>71</v>
      </c>
      <c r="U21" s="13">
        <v>16688</v>
      </c>
      <c r="V21" s="14">
        <v>834</v>
      </c>
      <c r="X21" s="25">
        <f t="shared" si="1"/>
        <v>0</v>
      </c>
      <c r="Y21" s="25">
        <f t="shared" si="2"/>
        <v>0</v>
      </c>
      <c r="Z21" s="25">
        <f t="shared" si="3"/>
        <v>0</v>
      </c>
      <c r="AA21" s="25">
        <f t="shared" si="0"/>
        <v>0</v>
      </c>
    </row>
    <row r="22" spans="1:27" x14ac:dyDescent="0.55000000000000004">
      <c r="A22" s="15" t="s">
        <v>72</v>
      </c>
      <c r="B22" s="16">
        <v>5618</v>
      </c>
      <c r="C22" s="16">
        <v>517</v>
      </c>
      <c r="D22" s="16">
        <v>146</v>
      </c>
      <c r="E22" s="16">
        <v>425</v>
      </c>
      <c r="F22" s="16">
        <v>528</v>
      </c>
      <c r="G22" s="16">
        <v>151</v>
      </c>
      <c r="H22" s="16">
        <v>454</v>
      </c>
      <c r="I22" s="16">
        <v>1704</v>
      </c>
      <c r="J22" s="16">
        <v>341</v>
      </c>
      <c r="K22" s="16">
        <v>833</v>
      </c>
      <c r="L22" s="16">
        <v>378</v>
      </c>
      <c r="M22" s="16">
        <v>208</v>
      </c>
      <c r="N22" s="16">
        <v>101</v>
      </c>
      <c r="O22" s="16">
        <v>104</v>
      </c>
      <c r="P22" s="16">
        <v>1624</v>
      </c>
      <c r="Q22" s="16">
        <v>325</v>
      </c>
      <c r="R22" s="16">
        <v>3328</v>
      </c>
      <c r="S22" s="16">
        <v>333</v>
      </c>
      <c r="T22" s="16">
        <v>93</v>
      </c>
      <c r="U22" s="16">
        <v>9556</v>
      </c>
      <c r="V22" s="17">
        <v>478</v>
      </c>
      <c r="X22" s="25">
        <f t="shared" si="1"/>
        <v>0</v>
      </c>
      <c r="Y22" s="25">
        <f t="shared" si="2"/>
        <v>0</v>
      </c>
      <c r="Z22" s="25">
        <f t="shared" si="3"/>
        <v>0</v>
      </c>
      <c r="AA22" s="25">
        <f t="shared" si="0"/>
        <v>0</v>
      </c>
    </row>
    <row r="23" spans="1:27" x14ac:dyDescent="0.55000000000000004">
      <c r="A23" s="12" t="s">
        <v>73</v>
      </c>
      <c r="B23" s="13">
        <v>4272</v>
      </c>
      <c r="C23" s="13">
        <v>1113</v>
      </c>
      <c r="D23" s="13">
        <v>474</v>
      </c>
      <c r="E23" s="13">
        <v>2241</v>
      </c>
      <c r="F23" s="13">
        <v>2120</v>
      </c>
      <c r="G23" s="13">
        <v>286</v>
      </c>
      <c r="H23" s="13">
        <v>2188</v>
      </c>
      <c r="I23" s="13">
        <v>7309</v>
      </c>
      <c r="J23" s="13">
        <v>1462</v>
      </c>
      <c r="K23" s="13">
        <v>4365</v>
      </c>
      <c r="L23" s="13">
        <v>1370</v>
      </c>
      <c r="M23" s="13">
        <v>388</v>
      </c>
      <c r="N23" s="13">
        <v>362</v>
      </c>
      <c r="O23" s="13">
        <v>498</v>
      </c>
      <c r="P23" s="13">
        <v>6983</v>
      </c>
      <c r="Q23" s="13">
        <v>1397</v>
      </c>
      <c r="R23" s="13">
        <v>14292</v>
      </c>
      <c r="S23" s="13">
        <v>1429</v>
      </c>
      <c r="T23" s="13">
        <v>61</v>
      </c>
      <c r="U23" s="13">
        <v>19738</v>
      </c>
      <c r="V23" s="14">
        <v>987</v>
      </c>
      <c r="X23" s="25">
        <f t="shared" si="1"/>
        <v>0</v>
      </c>
      <c r="Y23" s="25">
        <f t="shared" si="2"/>
        <v>0</v>
      </c>
      <c r="Z23" s="25">
        <f t="shared" si="3"/>
        <v>0</v>
      </c>
      <c r="AA23" s="25">
        <f t="shared" si="0"/>
        <v>0</v>
      </c>
    </row>
    <row r="24" spans="1:27" x14ac:dyDescent="0.55000000000000004">
      <c r="A24" s="15" t="s">
        <v>74</v>
      </c>
      <c r="B24" s="16">
        <v>9560</v>
      </c>
      <c r="C24" s="16">
        <v>1453</v>
      </c>
      <c r="D24" s="16">
        <v>403</v>
      </c>
      <c r="E24" s="16">
        <v>1867</v>
      </c>
      <c r="F24" s="16">
        <v>3310</v>
      </c>
      <c r="G24" s="16">
        <v>1228</v>
      </c>
      <c r="H24" s="16">
        <v>3133</v>
      </c>
      <c r="I24" s="16">
        <v>9941</v>
      </c>
      <c r="J24" s="16">
        <v>1988</v>
      </c>
      <c r="K24" s="16">
        <v>7128</v>
      </c>
      <c r="L24" s="16">
        <v>3000</v>
      </c>
      <c r="M24" s="16">
        <v>807</v>
      </c>
      <c r="N24" s="16">
        <v>991</v>
      </c>
      <c r="O24" s="16">
        <v>1652</v>
      </c>
      <c r="P24" s="16">
        <v>13578</v>
      </c>
      <c r="Q24" s="16">
        <v>2716</v>
      </c>
      <c r="R24" s="16">
        <v>23519</v>
      </c>
      <c r="S24" s="16">
        <v>2352</v>
      </c>
      <c r="T24" s="16">
        <v>304</v>
      </c>
      <c r="U24" s="16">
        <v>34836</v>
      </c>
      <c r="V24" s="17">
        <v>1742</v>
      </c>
      <c r="X24" s="25">
        <f t="shared" si="1"/>
        <v>0</v>
      </c>
      <c r="Y24" s="25">
        <f t="shared" si="2"/>
        <v>0</v>
      </c>
      <c r="Z24" s="25">
        <f t="shared" si="3"/>
        <v>0</v>
      </c>
      <c r="AA24" s="25">
        <f t="shared" si="0"/>
        <v>0</v>
      </c>
    </row>
    <row r="25" spans="1:27" x14ac:dyDescent="0.55000000000000004">
      <c r="A25" s="12" t="s">
        <v>75</v>
      </c>
      <c r="B25" s="13">
        <v>5297</v>
      </c>
      <c r="C25" s="13">
        <v>591</v>
      </c>
      <c r="D25" s="13">
        <v>794</v>
      </c>
      <c r="E25" s="13">
        <v>3813</v>
      </c>
      <c r="F25" s="13">
        <v>3935</v>
      </c>
      <c r="G25" s="13">
        <v>1401</v>
      </c>
      <c r="H25" s="13">
        <v>13523</v>
      </c>
      <c r="I25" s="13">
        <v>23466</v>
      </c>
      <c r="J25" s="13">
        <v>4693</v>
      </c>
      <c r="K25" s="13">
        <v>19984</v>
      </c>
      <c r="L25" s="13">
        <v>4665</v>
      </c>
      <c r="M25" s="13">
        <v>905</v>
      </c>
      <c r="N25" s="13">
        <v>1323</v>
      </c>
      <c r="O25" s="13">
        <v>1597</v>
      </c>
      <c r="P25" s="13">
        <v>28474</v>
      </c>
      <c r="Q25" s="13">
        <v>5694</v>
      </c>
      <c r="R25" s="13">
        <v>51940</v>
      </c>
      <c r="S25" s="13">
        <v>5194</v>
      </c>
      <c r="T25" s="13">
        <v>603</v>
      </c>
      <c r="U25" s="13">
        <v>58431</v>
      </c>
      <c r="V25" s="14">
        <v>2922</v>
      </c>
      <c r="X25" s="25">
        <f t="shared" si="1"/>
        <v>0</v>
      </c>
      <c r="Y25" s="25">
        <f t="shared" si="2"/>
        <v>0</v>
      </c>
      <c r="Z25" s="25">
        <f t="shared" si="3"/>
        <v>0</v>
      </c>
      <c r="AA25" s="25">
        <f t="shared" si="0"/>
        <v>0</v>
      </c>
    </row>
    <row r="26" spans="1:27" x14ac:dyDescent="0.55000000000000004">
      <c r="A26" s="15" t="s">
        <v>76</v>
      </c>
      <c r="B26" s="16" t="s">
        <v>62</v>
      </c>
      <c r="C26" s="16" t="s">
        <v>62</v>
      </c>
      <c r="D26" s="16">
        <v>28</v>
      </c>
      <c r="E26" s="16">
        <v>168</v>
      </c>
      <c r="F26" s="16">
        <v>806</v>
      </c>
      <c r="G26" s="16">
        <v>416</v>
      </c>
      <c r="H26" s="16">
        <v>1927</v>
      </c>
      <c r="I26" s="16">
        <v>3345</v>
      </c>
      <c r="J26" s="16">
        <v>669</v>
      </c>
      <c r="K26" s="16">
        <v>1938</v>
      </c>
      <c r="L26" s="16">
        <v>1114</v>
      </c>
      <c r="M26" s="16">
        <v>171</v>
      </c>
      <c r="N26" s="16">
        <v>290</v>
      </c>
      <c r="O26" s="16">
        <v>548</v>
      </c>
      <c r="P26" s="16">
        <v>4061</v>
      </c>
      <c r="Q26" s="16">
        <v>812</v>
      </c>
      <c r="R26" s="16">
        <v>7406</v>
      </c>
      <c r="S26" s="16">
        <v>741</v>
      </c>
      <c r="T26" s="16">
        <v>170</v>
      </c>
      <c r="U26" s="16">
        <v>7576</v>
      </c>
      <c r="V26" s="17">
        <v>379</v>
      </c>
      <c r="X26" s="25">
        <f t="shared" si="1"/>
        <v>0</v>
      </c>
      <c r="Y26" s="25">
        <f t="shared" si="2"/>
        <v>0</v>
      </c>
      <c r="Z26" s="25">
        <f t="shared" si="3"/>
        <v>0</v>
      </c>
      <c r="AA26" s="25">
        <f t="shared" si="0"/>
        <v>0</v>
      </c>
    </row>
    <row r="27" spans="1:27" x14ac:dyDescent="0.55000000000000004">
      <c r="A27" s="12" t="s">
        <v>77</v>
      </c>
      <c r="B27" s="13" t="s">
        <v>62</v>
      </c>
      <c r="C27" s="13" t="s">
        <v>62</v>
      </c>
      <c r="D27" s="13">
        <v>14</v>
      </c>
      <c r="E27" s="13">
        <v>37</v>
      </c>
      <c r="F27" s="13">
        <v>140</v>
      </c>
      <c r="G27" s="13">
        <v>298</v>
      </c>
      <c r="H27" s="13">
        <v>392</v>
      </c>
      <c r="I27" s="13">
        <v>881</v>
      </c>
      <c r="J27" s="13">
        <v>176</v>
      </c>
      <c r="K27" s="13">
        <v>665</v>
      </c>
      <c r="L27" s="13">
        <v>249</v>
      </c>
      <c r="M27" s="13">
        <v>125</v>
      </c>
      <c r="N27" s="13">
        <v>120</v>
      </c>
      <c r="O27" s="13">
        <v>164</v>
      </c>
      <c r="P27" s="13">
        <v>1323</v>
      </c>
      <c r="Q27" s="13">
        <v>265</v>
      </c>
      <c r="R27" s="13">
        <v>2204</v>
      </c>
      <c r="S27" s="13">
        <v>220</v>
      </c>
      <c r="T27" s="13">
        <v>119</v>
      </c>
      <c r="U27" s="13">
        <v>2323</v>
      </c>
      <c r="V27" s="14">
        <v>116</v>
      </c>
      <c r="X27" s="25">
        <f t="shared" si="1"/>
        <v>0</v>
      </c>
      <c r="Y27" s="25">
        <f t="shared" si="2"/>
        <v>0</v>
      </c>
      <c r="Z27" s="25">
        <f t="shared" si="3"/>
        <v>0</v>
      </c>
      <c r="AA27" s="25">
        <f t="shared" si="0"/>
        <v>0</v>
      </c>
    </row>
    <row r="28" spans="1:27" x14ac:dyDescent="0.55000000000000004">
      <c r="A28" s="15" t="s">
        <v>78</v>
      </c>
      <c r="B28" s="16" t="s">
        <v>62</v>
      </c>
      <c r="C28" s="16" t="s">
        <v>62</v>
      </c>
      <c r="D28" s="16" t="s">
        <v>62</v>
      </c>
      <c r="E28" s="16" t="s">
        <v>62</v>
      </c>
      <c r="F28" s="16">
        <v>4</v>
      </c>
      <c r="G28" s="16">
        <v>4</v>
      </c>
      <c r="H28" s="16">
        <v>27</v>
      </c>
      <c r="I28" s="16">
        <v>35</v>
      </c>
      <c r="J28" s="16">
        <v>7</v>
      </c>
      <c r="K28" s="16">
        <v>48</v>
      </c>
      <c r="L28" s="16">
        <v>17</v>
      </c>
      <c r="M28" s="16">
        <v>1</v>
      </c>
      <c r="N28" s="16">
        <v>1</v>
      </c>
      <c r="O28" s="16" t="s">
        <v>62</v>
      </c>
      <c r="P28" s="16">
        <v>67</v>
      </c>
      <c r="Q28" s="16">
        <v>13</v>
      </c>
      <c r="R28" s="16">
        <v>102</v>
      </c>
      <c r="S28" s="16">
        <v>10</v>
      </c>
      <c r="T28" s="16" t="s">
        <v>62</v>
      </c>
      <c r="U28" s="16">
        <v>102</v>
      </c>
      <c r="V28" s="17">
        <v>5</v>
      </c>
      <c r="X28" s="25">
        <f t="shared" si="1"/>
        <v>0</v>
      </c>
      <c r="Y28" s="25">
        <f t="shared" si="2"/>
        <v>0</v>
      </c>
      <c r="Z28" s="25">
        <f t="shared" si="3"/>
        <v>0</v>
      </c>
      <c r="AA28" s="25">
        <f t="shared" si="0"/>
        <v>0</v>
      </c>
    </row>
    <row r="29" spans="1:27" x14ac:dyDescent="0.55000000000000004">
      <c r="A29" s="12" t="s">
        <v>79</v>
      </c>
      <c r="B29" s="13" t="s">
        <v>62</v>
      </c>
      <c r="C29" s="13" t="s">
        <v>62</v>
      </c>
      <c r="D29" s="13">
        <v>6</v>
      </c>
      <c r="E29" s="13">
        <v>12</v>
      </c>
      <c r="F29" s="13">
        <v>915</v>
      </c>
      <c r="G29" s="13">
        <v>1467</v>
      </c>
      <c r="H29" s="13">
        <v>1396</v>
      </c>
      <c r="I29" s="13">
        <v>3796</v>
      </c>
      <c r="J29" s="13">
        <v>759</v>
      </c>
      <c r="K29" s="13">
        <v>524</v>
      </c>
      <c r="L29" s="13">
        <v>331</v>
      </c>
      <c r="M29" s="13">
        <v>162</v>
      </c>
      <c r="N29" s="13">
        <v>58</v>
      </c>
      <c r="O29" s="13">
        <v>128</v>
      </c>
      <c r="P29" s="13">
        <v>1203</v>
      </c>
      <c r="Q29" s="13">
        <v>241</v>
      </c>
      <c r="R29" s="13">
        <v>4999</v>
      </c>
      <c r="S29" s="13">
        <v>500</v>
      </c>
      <c r="T29" s="13">
        <v>82</v>
      </c>
      <c r="U29" s="13">
        <v>5081</v>
      </c>
      <c r="V29" s="14">
        <v>254</v>
      </c>
      <c r="X29" s="25">
        <f t="shared" si="1"/>
        <v>0</v>
      </c>
      <c r="Y29" s="25">
        <f t="shared" si="2"/>
        <v>0</v>
      </c>
      <c r="Z29" s="25">
        <f t="shared" si="3"/>
        <v>0</v>
      </c>
      <c r="AA29" s="25">
        <f t="shared" si="0"/>
        <v>0</v>
      </c>
    </row>
    <row r="30" spans="1:27" x14ac:dyDescent="0.55000000000000004">
      <c r="A30" s="15" t="s">
        <v>80</v>
      </c>
      <c r="B30" s="16" t="s">
        <v>62</v>
      </c>
      <c r="C30" s="16" t="s">
        <v>62</v>
      </c>
      <c r="D30" s="16">
        <v>13</v>
      </c>
      <c r="E30" s="16">
        <v>8</v>
      </c>
      <c r="F30" s="16">
        <v>37</v>
      </c>
      <c r="G30" s="16">
        <v>8</v>
      </c>
      <c r="H30" s="16">
        <v>42</v>
      </c>
      <c r="I30" s="16">
        <v>108</v>
      </c>
      <c r="J30" s="16">
        <v>22</v>
      </c>
      <c r="K30" s="16">
        <v>126</v>
      </c>
      <c r="L30" s="16">
        <v>40</v>
      </c>
      <c r="M30" s="16">
        <v>18</v>
      </c>
      <c r="N30" s="16">
        <v>14</v>
      </c>
      <c r="O30" s="16">
        <v>12</v>
      </c>
      <c r="P30" s="16">
        <v>210</v>
      </c>
      <c r="Q30" s="16">
        <v>42</v>
      </c>
      <c r="R30" s="16">
        <v>318</v>
      </c>
      <c r="S30" s="16">
        <v>32</v>
      </c>
      <c r="T30" s="16">
        <v>1</v>
      </c>
      <c r="U30" s="16">
        <v>319</v>
      </c>
      <c r="V30" s="17">
        <v>16</v>
      </c>
      <c r="X30" s="25">
        <f t="shared" si="1"/>
        <v>0</v>
      </c>
      <c r="Y30" s="25">
        <f t="shared" si="2"/>
        <v>0</v>
      </c>
      <c r="Z30" s="25">
        <f t="shared" si="3"/>
        <v>0</v>
      </c>
      <c r="AA30" s="25">
        <f t="shared" si="0"/>
        <v>0</v>
      </c>
    </row>
    <row r="31" spans="1:27" x14ac:dyDescent="0.55000000000000004">
      <c r="A31" s="12" t="s">
        <v>81</v>
      </c>
      <c r="B31" s="13" t="s">
        <v>62</v>
      </c>
      <c r="C31" s="13" t="s">
        <v>62</v>
      </c>
      <c r="D31" s="13" t="s">
        <v>62</v>
      </c>
      <c r="E31" s="13" t="s">
        <v>62</v>
      </c>
      <c r="F31" s="13">
        <v>1</v>
      </c>
      <c r="G31" s="13" t="s">
        <v>62</v>
      </c>
      <c r="H31" s="13">
        <v>2</v>
      </c>
      <c r="I31" s="13">
        <v>3</v>
      </c>
      <c r="J31" s="18">
        <v>0.6</v>
      </c>
      <c r="K31" s="13">
        <v>5</v>
      </c>
      <c r="L31" s="13" t="s">
        <v>62</v>
      </c>
      <c r="M31" s="13" t="s">
        <v>62</v>
      </c>
      <c r="N31" s="13" t="s">
        <v>62</v>
      </c>
      <c r="O31" s="13" t="s">
        <v>62</v>
      </c>
      <c r="P31" s="13">
        <v>5</v>
      </c>
      <c r="Q31" s="13">
        <v>1</v>
      </c>
      <c r="R31" s="13">
        <v>8</v>
      </c>
      <c r="S31" s="18">
        <v>0.8</v>
      </c>
      <c r="T31" s="13" t="s">
        <v>62</v>
      </c>
      <c r="U31" s="13">
        <v>8</v>
      </c>
      <c r="V31" s="19">
        <v>0.4</v>
      </c>
      <c r="X31" s="25">
        <f t="shared" si="1"/>
        <v>0</v>
      </c>
      <c r="Y31" s="25">
        <f t="shared" si="2"/>
        <v>0</v>
      </c>
      <c r="Z31" s="25">
        <f t="shared" si="3"/>
        <v>0</v>
      </c>
      <c r="AA31" s="25">
        <f t="shared" si="0"/>
        <v>0</v>
      </c>
    </row>
    <row r="32" spans="1:27" x14ac:dyDescent="0.55000000000000004">
      <c r="A32" s="15" t="s">
        <v>82</v>
      </c>
      <c r="B32" s="16" t="s">
        <v>62</v>
      </c>
      <c r="C32" s="16" t="s">
        <v>62</v>
      </c>
      <c r="D32" s="16" t="s">
        <v>62</v>
      </c>
      <c r="E32" s="16" t="s">
        <v>62</v>
      </c>
      <c r="F32" s="16">
        <v>224</v>
      </c>
      <c r="G32" s="16">
        <v>244</v>
      </c>
      <c r="H32" s="16">
        <v>19</v>
      </c>
      <c r="I32" s="16">
        <v>487</v>
      </c>
      <c r="J32" s="16">
        <v>97</v>
      </c>
      <c r="K32" s="16">
        <v>29</v>
      </c>
      <c r="L32" s="16">
        <v>140</v>
      </c>
      <c r="M32" s="16">
        <v>182</v>
      </c>
      <c r="N32" s="16">
        <v>15</v>
      </c>
      <c r="O32" s="16">
        <v>45</v>
      </c>
      <c r="P32" s="16">
        <v>411</v>
      </c>
      <c r="Q32" s="16">
        <v>82</v>
      </c>
      <c r="R32" s="16">
        <v>898</v>
      </c>
      <c r="S32" s="16">
        <v>90</v>
      </c>
      <c r="T32" s="16">
        <v>7</v>
      </c>
      <c r="U32" s="16">
        <v>905</v>
      </c>
      <c r="V32" s="17">
        <v>45</v>
      </c>
      <c r="X32" s="25">
        <f t="shared" si="1"/>
        <v>0</v>
      </c>
      <c r="Y32" s="25">
        <f t="shared" si="2"/>
        <v>0</v>
      </c>
      <c r="Z32" s="25">
        <f t="shared" si="3"/>
        <v>0</v>
      </c>
      <c r="AA32" s="25">
        <f t="shared" si="0"/>
        <v>0</v>
      </c>
    </row>
    <row r="33" spans="1:27" x14ac:dyDescent="0.55000000000000004">
      <c r="A33" s="12" t="s">
        <v>83</v>
      </c>
      <c r="B33" s="13">
        <v>450</v>
      </c>
      <c r="C33" s="13">
        <v>5</v>
      </c>
      <c r="D33" s="13" t="s">
        <v>62</v>
      </c>
      <c r="E33" s="13">
        <v>103</v>
      </c>
      <c r="F33" s="13">
        <v>3900</v>
      </c>
      <c r="G33" s="13">
        <v>2187</v>
      </c>
      <c r="H33" s="13">
        <v>1422</v>
      </c>
      <c r="I33" s="13">
        <v>7612</v>
      </c>
      <c r="J33" s="13">
        <v>1522</v>
      </c>
      <c r="K33" s="13">
        <v>596</v>
      </c>
      <c r="L33" s="13">
        <v>1438</v>
      </c>
      <c r="M33" s="13">
        <v>2272</v>
      </c>
      <c r="N33" s="13">
        <v>912</v>
      </c>
      <c r="O33" s="13">
        <v>1481</v>
      </c>
      <c r="P33" s="13">
        <v>6699</v>
      </c>
      <c r="Q33" s="13">
        <v>1340</v>
      </c>
      <c r="R33" s="13">
        <v>14311</v>
      </c>
      <c r="S33" s="13">
        <v>1431</v>
      </c>
      <c r="T33" s="13">
        <v>351</v>
      </c>
      <c r="U33" s="13">
        <v>15117</v>
      </c>
      <c r="V33" s="14">
        <v>756</v>
      </c>
      <c r="X33" s="25">
        <f t="shared" si="1"/>
        <v>0</v>
      </c>
      <c r="Y33" s="25">
        <f t="shared" si="2"/>
        <v>0</v>
      </c>
      <c r="Z33" s="25">
        <f t="shared" si="3"/>
        <v>0</v>
      </c>
      <c r="AA33" s="25">
        <f t="shared" si="0"/>
        <v>0</v>
      </c>
    </row>
    <row r="34" spans="1:27" x14ac:dyDescent="0.55000000000000004">
      <c r="A34" s="15" t="s">
        <v>84</v>
      </c>
      <c r="B34" s="16">
        <v>406</v>
      </c>
      <c r="C34" s="16">
        <v>63</v>
      </c>
      <c r="D34" s="16">
        <v>28</v>
      </c>
      <c r="E34" s="16">
        <v>187</v>
      </c>
      <c r="F34" s="16">
        <v>1938</v>
      </c>
      <c r="G34" s="16">
        <v>433</v>
      </c>
      <c r="H34" s="16">
        <v>2445</v>
      </c>
      <c r="I34" s="16">
        <v>5031</v>
      </c>
      <c r="J34" s="16">
        <v>1006</v>
      </c>
      <c r="K34" s="16">
        <v>2786</v>
      </c>
      <c r="L34" s="16">
        <v>2795</v>
      </c>
      <c r="M34" s="16">
        <v>943</v>
      </c>
      <c r="N34" s="16">
        <v>652</v>
      </c>
      <c r="O34" s="16">
        <v>904</v>
      </c>
      <c r="P34" s="16">
        <v>8080</v>
      </c>
      <c r="Q34" s="16">
        <v>1616</v>
      </c>
      <c r="R34" s="16">
        <v>13111</v>
      </c>
      <c r="S34" s="16">
        <v>1311</v>
      </c>
      <c r="T34" s="16">
        <v>92</v>
      </c>
      <c r="U34" s="16">
        <v>13672</v>
      </c>
      <c r="V34" s="17">
        <v>684</v>
      </c>
      <c r="X34" s="25">
        <f t="shared" si="1"/>
        <v>0</v>
      </c>
      <c r="Y34" s="25">
        <f t="shared" si="2"/>
        <v>0</v>
      </c>
      <c r="Z34" s="25">
        <f t="shared" si="3"/>
        <v>0</v>
      </c>
      <c r="AA34" s="25">
        <f t="shared" si="0"/>
        <v>0</v>
      </c>
    </row>
    <row r="35" spans="1:27" x14ac:dyDescent="0.55000000000000004">
      <c r="A35" s="12" t="s">
        <v>85</v>
      </c>
      <c r="B35" s="13">
        <v>60</v>
      </c>
      <c r="C35" s="13">
        <v>59</v>
      </c>
      <c r="D35" s="13">
        <v>15</v>
      </c>
      <c r="E35" s="13">
        <v>191</v>
      </c>
      <c r="F35" s="13">
        <v>538</v>
      </c>
      <c r="G35" s="13">
        <v>878</v>
      </c>
      <c r="H35" s="13">
        <v>5656</v>
      </c>
      <c r="I35" s="13">
        <v>7278</v>
      </c>
      <c r="J35" s="13">
        <v>1456</v>
      </c>
      <c r="K35" s="13">
        <v>1927</v>
      </c>
      <c r="L35" s="13">
        <v>3622</v>
      </c>
      <c r="M35" s="13">
        <v>2126</v>
      </c>
      <c r="N35" s="13">
        <v>2753</v>
      </c>
      <c r="O35" s="13">
        <v>3753</v>
      </c>
      <c r="P35" s="13">
        <v>14181</v>
      </c>
      <c r="Q35" s="13">
        <v>2836</v>
      </c>
      <c r="R35" s="13">
        <v>21459</v>
      </c>
      <c r="S35" s="13">
        <v>2146</v>
      </c>
      <c r="T35" s="13">
        <v>65</v>
      </c>
      <c r="U35" s="13">
        <v>21643</v>
      </c>
      <c r="V35" s="14">
        <v>1082</v>
      </c>
      <c r="X35" s="25">
        <f t="shared" si="1"/>
        <v>0</v>
      </c>
      <c r="Y35" s="25">
        <f t="shared" si="2"/>
        <v>0</v>
      </c>
      <c r="Z35" s="25">
        <f t="shared" si="3"/>
        <v>0</v>
      </c>
      <c r="AA35" s="25">
        <f t="shared" si="0"/>
        <v>0</v>
      </c>
    </row>
    <row r="36" spans="1:27" x14ac:dyDescent="0.55000000000000004">
      <c r="A36" s="15" t="s">
        <v>86</v>
      </c>
      <c r="B36" s="16" t="s">
        <v>62</v>
      </c>
      <c r="C36" s="16" t="s">
        <v>62</v>
      </c>
      <c r="D36" s="16" t="s">
        <v>62</v>
      </c>
      <c r="E36" s="16">
        <v>9</v>
      </c>
      <c r="F36" s="16">
        <v>173</v>
      </c>
      <c r="G36" s="16">
        <v>306</v>
      </c>
      <c r="H36" s="16">
        <v>73</v>
      </c>
      <c r="I36" s="16">
        <v>561</v>
      </c>
      <c r="J36" s="16">
        <v>112</v>
      </c>
      <c r="K36" s="16">
        <v>276</v>
      </c>
      <c r="L36" s="16">
        <v>178</v>
      </c>
      <c r="M36" s="16">
        <v>68</v>
      </c>
      <c r="N36" s="16">
        <v>51</v>
      </c>
      <c r="O36" s="16">
        <v>101</v>
      </c>
      <c r="P36" s="16">
        <v>674</v>
      </c>
      <c r="Q36" s="16">
        <v>135</v>
      </c>
      <c r="R36" s="16">
        <v>1235</v>
      </c>
      <c r="S36" s="16">
        <v>124</v>
      </c>
      <c r="T36" s="16">
        <v>7</v>
      </c>
      <c r="U36" s="16">
        <v>1242</v>
      </c>
      <c r="V36" s="17">
        <v>62</v>
      </c>
      <c r="X36" s="25">
        <f t="shared" si="1"/>
        <v>0</v>
      </c>
      <c r="Y36" s="25">
        <f t="shared" si="2"/>
        <v>0</v>
      </c>
      <c r="Z36" s="25">
        <f t="shared" si="3"/>
        <v>0</v>
      </c>
      <c r="AA36" s="25">
        <f t="shared" si="0"/>
        <v>0</v>
      </c>
    </row>
    <row r="37" spans="1:27" x14ac:dyDescent="0.55000000000000004">
      <c r="A37" s="12" t="s">
        <v>87</v>
      </c>
      <c r="B37" s="13">
        <v>349</v>
      </c>
      <c r="C37" s="13">
        <v>26</v>
      </c>
      <c r="D37" s="13">
        <v>80</v>
      </c>
      <c r="E37" s="13">
        <v>243</v>
      </c>
      <c r="F37" s="13">
        <v>1311</v>
      </c>
      <c r="G37" s="13">
        <v>3107</v>
      </c>
      <c r="H37" s="13">
        <v>8962</v>
      </c>
      <c r="I37" s="13">
        <v>13703</v>
      </c>
      <c r="J37" s="13">
        <v>2741</v>
      </c>
      <c r="K37" s="13">
        <v>4928</v>
      </c>
      <c r="L37" s="13">
        <v>13120</v>
      </c>
      <c r="M37" s="13">
        <v>6766</v>
      </c>
      <c r="N37" s="13">
        <v>8488</v>
      </c>
      <c r="O37" s="13">
        <v>10238</v>
      </c>
      <c r="P37" s="13">
        <v>43540</v>
      </c>
      <c r="Q37" s="13">
        <v>8708</v>
      </c>
      <c r="R37" s="13">
        <v>57243</v>
      </c>
      <c r="S37" s="13">
        <v>5724</v>
      </c>
      <c r="T37" s="13">
        <v>605</v>
      </c>
      <c r="U37" s="13">
        <v>58223</v>
      </c>
      <c r="V37" s="14">
        <v>2911</v>
      </c>
      <c r="X37" s="25">
        <f t="shared" si="1"/>
        <v>0</v>
      </c>
      <c r="Y37" s="25">
        <f t="shared" si="2"/>
        <v>0</v>
      </c>
      <c r="Z37" s="25">
        <f t="shared" si="3"/>
        <v>0</v>
      </c>
      <c r="AA37" s="25">
        <f t="shared" si="0"/>
        <v>0</v>
      </c>
    </row>
    <row r="38" spans="1:27" x14ac:dyDescent="0.55000000000000004">
      <c r="A38" s="15" t="s">
        <v>88</v>
      </c>
      <c r="B38" s="16">
        <v>1348</v>
      </c>
      <c r="C38" s="16">
        <v>50</v>
      </c>
      <c r="D38" s="16">
        <v>28</v>
      </c>
      <c r="E38" s="16">
        <v>162</v>
      </c>
      <c r="F38" s="16">
        <v>6982</v>
      </c>
      <c r="G38" s="16">
        <v>4405</v>
      </c>
      <c r="H38" s="16">
        <v>7632</v>
      </c>
      <c r="I38" s="16">
        <v>19209</v>
      </c>
      <c r="J38" s="16">
        <v>3842</v>
      </c>
      <c r="K38" s="16">
        <v>4486</v>
      </c>
      <c r="L38" s="16">
        <v>7472</v>
      </c>
      <c r="M38" s="16">
        <v>6695</v>
      </c>
      <c r="N38" s="16">
        <v>6734</v>
      </c>
      <c r="O38" s="16">
        <v>10048</v>
      </c>
      <c r="P38" s="16">
        <v>35435</v>
      </c>
      <c r="Q38" s="16">
        <v>7087</v>
      </c>
      <c r="R38" s="16">
        <v>54644</v>
      </c>
      <c r="S38" s="16">
        <v>5464</v>
      </c>
      <c r="T38" s="16">
        <v>319</v>
      </c>
      <c r="U38" s="16">
        <v>56361</v>
      </c>
      <c r="V38" s="17">
        <v>2818</v>
      </c>
      <c r="X38" s="25">
        <f t="shared" si="1"/>
        <v>0</v>
      </c>
      <c r="Y38" s="25">
        <f t="shared" si="2"/>
        <v>0</v>
      </c>
      <c r="Z38" s="25">
        <f t="shared" si="3"/>
        <v>0</v>
      </c>
      <c r="AA38" s="25">
        <f t="shared" si="0"/>
        <v>0</v>
      </c>
    </row>
    <row r="39" spans="1:27" x14ac:dyDescent="0.55000000000000004">
      <c r="A39" s="12" t="s">
        <v>89</v>
      </c>
      <c r="B39" s="13">
        <v>607</v>
      </c>
      <c r="C39" s="13">
        <v>1</v>
      </c>
      <c r="D39" s="13">
        <v>4</v>
      </c>
      <c r="E39" s="13">
        <v>32</v>
      </c>
      <c r="F39" s="13">
        <v>822</v>
      </c>
      <c r="G39" s="13">
        <v>1270</v>
      </c>
      <c r="H39" s="13">
        <v>5411</v>
      </c>
      <c r="I39" s="13">
        <v>7539</v>
      </c>
      <c r="J39" s="13">
        <v>1508</v>
      </c>
      <c r="K39" s="13">
        <v>2437</v>
      </c>
      <c r="L39" s="13">
        <v>5112</v>
      </c>
      <c r="M39" s="13">
        <v>2255</v>
      </c>
      <c r="N39" s="13">
        <v>3082</v>
      </c>
      <c r="O39" s="13">
        <v>3645</v>
      </c>
      <c r="P39" s="13">
        <v>16531</v>
      </c>
      <c r="Q39" s="13">
        <v>3306</v>
      </c>
      <c r="R39" s="13">
        <v>24070</v>
      </c>
      <c r="S39" s="13">
        <v>2407</v>
      </c>
      <c r="T39" s="13">
        <v>160</v>
      </c>
      <c r="U39" s="13">
        <v>24838</v>
      </c>
      <c r="V39" s="14">
        <v>1242</v>
      </c>
      <c r="X39" s="25">
        <f t="shared" si="1"/>
        <v>0</v>
      </c>
      <c r="Y39" s="25">
        <f t="shared" si="2"/>
        <v>0</v>
      </c>
      <c r="Z39" s="25">
        <f t="shared" si="3"/>
        <v>0</v>
      </c>
      <c r="AA39" s="25">
        <f t="shared" si="0"/>
        <v>0</v>
      </c>
    </row>
    <row r="40" spans="1:27" x14ac:dyDescent="0.55000000000000004">
      <c r="A40" s="15" t="s">
        <v>90</v>
      </c>
      <c r="B40" s="16" t="s">
        <v>62</v>
      </c>
      <c r="C40" s="16" t="s">
        <v>62</v>
      </c>
      <c r="D40" s="16">
        <v>21</v>
      </c>
      <c r="E40" s="16">
        <v>28</v>
      </c>
      <c r="F40" s="16">
        <v>87</v>
      </c>
      <c r="G40" s="16">
        <v>88</v>
      </c>
      <c r="H40" s="16">
        <v>219</v>
      </c>
      <c r="I40" s="16">
        <v>443</v>
      </c>
      <c r="J40" s="16">
        <v>89</v>
      </c>
      <c r="K40" s="16">
        <v>172</v>
      </c>
      <c r="L40" s="16">
        <v>312</v>
      </c>
      <c r="M40" s="16">
        <v>256</v>
      </c>
      <c r="N40" s="16">
        <v>182</v>
      </c>
      <c r="O40" s="16">
        <v>62</v>
      </c>
      <c r="P40" s="16">
        <v>984</v>
      </c>
      <c r="Q40" s="16">
        <v>197</v>
      </c>
      <c r="R40" s="16">
        <v>1427</v>
      </c>
      <c r="S40" s="16">
        <v>143</v>
      </c>
      <c r="T40" s="16">
        <v>57</v>
      </c>
      <c r="U40" s="16">
        <v>1484</v>
      </c>
      <c r="V40" s="17">
        <v>74</v>
      </c>
      <c r="X40" s="25">
        <f t="shared" si="1"/>
        <v>0</v>
      </c>
      <c r="Y40" s="25">
        <f t="shared" si="2"/>
        <v>0</v>
      </c>
      <c r="Z40" s="25">
        <f t="shared" si="3"/>
        <v>0</v>
      </c>
      <c r="AA40" s="25">
        <f t="shared" si="0"/>
        <v>0</v>
      </c>
    </row>
    <row r="41" spans="1:27" x14ac:dyDescent="0.55000000000000004">
      <c r="A41" s="12" t="s">
        <v>91</v>
      </c>
      <c r="B41" s="13">
        <v>23696</v>
      </c>
      <c r="C41" s="13">
        <v>5564</v>
      </c>
      <c r="D41" s="13">
        <v>840</v>
      </c>
      <c r="E41" s="13">
        <v>4073</v>
      </c>
      <c r="F41" s="13">
        <v>2620</v>
      </c>
      <c r="G41" s="13">
        <v>1568</v>
      </c>
      <c r="H41" s="13">
        <v>3705</v>
      </c>
      <c r="I41" s="13">
        <v>12806</v>
      </c>
      <c r="J41" s="13">
        <v>2561</v>
      </c>
      <c r="K41" s="13">
        <v>5479</v>
      </c>
      <c r="L41" s="13">
        <v>2793</v>
      </c>
      <c r="M41" s="13">
        <v>1422</v>
      </c>
      <c r="N41" s="13">
        <v>1610</v>
      </c>
      <c r="O41" s="13">
        <v>2413</v>
      </c>
      <c r="P41" s="13">
        <v>13717</v>
      </c>
      <c r="Q41" s="13">
        <v>2743</v>
      </c>
      <c r="R41" s="13">
        <v>26523</v>
      </c>
      <c r="S41" s="13">
        <v>2652</v>
      </c>
      <c r="T41" s="13">
        <v>1100</v>
      </c>
      <c r="U41" s="13">
        <v>56883</v>
      </c>
      <c r="V41" s="14">
        <v>2844</v>
      </c>
      <c r="X41" s="25">
        <f t="shared" si="1"/>
        <v>0</v>
      </c>
      <c r="Y41" s="25">
        <f t="shared" si="2"/>
        <v>0</v>
      </c>
      <c r="Z41" s="25">
        <f t="shared" si="3"/>
        <v>0</v>
      </c>
      <c r="AA41" s="25">
        <f t="shared" si="0"/>
        <v>0</v>
      </c>
    </row>
    <row r="42" spans="1:27" x14ac:dyDescent="0.55000000000000004">
      <c r="A42" s="15" t="s">
        <v>92</v>
      </c>
      <c r="B42" s="16">
        <v>22672</v>
      </c>
      <c r="C42" s="16">
        <v>2317</v>
      </c>
      <c r="D42" s="16">
        <v>421</v>
      </c>
      <c r="E42" s="16">
        <v>616</v>
      </c>
      <c r="F42" s="16">
        <v>417</v>
      </c>
      <c r="G42" s="16">
        <v>981</v>
      </c>
      <c r="H42" s="16">
        <v>3284</v>
      </c>
      <c r="I42" s="16">
        <v>5719</v>
      </c>
      <c r="J42" s="16">
        <v>1144</v>
      </c>
      <c r="K42" s="16">
        <v>5143</v>
      </c>
      <c r="L42" s="16">
        <v>2629</v>
      </c>
      <c r="M42" s="16">
        <v>820</v>
      </c>
      <c r="N42" s="16">
        <v>1083</v>
      </c>
      <c r="O42" s="16">
        <v>1744</v>
      </c>
      <c r="P42" s="16">
        <v>11419</v>
      </c>
      <c r="Q42" s="16">
        <v>2284</v>
      </c>
      <c r="R42" s="16">
        <v>17138</v>
      </c>
      <c r="S42" s="16">
        <v>1714</v>
      </c>
      <c r="T42" s="16">
        <v>1094</v>
      </c>
      <c r="U42" s="16">
        <v>43221</v>
      </c>
      <c r="V42" s="17">
        <v>2161</v>
      </c>
      <c r="X42" s="25">
        <f t="shared" si="1"/>
        <v>0</v>
      </c>
      <c r="Y42" s="25">
        <f t="shared" si="2"/>
        <v>0</v>
      </c>
      <c r="Z42" s="25">
        <f t="shared" si="3"/>
        <v>0</v>
      </c>
      <c r="AA42" s="25">
        <f t="shared" si="0"/>
        <v>0</v>
      </c>
    </row>
    <row r="43" spans="1:27" x14ac:dyDescent="0.55000000000000004">
      <c r="A43" s="12" t="s">
        <v>93</v>
      </c>
      <c r="B43" s="13" t="s">
        <v>62</v>
      </c>
      <c r="C43" s="13" t="s">
        <v>62</v>
      </c>
      <c r="D43" s="13" t="s">
        <v>62</v>
      </c>
      <c r="E43" s="13">
        <v>5</v>
      </c>
      <c r="F43" s="13">
        <v>800</v>
      </c>
      <c r="G43" s="13">
        <v>1021</v>
      </c>
      <c r="H43" s="13">
        <v>319</v>
      </c>
      <c r="I43" s="13">
        <v>2145</v>
      </c>
      <c r="J43" s="13">
        <v>429</v>
      </c>
      <c r="K43" s="13">
        <v>284</v>
      </c>
      <c r="L43" s="13">
        <v>473</v>
      </c>
      <c r="M43" s="13">
        <v>959</v>
      </c>
      <c r="N43" s="13">
        <v>880</v>
      </c>
      <c r="O43" s="13">
        <v>2071</v>
      </c>
      <c r="P43" s="13">
        <v>4667</v>
      </c>
      <c r="Q43" s="13">
        <v>933</v>
      </c>
      <c r="R43" s="13">
        <v>6812</v>
      </c>
      <c r="S43" s="13">
        <v>681</v>
      </c>
      <c r="T43" s="13">
        <v>217</v>
      </c>
      <c r="U43" s="13">
        <v>7029</v>
      </c>
      <c r="V43" s="14">
        <v>351</v>
      </c>
      <c r="X43" s="25">
        <f t="shared" si="1"/>
        <v>0</v>
      </c>
      <c r="Y43" s="25">
        <f t="shared" si="2"/>
        <v>0</v>
      </c>
      <c r="Z43" s="25">
        <f t="shared" si="3"/>
        <v>0</v>
      </c>
      <c r="AA43" s="25">
        <f t="shared" si="0"/>
        <v>0</v>
      </c>
    </row>
    <row r="44" spans="1:27" x14ac:dyDescent="0.55000000000000004">
      <c r="A44" s="15" t="s">
        <v>94</v>
      </c>
      <c r="B44" s="16" t="s">
        <v>62</v>
      </c>
      <c r="C44" s="16" t="s">
        <v>62</v>
      </c>
      <c r="D44" s="16" t="s">
        <v>62</v>
      </c>
      <c r="E44" s="16" t="s">
        <v>62</v>
      </c>
      <c r="F44" s="16">
        <v>483</v>
      </c>
      <c r="G44" s="16">
        <v>315</v>
      </c>
      <c r="H44" s="16">
        <v>46</v>
      </c>
      <c r="I44" s="16">
        <v>844</v>
      </c>
      <c r="J44" s="16">
        <v>169</v>
      </c>
      <c r="K44" s="16">
        <v>76</v>
      </c>
      <c r="L44" s="16">
        <v>61</v>
      </c>
      <c r="M44" s="16">
        <v>24</v>
      </c>
      <c r="N44" s="16">
        <v>11</v>
      </c>
      <c r="O44" s="16">
        <v>2</v>
      </c>
      <c r="P44" s="16">
        <v>174</v>
      </c>
      <c r="Q44" s="16">
        <v>35</v>
      </c>
      <c r="R44" s="16">
        <v>1018</v>
      </c>
      <c r="S44" s="16">
        <v>102</v>
      </c>
      <c r="T44" s="16" t="s">
        <v>62</v>
      </c>
      <c r="U44" s="16">
        <v>1018</v>
      </c>
      <c r="V44" s="17">
        <v>51</v>
      </c>
      <c r="X44" s="25">
        <f t="shared" si="1"/>
        <v>0</v>
      </c>
      <c r="Y44" s="25">
        <f t="shared" si="2"/>
        <v>0</v>
      </c>
      <c r="Z44" s="25">
        <f t="shared" si="3"/>
        <v>0</v>
      </c>
      <c r="AA44" s="25">
        <f t="shared" si="0"/>
        <v>0</v>
      </c>
    </row>
    <row r="45" spans="1:27" x14ac:dyDescent="0.55000000000000004">
      <c r="A45" s="12" t="s">
        <v>95</v>
      </c>
      <c r="B45" s="13" t="s">
        <v>62</v>
      </c>
      <c r="C45" s="13" t="s">
        <v>62</v>
      </c>
      <c r="D45" s="13" t="s">
        <v>62</v>
      </c>
      <c r="E45" s="13" t="s">
        <v>62</v>
      </c>
      <c r="F45" s="13">
        <v>83</v>
      </c>
      <c r="G45" s="13">
        <v>12</v>
      </c>
      <c r="H45" s="13">
        <v>79</v>
      </c>
      <c r="I45" s="13">
        <v>174</v>
      </c>
      <c r="J45" s="13">
        <v>35</v>
      </c>
      <c r="K45" s="13">
        <v>14</v>
      </c>
      <c r="L45" s="13">
        <v>10</v>
      </c>
      <c r="M45" s="13">
        <v>29</v>
      </c>
      <c r="N45" s="13">
        <v>38</v>
      </c>
      <c r="O45" s="13">
        <v>64</v>
      </c>
      <c r="P45" s="13">
        <v>155</v>
      </c>
      <c r="Q45" s="13">
        <v>31</v>
      </c>
      <c r="R45" s="13">
        <v>329</v>
      </c>
      <c r="S45" s="13">
        <v>33</v>
      </c>
      <c r="T45" s="13">
        <v>2</v>
      </c>
      <c r="U45" s="13">
        <v>331</v>
      </c>
      <c r="V45" s="14">
        <v>17</v>
      </c>
      <c r="X45" s="25">
        <f t="shared" si="1"/>
        <v>0</v>
      </c>
      <c r="Y45" s="25">
        <f t="shared" si="2"/>
        <v>0</v>
      </c>
      <c r="Z45" s="25">
        <f t="shared" si="3"/>
        <v>0</v>
      </c>
      <c r="AA45" s="25">
        <f t="shared" si="0"/>
        <v>0</v>
      </c>
    </row>
    <row r="46" spans="1:27" x14ac:dyDescent="0.55000000000000004">
      <c r="A46" s="15" t="s">
        <v>96</v>
      </c>
      <c r="B46" s="16" t="s">
        <v>62</v>
      </c>
      <c r="C46" s="16" t="s">
        <v>62</v>
      </c>
      <c r="D46" s="16" t="s">
        <v>62</v>
      </c>
      <c r="E46" s="16">
        <v>202</v>
      </c>
      <c r="F46" s="16">
        <v>711</v>
      </c>
      <c r="G46" s="16">
        <v>2527</v>
      </c>
      <c r="H46" s="16">
        <v>701</v>
      </c>
      <c r="I46" s="16">
        <v>4141</v>
      </c>
      <c r="J46" s="16">
        <v>828</v>
      </c>
      <c r="K46" s="16">
        <v>648</v>
      </c>
      <c r="L46" s="16">
        <v>977</v>
      </c>
      <c r="M46" s="16">
        <v>447</v>
      </c>
      <c r="N46" s="16">
        <v>540</v>
      </c>
      <c r="O46" s="16">
        <v>968</v>
      </c>
      <c r="P46" s="16">
        <v>3580</v>
      </c>
      <c r="Q46" s="16">
        <v>716</v>
      </c>
      <c r="R46" s="16">
        <v>7721</v>
      </c>
      <c r="S46" s="16">
        <v>772</v>
      </c>
      <c r="T46" s="16">
        <v>32</v>
      </c>
      <c r="U46" s="16">
        <v>7753</v>
      </c>
      <c r="V46" s="17">
        <v>388</v>
      </c>
      <c r="X46" s="25">
        <f t="shared" si="1"/>
        <v>0</v>
      </c>
      <c r="Y46" s="25">
        <f t="shared" si="2"/>
        <v>0</v>
      </c>
      <c r="Z46" s="25">
        <f t="shared" si="3"/>
        <v>0</v>
      </c>
      <c r="AA46" s="25">
        <f t="shared" si="0"/>
        <v>0</v>
      </c>
    </row>
    <row r="47" spans="1:27" x14ac:dyDescent="0.55000000000000004">
      <c r="A47" s="12" t="s">
        <v>97</v>
      </c>
      <c r="B47" s="13" t="s">
        <v>62</v>
      </c>
      <c r="C47" s="13" t="s">
        <v>62</v>
      </c>
      <c r="D47" s="13">
        <v>4</v>
      </c>
      <c r="E47" s="13">
        <v>59</v>
      </c>
      <c r="F47" s="13">
        <v>521</v>
      </c>
      <c r="G47" s="13">
        <v>937</v>
      </c>
      <c r="H47" s="13">
        <v>186</v>
      </c>
      <c r="I47" s="13">
        <v>1707</v>
      </c>
      <c r="J47" s="13">
        <v>341</v>
      </c>
      <c r="K47" s="13">
        <v>103</v>
      </c>
      <c r="L47" s="13">
        <v>122</v>
      </c>
      <c r="M47" s="13">
        <v>48</v>
      </c>
      <c r="N47" s="13">
        <v>69</v>
      </c>
      <c r="O47" s="13">
        <v>125</v>
      </c>
      <c r="P47" s="13">
        <v>467</v>
      </c>
      <c r="Q47" s="13">
        <v>93</v>
      </c>
      <c r="R47" s="13">
        <v>2174</v>
      </c>
      <c r="S47" s="13">
        <v>217</v>
      </c>
      <c r="T47" s="13">
        <v>1</v>
      </c>
      <c r="U47" s="13">
        <v>2175</v>
      </c>
      <c r="V47" s="14">
        <v>109</v>
      </c>
      <c r="X47" s="25">
        <f t="shared" si="1"/>
        <v>0</v>
      </c>
      <c r="Y47" s="25">
        <f t="shared" si="2"/>
        <v>0</v>
      </c>
      <c r="Z47" s="25">
        <f t="shared" si="3"/>
        <v>0</v>
      </c>
      <c r="AA47" s="25">
        <f t="shared" si="0"/>
        <v>0</v>
      </c>
    </row>
    <row r="48" spans="1:27" x14ac:dyDescent="0.55000000000000004">
      <c r="A48" s="15" t="s">
        <v>98</v>
      </c>
      <c r="B48" s="16" t="s">
        <v>62</v>
      </c>
      <c r="C48" s="16" t="s">
        <v>62</v>
      </c>
      <c r="D48" s="16" t="s">
        <v>62</v>
      </c>
      <c r="E48" s="16" t="s">
        <v>62</v>
      </c>
      <c r="F48" s="16">
        <v>22</v>
      </c>
      <c r="G48" s="16">
        <v>7</v>
      </c>
      <c r="H48" s="16">
        <v>4</v>
      </c>
      <c r="I48" s="16">
        <v>33</v>
      </c>
      <c r="J48" s="16">
        <v>7</v>
      </c>
      <c r="K48" s="16">
        <v>6</v>
      </c>
      <c r="L48" s="16">
        <v>3</v>
      </c>
      <c r="M48" s="16">
        <v>57</v>
      </c>
      <c r="N48" s="16">
        <v>114</v>
      </c>
      <c r="O48" s="16">
        <v>83</v>
      </c>
      <c r="P48" s="16">
        <v>263</v>
      </c>
      <c r="Q48" s="16">
        <v>53</v>
      </c>
      <c r="R48" s="16">
        <v>296</v>
      </c>
      <c r="S48" s="16">
        <v>30</v>
      </c>
      <c r="T48" s="16">
        <v>28</v>
      </c>
      <c r="U48" s="16">
        <v>324</v>
      </c>
      <c r="V48" s="17">
        <v>16</v>
      </c>
      <c r="X48" s="25">
        <f t="shared" si="1"/>
        <v>0</v>
      </c>
      <c r="Y48" s="25">
        <f t="shared" si="2"/>
        <v>0</v>
      </c>
      <c r="Z48" s="25">
        <f t="shared" si="3"/>
        <v>0</v>
      </c>
      <c r="AA48" s="25">
        <f t="shared" si="0"/>
        <v>0</v>
      </c>
    </row>
    <row r="49" spans="1:27" x14ac:dyDescent="0.55000000000000004">
      <c r="A49" s="12" t="s">
        <v>99</v>
      </c>
      <c r="B49" s="13" t="s">
        <v>62</v>
      </c>
      <c r="C49" s="13" t="s">
        <v>62</v>
      </c>
      <c r="D49" s="13">
        <v>10</v>
      </c>
      <c r="E49" s="13" t="s">
        <v>62</v>
      </c>
      <c r="F49" s="13">
        <v>147</v>
      </c>
      <c r="G49" s="13">
        <v>314</v>
      </c>
      <c r="H49" s="13">
        <v>156</v>
      </c>
      <c r="I49" s="13">
        <v>627</v>
      </c>
      <c r="J49" s="13">
        <v>125</v>
      </c>
      <c r="K49" s="13">
        <v>1064</v>
      </c>
      <c r="L49" s="13">
        <v>1295</v>
      </c>
      <c r="M49" s="13">
        <v>522</v>
      </c>
      <c r="N49" s="13">
        <v>175</v>
      </c>
      <c r="O49" s="13">
        <v>366</v>
      </c>
      <c r="P49" s="13">
        <v>3422</v>
      </c>
      <c r="Q49" s="13">
        <v>684</v>
      </c>
      <c r="R49" s="13">
        <v>4049</v>
      </c>
      <c r="S49" s="13">
        <v>405</v>
      </c>
      <c r="T49" s="13">
        <v>316</v>
      </c>
      <c r="U49" s="13">
        <v>4365</v>
      </c>
      <c r="V49" s="14">
        <v>218</v>
      </c>
      <c r="X49" s="25">
        <f t="shared" si="1"/>
        <v>0</v>
      </c>
      <c r="Y49" s="25">
        <f t="shared" si="2"/>
        <v>0</v>
      </c>
      <c r="Z49" s="25">
        <f t="shared" si="3"/>
        <v>0</v>
      </c>
      <c r="AA49" s="25">
        <f t="shared" si="0"/>
        <v>0</v>
      </c>
    </row>
    <row r="50" spans="1:27" x14ac:dyDescent="0.55000000000000004">
      <c r="A50" s="15" t="s">
        <v>100</v>
      </c>
      <c r="B50" s="16" t="s">
        <v>62</v>
      </c>
      <c r="C50" s="16" t="s">
        <v>62</v>
      </c>
      <c r="D50" s="16" t="s">
        <v>62</v>
      </c>
      <c r="E50" s="16" t="s">
        <v>62</v>
      </c>
      <c r="F50" s="16">
        <v>16</v>
      </c>
      <c r="G50" s="16" t="s">
        <v>62</v>
      </c>
      <c r="H50" s="16" t="s">
        <v>62</v>
      </c>
      <c r="I50" s="16">
        <v>16</v>
      </c>
      <c r="J50" s="16">
        <v>3</v>
      </c>
      <c r="K50" s="16">
        <v>18</v>
      </c>
      <c r="L50" s="16">
        <v>180</v>
      </c>
      <c r="M50" s="16">
        <v>12</v>
      </c>
      <c r="N50" s="16" t="s">
        <v>62</v>
      </c>
      <c r="O50" s="16" t="s">
        <v>62</v>
      </c>
      <c r="P50" s="16">
        <v>210</v>
      </c>
      <c r="Q50" s="16">
        <v>42</v>
      </c>
      <c r="R50" s="16">
        <v>226</v>
      </c>
      <c r="S50" s="16">
        <v>23</v>
      </c>
      <c r="T50" s="16" t="s">
        <v>62</v>
      </c>
      <c r="U50" s="16">
        <v>226</v>
      </c>
      <c r="V50" s="17">
        <v>11</v>
      </c>
      <c r="X50" s="25">
        <f t="shared" si="1"/>
        <v>0</v>
      </c>
      <c r="Y50" s="25">
        <f t="shared" si="2"/>
        <v>0</v>
      </c>
      <c r="Z50" s="25">
        <f t="shared" si="3"/>
        <v>0</v>
      </c>
      <c r="AA50" s="25">
        <f t="shared" si="0"/>
        <v>0</v>
      </c>
    </row>
    <row r="51" spans="1:27" ht="14.7" thickBot="1" x14ac:dyDescent="0.6">
      <c r="A51" s="20" t="s">
        <v>101</v>
      </c>
      <c r="B51" s="21" t="s">
        <v>62</v>
      </c>
      <c r="C51" s="21" t="s">
        <v>62</v>
      </c>
      <c r="D51" s="21" t="s">
        <v>62</v>
      </c>
      <c r="E51" s="21" t="s">
        <v>62</v>
      </c>
      <c r="F51" s="21" t="s">
        <v>62</v>
      </c>
      <c r="G51" s="21" t="s">
        <v>62</v>
      </c>
      <c r="H51" s="21" t="s">
        <v>62</v>
      </c>
      <c r="I51" s="21" t="s">
        <v>62</v>
      </c>
      <c r="J51" s="21" t="s">
        <v>62</v>
      </c>
      <c r="K51" s="21" t="s">
        <v>62</v>
      </c>
      <c r="L51" s="21">
        <v>10</v>
      </c>
      <c r="M51" s="21" t="s">
        <v>62</v>
      </c>
      <c r="N51" s="21" t="s">
        <v>62</v>
      </c>
      <c r="O51" s="21" t="s">
        <v>62</v>
      </c>
      <c r="P51" s="21">
        <v>10</v>
      </c>
      <c r="Q51" s="21">
        <v>2</v>
      </c>
      <c r="R51" s="21">
        <v>10</v>
      </c>
      <c r="S51" s="21">
        <v>1</v>
      </c>
      <c r="T51" s="21" t="s">
        <v>62</v>
      </c>
      <c r="U51" s="21">
        <v>10</v>
      </c>
      <c r="V51" s="22">
        <v>0.5</v>
      </c>
      <c r="X51" s="25"/>
      <c r="Y51" s="25">
        <f t="shared" si="2"/>
        <v>0</v>
      </c>
      <c r="Z51" s="25"/>
      <c r="AA51" s="25">
        <f t="shared" si="0"/>
        <v>0</v>
      </c>
    </row>
    <row r="52" spans="1:27" ht="14.7" thickBot="1" x14ac:dyDescent="0.6">
      <c r="A52" s="23" t="s">
        <v>110</v>
      </c>
      <c r="B52" s="24">
        <v>258154</v>
      </c>
      <c r="C52" s="24">
        <v>53350</v>
      </c>
      <c r="D52" s="24">
        <v>55776</v>
      </c>
      <c r="E52" s="24">
        <v>101995</v>
      </c>
      <c r="F52" s="24">
        <v>186166</v>
      </c>
      <c r="G52" s="24">
        <v>81015</v>
      </c>
      <c r="H52" s="24">
        <v>143699</v>
      </c>
      <c r="I52" s="24">
        <v>568651</v>
      </c>
      <c r="J52" s="24">
        <v>113730</v>
      </c>
      <c r="K52" s="24">
        <v>162805</v>
      </c>
      <c r="L52" s="24">
        <v>164639</v>
      </c>
      <c r="M52" s="24">
        <v>86334</v>
      </c>
      <c r="N52" s="24">
        <v>80499</v>
      </c>
      <c r="O52" s="24">
        <v>83721</v>
      </c>
      <c r="P52" s="24">
        <v>577998</v>
      </c>
      <c r="Q52" s="24">
        <v>115600</v>
      </c>
      <c r="R52" s="24">
        <v>1146649</v>
      </c>
      <c r="S52" s="24">
        <v>114665</v>
      </c>
      <c r="T52" s="24">
        <v>29895</v>
      </c>
      <c r="U52" s="24">
        <v>1488048</v>
      </c>
      <c r="V52" s="24">
        <v>74402</v>
      </c>
    </row>
    <row r="54" spans="1:27" x14ac:dyDescent="0.55000000000000004">
      <c r="B54" s="25">
        <f t="shared" ref="B54:V54" si="4">SUM(B2:B51)-B52</f>
        <v>0</v>
      </c>
      <c r="C54" s="25">
        <f t="shared" si="4"/>
        <v>0</v>
      </c>
      <c r="D54" s="25">
        <f t="shared" si="4"/>
        <v>0</v>
      </c>
      <c r="E54" s="25">
        <f t="shared" si="4"/>
        <v>0</v>
      </c>
      <c r="F54" s="25">
        <f t="shared" si="4"/>
        <v>0</v>
      </c>
      <c r="G54" s="25">
        <f t="shared" si="4"/>
        <v>0</v>
      </c>
      <c r="H54" s="25">
        <f t="shared" si="4"/>
        <v>0</v>
      </c>
      <c r="I54" s="25">
        <f t="shared" si="4"/>
        <v>0</v>
      </c>
      <c r="J54" s="25">
        <f t="shared" si="4"/>
        <v>-0.39999999999417923</v>
      </c>
      <c r="K54" s="25">
        <f t="shared" si="4"/>
        <v>0</v>
      </c>
      <c r="L54" s="25">
        <f t="shared" si="4"/>
        <v>0</v>
      </c>
      <c r="M54" s="25">
        <f t="shared" si="4"/>
        <v>0</v>
      </c>
      <c r="N54" s="25">
        <f t="shared" si="4"/>
        <v>0</v>
      </c>
      <c r="O54" s="25">
        <f t="shared" si="4"/>
        <v>0</v>
      </c>
      <c r="P54" s="25">
        <f t="shared" si="4"/>
        <v>0</v>
      </c>
      <c r="Q54" s="25">
        <f t="shared" si="4"/>
        <v>-1</v>
      </c>
      <c r="R54" s="25">
        <f t="shared" si="4"/>
        <v>0</v>
      </c>
      <c r="S54" s="25">
        <f t="shared" si="4"/>
        <v>0.80000000000291038</v>
      </c>
      <c r="T54" s="25">
        <f t="shared" si="4"/>
        <v>0</v>
      </c>
      <c r="U54" s="25">
        <f t="shared" si="4"/>
        <v>0</v>
      </c>
      <c r="V54" s="25">
        <f t="shared" si="4"/>
        <v>-0.10000000000582077</v>
      </c>
    </row>
    <row r="56" spans="1:27" x14ac:dyDescent="0.55000000000000004">
      <c r="A56" s="26" t="s">
        <v>111</v>
      </c>
    </row>
    <row r="57" spans="1:27" x14ac:dyDescent="0.55000000000000004">
      <c r="A57" t="s">
        <v>112</v>
      </c>
    </row>
    <row r="58" spans="1:27" x14ac:dyDescent="0.55000000000000004">
      <c r="A58" t="s">
        <v>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46033-5081-4F58-951C-504380CDA18F}">
  <dimension ref="A1:AA5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B7" sqref="AB7"/>
    </sheetView>
  </sheetViews>
  <sheetFormatPr defaultRowHeight="14.4" x14ac:dyDescent="0.55000000000000004"/>
  <cols>
    <col min="1" max="1" width="24" bestFit="1" customWidth="1"/>
    <col min="2" max="15" width="6.20703125" bestFit="1" customWidth="1"/>
    <col min="16" max="17" width="7.20703125" bestFit="1" customWidth="1"/>
    <col min="18" max="18" width="6.20703125" bestFit="1" customWidth="1"/>
    <col min="19" max="21" width="7.20703125" bestFit="1" customWidth="1"/>
    <col min="22" max="25" width="6.20703125" bestFit="1" customWidth="1"/>
  </cols>
  <sheetData>
    <row r="1" spans="1:27" x14ac:dyDescent="0.55000000000000004">
      <c r="A1" s="27" t="s">
        <v>115</v>
      </c>
      <c r="B1" s="34">
        <v>1881</v>
      </c>
      <c r="C1" s="34">
        <v>1882</v>
      </c>
      <c r="D1" s="34">
        <v>1883</v>
      </c>
      <c r="E1" s="34">
        <v>1884</v>
      </c>
      <c r="F1" s="34">
        <v>1885</v>
      </c>
      <c r="G1" s="34">
        <v>1886</v>
      </c>
      <c r="H1" s="34">
        <v>1887</v>
      </c>
      <c r="I1" s="34">
        <v>1888</v>
      </c>
      <c r="J1" s="34">
        <v>1889</v>
      </c>
      <c r="K1" s="34">
        <v>1890</v>
      </c>
      <c r="L1" s="34">
        <v>1891</v>
      </c>
      <c r="M1" s="34">
        <v>1892</v>
      </c>
      <c r="N1" s="34">
        <v>1893</v>
      </c>
      <c r="O1" s="34">
        <v>1894</v>
      </c>
      <c r="P1" s="34">
        <v>1895</v>
      </c>
      <c r="Q1" s="34">
        <v>1896</v>
      </c>
      <c r="R1" s="34">
        <v>1897</v>
      </c>
      <c r="S1" s="34">
        <v>1898</v>
      </c>
      <c r="T1" s="34">
        <v>1899</v>
      </c>
      <c r="U1" s="34">
        <v>1900</v>
      </c>
      <c r="V1" s="34">
        <v>1901</v>
      </c>
      <c r="W1" s="34">
        <v>1902</v>
      </c>
      <c r="X1" s="34">
        <v>1903</v>
      </c>
      <c r="Y1" s="34">
        <v>1904</v>
      </c>
      <c r="AA1" s="2"/>
    </row>
    <row r="2" spans="1:27" x14ac:dyDescent="0.55000000000000004">
      <c r="A2" t="s">
        <v>51</v>
      </c>
      <c r="B2">
        <v>8292</v>
      </c>
      <c r="C2">
        <v>8292</v>
      </c>
      <c r="D2">
        <v>8292</v>
      </c>
      <c r="E2">
        <v>8292</v>
      </c>
      <c r="F2">
        <v>8292</v>
      </c>
      <c r="G2">
        <v>8292</v>
      </c>
      <c r="H2">
        <v>8292</v>
      </c>
      <c r="I2">
        <v>8292</v>
      </c>
      <c r="J2">
        <v>8292</v>
      </c>
      <c r="K2">
        <v>8292</v>
      </c>
      <c r="L2">
        <v>8292</v>
      </c>
      <c r="M2">
        <v>8292</v>
      </c>
      <c r="N2">
        <v>4108</v>
      </c>
      <c r="O2">
        <v>4943</v>
      </c>
      <c r="P2">
        <v>8940</v>
      </c>
      <c r="Q2">
        <v>14298</v>
      </c>
      <c r="R2">
        <v>4273</v>
      </c>
      <c r="S2">
        <v>9194</v>
      </c>
      <c r="T2">
        <v>13656</v>
      </c>
      <c r="U2">
        <v>16278</v>
      </c>
      <c r="V2">
        <v>5410</v>
      </c>
      <c r="W2">
        <v>2139</v>
      </c>
      <c r="X2">
        <v>1662</v>
      </c>
      <c r="Y2">
        <v>334</v>
      </c>
    </row>
    <row r="3" spans="1:27" x14ac:dyDescent="0.55000000000000004">
      <c r="A3" t="s">
        <v>52</v>
      </c>
      <c r="B3">
        <v>4560</v>
      </c>
      <c r="C3">
        <v>4566</v>
      </c>
      <c r="D3">
        <v>4573</v>
      </c>
      <c r="E3">
        <v>4581</v>
      </c>
      <c r="F3">
        <v>4598</v>
      </c>
      <c r="G3">
        <v>4603</v>
      </c>
      <c r="H3">
        <v>4614</v>
      </c>
      <c r="I3">
        <v>4632</v>
      </c>
      <c r="J3">
        <v>4657</v>
      </c>
      <c r="K3">
        <v>4690</v>
      </c>
      <c r="L3">
        <v>4732</v>
      </c>
      <c r="M3">
        <v>4752</v>
      </c>
      <c r="N3">
        <v>5087</v>
      </c>
      <c r="O3">
        <v>3605</v>
      </c>
      <c r="P3">
        <v>3208</v>
      </c>
      <c r="Q3">
        <v>6693</v>
      </c>
      <c r="R3">
        <v>3604</v>
      </c>
      <c r="S3">
        <v>14689</v>
      </c>
      <c r="T3">
        <v>14331</v>
      </c>
      <c r="U3">
        <v>5610</v>
      </c>
      <c r="V3">
        <v>2081</v>
      </c>
      <c r="W3">
        <v>1868</v>
      </c>
      <c r="X3">
        <v>2003</v>
      </c>
      <c r="Y3">
        <v>428</v>
      </c>
    </row>
    <row r="4" spans="1:27" x14ac:dyDescent="0.55000000000000004">
      <c r="A4" t="s">
        <v>53</v>
      </c>
      <c r="B4">
        <v>267</v>
      </c>
      <c r="C4">
        <v>270</v>
      </c>
      <c r="D4">
        <v>275</v>
      </c>
      <c r="E4">
        <v>283</v>
      </c>
      <c r="F4" s="28">
        <v>300</v>
      </c>
      <c r="G4" s="28">
        <v>320</v>
      </c>
      <c r="H4" s="28">
        <v>360</v>
      </c>
      <c r="I4" s="28">
        <v>420</v>
      </c>
      <c r="J4" s="28">
        <v>550</v>
      </c>
      <c r="K4" s="28">
        <v>750</v>
      </c>
      <c r="L4" s="28">
        <v>1100</v>
      </c>
      <c r="M4" s="28">
        <v>1693</v>
      </c>
      <c r="N4">
        <v>2951</v>
      </c>
      <c r="O4">
        <v>851</v>
      </c>
      <c r="P4">
        <v>23113</v>
      </c>
      <c r="Q4">
        <v>5293</v>
      </c>
      <c r="R4">
        <v>1100</v>
      </c>
      <c r="S4">
        <v>3100</v>
      </c>
      <c r="T4">
        <v>5449</v>
      </c>
      <c r="U4">
        <v>2763</v>
      </c>
      <c r="V4">
        <v>1097</v>
      </c>
      <c r="W4">
        <v>1025</v>
      </c>
      <c r="X4">
        <v>1526</v>
      </c>
      <c r="Y4">
        <v>1249</v>
      </c>
    </row>
    <row r="5" spans="1:27" x14ac:dyDescent="0.55000000000000004">
      <c r="A5" t="s">
        <v>54</v>
      </c>
      <c r="B5">
        <v>306</v>
      </c>
      <c r="C5">
        <v>317</v>
      </c>
      <c r="D5">
        <v>332</v>
      </c>
      <c r="E5">
        <v>354</v>
      </c>
      <c r="F5">
        <v>401</v>
      </c>
      <c r="G5">
        <v>426</v>
      </c>
      <c r="H5">
        <v>480</v>
      </c>
      <c r="I5">
        <v>571</v>
      </c>
      <c r="J5">
        <v>708</v>
      </c>
      <c r="K5">
        <v>900</v>
      </c>
      <c r="L5">
        <v>1164</v>
      </c>
      <c r="M5">
        <v>1516</v>
      </c>
      <c r="N5">
        <v>2049</v>
      </c>
      <c r="O5">
        <v>2228</v>
      </c>
      <c r="P5">
        <v>4898</v>
      </c>
      <c r="Q5">
        <v>15987</v>
      </c>
      <c r="R5">
        <v>5848</v>
      </c>
      <c r="S5">
        <v>11258</v>
      </c>
      <c r="T5">
        <v>7137</v>
      </c>
      <c r="U5">
        <v>3871</v>
      </c>
      <c r="V5">
        <v>2313</v>
      </c>
      <c r="W5">
        <v>1518</v>
      </c>
      <c r="X5">
        <v>1628</v>
      </c>
      <c r="Y5">
        <v>250</v>
      </c>
    </row>
    <row r="6" spans="1:27" x14ac:dyDescent="0.55000000000000004">
      <c r="A6" t="s">
        <v>55</v>
      </c>
      <c r="B6">
        <v>85</v>
      </c>
      <c r="C6">
        <v>91</v>
      </c>
      <c r="D6">
        <v>100</v>
      </c>
      <c r="E6">
        <v>116</v>
      </c>
      <c r="F6">
        <v>155</v>
      </c>
      <c r="G6">
        <v>184</v>
      </c>
      <c r="H6">
        <v>249</v>
      </c>
      <c r="I6">
        <v>372</v>
      </c>
      <c r="J6">
        <v>580</v>
      </c>
      <c r="K6">
        <v>922</v>
      </c>
      <c r="L6">
        <v>1475</v>
      </c>
      <c r="M6">
        <v>2398</v>
      </c>
      <c r="N6">
        <v>3612</v>
      </c>
      <c r="O6">
        <v>6972</v>
      </c>
      <c r="P6">
        <v>15135</v>
      </c>
      <c r="Q6">
        <v>36198</v>
      </c>
      <c r="R6">
        <v>11640</v>
      </c>
      <c r="S6">
        <v>5874</v>
      </c>
      <c r="T6">
        <v>6205</v>
      </c>
      <c r="U6">
        <v>11400</v>
      </c>
      <c r="V6">
        <v>8883</v>
      </c>
      <c r="W6">
        <v>6283</v>
      </c>
      <c r="X6">
        <v>4149</v>
      </c>
      <c r="Y6">
        <v>1190</v>
      </c>
    </row>
    <row r="7" spans="1:27" x14ac:dyDescent="0.55000000000000004">
      <c r="A7" t="s">
        <v>56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2</v>
      </c>
      <c r="J7">
        <v>5</v>
      </c>
      <c r="K7">
        <v>15</v>
      </c>
      <c r="L7">
        <v>47</v>
      </c>
      <c r="M7">
        <v>134</v>
      </c>
      <c r="N7">
        <v>456</v>
      </c>
      <c r="O7">
        <v>1102</v>
      </c>
      <c r="P7">
        <v>1743</v>
      </c>
      <c r="Q7">
        <v>7819</v>
      </c>
      <c r="R7">
        <v>1574</v>
      </c>
      <c r="S7">
        <v>5816</v>
      </c>
      <c r="T7">
        <v>3271</v>
      </c>
      <c r="U7">
        <v>1058</v>
      </c>
      <c r="V7">
        <v>461</v>
      </c>
      <c r="W7">
        <v>427</v>
      </c>
      <c r="X7">
        <v>259</v>
      </c>
      <c r="Y7">
        <v>68</v>
      </c>
    </row>
    <row r="8" spans="1:27" x14ac:dyDescent="0.55000000000000004">
      <c r="A8" t="s">
        <v>57</v>
      </c>
      <c r="B8">
        <v>631</v>
      </c>
      <c r="C8">
        <v>651</v>
      </c>
      <c r="D8">
        <v>679</v>
      </c>
      <c r="E8">
        <v>717</v>
      </c>
      <c r="F8">
        <v>798</v>
      </c>
      <c r="G8">
        <v>835</v>
      </c>
      <c r="H8">
        <v>913</v>
      </c>
      <c r="I8">
        <v>1044</v>
      </c>
      <c r="J8">
        <v>1236</v>
      </c>
      <c r="K8">
        <v>1500</v>
      </c>
      <c r="L8">
        <v>1854</v>
      </c>
      <c r="M8">
        <v>2253</v>
      </c>
      <c r="N8">
        <v>3438</v>
      </c>
      <c r="O8">
        <v>762</v>
      </c>
      <c r="P8">
        <v>2525</v>
      </c>
      <c r="Q8">
        <v>2512</v>
      </c>
      <c r="R8">
        <v>1251</v>
      </c>
      <c r="S8">
        <v>5247</v>
      </c>
      <c r="T8">
        <v>4116</v>
      </c>
      <c r="U8">
        <v>1073</v>
      </c>
      <c r="V8">
        <v>447</v>
      </c>
      <c r="W8">
        <v>460</v>
      </c>
      <c r="X8">
        <v>358</v>
      </c>
      <c r="Y8">
        <v>157</v>
      </c>
    </row>
    <row r="9" spans="1:27" x14ac:dyDescent="0.55000000000000004">
      <c r="A9" t="s">
        <v>58</v>
      </c>
      <c r="B9">
        <v>134</v>
      </c>
      <c r="C9">
        <v>141</v>
      </c>
      <c r="D9">
        <v>152</v>
      </c>
      <c r="E9">
        <v>170</v>
      </c>
      <c r="F9" s="28">
        <v>200</v>
      </c>
      <c r="G9" s="28">
        <v>250</v>
      </c>
      <c r="H9" s="28">
        <v>350</v>
      </c>
      <c r="I9" s="28">
        <v>500</v>
      </c>
      <c r="J9" s="28">
        <v>750</v>
      </c>
      <c r="K9" s="28">
        <v>1200</v>
      </c>
      <c r="L9" s="28">
        <v>2500</v>
      </c>
      <c r="M9" s="28">
        <v>5743</v>
      </c>
      <c r="N9">
        <v>11468</v>
      </c>
      <c r="O9">
        <v>26029</v>
      </c>
      <c r="P9">
        <v>18841</v>
      </c>
      <c r="Q9">
        <v>38819</v>
      </c>
      <c r="R9">
        <v>7932</v>
      </c>
      <c r="S9">
        <v>4310</v>
      </c>
      <c r="T9">
        <v>10711</v>
      </c>
      <c r="U9">
        <v>26632</v>
      </c>
      <c r="V9">
        <v>12063</v>
      </c>
      <c r="W9">
        <v>10412</v>
      </c>
      <c r="X9">
        <v>7892</v>
      </c>
      <c r="Y9">
        <v>2668</v>
      </c>
    </row>
    <row r="10" spans="1:27" x14ac:dyDescent="0.55000000000000004">
      <c r="A10" t="s">
        <v>59</v>
      </c>
      <c r="B10">
        <v>958</v>
      </c>
      <c r="C10">
        <v>967</v>
      </c>
      <c r="D10">
        <v>980</v>
      </c>
      <c r="E10">
        <v>996</v>
      </c>
      <c r="F10">
        <v>1029</v>
      </c>
      <c r="G10">
        <v>1045</v>
      </c>
      <c r="H10">
        <v>1078</v>
      </c>
      <c r="I10">
        <v>1131</v>
      </c>
      <c r="J10">
        <v>1207</v>
      </c>
      <c r="K10">
        <v>1306</v>
      </c>
      <c r="L10">
        <v>1431</v>
      </c>
      <c r="M10">
        <v>1580</v>
      </c>
      <c r="N10">
        <v>1811</v>
      </c>
      <c r="O10">
        <v>1706</v>
      </c>
      <c r="P10">
        <v>2739</v>
      </c>
      <c r="Q10">
        <v>8497</v>
      </c>
      <c r="R10">
        <v>3152</v>
      </c>
      <c r="S10">
        <v>3497</v>
      </c>
      <c r="T10">
        <v>6833</v>
      </c>
      <c r="U10">
        <v>11141</v>
      </c>
      <c r="V10">
        <v>3182</v>
      </c>
      <c r="W10">
        <v>3374</v>
      </c>
      <c r="X10">
        <v>3106</v>
      </c>
      <c r="Y10">
        <v>2616</v>
      </c>
    </row>
    <row r="11" spans="1:27" x14ac:dyDescent="0.55000000000000004">
      <c r="A11" t="s">
        <v>60</v>
      </c>
      <c r="B11">
        <v>1660</v>
      </c>
      <c r="C11">
        <v>1694</v>
      </c>
      <c r="D11">
        <v>1741</v>
      </c>
      <c r="E11">
        <v>1803</v>
      </c>
      <c r="F11">
        <v>1933</v>
      </c>
      <c r="G11">
        <v>1994</v>
      </c>
      <c r="H11">
        <v>2121</v>
      </c>
      <c r="I11">
        <v>2331</v>
      </c>
      <c r="J11">
        <v>2633</v>
      </c>
      <c r="K11">
        <v>3039</v>
      </c>
      <c r="L11">
        <v>3568</v>
      </c>
      <c r="M11">
        <v>4178</v>
      </c>
      <c r="N11">
        <v>5555</v>
      </c>
      <c r="O11">
        <v>3605</v>
      </c>
      <c r="P11">
        <v>3271</v>
      </c>
      <c r="Q11">
        <v>5540</v>
      </c>
      <c r="R11">
        <v>4423</v>
      </c>
      <c r="S11">
        <v>7043</v>
      </c>
      <c r="T11">
        <v>9919</v>
      </c>
      <c r="U11">
        <v>8200</v>
      </c>
      <c r="V11">
        <v>2124</v>
      </c>
      <c r="W11">
        <v>2809</v>
      </c>
      <c r="X11">
        <v>3705</v>
      </c>
      <c r="Y11">
        <v>1251</v>
      </c>
    </row>
    <row r="12" spans="1:27" x14ac:dyDescent="0.55000000000000004">
      <c r="A12" t="s">
        <v>61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46</v>
      </c>
      <c r="P12">
        <v>313</v>
      </c>
      <c r="Q12">
        <v>1967</v>
      </c>
      <c r="R12">
        <v>1318</v>
      </c>
      <c r="S12">
        <v>3539</v>
      </c>
      <c r="T12">
        <v>3428</v>
      </c>
      <c r="U12">
        <v>3636</v>
      </c>
      <c r="V12">
        <v>3195</v>
      </c>
      <c r="W12">
        <v>3523</v>
      </c>
      <c r="X12">
        <v>1704</v>
      </c>
      <c r="Y12">
        <v>1976</v>
      </c>
    </row>
    <row r="13" spans="1:27" x14ac:dyDescent="0.55000000000000004">
      <c r="A13" t="s">
        <v>63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64</v>
      </c>
      <c r="Q13">
        <v>137</v>
      </c>
      <c r="R13">
        <v>364</v>
      </c>
      <c r="S13">
        <v>123</v>
      </c>
      <c r="T13">
        <v>148</v>
      </c>
      <c r="U13">
        <v>1253</v>
      </c>
      <c r="V13">
        <v>2026</v>
      </c>
      <c r="W13">
        <v>2356</v>
      </c>
      <c r="X13">
        <v>1028</v>
      </c>
      <c r="Y13">
        <v>1023</v>
      </c>
    </row>
    <row r="14" spans="1:27" x14ac:dyDescent="0.55000000000000004">
      <c r="A14" t="s">
        <v>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428</v>
      </c>
      <c r="R14">
        <v>921</v>
      </c>
      <c r="S14">
        <v>992</v>
      </c>
      <c r="T14">
        <v>1408</v>
      </c>
      <c r="U14">
        <v>2006</v>
      </c>
      <c r="V14">
        <v>1938</v>
      </c>
      <c r="W14">
        <v>863</v>
      </c>
      <c r="X14">
        <v>960</v>
      </c>
      <c r="Y14">
        <v>79</v>
      </c>
    </row>
    <row r="15" spans="1:27" x14ac:dyDescent="0.55000000000000004">
      <c r="A15" t="s">
        <v>65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320</v>
      </c>
      <c r="Q15">
        <v>798</v>
      </c>
      <c r="R15">
        <v>243</v>
      </c>
      <c r="S15">
        <v>95</v>
      </c>
      <c r="T15">
        <v>114</v>
      </c>
      <c r="U15">
        <v>558</v>
      </c>
      <c r="V15">
        <v>355</v>
      </c>
      <c r="W15">
        <v>727</v>
      </c>
      <c r="X15">
        <v>574</v>
      </c>
      <c r="Y15">
        <v>558</v>
      </c>
    </row>
    <row r="16" spans="1:27" x14ac:dyDescent="0.55000000000000004">
      <c r="A16" t="s">
        <v>66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49</v>
      </c>
      <c r="P16">
        <v>159</v>
      </c>
      <c r="Q16">
        <v>1969</v>
      </c>
      <c r="R16">
        <v>2305</v>
      </c>
      <c r="S16">
        <v>1243</v>
      </c>
      <c r="T16">
        <v>2325</v>
      </c>
      <c r="U16">
        <v>5562</v>
      </c>
      <c r="V16">
        <v>4872</v>
      </c>
      <c r="W16">
        <v>4858</v>
      </c>
      <c r="X16">
        <v>4028</v>
      </c>
      <c r="Y16">
        <v>2977</v>
      </c>
    </row>
    <row r="17" spans="1:25" x14ac:dyDescent="0.55000000000000004">
      <c r="A17" t="s">
        <v>67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3</v>
      </c>
      <c r="P17">
        <v>587</v>
      </c>
      <c r="Q17">
        <v>3762</v>
      </c>
      <c r="R17">
        <v>3735</v>
      </c>
      <c r="S17">
        <v>1315</v>
      </c>
      <c r="T17">
        <v>2607</v>
      </c>
      <c r="U17">
        <v>4191</v>
      </c>
      <c r="V17">
        <v>3192</v>
      </c>
      <c r="W17">
        <v>2488</v>
      </c>
      <c r="X17">
        <v>2396</v>
      </c>
      <c r="Y17">
        <v>5263</v>
      </c>
    </row>
    <row r="18" spans="1:25" x14ac:dyDescent="0.55000000000000004">
      <c r="A18" t="s">
        <v>68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59</v>
      </c>
      <c r="P18">
        <v>104</v>
      </c>
      <c r="Q18">
        <v>150</v>
      </c>
      <c r="R18">
        <v>712</v>
      </c>
      <c r="S18">
        <v>749</v>
      </c>
      <c r="T18">
        <v>1510</v>
      </c>
      <c r="U18">
        <v>3117</v>
      </c>
      <c r="V18">
        <v>3265</v>
      </c>
      <c r="W18">
        <v>3721</v>
      </c>
      <c r="X18">
        <v>2781</v>
      </c>
      <c r="Y18">
        <v>1185</v>
      </c>
    </row>
    <row r="19" spans="1:25" x14ac:dyDescent="0.55000000000000004">
      <c r="A19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26</v>
      </c>
      <c r="P19">
        <v>823</v>
      </c>
      <c r="Q19">
        <v>843</v>
      </c>
      <c r="R19">
        <v>533</v>
      </c>
      <c r="S19">
        <v>657</v>
      </c>
      <c r="T19">
        <v>1265</v>
      </c>
      <c r="U19">
        <v>1764</v>
      </c>
      <c r="V19">
        <v>478</v>
      </c>
      <c r="W19">
        <v>745</v>
      </c>
      <c r="X19">
        <v>681</v>
      </c>
      <c r="Y19">
        <v>663</v>
      </c>
    </row>
    <row r="20" spans="1:25" x14ac:dyDescent="0.55000000000000004">
      <c r="A20" t="s">
        <v>70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11</v>
      </c>
      <c r="P20">
        <v>194</v>
      </c>
      <c r="Q20">
        <v>190</v>
      </c>
      <c r="R20">
        <v>23</v>
      </c>
      <c r="S20">
        <v>24</v>
      </c>
      <c r="T20">
        <v>64</v>
      </c>
      <c r="U20">
        <v>81</v>
      </c>
      <c r="V20">
        <v>17</v>
      </c>
      <c r="W20">
        <v>37</v>
      </c>
      <c r="X20">
        <v>1</v>
      </c>
      <c r="Y20">
        <v>3</v>
      </c>
    </row>
    <row r="21" spans="1:25" x14ac:dyDescent="0.55000000000000004">
      <c r="A21" t="s">
        <v>71</v>
      </c>
      <c r="B21">
        <v>1060</v>
      </c>
      <c r="C21">
        <v>1060</v>
      </c>
      <c r="D21">
        <v>1060</v>
      </c>
      <c r="E21">
        <v>1060</v>
      </c>
      <c r="F21">
        <v>1060</v>
      </c>
      <c r="G21">
        <v>1060</v>
      </c>
      <c r="H21">
        <v>1060</v>
      </c>
      <c r="I21">
        <v>1060</v>
      </c>
      <c r="J21">
        <v>1060</v>
      </c>
      <c r="K21">
        <v>1060</v>
      </c>
      <c r="L21">
        <v>1060</v>
      </c>
      <c r="M21">
        <v>1060</v>
      </c>
      <c r="N21">
        <v>1056</v>
      </c>
      <c r="O21">
        <v>450</v>
      </c>
      <c r="P21">
        <v>537</v>
      </c>
      <c r="Q21">
        <v>675</v>
      </c>
      <c r="R21">
        <v>205</v>
      </c>
      <c r="S21">
        <v>1531</v>
      </c>
      <c r="T21">
        <v>2220</v>
      </c>
      <c r="U21">
        <v>539</v>
      </c>
      <c r="V21">
        <v>247</v>
      </c>
      <c r="W21">
        <v>217</v>
      </c>
      <c r="X21">
        <v>464</v>
      </c>
      <c r="Y21">
        <v>71</v>
      </c>
    </row>
    <row r="22" spans="1:25" x14ac:dyDescent="0.55000000000000004">
      <c r="A22" t="s">
        <v>72</v>
      </c>
      <c r="B22">
        <v>702</v>
      </c>
      <c r="C22">
        <v>702</v>
      </c>
      <c r="D22">
        <v>702</v>
      </c>
      <c r="E22">
        <v>702</v>
      </c>
      <c r="F22">
        <v>702</v>
      </c>
      <c r="G22">
        <v>702</v>
      </c>
      <c r="H22">
        <v>702</v>
      </c>
      <c r="I22">
        <v>702</v>
      </c>
      <c r="J22">
        <v>702</v>
      </c>
      <c r="K22">
        <v>702</v>
      </c>
      <c r="L22">
        <v>702</v>
      </c>
      <c r="M22">
        <v>702</v>
      </c>
      <c r="N22">
        <v>517</v>
      </c>
      <c r="O22">
        <v>146</v>
      </c>
      <c r="P22">
        <v>425</v>
      </c>
      <c r="Q22">
        <v>528</v>
      </c>
      <c r="R22">
        <v>151</v>
      </c>
      <c r="S22">
        <v>454</v>
      </c>
      <c r="T22">
        <v>833</v>
      </c>
      <c r="U22">
        <v>378</v>
      </c>
      <c r="V22">
        <v>208</v>
      </c>
      <c r="W22">
        <v>101</v>
      </c>
      <c r="X22">
        <v>104</v>
      </c>
      <c r="Y22">
        <v>93</v>
      </c>
    </row>
    <row r="23" spans="1:25" x14ac:dyDescent="0.55000000000000004">
      <c r="A23" t="s">
        <v>73</v>
      </c>
      <c r="B23">
        <v>324</v>
      </c>
      <c r="C23">
        <v>331</v>
      </c>
      <c r="D23">
        <v>340</v>
      </c>
      <c r="E23">
        <v>352</v>
      </c>
      <c r="F23">
        <v>378</v>
      </c>
      <c r="G23">
        <v>390</v>
      </c>
      <c r="H23">
        <v>415</v>
      </c>
      <c r="I23">
        <v>457</v>
      </c>
      <c r="J23">
        <v>516</v>
      </c>
      <c r="K23">
        <v>596</v>
      </c>
      <c r="L23">
        <v>700</v>
      </c>
      <c r="M23">
        <v>820</v>
      </c>
      <c r="N23">
        <v>1113</v>
      </c>
      <c r="O23">
        <v>474</v>
      </c>
      <c r="P23">
        <v>2241</v>
      </c>
      <c r="Q23">
        <v>2120</v>
      </c>
      <c r="R23">
        <v>286</v>
      </c>
      <c r="S23">
        <v>2188</v>
      </c>
      <c r="T23">
        <v>4365</v>
      </c>
      <c r="U23">
        <v>1370</v>
      </c>
      <c r="V23">
        <v>388</v>
      </c>
      <c r="W23">
        <v>362</v>
      </c>
      <c r="X23">
        <v>498</v>
      </c>
      <c r="Y23">
        <v>61</v>
      </c>
    </row>
    <row r="24" spans="1:25" x14ac:dyDescent="0.55000000000000004">
      <c r="A24" t="s">
        <v>74</v>
      </c>
      <c r="B24">
        <v>1136</v>
      </c>
      <c r="C24">
        <v>1139</v>
      </c>
      <c r="D24">
        <v>1144</v>
      </c>
      <c r="E24">
        <v>1149</v>
      </c>
      <c r="F24">
        <v>1159</v>
      </c>
      <c r="G24">
        <v>1162</v>
      </c>
      <c r="H24">
        <v>1169</v>
      </c>
      <c r="I24">
        <v>1179</v>
      </c>
      <c r="J24">
        <v>1194</v>
      </c>
      <c r="K24">
        <v>1213</v>
      </c>
      <c r="L24">
        <v>1237</v>
      </c>
      <c r="M24">
        <v>1247</v>
      </c>
      <c r="N24">
        <v>1453</v>
      </c>
      <c r="O24">
        <v>403</v>
      </c>
      <c r="P24">
        <v>1867</v>
      </c>
      <c r="Q24">
        <v>3310</v>
      </c>
      <c r="R24">
        <v>1228</v>
      </c>
      <c r="S24">
        <v>3133</v>
      </c>
      <c r="T24">
        <v>7128</v>
      </c>
      <c r="U24">
        <v>3000</v>
      </c>
      <c r="V24">
        <v>807</v>
      </c>
      <c r="W24">
        <v>991</v>
      </c>
      <c r="X24">
        <v>1652</v>
      </c>
      <c r="Y24">
        <v>304</v>
      </c>
    </row>
    <row r="25" spans="1:25" x14ac:dyDescent="0.55000000000000004">
      <c r="A25" t="s">
        <v>75</v>
      </c>
      <c r="B25">
        <v>663</v>
      </c>
      <c r="C25">
        <v>663</v>
      </c>
      <c r="D25">
        <v>663</v>
      </c>
      <c r="E25">
        <v>663</v>
      </c>
      <c r="F25">
        <v>663</v>
      </c>
      <c r="G25">
        <v>663</v>
      </c>
      <c r="H25">
        <v>662</v>
      </c>
      <c r="I25">
        <v>662</v>
      </c>
      <c r="J25">
        <v>661</v>
      </c>
      <c r="K25">
        <v>660</v>
      </c>
      <c r="L25">
        <v>658</v>
      </c>
      <c r="M25">
        <v>667</v>
      </c>
      <c r="N25">
        <v>591</v>
      </c>
      <c r="O25">
        <v>794</v>
      </c>
      <c r="P25">
        <v>3813</v>
      </c>
      <c r="Q25">
        <v>3935</v>
      </c>
      <c r="R25">
        <v>1401</v>
      </c>
      <c r="S25">
        <v>13523</v>
      </c>
      <c r="T25">
        <v>19984</v>
      </c>
      <c r="U25">
        <v>4665</v>
      </c>
      <c r="V25">
        <v>905</v>
      </c>
      <c r="W25">
        <v>1323</v>
      </c>
      <c r="X25">
        <v>1597</v>
      </c>
      <c r="Y25">
        <v>603</v>
      </c>
    </row>
    <row r="26" spans="1:25" x14ac:dyDescent="0.55000000000000004">
      <c r="A26" t="s">
        <v>76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28</v>
      </c>
      <c r="P26">
        <v>168</v>
      </c>
      <c r="Q26">
        <v>806</v>
      </c>
      <c r="R26">
        <v>416</v>
      </c>
      <c r="S26">
        <v>1927</v>
      </c>
      <c r="T26">
        <v>1938</v>
      </c>
      <c r="U26">
        <v>1114</v>
      </c>
      <c r="V26">
        <v>171</v>
      </c>
      <c r="W26">
        <v>290</v>
      </c>
      <c r="X26">
        <v>548</v>
      </c>
      <c r="Y26">
        <v>170</v>
      </c>
    </row>
    <row r="27" spans="1:25" x14ac:dyDescent="0.55000000000000004">
      <c r="A27" t="s">
        <v>77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14</v>
      </c>
      <c r="P27">
        <v>37</v>
      </c>
      <c r="Q27">
        <v>140</v>
      </c>
      <c r="R27">
        <v>298</v>
      </c>
      <c r="S27">
        <v>392</v>
      </c>
      <c r="T27">
        <v>665</v>
      </c>
      <c r="U27">
        <v>249</v>
      </c>
      <c r="V27">
        <v>125</v>
      </c>
      <c r="W27">
        <v>120</v>
      </c>
      <c r="X27">
        <v>164</v>
      </c>
      <c r="Y27">
        <v>119</v>
      </c>
    </row>
    <row r="28" spans="1:25" x14ac:dyDescent="0.55000000000000004">
      <c r="A28" t="s">
        <v>78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4</v>
      </c>
      <c r="R28">
        <v>4</v>
      </c>
      <c r="S28">
        <v>27</v>
      </c>
      <c r="T28">
        <v>48</v>
      </c>
      <c r="U28">
        <v>17</v>
      </c>
      <c r="V28">
        <v>1</v>
      </c>
      <c r="W28">
        <v>1</v>
      </c>
      <c r="X28">
        <v>0</v>
      </c>
      <c r="Y28">
        <v>0</v>
      </c>
    </row>
    <row r="29" spans="1:25" x14ac:dyDescent="0.55000000000000004">
      <c r="A29" t="s">
        <v>79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6</v>
      </c>
      <c r="P29">
        <v>12</v>
      </c>
      <c r="Q29">
        <v>915</v>
      </c>
      <c r="R29">
        <v>1467</v>
      </c>
      <c r="S29">
        <v>1396</v>
      </c>
      <c r="T29">
        <v>524</v>
      </c>
      <c r="U29">
        <v>331</v>
      </c>
      <c r="V29">
        <v>162</v>
      </c>
      <c r="W29">
        <v>58</v>
      </c>
      <c r="X29">
        <v>128</v>
      </c>
      <c r="Y29">
        <v>82</v>
      </c>
    </row>
    <row r="30" spans="1:25" x14ac:dyDescent="0.55000000000000004">
      <c r="A30" t="s">
        <v>80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13</v>
      </c>
      <c r="P30">
        <v>8</v>
      </c>
      <c r="Q30">
        <v>37</v>
      </c>
      <c r="R30">
        <v>8</v>
      </c>
      <c r="S30">
        <v>42</v>
      </c>
      <c r="T30">
        <v>126</v>
      </c>
      <c r="U30">
        <v>40</v>
      </c>
      <c r="V30">
        <v>18</v>
      </c>
      <c r="W30">
        <v>14</v>
      </c>
      <c r="X30">
        <v>12</v>
      </c>
      <c r="Y30">
        <v>1</v>
      </c>
    </row>
    <row r="31" spans="1:25" x14ac:dyDescent="0.55000000000000004">
      <c r="A31" t="s">
        <v>81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2</v>
      </c>
      <c r="T31">
        <v>5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55000000000000004">
      <c r="A32" t="s">
        <v>82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224</v>
      </c>
      <c r="R32">
        <v>244</v>
      </c>
      <c r="S32">
        <v>19</v>
      </c>
      <c r="T32">
        <v>29</v>
      </c>
      <c r="U32">
        <v>140</v>
      </c>
      <c r="V32">
        <v>182</v>
      </c>
      <c r="W32">
        <v>15</v>
      </c>
      <c r="X32">
        <v>45</v>
      </c>
      <c r="Y32">
        <v>7</v>
      </c>
    </row>
    <row r="33" spans="1:25" x14ac:dyDescent="0.55000000000000004">
      <c r="A33" t="s">
        <v>83</v>
      </c>
      <c r="B33">
        <v>89</v>
      </c>
      <c r="C33">
        <v>88</v>
      </c>
      <c r="D33">
        <v>85</v>
      </c>
      <c r="E33">
        <v>83</v>
      </c>
      <c r="F33">
        <v>78</v>
      </c>
      <c r="G33">
        <v>76</v>
      </c>
      <c r="H33">
        <v>72</v>
      </c>
      <c r="I33">
        <v>65</v>
      </c>
      <c r="J33">
        <v>57</v>
      </c>
      <c r="K33">
        <v>46</v>
      </c>
      <c r="L33">
        <v>34</v>
      </c>
      <c r="M33">
        <v>22</v>
      </c>
      <c r="N33">
        <v>5</v>
      </c>
      <c r="O33">
        <v>0</v>
      </c>
      <c r="P33">
        <v>103</v>
      </c>
      <c r="Q33">
        <v>3900</v>
      </c>
      <c r="R33">
        <v>2187</v>
      </c>
      <c r="S33">
        <v>1422</v>
      </c>
      <c r="T33">
        <v>596</v>
      </c>
      <c r="U33">
        <v>1438</v>
      </c>
      <c r="V33">
        <v>2272</v>
      </c>
      <c r="W33">
        <v>912</v>
      </c>
      <c r="X33">
        <v>1481</v>
      </c>
      <c r="Y33">
        <v>351</v>
      </c>
    </row>
    <row r="34" spans="1:25" x14ac:dyDescent="0.55000000000000004">
      <c r="A34" t="s">
        <v>84</v>
      </c>
      <c r="B34">
        <v>51</v>
      </c>
      <c r="C34">
        <v>51</v>
      </c>
      <c r="D34">
        <v>51</v>
      </c>
      <c r="E34">
        <v>51</v>
      </c>
      <c r="F34">
        <v>51</v>
      </c>
      <c r="G34">
        <v>51</v>
      </c>
      <c r="H34">
        <v>51</v>
      </c>
      <c r="I34">
        <v>51</v>
      </c>
      <c r="J34">
        <v>51</v>
      </c>
      <c r="K34">
        <v>51</v>
      </c>
      <c r="L34">
        <v>51</v>
      </c>
      <c r="M34">
        <v>51</v>
      </c>
      <c r="N34">
        <v>63</v>
      </c>
      <c r="O34">
        <v>28</v>
      </c>
      <c r="P34">
        <v>187</v>
      </c>
      <c r="Q34">
        <v>1938</v>
      </c>
      <c r="R34">
        <v>433</v>
      </c>
      <c r="S34">
        <v>2445</v>
      </c>
      <c r="T34">
        <v>2786</v>
      </c>
      <c r="U34">
        <v>2795</v>
      </c>
      <c r="V34">
        <v>943</v>
      </c>
      <c r="W34">
        <v>652</v>
      </c>
      <c r="X34">
        <v>904</v>
      </c>
      <c r="Y34">
        <v>92</v>
      </c>
    </row>
    <row r="35" spans="1:25" x14ac:dyDescent="0.55000000000000004">
      <c r="A35" t="s">
        <v>85</v>
      </c>
      <c r="B35">
        <v>0</v>
      </c>
      <c r="C35">
        <v>0</v>
      </c>
      <c r="D35">
        <v>1</v>
      </c>
      <c r="E35">
        <v>1</v>
      </c>
      <c r="F35">
        <v>1</v>
      </c>
      <c r="G35">
        <v>1</v>
      </c>
      <c r="H35">
        <v>2</v>
      </c>
      <c r="I35">
        <v>3</v>
      </c>
      <c r="J35">
        <v>5</v>
      </c>
      <c r="K35">
        <v>8</v>
      </c>
      <c r="L35">
        <v>15</v>
      </c>
      <c r="M35">
        <v>26</v>
      </c>
      <c r="N35">
        <v>59</v>
      </c>
      <c r="O35">
        <v>15</v>
      </c>
      <c r="P35">
        <v>191</v>
      </c>
      <c r="Q35">
        <v>538</v>
      </c>
      <c r="R35">
        <v>878</v>
      </c>
      <c r="S35">
        <v>5656</v>
      </c>
      <c r="T35">
        <v>1927</v>
      </c>
      <c r="U35">
        <v>3622</v>
      </c>
      <c r="V35">
        <v>2126</v>
      </c>
      <c r="W35">
        <v>2753</v>
      </c>
      <c r="X35">
        <v>3753</v>
      </c>
      <c r="Y35">
        <v>65</v>
      </c>
    </row>
    <row r="36" spans="1:25" x14ac:dyDescent="0.55000000000000004">
      <c r="A36" t="s">
        <v>86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9</v>
      </c>
      <c r="Q36">
        <v>173</v>
      </c>
      <c r="R36">
        <v>306</v>
      </c>
      <c r="S36">
        <v>73</v>
      </c>
      <c r="T36">
        <v>276</v>
      </c>
      <c r="U36">
        <v>178</v>
      </c>
      <c r="V36">
        <v>68</v>
      </c>
      <c r="W36">
        <v>51</v>
      </c>
      <c r="X36">
        <v>101</v>
      </c>
      <c r="Y36">
        <v>7</v>
      </c>
    </row>
    <row r="37" spans="1:25" x14ac:dyDescent="0.55000000000000004">
      <c r="A37" t="s">
        <v>87</v>
      </c>
      <c r="B37">
        <v>44</v>
      </c>
      <c r="C37">
        <v>44</v>
      </c>
      <c r="D37">
        <v>44</v>
      </c>
      <c r="E37">
        <v>44</v>
      </c>
      <c r="F37">
        <v>44</v>
      </c>
      <c r="G37">
        <v>44</v>
      </c>
      <c r="H37">
        <v>44</v>
      </c>
      <c r="I37">
        <v>44</v>
      </c>
      <c r="J37">
        <v>44</v>
      </c>
      <c r="K37">
        <v>44</v>
      </c>
      <c r="L37">
        <v>44</v>
      </c>
      <c r="M37">
        <v>44</v>
      </c>
      <c r="N37">
        <v>26</v>
      </c>
      <c r="O37">
        <v>80</v>
      </c>
      <c r="P37">
        <v>243</v>
      </c>
      <c r="Q37">
        <v>1311</v>
      </c>
      <c r="R37">
        <v>3107</v>
      </c>
      <c r="S37">
        <v>8962</v>
      </c>
      <c r="T37">
        <v>4928</v>
      </c>
      <c r="U37">
        <v>13120</v>
      </c>
      <c r="V37">
        <v>6766</v>
      </c>
      <c r="W37">
        <v>8488</v>
      </c>
      <c r="X37">
        <v>10238</v>
      </c>
      <c r="Y37">
        <v>605</v>
      </c>
    </row>
    <row r="38" spans="1:25" x14ac:dyDescent="0.55000000000000004">
      <c r="A38" t="s">
        <v>88</v>
      </c>
      <c r="B38">
        <v>169</v>
      </c>
      <c r="C38">
        <v>169</v>
      </c>
      <c r="D38">
        <v>169</v>
      </c>
      <c r="E38">
        <v>169</v>
      </c>
      <c r="F38">
        <v>169</v>
      </c>
      <c r="G38">
        <v>169</v>
      </c>
      <c r="H38">
        <v>169</v>
      </c>
      <c r="I38">
        <v>169</v>
      </c>
      <c r="J38">
        <v>169</v>
      </c>
      <c r="K38">
        <v>169</v>
      </c>
      <c r="L38">
        <v>169</v>
      </c>
      <c r="M38">
        <v>169</v>
      </c>
      <c r="N38">
        <v>50</v>
      </c>
      <c r="O38">
        <v>28</v>
      </c>
      <c r="P38">
        <v>162</v>
      </c>
      <c r="Q38">
        <v>6982</v>
      </c>
      <c r="R38">
        <v>4405</v>
      </c>
      <c r="S38">
        <v>7632</v>
      </c>
      <c r="T38">
        <v>4486</v>
      </c>
      <c r="U38">
        <v>7472</v>
      </c>
      <c r="V38">
        <v>6695</v>
      </c>
      <c r="W38">
        <v>6734</v>
      </c>
      <c r="X38">
        <v>10048</v>
      </c>
      <c r="Y38">
        <v>319</v>
      </c>
    </row>
    <row r="39" spans="1:25" x14ac:dyDescent="0.55000000000000004">
      <c r="A39" t="s">
        <v>89</v>
      </c>
      <c r="B39">
        <v>124</v>
      </c>
      <c r="C39">
        <v>122</v>
      </c>
      <c r="D39">
        <v>119</v>
      </c>
      <c r="E39">
        <v>115</v>
      </c>
      <c r="F39">
        <v>108</v>
      </c>
      <c r="G39">
        <v>105</v>
      </c>
      <c r="H39">
        <v>99</v>
      </c>
      <c r="I39">
        <v>89</v>
      </c>
      <c r="J39">
        <v>77</v>
      </c>
      <c r="K39">
        <v>61</v>
      </c>
      <c r="L39">
        <v>44</v>
      </c>
      <c r="M39">
        <v>25</v>
      </c>
      <c r="N39">
        <v>1</v>
      </c>
      <c r="O39">
        <v>4</v>
      </c>
      <c r="P39">
        <v>32</v>
      </c>
      <c r="Q39">
        <v>822</v>
      </c>
      <c r="R39">
        <v>1270</v>
      </c>
      <c r="S39">
        <v>5411</v>
      </c>
      <c r="T39">
        <v>2437</v>
      </c>
      <c r="U39">
        <v>5112</v>
      </c>
      <c r="V39">
        <v>2255</v>
      </c>
      <c r="W39">
        <v>3082</v>
      </c>
      <c r="X39">
        <v>3645</v>
      </c>
      <c r="Y39">
        <v>160</v>
      </c>
    </row>
    <row r="40" spans="1:25" x14ac:dyDescent="0.55000000000000004">
      <c r="A40" t="s">
        <v>90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21</v>
      </c>
      <c r="P40">
        <v>28</v>
      </c>
      <c r="Q40">
        <v>87</v>
      </c>
      <c r="R40">
        <v>88</v>
      </c>
      <c r="S40">
        <v>219</v>
      </c>
      <c r="T40">
        <v>172</v>
      </c>
      <c r="U40">
        <v>312</v>
      </c>
      <c r="V40">
        <v>256</v>
      </c>
      <c r="W40">
        <v>182</v>
      </c>
      <c r="X40">
        <v>62</v>
      </c>
      <c r="Y40">
        <v>57</v>
      </c>
    </row>
    <row r="41" spans="1:25" x14ac:dyDescent="0.55000000000000004">
      <c r="A41" t="s">
        <v>91</v>
      </c>
      <c r="B41">
        <v>2097</v>
      </c>
      <c r="C41">
        <v>2130</v>
      </c>
      <c r="D41">
        <v>2174</v>
      </c>
      <c r="E41">
        <v>2231</v>
      </c>
      <c r="F41">
        <v>2348</v>
      </c>
      <c r="G41">
        <v>2397</v>
      </c>
      <c r="H41">
        <v>2499</v>
      </c>
      <c r="I41">
        <v>2667</v>
      </c>
      <c r="J41">
        <v>2906</v>
      </c>
      <c r="K41">
        <v>3222</v>
      </c>
      <c r="L41">
        <v>3628</v>
      </c>
      <c r="M41">
        <v>4030</v>
      </c>
      <c r="N41">
        <v>5564</v>
      </c>
      <c r="O41">
        <v>840</v>
      </c>
      <c r="P41">
        <v>4073</v>
      </c>
      <c r="Q41">
        <v>2620</v>
      </c>
      <c r="R41">
        <v>1568</v>
      </c>
      <c r="S41">
        <v>3705</v>
      </c>
      <c r="T41">
        <v>5479</v>
      </c>
      <c r="U41">
        <v>2793</v>
      </c>
      <c r="V41">
        <v>1422</v>
      </c>
      <c r="W41">
        <v>1610</v>
      </c>
      <c r="X41">
        <v>2413</v>
      </c>
      <c r="Y41">
        <v>1100</v>
      </c>
    </row>
    <row r="42" spans="1:25" x14ac:dyDescent="0.55000000000000004">
      <c r="A42" t="s">
        <v>92</v>
      </c>
      <c r="B42">
        <v>2834</v>
      </c>
      <c r="C42">
        <v>2834</v>
      </c>
      <c r="D42">
        <v>2834</v>
      </c>
      <c r="E42">
        <v>2834</v>
      </c>
      <c r="F42">
        <v>2834</v>
      </c>
      <c r="G42">
        <v>2834</v>
      </c>
      <c r="H42">
        <v>2834</v>
      </c>
      <c r="I42">
        <v>2834</v>
      </c>
      <c r="J42">
        <v>2834</v>
      </c>
      <c r="K42">
        <v>2834</v>
      </c>
      <c r="L42">
        <v>2834</v>
      </c>
      <c r="M42">
        <v>2834</v>
      </c>
      <c r="N42">
        <v>2317</v>
      </c>
      <c r="O42">
        <v>421</v>
      </c>
      <c r="P42">
        <v>616</v>
      </c>
      <c r="Q42">
        <v>417</v>
      </c>
      <c r="R42">
        <v>981</v>
      </c>
      <c r="S42">
        <v>3284</v>
      </c>
      <c r="T42">
        <v>5143</v>
      </c>
      <c r="U42">
        <v>2629</v>
      </c>
      <c r="V42">
        <v>820</v>
      </c>
      <c r="W42">
        <v>1083</v>
      </c>
      <c r="X42">
        <v>1744</v>
      </c>
      <c r="Y42">
        <v>1094</v>
      </c>
    </row>
    <row r="43" spans="1:25" x14ac:dyDescent="0.55000000000000004">
      <c r="A43" t="s">
        <v>93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5</v>
      </c>
      <c r="Q43">
        <v>800</v>
      </c>
      <c r="R43">
        <v>1021</v>
      </c>
      <c r="S43">
        <v>319</v>
      </c>
      <c r="T43">
        <v>284</v>
      </c>
      <c r="U43">
        <v>473</v>
      </c>
      <c r="V43">
        <v>959</v>
      </c>
      <c r="W43">
        <v>880</v>
      </c>
      <c r="X43">
        <v>2071</v>
      </c>
      <c r="Y43">
        <v>217</v>
      </c>
    </row>
    <row r="44" spans="1:25" x14ac:dyDescent="0.55000000000000004">
      <c r="A44" t="s">
        <v>94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483</v>
      </c>
      <c r="R44">
        <v>315</v>
      </c>
      <c r="S44">
        <v>46</v>
      </c>
      <c r="T44">
        <v>76</v>
      </c>
      <c r="U44">
        <v>61</v>
      </c>
      <c r="V44">
        <v>24</v>
      </c>
      <c r="W44">
        <v>11</v>
      </c>
      <c r="X44">
        <v>2</v>
      </c>
      <c r="Y44">
        <v>0</v>
      </c>
    </row>
    <row r="45" spans="1:25" x14ac:dyDescent="0.55000000000000004">
      <c r="A45" t="s">
        <v>117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83</v>
      </c>
      <c r="R45">
        <v>12</v>
      </c>
      <c r="S45">
        <v>79</v>
      </c>
      <c r="T45">
        <v>14</v>
      </c>
      <c r="U45">
        <v>10</v>
      </c>
      <c r="V45">
        <v>29</v>
      </c>
      <c r="W45">
        <v>38</v>
      </c>
      <c r="X45">
        <v>64</v>
      </c>
      <c r="Y45">
        <v>2</v>
      </c>
    </row>
    <row r="46" spans="1:25" x14ac:dyDescent="0.55000000000000004">
      <c r="A46" t="s">
        <v>96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202</v>
      </c>
      <c r="Q46">
        <v>711</v>
      </c>
      <c r="R46">
        <v>2527</v>
      </c>
      <c r="S46">
        <v>701</v>
      </c>
      <c r="T46">
        <v>648</v>
      </c>
      <c r="U46">
        <v>977</v>
      </c>
      <c r="V46">
        <v>447</v>
      </c>
      <c r="W46">
        <v>540</v>
      </c>
      <c r="X46">
        <v>968</v>
      </c>
      <c r="Y46">
        <v>32</v>
      </c>
    </row>
    <row r="47" spans="1:25" x14ac:dyDescent="0.55000000000000004">
      <c r="A47" t="s">
        <v>97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4</v>
      </c>
      <c r="P47">
        <v>59</v>
      </c>
      <c r="Q47">
        <v>521</v>
      </c>
      <c r="R47">
        <v>937</v>
      </c>
      <c r="S47">
        <v>186</v>
      </c>
      <c r="T47">
        <v>103</v>
      </c>
      <c r="U47">
        <v>122</v>
      </c>
      <c r="V47">
        <v>48</v>
      </c>
      <c r="W47">
        <v>69</v>
      </c>
      <c r="X47">
        <v>125</v>
      </c>
      <c r="Y47">
        <v>1</v>
      </c>
    </row>
    <row r="48" spans="1:25" x14ac:dyDescent="0.55000000000000004">
      <c r="A48" t="s">
        <v>98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22</v>
      </c>
      <c r="R48">
        <v>7</v>
      </c>
      <c r="S48">
        <v>4</v>
      </c>
      <c r="T48">
        <v>6</v>
      </c>
      <c r="U48">
        <v>3</v>
      </c>
      <c r="V48">
        <v>57</v>
      </c>
      <c r="W48">
        <v>114</v>
      </c>
      <c r="X48">
        <v>83</v>
      </c>
      <c r="Y48">
        <v>28</v>
      </c>
    </row>
    <row r="49" spans="1:25" x14ac:dyDescent="0.55000000000000004">
      <c r="A49" t="s">
        <v>99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10</v>
      </c>
      <c r="P49">
        <v>0</v>
      </c>
      <c r="Q49">
        <v>147</v>
      </c>
      <c r="R49">
        <v>314</v>
      </c>
      <c r="S49">
        <v>156</v>
      </c>
      <c r="T49">
        <v>1064</v>
      </c>
      <c r="U49">
        <v>1295</v>
      </c>
      <c r="V49">
        <v>522</v>
      </c>
      <c r="W49">
        <v>175</v>
      </c>
      <c r="X49">
        <v>366</v>
      </c>
      <c r="Y49">
        <v>316</v>
      </c>
    </row>
    <row r="50" spans="1:25" x14ac:dyDescent="0.55000000000000004">
      <c r="A50" t="s">
        <v>100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16</v>
      </c>
      <c r="R50">
        <v>0</v>
      </c>
      <c r="S50">
        <v>0</v>
      </c>
      <c r="T50">
        <v>18</v>
      </c>
      <c r="U50">
        <v>180</v>
      </c>
      <c r="V50">
        <v>12</v>
      </c>
      <c r="W50">
        <v>0</v>
      </c>
      <c r="X50">
        <v>0</v>
      </c>
      <c r="Y50">
        <v>0</v>
      </c>
    </row>
    <row r="51" spans="1:25" x14ac:dyDescent="0.55000000000000004">
      <c r="A51" t="s">
        <v>101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10</v>
      </c>
      <c r="V51">
        <v>0</v>
      </c>
      <c r="W51">
        <v>0</v>
      </c>
      <c r="X51">
        <v>0</v>
      </c>
      <c r="Y51">
        <v>0</v>
      </c>
    </row>
    <row r="52" spans="1:25" ht="14.7" thickBot="1" x14ac:dyDescent="0.6"/>
    <row r="53" spans="1:25" ht="14.7" thickBot="1" x14ac:dyDescent="0.6">
      <c r="A53" s="23" t="s">
        <v>110</v>
      </c>
      <c r="B53" s="3">
        <f>SUM(B2:B51)</f>
        <v>26186</v>
      </c>
      <c r="C53" s="3">
        <f>SUM(C2:C51)</f>
        <v>26322</v>
      </c>
      <c r="D53" s="3">
        <f>SUM(D2:D51)</f>
        <v>26510</v>
      </c>
      <c r="E53" s="3">
        <f>SUM(E2:E51)</f>
        <v>26766</v>
      </c>
      <c r="F53" s="3">
        <f>SUM(F2:F51)</f>
        <v>27301</v>
      </c>
      <c r="G53" s="3">
        <f>SUM(G2:G51)</f>
        <v>27603</v>
      </c>
      <c r="H53" s="3">
        <f>SUM(H2:H51)</f>
        <v>28236</v>
      </c>
      <c r="I53" s="3">
        <f>SUM(I2:I51)</f>
        <v>29277</v>
      </c>
      <c r="J53" s="3">
        <f>SUM(J2:J51)</f>
        <v>30894</v>
      </c>
      <c r="K53" s="3">
        <f>SUM(K2:K51)</f>
        <v>33280</v>
      </c>
      <c r="L53" s="3">
        <f>SUM(L2:L51)</f>
        <v>37339</v>
      </c>
      <c r="M53" s="3">
        <f>SUM(M2:M51)</f>
        <v>44236</v>
      </c>
      <c r="N53" s="3">
        <f>SUM(N2:N51)</f>
        <v>53350</v>
      </c>
      <c r="O53" s="3">
        <f>SUM(O2:O51)</f>
        <v>55776</v>
      </c>
      <c r="P53" s="3">
        <f>SUM(P2:P51)</f>
        <v>101995</v>
      </c>
      <c r="Q53" s="3">
        <f>SUM(Q2:Q51)</f>
        <v>186166</v>
      </c>
      <c r="R53" s="3">
        <f>SUM(R2:R51)</f>
        <v>81015</v>
      </c>
      <c r="S53" s="3">
        <f>SUM(S2:S51)</f>
        <v>143699</v>
      </c>
      <c r="T53" s="3">
        <f>SUM(T2:T51)</f>
        <v>162805</v>
      </c>
      <c r="U53" s="3">
        <f>SUM(U2:U51)</f>
        <v>164639</v>
      </c>
      <c r="V53" s="3">
        <f>SUM(V2:V51)</f>
        <v>86334</v>
      </c>
      <c r="W53" s="3">
        <f>SUM(W2:W51)</f>
        <v>80499</v>
      </c>
      <c r="X53" s="3">
        <f>SUM(X2:X51)</f>
        <v>83721</v>
      </c>
      <c r="Y53" s="3">
        <f>SUM(Y2:Y51)</f>
        <v>29895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6409-3B5B-4850-BA78-EE1975F668B1}">
  <dimension ref="A1:AG59"/>
  <sheetViews>
    <sheetView topLeftCell="A16" workbookViewId="0">
      <selection activeCell="G2" sqref="G2:G13"/>
    </sheetView>
  </sheetViews>
  <sheetFormatPr defaultRowHeight="14.4" x14ac:dyDescent="0.55000000000000004"/>
  <cols>
    <col min="1" max="1" width="19.9453125" customWidth="1"/>
    <col min="10" max="10" width="13.41796875" customWidth="1"/>
    <col min="11" max="11" width="10.47265625" customWidth="1"/>
  </cols>
  <sheetData>
    <row r="1" spans="1:33" x14ac:dyDescent="0.55000000000000004">
      <c r="B1" s="35" t="s">
        <v>142</v>
      </c>
      <c r="C1" s="35"/>
      <c r="D1" s="35"/>
      <c r="E1" s="35"/>
      <c r="F1" s="35"/>
      <c r="G1" s="35"/>
      <c r="H1" s="35"/>
      <c r="J1" s="35" t="s">
        <v>143</v>
      </c>
      <c r="K1" s="35"/>
      <c r="L1" s="1"/>
      <c r="M1" s="35" t="s">
        <v>144</v>
      </c>
      <c r="N1" s="35"/>
      <c r="O1" s="35"/>
      <c r="P1" s="35"/>
      <c r="Q1" s="35"/>
      <c r="R1" s="35"/>
      <c r="S1" s="35"/>
      <c r="T1" s="35"/>
      <c r="U1" s="35"/>
      <c r="W1" s="35" t="s">
        <v>154</v>
      </c>
      <c r="X1" s="35"/>
      <c r="Y1" s="35"/>
      <c r="Z1" s="35"/>
      <c r="AA1" s="35"/>
      <c r="AB1" s="35"/>
      <c r="AC1" s="35"/>
      <c r="AD1" s="35"/>
      <c r="AE1" s="35"/>
      <c r="AF1" s="35"/>
      <c r="AG1" s="35"/>
    </row>
    <row r="2" spans="1:33" x14ac:dyDescent="0.55000000000000004">
      <c r="A2" s="27" t="s">
        <v>115</v>
      </c>
      <c r="B2" s="27">
        <v>1894</v>
      </c>
      <c r="C2" s="27">
        <v>1895</v>
      </c>
      <c r="D2" s="27">
        <v>1896</v>
      </c>
      <c r="E2" s="1"/>
      <c r="F2" s="30">
        <v>18.940000000000001</v>
      </c>
      <c r="G2" s="30">
        <v>18.95</v>
      </c>
      <c r="H2" s="30">
        <v>18.96</v>
      </c>
      <c r="J2" s="31" t="s">
        <v>6</v>
      </c>
      <c r="K2" s="31" t="s">
        <v>135</v>
      </c>
      <c r="M2" s="27">
        <v>1893</v>
      </c>
      <c r="N2" s="27">
        <v>1894</v>
      </c>
      <c r="O2" s="27">
        <v>1895</v>
      </c>
      <c r="P2" s="27">
        <v>1896</v>
      </c>
      <c r="R2" s="30">
        <v>18.93</v>
      </c>
      <c r="S2" s="30">
        <v>18.940000000000001</v>
      </c>
      <c r="T2" s="30">
        <v>18.95</v>
      </c>
      <c r="U2" s="30">
        <v>18.96</v>
      </c>
      <c r="W2" s="31">
        <v>1896</v>
      </c>
      <c r="X2" s="31">
        <v>1897</v>
      </c>
      <c r="Y2" s="31">
        <v>1898</v>
      </c>
      <c r="Z2" s="31">
        <v>1899</v>
      </c>
      <c r="AA2" s="31" t="s">
        <v>152</v>
      </c>
      <c r="AC2" s="32">
        <v>18.96</v>
      </c>
      <c r="AD2" s="32">
        <v>18.97</v>
      </c>
      <c r="AE2" s="32">
        <v>18.98</v>
      </c>
      <c r="AF2" s="32">
        <v>18.989999999999998</v>
      </c>
      <c r="AG2" s="31" t="s">
        <v>153</v>
      </c>
    </row>
    <row r="3" spans="1:33" x14ac:dyDescent="0.55000000000000004">
      <c r="A3" t="s">
        <v>128</v>
      </c>
      <c r="B3" s="3">
        <v>2474</v>
      </c>
      <c r="C3" s="3">
        <v>21855</v>
      </c>
      <c r="D3" s="3">
        <v>43592</v>
      </c>
      <c r="F3" s="29">
        <f t="shared" ref="F3:H5" si="0">B3/B$15 * 100</f>
        <v>34.213801687180194</v>
      </c>
      <c r="G3" s="29">
        <f t="shared" si="0"/>
        <v>25.57815645334956</v>
      </c>
      <c r="H3" s="29">
        <f t="shared" si="0"/>
        <v>24.616010119262739</v>
      </c>
      <c r="J3" s="3">
        <v>4000</v>
      </c>
      <c r="K3" s="29">
        <f>J3/J$15*100</f>
        <v>1.2228676245796393</v>
      </c>
      <c r="M3">
        <v>1000</v>
      </c>
      <c r="N3">
        <v>4450</v>
      </c>
      <c r="O3">
        <v>10950</v>
      </c>
      <c r="P3">
        <v>18400</v>
      </c>
      <c r="R3" s="29">
        <f>M3/M$15*100</f>
        <v>19.801980198019802</v>
      </c>
      <c r="S3" s="29">
        <f>N3/N$15*100</f>
        <v>33.208955223880601</v>
      </c>
      <c r="T3" s="29">
        <f>O3/O$15*100</f>
        <v>28.853754940711461</v>
      </c>
      <c r="U3" s="29">
        <f>P3/P$15*100</f>
        <v>30.898404701931149</v>
      </c>
      <c r="W3" s="3">
        <v>46434</v>
      </c>
      <c r="X3" s="3">
        <v>17774</v>
      </c>
      <c r="Y3" s="3">
        <v>24586</v>
      </c>
      <c r="Z3" s="3">
        <v>32090</v>
      </c>
      <c r="AA3" s="3">
        <v>120884</v>
      </c>
      <c r="AC3" s="29">
        <f>W3/W$15*100</f>
        <v>24.418127701643861</v>
      </c>
      <c r="AD3" s="29">
        <f t="shared" ref="AD3:AG13" si="1">X3/X$15*100</f>
        <v>21.254409566517189</v>
      </c>
      <c r="AE3" s="29">
        <f t="shared" si="1"/>
        <v>12.493267071150543</v>
      </c>
      <c r="AF3" s="29">
        <f t="shared" si="1"/>
        <v>15.152731410870867</v>
      </c>
      <c r="AG3" s="29">
        <f t="shared" si="1"/>
        <v>17.715627280694299</v>
      </c>
    </row>
    <row r="4" spans="1:33" x14ac:dyDescent="0.55000000000000004">
      <c r="A4" t="s">
        <v>149</v>
      </c>
      <c r="B4" s="3">
        <v>314</v>
      </c>
      <c r="C4" s="3">
        <v>1515</v>
      </c>
      <c r="D4" s="3">
        <v>1911</v>
      </c>
      <c r="F4" s="29">
        <f t="shared" si="0"/>
        <v>4.3424146037892406</v>
      </c>
      <c r="G4" s="29">
        <f t="shared" si="0"/>
        <v>1.7730911474181921</v>
      </c>
      <c r="H4" s="29">
        <f t="shared" si="0"/>
        <v>1.079124503071919</v>
      </c>
      <c r="J4" s="3">
        <v>16000</v>
      </c>
      <c r="K4" s="29">
        <f>J4/J$15*100</f>
        <v>4.8914704983185571</v>
      </c>
      <c r="R4" s="29"/>
      <c r="S4" s="29"/>
      <c r="T4" s="29"/>
      <c r="U4" s="29"/>
      <c r="W4" s="3">
        <v>1954</v>
      </c>
      <c r="X4" s="3">
        <v>1344</v>
      </c>
      <c r="Y4" s="3">
        <v>4034</v>
      </c>
      <c r="Z4" s="3">
        <v>1540</v>
      </c>
      <c r="AA4" s="3">
        <v>8872</v>
      </c>
      <c r="AC4" s="29">
        <f t="shared" ref="AC4:AC13" si="2">W4/W$15*100</f>
        <v>1.0275449353708943</v>
      </c>
      <c r="AD4" s="29">
        <f t="shared" si="1"/>
        <v>1.6071748878923768</v>
      </c>
      <c r="AE4" s="29">
        <f t="shared" si="1"/>
        <v>2.0498592436761283</v>
      </c>
      <c r="AF4" s="29">
        <f t="shared" si="1"/>
        <v>0.72718000538302074</v>
      </c>
      <c r="AG4" s="29">
        <f t="shared" si="1"/>
        <v>1.3001972571582658</v>
      </c>
    </row>
    <row r="5" spans="1:33" x14ac:dyDescent="0.55000000000000004">
      <c r="A5" t="s">
        <v>125</v>
      </c>
      <c r="B5" s="3">
        <v>128</v>
      </c>
      <c r="C5" s="3">
        <v>6452</v>
      </c>
      <c r="D5" s="3">
        <v>19213</v>
      </c>
      <c r="F5" s="29">
        <f t="shared" si="0"/>
        <v>1.770156271608353</v>
      </c>
      <c r="G5" s="29">
        <f t="shared" si="0"/>
        <v>7.5511446093347683</v>
      </c>
      <c r="H5" s="29">
        <f t="shared" si="0"/>
        <v>10.849408203830864</v>
      </c>
      <c r="J5" s="3">
        <v>25000</v>
      </c>
      <c r="K5" s="29">
        <f>J5/J$15*100</f>
        <v>7.6429226536227457</v>
      </c>
      <c r="M5">
        <v>950</v>
      </c>
      <c r="N5">
        <v>1700</v>
      </c>
      <c r="O5">
        <v>3700</v>
      </c>
      <c r="P5">
        <v>7900</v>
      </c>
      <c r="R5" s="29">
        <f>M5/M$15*100</f>
        <v>18.811881188118811</v>
      </c>
      <c r="S5" s="29">
        <f>N5/N$15*100</f>
        <v>12.686567164179104</v>
      </c>
      <c r="T5" s="29">
        <f>O5/O$15*100</f>
        <v>9.749670619235836</v>
      </c>
      <c r="U5" s="29">
        <f>P5/P$15*100</f>
        <v>13.266162888329136</v>
      </c>
      <c r="W5" s="3">
        <v>20195</v>
      </c>
      <c r="X5" s="3">
        <v>6710</v>
      </c>
      <c r="Y5" s="3">
        <v>28190</v>
      </c>
      <c r="Z5" s="3">
        <v>26399</v>
      </c>
      <c r="AA5" s="3">
        <v>81494</v>
      </c>
      <c r="AC5" s="29">
        <f t="shared" si="2"/>
        <v>10.619892512699698</v>
      </c>
      <c r="AD5" s="29">
        <f t="shared" si="1"/>
        <v>8.0239162929745902</v>
      </c>
      <c r="AE5" s="29">
        <f t="shared" si="1"/>
        <v>14.324623718202792</v>
      </c>
      <c r="AF5" s="29">
        <f t="shared" si="1"/>
        <v>12.465470754614524</v>
      </c>
      <c r="AG5" s="29">
        <f t="shared" si="1"/>
        <v>11.942997663982837</v>
      </c>
    </row>
    <row r="6" spans="1:33" x14ac:dyDescent="0.55000000000000004">
      <c r="A6" t="s">
        <v>150</v>
      </c>
      <c r="B6" s="3"/>
      <c r="C6" s="3"/>
      <c r="D6" s="3"/>
      <c r="F6" s="29"/>
      <c r="G6" s="29"/>
      <c r="H6" s="29"/>
      <c r="J6" s="3"/>
      <c r="K6" s="29"/>
      <c r="R6" s="29"/>
      <c r="S6" s="29"/>
      <c r="T6" s="29"/>
      <c r="U6" s="29"/>
      <c r="W6">
        <v>3</v>
      </c>
      <c r="X6">
        <v>25</v>
      </c>
      <c r="Y6">
        <v>189</v>
      </c>
      <c r="Z6">
        <v>590</v>
      </c>
      <c r="AA6">
        <v>807</v>
      </c>
      <c r="AC6" s="29">
        <f t="shared" si="2"/>
        <v>1.5776022549194898E-3</v>
      </c>
      <c r="AD6" s="29">
        <f t="shared" si="1"/>
        <v>2.9895366218236175E-2</v>
      </c>
      <c r="AE6" s="29">
        <f t="shared" si="1"/>
        <v>9.6039513399798784E-2</v>
      </c>
      <c r="AF6" s="29">
        <f t="shared" si="1"/>
        <v>0.27859493712726124</v>
      </c>
      <c r="AG6" s="29">
        <f t="shared" si="1"/>
        <v>0.11826636457695228</v>
      </c>
    </row>
    <row r="7" spans="1:33" x14ac:dyDescent="0.55000000000000004">
      <c r="A7" t="s">
        <v>126</v>
      </c>
      <c r="B7" s="3">
        <v>0</v>
      </c>
      <c r="C7" s="3">
        <v>25</v>
      </c>
      <c r="D7" s="3">
        <v>119</v>
      </c>
      <c r="F7" s="29">
        <f t="shared" ref="F7:H9" si="3">B7/B$15 * 100</f>
        <v>0</v>
      </c>
      <c r="G7" s="29">
        <f t="shared" si="3"/>
        <v>2.9258929825382706E-2</v>
      </c>
      <c r="H7" s="29">
        <f t="shared" si="3"/>
        <v>6.7198229129020598E-2</v>
      </c>
      <c r="J7" s="3">
        <v>600</v>
      </c>
      <c r="K7" s="29">
        <f>J7/J$15*100</f>
        <v>0.18343014368694588</v>
      </c>
      <c r="P7">
        <v>50</v>
      </c>
      <c r="R7" s="29"/>
      <c r="S7" s="29"/>
      <c r="T7" s="29"/>
      <c r="U7" s="29">
        <f>P7/P$15*100</f>
        <v>8.3963056255247692E-2</v>
      </c>
      <c r="W7">
        <v>176</v>
      </c>
      <c r="X7">
        <v>327</v>
      </c>
      <c r="Y7" s="3">
        <v>4031</v>
      </c>
      <c r="Z7" s="3">
        <v>5379</v>
      </c>
      <c r="AA7" s="3">
        <v>9913</v>
      </c>
      <c r="AC7" s="29">
        <f t="shared" si="2"/>
        <v>9.2552665621943392E-2</v>
      </c>
      <c r="AD7" s="29">
        <f t="shared" si="1"/>
        <v>0.39103139013452914</v>
      </c>
      <c r="AE7" s="29">
        <f t="shared" si="1"/>
        <v>2.0483348069554963</v>
      </c>
      <c r="AF7" s="29">
        <f t="shared" si="1"/>
        <v>2.5399358759449799</v>
      </c>
      <c r="AG7" s="29">
        <f t="shared" si="1"/>
        <v>1.4527564709434051</v>
      </c>
    </row>
    <row r="8" spans="1:33" x14ac:dyDescent="0.55000000000000004">
      <c r="A8" t="s">
        <v>127</v>
      </c>
      <c r="B8" s="3">
        <v>10</v>
      </c>
      <c r="C8" s="3">
        <v>70</v>
      </c>
      <c r="D8" s="3">
        <v>54</v>
      </c>
      <c r="F8" s="29">
        <f t="shared" si="3"/>
        <v>0.13829345871940257</v>
      </c>
      <c r="G8" s="29">
        <f t="shared" si="3"/>
        <v>8.192500351107157E-2</v>
      </c>
      <c r="H8" s="29">
        <f t="shared" si="3"/>
        <v>3.0493314058547161E-2</v>
      </c>
      <c r="J8" s="3"/>
      <c r="K8" s="29">
        <f>J8/J$15*100</f>
        <v>0</v>
      </c>
      <c r="R8" s="29"/>
      <c r="S8" s="29"/>
      <c r="T8" s="29"/>
      <c r="U8" s="29"/>
      <c r="W8">
        <v>56</v>
      </c>
      <c r="X8">
        <v>100</v>
      </c>
      <c r="Y8">
        <v>537</v>
      </c>
      <c r="Z8" s="3">
        <v>1058</v>
      </c>
      <c r="AA8" s="3">
        <v>1751</v>
      </c>
      <c r="AC8" s="29">
        <f t="shared" si="2"/>
        <v>2.9448575425163808E-2</v>
      </c>
      <c r="AD8" s="29">
        <f t="shared" si="1"/>
        <v>0.1195814648729447</v>
      </c>
      <c r="AE8" s="29">
        <f t="shared" si="1"/>
        <v>0.27287417299307903</v>
      </c>
      <c r="AF8" s="29">
        <f t="shared" si="1"/>
        <v>0.49958210759430915</v>
      </c>
      <c r="AG8" s="29">
        <f t="shared" si="1"/>
        <v>0.25661016651083451</v>
      </c>
    </row>
    <row r="9" spans="1:33" x14ac:dyDescent="0.55000000000000004">
      <c r="A9" t="s">
        <v>129</v>
      </c>
      <c r="B9" s="3">
        <v>185</v>
      </c>
      <c r="C9" s="3">
        <v>1796</v>
      </c>
      <c r="D9" s="3">
        <v>1455</v>
      </c>
      <c r="F9" s="29">
        <f t="shared" si="3"/>
        <v>2.5584289863089476</v>
      </c>
      <c r="G9" s="29">
        <f t="shared" si="3"/>
        <v>2.1019615186554939</v>
      </c>
      <c r="H9" s="29">
        <f t="shared" si="3"/>
        <v>0.8216254065775207</v>
      </c>
      <c r="J9" s="3">
        <v>11000</v>
      </c>
      <c r="K9" s="29">
        <f>J9/J$15*100</f>
        <v>3.3628859675940079</v>
      </c>
      <c r="R9" s="29"/>
      <c r="S9" s="29"/>
      <c r="T9" s="29"/>
      <c r="U9" s="29"/>
      <c r="W9" s="3">
        <v>1602</v>
      </c>
      <c r="X9">
        <v>424</v>
      </c>
      <c r="Y9" s="3">
        <v>1384</v>
      </c>
      <c r="Z9" s="3">
        <v>4333</v>
      </c>
      <c r="AA9" s="3">
        <v>7743</v>
      </c>
      <c r="AC9" s="29">
        <f t="shared" si="2"/>
        <v>0.84243960412700747</v>
      </c>
      <c r="AD9" s="29">
        <f t="shared" si="1"/>
        <v>0.50702541106128551</v>
      </c>
      <c r="AE9" s="29">
        <f t="shared" si="1"/>
        <v>0.7032734737847699</v>
      </c>
      <c r="AF9" s="29">
        <f t="shared" si="1"/>
        <v>2.0460201060549541</v>
      </c>
      <c r="AG9" s="29">
        <f t="shared" si="1"/>
        <v>1.1347415872606463</v>
      </c>
    </row>
    <row r="10" spans="1:33" x14ac:dyDescent="0.55000000000000004">
      <c r="A10" t="s">
        <v>151</v>
      </c>
      <c r="B10" s="3"/>
      <c r="C10" s="3"/>
      <c r="D10" s="3"/>
      <c r="F10" s="29"/>
      <c r="G10" s="29"/>
      <c r="H10" s="29"/>
      <c r="J10" s="3"/>
      <c r="K10" s="29"/>
      <c r="R10" s="29"/>
      <c r="S10" s="29"/>
      <c r="T10" s="29"/>
      <c r="U10" s="29"/>
      <c r="W10">
        <v>99</v>
      </c>
      <c r="X10">
        <v>140</v>
      </c>
      <c r="Y10">
        <v>212</v>
      </c>
      <c r="Z10" s="3">
        <v>1016</v>
      </c>
      <c r="AA10" s="3">
        <v>1467</v>
      </c>
      <c r="AC10" s="29">
        <f t="shared" si="2"/>
        <v>5.206087441234316E-2</v>
      </c>
      <c r="AD10" s="29">
        <f t="shared" si="1"/>
        <v>0.16741405082212257</v>
      </c>
      <c r="AE10" s="29">
        <f t="shared" si="1"/>
        <v>0.10772686159130868</v>
      </c>
      <c r="AF10" s="29">
        <f t="shared" si="1"/>
        <v>0.47974992562931762</v>
      </c>
      <c r="AG10" s="29">
        <f t="shared" si="1"/>
        <v>0.21498978542055636</v>
      </c>
    </row>
    <row r="11" spans="1:33" x14ac:dyDescent="0.55000000000000004">
      <c r="A11" t="s">
        <v>123</v>
      </c>
      <c r="B11" s="3">
        <v>328</v>
      </c>
      <c r="C11" s="3">
        <v>21266</v>
      </c>
      <c r="D11" s="3">
        <v>41495</v>
      </c>
      <c r="F11" s="29">
        <f t="shared" ref="F11:H13" si="4">B11/B$15 * 100</f>
        <v>4.5360254459964038</v>
      </c>
      <c r="G11" s="29">
        <f t="shared" si="4"/>
        <v>24.888816066663548</v>
      </c>
      <c r="H11" s="29">
        <f t="shared" si="4"/>
        <v>23.431853089989158</v>
      </c>
      <c r="J11" s="3">
        <v>26000</v>
      </c>
      <c r="K11" s="29">
        <f>J11/J$15*100</f>
        <v>7.9486395597676545</v>
      </c>
      <c r="M11">
        <v>2300</v>
      </c>
      <c r="N11">
        <v>2300</v>
      </c>
      <c r="O11">
        <v>14900</v>
      </c>
      <c r="P11">
        <v>23100</v>
      </c>
      <c r="R11" s="29">
        <f t="shared" ref="R11:U12" si="5">M11/M$15*100</f>
        <v>45.544554455445549</v>
      </c>
      <c r="S11" s="29">
        <f t="shared" si="5"/>
        <v>17.164179104477611</v>
      </c>
      <c r="T11" s="29">
        <f t="shared" si="5"/>
        <v>39.26218708827404</v>
      </c>
      <c r="U11" s="29">
        <f t="shared" si="5"/>
        <v>38.790931989924431</v>
      </c>
      <c r="W11" s="3">
        <v>44119</v>
      </c>
      <c r="X11" s="3">
        <v>19649</v>
      </c>
      <c r="Y11" s="3">
        <v>26209</v>
      </c>
      <c r="Z11" s="3">
        <v>12698</v>
      </c>
      <c r="AA11" s="3">
        <v>102675</v>
      </c>
      <c r="AC11" s="29">
        <f t="shared" si="2"/>
        <v>23.200744628264321</v>
      </c>
      <c r="AD11" s="29">
        <f t="shared" si="1"/>
        <v>23.496562032884903</v>
      </c>
      <c r="AE11" s="29">
        <f t="shared" si="1"/>
        <v>13.317987337012308</v>
      </c>
      <c r="AF11" s="29">
        <f t="shared" si="1"/>
        <v>5.9959296807490894</v>
      </c>
      <c r="AG11" s="29">
        <f t="shared" si="1"/>
        <v>15.047086719874317</v>
      </c>
    </row>
    <row r="12" spans="1:33" x14ac:dyDescent="0.55000000000000004">
      <c r="A12" t="s">
        <v>124</v>
      </c>
      <c r="B12" s="3">
        <v>3641</v>
      </c>
      <c r="C12" s="3">
        <v>32417</v>
      </c>
      <c r="D12" s="3">
        <v>69078</v>
      </c>
      <c r="F12" s="29">
        <f t="shared" si="4"/>
        <v>50.35264831973447</v>
      </c>
      <c r="G12" s="29">
        <f t="shared" si="4"/>
        <v>37.939469125977247</v>
      </c>
      <c r="H12" s="29">
        <f t="shared" si="4"/>
        <v>39.007724972894827</v>
      </c>
      <c r="J12" s="3">
        <v>244500</v>
      </c>
      <c r="K12" s="29">
        <f>J12/J$15*100</f>
        <v>74.747783552430448</v>
      </c>
      <c r="M12">
        <v>800</v>
      </c>
      <c r="N12">
        <v>4950</v>
      </c>
      <c r="O12">
        <v>8400</v>
      </c>
      <c r="P12">
        <v>10100</v>
      </c>
      <c r="R12" s="29">
        <f t="shared" si="5"/>
        <v>15.841584158415841</v>
      </c>
      <c r="S12" s="29">
        <f t="shared" si="5"/>
        <v>36.940298507462686</v>
      </c>
      <c r="T12" s="29">
        <f t="shared" si="5"/>
        <v>22.134387351778656</v>
      </c>
      <c r="U12" s="29">
        <f t="shared" si="5"/>
        <v>16.960537363560032</v>
      </c>
      <c r="W12" s="3">
        <v>75419</v>
      </c>
      <c r="X12" s="3">
        <v>36654</v>
      </c>
      <c r="Y12" s="3">
        <v>105862</v>
      </c>
      <c r="Z12" s="3">
        <v>122006</v>
      </c>
      <c r="AA12" s="3">
        <v>339941</v>
      </c>
      <c r="AC12" s="29">
        <f t="shared" si="2"/>
        <v>39.660394821257668</v>
      </c>
      <c r="AD12" s="29">
        <f t="shared" si="1"/>
        <v>43.831390134529144</v>
      </c>
      <c r="AE12" s="29">
        <f t="shared" si="1"/>
        <v>53.793306706505284</v>
      </c>
      <c r="AF12" s="29">
        <f t="shared" si="1"/>
        <v>57.610599829065478</v>
      </c>
      <c r="AG12" s="29">
        <f t="shared" si="1"/>
        <v>49.818570310599419</v>
      </c>
    </row>
    <row r="13" spans="1:33" x14ac:dyDescent="0.55000000000000004">
      <c r="A13" t="s">
        <v>130</v>
      </c>
      <c r="B13" s="3">
        <v>151</v>
      </c>
      <c r="C13" s="3">
        <v>48</v>
      </c>
      <c r="D13" s="3">
        <v>171</v>
      </c>
      <c r="F13" s="29">
        <f t="shared" si="4"/>
        <v>2.0882312266629786</v>
      </c>
      <c r="G13" s="29">
        <f t="shared" si="4"/>
        <v>5.6177145264734794E-2</v>
      </c>
      <c r="H13" s="29">
        <f t="shared" si="4"/>
        <v>9.6562161185399356E-2</v>
      </c>
      <c r="K13" s="29">
        <f>J13/J$15*100</f>
        <v>0</v>
      </c>
      <c r="R13" s="29"/>
      <c r="S13" s="29"/>
      <c r="T13" s="29"/>
      <c r="U13" s="29"/>
      <c r="W13">
        <v>105</v>
      </c>
      <c r="X13">
        <v>478</v>
      </c>
      <c r="Y13" s="3">
        <v>1560</v>
      </c>
      <c r="Z13" s="3">
        <v>4668</v>
      </c>
      <c r="AA13" s="3">
        <v>6811</v>
      </c>
      <c r="AC13" s="29">
        <f t="shared" si="2"/>
        <v>5.5216078922182138E-2</v>
      </c>
      <c r="AD13" s="29">
        <f t="shared" si="1"/>
        <v>0.57159940209267568</v>
      </c>
      <c r="AE13" s="29">
        <f t="shared" si="1"/>
        <v>0.79270709472849776</v>
      </c>
      <c r="AF13" s="29">
        <f t="shared" si="1"/>
        <v>2.2042053669661956</v>
      </c>
      <c r="AG13" s="29">
        <f t="shared" si="1"/>
        <v>0.99815639297846581</v>
      </c>
    </row>
    <row r="15" spans="1:33" x14ac:dyDescent="0.55000000000000004">
      <c r="A15" t="s">
        <v>14</v>
      </c>
      <c r="B15" s="3">
        <f>SUM(B3:B13)</f>
        <v>7231</v>
      </c>
      <c r="C15" s="3">
        <f>SUM(C3:C13)</f>
        <v>85444</v>
      </c>
      <c r="D15" s="3">
        <f>SUM(D3:D13)</f>
        <v>177088</v>
      </c>
      <c r="F15" s="3">
        <f>SUM(F3:F13)</f>
        <v>99.999999999999986</v>
      </c>
      <c r="G15" s="3">
        <f>SUM(G3:G13)</f>
        <v>100</v>
      </c>
      <c r="H15" s="3">
        <f>SUM(H3:H13)</f>
        <v>100</v>
      </c>
      <c r="J15" s="3">
        <f>SUM(J3:J13)</f>
        <v>327100</v>
      </c>
      <c r="K15" s="3">
        <f>SUM(K3:K13)</f>
        <v>100</v>
      </c>
      <c r="M15" s="3">
        <f t="shared" ref="M15:AG15" si="6">SUM(M3:M13)</f>
        <v>5050</v>
      </c>
      <c r="N15" s="3">
        <f t="shared" si="6"/>
        <v>13400</v>
      </c>
      <c r="O15" s="3">
        <f t="shared" si="6"/>
        <v>37950</v>
      </c>
      <c r="P15" s="3">
        <f t="shared" si="6"/>
        <v>59550</v>
      </c>
      <c r="R15" s="3">
        <f t="shared" si="6"/>
        <v>100</v>
      </c>
      <c r="S15" s="3">
        <f t="shared" si="6"/>
        <v>100</v>
      </c>
      <c r="T15" s="3">
        <f t="shared" si="6"/>
        <v>100</v>
      </c>
      <c r="U15" s="3">
        <f t="shared" si="6"/>
        <v>100</v>
      </c>
      <c r="W15" s="3">
        <f t="shared" si="6"/>
        <v>190162</v>
      </c>
      <c r="X15" s="3">
        <f t="shared" si="6"/>
        <v>83625</v>
      </c>
      <c r="Y15" s="3">
        <f t="shared" si="6"/>
        <v>196794</v>
      </c>
      <c r="Z15" s="3">
        <f t="shared" si="6"/>
        <v>211777</v>
      </c>
      <c r="AA15" s="3">
        <f t="shared" si="6"/>
        <v>682358</v>
      </c>
      <c r="AC15" s="3">
        <f t="shared" si="6"/>
        <v>100</v>
      </c>
      <c r="AD15" s="3">
        <f t="shared" si="6"/>
        <v>99.999999999999986</v>
      </c>
      <c r="AE15" s="3">
        <f t="shared" si="6"/>
        <v>100.00000000000001</v>
      </c>
      <c r="AF15" s="3">
        <f t="shared" si="6"/>
        <v>100</v>
      </c>
      <c r="AG15" s="3">
        <f t="shared" si="6"/>
        <v>100</v>
      </c>
    </row>
    <row r="17" spans="1:3" x14ac:dyDescent="0.55000000000000004">
      <c r="A17" s="26" t="s">
        <v>111</v>
      </c>
    </row>
    <row r="18" spans="1:3" x14ac:dyDescent="0.55000000000000004">
      <c r="A18" t="s">
        <v>137</v>
      </c>
    </row>
    <row r="20" spans="1:3" x14ac:dyDescent="0.55000000000000004">
      <c r="A20" s="1" t="s">
        <v>138</v>
      </c>
    </row>
    <row r="21" spans="1:3" x14ac:dyDescent="0.55000000000000004">
      <c r="A21" t="s">
        <v>161</v>
      </c>
    </row>
    <row r="22" spans="1:3" x14ac:dyDescent="0.55000000000000004">
      <c r="A22" t="s">
        <v>134</v>
      </c>
    </row>
    <row r="24" spans="1:3" x14ac:dyDescent="0.55000000000000004">
      <c r="A24" s="1" t="s">
        <v>136</v>
      </c>
    </row>
    <row r="25" spans="1:3" x14ac:dyDescent="0.55000000000000004">
      <c r="A25" t="s">
        <v>141</v>
      </c>
    </row>
    <row r="26" spans="1:3" x14ac:dyDescent="0.55000000000000004">
      <c r="A26" t="s">
        <v>139</v>
      </c>
    </row>
    <row r="28" spans="1:3" x14ac:dyDescent="0.55000000000000004">
      <c r="A28" t="s">
        <v>148</v>
      </c>
    </row>
    <row r="30" spans="1:3" x14ac:dyDescent="0.55000000000000004">
      <c r="B30">
        <v>1884</v>
      </c>
      <c r="C30" s="3">
        <v>11905</v>
      </c>
    </row>
    <row r="31" spans="1:3" x14ac:dyDescent="0.55000000000000004">
      <c r="B31">
        <f>B30+1</f>
        <v>1885</v>
      </c>
      <c r="C31" s="3">
        <v>17054</v>
      </c>
    </row>
    <row r="32" spans="1:3" x14ac:dyDescent="0.55000000000000004">
      <c r="B32">
        <f t="shared" ref="B32:B44" si="7">B31+1</f>
        <v>1886</v>
      </c>
      <c r="C32" s="3">
        <v>16279</v>
      </c>
    </row>
    <row r="33" spans="1:3" x14ac:dyDescent="0.55000000000000004">
      <c r="B33">
        <f t="shared" si="7"/>
        <v>1887</v>
      </c>
      <c r="C33" s="3">
        <v>15970</v>
      </c>
    </row>
    <row r="34" spans="1:3" x14ac:dyDescent="0.55000000000000004">
      <c r="B34">
        <f t="shared" si="7"/>
        <v>1888</v>
      </c>
      <c r="C34" s="3">
        <v>18031</v>
      </c>
    </row>
    <row r="35" spans="1:3" x14ac:dyDescent="0.55000000000000004">
      <c r="B35">
        <f t="shared" si="7"/>
        <v>1889</v>
      </c>
      <c r="C35" s="3">
        <v>17215</v>
      </c>
    </row>
    <row r="36" spans="1:3" x14ac:dyDescent="0.55000000000000004">
      <c r="B36">
        <f t="shared" si="7"/>
        <v>1890</v>
      </c>
      <c r="C36" s="3">
        <v>31345</v>
      </c>
    </row>
    <row r="37" spans="1:3" x14ac:dyDescent="0.55000000000000004">
      <c r="B37">
        <f t="shared" si="7"/>
        <v>1891</v>
      </c>
      <c r="C37" s="3">
        <v>28557</v>
      </c>
    </row>
    <row r="38" spans="1:3" x14ac:dyDescent="0.55000000000000004">
      <c r="B38">
        <f t="shared" si="7"/>
        <v>1892</v>
      </c>
      <c r="C38" s="3">
        <v>39565</v>
      </c>
    </row>
    <row r="39" spans="1:3" x14ac:dyDescent="0.55000000000000004">
      <c r="B39">
        <f t="shared" si="7"/>
        <v>1893</v>
      </c>
      <c r="C39" s="3">
        <v>43392</v>
      </c>
    </row>
    <row r="40" spans="1:3" x14ac:dyDescent="0.55000000000000004">
      <c r="B40">
        <f t="shared" si="7"/>
        <v>1894</v>
      </c>
      <c r="C40" s="3">
        <v>31758</v>
      </c>
    </row>
    <row r="41" spans="1:3" x14ac:dyDescent="0.55000000000000004">
      <c r="B41">
        <f t="shared" si="7"/>
        <v>1895</v>
      </c>
      <c r="C41" s="3">
        <v>24900</v>
      </c>
    </row>
    <row r="42" spans="1:3" x14ac:dyDescent="0.55000000000000004">
      <c r="B42">
        <f t="shared" si="7"/>
        <v>1896</v>
      </c>
      <c r="C42" s="3">
        <v>38358</v>
      </c>
    </row>
    <row r="43" spans="1:3" x14ac:dyDescent="0.55000000000000004">
      <c r="B43">
        <f t="shared" si="7"/>
        <v>1897</v>
      </c>
      <c r="C43" s="3">
        <v>25014</v>
      </c>
    </row>
    <row r="44" spans="1:3" x14ac:dyDescent="0.55000000000000004">
      <c r="B44">
        <f t="shared" si="7"/>
        <v>1898</v>
      </c>
      <c r="C44" s="3">
        <v>31196</v>
      </c>
    </row>
    <row r="46" spans="1:3" x14ac:dyDescent="0.55000000000000004">
      <c r="A46" t="s">
        <v>140</v>
      </c>
      <c r="B46">
        <v>1882</v>
      </c>
      <c r="C46" s="3">
        <v>6301</v>
      </c>
    </row>
    <row r="47" spans="1:3" x14ac:dyDescent="0.55000000000000004">
      <c r="B47">
        <v>1883</v>
      </c>
      <c r="C47" s="3">
        <v>6301</v>
      </c>
    </row>
    <row r="49" spans="1:1" x14ac:dyDescent="0.55000000000000004">
      <c r="A49" s="1" t="s">
        <v>145</v>
      </c>
    </row>
    <row r="50" spans="1:1" x14ac:dyDescent="0.55000000000000004">
      <c r="A50" t="s">
        <v>146</v>
      </c>
    </row>
    <row r="51" spans="1:1" x14ac:dyDescent="0.55000000000000004">
      <c r="A51" t="s">
        <v>147</v>
      </c>
    </row>
    <row r="53" spans="1:1" x14ac:dyDescent="0.55000000000000004">
      <c r="A53" s="1" t="s">
        <v>155</v>
      </c>
    </row>
    <row r="54" spans="1:1" x14ac:dyDescent="0.55000000000000004">
      <c r="A54" t="s">
        <v>156</v>
      </c>
    </row>
    <row r="56" spans="1:1" x14ac:dyDescent="0.55000000000000004">
      <c r="A56" s="1" t="s">
        <v>157</v>
      </c>
    </row>
    <row r="57" spans="1:1" x14ac:dyDescent="0.55000000000000004">
      <c r="A57" t="s">
        <v>158</v>
      </c>
    </row>
    <row r="58" spans="1:1" x14ac:dyDescent="0.55000000000000004">
      <c r="A58" t="s">
        <v>159</v>
      </c>
    </row>
    <row r="59" spans="1:1" x14ac:dyDescent="0.55000000000000004">
      <c r="A59" t="s">
        <v>160</v>
      </c>
    </row>
  </sheetData>
  <sortState xmlns:xlrd2="http://schemas.microsoft.com/office/spreadsheetml/2017/richdata2" ref="A3:U13">
    <sortCondition ref="A3:A13"/>
  </sortState>
  <mergeCells count="4">
    <mergeCell ref="B1:H1"/>
    <mergeCell ref="J1:K1"/>
    <mergeCell ref="M1:U1"/>
    <mergeCell ref="W1:A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46A38-B248-4539-94D0-AD38AC1B418E}">
  <dimension ref="A1:N35"/>
  <sheetViews>
    <sheetView workbookViewId="0">
      <selection activeCell="B20" sqref="B20"/>
    </sheetView>
  </sheetViews>
  <sheetFormatPr defaultRowHeight="14.4" x14ac:dyDescent="0.55000000000000004"/>
  <cols>
    <col min="1" max="1" width="20.20703125" bestFit="1" customWidth="1"/>
    <col min="3" max="3" width="6.5234375" bestFit="1" customWidth="1"/>
    <col min="4" max="4" width="10.47265625" bestFit="1" customWidth="1"/>
    <col min="5" max="5" width="10.734375" bestFit="1" customWidth="1"/>
    <col min="6" max="6" width="18.47265625" bestFit="1" customWidth="1"/>
  </cols>
  <sheetData>
    <row r="1" spans="1:6" x14ac:dyDescent="0.55000000000000004">
      <c r="A1" s="27" t="s">
        <v>115</v>
      </c>
      <c r="C1" s="30" t="s">
        <v>162</v>
      </c>
      <c r="D1" s="27" t="s">
        <v>163</v>
      </c>
      <c r="E1" s="27" t="s">
        <v>164</v>
      </c>
      <c r="F1" s="30" t="s">
        <v>165</v>
      </c>
    </row>
    <row r="2" spans="1:6" x14ac:dyDescent="0.55000000000000004">
      <c r="A2" t="s">
        <v>128</v>
      </c>
      <c r="C2" s="29">
        <v>25.57815645334956</v>
      </c>
      <c r="D2" s="29">
        <v>21</v>
      </c>
      <c r="E2" s="29">
        <f>100-D2</f>
        <v>79</v>
      </c>
      <c r="F2" s="33">
        <f>C2*E2/100</f>
        <v>20.206743598146151</v>
      </c>
    </row>
    <row r="3" spans="1:6" x14ac:dyDescent="0.55000000000000004">
      <c r="A3" t="s">
        <v>149</v>
      </c>
      <c r="C3" s="29">
        <v>1.7730911474181921</v>
      </c>
      <c r="D3" s="29">
        <v>4.8</v>
      </c>
      <c r="E3" s="29">
        <f t="shared" ref="E3:E12" si="0">100-D3</f>
        <v>95.2</v>
      </c>
      <c r="F3" s="33">
        <f t="shared" ref="F3:F12" si="1">C3*E3/100</f>
        <v>1.687982772342119</v>
      </c>
    </row>
    <row r="4" spans="1:6" x14ac:dyDescent="0.55000000000000004">
      <c r="A4" t="s">
        <v>125</v>
      </c>
      <c r="C4" s="29">
        <v>7.5511446093347683</v>
      </c>
      <c r="D4" s="29">
        <v>22.8</v>
      </c>
      <c r="E4" s="29">
        <f t="shared" si="0"/>
        <v>77.2</v>
      </c>
      <c r="F4" s="33">
        <f t="shared" si="1"/>
        <v>5.8294836384064412</v>
      </c>
    </row>
    <row r="5" spans="1:6" x14ac:dyDescent="0.55000000000000004">
      <c r="A5" t="s">
        <v>150</v>
      </c>
      <c r="C5" s="29"/>
      <c r="D5" s="29">
        <v>60</v>
      </c>
      <c r="E5" s="29">
        <f t="shared" si="0"/>
        <v>40</v>
      </c>
      <c r="F5" s="33"/>
    </row>
    <row r="6" spans="1:6" x14ac:dyDescent="0.55000000000000004">
      <c r="A6" t="s">
        <v>126</v>
      </c>
      <c r="C6" s="29"/>
      <c r="D6" s="29">
        <v>21.3</v>
      </c>
      <c r="E6" s="29">
        <f t="shared" si="0"/>
        <v>78.7</v>
      </c>
      <c r="F6" s="33"/>
    </row>
    <row r="7" spans="1:6" x14ac:dyDescent="0.55000000000000004">
      <c r="A7" t="s">
        <v>127</v>
      </c>
      <c r="C7" s="29">
        <v>8.192500351107157E-2</v>
      </c>
      <c r="D7" s="29">
        <v>8.6999999999999993</v>
      </c>
      <c r="E7" s="29">
        <f t="shared" si="0"/>
        <v>91.3</v>
      </c>
      <c r="F7" s="33">
        <f t="shared" si="1"/>
        <v>7.4797528205608338E-2</v>
      </c>
    </row>
    <row r="8" spans="1:6" x14ac:dyDescent="0.55000000000000004">
      <c r="A8" t="s">
        <v>129</v>
      </c>
      <c r="C8" s="29">
        <v>2.1019615186554939</v>
      </c>
      <c r="D8" s="29">
        <v>17.5</v>
      </c>
      <c r="E8" s="29">
        <f t="shared" si="0"/>
        <v>82.5</v>
      </c>
      <c r="F8" s="33">
        <f t="shared" si="1"/>
        <v>1.7341182528907826</v>
      </c>
    </row>
    <row r="9" spans="1:6" x14ac:dyDescent="0.55000000000000004">
      <c r="A9" t="s">
        <v>151</v>
      </c>
      <c r="C9" s="29"/>
      <c r="D9" s="29">
        <v>26.8</v>
      </c>
      <c r="E9" s="29">
        <f t="shared" si="0"/>
        <v>73.2</v>
      </c>
      <c r="F9" s="33"/>
    </row>
    <row r="10" spans="1:6" x14ac:dyDescent="0.55000000000000004">
      <c r="A10" t="s">
        <v>123</v>
      </c>
      <c r="C10" s="29">
        <v>24.888816066663548</v>
      </c>
      <c r="D10" s="29">
        <v>21.3</v>
      </c>
      <c r="E10" s="29">
        <f t="shared" si="0"/>
        <v>78.7</v>
      </c>
      <c r="F10" s="33">
        <f t="shared" si="1"/>
        <v>19.587498244464214</v>
      </c>
    </row>
    <row r="11" spans="1:6" x14ac:dyDescent="0.55000000000000004">
      <c r="A11" t="s">
        <v>124</v>
      </c>
      <c r="C11" s="29">
        <v>37.939469125977247</v>
      </c>
      <c r="D11" s="29">
        <v>22.7</v>
      </c>
      <c r="E11" s="29">
        <f t="shared" si="0"/>
        <v>77.3</v>
      </c>
      <c r="F11" s="33">
        <f t="shared" si="1"/>
        <v>29.327209634380409</v>
      </c>
    </row>
    <row r="12" spans="1:6" x14ac:dyDescent="0.55000000000000004">
      <c r="A12" t="s">
        <v>130</v>
      </c>
      <c r="C12" s="29">
        <v>5.6177145264734794E-2</v>
      </c>
      <c r="D12" s="29">
        <v>25.6</v>
      </c>
      <c r="E12" s="29">
        <f t="shared" si="0"/>
        <v>74.400000000000006</v>
      </c>
      <c r="F12" s="33">
        <f t="shared" si="1"/>
        <v>4.1795796076962689E-2</v>
      </c>
    </row>
    <row r="13" spans="1:6" x14ac:dyDescent="0.55000000000000004">
      <c r="F13" s="33"/>
    </row>
    <row r="14" spans="1:6" x14ac:dyDescent="0.55000000000000004">
      <c r="A14" t="s">
        <v>14</v>
      </c>
      <c r="F14" s="33">
        <f>SUM(F2:F12)</f>
        <v>78.489629464912696</v>
      </c>
    </row>
    <row r="16" spans="1:6" x14ac:dyDescent="0.55000000000000004">
      <c r="A16" s="26" t="s">
        <v>111</v>
      </c>
    </row>
    <row r="19" spans="1:14" x14ac:dyDescent="0.55000000000000004">
      <c r="A19" t="s">
        <v>166</v>
      </c>
      <c r="B19" t="s">
        <v>173</v>
      </c>
    </row>
    <row r="20" spans="1:14" x14ac:dyDescent="0.55000000000000004">
      <c r="A20" t="s">
        <v>167</v>
      </c>
      <c r="B20" t="s">
        <v>172</v>
      </c>
    </row>
    <row r="21" spans="1:14" x14ac:dyDescent="0.55000000000000004">
      <c r="A21" t="s">
        <v>168</v>
      </c>
      <c r="B21" t="s">
        <v>169</v>
      </c>
    </row>
    <row r="22" spans="1:14" x14ac:dyDescent="0.55000000000000004">
      <c r="A22" t="s">
        <v>170</v>
      </c>
      <c r="B22" t="s">
        <v>171</v>
      </c>
    </row>
    <row r="24" spans="1:14" x14ac:dyDescent="0.55000000000000004">
      <c r="L24" s="3"/>
      <c r="M24" s="3"/>
    </row>
    <row r="25" spans="1:14" x14ac:dyDescent="0.55000000000000004">
      <c r="L25" s="3"/>
    </row>
    <row r="26" spans="1:14" x14ac:dyDescent="0.55000000000000004">
      <c r="L26" s="3"/>
      <c r="M26" s="3"/>
    </row>
    <row r="28" spans="1:14" x14ac:dyDescent="0.55000000000000004">
      <c r="L28" s="3"/>
      <c r="M28" s="3"/>
    </row>
    <row r="29" spans="1:14" x14ac:dyDescent="0.55000000000000004">
      <c r="L29" s="3"/>
      <c r="M29" s="3"/>
      <c r="N29" s="29"/>
    </row>
    <row r="30" spans="1:14" x14ac:dyDescent="0.55000000000000004">
      <c r="L30" s="3"/>
    </row>
    <row r="31" spans="1:14" x14ac:dyDescent="0.55000000000000004">
      <c r="L31" s="3"/>
      <c r="M31" s="3"/>
    </row>
    <row r="32" spans="1:14" x14ac:dyDescent="0.55000000000000004">
      <c r="L32" s="3"/>
    </row>
    <row r="33" spans="12:13" x14ac:dyDescent="0.55000000000000004">
      <c r="L33" s="3"/>
      <c r="M33" s="3"/>
    </row>
    <row r="34" spans="12:13" x14ac:dyDescent="0.55000000000000004">
      <c r="L34" s="3"/>
      <c r="M34" s="3"/>
    </row>
    <row r="35" spans="12:13" x14ac:dyDescent="0.55000000000000004">
      <c r="L35" s="3"/>
      <c r="M35" s="3"/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note-1</vt:lpstr>
      <vt:lpstr>1885-1904 выход доноры</vt:lpstr>
      <vt:lpstr>1881-1904 выход доноры</vt:lpstr>
      <vt:lpstr>1894-1896 назначение</vt:lpstr>
      <vt:lpstr>оседание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2026-07-30T16:05:06Z</dcterms:created>
  <dcterms:modified xsi:type="dcterms:W3CDTF">2026-08-01T00:50:52Z</dcterms:modified>
</cp:coreProperties>
</file>