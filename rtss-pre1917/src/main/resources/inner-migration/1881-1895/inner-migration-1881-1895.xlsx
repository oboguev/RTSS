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TSS\rtss-pre1917\src\main\resources\inner-migration\1881-1895\"/>
    </mc:Choice>
  </mc:AlternateContent>
  <xr:revisionPtr revIDLastSave="0" documentId="13_ncr:1_{95C6CF48-FE16-4B38-8955-F8136E72D9E4}" xr6:coauthVersionLast="47" xr6:coauthVersionMax="47" xr10:uidLastSave="{00000000-0000-0000-0000-000000000000}"/>
  <bookViews>
    <workbookView xWindow="-120" yWindow="-120" windowWidth="38640" windowHeight="23520" activeTab="1" xr2:uid="{47EC4337-547E-4887-AD04-14E4B8E0F3C0}"/>
  </bookViews>
  <sheets>
    <sheet name="note-1" sheetId="1" r:id="rId1"/>
    <sheet name="data-outbou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51" i="2" l="1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AA2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Z2" i="2"/>
  <c r="Y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X2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I95" i="1"/>
  <c r="I94" i="1"/>
  <c r="I93" i="1"/>
  <c r="I92" i="1"/>
  <c r="I91" i="1"/>
  <c r="I90" i="1"/>
  <c r="I89" i="1"/>
  <c r="I88" i="1"/>
  <c r="E67" i="1"/>
  <c r="E66" i="1"/>
  <c r="E65" i="1"/>
  <c r="E64" i="1"/>
  <c r="E63" i="1"/>
  <c r="E62" i="1"/>
  <c r="E61" i="1"/>
  <c r="E60" i="1"/>
  <c r="F102" i="1"/>
  <c r="F101" i="1"/>
  <c r="F100" i="1"/>
  <c r="F99" i="1"/>
  <c r="B31" i="1"/>
  <c r="B32" i="1" s="1"/>
  <c r="B33" i="1" s="1"/>
  <c r="B34" i="1" s="1"/>
  <c r="B35" i="1" s="1"/>
  <c r="B36" i="1" s="1"/>
  <c r="B37" i="1" s="1"/>
  <c r="B38" i="1" s="1"/>
  <c r="B39" i="1" s="1"/>
  <c r="E102" i="1"/>
  <c r="E101" i="1"/>
  <c r="D102" i="1"/>
  <c r="D101" i="1"/>
  <c r="C102" i="1"/>
  <c r="C101" i="1"/>
  <c r="E100" i="1"/>
  <c r="D100" i="1"/>
  <c r="C100" i="1"/>
  <c r="C8" i="1"/>
  <c r="C25" i="1"/>
  <c r="C47" i="1"/>
  <c r="D99" i="1"/>
  <c r="C99" i="1"/>
  <c r="B76" i="1"/>
  <c r="B75" i="1" s="1"/>
  <c r="B74" i="1" s="1"/>
  <c r="B73" i="1" s="1"/>
  <c r="B78" i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17" i="1"/>
  <c r="B18" i="1" s="1"/>
  <c r="B19" i="1" s="1"/>
  <c r="B20" i="1" s="1"/>
  <c r="B21" i="1" s="1"/>
  <c r="B22" i="1" s="1"/>
  <c r="B23" i="1" s="1"/>
  <c r="B24" i="1" s="1"/>
</calcChain>
</file>

<file path=xl/sharedStrings.xml><?xml version="1.0" encoding="utf-8"?>
<sst xmlns="http://schemas.openxmlformats.org/spreadsheetml/2006/main" count="238" uniqueCount="116">
  <si>
    <t>1862-1884</t>
  </si>
  <si>
    <t>годы</t>
  </si>
  <si>
    <t>число</t>
  </si>
  <si>
    <t>1885-1895</t>
  </si>
  <si>
    <t>1896-1900</t>
  </si>
  <si>
    <t>1885-1892</t>
  </si>
  <si>
    <t>1885-1893</t>
  </si>
  <si>
    <t>1894-1898</t>
  </si>
  <si>
    <t>1899-1903</t>
  </si>
  <si>
    <t>1901-1905</t>
  </si>
  <si>
    <t>N1 = Число переселенцев на окраины (Ежегодник ЦСК 1915:21), в прямом направлении, включая ходоков</t>
  </si>
  <si>
    <t>год</t>
  </si>
  <si>
    <t>N1</t>
  </si>
  <si>
    <t>N3</t>
  </si>
  <si>
    <t>всего</t>
  </si>
  <si>
    <t>1885-1903</t>
  </si>
  <si>
    <t>N3 = Движение переселенцев в Сибирь (Ежегодник ЦСК 1907:XLIII)</t>
  </si>
  <si>
    <t>источники данных</t>
  </si>
  <si>
    <t>"Колонизация Сибири", стр. 196 (итог исправлен) и 336</t>
  </si>
  <si>
    <t>"Переселение в Сибирь", стр. 22</t>
  </si>
  <si>
    <t>N2А = Движение переселенцев в Сибирь (Ставровский, Алексеев, "Переселение в Сибирь", 1906, стр. 2-3, табл. 1)</t>
  </si>
  <si>
    <t>N2А</t>
  </si>
  <si>
    <t>N2Б = Движение переселенцев в Сибирь (Ставровский, Алексеев, "Переселение в Сибирь", 1906, стр. 22-23, табл. XVII), без Уссурийского и Забайкальского краёв</t>
  </si>
  <si>
    <t>N2Б</t>
  </si>
  <si>
    <t>Разложение по годам (CSASRA, UnbinDataSum) в N1 N2А N2Б N3</t>
  </si>
  <si>
    <t>Для 1896-1903 для сравнительного контроля добавлены данные по "Итоги переселенческого движения за время с 1896 по 1909 г."</t>
  </si>
  <si>
    <t>Наиболее авторитетным до 1896 года следует полагать N2A</t>
  </si>
  <si>
    <t>N4 = "Итоги переселенческого движения за время с 1896 по 1909 г."</t>
  </si>
  <si>
    <t>outFlow</t>
  </si>
  <si>
    <t>inFLow</t>
  </si>
  <si>
    <t>сальдо</t>
  </si>
  <si>
    <t>N4A</t>
  </si>
  <si>
    <t>N4Б</t>
  </si>
  <si>
    <t>N4В</t>
  </si>
  <si>
    <t>прямые</t>
  </si>
  <si>
    <t>возвраты</t>
  </si>
  <si>
    <t>50 европейских губерний России, выдача модуля ShowMigrationSum</t>
  </si>
  <si>
    <t>Данные N2А 1896-1897 и вероятно более ранних лет соответствуют outflow (прямой ход) без учёта возвращений, для 1898+ с учётом возвращений</t>
  </si>
  <si>
    <t>Я. Ф. Ставровский, В. В. Алексеев. «Переселение в Сибирь». Вып. XVIII. С.-Петербург, 1906. Таблица I, печатные с. 2–3.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</si>
  <si>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</si>
  <si>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</si>
  <si>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</si>
  <si>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</si>
  <si>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</si>
  <si>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</si>
  <si>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</si>
  <si>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</si>
  <si>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</si>
  <si>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</si>
  <si>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</si>
  <si>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</si>
  <si>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Курская</t>
  </si>
  <si>
    <t>Тамбовская</t>
  </si>
  <si>
    <t>Пензенская</t>
  </si>
  <si>
    <t>Орловская</t>
  </si>
  <si>
    <t>Черниговская</t>
  </si>
  <si>
    <t>Тульская</t>
  </si>
  <si>
    <t>Рязанская</t>
  </si>
  <si>
    <t>Полтавская</t>
  </si>
  <si>
    <t>Харьковская</t>
  </si>
  <si>
    <t>Воронежская</t>
  </si>
  <si>
    <t>Киевская</t>
  </si>
  <si>
    <t>—</t>
  </si>
  <si>
    <t>Подольская</t>
  </si>
  <si>
    <t>Волынская</t>
  </si>
  <si>
    <t>Бессарабская</t>
  </si>
  <si>
    <t>Екатеринославская</t>
  </si>
  <si>
    <t>Херсонская</t>
  </si>
  <si>
    <t>Таврическая</t>
  </si>
  <si>
    <t>Обл. Войска Донского</t>
  </si>
  <si>
    <t>Астраханская</t>
  </si>
  <si>
    <t>Казанская</t>
  </si>
  <si>
    <t>Нижегородская</t>
  </si>
  <si>
    <t>Симбирская</t>
  </si>
  <si>
    <t>Саратовская</t>
  </si>
  <si>
    <t>Самарская</t>
  </si>
  <si>
    <t>Уфимская</t>
  </si>
  <si>
    <t>Оренбургская</t>
  </si>
  <si>
    <t>Московская</t>
  </si>
  <si>
    <t>Калужская</t>
  </si>
  <si>
    <t>Владимирская</t>
  </si>
  <si>
    <t>Ярославская</t>
  </si>
  <si>
    <t>Тверская</t>
  </si>
  <si>
    <t>Смоленская</t>
  </si>
  <si>
    <t>Гродненская</t>
  </si>
  <si>
    <t>Виленская</t>
  </si>
  <si>
    <t>Ковенская</t>
  </si>
  <si>
    <t>Могилевская</t>
  </si>
  <si>
    <t>Витебская</t>
  </si>
  <si>
    <t>Минская</t>
  </si>
  <si>
    <t>Костромская</t>
  </si>
  <si>
    <t>Вятская</t>
  </si>
  <si>
    <t>Пермская</t>
  </si>
  <si>
    <t>Псковская</t>
  </si>
  <si>
    <t>Новгородская</t>
  </si>
  <si>
    <t>С.-Петербургская</t>
  </si>
  <si>
    <t>Лифляндская</t>
  </si>
  <si>
    <t>Курляндская</t>
  </si>
  <si>
    <t>Эстляндская</t>
  </si>
  <si>
    <t>Вологодская</t>
  </si>
  <si>
    <t>Архангельская</t>
  </si>
  <si>
    <t>Олонецкая</t>
  </si>
  <si>
    <t>1894–1898</t>
  </si>
  <si>
    <t>среднее за
1894–1898</t>
  </si>
  <si>
    <t>1899–1903</t>
  </si>
  <si>
    <t>среднее за 1899–1903</t>
  </si>
  <si>
    <t>1894–1903</t>
  </si>
  <si>
    <t>среднее за
1894–1903</t>
  </si>
  <si>
    <t>1885–1904</t>
  </si>
  <si>
    <t>среднее за
1885–1904</t>
  </si>
  <si>
    <t>Всего 50 губ. Европ. России</t>
  </si>
  <si>
    <t>note</t>
  </si>
  <si>
    <t>Я. Ф. Ставровский, В. В. Алексеев. «Переселение в Сибирь». Вып. XVIII. С.-Петербург, 1906. Таблица I, печатные стр.  2–3.</t>
  </si>
  <si>
    <t>Таблица I. Движение переселенцев (душ обоего пола) в Сибирь за 20 лет (1885–1904 гг.)</t>
  </si>
  <si>
    <t>data-outbound</t>
  </si>
  <si>
    <t xml:space="preserve">губерния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</si>
</sst>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F2937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5B7FA3"/>
      </patternFill>
    </fill>
    <fill>
      <patternFill patternType="solid">
        <fgColor rgb="FFF4F8FC"/>
      </patternFill>
    </fill>
    <fill>
      <patternFill patternType="solid">
        <fgColor rgb="FFD9EAF7"/>
      </patternFill>
    </fill>
  </fills>
  <borders count="12">
    <border>
      <left/>
      <right/>
      <top/>
      <bottom/>
      <diagonal/>
    </border>
    <border>
      <left style="thin">
        <color rgb="FFD9E2F3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rgb="FFD9E2F3"/>
      </left>
      <right/>
      <top style="hair">
        <color rgb="FFD9E2F3"/>
      </top>
      <bottom/>
      <diagonal/>
    </border>
    <border>
      <left/>
      <right/>
      <top style="hair">
        <color rgb="FFD9E2F3"/>
      </top>
      <bottom/>
      <diagonal/>
    </border>
    <border>
      <left/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/>
      <top/>
      <bottom/>
      <diagonal/>
    </border>
    <border>
      <left/>
      <right style="hair">
        <color rgb="FFD9E2F3"/>
      </right>
      <top/>
      <bottom/>
      <diagonal/>
    </border>
    <border>
      <left style="hair">
        <color rgb="FFD9E2F3"/>
      </left>
      <right/>
      <top/>
      <bottom style="hair">
        <color rgb="FFD9E2F3"/>
      </bottom>
      <diagonal/>
    </border>
    <border>
      <left/>
      <right/>
      <top/>
      <bottom style="hair">
        <color rgb="FFD9E2F3"/>
      </bottom>
      <diagonal/>
    </border>
    <border>
      <left/>
      <right style="hair">
        <color rgb="FFD9E2F3"/>
      </right>
      <top/>
      <bottom style="hair">
        <color rgb="FFD9E2F3"/>
      </bottom>
      <diagonal/>
    </border>
    <border>
      <left/>
      <right/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3" fontId="3" fillId="0" borderId="4" xfId="0" applyNumberFormat="1" applyFont="1" applyBorder="1" applyAlignment="1">
      <alignment horizontal="right" vertical="center"/>
    </xf>
    <xf numFmtId="3" fontId="3" fillId="0" borderId="5" xfId="0" applyNumberFormat="1" applyFont="1" applyBorder="1" applyAlignment="1">
      <alignment horizontal="right" vertical="center"/>
    </xf>
    <xf numFmtId="0" fontId="3" fillId="5" borderId="6" xfId="0" applyFont="1" applyFill="1" applyBorder="1" applyAlignment="1">
      <alignment horizontal="left" vertical="center"/>
    </xf>
    <xf numFmtId="3" fontId="3" fillId="5" borderId="0" xfId="0" applyNumberFormat="1" applyFont="1" applyFill="1" applyAlignment="1">
      <alignment horizontal="right" vertical="center"/>
    </xf>
    <xf numFmtId="3" fontId="3" fillId="5" borderId="7" xfId="0" applyNumberFormat="1" applyFont="1" applyFill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3" fontId="3" fillId="0" borderId="7" xfId="0" applyNumberFormat="1" applyFont="1" applyBorder="1" applyAlignment="1">
      <alignment horizontal="right" vertical="center"/>
    </xf>
    <xf numFmtId="164" fontId="3" fillId="5" borderId="0" xfId="0" applyNumberFormat="1" applyFont="1" applyFill="1" applyAlignment="1">
      <alignment horizontal="right" vertical="center"/>
    </xf>
    <xf numFmtId="164" fontId="3" fillId="5" borderId="7" xfId="0" applyNumberFormat="1" applyFont="1" applyFill="1" applyBorder="1" applyAlignment="1">
      <alignment horizontal="right" vertical="center"/>
    </xf>
    <xf numFmtId="0" fontId="3" fillId="5" borderId="8" xfId="0" applyFont="1" applyFill="1" applyBorder="1" applyAlignment="1">
      <alignment horizontal="left" vertical="center"/>
    </xf>
    <xf numFmtId="3" fontId="3" fillId="5" borderId="9" xfId="0" applyNumberFormat="1" applyFont="1" applyFill="1" applyBorder="1" applyAlignment="1">
      <alignment horizontal="right" vertical="center"/>
    </xf>
    <xf numFmtId="164" fontId="3" fillId="5" borderId="10" xfId="0" applyNumberFormat="1" applyFont="1" applyFill="1" applyBorder="1" applyAlignment="1">
      <alignment horizontal="right" vertical="center"/>
    </xf>
    <xf numFmtId="0" fontId="4" fillId="6" borderId="11" xfId="0" applyFont="1" applyFill="1" applyBorder="1" applyAlignment="1">
      <alignment horizontal="left" vertical="center"/>
    </xf>
    <xf numFmtId="3" fontId="4" fillId="6" borderId="11" xfId="0" applyNumberFormat="1" applyFont="1" applyFill="1" applyBorder="1" applyAlignment="1">
      <alignment horizontal="right" vertical="center"/>
    </xf>
    <xf numFmtId="3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042B-733C-4FA0-B5DF-69D2DC019B96}">
  <dimension ref="A1:P110"/>
  <sheetViews>
    <sheetView topLeftCell="A59" workbookViewId="0">
      <selection activeCell="L83" sqref="L83"/>
    </sheetView>
  </sheetViews>
  <sheetFormatPr defaultRowHeight="15" x14ac:dyDescent="0.25"/>
  <sheetData>
    <row r="1" spans="1:16" x14ac:dyDescent="0.25">
      <c r="A1" s="5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3" spans="1:16" x14ac:dyDescent="0.25">
      <c r="B3" s="2" t="s">
        <v>1</v>
      </c>
      <c r="C3" s="2" t="s">
        <v>2</v>
      </c>
    </row>
    <row r="4" spans="1:16" x14ac:dyDescent="0.25">
      <c r="B4" t="s">
        <v>0</v>
      </c>
      <c r="C4" s="3">
        <v>300000</v>
      </c>
    </row>
    <row r="5" spans="1:16" x14ac:dyDescent="0.25">
      <c r="B5" t="s">
        <v>3</v>
      </c>
      <c r="C5" s="3">
        <v>161671</v>
      </c>
    </row>
    <row r="6" spans="1:16" x14ac:dyDescent="0.25">
      <c r="B6" t="s">
        <v>4</v>
      </c>
      <c r="C6" s="3">
        <v>932115</v>
      </c>
    </row>
    <row r="7" spans="1:16" x14ac:dyDescent="0.25">
      <c r="B7" t="s">
        <v>9</v>
      </c>
      <c r="C7" s="3">
        <v>436584</v>
      </c>
    </row>
    <row r="8" spans="1:16" x14ac:dyDescent="0.25">
      <c r="B8" t="s">
        <v>14</v>
      </c>
      <c r="C8" s="3">
        <f>SUM(C4:C7)</f>
        <v>1830370</v>
      </c>
    </row>
    <row r="10" spans="1:16" x14ac:dyDescent="0.25">
      <c r="A10" s="5" t="s">
        <v>20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2" spans="1:16" x14ac:dyDescent="0.25">
      <c r="B12" s="2" t="s">
        <v>1</v>
      </c>
      <c r="C12" s="2" t="s">
        <v>2</v>
      </c>
    </row>
    <row r="13" spans="1:16" x14ac:dyDescent="0.25">
      <c r="B13" t="s">
        <v>5</v>
      </c>
      <c r="C13" s="3">
        <v>258154</v>
      </c>
    </row>
    <row r="14" spans="1:16" x14ac:dyDescent="0.25">
      <c r="B14">
        <v>1893</v>
      </c>
      <c r="C14" s="3">
        <v>53350</v>
      </c>
    </row>
    <row r="15" spans="1:16" x14ac:dyDescent="0.25">
      <c r="B15">
        <v>1894</v>
      </c>
      <c r="C15" s="3">
        <v>55776</v>
      </c>
    </row>
    <row r="16" spans="1:16" x14ac:dyDescent="0.25">
      <c r="B16">
        <v>1895</v>
      </c>
      <c r="C16" s="3">
        <v>101995</v>
      </c>
    </row>
    <row r="17" spans="1:16" x14ac:dyDescent="0.25">
      <c r="B17">
        <f>B16+1</f>
        <v>1896</v>
      </c>
      <c r="C17" s="3">
        <v>186166</v>
      </c>
    </row>
    <row r="18" spans="1:16" x14ac:dyDescent="0.25">
      <c r="B18">
        <f t="shared" ref="B18:B24" si="0">B17+1</f>
        <v>1897</v>
      </c>
      <c r="C18" s="3">
        <v>81015</v>
      </c>
    </row>
    <row r="19" spans="1:16" x14ac:dyDescent="0.25">
      <c r="B19">
        <f t="shared" si="0"/>
        <v>1898</v>
      </c>
      <c r="C19" s="3">
        <v>143697</v>
      </c>
    </row>
    <row r="20" spans="1:16" x14ac:dyDescent="0.25">
      <c r="B20">
        <f t="shared" si="0"/>
        <v>1899</v>
      </c>
      <c r="C20" s="3">
        <v>162805</v>
      </c>
    </row>
    <row r="21" spans="1:16" x14ac:dyDescent="0.25">
      <c r="B21">
        <f t="shared" si="0"/>
        <v>1900</v>
      </c>
      <c r="C21" s="3">
        <v>164639</v>
      </c>
    </row>
    <row r="22" spans="1:16" x14ac:dyDescent="0.25">
      <c r="B22">
        <f t="shared" si="0"/>
        <v>1901</v>
      </c>
      <c r="C22" s="3">
        <v>86334</v>
      </c>
    </row>
    <row r="23" spans="1:16" x14ac:dyDescent="0.25">
      <c r="B23">
        <f t="shared" si="0"/>
        <v>1902</v>
      </c>
      <c r="C23" s="3">
        <v>80499</v>
      </c>
    </row>
    <row r="24" spans="1:16" x14ac:dyDescent="0.25">
      <c r="B24">
        <f t="shared" si="0"/>
        <v>1903</v>
      </c>
      <c r="C24" s="3">
        <v>83721</v>
      </c>
    </row>
    <row r="25" spans="1:16" x14ac:dyDescent="0.25">
      <c r="B25" t="s">
        <v>14</v>
      </c>
      <c r="C25" s="3">
        <f>SUM(C13:C24)</f>
        <v>1458151</v>
      </c>
    </row>
    <row r="27" spans="1:16" x14ac:dyDescent="0.25">
      <c r="A27" s="5" t="s">
        <v>22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9" spans="1:16" x14ac:dyDescent="0.25">
      <c r="B29" s="2" t="s">
        <v>1</v>
      </c>
      <c r="C29" s="2" t="s">
        <v>2</v>
      </c>
    </row>
    <row r="30" spans="1:16" x14ac:dyDescent="0.25">
      <c r="B30">
        <v>1894</v>
      </c>
      <c r="C30" s="3">
        <v>7233</v>
      </c>
    </row>
    <row r="31" spans="1:16" x14ac:dyDescent="0.25">
      <c r="B31">
        <f>B30+1</f>
        <v>1895</v>
      </c>
      <c r="C31" s="3">
        <v>85933</v>
      </c>
    </row>
    <row r="32" spans="1:16" x14ac:dyDescent="0.25">
      <c r="B32">
        <f t="shared" ref="B32:B39" si="1">B31+1</f>
        <v>1896</v>
      </c>
      <c r="C32" s="3">
        <v>177168</v>
      </c>
    </row>
    <row r="33" spans="1:16" x14ac:dyDescent="0.25">
      <c r="B33">
        <f t="shared" si="1"/>
        <v>1897</v>
      </c>
      <c r="C33" s="3">
        <v>66747</v>
      </c>
    </row>
    <row r="34" spans="1:16" x14ac:dyDescent="0.25">
      <c r="B34">
        <f t="shared" si="1"/>
        <v>1898</v>
      </c>
      <c r="C34" s="3">
        <v>144024</v>
      </c>
    </row>
    <row r="35" spans="1:16" x14ac:dyDescent="0.25">
      <c r="B35">
        <f t="shared" si="1"/>
        <v>1899</v>
      </c>
      <c r="C35" s="3">
        <v>159747</v>
      </c>
    </row>
    <row r="36" spans="1:16" x14ac:dyDescent="0.25">
      <c r="B36">
        <f t="shared" si="1"/>
        <v>1900</v>
      </c>
      <c r="C36" s="3">
        <v>152444</v>
      </c>
    </row>
    <row r="37" spans="1:16" x14ac:dyDescent="0.25">
      <c r="B37">
        <f t="shared" si="1"/>
        <v>1901</v>
      </c>
      <c r="C37" s="3">
        <v>69015</v>
      </c>
    </row>
    <row r="38" spans="1:16" x14ac:dyDescent="0.25">
      <c r="B38">
        <f t="shared" si="1"/>
        <v>1902</v>
      </c>
      <c r="C38" s="3">
        <v>64550</v>
      </c>
    </row>
    <row r="39" spans="1:16" x14ac:dyDescent="0.25">
      <c r="B39">
        <f t="shared" si="1"/>
        <v>1903</v>
      </c>
      <c r="C39" s="3">
        <v>71139</v>
      </c>
    </row>
    <row r="41" spans="1:16" x14ac:dyDescent="0.25">
      <c r="A41" s="5" t="s">
        <v>16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3" spans="1:16" x14ac:dyDescent="0.25">
      <c r="B43" s="2" t="s">
        <v>1</v>
      </c>
      <c r="C43" s="2" t="s">
        <v>2</v>
      </c>
    </row>
    <row r="44" spans="1:16" x14ac:dyDescent="0.25">
      <c r="B44" t="s">
        <v>6</v>
      </c>
      <c r="C44" s="3">
        <v>327100</v>
      </c>
    </row>
    <row r="45" spans="1:16" x14ac:dyDescent="0.25">
      <c r="B45" t="s">
        <v>7</v>
      </c>
      <c r="C45" s="3">
        <v>495225</v>
      </c>
    </row>
    <row r="46" spans="1:16" x14ac:dyDescent="0.25">
      <c r="B46" t="s">
        <v>8</v>
      </c>
      <c r="C46" s="3">
        <v>558071</v>
      </c>
    </row>
    <row r="47" spans="1:16" x14ac:dyDescent="0.25">
      <c r="B47" t="s">
        <v>14</v>
      </c>
      <c r="C47" s="3">
        <f>SUM(C44:C46)</f>
        <v>1380396</v>
      </c>
    </row>
    <row r="48" spans="1:16" x14ac:dyDescent="0.25">
      <c r="C48" s="3"/>
    </row>
    <row r="49" spans="1:16" x14ac:dyDescent="0.25">
      <c r="B49" t="s">
        <v>17</v>
      </c>
      <c r="C49" s="3"/>
    </row>
    <row r="50" spans="1:16" x14ac:dyDescent="0.25">
      <c r="B50" t="s">
        <v>6</v>
      </c>
      <c r="C50" s="3" t="s">
        <v>18</v>
      </c>
    </row>
    <row r="51" spans="1:16" x14ac:dyDescent="0.25">
      <c r="B51" t="s">
        <v>7</v>
      </c>
      <c r="C51" s="3" t="s">
        <v>19</v>
      </c>
    </row>
    <row r="52" spans="1:16" x14ac:dyDescent="0.25">
      <c r="B52" t="s">
        <v>8</v>
      </c>
      <c r="C52" s="3" t="s">
        <v>19</v>
      </c>
    </row>
    <row r="54" spans="1:16" x14ac:dyDescent="0.25">
      <c r="A54" s="5" t="s">
        <v>27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x14ac:dyDescent="0.25">
      <c r="A55" s="5" t="s">
        <v>36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7" spans="1:16" x14ac:dyDescent="0.25">
      <c r="C57" s="2" t="s">
        <v>31</v>
      </c>
      <c r="D57" s="2" t="s">
        <v>32</v>
      </c>
      <c r="E57" s="2" t="s">
        <v>33</v>
      </c>
    </row>
    <row r="58" spans="1:16" x14ac:dyDescent="0.25">
      <c r="C58" s="2" t="s">
        <v>34</v>
      </c>
      <c r="D58" s="2" t="s">
        <v>35</v>
      </c>
      <c r="E58" s="2"/>
    </row>
    <row r="59" spans="1:16" x14ac:dyDescent="0.25">
      <c r="B59" s="2" t="s">
        <v>11</v>
      </c>
      <c r="C59" s="2" t="s">
        <v>28</v>
      </c>
      <c r="D59" s="2" t="s">
        <v>29</v>
      </c>
      <c r="E59" s="2" t="s">
        <v>30</v>
      </c>
    </row>
    <row r="60" spans="1:16" x14ac:dyDescent="0.25">
      <c r="B60">
        <v>1896</v>
      </c>
      <c r="C60" s="3">
        <v>189936</v>
      </c>
      <c r="D60" s="3">
        <v>30054</v>
      </c>
      <c r="E60" s="3">
        <f>C60-D60</f>
        <v>159882</v>
      </c>
    </row>
    <row r="61" spans="1:16" x14ac:dyDescent="0.25">
      <c r="B61">
        <v>1897</v>
      </c>
      <c r="C61" s="3">
        <v>86380</v>
      </c>
      <c r="D61" s="3">
        <v>36695</v>
      </c>
      <c r="E61" s="3">
        <f t="shared" ref="E61:E67" si="2">C61-D61</f>
        <v>49685</v>
      </c>
    </row>
    <row r="62" spans="1:16" x14ac:dyDescent="0.25">
      <c r="B62">
        <v>1898</v>
      </c>
      <c r="C62" s="3">
        <v>202901</v>
      </c>
      <c r="D62" s="3">
        <v>59197</v>
      </c>
      <c r="E62" s="3">
        <f t="shared" si="2"/>
        <v>143704</v>
      </c>
    </row>
    <row r="63" spans="1:16" x14ac:dyDescent="0.25">
      <c r="B63">
        <v>1899</v>
      </c>
      <c r="C63" s="3">
        <v>224772</v>
      </c>
      <c r="D63" s="3">
        <v>69830</v>
      </c>
      <c r="E63" s="3">
        <f t="shared" si="2"/>
        <v>154942</v>
      </c>
    </row>
    <row r="64" spans="1:16" x14ac:dyDescent="0.25">
      <c r="B64">
        <v>1900</v>
      </c>
      <c r="C64" s="3">
        <v>220167</v>
      </c>
      <c r="D64" s="3">
        <v>91415</v>
      </c>
      <c r="E64" s="3">
        <f t="shared" si="2"/>
        <v>128752</v>
      </c>
    </row>
    <row r="65" spans="1:16" x14ac:dyDescent="0.25">
      <c r="B65">
        <v>1901</v>
      </c>
      <c r="C65" s="3">
        <v>122910</v>
      </c>
      <c r="D65" s="3">
        <v>59978</v>
      </c>
      <c r="E65" s="3">
        <f t="shared" si="2"/>
        <v>62932</v>
      </c>
    </row>
    <row r="66" spans="1:16" x14ac:dyDescent="0.25">
      <c r="B66">
        <v>1902</v>
      </c>
      <c r="C66" s="3">
        <v>114195</v>
      </c>
      <c r="D66" s="3">
        <v>49387</v>
      </c>
      <c r="E66" s="3">
        <f t="shared" si="2"/>
        <v>64808</v>
      </c>
    </row>
    <row r="67" spans="1:16" x14ac:dyDescent="0.25">
      <c r="B67">
        <v>1903</v>
      </c>
      <c r="C67" s="3">
        <v>133072</v>
      </c>
      <c r="D67" s="3">
        <v>46197</v>
      </c>
      <c r="E67" s="3">
        <f t="shared" si="2"/>
        <v>86875</v>
      </c>
    </row>
    <row r="69" spans="1:16" x14ac:dyDescent="0.25">
      <c r="A69" s="6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x14ac:dyDescent="0.25">
      <c r="A70" s="6" t="s">
        <v>25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2" spans="1:16" x14ac:dyDescent="0.25">
      <c r="B72" s="1" t="s">
        <v>11</v>
      </c>
      <c r="C72" s="2" t="s">
        <v>12</v>
      </c>
      <c r="D72" s="2" t="s">
        <v>21</v>
      </c>
      <c r="E72" s="2" t="s">
        <v>23</v>
      </c>
      <c r="F72" s="2" t="s">
        <v>13</v>
      </c>
      <c r="G72" s="2" t="s">
        <v>31</v>
      </c>
      <c r="H72" s="2" t="s">
        <v>32</v>
      </c>
      <c r="I72" s="2" t="s">
        <v>33</v>
      </c>
    </row>
    <row r="73" spans="1:16" x14ac:dyDescent="0.25">
      <c r="B73">
        <f>B74-1</f>
        <v>1881</v>
      </c>
      <c r="C73" s="3">
        <v>6492.9400850000002</v>
      </c>
    </row>
    <row r="74" spans="1:16" x14ac:dyDescent="0.25">
      <c r="B74">
        <f>B75-1</f>
        <v>1882</v>
      </c>
      <c r="C74" s="3">
        <v>5345.4438110000001</v>
      </c>
    </row>
    <row r="75" spans="1:16" x14ac:dyDescent="0.25">
      <c r="B75">
        <f>B76-1</f>
        <v>1883</v>
      </c>
      <c r="C75" s="3">
        <v>4174.0546619999996</v>
      </c>
    </row>
    <row r="76" spans="1:16" x14ac:dyDescent="0.25">
      <c r="B76">
        <f>B77-1</f>
        <v>1884</v>
      </c>
      <c r="C76" s="3">
        <v>3001.3063069999998</v>
      </c>
    </row>
    <row r="77" spans="1:16" x14ac:dyDescent="0.25">
      <c r="B77">
        <v>1885</v>
      </c>
      <c r="C77" s="3">
        <v>1661.2973549999999</v>
      </c>
      <c r="D77" s="3">
        <v>25025.540964</v>
      </c>
      <c r="E77" s="3"/>
      <c r="F77" s="3">
        <v>22137.742243000001</v>
      </c>
    </row>
    <row r="78" spans="1:16" x14ac:dyDescent="0.25">
      <c r="B78">
        <f>B77+1</f>
        <v>1886</v>
      </c>
      <c r="C78" s="3">
        <v>1160.717044</v>
      </c>
      <c r="D78" s="3">
        <v>25595.238339</v>
      </c>
      <c r="E78" s="3"/>
      <c r="F78" s="3">
        <v>22939.139247999999</v>
      </c>
    </row>
    <row r="79" spans="1:16" x14ac:dyDescent="0.25">
      <c r="B79">
        <f t="shared" ref="B79:B97" si="3">B78+1</f>
        <v>1887</v>
      </c>
      <c r="C79" s="3">
        <v>1061.5090970000001</v>
      </c>
      <c r="D79" s="3">
        <v>26777.430110000001</v>
      </c>
      <c r="E79" s="3"/>
      <c r="F79" s="3">
        <v>24614.52692</v>
      </c>
    </row>
    <row r="80" spans="1:16" x14ac:dyDescent="0.25">
      <c r="B80">
        <f t="shared" si="3"/>
        <v>1888</v>
      </c>
      <c r="C80" s="3">
        <v>1352.683626</v>
      </c>
      <c r="D80" s="3">
        <v>28718.266469999999</v>
      </c>
      <c r="E80" s="3"/>
      <c r="F80" s="3">
        <v>27397.393515</v>
      </c>
    </row>
    <row r="81" spans="2:9" x14ac:dyDescent="0.25">
      <c r="B81">
        <f t="shared" si="3"/>
        <v>1889</v>
      </c>
      <c r="C81" s="3">
        <v>2139.7641800000001</v>
      </c>
      <c r="D81" s="3">
        <v>31481.727653999998</v>
      </c>
      <c r="E81" s="3"/>
      <c r="F81" s="3">
        <v>31425.433763000001</v>
      </c>
    </row>
    <row r="82" spans="2:9" x14ac:dyDescent="0.25">
      <c r="B82">
        <f t="shared" si="3"/>
        <v>1890</v>
      </c>
      <c r="C82" s="3">
        <v>3711.2289000000001</v>
      </c>
      <c r="D82" s="3">
        <v>35146.818431</v>
      </c>
      <c r="E82" s="3"/>
      <c r="F82" s="3">
        <v>36879.090257000003</v>
      </c>
    </row>
    <row r="83" spans="2:9" x14ac:dyDescent="0.25">
      <c r="B83">
        <f t="shared" si="3"/>
        <v>1891</v>
      </c>
      <c r="C83" s="3">
        <v>6643.4669190000004</v>
      </c>
      <c r="D83" s="3">
        <v>39816.102378000003</v>
      </c>
      <c r="E83" s="3"/>
      <c r="F83" s="3">
        <v>44008.187974</v>
      </c>
    </row>
    <row r="84" spans="2:9" x14ac:dyDescent="0.25">
      <c r="B84">
        <f t="shared" si="3"/>
        <v>1892</v>
      </c>
      <c r="C84" s="3">
        <v>12009.715506</v>
      </c>
      <c r="D84" s="3">
        <v>45592.875653000003</v>
      </c>
      <c r="E84" s="3"/>
      <c r="F84" s="3">
        <v>53145.628228000001</v>
      </c>
    </row>
    <row r="85" spans="2:9" x14ac:dyDescent="0.25">
      <c r="B85">
        <f t="shared" si="3"/>
        <v>1893</v>
      </c>
      <c r="C85" s="3">
        <v>21782.286273000002</v>
      </c>
      <c r="D85" s="3">
        <v>53350</v>
      </c>
      <c r="E85" s="3"/>
      <c r="F85" s="3">
        <v>64552.857853000001</v>
      </c>
    </row>
    <row r="86" spans="2:9" x14ac:dyDescent="0.25">
      <c r="B86">
        <f t="shared" si="3"/>
        <v>1894</v>
      </c>
      <c r="C86" s="3">
        <v>39620.892380999998</v>
      </c>
      <c r="D86" s="3">
        <v>55776</v>
      </c>
      <c r="E86" s="3">
        <v>7233</v>
      </c>
      <c r="F86" s="3">
        <v>80226.789336000002</v>
      </c>
    </row>
    <row r="87" spans="2:9" x14ac:dyDescent="0.25">
      <c r="B87">
        <f t="shared" si="3"/>
        <v>1895</v>
      </c>
      <c r="C87" s="3">
        <v>70527.438718000005</v>
      </c>
      <c r="D87" s="3">
        <v>101995</v>
      </c>
      <c r="E87" s="3">
        <v>85933</v>
      </c>
      <c r="F87" s="3">
        <v>92405.860002999994</v>
      </c>
    </row>
    <row r="88" spans="2:9" x14ac:dyDescent="0.25">
      <c r="B88">
        <f t="shared" si="3"/>
        <v>1896</v>
      </c>
      <c r="C88" s="3">
        <v>141349.99644300001</v>
      </c>
      <c r="D88" s="3">
        <v>186166</v>
      </c>
      <c r="E88" s="3">
        <v>177168</v>
      </c>
      <c r="F88" s="3">
        <v>101992.45347199999</v>
      </c>
      <c r="G88" s="3">
        <v>189936</v>
      </c>
      <c r="H88" s="3">
        <v>30054</v>
      </c>
      <c r="I88" s="3">
        <f>G88-H88</f>
        <v>159882</v>
      </c>
    </row>
    <row r="89" spans="2:9" x14ac:dyDescent="0.25">
      <c r="B89">
        <f t="shared" si="3"/>
        <v>1897</v>
      </c>
      <c r="C89" s="3">
        <v>186524.122156</v>
      </c>
      <c r="D89" s="3">
        <v>81015</v>
      </c>
      <c r="E89" s="3">
        <v>66747</v>
      </c>
      <c r="F89" s="3">
        <v>108567.898115</v>
      </c>
      <c r="G89" s="3">
        <v>86380</v>
      </c>
      <c r="H89" s="3">
        <v>36695</v>
      </c>
      <c r="I89" s="3">
        <f t="shared" ref="I89:I95" si="4">G89-H89</f>
        <v>49685</v>
      </c>
    </row>
    <row r="90" spans="2:9" x14ac:dyDescent="0.25">
      <c r="B90">
        <f t="shared" si="3"/>
        <v>1898</v>
      </c>
      <c r="C90" s="3">
        <v>210525.51942900001</v>
      </c>
      <c r="D90" s="3">
        <v>143697</v>
      </c>
      <c r="E90" s="3">
        <v>144024</v>
      </c>
      <c r="F90" s="3">
        <v>112031.99907400001</v>
      </c>
      <c r="G90" s="3">
        <v>202901</v>
      </c>
      <c r="H90" s="3">
        <v>59197</v>
      </c>
      <c r="I90" s="3">
        <f t="shared" si="4"/>
        <v>143704</v>
      </c>
    </row>
    <row r="91" spans="2:9" x14ac:dyDescent="0.25">
      <c r="B91">
        <f t="shared" si="3"/>
        <v>1899</v>
      </c>
      <c r="C91" s="3">
        <v>209433.31628900001</v>
      </c>
      <c r="D91" s="3">
        <v>162805</v>
      </c>
      <c r="E91" s="3">
        <v>159747</v>
      </c>
      <c r="F91" s="3">
        <v>111452.62852100001</v>
      </c>
      <c r="G91" s="3">
        <v>224772</v>
      </c>
      <c r="H91" s="3">
        <v>69830</v>
      </c>
      <c r="I91" s="3">
        <f t="shared" si="4"/>
        <v>154942</v>
      </c>
    </row>
    <row r="92" spans="2:9" x14ac:dyDescent="0.25">
      <c r="B92">
        <f t="shared" si="3"/>
        <v>1900</v>
      </c>
      <c r="C92" s="3">
        <v>184282.045683</v>
      </c>
      <c r="D92" s="3">
        <v>164639</v>
      </c>
      <c r="E92" s="3">
        <v>152444</v>
      </c>
      <c r="F92" s="3">
        <v>111600.289242</v>
      </c>
      <c r="G92" s="3">
        <v>220167</v>
      </c>
      <c r="H92" s="3">
        <v>91415</v>
      </c>
      <c r="I92" s="3">
        <f t="shared" si="4"/>
        <v>128752</v>
      </c>
    </row>
    <row r="93" spans="2:9" x14ac:dyDescent="0.25">
      <c r="B93">
        <f t="shared" si="3"/>
        <v>1901</v>
      </c>
      <c r="C93" s="3">
        <v>129981.861118</v>
      </c>
      <c r="D93" s="3">
        <v>86334</v>
      </c>
      <c r="E93" s="3">
        <v>69015</v>
      </c>
      <c r="F93" s="3">
        <v>111646.527216</v>
      </c>
      <c r="G93" s="3">
        <v>122910</v>
      </c>
      <c r="H93" s="3">
        <v>59978</v>
      </c>
      <c r="I93" s="3">
        <f t="shared" si="4"/>
        <v>62932</v>
      </c>
    </row>
    <row r="94" spans="2:9" x14ac:dyDescent="0.25">
      <c r="B94">
        <f t="shared" si="3"/>
        <v>1902</v>
      </c>
      <c r="C94" s="3">
        <v>99337.600627000007</v>
      </c>
      <c r="D94" s="3">
        <v>80499</v>
      </c>
      <c r="E94" s="3">
        <v>64550</v>
      </c>
      <c r="F94" s="3">
        <v>111678.05499999999</v>
      </c>
      <c r="G94" s="3">
        <v>114195</v>
      </c>
      <c r="H94" s="3">
        <v>49387</v>
      </c>
      <c r="I94" s="3">
        <f t="shared" si="4"/>
        <v>64808</v>
      </c>
    </row>
    <row r="95" spans="2:9" x14ac:dyDescent="0.25">
      <c r="B95">
        <f t="shared" si="3"/>
        <v>1903</v>
      </c>
      <c r="C95" s="3">
        <v>78776.797391</v>
      </c>
      <c r="D95" s="3">
        <v>83721</v>
      </c>
      <c r="E95" s="3">
        <v>71139</v>
      </c>
      <c r="F95" s="3">
        <v>111693.50002000001</v>
      </c>
      <c r="G95" s="3">
        <v>133072</v>
      </c>
      <c r="H95" s="3">
        <v>46197</v>
      </c>
      <c r="I95" s="3">
        <f t="shared" si="4"/>
        <v>86875</v>
      </c>
    </row>
    <row r="96" spans="2:9" x14ac:dyDescent="0.25">
      <c r="B96">
        <f t="shared" si="3"/>
        <v>1904</v>
      </c>
      <c r="C96" s="3">
        <v>66981.996801999994</v>
      </c>
    </row>
    <row r="97" spans="1:16" x14ac:dyDescent="0.25">
      <c r="B97">
        <f t="shared" si="3"/>
        <v>1905</v>
      </c>
      <c r="C97" s="3">
        <v>61505.744061999998</v>
      </c>
    </row>
    <row r="99" spans="1:16" x14ac:dyDescent="0.25">
      <c r="B99" t="s">
        <v>14</v>
      </c>
      <c r="C99" s="3">
        <f>SUM(C73:C97)</f>
        <v>1549383.744864</v>
      </c>
      <c r="D99" s="3">
        <f>SUM(D73:D97)</f>
        <v>1458150.999999</v>
      </c>
      <c r="E99" s="3"/>
      <c r="F99" s="3">
        <f>SUM(F73:F97)</f>
        <v>1380395.9999999998</v>
      </c>
    </row>
    <row r="100" spans="1:16" x14ac:dyDescent="0.25">
      <c r="B100" t="s">
        <v>15</v>
      </c>
      <c r="C100" s="3">
        <f>SUM(C77:C95)</f>
        <v>1401882.2591349999</v>
      </c>
      <c r="D100" s="3">
        <f>SUM(D77:D95)</f>
        <v>1458150.999999</v>
      </c>
      <c r="E100" s="3">
        <f>SUM(E77:E95)</f>
        <v>998000</v>
      </c>
      <c r="F100" s="3">
        <f>SUM(F77:F95)</f>
        <v>1380395.9999999998</v>
      </c>
    </row>
    <row r="101" spans="1:16" x14ac:dyDescent="0.25">
      <c r="B101" t="s">
        <v>7</v>
      </c>
      <c r="C101" s="3">
        <f>SUM(C86:C90)</f>
        <v>648547.96912699996</v>
      </c>
      <c r="D101" s="3">
        <f>SUM(D86:D90)</f>
        <v>568649</v>
      </c>
      <c r="E101" s="3">
        <f>SUM(E86:E90)</f>
        <v>481105</v>
      </c>
      <c r="F101" s="3">
        <f>SUM(F86:F90)</f>
        <v>495224.99999999994</v>
      </c>
    </row>
    <row r="102" spans="1:16" x14ac:dyDescent="0.25">
      <c r="B102" t="s">
        <v>8</v>
      </c>
      <c r="C102" s="3">
        <f>SUM(C91:C95)</f>
        <v>701811.62110799993</v>
      </c>
      <c r="D102" s="3">
        <f>SUM(D91:D95)</f>
        <v>577998</v>
      </c>
      <c r="E102" s="3">
        <f>SUM(E91:E95)</f>
        <v>516895</v>
      </c>
      <c r="F102" s="3">
        <f>SUM(F91:F95)</f>
        <v>558070.99999899999</v>
      </c>
    </row>
    <row r="104" spans="1:16" x14ac:dyDescent="0.25">
      <c r="B104" t="s">
        <v>26</v>
      </c>
    </row>
    <row r="105" spans="1:16" x14ac:dyDescent="0.25">
      <c r="B105" t="s">
        <v>37</v>
      </c>
    </row>
    <row r="109" spans="1:16" x14ac:dyDescent="0.25">
      <c r="A109" s="6" t="s">
        <v>114</v>
      </c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</row>
    <row r="110" spans="1:16" x14ac:dyDescent="0.25">
      <c r="A110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ABE5-578E-4890-83BE-C69EB8587AC3}">
  <dimension ref="A1:AA58"/>
  <sheetViews>
    <sheetView tabSelected="1" workbookViewId="0">
      <selection activeCell="B1" sqref="B1"/>
    </sheetView>
  </sheetViews>
  <sheetFormatPr defaultRowHeight="15" x14ac:dyDescent="0.25"/>
  <cols>
    <col min="1" max="1" width="26.140625" bestFit="1" customWidth="1"/>
    <col min="2" max="2" width="7.5703125" bestFit="1" customWidth="1"/>
    <col min="3" max="4" width="6.5703125" bestFit="1" customWidth="1"/>
    <col min="5" max="6" width="7.5703125" bestFit="1" customWidth="1"/>
    <col min="7" max="7" width="6.5703125" bestFit="1" customWidth="1"/>
    <col min="8" max="8" width="7.5703125" bestFit="1" customWidth="1"/>
    <col min="9" max="10" width="9.85546875" bestFit="1" customWidth="1"/>
    <col min="11" max="12" width="7.5703125" bestFit="1" customWidth="1"/>
    <col min="13" max="15" width="6.5703125" bestFit="1" customWidth="1"/>
    <col min="16" max="19" width="9.85546875" bestFit="1" customWidth="1"/>
    <col min="20" max="20" width="6.5703125" bestFit="1" customWidth="1"/>
    <col min="21" max="21" width="9.140625" bestFit="1" customWidth="1"/>
    <col min="22" max="22" width="9.85546875" bestFit="1" customWidth="1"/>
  </cols>
  <sheetData>
    <row r="1" spans="1:27" ht="45" x14ac:dyDescent="0.25">
      <c r="A1" s="7" t="s">
        <v>115</v>
      </c>
      <c r="B1" s="8" t="s">
        <v>5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102</v>
      </c>
      <c r="J1" s="8" t="s">
        <v>103</v>
      </c>
      <c r="K1" s="8" t="s">
        <v>45</v>
      </c>
      <c r="L1" s="8" t="s">
        <v>46</v>
      </c>
      <c r="M1" s="8" t="s">
        <v>47</v>
      </c>
      <c r="N1" s="8" t="s">
        <v>48</v>
      </c>
      <c r="O1" s="8" t="s">
        <v>49</v>
      </c>
      <c r="P1" s="8" t="s">
        <v>104</v>
      </c>
      <c r="Q1" s="8" t="s">
        <v>105</v>
      </c>
      <c r="R1" s="8" t="s">
        <v>106</v>
      </c>
      <c r="S1" s="8" t="s">
        <v>107</v>
      </c>
      <c r="T1" s="8" t="s">
        <v>50</v>
      </c>
      <c r="U1" s="8" t="s">
        <v>108</v>
      </c>
      <c r="V1" s="8" t="s">
        <v>109</v>
      </c>
    </row>
    <row r="2" spans="1:27" x14ac:dyDescent="0.25">
      <c r="A2" s="9" t="s">
        <v>51</v>
      </c>
      <c r="B2" s="10">
        <v>66338</v>
      </c>
      <c r="C2" s="10">
        <v>4108</v>
      </c>
      <c r="D2" s="10">
        <v>4943</v>
      </c>
      <c r="E2" s="10">
        <v>8940</v>
      </c>
      <c r="F2" s="10">
        <v>14298</v>
      </c>
      <c r="G2" s="10">
        <v>4273</v>
      </c>
      <c r="H2" s="10">
        <v>9194</v>
      </c>
      <c r="I2" s="10">
        <v>41648</v>
      </c>
      <c r="J2" s="10">
        <v>8330</v>
      </c>
      <c r="K2" s="10">
        <v>13656</v>
      </c>
      <c r="L2" s="10">
        <v>16278</v>
      </c>
      <c r="M2" s="10">
        <v>5410</v>
      </c>
      <c r="N2" s="10">
        <v>2139</v>
      </c>
      <c r="O2" s="10">
        <v>1662</v>
      </c>
      <c r="P2" s="10">
        <v>39145</v>
      </c>
      <c r="Q2" s="10">
        <v>7829</v>
      </c>
      <c r="R2" s="10">
        <v>80793</v>
      </c>
      <c r="S2" s="10">
        <v>8079</v>
      </c>
      <c r="T2" s="10">
        <v>334</v>
      </c>
      <c r="U2" s="10">
        <v>151573</v>
      </c>
      <c r="V2" s="11">
        <v>7579</v>
      </c>
      <c r="X2" s="25">
        <f>SUM(D2:H2)-I2</f>
        <v>0</v>
      </c>
      <c r="Y2" s="25">
        <f>SUM(K2:O2)-P2</f>
        <v>0</v>
      </c>
      <c r="Z2" s="25">
        <f>I2+P2-R2</f>
        <v>0</v>
      </c>
      <c r="AA2" s="25">
        <f t="shared" ref="AA2:AA51" si="0">SUM(B2)+SUM(I2)+SUM(P2)+SUM(T2)-U2+SUM(C2)</f>
        <v>0</v>
      </c>
    </row>
    <row r="3" spans="1:27" x14ac:dyDescent="0.25">
      <c r="A3" s="12" t="s">
        <v>52</v>
      </c>
      <c r="B3" s="13">
        <v>37276</v>
      </c>
      <c r="C3" s="13">
        <v>5087</v>
      </c>
      <c r="D3" s="13">
        <v>3605</v>
      </c>
      <c r="E3" s="13">
        <v>3208</v>
      </c>
      <c r="F3" s="13">
        <v>6693</v>
      </c>
      <c r="G3" s="13">
        <v>3604</v>
      </c>
      <c r="H3" s="13">
        <v>14689</v>
      </c>
      <c r="I3" s="13">
        <v>31799</v>
      </c>
      <c r="J3" s="13">
        <v>6360</v>
      </c>
      <c r="K3" s="13">
        <v>14331</v>
      </c>
      <c r="L3" s="13">
        <v>5610</v>
      </c>
      <c r="M3" s="13">
        <v>2081</v>
      </c>
      <c r="N3" s="13">
        <v>1868</v>
      </c>
      <c r="O3" s="13">
        <v>2003</v>
      </c>
      <c r="P3" s="13">
        <v>25893</v>
      </c>
      <c r="Q3" s="13">
        <v>5179</v>
      </c>
      <c r="R3" s="13">
        <v>57692</v>
      </c>
      <c r="S3" s="13">
        <v>5769</v>
      </c>
      <c r="T3" s="13">
        <v>428</v>
      </c>
      <c r="U3" s="13">
        <v>100483</v>
      </c>
      <c r="V3" s="14">
        <v>5024</v>
      </c>
      <c r="X3" s="25">
        <f t="shared" ref="X3:X50" si="1">SUM(D3:H3)-I3</f>
        <v>0</v>
      </c>
      <c r="Y3" s="25">
        <f t="shared" ref="Y3:Y51" si="2">SUM(K3:O3)-P3</f>
        <v>0</v>
      </c>
      <c r="Z3" s="25">
        <f t="shared" ref="Z3:Z50" si="3">I3+P3-R3</f>
        <v>0</v>
      </c>
      <c r="AA3" s="25">
        <f t="shared" si="0"/>
        <v>0</v>
      </c>
    </row>
    <row r="4" spans="1:27" x14ac:dyDescent="0.25">
      <c r="A4" s="15" t="s">
        <v>53</v>
      </c>
      <c r="B4" s="16">
        <v>5493</v>
      </c>
      <c r="C4" s="16">
        <v>2951</v>
      </c>
      <c r="D4" s="16">
        <v>851</v>
      </c>
      <c r="E4" s="16">
        <v>23113</v>
      </c>
      <c r="F4" s="16">
        <v>5293</v>
      </c>
      <c r="G4" s="16">
        <v>1100</v>
      </c>
      <c r="H4" s="16">
        <v>3100</v>
      </c>
      <c r="I4" s="16">
        <v>33457</v>
      </c>
      <c r="J4" s="16">
        <v>6691</v>
      </c>
      <c r="K4" s="16">
        <v>5449</v>
      </c>
      <c r="L4" s="16">
        <v>2763</v>
      </c>
      <c r="M4" s="16">
        <v>1097</v>
      </c>
      <c r="N4" s="16">
        <v>1025</v>
      </c>
      <c r="O4" s="16">
        <v>1526</v>
      </c>
      <c r="P4" s="16">
        <v>11860</v>
      </c>
      <c r="Q4" s="16">
        <v>2372</v>
      </c>
      <c r="R4" s="16">
        <v>45317</v>
      </c>
      <c r="S4" s="16">
        <v>4532</v>
      </c>
      <c r="T4" s="16">
        <v>1249</v>
      </c>
      <c r="U4" s="16">
        <v>55010</v>
      </c>
      <c r="V4" s="17">
        <v>2750</v>
      </c>
      <c r="X4" s="25">
        <f t="shared" si="1"/>
        <v>0</v>
      </c>
      <c r="Y4" s="25">
        <f t="shared" si="2"/>
        <v>0</v>
      </c>
      <c r="Z4" s="25">
        <f t="shared" si="3"/>
        <v>0</v>
      </c>
      <c r="AA4" s="25">
        <f t="shared" si="0"/>
        <v>0</v>
      </c>
    </row>
    <row r="5" spans="1:27" x14ac:dyDescent="0.25">
      <c r="A5" s="12" t="s">
        <v>54</v>
      </c>
      <c r="B5" s="13">
        <v>6166</v>
      </c>
      <c r="C5" s="13">
        <v>2049</v>
      </c>
      <c r="D5" s="13">
        <v>2228</v>
      </c>
      <c r="E5" s="13">
        <v>4898</v>
      </c>
      <c r="F5" s="13">
        <v>15987</v>
      </c>
      <c r="G5" s="13">
        <v>5848</v>
      </c>
      <c r="H5" s="13">
        <v>11258</v>
      </c>
      <c r="I5" s="13">
        <v>40219</v>
      </c>
      <c r="J5" s="13">
        <v>8044</v>
      </c>
      <c r="K5" s="13">
        <v>7137</v>
      </c>
      <c r="L5" s="13">
        <v>3871</v>
      </c>
      <c r="M5" s="13">
        <v>2313</v>
      </c>
      <c r="N5" s="13">
        <v>1518</v>
      </c>
      <c r="O5" s="13">
        <v>1628</v>
      </c>
      <c r="P5" s="13">
        <v>16467</v>
      </c>
      <c r="Q5" s="13">
        <v>3293</v>
      </c>
      <c r="R5" s="13">
        <v>56686</v>
      </c>
      <c r="S5" s="13">
        <v>5669</v>
      </c>
      <c r="T5" s="13">
        <v>250</v>
      </c>
      <c r="U5" s="13">
        <v>65151</v>
      </c>
      <c r="V5" s="14">
        <v>3258</v>
      </c>
      <c r="X5" s="25">
        <f t="shared" si="1"/>
        <v>0</v>
      </c>
      <c r="Y5" s="25">
        <f t="shared" si="2"/>
        <v>0</v>
      </c>
      <c r="Z5" s="25">
        <f t="shared" si="3"/>
        <v>0</v>
      </c>
      <c r="AA5" s="25">
        <f t="shared" si="0"/>
        <v>0</v>
      </c>
    </row>
    <row r="6" spans="1:27" x14ac:dyDescent="0.25">
      <c r="A6" s="15" t="s">
        <v>55</v>
      </c>
      <c r="B6" s="16">
        <v>6335</v>
      </c>
      <c r="C6" s="16">
        <v>3612</v>
      </c>
      <c r="D6" s="16">
        <v>6972</v>
      </c>
      <c r="E6" s="16">
        <v>15135</v>
      </c>
      <c r="F6" s="16">
        <v>36198</v>
      </c>
      <c r="G6" s="16">
        <v>11640</v>
      </c>
      <c r="H6" s="16">
        <v>5874</v>
      </c>
      <c r="I6" s="16">
        <v>75819</v>
      </c>
      <c r="J6" s="16">
        <v>15164</v>
      </c>
      <c r="K6" s="16">
        <v>6205</v>
      </c>
      <c r="L6" s="16">
        <v>11400</v>
      </c>
      <c r="M6" s="16">
        <v>8883</v>
      </c>
      <c r="N6" s="16">
        <v>6283</v>
      </c>
      <c r="O6" s="16">
        <v>4149</v>
      </c>
      <c r="P6" s="16">
        <v>36920</v>
      </c>
      <c r="Q6" s="16">
        <v>7384</v>
      </c>
      <c r="R6" s="16">
        <v>112739</v>
      </c>
      <c r="S6" s="16">
        <v>11274</v>
      </c>
      <c r="T6" s="16">
        <v>1190</v>
      </c>
      <c r="U6" s="16">
        <v>123876</v>
      </c>
      <c r="V6" s="17">
        <v>6194</v>
      </c>
      <c r="X6" s="25">
        <f t="shared" si="1"/>
        <v>0</v>
      </c>
      <c r="Y6" s="25">
        <f t="shared" si="2"/>
        <v>0</v>
      </c>
      <c r="Z6" s="25">
        <f t="shared" si="3"/>
        <v>0</v>
      </c>
      <c r="AA6" s="25">
        <f t="shared" si="0"/>
        <v>0</v>
      </c>
    </row>
    <row r="7" spans="1:27" x14ac:dyDescent="0.25">
      <c r="A7" s="12" t="s">
        <v>56</v>
      </c>
      <c r="B7" s="13">
        <v>204</v>
      </c>
      <c r="C7" s="13">
        <v>456</v>
      </c>
      <c r="D7" s="13">
        <v>1102</v>
      </c>
      <c r="E7" s="13">
        <v>1743</v>
      </c>
      <c r="F7" s="13">
        <v>7819</v>
      </c>
      <c r="G7" s="13">
        <v>1574</v>
      </c>
      <c r="H7" s="13">
        <v>5816</v>
      </c>
      <c r="I7" s="13">
        <v>18054</v>
      </c>
      <c r="J7" s="13">
        <v>3611</v>
      </c>
      <c r="K7" s="13">
        <v>3271</v>
      </c>
      <c r="L7" s="13">
        <v>1058</v>
      </c>
      <c r="M7" s="13">
        <v>461</v>
      </c>
      <c r="N7" s="13">
        <v>427</v>
      </c>
      <c r="O7" s="13">
        <v>259</v>
      </c>
      <c r="P7" s="13">
        <v>5476</v>
      </c>
      <c r="Q7" s="13">
        <v>1095</v>
      </c>
      <c r="R7" s="13">
        <v>23530</v>
      </c>
      <c r="S7" s="13">
        <v>2353</v>
      </c>
      <c r="T7" s="13">
        <v>68</v>
      </c>
      <c r="U7" s="13">
        <v>24258</v>
      </c>
      <c r="V7" s="14">
        <v>1213</v>
      </c>
      <c r="X7" s="25">
        <f t="shared" si="1"/>
        <v>0</v>
      </c>
      <c r="Y7" s="25">
        <f t="shared" si="2"/>
        <v>0</v>
      </c>
      <c r="Z7" s="25">
        <f t="shared" si="3"/>
        <v>0</v>
      </c>
      <c r="AA7" s="25">
        <f t="shared" si="0"/>
        <v>0</v>
      </c>
    </row>
    <row r="8" spans="1:27" x14ac:dyDescent="0.25">
      <c r="A8" s="15" t="s">
        <v>57</v>
      </c>
      <c r="B8" s="16">
        <v>10435</v>
      </c>
      <c r="C8" s="16">
        <v>3438</v>
      </c>
      <c r="D8" s="16">
        <v>762</v>
      </c>
      <c r="E8" s="16">
        <v>2525</v>
      </c>
      <c r="F8" s="16">
        <v>2512</v>
      </c>
      <c r="G8" s="16">
        <v>1251</v>
      </c>
      <c r="H8" s="16">
        <v>5247</v>
      </c>
      <c r="I8" s="16">
        <v>12297</v>
      </c>
      <c r="J8" s="16">
        <v>2459</v>
      </c>
      <c r="K8" s="16">
        <v>4116</v>
      </c>
      <c r="L8" s="16">
        <v>1073</v>
      </c>
      <c r="M8" s="16">
        <v>447</v>
      </c>
      <c r="N8" s="16">
        <v>460</v>
      </c>
      <c r="O8" s="16">
        <v>358</v>
      </c>
      <c r="P8" s="16">
        <v>6454</v>
      </c>
      <c r="Q8" s="16">
        <v>1291</v>
      </c>
      <c r="R8" s="16">
        <v>18751</v>
      </c>
      <c r="S8" s="16">
        <v>1875</v>
      </c>
      <c r="T8" s="16">
        <v>157</v>
      </c>
      <c r="U8" s="16">
        <v>32781</v>
      </c>
      <c r="V8" s="17">
        <v>1639</v>
      </c>
      <c r="X8" s="25">
        <f t="shared" si="1"/>
        <v>0</v>
      </c>
      <c r="Y8" s="25">
        <f t="shared" si="2"/>
        <v>0</v>
      </c>
      <c r="Z8" s="25">
        <f t="shared" si="3"/>
        <v>0</v>
      </c>
      <c r="AA8" s="25">
        <f t="shared" si="0"/>
        <v>0</v>
      </c>
    </row>
    <row r="9" spans="1:27" x14ac:dyDescent="0.25">
      <c r="A9" s="12" t="s">
        <v>58</v>
      </c>
      <c r="B9" s="13">
        <v>11493</v>
      </c>
      <c r="C9" s="13">
        <v>11468</v>
      </c>
      <c r="D9" s="13">
        <v>26029</v>
      </c>
      <c r="E9" s="13">
        <v>18841</v>
      </c>
      <c r="F9" s="13">
        <v>38819</v>
      </c>
      <c r="G9" s="13">
        <v>7932</v>
      </c>
      <c r="H9" s="13">
        <v>4310</v>
      </c>
      <c r="I9" s="13">
        <v>95931</v>
      </c>
      <c r="J9" s="13">
        <v>19186</v>
      </c>
      <c r="K9" s="13">
        <v>10711</v>
      </c>
      <c r="L9" s="13">
        <v>26632</v>
      </c>
      <c r="M9" s="13">
        <v>12063</v>
      </c>
      <c r="N9" s="13">
        <v>10412</v>
      </c>
      <c r="O9" s="13">
        <v>7892</v>
      </c>
      <c r="P9" s="13">
        <v>67710</v>
      </c>
      <c r="Q9" s="13">
        <v>13542</v>
      </c>
      <c r="R9" s="13">
        <v>163641</v>
      </c>
      <c r="S9" s="13">
        <v>16364</v>
      </c>
      <c r="T9" s="13">
        <v>2668</v>
      </c>
      <c r="U9" s="13">
        <v>189270</v>
      </c>
      <c r="V9" s="14">
        <v>9463</v>
      </c>
      <c r="X9" s="25">
        <f t="shared" si="1"/>
        <v>0</v>
      </c>
      <c r="Y9" s="25">
        <f t="shared" si="2"/>
        <v>0</v>
      </c>
      <c r="Z9" s="25">
        <f t="shared" si="3"/>
        <v>0</v>
      </c>
      <c r="AA9" s="25">
        <f t="shared" si="0"/>
        <v>0</v>
      </c>
    </row>
    <row r="10" spans="1:27" x14ac:dyDescent="0.25">
      <c r="A10" s="15" t="s">
        <v>59</v>
      </c>
      <c r="B10" s="16">
        <v>9807</v>
      </c>
      <c r="C10" s="16">
        <v>1811</v>
      </c>
      <c r="D10" s="16">
        <v>1706</v>
      </c>
      <c r="E10" s="16">
        <v>2739</v>
      </c>
      <c r="F10" s="16">
        <v>8497</v>
      </c>
      <c r="G10" s="16">
        <v>3152</v>
      </c>
      <c r="H10" s="16">
        <v>3497</v>
      </c>
      <c r="I10" s="16">
        <v>19591</v>
      </c>
      <c r="J10" s="16">
        <v>3918</v>
      </c>
      <c r="K10" s="16">
        <v>6833</v>
      </c>
      <c r="L10" s="16">
        <v>11141</v>
      </c>
      <c r="M10" s="16">
        <v>3182</v>
      </c>
      <c r="N10" s="16">
        <v>3374</v>
      </c>
      <c r="O10" s="16">
        <v>3106</v>
      </c>
      <c r="P10" s="16">
        <v>27636</v>
      </c>
      <c r="Q10" s="16">
        <v>5527</v>
      </c>
      <c r="R10" s="16">
        <v>47227</v>
      </c>
      <c r="S10" s="16">
        <v>4723</v>
      </c>
      <c r="T10" s="16">
        <v>2616</v>
      </c>
      <c r="U10" s="16">
        <v>61461</v>
      </c>
      <c r="V10" s="17">
        <v>3073</v>
      </c>
      <c r="X10" s="25">
        <f t="shared" si="1"/>
        <v>0</v>
      </c>
      <c r="Y10" s="25">
        <f t="shared" si="2"/>
        <v>0</v>
      </c>
      <c r="Z10" s="25">
        <f t="shared" si="3"/>
        <v>0</v>
      </c>
      <c r="AA10" s="25">
        <f t="shared" si="0"/>
        <v>0</v>
      </c>
    </row>
    <row r="11" spans="1:27" x14ac:dyDescent="0.25">
      <c r="A11" s="12" t="s">
        <v>60</v>
      </c>
      <c r="B11" s="13">
        <v>21796</v>
      </c>
      <c r="C11" s="13">
        <v>5555</v>
      </c>
      <c r="D11" s="13">
        <v>3605</v>
      </c>
      <c r="E11" s="13">
        <v>3271</v>
      </c>
      <c r="F11" s="13">
        <v>5540</v>
      </c>
      <c r="G11" s="13">
        <v>4423</v>
      </c>
      <c r="H11" s="13">
        <v>7043</v>
      </c>
      <c r="I11" s="13">
        <v>23882</v>
      </c>
      <c r="J11" s="13">
        <v>4776</v>
      </c>
      <c r="K11" s="13">
        <v>9919</v>
      </c>
      <c r="L11" s="13">
        <v>8200</v>
      </c>
      <c r="M11" s="13">
        <v>2124</v>
      </c>
      <c r="N11" s="13">
        <v>2809</v>
      </c>
      <c r="O11" s="13">
        <v>3705</v>
      </c>
      <c r="P11" s="13">
        <v>26757</v>
      </c>
      <c r="Q11" s="13">
        <v>5351</v>
      </c>
      <c r="R11" s="13">
        <v>50639</v>
      </c>
      <c r="S11" s="13">
        <v>5064</v>
      </c>
      <c r="T11" s="13">
        <v>1251</v>
      </c>
      <c r="U11" s="13">
        <v>79241</v>
      </c>
      <c r="V11" s="14">
        <v>3962</v>
      </c>
      <c r="X11" s="25">
        <f t="shared" si="1"/>
        <v>0</v>
      </c>
      <c r="Y11" s="25">
        <f t="shared" si="2"/>
        <v>0</v>
      </c>
      <c r="Z11" s="25">
        <f t="shared" si="3"/>
        <v>0</v>
      </c>
      <c r="AA11" s="25">
        <f t="shared" si="0"/>
        <v>0</v>
      </c>
    </row>
    <row r="12" spans="1:27" x14ac:dyDescent="0.25">
      <c r="A12" s="15" t="s">
        <v>61</v>
      </c>
      <c r="B12" s="16" t="s">
        <v>62</v>
      </c>
      <c r="C12" s="16" t="s">
        <v>62</v>
      </c>
      <c r="D12" s="16">
        <v>46</v>
      </c>
      <c r="E12" s="16">
        <v>313</v>
      </c>
      <c r="F12" s="16">
        <v>1967</v>
      </c>
      <c r="G12" s="16">
        <v>1318</v>
      </c>
      <c r="H12" s="16">
        <v>3539</v>
      </c>
      <c r="I12" s="16">
        <v>7183</v>
      </c>
      <c r="J12" s="16">
        <v>1437</v>
      </c>
      <c r="K12" s="16">
        <v>3428</v>
      </c>
      <c r="L12" s="16">
        <v>3636</v>
      </c>
      <c r="M12" s="16">
        <v>3195</v>
      </c>
      <c r="N12" s="16">
        <v>3523</v>
      </c>
      <c r="O12" s="16">
        <v>1704</v>
      </c>
      <c r="P12" s="16">
        <v>15486</v>
      </c>
      <c r="Q12" s="16">
        <v>3097</v>
      </c>
      <c r="R12" s="16">
        <v>22669</v>
      </c>
      <c r="S12" s="16">
        <v>2267</v>
      </c>
      <c r="T12" s="16">
        <v>1976</v>
      </c>
      <c r="U12" s="16">
        <v>24645</v>
      </c>
      <c r="V12" s="17">
        <v>1232</v>
      </c>
      <c r="X12" s="25">
        <f t="shared" si="1"/>
        <v>0</v>
      </c>
      <c r="Y12" s="25">
        <f t="shared" si="2"/>
        <v>0</v>
      </c>
      <c r="Z12" s="25">
        <f t="shared" si="3"/>
        <v>0</v>
      </c>
      <c r="AA12" s="25">
        <f t="shared" si="0"/>
        <v>0</v>
      </c>
    </row>
    <row r="13" spans="1:27" x14ac:dyDescent="0.25">
      <c r="A13" s="12" t="s">
        <v>63</v>
      </c>
      <c r="B13" s="13" t="s">
        <v>62</v>
      </c>
      <c r="C13" s="13" t="s">
        <v>62</v>
      </c>
      <c r="D13" s="13" t="s">
        <v>62</v>
      </c>
      <c r="E13" s="13">
        <v>64</v>
      </c>
      <c r="F13" s="13">
        <v>137</v>
      </c>
      <c r="G13" s="13">
        <v>364</v>
      </c>
      <c r="H13" s="13">
        <v>123</v>
      </c>
      <c r="I13" s="13">
        <v>688</v>
      </c>
      <c r="J13" s="13">
        <v>138</v>
      </c>
      <c r="K13" s="13">
        <v>148</v>
      </c>
      <c r="L13" s="13">
        <v>1253</v>
      </c>
      <c r="M13" s="13">
        <v>2026</v>
      </c>
      <c r="N13" s="13">
        <v>2356</v>
      </c>
      <c r="O13" s="13">
        <v>1028</v>
      </c>
      <c r="P13" s="13">
        <v>6811</v>
      </c>
      <c r="Q13" s="13">
        <v>1362</v>
      </c>
      <c r="R13" s="13">
        <v>7499</v>
      </c>
      <c r="S13" s="13">
        <v>750</v>
      </c>
      <c r="T13" s="13">
        <v>1023</v>
      </c>
      <c r="U13" s="13">
        <v>8522</v>
      </c>
      <c r="V13" s="14">
        <v>426</v>
      </c>
      <c r="X13" s="25">
        <f t="shared" si="1"/>
        <v>0</v>
      </c>
      <c r="Y13" s="25">
        <f t="shared" si="2"/>
        <v>0</v>
      </c>
      <c r="Z13" s="25">
        <f t="shared" si="3"/>
        <v>0</v>
      </c>
      <c r="AA13" s="25">
        <f t="shared" si="0"/>
        <v>0</v>
      </c>
    </row>
    <row r="14" spans="1:27" x14ac:dyDescent="0.25">
      <c r="A14" s="15" t="s">
        <v>64</v>
      </c>
      <c r="B14" s="16" t="s">
        <v>62</v>
      </c>
      <c r="C14" s="16" t="s">
        <v>62</v>
      </c>
      <c r="D14" s="16" t="s">
        <v>62</v>
      </c>
      <c r="E14" s="16" t="s">
        <v>62</v>
      </c>
      <c r="F14" s="16">
        <v>428</v>
      </c>
      <c r="G14" s="16">
        <v>921</v>
      </c>
      <c r="H14" s="16">
        <v>992</v>
      </c>
      <c r="I14" s="16">
        <v>2341</v>
      </c>
      <c r="J14" s="16">
        <v>468</v>
      </c>
      <c r="K14" s="16">
        <v>1408</v>
      </c>
      <c r="L14" s="16">
        <v>2006</v>
      </c>
      <c r="M14" s="16">
        <v>1938</v>
      </c>
      <c r="N14" s="16">
        <v>863</v>
      </c>
      <c r="O14" s="16">
        <v>960</v>
      </c>
      <c r="P14" s="16">
        <v>7175</v>
      </c>
      <c r="Q14" s="16">
        <v>1435</v>
      </c>
      <c r="R14" s="16">
        <v>9516</v>
      </c>
      <c r="S14" s="16">
        <v>952</v>
      </c>
      <c r="T14" s="16">
        <v>79</v>
      </c>
      <c r="U14" s="16">
        <v>9595</v>
      </c>
      <c r="V14" s="17">
        <v>480</v>
      </c>
      <c r="X14" s="25">
        <f t="shared" si="1"/>
        <v>0</v>
      </c>
      <c r="Y14" s="25">
        <f t="shared" si="2"/>
        <v>0</v>
      </c>
      <c r="Z14" s="25">
        <f t="shared" si="3"/>
        <v>0</v>
      </c>
      <c r="AA14" s="25">
        <f t="shared" si="0"/>
        <v>0</v>
      </c>
    </row>
    <row r="15" spans="1:27" x14ac:dyDescent="0.25">
      <c r="A15" s="12" t="s">
        <v>65</v>
      </c>
      <c r="B15" s="13" t="s">
        <v>62</v>
      </c>
      <c r="C15" s="13" t="s">
        <v>62</v>
      </c>
      <c r="D15" s="13" t="s">
        <v>62</v>
      </c>
      <c r="E15" s="13">
        <v>320</v>
      </c>
      <c r="F15" s="13">
        <v>798</v>
      </c>
      <c r="G15" s="13">
        <v>243</v>
      </c>
      <c r="H15" s="13">
        <v>95</v>
      </c>
      <c r="I15" s="13">
        <v>1456</v>
      </c>
      <c r="J15" s="13">
        <v>291</v>
      </c>
      <c r="K15" s="13">
        <v>114</v>
      </c>
      <c r="L15" s="13">
        <v>558</v>
      </c>
      <c r="M15" s="13">
        <v>355</v>
      </c>
      <c r="N15" s="13">
        <v>727</v>
      </c>
      <c r="O15" s="13">
        <v>574</v>
      </c>
      <c r="P15" s="13">
        <v>2328</v>
      </c>
      <c r="Q15" s="13">
        <v>466</v>
      </c>
      <c r="R15" s="13">
        <v>3784</v>
      </c>
      <c r="S15" s="13">
        <v>378</v>
      </c>
      <c r="T15" s="13">
        <v>558</v>
      </c>
      <c r="U15" s="13">
        <v>4342</v>
      </c>
      <c r="V15" s="14">
        <v>217</v>
      </c>
      <c r="X15" s="25">
        <f t="shared" si="1"/>
        <v>0</v>
      </c>
      <c r="Y15" s="25">
        <f t="shared" si="2"/>
        <v>0</v>
      </c>
      <c r="Z15" s="25">
        <f t="shared" si="3"/>
        <v>0</v>
      </c>
      <c r="AA15" s="25">
        <f t="shared" si="0"/>
        <v>0</v>
      </c>
    </row>
    <row r="16" spans="1:27" x14ac:dyDescent="0.25">
      <c r="A16" s="15" t="s">
        <v>66</v>
      </c>
      <c r="B16" s="16" t="s">
        <v>62</v>
      </c>
      <c r="C16" s="16" t="s">
        <v>62</v>
      </c>
      <c r="D16" s="16">
        <v>49</v>
      </c>
      <c r="E16" s="16">
        <v>159</v>
      </c>
      <c r="F16" s="16">
        <v>1969</v>
      </c>
      <c r="G16" s="16">
        <v>2305</v>
      </c>
      <c r="H16" s="16">
        <v>1243</v>
      </c>
      <c r="I16" s="16">
        <v>5725</v>
      </c>
      <c r="J16" s="16">
        <v>1145</v>
      </c>
      <c r="K16" s="16">
        <v>2325</v>
      </c>
      <c r="L16" s="16">
        <v>5562</v>
      </c>
      <c r="M16" s="16">
        <v>4872</v>
      </c>
      <c r="N16" s="16">
        <v>4858</v>
      </c>
      <c r="O16" s="16">
        <v>4028</v>
      </c>
      <c r="P16" s="16">
        <v>21645</v>
      </c>
      <c r="Q16" s="16">
        <v>4329</v>
      </c>
      <c r="R16" s="16">
        <v>27370</v>
      </c>
      <c r="S16" s="16">
        <v>2737</v>
      </c>
      <c r="T16" s="16">
        <v>2977</v>
      </c>
      <c r="U16" s="16">
        <v>30347</v>
      </c>
      <c r="V16" s="17">
        <v>1517</v>
      </c>
      <c r="X16" s="25">
        <f t="shared" si="1"/>
        <v>0</v>
      </c>
      <c r="Y16" s="25">
        <f t="shared" si="2"/>
        <v>0</v>
      </c>
      <c r="Z16" s="25">
        <f t="shared" si="3"/>
        <v>0</v>
      </c>
      <c r="AA16" s="25">
        <f t="shared" si="0"/>
        <v>0</v>
      </c>
    </row>
    <row r="17" spans="1:27" x14ac:dyDescent="0.25">
      <c r="A17" s="12" t="s">
        <v>67</v>
      </c>
      <c r="B17" s="13" t="s">
        <v>62</v>
      </c>
      <c r="C17" s="13" t="s">
        <v>62</v>
      </c>
      <c r="D17" s="13">
        <v>3</v>
      </c>
      <c r="E17" s="13">
        <v>587</v>
      </c>
      <c r="F17" s="13">
        <v>3762</v>
      </c>
      <c r="G17" s="13">
        <v>3735</v>
      </c>
      <c r="H17" s="13">
        <v>1315</v>
      </c>
      <c r="I17" s="13">
        <v>9402</v>
      </c>
      <c r="J17" s="13">
        <v>1880</v>
      </c>
      <c r="K17" s="13">
        <v>2607</v>
      </c>
      <c r="L17" s="13">
        <v>4191</v>
      </c>
      <c r="M17" s="13">
        <v>3192</v>
      </c>
      <c r="N17" s="13">
        <v>2488</v>
      </c>
      <c r="O17" s="13">
        <v>2396</v>
      </c>
      <c r="P17" s="13">
        <v>14874</v>
      </c>
      <c r="Q17" s="13">
        <v>2975</v>
      </c>
      <c r="R17" s="13">
        <v>24276</v>
      </c>
      <c r="S17" s="13">
        <v>2428</v>
      </c>
      <c r="T17" s="13">
        <v>5263</v>
      </c>
      <c r="U17" s="13">
        <v>29539</v>
      </c>
      <c r="V17" s="14">
        <v>1477</v>
      </c>
      <c r="X17" s="25">
        <f t="shared" si="1"/>
        <v>0</v>
      </c>
      <c r="Y17" s="25">
        <f t="shared" si="2"/>
        <v>0</v>
      </c>
      <c r="Z17" s="25">
        <f t="shared" si="3"/>
        <v>0</v>
      </c>
      <c r="AA17" s="25">
        <f t="shared" si="0"/>
        <v>0</v>
      </c>
    </row>
    <row r="18" spans="1:27" x14ac:dyDescent="0.25">
      <c r="A18" s="15" t="s">
        <v>68</v>
      </c>
      <c r="B18" s="16" t="s">
        <v>62</v>
      </c>
      <c r="C18" s="16" t="s">
        <v>62</v>
      </c>
      <c r="D18" s="16">
        <v>59</v>
      </c>
      <c r="E18" s="16">
        <v>104</v>
      </c>
      <c r="F18" s="16">
        <v>150</v>
      </c>
      <c r="G18" s="16">
        <v>712</v>
      </c>
      <c r="H18" s="16">
        <v>749</v>
      </c>
      <c r="I18" s="16">
        <v>1774</v>
      </c>
      <c r="J18" s="16">
        <v>355</v>
      </c>
      <c r="K18" s="16">
        <v>1510</v>
      </c>
      <c r="L18" s="16">
        <v>3117</v>
      </c>
      <c r="M18" s="16">
        <v>3265</v>
      </c>
      <c r="N18" s="16">
        <v>3721</v>
      </c>
      <c r="O18" s="16">
        <v>2781</v>
      </c>
      <c r="P18" s="16">
        <v>14394</v>
      </c>
      <c r="Q18" s="16">
        <v>2879</v>
      </c>
      <c r="R18" s="16">
        <v>16168</v>
      </c>
      <c r="S18" s="16">
        <v>1617</v>
      </c>
      <c r="T18" s="16">
        <v>1185</v>
      </c>
      <c r="U18" s="16">
        <v>17353</v>
      </c>
      <c r="V18" s="17">
        <v>868</v>
      </c>
      <c r="X18" s="25">
        <f t="shared" si="1"/>
        <v>0</v>
      </c>
      <c r="Y18" s="25">
        <f t="shared" si="2"/>
        <v>0</v>
      </c>
      <c r="Z18" s="25">
        <f t="shared" si="3"/>
        <v>0</v>
      </c>
      <c r="AA18" s="25">
        <f t="shared" si="0"/>
        <v>0</v>
      </c>
    </row>
    <row r="19" spans="1:27" x14ac:dyDescent="0.25">
      <c r="A19" s="12" t="s">
        <v>69</v>
      </c>
      <c r="B19" s="13" t="s">
        <v>62</v>
      </c>
      <c r="C19" s="13" t="s">
        <v>62</v>
      </c>
      <c r="D19" s="13">
        <v>26</v>
      </c>
      <c r="E19" s="13">
        <v>823</v>
      </c>
      <c r="F19" s="13">
        <v>843</v>
      </c>
      <c r="G19" s="13">
        <v>533</v>
      </c>
      <c r="H19" s="13">
        <v>657</v>
      </c>
      <c r="I19" s="13">
        <v>2882</v>
      </c>
      <c r="J19" s="13">
        <v>576</v>
      </c>
      <c r="K19" s="13">
        <v>1265</v>
      </c>
      <c r="L19" s="13">
        <v>1764</v>
      </c>
      <c r="M19" s="13">
        <v>478</v>
      </c>
      <c r="N19" s="13">
        <v>745</v>
      </c>
      <c r="O19" s="13">
        <v>681</v>
      </c>
      <c r="P19" s="13">
        <v>4933</v>
      </c>
      <c r="Q19" s="13">
        <v>987</v>
      </c>
      <c r="R19" s="13">
        <v>7815</v>
      </c>
      <c r="S19" s="13">
        <v>781</v>
      </c>
      <c r="T19" s="13">
        <v>663</v>
      </c>
      <c r="U19" s="13">
        <v>8478</v>
      </c>
      <c r="V19" s="14">
        <v>424</v>
      </c>
      <c r="X19" s="25">
        <f t="shared" si="1"/>
        <v>0</v>
      </c>
      <c r="Y19" s="25">
        <f t="shared" si="2"/>
        <v>0</v>
      </c>
      <c r="Z19" s="25">
        <f t="shared" si="3"/>
        <v>0</v>
      </c>
      <c r="AA19" s="25">
        <f t="shared" si="0"/>
        <v>0</v>
      </c>
    </row>
    <row r="20" spans="1:27" x14ac:dyDescent="0.25">
      <c r="A20" s="15" t="s">
        <v>70</v>
      </c>
      <c r="B20" s="16" t="s">
        <v>62</v>
      </c>
      <c r="C20" s="16" t="s">
        <v>62</v>
      </c>
      <c r="D20" s="16">
        <v>11</v>
      </c>
      <c r="E20" s="16">
        <v>194</v>
      </c>
      <c r="F20" s="16">
        <v>190</v>
      </c>
      <c r="G20" s="16">
        <v>23</v>
      </c>
      <c r="H20" s="16">
        <v>24</v>
      </c>
      <c r="I20" s="16">
        <v>442</v>
      </c>
      <c r="J20" s="16">
        <v>88</v>
      </c>
      <c r="K20" s="16">
        <v>64</v>
      </c>
      <c r="L20" s="16">
        <v>81</v>
      </c>
      <c r="M20" s="16">
        <v>17</v>
      </c>
      <c r="N20" s="16">
        <v>37</v>
      </c>
      <c r="O20" s="16">
        <v>1</v>
      </c>
      <c r="P20" s="16">
        <v>200</v>
      </c>
      <c r="Q20" s="16">
        <v>40</v>
      </c>
      <c r="R20" s="16">
        <v>642</v>
      </c>
      <c r="S20" s="16">
        <v>64</v>
      </c>
      <c r="T20" s="16">
        <v>3</v>
      </c>
      <c r="U20" s="16">
        <v>645</v>
      </c>
      <c r="V20" s="17">
        <v>32</v>
      </c>
      <c r="X20" s="25">
        <f t="shared" si="1"/>
        <v>0</v>
      </c>
      <c r="Y20" s="25">
        <f t="shared" si="2"/>
        <v>0</v>
      </c>
      <c r="Z20" s="25">
        <f t="shared" si="3"/>
        <v>0</v>
      </c>
      <c r="AA20" s="25">
        <f t="shared" si="0"/>
        <v>0</v>
      </c>
    </row>
    <row r="21" spans="1:27" x14ac:dyDescent="0.25">
      <c r="A21" s="12" t="s">
        <v>71</v>
      </c>
      <c r="B21" s="13">
        <v>8476</v>
      </c>
      <c r="C21" s="13">
        <v>1056</v>
      </c>
      <c r="D21" s="13">
        <v>450</v>
      </c>
      <c r="E21" s="13">
        <v>537</v>
      </c>
      <c r="F21" s="13">
        <v>675</v>
      </c>
      <c r="G21" s="13">
        <v>205</v>
      </c>
      <c r="H21" s="13">
        <v>1531</v>
      </c>
      <c r="I21" s="13">
        <v>3398</v>
      </c>
      <c r="J21" s="13">
        <v>680</v>
      </c>
      <c r="K21" s="13">
        <v>2220</v>
      </c>
      <c r="L21" s="13">
        <v>539</v>
      </c>
      <c r="M21" s="13">
        <v>247</v>
      </c>
      <c r="N21" s="13">
        <v>217</v>
      </c>
      <c r="O21" s="13">
        <v>464</v>
      </c>
      <c r="P21" s="13">
        <v>3687</v>
      </c>
      <c r="Q21" s="13">
        <v>737</v>
      </c>
      <c r="R21" s="13">
        <v>7085</v>
      </c>
      <c r="S21" s="13">
        <v>708</v>
      </c>
      <c r="T21" s="13">
        <v>71</v>
      </c>
      <c r="U21" s="13">
        <v>16688</v>
      </c>
      <c r="V21" s="14">
        <v>834</v>
      </c>
      <c r="X21" s="25">
        <f t="shared" si="1"/>
        <v>0</v>
      </c>
      <c r="Y21" s="25">
        <f t="shared" si="2"/>
        <v>0</v>
      </c>
      <c r="Z21" s="25">
        <f t="shared" si="3"/>
        <v>0</v>
      </c>
      <c r="AA21" s="25">
        <f t="shared" si="0"/>
        <v>0</v>
      </c>
    </row>
    <row r="22" spans="1:27" x14ac:dyDescent="0.25">
      <c r="A22" s="15" t="s">
        <v>72</v>
      </c>
      <c r="B22" s="16">
        <v>5618</v>
      </c>
      <c r="C22" s="16">
        <v>517</v>
      </c>
      <c r="D22" s="16">
        <v>146</v>
      </c>
      <c r="E22" s="16">
        <v>425</v>
      </c>
      <c r="F22" s="16">
        <v>528</v>
      </c>
      <c r="G22" s="16">
        <v>151</v>
      </c>
      <c r="H22" s="16">
        <v>454</v>
      </c>
      <c r="I22" s="16">
        <v>1704</v>
      </c>
      <c r="J22" s="16">
        <v>341</v>
      </c>
      <c r="K22" s="16">
        <v>833</v>
      </c>
      <c r="L22" s="16">
        <v>378</v>
      </c>
      <c r="M22" s="16">
        <v>208</v>
      </c>
      <c r="N22" s="16">
        <v>101</v>
      </c>
      <c r="O22" s="16">
        <v>104</v>
      </c>
      <c r="P22" s="16">
        <v>1624</v>
      </c>
      <c r="Q22" s="16">
        <v>325</v>
      </c>
      <c r="R22" s="16">
        <v>3328</v>
      </c>
      <c r="S22" s="16">
        <v>333</v>
      </c>
      <c r="T22" s="16">
        <v>93</v>
      </c>
      <c r="U22" s="16">
        <v>9556</v>
      </c>
      <c r="V22" s="17">
        <v>478</v>
      </c>
      <c r="X22" s="25">
        <f t="shared" si="1"/>
        <v>0</v>
      </c>
      <c r="Y22" s="25">
        <f t="shared" si="2"/>
        <v>0</v>
      </c>
      <c r="Z22" s="25">
        <f t="shared" si="3"/>
        <v>0</v>
      </c>
      <c r="AA22" s="25">
        <f t="shared" si="0"/>
        <v>0</v>
      </c>
    </row>
    <row r="23" spans="1:27" x14ac:dyDescent="0.25">
      <c r="A23" s="12" t="s">
        <v>73</v>
      </c>
      <c r="B23" s="13">
        <v>4272</v>
      </c>
      <c r="C23" s="13">
        <v>1113</v>
      </c>
      <c r="D23" s="13">
        <v>474</v>
      </c>
      <c r="E23" s="13">
        <v>2241</v>
      </c>
      <c r="F23" s="13">
        <v>2120</v>
      </c>
      <c r="G23" s="13">
        <v>286</v>
      </c>
      <c r="H23" s="13">
        <v>2188</v>
      </c>
      <c r="I23" s="13">
        <v>7309</v>
      </c>
      <c r="J23" s="13">
        <v>1462</v>
      </c>
      <c r="K23" s="13">
        <v>4365</v>
      </c>
      <c r="L23" s="13">
        <v>1370</v>
      </c>
      <c r="M23" s="13">
        <v>388</v>
      </c>
      <c r="N23" s="13">
        <v>362</v>
      </c>
      <c r="O23" s="13">
        <v>498</v>
      </c>
      <c r="P23" s="13">
        <v>6983</v>
      </c>
      <c r="Q23" s="13">
        <v>1397</v>
      </c>
      <c r="R23" s="13">
        <v>14292</v>
      </c>
      <c r="S23" s="13">
        <v>1429</v>
      </c>
      <c r="T23" s="13">
        <v>61</v>
      </c>
      <c r="U23" s="13">
        <v>19738</v>
      </c>
      <c r="V23" s="14">
        <v>987</v>
      </c>
      <c r="X23" s="25">
        <f t="shared" si="1"/>
        <v>0</v>
      </c>
      <c r="Y23" s="25">
        <f t="shared" si="2"/>
        <v>0</v>
      </c>
      <c r="Z23" s="25">
        <f t="shared" si="3"/>
        <v>0</v>
      </c>
      <c r="AA23" s="25">
        <f t="shared" si="0"/>
        <v>0</v>
      </c>
    </row>
    <row r="24" spans="1:27" x14ac:dyDescent="0.25">
      <c r="A24" s="15" t="s">
        <v>74</v>
      </c>
      <c r="B24" s="16">
        <v>9560</v>
      </c>
      <c r="C24" s="16">
        <v>1453</v>
      </c>
      <c r="D24" s="16">
        <v>403</v>
      </c>
      <c r="E24" s="16">
        <v>1867</v>
      </c>
      <c r="F24" s="16">
        <v>3310</v>
      </c>
      <c r="G24" s="16">
        <v>1228</v>
      </c>
      <c r="H24" s="16">
        <v>3133</v>
      </c>
      <c r="I24" s="16">
        <v>9941</v>
      </c>
      <c r="J24" s="16">
        <v>1988</v>
      </c>
      <c r="K24" s="16">
        <v>7128</v>
      </c>
      <c r="L24" s="16">
        <v>3000</v>
      </c>
      <c r="M24" s="16">
        <v>807</v>
      </c>
      <c r="N24" s="16">
        <v>991</v>
      </c>
      <c r="O24" s="16">
        <v>1652</v>
      </c>
      <c r="P24" s="16">
        <v>13578</v>
      </c>
      <c r="Q24" s="16">
        <v>2716</v>
      </c>
      <c r="R24" s="16">
        <v>23519</v>
      </c>
      <c r="S24" s="16">
        <v>2352</v>
      </c>
      <c r="T24" s="16">
        <v>304</v>
      </c>
      <c r="U24" s="16">
        <v>34836</v>
      </c>
      <c r="V24" s="17">
        <v>1742</v>
      </c>
      <c r="X24" s="25">
        <f t="shared" si="1"/>
        <v>0</v>
      </c>
      <c r="Y24" s="25">
        <f t="shared" si="2"/>
        <v>0</v>
      </c>
      <c r="Z24" s="25">
        <f t="shared" si="3"/>
        <v>0</v>
      </c>
      <c r="AA24" s="25">
        <f t="shared" si="0"/>
        <v>0</v>
      </c>
    </row>
    <row r="25" spans="1:27" x14ac:dyDescent="0.25">
      <c r="A25" s="12" t="s">
        <v>75</v>
      </c>
      <c r="B25" s="13">
        <v>5297</v>
      </c>
      <c r="C25" s="13">
        <v>591</v>
      </c>
      <c r="D25" s="13">
        <v>794</v>
      </c>
      <c r="E25" s="13">
        <v>3813</v>
      </c>
      <c r="F25" s="13">
        <v>3935</v>
      </c>
      <c r="G25" s="13">
        <v>1401</v>
      </c>
      <c r="H25" s="13">
        <v>13523</v>
      </c>
      <c r="I25" s="13">
        <v>23466</v>
      </c>
      <c r="J25" s="13">
        <v>4693</v>
      </c>
      <c r="K25" s="13">
        <v>19984</v>
      </c>
      <c r="L25" s="13">
        <v>4665</v>
      </c>
      <c r="M25" s="13">
        <v>905</v>
      </c>
      <c r="N25" s="13">
        <v>1323</v>
      </c>
      <c r="O25" s="13">
        <v>1597</v>
      </c>
      <c r="P25" s="13">
        <v>28474</v>
      </c>
      <c r="Q25" s="13">
        <v>5694</v>
      </c>
      <c r="R25" s="13">
        <v>51940</v>
      </c>
      <c r="S25" s="13">
        <v>5194</v>
      </c>
      <c r="T25" s="13">
        <v>603</v>
      </c>
      <c r="U25" s="13">
        <v>58431</v>
      </c>
      <c r="V25" s="14">
        <v>2922</v>
      </c>
      <c r="X25" s="25">
        <f t="shared" si="1"/>
        <v>0</v>
      </c>
      <c r="Y25" s="25">
        <f t="shared" si="2"/>
        <v>0</v>
      </c>
      <c r="Z25" s="25">
        <f t="shared" si="3"/>
        <v>0</v>
      </c>
      <c r="AA25" s="25">
        <f t="shared" si="0"/>
        <v>0</v>
      </c>
    </row>
    <row r="26" spans="1:27" x14ac:dyDescent="0.25">
      <c r="A26" s="15" t="s">
        <v>76</v>
      </c>
      <c r="B26" s="16" t="s">
        <v>62</v>
      </c>
      <c r="C26" s="16" t="s">
        <v>62</v>
      </c>
      <c r="D26" s="16">
        <v>28</v>
      </c>
      <c r="E26" s="16">
        <v>168</v>
      </c>
      <c r="F26" s="16">
        <v>806</v>
      </c>
      <c r="G26" s="16">
        <v>416</v>
      </c>
      <c r="H26" s="16">
        <v>1927</v>
      </c>
      <c r="I26" s="16">
        <v>3345</v>
      </c>
      <c r="J26" s="16">
        <v>669</v>
      </c>
      <c r="K26" s="16">
        <v>1938</v>
      </c>
      <c r="L26" s="16">
        <v>1114</v>
      </c>
      <c r="M26" s="16">
        <v>171</v>
      </c>
      <c r="N26" s="16">
        <v>290</v>
      </c>
      <c r="O26" s="16">
        <v>548</v>
      </c>
      <c r="P26" s="16">
        <v>4061</v>
      </c>
      <c r="Q26" s="16">
        <v>812</v>
      </c>
      <c r="R26" s="16">
        <v>7406</v>
      </c>
      <c r="S26" s="16">
        <v>741</v>
      </c>
      <c r="T26" s="16">
        <v>170</v>
      </c>
      <c r="U26" s="16">
        <v>7576</v>
      </c>
      <c r="V26" s="17">
        <v>379</v>
      </c>
      <c r="X26" s="25">
        <f t="shared" si="1"/>
        <v>0</v>
      </c>
      <c r="Y26" s="25">
        <f t="shared" si="2"/>
        <v>0</v>
      </c>
      <c r="Z26" s="25">
        <f t="shared" si="3"/>
        <v>0</v>
      </c>
      <c r="AA26" s="25">
        <f t="shared" si="0"/>
        <v>0</v>
      </c>
    </row>
    <row r="27" spans="1:27" x14ac:dyDescent="0.25">
      <c r="A27" s="12" t="s">
        <v>77</v>
      </c>
      <c r="B27" s="13" t="s">
        <v>62</v>
      </c>
      <c r="C27" s="13" t="s">
        <v>62</v>
      </c>
      <c r="D27" s="13">
        <v>14</v>
      </c>
      <c r="E27" s="13">
        <v>37</v>
      </c>
      <c r="F27" s="13">
        <v>140</v>
      </c>
      <c r="G27" s="13">
        <v>298</v>
      </c>
      <c r="H27" s="13">
        <v>392</v>
      </c>
      <c r="I27" s="13">
        <v>881</v>
      </c>
      <c r="J27" s="13">
        <v>176</v>
      </c>
      <c r="K27" s="13">
        <v>665</v>
      </c>
      <c r="L27" s="13">
        <v>249</v>
      </c>
      <c r="M27" s="13">
        <v>125</v>
      </c>
      <c r="N27" s="13">
        <v>120</v>
      </c>
      <c r="O27" s="13">
        <v>164</v>
      </c>
      <c r="P27" s="13">
        <v>1323</v>
      </c>
      <c r="Q27" s="13">
        <v>265</v>
      </c>
      <c r="R27" s="13">
        <v>2204</v>
      </c>
      <c r="S27" s="13">
        <v>220</v>
      </c>
      <c r="T27" s="13">
        <v>119</v>
      </c>
      <c r="U27" s="13">
        <v>2323</v>
      </c>
      <c r="V27" s="14">
        <v>116</v>
      </c>
      <c r="X27" s="25">
        <f t="shared" si="1"/>
        <v>0</v>
      </c>
      <c r="Y27" s="25">
        <f t="shared" si="2"/>
        <v>0</v>
      </c>
      <c r="Z27" s="25">
        <f t="shared" si="3"/>
        <v>0</v>
      </c>
      <c r="AA27" s="25">
        <f t="shared" si="0"/>
        <v>0</v>
      </c>
    </row>
    <row r="28" spans="1:27" x14ac:dyDescent="0.25">
      <c r="A28" s="15" t="s">
        <v>78</v>
      </c>
      <c r="B28" s="16" t="s">
        <v>62</v>
      </c>
      <c r="C28" s="16" t="s">
        <v>62</v>
      </c>
      <c r="D28" s="16" t="s">
        <v>62</v>
      </c>
      <c r="E28" s="16" t="s">
        <v>62</v>
      </c>
      <c r="F28" s="16">
        <v>4</v>
      </c>
      <c r="G28" s="16">
        <v>4</v>
      </c>
      <c r="H28" s="16">
        <v>27</v>
      </c>
      <c r="I28" s="16">
        <v>35</v>
      </c>
      <c r="J28" s="16">
        <v>7</v>
      </c>
      <c r="K28" s="16">
        <v>48</v>
      </c>
      <c r="L28" s="16">
        <v>17</v>
      </c>
      <c r="M28" s="16">
        <v>1</v>
      </c>
      <c r="N28" s="16">
        <v>1</v>
      </c>
      <c r="O28" s="16" t="s">
        <v>62</v>
      </c>
      <c r="P28" s="16">
        <v>67</v>
      </c>
      <c r="Q28" s="16">
        <v>13</v>
      </c>
      <c r="R28" s="16">
        <v>102</v>
      </c>
      <c r="S28" s="16">
        <v>10</v>
      </c>
      <c r="T28" s="16" t="s">
        <v>62</v>
      </c>
      <c r="U28" s="16">
        <v>102</v>
      </c>
      <c r="V28" s="17">
        <v>5</v>
      </c>
      <c r="X28" s="25">
        <f t="shared" si="1"/>
        <v>0</v>
      </c>
      <c r="Y28" s="25">
        <f t="shared" si="2"/>
        <v>0</v>
      </c>
      <c r="Z28" s="25">
        <f t="shared" si="3"/>
        <v>0</v>
      </c>
      <c r="AA28" s="25">
        <f t="shared" si="0"/>
        <v>0</v>
      </c>
    </row>
    <row r="29" spans="1:27" x14ac:dyDescent="0.25">
      <c r="A29" s="12" t="s">
        <v>79</v>
      </c>
      <c r="B29" s="13" t="s">
        <v>62</v>
      </c>
      <c r="C29" s="13" t="s">
        <v>62</v>
      </c>
      <c r="D29" s="13">
        <v>6</v>
      </c>
      <c r="E29" s="13">
        <v>12</v>
      </c>
      <c r="F29" s="13">
        <v>915</v>
      </c>
      <c r="G29" s="13">
        <v>1467</v>
      </c>
      <c r="H29" s="13">
        <v>1396</v>
      </c>
      <c r="I29" s="13">
        <v>3796</v>
      </c>
      <c r="J29" s="13">
        <v>759</v>
      </c>
      <c r="K29" s="13">
        <v>524</v>
      </c>
      <c r="L29" s="13">
        <v>331</v>
      </c>
      <c r="M29" s="13">
        <v>162</v>
      </c>
      <c r="N29" s="13">
        <v>58</v>
      </c>
      <c r="O29" s="13">
        <v>128</v>
      </c>
      <c r="P29" s="13">
        <v>1203</v>
      </c>
      <c r="Q29" s="13">
        <v>241</v>
      </c>
      <c r="R29" s="13">
        <v>4999</v>
      </c>
      <c r="S29" s="13">
        <v>500</v>
      </c>
      <c r="T29" s="13">
        <v>82</v>
      </c>
      <c r="U29" s="13">
        <v>5081</v>
      </c>
      <c r="V29" s="14">
        <v>254</v>
      </c>
      <c r="X29" s="25">
        <f t="shared" si="1"/>
        <v>0</v>
      </c>
      <c r="Y29" s="25">
        <f t="shared" si="2"/>
        <v>0</v>
      </c>
      <c r="Z29" s="25">
        <f t="shared" si="3"/>
        <v>0</v>
      </c>
      <c r="AA29" s="25">
        <f t="shared" si="0"/>
        <v>0</v>
      </c>
    </row>
    <row r="30" spans="1:27" x14ac:dyDescent="0.25">
      <c r="A30" s="15" t="s">
        <v>80</v>
      </c>
      <c r="B30" s="16" t="s">
        <v>62</v>
      </c>
      <c r="C30" s="16" t="s">
        <v>62</v>
      </c>
      <c r="D30" s="16">
        <v>13</v>
      </c>
      <c r="E30" s="16">
        <v>8</v>
      </c>
      <c r="F30" s="16">
        <v>37</v>
      </c>
      <c r="G30" s="16">
        <v>8</v>
      </c>
      <c r="H30" s="16">
        <v>42</v>
      </c>
      <c r="I30" s="16">
        <v>108</v>
      </c>
      <c r="J30" s="16">
        <v>22</v>
      </c>
      <c r="K30" s="16">
        <v>126</v>
      </c>
      <c r="L30" s="16">
        <v>40</v>
      </c>
      <c r="M30" s="16">
        <v>18</v>
      </c>
      <c r="N30" s="16">
        <v>14</v>
      </c>
      <c r="O30" s="16">
        <v>12</v>
      </c>
      <c r="P30" s="16">
        <v>210</v>
      </c>
      <c r="Q30" s="16">
        <v>42</v>
      </c>
      <c r="R30" s="16">
        <v>318</v>
      </c>
      <c r="S30" s="16">
        <v>32</v>
      </c>
      <c r="T30" s="16">
        <v>1</v>
      </c>
      <c r="U30" s="16">
        <v>319</v>
      </c>
      <c r="V30" s="17">
        <v>16</v>
      </c>
      <c r="X30" s="25">
        <f t="shared" si="1"/>
        <v>0</v>
      </c>
      <c r="Y30" s="25">
        <f t="shared" si="2"/>
        <v>0</v>
      </c>
      <c r="Z30" s="25">
        <f t="shared" si="3"/>
        <v>0</v>
      </c>
      <c r="AA30" s="25">
        <f t="shared" si="0"/>
        <v>0</v>
      </c>
    </row>
    <row r="31" spans="1:27" x14ac:dyDescent="0.25">
      <c r="A31" s="12" t="s">
        <v>81</v>
      </c>
      <c r="B31" s="13" t="s">
        <v>62</v>
      </c>
      <c r="C31" s="13" t="s">
        <v>62</v>
      </c>
      <c r="D31" s="13" t="s">
        <v>62</v>
      </c>
      <c r="E31" s="13" t="s">
        <v>62</v>
      </c>
      <c r="F31" s="13">
        <v>1</v>
      </c>
      <c r="G31" s="13" t="s">
        <v>62</v>
      </c>
      <c r="H31" s="13">
        <v>2</v>
      </c>
      <c r="I31" s="13">
        <v>3</v>
      </c>
      <c r="J31" s="18">
        <v>0.6</v>
      </c>
      <c r="K31" s="13">
        <v>5</v>
      </c>
      <c r="L31" s="13" t="s">
        <v>62</v>
      </c>
      <c r="M31" s="13" t="s">
        <v>62</v>
      </c>
      <c r="N31" s="13" t="s">
        <v>62</v>
      </c>
      <c r="O31" s="13" t="s">
        <v>62</v>
      </c>
      <c r="P31" s="13">
        <v>5</v>
      </c>
      <c r="Q31" s="13">
        <v>1</v>
      </c>
      <c r="R31" s="13">
        <v>8</v>
      </c>
      <c r="S31" s="18">
        <v>0.8</v>
      </c>
      <c r="T31" s="13" t="s">
        <v>62</v>
      </c>
      <c r="U31" s="13">
        <v>8</v>
      </c>
      <c r="V31" s="19">
        <v>0.4</v>
      </c>
      <c r="X31" s="25">
        <f t="shared" si="1"/>
        <v>0</v>
      </c>
      <c r="Y31" s="25">
        <f t="shared" si="2"/>
        <v>0</v>
      </c>
      <c r="Z31" s="25">
        <f t="shared" si="3"/>
        <v>0</v>
      </c>
      <c r="AA31" s="25">
        <f t="shared" si="0"/>
        <v>0</v>
      </c>
    </row>
    <row r="32" spans="1:27" x14ac:dyDescent="0.25">
      <c r="A32" s="15" t="s">
        <v>82</v>
      </c>
      <c r="B32" s="16" t="s">
        <v>62</v>
      </c>
      <c r="C32" s="16" t="s">
        <v>62</v>
      </c>
      <c r="D32" s="16" t="s">
        <v>62</v>
      </c>
      <c r="E32" s="16" t="s">
        <v>62</v>
      </c>
      <c r="F32" s="16">
        <v>224</v>
      </c>
      <c r="G32" s="16">
        <v>244</v>
      </c>
      <c r="H32" s="16">
        <v>19</v>
      </c>
      <c r="I32" s="16">
        <v>487</v>
      </c>
      <c r="J32" s="16">
        <v>97</v>
      </c>
      <c r="K32" s="16">
        <v>29</v>
      </c>
      <c r="L32" s="16">
        <v>140</v>
      </c>
      <c r="M32" s="16">
        <v>182</v>
      </c>
      <c r="N32" s="16">
        <v>15</v>
      </c>
      <c r="O32" s="16">
        <v>45</v>
      </c>
      <c r="P32" s="16">
        <v>411</v>
      </c>
      <c r="Q32" s="16">
        <v>82</v>
      </c>
      <c r="R32" s="16">
        <v>898</v>
      </c>
      <c r="S32" s="16">
        <v>90</v>
      </c>
      <c r="T32" s="16">
        <v>7</v>
      </c>
      <c r="U32" s="16">
        <v>905</v>
      </c>
      <c r="V32" s="17">
        <v>45</v>
      </c>
      <c r="X32" s="25">
        <f t="shared" si="1"/>
        <v>0</v>
      </c>
      <c r="Y32" s="25">
        <f t="shared" si="2"/>
        <v>0</v>
      </c>
      <c r="Z32" s="25">
        <f t="shared" si="3"/>
        <v>0</v>
      </c>
      <c r="AA32" s="25">
        <f t="shared" si="0"/>
        <v>0</v>
      </c>
    </row>
    <row r="33" spans="1:27" x14ac:dyDescent="0.25">
      <c r="A33" s="12" t="s">
        <v>83</v>
      </c>
      <c r="B33" s="13">
        <v>450</v>
      </c>
      <c r="C33" s="13">
        <v>5</v>
      </c>
      <c r="D33" s="13" t="s">
        <v>62</v>
      </c>
      <c r="E33" s="13">
        <v>103</v>
      </c>
      <c r="F33" s="13">
        <v>3900</v>
      </c>
      <c r="G33" s="13">
        <v>2187</v>
      </c>
      <c r="H33" s="13">
        <v>1422</v>
      </c>
      <c r="I33" s="13">
        <v>7612</v>
      </c>
      <c r="J33" s="13">
        <v>1522</v>
      </c>
      <c r="K33" s="13">
        <v>596</v>
      </c>
      <c r="L33" s="13">
        <v>1438</v>
      </c>
      <c r="M33" s="13">
        <v>2272</v>
      </c>
      <c r="N33" s="13">
        <v>912</v>
      </c>
      <c r="O33" s="13">
        <v>1481</v>
      </c>
      <c r="P33" s="13">
        <v>6699</v>
      </c>
      <c r="Q33" s="13">
        <v>1340</v>
      </c>
      <c r="R33" s="13">
        <v>14311</v>
      </c>
      <c r="S33" s="13">
        <v>1431</v>
      </c>
      <c r="T33" s="13">
        <v>351</v>
      </c>
      <c r="U33" s="13">
        <v>15117</v>
      </c>
      <c r="V33" s="14">
        <v>756</v>
      </c>
      <c r="X33" s="25">
        <f t="shared" si="1"/>
        <v>0</v>
      </c>
      <c r="Y33" s="25">
        <f t="shared" si="2"/>
        <v>0</v>
      </c>
      <c r="Z33" s="25">
        <f t="shared" si="3"/>
        <v>0</v>
      </c>
      <c r="AA33" s="25">
        <f t="shared" si="0"/>
        <v>0</v>
      </c>
    </row>
    <row r="34" spans="1:27" x14ac:dyDescent="0.25">
      <c r="A34" s="15" t="s">
        <v>84</v>
      </c>
      <c r="B34" s="16">
        <v>406</v>
      </c>
      <c r="C34" s="16">
        <v>63</v>
      </c>
      <c r="D34" s="16">
        <v>28</v>
      </c>
      <c r="E34" s="16">
        <v>187</v>
      </c>
      <c r="F34" s="16">
        <v>1938</v>
      </c>
      <c r="G34" s="16">
        <v>433</v>
      </c>
      <c r="H34" s="16">
        <v>2445</v>
      </c>
      <c r="I34" s="16">
        <v>5031</v>
      </c>
      <c r="J34" s="16">
        <v>1006</v>
      </c>
      <c r="K34" s="16">
        <v>2786</v>
      </c>
      <c r="L34" s="16">
        <v>2795</v>
      </c>
      <c r="M34" s="16">
        <v>943</v>
      </c>
      <c r="N34" s="16">
        <v>652</v>
      </c>
      <c r="O34" s="16">
        <v>904</v>
      </c>
      <c r="P34" s="16">
        <v>8080</v>
      </c>
      <c r="Q34" s="16">
        <v>1616</v>
      </c>
      <c r="R34" s="16">
        <v>13111</v>
      </c>
      <c r="S34" s="16">
        <v>1311</v>
      </c>
      <c r="T34" s="16">
        <v>92</v>
      </c>
      <c r="U34" s="16">
        <v>13672</v>
      </c>
      <c r="V34" s="17">
        <v>684</v>
      </c>
      <c r="X34" s="25">
        <f t="shared" si="1"/>
        <v>0</v>
      </c>
      <c r="Y34" s="25">
        <f t="shared" si="2"/>
        <v>0</v>
      </c>
      <c r="Z34" s="25">
        <f t="shared" si="3"/>
        <v>0</v>
      </c>
      <c r="AA34" s="25">
        <f t="shared" si="0"/>
        <v>0</v>
      </c>
    </row>
    <row r="35" spans="1:27" x14ac:dyDescent="0.25">
      <c r="A35" s="12" t="s">
        <v>85</v>
      </c>
      <c r="B35" s="13">
        <v>60</v>
      </c>
      <c r="C35" s="13">
        <v>59</v>
      </c>
      <c r="D35" s="13">
        <v>15</v>
      </c>
      <c r="E35" s="13">
        <v>191</v>
      </c>
      <c r="F35" s="13">
        <v>538</v>
      </c>
      <c r="G35" s="13">
        <v>878</v>
      </c>
      <c r="H35" s="13">
        <v>5656</v>
      </c>
      <c r="I35" s="13">
        <v>7278</v>
      </c>
      <c r="J35" s="13">
        <v>1456</v>
      </c>
      <c r="K35" s="13">
        <v>1927</v>
      </c>
      <c r="L35" s="13">
        <v>3622</v>
      </c>
      <c r="M35" s="13">
        <v>2126</v>
      </c>
      <c r="N35" s="13">
        <v>2753</v>
      </c>
      <c r="O35" s="13">
        <v>3753</v>
      </c>
      <c r="P35" s="13">
        <v>14181</v>
      </c>
      <c r="Q35" s="13">
        <v>2836</v>
      </c>
      <c r="R35" s="13">
        <v>21459</v>
      </c>
      <c r="S35" s="13">
        <v>2146</v>
      </c>
      <c r="T35" s="13">
        <v>65</v>
      </c>
      <c r="U35" s="13">
        <v>21643</v>
      </c>
      <c r="V35" s="14">
        <v>1082</v>
      </c>
      <c r="X35" s="25">
        <f t="shared" si="1"/>
        <v>0</v>
      </c>
      <c r="Y35" s="25">
        <f t="shared" si="2"/>
        <v>0</v>
      </c>
      <c r="Z35" s="25">
        <f t="shared" si="3"/>
        <v>0</v>
      </c>
      <c r="AA35" s="25">
        <f t="shared" si="0"/>
        <v>0</v>
      </c>
    </row>
    <row r="36" spans="1:27" x14ac:dyDescent="0.25">
      <c r="A36" s="15" t="s">
        <v>86</v>
      </c>
      <c r="B36" s="16" t="s">
        <v>62</v>
      </c>
      <c r="C36" s="16" t="s">
        <v>62</v>
      </c>
      <c r="D36" s="16" t="s">
        <v>62</v>
      </c>
      <c r="E36" s="16">
        <v>9</v>
      </c>
      <c r="F36" s="16">
        <v>173</v>
      </c>
      <c r="G36" s="16">
        <v>306</v>
      </c>
      <c r="H36" s="16">
        <v>73</v>
      </c>
      <c r="I36" s="16">
        <v>561</v>
      </c>
      <c r="J36" s="16">
        <v>112</v>
      </c>
      <c r="K36" s="16">
        <v>276</v>
      </c>
      <c r="L36" s="16">
        <v>178</v>
      </c>
      <c r="M36" s="16">
        <v>68</v>
      </c>
      <c r="N36" s="16">
        <v>51</v>
      </c>
      <c r="O36" s="16">
        <v>101</v>
      </c>
      <c r="P36" s="16">
        <v>674</v>
      </c>
      <c r="Q36" s="16">
        <v>135</v>
      </c>
      <c r="R36" s="16">
        <v>1235</v>
      </c>
      <c r="S36" s="16">
        <v>124</v>
      </c>
      <c r="T36" s="16">
        <v>7</v>
      </c>
      <c r="U36" s="16">
        <v>1242</v>
      </c>
      <c r="V36" s="17">
        <v>62</v>
      </c>
      <c r="X36" s="25">
        <f t="shared" si="1"/>
        <v>0</v>
      </c>
      <c r="Y36" s="25">
        <f t="shared" si="2"/>
        <v>0</v>
      </c>
      <c r="Z36" s="25">
        <f t="shared" si="3"/>
        <v>0</v>
      </c>
      <c r="AA36" s="25">
        <f t="shared" si="0"/>
        <v>0</v>
      </c>
    </row>
    <row r="37" spans="1:27" x14ac:dyDescent="0.25">
      <c r="A37" s="12" t="s">
        <v>87</v>
      </c>
      <c r="B37" s="13">
        <v>349</v>
      </c>
      <c r="C37" s="13">
        <v>26</v>
      </c>
      <c r="D37" s="13">
        <v>80</v>
      </c>
      <c r="E37" s="13">
        <v>243</v>
      </c>
      <c r="F37" s="13">
        <v>1311</v>
      </c>
      <c r="G37" s="13">
        <v>3107</v>
      </c>
      <c r="H37" s="13">
        <v>8962</v>
      </c>
      <c r="I37" s="13">
        <v>13703</v>
      </c>
      <c r="J37" s="13">
        <v>2741</v>
      </c>
      <c r="K37" s="13">
        <v>4928</v>
      </c>
      <c r="L37" s="13">
        <v>13120</v>
      </c>
      <c r="M37" s="13">
        <v>6766</v>
      </c>
      <c r="N37" s="13">
        <v>8488</v>
      </c>
      <c r="O37" s="13">
        <v>10238</v>
      </c>
      <c r="P37" s="13">
        <v>43540</v>
      </c>
      <c r="Q37" s="13">
        <v>8708</v>
      </c>
      <c r="R37" s="13">
        <v>57243</v>
      </c>
      <c r="S37" s="13">
        <v>5724</v>
      </c>
      <c r="T37" s="13">
        <v>605</v>
      </c>
      <c r="U37" s="13">
        <v>58223</v>
      </c>
      <c r="V37" s="14">
        <v>2911</v>
      </c>
      <c r="X37" s="25">
        <f t="shared" si="1"/>
        <v>0</v>
      </c>
      <c r="Y37" s="25">
        <f t="shared" si="2"/>
        <v>0</v>
      </c>
      <c r="Z37" s="25">
        <f t="shared" si="3"/>
        <v>0</v>
      </c>
      <c r="AA37" s="25">
        <f t="shared" si="0"/>
        <v>0</v>
      </c>
    </row>
    <row r="38" spans="1:27" x14ac:dyDescent="0.25">
      <c r="A38" s="15" t="s">
        <v>88</v>
      </c>
      <c r="B38" s="16">
        <v>1348</v>
      </c>
      <c r="C38" s="16">
        <v>50</v>
      </c>
      <c r="D38" s="16">
        <v>28</v>
      </c>
      <c r="E38" s="16">
        <v>162</v>
      </c>
      <c r="F38" s="16">
        <v>6982</v>
      </c>
      <c r="G38" s="16">
        <v>4405</v>
      </c>
      <c r="H38" s="16">
        <v>7632</v>
      </c>
      <c r="I38" s="16">
        <v>19209</v>
      </c>
      <c r="J38" s="16">
        <v>3842</v>
      </c>
      <c r="K38" s="16">
        <v>4486</v>
      </c>
      <c r="L38" s="16">
        <v>7472</v>
      </c>
      <c r="M38" s="16">
        <v>6695</v>
      </c>
      <c r="N38" s="16">
        <v>6734</v>
      </c>
      <c r="O38" s="16">
        <v>10048</v>
      </c>
      <c r="P38" s="16">
        <v>35435</v>
      </c>
      <c r="Q38" s="16">
        <v>7087</v>
      </c>
      <c r="R38" s="16">
        <v>54644</v>
      </c>
      <c r="S38" s="16">
        <v>5464</v>
      </c>
      <c r="T38" s="16">
        <v>319</v>
      </c>
      <c r="U38" s="16">
        <v>56361</v>
      </c>
      <c r="V38" s="17">
        <v>2818</v>
      </c>
      <c r="X38" s="25">
        <f t="shared" si="1"/>
        <v>0</v>
      </c>
      <c r="Y38" s="25">
        <f t="shared" si="2"/>
        <v>0</v>
      </c>
      <c r="Z38" s="25">
        <f t="shared" si="3"/>
        <v>0</v>
      </c>
      <c r="AA38" s="25">
        <f t="shared" si="0"/>
        <v>0</v>
      </c>
    </row>
    <row r="39" spans="1:27" x14ac:dyDescent="0.25">
      <c r="A39" s="12" t="s">
        <v>89</v>
      </c>
      <c r="B39" s="13">
        <v>607</v>
      </c>
      <c r="C39" s="13">
        <v>1</v>
      </c>
      <c r="D39" s="13">
        <v>4</v>
      </c>
      <c r="E39" s="13">
        <v>32</v>
      </c>
      <c r="F39" s="13">
        <v>822</v>
      </c>
      <c r="G39" s="13">
        <v>1270</v>
      </c>
      <c r="H39" s="13">
        <v>5411</v>
      </c>
      <c r="I39" s="13">
        <v>7539</v>
      </c>
      <c r="J39" s="13">
        <v>1508</v>
      </c>
      <c r="K39" s="13">
        <v>2437</v>
      </c>
      <c r="L39" s="13">
        <v>5112</v>
      </c>
      <c r="M39" s="13">
        <v>2255</v>
      </c>
      <c r="N39" s="13">
        <v>3082</v>
      </c>
      <c r="O39" s="13">
        <v>3645</v>
      </c>
      <c r="P39" s="13">
        <v>16531</v>
      </c>
      <c r="Q39" s="13">
        <v>3306</v>
      </c>
      <c r="R39" s="13">
        <v>24070</v>
      </c>
      <c r="S39" s="13">
        <v>2407</v>
      </c>
      <c r="T39" s="13">
        <v>160</v>
      </c>
      <c r="U39" s="13">
        <v>24838</v>
      </c>
      <c r="V39" s="14">
        <v>1242</v>
      </c>
      <c r="X39" s="25">
        <f t="shared" si="1"/>
        <v>0</v>
      </c>
      <c r="Y39" s="25">
        <f t="shared" si="2"/>
        <v>0</v>
      </c>
      <c r="Z39" s="25">
        <f t="shared" si="3"/>
        <v>0</v>
      </c>
      <c r="AA39" s="25">
        <f t="shared" si="0"/>
        <v>0</v>
      </c>
    </row>
    <row r="40" spans="1:27" x14ac:dyDescent="0.25">
      <c r="A40" s="15" t="s">
        <v>90</v>
      </c>
      <c r="B40" s="16" t="s">
        <v>62</v>
      </c>
      <c r="C40" s="16" t="s">
        <v>62</v>
      </c>
      <c r="D40" s="16">
        <v>21</v>
      </c>
      <c r="E40" s="16">
        <v>28</v>
      </c>
      <c r="F40" s="16">
        <v>87</v>
      </c>
      <c r="G40" s="16">
        <v>88</v>
      </c>
      <c r="H40" s="16">
        <v>219</v>
      </c>
      <c r="I40" s="16">
        <v>443</v>
      </c>
      <c r="J40" s="16">
        <v>89</v>
      </c>
      <c r="K40" s="16">
        <v>172</v>
      </c>
      <c r="L40" s="16">
        <v>312</v>
      </c>
      <c r="M40" s="16">
        <v>256</v>
      </c>
      <c r="N40" s="16">
        <v>182</v>
      </c>
      <c r="O40" s="16">
        <v>62</v>
      </c>
      <c r="P40" s="16">
        <v>984</v>
      </c>
      <c r="Q40" s="16">
        <v>197</v>
      </c>
      <c r="R40" s="16">
        <v>1427</v>
      </c>
      <c r="S40" s="16">
        <v>143</v>
      </c>
      <c r="T40" s="16">
        <v>57</v>
      </c>
      <c r="U40" s="16">
        <v>1484</v>
      </c>
      <c r="V40" s="17">
        <v>74</v>
      </c>
      <c r="X40" s="25">
        <f t="shared" si="1"/>
        <v>0</v>
      </c>
      <c r="Y40" s="25">
        <f t="shared" si="2"/>
        <v>0</v>
      </c>
      <c r="Z40" s="25">
        <f t="shared" si="3"/>
        <v>0</v>
      </c>
      <c r="AA40" s="25">
        <f t="shared" si="0"/>
        <v>0</v>
      </c>
    </row>
    <row r="41" spans="1:27" x14ac:dyDescent="0.25">
      <c r="A41" s="12" t="s">
        <v>91</v>
      </c>
      <c r="B41" s="13">
        <v>23696</v>
      </c>
      <c r="C41" s="13">
        <v>5564</v>
      </c>
      <c r="D41" s="13">
        <v>840</v>
      </c>
      <c r="E41" s="13">
        <v>4073</v>
      </c>
      <c r="F41" s="13">
        <v>2620</v>
      </c>
      <c r="G41" s="13">
        <v>1568</v>
      </c>
      <c r="H41" s="13">
        <v>3705</v>
      </c>
      <c r="I41" s="13">
        <v>12806</v>
      </c>
      <c r="J41" s="13">
        <v>2561</v>
      </c>
      <c r="K41" s="13">
        <v>5479</v>
      </c>
      <c r="L41" s="13">
        <v>2793</v>
      </c>
      <c r="M41" s="13">
        <v>1422</v>
      </c>
      <c r="N41" s="13">
        <v>1610</v>
      </c>
      <c r="O41" s="13">
        <v>2413</v>
      </c>
      <c r="P41" s="13">
        <v>13717</v>
      </c>
      <c r="Q41" s="13">
        <v>2743</v>
      </c>
      <c r="R41" s="13">
        <v>26523</v>
      </c>
      <c r="S41" s="13">
        <v>2652</v>
      </c>
      <c r="T41" s="13">
        <v>1100</v>
      </c>
      <c r="U41" s="13">
        <v>56883</v>
      </c>
      <c r="V41" s="14">
        <v>2844</v>
      </c>
      <c r="X41" s="25">
        <f t="shared" si="1"/>
        <v>0</v>
      </c>
      <c r="Y41" s="25">
        <f t="shared" si="2"/>
        <v>0</v>
      </c>
      <c r="Z41" s="25">
        <f t="shared" si="3"/>
        <v>0</v>
      </c>
      <c r="AA41" s="25">
        <f t="shared" si="0"/>
        <v>0</v>
      </c>
    </row>
    <row r="42" spans="1:27" x14ac:dyDescent="0.25">
      <c r="A42" s="15" t="s">
        <v>92</v>
      </c>
      <c r="B42" s="16">
        <v>22672</v>
      </c>
      <c r="C42" s="16">
        <v>2317</v>
      </c>
      <c r="D42" s="16">
        <v>421</v>
      </c>
      <c r="E42" s="16">
        <v>616</v>
      </c>
      <c r="F42" s="16">
        <v>417</v>
      </c>
      <c r="G42" s="16">
        <v>981</v>
      </c>
      <c r="H42" s="16">
        <v>3284</v>
      </c>
      <c r="I42" s="16">
        <v>5719</v>
      </c>
      <c r="J42" s="16">
        <v>1144</v>
      </c>
      <c r="K42" s="16">
        <v>5143</v>
      </c>
      <c r="L42" s="16">
        <v>2629</v>
      </c>
      <c r="M42" s="16">
        <v>820</v>
      </c>
      <c r="N42" s="16">
        <v>1083</v>
      </c>
      <c r="O42" s="16">
        <v>1744</v>
      </c>
      <c r="P42" s="16">
        <v>11419</v>
      </c>
      <c r="Q42" s="16">
        <v>2284</v>
      </c>
      <c r="R42" s="16">
        <v>17138</v>
      </c>
      <c r="S42" s="16">
        <v>1714</v>
      </c>
      <c r="T42" s="16">
        <v>1094</v>
      </c>
      <c r="U42" s="16">
        <v>43221</v>
      </c>
      <c r="V42" s="17">
        <v>2161</v>
      </c>
      <c r="X42" s="25">
        <f t="shared" si="1"/>
        <v>0</v>
      </c>
      <c r="Y42" s="25">
        <f t="shared" si="2"/>
        <v>0</v>
      </c>
      <c r="Z42" s="25">
        <f t="shared" si="3"/>
        <v>0</v>
      </c>
      <c r="AA42" s="25">
        <f t="shared" si="0"/>
        <v>0</v>
      </c>
    </row>
    <row r="43" spans="1:27" x14ac:dyDescent="0.25">
      <c r="A43" s="12" t="s">
        <v>93</v>
      </c>
      <c r="B43" s="13" t="s">
        <v>62</v>
      </c>
      <c r="C43" s="13" t="s">
        <v>62</v>
      </c>
      <c r="D43" s="13" t="s">
        <v>62</v>
      </c>
      <c r="E43" s="13">
        <v>5</v>
      </c>
      <c r="F43" s="13">
        <v>800</v>
      </c>
      <c r="G43" s="13">
        <v>1021</v>
      </c>
      <c r="H43" s="13">
        <v>319</v>
      </c>
      <c r="I43" s="13">
        <v>2145</v>
      </c>
      <c r="J43" s="13">
        <v>429</v>
      </c>
      <c r="K43" s="13">
        <v>284</v>
      </c>
      <c r="L43" s="13">
        <v>473</v>
      </c>
      <c r="M43" s="13">
        <v>959</v>
      </c>
      <c r="N43" s="13">
        <v>880</v>
      </c>
      <c r="O43" s="13">
        <v>2071</v>
      </c>
      <c r="P43" s="13">
        <v>4667</v>
      </c>
      <c r="Q43" s="13">
        <v>933</v>
      </c>
      <c r="R43" s="13">
        <v>6812</v>
      </c>
      <c r="S43" s="13">
        <v>681</v>
      </c>
      <c r="T43" s="13">
        <v>217</v>
      </c>
      <c r="U43" s="13">
        <v>7029</v>
      </c>
      <c r="V43" s="14">
        <v>351</v>
      </c>
      <c r="X43" s="25">
        <f t="shared" si="1"/>
        <v>0</v>
      </c>
      <c r="Y43" s="25">
        <f t="shared" si="2"/>
        <v>0</v>
      </c>
      <c r="Z43" s="25">
        <f t="shared" si="3"/>
        <v>0</v>
      </c>
      <c r="AA43" s="25">
        <f t="shared" si="0"/>
        <v>0</v>
      </c>
    </row>
    <row r="44" spans="1:27" x14ac:dyDescent="0.25">
      <c r="A44" s="15" t="s">
        <v>94</v>
      </c>
      <c r="B44" s="16" t="s">
        <v>62</v>
      </c>
      <c r="C44" s="16" t="s">
        <v>62</v>
      </c>
      <c r="D44" s="16" t="s">
        <v>62</v>
      </c>
      <c r="E44" s="16" t="s">
        <v>62</v>
      </c>
      <c r="F44" s="16">
        <v>483</v>
      </c>
      <c r="G44" s="16">
        <v>315</v>
      </c>
      <c r="H44" s="16">
        <v>46</v>
      </c>
      <c r="I44" s="16">
        <v>844</v>
      </c>
      <c r="J44" s="16">
        <v>169</v>
      </c>
      <c r="K44" s="16">
        <v>76</v>
      </c>
      <c r="L44" s="16">
        <v>61</v>
      </c>
      <c r="M44" s="16">
        <v>24</v>
      </c>
      <c r="N44" s="16">
        <v>11</v>
      </c>
      <c r="O44" s="16">
        <v>2</v>
      </c>
      <c r="P44" s="16">
        <v>174</v>
      </c>
      <c r="Q44" s="16">
        <v>35</v>
      </c>
      <c r="R44" s="16">
        <v>1018</v>
      </c>
      <c r="S44" s="16">
        <v>102</v>
      </c>
      <c r="T44" s="16" t="s">
        <v>62</v>
      </c>
      <c r="U44" s="16">
        <v>1018</v>
      </c>
      <c r="V44" s="17">
        <v>51</v>
      </c>
      <c r="X44" s="25">
        <f t="shared" si="1"/>
        <v>0</v>
      </c>
      <c r="Y44" s="25">
        <f t="shared" si="2"/>
        <v>0</v>
      </c>
      <c r="Z44" s="25">
        <f t="shared" si="3"/>
        <v>0</v>
      </c>
      <c r="AA44" s="25">
        <f t="shared" si="0"/>
        <v>0</v>
      </c>
    </row>
    <row r="45" spans="1:27" x14ac:dyDescent="0.25">
      <c r="A45" s="12" t="s">
        <v>95</v>
      </c>
      <c r="B45" s="13" t="s">
        <v>62</v>
      </c>
      <c r="C45" s="13" t="s">
        <v>62</v>
      </c>
      <c r="D45" s="13" t="s">
        <v>62</v>
      </c>
      <c r="E45" s="13" t="s">
        <v>62</v>
      </c>
      <c r="F45" s="13">
        <v>83</v>
      </c>
      <c r="G45" s="13">
        <v>12</v>
      </c>
      <c r="H45" s="13">
        <v>79</v>
      </c>
      <c r="I45" s="13">
        <v>174</v>
      </c>
      <c r="J45" s="13">
        <v>35</v>
      </c>
      <c r="K45" s="13">
        <v>14</v>
      </c>
      <c r="L45" s="13">
        <v>10</v>
      </c>
      <c r="M45" s="13">
        <v>29</v>
      </c>
      <c r="N45" s="13">
        <v>38</v>
      </c>
      <c r="O45" s="13">
        <v>64</v>
      </c>
      <c r="P45" s="13">
        <v>155</v>
      </c>
      <c r="Q45" s="13">
        <v>31</v>
      </c>
      <c r="R45" s="13">
        <v>329</v>
      </c>
      <c r="S45" s="13">
        <v>33</v>
      </c>
      <c r="T45" s="13">
        <v>2</v>
      </c>
      <c r="U45" s="13">
        <v>331</v>
      </c>
      <c r="V45" s="14">
        <v>17</v>
      </c>
      <c r="X45" s="25">
        <f t="shared" si="1"/>
        <v>0</v>
      </c>
      <c r="Y45" s="25">
        <f t="shared" si="2"/>
        <v>0</v>
      </c>
      <c r="Z45" s="25">
        <f t="shared" si="3"/>
        <v>0</v>
      </c>
      <c r="AA45" s="25">
        <f t="shared" si="0"/>
        <v>0</v>
      </c>
    </row>
    <row r="46" spans="1:27" x14ac:dyDescent="0.25">
      <c r="A46" s="15" t="s">
        <v>96</v>
      </c>
      <c r="B46" s="16" t="s">
        <v>62</v>
      </c>
      <c r="C46" s="16" t="s">
        <v>62</v>
      </c>
      <c r="D46" s="16" t="s">
        <v>62</v>
      </c>
      <c r="E46" s="16">
        <v>202</v>
      </c>
      <c r="F46" s="16">
        <v>711</v>
      </c>
      <c r="G46" s="16">
        <v>2527</v>
      </c>
      <c r="H46" s="16">
        <v>701</v>
      </c>
      <c r="I46" s="16">
        <v>4141</v>
      </c>
      <c r="J46" s="16">
        <v>828</v>
      </c>
      <c r="K46" s="16">
        <v>648</v>
      </c>
      <c r="L46" s="16">
        <v>977</v>
      </c>
      <c r="M46" s="16">
        <v>447</v>
      </c>
      <c r="N46" s="16">
        <v>540</v>
      </c>
      <c r="O46" s="16">
        <v>968</v>
      </c>
      <c r="P46" s="16">
        <v>3580</v>
      </c>
      <c r="Q46" s="16">
        <v>716</v>
      </c>
      <c r="R46" s="16">
        <v>7721</v>
      </c>
      <c r="S46" s="16">
        <v>772</v>
      </c>
      <c r="T46" s="16">
        <v>32</v>
      </c>
      <c r="U46" s="16">
        <v>7753</v>
      </c>
      <c r="V46" s="17">
        <v>388</v>
      </c>
      <c r="X46" s="25">
        <f t="shared" si="1"/>
        <v>0</v>
      </c>
      <c r="Y46" s="25">
        <f t="shared" si="2"/>
        <v>0</v>
      </c>
      <c r="Z46" s="25">
        <f t="shared" si="3"/>
        <v>0</v>
      </c>
      <c r="AA46" s="25">
        <f t="shared" si="0"/>
        <v>0</v>
      </c>
    </row>
    <row r="47" spans="1:27" x14ac:dyDescent="0.25">
      <c r="A47" s="12" t="s">
        <v>97</v>
      </c>
      <c r="B47" s="13" t="s">
        <v>62</v>
      </c>
      <c r="C47" s="13" t="s">
        <v>62</v>
      </c>
      <c r="D47" s="13">
        <v>4</v>
      </c>
      <c r="E47" s="13">
        <v>59</v>
      </c>
      <c r="F47" s="13">
        <v>521</v>
      </c>
      <c r="G47" s="13">
        <v>937</v>
      </c>
      <c r="H47" s="13">
        <v>186</v>
      </c>
      <c r="I47" s="13">
        <v>1707</v>
      </c>
      <c r="J47" s="13">
        <v>341</v>
      </c>
      <c r="K47" s="13">
        <v>103</v>
      </c>
      <c r="L47" s="13">
        <v>122</v>
      </c>
      <c r="M47" s="13">
        <v>48</v>
      </c>
      <c r="N47" s="13">
        <v>69</v>
      </c>
      <c r="O47" s="13">
        <v>125</v>
      </c>
      <c r="P47" s="13">
        <v>467</v>
      </c>
      <c r="Q47" s="13">
        <v>93</v>
      </c>
      <c r="R47" s="13">
        <v>2174</v>
      </c>
      <c r="S47" s="13">
        <v>217</v>
      </c>
      <c r="T47" s="13">
        <v>1</v>
      </c>
      <c r="U47" s="13">
        <v>2175</v>
      </c>
      <c r="V47" s="14">
        <v>109</v>
      </c>
      <c r="X47" s="25">
        <f t="shared" si="1"/>
        <v>0</v>
      </c>
      <c r="Y47" s="25">
        <f t="shared" si="2"/>
        <v>0</v>
      </c>
      <c r="Z47" s="25">
        <f t="shared" si="3"/>
        <v>0</v>
      </c>
      <c r="AA47" s="25">
        <f t="shared" si="0"/>
        <v>0</v>
      </c>
    </row>
    <row r="48" spans="1:27" x14ac:dyDescent="0.25">
      <c r="A48" s="15" t="s">
        <v>98</v>
      </c>
      <c r="B48" s="16" t="s">
        <v>62</v>
      </c>
      <c r="C48" s="16" t="s">
        <v>62</v>
      </c>
      <c r="D48" s="16" t="s">
        <v>62</v>
      </c>
      <c r="E48" s="16" t="s">
        <v>62</v>
      </c>
      <c r="F48" s="16">
        <v>22</v>
      </c>
      <c r="G48" s="16">
        <v>7</v>
      </c>
      <c r="H48" s="16">
        <v>4</v>
      </c>
      <c r="I48" s="16">
        <v>33</v>
      </c>
      <c r="J48" s="16">
        <v>7</v>
      </c>
      <c r="K48" s="16">
        <v>6</v>
      </c>
      <c r="L48" s="16">
        <v>3</v>
      </c>
      <c r="M48" s="16">
        <v>57</v>
      </c>
      <c r="N48" s="16">
        <v>114</v>
      </c>
      <c r="O48" s="16">
        <v>83</v>
      </c>
      <c r="P48" s="16">
        <v>263</v>
      </c>
      <c r="Q48" s="16">
        <v>53</v>
      </c>
      <c r="R48" s="16">
        <v>296</v>
      </c>
      <c r="S48" s="16">
        <v>30</v>
      </c>
      <c r="T48" s="16">
        <v>28</v>
      </c>
      <c r="U48" s="16">
        <v>324</v>
      </c>
      <c r="V48" s="17">
        <v>16</v>
      </c>
      <c r="X48" s="25">
        <f t="shared" si="1"/>
        <v>0</v>
      </c>
      <c r="Y48" s="25">
        <f t="shared" si="2"/>
        <v>0</v>
      </c>
      <c r="Z48" s="25">
        <f t="shared" si="3"/>
        <v>0</v>
      </c>
      <c r="AA48" s="25">
        <f t="shared" si="0"/>
        <v>0</v>
      </c>
    </row>
    <row r="49" spans="1:27" x14ac:dyDescent="0.25">
      <c r="A49" s="12" t="s">
        <v>99</v>
      </c>
      <c r="B49" s="13" t="s">
        <v>62</v>
      </c>
      <c r="C49" s="13" t="s">
        <v>62</v>
      </c>
      <c r="D49" s="13">
        <v>10</v>
      </c>
      <c r="E49" s="13" t="s">
        <v>62</v>
      </c>
      <c r="F49" s="13">
        <v>147</v>
      </c>
      <c r="G49" s="13">
        <v>314</v>
      </c>
      <c r="H49" s="13">
        <v>156</v>
      </c>
      <c r="I49" s="13">
        <v>627</v>
      </c>
      <c r="J49" s="13">
        <v>125</v>
      </c>
      <c r="K49" s="13">
        <v>1064</v>
      </c>
      <c r="L49" s="13">
        <v>1295</v>
      </c>
      <c r="M49" s="13">
        <v>522</v>
      </c>
      <c r="N49" s="13">
        <v>175</v>
      </c>
      <c r="O49" s="13">
        <v>366</v>
      </c>
      <c r="P49" s="13">
        <v>3422</v>
      </c>
      <c r="Q49" s="13">
        <v>684</v>
      </c>
      <c r="R49" s="13">
        <v>4049</v>
      </c>
      <c r="S49" s="13">
        <v>405</v>
      </c>
      <c r="T49" s="13">
        <v>316</v>
      </c>
      <c r="U49" s="13">
        <v>4365</v>
      </c>
      <c r="V49" s="14">
        <v>218</v>
      </c>
      <c r="X49" s="25">
        <f t="shared" si="1"/>
        <v>0</v>
      </c>
      <c r="Y49" s="25">
        <f t="shared" si="2"/>
        <v>0</v>
      </c>
      <c r="Z49" s="25">
        <f t="shared" si="3"/>
        <v>0</v>
      </c>
      <c r="AA49" s="25">
        <f t="shared" si="0"/>
        <v>0</v>
      </c>
    </row>
    <row r="50" spans="1:27" x14ac:dyDescent="0.25">
      <c r="A50" s="15" t="s">
        <v>100</v>
      </c>
      <c r="B50" s="16" t="s">
        <v>62</v>
      </c>
      <c r="C50" s="16" t="s">
        <v>62</v>
      </c>
      <c r="D50" s="16" t="s">
        <v>62</v>
      </c>
      <c r="E50" s="16" t="s">
        <v>62</v>
      </c>
      <c r="F50" s="16">
        <v>16</v>
      </c>
      <c r="G50" s="16" t="s">
        <v>62</v>
      </c>
      <c r="H50" s="16" t="s">
        <v>62</v>
      </c>
      <c r="I50" s="16">
        <v>16</v>
      </c>
      <c r="J50" s="16">
        <v>3</v>
      </c>
      <c r="K50" s="16">
        <v>18</v>
      </c>
      <c r="L50" s="16">
        <v>180</v>
      </c>
      <c r="M50" s="16">
        <v>12</v>
      </c>
      <c r="N50" s="16" t="s">
        <v>62</v>
      </c>
      <c r="O50" s="16" t="s">
        <v>62</v>
      </c>
      <c r="P50" s="16">
        <v>210</v>
      </c>
      <c r="Q50" s="16">
        <v>42</v>
      </c>
      <c r="R50" s="16">
        <v>226</v>
      </c>
      <c r="S50" s="16">
        <v>23</v>
      </c>
      <c r="T50" s="16" t="s">
        <v>62</v>
      </c>
      <c r="U50" s="16">
        <v>226</v>
      </c>
      <c r="V50" s="17">
        <v>11</v>
      </c>
      <c r="X50" s="25">
        <f t="shared" si="1"/>
        <v>0</v>
      </c>
      <c r="Y50" s="25">
        <f t="shared" si="2"/>
        <v>0</v>
      </c>
      <c r="Z50" s="25">
        <f t="shared" si="3"/>
        <v>0</v>
      </c>
      <c r="AA50" s="25">
        <f t="shared" si="0"/>
        <v>0</v>
      </c>
    </row>
    <row r="51" spans="1:27" ht="15.75" thickBot="1" x14ac:dyDescent="0.3">
      <c r="A51" s="20" t="s">
        <v>101</v>
      </c>
      <c r="B51" s="21" t="s">
        <v>62</v>
      </c>
      <c r="C51" s="21" t="s">
        <v>62</v>
      </c>
      <c r="D51" s="21" t="s">
        <v>62</v>
      </c>
      <c r="E51" s="21" t="s">
        <v>62</v>
      </c>
      <c r="F51" s="21" t="s">
        <v>62</v>
      </c>
      <c r="G51" s="21" t="s">
        <v>62</v>
      </c>
      <c r="H51" s="21" t="s">
        <v>62</v>
      </c>
      <c r="I51" s="21" t="s">
        <v>62</v>
      </c>
      <c r="J51" s="21" t="s">
        <v>62</v>
      </c>
      <c r="K51" s="21" t="s">
        <v>62</v>
      </c>
      <c r="L51" s="21">
        <v>10</v>
      </c>
      <c r="M51" s="21" t="s">
        <v>62</v>
      </c>
      <c r="N51" s="21" t="s">
        <v>62</v>
      </c>
      <c r="O51" s="21" t="s">
        <v>62</v>
      </c>
      <c r="P51" s="21">
        <v>10</v>
      </c>
      <c r="Q51" s="21">
        <v>2</v>
      </c>
      <c r="R51" s="21">
        <v>10</v>
      </c>
      <c r="S51" s="21">
        <v>1</v>
      </c>
      <c r="T51" s="21" t="s">
        <v>62</v>
      </c>
      <c r="U51" s="21">
        <v>10</v>
      </c>
      <c r="V51" s="22">
        <v>0.5</v>
      </c>
      <c r="X51" s="25"/>
      <c r="Y51" s="25">
        <f t="shared" si="2"/>
        <v>0</v>
      </c>
      <c r="Z51" s="25"/>
      <c r="AA51" s="25">
        <f t="shared" si="0"/>
        <v>0</v>
      </c>
    </row>
    <row r="52" spans="1:27" ht="15.75" thickBot="1" x14ac:dyDescent="0.3">
      <c r="A52" s="23" t="s">
        <v>110</v>
      </c>
      <c r="B52" s="24">
        <v>258154</v>
      </c>
      <c r="C52" s="24">
        <v>53350</v>
      </c>
      <c r="D52" s="24">
        <v>55776</v>
      </c>
      <c r="E52" s="24">
        <v>101995</v>
      </c>
      <c r="F52" s="24">
        <v>186166</v>
      </c>
      <c r="G52" s="24">
        <v>81015</v>
      </c>
      <c r="H52" s="24">
        <v>143699</v>
      </c>
      <c r="I52" s="24">
        <v>568651</v>
      </c>
      <c r="J52" s="24">
        <v>113730</v>
      </c>
      <c r="K52" s="24">
        <v>162805</v>
      </c>
      <c r="L52" s="24">
        <v>164639</v>
      </c>
      <c r="M52" s="24">
        <v>86334</v>
      </c>
      <c r="N52" s="24">
        <v>80499</v>
      </c>
      <c r="O52" s="24">
        <v>83721</v>
      </c>
      <c r="P52" s="24">
        <v>577998</v>
      </c>
      <c r="Q52" s="24">
        <v>115600</v>
      </c>
      <c r="R52" s="24">
        <v>1146649</v>
      </c>
      <c r="S52" s="24">
        <v>114665</v>
      </c>
      <c r="T52" s="24">
        <v>29895</v>
      </c>
      <c r="U52" s="24">
        <v>1488048</v>
      </c>
      <c r="V52" s="24">
        <v>74402</v>
      </c>
    </row>
    <row r="54" spans="1:27" x14ac:dyDescent="0.25">
      <c r="B54" s="25">
        <f t="shared" ref="B54:V54" si="4">SUM(B2:B51)-B52</f>
        <v>0</v>
      </c>
      <c r="C54" s="25">
        <f t="shared" si="4"/>
        <v>0</v>
      </c>
      <c r="D54" s="25">
        <f t="shared" si="4"/>
        <v>0</v>
      </c>
      <c r="E54" s="25">
        <f t="shared" si="4"/>
        <v>0</v>
      </c>
      <c r="F54" s="25">
        <f t="shared" si="4"/>
        <v>0</v>
      </c>
      <c r="G54" s="25">
        <f t="shared" si="4"/>
        <v>0</v>
      </c>
      <c r="H54" s="25">
        <f t="shared" si="4"/>
        <v>0</v>
      </c>
      <c r="I54" s="25">
        <f t="shared" si="4"/>
        <v>0</v>
      </c>
      <c r="J54" s="25">
        <f t="shared" si="4"/>
        <v>-0.39999999999417923</v>
      </c>
      <c r="K54" s="25">
        <f t="shared" si="4"/>
        <v>0</v>
      </c>
      <c r="L54" s="25">
        <f t="shared" si="4"/>
        <v>0</v>
      </c>
      <c r="M54" s="25">
        <f t="shared" si="4"/>
        <v>0</v>
      </c>
      <c r="N54" s="25">
        <f t="shared" si="4"/>
        <v>0</v>
      </c>
      <c r="O54" s="25">
        <f t="shared" si="4"/>
        <v>0</v>
      </c>
      <c r="P54" s="25">
        <f t="shared" si="4"/>
        <v>0</v>
      </c>
      <c r="Q54" s="25">
        <f t="shared" si="4"/>
        <v>-1</v>
      </c>
      <c r="R54" s="25">
        <f t="shared" si="4"/>
        <v>0</v>
      </c>
      <c r="S54" s="25">
        <f t="shared" si="4"/>
        <v>0.80000000000291038</v>
      </c>
      <c r="T54" s="25">
        <f t="shared" si="4"/>
        <v>0</v>
      </c>
      <c r="U54" s="25">
        <f t="shared" si="4"/>
        <v>0</v>
      </c>
      <c r="V54" s="25">
        <f t="shared" si="4"/>
        <v>-0.10000000000582077</v>
      </c>
    </row>
    <row r="56" spans="1:27" x14ac:dyDescent="0.25">
      <c r="A56" s="26" t="s">
        <v>111</v>
      </c>
    </row>
    <row r="57" spans="1:27" x14ac:dyDescent="0.25">
      <c r="A57" t="s">
        <v>112</v>
      </c>
    </row>
    <row r="58" spans="1:27" x14ac:dyDescent="0.25">
      <c r="A58" t="s">
        <v>113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note-1</vt:lpstr>
      <vt:lpstr>data-outbound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2026-07-30T16:05:06Z</dcterms:created>
  <dcterms:modified xsi:type="dcterms:W3CDTF">2026-07-31T04:31:01Z</dcterms:modified>
</cp:coreProperties>
</file>