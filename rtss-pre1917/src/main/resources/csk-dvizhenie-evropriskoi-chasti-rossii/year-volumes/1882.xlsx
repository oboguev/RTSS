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5B6C7E28-A984-476B-A04C-3AD917810812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</calcChain>
</file>

<file path=xl/sharedStrings.xml><?xml version="1.0" encoding="utf-8"?>
<sst xmlns="http://schemas.openxmlformats.org/spreadsheetml/2006/main" count="65" uniqueCount="65">
  <si>
    <t>губ</t>
  </si>
  <si>
    <t>чр-м</t>
  </si>
  <si>
    <t>чр-ж</t>
  </si>
  <si>
    <t>чр-о</t>
  </si>
  <si>
    <t>чс-м</t>
  </si>
  <si>
    <t>чс-ж</t>
  </si>
  <si>
    <t>чс-о</t>
  </si>
  <si>
    <t>vр-мж</t>
  </si>
  <si>
    <t>v-рс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</si>
  <si>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</si>
  <si>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</si>
  <si>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</si>
  <si>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</si>
  <si>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</si>
  <si>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</si>
  <si>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</si>
  <si>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</si>
  <si>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</si>
  <si>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</si>
  <si>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</si>
  <si>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</si>
  <si>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</si>
  <si>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</si>
  <si>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</si>
  <si>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</si>
  <si>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</si>
  <si>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</si>
  <si>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</si>
  <si>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</si>
  <si>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</si>
  <si>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</si>
  <si>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</si>
  <si>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</si>
  <si>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</si>
  <si>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</si>
  <si>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</si>
  <si>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</si>
  <si>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</si>
  <si>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</si>
  <si>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</si>
  <si>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</si>
  <si>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</si>
  <si>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</si>
  <si>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</si>
  <si>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</si>
  <si>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</si>
  <si>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</si>
  <si>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</si>
  <si>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</si>
  <si>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</si>
  <si>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</si>
  <si>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</si>
  <si>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</si>
  <si>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</si>
  <si>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</si>
  <si>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</si>
  <si>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</si>
  <si>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</si>
  <si>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</si>
  <si>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</si>
  <si>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</si>
  <si>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</si>
  <si>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vvр-мж</t>
  </si>
  <si>
    <t>vv-рс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</si>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</sst>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0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AF22" sqref="AF22"/>
    </sheetView>
  </sheetViews>
  <sheetFormatPr defaultRowHeight="14.4" x14ac:dyDescent="0.55000000000000004"/>
  <cols>
    <col min="1" max="1" width="28" customWidth="1"/>
    <col min="2" max="7" width="12" customWidth="1"/>
    <col min="8" max="9" width="10" customWidth="1"/>
  </cols>
  <sheetData>
    <row r="1" spans="1:14" x14ac:dyDescent="0.5500000000000000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K1" s="10" t="s">
        <v>60</v>
      </c>
      <c r="L1" s="10" t="s">
        <v>61</v>
      </c>
      <c r="M1" s="10" t="s">
        <v>62</v>
      </c>
      <c r="N1" s="10" t="s">
        <v>63</v>
      </c>
    </row>
    <row r="2" spans="1:14" x14ac:dyDescent="0.55000000000000004">
      <c r="A2" s="3" t="s">
        <v>9</v>
      </c>
      <c r="B2" s="5">
        <v>6484</v>
      </c>
      <c r="C2" s="5">
        <v>6128</v>
      </c>
      <c r="D2" s="5">
        <v>12612</v>
      </c>
      <c r="E2" s="5">
        <v>4379</v>
      </c>
      <c r="F2" s="5">
        <v>4159</v>
      </c>
      <c r="G2" s="5">
        <v>8538</v>
      </c>
      <c r="H2" s="6">
        <v>105.8</v>
      </c>
      <c r="I2" s="6">
        <v>147.69999999999999</v>
      </c>
      <c r="K2" s="1">
        <f>D2-C2-B2</f>
        <v>0</v>
      </c>
      <c r="L2" s="1">
        <f>G2-F2-E2</f>
        <v>0</v>
      </c>
      <c r="M2" s="2">
        <f>B2/C2*100-H2</f>
        <v>9.3994778067951756E-3</v>
      </c>
      <c r="N2" s="2">
        <f>D2/G2*100-I2</f>
        <v>1.6092761770920561E-2</v>
      </c>
    </row>
    <row r="3" spans="1:14" x14ac:dyDescent="0.55000000000000004">
      <c r="A3" s="3" t="s">
        <v>10</v>
      </c>
      <c r="B3" s="5">
        <v>13724</v>
      </c>
      <c r="C3" s="5">
        <v>13067</v>
      </c>
      <c r="D3" s="5">
        <v>26791</v>
      </c>
      <c r="E3" s="5">
        <v>9322</v>
      </c>
      <c r="F3" s="5">
        <v>8591</v>
      </c>
      <c r="G3" s="5">
        <v>17913</v>
      </c>
      <c r="H3" s="6">
        <v>105</v>
      </c>
      <c r="I3" s="6">
        <v>149.6</v>
      </c>
      <c r="K3" s="1">
        <f t="shared" ref="K3:K52" si="0">D3-C3-B3</f>
        <v>0</v>
      </c>
      <c r="L3" s="1">
        <f t="shared" ref="L3:L52" si="1">G3-F3-E3</f>
        <v>0</v>
      </c>
      <c r="M3" s="2">
        <f t="shared" ref="M3:M52" si="2">B3/C3*100-H3</f>
        <v>2.7932960893849668E-2</v>
      </c>
      <c r="N3" s="2">
        <f t="shared" ref="N3:N52" si="3">D3/G3*100-I3</f>
        <v>-3.8229219002943182E-2</v>
      </c>
    </row>
    <row r="4" spans="1:14" x14ac:dyDescent="0.55000000000000004">
      <c r="A4" s="3" t="s">
        <v>11</v>
      </c>
      <c r="B4" s="5">
        <v>35534</v>
      </c>
      <c r="C4" s="5">
        <v>32923</v>
      </c>
      <c r="D4" s="5">
        <v>68457</v>
      </c>
      <c r="E4" s="5">
        <v>24143</v>
      </c>
      <c r="F4" s="5">
        <v>22050</v>
      </c>
      <c r="G4" s="5">
        <v>46193</v>
      </c>
      <c r="H4" s="6">
        <v>107.9</v>
      </c>
      <c r="I4" s="6">
        <v>148.19999999999999</v>
      </c>
      <c r="K4" s="1">
        <f t="shared" si="0"/>
        <v>0</v>
      </c>
      <c r="L4" s="1">
        <f t="shared" si="1"/>
        <v>0</v>
      </c>
      <c r="M4" s="2">
        <f t="shared" si="2"/>
        <v>3.0626006135520356E-2</v>
      </c>
      <c r="N4" s="2">
        <f t="shared" si="3"/>
        <v>-2.2211157534570702E-3</v>
      </c>
    </row>
    <row r="5" spans="1:14" x14ac:dyDescent="0.55000000000000004">
      <c r="A5" s="3" t="s">
        <v>12</v>
      </c>
      <c r="B5" s="5">
        <v>25440</v>
      </c>
      <c r="C5" s="5">
        <v>23828</v>
      </c>
      <c r="D5" s="5">
        <v>49268</v>
      </c>
      <c r="E5" s="5">
        <v>18208</v>
      </c>
      <c r="F5" s="5">
        <v>16743</v>
      </c>
      <c r="G5" s="5">
        <v>34951</v>
      </c>
      <c r="H5" s="6">
        <v>106.8</v>
      </c>
      <c r="I5" s="6">
        <v>141</v>
      </c>
      <c r="K5" s="1">
        <f t="shared" si="0"/>
        <v>0</v>
      </c>
      <c r="L5" s="1">
        <f t="shared" si="1"/>
        <v>0</v>
      </c>
      <c r="M5" s="2">
        <f t="shared" si="2"/>
        <v>-3.4849756588883452E-2</v>
      </c>
      <c r="N5" s="2">
        <f t="shared" si="3"/>
        <v>-3.6937426683067542E-2</v>
      </c>
    </row>
    <row r="6" spans="1:14" x14ac:dyDescent="0.55000000000000004">
      <c r="A6" s="3" t="s">
        <v>13</v>
      </c>
      <c r="B6" s="5">
        <v>25620</v>
      </c>
      <c r="C6" s="5">
        <v>23693</v>
      </c>
      <c r="D6" s="5">
        <v>49313</v>
      </c>
      <c r="E6" s="5">
        <v>18201</v>
      </c>
      <c r="F6" s="5">
        <v>16665</v>
      </c>
      <c r="G6" s="5">
        <v>34866</v>
      </c>
      <c r="H6" s="6">
        <v>108.1</v>
      </c>
      <c r="I6" s="6">
        <v>141.4</v>
      </c>
      <c r="K6" s="1">
        <f t="shared" si="0"/>
        <v>0</v>
      </c>
      <c r="L6" s="1">
        <f t="shared" si="1"/>
        <v>0</v>
      </c>
      <c r="M6" s="2">
        <f t="shared" si="2"/>
        <v>3.3203899886032673E-2</v>
      </c>
      <c r="N6" s="2">
        <f t="shared" si="3"/>
        <v>3.5782710950485352E-2</v>
      </c>
    </row>
    <row r="7" spans="1:14" x14ac:dyDescent="0.55000000000000004">
      <c r="A7" s="3" t="s">
        <v>14</v>
      </c>
      <c r="B7" s="5">
        <v>36697</v>
      </c>
      <c r="C7" s="5">
        <v>34763</v>
      </c>
      <c r="D7" s="5">
        <v>71460</v>
      </c>
      <c r="E7" s="5">
        <v>33212</v>
      </c>
      <c r="F7" s="5">
        <v>31841</v>
      </c>
      <c r="G7" s="5">
        <v>65053</v>
      </c>
      <c r="H7" s="6">
        <v>105.6</v>
      </c>
      <c r="I7" s="6">
        <v>109.8</v>
      </c>
      <c r="K7" s="1">
        <f t="shared" si="0"/>
        <v>0</v>
      </c>
      <c r="L7" s="1">
        <f t="shared" si="1"/>
        <v>0</v>
      </c>
      <c r="M7" s="2">
        <f t="shared" si="2"/>
        <v>-3.6613640940061032E-2</v>
      </c>
      <c r="N7" s="2">
        <f t="shared" si="3"/>
        <v>4.8892441547650378E-2</v>
      </c>
    </row>
    <row r="8" spans="1:14" x14ac:dyDescent="0.55000000000000004">
      <c r="A8" s="3" t="s">
        <v>15</v>
      </c>
      <c r="B8" s="5">
        <v>28489</v>
      </c>
      <c r="C8" s="5">
        <v>27415</v>
      </c>
      <c r="D8" s="5">
        <v>55904</v>
      </c>
      <c r="E8" s="5">
        <v>19522</v>
      </c>
      <c r="F8" s="5">
        <v>18651</v>
      </c>
      <c r="G8" s="5">
        <v>38173</v>
      </c>
      <c r="H8" s="6">
        <v>103.9</v>
      </c>
      <c r="I8" s="6">
        <v>146.4</v>
      </c>
      <c r="K8" s="1">
        <f t="shared" si="0"/>
        <v>0</v>
      </c>
      <c r="L8" s="1">
        <f t="shared" si="1"/>
        <v>0</v>
      </c>
      <c r="M8" s="2">
        <f t="shared" si="2"/>
        <v>1.7563377712932038E-2</v>
      </c>
      <c r="N8" s="2">
        <f t="shared" si="3"/>
        <v>4.9060854530694087E-2</v>
      </c>
    </row>
    <row r="9" spans="1:14" x14ac:dyDescent="0.55000000000000004">
      <c r="A9" s="3" t="s">
        <v>16</v>
      </c>
      <c r="B9" s="5">
        <v>55339</v>
      </c>
      <c r="C9" s="5">
        <v>51354</v>
      </c>
      <c r="D9" s="5">
        <v>106693</v>
      </c>
      <c r="E9" s="5">
        <v>40944</v>
      </c>
      <c r="F9" s="5">
        <v>38508</v>
      </c>
      <c r="G9" s="5">
        <v>79452</v>
      </c>
      <c r="H9" s="6">
        <v>107.8</v>
      </c>
      <c r="I9" s="6">
        <v>134.30000000000001</v>
      </c>
      <c r="K9" s="1">
        <f t="shared" si="0"/>
        <v>0</v>
      </c>
      <c r="L9" s="1">
        <f t="shared" si="1"/>
        <v>0</v>
      </c>
      <c r="M9" s="2">
        <f t="shared" si="2"/>
        <v>-4.0137087666010984E-2</v>
      </c>
      <c r="N9" s="2">
        <f t="shared" si="3"/>
        <v>-1.3890147510466022E-2</v>
      </c>
    </row>
    <row r="10" spans="1:14" x14ac:dyDescent="0.55000000000000004">
      <c r="A10" s="3" t="s">
        <v>17</v>
      </c>
      <c r="B10" s="5">
        <v>64615</v>
      </c>
      <c r="C10" s="5">
        <v>62544</v>
      </c>
      <c r="D10" s="5">
        <v>127159</v>
      </c>
      <c r="E10" s="5">
        <v>61086</v>
      </c>
      <c r="F10" s="5">
        <v>58961</v>
      </c>
      <c r="G10" s="5">
        <v>120047</v>
      </c>
      <c r="H10" s="6">
        <v>103.3</v>
      </c>
      <c r="I10" s="6">
        <v>105.9</v>
      </c>
      <c r="K10" s="1">
        <f t="shared" si="0"/>
        <v>0</v>
      </c>
      <c r="L10" s="1">
        <f t="shared" si="1"/>
        <v>0</v>
      </c>
      <c r="M10" s="2">
        <f t="shared" si="2"/>
        <v>1.1268866717827564E-2</v>
      </c>
      <c r="N10" s="2">
        <f t="shared" si="3"/>
        <v>2.4346297700063246E-2</v>
      </c>
    </row>
    <row r="11" spans="1:14" x14ac:dyDescent="0.55000000000000004">
      <c r="A11" s="3" t="s">
        <v>18</v>
      </c>
      <c r="B11" s="5">
        <v>80579</v>
      </c>
      <c r="C11" s="5">
        <v>77210</v>
      </c>
      <c r="D11" s="5">
        <v>157789</v>
      </c>
      <c r="E11" s="5">
        <v>58738</v>
      </c>
      <c r="F11" s="5">
        <v>55539</v>
      </c>
      <c r="G11" s="5">
        <v>114277</v>
      </c>
      <c r="H11" s="6">
        <v>104.4</v>
      </c>
      <c r="I11" s="6">
        <v>138.1</v>
      </c>
      <c r="K11" s="1">
        <f t="shared" si="0"/>
        <v>0</v>
      </c>
      <c r="L11" s="1">
        <f t="shared" si="1"/>
        <v>0</v>
      </c>
      <c r="M11" s="2">
        <f t="shared" si="2"/>
        <v>-3.657557311230164E-2</v>
      </c>
      <c r="N11" s="2">
        <f t="shared" si="3"/>
        <v>-2.4096712374301887E-2</v>
      </c>
    </row>
    <row r="12" spans="1:14" x14ac:dyDescent="0.55000000000000004">
      <c r="A12" s="3" t="s">
        <v>19</v>
      </c>
      <c r="B12" s="5">
        <v>28693</v>
      </c>
      <c r="C12" s="5">
        <v>25914</v>
      </c>
      <c r="D12" s="5">
        <v>54607</v>
      </c>
      <c r="E12" s="5">
        <v>23147</v>
      </c>
      <c r="F12" s="5">
        <v>22165</v>
      </c>
      <c r="G12" s="5">
        <v>45312</v>
      </c>
      <c r="H12" s="6">
        <v>110.7</v>
      </c>
      <c r="I12" s="6">
        <v>120.5</v>
      </c>
      <c r="K12" s="1">
        <f t="shared" si="0"/>
        <v>0</v>
      </c>
      <c r="L12" s="1">
        <f t="shared" si="1"/>
        <v>0</v>
      </c>
      <c r="M12" s="2">
        <f t="shared" si="2"/>
        <v>2.3933009184219145E-2</v>
      </c>
      <c r="N12" s="2">
        <f t="shared" si="3"/>
        <v>1.3329802259889334E-2</v>
      </c>
    </row>
    <row r="13" spans="1:14" x14ac:dyDescent="0.55000000000000004">
      <c r="A13" s="3" t="s">
        <v>20</v>
      </c>
      <c r="B13" s="5">
        <v>43609</v>
      </c>
      <c r="C13" s="5">
        <v>41550</v>
      </c>
      <c r="D13" s="5">
        <v>85159</v>
      </c>
      <c r="E13" s="5">
        <v>28941</v>
      </c>
      <c r="F13" s="5">
        <v>27014</v>
      </c>
      <c r="G13" s="5">
        <v>55955</v>
      </c>
      <c r="H13" s="6">
        <v>105</v>
      </c>
      <c r="I13" s="6">
        <v>152.19999999999999</v>
      </c>
      <c r="K13" s="1">
        <f t="shared" si="0"/>
        <v>0</v>
      </c>
      <c r="L13" s="1">
        <f t="shared" si="1"/>
        <v>0</v>
      </c>
      <c r="M13" s="2">
        <f t="shared" si="2"/>
        <v>-4.4524669073410905E-2</v>
      </c>
      <c r="N13" s="2">
        <f t="shared" si="3"/>
        <v>-8.0600482530428508E-3</v>
      </c>
    </row>
    <row r="14" spans="1:14" x14ac:dyDescent="0.55000000000000004">
      <c r="A14" s="3" t="s">
        <v>21</v>
      </c>
      <c r="B14" s="5">
        <v>47614</v>
      </c>
      <c r="C14" s="5">
        <v>45102</v>
      </c>
      <c r="D14" s="5">
        <v>92716</v>
      </c>
      <c r="E14" s="5">
        <v>33897</v>
      </c>
      <c r="F14" s="5">
        <v>30753</v>
      </c>
      <c r="G14" s="5">
        <v>64650</v>
      </c>
      <c r="H14" s="6">
        <v>105.6</v>
      </c>
      <c r="I14" s="6">
        <v>130.69999999999999</v>
      </c>
      <c r="K14" s="1">
        <f t="shared" si="0"/>
        <v>0</v>
      </c>
      <c r="L14" s="1">
        <f t="shared" si="1"/>
        <v>0</v>
      </c>
      <c r="M14" s="2">
        <f t="shared" si="2"/>
        <v>-3.0402199458990253E-2</v>
      </c>
      <c r="N14" s="2">
        <f t="shared" si="3"/>
        <v>12.712219644238218</v>
      </c>
    </row>
    <row r="15" spans="1:14" x14ac:dyDescent="0.55000000000000004">
      <c r="A15" s="3" t="s">
        <v>22</v>
      </c>
      <c r="B15" s="5">
        <v>49430</v>
      </c>
      <c r="C15" s="5">
        <v>47369</v>
      </c>
      <c r="D15" s="5">
        <v>96799</v>
      </c>
      <c r="E15" s="5">
        <v>38395</v>
      </c>
      <c r="F15" s="5">
        <v>36502</v>
      </c>
      <c r="G15" s="5">
        <v>74897</v>
      </c>
      <c r="H15" s="6">
        <v>104.3</v>
      </c>
      <c r="I15" s="6">
        <v>129.19999999999999</v>
      </c>
      <c r="K15" s="1">
        <f t="shared" si="0"/>
        <v>0</v>
      </c>
      <c r="L15" s="1">
        <f t="shared" si="1"/>
        <v>0</v>
      </c>
      <c r="M15" s="2">
        <f t="shared" si="2"/>
        <v>5.0946821761073124E-2</v>
      </c>
      <c r="N15" s="2">
        <f t="shared" si="3"/>
        <v>4.2826815493299364E-2</v>
      </c>
    </row>
    <row r="16" spans="1:14" x14ac:dyDescent="0.55000000000000004">
      <c r="A16" s="3" t="s">
        <v>23</v>
      </c>
      <c r="B16" s="5">
        <v>27451</v>
      </c>
      <c r="C16" s="5">
        <v>26028</v>
      </c>
      <c r="D16" s="5">
        <v>53479</v>
      </c>
      <c r="E16" s="5">
        <v>23289</v>
      </c>
      <c r="F16" s="5">
        <v>21919</v>
      </c>
      <c r="G16" s="5">
        <v>45208</v>
      </c>
      <c r="H16" s="6">
        <v>105.5</v>
      </c>
      <c r="I16" s="6">
        <v>118.3</v>
      </c>
      <c r="K16" s="1">
        <f t="shared" si="0"/>
        <v>0</v>
      </c>
      <c r="L16" s="1">
        <f t="shared" si="1"/>
        <v>0</v>
      </c>
      <c r="M16" s="2">
        <f t="shared" si="2"/>
        <v>-3.2810819117855772E-2</v>
      </c>
      <c r="N16" s="2">
        <f t="shared" si="3"/>
        <v>-4.5655636170494063E-3</v>
      </c>
    </row>
    <row r="17" spans="1:14" x14ac:dyDescent="0.55000000000000004">
      <c r="A17" s="3" t="s">
        <v>24</v>
      </c>
      <c r="B17" s="5">
        <v>77974</v>
      </c>
      <c r="C17" s="5">
        <v>73412</v>
      </c>
      <c r="D17" s="5">
        <v>151386</v>
      </c>
      <c r="E17" s="5">
        <v>57773</v>
      </c>
      <c r="F17" s="5">
        <v>53256</v>
      </c>
      <c r="G17" s="5">
        <v>111029</v>
      </c>
      <c r="H17" s="6">
        <v>106.2</v>
      </c>
      <c r="I17" s="6">
        <v>136.30000000000001</v>
      </c>
      <c r="K17" s="1">
        <f t="shared" si="0"/>
        <v>0</v>
      </c>
      <c r="L17" s="1">
        <f t="shared" si="1"/>
        <v>0</v>
      </c>
      <c r="M17" s="2">
        <f t="shared" si="2"/>
        <v>1.4242903067625434E-2</v>
      </c>
      <c r="N17" s="2">
        <f t="shared" si="3"/>
        <v>4.8161291194190881E-2</v>
      </c>
    </row>
    <row r="18" spans="1:14" x14ac:dyDescent="0.55000000000000004">
      <c r="A18" s="3" t="s">
        <v>25</v>
      </c>
      <c r="B18" s="5">
        <v>25399</v>
      </c>
      <c r="C18" s="5">
        <v>23606</v>
      </c>
      <c r="D18" s="5">
        <v>49005</v>
      </c>
      <c r="E18" s="5">
        <v>20622</v>
      </c>
      <c r="F18" s="5">
        <v>19675</v>
      </c>
      <c r="G18" s="5">
        <v>40297</v>
      </c>
      <c r="H18" s="6">
        <v>107.6</v>
      </c>
      <c r="I18" s="6">
        <v>121.6</v>
      </c>
      <c r="K18" s="1">
        <f t="shared" si="0"/>
        <v>0</v>
      </c>
      <c r="L18" s="1">
        <f t="shared" si="1"/>
        <v>0</v>
      </c>
      <c r="M18" s="2">
        <f t="shared" si="2"/>
        <v>-4.4734389561824628E-3</v>
      </c>
      <c r="N18" s="2">
        <f t="shared" si="3"/>
        <v>9.5490979477546034E-3</v>
      </c>
    </row>
    <row r="19" spans="1:14" x14ac:dyDescent="0.55000000000000004">
      <c r="A19" s="3" t="s">
        <v>26</v>
      </c>
      <c r="B19" s="5">
        <v>30847</v>
      </c>
      <c r="C19" s="5">
        <v>29635</v>
      </c>
      <c r="D19" s="5">
        <v>60482</v>
      </c>
      <c r="E19" s="5">
        <v>24195</v>
      </c>
      <c r="F19" s="5">
        <v>23556</v>
      </c>
      <c r="G19" s="5">
        <v>47751</v>
      </c>
      <c r="H19" s="6">
        <v>104.1</v>
      </c>
      <c r="I19" s="6">
        <v>126.7</v>
      </c>
      <c r="K19" s="1">
        <f t="shared" si="0"/>
        <v>0</v>
      </c>
      <c r="L19" s="1">
        <f t="shared" si="1"/>
        <v>0</v>
      </c>
      <c r="M19" s="2">
        <f t="shared" si="2"/>
        <v>-1.0241268770030842E-2</v>
      </c>
      <c r="N19" s="2">
        <f t="shared" si="3"/>
        <v>-3.8778245481765339E-2</v>
      </c>
    </row>
    <row r="20" spans="1:14" x14ac:dyDescent="0.55000000000000004">
      <c r="A20" s="3" t="s">
        <v>27</v>
      </c>
      <c r="B20" s="5">
        <v>9752</v>
      </c>
      <c r="C20" s="5">
        <v>8901</v>
      </c>
      <c r="D20" s="5">
        <v>18653</v>
      </c>
      <c r="E20" s="5">
        <v>7057</v>
      </c>
      <c r="F20" s="5">
        <v>6427</v>
      </c>
      <c r="G20" s="5">
        <v>13484</v>
      </c>
      <c r="H20" s="6">
        <v>109.6</v>
      </c>
      <c r="I20" s="6">
        <v>138.30000000000001</v>
      </c>
      <c r="K20" s="1">
        <f t="shared" si="0"/>
        <v>0</v>
      </c>
      <c r="L20" s="1">
        <f t="shared" si="1"/>
        <v>0</v>
      </c>
      <c r="M20" s="2">
        <f t="shared" si="2"/>
        <v>-3.9276485788107607E-2</v>
      </c>
      <c r="N20" s="2">
        <f t="shared" si="3"/>
        <v>3.4322159596541724E-2</v>
      </c>
    </row>
    <row r="21" spans="1:14" x14ac:dyDescent="0.55000000000000004">
      <c r="A21" s="3" t="s">
        <v>28</v>
      </c>
      <c r="B21" s="5">
        <v>60697</v>
      </c>
      <c r="C21" s="5">
        <v>56910</v>
      </c>
      <c r="D21" s="5">
        <v>117607</v>
      </c>
      <c r="E21" s="5">
        <v>57930</v>
      </c>
      <c r="F21" s="5">
        <v>54255</v>
      </c>
      <c r="G21" s="5">
        <v>112185</v>
      </c>
      <c r="H21" s="6">
        <v>106.7</v>
      </c>
      <c r="I21" s="6">
        <v>104.8</v>
      </c>
      <c r="K21" s="1">
        <f t="shared" si="0"/>
        <v>0</v>
      </c>
      <c r="L21" s="1">
        <f t="shared" si="1"/>
        <v>0</v>
      </c>
      <c r="M21" s="2">
        <f t="shared" si="2"/>
        <v>-4.5633456334556399E-2</v>
      </c>
      <c r="N21" s="2">
        <f t="shared" si="3"/>
        <v>3.3088202522620236E-2</v>
      </c>
    </row>
    <row r="22" spans="1:14" x14ac:dyDescent="0.55000000000000004">
      <c r="A22" s="3" t="s">
        <v>29</v>
      </c>
      <c r="B22" s="5">
        <v>19615</v>
      </c>
      <c r="C22" s="5">
        <v>18308</v>
      </c>
      <c r="D22" s="5">
        <v>37923</v>
      </c>
      <c r="E22" s="5">
        <v>14044</v>
      </c>
      <c r="F22" s="5">
        <v>13421</v>
      </c>
      <c r="G22" s="5">
        <v>27465</v>
      </c>
      <c r="H22" s="6">
        <v>107.1</v>
      </c>
      <c r="I22" s="6">
        <v>138.1</v>
      </c>
      <c r="K22" s="1">
        <f t="shared" si="0"/>
        <v>0</v>
      </c>
      <c r="L22" s="1">
        <f t="shared" si="1"/>
        <v>0</v>
      </c>
      <c r="M22" s="2">
        <f t="shared" si="2"/>
        <v>3.8955647804257865E-2</v>
      </c>
      <c r="N22" s="2">
        <f t="shared" si="3"/>
        <v>-2.2446750409613969E-2</v>
      </c>
    </row>
    <row r="23" spans="1:14" x14ac:dyDescent="0.55000000000000004">
      <c r="A23" s="3" t="s">
        <v>30</v>
      </c>
      <c r="B23" s="5">
        <v>37959</v>
      </c>
      <c r="C23" s="5">
        <v>34692</v>
      </c>
      <c r="D23" s="5">
        <v>72651</v>
      </c>
      <c r="E23" s="5">
        <v>24385</v>
      </c>
      <c r="F23" s="5">
        <v>22443</v>
      </c>
      <c r="G23" s="5">
        <v>46828</v>
      </c>
      <c r="H23" s="6">
        <v>109.4</v>
      </c>
      <c r="I23" s="6">
        <v>155.1</v>
      </c>
      <c r="K23" s="1">
        <f t="shared" si="0"/>
        <v>0</v>
      </c>
      <c r="L23" s="1">
        <f t="shared" si="1"/>
        <v>0</v>
      </c>
      <c r="M23" s="2">
        <f t="shared" si="2"/>
        <v>1.7156693185739869E-2</v>
      </c>
      <c r="N23" s="2">
        <f t="shared" si="3"/>
        <v>4.4358076364574117E-2</v>
      </c>
    </row>
    <row r="24" spans="1:14" x14ac:dyDescent="0.55000000000000004">
      <c r="A24" s="3" t="s">
        <v>31</v>
      </c>
      <c r="B24" s="5">
        <v>30870</v>
      </c>
      <c r="C24" s="5">
        <v>28976</v>
      </c>
      <c r="D24" s="5">
        <v>59846</v>
      </c>
      <c r="E24" s="5">
        <v>17698</v>
      </c>
      <c r="F24" s="5">
        <v>16541</v>
      </c>
      <c r="G24" s="5">
        <v>34239</v>
      </c>
      <c r="H24" s="6">
        <v>106.5</v>
      </c>
      <c r="I24" s="6">
        <v>174.8</v>
      </c>
      <c r="K24" s="1">
        <f t="shared" si="0"/>
        <v>0</v>
      </c>
      <c r="L24" s="1">
        <f t="shared" si="1"/>
        <v>0</v>
      </c>
      <c r="M24" s="2">
        <f t="shared" si="2"/>
        <v>3.644395361678221E-2</v>
      </c>
      <c r="N24" s="2">
        <f t="shared" si="3"/>
        <v>-1.1016676888942811E-2</v>
      </c>
    </row>
    <row r="25" spans="1:14" x14ac:dyDescent="0.55000000000000004">
      <c r="A25" s="3" t="s">
        <v>32</v>
      </c>
      <c r="B25" s="5">
        <v>48733</v>
      </c>
      <c r="C25" s="5">
        <v>46185</v>
      </c>
      <c r="D25" s="5">
        <v>94918</v>
      </c>
      <c r="E25" s="5">
        <v>52187</v>
      </c>
      <c r="F25" s="5">
        <v>46936</v>
      </c>
      <c r="G25" s="5">
        <v>99123</v>
      </c>
      <c r="H25" s="6">
        <v>105.5</v>
      </c>
      <c r="I25" s="6">
        <v>95.8</v>
      </c>
      <c r="K25" s="1">
        <f t="shared" si="0"/>
        <v>0</v>
      </c>
      <c r="L25" s="1">
        <f t="shared" si="1"/>
        <v>0</v>
      </c>
      <c r="M25" s="2">
        <f t="shared" si="2"/>
        <v>1.6942730323705746E-2</v>
      </c>
      <c r="N25" s="2">
        <f t="shared" si="3"/>
        <v>-4.2204130222046388E-2</v>
      </c>
    </row>
    <row r="26" spans="1:14" x14ac:dyDescent="0.55000000000000004">
      <c r="A26" s="3" t="s">
        <v>33</v>
      </c>
      <c r="B26" s="5">
        <v>42104</v>
      </c>
      <c r="C26" s="5">
        <v>39992</v>
      </c>
      <c r="D26" s="5">
        <v>82096</v>
      </c>
      <c r="E26" s="5">
        <v>33597</v>
      </c>
      <c r="F26" s="5">
        <v>32579</v>
      </c>
      <c r="G26" s="5">
        <v>66176</v>
      </c>
      <c r="H26" s="6">
        <v>105.3</v>
      </c>
      <c r="I26" s="6">
        <v>124.1</v>
      </c>
      <c r="K26" s="1">
        <f t="shared" si="0"/>
        <v>0</v>
      </c>
      <c r="L26" s="1">
        <f t="shared" si="1"/>
        <v>0</v>
      </c>
      <c r="M26" s="2">
        <f t="shared" si="2"/>
        <v>-1.89437887577526E-2</v>
      </c>
      <c r="N26" s="2">
        <f t="shared" si="3"/>
        <v>-4.2940038684704973E-2</v>
      </c>
    </row>
    <row r="27" spans="1:14" x14ac:dyDescent="0.55000000000000004">
      <c r="A27" s="3" t="s">
        <v>34</v>
      </c>
      <c r="B27" s="5">
        <v>24498</v>
      </c>
      <c r="C27" s="5">
        <v>23525</v>
      </c>
      <c r="D27" s="5">
        <v>48023</v>
      </c>
      <c r="E27" s="5">
        <v>20521</v>
      </c>
      <c r="F27" s="5">
        <v>19217</v>
      </c>
      <c r="G27" s="5">
        <v>39738</v>
      </c>
      <c r="H27" s="6">
        <v>104.1</v>
      </c>
      <c r="I27" s="6">
        <v>120.9</v>
      </c>
      <c r="K27" s="1">
        <f t="shared" si="0"/>
        <v>0</v>
      </c>
      <c r="L27" s="1">
        <f t="shared" si="1"/>
        <v>0</v>
      </c>
      <c r="M27" s="2">
        <f t="shared" si="2"/>
        <v>3.602550478214539E-2</v>
      </c>
      <c r="N27" s="2">
        <f t="shared" si="3"/>
        <v>-5.0938648145361753E-2</v>
      </c>
    </row>
    <row r="28" spans="1:14" x14ac:dyDescent="0.55000000000000004">
      <c r="A28" s="3" t="s">
        <v>35</v>
      </c>
      <c r="B28" s="5">
        <v>7988</v>
      </c>
      <c r="C28" s="5">
        <v>7637</v>
      </c>
      <c r="D28" s="5">
        <v>15625</v>
      </c>
      <c r="E28" s="5">
        <v>6548</v>
      </c>
      <c r="F28" s="5">
        <v>5986</v>
      </c>
      <c r="G28" s="5">
        <v>12534</v>
      </c>
      <c r="H28" s="6">
        <v>104.6</v>
      </c>
      <c r="I28" s="6">
        <v>124.6</v>
      </c>
      <c r="K28" s="1">
        <f t="shared" si="0"/>
        <v>0</v>
      </c>
      <c r="L28" s="1">
        <f t="shared" si="1"/>
        <v>0</v>
      </c>
      <c r="M28" s="2">
        <f t="shared" si="2"/>
        <v>-3.9544323687294991E-3</v>
      </c>
      <c r="N28" s="2">
        <f t="shared" si="3"/>
        <v>6.0922291367475623E-2</v>
      </c>
    </row>
    <row r="29" spans="1:14" x14ac:dyDescent="0.55000000000000004">
      <c r="A29" s="3" t="s">
        <v>36</v>
      </c>
      <c r="B29" s="5">
        <v>39477</v>
      </c>
      <c r="C29" s="5">
        <v>37368</v>
      </c>
      <c r="D29" s="5">
        <v>76845</v>
      </c>
      <c r="E29" s="5">
        <v>30603</v>
      </c>
      <c r="F29" s="5">
        <v>28632</v>
      </c>
      <c r="G29" s="5">
        <v>59235</v>
      </c>
      <c r="H29" s="6">
        <v>105.6</v>
      </c>
      <c r="I29" s="6">
        <v>129.69999999999999</v>
      </c>
      <c r="K29" s="1">
        <f t="shared" si="0"/>
        <v>0</v>
      </c>
      <c r="L29" s="1">
        <f t="shared" si="1"/>
        <v>0</v>
      </c>
      <c r="M29" s="2">
        <f t="shared" si="2"/>
        <v>4.3866409762358671E-2</v>
      </c>
      <c r="N29" s="2">
        <f t="shared" si="3"/>
        <v>2.904532793112935E-2</v>
      </c>
    </row>
    <row r="30" spans="1:14" x14ac:dyDescent="0.55000000000000004">
      <c r="A30" s="3" t="s">
        <v>37</v>
      </c>
      <c r="B30" s="5">
        <v>51484</v>
      </c>
      <c r="C30" s="5">
        <v>49509</v>
      </c>
      <c r="D30" s="5">
        <v>100993</v>
      </c>
      <c r="E30" s="5">
        <v>45307</v>
      </c>
      <c r="F30" s="5">
        <v>42773</v>
      </c>
      <c r="G30" s="5">
        <v>88080</v>
      </c>
      <c r="H30" s="6">
        <v>103.8</v>
      </c>
      <c r="I30" s="6">
        <v>114.7</v>
      </c>
      <c r="K30" s="1">
        <f t="shared" si="0"/>
        <v>0</v>
      </c>
      <c r="L30" s="1">
        <f t="shared" si="1"/>
        <v>0</v>
      </c>
      <c r="M30" s="2">
        <f t="shared" si="2"/>
        <v>0.18917368559253589</v>
      </c>
      <c r="N30" s="2">
        <f t="shared" si="3"/>
        <v>-3.9464123524069805E-2</v>
      </c>
    </row>
    <row r="31" spans="1:14" x14ac:dyDescent="0.55000000000000004">
      <c r="A31" s="3" t="s">
        <v>38</v>
      </c>
      <c r="B31" s="5">
        <v>40665</v>
      </c>
      <c r="C31" s="5">
        <v>38799</v>
      </c>
      <c r="D31" s="5">
        <v>79464</v>
      </c>
      <c r="E31" s="5">
        <v>33121</v>
      </c>
      <c r="F31" s="5">
        <v>31382</v>
      </c>
      <c r="G31" s="5">
        <v>64503</v>
      </c>
      <c r="H31" s="6">
        <v>104.8</v>
      </c>
      <c r="I31" s="6">
        <v>123.2</v>
      </c>
      <c r="K31" s="1">
        <f t="shared" si="0"/>
        <v>0</v>
      </c>
      <c r="L31" s="1">
        <f t="shared" si="1"/>
        <v>0</v>
      </c>
      <c r="M31" s="2">
        <f t="shared" si="2"/>
        <v>9.4023041830979537E-3</v>
      </c>
      <c r="N31" s="2">
        <f t="shared" si="3"/>
        <v>-5.7299660480936154E-3</v>
      </c>
    </row>
    <row r="32" spans="1:14" x14ac:dyDescent="0.55000000000000004">
      <c r="A32" s="3" t="s">
        <v>39</v>
      </c>
      <c r="B32" s="5">
        <v>76016</v>
      </c>
      <c r="C32" s="5">
        <v>72517</v>
      </c>
      <c r="D32" s="5">
        <v>148533</v>
      </c>
      <c r="E32" s="5">
        <v>58427</v>
      </c>
      <c r="F32" s="5">
        <v>54650</v>
      </c>
      <c r="G32" s="5">
        <v>113077</v>
      </c>
      <c r="H32" s="6">
        <v>104.8</v>
      </c>
      <c r="I32" s="6">
        <v>131.4</v>
      </c>
      <c r="K32" s="1">
        <f t="shared" si="0"/>
        <v>0</v>
      </c>
      <c r="L32" s="1">
        <f t="shared" si="1"/>
        <v>0</v>
      </c>
      <c r="M32" s="2">
        <f t="shared" si="2"/>
        <v>2.5075499538033341E-2</v>
      </c>
      <c r="N32" s="2">
        <f t="shared" si="3"/>
        <v>-4.4375071853721693E-2</v>
      </c>
    </row>
    <row r="33" spans="1:14" x14ac:dyDescent="0.55000000000000004">
      <c r="A33" s="3" t="s">
        <v>40</v>
      </c>
      <c r="B33" s="5">
        <v>60336</v>
      </c>
      <c r="C33" s="5">
        <v>56516</v>
      </c>
      <c r="D33" s="5">
        <v>116852</v>
      </c>
      <c r="E33" s="5">
        <v>43424</v>
      </c>
      <c r="F33" s="5">
        <v>40351</v>
      </c>
      <c r="G33" s="5">
        <v>83775</v>
      </c>
      <c r="H33" s="6">
        <v>106.8</v>
      </c>
      <c r="I33" s="6">
        <v>139.5</v>
      </c>
      <c r="K33" s="1">
        <f t="shared" si="0"/>
        <v>0</v>
      </c>
      <c r="L33" s="1">
        <f t="shared" si="1"/>
        <v>0</v>
      </c>
      <c r="M33" s="2">
        <f t="shared" si="2"/>
        <v>-4.0852148064260518E-2</v>
      </c>
      <c r="N33" s="2">
        <f t="shared" si="3"/>
        <v>-1.6860638615355583E-2</v>
      </c>
    </row>
    <row r="34" spans="1:14" x14ac:dyDescent="0.55000000000000004">
      <c r="A34" s="3" t="s">
        <v>41</v>
      </c>
      <c r="B34" s="5">
        <v>64075</v>
      </c>
      <c r="C34" s="5">
        <v>62252</v>
      </c>
      <c r="D34" s="5">
        <v>126327</v>
      </c>
      <c r="E34" s="5">
        <v>45705</v>
      </c>
      <c r="F34" s="5">
        <v>43252</v>
      </c>
      <c r="G34" s="5">
        <v>88957</v>
      </c>
      <c r="H34" s="6">
        <v>102.9</v>
      </c>
      <c r="I34" s="6">
        <v>142</v>
      </c>
      <c r="K34" s="1">
        <f t="shared" si="0"/>
        <v>0</v>
      </c>
      <c r="L34" s="1">
        <f t="shared" si="1"/>
        <v>0</v>
      </c>
      <c r="M34" s="2">
        <f t="shared" si="2"/>
        <v>2.8419970442698173E-2</v>
      </c>
      <c r="N34" s="2">
        <f t="shared" si="3"/>
        <v>9.0605573479081158E-3</v>
      </c>
    </row>
    <row r="35" spans="1:14" x14ac:dyDescent="0.55000000000000004">
      <c r="A35" s="3" t="s">
        <v>42</v>
      </c>
      <c r="B35" s="5">
        <v>22124</v>
      </c>
      <c r="C35" s="5">
        <v>21305</v>
      </c>
      <c r="D35" s="5">
        <v>43429</v>
      </c>
      <c r="E35" s="5">
        <v>17703</v>
      </c>
      <c r="F35" s="5">
        <v>16919</v>
      </c>
      <c r="G35" s="5">
        <v>34622</v>
      </c>
      <c r="H35" s="6">
        <v>103.8</v>
      </c>
      <c r="I35" s="6">
        <v>125.4</v>
      </c>
      <c r="K35" s="1">
        <f t="shared" si="0"/>
        <v>0</v>
      </c>
      <c r="L35" s="1">
        <f t="shared" si="1"/>
        <v>0</v>
      </c>
      <c r="M35" s="2">
        <f t="shared" si="2"/>
        <v>4.4168035672385031E-2</v>
      </c>
      <c r="N35" s="2">
        <f t="shared" si="3"/>
        <v>3.7583039685742392E-2</v>
      </c>
    </row>
    <row r="36" spans="1:14" x14ac:dyDescent="0.55000000000000004">
      <c r="A36" s="3" t="s">
        <v>43</v>
      </c>
      <c r="B36" s="5">
        <v>45130</v>
      </c>
      <c r="C36" s="5">
        <v>43124</v>
      </c>
      <c r="D36" s="5">
        <v>88254</v>
      </c>
      <c r="E36" s="5">
        <v>34799</v>
      </c>
      <c r="F36" s="5">
        <v>32570</v>
      </c>
      <c r="G36" s="5">
        <v>67369</v>
      </c>
      <c r="H36" s="6">
        <v>104.7</v>
      </c>
      <c r="I36" s="6">
        <v>131</v>
      </c>
      <c r="K36" s="1">
        <f t="shared" si="0"/>
        <v>0</v>
      </c>
      <c r="L36" s="1">
        <f t="shared" si="1"/>
        <v>0</v>
      </c>
      <c r="M36" s="2">
        <f t="shared" si="2"/>
        <v>-4.8297931546244399E-2</v>
      </c>
      <c r="N36" s="2">
        <f t="shared" si="3"/>
        <v>9.0546096870980364E-4</v>
      </c>
    </row>
    <row r="37" spans="1:14" x14ac:dyDescent="0.55000000000000004">
      <c r="A37" s="3" t="s">
        <v>44</v>
      </c>
      <c r="B37" s="5">
        <v>71419</v>
      </c>
      <c r="C37" s="5">
        <v>67974</v>
      </c>
      <c r="D37" s="5">
        <v>139393</v>
      </c>
      <c r="E37" s="5">
        <v>53663</v>
      </c>
      <c r="F37" s="5">
        <v>49515</v>
      </c>
      <c r="G37" s="5">
        <v>103178</v>
      </c>
      <c r="H37" s="6">
        <v>105.1</v>
      </c>
      <c r="I37" s="6">
        <v>135.1</v>
      </c>
      <c r="K37" s="1">
        <f t="shared" si="0"/>
        <v>0</v>
      </c>
      <c r="L37" s="1">
        <f t="shared" si="1"/>
        <v>0</v>
      </c>
      <c r="M37" s="2">
        <f t="shared" si="2"/>
        <v>-3.188572101096554E-2</v>
      </c>
      <c r="N37" s="2">
        <f t="shared" si="3"/>
        <v>-4.6327705518933726E-4</v>
      </c>
    </row>
    <row r="38" spans="1:14" x14ac:dyDescent="0.55000000000000004">
      <c r="A38" s="3" t="s">
        <v>45</v>
      </c>
      <c r="B38" s="5">
        <v>29678</v>
      </c>
      <c r="C38" s="5">
        <v>28038</v>
      </c>
      <c r="D38" s="5">
        <v>57716</v>
      </c>
      <c r="E38" s="5">
        <v>35768</v>
      </c>
      <c r="F38" s="5">
        <v>28973</v>
      </c>
      <c r="G38" s="5">
        <v>64741</v>
      </c>
      <c r="H38" s="6">
        <v>105.8</v>
      </c>
      <c r="I38" s="6">
        <v>89.1</v>
      </c>
      <c r="K38" s="1">
        <f t="shared" si="0"/>
        <v>0</v>
      </c>
      <c r="L38" s="1">
        <f t="shared" si="1"/>
        <v>0</v>
      </c>
      <c r="M38" s="2">
        <f t="shared" si="2"/>
        <v>4.9204650831015329E-2</v>
      </c>
      <c r="N38" s="2">
        <f t="shared" si="3"/>
        <v>4.9070913331590305E-2</v>
      </c>
    </row>
    <row r="39" spans="1:14" x14ac:dyDescent="0.55000000000000004">
      <c r="A39" s="3" t="s">
        <v>46</v>
      </c>
      <c r="B39" s="5">
        <v>57268</v>
      </c>
      <c r="C39" s="5">
        <v>54032</v>
      </c>
      <c r="D39" s="5">
        <v>111300</v>
      </c>
      <c r="E39" s="5">
        <v>46762</v>
      </c>
      <c r="F39" s="5">
        <v>43795</v>
      </c>
      <c r="G39" s="5">
        <v>90557</v>
      </c>
      <c r="H39" s="6">
        <v>106</v>
      </c>
      <c r="I39" s="6">
        <v>122.9</v>
      </c>
      <c r="K39" s="1">
        <f t="shared" si="0"/>
        <v>0</v>
      </c>
      <c r="L39" s="1">
        <f t="shared" si="1"/>
        <v>0</v>
      </c>
      <c r="M39" s="2">
        <f t="shared" si="2"/>
        <v>-1.0956470239847249E-2</v>
      </c>
      <c r="N39" s="2">
        <f t="shared" si="3"/>
        <v>6.0149960798270286E-3</v>
      </c>
    </row>
    <row r="40" spans="1:14" x14ac:dyDescent="0.55000000000000004">
      <c r="A40" s="3" t="s">
        <v>47</v>
      </c>
      <c r="B40" s="5">
        <v>36851</v>
      </c>
      <c r="C40" s="5">
        <v>35662</v>
      </c>
      <c r="D40" s="5">
        <v>72513</v>
      </c>
      <c r="E40" s="5">
        <v>31390</v>
      </c>
      <c r="F40" s="5">
        <v>30256</v>
      </c>
      <c r="G40" s="5">
        <v>61646</v>
      </c>
      <c r="H40" s="6">
        <v>103.3</v>
      </c>
      <c r="I40" s="6">
        <v>117.6</v>
      </c>
      <c r="K40" s="1">
        <f t="shared" si="0"/>
        <v>0</v>
      </c>
      <c r="L40" s="1">
        <f t="shared" si="1"/>
        <v>0</v>
      </c>
      <c r="M40" s="2">
        <f t="shared" si="2"/>
        <v>3.4081094722665739E-2</v>
      </c>
      <c r="N40" s="2">
        <f t="shared" si="3"/>
        <v>2.8069947766297787E-2</v>
      </c>
    </row>
    <row r="41" spans="1:14" x14ac:dyDescent="0.55000000000000004">
      <c r="A41" s="3" t="s">
        <v>48</v>
      </c>
      <c r="B41" s="5">
        <v>35201</v>
      </c>
      <c r="C41" s="5">
        <v>33792</v>
      </c>
      <c r="D41" s="5">
        <v>68993</v>
      </c>
      <c r="E41" s="5">
        <v>27999</v>
      </c>
      <c r="F41" s="5">
        <v>26256</v>
      </c>
      <c r="G41" s="5">
        <v>54255</v>
      </c>
      <c r="H41" s="6">
        <v>104.2</v>
      </c>
      <c r="I41" s="6">
        <v>127.2</v>
      </c>
      <c r="K41" s="1">
        <f t="shared" si="0"/>
        <v>0</v>
      </c>
      <c r="L41" s="1">
        <f t="shared" si="1"/>
        <v>0</v>
      </c>
      <c r="M41" s="2">
        <f t="shared" si="2"/>
        <v>-3.0374053030300274E-2</v>
      </c>
      <c r="N41" s="2">
        <f t="shared" si="3"/>
        <v>-3.5683347156961531E-2</v>
      </c>
    </row>
    <row r="42" spans="1:14" x14ac:dyDescent="0.55000000000000004">
      <c r="A42" s="3" t="s">
        <v>49</v>
      </c>
      <c r="B42" s="5">
        <v>25722</v>
      </c>
      <c r="C42" s="5">
        <v>24249</v>
      </c>
      <c r="D42" s="5">
        <v>49971</v>
      </c>
      <c r="E42" s="5">
        <v>17675</v>
      </c>
      <c r="F42" s="5">
        <v>16110</v>
      </c>
      <c r="G42" s="5">
        <v>33785</v>
      </c>
      <c r="H42" s="6">
        <v>106.4</v>
      </c>
      <c r="I42" s="6">
        <v>147.9</v>
      </c>
      <c r="K42" s="1">
        <f t="shared" si="0"/>
        <v>0</v>
      </c>
      <c r="L42" s="1">
        <f t="shared" si="1"/>
        <v>0</v>
      </c>
      <c r="M42" s="2">
        <f t="shared" si="2"/>
        <v>-0.32552270196710253</v>
      </c>
      <c r="N42" s="2">
        <f t="shared" si="3"/>
        <v>8.8352819298336271E-3</v>
      </c>
    </row>
    <row r="43" spans="1:14" x14ac:dyDescent="0.55000000000000004">
      <c r="A43" s="3" t="s">
        <v>50</v>
      </c>
      <c r="B43" s="5">
        <v>64480</v>
      </c>
      <c r="C43" s="5">
        <v>61686</v>
      </c>
      <c r="D43" s="5">
        <v>126166</v>
      </c>
      <c r="E43" s="5">
        <v>52782</v>
      </c>
      <c r="F43" s="5">
        <v>49598</v>
      </c>
      <c r="G43" s="5">
        <v>102380</v>
      </c>
      <c r="H43" s="6">
        <v>104.5</v>
      </c>
      <c r="I43" s="6">
        <v>123.2</v>
      </c>
      <c r="K43" s="1">
        <f t="shared" si="0"/>
        <v>0</v>
      </c>
      <c r="L43" s="1">
        <f t="shared" si="1"/>
        <v>0</v>
      </c>
      <c r="M43" s="2">
        <f t="shared" si="2"/>
        <v>2.9390785591530744E-2</v>
      </c>
      <c r="N43" s="2">
        <f t="shared" si="3"/>
        <v>3.3053330728648689E-2</v>
      </c>
    </row>
    <row r="44" spans="1:14" x14ac:dyDescent="0.55000000000000004">
      <c r="A44" s="3" t="s">
        <v>51</v>
      </c>
      <c r="B44" s="5">
        <v>40706</v>
      </c>
      <c r="C44" s="5">
        <v>38793</v>
      </c>
      <c r="D44" s="5">
        <v>79499</v>
      </c>
      <c r="E44" s="5">
        <v>33124</v>
      </c>
      <c r="F44" s="5">
        <v>31186</v>
      </c>
      <c r="G44" s="5">
        <v>64310</v>
      </c>
      <c r="H44" s="6">
        <v>104.9</v>
      </c>
      <c r="I44" s="6">
        <v>123.6</v>
      </c>
      <c r="K44" s="1">
        <f t="shared" si="0"/>
        <v>0</v>
      </c>
      <c r="L44" s="1">
        <f t="shared" si="1"/>
        <v>0</v>
      </c>
      <c r="M44" s="2">
        <f t="shared" si="2"/>
        <v>3.1302039027650608E-2</v>
      </c>
      <c r="N44" s="2">
        <f t="shared" si="3"/>
        <v>1.841082257814719E-2</v>
      </c>
    </row>
    <row r="45" spans="1:14" x14ac:dyDescent="0.55000000000000004">
      <c r="A45" s="3" t="s">
        <v>52</v>
      </c>
      <c r="B45" s="5">
        <v>37370</v>
      </c>
      <c r="C45" s="5">
        <v>35163</v>
      </c>
      <c r="D45" s="5">
        <v>72533</v>
      </c>
      <c r="E45" s="5">
        <v>32756</v>
      </c>
      <c r="F45" s="5">
        <v>30148</v>
      </c>
      <c r="G45" s="5">
        <v>62904</v>
      </c>
      <c r="H45" s="6">
        <v>106.3</v>
      </c>
      <c r="I45" s="6">
        <v>115.3</v>
      </c>
      <c r="K45" s="1">
        <f t="shared" si="0"/>
        <v>0</v>
      </c>
      <c r="L45" s="1">
        <f t="shared" si="1"/>
        <v>0</v>
      </c>
      <c r="M45" s="2">
        <f t="shared" si="2"/>
        <v>-2.3516196001480694E-2</v>
      </c>
      <c r="N45" s="2">
        <f t="shared" si="3"/>
        <v>7.4526262240794949E-3</v>
      </c>
    </row>
    <row r="46" spans="1:14" x14ac:dyDescent="0.55000000000000004">
      <c r="A46" s="3" t="s">
        <v>53</v>
      </c>
      <c r="B46" s="5">
        <v>46172</v>
      </c>
      <c r="C46" s="5">
        <v>44033</v>
      </c>
      <c r="D46" s="5">
        <v>90205</v>
      </c>
      <c r="E46" s="5">
        <v>28274</v>
      </c>
      <c r="F46" s="5">
        <v>26709</v>
      </c>
      <c r="G46" s="5">
        <v>54983</v>
      </c>
      <c r="H46" s="6">
        <v>104.8</v>
      </c>
      <c r="I46" s="6">
        <v>164.1</v>
      </c>
      <c r="K46" s="1">
        <f t="shared" si="0"/>
        <v>0</v>
      </c>
      <c r="L46" s="1">
        <f t="shared" si="1"/>
        <v>0</v>
      </c>
      <c r="M46" s="2">
        <f t="shared" si="2"/>
        <v>5.7720346104062514E-2</v>
      </c>
      <c r="N46" s="2">
        <f t="shared" si="3"/>
        <v>-4.0199698088486002E-2</v>
      </c>
    </row>
    <row r="47" spans="1:14" x14ac:dyDescent="0.55000000000000004">
      <c r="A47" s="3" t="s">
        <v>54</v>
      </c>
      <c r="B47" s="5">
        <v>56810</v>
      </c>
      <c r="C47" s="5">
        <v>53858</v>
      </c>
      <c r="D47" s="5">
        <v>110668</v>
      </c>
      <c r="E47" s="5">
        <v>47537</v>
      </c>
      <c r="F47" s="5">
        <v>44678</v>
      </c>
      <c r="G47" s="5">
        <v>92215</v>
      </c>
      <c r="H47" s="6">
        <v>105.5</v>
      </c>
      <c r="I47" s="6">
        <v>120</v>
      </c>
      <c r="K47" s="1">
        <f t="shared" si="0"/>
        <v>0</v>
      </c>
      <c r="L47" s="1">
        <f t="shared" si="1"/>
        <v>0</v>
      </c>
      <c r="M47" s="2">
        <f t="shared" si="2"/>
        <v>-1.892012328715964E-2</v>
      </c>
      <c r="N47" s="2">
        <f t="shared" si="3"/>
        <v>1.0844222740331588E-2</v>
      </c>
    </row>
    <row r="48" spans="1:14" x14ac:dyDescent="0.55000000000000004">
      <c r="A48" s="3" t="s">
        <v>55</v>
      </c>
      <c r="B48" s="5">
        <v>50499</v>
      </c>
      <c r="C48" s="5">
        <v>46988</v>
      </c>
      <c r="D48" s="5">
        <v>97487</v>
      </c>
      <c r="E48" s="5">
        <v>39540</v>
      </c>
      <c r="F48" s="5">
        <v>35252</v>
      </c>
      <c r="G48" s="5">
        <v>74792</v>
      </c>
      <c r="H48" s="6">
        <v>107.5</v>
      </c>
      <c r="I48" s="6">
        <v>130.30000000000001</v>
      </c>
      <c r="K48" s="1">
        <f t="shared" si="0"/>
        <v>0</v>
      </c>
      <c r="L48" s="1">
        <f t="shared" si="1"/>
        <v>0</v>
      </c>
      <c r="M48" s="2">
        <f t="shared" si="2"/>
        <v>-2.7879458585161387E-2</v>
      </c>
      <c r="N48" s="2">
        <f t="shared" si="3"/>
        <v>4.415445502189641E-2</v>
      </c>
    </row>
    <row r="49" spans="1:14" x14ac:dyDescent="0.55000000000000004">
      <c r="A49" s="3" t="s">
        <v>56</v>
      </c>
      <c r="B49" s="5">
        <v>49696</v>
      </c>
      <c r="C49" s="5">
        <v>49007</v>
      </c>
      <c r="D49" s="5">
        <v>98703</v>
      </c>
      <c r="E49" s="5">
        <v>37406</v>
      </c>
      <c r="F49" s="5">
        <v>36118</v>
      </c>
      <c r="G49" s="5">
        <v>73524</v>
      </c>
      <c r="H49" s="6">
        <v>101.4</v>
      </c>
      <c r="I49" s="6">
        <v>134.19999999999999</v>
      </c>
      <c r="K49" s="1">
        <f t="shared" si="0"/>
        <v>0</v>
      </c>
      <c r="L49" s="1">
        <f t="shared" si="1"/>
        <v>0</v>
      </c>
      <c r="M49" s="2">
        <f t="shared" si="2"/>
        <v>5.9216030362847505E-3</v>
      </c>
      <c r="N49" s="2">
        <f t="shared" si="3"/>
        <v>4.5960502693020544E-2</v>
      </c>
    </row>
    <row r="50" spans="1:14" x14ac:dyDescent="0.55000000000000004">
      <c r="A50" s="3" t="s">
        <v>57</v>
      </c>
      <c r="B50" s="5">
        <v>5856</v>
      </c>
      <c r="C50" s="5">
        <v>5702</v>
      </c>
      <c r="D50" s="5">
        <v>11558</v>
      </c>
      <c r="E50" s="5">
        <v>4530</v>
      </c>
      <c r="F50" s="5">
        <v>4325</v>
      </c>
      <c r="G50" s="5">
        <v>8855</v>
      </c>
      <c r="H50" s="6">
        <v>102.7</v>
      </c>
      <c r="I50" s="6">
        <v>130.5</v>
      </c>
      <c r="K50" s="1">
        <f t="shared" si="0"/>
        <v>0</v>
      </c>
      <c r="L50" s="1">
        <f t="shared" si="1"/>
        <v>0</v>
      </c>
      <c r="M50" s="2">
        <f t="shared" si="2"/>
        <v>8.0673447911294716E-4</v>
      </c>
      <c r="N50" s="2">
        <f t="shared" si="3"/>
        <v>2.5127046866174396E-2</v>
      </c>
    </row>
    <row r="51" spans="1:14" x14ac:dyDescent="0.55000000000000004">
      <c r="A51" s="3" t="s">
        <v>58</v>
      </c>
      <c r="B51" s="5">
        <v>21905</v>
      </c>
      <c r="C51" s="5">
        <v>20944</v>
      </c>
      <c r="D51" s="5">
        <v>42849</v>
      </c>
      <c r="E51" s="5">
        <v>19045</v>
      </c>
      <c r="F51" s="5">
        <v>19140</v>
      </c>
      <c r="G51" s="5">
        <v>38185</v>
      </c>
      <c r="H51" s="6">
        <v>104.6</v>
      </c>
      <c r="I51" s="6">
        <v>112.2</v>
      </c>
      <c r="K51" s="1">
        <f t="shared" si="0"/>
        <v>0</v>
      </c>
      <c r="L51" s="1">
        <f t="shared" si="1"/>
        <v>0</v>
      </c>
      <c r="M51" s="2">
        <f t="shared" si="2"/>
        <v>-1.1573720397251464E-2</v>
      </c>
      <c r="N51" s="2">
        <f t="shared" si="3"/>
        <v>1.422024355112228E-2</v>
      </c>
    </row>
    <row r="52" spans="1:14" x14ac:dyDescent="0.55000000000000004">
      <c r="A52" s="4" t="s">
        <v>59</v>
      </c>
      <c r="B52" s="7">
        <v>2014690</v>
      </c>
      <c r="C52" s="7">
        <v>1911971</v>
      </c>
      <c r="D52" s="7">
        <v>3926661</v>
      </c>
      <c r="E52" s="7">
        <v>1589321</v>
      </c>
      <c r="F52" s="7">
        <v>1486941</v>
      </c>
      <c r="G52" s="7">
        <v>3076262</v>
      </c>
      <c r="H52" s="8">
        <v>105.4</v>
      </c>
      <c r="I52" s="8">
        <v>127.6</v>
      </c>
      <c r="K52" s="1">
        <f t="shared" si="0"/>
        <v>0</v>
      </c>
      <c r="L52" s="1">
        <f t="shared" si="1"/>
        <v>0</v>
      </c>
      <c r="M52" s="2">
        <f t="shared" si="2"/>
        <v>-2.7585878656125828E-2</v>
      </c>
      <c r="N52" s="2">
        <f t="shared" si="3"/>
        <v>4.3906793374560493E-2</v>
      </c>
    </row>
    <row r="54" spans="1:14" x14ac:dyDescent="0.55000000000000004">
      <c r="A54" s="9" t="s">
        <v>64</v>
      </c>
      <c r="B54" s="1">
        <f>SUM(B2:B51)-B52</f>
        <v>4</v>
      </c>
      <c r="C54" s="1">
        <f t="shared" ref="C54:G54" si="4">SUM(C2:C51)-C52</f>
        <v>7</v>
      </c>
      <c r="D54" s="1">
        <f t="shared" si="4"/>
        <v>11</v>
      </c>
      <c r="E54" s="1">
        <f t="shared" si="4"/>
        <v>0</v>
      </c>
      <c r="F54" s="1">
        <f t="shared" si="4"/>
        <v>0</v>
      </c>
      <c r="G54" s="1">
        <f t="shared" si="4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2026-08-28T22:44:56Z</dcterms:modified>
</cp:coreProperties>
</file>