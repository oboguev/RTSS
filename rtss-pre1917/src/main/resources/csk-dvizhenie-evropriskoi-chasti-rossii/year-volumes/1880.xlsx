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csk-dvizhenie-evropriskoi-chasti-rossii\year-volumes\"/>
    </mc:Choice>
  </mc:AlternateContent>
  <xr:revisionPtr revIDLastSave="0" documentId="13_ncr:1_{8EFE6011-EF35-4B66-B9EA-82CD544EC140}" xr6:coauthVersionLast="45" xr6:coauthVersionMax="45" xr10:uidLastSave="{00000000-0000-0000-0000-000000000000}"/>
  <bookViews>
    <workbookView xWindow="435" yWindow="1290" windowWidth="24945" windowHeight="21255" xr2:uid="{00000000-000D-0000-FFFF-FFFF00000000}"/>
  </bookViews>
  <sheets>
    <sheet name="188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52" i="1" l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G54" i="1"/>
  <c r="F54" i="1"/>
  <c r="E54" i="1"/>
  <c r="D54" i="1"/>
  <c r="C54" i="1"/>
  <c r="B54" i="1"/>
</calcChain>
</file>

<file path=xl/sharedStrings.xml><?xml version="1.0" encoding="utf-8"?>
<sst xmlns="http://schemas.openxmlformats.org/spreadsheetml/2006/main" count="65" uniqueCount="65">
  <si>
    <t>губ</t>
  </si>
  <si>
    <t>чр-м</t>
  </si>
  <si>
    <t>чр-ж</t>
  </si>
  <si>
    <t>чр-о</t>
  </si>
  <si>
    <t>чс-м</t>
  </si>
  <si>
    <t>чс-ж</t>
  </si>
  <si>
    <t>чс-о</t>
  </si>
  <si>
    <t>vр-мж</t>
  </si>
  <si>
    <t>v-рс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</si>
  <si>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</si>
  <si>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</si>
  <si>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</si>
  <si>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</si>
  <si>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</si>
  <si>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</si>
  <si>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</si>
  <si>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</si>
  <si>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</si>
  <si>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</si>
  <si>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</si>
  <si>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</si>
  <si>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</si>
  <si>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</si>
  <si>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</si>
  <si>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</si>
  <si>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</si>
  <si>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</si>
  <si>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</si>
  <si>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</si>
  <si>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</si>
  <si>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</si>
  <si>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</si>
  <si>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</si>
  <si>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</si>
  <si>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</si>
  <si>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</si>
  <si>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</si>
  <si>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</si>
  <si>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</si>
  <si>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</si>
  <si>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</si>
  <si>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</si>
  <si>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</si>
  <si>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</si>
  <si>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</si>
  <si>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</si>
  <si>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</si>
  <si>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</si>
  <si>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</si>
  <si>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</si>
  <si>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</si>
  <si>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</si>
  <si>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</si>
  <si>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</si>
  <si>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</si>
  <si>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</si>
  <si>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</si>
  <si>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</si>
  <si>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</si>
  <si>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</si>
  <si>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</si>
  <si>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</si>
  <si>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vvр-мж</t>
  </si>
  <si>
    <t>vv-рс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</si>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</sst>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0" xfId="0" applyNumberFormat="1" applyFont="1" applyFill="1" applyBorder="1"/>
    <xf numFmtId="3" fontId="0" fillId="0" borderId="0" xfId="0" applyNumberFormat="1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/>
    <xf numFmtId="0" fontId="1" fillId="3" borderId="1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0" fontId="0" fillId="3" borderId="0" xfId="0" applyFill="1"/>
    <xf numFmtId="3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E40" sqref="E40"/>
    </sheetView>
  </sheetViews>
  <sheetFormatPr defaultRowHeight="14.25"/>
  <cols>
    <col min="1" max="1" width="28" customWidth="1"/>
    <col min="2" max="7" width="12" customWidth="1"/>
    <col min="8" max="9" width="10" customWidth="1"/>
  </cols>
  <sheetData>
    <row r="1" spans="1:14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K1" s="7" t="s">
        <v>60</v>
      </c>
      <c r="L1" s="7" t="s">
        <v>61</v>
      </c>
      <c r="M1" s="8" t="s">
        <v>62</v>
      </c>
      <c r="N1" s="8" t="s">
        <v>63</v>
      </c>
    </row>
    <row r="2" spans="1:14">
      <c r="A2" t="s">
        <v>9</v>
      </c>
      <c r="B2" s="1">
        <v>6403</v>
      </c>
      <c r="C2" s="1">
        <v>6138</v>
      </c>
      <c r="D2" s="1">
        <v>12541</v>
      </c>
      <c r="E2" s="1">
        <v>4700</v>
      </c>
      <c r="F2" s="1">
        <v>4525</v>
      </c>
      <c r="G2" s="1">
        <v>9225</v>
      </c>
      <c r="H2" s="2">
        <v>104.3</v>
      </c>
      <c r="I2" s="2">
        <v>135.9</v>
      </c>
      <c r="K2" s="4">
        <f>D2-C2-B2</f>
        <v>0</v>
      </c>
      <c r="L2" s="4">
        <f>G2-F2-E2</f>
        <v>0</v>
      </c>
      <c r="M2" s="6">
        <f>B2/C2*100-H2</f>
        <v>1.7367220593044408E-2</v>
      </c>
      <c r="N2" s="6">
        <f>D2/G2*100-I2</f>
        <v>4.5799457994576187E-2</v>
      </c>
    </row>
    <row r="3" spans="1:14">
      <c r="A3" t="s">
        <v>10</v>
      </c>
      <c r="B3" s="1">
        <v>11466</v>
      </c>
      <c r="C3" s="1">
        <v>11249</v>
      </c>
      <c r="D3" s="1">
        <v>22715</v>
      </c>
      <c r="E3" s="1">
        <v>8049</v>
      </c>
      <c r="F3" s="1">
        <v>7189</v>
      </c>
      <c r="G3" s="1">
        <v>15238</v>
      </c>
      <c r="H3" s="2">
        <v>101.9</v>
      </c>
      <c r="I3" s="2">
        <v>149.1</v>
      </c>
      <c r="K3" s="4">
        <f t="shared" ref="K3:K52" si="0">D3-C3-B3</f>
        <v>0</v>
      </c>
      <c r="L3" s="4">
        <f t="shared" ref="L3:L52" si="1">G3-F3-E3</f>
        <v>0</v>
      </c>
      <c r="M3" s="6">
        <f t="shared" ref="M3:M52" si="2">B3/C3*100-H3</f>
        <v>2.9060360920965422E-2</v>
      </c>
      <c r="N3" s="6">
        <f t="shared" ref="N3:N52" si="3">D3/G3*100-I3</f>
        <v>-3.1880824255154039E-2</v>
      </c>
    </row>
    <row r="4" spans="1:14">
      <c r="A4" t="s">
        <v>11</v>
      </c>
      <c r="B4" s="1">
        <v>32626</v>
      </c>
      <c r="C4" s="1">
        <v>30474</v>
      </c>
      <c r="D4" s="1">
        <v>63100</v>
      </c>
      <c r="E4" s="1">
        <v>23287</v>
      </c>
      <c r="F4" s="1">
        <v>20687</v>
      </c>
      <c r="G4" s="1">
        <v>43974</v>
      </c>
      <c r="H4" s="2">
        <v>107.1</v>
      </c>
      <c r="I4" s="2">
        <v>143.5</v>
      </c>
      <c r="K4" s="4">
        <f t="shared" si="0"/>
        <v>0</v>
      </c>
      <c r="L4" s="4">
        <f t="shared" si="1"/>
        <v>0</v>
      </c>
      <c r="M4" s="6">
        <f t="shared" si="2"/>
        <v>-3.8242436175096373E-2</v>
      </c>
      <c r="N4" s="6">
        <f t="shared" si="3"/>
        <v>-6.1172511029212728E-3</v>
      </c>
    </row>
    <row r="5" spans="1:14">
      <c r="A5" t="s">
        <v>12</v>
      </c>
      <c r="B5" s="1">
        <v>24739</v>
      </c>
      <c r="C5" s="1">
        <v>22619</v>
      </c>
      <c r="D5" s="1">
        <v>47358</v>
      </c>
      <c r="E5" s="1">
        <v>18002</v>
      </c>
      <c r="F5" s="1">
        <v>16010</v>
      </c>
      <c r="G5" s="1">
        <v>34012</v>
      </c>
      <c r="H5" s="2">
        <v>109.4</v>
      </c>
      <c r="I5" s="2">
        <v>139.19999999999999</v>
      </c>
      <c r="K5" s="4">
        <f t="shared" si="0"/>
        <v>0</v>
      </c>
      <c r="L5" s="4">
        <f t="shared" si="1"/>
        <v>0</v>
      </c>
      <c r="M5" s="6">
        <f t="shared" si="2"/>
        <v>-2.7348689155147099E-2</v>
      </c>
      <c r="N5" s="6">
        <f t="shared" si="3"/>
        <v>3.9092085146421596E-2</v>
      </c>
    </row>
    <row r="6" spans="1:14">
      <c r="A6" t="s">
        <v>13</v>
      </c>
      <c r="B6" s="1">
        <v>24383</v>
      </c>
      <c r="C6" s="1">
        <v>22222</v>
      </c>
      <c r="D6" s="1">
        <v>46605</v>
      </c>
      <c r="E6" s="1">
        <v>15668</v>
      </c>
      <c r="F6" s="1">
        <v>13572</v>
      </c>
      <c r="G6" s="1">
        <v>29240</v>
      </c>
      <c r="H6" s="2">
        <v>109.7</v>
      </c>
      <c r="I6" s="2">
        <v>159.4</v>
      </c>
      <c r="K6" s="4">
        <f t="shared" si="0"/>
        <v>0</v>
      </c>
      <c r="L6" s="4">
        <f t="shared" si="1"/>
        <v>0</v>
      </c>
      <c r="M6" s="6">
        <f t="shared" si="2"/>
        <v>2.4597245972458381E-2</v>
      </c>
      <c r="N6" s="6">
        <f t="shared" si="3"/>
        <v>-1.217510259917276E-2</v>
      </c>
    </row>
    <row r="7" spans="1:14">
      <c r="A7" t="s">
        <v>14</v>
      </c>
      <c r="B7" s="1">
        <v>35267</v>
      </c>
      <c r="C7" s="1">
        <v>33325</v>
      </c>
      <c r="D7" s="1">
        <v>68592</v>
      </c>
      <c r="E7" s="1">
        <v>30888</v>
      </c>
      <c r="F7" s="1">
        <v>28936</v>
      </c>
      <c r="G7" s="1">
        <v>59824</v>
      </c>
      <c r="H7" s="2">
        <v>105.8</v>
      </c>
      <c r="I7" s="2">
        <v>114.7</v>
      </c>
      <c r="K7" s="4">
        <f t="shared" si="0"/>
        <v>0</v>
      </c>
      <c r="L7" s="4">
        <f t="shared" si="1"/>
        <v>0</v>
      </c>
      <c r="M7" s="6">
        <f t="shared" si="2"/>
        <v>2.7456864216063082E-2</v>
      </c>
      <c r="N7" s="6">
        <f t="shared" si="3"/>
        <v>-4.3674779352770088E-2</v>
      </c>
    </row>
    <row r="8" spans="1:14">
      <c r="A8" t="s">
        <v>15</v>
      </c>
      <c r="B8" s="1">
        <v>26994</v>
      </c>
      <c r="C8" s="1">
        <v>25756</v>
      </c>
      <c r="D8" s="1">
        <v>52750</v>
      </c>
      <c r="E8" s="1">
        <v>22575</v>
      </c>
      <c r="F8" s="1">
        <v>21790</v>
      </c>
      <c r="G8" s="1">
        <v>44365</v>
      </c>
      <c r="H8" s="2">
        <v>104.8</v>
      </c>
      <c r="I8" s="2">
        <v>118.9</v>
      </c>
      <c r="K8" s="4">
        <f t="shared" si="0"/>
        <v>0</v>
      </c>
      <c r="L8" s="4">
        <f t="shared" si="1"/>
        <v>0</v>
      </c>
      <c r="M8" s="6">
        <f t="shared" si="2"/>
        <v>6.6469948749841024E-3</v>
      </c>
      <c r="N8" s="6">
        <f t="shared" si="3"/>
        <v>3.3810436136150201E-5</v>
      </c>
    </row>
    <row r="9" spans="1:14">
      <c r="A9" t="s">
        <v>16</v>
      </c>
      <c r="B9" s="1">
        <v>49263</v>
      </c>
      <c r="C9" s="1">
        <v>45719</v>
      </c>
      <c r="D9" s="1">
        <v>94982</v>
      </c>
      <c r="E9" s="1">
        <v>33205</v>
      </c>
      <c r="F9" s="1">
        <v>31291</v>
      </c>
      <c r="G9" s="1">
        <v>64496</v>
      </c>
      <c r="H9" s="2">
        <v>107.8</v>
      </c>
      <c r="I9" s="2">
        <v>147.30000000000001</v>
      </c>
      <c r="K9" s="4">
        <f t="shared" si="0"/>
        <v>0</v>
      </c>
      <c r="L9" s="4">
        <f t="shared" si="1"/>
        <v>0</v>
      </c>
      <c r="M9" s="6">
        <f t="shared" si="2"/>
        <v>-4.8299394124981632E-2</v>
      </c>
      <c r="N9" s="6">
        <f t="shared" si="3"/>
        <v>-3.1952369139190751E-2</v>
      </c>
    </row>
    <row r="10" spans="1:14">
      <c r="A10" t="s">
        <v>17</v>
      </c>
      <c r="B10" s="1">
        <v>61576</v>
      </c>
      <c r="C10" s="1">
        <v>58693</v>
      </c>
      <c r="D10" s="1">
        <v>120269</v>
      </c>
      <c r="E10" s="1">
        <v>48151</v>
      </c>
      <c r="F10" s="1">
        <v>45967</v>
      </c>
      <c r="G10" s="1">
        <v>94118</v>
      </c>
      <c r="H10" s="2">
        <v>104.9</v>
      </c>
      <c r="I10" s="2">
        <v>127.8</v>
      </c>
      <c r="K10" s="4">
        <f t="shared" si="0"/>
        <v>0</v>
      </c>
      <c r="L10" s="4">
        <f t="shared" si="1"/>
        <v>0</v>
      </c>
      <c r="M10" s="6">
        <f t="shared" si="2"/>
        <v>1.1999727395078708E-2</v>
      </c>
      <c r="N10" s="6">
        <f t="shared" si="3"/>
        <v>-1.4666694999888819E-2</v>
      </c>
    </row>
    <row r="11" spans="1:14">
      <c r="A11" t="s">
        <v>18</v>
      </c>
      <c r="B11" s="1">
        <v>76159</v>
      </c>
      <c r="C11" s="1">
        <v>73227</v>
      </c>
      <c r="D11" s="1">
        <v>149386</v>
      </c>
      <c r="E11" s="1">
        <v>56637</v>
      </c>
      <c r="F11" s="1">
        <v>53951</v>
      </c>
      <c r="G11" s="1">
        <v>110588</v>
      </c>
      <c r="H11" s="2">
        <v>104</v>
      </c>
      <c r="I11" s="2">
        <v>135.1</v>
      </c>
      <c r="K11" s="4">
        <f t="shared" si="0"/>
        <v>0</v>
      </c>
      <c r="L11" s="4">
        <f t="shared" si="1"/>
        <v>0</v>
      </c>
      <c r="M11" s="6">
        <f t="shared" si="2"/>
        <v>3.9876002021088652E-3</v>
      </c>
      <c r="N11" s="6">
        <f t="shared" si="3"/>
        <v>-1.6627482186123643E-2</v>
      </c>
    </row>
    <row r="12" spans="1:14">
      <c r="A12" t="s">
        <v>19</v>
      </c>
      <c r="B12" s="1">
        <v>25906</v>
      </c>
      <c r="C12" s="1">
        <v>23520</v>
      </c>
      <c r="D12" s="1">
        <v>49426</v>
      </c>
      <c r="E12" s="1">
        <v>20043</v>
      </c>
      <c r="F12" s="1">
        <v>18747</v>
      </c>
      <c r="G12" s="1">
        <v>38790</v>
      </c>
      <c r="H12" s="2">
        <v>110.1</v>
      </c>
      <c r="I12" s="2">
        <v>127.4</v>
      </c>
      <c r="K12" s="4">
        <f t="shared" si="0"/>
        <v>0</v>
      </c>
      <c r="L12" s="4">
        <f t="shared" si="1"/>
        <v>0</v>
      </c>
      <c r="M12" s="6">
        <f t="shared" si="2"/>
        <v>4.4557823129252938E-2</v>
      </c>
      <c r="N12" s="6">
        <f t="shared" si="3"/>
        <v>1.9437999484409829E-2</v>
      </c>
    </row>
    <row r="13" spans="1:14">
      <c r="A13" t="s">
        <v>20</v>
      </c>
      <c r="B13" s="1">
        <v>39334</v>
      </c>
      <c r="C13" s="1">
        <v>37506</v>
      </c>
      <c r="D13" s="1">
        <v>76840</v>
      </c>
      <c r="E13" s="1">
        <v>21448</v>
      </c>
      <c r="F13" s="1">
        <v>19776</v>
      </c>
      <c r="G13" s="1">
        <v>41224</v>
      </c>
      <c r="H13" s="2">
        <v>104.9</v>
      </c>
      <c r="I13" s="2">
        <v>186.4</v>
      </c>
      <c r="K13" s="4">
        <f t="shared" si="0"/>
        <v>0</v>
      </c>
      <c r="L13" s="4">
        <f t="shared" si="1"/>
        <v>0</v>
      </c>
      <c r="M13" s="6">
        <f t="shared" si="2"/>
        <v>-2.6113155228500773E-2</v>
      </c>
      <c r="N13" s="6">
        <f t="shared" si="3"/>
        <v>-3.7259848631947534E-3</v>
      </c>
    </row>
    <row r="14" spans="1:14">
      <c r="A14" t="s">
        <v>21</v>
      </c>
      <c r="B14" s="1">
        <v>44801</v>
      </c>
      <c r="C14" s="1">
        <v>42289</v>
      </c>
      <c r="D14" s="1">
        <v>87090</v>
      </c>
      <c r="E14" s="1">
        <v>27951</v>
      </c>
      <c r="F14" s="1">
        <v>25283</v>
      </c>
      <c r="G14" s="1">
        <v>53234</v>
      </c>
      <c r="H14" s="2">
        <v>106</v>
      </c>
      <c r="I14" s="2">
        <v>163.6</v>
      </c>
      <c r="K14" s="4">
        <f t="shared" si="0"/>
        <v>0</v>
      </c>
      <c r="L14" s="4">
        <f t="shared" si="1"/>
        <v>0</v>
      </c>
      <c r="M14" s="6">
        <f t="shared" si="2"/>
        <v>-5.9921019650502672E-2</v>
      </c>
      <c r="N14" s="6">
        <f t="shared" si="3"/>
        <v>-1.5478829319306442E-3</v>
      </c>
    </row>
    <row r="15" spans="1:14">
      <c r="A15" t="s">
        <v>22</v>
      </c>
      <c r="B15" s="1">
        <v>47261</v>
      </c>
      <c r="C15" s="1">
        <v>45431</v>
      </c>
      <c r="D15" s="1">
        <v>92692</v>
      </c>
      <c r="E15" s="1">
        <v>32801</v>
      </c>
      <c r="F15" s="1">
        <v>30896</v>
      </c>
      <c r="G15" s="1">
        <v>63697</v>
      </c>
      <c r="H15" s="2">
        <v>104</v>
      </c>
      <c r="I15" s="2">
        <v>145.5</v>
      </c>
      <c r="K15" s="4">
        <f t="shared" si="0"/>
        <v>0</v>
      </c>
      <c r="L15" s="4">
        <f t="shared" si="1"/>
        <v>0</v>
      </c>
      <c r="M15" s="6">
        <f t="shared" si="2"/>
        <v>2.8086548832291669E-2</v>
      </c>
      <c r="N15" s="6">
        <f t="shared" si="3"/>
        <v>2.019718354083011E-2</v>
      </c>
    </row>
    <row r="16" spans="1:14">
      <c r="A16" t="s">
        <v>23</v>
      </c>
      <c r="B16" s="1">
        <v>26583</v>
      </c>
      <c r="C16" s="1">
        <v>25380</v>
      </c>
      <c r="D16" s="1">
        <v>51963</v>
      </c>
      <c r="E16" s="1">
        <v>18844</v>
      </c>
      <c r="F16" s="1">
        <v>17566</v>
      </c>
      <c r="G16" s="1">
        <v>36410</v>
      </c>
      <c r="H16" s="2">
        <v>104.7</v>
      </c>
      <c r="I16" s="2">
        <v>145.69999999999999</v>
      </c>
      <c r="K16" s="4">
        <f t="shared" si="0"/>
        <v>0</v>
      </c>
      <c r="L16" s="4">
        <f t="shared" si="1"/>
        <v>0</v>
      </c>
      <c r="M16" s="6">
        <f t="shared" si="2"/>
        <v>3.9952718676133259E-2</v>
      </c>
      <c r="N16" s="6">
        <f t="shared" si="3"/>
        <v>-2.9837132655863456</v>
      </c>
    </row>
    <row r="17" spans="1:14">
      <c r="A17" t="s">
        <v>24</v>
      </c>
      <c r="B17" s="1">
        <v>71854</v>
      </c>
      <c r="C17" s="1">
        <v>67351</v>
      </c>
      <c r="D17" s="1">
        <v>139205</v>
      </c>
      <c r="E17" s="1">
        <v>45623</v>
      </c>
      <c r="F17" s="1">
        <v>41715</v>
      </c>
      <c r="G17" s="1">
        <v>87338</v>
      </c>
      <c r="H17" s="2">
        <v>106.7</v>
      </c>
      <c r="I17" s="2">
        <v>159.4</v>
      </c>
      <c r="K17" s="4">
        <f t="shared" si="0"/>
        <v>0</v>
      </c>
      <c r="L17" s="4">
        <f t="shared" si="1"/>
        <v>0</v>
      </c>
      <c r="M17" s="6">
        <f t="shared" si="2"/>
        <v>-1.4130450921300053E-2</v>
      </c>
      <c r="N17" s="6">
        <f t="shared" si="3"/>
        <v>-1.3478669078779149E-2</v>
      </c>
    </row>
    <row r="18" spans="1:14">
      <c r="A18" t="s">
        <v>25</v>
      </c>
      <c r="B18" s="1">
        <v>24696</v>
      </c>
      <c r="C18" s="1">
        <v>22669</v>
      </c>
      <c r="D18" s="1">
        <v>47365</v>
      </c>
      <c r="E18" s="1">
        <v>16876</v>
      </c>
      <c r="F18" s="1">
        <v>15924</v>
      </c>
      <c r="G18" s="1">
        <v>32800</v>
      </c>
      <c r="H18" s="2">
        <v>108.9</v>
      </c>
      <c r="I18" s="2">
        <v>144.4</v>
      </c>
      <c r="K18" s="4">
        <f t="shared" si="0"/>
        <v>0</v>
      </c>
      <c r="L18" s="4">
        <f t="shared" si="1"/>
        <v>0</v>
      </c>
      <c r="M18" s="6">
        <f t="shared" si="2"/>
        <v>4.1726586968991342E-2</v>
      </c>
      <c r="N18" s="6">
        <f t="shared" si="3"/>
        <v>5.4878048780437894E-3</v>
      </c>
    </row>
    <row r="19" spans="1:14">
      <c r="A19" t="s">
        <v>26</v>
      </c>
      <c r="B19" s="1">
        <v>30967</v>
      </c>
      <c r="C19" s="1">
        <v>30099</v>
      </c>
      <c r="D19" s="1">
        <v>61066</v>
      </c>
      <c r="E19" s="1">
        <v>25930</v>
      </c>
      <c r="F19" s="1">
        <v>25391</v>
      </c>
      <c r="G19" s="1">
        <v>51321</v>
      </c>
      <c r="H19" s="2">
        <v>102.9</v>
      </c>
      <c r="I19" s="2">
        <v>119</v>
      </c>
      <c r="K19" s="4">
        <f t="shared" si="0"/>
        <v>0</v>
      </c>
      <c r="L19" s="4">
        <f t="shared" si="1"/>
        <v>0</v>
      </c>
      <c r="M19" s="6">
        <f t="shared" si="2"/>
        <v>-1.6183261902398272E-2</v>
      </c>
      <c r="N19" s="6">
        <f t="shared" si="3"/>
        <v>-1.1671635392914936E-2</v>
      </c>
    </row>
    <row r="20" spans="1:14">
      <c r="A20" t="s">
        <v>27</v>
      </c>
      <c r="B20" s="1">
        <v>9545</v>
      </c>
      <c r="C20" s="1">
        <v>8979</v>
      </c>
      <c r="D20" s="1">
        <v>18524</v>
      </c>
      <c r="E20" s="1">
        <v>6179</v>
      </c>
      <c r="F20" s="1">
        <v>5826</v>
      </c>
      <c r="G20" s="1">
        <v>12005</v>
      </c>
      <c r="H20" s="2">
        <v>106.3</v>
      </c>
      <c r="I20" s="2">
        <v>154.30000000000001</v>
      </c>
      <c r="K20" s="4">
        <f t="shared" si="0"/>
        <v>0</v>
      </c>
      <c r="L20" s="4">
        <f t="shared" si="1"/>
        <v>0</v>
      </c>
      <c r="M20" s="6">
        <f t="shared" si="2"/>
        <v>3.5972825481707105E-3</v>
      </c>
      <c r="N20" s="6">
        <f t="shared" si="3"/>
        <v>2.3740108288166084E-3</v>
      </c>
    </row>
    <row r="21" spans="1:14">
      <c r="A21" t="s">
        <v>28</v>
      </c>
      <c r="B21" s="1">
        <v>58415</v>
      </c>
      <c r="C21" s="1">
        <v>55705</v>
      </c>
      <c r="D21" s="1">
        <v>114120</v>
      </c>
      <c r="E21" s="1">
        <v>42094</v>
      </c>
      <c r="F21" s="1">
        <v>39710</v>
      </c>
      <c r="G21" s="1">
        <v>81804</v>
      </c>
      <c r="H21" s="2">
        <v>104.9</v>
      </c>
      <c r="I21" s="2">
        <v>139.30000000000001</v>
      </c>
      <c r="K21" s="4">
        <f t="shared" si="0"/>
        <v>0</v>
      </c>
      <c r="L21" s="4">
        <f t="shared" si="1"/>
        <v>0</v>
      </c>
      <c r="M21" s="6">
        <f t="shared" si="2"/>
        <v>-3.50866170002746E-2</v>
      </c>
      <c r="N21" s="6">
        <f t="shared" si="3"/>
        <v>0.20418072465892578</v>
      </c>
    </row>
    <row r="22" spans="1:14">
      <c r="A22" t="s">
        <v>29</v>
      </c>
      <c r="B22" s="1">
        <v>19125</v>
      </c>
      <c r="C22" s="1">
        <v>18300</v>
      </c>
      <c r="D22" s="1">
        <v>37425</v>
      </c>
      <c r="E22" s="1">
        <v>13889</v>
      </c>
      <c r="F22" s="1">
        <v>13093</v>
      </c>
      <c r="G22" s="1">
        <v>26982</v>
      </c>
      <c r="H22" s="2">
        <v>104.5</v>
      </c>
      <c r="I22" s="2">
        <v>138.69999999999999</v>
      </c>
      <c r="K22" s="4">
        <f t="shared" si="0"/>
        <v>0</v>
      </c>
      <c r="L22" s="4">
        <f t="shared" si="1"/>
        <v>0</v>
      </c>
      <c r="M22" s="6">
        <f t="shared" si="2"/>
        <v>8.1967213114921833E-3</v>
      </c>
      <c r="N22" s="6">
        <f t="shared" si="3"/>
        <v>3.5801645541653215E-3</v>
      </c>
    </row>
    <row r="23" spans="1:14">
      <c r="A23" t="s">
        <v>30</v>
      </c>
      <c r="B23" s="1">
        <v>33556</v>
      </c>
      <c r="C23" s="1">
        <v>31094</v>
      </c>
      <c r="D23" s="1">
        <v>64650</v>
      </c>
      <c r="E23" s="1">
        <v>23197</v>
      </c>
      <c r="F23" s="1">
        <v>21103</v>
      </c>
      <c r="G23" s="1">
        <v>44300</v>
      </c>
      <c r="H23" s="2">
        <v>107.9</v>
      </c>
      <c r="I23" s="2">
        <v>145.9</v>
      </c>
      <c r="K23" s="4">
        <f t="shared" si="0"/>
        <v>0</v>
      </c>
      <c r="L23" s="4">
        <f t="shared" si="1"/>
        <v>0</v>
      </c>
      <c r="M23" s="6">
        <f t="shared" si="2"/>
        <v>1.7926288029840975E-2</v>
      </c>
      <c r="N23" s="6">
        <f t="shared" si="3"/>
        <v>3.6794582392758457E-2</v>
      </c>
    </row>
    <row r="24" spans="1:14">
      <c r="A24" t="s">
        <v>31</v>
      </c>
      <c r="B24" s="1">
        <v>28555</v>
      </c>
      <c r="C24" s="1">
        <v>26379</v>
      </c>
      <c r="D24" s="1">
        <v>54934</v>
      </c>
      <c r="E24" s="1">
        <v>16751</v>
      </c>
      <c r="F24" s="1">
        <v>15683</v>
      </c>
      <c r="G24" s="1">
        <v>32434</v>
      </c>
      <c r="H24" s="2">
        <v>108.2</v>
      </c>
      <c r="I24" s="2">
        <v>169.4</v>
      </c>
      <c r="K24" s="4">
        <f t="shared" si="0"/>
        <v>0</v>
      </c>
      <c r="L24" s="4">
        <f t="shared" si="1"/>
        <v>0</v>
      </c>
      <c r="M24" s="6">
        <f t="shared" si="2"/>
        <v>4.8985935782241086E-2</v>
      </c>
      <c r="N24" s="6">
        <f t="shared" si="3"/>
        <v>-2.8352962940147108E-2</v>
      </c>
    </row>
    <row r="25" spans="1:14">
      <c r="A25" t="s">
        <v>32</v>
      </c>
      <c r="B25" s="1">
        <v>45681</v>
      </c>
      <c r="C25" s="1">
        <v>44534</v>
      </c>
      <c r="D25" s="1">
        <v>90215</v>
      </c>
      <c r="E25" s="1">
        <v>45791</v>
      </c>
      <c r="F25" s="1">
        <v>40851</v>
      </c>
      <c r="G25" s="1">
        <v>86642</v>
      </c>
      <c r="H25" s="2">
        <v>102.6</v>
      </c>
      <c r="I25" s="2">
        <v>104.1</v>
      </c>
      <c r="K25" s="4">
        <f t="shared" si="0"/>
        <v>0</v>
      </c>
      <c r="L25" s="4">
        <f t="shared" si="1"/>
        <v>0</v>
      </c>
      <c r="M25" s="6">
        <f t="shared" si="2"/>
        <v>-2.4439753895890703E-2</v>
      </c>
      <c r="N25" s="6">
        <f t="shared" si="3"/>
        <v>2.3866023406668546E-2</v>
      </c>
    </row>
    <row r="26" spans="1:14">
      <c r="A26" t="s">
        <v>33</v>
      </c>
      <c r="B26" s="1">
        <v>40435</v>
      </c>
      <c r="C26" s="1">
        <v>38331</v>
      </c>
      <c r="D26" s="1">
        <v>78766</v>
      </c>
      <c r="E26" s="1">
        <v>30061</v>
      </c>
      <c r="F26" s="1">
        <v>27956</v>
      </c>
      <c r="G26" s="1">
        <v>58017</v>
      </c>
      <c r="H26" s="2">
        <v>105.5</v>
      </c>
      <c r="I26" s="2">
        <v>135.80000000000001</v>
      </c>
      <c r="K26" s="4">
        <f t="shared" si="0"/>
        <v>0</v>
      </c>
      <c r="L26" s="4">
        <f t="shared" si="1"/>
        <v>0</v>
      </c>
      <c r="M26" s="6">
        <f t="shared" si="2"/>
        <v>-1.0970232970706206E-2</v>
      </c>
      <c r="N26" s="6">
        <f t="shared" si="3"/>
        <v>-3.6344519709757606E-2</v>
      </c>
    </row>
    <row r="27" spans="1:14">
      <c r="A27" t="s">
        <v>34</v>
      </c>
      <c r="B27" s="1">
        <v>23815</v>
      </c>
      <c r="C27" s="1">
        <v>23099</v>
      </c>
      <c r="D27" s="1">
        <v>46914</v>
      </c>
      <c r="E27" s="1">
        <v>21722</v>
      </c>
      <c r="F27" s="1">
        <v>20035</v>
      </c>
      <c r="G27" s="1">
        <v>41757</v>
      </c>
      <c r="H27" s="2">
        <v>103.1</v>
      </c>
      <c r="I27" s="2">
        <v>112.4</v>
      </c>
      <c r="K27" s="4">
        <f t="shared" si="0"/>
        <v>0</v>
      </c>
      <c r="L27" s="4">
        <f t="shared" si="1"/>
        <v>0</v>
      </c>
      <c r="M27" s="6">
        <f t="shared" si="2"/>
        <v>-2.9871423004124154E-4</v>
      </c>
      <c r="N27" s="6">
        <f t="shared" si="3"/>
        <v>-4.9974854515411948E-2</v>
      </c>
    </row>
    <row r="28" spans="1:14">
      <c r="A28" t="s">
        <v>35</v>
      </c>
      <c r="B28" s="1">
        <v>7982</v>
      </c>
      <c r="C28" s="1">
        <v>7817</v>
      </c>
      <c r="D28" s="1">
        <v>15799</v>
      </c>
      <c r="E28" s="1">
        <v>6985</v>
      </c>
      <c r="F28" s="1">
        <v>6527</v>
      </c>
      <c r="G28" s="1">
        <v>13512</v>
      </c>
      <c r="H28" s="2">
        <v>102.1</v>
      </c>
      <c r="I28" s="2">
        <v>116.9</v>
      </c>
      <c r="K28" s="4">
        <f t="shared" si="0"/>
        <v>0</v>
      </c>
      <c r="L28" s="4">
        <f t="shared" si="1"/>
        <v>0</v>
      </c>
      <c r="M28" s="6">
        <f t="shared" si="2"/>
        <v>1.0784188307525255E-2</v>
      </c>
      <c r="N28" s="6">
        <f t="shared" si="3"/>
        <v>2.5695677915919646E-2</v>
      </c>
    </row>
    <row r="29" spans="1:14">
      <c r="A29" t="s">
        <v>36</v>
      </c>
      <c r="B29" s="1">
        <v>31577</v>
      </c>
      <c r="C29" s="1">
        <v>30117</v>
      </c>
      <c r="D29" s="1">
        <v>61694</v>
      </c>
      <c r="E29" s="1">
        <v>19894</v>
      </c>
      <c r="F29" s="1">
        <v>15844</v>
      </c>
      <c r="G29" s="1">
        <v>35738</v>
      </c>
      <c r="H29" s="2">
        <v>104.8</v>
      </c>
      <c r="I29" s="2">
        <v>172.6</v>
      </c>
      <c r="K29" s="4">
        <f t="shared" si="0"/>
        <v>0</v>
      </c>
      <c r="L29" s="4">
        <f t="shared" si="1"/>
        <v>0</v>
      </c>
      <c r="M29" s="6">
        <f t="shared" si="2"/>
        <v>4.7760401102380001E-2</v>
      </c>
      <c r="N29" s="6">
        <f t="shared" si="3"/>
        <v>2.8574626448033769E-2</v>
      </c>
    </row>
    <row r="30" spans="1:14">
      <c r="A30" t="s">
        <v>37</v>
      </c>
      <c r="B30" s="1">
        <v>51089</v>
      </c>
      <c r="C30" s="1">
        <v>49070</v>
      </c>
      <c r="D30" s="1">
        <v>100159</v>
      </c>
      <c r="E30" s="1">
        <v>37900</v>
      </c>
      <c r="F30" s="1">
        <v>35606</v>
      </c>
      <c r="G30" s="1">
        <v>73506</v>
      </c>
      <c r="H30" s="2">
        <v>104.1</v>
      </c>
      <c r="I30" s="2">
        <v>136.30000000000001</v>
      </c>
      <c r="K30" s="4">
        <f t="shared" si="0"/>
        <v>0</v>
      </c>
      <c r="L30" s="4">
        <f t="shared" si="1"/>
        <v>0</v>
      </c>
      <c r="M30" s="6">
        <f t="shared" si="2"/>
        <v>1.4530262889749679E-2</v>
      </c>
      <c r="N30" s="6">
        <f t="shared" si="3"/>
        <v>-4.0374935379446697E-2</v>
      </c>
    </row>
    <row r="31" spans="1:14">
      <c r="A31" t="s">
        <v>38</v>
      </c>
      <c r="B31" s="1">
        <v>38429</v>
      </c>
      <c r="C31" s="1">
        <v>37248</v>
      </c>
      <c r="D31" s="1">
        <v>75677</v>
      </c>
      <c r="E31" s="1">
        <v>29503</v>
      </c>
      <c r="F31" s="1">
        <v>27149</v>
      </c>
      <c r="G31" s="1">
        <v>56652</v>
      </c>
      <c r="H31" s="2">
        <v>103.2</v>
      </c>
      <c r="I31" s="2">
        <v>133.6</v>
      </c>
      <c r="K31" s="4">
        <f t="shared" si="0"/>
        <v>0</v>
      </c>
      <c r="L31" s="4">
        <f t="shared" si="1"/>
        <v>0</v>
      </c>
      <c r="M31" s="6">
        <f t="shared" si="2"/>
        <v>-2.9359965635734397E-2</v>
      </c>
      <c r="N31" s="6">
        <f t="shared" si="3"/>
        <v>-1.7778719197906412E-2</v>
      </c>
    </row>
    <row r="32" spans="1:14">
      <c r="A32" t="s">
        <v>39</v>
      </c>
      <c r="B32" s="1">
        <v>72311</v>
      </c>
      <c r="C32" s="1">
        <v>69899</v>
      </c>
      <c r="D32" s="1">
        <v>142210</v>
      </c>
      <c r="E32" s="1">
        <v>54343</v>
      </c>
      <c r="F32" s="1">
        <v>51225</v>
      </c>
      <c r="G32" s="1">
        <v>105568</v>
      </c>
      <c r="H32" s="2">
        <v>103.4</v>
      </c>
      <c r="I32" s="2">
        <v>134.69999999999999</v>
      </c>
      <c r="K32" s="4">
        <f t="shared" si="0"/>
        <v>0</v>
      </c>
      <c r="L32" s="4">
        <f t="shared" si="1"/>
        <v>0</v>
      </c>
      <c r="M32" s="6">
        <f t="shared" si="2"/>
        <v>5.0693142963410764E-2</v>
      </c>
      <c r="N32" s="6">
        <f t="shared" si="3"/>
        <v>9.3816307972360846E-3</v>
      </c>
    </row>
    <row r="33" spans="1:14">
      <c r="A33" t="s">
        <v>40</v>
      </c>
      <c r="B33" s="1">
        <v>56861</v>
      </c>
      <c r="C33" s="1">
        <v>52783</v>
      </c>
      <c r="D33" s="1">
        <v>109644</v>
      </c>
      <c r="E33" s="1">
        <v>38958</v>
      </c>
      <c r="F33" s="1">
        <v>36269</v>
      </c>
      <c r="G33" s="1">
        <v>75227</v>
      </c>
      <c r="H33" s="2">
        <v>107.7</v>
      </c>
      <c r="I33" s="2">
        <v>145.80000000000001</v>
      </c>
      <c r="K33" s="4">
        <f t="shared" si="0"/>
        <v>0</v>
      </c>
      <c r="L33" s="4">
        <f t="shared" si="1"/>
        <v>0</v>
      </c>
      <c r="M33" s="6">
        <f t="shared" si="2"/>
        <v>2.597237747001202E-2</v>
      </c>
      <c r="N33" s="6">
        <f t="shared" si="3"/>
        <v>-4.913927180402311E-2</v>
      </c>
    </row>
    <row r="34" spans="1:14">
      <c r="A34" t="s">
        <v>41</v>
      </c>
      <c r="B34" s="1">
        <v>56847</v>
      </c>
      <c r="C34" s="1">
        <v>53768</v>
      </c>
      <c r="D34" s="1">
        <v>110615</v>
      </c>
      <c r="E34" s="1">
        <v>36122</v>
      </c>
      <c r="F34" s="1">
        <v>35920</v>
      </c>
      <c r="G34" s="1">
        <v>72042</v>
      </c>
      <c r="H34" s="2">
        <v>105.7</v>
      </c>
      <c r="I34" s="2">
        <v>153.5</v>
      </c>
      <c r="K34" s="4">
        <f t="shared" si="0"/>
        <v>0</v>
      </c>
      <c r="L34" s="4">
        <f t="shared" si="1"/>
        <v>0</v>
      </c>
      <c r="M34" s="6">
        <f t="shared" si="2"/>
        <v>2.6454396667162428E-2</v>
      </c>
      <c r="N34" s="6">
        <f t="shared" si="3"/>
        <v>4.2378057244377487E-2</v>
      </c>
    </row>
    <row r="35" spans="1:14">
      <c r="A35" t="s">
        <v>42</v>
      </c>
      <c r="B35" s="1">
        <v>21362</v>
      </c>
      <c r="C35" s="1">
        <v>20625</v>
      </c>
      <c r="D35" s="1">
        <v>41987</v>
      </c>
      <c r="E35" s="1">
        <v>17922</v>
      </c>
      <c r="F35" s="1">
        <v>16735</v>
      </c>
      <c r="G35" s="1">
        <v>34657</v>
      </c>
      <c r="H35" s="2">
        <v>103.6</v>
      </c>
      <c r="I35" s="2">
        <v>121.1</v>
      </c>
      <c r="K35" s="4">
        <f t="shared" si="0"/>
        <v>0</v>
      </c>
      <c r="L35" s="4">
        <f t="shared" si="1"/>
        <v>0</v>
      </c>
      <c r="M35" s="6">
        <f t="shared" si="2"/>
        <v>-2.6666666666656624E-2</v>
      </c>
      <c r="N35" s="6">
        <f t="shared" si="3"/>
        <v>5.0128401188800353E-2</v>
      </c>
    </row>
    <row r="36" spans="1:14">
      <c r="A36" t="s">
        <v>43</v>
      </c>
      <c r="B36" s="1">
        <v>43572</v>
      </c>
      <c r="C36" s="1">
        <v>41835</v>
      </c>
      <c r="D36" s="1">
        <v>85407</v>
      </c>
      <c r="E36" s="1">
        <v>30975</v>
      </c>
      <c r="F36" s="1">
        <v>29103</v>
      </c>
      <c r="G36" s="1">
        <v>60078</v>
      </c>
      <c r="H36" s="2">
        <v>104.2</v>
      </c>
      <c r="I36" s="2">
        <v>142.19999999999999</v>
      </c>
      <c r="K36" s="4">
        <f t="shared" si="0"/>
        <v>0</v>
      </c>
      <c r="L36" s="4">
        <f t="shared" si="1"/>
        <v>0</v>
      </c>
      <c r="M36" s="6">
        <f t="shared" si="2"/>
        <v>-4.7974184295455302E-2</v>
      </c>
      <c r="N36" s="6">
        <f t="shared" si="3"/>
        <v>-3.9808249275949947E-2</v>
      </c>
    </row>
    <row r="37" spans="1:14">
      <c r="A37" t="s">
        <v>44</v>
      </c>
      <c r="B37" s="1">
        <v>59516</v>
      </c>
      <c r="C37" s="1">
        <v>57784</v>
      </c>
      <c r="D37" s="1">
        <v>117300</v>
      </c>
      <c r="E37" s="1">
        <v>43567</v>
      </c>
      <c r="F37" s="1">
        <v>40604</v>
      </c>
      <c r="G37" s="1">
        <v>84171</v>
      </c>
      <c r="H37" s="2">
        <v>103</v>
      </c>
      <c r="I37" s="2">
        <v>139.4</v>
      </c>
      <c r="K37" s="4">
        <f t="shared" si="0"/>
        <v>0</v>
      </c>
      <c r="L37" s="4">
        <f t="shared" si="1"/>
        <v>0</v>
      </c>
      <c r="M37" s="6">
        <f t="shared" si="2"/>
        <v>-2.6304859476624642E-3</v>
      </c>
      <c r="N37" s="6">
        <f t="shared" si="3"/>
        <v>-4.0838293473996146E-2</v>
      </c>
    </row>
    <row r="38" spans="1:14">
      <c r="A38" t="s">
        <v>45</v>
      </c>
      <c r="B38" s="1">
        <v>27755</v>
      </c>
      <c r="C38" s="1">
        <v>26341</v>
      </c>
      <c r="D38" s="1">
        <v>54096</v>
      </c>
      <c r="E38" s="1">
        <v>36659</v>
      </c>
      <c r="F38" s="1">
        <v>25796</v>
      </c>
      <c r="G38" s="1">
        <v>62455</v>
      </c>
      <c r="H38" s="2">
        <v>105.4</v>
      </c>
      <c r="I38" s="2">
        <v>86.6</v>
      </c>
      <c r="K38" s="4">
        <f t="shared" si="0"/>
        <v>0</v>
      </c>
      <c r="L38" s="4">
        <f t="shared" si="1"/>
        <v>0</v>
      </c>
      <c r="M38" s="6">
        <f t="shared" si="2"/>
        <v>-3.1942598990170268E-2</v>
      </c>
      <c r="N38" s="6">
        <f t="shared" si="3"/>
        <v>1.5963493715474897E-2</v>
      </c>
    </row>
    <row r="39" spans="1:14">
      <c r="A39" t="s">
        <v>46</v>
      </c>
      <c r="B39" s="1">
        <v>49614</v>
      </c>
      <c r="C39" s="1">
        <v>48448</v>
      </c>
      <c r="D39" s="1">
        <v>98062</v>
      </c>
      <c r="E39" s="1">
        <v>42361</v>
      </c>
      <c r="F39" s="1">
        <v>39490</v>
      </c>
      <c r="G39" s="1">
        <v>81851</v>
      </c>
      <c r="H39" s="2">
        <v>102.4</v>
      </c>
      <c r="I39" s="2">
        <v>119.8</v>
      </c>
      <c r="K39" s="4">
        <f t="shared" si="0"/>
        <v>0</v>
      </c>
      <c r="L39" s="4">
        <f t="shared" si="1"/>
        <v>0</v>
      </c>
      <c r="M39" s="6">
        <f t="shared" si="2"/>
        <v>6.704095112269215E-3</v>
      </c>
      <c r="N39" s="6">
        <f t="shared" si="3"/>
        <v>5.500238237772237E-3</v>
      </c>
    </row>
    <row r="40" spans="1:14">
      <c r="A40" t="s">
        <v>47</v>
      </c>
      <c r="B40" s="1">
        <v>36763</v>
      </c>
      <c r="C40" s="1">
        <v>35249</v>
      </c>
      <c r="D40" s="1">
        <v>72012</v>
      </c>
      <c r="E40" s="10">
        <v>25637</v>
      </c>
      <c r="F40" s="1">
        <v>24230</v>
      </c>
      <c r="G40" s="1">
        <v>49867</v>
      </c>
      <c r="H40" s="2">
        <v>104.3</v>
      </c>
      <c r="I40" s="2">
        <v>144.4</v>
      </c>
      <c r="K40" s="4">
        <f t="shared" si="0"/>
        <v>0</v>
      </c>
      <c r="L40" s="4">
        <f t="shared" si="1"/>
        <v>0</v>
      </c>
      <c r="M40" s="6">
        <f t="shared" si="2"/>
        <v>-4.8426905727723124E-3</v>
      </c>
      <c r="N40" s="6">
        <f t="shared" si="3"/>
        <v>8.1256141335757093E-3</v>
      </c>
    </row>
    <row r="41" spans="1:14">
      <c r="A41" t="s">
        <v>48</v>
      </c>
      <c r="B41" s="1">
        <v>34371</v>
      </c>
      <c r="C41" s="1">
        <v>32869</v>
      </c>
      <c r="D41" s="1">
        <v>67240</v>
      </c>
      <c r="E41" s="1">
        <v>24806</v>
      </c>
      <c r="F41" s="1">
        <v>23202</v>
      </c>
      <c r="G41" s="1">
        <v>48008</v>
      </c>
      <c r="H41" s="2">
        <v>104.6</v>
      </c>
      <c r="I41" s="2">
        <v>140.1</v>
      </c>
      <c r="K41" s="4">
        <f t="shared" si="0"/>
        <v>0</v>
      </c>
      <c r="L41" s="4">
        <f t="shared" si="1"/>
        <v>0</v>
      </c>
      <c r="M41" s="6">
        <f t="shared" si="2"/>
        <v>-3.034470169460235E-2</v>
      </c>
      <c r="N41" s="6">
        <f t="shared" si="3"/>
        <v>-4.000999833360197E-2</v>
      </c>
    </row>
    <row r="42" spans="1:14">
      <c r="A42" t="s">
        <v>49</v>
      </c>
      <c r="B42" s="1">
        <v>24319</v>
      </c>
      <c r="C42" s="1">
        <v>23292</v>
      </c>
      <c r="D42" s="1">
        <v>47611</v>
      </c>
      <c r="E42" s="1">
        <v>14599</v>
      </c>
      <c r="F42" s="1">
        <v>12675</v>
      </c>
      <c r="G42" s="1">
        <v>27274</v>
      </c>
      <c r="H42" s="2">
        <v>104.4</v>
      </c>
      <c r="I42" s="2">
        <v>174.6</v>
      </c>
      <c r="K42" s="4">
        <f t="shared" si="0"/>
        <v>0</v>
      </c>
      <c r="L42" s="4">
        <f t="shared" si="1"/>
        <v>0</v>
      </c>
      <c r="M42" s="6">
        <f t="shared" si="2"/>
        <v>9.2392237678069478E-3</v>
      </c>
      <c r="N42" s="6">
        <f t="shared" si="3"/>
        <v>-3.4479724279520951E-2</v>
      </c>
    </row>
    <row r="43" spans="1:14">
      <c r="A43" t="s">
        <v>50</v>
      </c>
      <c r="B43" s="1">
        <v>61111</v>
      </c>
      <c r="C43" s="1">
        <v>59066</v>
      </c>
      <c r="D43" s="1">
        <v>120177</v>
      </c>
      <c r="E43" s="1">
        <v>48626</v>
      </c>
      <c r="F43" s="1">
        <v>44828</v>
      </c>
      <c r="G43" s="1">
        <v>93454</v>
      </c>
      <c r="H43" s="2">
        <v>103.5</v>
      </c>
      <c r="I43" s="2">
        <v>128.6</v>
      </c>
      <c r="K43" s="4">
        <f t="shared" si="0"/>
        <v>0</v>
      </c>
      <c r="L43" s="4">
        <f t="shared" si="1"/>
        <v>0</v>
      </c>
      <c r="M43" s="6">
        <f t="shared" si="2"/>
        <v>-3.7771306673889171E-2</v>
      </c>
      <c r="N43" s="6">
        <f t="shared" si="3"/>
        <v>-5.1832987352042892E-3</v>
      </c>
    </row>
    <row r="44" spans="1:14">
      <c r="A44" t="s">
        <v>51</v>
      </c>
      <c r="B44" s="1">
        <v>39166</v>
      </c>
      <c r="C44" s="1">
        <v>37547</v>
      </c>
      <c r="D44" s="1">
        <v>76713</v>
      </c>
      <c r="E44" s="1">
        <v>34387</v>
      </c>
      <c r="F44" s="1">
        <v>31611</v>
      </c>
      <c r="G44" s="1">
        <v>65998</v>
      </c>
      <c r="H44" s="2">
        <v>104.3</v>
      </c>
      <c r="I44" s="2">
        <v>116.2</v>
      </c>
      <c r="K44" s="4">
        <f t="shared" si="0"/>
        <v>0</v>
      </c>
      <c r="L44" s="4">
        <f t="shared" si="1"/>
        <v>0</v>
      </c>
      <c r="M44" s="6">
        <f t="shared" si="2"/>
        <v>1.1929048925352959E-2</v>
      </c>
      <c r="N44" s="6">
        <f t="shared" si="3"/>
        <v>3.5340464862571253E-2</v>
      </c>
    </row>
    <row r="45" spans="1:14">
      <c r="A45" t="s">
        <v>52</v>
      </c>
      <c r="B45" s="1">
        <v>35610</v>
      </c>
      <c r="C45" s="1">
        <v>33913</v>
      </c>
      <c r="D45" s="1">
        <v>69523</v>
      </c>
      <c r="E45" s="1">
        <v>27465</v>
      </c>
      <c r="F45" s="1">
        <v>24959</v>
      </c>
      <c r="G45" s="1">
        <v>52424</v>
      </c>
      <c r="H45" s="2">
        <v>105</v>
      </c>
      <c r="I45" s="2">
        <v>132.6</v>
      </c>
      <c r="K45" s="4">
        <f t="shared" si="0"/>
        <v>0</v>
      </c>
      <c r="L45" s="4">
        <f t="shared" si="1"/>
        <v>0</v>
      </c>
      <c r="M45" s="6">
        <f t="shared" si="2"/>
        <v>3.9807743343232005E-3</v>
      </c>
      <c r="N45" s="6">
        <f t="shared" si="3"/>
        <v>1.6740424233177009E-2</v>
      </c>
    </row>
    <row r="46" spans="1:14">
      <c r="A46" t="s">
        <v>53</v>
      </c>
      <c r="B46" s="1">
        <v>42579</v>
      </c>
      <c r="C46" s="1">
        <v>41591</v>
      </c>
      <c r="D46" s="1">
        <v>84170</v>
      </c>
      <c r="E46" s="1">
        <v>27367</v>
      </c>
      <c r="F46" s="1">
        <v>25424</v>
      </c>
      <c r="G46" s="1">
        <v>52791</v>
      </c>
      <c r="H46" s="2">
        <v>102.4</v>
      </c>
      <c r="I46" s="2">
        <v>160</v>
      </c>
      <c r="K46" s="4">
        <f t="shared" si="0"/>
        <v>0</v>
      </c>
      <c r="L46" s="4">
        <f t="shared" si="1"/>
        <v>0</v>
      </c>
      <c r="M46" s="6">
        <f t="shared" si="2"/>
        <v>-2.4486066697122055E-2</v>
      </c>
      <c r="N46" s="6">
        <f t="shared" si="3"/>
        <v>-0.55994392983652119</v>
      </c>
    </row>
    <row r="47" spans="1:14">
      <c r="A47" t="s">
        <v>54</v>
      </c>
      <c r="B47" s="1">
        <v>54276</v>
      </c>
      <c r="C47" s="1">
        <v>51644</v>
      </c>
      <c r="D47" s="1">
        <v>105920</v>
      </c>
      <c r="E47" s="1">
        <v>36361</v>
      </c>
      <c r="F47" s="1">
        <v>34759</v>
      </c>
      <c r="G47" s="1">
        <v>71120</v>
      </c>
      <c r="H47" s="2">
        <v>105.1</v>
      </c>
      <c r="I47" s="2">
        <v>148.9</v>
      </c>
      <c r="K47" s="4">
        <f t="shared" si="0"/>
        <v>0</v>
      </c>
      <c r="L47" s="4">
        <f t="shared" si="1"/>
        <v>0</v>
      </c>
      <c r="M47" s="6">
        <f t="shared" si="2"/>
        <v>-3.5705987142762297E-3</v>
      </c>
      <c r="N47" s="6">
        <f t="shared" si="3"/>
        <v>3.1383577052849887E-2</v>
      </c>
    </row>
    <row r="48" spans="1:14">
      <c r="A48" t="s">
        <v>55</v>
      </c>
      <c r="B48" s="1">
        <v>48498</v>
      </c>
      <c r="C48" s="1">
        <v>45418</v>
      </c>
      <c r="D48" s="1">
        <v>93916</v>
      </c>
      <c r="E48" s="1">
        <v>29194</v>
      </c>
      <c r="F48" s="1">
        <v>25417</v>
      </c>
      <c r="G48" s="1">
        <v>54611</v>
      </c>
      <c r="H48" s="2">
        <v>106.7</v>
      </c>
      <c r="I48" s="2">
        <v>172</v>
      </c>
      <c r="K48" s="4">
        <f t="shared" si="0"/>
        <v>0</v>
      </c>
      <c r="L48" s="4">
        <f t="shared" si="1"/>
        <v>0</v>
      </c>
      <c r="M48" s="6">
        <f t="shared" si="2"/>
        <v>8.1452287639265819E-2</v>
      </c>
      <c r="N48" s="6">
        <f t="shared" si="3"/>
        <v>-2.732050319531254E-2</v>
      </c>
    </row>
    <row r="49" spans="1:14">
      <c r="A49" t="s">
        <v>56</v>
      </c>
      <c r="B49" s="1">
        <v>45605</v>
      </c>
      <c r="C49" s="1">
        <v>43145</v>
      </c>
      <c r="D49" s="1">
        <v>88750</v>
      </c>
      <c r="E49" s="1">
        <v>30097</v>
      </c>
      <c r="F49" s="1">
        <v>28894</v>
      </c>
      <c r="G49" s="1">
        <v>58991</v>
      </c>
      <c r="H49" s="2">
        <v>105.7</v>
      </c>
      <c r="I49" s="2">
        <v>150.4</v>
      </c>
      <c r="K49" s="4">
        <f t="shared" si="0"/>
        <v>0</v>
      </c>
      <c r="L49" s="4">
        <f t="shared" si="1"/>
        <v>0</v>
      </c>
      <c r="M49" s="6">
        <f t="shared" si="2"/>
        <v>1.7035577703126137E-3</v>
      </c>
      <c r="N49" s="6">
        <f t="shared" si="3"/>
        <v>4.6678306860343355E-2</v>
      </c>
    </row>
    <row r="50" spans="1:14">
      <c r="A50" t="s">
        <v>57</v>
      </c>
      <c r="B50" s="1">
        <v>5581</v>
      </c>
      <c r="C50" s="1">
        <v>5370</v>
      </c>
      <c r="D50" s="1">
        <v>10951</v>
      </c>
      <c r="E50" s="1">
        <v>3827</v>
      </c>
      <c r="F50" s="1">
        <v>3742</v>
      </c>
      <c r="G50" s="1">
        <v>7569</v>
      </c>
      <c r="H50" s="2">
        <v>103.9</v>
      </c>
      <c r="I50" s="2">
        <v>144.69999999999999</v>
      </c>
      <c r="K50" s="4">
        <f t="shared" si="0"/>
        <v>0</v>
      </c>
      <c r="L50" s="4">
        <f t="shared" si="1"/>
        <v>0</v>
      </c>
      <c r="M50" s="6">
        <f t="shared" si="2"/>
        <v>2.9236499068900912E-2</v>
      </c>
      <c r="N50" s="6">
        <f t="shared" si="3"/>
        <v>-1.7743427136991841E-2</v>
      </c>
    </row>
    <row r="51" spans="1:14">
      <c r="A51" t="s">
        <v>58</v>
      </c>
      <c r="B51" s="1">
        <v>21679</v>
      </c>
      <c r="C51" s="1">
        <v>20642</v>
      </c>
      <c r="D51" s="1">
        <v>42321</v>
      </c>
      <c r="E51" s="1">
        <v>19287</v>
      </c>
      <c r="F51" s="1">
        <v>18413</v>
      </c>
      <c r="G51" s="1">
        <v>37700</v>
      </c>
      <c r="H51" s="2">
        <v>105</v>
      </c>
      <c r="I51" s="2">
        <v>112.3</v>
      </c>
      <c r="K51" s="4">
        <f t="shared" si="0"/>
        <v>0</v>
      </c>
      <c r="L51" s="4">
        <f t="shared" si="1"/>
        <v>0</v>
      </c>
      <c r="M51" s="6">
        <f t="shared" si="2"/>
        <v>2.3738009882762867E-2</v>
      </c>
      <c r="N51" s="6">
        <f t="shared" si="3"/>
        <v>-4.2705570291772688E-2</v>
      </c>
    </row>
    <row r="52" spans="1:14">
      <c r="A52" s="3" t="s">
        <v>59</v>
      </c>
      <c r="B52" s="1">
        <v>1885871</v>
      </c>
      <c r="C52" s="1">
        <v>1795574</v>
      </c>
      <c r="D52" s="1">
        <v>3681445</v>
      </c>
      <c r="E52" s="1">
        <v>1387200</v>
      </c>
      <c r="F52" s="1">
        <v>1281895</v>
      </c>
      <c r="G52" s="1">
        <v>2669095</v>
      </c>
      <c r="H52" s="2">
        <v>105</v>
      </c>
      <c r="I52" s="2">
        <v>137.9</v>
      </c>
      <c r="K52" s="4">
        <f t="shared" si="0"/>
        <v>0</v>
      </c>
      <c r="L52" s="4">
        <f t="shared" si="1"/>
        <v>0</v>
      </c>
      <c r="M52" s="6">
        <f t="shared" si="2"/>
        <v>2.8865421308182704E-2</v>
      </c>
      <c r="N52" s="6">
        <f t="shared" si="3"/>
        <v>2.8586281117753742E-2</v>
      </c>
    </row>
    <row r="54" spans="1:14">
      <c r="A54" s="9" t="s">
        <v>64</v>
      </c>
      <c r="B54" s="4">
        <f>SUM(B2:B51)-B52</f>
        <v>7</v>
      </c>
      <c r="C54" s="4">
        <f>SUM(C2:C51)-C52</f>
        <v>-5</v>
      </c>
      <c r="D54" s="4">
        <f>SUM(D2:D51)-D52</f>
        <v>2</v>
      </c>
      <c r="E54" s="4">
        <f>SUM(E2:E51)-E52</f>
        <v>4</v>
      </c>
      <c r="F54" s="4">
        <f>SUM(F2:F51)-F52</f>
        <v>0</v>
      </c>
      <c r="G54" s="4">
        <f>SUM(G2:G51)-G52</f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</cp:lastModifiedBy>
  <dcterms:modified xsi:type="dcterms:W3CDTF">2026-08-31T17:41:16Z</dcterms:modified>
</cp:coreProperties>
</file>