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21E82178-3D3E-4418-A67A-A6395908F25B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188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N4" i="1"/>
  <c r="M4" i="1"/>
  <c r="L4" i="1"/>
  <c r="K4" i="1"/>
  <c r="N3" i="1"/>
  <c r="M3" i="1"/>
  <c r="L3" i="1"/>
  <c r="K3" i="1"/>
  <c r="N2" i="1"/>
  <c r="M2" i="1"/>
  <c r="L2" i="1"/>
  <c r="K2" i="1"/>
</calcChain>
</file>

<file path=xl/sharedStrings.xml><?xml version="1.0" encoding="utf-8"?>
<sst xmlns="http://schemas.openxmlformats.org/spreadsheetml/2006/main" count="65" uniqueCount="65">
  <si>
    <t>губ</t>
  </si>
  <si>
    <t>чр-м</t>
  </si>
  <si>
    <t>чр-ж</t>
  </si>
  <si>
    <t>чр-о</t>
  </si>
  <si>
    <t>чс-м</t>
  </si>
  <si>
    <t>чс-ж</t>
  </si>
  <si>
    <t>чс-о</t>
  </si>
  <si>
    <t>vр-мж</t>
  </si>
  <si>
    <t>v-рс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</si>
  <si>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</si>
  <si>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</si>
  <si>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</si>
  <si>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</si>
  <si>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</si>
  <si>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</si>
  <si>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</si>
  <si>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</si>
  <si>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</si>
  <si>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</si>
  <si>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</si>
  <si>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</si>
  <si>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</si>
  <si>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</si>
  <si>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</si>
  <si>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</si>
  <si>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</si>
  <si>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</si>
  <si>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</si>
  <si>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</si>
  <si>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</si>
  <si>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</si>
  <si>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</si>
  <si>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</si>
  <si>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</si>
  <si>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</si>
  <si>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</si>
  <si>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</si>
  <si>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</si>
  <si>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</si>
  <si>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</si>
  <si>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</si>
  <si>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</si>
  <si>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</si>
  <si>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</si>
  <si>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</si>
  <si>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</si>
  <si>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</si>
  <si>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</si>
  <si>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</si>
  <si>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</si>
  <si>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</si>
  <si>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</si>
  <si>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</si>
  <si>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</si>
  <si>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</si>
  <si>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</si>
  <si>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</si>
  <si>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</si>
  <si>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</si>
  <si>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</si>
  <si>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</si>
  <si>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</si>
  <si>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vvр-мж</t>
  </si>
  <si>
    <t>vv-рс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</si>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</sst>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name val="Carlito"/>
    </font>
    <font>
      <b/>
      <sz val="11"/>
      <name val="Carlito"/>
    </font>
    <font>
      <b/>
      <sz val="11"/>
      <name val="Carlito"/>
      <family val="2"/>
    </font>
    <font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3" fontId="0" fillId="2" borderId="0" xfId="0" applyNumberFormat="1" applyFill="1"/>
    <xf numFmtId="0" fontId="3" fillId="3" borderId="0" xfId="0" applyFont="1" applyFill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>
      <selection activeCell="A52" sqref="A52:I52"/>
    </sheetView>
  </sheetViews>
  <sheetFormatPr defaultRowHeight="14.4" x14ac:dyDescent="0.55000000000000004"/>
  <cols>
    <col min="1" max="1" width="28" customWidth="1"/>
    <col min="2" max="7" width="12" customWidth="1"/>
    <col min="8" max="9" width="10" customWidth="1"/>
  </cols>
  <sheetData>
    <row r="1" spans="1:14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K1" s="5" t="s">
        <v>60</v>
      </c>
      <c r="L1" s="5" t="s">
        <v>61</v>
      </c>
      <c r="M1" s="4" t="s">
        <v>62</v>
      </c>
      <c r="N1" s="4" t="s">
        <v>63</v>
      </c>
    </row>
    <row r="2" spans="1:14" x14ac:dyDescent="0.55000000000000004">
      <c r="A2" t="s">
        <v>9</v>
      </c>
      <c r="B2" s="1">
        <v>6449</v>
      </c>
      <c r="C2" s="1">
        <v>6101</v>
      </c>
      <c r="D2" s="1">
        <v>12550</v>
      </c>
      <c r="E2" s="1">
        <v>4168</v>
      </c>
      <c r="F2" s="1">
        <v>3948</v>
      </c>
      <c r="G2" s="1">
        <v>8116</v>
      </c>
      <c r="H2" s="2">
        <v>105.7</v>
      </c>
      <c r="I2" s="2">
        <v>154.6</v>
      </c>
      <c r="K2" s="1">
        <f>D2-C2-B2</f>
        <v>0</v>
      </c>
      <c r="L2" s="1">
        <f>G2-F2-E2</f>
        <v>0</v>
      </c>
      <c r="M2" s="2">
        <f>B2/C2*100-H2</f>
        <v>3.982953614155349E-3</v>
      </c>
      <c r="N2" s="2">
        <f>D2/G2*100-I2</f>
        <v>3.2824051256795883E-2</v>
      </c>
    </row>
    <row r="3" spans="1:14" x14ac:dyDescent="0.55000000000000004">
      <c r="A3" t="s">
        <v>10</v>
      </c>
      <c r="B3" s="1">
        <v>14286</v>
      </c>
      <c r="C3" s="1">
        <v>13696</v>
      </c>
      <c r="D3" s="1">
        <v>27982</v>
      </c>
      <c r="E3" s="1">
        <v>13725</v>
      </c>
      <c r="F3" s="1">
        <v>12464</v>
      </c>
      <c r="G3" s="1">
        <v>26189</v>
      </c>
      <c r="H3" s="2">
        <v>104.3</v>
      </c>
      <c r="I3" s="2">
        <v>106.8</v>
      </c>
      <c r="K3" s="1">
        <f t="shared" ref="K3:K52" si="0">D3-C3-B3</f>
        <v>0</v>
      </c>
      <c r="L3" s="1">
        <f t="shared" ref="L3:L52" si="1">G3-F3-E3</f>
        <v>0</v>
      </c>
      <c r="M3" s="2">
        <f t="shared" ref="M3:M52" si="2">B3/C3*100-H3</f>
        <v>7.8271028037306678E-3</v>
      </c>
      <c r="N3" s="2">
        <f t="shared" ref="N3:N52" si="3">D3/G3*100-I3</f>
        <v>4.6385887204550613E-2</v>
      </c>
    </row>
    <row r="4" spans="1:14" x14ac:dyDescent="0.55000000000000004">
      <c r="A4" t="s">
        <v>11</v>
      </c>
      <c r="B4" s="1">
        <v>36802</v>
      </c>
      <c r="C4" s="1">
        <v>33673</v>
      </c>
      <c r="D4" s="1">
        <v>70475</v>
      </c>
      <c r="E4" s="1">
        <v>22668</v>
      </c>
      <c r="F4" s="1">
        <v>19402</v>
      </c>
      <c r="G4" s="1">
        <v>42070</v>
      </c>
      <c r="H4" s="2">
        <v>109.2</v>
      </c>
      <c r="I4" s="2">
        <v>167.5</v>
      </c>
      <c r="K4" s="1">
        <f t="shared" si="0"/>
        <v>0</v>
      </c>
      <c r="L4" s="1">
        <f t="shared" si="1"/>
        <v>0</v>
      </c>
      <c r="M4" s="2">
        <f t="shared" si="2"/>
        <v>9.2311347370298336E-2</v>
      </c>
      <c r="N4" s="2">
        <f t="shared" si="3"/>
        <v>1.8421678155448262E-2</v>
      </c>
    </row>
    <row r="5" spans="1:14" x14ac:dyDescent="0.55000000000000004">
      <c r="A5" t="s">
        <v>12</v>
      </c>
      <c r="B5" s="1">
        <v>25901</v>
      </c>
      <c r="C5" s="1">
        <v>24035</v>
      </c>
      <c r="D5" s="1">
        <v>49936</v>
      </c>
      <c r="E5" s="1">
        <v>14629</v>
      </c>
      <c r="F5" s="1">
        <v>13399</v>
      </c>
      <c r="G5" s="1">
        <v>28028</v>
      </c>
      <c r="H5" s="2">
        <v>107.7</v>
      </c>
      <c r="I5" s="2">
        <v>178.1</v>
      </c>
      <c r="K5" s="1">
        <f t="shared" si="0"/>
        <v>0</v>
      </c>
      <c r="L5" s="1">
        <f t="shared" si="1"/>
        <v>0</v>
      </c>
      <c r="M5" s="2">
        <f t="shared" si="2"/>
        <v>6.3677969627619291E-2</v>
      </c>
      <c r="N5" s="2">
        <f t="shared" si="3"/>
        <v>6.4692450406738544E-2</v>
      </c>
    </row>
    <row r="6" spans="1:14" x14ac:dyDescent="0.55000000000000004">
      <c r="A6" t="s">
        <v>13</v>
      </c>
      <c r="B6" s="1">
        <v>27200</v>
      </c>
      <c r="C6" s="1">
        <v>24814</v>
      </c>
      <c r="D6" s="1">
        <v>52014</v>
      </c>
      <c r="E6" s="1">
        <v>15508</v>
      </c>
      <c r="F6" s="1">
        <v>14154</v>
      </c>
      <c r="G6" s="1">
        <v>29662</v>
      </c>
      <c r="H6" s="2">
        <v>109.6</v>
      </c>
      <c r="I6" s="2">
        <v>175.5</v>
      </c>
      <c r="K6" s="1">
        <f t="shared" si="0"/>
        <v>0</v>
      </c>
      <c r="L6" s="1">
        <f t="shared" si="1"/>
        <v>0</v>
      </c>
      <c r="M6" s="2">
        <f t="shared" si="2"/>
        <v>1.5539614733626195E-2</v>
      </c>
      <c r="N6" s="2">
        <f t="shared" si="3"/>
        <v>-0.14432607376440387</v>
      </c>
    </row>
    <row r="7" spans="1:14" x14ac:dyDescent="0.55000000000000004">
      <c r="A7" t="s">
        <v>14</v>
      </c>
      <c r="B7" s="1">
        <v>36436</v>
      </c>
      <c r="C7" s="1">
        <v>34645</v>
      </c>
      <c r="D7" s="1">
        <v>71081</v>
      </c>
      <c r="E7" s="1">
        <v>29867</v>
      </c>
      <c r="F7" s="1">
        <v>28409</v>
      </c>
      <c r="G7" s="1">
        <v>58276</v>
      </c>
      <c r="H7" s="2">
        <v>105.1</v>
      </c>
      <c r="I7" s="2">
        <v>121.9</v>
      </c>
      <c r="K7" s="1">
        <f t="shared" si="0"/>
        <v>0</v>
      </c>
      <c r="L7" s="1">
        <f t="shared" si="1"/>
        <v>0</v>
      </c>
      <c r="M7" s="2">
        <f t="shared" si="2"/>
        <v>6.9577139558376189E-2</v>
      </c>
      <c r="N7" s="2">
        <f t="shared" si="3"/>
        <v>7.3024915917343947E-2</v>
      </c>
    </row>
    <row r="8" spans="1:14" x14ac:dyDescent="0.55000000000000004">
      <c r="A8" t="s">
        <v>15</v>
      </c>
      <c r="B8" s="1">
        <v>26614</v>
      </c>
      <c r="C8" s="1">
        <v>25757</v>
      </c>
      <c r="D8" s="1">
        <v>52371</v>
      </c>
      <c r="E8" s="1">
        <v>21412</v>
      </c>
      <c r="F8" s="1">
        <v>20469</v>
      </c>
      <c r="G8" s="1">
        <v>41881</v>
      </c>
      <c r="H8" s="2">
        <v>103.3</v>
      </c>
      <c r="I8" s="2">
        <v>125</v>
      </c>
      <c r="K8" s="1">
        <f t="shared" si="0"/>
        <v>0</v>
      </c>
      <c r="L8" s="1">
        <f t="shared" si="1"/>
        <v>0</v>
      </c>
      <c r="M8" s="2">
        <f t="shared" si="2"/>
        <v>2.7250844430639631E-2</v>
      </c>
      <c r="N8" s="2">
        <f t="shared" si="3"/>
        <v>4.7157422220095668E-2</v>
      </c>
    </row>
    <row r="9" spans="1:14" x14ac:dyDescent="0.55000000000000004">
      <c r="A9" t="s">
        <v>16</v>
      </c>
      <c r="B9" s="1">
        <v>54164</v>
      </c>
      <c r="C9" s="1">
        <v>49971</v>
      </c>
      <c r="D9" s="1">
        <v>104135</v>
      </c>
      <c r="E9" s="1">
        <v>36494</v>
      </c>
      <c r="F9" s="1">
        <v>33576</v>
      </c>
      <c r="G9" s="1">
        <v>70070</v>
      </c>
      <c r="H9" s="2">
        <v>108.4</v>
      </c>
      <c r="I9" s="2">
        <v>148.5</v>
      </c>
      <c r="K9" s="1">
        <f t="shared" si="0"/>
        <v>0</v>
      </c>
      <c r="L9" s="1">
        <f t="shared" si="1"/>
        <v>0</v>
      </c>
      <c r="M9" s="2">
        <f t="shared" si="2"/>
        <v>-9.1332973124451655E-3</v>
      </c>
      <c r="N9" s="2">
        <f t="shared" si="3"/>
        <v>0.11567004424148308</v>
      </c>
    </row>
    <row r="10" spans="1:14" x14ac:dyDescent="0.55000000000000004">
      <c r="A10" t="s">
        <v>17</v>
      </c>
      <c r="B10" s="1">
        <v>65348</v>
      </c>
      <c r="C10" s="1">
        <v>62574</v>
      </c>
      <c r="D10" s="1">
        <v>127922</v>
      </c>
      <c r="E10" s="1">
        <v>48045</v>
      </c>
      <c r="F10" s="1">
        <v>46020</v>
      </c>
      <c r="G10" s="1">
        <v>94065</v>
      </c>
      <c r="H10" s="2">
        <v>104.4</v>
      </c>
      <c r="I10" s="2">
        <v>140</v>
      </c>
      <c r="K10" s="1">
        <f t="shared" si="0"/>
        <v>0</v>
      </c>
      <c r="L10" s="1">
        <f t="shared" si="1"/>
        <v>0</v>
      </c>
      <c r="M10" s="2">
        <f t="shared" si="2"/>
        <v>3.3151149039525762E-2</v>
      </c>
      <c r="N10" s="2">
        <f t="shared" si="3"/>
        <v>-4.006803805878917</v>
      </c>
    </row>
    <row r="11" spans="1:14" x14ac:dyDescent="0.55000000000000004">
      <c r="A11" t="s">
        <v>18</v>
      </c>
      <c r="B11" s="1">
        <v>75517</v>
      </c>
      <c r="C11" s="1">
        <v>72772</v>
      </c>
      <c r="D11" s="1">
        <v>148289</v>
      </c>
      <c r="E11" s="1">
        <v>57707</v>
      </c>
      <c r="F11" s="1">
        <v>55364</v>
      </c>
      <c r="G11" s="1">
        <v>113071</v>
      </c>
      <c r="H11" s="2">
        <v>103.7</v>
      </c>
      <c r="I11" s="2">
        <v>131.1</v>
      </c>
      <c r="K11" s="1">
        <f t="shared" si="0"/>
        <v>0</v>
      </c>
      <c r="L11" s="1">
        <f t="shared" si="1"/>
        <v>0</v>
      </c>
      <c r="M11" s="2">
        <f t="shared" si="2"/>
        <v>7.2055186060566712E-2</v>
      </c>
      <c r="N11" s="2">
        <f t="shared" si="3"/>
        <v>4.6801567156933288E-2</v>
      </c>
    </row>
    <row r="12" spans="1:14" x14ac:dyDescent="0.55000000000000004">
      <c r="A12" t="s">
        <v>19</v>
      </c>
      <c r="B12" s="1">
        <v>28615</v>
      </c>
      <c r="C12" s="1">
        <v>25364</v>
      </c>
      <c r="D12" s="1">
        <v>53979</v>
      </c>
      <c r="E12" s="1">
        <v>17194</v>
      </c>
      <c r="F12" s="1">
        <v>16356</v>
      </c>
      <c r="G12" s="1">
        <v>33550</v>
      </c>
      <c r="H12" s="2">
        <v>112.8</v>
      </c>
      <c r="I12" s="2">
        <v>160.80000000000001</v>
      </c>
      <c r="K12" s="1">
        <f t="shared" si="0"/>
        <v>0</v>
      </c>
      <c r="L12" s="1">
        <f t="shared" si="1"/>
        <v>0</v>
      </c>
      <c r="M12" s="2">
        <f t="shared" si="2"/>
        <v>1.7378962308796986E-2</v>
      </c>
      <c r="N12" s="2">
        <f t="shared" si="3"/>
        <v>9.1207153502210758E-2</v>
      </c>
    </row>
    <row r="13" spans="1:14" x14ac:dyDescent="0.55000000000000004">
      <c r="A13" t="s">
        <v>20</v>
      </c>
      <c r="B13" s="1">
        <v>45169</v>
      </c>
      <c r="C13" s="1">
        <v>43473</v>
      </c>
      <c r="D13" s="1">
        <v>88642</v>
      </c>
      <c r="E13" s="1">
        <v>31785</v>
      </c>
      <c r="F13" s="1">
        <v>29361</v>
      </c>
      <c r="G13" s="1">
        <v>61146</v>
      </c>
      <c r="H13" s="2">
        <v>103.9</v>
      </c>
      <c r="I13" s="2">
        <v>144.9</v>
      </c>
      <c r="K13" s="1">
        <f t="shared" si="0"/>
        <v>0</v>
      </c>
      <c r="L13" s="1">
        <f t="shared" si="1"/>
        <v>0</v>
      </c>
      <c r="M13" s="2">
        <f t="shared" si="2"/>
        <v>1.2720539185124835E-3</v>
      </c>
      <c r="N13" s="2">
        <f t="shared" si="3"/>
        <v>6.7782029895653295E-2</v>
      </c>
    </row>
    <row r="14" spans="1:14" x14ac:dyDescent="0.55000000000000004">
      <c r="A14" t="s">
        <v>21</v>
      </c>
      <c r="B14" s="1">
        <v>49576</v>
      </c>
      <c r="C14" s="1">
        <v>48231</v>
      </c>
      <c r="D14" s="1">
        <v>97807</v>
      </c>
      <c r="E14" s="1">
        <v>31361</v>
      </c>
      <c r="F14" s="1">
        <v>26608</v>
      </c>
      <c r="G14" s="1">
        <v>57969</v>
      </c>
      <c r="H14" s="2">
        <v>102.7</v>
      </c>
      <c r="I14" s="2">
        <v>168.7</v>
      </c>
      <c r="K14" s="1">
        <f t="shared" si="0"/>
        <v>0</v>
      </c>
      <c r="L14" s="1">
        <f t="shared" si="1"/>
        <v>0</v>
      </c>
      <c r="M14" s="2">
        <f t="shared" si="2"/>
        <v>8.866289315999154E-2</v>
      </c>
      <c r="N14" s="2">
        <f t="shared" si="3"/>
        <v>2.2938122099759539E-2</v>
      </c>
    </row>
    <row r="15" spans="1:14" x14ac:dyDescent="0.55000000000000004">
      <c r="A15" t="s">
        <v>22</v>
      </c>
      <c r="B15" s="1">
        <v>47040</v>
      </c>
      <c r="C15" s="1">
        <v>44970</v>
      </c>
      <c r="D15" s="1">
        <v>92010</v>
      </c>
      <c r="E15" s="1">
        <v>36212</v>
      </c>
      <c r="F15" s="1">
        <v>34648</v>
      </c>
      <c r="G15" s="1">
        <v>70860</v>
      </c>
      <c r="H15" s="2">
        <v>104.6</v>
      </c>
      <c r="I15" s="2">
        <v>129.80000000000001</v>
      </c>
      <c r="K15" s="1">
        <f t="shared" si="0"/>
        <v>0</v>
      </c>
      <c r="L15" s="1">
        <f t="shared" si="1"/>
        <v>0</v>
      </c>
      <c r="M15" s="2">
        <f t="shared" si="2"/>
        <v>3.0687124749846362E-3</v>
      </c>
      <c r="N15" s="2">
        <f t="shared" si="3"/>
        <v>4.7586790855206118E-2</v>
      </c>
    </row>
    <row r="16" spans="1:14" x14ac:dyDescent="0.55000000000000004">
      <c r="A16" t="s">
        <v>23</v>
      </c>
      <c r="B16" s="1">
        <v>28180</v>
      </c>
      <c r="C16" s="1">
        <v>26690</v>
      </c>
      <c r="D16" s="1">
        <v>54870</v>
      </c>
      <c r="E16" s="1">
        <v>19915</v>
      </c>
      <c r="F16" s="1">
        <v>18673</v>
      </c>
      <c r="G16" s="1">
        <v>38588</v>
      </c>
      <c r="H16" s="2">
        <v>105.5</v>
      </c>
      <c r="I16" s="2">
        <v>142.19999999999999</v>
      </c>
      <c r="K16" s="1">
        <f t="shared" si="0"/>
        <v>0</v>
      </c>
      <c r="L16" s="1">
        <f t="shared" si="1"/>
        <v>0</v>
      </c>
      <c r="M16" s="2">
        <f t="shared" si="2"/>
        <v>8.2615211689770263E-2</v>
      </c>
      <c r="N16" s="2">
        <f t="shared" si="3"/>
        <v>-5.5353996060887312E-3</v>
      </c>
    </row>
    <row r="17" spans="1:14" x14ac:dyDescent="0.55000000000000004">
      <c r="A17" t="s">
        <v>24</v>
      </c>
      <c r="B17" s="1">
        <v>74427</v>
      </c>
      <c r="C17" s="1">
        <v>69558</v>
      </c>
      <c r="D17" s="1">
        <v>143985</v>
      </c>
      <c r="E17" s="1">
        <v>53160</v>
      </c>
      <c r="F17" s="1">
        <v>47732</v>
      </c>
      <c r="G17" s="1">
        <v>100892</v>
      </c>
      <c r="H17" s="2">
        <v>107</v>
      </c>
      <c r="I17" s="2">
        <v>142.69999999999999</v>
      </c>
      <c r="K17" s="1">
        <f t="shared" si="0"/>
        <v>0</v>
      </c>
      <c r="L17" s="1">
        <f t="shared" si="1"/>
        <v>0</v>
      </c>
      <c r="M17" s="2">
        <f t="shared" si="2"/>
        <v>-8.6258949380635386E-5</v>
      </c>
      <c r="N17" s="2">
        <f t="shared" si="3"/>
        <v>1.2008880783412224E-2</v>
      </c>
    </row>
    <row r="18" spans="1:14" x14ac:dyDescent="0.55000000000000004">
      <c r="A18" t="s">
        <v>25</v>
      </c>
      <c r="B18" s="1">
        <v>25975</v>
      </c>
      <c r="C18" s="1">
        <v>23730</v>
      </c>
      <c r="D18" s="1">
        <v>49705</v>
      </c>
      <c r="E18" s="1">
        <v>16327</v>
      </c>
      <c r="F18" s="1">
        <v>15588</v>
      </c>
      <c r="G18" s="1">
        <v>31915</v>
      </c>
      <c r="H18" s="2">
        <v>109.4</v>
      </c>
      <c r="I18" s="2">
        <v>155.69999999999999</v>
      </c>
      <c r="K18" s="1">
        <f t="shared" si="0"/>
        <v>0</v>
      </c>
      <c r="L18" s="1">
        <f t="shared" si="1"/>
        <v>0</v>
      </c>
      <c r="M18" s="2">
        <f t="shared" si="2"/>
        <v>6.0598398651492857E-2</v>
      </c>
      <c r="N18" s="2">
        <f t="shared" si="3"/>
        <v>4.1814193952689038E-2</v>
      </c>
    </row>
    <row r="19" spans="1:14" x14ac:dyDescent="0.55000000000000004">
      <c r="A19" t="s">
        <v>26</v>
      </c>
      <c r="B19" s="1">
        <v>30714</v>
      </c>
      <c r="C19" s="1">
        <v>29542</v>
      </c>
      <c r="D19" s="1">
        <v>60256</v>
      </c>
      <c r="E19" s="1">
        <v>24513</v>
      </c>
      <c r="F19" s="1">
        <v>24201</v>
      </c>
      <c r="G19" s="1">
        <v>48714</v>
      </c>
      <c r="H19" s="2">
        <v>103.9</v>
      </c>
      <c r="I19" s="2">
        <v>123.6</v>
      </c>
      <c r="K19" s="1">
        <f t="shared" si="0"/>
        <v>0</v>
      </c>
      <c r="L19" s="1">
        <f t="shared" si="1"/>
        <v>0</v>
      </c>
      <c r="M19" s="2">
        <f t="shared" si="2"/>
        <v>6.7233091869184136E-2</v>
      </c>
      <c r="N19" s="2">
        <f t="shared" si="3"/>
        <v>9.3394096153062378E-2</v>
      </c>
    </row>
    <row r="20" spans="1:14" x14ac:dyDescent="0.55000000000000004">
      <c r="A20" t="s">
        <v>27</v>
      </c>
      <c r="B20" s="1">
        <v>9326</v>
      </c>
      <c r="C20" s="1">
        <v>8893</v>
      </c>
      <c r="D20" s="1">
        <v>18219</v>
      </c>
      <c r="E20" s="1">
        <v>6010</v>
      </c>
      <c r="F20" s="1">
        <v>5644</v>
      </c>
      <c r="G20" s="1">
        <v>11654</v>
      </c>
      <c r="H20" s="2">
        <v>104.8</v>
      </c>
      <c r="I20" s="2">
        <v>155.6</v>
      </c>
      <c r="K20" s="1">
        <f t="shared" si="0"/>
        <v>0</v>
      </c>
      <c r="L20" s="1">
        <f t="shared" si="1"/>
        <v>0</v>
      </c>
      <c r="M20" s="2">
        <f t="shared" si="2"/>
        <v>6.8998088384134348E-2</v>
      </c>
      <c r="N20" s="2">
        <f t="shared" si="3"/>
        <v>0.73258966878324827</v>
      </c>
    </row>
    <row r="21" spans="1:14" x14ac:dyDescent="0.55000000000000004">
      <c r="A21" t="s">
        <v>28</v>
      </c>
      <c r="B21" s="1">
        <v>59328</v>
      </c>
      <c r="C21" s="1">
        <v>55736</v>
      </c>
      <c r="D21" s="1">
        <v>115064</v>
      </c>
      <c r="E21" s="1">
        <v>44714</v>
      </c>
      <c r="F21" s="1">
        <v>41551</v>
      </c>
      <c r="G21" s="1">
        <v>86265</v>
      </c>
      <c r="H21" s="2">
        <v>106.4</v>
      </c>
      <c r="I21" s="2">
        <v>133.4</v>
      </c>
      <c r="K21" s="1">
        <f t="shared" si="0"/>
        <v>0</v>
      </c>
      <c r="L21" s="1">
        <f t="shared" si="1"/>
        <v>0</v>
      </c>
      <c r="M21" s="2">
        <f t="shared" si="2"/>
        <v>4.4667719247868831E-2</v>
      </c>
      <c r="N21" s="2">
        <f t="shared" si="3"/>
        <v>-1.5661044456038553E-2</v>
      </c>
    </row>
    <row r="22" spans="1:14" x14ac:dyDescent="0.55000000000000004">
      <c r="A22" t="s">
        <v>29</v>
      </c>
      <c r="B22" s="1">
        <v>19174</v>
      </c>
      <c r="C22" s="1">
        <v>18137</v>
      </c>
      <c r="D22" s="1">
        <v>37311</v>
      </c>
      <c r="E22" s="1">
        <v>13363</v>
      </c>
      <c r="F22" s="1">
        <v>12386</v>
      </c>
      <c r="G22" s="1">
        <v>25749</v>
      </c>
      <c r="H22" s="2">
        <v>105.7</v>
      </c>
      <c r="I22" s="2">
        <v>144.9</v>
      </c>
      <c r="K22" s="1">
        <f t="shared" si="0"/>
        <v>0</v>
      </c>
      <c r="L22" s="1">
        <f t="shared" si="1"/>
        <v>0</v>
      </c>
      <c r="M22" s="2">
        <f t="shared" si="2"/>
        <v>1.7593868886820019E-2</v>
      </c>
      <c r="N22" s="2">
        <f t="shared" si="3"/>
        <v>2.714668530813924E-3</v>
      </c>
    </row>
    <row r="23" spans="1:14" x14ac:dyDescent="0.55000000000000004">
      <c r="A23" t="s">
        <v>30</v>
      </c>
      <c r="B23" s="1">
        <v>36432</v>
      </c>
      <c r="C23" s="1">
        <v>33282</v>
      </c>
      <c r="D23" s="1">
        <v>69714</v>
      </c>
      <c r="E23" s="1">
        <v>21233</v>
      </c>
      <c r="F23" s="1">
        <v>19095</v>
      </c>
      <c r="G23" s="1">
        <v>40328</v>
      </c>
      <c r="H23" s="2">
        <v>109.4</v>
      </c>
      <c r="I23" s="2">
        <v>172.8</v>
      </c>
      <c r="K23" s="1">
        <f t="shared" si="0"/>
        <v>0</v>
      </c>
      <c r="L23" s="1">
        <f t="shared" si="1"/>
        <v>0</v>
      </c>
      <c r="M23" s="2">
        <f t="shared" si="2"/>
        <v>6.4575446187120633E-2</v>
      </c>
      <c r="N23" s="2">
        <f t="shared" si="3"/>
        <v>6.748660979963006E-2</v>
      </c>
    </row>
    <row r="24" spans="1:14" x14ac:dyDescent="0.55000000000000004">
      <c r="A24" t="s">
        <v>31</v>
      </c>
      <c r="B24" s="1">
        <v>30919</v>
      </c>
      <c r="C24" s="1">
        <v>28612</v>
      </c>
      <c r="D24" s="1">
        <v>59531</v>
      </c>
      <c r="E24" s="1">
        <v>16623</v>
      </c>
      <c r="F24" s="1">
        <v>15105</v>
      </c>
      <c r="G24" s="1">
        <v>31728</v>
      </c>
      <c r="H24" s="2">
        <v>108</v>
      </c>
      <c r="I24" s="2">
        <v>187.6</v>
      </c>
      <c r="K24" s="1">
        <f t="shared" si="0"/>
        <v>0</v>
      </c>
      <c r="L24" s="1">
        <f t="shared" si="1"/>
        <v>0</v>
      </c>
      <c r="M24" s="2">
        <f t="shared" si="2"/>
        <v>6.3050468334949983E-2</v>
      </c>
      <c r="N24" s="2">
        <f t="shared" si="3"/>
        <v>2.9223398890565022E-2</v>
      </c>
    </row>
    <row r="25" spans="1:14" x14ac:dyDescent="0.55000000000000004">
      <c r="A25" t="s">
        <v>32</v>
      </c>
      <c r="B25" s="1">
        <v>48731</v>
      </c>
      <c r="C25" s="1">
        <v>46783</v>
      </c>
      <c r="D25" s="1">
        <v>95514</v>
      </c>
      <c r="E25" s="1">
        <v>43404</v>
      </c>
      <c r="F25" s="1">
        <v>38789</v>
      </c>
      <c r="G25" s="1">
        <v>82193</v>
      </c>
      <c r="H25" s="2">
        <v>104.1</v>
      </c>
      <c r="I25" s="2">
        <v>116.2</v>
      </c>
      <c r="K25" s="1">
        <f t="shared" si="0"/>
        <v>0</v>
      </c>
      <c r="L25" s="1">
        <f t="shared" si="1"/>
        <v>0</v>
      </c>
      <c r="M25" s="2">
        <f t="shared" si="2"/>
        <v>6.3905692238634515E-2</v>
      </c>
      <c r="N25" s="2">
        <f t="shared" si="3"/>
        <v>6.9762631854359825E-3</v>
      </c>
    </row>
    <row r="26" spans="1:14" x14ac:dyDescent="0.55000000000000004">
      <c r="A26" t="s">
        <v>33</v>
      </c>
      <c r="B26" s="1">
        <v>39246</v>
      </c>
      <c r="C26" s="1">
        <v>37758</v>
      </c>
      <c r="D26" s="1">
        <v>77004</v>
      </c>
      <c r="E26" s="1">
        <v>33292</v>
      </c>
      <c r="F26" s="1">
        <v>32598</v>
      </c>
      <c r="G26" s="1">
        <v>65890</v>
      </c>
      <c r="H26" s="2">
        <v>103.9</v>
      </c>
      <c r="I26" s="2">
        <v>116.9</v>
      </c>
      <c r="K26" s="1">
        <f t="shared" si="0"/>
        <v>0</v>
      </c>
      <c r="L26" s="1">
        <f t="shared" si="1"/>
        <v>0</v>
      </c>
      <c r="M26" s="2">
        <f t="shared" si="2"/>
        <v>4.0886699507382218E-2</v>
      </c>
      <c r="N26" s="2">
        <f t="shared" si="3"/>
        <v>-3.2493549855814763E-2</v>
      </c>
    </row>
    <row r="27" spans="1:14" x14ac:dyDescent="0.55000000000000004">
      <c r="A27" t="s">
        <v>34</v>
      </c>
      <c r="B27" s="1">
        <v>26112</v>
      </c>
      <c r="C27" s="1">
        <v>25788</v>
      </c>
      <c r="D27" s="1">
        <v>51900</v>
      </c>
      <c r="E27" s="1">
        <v>21812</v>
      </c>
      <c r="F27" s="1">
        <v>20513</v>
      </c>
      <c r="G27" s="1">
        <v>42325</v>
      </c>
      <c r="H27" s="2">
        <v>101.2</v>
      </c>
      <c r="I27" s="2">
        <v>122.6</v>
      </c>
      <c r="K27" s="1">
        <f t="shared" si="0"/>
        <v>0</v>
      </c>
      <c r="L27" s="1">
        <f t="shared" si="1"/>
        <v>0</v>
      </c>
      <c r="M27" s="2">
        <f t="shared" si="2"/>
        <v>5.639832480224527E-2</v>
      </c>
      <c r="N27" s="2">
        <f t="shared" si="3"/>
        <v>2.2563496751345724E-2</v>
      </c>
    </row>
    <row r="28" spans="1:14" x14ac:dyDescent="0.55000000000000004">
      <c r="A28" t="s">
        <v>35</v>
      </c>
      <c r="B28" s="1">
        <v>8363</v>
      </c>
      <c r="C28" s="1">
        <v>7867</v>
      </c>
      <c r="D28" s="1">
        <v>16230</v>
      </c>
      <c r="E28" s="1">
        <v>5871</v>
      </c>
      <c r="F28" s="1">
        <v>5685</v>
      </c>
      <c r="G28" s="1">
        <v>11556</v>
      </c>
      <c r="H28" s="2">
        <v>106.3</v>
      </c>
      <c r="I28" s="2">
        <v>140.4</v>
      </c>
      <c r="K28" s="1">
        <f t="shared" si="0"/>
        <v>0</v>
      </c>
      <c r="L28" s="1">
        <f t="shared" si="1"/>
        <v>0</v>
      </c>
      <c r="M28" s="2">
        <f t="shared" si="2"/>
        <v>4.8175924749074284E-3</v>
      </c>
      <c r="N28" s="2">
        <f t="shared" si="3"/>
        <v>4.6521287642775633E-2</v>
      </c>
    </row>
    <row r="29" spans="1:14" x14ac:dyDescent="0.55000000000000004">
      <c r="A29" t="s">
        <v>36</v>
      </c>
      <c r="B29" s="1">
        <v>38361</v>
      </c>
      <c r="C29" s="1">
        <v>37406</v>
      </c>
      <c r="D29" s="1">
        <v>75767</v>
      </c>
      <c r="E29" s="1">
        <v>29790</v>
      </c>
      <c r="F29" s="1">
        <v>27720</v>
      </c>
      <c r="G29" s="1">
        <v>57510</v>
      </c>
      <c r="H29" s="2">
        <v>102.5</v>
      </c>
      <c r="I29" s="2">
        <v>131.69999999999999</v>
      </c>
      <c r="K29" s="1">
        <f t="shared" si="0"/>
        <v>0</v>
      </c>
      <c r="L29" s="1">
        <f t="shared" si="1"/>
        <v>0</v>
      </c>
      <c r="M29" s="2">
        <f t="shared" si="2"/>
        <v>5.3066352991507415E-2</v>
      </c>
      <c r="N29" s="2">
        <f t="shared" si="3"/>
        <v>4.5783342027476692E-2</v>
      </c>
    </row>
    <row r="30" spans="1:14" x14ac:dyDescent="0.55000000000000004">
      <c r="A30" t="s">
        <v>37</v>
      </c>
      <c r="B30" s="1">
        <v>51299</v>
      </c>
      <c r="C30" s="1">
        <v>48975</v>
      </c>
      <c r="D30" s="1">
        <v>100274</v>
      </c>
      <c r="E30" s="1">
        <v>40495</v>
      </c>
      <c r="F30" s="1">
        <v>38165</v>
      </c>
      <c r="G30" s="1">
        <v>78660</v>
      </c>
      <c r="H30" s="2">
        <v>104.7</v>
      </c>
      <c r="I30" s="2">
        <v>127.4</v>
      </c>
      <c r="K30" s="1">
        <f t="shared" si="0"/>
        <v>0</v>
      </c>
      <c r="L30" s="1">
        <f t="shared" si="1"/>
        <v>0</v>
      </c>
      <c r="M30" s="2">
        <f t="shared" si="2"/>
        <v>4.5278203164883735E-2</v>
      </c>
      <c r="N30" s="2">
        <f t="shared" si="3"/>
        <v>7.7752351894218918E-2</v>
      </c>
    </row>
    <row r="31" spans="1:14" x14ac:dyDescent="0.55000000000000004">
      <c r="A31" t="s">
        <v>38</v>
      </c>
      <c r="B31" s="1">
        <v>37695</v>
      </c>
      <c r="C31" s="1">
        <v>36473</v>
      </c>
      <c r="D31" s="1">
        <v>74168</v>
      </c>
      <c r="E31" s="1">
        <v>33819</v>
      </c>
      <c r="F31" s="1">
        <v>32915</v>
      </c>
      <c r="G31" s="1">
        <v>66734</v>
      </c>
      <c r="H31" s="2">
        <v>100.8</v>
      </c>
      <c r="I31" s="2">
        <v>111.1</v>
      </c>
      <c r="K31" s="1">
        <f t="shared" si="0"/>
        <v>0</v>
      </c>
      <c r="L31" s="1">
        <f t="shared" si="1"/>
        <v>0</v>
      </c>
      <c r="M31" s="2">
        <f t="shared" si="2"/>
        <v>2.5504236010199435</v>
      </c>
      <c r="N31" s="2">
        <f t="shared" si="3"/>
        <v>3.9748853657812333E-2</v>
      </c>
    </row>
    <row r="32" spans="1:14" x14ac:dyDescent="0.55000000000000004">
      <c r="A32" t="s">
        <v>39</v>
      </c>
      <c r="B32" s="1">
        <v>77104</v>
      </c>
      <c r="C32" s="1">
        <v>73550</v>
      </c>
      <c r="D32" s="1">
        <v>150654</v>
      </c>
      <c r="E32" s="1">
        <v>66194</v>
      </c>
      <c r="F32" s="1">
        <v>63521</v>
      </c>
      <c r="G32" s="1">
        <v>129715</v>
      </c>
      <c r="H32" s="2">
        <v>104.8</v>
      </c>
      <c r="I32" s="2">
        <v>116.1</v>
      </c>
      <c r="K32" s="1">
        <f t="shared" si="0"/>
        <v>0</v>
      </c>
      <c r="L32" s="1">
        <f t="shared" si="1"/>
        <v>0</v>
      </c>
      <c r="M32" s="2">
        <f t="shared" si="2"/>
        <v>3.2087015635624994E-2</v>
      </c>
      <c r="N32" s="2">
        <f t="shared" si="3"/>
        <v>4.231199167406885E-2</v>
      </c>
    </row>
    <row r="33" spans="1:14" x14ac:dyDescent="0.55000000000000004">
      <c r="A33" t="s">
        <v>40</v>
      </c>
      <c r="B33" s="1">
        <v>59843</v>
      </c>
      <c r="C33" s="1">
        <v>55902</v>
      </c>
      <c r="D33" s="1">
        <v>115745</v>
      </c>
      <c r="E33" s="1">
        <v>42300</v>
      </c>
      <c r="F33" s="1">
        <v>38086</v>
      </c>
      <c r="G33" s="1">
        <v>80386</v>
      </c>
      <c r="H33" s="2">
        <v>107</v>
      </c>
      <c r="I33" s="2">
        <v>143.9</v>
      </c>
      <c r="K33" s="1">
        <f t="shared" si="0"/>
        <v>0</v>
      </c>
      <c r="L33" s="1">
        <f t="shared" si="1"/>
        <v>0</v>
      </c>
      <c r="M33" s="2">
        <f t="shared" si="2"/>
        <v>4.9837215126459E-2</v>
      </c>
      <c r="N33" s="2">
        <f t="shared" si="3"/>
        <v>8.6515064812289211E-2</v>
      </c>
    </row>
    <row r="34" spans="1:14" x14ac:dyDescent="0.55000000000000004">
      <c r="A34" t="s">
        <v>41</v>
      </c>
      <c r="B34" s="1">
        <v>63896</v>
      </c>
      <c r="C34" s="1">
        <v>61218</v>
      </c>
      <c r="D34" s="1">
        <v>125114</v>
      </c>
      <c r="E34" s="1">
        <v>41954</v>
      </c>
      <c r="F34" s="1">
        <v>39458</v>
      </c>
      <c r="G34" s="1">
        <v>81412</v>
      </c>
      <c r="H34" s="2">
        <v>104.3</v>
      </c>
      <c r="I34" s="2">
        <v>153.6</v>
      </c>
      <c r="K34" s="1">
        <f t="shared" si="0"/>
        <v>0</v>
      </c>
      <c r="L34" s="1">
        <f t="shared" si="1"/>
        <v>0</v>
      </c>
      <c r="M34" s="2">
        <f t="shared" si="2"/>
        <v>7.4530366885554145E-2</v>
      </c>
      <c r="N34" s="2">
        <f t="shared" si="3"/>
        <v>8.0047167493745519E-2</v>
      </c>
    </row>
    <row r="35" spans="1:14" x14ac:dyDescent="0.55000000000000004">
      <c r="A35" t="s">
        <v>42</v>
      </c>
      <c r="B35" s="1">
        <v>23686</v>
      </c>
      <c r="C35" s="1">
        <v>22322</v>
      </c>
      <c r="D35" s="1">
        <v>46008</v>
      </c>
      <c r="E35" s="1">
        <v>16053</v>
      </c>
      <c r="F35" s="1">
        <v>15290</v>
      </c>
      <c r="G35" s="1">
        <v>31343</v>
      </c>
      <c r="H35" s="2">
        <v>106.1</v>
      </c>
      <c r="I35" s="2">
        <v>146.80000000000001</v>
      </c>
      <c r="K35" s="1">
        <f t="shared" si="0"/>
        <v>0</v>
      </c>
      <c r="L35" s="1">
        <f t="shared" si="1"/>
        <v>0</v>
      </c>
      <c r="M35" s="2">
        <f t="shared" si="2"/>
        <v>1.0563569572624942E-2</v>
      </c>
      <c r="N35" s="2">
        <f t="shared" si="3"/>
        <v>-1.1243339820708798E-2</v>
      </c>
    </row>
    <row r="36" spans="1:14" x14ac:dyDescent="0.55000000000000004">
      <c r="A36" t="s">
        <v>43</v>
      </c>
      <c r="B36" s="1">
        <v>43550</v>
      </c>
      <c r="C36" s="1">
        <v>41950</v>
      </c>
      <c r="D36" s="1">
        <v>85500</v>
      </c>
      <c r="E36" s="1">
        <v>31770</v>
      </c>
      <c r="F36" s="1">
        <v>29739</v>
      </c>
      <c r="G36" s="1">
        <v>61509</v>
      </c>
      <c r="H36" s="2">
        <v>103.8</v>
      </c>
      <c r="I36" s="2">
        <v>139</v>
      </c>
      <c r="K36" s="1">
        <f t="shared" si="0"/>
        <v>0</v>
      </c>
      <c r="L36" s="1">
        <f t="shared" si="1"/>
        <v>0</v>
      </c>
      <c r="M36" s="2">
        <f t="shared" si="2"/>
        <v>1.40643623361143E-2</v>
      </c>
      <c r="N36" s="2">
        <f t="shared" si="3"/>
        <v>4.0481880700440342E-3</v>
      </c>
    </row>
    <row r="37" spans="1:14" x14ac:dyDescent="0.55000000000000004">
      <c r="A37" t="s">
        <v>44</v>
      </c>
      <c r="B37" s="1">
        <v>68567</v>
      </c>
      <c r="C37" s="1">
        <v>67319</v>
      </c>
      <c r="D37" s="1">
        <v>135886</v>
      </c>
      <c r="E37" s="1">
        <v>60671</v>
      </c>
      <c r="F37" s="1">
        <v>56309</v>
      </c>
      <c r="G37" s="1">
        <v>116980</v>
      </c>
      <c r="H37" s="2">
        <v>101.8</v>
      </c>
      <c r="I37" s="2">
        <v>116.1</v>
      </c>
      <c r="K37" s="1">
        <f t="shared" si="0"/>
        <v>0</v>
      </c>
      <c r="L37" s="1">
        <f t="shared" si="1"/>
        <v>0</v>
      </c>
      <c r="M37" s="2">
        <f t="shared" si="2"/>
        <v>5.3859980094770776E-2</v>
      </c>
      <c r="N37" s="2">
        <f t="shared" si="3"/>
        <v>6.1737049068227634E-2</v>
      </c>
    </row>
    <row r="38" spans="1:14" x14ac:dyDescent="0.55000000000000004">
      <c r="A38" t="s">
        <v>45</v>
      </c>
      <c r="B38" s="1">
        <v>29383</v>
      </c>
      <c r="C38" s="1">
        <v>28128</v>
      </c>
      <c r="D38" s="1">
        <v>57511</v>
      </c>
      <c r="E38" s="1">
        <v>30236</v>
      </c>
      <c r="F38" s="1">
        <v>24294</v>
      </c>
      <c r="G38" s="1">
        <v>54530</v>
      </c>
      <c r="H38" s="2">
        <v>104</v>
      </c>
      <c r="I38" s="2">
        <v>105.4</v>
      </c>
      <c r="K38" s="1">
        <f t="shared" si="0"/>
        <v>0</v>
      </c>
      <c r="L38" s="1">
        <f t="shared" si="1"/>
        <v>0</v>
      </c>
      <c r="M38" s="2">
        <f t="shared" si="2"/>
        <v>0.46174630261661775</v>
      </c>
      <c r="N38" s="2">
        <f t="shared" si="3"/>
        <v>6.6715569411329056E-2</v>
      </c>
    </row>
    <row r="39" spans="1:14" x14ac:dyDescent="0.55000000000000004">
      <c r="A39" t="s">
        <v>46</v>
      </c>
      <c r="B39" s="1">
        <v>56809</v>
      </c>
      <c r="C39" s="1">
        <v>54614</v>
      </c>
      <c r="D39" s="1">
        <v>111423</v>
      </c>
      <c r="E39" s="1">
        <v>52431</v>
      </c>
      <c r="F39" s="1">
        <v>48724</v>
      </c>
      <c r="G39" s="1">
        <v>101155</v>
      </c>
      <c r="H39" s="2">
        <v>104</v>
      </c>
      <c r="I39" s="2">
        <v>110.1</v>
      </c>
      <c r="K39" s="1">
        <f t="shared" si="0"/>
        <v>0</v>
      </c>
      <c r="L39" s="1">
        <f t="shared" si="1"/>
        <v>0</v>
      </c>
      <c r="M39" s="2">
        <f t="shared" si="2"/>
        <v>1.9115977588171518E-2</v>
      </c>
      <c r="N39" s="2">
        <f t="shared" si="3"/>
        <v>5.0758736592371179E-2</v>
      </c>
    </row>
    <row r="40" spans="1:14" x14ac:dyDescent="0.55000000000000004">
      <c r="A40" t="s">
        <v>47</v>
      </c>
      <c r="B40" s="1">
        <v>36071</v>
      </c>
      <c r="C40" s="1">
        <v>34881</v>
      </c>
      <c r="D40" s="1">
        <v>70952</v>
      </c>
      <c r="E40" s="1">
        <v>31912</v>
      </c>
      <c r="F40" s="1">
        <v>30842</v>
      </c>
      <c r="G40" s="1">
        <v>62754</v>
      </c>
      <c r="H40" s="2">
        <v>103.4</v>
      </c>
      <c r="I40" s="2">
        <v>113</v>
      </c>
      <c r="K40" s="1">
        <f t="shared" si="0"/>
        <v>0</v>
      </c>
      <c r="L40" s="1">
        <f t="shared" si="1"/>
        <v>0</v>
      </c>
      <c r="M40" s="2">
        <f t="shared" si="2"/>
        <v>1.1599438089504588E-2</v>
      </c>
      <c r="N40" s="2">
        <f t="shared" si="3"/>
        <v>6.3709086273391335E-2</v>
      </c>
    </row>
    <row r="41" spans="1:14" x14ac:dyDescent="0.55000000000000004">
      <c r="A41" t="s">
        <v>48</v>
      </c>
      <c r="B41" s="1">
        <v>37626</v>
      </c>
      <c r="C41" s="1">
        <v>35989</v>
      </c>
      <c r="D41" s="1">
        <v>73615</v>
      </c>
      <c r="E41" s="1">
        <v>25687</v>
      </c>
      <c r="F41" s="1">
        <v>23884</v>
      </c>
      <c r="G41" s="1">
        <v>49571</v>
      </c>
      <c r="H41" s="2">
        <v>104.5</v>
      </c>
      <c r="I41" s="2">
        <v>148.5</v>
      </c>
      <c r="K41" s="1">
        <f t="shared" si="0"/>
        <v>0</v>
      </c>
      <c r="L41" s="1">
        <f t="shared" si="1"/>
        <v>0</v>
      </c>
      <c r="M41" s="2">
        <f t="shared" si="2"/>
        <v>4.8612075912089381E-2</v>
      </c>
      <c r="N41" s="2">
        <f t="shared" si="3"/>
        <v>4.1657420669309886E-3</v>
      </c>
    </row>
    <row r="42" spans="1:14" x14ac:dyDescent="0.55000000000000004">
      <c r="A42" t="s">
        <v>49</v>
      </c>
      <c r="B42" s="1">
        <v>22651</v>
      </c>
      <c r="C42" s="1">
        <v>21232</v>
      </c>
      <c r="D42" s="1">
        <v>43883</v>
      </c>
      <c r="E42" s="1">
        <v>13332</v>
      </c>
      <c r="F42" s="1">
        <v>11902</v>
      </c>
      <c r="G42" s="1">
        <v>25234</v>
      </c>
      <c r="H42" s="2">
        <v>106.6</v>
      </c>
      <c r="I42" s="2">
        <v>173.9</v>
      </c>
      <c r="K42" s="1">
        <f t="shared" si="0"/>
        <v>0</v>
      </c>
      <c r="L42" s="1">
        <f t="shared" si="1"/>
        <v>0</v>
      </c>
      <c r="M42" s="2">
        <f t="shared" si="2"/>
        <v>8.3308214016568627E-2</v>
      </c>
      <c r="N42" s="2">
        <f t="shared" si="3"/>
        <v>4.2561623206722743E-3</v>
      </c>
    </row>
    <row r="43" spans="1:14" x14ac:dyDescent="0.55000000000000004">
      <c r="A43" t="s">
        <v>50</v>
      </c>
      <c r="B43" s="1">
        <v>62916</v>
      </c>
      <c r="C43" s="1">
        <v>60471</v>
      </c>
      <c r="D43" s="1">
        <v>123387</v>
      </c>
      <c r="E43" s="1">
        <v>47678</v>
      </c>
      <c r="F43" s="1">
        <v>45051</v>
      </c>
      <c r="G43" s="1">
        <v>92729</v>
      </c>
      <c r="H43" s="2">
        <v>104.4</v>
      </c>
      <c r="I43" s="2">
        <v>133</v>
      </c>
      <c r="K43" s="1">
        <f t="shared" si="0"/>
        <v>0</v>
      </c>
      <c r="L43" s="1">
        <f t="shared" si="1"/>
        <v>0</v>
      </c>
      <c r="M43" s="2">
        <f t="shared" si="2"/>
        <v>-0.3567395941856546</v>
      </c>
      <c r="N43" s="2">
        <f t="shared" si="3"/>
        <v>6.1933160068576854E-2</v>
      </c>
    </row>
    <row r="44" spans="1:14" x14ac:dyDescent="0.55000000000000004">
      <c r="A44" t="s">
        <v>51</v>
      </c>
      <c r="B44" s="1">
        <v>41602</v>
      </c>
      <c r="C44" s="1">
        <v>40099</v>
      </c>
      <c r="D44" s="1">
        <v>81701</v>
      </c>
      <c r="E44" s="6">
        <v>28413</v>
      </c>
      <c r="F44" s="1">
        <v>26409</v>
      </c>
      <c r="G44" s="1">
        <v>54822</v>
      </c>
      <c r="H44" s="2">
        <v>103.4</v>
      </c>
      <c r="I44" s="2">
        <v>145.30000000000001</v>
      </c>
      <c r="K44" s="1">
        <f t="shared" si="0"/>
        <v>0</v>
      </c>
      <c r="L44" s="1">
        <f t="shared" si="1"/>
        <v>0</v>
      </c>
      <c r="M44" s="2">
        <f t="shared" si="2"/>
        <v>0.34822314770940466</v>
      </c>
      <c r="N44" s="2">
        <f t="shared" si="3"/>
        <v>3.7295866622888525</v>
      </c>
    </row>
    <row r="45" spans="1:14" x14ac:dyDescent="0.55000000000000004">
      <c r="A45" t="s">
        <v>52</v>
      </c>
      <c r="B45" s="1">
        <v>35639</v>
      </c>
      <c r="C45" s="1">
        <v>34001</v>
      </c>
      <c r="D45" s="1">
        <v>69640</v>
      </c>
      <c r="E45" s="1">
        <v>27628</v>
      </c>
      <c r="F45" s="1">
        <v>25177</v>
      </c>
      <c r="G45" s="1">
        <v>52805</v>
      </c>
      <c r="H45" s="2">
        <v>104.8</v>
      </c>
      <c r="I45" s="2">
        <v>131.4</v>
      </c>
      <c r="K45" s="1">
        <f t="shared" si="0"/>
        <v>0</v>
      </c>
      <c r="L45" s="1">
        <f t="shared" si="1"/>
        <v>0</v>
      </c>
      <c r="M45" s="2">
        <f t="shared" si="2"/>
        <v>1.7505367489192736E-2</v>
      </c>
      <c r="N45" s="2">
        <f t="shared" si="3"/>
        <v>0.48145062020640239</v>
      </c>
    </row>
    <row r="46" spans="1:14" x14ac:dyDescent="0.55000000000000004">
      <c r="A46" t="s">
        <v>53</v>
      </c>
      <c r="B46" s="1">
        <v>45433</v>
      </c>
      <c r="C46" s="1">
        <v>43521</v>
      </c>
      <c r="D46" s="1">
        <v>88954</v>
      </c>
      <c r="E46" s="1">
        <v>36780</v>
      </c>
      <c r="F46" s="1">
        <v>35199</v>
      </c>
      <c r="G46" s="1">
        <v>71979</v>
      </c>
      <c r="H46" s="2">
        <v>104.3</v>
      </c>
      <c r="I46" s="2">
        <v>123.5</v>
      </c>
      <c r="K46" s="1">
        <f t="shared" si="0"/>
        <v>0</v>
      </c>
      <c r="L46" s="1">
        <f t="shared" si="1"/>
        <v>0</v>
      </c>
      <c r="M46" s="2">
        <f t="shared" si="2"/>
        <v>9.328140437949628E-2</v>
      </c>
      <c r="N46" s="2">
        <f t="shared" si="3"/>
        <v>8.3267341863603406E-2</v>
      </c>
    </row>
    <row r="47" spans="1:14" x14ac:dyDescent="0.55000000000000004">
      <c r="A47" t="s">
        <v>54</v>
      </c>
      <c r="B47" s="1">
        <v>54593</v>
      </c>
      <c r="C47" s="1">
        <v>52845</v>
      </c>
      <c r="D47" s="1">
        <v>107438</v>
      </c>
      <c r="E47" s="1">
        <v>40405</v>
      </c>
      <c r="F47" s="1">
        <v>37864</v>
      </c>
      <c r="G47" s="1">
        <v>78269</v>
      </c>
      <c r="H47" s="2">
        <v>103.3</v>
      </c>
      <c r="I47" s="2">
        <v>137.19999999999999</v>
      </c>
      <c r="K47" s="1">
        <f t="shared" si="0"/>
        <v>0</v>
      </c>
      <c r="L47" s="1">
        <f t="shared" si="1"/>
        <v>0</v>
      </c>
      <c r="M47" s="2">
        <f t="shared" si="2"/>
        <v>7.7869240230938885E-3</v>
      </c>
      <c r="N47" s="2">
        <f t="shared" si="3"/>
        <v>6.762830750361104E-2</v>
      </c>
    </row>
    <row r="48" spans="1:14" x14ac:dyDescent="0.55000000000000004">
      <c r="A48" t="s">
        <v>55</v>
      </c>
      <c r="B48" s="1">
        <v>50112</v>
      </c>
      <c r="C48" s="1">
        <v>47319</v>
      </c>
      <c r="D48" s="1">
        <v>97431</v>
      </c>
      <c r="E48" s="1">
        <v>37333</v>
      </c>
      <c r="F48" s="1">
        <v>32937</v>
      </c>
      <c r="G48" s="1">
        <v>70270</v>
      </c>
      <c r="H48" s="2">
        <v>105.9</v>
      </c>
      <c r="I48" s="2">
        <v>138.6</v>
      </c>
      <c r="K48" s="1">
        <f t="shared" si="0"/>
        <v>0</v>
      </c>
      <c r="L48" s="1">
        <f t="shared" si="1"/>
        <v>0</v>
      </c>
      <c r="M48" s="2">
        <f t="shared" si="2"/>
        <v>2.4915995688701287E-3</v>
      </c>
      <c r="N48" s="2">
        <f t="shared" si="3"/>
        <v>5.234097054218978E-2</v>
      </c>
    </row>
    <row r="49" spans="1:14" x14ac:dyDescent="0.55000000000000004">
      <c r="A49" t="s">
        <v>56</v>
      </c>
      <c r="B49" s="1">
        <v>49290</v>
      </c>
      <c r="C49" s="1">
        <v>46779</v>
      </c>
      <c r="D49" s="1">
        <v>96069</v>
      </c>
      <c r="E49" s="1">
        <v>34887</v>
      </c>
      <c r="F49" s="1">
        <v>33544</v>
      </c>
      <c r="G49" s="1">
        <v>68431</v>
      </c>
      <c r="H49" s="2">
        <v>105.3</v>
      </c>
      <c r="I49" s="2">
        <v>140.5</v>
      </c>
      <c r="K49" s="1">
        <f t="shared" si="0"/>
        <v>0</v>
      </c>
      <c r="L49" s="1">
        <f t="shared" si="1"/>
        <v>0</v>
      </c>
      <c r="M49" s="2">
        <f t="shared" si="2"/>
        <v>6.77932405566537E-2</v>
      </c>
      <c r="N49" s="2">
        <f t="shared" si="3"/>
        <v>-0.111871812482633</v>
      </c>
    </row>
    <row r="50" spans="1:14" x14ac:dyDescent="0.55000000000000004">
      <c r="A50" t="s">
        <v>57</v>
      </c>
      <c r="B50" s="1">
        <v>5883</v>
      </c>
      <c r="C50" s="1">
        <v>5652</v>
      </c>
      <c r="D50" s="1">
        <v>11535</v>
      </c>
      <c r="E50" s="1">
        <v>4469</v>
      </c>
      <c r="F50" s="1">
        <v>4248</v>
      </c>
      <c r="G50" s="1">
        <v>8717</v>
      </c>
      <c r="H50" s="2">
        <v>104</v>
      </c>
      <c r="I50" s="2">
        <v>132.30000000000001</v>
      </c>
      <c r="K50" s="1">
        <f t="shared" si="0"/>
        <v>0</v>
      </c>
      <c r="L50" s="1">
        <f t="shared" si="1"/>
        <v>0</v>
      </c>
      <c r="M50" s="2">
        <f t="shared" si="2"/>
        <v>8.7048832271761967E-2</v>
      </c>
      <c r="N50" s="2">
        <f t="shared" si="3"/>
        <v>2.7635654468269877E-2</v>
      </c>
    </row>
    <row r="51" spans="1:14" x14ac:dyDescent="0.55000000000000004">
      <c r="A51" t="s">
        <v>58</v>
      </c>
      <c r="B51" s="1">
        <v>22287</v>
      </c>
      <c r="C51" s="1">
        <v>21526</v>
      </c>
      <c r="D51" s="1">
        <v>43813</v>
      </c>
      <c r="E51" s="1">
        <v>16877</v>
      </c>
      <c r="F51" s="1">
        <v>16288</v>
      </c>
      <c r="G51" s="1">
        <v>33165</v>
      </c>
      <c r="H51" s="2">
        <v>103.4</v>
      </c>
      <c r="I51" s="2">
        <v>132.1</v>
      </c>
      <c r="K51" s="1">
        <f t="shared" si="0"/>
        <v>0</v>
      </c>
      <c r="L51" s="1">
        <f t="shared" si="1"/>
        <v>0</v>
      </c>
      <c r="M51" s="2">
        <f t="shared" si="2"/>
        <v>0.13525968596114524</v>
      </c>
      <c r="N51" s="2">
        <f t="shared" si="3"/>
        <v>6.1359867329997542E-3</v>
      </c>
    </row>
    <row r="52" spans="1:14" x14ac:dyDescent="0.55000000000000004">
      <c r="A52" s="8" t="s">
        <v>59</v>
      </c>
      <c r="B52" s="9">
        <v>1990340</v>
      </c>
      <c r="C52" s="9">
        <v>1894624</v>
      </c>
      <c r="D52" s="9">
        <v>3884964</v>
      </c>
      <c r="E52" s="9">
        <v>1492126</v>
      </c>
      <c r="F52" s="9">
        <v>1389304</v>
      </c>
      <c r="G52" s="9">
        <v>2881430</v>
      </c>
      <c r="H52" s="10">
        <v>105.5</v>
      </c>
      <c r="I52" s="10">
        <v>134.80000000000001</v>
      </c>
      <c r="K52" s="1">
        <f t="shared" si="0"/>
        <v>0</v>
      </c>
      <c r="L52" s="1">
        <f t="shared" si="1"/>
        <v>0</v>
      </c>
      <c r="M52" s="2">
        <f t="shared" si="2"/>
        <v>-0.44802134882701239</v>
      </c>
      <c r="N52" s="2">
        <f t="shared" si="3"/>
        <v>2.7637666019984408E-2</v>
      </c>
    </row>
    <row r="54" spans="1:14" x14ac:dyDescent="0.55000000000000004">
      <c r="A54" s="7" t="s">
        <v>64</v>
      </c>
      <c r="B54" s="1">
        <f>SUM(B2:B51)-B52</f>
        <v>0</v>
      </c>
      <c r="C54" s="1">
        <f t="shared" ref="C54:G54" si="4">SUM(C2:C51)-C52</f>
        <v>0</v>
      </c>
      <c r="D54" s="1">
        <f t="shared" si="4"/>
        <v>0</v>
      </c>
      <c r="E54" s="1">
        <f t="shared" si="4"/>
        <v>0</v>
      </c>
      <c r="F54" s="1">
        <f t="shared" si="4"/>
        <v>0</v>
      </c>
      <c r="G54" s="1">
        <f t="shared" si="4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2026-08-29T00:31:31Z</dcterms:modified>
</cp:coreProperties>
</file>