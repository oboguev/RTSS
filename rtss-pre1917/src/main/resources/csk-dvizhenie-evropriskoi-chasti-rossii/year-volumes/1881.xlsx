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csk-dvizhenie-evropriskoi-chasti-rossii\year-volumes\"/>
    </mc:Choice>
  </mc:AlternateContent>
  <xr:revisionPtr revIDLastSave="0" documentId="13_ncr:1_{45F9DD35-5A4A-462C-B0DE-7429387581E1}" xr6:coauthVersionLast="47" xr6:coauthVersionMax="47" xr10:uidLastSave="{00000000-0000-0000-0000-000000000000}"/>
  <bookViews>
    <workbookView xWindow="57480" yWindow="-120" windowWidth="51840" windowHeight="21120" activeTab="1" xr2:uid="{00000000-000D-0000-FFFF-FFFF00000000}"/>
  </bookViews>
  <sheets>
    <sheet name="notes" sheetId="2" r:id="rId1"/>
    <sheet name="188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2" i="1" l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52" i="1"/>
  <c r="L52" i="1"/>
  <c r="K52" i="1"/>
  <c r="M51" i="1"/>
  <c r="L51" i="1"/>
  <c r="K51" i="1"/>
  <c r="M50" i="1"/>
  <c r="L50" i="1"/>
  <c r="K50" i="1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M3" i="1"/>
  <c r="L3" i="1"/>
  <c r="K3" i="1"/>
  <c r="M2" i="1"/>
  <c r="L2" i="1"/>
  <c r="K2" i="1"/>
  <c r="G54" i="1"/>
  <c r="F54" i="1"/>
  <c r="E54" i="1"/>
  <c r="D54" i="1"/>
  <c r="C54" i="1"/>
  <c r="B54" i="1"/>
</calcChain>
</file>

<file path=xl/sharedStrings.xml><?xml version="1.0" encoding="utf-8"?>
<sst xmlns="http://schemas.openxmlformats.org/spreadsheetml/2006/main" count="81" uniqueCount="80">
  <si>
    <t>губ</t>
  </si>
  <si>
    <t>чр-м</t>
  </si>
  <si>
    <t>чр-ж</t>
  </si>
  <si>
    <t>чр-о</t>
  </si>
  <si>
    <t>чс-м</t>
  </si>
  <si>
    <t>чс-ж</t>
  </si>
  <si>
    <t>чс-о</t>
  </si>
  <si>
    <t>vр-мж</t>
  </si>
  <si>
    <t>vс-мж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</si>
  <si>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</si>
  <si>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</si>
  <si>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</si>
  <si>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</si>
  <si>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</si>
  <si>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</si>
  <si>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</si>
  <si>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</si>
  <si>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</si>
  <si>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</si>
  <si>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</si>
  <si>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Область Войска Донского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</si>
  <si>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</si>
  <si>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</si>
  <si>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</si>
  <si>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</si>
  <si>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</si>
  <si>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</si>
  <si>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</si>
  <si>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</si>
  <si>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</si>
  <si>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</si>
  <si>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</si>
  <si>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</si>
  <si>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</si>
  <si>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</si>
  <si>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</si>
  <si>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</si>
  <si>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</si>
  <si>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</si>
  <si>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</si>
  <si>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</si>
  <si>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</si>
  <si>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</si>
  <si>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</si>
  <si>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</si>
  <si>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Санкт-Петербургская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</si>
  <si>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</si>
  <si>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</si>
  <si>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</si>
  <si>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</si>
  <si>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</si>
  <si>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</si>
  <si>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</si>
  <si>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</si>
  <si>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</si>
  <si>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</si>
  <si>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</si>
  <si>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</si>
  <si>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</si>
  <si>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Всего</t>
  </si>
  <si>
    <t>Поле</t>
  </si>
  <si>
    <t>Содержание</t>
  </si>
  <si>
    <t>Источник</t>
  </si>
  <si>
    <t>ЦСК, «Движение населения в Европейской России за 1881 год»</t>
  </si>
  <si>
    <t>Таблица</t>
  </si>
  <si>
    <t>Метод</t>
  </si>
  <si>
    <t>Губернские строки «Итого» переписаны и проверены по изображениям страниц; OCR использовался только как вспомогательная навигация, не как авторитетный источник.</t>
  </si>
  <si>
    <t>Печатная графа 10: «На 100 родившихся девочек приходится мальчиков». Значения скопированы буквально из таблицы; не вычисляются.</t>
  </si>
  <si>
    <t>Печатная графа 11: «На 100 умерших приходится родившихся». Значения скопированы буквально из таблицы; не вычисляются.</t>
  </si>
  <si>
    <t>Контроль рождений</t>
  </si>
  <si>
    <t>Строка «Всего» добавлена из печатной стр. 16 (PDF стр. 34): 1,887,462 / 1,792,232 / 3,679,694 рожд.; 1,328,757 / 1,231,726 / 2,560,483 смерт.; печатные соотношения 105.3 и 140.3.</t>
  </si>
  <si>
    <t>Контроль смертей</t>
  </si>
  <si>
    <t>Важно: расхождения печатных граф 10–11 с пересчётом из абсолютных чисел сохранены намеренно — эти графы нужны именно как контроль опечаток/несогласованностей.</t>
  </si>
  <si>
    <t>verify</t>
  </si>
  <si>
    <t>v-чр</t>
  </si>
  <si>
    <t>v-чс</t>
  </si>
  <si>
    <t>vvр-мж</t>
  </si>
  <si>
    <t>v-рс</t>
  </si>
  <si>
    <t>vv-рс</t>
  </si>
  <si>
    <t>«Общий свод числа родившихся, умерших и браков…», печатные стр. 2–16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</si>
</sst>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rlito"/>
    </font>
    <font>
      <b/>
      <sz val="11"/>
      <name val="Carlito"/>
    </font>
    <font>
      <b/>
      <sz val="11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8" sqref="B8"/>
    </sheetView>
  </sheetViews>
  <sheetFormatPr defaultRowHeight="14.4" x14ac:dyDescent="0.55000000000000004"/>
  <cols>
    <col min="1" max="1" width="24" customWidth="1"/>
    <col min="2" max="2" width="90" customWidth="1"/>
  </cols>
  <sheetData>
    <row r="1" spans="1:2" x14ac:dyDescent="0.55000000000000004">
      <c r="A1" s="7" t="s">
        <v>60</v>
      </c>
      <c r="B1" s="7" t="s">
        <v>61</v>
      </c>
    </row>
    <row r="2" spans="1:2" x14ac:dyDescent="0.55000000000000004">
      <c r="A2" s="8" t="s">
        <v>62</v>
      </c>
      <c r="B2" s="8" t="s">
        <v>63</v>
      </c>
    </row>
    <row r="3" spans="1:2" x14ac:dyDescent="0.55000000000000004">
      <c r="A3" s="8" t="s">
        <v>64</v>
      </c>
      <c r="B3" s="8" t="s">
        <v>79</v>
      </c>
    </row>
    <row r="4" spans="1:2" ht="28.8" x14ac:dyDescent="0.55000000000000004">
      <c r="A4" s="8" t="s">
        <v>65</v>
      </c>
      <c r="B4" s="8" t="s">
        <v>66</v>
      </c>
    </row>
    <row r="5" spans="1:2" ht="28.8" x14ac:dyDescent="0.55000000000000004">
      <c r="A5" s="8" t="s">
        <v>7</v>
      </c>
      <c r="B5" s="8" t="s">
        <v>67</v>
      </c>
    </row>
    <row r="6" spans="1:2" ht="28.8" x14ac:dyDescent="0.55000000000000004">
      <c r="A6" s="8" t="s">
        <v>8</v>
      </c>
      <c r="B6" s="8" t="s">
        <v>68</v>
      </c>
    </row>
    <row r="7" spans="1:2" ht="28.8" x14ac:dyDescent="0.55000000000000004">
      <c r="A7" s="8" t="s">
        <v>69</v>
      </c>
      <c r="B7" s="8" t="s">
        <v>70</v>
      </c>
    </row>
    <row r="8" spans="1:2" ht="28.8" x14ac:dyDescent="0.55000000000000004">
      <c r="A8" s="8" t="s">
        <v>71</v>
      </c>
      <c r="B8" s="8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workbookViewId="0">
      <selection activeCell="N2" sqref="N2"/>
    </sheetView>
  </sheetViews>
  <sheetFormatPr defaultRowHeight="14.4" x14ac:dyDescent="0.55000000000000004"/>
  <cols>
    <col min="1" max="1" width="22.578125" bestFit="1" customWidth="1"/>
    <col min="2" max="7" width="9.26171875" bestFit="1" customWidth="1"/>
    <col min="8" max="9" width="6.83984375" customWidth="1"/>
    <col min="11" max="11" width="5.734375" customWidth="1"/>
    <col min="12" max="12" width="6.7890625" customWidth="1"/>
  </cols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3" t="s">
        <v>7</v>
      </c>
      <c r="I1" s="14" t="s">
        <v>77</v>
      </c>
      <c r="K1" s="13" t="s">
        <v>74</v>
      </c>
      <c r="L1" s="13" t="s">
        <v>75</v>
      </c>
      <c r="M1" s="13" t="s">
        <v>76</v>
      </c>
      <c r="N1" s="14" t="s">
        <v>78</v>
      </c>
    </row>
    <row r="2" spans="1:14" x14ac:dyDescent="0.55000000000000004">
      <c r="A2" s="4" t="s">
        <v>9</v>
      </c>
      <c r="B2" s="5">
        <v>6322</v>
      </c>
      <c r="C2" s="5">
        <v>5955</v>
      </c>
      <c r="D2" s="5">
        <v>12277</v>
      </c>
      <c r="E2" s="5">
        <v>4563</v>
      </c>
      <c r="F2" s="5">
        <v>4378</v>
      </c>
      <c r="G2" s="5">
        <v>8941</v>
      </c>
      <c r="H2" s="6">
        <v>106.2</v>
      </c>
      <c r="I2" s="6">
        <v>137.30000000000001</v>
      </c>
      <c r="K2" s="2">
        <f>B2+C2-D2</f>
        <v>0</v>
      </c>
      <c r="L2" s="2">
        <f>E2+F2-G2</f>
        <v>0</v>
      </c>
      <c r="M2" s="3">
        <f>B2/C2*100-H2</f>
        <v>-3.711167086481737E-2</v>
      </c>
      <c r="N2" s="3">
        <f>D2/G2*100-I2</f>
        <v>1.1262722290553029E-2</v>
      </c>
    </row>
    <row r="3" spans="1:14" x14ac:dyDescent="0.55000000000000004">
      <c r="A3" s="4" t="s">
        <v>10</v>
      </c>
      <c r="B3" s="5">
        <v>12405</v>
      </c>
      <c r="C3" s="5">
        <v>11787</v>
      </c>
      <c r="D3" s="5">
        <v>24192</v>
      </c>
      <c r="E3" s="5">
        <v>7717</v>
      </c>
      <c r="F3" s="5">
        <v>6693</v>
      </c>
      <c r="G3" s="5">
        <v>14410</v>
      </c>
      <c r="H3" s="6">
        <v>105.2</v>
      </c>
      <c r="I3" s="6">
        <v>167.7</v>
      </c>
      <c r="K3" s="2">
        <f t="shared" ref="K3:K52" si="0">B3+C3-D3</f>
        <v>0</v>
      </c>
      <c r="L3" s="2">
        <f t="shared" ref="L3:L52" si="1">E3+F3-G3</f>
        <v>0</v>
      </c>
      <c r="M3" s="3">
        <f t="shared" ref="M3:M52" si="2">B3/C3*100-H3</f>
        <v>4.3064392975296073E-2</v>
      </c>
      <c r="N3" s="3">
        <f t="shared" ref="N3:N52" si="3">D3/G3*100-I3</f>
        <v>0.18341429562804024</v>
      </c>
    </row>
    <row r="4" spans="1:14" x14ac:dyDescent="0.55000000000000004">
      <c r="A4" s="4" t="s">
        <v>11</v>
      </c>
      <c r="B4" s="5">
        <v>34844</v>
      </c>
      <c r="C4" s="5">
        <v>32279</v>
      </c>
      <c r="D4" s="5">
        <v>67123</v>
      </c>
      <c r="E4" s="5">
        <v>17051</v>
      </c>
      <c r="F4" s="5">
        <v>15435</v>
      </c>
      <c r="G4" s="5">
        <v>32486</v>
      </c>
      <c r="H4" s="6">
        <v>108.3</v>
      </c>
      <c r="I4" s="6">
        <v>200.2</v>
      </c>
      <c r="K4" s="2">
        <f t="shared" si="0"/>
        <v>0</v>
      </c>
      <c r="L4" s="2">
        <f t="shared" si="1"/>
        <v>0</v>
      </c>
      <c r="M4" s="3">
        <f t="shared" si="2"/>
        <v>-0.35365717649244743</v>
      </c>
      <c r="N4" s="3">
        <f t="shared" si="3"/>
        <v>6.4213137967124396</v>
      </c>
    </row>
    <row r="5" spans="1:14" x14ac:dyDescent="0.55000000000000004">
      <c r="A5" s="4" t="s">
        <v>12</v>
      </c>
      <c r="B5" s="5">
        <v>24505</v>
      </c>
      <c r="C5" s="5">
        <v>22887</v>
      </c>
      <c r="D5" s="5">
        <v>47392</v>
      </c>
      <c r="E5" s="5">
        <v>19629</v>
      </c>
      <c r="F5" s="5">
        <v>17720</v>
      </c>
      <c r="G5" s="5">
        <v>37349</v>
      </c>
      <c r="H5" s="6">
        <v>107.1</v>
      </c>
      <c r="I5" s="6">
        <v>121.6</v>
      </c>
      <c r="K5" s="2">
        <f t="shared" si="0"/>
        <v>0</v>
      </c>
      <c r="L5" s="2">
        <f t="shared" si="1"/>
        <v>0</v>
      </c>
      <c r="M5" s="3">
        <f t="shared" si="2"/>
        <v>-3.0484554550611165E-2</v>
      </c>
      <c r="N5" s="3">
        <f t="shared" si="3"/>
        <v>5.2896088248681394</v>
      </c>
    </row>
    <row r="6" spans="1:14" x14ac:dyDescent="0.55000000000000004">
      <c r="A6" s="4" t="s">
        <v>13</v>
      </c>
      <c r="B6" s="5">
        <v>23899</v>
      </c>
      <c r="C6" s="5">
        <v>21625</v>
      </c>
      <c r="D6" s="5">
        <v>45524</v>
      </c>
      <c r="E6" s="5">
        <v>15574</v>
      </c>
      <c r="F6" s="5">
        <v>13948</v>
      </c>
      <c r="G6" s="5">
        <v>29522</v>
      </c>
      <c r="H6" s="6">
        <v>110.5</v>
      </c>
      <c r="I6" s="6">
        <v>154.19999999999999</v>
      </c>
      <c r="K6" s="2">
        <f t="shared" si="0"/>
        <v>0</v>
      </c>
      <c r="L6" s="2">
        <f t="shared" si="1"/>
        <v>0</v>
      </c>
      <c r="M6" s="3">
        <f t="shared" si="2"/>
        <v>1.5606936416176609E-2</v>
      </c>
      <c r="N6" s="3">
        <f t="shared" si="3"/>
        <v>3.6447395162895191E-3</v>
      </c>
    </row>
    <row r="7" spans="1:14" x14ac:dyDescent="0.55000000000000004">
      <c r="A7" s="4" t="s">
        <v>14</v>
      </c>
      <c r="B7" s="5">
        <v>35385</v>
      </c>
      <c r="C7" s="5">
        <v>34288</v>
      </c>
      <c r="D7" s="5">
        <v>69673</v>
      </c>
      <c r="E7" s="5">
        <v>25606</v>
      </c>
      <c r="F7" s="5">
        <v>24145</v>
      </c>
      <c r="G7" s="5">
        <v>49751</v>
      </c>
      <c r="H7" s="6">
        <v>103.2</v>
      </c>
      <c r="I7" s="6">
        <v>140</v>
      </c>
      <c r="K7" s="2">
        <f t="shared" si="0"/>
        <v>0</v>
      </c>
      <c r="L7" s="2">
        <f t="shared" si="1"/>
        <v>0</v>
      </c>
      <c r="M7" s="3">
        <f t="shared" si="2"/>
        <v>-6.2995800280418734E-4</v>
      </c>
      <c r="N7" s="3">
        <f t="shared" si="3"/>
        <v>4.3416212739430193E-2</v>
      </c>
    </row>
    <row r="8" spans="1:14" x14ac:dyDescent="0.55000000000000004">
      <c r="A8" s="4" t="s">
        <v>15</v>
      </c>
      <c r="B8" s="5">
        <v>28170</v>
      </c>
      <c r="C8" s="5">
        <v>27013</v>
      </c>
      <c r="D8" s="5">
        <v>55183</v>
      </c>
      <c r="E8" s="5">
        <v>23106</v>
      </c>
      <c r="F8" s="5">
        <v>22194</v>
      </c>
      <c r="G8" s="5">
        <v>45300</v>
      </c>
      <c r="H8" s="6">
        <v>104.3</v>
      </c>
      <c r="I8" s="6">
        <v>121.8</v>
      </c>
      <c r="K8" s="2">
        <f t="shared" si="0"/>
        <v>0</v>
      </c>
      <c r="L8" s="2">
        <f t="shared" si="1"/>
        <v>0</v>
      </c>
      <c r="M8" s="3">
        <f t="shared" si="2"/>
        <v>-1.6877059193717514E-2</v>
      </c>
      <c r="N8" s="3">
        <f t="shared" si="3"/>
        <v>1.6777041942603432E-2</v>
      </c>
    </row>
    <row r="9" spans="1:14" x14ac:dyDescent="0.55000000000000004">
      <c r="A9" s="4" t="s">
        <v>16</v>
      </c>
      <c r="B9" s="5">
        <v>49663</v>
      </c>
      <c r="C9" s="5">
        <v>45318</v>
      </c>
      <c r="D9" s="5">
        <v>94981</v>
      </c>
      <c r="E9" s="5">
        <v>36985</v>
      </c>
      <c r="F9" s="5">
        <v>34584</v>
      </c>
      <c r="G9" s="5">
        <v>71569</v>
      </c>
      <c r="H9" s="6">
        <v>109.6</v>
      </c>
      <c r="I9" s="6">
        <v>132.69999999999999</v>
      </c>
      <c r="K9" s="2">
        <f t="shared" si="0"/>
        <v>0</v>
      </c>
      <c r="L9" s="2">
        <f t="shared" si="1"/>
        <v>0</v>
      </c>
      <c r="M9" s="3">
        <f t="shared" si="2"/>
        <v>-1.2198243523528163E-2</v>
      </c>
      <c r="N9" s="3">
        <f t="shared" si="3"/>
        <v>1.2487250066385513E-2</v>
      </c>
    </row>
    <row r="10" spans="1:14" x14ac:dyDescent="0.55000000000000004">
      <c r="A10" s="4" t="s">
        <v>17</v>
      </c>
      <c r="B10" s="5">
        <v>62398</v>
      </c>
      <c r="C10" s="5">
        <v>59456</v>
      </c>
      <c r="D10" s="5">
        <v>121854</v>
      </c>
      <c r="E10" s="5">
        <v>43455</v>
      </c>
      <c r="F10" s="5">
        <v>41789</v>
      </c>
      <c r="G10" s="5">
        <v>85244</v>
      </c>
      <c r="H10" s="6">
        <v>104.9</v>
      </c>
      <c r="I10" s="6">
        <v>142.9</v>
      </c>
      <c r="K10" s="2">
        <f t="shared" si="0"/>
        <v>0</v>
      </c>
      <c r="L10" s="2">
        <f t="shared" si="1"/>
        <v>0</v>
      </c>
      <c r="M10" s="3">
        <f t="shared" si="2"/>
        <v>4.8196986006459497E-2</v>
      </c>
      <c r="N10" s="3">
        <f t="shared" si="3"/>
        <v>4.7304209093880445E-2</v>
      </c>
    </row>
    <row r="11" spans="1:14" x14ac:dyDescent="0.55000000000000004">
      <c r="A11" s="4" t="s">
        <v>18</v>
      </c>
      <c r="B11" s="5">
        <v>78299</v>
      </c>
      <c r="C11" s="5">
        <v>74811</v>
      </c>
      <c r="D11" s="5">
        <v>153110</v>
      </c>
      <c r="E11" s="5">
        <v>57554</v>
      </c>
      <c r="F11" s="5">
        <v>54772</v>
      </c>
      <c r="G11" s="5">
        <v>112326</v>
      </c>
      <c r="H11" s="6">
        <v>104.6</v>
      </c>
      <c r="I11" s="6">
        <v>136.30000000000001</v>
      </c>
      <c r="K11" s="2">
        <f t="shared" si="0"/>
        <v>0</v>
      </c>
      <c r="L11" s="2">
        <f t="shared" si="1"/>
        <v>0</v>
      </c>
      <c r="M11" s="3">
        <f t="shared" si="2"/>
        <v>6.241595487296081E-2</v>
      </c>
      <c r="N11" s="3">
        <f t="shared" si="3"/>
        <v>8.6017484820786194E-3</v>
      </c>
    </row>
    <row r="12" spans="1:14" x14ac:dyDescent="0.55000000000000004">
      <c r="A12" s="4" t="s">
        <v>19</v>
      </c>
      <c r="B12" s="5">
        <v>26321</v>
      </c>
      <c r="C12" s="5">
        <v>23503</v>
      </c>
      <c r="D12" s="5">
        <v>49824</v>
      </c>
      <c r="E12" s="5">
        <v>22005</v>
      </c>
      <c r="F12" s="5">
        <v>20516</v>
      </c>
      <c r="G12" s="5">
        <v>42521</v>
      </c>
      <c r="H12" s="6">
        <v>111.9</v>
      </c>
      <c r="I12" s="6">
        <v>117.2</v>
      </c>
      <c r="K12" s="2">
        <f t="shared" si="0"/>
        <v>0</v>
      </c>
      <c r="L12" s="2">
        <f t="shared" si="1"/>
        <v>0</v>
      </c>
      <c r="M12" s="3">
        <f t="shared" si="2"/>
        <v>8.9958728672939969E-2</v>
      </c>
      <c r="N12" s="3">
        <f t="shared" si="3"/>
        <v>-2.4957080031043688E-2</v>
      </c>
    </row>
    <row r="13" spans="1:14" x14ac:dyDescent="0.55000000000000004">
      <c r="A13" s="4" t="s">
        <v>20</v>
      </c>
      <c r="B13" s="5">
        <v>40242</v>
      </c>
      <c r="C13" s="5">
        <v>38261</v>
      </c>
      <c r="D13" s="5">
        <v>78503</v>
      </c>
      <c r="E13" s="5">
        <v>21717</v>
      </c>
      <c r="F13" s="5">
        <v>20095</v>
      </c>
      <c r="G13" s="5">
        <v>41812</v>
      </c>
      <c r="H13" s="6">
        <v>105.2</v>
      </c>
      <c r="I13" s="6">
        <v>187.8</v>
      </c>
      <c r="K13" s="2">
        <f t="shared" si="0"/>
        <v>0</v>
      </c>
      <c r="L13" s="2">
        <f t="shared" si="1"/>
        <v>0</v>
      </c>
      <c r="M13" s="3">
        <f t="shared" si="2"/>
        <v>-2.2404014531772987E-2</v>
      </c>
      <c r="N13" s="3">
        <f t="shared" si="3"/>
        <v>-4.768009183965205E-2</v>
      </c>
    </row>
    <row r="14" spans="1:14" x14ac:dyDescent="0.55000000000000004">
      <c r="A14" s="4" t="s">
        <v>21</v>
      </c>
      <c r="B14" s="5">
        <v>43556</v>
      </c>
      <c r="C14" s="5">
        <v>41422</v>
      </c>
      <c r="D14" s="5">
        <v>84978</v>
      </c>
      <c r="E14" s="5">
        <v>24374</v>
      </c>
      <c r="F14" s="5">
        <v>21637</v>
      </c>
      <c r="G14" s="5">
        <v>46011</v>
      </c>
      <c r="H14" s="6">
        <v>105.2</v>
      </c>
      <c r="I14" s="6">
        <v>184.7</v>
      </c>
      <c r="K14" s="2">
        <f t="shared" si="0"/>
        <v>0</v>
      </c>
      <c r="L14" s="2">
        <f t="shared" si="1"/>
        <v>0</v>
      </c>
      <c r="M14" s="3">
        <f t="shared" si="2"/>
        <v>-4.8148326976019007E-2</v>
      </c>
      <c r="N14" s="3">
        <f t="shared" si="3"/>
        <v>-9.3825389580786123E-3</v>
      </c>
    </row>
    <row r="15" spans="1:14" x14ac:dyDescent="0.55000000000000004">
      <c r="A15" s="4" t="s">
        <v>22</v>
      </c>
      <c r="B15" s="5">
        <v>48342</v>
      </c>
      <c r="C15" s="5">
        <v>46220</v>
      </c>
      <c r="D15" s="5">
        <v>94562</v>
      </c>
      <c r="E15" s="5">
        <v>32769</v>
      </c>
      <c r="F15" s="5">
        <v>30727</v>
      </c>
      <c r="G15" s="5">
        <v>63496</v>
      </c>
      <c r="H15" s="6">
        <v>104.6</v>
      </c>
      <c r="I15" s="6">
        <v>148.9</v>
      </c>
      <c r="K15" s="2">
        <f t="shared" si="0"/>
        <v>0</v>
      </c>
      <c r="L15" s="2">
        <f t="shared" si="1"/>
        <v>0</v>
      </c>
      <c r="M15" s="3">
        <f t="shared" si="2"/>
        <v>-8.9138900908665164E-3</v>
      </c>
      <c r="N15" s="3">
        <f t="shared" si="3"/>
        <v>2.5916593171217528E-2</v>
      </c>
    </row>
    <row r="16" spans="1:14" x14ac:dyDescent="0.55000000000000004">
      <c r="A16" s="4" t="s">
        <v>23</v>
      </c>
      <c r="B16" s="5">
        <v>25738</v>
      </c>
      <c r="C16" s="5">
        <v>24706</v>
      </c>
      <c r="D16" s="5">
        <v>50444</v>
      </c>
      <c r="E16" s="5">
        <v>17071</v>
      </c>
      <c r="F16" s="5">
        <v>15676</v>
      </c>
      <c r="G16" s="5">
        <v>32747</v>
      </c>
      <c r="H16" s="6">
        <v>104.2</v>
      </c>
      <c r="I16" s="6">
        <v>154</v>
      </c>
      <c r="K16" s="2">
        <f t="shared" si="0"/>
        <v>0</v>
      </c>
      <c r="L16" s="2">
        <f t="shared" si="1"/>
        <v>0</v>
      </c>
      <c r="M16" s="3">
        <f t="shared" si="2"/>
        <v>-2.2877033918902612E-2</v>
      </c>
      <c r="N16" s="3">
        <f t="shared" si="3"/>
        <v>4.1591596176743906E-2</v>
      </c>
    </row>
    <row r="17" spans="1:14" x14ac:dyDescent="0.55000000000000004">
      <c r="A17" s="4" t="s">
        <v>24</v>
      </c>
      <c r="B17" s="5">
        <v>68597</v>
      </c>
      <c r="C17" s="5">
        <v>64026</v>
      </c>
      <c r="D17" s="5">
        <v>132623</v>
      </c>
      <c r="E17" s="5">
        <v>47073</v>
      </c>
      <c r="F17" s="5">
        <v>43750</v>
      </c>
      <c r="G17" s="5">
        <v>90823</v>
      </c>
      <c r="H17" s="6">
        <v>107.1</v>
      </c>
      <c r="I17" s="6">
        <v>135</v>
      </c>
      <c r="K17" s="2">
        <f t="shared" si="0"/>
        <v>0</v>
      </c>
      <c r="L17" s="2">
        <f t="shared" si="1"/>
        <v>0</v>
      </c>
      <c r="M17" s="3">
        <f t="shared" si="2"/>
        <v>3.9287164589381973E-2</v>
      </c>
      <c r="N17" s="3">
        <f t="shared" si="3"/>
        <v>11.023584334364642</v>
      </c>
    </row>
    <row r="18" spans="1:14" x14ac:dyDescent="0.55000000000000004">
      <c r="A18" s="4" t="s">
        <v>25</v>
      </c>
      <c r="B18" s="5">
        <v>25242</v>
      </c>
      <c r="C18" s="5">
        <v>23268</v>
      </c>
      <c r="D18" s="5">
        <v>48510</v>
      </c>
      <c r="E18" s="5">
        <v>19866</v>
      </c>
      <c r="F18" s="5">
        <v>18592</v>
      </c>
      <c r="G18" s="5">
        <v>38458</v>
      </c>
      <c r="H18" s="6">
        <v>108.5</v>
      </c>
      <c r="I18" s="6">
        <v>126.1</v>
      </c>
      <c r="K18" s="2">
        <f t="shared" si="0"/>
        <v>0</v>
      </c>
      <c r="L18" s="2">
        <f t="shared" si="1"/>
        <v>0</v>
      </c>
      <c r="M18" s="3">
        <f t="shared" si="2"/>
        <v>-1.6245487364614064E-2</v>
      </c>
      <c r="N18" s="3">
        <f t="shared" si="3"/>
        <v>3.76046596286983E-2</v>
      </c>
    </row>
    <row r="19" spans="1:14" x14ac:dyDescent="0.55000000000000004">
      <c r="A19" s="4" t="s">
        <v>26</v>
      </c>
      <c r="B19" s="5">
        <v>30601</v>
      </c>
      <c r="C19" s="5">
        <v>29469</v>
      </c>
      <c r="D19" s="5">
        <v>60070</v>
      </c>
      <c r="E19" s="5">
        <v>22359</v>
      </c>
      <c r="F19" s="5">
        <v>21583</v>
      </c>
      <c r="G19" s="5">
        <v>43942</v>
      </c>
      <c r="H19" s="6">
        <v>103.8</v>
      </c>
      <c r="I19" s="6">
        <v>136.69999999999999</v>
      </c>
      <c r="K19" s="2">
        <f t="shared" si="0"/>
        <v>0</v>
      </c>
      <c r="L19" s="2">
        <f t="shared" si="1"/>
        <v>0</v>
      </c>
      <c r="M19" s="3">
        <f t="shared" si="2"/>
        <v>4.1324781974282132E-2</v>
      </c>
      <c r="N19" s="3">
        <f t="shared" si="3"/>
        <v>2.9265850439514907E-3</v>
      </c>
    </row>
    <row r="20" spans="1:14" x14ac:dyDescent="0.55000000000000004">
      <c r="A20" s="4" t="s">
        <v>27</v>
      </c>
      <c r="B20" s="5">
        <v>9515</v>
      </c>
      <c r="C20" s="5">
        <v>8921</v>
      </c>
      <c r="D20" s="5">
        <v>18436</v>
      </c>
      <c r="E20" s="5">
        <v>6320</v>
      </c>
      <c r="F20" s="5">
        <v>6228</v>
      </c>
      <c r="G20" s="5">
        <v>12548</v>
      </c>
      <c r="H20" s="6">
        <v>106.6</v>
      </c>
      <c r="I20" s="6">
        <v>146.9</v>
      </c>
      <c r="K20" s="2">
        <f t="shared" si="0"/>
        <v>0</v>
      </c>
      <c r="L20" s="2">
        <f t="shared" si="1"/>
        <v>0</v>
      </c>
      <c r="M20" s="3">
        <f t="shared" si="2"/>
        <v>5.8446362515411465E-2</v>
      </c>
      <c r="N20" s="3">
        <f t="shared" si="3"/>
        <v>2.3812559770476582E-2</v>
      </c>
    </row>
    <row r="21" spans="1:14" x14ac:dyDescent="0.55000000000000004">
      <c r="A21" s="4" t="s">
        <v>28</v>
      </c>
      <c r="B21" s="5">
        <v>56711</v>
      </c>
      <c r="C21" s="5">
        <v>54544</v>
      </c>
      <c r="D21" s="5">
        <v>111255</v>
      </c>
      <c r="E21" s="5">
        <v>39987</v>
      </c>
      <c r="F21" s="5">
        <v>38063</v>
      </c>
      <c r="G21" s="5">
        <v>78050</v>
      </c>
      <c r="H21" s="6">
        <v>103.9</v>
      </c>
      <c r="I21" s="6">
        <v>142.5</v>
      </c>
      <c r="K21" s="2">
        <f t="shared" si="0"/>
        <v>0</v>
      </c>
      <c r="L21" s="2">
        <f t="shared" si="1"/>
        <v>0</v>
      </c>
      <c r="M21" s="3">
        <f t="shared" si="2"/>
        <v>7.293927838075831E-2</v>
      </c>
      <c r="N21" s="3">
        <f t="shared" si="3"/>
        <v>4.3241511851391579E-2</v>
      </c>
    </row>
    <row r="22" spans="1:14" x14ac:dyDescent="0.55000000000000004">
      <c r="A22" s="4" t="s">
        <v>29</v>
      </c>
      <c r="B22" s="5">
        <v>19287</v>
      </c>
      <c r="C22" s="5">
        <v>18121</v>
      </c>
      <c r="D22" s="5">
        <v>37408</v>
      </c>
      <c r="E22" s="5">
        <v>14120</v>
      </c>
      <c r="F22" s="5">
        <v>13330</v>
      </c>
      <c r="G22" s="5">
        <v>27450</v>
      </c>
      <c r="H22" s="6">
        <v>106.4</v>
      </c>
      <c r="I22" s="6">
        <v>125.3</v>
      </c>
      <c r="K22" s="2">
        <f t="shared" si="0"/>
        <v>0</v>
      </c>
      <c r="L22" s="2">
        <f t="shared" si="1"/>
        <v>0</v>
      </c>
      <c r="M22" s="3">
        <f t="shared" si="2"/>
        <v>3.4523481044089976E-2</v>
      </c>
      <c r="N22" s="3">
        <f t="shared" si="3"/>
        <v>10.976867030965408</v>
      </c>
    </row>
    <row r="23" spans="1:14" x14ac:dyDescent="0.55000000000000004">
      <c r="A23" s="4" t="s">
        <v>30</v>
      </c>
      <c r="B23" s="5">
        <v>33796</v>
      </c>
      <c r="C23" s="5">
        <v>31035</v>
      </c>
      <c r="D23" s="5">
        <v>64831</v>
      </c>
      <c r="E23" s="5">
        <v>23447</v>
      </c>
      <c r="F23" s="5">
        <v>21335</v>
      </c>
      <c r="G23" s="5">
        <v>44782</v>
      </c>
      <c r="H23" s="6">
        <v>110.9</v>
      </c>
      <c r="I23" s="6">
        <v>144.80000000000001</v>
      </c>
      <c r="K23" s="2">
        <f t="shared" si="0"/>
        <v>0</v>
      </c>
      <c r="L23" s="2">
        <f t="shared" si="1"/>
        <v>0</v>
      </c>
      <c r="M23" s="3">
        <f t="shared" si="2"/>
        <v>-2.0035927178991528</v>
      </c>
      <c r="N23" s="3">
        <f t="shared" si="3"/>
        <v>-2.9779822250020516E-2</v>
      </c>
    </row>
    <row r="24" spans="1:14" x14ac:dyDescent="0.55000000000000004">
      <c r="A24" s="4" t="s">
        <v>31</v>
      </c>
      <c r="B24" s="5">
        <v>28568</v>
      </c>
      <c r="C24" s="5">
        <v>26291</v>
      </c>
      <c r="D24" s="5">
        <v>54859</v>
      </c>
      <c r="E24" s="5">
        <v>16786</v>
      </c>
      <c r="F24" s="5">
        <v>15592</v>
      </c>
      <c r="G24" s="5">
        <v>32378</v>
      </c>
      <c r="H24" s="6">
        <v>108.7</v>
      </c>
      <c r="I24" s="6">
        <v>169.4</v>
      </c>
      <c r="K24" s="2">
        <f t="shared" si="0"/>
        <v>0</v>
      </c>
      <c r="L24" s="2">
        <f t="shared" si="1"/>
        <v>0</v>
      </c>
      <c r="M24" s="3">
        <f t="shared" si="2"/>
        <v>-3.9241565554760882E-2</v>
      </c>
      <c r="N24" s="3">
        <f t="shared" si="3"/>
        <v>3.2948298227182704E-2</v>
      </c>
    </row>
    <row r="25" spans="1:14" x14ac:dyDescent="0.55000000000000004">
      <c r="A25" s="4" t="s">
        <v>32</v>
      </c>
      <c r="B25" s="5">
        <v>46334</v>
      </c>
      <c r="C25" s="5">
        <v>44085</v>
      </c>
      <c r="D25" s="5">
        <v>90419</v>
      </c>
      <c r="E25" s="5">
        <v>42221</v>
      </c>
      <c r="F25" s="5">
        <v>37320</v>
      </c>
      <c r="G25" s="5">
        <v>79541</v>
      </c>
      <c r="H25" s="6">
        <v>105.1</v>
      </c>
      <c r="I25" s="6">
        <v>113.7</v>
      </c>
      <c r="K25" s="2">
        <f t="shared" si="0"/>
        <v>0</v>
      </c>
      <c r="L25" s="2">
        <f t="shared" si="1"/>
        <v>0</v>
      </c>
      <c r="M25" s="3">
        <f t="shared" si="2"/>
        <v>1.5084495860406832E-3</v>
      </c>
      <c r="N25" s="3">
        <f t="shared" si="3"/>
        <v>-2.4034145912168015E-2</v>
      </c>
    </row>
    <row r="26" spans="1:14" x14ac:dyDescent="0.55000000000000004">
      <c r="A26" s="4" t="s">
        <v>33</v>
      </c>
      <c r="B26" s="5">
        <v>38536</v>
      </c>
      <c r="C26" s="5">
        <v>37576</v>
      </c>
      <c r="D26" s="5">
        <v>76112</v>
      </c>
      <c r="E26" s="5">
        <v>28553</v>
      </c>
      <c r="F26" s="5">
        <v>26418</v>
      </c>
      <c r="G26" s="5">
        <v>54971</v>
      </c>
      <c r="H26" s="6">
        <v>102.6</v>
      </c>
      <c r="I26" s="6">
        <v>136.6</v>
      </c>
      <c r="K26" s="2">
        <f t="shared" si="0"/>
        <v>0</v>
      </c>
      <c r="L26" s="2">
        <f t="shared" si="1"/>
        <v>0</v>
      </c>
      <c r="M26" s="3">
        <f t="shared" si="2"/>
        <v>-4.5177773046617631E-2</v>
      </c>
      <c r="N26" s="3">
        <f t="shared" si="3"/>
        <v>1.8584599152280248</v>
      </c>
    </row>
    <row r="27" spans="1:14" x14ac:dyDescent="0.55000000000000004">
      <c r="A27" s="4" t="s">
        <v>34</v>
      </c>
      <c r="B27" s="5">
        <v>24610</v>
      </c>
      <c r="C27" s="5">
        <v>23425</v>
      </c>
      <c r="D27" s="5">
        <v>48035</v>
      </c>
      <c r="E27" s="5">
        <v>17927</v>
      </c>
      <c r="F27" s="5">
        <v>16236</v>
      </c>
      <c r="G27" s="5">
        <v>34163</v>
      </c>
      <c r="H27" s="6">
        <v>105.1</v>
      </c>
      <c r="I27" s="6">
        <v>140.6</v>
      </c>
      <c r="K27" s="2">
        <f t="shared" si="0"/>
        <v>0</v>
      </c>
      <c r="L27" s="2">
        <f t="shared" si="1"/>
        <v>0</v>
      </c>
      <c r="M27" s="3">
        <f t="shared" si="2"/>
        <v>-4.1302027748130854E-2</v>
      </c>
      <c r="N27" s="3">
        <f t="shared" si="3"/>
        <v>5.3332552761844454E-3</v>
      </c>
    </row>
    <row r="28" spans="1:14" x14ac:dyDescent="0.55000000000000004">
      <c r="A28" s="4" t="s">
        <v>35</v>
      </c>
      <c r="B28" s="5">
        <v>8010</v>
      </c>
      <c r="C28" s="5">
        <v>7744</v>
      </c>
      <c r="D28" s="5">
        <v>15754</v>
      </c>
      <c r="E28" s="5">
        <v>6014</v>
      </c>
      <c r="F28" s="5">
        <v>5534</v>
      </c>
      <c r="G28" s="5">
        <v>11548</v>
      </c>
      <c r="H28" s="6">
        <v>103.4</v>
      </c>
      <c r="I28" s="6">
        <v>136.4</v>
      </c>
      <c r="K28" s="2">
        <f t="shared" si="0"/>
        <v>0</v>
      </c>
      <c r="L28" s="2">
        <f t="shared" si="1"/>
        <v>0</v>
      </c>
      <c r="M28" s="3">
        <f t="shared" si="2"/>
        <v>3.4917355371888448E-2</v>
      </c>
      <c r="N28" s="3">
        <f t="shared" si="3"/>
        <v>2.1891236577744166E-2</v>
      </c>
    </row>
    <row r="29" spans="1:14" x14ac:dyDescent="0.55000000000000004">
      <c r="A29" s="4" t="s">
        <v>36</v>
      </c>
      <c r="B29" s="5">
        <v>30966</v>
      </c>
      <c r="C29" s="5">
        <v>29726</v>
      </c>
      <c r="D29" s="5">
        <v>60692</v>
      </c>
      <c r="E29" s="5">
        <v>20850</v>
      </c>
      <c r="F29" s="5">
        <v>19207</v>
      </c>
      <c r="G29" s="5">
        <v>40057</v>
      </c>
      <c r="H29" s="6">
        <v>104.2</v>
      </c>
      <c r="I29" s="6">
        <v>151.69999999999999</v>
      </c>
      <c r="K29" s="2">
        <f t="shared" si="0"/>
        <v>0</v>
      </c>
      <c r="L29" s="2">
        <f t="shared" si="1"/>
        <v>0</v>
      </c>
      <c r="M29" s="3">
        <f t="shared" si="2"/>
        <v>-2.8567583933252649E-2</v>
      </c>
      <c r="N29" s="3">
        <f t="shared" si="3"/>
        <v>-0.18590758169608534</v>
      </c>
    </row>
    <row r="30" spans="1:14" x14ac:dyDescent="0.55000000000000004">
      <c r="A30" s="4" t="s">
        <v>37</v>
      </c>
      <c r="B30" s="5">
        <v>47681</v>
      </c>
      <c r="C30" s="5">
        <v>45505</v>
      </c>
      <c r="D30" s="5">
        <v>93186</v>
      </c>
      <c r="E30" s="5">
        <v>32957</v>
      </c>
      <c r="F30" s="5">
        <v>31030</v>
      </c>
      <c r="G30" s="5">
        <v>63987</v>
      </c>
      <c r="H30" s="6">
        <v>104.8</v>
      </c>
      <c r="I30" s="6">
        <v>145.6</v>
      </c>
      <c r="K30" s="2">
        <f t="shared" si="0"/>
        <v>0</v>
      </c>
      <c r="L30" s="2">
        <f t="shared" si="1"/>
        <v>0</v>
      </c>
      <c r="M30" s="3">
        <f t="shared" si="2"/>
        <v>-1.8107900230745599E-2</v>
      </c>
      <c r="N30" s="3">
        <f t="shared" si="3"/>
        <v>3.2706643536954516E-2</v>
      </c>
    </row>
    <row r="31" spans="1:14" x14ac:dyDescent="0.55000000000000004">
      <c r="A31" s="4" t="s">
        <v>38</v>
      </c>
      <c r="B31" s="5">
        <v>38436</v>
      </c>
      <c r="C31" s="5">
        <v>36910</v>
      </c>
      <c r="D31" s="5">
        <v>75346</v>
      </c>
      <c r="E31" s="5">
        <v>24771</v>
      </c>
      <c r="F31" s="5">
        <v>23518</v>
      </c>
      <c r="G31" s="5">
        <v>48289</v>
      </c>
      <c r="H31" s="6">
        <v>104.1</v>
      </c>
      <c r="I31" s="6">
        <v>162.19999999999999</v>
      </c>
      <c r="K31" s="2">
        <f t="shared" si="0"/>
        <v>0</v>
      </c>
      <c r="L31" s="2">
        <f t="shared" si="1"/>
        <v>0</v>
      </c>
      <c r="M31" s="3">
        <f t="shared" si="2"/>
        <v>3.4380926578165827E-2</v>
      </c>
      <c r="N31" s="3">
        <f t="shared" si="3"/>
        <v>-6.1686056865952708</v>
      </c>
    </row>
    <row r="32" spans="1:14" x14ac:dyDescent="0.55000000000000004">
      <c r="A32" s="4" t="s">
        <v>39</v>
      </c>
      <c r="B32" s="5">
        <v>75847</v>
      </c>
      <c r="C32" s="5">
        <v>72508</v>
      </c>
      <c r="D32" s="5">
        <v>148355</v>
      </c>
      <c r="E32" s="5">
        <v>56295</v>
      </c>
      <c r="F32" s="5">
        <v>52135</v>
      </c>
      <c r="G32" s="5">
        <v>108430</v>
      </c>
      <c r="H32" s="6">
        <v>104.6</v>
      </c>
      <c r="I32" s="6">
        <v>136.80000000000001</v>
      </c>
      <c r="K32" s="2">
        <f t="shared" si="0"/>
        <v>0</v>
      </c>
      <c r="L32" s="2">
        <f t="shared" si="1"/>
        <v>0</v>
      </c>
      <c r="M32" s="3">
        <f t="shared" si="2"/>
        <v>5.0091024438643217E-3</v>
      </c>
      <c r="N32" s="3">
        <f t="shared" si="3"/>
        <v>2.0990500783909738E-2</v>
      </c>
    </row>
    <row r="33" spans="1:14" x14ac:dyDescent="0.55000000000000004">
      <c r="A33" s="4" t="s">
        <v>40</v>
      </c>
      <c r="B33" s="5">
        <v>56202</v>
      </c>
      <c r="C33" s="5">
        <v>51748</v>
      </c>
      <c r="D33" s="5">
        <v>107950</v>
      </c>
      <c r="E33" s="5">
        <v>36523</v>
      </c>
      <c r="F33" s="5">
        <v>34026</v>
      </c>
      <c r="G33" s="5">
        <v>70549</v>
      </c>
      <c r="H33" s="6">
        <v>108.6</v>
      </c>
      <c r="I33" s="6">
        <v>153</v>
      </c>
      <c r="K33" s="2">
        <f t="shared" si="0"/>
        <v>0</v>
      </c>
      <c r="L33" s="2">
        <f t="shared" si="1"/>
        <v>0</v>
      </c>
      <c r="M33" s="3">
        <f t="shared" si="2"/>
        <v>7.0959264126315702E-3</v>
      </c>
      <c r="N33" s="3">
        <f t="shared" si="3"/>
        <v>1.4217068987505854E-2</v>
      </c>
    </row>
    <row r="34" spans="1:14" x14ac:dyDescent="0.55000000000000004">
      <c r="A34" s="4" t="s">
        <v>41</v>
      </c>
      <c r="B34" s="5">
        <v>57974</v>
      </c>
      <c r="C34" s="5">
        <v>57127</v>
      </c>
      <c r="D34" s="5">
        <v>115101</v>
      </c>
      <c r="E34" s="5">
        <v>38539</v>
      </c>
      <c r="F34" s="5">
        <v>38027</v>
      </c>
      <c r="G34" s="5">
        <v>76566</v>
      </c>
      <c r="H34" s="6">
        <v>101.5</v>
      </c>
      <c r="I34" s="6">
        <v>150.30000000000001</v>
      </c>
      <c r="K34" s="2">
        <f t="shared" si="0"/>
        <v>0</v>
      </c>
      <c r="L34" s="2">
        <f t="shared" si="1"/>
        <v>0</v>
      </c>
      <c r="M34" s="3">
        <f t="shared" si="2"/>
        <v>-1.7338561450799261E-2</v>
      </c>
      <c r="N34" s="3">
        <f t="shared" si="3"/>
        <v>2.9127811300043049E-2</v>
      </c>
    </row>
    <row r="35" spans="1:14" x14ac:dyDescent="0.55000000000000004">
      <c r="A35" s="4" t="s">
        <v>42</v>
      </c>
      <c r="B35" s="5">
        <v>21374</v>
      </c>
      <c r="C35" s="5">
        <v>20301</v>
      </c>
      <c r="D35" s="5">
        <v>41675</v>
      </c>
      <c r="E35" s="5">
        <v>17991</v>
      </c>
      <c r="F35" s="5">
        <v>17317</v>
      </c>
      <c r="G35" s="5">
        <v>35308</v>
      </c>
      <c r="H35" s="6">
        <v>105.3</v>
      </c>
      <c r="I35" s="6">
        <v>118</v>
      </c>
      <c r="K35" s="2">
        <f t="shared" si="0"/>
        <v>0</v>
      </c>
      <c r="L35" s="2">
        <f t="shared" si="1"/>
        <v>0</v>
      </c>
      <c r="M35" s="3">
        <f t="shared" si="2"/>
        <v>-1.4546081473824302E-2</v>
      </c>
      <c r="N35" s="3">
        <f t="shared" si="3"/>
        <v>3.2740455420864123E-2</v>
      </c>
    </row>
    <row r="36" spans="1:14" x14ac:dyDescent="0.55000000000000004">
      <c r="A36" s="4" t="s">
        <v>43</v>
      </c>
      <c r="B36" s="5">
        <v>39753</v>
      </c>
      <c r="C36" s="5">
        <v>38264</v>
      </c>
      <c r="D36" s="5">
        <v>78017</v>
      </c>
      <c r="E36" s="5">
        <v>27233</v>
      </c>
      <c r="F36" s="5">
        <v>25887</v>
      </c>
      <c r="G36" s="5">
        <v>53120</v>
      </c>
      <c r="H36" s="6">
        <v>103.9</v>
      </c>
      <c r="I36" s="6">
        <v>146.9</v>
      </c>
      <c r="K36" s="2">
        <f t="shared" si="0"/>
        <v>0</v>
      </c>
      <c r="L36" s="2">
        <f t="shared" si="1"/>
        <v>0</v>
      </c>
      <c r="M36" s="3">
        <f t="shared" si="2"/>
        <v>-8.6138406857685368E-3</v>
      </c>
      <c r="N36" s="3">
        <f t="shared" si="3"/>
        <v>-3.0647590361439825E-2</v>
      </c>
    </row>
    <row r="37" spans="1:14" x14ac:dyDescent="0.55000000000000004">
      <c r="A37" s="4" t="s">
        <v>44</v>
      </c>
      <c r="B37" s="5">
        <v>61740</v>
      </c>
      <c r="C37" s="5">
        <v>58600</v>
      </c>
      <c r="D37" s="5">
        <v>120340</v>
      </c>
      <c r="E37" s="5">
        <v>42225</v>
      </c>
      <c r="F37" s="5">
        <v>38885</v>
      </c>
      <c r="G37" s="5">
        <v>81110</v>
      </c>
      <c r="H37" s="6">
        <v>105.2</v>
      </c>
      <c r="I37" s="6">
        <v>148.4</v>
      </c>
      <c r="K37" s="2">
        <f t="shared" si="0"/>
        <v>0</v>
      </c>
      <c r="L37" s="2">
        <f t="shared" si="1"/>
        <v>0</v>
      </c>
      <c r="M37" s="3">
        <f t="shared" si="2"/>
        <v>0.15836177474402291</v>
      </c>
      <c r="N37" s="3">
        <f t="shared" si="3"/>
        <v>-3.3584021698942479E-2</v>
      </c>
    </row>
    <row r="38" spans="1:14" x14ac:dyDescent="0.55000000000000004">
      <c r="A38" s="4" t="s">
        <v>45</v>
      </c>
      <c r="B38" s="5">
        <v>28412</v>
      </c>
      <c r="C38" s="5">
        <v>26877</v>
      </c>
      <c r="D38" s="5">
        <v>55289</v>
      </c>
      <c r="E38" s="5">
        <v>38210</v>
      </c>
      <c r="F38" s="5">
        <v>27139</v>
      </c>
      <c r="G38" s="5">
        <v>65349</v>
      </c>
      <c r="H38" s="6">
        <v>105.7</v>
      </c>
      <c r="I38" s="6">
        <v>84.6</v>
      </c>
      <c r="K38" s="2">
        <f t="shared" si="0"/>
        <v>0</v>
      </c>
      <c r="L38" s="2">
        <f t="shared" si="1"/>
        <v>0</v>
      </c>
      <c r="M38" s="3">
        <f t="shared" si="2"/>
        <v>1.1202887226986036E-2</v>
      </c>
      <c r="N38" s="3">
        <f t="shared" si="3"/>
        <v>5.732298887522802E-3</v>
      </c>
    </row>
    <row r="39" spans="1:14" x14ac:dyDescent="0.55000000000000004">
      <c r="A39" s="4" t="s">
        <v>46</v>
      </c>
      <c r="B39" s="5">
        <v>51146</v>
      </c>
      <c r="C39" s="5">
        <v>49520</v>
      </c>
      <c r="D39" s="5">
        <v>100666</v>
      </c>
      <c r="E39" s="5">
        <v>39828</v>
      </c>
      <c r="F39" s="5">
        <v>37518</v>
      </c>
      <c r="G39" s="5">
        <v>77346</v>
      </c>
      <c r="H39" s="6">
        <v>103.3</v>
      </c>
      <c r="I39" s="6">
        <v>130.19999999999999</v>
      </c>
      <c r="K39" s="2">
        <f t="shared" si="0"/>
        <v>0</v>
      </c>
      <c r="L39" s="2">
        <f t="shared" si="1"/>
        <v>0</v>
      </c>
      <c r="M39" s="3">
        <f t="shared" si="2"/>
        <v>-1.6478190630053291E-2</v>
      </c>
      <c r="N39" s="3">
        <f t="shared" si="3"/>
        <v>-4.9765986605621038E-2</v>
      </c>
    </row>
    <row r="40" spans="1:14" x14ac:dyDescent="0.55000000000000004">
      <c r="A40" s="4" t="s">
        <v>47</v>
      </c>
      <c r="B40" s="5">
        <v>37247</v>
      </c>
      <c r="C40" s="5">
        <v>35638</v>
      </c>
      <c r="D40" s="5">
        <v>72885</v>
      </c>
      <c r="E40" s="5">
        <v>22885</v>
      </c>
      <c r="F40" s="5">
        <v>21582</v>
      </c>
      <c r="G40" s="5">
        <v>44467</v>
      </c>
      <c r="H40" s="6">
        <v>104.5</v>
      </c>
      <c r="I40" s="6">
        <v>163.9</v>
      </c>
      <c r="K40" s="2">
        <f t="shared" si="0"/>
        <v>0</v>
      </c>
      <c r="L40" s="2">
        <f t="shared" si="1"/>
        <v>0</v>
      </c>
      <c r="M40" s="3">
        <f t="shared" si="2"/>
        <v>1.4843706156355552E-2</v>
      </c>
      <c r="N40" s="3">
        <f t="shared" si="3"/>
        <v>8.0666561719908714E-3</v>
      </c>
    </row>
    <row r="41" spans="1:14" x14ac:dyDescent="0.55000000000000004">
      <c r="A41" s="4" t="s">
        <v>48</v>
      </c>
      <c r="B41" s="5">
        <v>34135</v>
      </c>
      <c r="C41" s="5">
        <v>32294</v>
      </c>
      <c r="D41" s="5">
        <v>66429</v>
      </c>
      <c r="E41" s="5">
        <v>23363</v>
      </c>
      <c r="F41" s="5">
        <v>21874</v>
      </c>
      <c r="G41" s="5">
        <v>45237</v>
      </c>
      <c r="H41" s="6">
        <v>105.6</v>
      </c>
      <c r="I41" s="6">
        <v>146.80000000000001</v>
      </c>
      <c r="K41" s="2">
        <f t="shared" si="0"/>
        <v>0</v>
      </c>
      <c r="L41" s="2">
        <f t="shared" si="1"/>
        <v>0</v>
      </c>
      <c r="M41" s="3">
        <f t="shared" si="2"/>
        <v>0.1007493652071787</v>
      </c>
      <c r="N41" s="3">
        <f t="shared" si="3"/>
        <v>4.6607865243061042E-2</v>
      </c>
    </row>
    <row r="42" spans="1:14" x14ac:dyDescent="0.55000000000000004">
      <c r="A42" s="4" t="s">
        <v>49</v>
      </c>
      <c r="B42" s="5">
        <v>24184</v>
      </c>
      <c r="C42" s="5">
        <v>22733</v>
      </c>
      <c r="D42" s="5">
        <v>46917</v>
      </c>
      <c r="E42" s="5">
        <v>13310</v>
      </c>
      <c r="F42" s="5">
        <v>11751</v>
      </c>
      <c r="G42" s="5">
        <v>25061</v>
      </c>
      <c r="H42" s="6">
        <v>106.4</v>
      </c>
      <c r="I42" s="6">
        <v>187.2</v>
      </c>
      <c r="K42" s="2">
        <f t="shared" si="0"/>
        <v>0</v>
      </c>
      <c r="L42" s="2">
        <f t="shared" si="1"/>
        <v>0</v>
      </c>
      <c r="M42" s="3">
        <f t="shared" si="2"/>
        <v>-1.7208463467227375E-2</v>
      </c>
      <c r="N42" s="3">
        <f t="shared" si="3"/>
        <v>1.1204660628067131E-2</v>
      </c>
    </row>
    <row r="43" spans="1:14" x14ac:dyDescent="0.55000000000000004">
      <c r="A43" s="4" t="s">
        <v>50</v>
      </c>
      <c r="B43" s="5">
        <v>61935</v>
      </c>
      <c r="C43" s="5">
        <v>59640</v>
      </c>
      <c r="D43" s="5">
        <v>121575</v>
      </c>
      <c r="E43" s="5">
        <v>42931</v>
      </c>
      <c r="F43" s="5">
        <v>40554</v>
      </c>
      <c r="G43" s="5">
        <v>83485</v>
      </c>
      <c r="H43" s="6">
        <v>103.8</v>
      </c>
      <c r="I43" s="6">
        <v>145.6</v>
      </c>
      <c r="K43" s="2">
        <f t="shared" si="0"/>
        <v>0</v>
      </c>
      <c r="L43" s="2">
        <f t="shared" si="1"/>
        <v>0</v>
      </c>
      <c r="M43" s="3">
        <f t="shared" si="2"/>
        <v>4.8088531187119088E-2</v>
      </c>
      <c r="N43" s="3">
        <f t="shared" si="3"/>
        <v>2.4962568125999951E-2</v>
      </c>
    </row>
    <row r="44" spans="1:14" x14ac:dyDescent="0.55000000000000004">
      <c r="A44" s="4" t="s">
        <v>51</v>
      </c>
      <c r="B44" s="5">
        <v>40737</v>
      </c>
      <c r="C44" s="5">
        <v>38936</v>
      </c>
      <c r="D44" s="5">
        <v>79673</v>
      </c>
      <c r="E44" s="5">
        <v>27830</v>
      </c>
      <c r="F44" s="5">
        <v>25406</v>
      </c>
      <c r="G44" s="5">
        <v>53236</v>
      </c>
      <c r="H44" s="6">
        <v>104.9</v>
      </c>
      <c r="I44" s="6">
        <v>149.69999999999999</v>
      </c>
      <c r="K44" s="2">
        <f t="shared" si="0"/>
        <v>0</v>
      </c>
      <c r="L44" s="2">
        <f t="shared" si="1"/>
        <v>0</v>
      </c>
      <c r="M44" s="3">
        <f t="shared" si="2"/>
        <v>-0.27446065337991854</v>
      </c>
      <c r="N44" s="3">
        <f t="shared" si="3"/>
        <v>-3.9995491772458536E-2</v>
      </c>
    </row>
    <row r="45" spans="1:14" x14ac:dyDescent="0.55000000000000004">
      <c r="A45" s="4" t="s">
        <v>52</v>
      </c>
      <c r="B45" s="5">
        <v>32250</v>
      </c>
      <c r="C45" s="5">
        <v>30972</v>
      </c>
      <c r="D45" s="5">
        <v>63222</v>
      </c>
      <c r="E45" s="5">
        <v>24580</v>
      </c>
      <c r="F45" s="5">
        <v>22558</v>
      </c>
      <c r="G45" s="5">
        <v>47138</v>
      </c>
      <c r="H45" s="6">
        <v>104.1</v>
      </c>
      <c r="I45" s="6">
        <v>134.1</v>
      </c>
      <c r="K45" s="2">
        <f t="shared" si="0"/>
        <v>0</v>
      </c>
      <c r="L45" s="2">
        <f t="shared" si="1"/>
        <v>0</v>
      </c>
      <c r="M45" s="3">
        <f t="shared" si="2"/>
        <v>2.6307632700508066E-2</v>
      </c>
      <c r="N45" s="3">
        <f t="shared" si="3"/>
        <v>2.1091263948392225E-2</v>
      </c>
    </row>
    <row r="46" spans="1:14" x14ac:dyDescent="0.55000000000000004">
      <c r="A46" s="4" t="s">
        <v>53</v>
      </c>
      <c r="B46" s="5">
        <v>43972</v>
      </c>
      <c r="C46" s="5">
        <v>42232</v>
      </c>
      <c r="D46" s="5">
        <v>86204</v>
      </c>
      <c r="E46" s="5">
        <v>23136</v>
      </c>
      <c r="F46" s="5">
        <v>21732</v>
      </c>
      <c r="G46" s="5">
        <v>44868</v>
      </c>
      <c r="H46" s="6">
        <v>104.1</v>
      </c>
      <c r="I46" s="6">
        <v>192.1</v>
      </c>
      <c r="K46" s="2">
        <f t="shared" si="0"/>
        <v>0</v>
      </c>
      <c r="L46" s="2">
        <f t="shared" si="1"/>
        <v>0</v>
      </c>
      <c r="M46" s="3">
        <f t="shared" si="2"/>
        <v>2.0098503504456744E-2</v>
      </c>
      <c r="N46" s="3">
        <f t="shared" si="3"/>
        <v>2.8019969688870106E-2</v>
      </c>
    </row>
    <row r="47" spans="1:14" x14ac:dyDescent="0.55000000000000004">
      <c r="A47" s="4" t="s">
        <v>54</v>
      </c>
      <c r="B47" s="5">
        <v>51559</v>
      </c>
      <c r="C47" s="5">
        <v>49445</v>
      </c>
      <c r="D47" s="5">
        <v>101004</v>
      </c>
      <c r="E47" s="5">
        <v>32475</v>
      </c>
      <c r="F47" s="5">
        <v>31070</v>
      </c>
      <c r="G47" s="5">
        <v>63545</v>
      </c>
      <c r="H47" s="6">
        <v>104.3</v>
      </c>
      <c r="I47" s="6">
        <v>158.9</v>
      </c>
      <c r="K47" s="2">
        <f t="shared" si="0"/>
        <v>0</v>
      </c>
      <c r="L47" s="2">
        <f t="shared" si="1"/>
        <v>0</v>
      </c>
      <c r="M47" s="3">
        <f t="shared" si="2"/>
        <v>-2.4542420871668469E-2</v>
      </c>
      <c r="N47" s="3">
        <f t="shared" si="3"/>
        <v>4.8776457628463277E-2</v>
      </c>
    </row>
    <row r="48" spans="1:14" x14ac:dyDescent="0.55000000000000004">
      <c r="A48" s="4" t="s">
        <v>55</v>
      </c>
      <c r="B48" s="5">
        <v>48740</v>
      </c>
      <c r="C48" s="5">
        <v>45681</v>
      </c>
      <c r="D48" s="5">
        <v>94421</v>
      </c>
      <c r="E48" s="5">
        <v>39490</v>
      </c>
      <c r="F48" s="5">
        <v>34288</v>
      </c>
      <c r="G48" s="5">
        <v>73778</v>
      </c>
      <c r="H48" s="6">
        <v>106.7</v>
      </c>
      <c r="I48" s="6">
        <v>128</v>
      </c>
      <c r="K48" s="2">
        <f t="shared" si="0"/>
        <v>0</v>
      </c>
      <c r="L48" s="2">
        <f t="shared" si="1"/>
        <v>0</v>
      </c>
      <c r="M48" s="3">
        <f t="shared" si="2"/>
        <v>-3.5616558306514889E-3</v>
      </c>
      <c r="N48" s="3">
        <f t="shared" si="3"/>
        <v>-2.0114397245777127E-2</v>
      </c>
    </row>
    <row r="49" spans="1:14" x14ac:dyDescent="0.55000000000000004">
      <c r="A49" s="4" t="s">
        <v>56</v>
      </c>
      <c r="B49" s="5">
        <v>45473</v>
      </c>
      <c r="C49" s="5">
        <v>43096</v>
      </c>
      <c r="D49" s="5">
        <v>88569</v>
      </c>
      <c r="E49" s="5">
        <v>29651</v>
      </c>
      <c r="F49" s="5">
        <v>28473</v>
      </c>
      <c r="G49" s="5">
        <v>58124</v>
      </c>
      <c r="H49" s="6">
        <v>105.5</v>
      </c>
      <c r="I49" s="6">
        <v>152.4</v>
      </c>
      <c r="K49" s="2">
        <f t="shared" si="0"/>
        <v>0</v>
      </c>
      <c r="L49" s="2">
        <f t="shared" si="1"/>
        <v>0</v>
      </c>
      <c r="M49" s="3">
        <f t="shared" si="2"/>
        <v>1.5593094486732184E-2</v>
      </c>
      <c r="N49" s="3">
        <f t="shared" si="3"/>
        <v>-2.0604225449062596E-2</v>
      </c>
    </row>
    <row r="50" spans="1:14" x14ac:dyDescent="0.55000000000000004">
      <c r="A50" s="4" t="s">
        <v>57</v>
      </c>
      <c r="B50" s="5">
        <v>5737</v>
      </c>
      <c r="C50" s="5">
        <v>5528</v>
      </c>
      <c r="D50" s="5">
        <v>11265</v>
      </c>
      <c r="E50" s="5">
        <v>4147</v>
      </c>
      <c r="F50" s="5">
        <v>4043</v>
      </c>
      <c r="G50" s="5">
        <v>8190</v>
      </c>
      <c r="H50" s="6">
        <v>103.8</v>
      </c>
      <c r="I50" s="6">
        <v>137.5</v>
      </c>
      <c r="K50" s="2">
        <f t="shared" si="0"/>
        <v>0</v>
      </c>
      <c r="L50" s="2">
        <f t="shared" si="1"/>
        <v>0</v>
      </c>
      <c r="M50" s="3">
        <f t="shared" si="2"/>
        <v>-1.9247467438475496E-2</v>
      </c>
      <c r="N50" s="3">
        <f t="shared" si="3"/>
        <v>4.578754578753319E-2</v>
      </c>
    </row>
    <row r="51" spans="1:14" x14ac:dyDescent="0.55000000000000004">
      <c r="A51" s="4" t="s">
        <v>58</v>
      </c>
      <c r="B51" s="5">
        <v>22066</v>
      </c>
      <c r="C51" s="5">
        <v>20915</v>
      </c>
      <c r="D51" s="5">
        <v>42981</v>
      </c>
      <c r="E51" s="5">
        <v>15688</v>
      </c>
      <c r="F51" s="5">
        <v>15416</v>
      </c>
      <c r="G51" s="5">
        <v>31104</v>
      </c>
      <c r="H51" s="6">
        <v>105.5</v>
      </c>
      <c r="I51" s="6">
        <v>138.19999999999999</v>
      </c>
      <c r="K51" s="2">
        <f t="shared" si="0"/>
        <v>0</v>
      </c>
      <c r="L51" s="2">
        <f t="shared" si="1"/>
        <v>0</v>
      </c>
      <c r="M51" s="3">
        <f t="shared" si="2"/>
        <v>3.2273487927341193E-3</v>
      </c>
      <c r="N51" s="3">
        <f t="shared" si="3"/>
        <v>-1.5200617283937845E-2</v>
      </c>
    </row>
    <row r="52" spans="1:14" x14ac:dyDescent="0.55000000000000004">
      <c r="A52" s="9" t="s">
        <v>59</v>
      </c>
      <c r="B52" s="10">
        <v>1887462</v>
      </c>
      <c r="C52" s="10">
        <v>1792232</v>
      </c>
      <c r="D52" s="10">
        <v>3679694</v>
      </c>
      <c r="E52" s="10">
        <v>1328757</v>
      </c>
      <c r="F52" s="10">
        <v>1231726</v>
      </c>
      <c r="G52" s="10">
        <v>2560483</v>
      </c>
      <c r="H52" s="11">
        <v>105.3</v>
      </c>
      <c r="I52" s="11">
        <v>140.30000000000001</v>
      </c>
      <c r="K52" s="2">
        <f t="shared" si="0"/>
        <v>0</v>
      </c>
      <c r="L52" s="2">
        <f t="shared" si="1"/>
        <v>0</v>
      </c>
      <c r="M52" s="3">
        <f t="shared" si="2"/>
        <v>1.348620044727511E-2</v>
      </c>
      <c r="N52" s="3">
        <f t="shared" si="3"/>
        <v>3.4109326638763093</v>
      </c>
    </row>
    <row r="54" spans="1:14" x14ac:dyDescent="0.55000000000000004">
      <c r="A54" s="12" t="s">
        <v>73</v>
      </c>
      <c r="B54" s="2">
        <f>SUM(B2:B51)-B52</f>
        <v>0</v>
      </c>
      <c r="C54" s="2">
        <f t="shared" ref="C54:G54" si="4">SUM(C2:C51)-C52</f>
        <v>0</v>
      </c>
      <c r="D54" s="2">
        <f t="shared" si="4"/>
        <v>0</v>
      </c>
      <c r="E54" s="2">
        <f t="shared" si="4"/>
        <v>0</v>
      </c>
      <c r="F54" s="2">
        <f t="shared" si="4"/>
        <v>0</v>
      </c>
      <c r="G54" s="2">
        <f t="shared" si="4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1881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2026-08-29T00:04:37Z</dcterms:modified>
</cp:coreProperties>
</file>