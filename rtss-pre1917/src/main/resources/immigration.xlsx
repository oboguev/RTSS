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9C92DF94-1ABD-4B33-B797-3F24F5987DFC}" xr6:coauthVersionLast="47" xr6:coauthVersionMax="47" xr10:uidLastSave="{00000000-0000-0000-0000-000000000000}"/>
  <bookViews>
    <workbookView xWindow="57480" yWindow="-120" windowWidth="51840" windowHeight="21120" activeTab="3" xr2:uid="{F5C0FC2C-9C7B-4145-981E-7BD1765E4EE3}"/>
  </bookViews>
  <sheets>
    <sheet name="note-1" sheetId="2" r:id="rId1"/>
    <sheet name="note-2" sheetId="1" r:id="rId2"/>
    <sheet name="note-3" sheetId="3" r:id="rId3"/>
    <sheet name="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9" i="4" l="1"/>
  <c r="AK89" i="4" s="1"/>
  <c r="AL88" i="4"/>
  <c r="AK88" i="4"/>
  <c r="AL87" i="4"/>
  <c r="AK87" i="4"/>
  <c r="AL86" i="4"/>
  <c r="AK86" i="4" s="1"/>
  <c r="AL85" i="4"/>
  <c r="AK85" i="4" s="1"/>
  <c r="AL84" i="4"/>
  <c r="AK84" i="4"/>
  <c r="AL83" i="4"/>
  <c r="AK83" i="4"/>
  <c r="AL82" i="4"/>
  <c r="AK82" i="4" s="1"/>
  <c r="AL81" i="4"/>
  <c r="AK81" i="4" s="1"/>
  <c r="AL80" i="4"/>
  <c r="AK80" i="4"/>
  <c r="AL79" i="4"/>
  <c r="AK79" i="4"/>
  <c r="AL78" i="4"/>
  <c r="AK78" i="4" s="1"/>
  <c r="AL77" i="4"/>
  <c r="AK77" i="4" s="1"/>
  <c r="AL76" i="4"/>
  <c r="AK76" i="4"/>
  <c r="AL75" i="4"/>
  <c r="AK75" i="4"/>
  <c r="AL74" i="4"/>
  <c r="AK74" i="4" s="1"/>
  <c r="AL73" i="4"/>
  <c r="AK73" i="4" s="1"/>
  <c r="AL72" i="4"/>
  <c r="AK72" i="4"/>
  <c r="AL71" i="4"/>
  <c r="AK71" i="4"/>
  <c r="AL70" i="4"/>
  <c r="AK70" i="4" s="1"/>
  <c r="AL69" i="4"/>
  <c r="AK69" i="4" s="1"/>
  <c r="AL68" i="4"/>
  <c r="AK68" i="4"/>
  <c r="AL67" i="4"/>
  <c r="AK67" i="4"/>
  <c r="AL66" i="4"/>
  <c r="AK66" i="4" s="1"/>
  <c r="AL65" i="4"/>
  <c r="AK65" i="4" s="1"/>
  <c r="AL64" i="4"/>
  <c r="AK64" i="4"/>
  <c r="AL63" i="4"/>
  <c r="AK63" i="4"/>
  <c r="AL62" i="4"/>
  <c r="AK62" i="4" s="1"/>
  <c r="AL61" i="4"/>
  <c r="AK61" i="4" s="1"/>
  <c r="AL60" i="4"/>
  <c r="AK60" i="4"/>
  <c r="AL59" i="4"/>
  <c r="AK59" i="4"/>
  <c r="AL58" i="4"/>
  <c r="AK58" i="4" s="1"/>
  <c r="AL57" i="4"/>
  <c r="AK57" i="4" s="1"/>
  <c r="AL56" i="4"/>
  <c r="AK56" i="4"/>
  <c r="AL53" i="4"/>
  <c r="AK53" i="4" s="1"/>
  <c r="AL52" i="4"/>
  <c r="AK52" i="4"/>
  <c r="AL51" i="4"/>
  <c r="AK51" i="4"/>
  <c r="AK55" i="4"/>
  <c r="AL55" i="4"/>
  <c r="C27" i="4"/>
  <c r="B31" i="4"/>
  <c r="H84" i="4" s="1"/>
  <c r="H16" i="4"/>
  <c r="AE89" i="4"/>
  <c r="AD89" i="4"/>
  <c r="AC89" i="4"/>
  <c r="AB89" i="4"/>
  <c r="AA89" i="4"/>
  <c r="Z89" i="4"/>
  <c r="Y89" i="4"/>
  <c r="X89" i="4"/>
  <c r="W89" i="4"/>
  <c r="V89" i="4"/>
  <c r="U89" i="4"/>
  <c r="AG89" i="4" s="1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AG88" i="4" s="1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AG87" i="4" s="1"/>
  <c r="AG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AG85" i="4" s="1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AG83" i="4" s="1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AG82" i="4" s="1"/>
  <c r="K82" i="4"/>
  <c r="J82" i="4"/>
  <c r="I82" i="4"/>
  <c r="H82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AG81" i="4" s="1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AG80" i="4" s="1"/>
  <c r="O80" i="4"/>
  <c r="N80" i="4"/>
  <c r="M80" i="4"/>
  <c r="L80" i="4"/>
  <c r="K80" i="4"/>
  <c r="J80" i="4"/>
  <c r="I80" i="4"/>
  <c r="H80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AG79" i="4" s="1"/>
  <c r="H79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AG78" i="4" s="1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AG77" i="4" s="1"/>
  <c r="H77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AG76" i="4" s="1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AG75" i="4" s="1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AG74" i="4" s="1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AG73" i="4" s="1"/>
  <c r="N73" i="4"/>
  <c r="M73" i="4"/>
  <c r="L73" i="4"/>
  <c r="K73" i="4"/>
  <c r="J73" i="4"/>
  <c r="I73" i="4"/>
  <c r="H73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AG72" i="4" s="1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AG71" i="4" s="1"/>
  <c r="AG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AG69" i="4" s="1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AG68" i="4" s="1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AG67" i="4" s="1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AG66" i="4" s="1"/>
  <c r="K66" i="4"/>
  <c r="J66" i="4"/>
  <c r="I66" i="4"/>
  <c r="H66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AG65" i="4" s="1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AG64" i="4" s="1"/>
  <c r="O64" i="4"/>
  <c r="N64" i="4"/>
  <c r="M64" i="4"/>
  <c r="L64" i="4"/>
  <c r="K64" i="4"/>
  <c r="J64" i="4"/>
  <c r="I64" i="4"/>
  <c r="H64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AG63" i="4" s="1"/>
  <c r="H63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AG62" i="4" s="1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AG61" i="4" s="1"/>
  <c r="H61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AG60" i="4" s="1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AG59" i="4" s="1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AG58" i="4" s="1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AG57" i="4" s="1"/>
  <c r="N57" i="4"/>
  <c r="M57" i="4"/>
  <c r="L57" i="4"/>
  <c r="K57" i="4"/>
  <c r="J57" i="4"/>
  <c r="I57" i="4"/>
  <c r="H57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AG56" i="4" s="1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AG55" i="4" s="1"/>
  <c r="AB53" i="4"/>
  <c r="L53" i="4"/>
  <c r="Z52" i="4"/>
  <c r="Y52" i="4"/>
  <c r="U52" i="4"/>
  <c r="T52" i="4"/>
  <c r="S52" i="4"/>
  <c r="R52" i="4"/>
  <c r="Q52" i="4"/>
  <c r="K52" i="4"/>
  <c r="J52" i="4"/>
  <c r="AD51" i="4"/>
  <c r="AC51" i="4"/>
  <c r="AB51" i="4"/>
  <c r="T51" i="4"/>
  <c r="S51" i="4"/>
  <c r="R51" i="4"/>
  <c r="N51" i="4"/>
  <c r="M51" i="4"/>
  <c r="L51" i="4"/>
  <c r="AC49" i="4"/>
  <c r="AC53" i="4" s="1"/>
  <c r="AB49" i="4"/>
  <c r="W49" i="4"/>
  <c r="W53" i="4" s="1"/>
  <c r="U49" i="4"/>
  <c r="U53" i="4" s="1"/>
  <c r="M49" i="4"/>
  <c r="M53" i="4" s="1"/>
  <c r="L49" i="4"/>
  <c r="G49" i="4"/>
  <c r="E49" i="4"/>
  <c r="AE48" i="4"/>
  <c r="AE52" i="4" s="1"/>
  <c r="AD48" i="4"/>
  <c r="AD49" i="4" s="1"/>
  <c r="AD53" i="4" s="1"/>
  <c r="AC48" i="4"/>
  <c r="AC52" i="4" s="1"/>
  <c r="AB48" i="4"/>
  <c r="AB52" i="4" s="1"/>
  <c r="AA48" i="4"/>
  <c r="AA49" i="4" s="1"/>
  <c r="AA53" i="4" s="1"/>
  <c r="Z48" i="4"/>
  <c r="Z49" i="4" s="1"/>
  <c r="Z53" i="4" s="1"/>
  <c r="Y48" i="4"/>
  <c r="Y49" i="4" s="1"/>
  <c r="Y53" i="4" s="1"/>
  <c r="X48" i="4"/>
  <c r="X49" i="4" s="1"/>
  <c r="X53" i="4" s="1"/>
  <c r="W48" i="4"/>
  <c r="W52" i="4" s="1"/>
  <c r="V48" i="4"/>
  <c r="V52" i="4" s="1"/>
  <c r="U48" i="4"/>
  <c r="T48" i="4"/>
  <c r="T49" i="4" s="1"/>
  <c r="T53" i="4" s="1"/>
  <c r="S48" i="4"/>
  <c r="S49" i="4" s="1"/>
  <c r="S53" i="4" s="1"/>
  <c r="R48" i="4"/>
  <c r="R49" i="4" s="1"/>
  <c r="R53" i="4" s="1"/>
  <c r="Q48" i="4"/>
  <c r="Q49" i="4" s="1"/>
  <c r="Q53" i="4" s="1"/>
  <c r="P48" i="4"/>
  <c r="P52" i="4" s="1"/>
  <c r="O48" i="4"/>
  <c r="O52" i="4" s="1"/>
  <c r="N48" i="4"/>
  <c r="N52" i="4" s="1"/>
  <c r="M48" i="4"/>
  <c r="M52" i="4" s="1"/>
  <c r="L48" i="4"/>
  <c r="L52" i="4" s="1"/>
  <c r="K48" i="4"/>
  <c r="K49" i="4" s="1"/>
  <c r="K53" i="4" s="1"/>
  <c r="J48" i="4"/>
  <c r="J49" i="4" s="1"/>
  <c r="J53" i="4" s="1"/>
  <c r="I48" i="4"/>
  <c r="I49" i="4" s="1"/>
  <c r="H48" i="4"/>
  <c r="G48" i="4"/>
  <c r="F48" i="4"/>
  <c r="F49" i="4" s="1"/>
  <c r="E48" i="4"/>
  <c r="D48" i="4"/>
  <c r="D49" i="4" s="1"/>
  <c r="C48" i="4"/>
  <c r="C49" i="4" s="1"/>
  <c r="B48" i="4"/>
  <c r="B49" i="4" s="1"/>
  <c r="AE47" i="4"/>
  <c r="AE51" i="4" s="1"/>
  <c r="AD47" i="4"/>
  <c r="AC47" i="4"/>
  <c r="AB47" i="4"/>
  <c r="AA47" i="4"/>
  <c r="AA51" i="4" s="1"/>
  <c r="Z47" i="4"/>
  <c r="Z51" i="4" s="1"/>
  <c r="Y47" i="4"/>
  <c r="Y51" i="4" s="1"/>
  <c r="X47" i="4"/>
  <c r="X51" i="4" s="1"/>
  <c r="W47" i="4"/>
  <c r="W51" i="4" s="1"/>
  <c r="V47" i="4"/>
  <c r="V51" i="4" s="1"/>
  <c r="U47" i="4"/>
  <c r="U51" i="4" s="1"/>
  <c r="T47" i="4"/>
  <c r="S47" i="4"/>
  <c r="R47" i="4"/>
  <c r="Q47" i="4"/>
  <c r="Q51" i="4" s="1"/>
  <c r="P47" i="4"/>
  <c r="P51" i="4" s="1"/>
  <c r="O47" i="4"/>
  <c r="O51" i="4" s="1"/>
  <c r="N47" i="4"/>
  <c r="M47" i="4"/>
  <c r="L47" i="4"/>
  <c r="K47" i="4"/>
  <c r="K51" i="4" s="1"/>
  <c r="J47" i="4"/>
  <c r="J51" i="4" s="1"/>
  <c r="I47" i="4"/>
  <c r="I51" i="4" s="1"/>
  <c r="H47" i="4"/>
  <c r="H51" i="4" s="1"/>
  <c r="G47" i="4"/>
  <c r="F47" i="4"/>
  <c r="E47" i="4"/>
  <c r="D47" i="4"/>
  <c r="C47" i="4"/>
  <c r="B47" i="4"/>
  <c r="AI47" i="4" s="1"/>
  <c r="A18" i="4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16" i="4"/>
  <c r="A15" i="4" s="1"/>
  <c r="A14" i="4" s="1"/>
  <c r="A13" i="4" s="1"/>
  <c r="A12" i="4" s="1"/>
  <c r="A11" i="4" s="1"/>
  <c r="A10" i="4" s="1"/>
  <c r="A9" i="4" s="1"/>
  <c r="A8" i="4" s="1"/>
  <c r="A7" i="4" s="1"/>
  <c r="A6" i="4" s="1"/>
  <c r="A5" i="4" s="1"/>
  <c r="A4" i="4" s="1"/>
  <c r="A3" i="4" s="1"/>
  <c r="AE89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A89" i="3"/>
  <c r="AA88" i="3"/>
  <c r="AA87" i="3"/>
  <c r="AA86" i="3"/>
  <c r="AA85" i="3"/>
  <c r="AA84" i="3"/>
  <c r="AA83" i="3"/>
  <c r="AA82" i="3"/>
  <c r="AA81" i="3"/>
  <c r="AA80" i="3"/>
  <c r="AA79" i="3"/>
  <c r="AA78" i="3"/>
  <c r="AA77" i="3"/>
  <c r="AA76" i="3"/>
  <c r="AA75" i="3"/>
  <c r="AA74" i="3"/>
  <c r="AA73" i="3"/>
  <c r="AA72" i="3"/>
  <c r="AA71" i="3"/>
  <c r="AA70" i="3"/>
  <c r="AA69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AD89" i="3"/>
  <c r="AC89" i="3"/>
  <c r="AB89" i="3"/>
  <c r="Y89" i="3"/>
  <c r="X89" i="3"/>
  <c r="W89" i="3"/>
  <c r="V89" i="3"/>
  <c r="U89" i="3"/>
  <c r="T89" i="3"/>
  <c r="S89" i="3"/>
  <c r="AD88" i="3"/>
  <c r="AC88" i="3"/>
  <c r="AB88" i="3"/>
  <c r="Y88" i="3"/>
  <c r="X88" i="3"/>
  <c r="W88" i="3"/>
  <c r="V88" i="3"/>
  <c r="U88" i="3"/>
  <c r="T88" i="3"/>
  <c r="S88" i="3"/>
  <c r="AD87" i="3"/>
  <c r="AC87" i="3"/>
  <c r="AB87" i="3"/>
  <c r="Y87" i="3"/>
  <c r="X87" i="3"/>
  <c r="W87" i="3"/>
  <c r="V87" i="3"/>
  <c r="U87" i="3"/>
  <c r="T87" i="3"/>
  <c r="S87" i="3"/>
  <c r="AD86" i="3"/>
  <c r="AC86" i="3"/>
  <c r="AB86" i="3"/>
  <c r="Y86" i="3"/>
  <c r="X86" i="3"/>
  <c r="W86" i="3"/>
  <c r="V86" i="3"/>
  <c r="U86" i="3"/>
  <c r="T86" i="3"/>
  <c r="S86" i="3"/>
  <c r="AD85" i="3"/>
  <c r="AC85" i="3"/>
  <c r="AB85" i="3"/>
  <c r="Y85" i="3"/>
  <c r="X85" i="3"/>
  <c r="W85" i="3"/>
  <c r="V85" i="3"/>
  <c r="U85" i="3"/>
  <c r="T85" i="3"/>
  <c r="S85" i="3"/>
  <c r="AD84" i="3"/>
  <c r="AC84" i="3"/>
  <c r="AB84" i="3"/>
  <c r="Y84" i="3"/>
  <c r="X84" i="3"/>
  <c r="W84" i="3"/>
  <c r="V84" i="3"/>
  <c r="U84" i="3"/>
  <c r="T84" i="3"/>
  <c r="S84" i="3"/>
  <c r="AD83" i="3"/>
  <c r="AC83" i="3"/>
  <c r="AB83" i="3"/>
  <c r="Y83" i="3"/>
  <c r="X83" i="3"/>
  <c r="W83" i="3"/>
  <c r="V83" i="3"/>
  <c r="U83" i="3"/>
  <c r="T83" i="3"/>
  <c r="S83" i="3"/>
  <c r="AD82" i="3"/>
  <c r="AC82" i="3"/>
  <c r="AB82" i="3"/>
  <c r="Y82" i="3"/>
  <c r="X82" i="3"/>
  <c r="W82" i="3"/>
  <c r="V82" i="3"/>
  <c r="U82" i="3"/>
  <c r="T82" i="3"/>
  <c r="S82" i="3"/>
  <c r="AD81" i="3"/>
  <c r="AC81" i="3"/>
  <c r="AB81" i="3"/>
  <c r="Y81" i="3"/>
  <c r="X81" i="3"/>
  <c r="W81" i="3"/>
  <c r="V81" i="3"/>
  <c r="U81" i="3"/>
  <c r="T81" i="3"/>
  <c r="S81" i="3"/>
  <c r="AD80" i="3"/>
  <c r="AC80" i="3"/>
  <c r="AB80" i="3"/>
  <c r="Y80" i="3"/>
  <c r="X80" i="3"/>
  <c r="W80" i="3"/>
  <c r="V80" i="3"/>
  <c r="U80" i="3"/>
  <c r="T80" i="3"/>
  <c r="S80" i="3"/>
  <c r="AD79" i="3"/>
  <c r="AC79" i="3"/>
  <c r="AB79" i="3"/>
  <c r="Y79" i="3"/>
  <c r="X79" i="3"/>
  <c r="W79" i="3"/>
  <c r="V79" i="3"/>
  <c r="U79" i="3"/>
  <c r="T79" i="3"/>
  <c r="S79" i="3"/>
  <c r="AD78" i="3"/>
  <c r="AC78" i="3"/>
  <c r="AB78" i="3"/>
  <c r="Y78" i="3"/>
  <c r="X78" i="3"/>
  <c r="W78" i="3"/>
  <c r="V78" i="3"/>
  <c r="U78" i="3"/>
  <c r="T78" i="3"/>
  <c r="S78" i="3"/>
  <c r="AD77" i="3"/>
  <c r="AC77" i="3"/>
  <c r="AB77" i="3"/>
  <c r="Y77" i="3"/>
  <c r="X77" i="3"/>
  <c r="W77" i="3"/>
  <c r="V77" i="3"/>
  <c r="U77" i="3"/>
  <c r="T77" i="3"/>
  <c r="S77" i="3"/>
  <c r="AD76" i="3"/>
  <c r="AC76" i="3"/>
  <c r="AB76" i="3"/>
  <c r="Y76" i="3"/>
  <c r="X76" i="3"/>
  <c r="W76" i="3"/>
  <c r="V76" i="3"/>
  <c r="U76" i="3"/>
  <c r="T76" i="3"/>
  <c r="S76" i="3"/>
  <c r="AD75" i="3"/>
  <c r="AC75" i="3"/>
  <c r="AB75" i="3"/>
  <c r="Y75" i="3"/>
  <c r="X75" i="3"/>
  <c r="W75" i="3"/>
  <c r="V75" i="3"/>
  <c r="U75" i="3"/>
  <c r="T75" i="3"/>
  <c r="S75" i="3"/>
  <c r="AD74" i="3"/>
  <c r="AC74" i="3"/>
  <c r="AB74" i="3"/>
  <c r="Y74" i="3"/>
  <c r="X74" i="3"/>
  <c r="W74" i="3"/>
  <c r="V74" i="3"/>
  <c r="U74" i="3"/>
  <c r="T74" i="3"/>
  <c r="S74" i="3"/>
  <c r="AD73" i="3"/>
  <c r="AC73" i="3"/>
  <c r="AB73" i="3"/>
  <c r="Y73" i="3"/>
  <c r="X73" i="3"/>
  <c r="W73" i="3"/>
  <c r="V73" i="3"/>
  <c r="U73" i="3"/>
  <c r="T73" i="3"/>
  <c r="S73" i="3"/>
  <c r="AD72" i="3"/>
  <c r="AC72" i="3"/>
  <c r="AB72" i="3"/>
  <c r="Y72" i="3"/>
  <c r="X72" i="3"/>
  <c r="W72" i="3"/>
  <c r="V72" i="3"/>
  <c r="U72" i="3"/>
  <c r="T72" i="3"/>
  <c r="S72" i="3"/>
  <c r="AD71" i="3"/>
  <c r="AC71" i="3"/>
  <c r="AB71" i="3"/>
  <c r="Y71" i="3"/>
  <c r="X71" i="3"/>
  <c r="W71" i="3"/>
  <c r="V71" i="3"/>
  <c r="U71" i="3"/>
  <c r="T71" i="3"/>
  <c r="S71" i="3"/>
  <c r="AD70" i="3"/>
  <c r="AC70" i="3"/>
  <c r="AB70" i="3"/>
  <c r="Y70" i="3"/>
  <c r="X70" i="3"/>
  <c r="W70" i="3"/>
  <c r="V70" i="3"/>
  <c r="U70" i="3"/>
  <c r="T70" i="3"/>
  <c r="S70" i="3"/>
  <c r="AD69" i="3"/>
  <c r="AC69" i="3"/>
  <c r="AB69" i="3"/>
  <c r="Y69" i="3"/>
  <c r="X69" i="3"/>
  <c r="W69" i="3"/>
  <c r="V69" i="3"/>
  <c r="U69" i="3"/>
  <c r="T69" i="3"/>
  <c r="S69" i="3"/>
  <c r="AD68" i="3"/>
  <c r="AC68" i="3"/>
  <c r="AB68" i="3"/>
  <c r="Y68" i="3"/>
  <c r="X68" i="3"/>
  <c r="W68" i="3"/>
  <c r="V68" i="3"/>
  <c r="U68" i="3"/>
  <c r="T68" i="3"/>
  <c r="S68" i="3"/>
  <c r="AD67" i="3"/>
  <c r="AC67" i="3"/>
  <c r="AB67" i="3"/>
  <c r="Y67" i="3"/>
  <c r="X67" i="3"/>
  <c r="W67" i="3"/>
  <c r="V67" i="3"/>
  <c r="U67" i="3"/>
  <c r="T67" i="3"/>
  <c r="S67" i="3"/>
  <c r="AD66" i="3"/>
  <c r="AC66" i="3"/>
  <c r="AB66" i="3"/>
  <c r="Y66" i="3"/>
  <c r="X66" i="3"/>
  <c r="W66" i="3"/>
  <c r="V66" i="3"/>
  <c r="U66" i="3"/>
  <c r="T66" i="3"/>
  <c r="S66" i="3"/>
  <c r="AD65" i="3"/>
  <c r="AC65" i="3"/>
  <c r="AB65" i="3"/>
  <c r="Y65" i="3"/>
  <c r="X65" i="3"/>
  <c r="W65" i="3"/>
  <c r="V65" i="3"/>
  <c r="U65" i="3"/>
  <c r="T65" i="3"/>
  <c r="S65" i="3"/>
  <c r="AD64" i="3"/>
  <c r="AC64" i="3"/>
  <c r="AB64" i="3"/>
  <c r="Y64" i="3"/>
  <c r="X64" i="3"/>
  <c r="W64" i="3"/>
  <c r="V64" i="3"/>
  <c r="U64" i="3"/>
  <c r="T64" i="3"/>
  <c r="S64" i="3"/>
  <c r="AD63" i="3"/>
  <c r="AC63" i="3"/>
  <c r="AB63" i="3"/>
  <c r="Y63" i="3"/>
  <c r="X63" i="3"/>
  <c r="W63" i="3"/>
  <c r="V63" i="3"/>
  <c r="U63" i="3"/>
  <c r="T63" i="3"/>
  <c r="S63" i="3"/>
  <c r="AD62" i="3"/>
  <c r="AC62" i="3"/>
  <c r="AB62" i="3"/>
  <c r="Y62" i="3"/>
  <c r="X62" i="3"/>
  <c r="W62" i="3"/>
  <c r="V62" i="3"/>
  <c r="U62" i="3"/>
  <c r="T62" i="3"/>
  <c r="S62" i="3"/>
  <c r="AD61" i="3"/>
  <c r="AC61" i="3"/>
  <c r="AB61" i="3"/>
  <c r="Y61" i="3"/>
  <c r="X61" i="3"/>
  <c r="W61" i="3"/>
  <c r="V61" i="3"/>
  <c r="U61" i="3"/>
  <c r="T61" i="3"/>
  <c r="S61" i="3"/>
  <c r="AD60" i="3"/>
  <c r="AC60" i="3"/>
  <c r="AB60" i="3"/>
  <c r="Y60" i="3"/>
  <c r="X60" i="3"/>
  <c r="W60" i="3"/>
  <c r="V60" i="3"/>
  <c r="U60" i="3"/>
  <c r="T60" i="3"/>
  <c r="S60" i="3"/>
  <c r="AD59" i="3"/>
  <c r="AC59" i="3"/>
  <c r="AB59" i="3"/>
  <c r="Y59" i="3"/>
  <c r="X59" i="3"/>
  <c r="W59" i="3"/>
  <c r="V59" i="3"/>
  <c r="U59" i="3"/>
  <c r="T59" i="3"/>
  <c r="S59" i="3"/>
  <c r="AD58" i="3"/>
  <c r="AC58" i="3"/>
  <c r="AB58" i="3"/>
  <c r="Y58" i="3"/>
  <c r="X58" i="3"/>
  <c r="W58" i="3"/>
  <c r="V58" i="3"/>
  <c r="U58" i="3"/>
  <c r="T58" i="3"/>
  <c r="S58" i="3"/>
  <c r="AD57" i="3"/>
  <c r="AC57" i="3"/>
  <c r="AB57" i="3"/>
  <c r="Y57" i="3"/>
  <c r="X57" i="3"/>
  <c r="W57" i="3"/>
  <c r="V57" i="3"/>
  <c r="U57" i="3"/>
  <c r="T57" i="3"/>
  <c r="S57" i="3"/>
  <c r="AD56" i="3"/>
  <c r="AC56" i="3"/>
  <c r="AB56" i="3"/>
  <c r="Y56" i="3"/>
  <c r="X56" i="3"/>
  <c r="W56" i="3"/>
  <c r="V56" i="3"/>
  <c r="U56" i="3"/>
  <c r="T56" i="3"/>
  <c r="S56" i="3"/>
  <c r="AD55" i="3"/>
  <c r="AC55" i="3"/>
  <c r="AB55" i="3"/>
  <c r="Y55" i="3"/>
  <c r="X55" i="3"/>
  <c r="W55" i="3"/>
  <c r="V55" i="3"/>
  <c r="U55" i="3"/>
  <c r="T55" i="3"/>
  <c r="S55" i="3"/>
  <c r="R89" i="3"/>
  <c r="R88" i="3"/>
  <c r="R87" i="3"/>
  <c r="R86" i="3"/>
  <c r="R85" i="3"/>
  <c r="R84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Q89" i="3"/>
  <c r="P89" i="3"/>
  <c r="O89" i="3"/>
  <c r="N89" i="3"/>
  <c r="M89" i="3"/>
  <c r="L89" i="3"/>
  <c r="K89" i="3"/>
  <c r="Q88" i="3"/>
  <c r="P88" i="3"/>
  <c r="O88" i="3"/>
  <c r="N88" i="3"/>
  <c r="M88" i="3"/>
  <c r="L88" i="3"/>
  <c r="K88" i="3"/>
  <c r="Q87" i="3"/>
  <c r="P87" i="3"/>
  <c r="O87" i="3"/>
  <c r="N87" i="3"/>
  <c r="M87" i="3"/>
  <c r="L87" i="3"/>
  <c r="K87" i="3"/>
  <c r="Q86" i="3"/>
  <c r="P86" i="3"/>
  <c r="O86" i="3"/>
  <c r="N86" i="3"/>
  <c r="M86" i="3"/>
  <c r="L86" i="3"/>
  <c r="K86" i="3"/>
  <c r="Q85" i="3"/>
  <c r="P85" i="3"/>
  <c r="O85" i="3"/>
  <c r="N85" i="3"/>
  <c r="M85" i="3"/>
  <c r="L85" i="3"/>
  <c r="K85" i="3"/>
  <c r="Q84" i="3"/>
  <c r="P84" i="3"/>
  <c r="O84" i="3"/>
  <c r="N84" i="3"/>
  <c r="M84" i="3"/>
  <c r="L84" i="3"/>
  <c r="K84" i="3"/>
  <c r="Q83" i="3"/>
  <c r="P83" i="3"/>
  <c r="O83" i="3"/>
  <c r="N83" i="3"/>
  <c r="M83" i="3"/>
  <c r="L83" i="3"/>
  <c r="K83" i="3"/>
  <c r="Q82" i="3"/>
  <c r="P82" i="3"/>
  <c r="O82" i="3"/>
  <c r="N82" i="3"/>
  <c r="M82" i="3"/>
  <c r="L82" i="3"/>
  <c r="K82" i="3"/>
  <c r="Q81" i="3"/>
  <c r="P81" i="3"/>
  <c r="O81" i="3"/>
  <c r="N81" i="3"/>
  <c r="M81" i="3"/>
  <c r="L81" i="3"/>
  <c r="K81" i="3"/>
  <c r="Q80" i="3"/>
  <c r="P80" i="3"/>
  <c r="O80" i="3"/>
  <c r="N80" i="3"/>
  <c r="M80" i="3"/>
  <c r="L80" i="3"/>
  <c r="K80" i="3"/>
  <c r="Q79" i="3"/>
  <c r="P79" i="3"/>
  <c r="O79" i="3"/>
  <c r="N79" i="3"/>
  <c r="M79" i="3"/>
  <c r="L79" i="3"/>
  <c r="K79" i="3"/>
  <c r="Q78" i="3"/>
  <c r="P78" i="3"/>
  <c r="O78" i="3"/>
  <c r="N78" i="3"/>
  <c r="M78" i="3"/>
  <c r="L78" i="3"/>
  <c r="K78" i="3"/>
  <c r="Q77" i="3"/>
  <c r="P77" i="3"/>
  <c r="O77" i="3"/>
  <c r="N77" i="3"/>
  <c r="M77" i="3"/>
  <c r="L77" i="3"/>
  <c r="K77" i="3"/>
  <c r="Q76" i="3"/>
  <c r="P76" i="3"/>
  <c r="O76" i="3"/>
  <c r="N76" i="3"/>
  <c r="M76" i="3"/>
  <c r="L76" i="3"/>
  <c r="K76" i="3"/>
  <c r="Q75" i="3"/>
  <c r="P75" i="3"/>
  <c r="O75" i="3"/>
  <c r="N75" i="3"/>
  <c r="M75" i="3"/>
  <c r="L75" i="3"/>
  <c r="K75" i="3"/>
  <c r="Q74" i="3"/>
  <c r="P74" i="3"/>
  <c r="O74" i="3"/>
  <c r="N74" i="3"/>
  <c r="M74" i="3"/>
  <c r="L74" i="3"/>
  <c r="K74" i="3"/>
  <c r="Q73" i="3"/>
  <c r="P73" i="3"/>
  <c r="O73" i="3"/>
  <c r="N73" i="3"/>
  <c r="M73" i="3"/>
  <c r="L73" i="3"/>
  <c r="K73" i="3"/>
  <c r="Q72" i="3"/>
  <c r="P72" i="3"/>
  <c r="O72" i="3"/>
  <c r="N72" i="3"/>
  <c r="M72" i="3"/>
  <c r="L72" i="3"/>
  <c r="K72" i="3"/>
  <c r="Q71" i="3"/>
  <c r="P71" i="3"/>
  <c r="O71" i="3"/>
  <c r="N71" i="3"/>
  <c r="M71" i="3"/>
  <c r="L71" i="3"/>
  <c r="K71" i="3"/>
  <c r="Q70" i="3"/>
  <c r="P70" i="3"/>
  <c r="O70" i="3"/>
  <c r="N70" i="3"/>
  <c r="M70" i="3"/>
  <c r="L70" i="3"/>
  <c r="K70" i="3"/>
  <c r="Q69" i="3"/>
  <c r="P69" i="3"/>
  <c r="O69" i="3"/>
  <c r="N69" i="3"/>
  <c r="M69" i="3"/>
  <c r="L69" i="3"/>
  <c r="K69" i="3"/>
  <c r="Q68" i="3"/>
  <c r="P68" i="3"/>
  <c r="O68" i="3"/>
  <c r="N68" i="3"/>
  <c r="M68" i="3"/>
  <c r="L68" i="3"/>
  <c r="K68" i="3"/>
  <c r="Q67" i="3"/>
  <c r="P67" i="3"/>
  <c r="O67" i="3"/>
  <c r="N67" i="3"/>
  <c r="M67" i="3"/>
  <c r="L67" i="3"/>
  <c r="K67" i="3"/>
  <c r="Q66" i="3"/>
  <c r="P66" i="3"/>
  <c r="O66" i="3"/>
  <c r="N66" i="3"/>
  <c r="M66" i="3"/>
  <c r="L66" i="3"/>
  <c r="K66" i="3"/>
  <c r="Q65" i="3"/>
  <c r="P65" i="3"/>
  <c r="O65" i="3"/>
  <c r="N65" i="3"/>
  <c r="M65" i="3"/>
  <c r="L65" i="3"/>
  <c r="K65" i="3"/>
  <c r="Q64" i="3"/>
  <c r="P64" i="3"/>
  <c r="O64" i="3"/>
  <c r="N64" i="3"/>
  <c r="M64" i="3"/>
  <c r="L64" i="3"/>
  <c r="K64" i="3"/>
  <c r="Q63" i="3"/>
  <c r="P63" i="3"/>
  <c r="O63" i="3"/>
  <c r="N63" i="3"/>
  <c r="M63" i="3"/>
  <c r="L63" i="3"/>
  <c r="K63" i="3"/>
  <c r="Q62" i="3"/>
  <c r="P62" i="3"/>
  <c r="O62" i="3"/>
  <c r="N62" i="3"/>
  <c r="M62" i="3"/>
  <c r="L62" i="3"/>
  <c r="K62" i="3"/>
  <c r="Q61" i="3"/>
  <c r="P61" i="3"/>
  <c r="O61" i="3"/>
  <c r="N61" i="3"/>
  <c r="M61" i="3"/>
  <c r="L61" i="3"/>
  <c r="K61" i="3"/>
  <c r="Q60" i="3"/>
  <c r="P60" i="3"/>
  <c r="O60" i="3"/>
  <c r="N60" i="3"/>
  <c r="M60" i="3"/>
  <c r="L60" i="3"/>
  <c r="K60" i="3"/>
  <c r="Q59" i="3"/>
  <c r="P59" i="3"/>
  <c r="O59" i="3"/>
  <c r="N59" i="3"/>
  <c r="M59" i="3"/>
  <c r="L59" i="3"/>
  <c r="K59" i="3"/>
  <c r="Q58" i="3"/>
  <c r="P58" i="3"/>
  <c r="O58" i="3"/>
  <c r="N58" i="3"/>
  <c r="M58" i="3"/>
  <c r="L58" i="3"/>
  <c r="K58" i="3"/>
  <c r="Q57" i="3"/>
  <c r="P57" i="3"/>
  <c r="O57" i="3"/>
  <c r="N57" i="3"/>
  <c r="M57" i="3"/>
  <c r="L57" i="3"/>
  <c r="K57" i="3"/>
  <c r="Q56" i="3"/>
  <c r="P56" i="3"/>
  <c r="O56" i="3"/>
  <c r="N56" i="3"/>
  <c r="M56" i="3"/>
  <c r="L56" i="3"/>
  <c r="K56" i="3"/>
  <c r="Q55" i="3"/>
  <c r="P55" i="3"/>
  <c r="O55" i="3"/>
  <c r="N55" i="3"/>
  <c r="M55" i="3"/>
  <c r="L55" i="3"/>
  <c r="K55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I53" i="4" l="1"/>
  <c r="I52" i="4"/>
  <c r="AG84" i="4"/>
  <c r="H49" i="4"/>
  <c r="H53" i="4"/>
  <c r="AG51" i="4"/>
  <c r="AG91" i="4"/>
  <c r="AG92" i="4"/>
  <c r="AI49" i="4"/>
  <c r="H52" i="4"/>
  <c r="AG52" i="4" s="1"/>
  <c r="X52" i="4"/>
  <c r="AE49" i="4"/>
  <c r="AE53" i="4" s="1"/>
  <c r="AH48" i="4"/>
  <c r="P49" i="4"/>
  <c r="P53" i="4" s="1"/>
  <c r="AG47" i="4"/>
  <c r="AH47" i="4"/>
  <c r="O49" i="4"/>
  <c r="O53" i="4" s="1"/>
  <c r="AI48" i="4"/>
  <c r="N49" i="4"/>
  <c r="N53" i="4" s="1"/>
  <c r="AD52" i="4"/>
  <c r="AG48" i="4"/>
  <c r="AA52" i="4"/>
  <c r="V49" i="4"/>
  <c r="V53" i="4" s="1"/>
  <c r="AG80" i="3"/>
  <c r="AG66" i="3"/>
  <c r="AG84" i="3"/>
  <c r="AG86" i="3"/>
  <c r="AG87" i="3"/>
  <c r="AG71" i="3"/>
  <c r="AG58" i="3"/>
  <c r="AG59" i="3"/>
  <c r="AG75" i="3"/>
  <c r="AG74" i="3"/>
  <c r="AG55" i="3"/>
  <c r="AG62" i="3"/>
  <c r="AG78" i="3"/>
  <c r="AG83" i="3"/>
  <c r="AG85" i="3"/>
  <c r="AG82" i="3"/>
  <c r="AG67" i="3"/>
  <c r="AG69" i="3"/>
  <c r="AG88" i="3"/>
  <c r="AG61" i="3"/>
  <c r="AG56" i="3"/>
  <c r="AG72" i="3"/>
  <c r="AG57" i="3"/>
  <c r="AG73" i="3"/>
  <c r="AG89" i="3"/>
  <c r="AG70" i="3"/>
  <c r="AG60" i="3"/>
  <c r="AG76" i="3"/>
  <c r="AG68" i="3"/>
  <c r="AG77" i="3"/>
  <c r="AG79" i="3"/>
  <c r="AG63" i="3"/>
  <c r="AG65" i="3"/>
  <c r="AG81" i="3"/>
  <c r="AG64" i="3"/>
  <c r="AE48" i="3"/>
  <c r="AD48" i="3"/>
  <c r="AC48" i="3"/>
  <c r="AB48" i="3"/>
  <c r="AA48" i="3"/>
  <c r="Z48" i="3"/>
  <c r="Z49" i="3" s="1"/>
  <c r="Y48" i="3"/>
  <c r="Y49" i="3" s="1"/>
  <c r="Y53" i="3" s="1"/>
  <c r="X48" i="3"/>
  <c r="X52" i="3" s="1"/>
  <c r="W48" i="3"/>
  <c r="W52" i="3" s="1"/>
  <c r="V48" i="3"/>
  <c r="V52" i="3" s="1"/>
  <c r="U48" i="3"/>
  <c r="U52" i="3" s="1"/>
  <c r="T48" i="3"/>
  <c r="T52" i="3" s="1"/>
  <c r="S48" i="3"/>
  <c r="R48" i="3"/>
  <c r="Q48" i="3"/>
  <c r="P48" i="3"/>
  <c r="O48" i="3"/>
  <c r="N48" i="3"/>
  <c r="M48" i="3"/>
  <c r="L48" i="3"/>
  <c r="L52" i="3" s="1"/>
  <c r="K48" i="3"/>
  <c r="K52" i="3" s="1"/>
  <c r="J48" i="3"/>
  <c r="J49" i="3" s="1"/>
  <c r="J53" i="3" s="1"/>
  <c r="I48" i="3"/>
  <c r="I49" i="3" s="1"/>
  <c r="H48" i="3"/>
  <c r="G48" i="3"/>
  <c r="F48" i="3"/>
  <c r="E48" i="3"/>
  <c r="D48" i="3"/>
  <c r="C48" i="3"/>
  <c r="AE47" i="3"/>
  <c r="AD47" i="3"/>
  <c r="AD51" i="3" s="1"/>
  <c r="AC47" i="3"/>
  <c r="AC51" i="3" s="1"/>
  <c r="AB47" i="3"/>
  <c r="AB51" i="3" s="1"/>
  <c r="AA47" i="3"/>
  <c r="Z47" i="3"/>
  <c r="Y47" i="3"/>
  <c r="Y51" i="3" s="1"/>
  <c r="X47" i="3"/>
  <c r="X51" i="3" s="1"/>
  <c r="W47" i="3"/>
  <c r="W51" i="3" s="1"/>
  <c r="V47" i="3"/>
  <c r="V51" i="3" s="1"/>
  <c r="U47" i="3"/>
  <c r="U51" i="3" s="1"/>
  <c r="T47" i="3"/>
  <c r="T51" i="3" s="1"/>
  <c r="S47" i="3"/>
  <c r="S51" i="3" s="1"/>
  <c r="R47" i="3"/>
  <c r="R51" i="3" s="1"/>
  <c r="Q47" i="3"/>
  <c r="Q51" i="3" s="1"/>
  <c r="P47" i="3"/>
  <c r="P51" i="3" s="1"/>
  <c r="O47" i="3"/>
  <c r="O51" i="3" s="1"/>
  <c r="N47" i="3"/>
  <c r="N51" i="3" s="1"/>
  <c r="M47" i="3"/>
  <c r="M51" i="3" s="1"/>
  <c r="L47" i="3"/>
  <c r="L51" i="3" s="1"/>
  <c r="K47" i="3"/>
  <c r="K51" i="3" s="1"/>
  <c r="J47" i="3"/>
  <c r="J51" i="3" s="1"/>
  <c r="I47" i="3"/>
  <c r="H47" i="3"/>
  <c r="G47" i="3"/>
  <c r="F47" i="3"/>
  <c r="E47" i="3"/>
  <c r="D47" i="3"/>
  <c r="C47" i="3"/>
  <c r="B48" i="3"/>
  <c r="B47" i="3"/>
  <c r="AG93" i="4" l="1"/>
  <c r="AG49" i="4"/>
  <c r="AH49" i="4"/>
  <c r="AG53" i="4"/>
  <c r="AG92" i="3"/>
  <c r="AG91" i="3"/>
  <c r="Q49" i="3"/>
  <c r="Q53" i="3" s="1"/>
  <c r="P49" i="3"/>
  <c r="P53" i="3" s="1"/>
  <c r="R49" i="3"/>
  <c r="AE51" i="3"/>
  <c r="AI47" i="3"/>
  <c r="F49" i="3"/>
  <c r="G49" i="3"/>
  <c r="AI48" i="3"/>
  <c r="H51" i="3"/>
  <c r="AH48" i="3"/>
  <c r="I51" i="3"/>
  <c r="AB49" i="3"/>
  <c r="AB53" i="3" s="1"/>
  <c r="Z51" i="3"/>
  <c r="M49" i="3"/>
  <c r="M53" i="3" s="1"/>
  <c r="AC49" i="3"/>
  <c r="AC53" i="3" s="1"/>
  <c r="AA51" i="3"/>
  <c r="N49" i="3"/>
  <c r="N53" i="3" s="1"/>
  <c r="AD49" i="3"/>
  <c r="AD53" i="3" s="1"/>
  <c r="AH47" i="3"/>
  <c r="B49" i="3"/>
  <c r="H52" i="3"/>
  <c r="O49" i="3"/>
  <c r="O53" i="3" s="1"/>
  <c r="AE49" i="3"/>
  <c r="H49" i="3"/>
  <c r="N52" i="3"/>
  <c r="C49" i="3"/>
  <c r="I53" i="3" s="1"/>
  <c r="S49" i="3"/>
  <c r="S53" i="3" s="1"/>
  <c r="K49" i="3"/>
  <c r="K53" i="3" s="1"/>
  <c r="Q52" i="3"/>
  <c r="L49" i="3"/>
  <c r="L53" i="3" s="1"/>
  <c r="S52" i="3"/>
  <c r="T49" i="3"/>
  <c r="T53" i="3" s="1"/>
  <c r="I52" i="3"/>
  <c r="D49" i="3"/>
  <c r="E49" i="3"/>
  <c r="Z53" i="3" s="1"/>
  <c r="U49" i="3"/>
  <c r="U53" i="3" s="1"/>
  <c r="V49" i="3"/>
  <c r="V53" i="3" s="1"/>
  <c r="W49" i="3"/>
  <c r="W53" i="3" s="1"/>
  <c r="R52" i="3"/>
  <c r="X49" i="3"/>
  <c r="X53" i="3" s="1"/>
  <c r="Y52" i="3"/>
  <c r="AG47" i="3"/>
  <c r="AA49" i="3"/>
  <c r="AA53" i="3" s="1"/>
  <c r="AB52" i="3"/>
  <c r="Z52" i="3"/>
  <c r="J52" i="3"/>
  <c r="AC52" i="3"/>
  <c r="AD52" i="3"/>
  <c r="AA52" i="3"/>
  <c r="M52" i="3"/>
  <c r="O52" i="3"/>
  <c r="AE52" i="3"/>
  <c r="P52" i="3"/>
  <c r="AG48" i="3"/>
  <c r="D133" i="2"/>
  <c r="C133" i="2"/>
  <c r="B133" i="2"/>
  <c r="D162" i="2"/>
  <c r="C162" i="2"/>
  <c r="B162" i="2"/>
  <c r="D158" i="2"/>
  <c r="C158" i="2"/>
  <c r="B158" i="2"/>
  <c r="D157" i="2"/>
  <c r="C157" i="2"/>
  <c r="B157" i="2"/>
  <c r="D149" i="2"/>
  <c r="C149" i="2"/>
  <c r="B149" i="2"/>
  <c r="D140" i="2"/>
  <c r="C140" i="2"/>
  <c r="B140" i="2"/>
  <c r="D139" i="2"/>
  <c r="C139" i="2"/>
  <c r="B139" i="2"/>
  <c r="D161" i="2"/>
  <c r="C161" i="2"/>
  <c r="B161" i="2"/>
  <c r="D160" i="2"/>
  <c r="C160" i="2"/>
  <c r="B160" i="2"/>
  <c r="D159" i="2"/>
  <c r="C159" i="2"/>
  <c r="B159" i="2"/>
  <c r="D156" i="2"/>
  <c r="C156" i="2"/>
  <c r="B156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8" i="2"/>
  <c r="C148" i="2"/>
  <c r="B148" i="2"/>
  <c r="D147" i="2"/>
  <c r="C147" i="2"/>
  <c r="B147" i="2"/>
  <c r="D146" i="2"/>
  <c r="C146" i="2"/>
  <c r="B146" i="2"/>
  <c r="D145" i="2"/>
  <c r="C145" i="2"/>
  <c r="B145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AE53" i="3" l="1"/>
  <c r="R53" i="3"/>
  <c r="AG93" i="3"/>
  <c r="AG51" i="3"/>
  <c r="AI49" i="3"/>
  <c r="H53" i="3"/>
  <c r="AG53" i="3" s="1"/>
  <c r="AH49" i="3"/>
  <c r="AG52" i="3"/>
  <c r="AG49" i="3"/>
  <c r="B163" i="2"/>
  <c r="D163" i="2"/>
  <c r="C163" i="2"/>
  <c r="A16" i="3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AE80" i="1"/>
  <c r="AE79" i="1"/>
  <c r="AE76" i="1"/>
  <c r="AE75" i="1"/>
  <c r="AD75" i="1"/>
  <c r="AA60" i="1"/>
  <c r="AE60" i="1" s="1"/>
  <c r="Z60" i="1"/>
  <c r="AD60" i="1" s="1"/>
  <c r="AA59" i="1"/>
  <c r="AE59" i="1" s="1"/>
  <c r="Z59" i="1"/>
  <c r="AD59" i="1" s="1"/>
  <c r="AA58" i="1"/>
  <c r="AE58" i="1" s="1"/>
  <c r="Z58" i="1"/>
  <c r="AD58" i="1" s="1"/>
  <c r="AA57" i="1"/>
  <c r="AE57" i="1" s="1"/>
  <c r="Z57" i="1"/>
  <c r="AD57" i="1" s="1"/>
  <c r="AA56" i="1"/>
  <c r="AE56" i="1" s="1"/>
  <c r="Z56" i="1"/>
  <c r="AD56" i="1" s="1"/>
  <c r="AA55" i="1"/>
  <c r="AE55" i="1" s="1"/>
  <c r="Z55" i="1"/>
  <c r="AD55" i="1" s="1"/>
  <c r="AA54" i="1"/>
  <c r="AE54" i="1" s="1"/>
  <c r="Z54" i="1"/>
  <c r="AD54" i="1" s="1"/>
  <c r="AA53" i="1"/>
  <c r="AE53" i="1" s="1"/>
  <c r="Z53" i="1"/>
  <c r="AD53" i="1" s="1"/>
  <c r="AA87" i="1"/>
  <c r="AE87" i="1" s="1"/>
  <c r="Z87" i="1"/>
  <c r="AD87" i="1" s="1"/>
  <c r="AA86" i="1"/>
  <c r="AE86" i="1" s="1"/>
  <c r="Z86" i="1"/>
  <c r="AD86" i="1" s="1"/>
  <c r="AA85" i="1"/>
  <c r="AE85" i="1" s="1"/>
  <c r="Z85" i="1"/>
  <c r="AD85" i="1" s="1"/>
  <c r="AA84" i="1"/>
  <c r="AE84" i="1" s="1"/>
  <c r="Z84" i="1"/>
  <c r="AD84" i="1" s="1"/>
  <c r="AA83" i="1"/>
  <c r="AE83" i="1" s="1"/>
  <c r="Z83" i="1"/>
  <c r="AD83" i="1" s="1"/>
  <c r="AA82" i="1"/>
  <c r="AE82" i="1" s="1"/>
  <c r="Z82" i="1"/>
  <c r="AD82" i="1" s="1"/>
  <c r="AA81" i="1"/>
  <c r="AE81" i="1" s="1"/>
  <c r="Z81" i="1"/>
  <c r="AD81" i="1" s="1"/>
  <c r="AA80" i="1"/>
  <c r="Z80" i="1"/>
  <c r="AD80" i="1" s="1"/>
  <c r="AA79" i="1"/>
  <c r="Z79" i="1"/>
  <c r="AD79" i="1" s="1"/>
  <c r="AA78" i="1"/>
  <c r="AE78" i="1" s="1"/>
  <c r="Z78" i="1"/>
  <c r="AD78" i="1" s="1"/>
  <c r="AA77" i="1"/>
  <c r="AE77" i="1" s="1"/>
  <c r="Z77" i="1"/>
  <c r="AD77" i="1" s="1"/>
  <c r="AA76" i="1"/>
  <c r="Z76" i="1"/>
  <c r="AD76" i="1" s="1"/>
  <c r="AA75" i="1"/>
  <c r="Z75" i="1"/>
  <c r="AA74" i="1"/>
  <c r="AE74" i="1" s="1"/>
  <c r="Z74" i="1"/>
  <c r="AD74" i="1" s="1"/>
  <c r="AA73" i="1"/>
  <c r="AE73" i="1" s="1"/>
  <c r="Z73" i="1"/>
  <c r="AD73" i="1" s="1"/>
  <c r="AA72" i="1"/>
  <c r="AE72" i="1" s="1"/>
  <c r="Z72" i="1"/>
  <c r="AD72" i="1" s="1"/>
  <c r="AA71" i="1"/>
  <c r="AE71" i="1" s="1"/>
  <c r="Z71" i="1"/>
  <c r="AD71" i="1" s="1"/>
  <c r="AA70" i="1"/>
  <c r="AE70" i="1" s="1"/>
  <c r="Z70" i="1"/>
  <c r="AD70" i="1" s="1"/>
  <c r="AA69" i="1"/>
  <c r="AE69" i="1" s="1"/>
  <c r="Z69" i="1"/>
  <c r="AD69" i="1" s="1"/>
  <c r="AA68" i="1"/>
  <c r="AE68" i="1" s="1"/>
  <c r="Z68" i="1"/>
  <c r="AD68" i="1" s="1"/>
  <c r="K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Q58" i="1"/>
  <c r="Q57" i="1"/>
  <c r="Q56" i="1"/>
  <c r="Q55" i="1"/>
  <c r="Q54" i="1"/>
  <c r="Q53" i="1"/>
  <c r="Q88" i="1" s="1"/>
  <c r="H60" i="1"/>
  <c r="H59" i="1"/>
  <c r="H58" i="1"/>
  <c r="H57" i="1"/>
  <c r="H56" i="1"/>
  <c r="H55" i="1"/>
  <c r="H54" i="1"/>
  <c r="H53" i="1"/>
  <c r="E60" i="1"/>
  <c r="E59" i="1"/>
  <c r="E58" i="1"/>
  <c r="E57" i="1"/>
  <c r="E56" i="1"/>
  <c r="E55" i="1"/>
  <c r="E54" i="1"/>
  <c r="E53" i="1"/>
  <c r="E88" i="1" s="1"/>
  <c r="B60" i="1"/>
  <c r="Y60" i="1" s="1"/>
  <c r="B59" i="1"/>
  <c r="B58" i="1"/>
  <c r="B57" i="1"/>
  <c r="Y57" i="1" s="1"/>
  <c r="B56" i="1"/>
  <c r="Y56" i="1" s="1"/>
  <c r="B55" i="1"/>
  <c r="Y55" i="1" s="1"/>
  <c r="B54" i="1"/>
  <c r="B53" i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Y58" i="1" l="1"/>
  <c r="H12" i="1"/>
  <c r="AC60" i="1"/>
  <c r="Y59" i="1"/>
  <c r="AC59" i="1" s="1"/>
  <c r="Y54" i="1"/>
  <c r="AC58" i="1"/>
  <c r="U88" i="1"/>
  <c r="AC57" i="1"/>
  <c r="AC54" i="1"/>
  <c r="U89" i="1"/>
  <c r="B88" i="1"/>
  <c r="H88" i="1"/>
  <c r="AC55" i="1"/>
  <c r="AC56" i="1"/>
  <c r="Y53" i="1"/>
  <c r="AC53" i="1" s="1"/>
  <c r="H23" i="1"/>
  <c r="B44" i="1"/>
  <c r="E44" i="1"/>
  <c r="H11" i="1"/>
  <c r="N88" i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U90" i="1" l="1"/>
  <c r="Y87" i="1"/>
  <c r="AC87" i="1" s="1"/>
  <c r="CA61" i="2" a="1"/>
  <c r="CA61" i="2" s="1"/>
  <c r="CE61" i="2" s="1"/>
  <c r="H44" i="1"/>
  <c r="Z88" i="2"/>
  <c r="CA65" i="2" a="1"/>
  <c r="CA65" i="2" s="1"/>
  <c r="CE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CE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B66" i="2" a="1"/>
  <c r="CB66" i="2" s="1"/>
  <c r="CF66" i="2" s="1"/>
  <c r="CA67" i="2" a="1"/>
  <c r="CA67" i="2" s="1"/>
  <c r="CB65" i="2" a="1"/>
  <c r="CB65" i="2" s="1"/>
  <c r="CF65" i="2" s="1"/>
  <c r="CA57" i="2" a="1"/>
  <c r="CA57" i="2" s="1"/>
  <c r="CE57" i="2" s="1"/>
  <c r="CA58" i="2" a="1"/>
  <c r="CA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Z67" i="2" l="1"/>
  <c r="CD67" i="2" s="1"/>
  <c r="BZ58" i="2"/>
  <c r="CD58" i="2" s="1"/>
  <c r="AR89" i="2"/>
  <c r="AR90" i="2" s="1"/>
  <c r="BS89" i="2"/>
  <c r="BS90" i="2" s="1"/>
  <c r="BZ55" i="2"/>
  <c r="CD55" i="2" s="1"/>
  <c r="E89" i="2"/>
  <c r="E90" i="2" s="1"/>
  <c r="N89" i="2"/>
  <c r="N90" i="2" s="1"/>
  <c r="W89" i="2"/>
  <c r="W90" i="2" s="1"/>
  <c r="AF89" i="2"/>
  <c r="AF90" i="2" s="1"/>
  <c r="AO89" i="2"/>
  <c r="AO90" i="2" s="1"/>
  <c r="AX89" i="2"/>
  <c r="AX90" i="2" s="1"/>
  <c r="BG89" i="2"/>
  <c r="BG90" i="2" s="1"/>
  <c r="BP89" i="2"/>
  <c r="BP90" i="2" s="1"/>
  <c r="H89" i="2"/>
  <c r="H90" i="2" s="1"/>
  <c r="Q89" i="2"/>
  <c r="Q90" i="2" s="1"/>
  <c r="BZ54" i="2"/>
  <c r="CD54" i="2" s="1"/>
  <c r="Z89" i="2"/>
  <c r="Z90" i="2" s="1"/>
  <c r="AI89" i="2"/>
  <c r="AI90" i="2" s="1"/>
  <c r="BA89" i="2"/>
  <c r="BA90" i="2" s="1"/>
  <c r="BJ89" i="2"/>
  <c r="BJ90" i="2" s="1"/>
  <c r="K89" i="2"/>
  <c r="K90" i="2" s="1"/>
  <c r="AC89" i="2"/>
  <c r="AC90" i="2" s="1"/>
  <c r="T89" i="2"/>
  <c r="T90" i="2" s="1"/>
  <c r="AL89" i="2"/>
  <c r="AL90" i="2" s="1"/>
  <c r="AU89" i="2"/>
  <c r="AU90" i="2" s="1"/>
  <c r="BD89" i="2"/>
  <c r="BD90" i="2" s="1"/>
  <c r="BM89" i="2"/>
  <c r="BM90" i="2" s="1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B85" i="1"/>
  <c r="Y85" i="1" s="1"/>
  <c r="AC85" i="1" s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Y69" i="1" s="1"/>
  <c r="AC69" i="1" s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Y86" i="1" l="1"/>
  <c r="AC86" i="1" s="1"/>
  <c r="H89" i="1"/>
  <c r="E89" i="1"/>
  <c r="K89" i="1"/>
  <c r="Q89" i="1"/>
  <c r="N89" i="1"/>
  <c r="N90" i="1" s="1"/>
  <c r="B89" i="1"/>
  <c r="Y70" i="1"/>
  <c r="AC70" i="1" s="1"/>
  <c r="Y75" i="1"/>
  <c r="AC75" i="1" s="1"/>
  <c r="K90" i="1"/>
  <c r="Y73" i="1"/>
  <c r="AC73" i="1" s="1"/>
  <c r="E90" i="1"/>
  <c r="Y77" i="1"/>
  <c r="AC77" i="1" s="1"/>
  <c r="Y71" i="1"/>
  <c r="AC71" i="1" s="1"/>
  <c r="H90" i="1"/>
  <c r="Y80" i="1"/>
  <c r="AC80" i="1" s="1"/>
  <c r="Y72" i="1"/>
  <c r="AC72" i="1" s="1"/>
  <c r="Y78" i="1"/>
  <c r="AC78" i="1" s="1"/>
  <c r="Y79" i="1"/>
  <c r="AC79" i="1" s="1"/>
  <c r="Y81" i="1"/>
  <c r="AC81" i="1" s="1"/>
  <c r="Y82" i="1"/>
  <c r="AC82" i="1" s="1"/>
  <c r="Y76" i="1"/>
  <c r="AC76" i="1" s="1"/>
  <c r="Y83" i="1"/>
  <c r="AC83" i="1" s="1"/>
  <c r="Q90" i="1"/>
  <c r="Y74" i="1"/>
  <c r="AC74" i="1" s="1"/>
  <c r="Y68" i="1"/>
  <c r="AC68" i="1" s="1"/>
  <c r="B90" i="1"/>
  <c r="Y84" i="1"/>
  <c r="AC84" i="1" s="1"/>
  <c r="BZ75" i="2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<sst xmlns="http://schemas.openxmlformats.org/spreadsheetml/2006/main" count="419" uniqueCount="72">
  <si>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</si>
  <si>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</si>
  <si>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</si>
  <si>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</si>
  <si>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</si>
  <si>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</si>
  <si>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</si>
  <si>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</si>
  <si>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</si>
  <si>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</si>
  <si>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</si>
  <si>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</si>
  <si>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</si>
  <si>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</si>
  <si>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</si>
  <si>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</si>
  <si>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</si>
  <si>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</si>
  <si>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</si>
  <si>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</si>
  <si>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</si>
  <si>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</si>
  <si>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</si>
  <si>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</si>
  <si>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</si>
  <si>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</si>
  <si>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</si>
  <si>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</si>
  <si>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</si>
  <si>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</si>
  <si>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</si>
  <si>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</si>
  <si>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</si>
  <si>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</si>
  <si>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</si>
  <si>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</si>
  <si>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</si>
  <si>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</si>
  <si>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</si>
  <si>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</si>
  <si>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</si>
  <si>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</si>
  <si>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</si>
  <si>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</si>
  <si>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</si>
  <si>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</si>
  <si>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</si>
  <si>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</si>
  <si>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</si>
  <si>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</si>
  <si>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</si>
  <si>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</si>
  <si>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</si>
  <si>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</si>
  <si>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</si>
  <si>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</si>
  <si>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</si>
  <si>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</si>
  <si>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</si>
  <si>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</si>
  <si>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</si>
  <si>
    <t>Баланс по странам, движение по легитимационным билетам кроме 1889-1895 (см. страницу note-2):</t>
  </si>
  <si>
    <t>всего (п + лб)</t>
  </si>
  <si>
    <t>всего (п)</t>
  </si>
  <si>
    <t>всего (лб)</t>
  </si>
  <si>
    <t>Данные на этой странице – до внесения поправок для Германии 1895 и 1910 и Австрии 1906 на недоучёт иммиграции по легитимационным билетам.</t>
  </si>
  <si>
    <t>Баланс по странам, движение по паспортам и легитимационным билетам,</t>
  </si>
  <si>
    <t>до внесения поправок не недоучёт для Германии 1895, 1910 и Австрии 1906:</t>
  </si>
  <si>
    <t>и до внесения поправок не недоучёт для Германии 1895, 1910 и Австрии 1906:</t>
  </si>
  <si>
    <t>Данные на этой странице – после внесения поправок для Германии 1895 и 1910 и Австрии 1906 на недоучёт иммиграции по легитимационным билетам.</t>
  </si>
  <si>
    <t>scattered</t>
  </si>
  <si>
    <t>lump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</si>
</sst>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3" fontId="0" fillId="5" borderId="0" xfId="0" applyNumberFormat="1" applyFill="1"/>
    <xf numFmtId="3" fontId="4" fillId="0" borderId="0" xfId="0" applyNumberFormat="1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63"/>
  <sheetViews>
    <sheetView topLeftCell="A82" workbookViewId="0">
      <selection activeCell="A126" sqref="A126"/>
    </sheetView>
  </sheetViews>
  <sheetFormatPr defaultRowHeight="14.4" x14ac:dyDescent="0.55000000000000004"/>
  <cols>
    <col min="1" max="1" width="19.26171875" customWidth="1"/>
    <col min="2" max="2" width="10.68359375" customWidth="1"/>
    <col min="3" max="3" width="10.15625" customWidth="1"/>
    <col min="4" max="4" width="9.68359375" customWidth="1"/>
    <col min="23" max="23" width="10.41796875" customWidth="1"/>
  </cols>
  <sheetData>
    <row r="1" spans="1:10" x14ac:dyDescent="0.55000000000000004">
      <c r="A1" t="s">
        <v>56</v>
      </c>
    </row>
    <row r="3" spans="1:10" x14ac:dyDescent="0.55000000000000004">
      <c r="A3" t="s">
        <v>19</v>
      </c>
    </row>
    <row r="5" spans="1:10" x14ac:dyDescent="0.55000000000000004">
      <c r="A5" s="2"/>
      <c r="B5" s="23" t="s">
        <v>5</v>
      </c>
      <c r="C5" s="23"/>
      <c r="D5" s="23"/>
      <c r="E5" s="23" t="s">
        <v>13</v>
      </c>
      <c r="F5" s="23"/>
      <c r="G5" s="23"/>
      <c r="H5" s="23" t="s">
        <v>14</v>
      </c>
      <c r="I5" s="23"/>
      <c r="J5" s="23"/>
    </row>
    <row r="6" spans="1:10" x14ac:dyDescent="0.55000000000000004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55000000000000004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55000000000000004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55000000000000004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55000000000000004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55000000000000004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55000000000000004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55000000000000004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55000000000000004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55000000000000004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55000000000000004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55000000000000004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55000000000000004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55000000000000004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55000000000000004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55000000000000004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55000000000000004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55000000000000004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55000000000000004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55000000000000004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55000000000000004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55000000000000004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55000000000000004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55000000000000004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55000000000000004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55000000000000004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55000000000000004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55000000000000004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55000000000000004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55000000000000004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55000000000000004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55000000000000004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55000000000000004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55000000000000004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55000000000000004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55000000000000004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55000000000000004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55000000000000004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55000000000000004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55000000000000004">
      <c r="O45" s="1"/>
    </row>
    <row r="46" spans="1:15" x14ac:dyDescent="0.55000000000000004">
      <c r="A46" t="s">
        <v>39</v>
      </c>
      <c r="O46" s="1"/>
    </row>
    <row r="47" spans="1:15" x14ac:dyDescent="0.55000000000000004">
      <c r="O47" s="1"/>
    </row>
    <row r="48" spans="1:15" x14ac:dyDescent="0.55000000000000004">
      <c r="A48" t="s">
        <v>18</v>
      </c>
      <c r="M48" s="6"/>
      <c r="O48" s="1"/>
    </row>
    <row r="49" spans="1:84" x14ac:dyDescent="0.55000000000000004">
      <c r="A49" s="19" t="s">
        <v>60</v>
      </c>
      <c r="M49" s="6"/>
      <c r="O49" s="1"/>
    </row>
    <row r="50" spans="1:84" x14ac:dyDescent="0.55000000000000004">
      <c r="O50" s="1"/>
    </row>
    <row r="51" spans="1:84" x14ac:dyDescent="0.55000000000000004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55000000000000004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55000000000000004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55000000000000004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55000000000000004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55000000000000004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55000000000000004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55000000000000004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55000000000000004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55000000000000004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55000000000000004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55000000000000004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55000000000000004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55000000000000004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55000000000000004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55000000000000004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55000000000000004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55000000000000004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55000000000000004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55000000000000004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55000000000000004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55000000000000004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55000000000000004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55000000000000004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55000000000000004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55000000000000004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55000000000000004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55000000000000004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7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55000000000000004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55000000000000004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55000000000000004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55000000000000004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55000000000000004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55000000000000004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55000000000000004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55000000000000004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55000000000000004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55000000000000004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55000000000000004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55000000000000004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55000000000000004">
      <c r="AS91" s="1"/>
      <c r="AT91" s="1"/>
      <c r="BK91" s="1"/>
      <c r="BL91" s="1"/>
    </row>
    <row r="92" spans="1:84" x14ac:dyDescent="0.55000000000000004">
      <c r="A92" t="s">
        <v>58</v>
      </c>
      <c r="AS92" s="1"/>
      <c r="AT92" s="1"/>
      <c r="BK92" s="1"/>
      <c r="BL92" s="1"/>
    </row>
    <row r="93" spans="1:84" x14ac:dyDescent="0.55000000000000004">
      <c r="AS93" s="1"/>
      <c r="AT93" s="1"/>
      <c r="BK93" s="1"/>
      <c r="BL93" s="1"/>
    </row>
    <row r="94" spans="1:84" x14ac:dyDescent="0.55000000000000004">
      <c r="A94" t="s">
        <v>59</v>
      </c>
      <c r="AS94" s="1"/>
      <c r="AT94" s="1"/>
      <c r="BK94" s="1"/>
      <c r="BL94" s="1"/>
    </row>
    <row r="95" spans="1:84" x14ac:dyDescent="0.55000000000000004">
      <c r="BK95" s="1"/>
      <c r="BL95" s="1"/>
    </row>
    <row r="96" spans="1:84" x14ac:dyDescent="0.55000000000000004">
      <c r="B96" s="16" t="s">
        <v>50</v>
      </c>
      <c r="C96" s="16" t="s">
        <v>4</v>
      </c>
      <c r="D96" s="16" t="s">
        <v>51</v>
      </c>
      <c r="BK96" s="1"/>
      <c r="BL96" s="1"/>
    </row>
    <row r="97" spans="1:64" x14ac:dyDescent="0.55000000000000004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55000000000000004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55000000000000004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55000000000000004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55000000000000004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55000000000000004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55000000000000004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55000000000000004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55000000000000004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55000000000000004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55000000000000004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55000000000000004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55000000000000004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55000000000000004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55000000000000004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55000000000000004">
      <c r="A112" t="s">
        <v>33</v>
      </c>
      <c r="B112" s="1">
        <v>90</v>
      </c>
      <c r="C112" s="1">
        <v>1009</v>
      </c>
      <c r="D112" s="1">
        <v>1099</v>
      </c>
    </row>
    <row r="113" spans="1:14" x14ac:dyDescent="0.55000000000000004">
      <c r="A113" t="s">
        <v>34</v>
      </c>
      <c r="B113" s="1">
        <v>7</v>
      </c>
      <c r="C113" s="1">
        <v>78</v>
      </c>
      <c r="D113" s="1">
        <v>85</v>
      </c>
    </row>
    <row r="114" spans="1:14" x14ac:dyDescent="0.55000000000000004">
      <c r="A114" t="s">
        <v>35</v>
      </c>
      <c r="B114" s="1">
        <v>205</v>
      </c>
      <c r="C114" s="1">
        <v>309</v>
      </c>
      <c r="D114" s="1">
        <v>514</v>
      </c>
    </row>
    <row r="115" spans="1:14" x14ac:dyDescent="0.55000000000000004">
      <c r="A115" t="s">
        <v>12</v>
      </c>
      <c r="B115" s="1">
        <v>137996</v>
      </c>
      <c r="C115" s="1">
        <v>363961</v>
      </c>
      <c r="D115" s="1">
        <v>501957</v>
      </c>
    </row>
    <row r="116" spans="1:14" x14ac:dyDescent="0.55000000000000004">
      <c r="A116" t="s">
        <v>10</v>
      </c>
      <c r="B116" s="1">
        <v>296</v>
      </c>
      <c r="C116" s="1">
        <v>202921</v>
      </c>
      <c r="D116" s="1">
        <v>203217</v>
      </c>
    </row>
    <row r="117" spans="1:14" x14ac:dyDescent="0.55000000000000004">
      <c r="A117" t="s">
        <v>36</v>
      </c>
      <c r="B117" s="1">
        <v>48840</v>
      </c>
      <c r="C117" s="1">
        <v>205805</v>
      </c>
      <c r="D117" s="1">
        <v>254645</v>
      </c>
    </row>
    <row r="118" spans="1:14" x14ac:dyDescent="0.55000000000000004">
      <c r="A118" t="s">
        <v>37</v>
      </c>
      <c r="B118" s="1">
        <v>50</v>
      </c>
      <c r="C118" s="1">
        <v>16981</v>
      </c>
      <c r="D118" s="1">
        <v>17031</v>
      </c>
    </row>
    <row r="119" spans="1:14" x14ac:dyDescent="0.55000000000000004">
      <c r="A119" t="s">
        <v>53</v>
      </c>
      <c r="B119" s="1">
        <v>-1825</v>
      </c>
      <c r="C119" s="1">
        <v>-5491</v>
      </c>
      <c r="D119" s="1">
        <v>-7316</v>
      </c>
    </row>
    <row r="120" spans="1:14" x14ac:dyDescent="0.55000000000000004">
      <c r="A120" t="s">
        <v>38</v>
      </c>
      <c r="B120" s="1">
        <v>7529</v>
      </c>
      <c r="C120" s="1">
        <v>19956</v>
      </c>
      <c r="D120" s="1">
        <v>27485</v>
      </c>
    </row>
    <row r="121" spans="1:14" x14ac:dyDescent="0.55000000000000004">
      <c r="A121" t="s">
        <v>54</v>
      </c>
      <c r="B121" s="1">
        <v>591572</v>
      </c>
      <c r="C121" s="1">
        <v>1056620</v>
      </c>
      <c r="D121" s="1">
        <v>1648192</v>
      </c>
    </row>
    <row r="124" spans="1:14" x14ac:dyDescent="0.55000000000000004">
      <c r="A124" t="s">
        <v>61</v>
      </c>
    </row>
    <row r="125" spans="1:14" x14ac:dyDescent="0.55000000000000004">
      <c r="A125" t="s">
        <v>68</v>
      </c>
    </row>
    <row r="126" spans="1:14" x14ac:dyDescent="0.55000000000000004">
      <c r="B126" s="16" t="s">
        <v>50</v>
      </c>
      <c r="C126" s="16" t="s">
        <v>4</v>
      </c>
      <c r="D126" s="16" t="s">
        <v>51</v>
      </c>
      <c r="K126" s="12"/>
      <c r="L126" s="12"/>
      <c r="M126" s="12"/>
      <c r="N126" s="12"/>
    </row>
    <row r="127" spans="1:14" x14ac:dyDescent="0.55000000000000004">
      <c r="A127" t="s">
        <v>7</v>
      </c>
      <c r="B127" s="11">
        <v>289250</v>
      </c>
      <c r="C127" s="11">
        <v>319431</v>
      </c>
      <c r="D127" s="11">
        <v>608681</v>
      </c>
      <c r="K127" s="12"/>
      <c r="L127" s="11"/>
      <c r="M127" s="11"/>
      <c r="N127" s="11"/>
    </row>
    <row r="128" spans="1:14" x14ac:dyDescent="0.55000000000000004">
      <c r="A128" t="s">
        <v>8</v>
      </c>
      <c r="B128" s="11">
        <v>71263</v>
      </c>
      <c r="C128" s="11">
        <v>-11878</v>
      </c>
      <c r="D128" s="11">
        <v>59385</v>
      </c>
      <c r="K128" s="12"/>
      <c r="L128" s="11"/>
      <c r="M128" s="11"/>
      <c r="N128" s="11"/>
    </row>
    <row r="129" spans="1:14" x14ac:dyDescent="0.55000000000000004">
      <c r="A129" t="s">
        <v>9</v>
      </c>
      <c r="B129" s="11">
        <v>5980</v>
      </c>
      <c r="C129" s="11">
        <v>6966</v>
      </c>
      <c r="D129" s="11">
        <v>12946</v>
      </c>
      <c r="K129" s="12"/>
      <c r="L129" s="11"/>
      <c r="M129" s="11"/>
      <c r="N129" s="11"/>
    </row>
    <row r="130" spans="1:14" x14ac:dyDescent="0.55000000000000004">
      <c r="A130" t="s">
        <v>12</v>
      </c>
      <c r="B130" s="11">
        <v>0</v>
      </c>
      <c r="C130" s="11">
        <v>151250</v>
      </c>
      <c r="D130" s="11">
        <v>151250</v>
      </c>
      <c r="K130" s="12"/>
      <c r="L130" s="11"/>
      <c r="M130" s="11"/>
      <c r="N130" s="11"/>
    </row>
    <row r="131" spans="1:14" x14ac:dyDescent="0.55000000000000004">
      <c r="A131" t="s">
        <v>10</v>
      </c>
      <c r="B131" s="11">
        <v>2099</v>
      </c>
      <c r="C131" s="11">
        <v>87411</v>
      </c>
      <c r="D131" s="11">
        <v>89510</v>
      </c>
      <c r="K131" s="12"/>
      <c r="L131" s="11"/>
      <c r="M131" s="11"/>
      <c r="N131" s="11"/>
    </row>
    <row r="132" spans="1:14" x14ac:dyDescent="0.55000000000000004">
      <c r="A132" t="s">
        <v>11</v>
      </c>
      <c r="B132" s="11">
        <v>-4</v>
      </c>
      <c r="C132" s="11">
        <v>11124</v>
      </c>
      <c r="D132" s="11">
        <v>11120</v>
      </c>
      <c r="K132" s="12"/>
      <c r="L132" s="11"/>
      <c r="M132" s="11"/>
      <c r="N132" s="11"/>
    </row>
    <row r="133" spans="1:14" x14ac:dyDescent="0.55000000000000004">
      <c r="A133" t="s">
        <v>54</v>
      </c>
      <c r="B133" s="1">
        <f>SUM(B127:B132)</f>
        <v>368588</v>
      </c>
      <c r="C133" s="1">
        <f>SUM(C127:C132)</f>
        <v>564304</v>
      </c>
      <c r="D133" s="1">
        <f>SUM(D127:D132)</f>
        <v>932892</v>
      </c>
    </row>
    <row r="134" spans="1:14" x14ac:dyDescent="0.55000000000000004">
      <c r="B134" s="1"/>
      <c r="C134" s="1"/>
      <c r="D134" s="1"/>
    </row>
    <row r="136" spans="1:14" x14ac:dyDescent="0.55000000000000004">
      <c r="A136" t="s">
        <v>66</v>
      </c>
    </row>
    <row r="137" spans="1:14" x14ac:dyDescent="0.55000000000000004">
      <c r="A137" t="s">
        <v>67</v>
      </c>
    </row>
    <row r="138" spans="1:14" x14ac:dyDescent="0.55000000000000004">
      <c r="B138" s="16" t="s">
        <v>50</v>
      </c>
      <c r="C138" s="16" t="s">
        <v>4</v>
      </c>
      <c r="D138" s="16" t="s">
        <v>51</v>
      </c>
    </row>
    <row r="139" spans="1:14" x14ac:dyDescent="0.55000000000000004">
      <c r="A139" t="s">
        <v>7</v>
      </c>
      <c r="B139" s="1">
        <f t="shared" ref="B139:D140" si="140">B97+B127</f>
        <v>387733</v>
      </c>
      <c r="C139" s="1">
        <f t="shared" si="140"/>
        <v>384064</v>
      </c>
      <c r="D139" s="1">
        <f t="shared" si="140"/>
        <v>771797</v>
      </c>
    </row>
    <row r="140" spans="1:14" x14ac:dyDescent="0.55000000000000004">
      <c r="A140" t="s">
        <v>8</v>
      </c>
      <c r="B140" s="1">
        <f t="shared" si="140"/>
        <v>341811</v>
      </c>
      <c r="C140" s="1">
        <f t="shared" si="140"/>
        <v>76937</v>
      </c>
      <c r="D140" s="1">
        <f t="shared" si="140"/>
        <v>418748</v>
      </c>
    </row>
    <row r="141" spans="1:14" x14ac:dyDescent="0.55000000000000004">
      <c r="A141" t="s">
        <v>21</v>
      </c>
      <c r="B141" s="1">
        <f t="shared" ref="B141:D141" si="141">B99</f>
        <v>1194</v>
      </c>
      <c r="C141" s="1">
        <f t="shared" si="141"/>
        <v>12542</v>
      </c>
      <c r="D141" s="1">
        <f t="shared" si="141"/>
        <v>13736</v>
      </c>
    </row>
    <row r="142" spans="1:14" x14ac:dyDescent="0.55000000000000004">
      <c r="A142" t="s">
        <v>22</v>
      </c>
      <c r="B142" s="1">
        <f t="shared" ref="B142:D142" si="142">B100</f>
        <v>7593</v>
      </c>
      <c r="C142" s="1">
        <f t="shared" si="142"/>
        <v>20477</v>
      </c>
      <c r="D142" s="1">
        <f t="shared" si="142"/>
        <v>28070</v>
      </c>
    </row>
    <row r="143" spans="1:14" x14ac:dyDescent="0.55000000000000004">
      <c r="A143" t="s">
        <v>23</v>
      </c>
      <c r="B143" s="1">
        <f t="shared" ref="B143:D143" si="143">B101</f>
        <v>4360</v>
      </c>
      <c r="C143" s="1">
        <f t="shared" si="143"/>
        <v>8006</v>
      </c>
      <c r="D143" s="1">
        <f t="shared" si="143"/>
        <v>12366</v>
      </c>
    </row>
    <row r="144" spans="1:14" x14ac:dyDescent="0.55000000000000004">
      <c r="A144" t="s">
        <v>24</v>
      </c>
      <c r="B144" s="1">
        <f t="shared" ref="B144:D144" si="144">B102</f>
        <v>93</v>
      </c>
      <c r="C144" s="1">
        <f t="shared" si="144"/>
        <v>3063</v>
      </c>
      <c r="D144" s="1">
        <f t="shared" si="144"/>
        <v>3156</v>
      </c>
    </row>
    <row r="145" spans="1:4" x14ac:dyDescent="0.55000000000000004">
      <c r="A145" t="s">
        <v>25</v>
      </c>
      <c r="B145" s="1">
        <f t="shared" ref="B145:D145" si="145">B103</f>
        <v>407</v>
      </c>
      <c r="C145" s="1">
        <f t="shared" si="145"/>
        <v>10431</v>
      </c>
      <c r="D145" s="1">
        <f t="shared" si="145"/>
        <v>10838</v>
      </c>
    </row>
    <row r="146" spans="1:4" x14ac:dyDescent="0.55000000000000004">
      <c r="A146" t="s">
        <v>26</v>
      </c>
      <c r="B146" s="1">
        <f t="shared" ref="B146:D146" si="146">B104</f>
        <v>-47</v>
      </c>
      <c r="C146" s="1">
        <f t="shared" si="146"/>
        <v>5897</v>
      </c>
      <c r="D146" s="1">
        <f t="shared" si="146"/>
        <v>5850</v>
      </c>
    </row>
    <row r="147" spans="1:4" x14ac:dyDescent="0.55000000000000004">
      <c r="A147" t="s">
        <v>27</v>
      </c>
      <c r="B147" s="1">
        <f t="shared" ref="B147:D147" si="147">B105</f>
        <v>6276</v>
      </c>
      <c r="C147" s="1">
        <f t="shared" si="147"/>
        <v>4068</v>
      </c>
      <c r="D147" s="1">
        <f t="shared" si="147"/>
        <v>10344</v>
      </c>
    </row>
    <row r="148" spans="1:4" x14ac:dyDescent="0.55000000000000004">
      <c r="A148" t="s">
        <v>28</v>
      </c>
      <c r="B148" s="1">
        <f t="shared" ref="B148:D148" si="148">B106</f>
        <v>573</v>
      </c>
      <c r="C148" s="1">
        <f t="shared" si="148"/>
        <v>9020</v>
      </c>
      <c r="D148" s="1">
        <f t="shared" si="148"/>
        <v>9593</v>
      </c>
    </row>
    <row r="149" spans="1:4" x14ac:dyDescent="0.55000000000000004">
      <c r="A149" t="s">
        <v>9</v>
      </c>
      <c r="B149" s="1">
        <f>B107+B129</f>
        <v>7490</v>
      </c>
      <c r="C149" s="1">
        <f>C107+C129</f>
        <v>11828</v>
      </c>
      <c r="D149" s="1">
        <f>D107+D129</f>
        <v>19318</v>
      </c>
    </row>
    <row r="150" spans="1:4" x14ac:dyDescent="0.55000000000000004">
      <c r="A150" t="s">
        <v>29</v>
      </c>
      <c r="B150" s="1">
        <f t="shared" ref="B150:D150" si="149">B108</f>
        <v>5131</v>
      </c>
      <c r="C150" s="1">
        <f t="shared" si="149"/>
        <v>5622</v>
      </c>
      <c r="D150" s="1">
        <f t="shared" si="149"/>
        <v>10753</v>
      </c>
    </row>
    <row r="151" spans="1:4" x14ac:dyDescent="0.55000000000000004">
      <c r="A151" t="s">
        <v>30</v>
      </c>
      <c r="B151" s="1">
        <f t="shared" ref="B151:D151" si="150">B109</f>
        <v>477</v>
      </c>
      <c r="C151" s="1">
        <f t="shared" si="150"/>
        <v>6426</v>
      </c>
      <c r="D151" s="1">
        <f t="shared" si="150"/>
        <v>6903</v>
      </c>
    </row>
    <row r="152" spans="1:4" x14ac:dyDescent="0.55000000000000004">
      <c r="A152" t="s">
        <v>31</v>
      </c>
      <c r="B152" s="1">
        <f t="shared" ref="B152:D152" si="151">B110</f>
        <v>2396</v>
      </c>
      <c r="C152" s="1">
        <f t="shared" si="151"/>
        <v>7787</v>
      </c>
      <c r="D152" s="1">
        <f t="shared" si="151"/>
        <v>10183</v>
      </c>
    </row>
    <row r="153" spans="1:4" x14ac:dyDescent="0.55000000000000004">
      <c r="A153" t="s">
        <v>32</v>
      </c>
      <c r="B153" s="1">
        <f t="shared" ref="B153:D153" si="152">B111</f>
        <v>197</v>
      </c>
      <c r="C153" s="1">
        <f t="shared" si="152"/>
        <v>542</v>
      </c>
      <c r="D153" s="1">
        <f t="shared" si="152"/>
        <v>739</v>
      </c>
    </row>
    <row r="154" spans="1:4" x14ac:dyDescent="0.55000000000000004">
      <c r="A154" t="s">
        <v>33</v>
      </c>
      <c r="B154" s="1">
        <f t="shared" ref="B154:D154" si="153">B112</f>
        <v>90</v>
      </c>
      <c r="C154" s="1">
        <f t="shared" si="153"/>
        <v>1009</v>
      </c>
      <c r="D154" s="1">
        <f t="shared" si="153"/>
        <v>1099</v>
      </c>
    </row>
    <row r="155" spans="1:4" x14ac:dyDescent="0.55000000000000004">
      <c r="A155" t="s">
        <v>34</v>
      </c>
      <c r="B155" s="1">
        <f t="shared" ref="B155:D155" si="154">B113</f>
        <v>7</v>
      </c>
      <c r="C155" s="1">
        <f t="shared" si="154"/>
        <v>78</v>
      </c>
      <c r="D155" s="1">
        <f t="shared" si="154"/>
        <v>85</v>
      </c>
    </row>
    <row r="156" spans="1:4" x14ac:dyDescent="0.55000000000000004">
      <c r="A156" t="s">
        <v>35</v>
      </c>
      <c r="B156" s="1">
        <f t="shared" ref="B156:D156" si="155">B114</f>
        <v>205</v>
      </c>
      <c r="C156" s="1">
        <f t="shared" si="155"/>
        <v>309</v>
      </c>
      <c r="D156" s="1">
        <f t="shared" si="155"/>
        <v>514</v>
      </c>
    </row>
    <row r="157" spans="1:4" x14ac:dyDescent="0.55000000000000004">
      <c r="A157" t="s">
        <v>12</v>
      </c>
      <c r="B157" s="1">
        <f t="shared" ref="B157:D158" si="156">B115+B130</f>
        <v>137996</v>
      </c>
      <c r="C157" s="1">
        <f t="shared" si="156"/>
        <v>515211</v>
      </c>
      <c r="D157" s="1">
        <f t="shared" si="156"/>
        <v>653207</v>
      </c>
    </row>
    <row r="158" spans="1:4" x14ac:dyDescent="0.55000000000000004">
      <c r="A158" t="s">
        <v>10</v>
      </c>
      <c r="B158" s="1">
        <f t="shared" si="156"/>
        <v>2395</v>
      </c>
      <c r="C158" s="1">
        <f t="shared" si="156"/>
        <v>290332</v>
      </c>
      <c r="D158" s="1">
        <f t="shared" si="156"/>
        <v>292727</v>
      </c>
    </row>
    <row r="159" spans="1:4" x14ac:dyDescent="0.55000000000000004">
      <c r="A159" t="s">
        <v>36</v>
      </c>
      <c r="B159" s="1">
        <f t="shared" ref="B159:D159" si="157">B117</f>
        <v>48840</v>
      </c>
      <c r="C159" s="1">
        <f t="shared" si="157"/>
        <v>205805</v>
      </c>
      <c r="D159" s="1">
        <f t="shared" si="157"/>
        <v>254645</v>
      </c>
    </row>
    <row r="160" spans="1:4" x14ac:dyDescent="0.55000000000000004">
      <c r="A160" t="s">
        <v>37</v>
      </c>
      <c r="B160" s="1">
        <f t="shared" ref="B160:D160" si="158">B118</f>
        <v>50</v>
      </c>
      <c r="C160" s="1">
        <f t="shared" si="158"/>
        <v>16981</v>
      </c>
      <c r="D160" s="1">
        <f t="shared" si="158"/>
        <v>17031</v>
      </c>
    </row>
    <row r="161" spans="1:4" x14ac:dyDescent="0.55000000000000004">
      <c r="A161" t="s">
        <v>53</v>
      </c>
      <c r="B161" s="1">
        <f t="shared" ref="B161:D161" si="159">B119</f>
        <v>-1825</v>
      </c>
      <c r="C161" s="1">
        <f t="shared" si="159"/>
        <v>-5491</v>
      </c>
      <c r="D161" s="1">
        <f t="shared" si="159"/>
        <v>-7316</v>
      </c>
    </row>
    <row r="162" spans="1:4" x14ac:dyDescent="0.55000000000000004">
      <c r="A162" t="s">
        <v>38</v>
      </c>
      <c r="B162" s="1">
        <f>B120+B132</f>
        <v>7525</v>
      </c>
      <c r="C162" s="1">
        <f>C120+C132</f>
        <v>31080</v>
      </c>
      <c r="D162" s="1">
        <f>D120+D132</f>
        <v>38605</v>
      </c>
    </row>
    <row r="163" spans="1:4" x14ac:dyDescent="0.55000000000000004">
      <c r="A163" t="s">
        <v>54</v>
      </c>
      <c r="B163" s="1">
        <f>SUM(B139:B162)</f>
        <v>960967</v>
      </c>
      <c r="C163" s="1">
        <f>SUM(C139:C162)</f>
        <v>1622024</v>
      </c>
      <c r="D163" s="1">
        <f>SUM(D139:D162)</f>
        <v>2582991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67" workbookViewId="0">
      <selection activeCell="A51" sqref="A51:S90"/>
    </sheetView>
  </sheetViews>
  <sheetFormatPr defaultRowHeight="14.4" x14ac:dyDescent="0.55000000000000004"/>
  <cols>
    <col min="4" max="4" width="11.68359375" bestFit="1" customWidth="1"/>
    <col min="5" max="5" width="11" customWidth="1"/>
  </cols>
  <sheetData>
    <row r="1" spans="1:15" x14ac:dyDescent="0.55000000000000004">
      <c r="A1" t="s">
        <v>16</v>
      </c>
    </row>
    <row r="3" spans="1:15" x14ac:dyDescent="0.55000000000000004">
      <c r="A3" t="s">
        <v>20</v>
      </c>
    </row>
    <row r="4" spans="1:15" x14ac:dyDescent="0.55000000000000004">
      <c r="A4" t="s">
        <v>15</v>
      </c>
    </row>
    <row r="5" spans="1:15" x14ac:dyDescent="0.55000000000000004">
      <c r="A5" t="s">
        <v>17</v>
      </c>
    </row>
    <row r="7" spans="1:15" x14ac:dyDescent="0.55000000000000004">
      <c r="A7" s="2"/>
      <c r="B7" s="23" t="s">
        <v>5</v>
      </c>
      <c r="C7" s="23"/>
      <c r="D7" s="23"/>
      <c r="E7" s="23" t="s">
        <v>13</v>
      </c>
      <c r="F7" s="23"/>
      <c r="G7" s="23"/>
      <c r="H7" s="23" t="s">
        <v>14</v>
      </c>
      <c r="I7" s="23"/>
      <c r="J7" s="23"/>
    </row>
    <row r="8" spans="1:15" x14ac:dyDescent="0.55000000000000004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55000000000000004">
      <c r="A9" s="9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55000000000000004">
      <c r="A10" s="9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55000000000000004">
      <c r="A11" s="9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55000000000000004">
      <c r="A12" s="9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55000000000000004">
      <c r="A13" s="9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55000000000000004">
      <c r="A14" s="9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55000000000000004">
      <c r="A15" s="9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55000000000000004">
      <c r="A16" s="9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55000000000000004">
      <c r="A17" s="9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M17" s="1"/>
      <c r="O17" s="1"/>
    </row>
    <row r="18" spans="1:15" x14ac:dyDescent="0.55000000000000004">
      <c r="A18" s="9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55000000000000004">
      <c r="A19" s="9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55000000000000004">
      <c r="A20" s="9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55000000000000004">
      <c r="A21" s="9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55000000000000004">
      <c r="A22" s="9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55000000000000004">
      <c r="A23" s="9">
        <f>A24-1</f>
        <v>1895</v>
      </c>
      <c r="B23" s="18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55000000000000004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55000000000000004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55000000000000004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55000000000000004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55000000000000004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55000000000000004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55000000000000004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55000000000000004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55000000000000004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55000000000000004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55000000000000004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55000000000000004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55000000000000004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55000000000000004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55000000000000004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55000000000000004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55000000000000004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55000000000000004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55000000000000004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55000000000000004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55000000000000004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55000000000000004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55000000000000004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55000000000000004">
      <c r="O47" s="1"/>
    </row>
    <row r="48" spans="1:15" x14ac:dyDescent="0.55000000000000004">
      <c r="A48" t="s">
        <v>6</v>
      </c>
      <c r="O48" s="1"/>
    </row>
    <row r="49" spans="1:31" x14ac:dyDescent="0.55000000000000004">
      <c r="A49" s="19" t="s">
        <v>60</v>
      </c>
      <c r="O49" s="1"/>
    </row>
    <row r="50" spans="1:31" x14ac:dyDescent="0.55000000000000004">
      <c r="O50" s="1"/>
    </row>
    <row r="51" spans="1:31" x14ac:dyDescent="0.55000000000000004">
      <c r="A51" s="2"/>
      <c r="B51" s="23" t="s">
        <v>7</v>
      </c>
      <c r="C51" s="23"/>
      <c r="D51" s="23"/>
      <c r="E51" s="23" t="s">
        <v>8</v>
      </c>
      <c r="F51" s="23"/>
      <c r="G51" s="23"/>
      <c r="H51" s="23" t="s">
        <v>9</v>
      </c>
      <c r="I51" s="23"/>
      <c r="J51" s="23"/>
      <c r="K51" s="23" t="s">
        <v>12</v>
      </c>
      <c r="L51" s="23"/>
      <c r="M51" s="23"/>
      <c r="N51" s="23" t="s">
        <v>10</v>
      </c>
      <c r="O51" s="23"/>
      <c r="P51" s="23"/>
      <c r="Q51" s="23" t="s">
        <v>11</v>
      </c>
      <c r="R51" s="23"/>
      <c r="S51" s="23"/>
      <c r="U51" s="20" t="s">
        <v>5</v>
      </c>
      <c r="Y51" s="22" t="s">
        <v>55</v>
      </c>
      <c r="AC51" s="21" t="s">
        <v>57</v>
      </c>
    </row>
    <row r="52" spans="1:31" x14ac:dyDescent="0.55000000000000004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3" t="s">
        <v>1</v>
      </c>
      <c r="V52" s="3" t="s">
        <v>2</v>
      </c>
      <c r="W52" s="3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55000000000000004">
      <c r="A53" s="9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6"/>
      <c r="L53" s="16"/>
      <c r="M53" s="16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55000000000000004">
      <c r="A54" s="9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6"/>
      <c r="L54" s="16"/>
      <c r="M54" s="16"/>
      <c r="N54" s="16"/>
      <c r="O54" s="16"/>
      <c r="P54" s="16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55000000000000004">
      <c r="A55" s="9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6"/>
      <c r="L55" s="16"/>
      <c r="M55" s="16"/>
      <c r="N55" s="16"/>
      <c r="O55" s="16"/>
      <c r="P55" s="16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55000000000000004">
      <c r="A56" s="9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6"/>
      <c r="L56" s="16"/>
      <c r="M56" s="16"/>
      <c r="N56" s="16"/>
      <c r="O56" s="16"/>
      <c r="P56" s="16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55000000000000004">
      <c r="A57" s="9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6"/>
      <c r="L57" s="16"/>
      <c r="M57" s="16"/>
      <c r="N57" s="16"/>
      <c r="O57" s="16"/>
      <c r="P57" s="16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55000000000000004">
      <c r="A58" s="9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6"/>
      <c r="L58" s="16"/>
      <c r="M58" s="16"/>
      <c r="N58" s="16"/>
      <c r="O58" s="16"/>
      <c r="P58" s="16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55000000000000004">
      <c r="A59" s="9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6"/>
      <c r="L59" s="16"/>
      <c r="M59" s="16"/>
      <c r="N59" s="16"/>
      <c r="O59" s="16"/>
      <c r="P59" s="16"/>
      <c r="Q59" s="16"/>
      <c r="R59" s="16"/>
      <c r="S59" s="16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55000000000000004">
      <c r="A60" s="9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6"/>
      <c r="L60" s="16"/>
      <c r="M60" s="16"/>
      <c r="N60" s="16"/>
      <c r="O60" s="16"/>
      <c r="P60" s="16"/>
      <c r="Q60" s="16"/>
      <c r="R60" s="16"/>
      <c r="S60" s="16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55000000000000004">
      <c r="A61" s="9">
        <f t="shared" si="13"/>
        <v>1889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U61" s="1">
        <f t="shared" si="21"/>
        <v>30882</v>
      </c>
      <c r="V61" s="1">
        <v>1009672</v>
      </c>
      <c r="W61" s="1">
        <v>978790</v>
      </c>
    </row>
    <row r="62" spans="1:31" x14ac:dyDescent="0.55000000000000004">
      <c r="A62" s="9">
        <f t="shared" si="13"/>
        <v>1890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U62" s="1">
        <f t="shared" si="21"/>
        <v>50014</v>
      </c>
      <c r="V62" s="1">
        <v>1385207</v>
      </c>
      <c r="W62" s="1">
        <v>1335193</v>
      </c>
    </row>
    <row r="63" spans="1:31" x14ac:dyDescent="0.55000000000000004">
      <c r="A63" s="9">
        <f t="shared" si="13"/>
        <v>1891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U63" s="1">
        <f t="shared" si="21"/>
        <v>15917</v>
      </c>
      <c r="V63" s="1">
        <v>1598775</v>
      </c>
      <c r="W63" s="1">
        <v>1582858</v>
      </c>
    </row>
    <row r="64" spans="1:31" x14ac:dyDescent="0.55000000000000004">
      <c r="A64" s="9">
        <f t="shared" si="13"/>
        <v>1892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U64" s="1">
        <f t="shared" si="21"/>
        <v>12069</v>
      </c>
      <c r="V64" s="1">
        <v>939371</v>
      </c>
      <c r="W64" s="1">
        <v>927302</v>
      </c>
    </row>
    <row r="65" spans="1:31" x14ac:dyDescent="0.55000000000000004">
      <c r="A65" s="9">
        <f t="shared" si="13"/>
        <v>1893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U65" s="1">
        <f t="shared" si="21"/>
        <v>31556</v>
      </c>
      <c r="V65" s="1">
        <v>1088739</v>
      </c>
      <c r="W65" s="1">
        <v>1057183</v>
      </c>
    </row>
    <row r="66" spans="1:31" x14ac:dyDescent="0.55000000000000004">
      <c r="A66" s="9">
        <f t="shared" si="13"/>
        <v>1894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U66" s="1">
        <f t="shared" si="21"/>
        <v>72247</v>
      </c>
      <c r="V66" s="1">
        <v>1006037</v>
      </c>
      <c r="W66" s="1">
        <v>933790</v>
      </c>
    </row>
    <row r="67" spans="1:31" x14ac:dyDescent="0.55000000000000004">
      <c r="A67" s="9">
        <f>A68-1</f>
        <v>1895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U67" s="1">
        <f t="shared" si="21"/>
        <v>-78419</v>
      </c>
      <c r="V67" s="1">
        <v>1407483</v>
      </c>
      <c r="W67" s="1">
        <v>1485902</v>
      </c>
    </row>
    <row r="68" spans="1:31" x14ac:dyDescent="0.55000000000000004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55000000000000004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55000000000000004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55000000000000004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55000000000000004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55000000000000004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55000000000000004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55000000000000004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55000000000000004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55000000000000004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55000000000000004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55000000000000004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55000000000000004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55000000000000004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55000000000000004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55000000000000004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55000000000000004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55000000000000004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55000000000000004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55000000000000004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55000000000000004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55000000000000004">
      <c r="A89" s="10" t="s">
        <v>4</v>
      </c>
      <c r="B89" s="5">
        <f>SUM(B68:B87)</f>
        <v>319431</v>
      </c>
      <c r="C89" s="5"/>
      <c r="D89" s="5"/>
      <c r="E89" s="5">
        <f t="shared" ref="E89" si="43">SUM(E68:E87)</f>
        <v>-11878</v>
      </c>
      <c r="F89" s="5"/>
      <c r="G89" s="5"/>
      <c r="H89" s="5">
        <f t="shared" ref="H89" si="44">SUM(H68:H87)</f>
        <v>6966</v>
      </c>
      <c r="I89" s="5"/>
      <c r="J89" s="5"/>
      <c r="K89" s="5">
        <f t="shared" ref="K89" si="45">SUM(K68:K87)</f>
        <v>151250</v>
      </c>
      <c r="L89" s="5"/>
      <c r="M89" s="5"/>
      <c r="N89" s="5">
        <f t="shared" ref="N89" si="46">SUM(N68:N87)</f>
        <v>87411</v>
      </c>
      <c r="O89" s="5"/>
      <c r="P89" s="5"/>
      <c r="Q89" s="5">
        <f t="shared" ref="Q89:U89" si="47">SUM(Q68:Q87)</f>
        <v>11124</v>
      </c>
      <c r="R89" s="5"/>
      <c r="S89" s="5"/>
      <c r="U89" s="5">
        <f t="shared" si="47"/>
        <v>563304</v>
      </c>
      <c r="V89" s="4"/>
      <c r="W89" s="4"/>
    </row>
    <row r="90" spans="1:31" x14ac:dyDescent="0.55000000000000004">
      <c r="A90" s="4" t="s">
        <v>51</v>
      </c>
      <c r="B90" s="5">
        <f>B89+B88</f>
        <v>608681</v>
      </c>
      <c r="C90" s="4"/>
      <c r="D90" s="4"/>
      <c r="E90" s="5">
        <f t="shared" ref="E90" si="48">E89+E88</f>
        <v>59385</v>
      </c>
      <c r="F90" s="4"/>
      <c r="G90" s="4"/>
      <c r="H90" s="5">
        <f t="shared" ref="H90" si="49">H89+H88</f>
        <v>12946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89510</v>
      </c>
      <c r="O90" s="4"/>
      <c r="P90" s="4"/>
      <c r="Q90" s="5">
        <f t="shared" ref="Q90" si="52">Q89+Q88</f>
        <v>11120</v>
      </c>
      <c r="R90" s="4"/>
      <c r="S90" s="4"/>
      <c r="U90" s="5">
        <f>U89+U88</f>
        <v>1066141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I93"/>
  <sheetViews>
    <sheetView topLeftCell="J52" workbookViewId="0">
      <selection sqref="A1:AI93"/>
    </sheetView>
  </sheetViews>
  <sheetFormatPr defaultRowHeight="14.4" x14ac:dyDescent="0.55000000000000004"/>
  <cols>
    <col min="1" max="1" width="11" customWidth="1"/>
    <col min="2" max="2" width="12.578125" bestFit="1" customWidth="1"/>
    <col min="3" max="3" width="11" bestFit="1" customWidth="1"/>
    <col min="4" max="4" width="12" bestFit="1" customWidth="1"/>
    <col min="5" max="5" width="10.26171875" bestFit="1" customWidth="1"/>
    <col min="6" max="6" width="9" bestFit="1" customWidth="1"/>
    <col min="7" max="7" width="12.83984375" bestFit="1" customWidth="1"/>
    <col min="8" max="8" width="9.83984375" bestFit="1" customWidth="1"/>
    <col min="9" max="9" width="8.26171875" bestFit="1" customWidth="1"/>
    <col min="10" max="10" width="9" bestFit="1" customWidth="1"/>
    <col min="11" max="11" width="9.578125" bestFit="1" customWidth="1"/>
    <col min="12" max="12" width="6.26171875" customWidth="1"/>
    <col min="13" max="13" width="11.578125" bestFit="1" customWidth="1"/>
    <col min="14" max="14" width="8.26171875" bestFit="1" customWidth="1"/>
    <col min="15" max="15" width="10.68359375" bestFit="1" customWidth="1"/>
    <col min="16" max="16" width="7.578125" bestFit="1" customWidth="1"/>
    <col min="17" max="17" width="9.41796875" bestFit="1" customWidth="1"/>
    <col min="18" max="18" width="9.26171875" bestFit="1" customWidth="1"/>
    <col min="19" max="19" width="7.41796875" bestFit="1" customWidth="1"/>
    <col min="20" max="20" width="6.68359375" bestFit="1" customWidth="1"/>
    <col min="21" max="21" width="19.15625" bestFit="1" customWidth="1"/>
    <col min="22" max="22" width="7.68359375" bestFit="1" customWidth="1"/>
    <col min="23" max="23" width="8.68359375" bestFit="1" customWidth="1"/>
    <col min="24" max="24" width="11.41796875" bestFit="1" customWidth="1"/>
    <col min="25" max="25" width="11.83984375" bestFit="1" customWidth="1"/>
    <col min="26" max="26" width="7.578125" bestFit="1" customWidth="1"/>
    <col min="27" max="27" width="7.26171875" bestFit="1" customWidth="1"/>
    <col min="28" max="28" width="7.41796875" bestFit="1" customWidth="1"/>
    <col min="29" max="29" width="7.68359375" bestFit="1" customWidth="1"/>
    <col min="30" max="30" width="14.26171875" customWidth="1"/>
    <col min="31" max="31" width="10.15625" bestFit="1" customWidth="1"/>
    <col min="33" max="33" width="12.41796875" customWidth="1"/>
  </cols>
  <sheetData>
    <row r="1" spans="1:31" x14ac:dyDescent="0.55000000000000004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55000000000000004">
      <c r="A2" s="9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55000000000000004">
      <c r="A3" s="9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55000000000000004">
      <c r="A4" s="9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55000000000000004">
      <c r="A5" s="9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55000000000000004">
      <c r="A6" s="9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55000000000000004">
      <c r="A7" s="9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55000000000000004">
      <c r="A8" s="9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55000000000000004">
      <c r="A9" s="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55000000000000004">
      <c r="A10" s="9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55000000000000004">
      <c r="A11" s="9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55000000000000004">
      <c r="A12" s="9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55000000000000004">
      <c r="A13" s="9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55000000000000004">
      <c r="A14" s="9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55000000000000004">
      <c r="A15" s="9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55000000000000004">
      <c r="A16" s="9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55000000000000004">
      <c r="A17" s="9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55000000000000004">
      <c r="A18" s="9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55000000000000004">
      <c r="A19" s="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55000000000000004">
      <c r="A20" s="9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55000000000000004">
      <c r="A21" s="9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55000000000000004">
      <c r="A22" s="9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55000000000000004">
      <c r="A23" s="9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55000000000000004">
      <c r="A24" s="9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55000000000000004">
      <c r="A25" s="9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55000000000000004">
      <c r="A26" s="9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55000000000000004">
      <c r="A27" s="9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55000000000000004">
      <c r="A28" s="9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55000000000000004">
      <c r="A29" s="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55000000000000004">
      <c r="A30" s="9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55000000000000004">
      <c r="A31" s="9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55000000000000004">
      <c r="A32" s="9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55000000000000004">
      <c r="A33" s="9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55000000000000004">
      <c r="A34" s="9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55000000000000004">
      <c r="A35" s="9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55000000000000004">
      <c r="A36" s="9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55000000000000004">
      <c r="A38" s="8" t="s">
        <v>47</v>
      </c>
      <c r="P38" s="1"/>
    </row>
    <row r="39" spans="1:35" x14ac:dyDescent="0.55000000000000004">
      <c r="A39" s="21" t="s">
        <v>65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P39" s="1"/>
    </row>
    <row r="41" spans="1:35" x14ac:dyDescent="0.55000000000000004">
      <c r="A41" t="s">
        <v>52</v>
      </c>
    </row>
    <row r="43" spans="1:35" x14ac:dyDescent="0.55000000000000004">
      <c r="A43" t="s">
        <v>48</v>
      </c>
    </row>
    <row r="44" spans="1:35" x14ac:dyDescent="0.55000000000000004">
      <c r="A44" t="s">
        <v>49</v>
      </c>
    </row>
    <row r="46" spans="1:35" x14ac:dyDescent="0.55000000000000004">
      <c r="B46" s="8" t="s">
        <v>41</v>
      </c>
      <c r="C46" s="8" t="s">
        <v>40</v>
      </c>
      <c r="D46" s="8" t="s">
        <v>42</v>
      </c>
      <c r="E46" s="8" t="s">
        <v>43</v>
      </c>
      <c r="F46" s="8" t="s">
        <v>44</v>
      </c>
      <c r="G46" s="8" t="s">
        <v>46</v>
      </c>
      <c r="H46" s="8" t="s">
        <v>7</v>
      </c>
      <c r="I46" s="8" t="s">
        <v>8</v>
      </c>
      <c r="J46" s="8" t="s">
        <v>21</v>
      </c>
      <c r="K46" s="8" t="s">
        <v>22</v>
      </c>
      <c r="L46" s="8" t="s">
        <v>23</v>
      </c>
      <c r="M46" s="8" t="s">
        <v>24</v>
      </c>
      <c r="N46" s="8" t="s">
        <v>25</v>
      </c>
      <c r="O46" s="8" t="s">
        <v>26</v>
      </c>
      <c r="P46" s="8" t="s">
        <v>27</v>
      </c>
      <c r="Q46" s="8" t="s">
        <v>28</v>
      </c>
      <c r="R46" s="8" t="s">
        <v>9</v>
      </c>
      <c r="S46" s="8" t="s">
        <v>29</v>
      </c>
      <c r="T46" s="8" t="s">
        <v>30</v>
      </c>
      <c r="U46" s="8" t="s">
        <v>31</v>
      </c>
      <c r="V46" s="8" t="s">
        <v>32</v>
      </c>
      <c r="W46" s="8" t="s">
        <v>33</v>
      </c>
      <c r="X46" s="8" t="s">
        <v>34</v>
      </c>
      <c r="Y46" s="8" t="s">
        <v>35</v>
      </c>
      <c r="Z46" s="8" t="s">
        <v>12</v>
      </c>
      <c r="AA46" s="8" t="s">
        <v>10</v>
      </c>
      <c r="AB46" s="8" t="s">
        <v>36</v>
      </c>
      <c r="AC46" s="8" t="s">
        <v>37</v>
      </c>
      <c r="AD46" s="8" t="s">
        <v>53</v>
      </c>
      <c r="AE46" s="8" t="s">
        <v>45</v>
      </c>
      <c r="AG46" s="8" t="s">
        <v>62</v>
      </c>
      <c r="AH46" s="8" t="s">
        <v>63</v>
      </c>
      <c r="AI46" s="8" t="s">
        <v>64</v>
      </c>
    </row>
    <row r="47" spans="1:35" x14ac:dyDescent="0.55000000000000004">
      <c r="A47" s="9" t="s">
        <v>50</v>
      </c>
      <c r="B47" s="1">
        <f t="shared" ref="B47:AE47" si="2">SUM(B2:B16)</f>
        <v>289250</v>
      </c>
      <c r="C47" s="1">
        <f t="shared" si="2"/>
        <v>71263</v>
      </c>
      <c r="D47" s="1">
        <f t="shared" si="2"/>
        <v>5980</v>
      </c>
      <c r="E47" s="1">
        <f t="shared" si="2"/>
        <v>0</v>
      </c>
      <c r="F47" s="1">
        <f t="shared" si="2"/>
        <v>2099</v>
      </c>
      <c r="G47" s="1">
        <f t="shared" si="2"/>
        <v>-4</v>
      </c>
      <c r="H47" s="1">
        <f t="shared" si="2"/>
        <v>98483</v>
      </c>
      <c r="I47" s="1">
        <f t="shared" si="2"/>
        <v>270548</v>
      </c>
      <c r="J47" s="1">
        <f t="shared" si="2"/>
        <v>1194</v>
      </c>
      <c r="K47" s="1">
        <f t="shared" si="2"/>
        <v>7593</v>
      </c>
      <c r="L47" s="1">
        <f t="shared" si="2"/>
        <v>4360</v>
      </c>
      <c r="M47" s="1">
        <f t="shared" si="2"/>
        <v>93</v>
      </c>
      <c r="N47" s="1">
        <f t="shared" si="2"/>
        <v>407</v>
      </c>
      <c r="O47" s="1">
        <f t="shared" si="2"/>
        <v>-47</v>
      </c>
      <c r="P47" s="1">
        <f t="shared" si="2"/>
        <v>6276</v>
      </c>
      <c r="Q47" s="1">
        <f t="shared" si="2"/>
        <v>573</v>
      </c>
      <c r="R47" s="1">
        <f t="shared" si="2"/>
        <v>1510</v>
      </c>
      <c r="S47" s="1">
        <f t="shared" si="2"/>
        <v>5131</v>
      </c>
      <c r="T47" s="1">
        <f t="shared" si="2"/>
        <v>477</v>
      </c>
      <c r="U47" s="1">
        <f t="shared" si="2"/>
        <v>2396</v>
      </c>
      <c r="V47" s="1">
        <f t="shared" si="2"/>
        <v>197</v>
      </c>
      <c r="W47" s="1">
        <f t="shared" si="2"/>
        <v>90</v>
      </c>
      <c r="X47" s="1">
        <f t="shared" si="2"/>
        <v>7</v>
      </c>
      <c r="Y47" s="1">
        <f t="shared" si="2"/>
        <v>205</v>
      </c>
      <c r="Z47" s="1">
        <f t="shared" si="2"/>
        <v>137996</v>
      </c>
      <c r="AA47" s="1">
        <f t="shared" si="2"/>
        <v>296</v>
      </c>
      <c r="AB47" s="1">
        <f t="shared" si="2"/>
        <v>48840</v>
      </c>
      <c r="AC47" s="1">
        <f t="shared" si="2"/>
        <v>50</v>
      </c>
      <c r="AD47" s="1">
        <f t="shared" si="2"/>
        <v>-1825</v>
      </c>
      <c r="AE47" s="1">
        <f t="shared" si="2"/>
        <v>7529</v>
      </c>
      <c r="AG47" s="1">
        <f>SUM(B47:AE47)</f>
        <v>960967</v>
      </c>
      <c r="AH47" s="1">
        <f>SUM(H47:AE47)</f>
        <v>592379</v>
      </c>
      <c r="AI47" s="1">
        <f>SUM(B47:G47)</f>
        <v>368588</v>
      </c>
    </row>
    <row r="48" spans="1:35" x14ac:dyDescent="0.55000000000000004">
      <c r="A48" s="9" t="s">
        <v>4</v>
      </c>
      <c r="B48" s="1">
        <f t="shared" ref="B48:AE48" si="3">SUM(B17:B36)</f>
        <v>319431</v>
      </c>
      <c r="C48" s="1">
        <f t="shared" si="3"/>
        <v>-11878</v>
      </c>
      <c r="D48" s="1">
        <f t="shared" si="3"/>
        <v>6966</v>
      </c>
      <c r="E48" s="1">
        <f t="shared" si="3"/>
        <v>151250</v>
      </c>
      <c r="F48" s="1">
        <f t="shared" si="3"/>
        <v>87411</v>
      </c>
      <c r="G48" s="1">
        <f t="shared" si="3"/>
        <v>11124</v>
      </c>
      <c r="H48" s="1">
        <f t="shared" si="3"/>
        <v>64633</v>
      </c>
      <c r="I48" s="1">
        <f t="shared" si="3"/>
        <v>88815</v>
      </c>
      <c r="J48" s="1">
        <f t="shared" si="3"/>
        <v>12542</v>
      </c>
      <c r="K48" s="1">
        <f t="shared" si="3"/>
        <v>20477</v>
      </c>
      <c r="L48" s="1">
        <f t="shared" si="3"/>
        <v>8006</v>
      </c>
      <c r="M48" s="1">
        <f t="shared" si="3"/>
        <v>3063</v>
      </c>
      <c r="N48" s="1">
        <f t="shared" si="3"/>
        <v>10431</v>
      </c>
      <c r="O48" s="1">
        <f t="shared" si="3"/>
        <v>5897</v>
      </c>
      <c r="P48" s="1">
        <f t="shared" si="3"/>
        <v>4068</v>
      </c>
      <c r="Q48" s="1">
        <f t="shared" si="3"/>
        <v>9020</v>
      </c>
      <c r="R48" s="1">
        <f t="shared" si="3"/>
        <v>4862</v>
      </c>
      <c r="S48" s="1">
        <f t="shared" si="3"/>
        <v>5622</v>
      </c>
      <c r="T48" s="1">
        <f t="shared" si="3"/>
        <v>6426</v>
      </c>
      <c r="U48" s="1">
        <f t="shared" si="3"/>
        <v>7787</v>
      </c>
      <c r="V48" s="1">
        <f t="shared" si="3"/>
        <v>542</v>
      </c>
      <c r="W48" s="1">
        <f t="shared" si="3"/>
        <v>1009</v>
      </c>
      <c r="X48" s="1">
        <f t="shared" si="3"/>
        <v>78</v>
      </c>
      <c r="Y48" s="1">
        <f t="shared" si="3"/>
        <v>309</v>
      </c>
      <c r="Z48" s="1">
        <f t="shared" si="3"/>
        <v>363961</v>
      </c>
      <c r="AA48" s="1">
        <f t="shared" si="3"/>
        <v>202921</v>
      </c>
      <c r="AB48" s="1">
        <f t="shared" si="3"/>
        <v>205805</v>
      </c>
      <c r="AC48" s="1">
        <f t="shared" si="3"/>
        <v>16981</v>
      </c>
      <c r="AD48" s="1">
        <f t="shared" si="3"/>
        <v>-5491</v>
      </c>
      <c r="AE48" s="1">
        <f t="shared" si="3"/>
        <v>19956</v>
      </c>
      <c r="AG48" s="1">
        <f>SUM(B48:AE48)</f>
        <v>1622024</v>
      </c>
      <c r="AH48" s="1">
        <f>SUM(H48:AE48)</f>
        <v>1057720</v>
      </c>
      <c r="AI48" s="1">
        <f>SUM(B48:G48)</f>
        <v>564304</v>
      </c>
    </row>
    <row r="49" spans="1:35" x14ac:dyDescent="0.55000000000000004">
      <c r="A49" s="9" t="s">
        <v>51</v>
      </c>
      <c r="B49" s="1">
        <f>B48+B47</f>
        <v>608681</v>
      </c>
      <c r="C49" s="1">
        <f t="shared" ref="C49:AE49" si="4">C48+C47</f>
        <v>59385</v>
      </c>
      <c r="D49" s="1">
        <f t="shared" si="4"/>
        <v>12946</v>
      </c>
      <c r="E49" s="1">
        <f t="shared" si="4"/>
        <v>151250</v>
      </c>
      <c r="F49" s="1">
        <f t="shared" si="4"/>
        <v>89510</v>
      </c>
      <c r="G49" s="1">
        <f t="shared" si="4"/>
        <v>11120</v>
      </c>
      <c r="H49" s="1">
        <f t="shared" si="4"/>
        <v>163116</v>
      </c>
      <c r="I49" s="1">
        <f t="shared" si="4"/>
        <v>359363</v>
      </c>
      <c r="J49" s="1">
        <f t="shared" si="4"/>
        <v>13736</v>
      </c>
      <c r="K49" s="1">
        <f t="shared" si="4"/>
        <v>28070</v>
      </c>
      <c r="L49" s="1">
        <f t="shared" si="4"/>
        <v>12366</v>
      </c>
      <c r="M49" s="1">
        <f t="shared" si="4"/>
        <v>3156</v>
      </c>
      <c r="N49" s="1">
        <f t="shared" si="4"/>
        <v>10838</v>
      </c>
      <c r="O49" s="1">
        <f t="shared" si="4"/>
        <v>5850</v>
      </c>
      <c r="P49" s="1">
        <f t="shared" si="4"/>
        <v>10344</v>
      </c>
      <c r="Q49" s="1">
        <f t="shared" si="4"/>
        <v>9593</v>
      </c>
      <c r="R49" s="1">
        <f t="shared" si="4"/>
        <v>6372</v>
      </c>
      <c r="S49" s="1">
        <f t="shared" si="4"/>
        <v>10753</v>
      </c>
      <c r="T49" s="1">
        <f t="shared" si="4"/>
        <v>6903</v>
      </c>
      <c r="U49" s="1">
        <f t="shared" si="4"/>
        <v>10183</v>
      </c>
      <c r="V49" s="1">
        <f t="shared" si="4"/>
        <v>739</v>
      </c>
      <c r="W49" s="1">
        <f t="shared" si="4"/>
        <v>1099</v>
      </c>
      <c r="X49" s="1">
        <f t="shared" si="4"/>
        <v>85</v>
      </c>
      <c r="Y49" s="1">
        <f t="shared" si="4"/>
        <v>514</v>
      </c>
      <c r="Z49" s="1">
        <f t="shared" si="4"/>
        <v>501957</v>
      </c>
      <c r="AA49" s="1">
        <f t="shared" si="4"/>
        <v>203217</v>
      </c>
      <c r="AB49" s="1">
        <f t="shared" si="4"/>
        <v>254645</v>
      </c>
      <c r="AC49" s="1">
        <f t="shared" si="4"/>
        <v>17031</v>
      </c>
      <c r="AD49" s="1">
        <f t="shared" si="4"/>
        <v>-7316</v>
      </c>
      <c r="AE49" s="1">
        <f t="shared" si="4"/>
        <v>27485</v>
      </c>
      <c r="AG49" s="1">
        <f>SUM(B49:AE49)</f>
        <v>2582991</v>
      </c>
      <c r="AH49" s="1">
        <f>SUM(H49:AE49)</f>
        <v>1650099</v>
      </c>
      <c r="AI49" s="1">
        <f>SUM(B49:G49)</f>
        <v>932892</v>
      </c>
    </row>
    <row r="50" spans="1:35" x14ac:dyDescent="0.55000000000000004">
      <c r="A50" s="9"/>
    </row>
    <row r="51" spans="1:35" x14ac:dyDescent="0.55000000000000004">
      <c r="A51" s="9" t="s">
        <v>50</v>
      </c>
      <c r="H51" s="1">
        <f>H47+B47</f>
        <v>387733</v>
      </c>
      <c r="I51" s="1">
        <f>I47+C47</f>
        <v>341811</v>
      </c>
      <c r="J51" s="1">
        <f t="shared" ref="J51:AD53" si="5">J47</f>
        <v>1194</v>
      </c>
      <c r="K51" s="1">
        <f t="shared" si="5"/>
        <v>7593</v>
      </c>
      <c r="L51" s="1">
        <f t="shared" si="5"/>
        <v>4360</v>
      </c>
      <c r="M51" s="1">
        <f t="shared" si="5"/>
        <v>93</v>
      </c>
      <c r="N51" s="1">
        <f t="shared" si="5"/>
        <v>407</v>
      </c>
      <c r="O51" s="1">
        <f t="shared" si="5"/>
        <v>-47</v>
      </c>
      <c r="P51" s="1">
        <f t="shared" si="5"/>
        <v>6276</v>
      </c>
      <c r="Q51" s="1">
        <f t="shared" si="5"/>
        <v>573</v>
      </c>
      <c r="R51" s="1">
        <f>R47+D47</f>
        <v>7490</v>
      </c>
      <c r="S51" s="1">
        <f t="shared" si="5"/>
        <v>5131</v>
      </c>
      <c r="T51" s="1">
        <f t="shared" si="5"/>
        <v>477</v>
      </c>
      <c r="U51" s="1">
        <f t="shared" si="5"/>
        <v>2396</v>
      </c>
      <c r="V51" s="1">
        <f t="shared" si="5"/>
        <v>197</v>
      </c>
      <c r="W51" s="1">
        <f t="shared" si="5"/>
        <v>90</v>
      </c>
      <c r="X51" s="1">
        <f t="shared" si="5"/>
        <v>7</v>
      </c>
      <c r="Y51" s="1">
        <f t="shared" si="5"/>
        <v>205</v>
      </c>
      <c r="Z51" s="1">
        <f>Z47+E47</f>
        <v>137996</v>
      </c>
      <c r="AA51" s="1">
        <f>AA47+F47</f>
        <v>2395</v>
      </c>
      <c r="AB51" s="1">
        <f t="shared" si="5"/>
        <v>48840</v>
      </c>
      <c r="AC51" s="1">
        <f t="shared" si="5"/>
        <v>50</v>
      </c>
      <c r="AD51" s="1">
        <f t="shared" si="5"/>
        <v>-1825</v>
      </c>
      <c r="AE51" s="1">
        <f>AE47+G47</f>
        <v>7525</v>
      </c>
      <c r="AG51" s="1">
        <f>SUM(B51:AE51)</f>
        <v>960967</v>
      </c>
    </row>
    <row r="52" spans="1:35" x14ac:dyDescent="0.55000000000000004">
      <c r="A52" s="9" t="s">
        <v>4</v>
      </c>
      <c r="H52" s="1">
        <f t="shared" ref="H52:I53" si="6">H48+B48</f>
        <v>384064</v>
      </c>
      <c r="I52" s="1">
        <f t="shared" si="6"/>
        <v>76937</v>
      </c>
      <c r="J52" s="1">
        <f t="shared" ref="J52:W52" si="7">J48</f>
        <v>12542</v>
      </c>
      <c r="K52" s="1">
        <f t="shared" si="7"/>
        <v>20477</v>
      </c>
      <c r="L52" s="1">
        <f t="shared" si="7"/>
        <v>8006</v>
      </c>
      <c r="M52" s="1">
        <f t="shared" si="7"/>
        <v>3063</v>
      </c>
      <c r="N52" s="1">
        <f t="shared" si="7"/>
        <v>10431</v>
      </c>
      <c r="O52" s="1">
        <f t="shared" si="7"/>
        <v>5897</v>
      </c>
      <c r="P52" s="1">
        <f t="shared" si="7"/>
        <v>4068</v>
      </c>
      <c r="Q52" s="1">
        <f t="shared" si="7"/>
        <v>9020</v>
      </c>
      <c r="R52" s="1">
        <f t="shared" ref="R52:R53" si="8">R48+D48</f>
        <v>11828</v>
      </c>
      <c r="S52" s="1">
        <f t="shared" si="7"/>
        <v>5622</v>
      </c>
      <c r="T52" s="1">
        <f t="shared" si="7"/>
        <v>6426</v>
      </c>
      <c r="U52" s="1">
        <f t="shared" si="7"/>
        <v>7787</v>
      </c>
      <c r="V52" s="1">
        <f t="shared" si="7"/>
        <v>542</v>
      </c>
      <c r="W52" s="1">
        <f t="shared" si="7"/>
        <v>1009</v>
      </c>
      <c r="X52" s="1">
        <f t="shared" si="5"/>
        <v>78</v>
      </c>
      <c r="Y52" s="1">
        <f t="shared" si="5"/>
        <v>309</v>
      </c>
      <c r="Z52" s="1">
        <f t="shared" ref="Z52:Z53" si="9">Z48+E48</f>
        <v>515211</v>
      </c>
      <c r="AA52" s="1">
        <f t="shared" ref="AA52:AA53" si="10">AA48+F48</f>
        <v>290332</v>
      </c>
      <c r="AB52" s="1">
        <f t="shared" si="5"/>
        <v>205805</v>
      </c>
      <c r="AC52" s="1">
        <f t="shared" si="5"/>
        <v>16981</v>
      </c>
      <c r="AD52" s="1">
        <f t="shared" si="5"/>
        <v>-5491</v>
      </c>
      <c r="AE52" s="1">
        <f t="shared" ref="AE52:AE53" si="11">AE48+G48</f>
        <v>31080</v>
      </c>
      <c r="AG52" s="1">
        <f>SUM(B52:AE52)</f>
        <v>1622024</v>
      </c>
    </row>
    <row r="53" spans="1:35" x14ac:dyDescent="0.55000000000000004">
      <c r="A53" s="9" t="s">
        <v>51</v>
      </c>
      <c r="H53" s="1">
        <f t="shared" si="6"/>
        <v>771797</v>
      </c>
      <c r="I53" s="1">
        <f t="shared" si="6"/>
        <v>418748</v>
      </c>
      <c r="J53" s="1">
        <f t="shared" si="5"/>
        <v>13736</v>
      </c>
      <c r="K53" s="1">
        <f t="shared" si="5"/>
        <v>28070</v>
      </c>
      <c r="L53" s="1">
        <f t="shared" si="5"/>
        <v>12366</v>
      </c>
      <c r="M53" s="1">
        <f t="shared" si="5"/>
        <v>3156</v>
      </c>
      <c r="N53" s="1">
        <f t="shared" si="5"/>
        <v>10838</v>
      </c>
      <c r="O53" s="1">
        <f t="shared" si="5"/>
        <v>5850</v>
      </c>
      <c r="P53" s="1">
        <f t="shared" si="5"/>
        <v>10344</v>
      </c>
      <c r="Q53" s="1">
        <f t="shared" si="5"/>
        <v>9593</v>
      </c>
      <c r="R53" s="1">
        <f t="shared" si="8"/>
        <v>19318</v>
      </c>
      <c r="S53" s="1">
        <f t="shared" si="5"/>
        <v>10753</v>
      </c>
      <c r="T53" s="1">
        <f t="shared" si="5"/>
        <v>6903</v>
      </c>
      <c r="U53" s="1">
        <f t="shared" si="5"/>
        <v>10183</v>
      </c>
      <c r="V53" s="1">
        <f t="shared" si="5"/>
        <v>739</v>
      </c>
      <c r="W53" s="1">
        <f t="shared" si="5"/>
        <v>1099</v>
      </c>
      <c r="X53" s="1">
        <f t="shared" si="5"/>
        <v>85</v>
      </c>
      <c r="Y53" s="1">
        <f t="shared" si="5"/>
        <v>514</v>
      </c>
      <c r="Z53" s="1">
        <f t="shared" si="9"/>
        <v>653207</v>
      </c>
      <c r="AA53" s="1">
        <f t="shared" si="10"/>
        <v>292727</v>
      </c>
      <c r="AB53" s="1">
        <f t="shared" si="5"/>
        <v>254645</v>
      </c>
      <c r="AC53" s="1">
        <f t="shared" si="5"/>
        <v>17031</v>
      </c>
      <c r="AD53" s="1">
        <f t="shared" si="5"/>
        <v>-7316</v>
      </c>
      <c r="AE53" s="1">
        <f t="shared" si="11"/>
        <v>38605</v>
      </c>
      <c r="AG53" s="1">
        <f>SUM(B53:AE53)</f>
        <v>2582991</v>
      </c>
    </row>
    <row r="55" spans="1:35" x14ac:dyDescent="0.55000000000000004">
      <c r="A55" s="9">
        <v>1881</v>
      </c>
      <c r="B55" s="1"/>
      <c r="H55" s="1">
        <f t="shared" ref="H55:H89" si="12">H2+B2</f>
        <v>54846</v>
      </c>
      <c r="I55" s="1">
        <f t="shared" ref="I55:I89" si="13">I2+C2</f>
        <v>21252</v>
      </c>
      <c r="J55" s="1">
        <f t="shared" ref="J55:Q64" si="14">J2</f>
        <v>-366</v>
      </c>
      <c r="K55" s="1">
        <f t="shared" si="14"/>
        <v>-294</v>
      </c>
      <c r="L55" s="1">
        <f t="shared" si="14"/>
        <v>7</v>
      </c>
      <c r="M55" s="1">
        <f t="shared" si="14"/>
        <v>-159</v>
      </c>
      <c r="N55" s="1">
        <f t="shared" si="14"/>
        <v>-3</v>
      </c>
      <c r="O55" s="1">
        <f t="shared" si="14"/>
        <v>-55</v>
      </c>
      <c r="P55" s="1">
        <f t="shared" si="14"/>
        <v>58</v>
      </c>
      <c r="Q55" s="1">
        <f t="shared" si="14"/>
        <v>-76</v>
      </c>
      <c r="R55" s="1">
        <f t="shared" ref="R55:R89" si="15">R2+D2</f>
        <v>1011</v>
      </c>
      <c r="S55" s="1">
        <f t="shared" ref="S55:Y64" si="16">S2</f>
        <v>598</v>
      </c>
      <c r="T55" s="1">
        <f t="shared" si="16"/>
        <v>-18</v>
      </c>
      <c r="U55" s="1">
        <f t="shared" si="16"/>
        <v>122</v>
      </c>
      <c r="V55" s="1">
        <f t="shared" si="16"/>
        <v>-27</v>
      </c>
      <c r="W55" s="1">
        <f t="shared" si="16"/>
        <v>6</v>
      </c>
      <c r="X55" s="1">
        <f t="shared" si="16"/>
        <v>-2</v>
      </c>
      <c r="Y55" s="1">
        <f t="shared" si="16"/>
        <v>26</v>
      </c>
      <c r="Z55" s="1">
        <f t="shared" ref="Z55:Z89" si="17">Z2+E2</f>
        <v>-942</v>
      </c>
      <c r="AA55" s="1">
        <f t="shared" ref="AA55:AA89" si="18">AA2+F2</f>
        <v>2104</v>
      </c>
      <c r="AB55" s="1">
        <f t="shared" ref="AB55:AD70" si="19">AB2</f>
        <v>890</v>
      </c>
      <c r="AC55" s="1">
        <f t="shared" si="19"/>
        <v>-2</v>
      </c>
      <c r="AD55" s="1">
        <f t="shared" si="19"/>
        <v>20</v>
      </c>
      <c r="AE55" s="1">
        <f t="shared" ref="AE55:AE89" si="20">AE2+G2</f>
        <v>17</v>
      </c>
      <c r="AG55" s="1">
        <f>SUM(H55:AE55)</f>
        <v>79013</v>
      </c>
    </row>
    <row r="56" spans="1:35" x14ac:dyDescent="0.55000000000000004">
      <c r="A56" s="9">
        <v>1882</v>
      </c>
      <c r="B56" s="1"/>
      <c r="H56" s="1">
        <f t="shared" si="12"/>
        <v>50504</v>
      </c>
      <c r="I56" s="1">
        <f t="shared" si="13"/>
        <v>41842</v>
      </c>
      <c r="J56" s="1">
        <f t="shared" si="14"/>
        <v>-493</v>
      </c>
      <c r="K56" s="1">
        <f t="shared" si="14"/>
        <v>599</v>
      </c>
      <c r="L56" s="1">
        <f t="shared" si="14"/>
        <v>-11</v>
      </c>
      <c r="M56" s="1">
        <f t="shared" si="14"/>
        <v>-781</v>
      </c>
      <c r="N56" s="1">
        <f t="shared" si="14"/>
        <v>79</v>
      </c>
      <c r="O56" s="1">
        <f t="shared" si="14"/>
        <v>-56</v>
      </c>
      <c r="P56" s="1">
        <f t="shared" si="14"/>
        <v>387</v>
      </c>
      <c r="Q56" s="1">
        <f t="shared" si="14"/>
        <v>-2</v>
      </c>
      <c r="R56" s="1">
        <f t="shared" si="15"/>
        <v>1428</v>
      </c>
      <c r="S56" s="1">
        <f t="shared" si="16"/>
        <v>419</v>
      </c>
      <c r="T56" s="1">
        <f t="shared" si="16"/>
        <v>-21</v>
      </c>
      <c r="U56" s="1">
        <f t="shared" si="16"/>
        <v>17</v>
      </c>
      <c r="V56" s="1">
        <f t="shared" si="16"/>
        <v>5</v>
      </c>
      <c r="W56" s="1">
        <f t="shared" si="16"/>
        <v>4</v>
      </c>
      <c r="X56" s="1">
        <f t="shared" si="16"/>
        <v>-2</v>
      </c>
      <c r="Y56" s="1">
        <f t="shared" si="16"/>
        <v>-3</v>
      </c>
      <c r="Z56" s="1">
        <f t="shared" si="17"/>
        <v>7068</v>
      </c>
      <c r="AA56" s="1">
        <f t="shared" si="18"/>
        <v>10</v>
      </c>
      <c r="AB56" s="1">
        <f t="shared" si="19"/>
        <v>3081</v>
      </c>
      <c r="AC56" s="1">
        <f t="shared" si="19"/>
        <v>35</v>
      </c>
      <c r="AD56" s="1">
        <f t="shared" si="19"/>
        <v>2</v>
      </c>
      <c r="AE56" s="1">
        <f t="shared" si="20"/>
        <v>67</v>
      </c>
      <c r="AG56" s="1">
        <f t="shared" ref="AG56:AG89" si="21">SUM(H56:AE56)</f>
        <v>104178</v>
      </c>
    </row>
    <row r="57" spans="1:35" x14ac:dyDescent="0.55000000000000004">
      <c r="A57" s="9">
        <v>1883</v>
      </c>
      <c r="B57" s="1"/>
      <c r="H57" s="1">
        <f t="shared" si="12"/>
        <v>30582</v>
      </c>
      <c r="I57" s="1">
        <f t="shared" si="13"/>
        <v>35166</v>
      </c>
      <c r="J57" s="1">
        <f t="shared" si="14"/>
        <v>1223</v>
      </c>
      <c r="K57" s="1">
        <f t="shared" si="14"/>
        <v>154</v>
      </c>
      <c r="L57" s="1">
        <f t="shared" si="14"/>
        <v>88</v>
      </c>
      <c r="M57" s="1">
        <f t="shared" si="14"/>
        <v>93</v>
      </c>
      <c r="N57" s="1">
        <f t="shared" si="14"/>
        <v>-1</v>
      </c>
      <c r="O57" s="1">
        <f t="shared" si="14"/>
        <v>-6</v>
      </c>
      <c r="P57" s="1">
        <f t="shared" si="14"/>
        <v>34</v>
      </c>
      <c r="Q57" s="1">
        <f t="shared" si="14"/>
        <v>90</v>
      </c>
      <c r="R57" s="1">
        <f t="shared" si="15"/>
        <v>173</v>
      </c>
      <c r="S57" s="1">
        <f t="shared" si="16"/>
        <v>279</v>
      </c>
      <c r="T57" s="1">
        <f t="shared" si="16"/>
        <v>46</v>
      </c>
      <c r="U57" s="1">
        <f t="shared" si="16"/>
        <v>78</v>
      </c>
      <c r="V57" s="1">
        <f t="shared" si="16"/>
        <v>85</v>
      </c>
      <c r="W57" s="1">
        <f t="shared" si="16"/>
        <v>2</v>
      </c>
      <c r="X57" s="1">
        <f t="shared" si="16"/>
        <v>0</v>
      </c>
      <c r="Y57" s="1">
        <f t="shared" si="16"/>
        <v>10</v>
      </c>
      <c r="Z57" s="1">
        <f t="shared" si="17"/>
        <v>4546</v>
      </c>
      <c r="AA57" s="1">
        <f t="shared" si="18"/>
        <v>-3</v>
      </c>
      <c r="AB57" s="1">
        <f t="shared" si="19"/>
        <v>4826</v>
      </c>
      <c r="AC57" s="1">
        <f t="shared" si="19"/>
        <v>-6</v>
      </c>
      <c r="AD57" s="1">
        <f t="shared" si="19"/>
        <v>-7</v>
      </c>
      <c r="AE57" s="1">
        <f t="shared" si="20"/>
        <v>49</v>
      </c>
      <c r="AG57" s="1">
        <f t="shared" si="21"/>
        <v>77501</v>
      </c>
    </row>
    <row r="58" spans="1:35" x14ac:dyDescent="0.55000000000000004">
      <c r="A58" s="9">
        <v>1884</v>
      </c>
      <c r="B58" s="1"/>
      <c r="H58" s="1">
        <f t="shared" si="12"/>
        <v>32918</v>
      </c>
      <c r="I58" s="1">
        <f t="shared" si="13"/>
        <v>37989</v>
      </c>
      <c r="J58" s="1">
        <f t="shared" si="14"/>
        <v>281</v>
      </c>
      <c r="K58" s="1">
        <f t="shared" si="14"/>
        <v>-371</v>
      </c>
      <c r="L58" s="1">
        <f t="shared" si="14"/>
        <v>59</v>
      </c>
      <c r="M58" s="1">
        <f t="shared" si="14"/>
        <v>29</v>
      </c>
      <c r="N58" s="1">
        <f t="shared" si="14"/>
        <v>45</v>
      </c>
      <c r="O58" s="1">
        <f t="shared" si="14"/>
        <v>12</v>
      </c>
      <c r="P58" s="1">
        <f t="shared" si="14"/>
        <v>102</v>
      </c>
      <c r="Q58" s="1">
        <f t="shared" si="14"/>
        <v>83</v>
      </c>
      <c r="R58" s="1">
        <f t="shared" si="15"/>
        <v>2443</v>
      </c>
      <c r="S58" s="1">
        <f t="shared" si="16"/>
        <v>298</v>
      </c>
      <c r="T58" s="1">
        <f t="shared" si="16"/>
        <v>67</v>
      </c>
      <c r="U58" s="1">
        <f t="shared" si="16"/>
        <v>-83</v>
      </c>
      <c r="V58" s="1">
        <f t="shared" si="16"/>
        <v>17</v>
      </c>
      <c r="W58" s="1">
        <f t="shared" si="16"/>
        <v>-24</v>
      </c>
      <c r="X58" s="1">
        <f t="shared" si="16"/>
        <v>9</v>
      </c>
      <c r="Y58" s="1">
        <f t="shared" si="16"/>
        <v>26</v>
      </c>
      <c r="Z58" s="1">
        <f t="shared" si="17"/>
        <v>6357</v>
      </c>
      <c r="AA58" s="1">
        <f t="shared" si="18"/>
        <v>-8</v>
      </c>
      <c r="AB58" s="1">
        <f t="shared" si="19"/>
        <v>2773</v>
      </c>
      <c r="AC58" s="1">
        <f t="shared" si="19"/>
        <v>-7</v>
      </c>
      <c r="AD58" s="1">
        <f t="shared" si="19"/>
        <v>-85</v>
      </c>
      <c r="AE58" s="1">
        <f t="shared" si="20"/>
        <v>105</v>
      </c>
      <c r="AG58" s="1">
        <f t="shared" si="21"/>
        <v>83035</v>
      </c>
    </row>
    <row r="59" spans="1:35" x14ac:dyDescent="0.55000000000000004">
      <c r="A59" s="9">
        <v>1885</v>
      </c>
      <c r="B59" s="1"/>
      <c r="H59" s="1">
        <f t="shared" si="12"/>
        <v>65433</v>
      </c>
      <c r="I59" s="1">
        <f t="shared" si="13"/>
        <v>44759</v>
      </c>
      <c r="J59" s="1">
        <f t="shared" si="14"/>
        <v>2181</v>
      </c>
      <c r="K59" s="1">
        <f t="shared" si="14"/>
        <v>537</v>
      </c>
      <c r="L59" s="1">
        <f t="shared" si="14"/>
        <v>145</v>
      </c>
      <c r="M59" s="1">
        <f t="shared" si="14"/>
        <v>218</v>
      </c>
      <c r="N59" s="1">
        <f t="shared" si="14"/>
        <v>63</v>
      </c>
      <c r="O59" s="1">
        <f t="shared" si="14"/>
        <v>-43</v>
      </c>
      <c r="P59" s="1">
        <f t="shared" si="14"/>
        <v>-121</v>
      </c>
      <c r="Q59" s="1">
        <f t="shared" si="14"/>
        <v>-90</v>
      </c>
      <c r="R59" s="1">
        <f t="shared" si="15"/>
        <v>453</v>
      </c>
      <c r="S59" s="1">
        <f t="shared" si="16"/>
        <v>39</v>
      </c>
      <c r="T59" s="1">
        <f t="shared" si="16"/>
        <v>17</v>
      </c>
      <c r="U59" s="1">
        <f t="shared" si="16"/>
        <v>358</v>
      </c>
      <c r="V59" s="1">
        <f t="shared" si="16"/>
        <v>13</v>
      </c>
      <c r="W59" s="1">
        <f t="shared" si="16"/>
        <v>-19</v>
      </c>
      <c r="X59" s="1">
        <f t="shared" si="16"/>
        <v>-3</v>
      </c>
      <c r="Y59" s="1">
        <f t="shared" si="16"/>
        <v>31</v>
      </c>
      <c r="Z59" s="1">
        <f t="shared" si="17"/>
        <v>4602</v>
      </c>
      <c r="AA59" s="1">
        <f t="shared" si="18"/>
        <v>-20</v>
      </c>
      <c r="AB59" s="1">
        <f t="shared" si="19"/>
        <v>3934</v>
      </c>
      <c r="AC59" s="1">
        <f t="shared" si="19"/>
        <v>4</v>
      </c>
      <c r="AD59" s="1">
        <f t="shared" si="19"/>
        <v>-34</v>
      </c>
      <c r="AE59" s="1">
        <f t="shared" si="20"/>
        <v>64</v>
      </c>
      <c r="AG59" s="1">
        <f t="shared" si="21"/>
        <v>122521</v>
      </c>
    </row>
    <row r="60" spans="1:35" x14ac:dyDescent="0.55000000000000004">
      <c r="A60" s="9">
        <v>1886</v>
      </c>
      <c r="B60" s="1"/>
      <c r="H60" s="1">
        <f t="shared" si="12"/>
        <v>55165</v>
      </c>
      <c r="I60" s="1">
        <f t="shared" si="13"/>
        <v>40607</v>
      </c>
      <c r="J60" s="1">
        <f t="shared" si="14"/>
        <v>285</v>
      </c>
      <c r="K60" s="1">
        <f t="shared" si="14"/>
        <v>229</v>
      </c>
      <c r="L60" s="1">
        <f t="shared" si="14"/>
        <v>414</v>
      </c>
      <c r="M60" s="1">
        <f t="shared" si="14"/>
        <v>223</v>
      </c>
      <c r="N60" s="1">
        <f t="shared" si="14"/>
        <v>-93</v>
      </c>
      <c r="O60" s="1">
        <f t="shared" si="14"/>
        <v>11</v>
      </c>
      <c r="P60" s="1">
        <f t="shared" si="14"/>
        <v>317</v>
      </c>
      <c r="Q60" s="1">
        <f t="shared" si="14"/>
        <v>-8</v>
      </c>
      <c r="R60" s="1">
        <f t="shared" si="15"/>
        <v>646</v>
      </c>
      <c r="S60" s="1">
        <f t="shared" si="16"/>
        <v>879</v>
      </c>
      <c r="T60" s="1">
        <f t="shared" si="16"/>
        <v>43</v>
      </c>
      <c r="U60" s="1">
        <f t="shared" si="16"/>
        <v>150</v>
      </c>
      <c r="V60" s="1">
        <f t="shared" si="16"/>
        <v>44</v>
      </c>
      <c r="W60" s="1">
        <f t="shared" si="16"/>
        <v>17</v>
      </c>
      <c r="X60" s="1">
        <f t="shared" si="16"/>
        <v>-6</v>
      </c>
      <c r="Y60" s="1">
        <f t="shared" si="16"/>
        <v>4</v>
      </c>
      <c r="Z60" s="1">
        <f t="shared" si="17"/>
        <v>14035</v>
      </c>
      <c r="AA60" s="1">
        <f t="shared" si="18"/>
        <v>-24</v>
      </c>
      <c r="AB60" s="1">
        <f t="shared" si="19"/>
        <v>3094</v>
      </c>
      <c r="AC60" s="1">
        <f t="shared" si="19"/>
        <v>-8</v>
      </c>
      <c r="AD60" s="1">
        <f t="shared" si="19"/>
        <v>17</v>
      </c>
      <c r="AE60" s="1">
        <f t="shared" si="20"/>
        <v>-309</v>
      </c>
      <c r="AG60" s="1">
        <f t="shared" si="21"/>
        <v>115732</v>
      </c>
    </row>
    <row r="61" spans="1:35" x14ac:dyDescent="0.55000000000000004">
      <c r="A61" s="9">
        <v>1887</v>
      </c>
      <c r="B61" s="1"/>
      <c r="H61" s="1">
        <f t="shared" si="12"/>
        <v>40077</v>
      </c>
      <c r="I61" s="1">
        <f t="shared" si="13"/>
        <v>17654</v>
      </c>
      <c r="J61" s="1">
        <f t="shared" si="14"/>
        <v>-898</v>
      </c>
      <c r="K61" s="1">
        <f t="shared" si="14"/>
        <v>-429</v>
      </c>
      <c r="L61" s="1">
        <f t="shared" si="14"/>
        <v>-76</v>
      </c>
      <c r="M61" s="1">
        <f t="shared" si="14"/>
        <v>-294</v>
      </c>
      <c r="N61" s="1">
        <f t="shared" si="14"/>
        <v>-121</v>
      </c>
      <c r="O61" s="1">
        <f t="shared" si="14"/>
        <v>-27</v>
      </c>
      <c r="P61" s="1">
        <f t="shared" si="14"/>
        <v>93</v>
      </c>
      <c r="Q61" s="1">
        <f t="shared" si="14"/>
        <v>-6</v>
      </c>
      <c r="R61" s="1">
        <f t="shared" si="15"/>
        <v>125</v>
      </c>
      <c r="S61" s="1">
        <f t="shared" si="16"/>
        <v>312</v>
      </c>
      <c r="T61" s="1">
        <f t="shared" si="16"/>
        <v>-20</v>
      </c>
      <c r="U61" s="1">
        <f t="shared" si="16"/>
        <v>-37</v>
      </c>
      <c r="V61" s="1">
        <f t="shared" si="16"/>
        <v>13</v>
      </c>
      <c r="W61" s="1">
        <f t="shared" si="16"/>
        <v>-5</v>
      </c>
      <c r="X61" s="1">
        <f t="shared" si="16"/>
        <v>-17</v>
      </c>
      <c r="Y61" s="1">
        <f t="shared" si="16"/>
        <v>22</v>
      </c>
      <c r="Z61" s="1">
        <f t="shared" si="17"/>
        <v>8123</v>
      </c>
      <c r="AA61" s="1">
        <f t="shared" si="18"/>
        <v>-99</v>
      </c>
      <c r="AB61" s="1">
        <f t="shared" si="19"/>
        <v>2183</v>
      </c>
      <c r="AC61" s="1">
        <f t="shared" si="19"/>
        <v>-5</v>
      </c>
      <c r="AD61" s="1">
        <f t="shared" si="19"/>
        <v>-38</v>
      </c>
      <c r="AE61" s="1">
        <f t="shared" si="20"/>
        <v>-215</v>
      </c>
      <c r="AG61" s="1">
        <f t="shared" si="21"/>
        <v>66315</v>
      </c>
    </row>
    <row r="62" spans="1:35" x14ac:dyDescent="0.55000000000000004">
      <c r="A62" s="9">
        <v>1888</v>
      </c>
      <c r="B62" s="1"/>
      <c r="H62" s="1">
        <f t="shared" si="12"/>
        <v>68160</v>
      </c>
      <c r="I62" s="1">
        <f t="shared" si="13"/>
        <v>15619</v>
      </c>
      <c r="J62" s="1">
        <f t="shared" si="14"/>
        <v>-112</v>
      </c>
      <c r="K62" s="1">
        <f t="shared" si="14"/>
        <v>243</v>
      </c>
      <c r="L62" s="1">
        <f t="shared" si="14"/>
        <v>-75</v>
      </c>
      <c r="M62" s="1">
        <f t="shared" si="14"/>
        <v>5</v>
      </c>
      <c r="N62" s="1">
        <f t="shared" si="14"/>
        <v>74</v>
      </c>
      <c r="O62" s="1">
        <f t="shared" si="14"/>
        <v>8</v>
      </c>
      <c r="P62" s="1">
        <f t="shared" si="14"/>
        <v>174</v>
      </c>
      <c r="Q62" s="1">
        <f t="shared" si="14"/>
        <v>79</v>
      </c>
      <c r="R62" s="1">
        <f t="shared" si="15"/>
        <v>16</v>
      </c>
      <c r="S62" s="1">
        <f t="shared" si="16"/>
        <v>661</v>
      </c>
      <c r="T62" s="1">
        <f t="shared" si="16"/>
        <v>44</v>
      </c>
      <c r="U62" s="1">
        <f t="shared" si="16"/>
        <v>30</v>
      </c>
      <c r="V62" s="1">
        <f t="shared" si="16"/>
        <v>11</v>
      </c>
      <c r="W62" s="1">
        <f t="shared" si="16"/>
        <v>-6</v>
      </c>
      <c r="X62" s="1">
        <f t="shared" si="16"/>
        <v>-12</v>
      </c>
      <c r="Y62" s="1">
        <f t="shared" si="16"/>
        <v>-9</v>
      </c>
      <c r="Z62" s="1">
        <f t="shared" si="17"/>
        <v>6129</v>
      </c>
      <c r="AA62" s="1">
        <f t="shared" si="18"/>
        <v>-34</v>
      </c>
      <c r="AB62" s="1">
        <f t="shared" si="19"/>
        <v>5927</v>
      </c>
      <c r="AC62" s="1">
        <f t="shared" si="19"/>
        <v>-3</v>
      </c>
      <c r="AD62" s="1">
        <f t="shared" si="19"/>
        <v>-71</v>
      </c>
      <c r="AE62" s="1">
        <f t="shared" si="20"/>
        <v>42</v>
      </c>
      <c r="AG62" s="1">
        <f t="shared" si="21"/>
        <v>96900</v>
      </c>
    </row>
    <row r="63" spans="1:35" x14ac:dyDescent="0.55000000000000004">
      <c r="A63" s="9">
        <v>1889</v>
      </c>
      <c r="B63" s="1"/>
      <c r="H63" s="1">
        <f t="shared" si="12"/>
        <v>17395</v>
      </c>
      <c r="I63" s="1">
        <f t="shared" si="13"/>
        <v>16643</v>
      </c>
      <c r="J63" s="1">
        <f t="shared" si="14"/>
        <v>400</v>
      </c>
      <c r="K63" s="1">
        <f t="shared" si="14"/>
        <v>1075</v>
      </c>
      <c r="L63" s="1">
        <f t="shared" si="14"/>
        <v>920</v>
      </c>
      <c r="M63" s="1">
        <f t="shared" si="14"/>
        <v>252</v>
      </c>
      <c r="N63" s="1">
        <f t="shared" si="14"/>
        <v>-52</v>
      </c>
      <c r="O63" s="1">
        <f t="shared" si="14"/>
        <v>30</v>
      </c>
      <c r="P63" s="1">
        <f t="shared" si="14"/>
        <v>-25</v>
      </c>
      <c r="Q63" s="1">
        <f t="shared" si="14"/>
        <v>4</v>
      </c>
      <c r="R63" s="1">
        <f t="shared" si="15"/>
        <v>335</v>
      </c>
      <c r="S63" s="1">
        <f t="shared" si="16"/>
        <v>296</v>
      </c>
      <c r="T63" s="1">
        <f t="shared" si="16"/>
        <v>-9</v>
      </c>
      <c r="U63" s="1">
        <f t="shared" si="16"/>
        <v>162</v>
      </c>
      <c r="V63" s="1">
        <f t="shared" si="16"/>
        <v>-11</v>
      </c>
      <c r="W63" s="1">
        <f t="shared" si="16"/>
        <v>36</v>
      </c>
      <c r="X63" s="1">
        <f t="shared" si="16"/>
        <v>12</v>
      </c>
      <c r="Y63" s="1">
        <f t="shared" si="16"/>
        <v>-2</v>
      </c>
      <c r="Z63" s="1">
        <f t="shared" si="17"/>
        <v>8526</v>
      </c>
      <c r="AA63" s="1">
        <f t="shared" si="18"/>
        <v>-100</v>
      </c>
      <c r="AB63" s="1">
        <f t="shared" si="19"/>
        <v>2995</v>
      </c>
      <c r="AC63" s="1">
        <f t="shared" si="19"/>
        <v>5</v>
      </c>
      <c r="AD63" s="1">
        <f t="shared" si="19"/>
        <v>23</v>
      </c>
      <c r="AE63" s="1">
        <f t="shared" si="20"/>
        <v>-19</v>
      </c>
      <c r="AG63" s="1">
        <f t="shared" si="21"/>
        <v>48891</v>
      </c>
    </row>
    <row r="64" spans="1:35" x14ac:dyDescent="0.55000000000000004">
      <c r="A64" s="9">
        <v>1890</v>
      </c>
      <c r="B64" s="1"/>
      <c r="H64" s="1">
        <f t="shared" si="12"/>
        <v>32800</v>
      </c>
      <c r="I64" s="1">
        <f t="shared" si="13"/>
        <v>15833</v>
      </c>
      <c r="J64" s="1">
        <f t="shared" si="14"/>
        <v>1581</v>
      </c>
      <c r="K64" s="1">
        <f t="shared" si="14"/>
        <v>868</v>
      </c>
      <c r="L64" s="1">
        <f t="shared" si="14"/>
        <v>290</v>
      </c>
      <c r="M64" s="1">
        <f t="shared" si="14"/>
        <v>446</v>
      </c>
      <c r="N64" s="1">
        <f t="shared" si="14"/>
        <v>113</v>
      </c>
      <c r="O64" s="1">
        <f t="shared" si="14"/>
        <v>12</v>
      </c>
      <c r="P64" s="1">
        <f t="shared" si="14"/>
        <v>1378</v>
      </c>
      <c r="Q64" s="1">
        <f t="shared" si="14"/>
        <v>9</v>
      </c>
      <c r="R64" s="1">
        <f t="shared" si="15"/>
        <v>612</v>
      </c>
      <c r="S64" s="1">
        <f t="shared" si="16"/>
        <v>426</v>
      </c>
      <c r="T64" s="1">
        <f t="shared" si="16"/>
        <v>21</v>
      </c>
      <c r="U64" s="1">
        <f t="shared" si="16"/>
        <v>291</v>
      </c>
      <c r="V64" s="1">
        <f t="shared" si="16"/>
        <v>-34</v>
      </c>
      <c r="W64" s="1">
        <f t="shared" si="16"/>
        <v>25</v>
      </c>
      <c r="X64" s="1">
        <f t="shared" si="16"/>
        <v>-24</v>
      </c>
      <c r="Y64" s="1">
        <f t="shared" si="16"/>
        <v>41</v>
      </c>
      <c r="Z64" s="1">
        <f t="shared" si="17"/>
        <v>12580</v>
      </c>
      <c r="AA64" s="1">
        <f t="shared" si="18"/>
        <v>-89</v>
      </c>
      <c r="AB64" s="1">
        <f t="shared" si="19"/>
        <v>3372</v>
      </c>
      <c r="AC64" s="1">
        <f t="shared" si="19"/>
        <v>-2</v>
      </c>
      <c r="AD64" s="1">
        <f t="shared" si="19"/>
        <v>-295</v>
      </c>
      <c r="AE64" s="1">
        <f t="shared" si="20"/>
        <v>-706</v>
      </c>
      <c r="AG64" s="1">
        <f t="shared" si="21"/>
        <v>69548</v>
      </c>
    </row>
    <row r="65" spans="1:33" x14ac:dyDescent="0.55000000000000004">
      <c r="A65" s="9">
        <v>1891</v>
      </c>
      <c r="B65" s="1"/>
      <c r="H65" s="1">
        <f t="shared" si="12"/>
        <v>-11339</v>
      </c>
      <c r="I65" s="1">
        <f t="shared" si="13"/>
        <v>19882</v>
      </c>
      <c r="J65" s="1">
        <f t="shared" ref="J65:Q74" si="22">J12</f>
        <v>-526</v>
      </c>
      <c r="K65" s="1">
        <f t="shared" si="22"/>
        <v>851</v>
      </c>
      <c r="L65" s="1">
        <f t="shared" si="22"/>
        <v>581</v>
      </c>
      <c r="M65" s="1">
        <f t="shared" si="22"/>
        <v>39</v>
      </c>
      <c r="N65" s="1">
        <f t="shared" si="22"/>
        <v>-98</v>
      </c>
      <c r="O65" s="1">
        <f t="shared" si="22"/>
        <v>-2</v>
      </c>
      <c r="P65" s="1">
        <f t="shared" si="22"/>
        <v>879</v>
      </c>
      <c r="Q65" s="1">
        <f t="shared" si="22"/>
        <v>100</v>
      </c>
      <c r="R65" s="1">
        <f t="shared" si="15"/>
        <v>-275</v>
      </c>
      <c r="S65" s="1">
        <f t="shared" ref="S65:Y70" si="23">S12</f>
        <v>201</v>
      </c>
      <c r="T65" s="1">
        <f t="shared" si="23"/>
        <v>85</v>
      </c>
      <c r="U65" s="1">
        <f t="shared" si="23"/>
        <v>240</v>
      </c>
      <c r="V65" s="1">
        <f t="shared" si="23"/>
        <v>31</v>
      </c>
      <c r="W65" s="1">
        <f t="shared" si="23"/>
        <v>-2</v>
      </c>
      <c r="X65" s="1">
        <f t="shared" si="23"/>
        <v>0</v>
      </c>
      <c r="Y65" s="1">
        <f t="shared" si="23"/>
        <v>4</v>
      </c>
      <c r="Z65" s="1">
        <f t="shared" si="17"/>
        <v>7662</v>
      </c>
      <c r="AA65" s="1">
        <f t="shared" si="18"/>
        <v>-122</v>
      </c>
      <c r="AB65" s="1">
        <f t="shared" si="19"/>
        <v>3159</v>
      </c>
      <c r="AC65" s="1">
        <f t="shared" si="19"/>
        <v>3</v>
      </c>
      <c r="AD65" s="1">
        <f t="shared" si="19"/>
        <v>-343</v>
      </c>
      <c r="AE65" s="1">
        <f t="shared" si="20"/>
        <v>-470</v>
      </c>
      <c r="AG65" s="1">
        <f t="shared" si="21"/>
        <v>20540</v>
      </c>
    </row>
    <row r="66" spans="1:33" x14ac:dyDescent="0.55000000000000004">
      <c r="A66" s="9">
        <v>1892</v>
      </c>
      <c r="B66" s="1"/>
      <c r="H66" s="1">
        <f t="shared" si="12"/>
        <v>3616</v>
      </c>
      <c r="I66" s="1">
        <f t="shared" si="13"/>
        <v>9892</v>
      </c>
      <c r="J66" s="1">
        <f t="shared" si="22"/>
        <v>-999</v>
      </c>
      <c r="K66" s="1">
        <f t="shared" si="22"/>
        <v>416</v>
      </c>
      <c r="L66" s="1">
        <f t="shared" si="22"/>
        <v>224</v>
      </c>
      <c r="M66" s="1">
        <f t="shared" si="22"/>
        <v>-391</v>
      </c>
      <c r="N66" s="1">
        <f t="shared" si="22"/>
        <v>-9</v>
      </c>
      <c r="O66" s="1">
        <f t="shared" si="22"/>
        <v>17</v>
      </c>
      <c r="P66" s="1">
        <f t="shared" si="22"/>
        <v>899</v>
      </c>
      <c r="Q66" s="1">
        <f t="shared" si="22"/>
        <v>101</v>
      </c>
      <c r="R66" s="1">
        <f t="shared" si="15"/>
        <v>-287</v>
      </c>
      <c r="S66" s="1">
        <f t="shared" si="23"/>
        <v>214</v>
      </c>
      <c r="T66" s="1">
        <f t="shared" si="23"/>
        <v>118</v>
      </c>
      <c r="U66" s="1">
        <f t="shared" si="23"/>
        <v>199</v>
      </c>
      <c r="V66" s="1">
        <f t="shared" si="23"/>
        <v>10</v>
      </c>
      <c r="W66" s="1">
        <f t="shared" si="23"/>
        <v>14</v>
      </c>
      <c r="X66" s="1">
        <f t="shared" si="23"/>
        <v>34</v>
      </c>
      <c r="Y66" s="1">
        <f t="shared" si="23"/>
        <v>2</v>
      </c>
      <c r="Z66" s="1">
        <f t="shared" si="17"/>
        <v>16360</v>
      </c>
      <c r="AA66" s="1">
        <f t="shared" si="18"/>
        <v>-201</v>
      </c>
      <c r="AB66" s="1">
        <f t="shared" si="19"/>
        <v>-164</v>
      </c>
      <c r="AC66" s="1">
        <f t="shared" si="19"/>
        <v>5</v>
      </c>
      <c r="AD66" s="1">
        <f t="shared" si="19"/>
        <v>-250</v>
      </c>
      <c r="AE66" s="1">
        <f t="shared" si="20"/>
        <v>-16</v>
      </c>
      <c r="AG66" s="1">
        <f t="shared" si="21"/>
        <v>29804</v>
      </c>
    </row>
    <row r="67" spans="1:33" x14ac:dyDescent="0.55000000000000004">
      <c r="A67" s="9">
        <v>1893</v>
      </c>
      <c r="B67" s="1"/>
      <c r="H67" s="1">
        <f t="shared" si="12"/>
        <v>26811</v>
      </c>
      <c r="I67" s="1">
        <f t="shared" si="13"/>
        <v>3749</v>
      </c>
      <c r="J67" s="1">
        <f t="shared" si="22"/>
        <v>-127</v>
      </c>
      <c r="K67" s="1">
        <f t="shared" si="22"/>
        <v>1811</v>
      </c>
      <c r="L67" s="1">
        <f t="shared" si="22"/>
        <v>284</v>
      </c>
      <c r="M67" s="1">
        <f t="shared" si="22"/>
        <v>76</v>
      </c>
      <c r="N67" s="1">
        <f t="shared" si="22"/>
        <v>699</v>
      </c>
      <c r="O67" s="1">
        <f t="shared" si="22"/>
        <v>69</v>
      </c>
      <c r="P67" s="1">
        <f t="shared" si="22"/>
        <v>351</v>
      </c>
      <c r="Q67" s="1">
        <f t="shared" si="22"/>
        <v>178</v>
      </c>
      <c r="R67" s="1">
        <f t="shared" si="15"/>
        <v>69</v>
      </c>
      <c r="S67" s="1">
        <f t="shared" si="23"/>
        <v>4</v>
      </c>
      <c r="T67" s="1">
        <f t="shared" si="23"/>
        <v>-31</v>
      </c>
      <c r="U67" s="1">
        <f t="shared" si="23"/>
        <v>275</v>
      </c>
      <c r="V67" s="1">
        <f t="shared" si="23"/>
        <v>29</v>
      </c>
      <c r="W67" s="1">
        <f t="shared" si="23"/>
        <v>-32</v>
      </c>
      <c r="X67" s="1">
        <f t="shared" si="23"/>
        <v>-3</v>
      </c>
      <c r="Y67" s="1">
        <f t="shared" si="23"/>
        <v>15</v>
      </c>
      <c r="Z67" s="1">
        <f t="shared" si="17"/>
        <v>12664</v>
      </c>
      <c r="AA67" s="1">
        <f t="shared" si="18"/>
        <v>385</v>
      </c>
      <c r="AB67" s="1">
        <f t="shared" si="19"/>
        <v>5813</v>
      </c>
      <c r="AC67" s="1">
        <f t="shared" si="19"/>
        <v>13</v>
      </c>
      <c r="AD67" s="1">
        <f t="shared" si="19"/>
        <v>-393</v>
      </c>
      <c r="AE67" s="1">
        <f t="shared" si="20"/>
        <v>44</v>
      </c>
      <c r="AG67" s="1">
        <f t="shared" si="21"/>
        <v>52753</v>
      </c>
    </row>
    <row r="68" spans="1:33" x14ac:dyDescent="0.55000000000000004">
      <c r="A68" s="9">
        <v>1894</v>
      </c>
      <c r="B68" s="1"/>
      <c r="H68" s="1">
        <f t="shared" si="12"/>
        <v>5875</v>
      </c>
      <c r="I68" s="1">
        <f t="shared" si="13"/>
        <v>5078</v>
      </c>
      <c r="J68" s="1">
        <f t="shared" si="22"/>
        <v>-1092</v>
      </c>
      <c r="K68" s="1">
        <f t="shared" si="22"/>
        <v>871</v>
      </c>
      <c r="L68" s="1">
        <f t="shared" si="22"/>
        <v>430</v>
      </c>
      <c r="M68" s="1">
        <f t="shared" si="22"/>
        <v>-10</v>
      </c>
      <c r="N68" s="1">
        <f t="shared" si="22"/>
        <v>-314</v>
      </c>
      <c r="O68" s="1">
        <f t="shared" si="22"/>
        <v>40</v>
      </c>
      <c r="P68" s="1">
        <f t="shared" si="22"/>
        <v>1153</v>
      </c>
      <c r="Q68" s="1">
        <f t="shared" si="22"/>
        <v>103</v>
      </c>
      <c r="R68" s="1">
        <f t="shared" si="15"/>
        <v>385</v>
      </c>
      <c r="S68" s="1">
        <f t="shared" si="23"/>
        <v>398</v>
      </c>
      <c r="T68" s="1">
        <f t="shared" si="23"/>
        <v>99</v>
      </c>
      <c r="U68" s="1">
        <f t="shared" si="23"/>
        <v>390</v>
      </c>
      <c r="V68" s="1">
        <f t="shared" si="23"/>
        <v>-4</v>
      </c>
      <c r="W68" s="1">
        <f t="shared" si="23"/>
        <v>52</v>
      </c>
      <c r="X68" s="1">
        <f t="shared" si="23"/>
        <v>25</v>
      </c>
      <c r="Y68" s="1">
        <f t="shared" si="23"/>
        <v>16</v>
      </c>
      <c r="Z68" s="1">
        <f t="shared" si="17"/>
        <v>14190</v>
      </c>
      <c r="AA68" s="1">
        <f t="shared" si="18"/>
        <v>537</v>
      </c>
      <c r="AB68" s="1">
        <f t="shared" si="19"/>
        <v>2051</v>
      </c>
      <c r="AC68" s="1">
        <f t="shared" si="19"/>
        <v>6</v>
      </c>
      <c r="AD68" s="1">
        <f t="shared" si="19"/>
        <v>-143</v>
      </c>
      <c r="AE68" s="1">
        <f t="shared" si="20"/>
        <v>4552</v>
      </c>
      <c r="AG68" s="1">
        <f t="shared" si="21"/>
        <v>34688</v>
      </c>
    </row>
    <row r="69" spans="1:33" x14ac:dyDescent="0.55000000000000004">
      <c r="A69" s="9">
        <v>1895</v>
      </c>
      <c r="B69" s="1"/>
      <c r="H69" s="1">
        <f t="shared" si="12"/>
        <v>-85110</v>
      </c>
      <c r="I69" s="1">
        <f t="shared" si="13"/>
        <v>15846</v>
      </c>
      <c r="J69" s="1">
        <f t="shared" si="22"/>
        <v>-144</v>
      </c>
      <c r="K69" s="1">
        <f t="shared" si="22"/>
        <v>1033</v>
      </c>
      <c r="L69" s="1">
        <f t="shared" si="22"/>
        <v>1080</v>
      </c>
      <c r="M69" s="1">
        <f t="shared" si="22"/>
        <v>347</v>
      </c>
      <c r="N69" s="1">
        <f t="shared" si="22"/>
        <v>25</v>
      </c>
      <c r="O69" s="1">
        <f t="shared" si="22"/>
        <v>-57</v>
      </c>
      <c r="P69" s="1">
        <f t="shared" si="22"/>
        <v>597</v>
      </c>
      <c r="Q69" s="1">
        <f t="shared" si="22"/>
        <v>8</v>
      </c>
      <c r="R69" s="1">
        <f t="shared" si="15"/>
        <v>356</v>
      </c>
      <c r="S69" s="1">
        <f t="shared" si="23"/>
        <v>107</v>
      </c>
      <c r="T69" s="1">
        <f t="shared" si="23"/>
        <v>36</v>
      </c>
      <c r="U69" s="1">
        <f t="shared" si="23"/>
        <v>204</v>
      </c>
      <c r="V69" s="1">
        <f t="shared" si="23"/>
        <v>15</v>
      </c>
      <c r="W69" s="1">
        <f t="shared" si="23"/>
        <v>22</v>
      </c>
      <c r="X69" s="1">
        <f t="shared" si="23"/>
        <v>-4</v>
      </c>
      <c r="Y69" s="1">
        <f t="shared" si="23"/>
        <v>22</v>
      </c>
      <c r="Z69" s="1">
        <f t="shared" si="17"/>
        <v>16096</v>
      </c>
      <c r="AA69" s="1">
        <f t="shared" si="18"/>
        <v>59</v>
      </c>
      <c r="AB69" s="1">
        <f t="shared" si="19"/>
        <v>4906</v>
      </c>
      <c r="AC69" s="1">
        <f t="shared" si="19"/>
        <v>12</v>
      </c>
      <c r="AD69" s="1">
        <f t="shared" si="19"/>
        <v>-228</v>
      </c>
      <c r="AE69" s="1">
        <f t="shared" si="20"/>
        <v>4320</v>
      </c>
      <c r="AG69" s="1">
        <f t="shared" si="21"/>
        <v>-40452</v>
      </c>
    </row>
    <row r="70" spans="1:33" x14ac:dyDescent="0.55000000000000004">
      <c r="A70" s="9">
        <v>1896</v>
      </c>
      <c r="B70" s="1"/>
      <c r="H70" s="1">
        <f t="shared" si="12"/>
        <v>23460</v>
      </c>
      <c r="I70" s="1">
        <f t="shared" si="13"/>
        <v>3179</v>
      </c>
      <c r="J70" s="1">
        <f t="shared" si="22"/>
        <v>-978</v>
      </c>
      <c r="K70" s="1">
        <f t="shared" si="22"/>
        <v>-902</v>
      </c>
      <c r="L70" s="1">
        <f t="shared" si="22"/>
        <v>251</v>
      </c>
      <c r="M70" s="1">
        <f t="shared" si="22"/>
        <v>426</v>
      </c>
      <c r="N70" s="1">
        <f t="shared" si="22"/>
        <v>1415</v>
      </c>
      <c r="O70" s="1">
        <f t="shared" si="22"/>
        <v>-110</v>
      </c>
      <c r="P70" s="1">
        <f t="shared" si="22"/>
        <v>354</v>
      </c>
      <c r="Q70" s="1">
        <f t="shared" si="22"/>
        <v>174</v>
      </c>
      <c r="R70" s="1">
        <f t="shared" si="15"/>
        <v>289</v>
      </c>
      <c r="S70" s="1">
        <f t="shared" si="23"/>
        <v>331</v>
      </c>
      <c r="T70" s="1">
        <f t="shared" si="23"/>
        <v>51</v>
      </c>
      <c r="U70" s="1">
        <f t="shared" si="23"/>
        <v>526</v>
      </c>
      <c r="V70" s="1">
        <f t="shared" si="23"/>
        <v>129</v>
      </c>
      <c r="W70" s="1">
        <f t="shared" si="23"/>
        <v>62</v>
      </c>
      <c r="X70" s="1">
        <f t="shared" si="23"/>
        <v>-44</v>
      </c>
      <c r="Y70" s="1">
        <f t="shared" si="23"/>
        <v>25</v>
      </c>
      <c r="Z70" s="1">
        <f t="shared" si="17"/>
        <v>12095</v>
      </c>
      <c r="AA70" s="1">
        <f t="shared" si="18"/>
        <v>1431</v>
      </c>
      <c r="AB70" s="1">
        <f t="shared" si="19"/>
        <v>4771</v>
      </c>
      <c r="AC70" s="1">
        <f t="shared" si="19"/>
        <v>13</v>
      </c>
      <c r="AD70" s="1">
        <f t="shared" si="19"/>
        <v>-2081</v>
      </c>
      <c r="AE70" s="1">
        <f t="shared" si="20"/>
        <v>2834</v>
      </c>
      <c r="AG70" s="1">
        <f t="shared" si="21"/>
        <v>47701</v>
      </c>
    </row>
    <row r="71" spans="1:33" x14ac:dyDescent="0.55000000000000004">
      <c r="A71" s="9">
        <v>1897</v>
      </c>
      <c r="B71" s="1"/>
      <c r="H71" s="1">
        <f t="shared" si="12"/>
        <v>26567</v>
      </c>
      <c r="I71" s="1">
        <f t="shared" si="13"/>
        <v>9153</v>
      </c>
      <c r="J71" s="1">
        <f t="shared" si="22"/>
        <v>2018</v>
      </c>
      <c r="K71" s="1">
        <f t="shared" si="22"/>
        <v>1013</v>
      </c>
      <c r="L71" s="1">
        <f t="shared" si="22"/>
        <v>515</v>
      </c>
      <c r="M71" s="1">
        <f t="shared" si="22"/>
        <v>524</v>
      </c>
      <c r="N71" s="1">
        <f t="shared" si="22"/>
        <v>1418</v>
      </c>
      <c r="O71" s="1">
        <f t="shared" si="22"/>
        <v>90</v>
      </c>
      <c r="P71" s="1">
        <f t="shared" si="22"/>
        <v>484</v>
      </c>
      <c r="Q71" s="1">
        <f t="shared" si="22"/>
        <v>-4</v>
      </c>
      <c r="R71" s="1">
        <f t="shared" si="15"/>
        <v>455</v>
      </c>
      <c r="S71" s="1">
        <f t="shared" ref="S71:AD86" si="24">S18</f>
        <v>308</v>
      </c>
      <c r="T71" s="1">
        <f t="shared" si="24"/>
        <v>290</v>
      </c>
      <c r="U71" s="1">
        <f t="shared" si="24"/>
        <v>414</v>
      </c>
      <c r="V71" s="1">
        <f t="shared" si="24"/>
        <v>75</v>
      </c>
      <c r="W71" s="1">
        <f t="shared" si="24"/>
        <v>117</v>
      </c>
      <c r="X71" s="1">
        <f t="shared" si="24"/>
        <v>40</v>
      </c>
      <c r="Y71" s="1">
        <f t="shared" si="24"/>
        <v>-40</v>
      </c>
      <c r="Z71" s="1">
        <f t="shared" si="17"/>
        <v>26624</v>
      </c>
      <c r="AA71" s="1">
        <f t="shared" si="18"/>
        <v>1039</v>
      </c>
      <c r="AB71" s="1">
        <f t="shared" si="24"/>
        <v>4740</v>
      </c>
      <c r="AC71" s="1">
        <f t="shared" si="24"/>
        <v>16</v>
      </c>
      <c r="AD71" s="1">
        <f t="shared" si="24"/>
        <v>60</v>
      </c>
      <c r="AE71" s="1">
        <f t="shared" si="20"/>
        <v>3481</v>
      </c>
      <c r="AG71" s="1">
        <f t="shared" si="21"/>
        <v>79397</v>
      </c>
    </row>
    <row r="72" spans="1:33" x14ac:dyDescent="0.55000000000000004">
      <c r="A72" s="9">
        <v>1898</v>
      </c>
      <c r="B72" s="1"/>
      <c r="H72" s="1">
        <f t="shared" si="12"/>
        <v>19680</v>
      </c>
      <c r="I72" s="1">
        <f t="shared" si="13"/>
        <v>14479</v>
      </c>
      <c r="J72" s="1">
        <f t="shared" si="22"/>
        <v>2061</v>
      </c>
      <c r="K72" s="1">
        <f t="shared" si="22"/>
        <v>2034</v>
      </c>
      <c r="L72" s="1">
        <f t="shared" si="22"/>
        <v>415</v>
      </c>
      <c r="M72" s="1">
        <f t="shared" si="22"/>
        <v>383</v>
      </c>
      <c r="N72" s="1">
        <f t="shared" si="22"/>
        <v>1838</v>
      </c>
      <c r="O72" s="1">
        <f t="shared" si="22"/>
        <v>13</v>
      </c>
      <c r="P72" s="1">
        <f t="shared" si="22"/>
        <v>636</v>
      </c>
      <c r="Q72" s="1">
        <f t="shared" si="22"/>
        <v>161</v>
      </c>
      <c r="R72" s="1">
        <f t="shared" si="15"/>
        <v>746</v>
      </c>
      <c r="S72" s="1">
        <f t="shared" si="24"/>
        <v>424</v>
      </c>
      <c r="T72" s="1">
        <f t="shared" si="24"/>
        <v>-171</v>
      </c>
      <c r="U72" s="1">
        <f t="shared" si="24"/>
        <v>582</v>
      </c>
      <c r="V72" s="1">
        <f t="shared" si="24"/>
        <v>223</v>
      </c>
      <c r="W72" s="1">
        <f t="shared" si="24"/>
        <v>189</v>
      </c>
      <c r="X72" s="1">
        <f t="shared" si="24"/>
        <v>-38</v>
      </c>
      <c r="Y72" s="1">
        <f t="shared" si="24"/>
        <v>30</v>
      </c>
      <c r="Z72" s="1">
        <f t="shared" si="17"/>
        <v>26612</v>
      </c>
      <c r="AA72" s="1">
        <f t="shared" si="18"/>
        <v>1050</v>
      </c>
      <c r="AB72" s="1">
        <f t="shared" si="24"/>
        <v>9956</v>
      </c>
      <c r="AC72" s="1">
        <f t="shared" si="24"/>
        <v>64</v>
      </c>
      <c r="AD72" s="1">
        <f t="shared" si="24"/>
        <v>-14</v>
      </c>
      <c r="AE72" s="1">
        <f t="shared" si="20"/>
        <v>2289</v>
      </c>
      <c r="AG72" s="1">
        <f t="shared" si="21"/>
        <v>83642</v>
      </c>
    </row>
    <row r="73" spans="1:33" x14ac:dyDescent="0.55000000000000004">
      <c r="A73" s="9">
        <v>1899</v>
      </c>
      <c r="B73" s="1"/>
      <c r="H73" s="1">
        <f t="shared" si="12"/>
        <v>39526</v>
      </c>
      <c r="I73" s="1">
        <f t="shared" si="13"/>
        <v>8689</v>
      </c>
      <c r="J73" s="1">
        <f t="shared" si="22"/>
        <v>506</v>
      </c>
      <c r="K73" s="1">
        <f t="shared" si="22"/>
        <v>1122</v>
      </c>
      <c r="L73" s="1">
        <f t="shared" si="22"/>
        <v>554</v>
      </c>
      <c r="M73" s="1">
        <f t="shared" si="22"/>
        <v>202</v>
      </c>
      <c r="N73" s="1">
        <f t="shared" si="22"/>
        <v>277</v>
      </c>
      <c r="O73" s="1">
        <f t="shared" si="22"/>
        <v>131</v>
      </c>
      <c r="P73" s="1">
        <f t="shared" si="22"/>
        <v>274</v>
      </c>
      <c r="Q73" s="1">
        <f t="shared" si="22"/>
        <v>183</v>
      </c>
      <c r="R73" s="1">
        <f t="shared" si="15"/>
        <v>410</v>
      </c>
      <c r="S73" s="1">
        <f t="shared" si="24"/>
        <v>18</v>
      </c>
      <c r="T73" s="1">
        <f t="shared" si="24"/>
        <v>159</v>
      </c>
      <c r="U73" s="1">
        <f t="shared" si="24"/>
        <v>695</v>
      </c>
      <c r="V73" s="1">
        <f t="shared" si="24"/>
        <v>62</v>
      </c>
      <c r="W73" s="1">
        <f t="shared" si="24"/>
        <v>-23</v>
      </c>
      <c r="X73" s="1">
        <f t="shared" si="24"/>
        <v>11</v>
      </c>
      <c r="Y73" s="1">
        <f t="shared" si="24"/>
        <v>46</v>
      </c>
      <c r="Z73" s="1">
        <f t="shared" si="17"/>
        <v>31058</v>
      </c>
      <c r="AA73" s="1">
        <f t="shared" si="18"/>
        <v>1474</v>
      </c>
      <c r="AB73" s="1">
        <f t="shared" si="24"/>
        <v>8199</v>
      </c>
      <c r="AC73" s="1">
        <f t="shared" si="24"/>
        <v>-4</v>
      </c>
      <c r="AD73" s="1">
        <f t="shared" si="24"/>
        <v>-148</v>
      </c>
      <c r="AE73" s="1">
        <f t="shared" si="20"/>
        <v>1733</v>
      </c>
      <c r="AG73" s="1">
        <f t="shared" si="21"/>
        <v>95154</v>
      </c>
    </row>
    <row r="74" spans="1:33" x14ac:dyDescent="0.55000000000000004">
      <c r="A74" s="9">
        <v>1900</v>
      </c>
      <c r="B74" s="1"/>
      <c r="H74" s="1">
        <f t="shared" si="12"/>
        <v>28424</v>
      </c>
      <c r="I74" s="1">
        <f t="shared" si="13"/>
        <v>11790</v>
      </c>
      <c r="J74" s="1">
        <f t="shared" si="22"/>
        <v>160</v>
      </c>
      <c r="K74" s="1">
        <f t="shared" si="22"/>
        <v>506</v>
      </c>
      <c r="L74" s="1">
        <f t="shared" si="22"/>
        <v>250</v>
      </c>
      <c r="M74" s="1">
        <f t="shared" si="22"/>
        <v>-268</v>
      </c>
      <c r="N74" s="1">
        <f t="shared" si="22"/>
        <v>598</v>
      </c>
      <c r="O74" s="1">
        <f t="shared" si="22"/>
        <v>-117</v>
      </c>
      <c r="P74" s="1">
        <f t="shared" si="22"/>
        <v>161</v>
      </c>
      <c r="Q74" s="1">
        <f t="shared" si="22"/>
        <v>604</v>
      </c>
      <c r="R74" s="1">
        <f t="shared" si="15"/>
        <v>378</v>
      </c>
      <c r="S74" s="1">
        <f t="shared" si="24"/>
        <v>268</v>
      </c>
      <c r="T74" s="1">
        <f t="shared" si="24"/>
        <v>204</v>
      </c>
      <c r="U74" s="1">
        <f t="shared" si="24"/>
        <v>233</v>
      </c>
      <c r="V74" s="1">
        <f t="shared" si="24"/>
        <v>0</v>
      </c>
      <c r="W74" s="1">
        <f t="shared" si="24"/>
        <v>20</v>
      </c>
      <c r="X74" s="1">
        <f t="shared" si="24"/>
        <v>27</v>
      </c>
      <c r="Y74" s="1">
        <f t="shared" si="24"/>
        <v>34</v>
      </c>
      <c r="Z74" s="1">
        <f t="shared" si="17"/>
        <v>10021</v>
      </c>
      <c r="AA74" s="1">
        <f t="shared" si="18"/>
        <v>1237</v>
      </c>
      <c r="AB74" s="1">
        <f t="shared" si="24"/>
        <v>8448</v>
      </c>
      <c r="AC74" s="1">
        <f t="shared" si="24"/>
        <v>-207</v>
      </c>
      <c r="AD74" s="1">
        <f t="shared" si="24"/>
        <v>-215</v>
      </c>
      <c r="AE74" s="1">
        <f t="shared" si="20"/>
        <v>-4</v>
      </c>
      <c r="AG74" s="1">
        <f t="shared" si="21"/>
        <v>62552</v>
      </c>
    </row>
    <row r="75" spans="1:33" x14ac:dyDescent="0.55000000000000004">
      <c r="A75" s="9">
        <v>1901</v>
      </c>
      <c r="H75" s="1">
        <f t="shared" si="12"/>
        <v>36675</v>
      </c>
      <c r="I75" s="1">
        <f t="shared" si="13"/>
        <v>13699</v>
      </c>
      <c r="J75" s="1">
        <f t="shared" ref="J75:Q84" si="25">J22</f>
        <v>1178</v>
      </c>
      <c r="K75" s="1">
        <f t="shared" si="25"/>
        <v>103</v>
      </c>
      <c r="L75" s="1">
        <f t="shared" si="25"/>
        <v>373</v>
      </c>
      <c r="M75" s="1">
        <f t="shared" si="25"/>
        <v>89</v>
      </c>
      <c r="N75" s="1">
        <f t="shared" si="25"/>
        <v>236</v>
      </c>
      <c r="O75" s="1">
        <f t="shared" si="25"/>
        <v>13</v>
      </c>
      <c r="P75" s="1">
        <f t="shared" si="25"/>
        <v>270</v>
      </c>
      <c r="Q75" s="1">
        <f t="shared" si="25"/>
        <v>978</v>
      </c>
      <c r="R75" s="1">
        <f t="shared" si="15"/>
        <v>495</v>
      </c>
      <c r="S75" s="1">
        <f t="shared" si="24"/>
        <v>284</v>
      </c>
      <c r="T75" s="1">
        <f t="shared" si="24"/>
        <v>183</v>
      </c>
      <c r="U75" s="1">
        <f t="shared" si="24"/>
        <v>322</v>
      </c>
      <c r="V75" s="1">
        <f t="shared" si="24"/>
        <v>-11</v>
      </c>
      <c r="W75" s="1">
        <f t="shared" si="24"/>
        <v>-7</v>
      </c>
      <c r="X75" s="1">
        <f t="shared" si="24"/>
        <v>5</v>
      </c>
      <c r="Y75" s="1">
        <f t="shared" si="24"/>
        <v>32</v>
      </c>
      <c r="Z75" s="1">
        <f t="shared" si="17"/>
        <v>16538</v>
      </c>
      <c r="AA75" s="1">
        <f t="shared" si="18"/>
        <v>23761</v>
      </c>
      <c r="AB75" s="1">
        <f t="shared" si="24"/>
        <v>3584</v>
      </c>
      <c r="AC75" s="1">
        <f t="shared" si="24"/>
        <v>1622</v>
      </c>
      <c r="AD75" s="1">
        <f t="shared" si="24"/>
        <v>-392</v>
      </c>
      <c r="AE75" s="1">
        <f t="shared" si="20"/>
        <v>-1432</v>
      </c>
      <c r="AG75" s="1">
        <f t="shared" si="21"/>
        <v>98598</v>
      </c>
    </row>
    <row r="76" spans="1:33" x14ac:dyDescent="0.55000000000000004">
      <c r="A76" s="9">
        <v>1902</v>
      </c>
      <c r="B76" s="1"/>
      <c r="H76" s="1">
        <f t="shared" si="12"/>
        <v>18122</v>
      </c>
      <c r="I76" s="1">
        <f t="shared" si="13"/>
        <v>15376</v>
      </c>
      <c r="J76" s="1">
        <f t="shared" si="25"/>
        <v>439</v>
      </c>
      <c r="K76" s="1">
        <f t="shared" si="25"/>
        <v>485</v>
      </c>
      <c r="L76" s="1">
        <f t="shared" si="25"/>
        <v>191</v>
      </c>
      <c r="M76" s="1">
        <f t="shared" si="25"/>
        <v>62</v>
      </c>
      <c r="N76" s="1">
        <f t="shared" si="25"/>
        <v>213</v>
      </c>
      <c r="O76" s="1">
        <f t="shared" si="25"/>
        <v>198</v>
      </c>
      <c r="P76" s="1">
        <f t="shared" si="25"/>
        <v>333</v>
      </c>
      <c r="Q76" s="1">
        <f t="shared" si="25"/>
        <v>942</v>
      </c>
      <c r="R76" s="1">
        <f t="shared" si="15"/>
        <v>1228</v>
      </c>
      <c r="S76" s="1">
        <f t="shared" si="24"/>
        <v>367</v>
      </c>
      <c r="T76" s="1">
        <f t="shared" si="24"/>
        <v>166</v>
      </c>
      <c r="U76" s="1">
        <f t="shared" si="24"/>
        <v>198</v>
      </c>
      <c r="V76" s="1">
        <f t="shared" si="24"/>
        <v>-19</v>
      </c>
      <c r="W76" s="1">
        <f t="shared" si="24"/>
        <v>85</v>
      </c>
      <c r="X76" s="1">
        <f t="shared" si="24"/>
        <v>-34</v>
      </c>
      <c r="Y76" s="1">
        <f t="shared" si="24"/>
        <v>-36</v>
      </c>
      <c r="Z76" s="1">
        <f t="shared" si="17"/>
        <v>21988</v>
      </c>
      <c r="AA76" s="1">
        <f t="shared" si="18"/>
        <v>27566</v>
      </c>
      <c r="AB76" s="1">
        <f t="shared" si="24"/>
        <v>7913</v>
      </c>
      <c r="AC76" s="1">
        <f t="shared" si="24"/>
        <v>2264</v>
      </c>
      <c r="AD76" s="1">
        <f t="shared" si="24"/>
        <v>-247</v>
      </c>
      <c r="AE76" s="1">
        <f t="shared" si="20"/>
        <v>-1763</v>
      </c>
      <c r="AG76" s="1">
        <f t="shared" si="21"/>
        <v>96037</v>
      </c>
    </row>
    <row r="77" spans="1:33" x14ac:dyDescent="0.55000000000000004">
      <c r="A77" s="9">
        <v>1903</v>
      </c>
      <c r="H77" s="1">
        <f t="shared" si="12"/>
        <v>24435</v>
      </c>
      <c r="I77" s="1">
        <f t="shared" si="13"/>
        <v>11465</v>
      </c>
      <c r="J77" s="1">
        <f t="shared" si="25"/>
        <v>-8</v>
      </c>
      <c r="K77" s="1">
        <f t="shared" si="25"/>
        <v>651</v>
      </c>
      <c r="L77" s="1">
        <f t="shared" si="25"/>
        <v>355</v>
      </c>
      <c r="M77" s="1">
        <f t="shared" si="25"/>
        <v>118</v>
      </c>
      <c r="N77" s="1">
        <f t="shared" si="25"/>
        <v>84</v>
      </c>
      <c r="O77" s="1">
        <f t="shared" si="25"/>
        <v>194</v>
      </c>
      <c r="P77" s="1">
        <f t="shared" si="25"/>
        <v>375</v>
      </c>
      <c r="Q77" s="1">
        <f t="shared" si="25"/>
        <v>813</v>
      </c>
      <c r="R77" s="1">
        <f t="shared" si="15"/>
        <v>448</v>
      </c>
      <c r="S77" s="1">
        <f t="shared" si="24"/>
        <v>314</v>
      </c>
      <c r="T77" s="1">
        <f t="shared" si="24"/>
        <v>249</v>
      </c>
      <c r="U77" s="1">
        <f t="shared" si="24"/>
        <v>377</v>
      </c>
      <c r="V77" s="1">
        <f t="shared" si="24"/>
        <v>30</v>
      </c>
      <c r="W77" s="1">
        <f t="shared" si="24"/>
        <v>24</v>
      </c>
      <c r="X77" s="1">
        <f t="shared" si="24"/>
        <v>-4</v>
      </c>
      <c r="Y77" s="1">
        <f t="shared" si="24"/>
        <v>20</v>
      </c>
      <c r="Z77" s="1">
        <f t="shared" si="17"/>
        <v>23983</v>
      </c>
      <c r="AA77" s="1">
        <f t="shared" si="18"/>
        <v>5252</v>
      </c>
      <c r="AB77" s="1">
        <f t="shared" si="24"/>
        <v>10102</v>
      </c>
      <c r="AC77" s="1">
        <f t="shared" si="24"/>
        <v>2079</v>
      </c>
      <c r="AD77" s="1">
        <f t="shared" si="24"/>
        <v>-447</v>
      </c>
      <c r="AE77" s="1">
        <f t="shared" si="20"/>
        <v>1191</v>
      </c>
      <c r="AG77" s="1">
        <f t="shared" si="21"/>
        <v>82100</v>
      </c>
    </row>
    <row r="78" spans="1:33" x14ac:dyDescent="0.55000000000000004">
      <c r="A78" s="9">
        <v>1904</v>
      </c>
      <c r="H78" s="1">
        <f t="shared" si="12"/>
        <v>13711</v>
      </c>
      <c r="I78" s="1">
        <f t="shared" si="13"/>
        <v>16264</v>
      </c>
      <c r="J78" s="1">
        <f t="shared" si="25"/>
        <v>190</v>
      </c>
      <c r="K78" s="1">
        <f t="shared" si="25"/>
        <v>924</v>
      </c>
      <c r="L78" s="1">
        <f t="shared" si="25"/>
        <v>110</v>
      </c>
      <c r="M78" s="1">
        <f t="shared" si="25"/>
        <v>-164</v>
      </c>
      <c r="N78" s="1">
        <f t="shared" si="25"/>
        <v>63</v>
      </c>
      <c r="O78" s="1">
        <f t="shared" si="25"/>
        <v>168</v>
      </c>
      <c r="P78" s="1">
        <f t="shared" si="25"/>
        <v>-192</v>
      </c>
      <c r="Q78" s="1">
        <f t="shared" si="25"/>
        <v>402</v>
      </c>
      <c r="R78" s="1">
        <f t="shared" si="15"/>
        <v>247</v>
      </c>
      <c r="S78" s="1">
        <f t="shared" si="24"/>
        <v>333</v>
      </c>
      <c r="T78" s="1">
        <f t="shared" si="24"/>
        <v>53</v>
      </c>
      <c r="U78" s="1">
        <f t="shared" si="24"/>
        <v>83</v>
      </c>
      <c r="V78" s="1">
        <f t="shared" si="24"/>
        <v>-85</v>
      </c>
      <c r="W78" s="1">
        <f t="shared" si="24"/>
        <v>-55</v>
      </c>
      <c r="X78" s="1">
        <f t="shared" si="24"/>
        <v>-44</v>
      </c>
      <c r="Y78" s="1">
        <f t="shared" si="24"/>
        <v>4</v>
      </c>
      <c r="Z78" s="1">
        <f t="shared" si="17"/>
        <v>14727</v>
      </c>
      <c r="AA78" s="1">
        <f t="shared" si="18"/>
        <v>1849</v>
      </c>
      <c r="AB78" s="1">
        <f t="shared" si="24"/>
        <v>9855</v>
      </c>
      <c r="AC78" s="1">
        <f t="shared" si="24"/>
        <v>-459</v>
      </c>
      <c r="AD78" s="1">
        <f t="shared" si="24"/>
        <v>-257</v>
      </c>
      <c r="AE78" s="1">
        <f t="shared" si="20"/>
        <v>-3052</v>
      </c>
      <c r="AG78" s="1">
        <f t="shared" si="21"/>
        <v>54675</v>
      </c>
    </row>
    <row r="79" spans="1:33" x14ac:dyDescent="0.55000000000000004">
      <c r="A79" s="9">
        <v>1905</v>
      </c>
      <c r="H79" s="1">
        <f t="shared" si="12"/>
        <v>17314</v>
      </c>
      <c r="I79" s="1">
        <f t="shared" si="13"/>
        <v>-19790</v>
      </c>
      <c r="J79" s="1">
        <f t="shared" si="25"/>
        <v>368</v>
      </c>
      <c r="K79" s="1">
        <f t="shared" si="25"/>
        <v>286</v>
      </c>
      <c r="L79" s="1">
        <f t="shared" si="25"/>
        <v>409</v>
      </c>
      <c r="M79" s="1">
        <f t="shared" si="25"/>
        <v>-104</v>
      </c>
      <c r="N79" s="1">
        <f t="shared" si="25"/>
        <v>-498</v>
      </c>
      <c r="O79" s="1">
        <f t="shared" si="25"/>
        <v>-78</v>
      </c>
      <c r="P79" s="1">
        <f t="shared" si="25"/>
        <v>-161</v>
      </c>
      <c r="Q79" s="1">
        <f t="shared" si="25"/>
        <v>671</v>
      </c>
      <c r="R79" s="1">
        <f t="shared" si="15"/>
        <v>210</v>
      </c>
      <c r="S79" s="1">
        <f t="shared" si="24"/>
        <v>-4</v>
      </c>
      <c r="T79" s="1">
        <f t="shared" si="24"/>
        <v>-289</v>
      </c>
      <c r="U79" s="1">
        <f t="shared" si="24"/>
        <v>208</v>
      </c>
      <c r="V79" s="1">
        <f t="shared" si="24"/>
        <v>48</v>
      </c>
      <c r="W79" s="1">
        <f t="shared" si="24"/>
        <v>-70</v>
      </c>
      <c r="X79" s="1">
        <f t="shared" si="24"/>
        <v>-28</v>
      </c>
      <c r="Y79" s="1">
        <f t="shared" si="24"/>
        <v>8</v>
      </c>
      <c r="Z79" s="1">
        <f t="shared" si="17"/>
        <v>7588</v>
      </c>
      <c r="AA79" s="1">
        <f t="shared" si="18"/>
        <v>-379</v>
      </c>
      <c r="AB79" s="1">
        <f t="shared" si="24"/>
        <v>3277</v>
      </c>
      <c r="AC79" s="1">
        <f t="shared" si="24"/>
        <v>155</v>
      </c>
      <c r="AD79" s="1">
        <f t="shared" si="24"/>
        <v>-61</v>
      </c>
      <c r="AE79" s="1">
        <f t="shared" si="20"/>
        <v>-14</v>
      </c>
      <c r="AG79" s="1">
        <f t="shared" si="21"/>
        <v>9066</v>
      </c>
    </row>
    <row r="80" spans="1:33" x14ac:dyDescent="0.55000000000000004">
      <c r="A80" s="9">
        <v>1906</v>
      </c>
      <c r="H80" s="1">
        <f t="shared" si="12"/>
        <v>33711</v>
      </c>
      <c r="I80" s="1">
        <f t="shared" si="13"/>
        <v>-82671</v>
      </c>
      <c r="J80" s="1">
        <f t="shared" si="25"/>
        <v>184</v>
      </c>
      <c r="K80" s="1">
        <f t="shared" si="25"/>
        <v>849</v>
      </c>
      <c r="L80" s="1">
        <f t="shared" si="25"/>
        <v>194</v>
      </c>
      <c r="M80" s="1">
        <f t="shared" si="25"/>
        <v>-127</v>
      </c>
      <c r="N80" s="1">
        <f t="shared" si="25"/>
        <v>57</v>
      </c>
      <c r="O80" s="1">
        <f t="shared" si="25"/>
        <v>92</v>
      </c>
      <c r="P80" s="1">
        <f t="shared" si="25"/>
        <v>33</v>
      </c>
      <c r="Q80" s="1">
        <f t="shared" si="25"/>
        <v>1234</v>
      </c>
      <c r="R80" s="1">
        <f t="shared" si="15"/>
        <v>409</v>
      </c>
      <c r="S80" s="1">
        <f t="shared" si="24"/>
        <v>501</v>
      </c>
      <c r="T80" s="1">
        <f t="shared" si="24"/>
        <v>146</v>
      </c>
      <c r="U80" s="1">
        <f t="shared" si="24"/>
        <v>108</v>
      </c>
      <c r="V80" s="1">
        <f t="shared" si="24"/>
        <v>58</v>
      </c>
      <c r="W80" s="1">
        <f t="shared" si="24"/>
        <v>19</v>
      </c>
      <c r="X80" s="1">
        <f t="shared" si="24"/>
        <v>4</v>
      </c>
      <c r="Y80" s="1">
        <f t="shared" si="24"/>
        <v>20</v>
      </c>
      <c r="Z80" s="1">
        <f t="shared" si="17"/>
        <v>34123</v>
      </c>
      <c r="AA80" s="1">
        <f t="shared" si="18"/>
        <v>16572</v>
      </c>
      <c r="AB80" s="1">
        <f t="shared" si="24"/>
        <v>7674</v>
      </c>
      <c r="AC80" s="1">
        <f t="shared" si="24"/>
        <v>4211</v>
      </c>
      <c r="AD80" s="1">
        <f t="shared" si="24"/>
        <v>-444</v>
      </c>
      <c r="AE80" s="1">
        <f t="shared" si="20"/>
        <v>3450</v>
      </c>
      <c r="AG80" s="1">
        <f t="shared" si="21"/>
        <v>20407</v>
      </c>
    </row>
    <row r="81" spans="1:33" x14ac:dyDescent="0.55000000000000004">
      <c r="A81" s="9">
        <v>1907</v>
      </c>
      <c r="H81" s="1">
        <f t="shared" si="12"/>
        <v>17598</v>
      </c>
      <c r="I81" s="1">
        <f t="shared" si="13"/>
        <v>11905</v>
      </c>
      <c r="J81" s="1">
        <f t="shared" si="25"/>
        <v>-37</v>
      </c>
      <c r="K81" s="1">
        <f t="shared" si="25"/>
        <v>1500</v>
      </c>
      <c r="L81" s="1">
        <f t="shared" si="25"/>
        <v>553</v>
      </c>
      <c r="M81" s="1">
        <f t="shared" si="25"/>
        <v>-67</v>
      </c>
      <c r="N81" s="1">
        <f t="shared" si="25"/>
        <v>614</v>
      </c>
      <c r="O81" s="1">
        <f t="shared" si="25"/>
        <v>230</v>
      </c>
      <c r="P81" s="1">
        <f t="shared" si="25"/>
        <v>214</v>
      </c>
      <c r="Q81" s="1">
        <f t="shared" si="25"/>
        <v>-13</v>
      </c>
      <c r="R81" s="1">
        <f t="shared" si="15"/>
        <v>375</v>
      </c>
      <c r="S81" s="1">
        <f t="shared" si="24"/>
        <v>714</v>
      </c>
      <c r="T81" s="1">
        <f t="shared" si="24"/>
        <v>140</v>
      </c>
      <c r="U81" s="1">
        <f t="shared" si="24"/>
        <v>445</v>
      </c>
      <c r="V81" s="1">
        <f t="shared" si="24"/>
        <v>83</v>
      </c>
      <c r="W81" s="1">
        <f t="shared" si="24"/>
        <v>149</v>
      </c>
      <c r="X81" s="1">
        <f t="shared" si="24"/>
        <v>-13</v>
      </c>
      <c r="Y81" s="1">
        <f t="shared" si="24"/>
        <v>-25</v>
      </c>
      <c r="Z81" s="1">
        <f t="shared" si="17"/>
        <v>16182</v>
      </c>
      <c r="AA81" s="1">
        <f t="shared" si="18"/>
        <v>27703</v>
      </c>
      <c r="AB81" s="1">
        <f t="shared" si="24"/>
        <v>14572</v>
      </c>
      <c r="AC81" s="1">
        <f t="shared" si="24"/>
        <v>1280</v>
      </c>
      <c r="AD81" s="1">
        <f t="shared" si="24"/>
        <v>-415</v>
      </c>
      <c r="AE81" s="1">
        <f t="shared" si="20"/>
        <v>9635</v>
      </c>
      <c r="AG81" s="1">
        <f t="shared" si="21"/>
        <v>103322</v>
      </c>
    </row>
    <row r="82" spans="1:33" x14ac:dyDescent="0.55000000000000004">
      <c r="A82" s="9">
        <v>1908</v>
      </c>
      <c r="H82" s="1">
        <f t="shared" si="12"/>
        <v>23538</v>
      </c>
      <c r="I82" s="1">
        <f t="shared" si="13"/>
        <v>10199</v>
      </c>
      <c r="J82" s="1">
        <f t="shared" si="25"/>
        <v>266</v>
      </c>
      <c r="K82" s="1">
        <f t="shared" si="25"/>
        <v>2407</v>
      </c>
      <c r="L82" s="1">
        <f t="shared" si="25"/>
        <v>271</v>
      </c>
      <c r="M82" s="1">
        <f t="shared" si="25"/>
        <v>323</v>
      </c>
      <c r="N82" s="1">
        <f t="shared" si="25"/>
        <v>487</v>
      </c>
      <c r="O82" s="1">
        <f t="shared" si="25"/>
        <v>213</v>
      </c>
      <c r="P82" s="1">
        <f t="shared" si="25"/>
        <v>-16</v>
      </c>
      <c r="Q82" s="1">
        <f t="shared" si="25"/>
        <v>433</v>
      </c>
      <c r="R82" s="1">
        <f t="shared" si="15"/>
        <v>1101</v>
      </c>
      <c r="S82" s="1">
        <f t="shared" si="24"/>
        <v>174</v>
      </c>
      <c r="T82" s="1">
        <f t="shared" si="24"/>
        <v>459</v>
      </c>
      <c r="U82" s="1">
        <f t="shared" si="24"/>
        <v>343</v>
      </c>
      <c r="V82" s="1">
        <f t="shared" si="24"/>
        <v>-70</v>
      </c>
      <c r="W82" s="1">
        <f t="shared" si="24"/>
        <v>102</v>
      </c>
      <c r="X82" s="1">
        <f t="shared" si="24"/>
        <v>65</v>
      </c>
      <c r="Y82" s="1">
        <f t="shared" si="24"/>
        <v>-17</v>
      </c>
      <c r="Z82" s="1">
        <f t="shared" si="17"/>
        <v>14617</v>
      </c>
      <c r="AA82" s="1">
        <f t="shared" si="18"/>
        <v>13337</v>
      </c>
      <c r="AB82" s="1">
        <f t="shared" si="24"/>
        <v>13278</v>
      </c>
      <c r="AC82" s="1">
        <f t="shared" si="24"/>
        <v>170</v>
      </c>
      <c r="AD82" s="1">
        <f t="shared" si="24"/>
        <v>-227</v>
      </c>
      <c r="AE82" s="1">
        <f t="shared" si="20"/>
        <v>856</v>
      </c>
      <c r="AG82" s="1">
        <f t="shared" si="21"/>
        <v>82309</v>
      </c>
    </row>
    <row r="83" spans="1:33" x14ac:dyDescent="0.55000000000000004">
      <c r="A83" s="9">
        <v>1909</v>
      </c>
      <c r="H83" s="1">
        <f t="shared" si="12"/>
        <v>34466</v>
      </c>
      <c r="I83" s="1">
        <f t="shared" si="13"/>
        <v>6329</v>
      </c>
      <c r="J83" s="1">
        <f t="shared" si="25"/>
        <v>859</v>
      </c>
      <c r="K83" s="1">
        <f t="shared" si="25"/>
        <v>1210</v>
      </c>
      <c r="L83" s="1">
        <f t="shared" si="25"/>
        <v>444</v>
      </c>
      <c r="M83" s="1">
        <f t="shared" si="25"/>
        <v>-112</v>
      </c>
      <c r="N83" s="1">
        <f t="shared" si="25"/>
        <v>578</v>
      </c>
      <c r="O83" s="1">
        <f t="shared" si="25"/>
        <v>430</v>
      </c>
      <c r="P83" s="1">
        <f t="shared" si="25"/>
        <v>397</v>
      </c>
      <c r="Q83" s="1">
        <f t="shared" si="25"/>
        <v>118</v>
      </c>
      <c r="R83" s="1">
        <f t="shared" si="15"/>
        <v>2190</v>
      </c>
      <c r="S83" s="1">
        <f t="shared" si="24"/>
        <v>517</v>
      </c>
      <c r="T83" s="1">
        <f t="shared" si="24"/>
        <v>580</v>
      </c>
      <c r="U83" s="1">
        <f t="shared" si="24"/>
        <v>474</v>
      </c>
      <c r="V83" s="1">
        <f t="shared" si="24"/>
        <v>33</v>
      </c>
      <c r="W83" s="1">
        <f t="shared" si="24"/>
        <v>81</v>
      </c>
      <c r="X83" s="1">
        <f t="shared" si="24"/>
        <v>26</v>
      </c>
      <c r="Y83" s="1">
        <f t="shared" si="24"/>
        <v>27</v>
      </c>
      <c r="Z83" s="1">
        <f t="shared" si="17"/>
        <v>20199</v>
      </c>
      <c r="AA83" s="1">
        <f t="shared" si="18"/>
        <v>16459</v>
      </c>
      <c r="AB83" s="1">
        <f t="shared" si="24"/>
        <v>22675</v>
      </c>
      <c r="AC83" s="1">
        <f t="shared" si="24"/>
        <v>916</v>
      </c>
      <c r="AD83" s="1">
        <f t="shared" si="24"/>
        <v>131</v>
      </c>
      <c r="AE83" s="1">
        <f t="shared" si="20"/>
        <v>1072</v>
      </c>
      <c r="AG83" s="1">
        <f t="shared" si="21"/>
        <v>110099</v>
      </c>
    </row>
    <row r="84" spans="1:33" x14ac:dyDescent="0.55000000000000004">
      <c r="A84" s="9">
        <v>1910</v>
      </c>
      <c r="H84" s="1">
        <f t="shared" si="12"/>
        <v>-31709</v>
      </c>
      <c r="I84" s="1">
        <f t="shared" si="13"/>
        <v>6158</v>
      </c>
      <c r="J84" s="1">
        <f t="shared" si="25"/>
        <v>1491</v>
      </c>
      <c r="K84" s="1">
        <f t="shared" si="25"/>
        <v>3119</v>
      </c>
      <c r="L84" s="1">
        <f t="shared" si="25"/>
        <v>671</v>
      </c>
      <c r="M84" s="1">
        <f t="shared" si="25"/>
        <v>405</v>
      </c>
      <c r="N84" s="1">
        <f t="shared" si="25"/>
        <v>387</v>
      </c>
      <c r="O84" s="1">
        <f t="shared" si="25"/>
        <v>522</v>
      </c>
      <c r="P84" s="1">
        <f t="shared" si="25"/>
        <v>441</v>
      </c>
      <c r="Q84" s="1">
        <f t="shared" si="25"/>
        <v>1345</v>
      </c>
      <c r="R84" s="1">
        <f t="shared" si="15"/>
        <v>967</v>
      </c>
      <c r="S84" s="1">
        <f t="shared" si="24"/>
        <v>278</v>
      </c>
      <c r="T84" s="1">
        <f t="shared" si="24"/>
        <v>455</v>
      </c>
      <c r="U84" s="1">
        <f t="shared" si="24"/>
        <v>725</v>
      </c>
      <c r="V84" s="1">
        <f t="shared" si="24"/>
        <v>121</v>
      </c>
      <c r="W84" s="1">
        <f t="shared" si="24"/>
        <v>63</v>
      </c>
      <c r="X84" s="1">
        <f t="shared" si="24"/>
        <v>28</v>
      </c>
      <c r="Y84" s="1">
        <f t="shared" si="24"/>
        <v>17</v>
      </c>
      <c r="Z84" s="1">
        <f t="shared" si="17"/>
        <v>24406</v>
      </c>
      <c r="AA84" s="1">
        <f t="shared" si="18"/>
        <v>19707</v>
      </c>
      <c r="AB84" s="1">
        <f t="shared" si="24"/>
        <v>18263</v>
      </c>
      <c r="AC84" s="1">
        <f t="shared" si="24"/>
        <v>-754</v>
      </c>
      <c r="AD84" s="1">
        <f t="shared" si="24"/>
        <v>-475</v>
      </c>
      <c r="AE84" s="1">
        <f t="shared" si="20"/>
        <v>6898</v>
      </c>
      <c r="AG84" s="1">
        <f t="shared" si="21"/>
        <v>53529</v>
      </c>
    </row>
    <row r="85" spans="1:33" x14ac:dyDescent="0.55000000000000004">
      <c r="A85" s="9">
        <v>1911</v>
      </c>
      <c r="H85" s="1">
        <f t="shared" si="12"/>
        <v>18233</v>
      </c>
      <c r="I85" s="1">
        <f t="shared" si="13"/>
        <v>14467</v>
      </c>
      <c r="J85" s="1">
        <f t="shared" ref="J85:Q86" si="26">J32</f>
        <v>885</v>
      </c>
      <c r="K85" s="1">
        <f t="shared" si="26"/>
        <v>1388</v>
      </c>
      <c r="L85" s="1">
        <f t="shared" si="26"/>
        <v>301</v>
      </c>
      <c r="M85" s="1">
        <f t="shared" si="26"/>
        <v>393</v>
      </c>
      <c r="N85" s="1">
        <f t="shared" si="26"/>
        <v>632</v>
      </c>
      <c r="O85" s="1">
        <f t="shared" si="26"/>
        <v>844</v>
      </c>
      <c r="P85" s="1">
        <f t="shared" si="26"/>
        <v>312</v>
      </c>
      <c r="Q85" s="1">
        <f t="shared" si="26"/>
        <v>394</v>
      </c>
      <c r="R85" s="1">
        <f t="shared" si="15"/>
        <v>278</v>
      </c>
      <c r="S85" s="1">
        <f t="shared" si="24"/>
        <v>556</v>
      </c>
      <c r="T85" s="1">
        <f t="shared" si="24"/>
        <v>831</v>
      </c>
      <c r="U85" s="1">
        <f t="shared" si="24"/>
        <v>652</v>
      </c>
      <c r="V85" s="1">
        <f t="shared" si="24"/>
        <v>-1</v>
      </c>
      <c r="W85" s="1">
        <f t="shared" si="24"/>
        <v>73</v>
      </c>
      <c r="X85" s="1">
        <f t="shared" si="24"/>
        <v>35</v>
      </c>
      <c r="Y85" s="1">
        <f t="shared" si="24"/>
        <v>-34</v>
      </c>
      <c r="Z85" s="1">
        <f t="shared" si="17"/>
        <v>32555</v>
      </c>
      <c r="AA85" s="1">
        <f t="shared" si="18"/>
        <v>-3710</v>
      </c>
      <c r="AB85" s="1">
        <f t="shared" si="24"/>
        <v>23277</v>
      </c>
      <c r="AC85" s="1">
        <f t="shared" si="24"/>
        <v>1293</v>
      </c>
      <c r="AD85" s="1">
        <f t="shared" si="24"/>
        <v>-519</v>
      </c>
      <c r="AE85" s="1">
        <f t="shared" si="20"/>
        <v>521</v>
      </c>
      <c r="AG85" s="1">
        <f t="shared" si="21"/>
        <v>93656</v>
      </c>
    </row>
    <row r="86" spans="1:33" x14ac:dyDescent="0.55000000000000004">
      <c r="A86" s="9">
        <v>1912</v>
      </c>
      <c r="H86" s="1">
        <f t="shared" si="12"/>
        <v>26741</v>
      </c>
      <c r="I86" s="1">
        <f t="shared" si="13"/>
        <v>6329</v>
      </c>
      <c r="J86" s="1">
        <f t="shared" si="26"/>
        <v>1428</v>
      </c>
      <c r="K86" s="1">
        <f t="shared" si="26"/>
        <v>1654</v>
      </c>
      <c r="L86" s="1">
        <f t="shared" si="26"/>
        <v>281</v>
      </c>
      <c r="M86" s="1">
        <f t="shared" si="26"/>
        <v>264</v>
      </c>
      <c r="N86" s="1">
        <f t="shared" si="26"/>
        <v>255</v>
      </c>
      <c r="O86" s="1">
        <f t="shared" si="26"/>
        <v>675</v>
      </c>
      <c r="P86" s="1">
        <f t="shared" si="26"/>
        <v>125</v>
      </c>
      <c r="Q86" s="1">
        <f t="shared" si="26"/>
        <v>-3643</v>
      </c>
      <c r="R86" s="1">
        <f t="shared" si="15"/>
        <v>688</v>
      </c>
      <c r="S86" s="1">
        <f t="shared" si="24"/>
        <v>-447</v>
      </c>
      <c r="T86" s="1">
        <f t="shared" si="24"/>
        <v>1010</v>
      </c>
      <c r="U86" s="1">
        <f t="shared" si="24"/>
        <v>845</v>
      </c>
      <c r="V86" s="1">
        <f t="shared" si="24"/>
        <v>-171</v>
      </c>
      <c r="W86" s="1">
        <f t="shared" si="24"/>
        <v>11</v>
      </c>
      <c r="X86" s="1">
        <f t="shared" si="24"/>
        <v>-9</v>
      </c>
      <c r="Y86" s="1">
        <f t="shared" si="24"/>
        <v>-130</v>
      </c>
      <c r="Z86" s="1">
        <f t="shared" si="17"/>
        <v>49934</v>
      </c>
      <c r="AA86" s="1">
        <f t="shared" si="18"/>
        <v>19789</v>
      </c>
      <c r="AB86" s="1">
        <f t="shared" si="24"/>
        <v>7686</v>
      </c>
      <c r="AC86" s="1">
        <f t="shared" si="24"/>
        <v>1699</v>
      </c>
      <c r="AD86" s="1">
        <f t="shared" si="24"/>
        <v>10</v>
      </c>
      <c r="AE86" s="1">
        <f t="shared" si="20"/>
        <v>-351</v>
      </c>
      <c r="AG86" s="1">
        <f t="shared" si="21"/>
        <v>114673</v>
      </c>
    </row>
    <row r="87" spans="1:33" x14ac:dyDescent="0.55000000000000004">
      <c r="A87" s="9">
        <v>1913</v>
      </c>
      <c r="H87" s="1">
        <f t="shared" si="12"/>
        <v>20449</v>
      </c>
      <c r="I87" s="1">
        <f t="shared" si="13"/>
        <v>10229</v>
      </c>
      <c r="J87" s="1">
        <f>J34</f>
        <v>2768</v>
      </c>
      <c r="K87" s="1">
        <f>K34</f>
        <v>2244</v>
      </c>
      <c r="L87" s="1">
        <f>L34</f>
        <v>936</v>
      </c>
      <c r="M87" s="1">
        <f>M34</f>
        <v>941</v>
      </c>
      <c r="N87" s="1">
        <f>N34</f>
        <v>1258</v>
      </c>
      <c r="O87" s="1">
        <f t="shared" ref="K87:Q89" si="27">O34</f>
        <v>1699</v>
      </c>
      <c r="P87" s="1">
        <f t="shared" si="27"/>
        <v>383</v>
      </c>
      <c r="Q87" s="1">
        <f t="shared" si="27"/>
        <v>1792</v>
      </c>
      <c r="R87" s="1">
        <f t="shared" si="15"/>
        <v>520</v>
      </c>
      <c r="S87" s="1">
        <f t="shared" ref="S87:AD87" si="28">S34</f>
        <v>263</v>
      </c>
      <c r="T87" s="1">
        <f t="shared" si="28"/>
        <v>1330</v>
      </c>
      <c r="U87" s="1">
        <f t="shared" si="28"/>
        <v>478</v>
      </c>
      <c r="V87" s="1">
        <f t="shared" si="28"/>
        <v>17</v>
      </c>
      <c r="W87" s="1">
        <f t="shared" si="28"/>
        <v>116</v>
      </c>
      <c r="X87" s="1">
        <f t="shared" si="28"/>
        <v>45</v>
      </c>
      <c r="Y87" s="1">
        <f t="shared" si="28"/>
        <v>250</v>
      </c>
      <c r="Z87" s="1">
        <f t="shared" si="17"/>
        <v>60806</v>
      </c>
      <c r="AA87" s="1">
        <f t="shared" si="18"/>
        <v>56725</v>
      </c>
      <c r="AB87" s="1">
        <f t="shared" si="28"/>
        <v>16316</v>
      </c>
      <c r="AC87" s="1">
        <f t="shared" si="28"/>
        <v>814</v>
      </c>
      <c r="AD87" s="1">
        <f t="shared" si="28"/>
        <v>137</v>
      </c>
      <c r="AE87" s="1">
        <f t="shared" si="20"/>
        <v>5688</v>
      </c>
      <c r="AG87" s="1">
        <f t="shared" si="21"/>
        <v>186204</v>
      </c>
    </row>
    <row r="88" spans="1:33" x14ac:dyDescent="0.55000000000000004">
      <c r="A88" s="9">
        <v>1914</v>
      </c>
      <c r="H88" s="1">
        <f t="shared" si="12"/>
        <v>450</v>
      </c>
      <c r="I88" s="1">
        <f t="shared" si="13"/>
        <v>10782</v>
      </c>
      <c r="J88" s="1">
        <f>J35</f>
        <v>-1098</v>
      </c>
      <c r="K88" s="1">
        <f t="shared" si="27"/>
        <v>-28</v>
      </c>
      <c r="L88" s="1">
        <f t="shared" si="27"/>
        <v>889</v>
      </c>
      <c r="M88" s="1">
        <f t="shared" si="27"/>
        <v>-273</v>
      </c>
      <c r="N88" s="1">
        <f t="shared" si="27"/>
        <v>423</v>
      </c>
      <c r="O88" s="1">
        <f t="shared" si="27"/>
        <v>694</v>
      </c>
      <c r="P88" s="1">
        <f t="shared" si="27"/>
        <v>-331</v>
      </c>
      <c r="Q88" s="1">
        <f t="shared" si="27"/>
        <v>1577</v>
      </c>
      <c r="R88" s="1">
        <f t="shared" si="15"/>
        <v>424</v>
      </c>
      <c r="S88" s="1">
        <f t="shared" ref="S88:AD88" si="29">S35</f>
        <v>865</v>
      </c>
      <c r="T88" s="1">
        <f t="shared" si="29"/>
        <v>557</v>
      </c>
      <c r="U88" s="1">
        <f t="shared" si="29"/>
        <v>12</v>
      </c>
      <c r="V88" s="1">
        <f t="shared" si="29"/>
        <v>-14</v>
      </c>
      <c r="W88" s="1">
        <f t="shared" si="29"/>
        <v>43</v>
      </c>
      <c r="X88" s="1">
        <f t="shared" si="29"/>
        <v>7</v>
      </c>
      <c r="Y88" s="1">
        <f t="shared" si="29"/>
        <v>45</v>
      </c>
      <c r="Z88" s="1">
        <f t="shared" si="17"/>
        <v>50658</v>
      </c>
      <c r="AA88" s="1">
        <f t="shared" si="18"/>
        <v>23184</v>
      </c>
      <c r="AB88" s="1">
        <f t="shared" si="29"/>
        <v>10755</v>
      </c>
      <c r="AC88" s="1">
        <f t="shared" si="29"/>
        <v>300</v>
      </c>
      <c r="AD88" s="1">
        <f t="shared" si="29"/>
        <v>34</v>
      </c>
      <c r="AE88" s="1">
        <f t="shared" si="20"/>
        <v>-330</v>
      </c>
      <c r="AG88" s="1">
        <f t="shared" si="21"/>
        <v>99625</v>
      </c>
    </row>
    <row r="89" spans="1:33" x14ac:dyDescent="0.55000000000000004">
      <c r="A89" s="9">
        <v>1915</v>
      </c>
      <c r="H89" s="1">
        <f t="shared" si="12"/>
        <v>-7327</v>
      </c>
      <c r="I89" s="1">
        <f t="shared" si="13"/>
        <v>-1094</v>
      </c>
      <c r="J89" s="1">
        <f>J36</f>
        <v>-138</v>
      </c>
      <c r="K89" s="1">
        <f t="shared" si="27"/>
        <v>-88</v>
      </c>
      <c r="L89" s="1">
        <f t="shared" si="27"/>
        <v>43</v>
      </c>
      <c r="M89" s="1">
        <f t="shared" si="27"/>
        <v>48</v>
      </c>
      <c r="N89" s="1">
        <f t="shared" si="27"/>
        <v>96</v>
      </c>
      <c r="O89" s="1">
        <f t="shared" si="27"/>
        <v>-4</v>
      </c>
      <c r="P89" s="1">
        <f t="shared" si="27"/>
        <v>-24</v>
      </c>
      <c r="Q89" s="1">
        <f t="shared" si="27"/>
        <v>859</v>
      </c>
      <c r="R89" s="1">
        <f t="shared" si="15"/>
        <v>-30</v>
      </c>
      <c r="S89" s="1">
        <f t="shared" ref="S89:AD89" si="30">S36</f>
        <v>-442</v>
      </c>
      <c r="T89" s="1">
        <f t="shared" si="30"/>
        <v>23</v>
      </c>
      <c r="U89" s="1">
        <f t="shared" si="30"/>
        <v>67</v>
      </c>
      <c r="V89" s="1">
        <f t="shared" si="30"/>
        <v>34</v>
      </c>
      <c r="W89" s="1">
        <f t="shared" si="30"/>
        <v>10</v>
      </c>
      <c r="X89" s="1">
        <f t="shared" si="30"/>
        <v>-1</v>
      </c>
      <c r="Y89" s="1">
        <f t="shared" si="30"/>
        <v>33</v>
      </c>
      <c r="Z89" s="1">
        <f t="shared" si="17"/>
        <v>20497</v>
      </c>
      <c r="AA89" s="1">
        <f t="shared" si="18"/>
        <v>36286</v>
      </c>
      <c r="AB89" s="1">
        <f t="shared" si="30"/>
        <v>464</v>
      </c>
      <c r="AC89" s="1">
        <f t="shared" si="30"/>
        <v>1509</v>
      </c>
      <c r="AD89" s="1">
        <f t="shared" si="30"/>
        <v>79</v>
      </c>
      <c r="AE89" s="1">
        <f t="shared" si="20"/>
        <v>-1622</v>
      </c>
      <c r="AG89" s="1">
        <f t="shared" si="21"/>
        <v>49278</v>
      </c>
    </row>
    <row r="91" spans="1:33" x14ac:dyDescent="0.55000000000000004">
      <c r="AG91" s="1">
        <f>SUM(AG55:AG69)</f>
        <v>960967</v>
      </c>
    </row>
    <row r="92" spans="1:33" x14ac:dyDescent="0.55000000000000004">
      <c r="AG92" s="1">
        <f>SUM(AG70:AG89)</f>
        <v>1622024</v>
      </c>
    </row>
    <row r="93" spans="1:33" x14ac:dyDescent="0.55000000000000004">
      <c r="AG93" s="1">
        <f>AG92+AG91</f>
        <v>2582991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8E4D5-6DC9-4566-AC84-244F24C82204}">
  <dimension ref="A1:AL93"/>
  <sheetViews>
    <sheetView tabSelected="1" topLeftCell="A47" workbookViewId="0">
      <pane xSplit="1" topLeftCell="B1" activePane="topRight" state="frozen"/>
      <selection pane="topRight" activeCell="AT60" sqref="AT60"/>
    </sheetView>
  </sheetViews>
  <sheetFormatPr defaultRowHeight="14.4" x14ac:dyDescent="0.55000000000000004"/>
  <cols>
    <col min="1" max="1" width="10.68359375" customWidth="1"/>
    <col min="2" max="2" width="11.578125" bestFit="1" customWidth="1"/>
    <col min="3" max="3" width="10" bestFit="1" customWidth="1"/>
    <col min="4" max="4" width="11.26171875" bestFit="1" customWidth="1"/>
    <col min="5" max="5" width="9.41796875" bestFit="1" customWidth="1"/>
    <col min="6" max="6" width="8.15625" bestFit="1" customWidth="1"/>
    <col min="7" max="7" width="12.15625" bestFit="1" customWidth="1"/>
    <col min="8" max="8" width="9.15625" bestFit="1" customWidth="1"/>
    <col min="9" max="9" width="7.578125" bestFit="1" customWidth="1"/>
    <col min="10" max="10" width="8.41796875" bestFit="1" customWidth="1"/>
    <col min="11" max="11" width="8.68359375" bestFit="1" customWidth="1"/>
    <col min="12" max="12" width="6.15625" bestFit="1" customWidth="1"/>
    <col min="13" max="13" width="10.578125" bestFit="1" customWidth="1"/>
    <col min="14" max="14" width="7.578125" bestFit="1" customWidth="1"/>
    <col min="15" max="15" width="10" bestFit="1" customWidth="1"/>
    <col min="16" max="16" width="6.83984375" bestFit="1" customWidth="1"/>
    <col min="17" max="17" width="8.578125" bestFit="1" customWidth="1"/>
    <col min="18" max="18" width="8.68359375" bestFit="1" customWidth="1"/>
    <col min="19" max="19" width="6.83984375" bestFit="1" customWidth="1"/>
    <col min="20" max="20" width="6.15625" bestFit="1" customWidth="1"/>
    <col min="21" max="21" width="17.578125" bestFit="1" customWidth="1"/>
    <col min="22" max="22" width="7" bestFit="1" customWidth="1"/>
    <col min="23" max="23" width="8" bestFit="1" customWidth="1"/>
    <col min="24" max="24" width="10.41796875" bestFit="1" customWidth="1"/>
    <col min="25" max="25" width="11" bestFit="1" customWidth="1"/>
    <col min="26" max="29" width="7.15625" bestFit="1" customWidth="1"/>
    <col min="30" max="30" width="12.578125" bestFit="1" customWidth="1"/>
    <col min="31" max="31" width="9.578125" bestFit="1" customWidth="1"/>
    <col min="33" max="33" width="12" bestFit="1" customWidth="1"/>
    <col min="34" max="34" width="8.578125" bestFit="1" customWidth="1"/>
    <col min="35" max="35" width="9.15625" bestFit="1" customWidth="1"/>
  </cols>
  <sheetData>
    <row r="1" spans="1:31" x14ac:dyDescent="0.55000000000000004">
      <c r="A1" s="16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55000000000000004">
      <c r="A2" s="9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55000000000000004">
      <c r="A3" s="9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55000000000000004">
      <c r="A4" s="9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55000000000000004">
      <c r="A5" s="9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55000000000000004">
      <c r="A6" s="9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55000000000000004">
      <c r="A7" s="9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55000000000000004">
      <c r="A8" s="9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55000000000000004">
      <c r="A9" s="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55000000000000004">
      <c r="A10" s="9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55000000000000004">
      <c r="A11" s="9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55000000000000004">
      <c r="A12" s="9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55000000000000004">
      <c r="A13" s="9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55000000000000004">
      <c r="A14" s="9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55000000000000004">
      <c r="A15" s="9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55000000000000004">
      <c r="A16" s="9">
        <f>A17-1</f>
        <v>1895</v>
      </c>
      <c r="H16" s="1">
        <f>-85110+100000</f>
        <v>14890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55000000000000004">
      <c r="A17" s="9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55000000000000004">
      <c r="A18" s="9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55000000000000004">
      <c r="A19" s="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55000000000000004">
      <c r="A20" s="9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55000000000000004">
      <c r="A21" s="9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55000000000000004">
      <c r="A22" s="9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55000000000000004">
      <c r="A23" s="9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55000000000000004">
      <c r="A24" s="9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55000000000000004">
      <c r="A25" s="9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55000000000000004">
      <c r="A26" s="9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55000000000000004">
      <c r="A27" s="9">
        <f t="shared" si="1"/>
        <v>1906</v>
      </c>
      <c r="B27" s="1">
        <v>32311</v>
      </c>
      <c r="C27" s="1">
        <f>-84553+50000</f>
        <v>-34553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55000000000000004">
      <c r="A28" s="9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55000000000000004">
      <c r="A29" s="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55000000000000004">
      <c r="A30" s="9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55000000000000004">
      <c r="A31" s="9">
        <f t="shared" si="1"/>
        <v>1910</v>
      </c>
      <c r="B31" s="1">
        <f>-39585+60000</f>
        <v>20415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55000000000000004">
      <c r="A32" s="9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8" x14ac:dyDescent="0.55000000000000004">
      <c r="A33" s="9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8" x14ac:dyDescent="0.55000000000000004">
      <c r="A34" s="9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8" x14ac:dyDescent="0.55000000000000004">
      <c r="A35" s="9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8" x14ac:dyDescent="0.55000000000000004">
      <c r="A36" s="9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8" x14ac:dyDescent="0.55000000000000004">
      <c r="A38" s="8" t="s">
        <v>47</v>
      </c>
      <c r="P38" s="1"/>
    </row>
    <row r="39" spans="1:38" x14ac:dyDescent="0.55000000000000004">
      <c r="A39" s="21" t="s">
        <v>69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P39" s="1"/>
    </row>
    <row r="41" spans="1:38" x14ac:dyDescent="0.55000000000000004">
      <c r="A41" t="s">
        <v>52</v>
      </c>
    </row>
    <row r="43" spans="1:38" x14ac:dyDescent="0.55000000000000004">
      <c r="A43" t="s">
        <v>48</v>
      </c>
    </row>
    <row r="44" spans="1:38" x14ac:dyDescent="0.55000000000000004">
      <c r="A44" t="s">
        <v>49</v>
      </c>
    </row>
    <row r="46" spans="1:38" x14ac:dyDescent="0.55000000000000004">
      <c r="B46" s="8" t="s">
        <v>41</v>
      </c>
      <c r="C46" s="8" t="s">
        <v>40</v>
      </c>
      <c r="D46" s="8" t="s">
        <v>42</v>
      </c>
      <c r="E46" s="8" t="s">
        <v>43</v>
      </c>
      <c r="F46" s="8" t="s">
        <v>44</v>
      </c>
      <c r="G46" s="8" t="s">
        <v>46</v>
      </c>
      <c r="H46" s="8" t="s">
        <v>7</v>
      </c>
      <c r="I46" s="8" t="s">
        <v>8</v>
      </c>
      <c r="J46" s="8" t="s">
        <v>21</v>
      </c>
      <c r="K46" s="8" t="s">
        <v>22</v>
      </c>
      <c r="L46" s="8" t="s">
        <v>23</v>
      </c>
      <c r="M46" s="8" t="s">
        <v>24</v>
      </c>
      <c r="N46" s="8" t="s">
        <v>25</v>
      </c>
      <c r="O46" s="8" t="s">
        <v>26</v>
      </c>
      <c r="P46" s="8" t="s">
        <v>27</v>
      </c>
      <c r="Q46" s="8" t="s">
        <v>28</v>
      </c>
      <c r="R46" s="8" t="s">
        <v>9</v>
      </c>
      <c r="S46" s="8" t="s">
        <v>29</v>
      </c>
      <c r="T46" s="8" t="s">
        <v>30</v>
      </c>
      <c r="U46" s="8" t="s">
        <v>31</v>
      </c>
      <c r="V46" s="8" t="s">
        <v>32</v>
      </c>
      <c r="W46" s="8" t="s">
        <v>33</v>
      </c>
      <c r="X46" s="8" t="s">
        <v>34</v>
      </c>
      <c r="Y46" s="8" t="s">
        <v>35</v>
      </c>
      <c r="Z46" s="8" t="s">
        <v>12</v>
      </c>
      <c r="AA46" s="8" t="s">
        <v>10</v>
      </c>
      <c r="AB46" s="8" t="s">
        <v>36</v>
      </c>
      <c r="AC46" s="8" t="s">
        <v>37</v>
      </c>
      <c r="AD46" s="8" t="s">
        <v>53</v>
      </c>
      <c r="AE46" s="8" t="s">
        <v>45</v>
      </c>
      <c r="AG46" s="8" t="s">
        <v>62</v>
      </c>
      <c r="AH46" s="8" t="s">
        <v>63</v>
      </c>
      <c r="AI46" s="8" t="s">
        <v>64</v>
      </c>
      <c r="AK46" s="8" t="s">
        <v>70</v>
      </c>
      <c r="AL46" s="8" t="s">
        <v>71</v>
      </c>
    </row>
    <row r="47" spans="1:38" x14ac:dyDescent="0.55000000000000004">
      <c r="A47" s="9" t="s">
        <v>50</v>
      </c>
      <c r="B47" s="1">
        <f t="shared" ref="B47:AE47" si="2">SUM(B2:B16)</f>
        <v>289250</v>
      </c>
      <c r="C47" s="1">
        <f t="shared" si="2"/>
        <v>71263</v>
      </c>
      <c r="D47" s="1">
        <f t="shared" si="2"/>
        <v>5980</v>
      </c>
      <c r="E47" s="1">
        <f t="shared" si="2"/>
        <v>0</v>
      </c>
      <c r="F47" s="1">
        <f t="shared" si="2"/>
        <v>2099</v>
      </c>
      <c r="G47" s="1">
        <f t="shared" si="2"/>
        <v>-4</v>
      </c>
      <c r="H47" s="1">
        <f t="shared" si="2"/>
        <v>198483</v>
      </c>
      <c r="I47" s="1">
        <f t="shared" si="2"/>
        <v>270548</v>
      </c>
      <c r="J47" s="1">
        <f t="shared" si="2"/>
        <v>1194</v>
      </c>
      <c r="K47" s="1">
        <f t="shared" si="2"/>
        <v>7593</v>
      </c>
      <c r="L47" s="1">
        <f t="shared" si="2"/>
        <v>4360</v>
      </c>
      <c r="M47" s="1">
        <f t="shared" si="2"/>
        <v>93</v>
      </c>
      <c r="N47" s="1">
        <f t="shared" si="2"/>
        <v>407</v>
      </c>
      <c r="O47" s="1">
        <f t="shared" si="2"/>
        <v>-47</v>
      </c>
      <c r="P47" s="1">
        <f t="shared" si="2"/>
        <v>6276</v>
      </c>
      <c r="Q47" s="1">
        <f t="shared" si="2"/>
        <v>573</v>
      </c>
      <c r="R47" s="1">
        <f t="shared" si="2"/>
        <v>1510</v>
      </c>
      <c r="S47" s="1">
        <f t="shared" si="2"/>
        <v>5131</v>
      </c>
      <c r="T47" s="1">
        <f t="shared" si="2"/>
        <v>477</v>
      </c>
      <c r="U47" s="1">
        <f t="shared" si="2"/>
        <v>2396</v>
      </c>
      <c r="V47" s="1">
        <f t="shared" si="2"/>
        <v>197</v>
      </c>
      <c r="W47" s="1">
        <f t="shared" si="2"/>
        <v>90</v>
      </c>
      <c r="X47" s="1">
        <f t="shared" si="2"/>
        <v>7</v>
      </c>
      <c r="Y47" s="1">
        <f t="shared" si="2"/>
        <v>205</v>
      </c>
      <c r="Z47" s="1">
        <f t="shared" si="2"/>
        <v>137996</v>
      </c>
      <c r="AA47" s="1">
        <f t="shared" si="2"/>
        <v>296</v>
      </c>
      <c r="AB47" s="1">
        <f t="shared" si="2"/>
        <v>48840</v>
      </c>
      <c r="AC47" s="1">
        <f t="shared" si="2"/>
        <v>50</v>
      </c>
      <c r="AD47" s="1">
        <f t="shared" si="2"/>
        <v>-1825</v>
      </c>
      <c r="AE47" s="1">
        <f t="shared" si="2"/>
        <v>7529</v>
      </c>
      <c r="AG47" s="1">
        <f>SUM(B47:AE47)</f>
        <v>1060967</v>
      </c>
      <c r="AH47" s="1">
        <f>SUM(H47:AE47)</f>
        <v>692379</v>
      </c>
      <c r="AI47" s="1">
        <f>SUM(B47:G47)</f>
        <v>368588</v>
      </c>
    </row>
    <row r="48" spans="1:38" x14ac:dyDescent="0.55000000000000004">
      <c r="A48" s="9" t="s">
        <v>4</v>
      </c>
      <c r="B48" s="1">
        <f t="shared" ref="B48:AE48" si="3">SUM(B17:B36)</f>
        <v>379431</v>
      </c>
      <c r="C48" s="1">
        <f t="shared" si="3"/>
        <v>38122</v>
      </c>
      <c r="D48" s="1">
        <f t="shared" si="3"/>
        <v>6966</v>
      </c>
      <c r="E48" s="1">
        <f t="shared" si="3"/>
        <v>151250</v>
      </c>
      <c r="F48" s="1">
        <f t="shared" si="3"/>
        <v>87411</v>
      </c>
      <c r="G48" s="1">
        <f t="shared" si="3"/>
        <v>11124</v>
      </c>
      <c r="H48" s="1">
        <f t="shared" si="3"/>
        <v>64633</v>
      </c>
      <c r="I48" s="1">
        <f t="shared" si="3"/>
        <v>88815</v>
      </c>
      <c r="J48" s="1">
        <f t="shared" si="3"/>
        <v>12542</v>
      </c>
      <c r="K48" s="1">
        <f t="shared" si="3"/>
        <v>20477</v>
      </c>
      <c r="L48" s="1">
        <f t="shared" si="3"/>
        <v>8006</v>
      </c>
      <c r="M48" s="1">
        <f t="shared" si="3"/>
        <v>3063</v>
      </c>
      <c r="N48" s="1">
        <f t="shared" si="3"/>
        <v>10431</v>
      </c>
      <c r="O48" s="1">
        <f t="shared" si="3"/>
        <v>5897</v>
      </c>
      <c r="P48" s="1">
        <f t="shared" si="3"/>
        <v>4068</v>
      </c>
      <c r="Q48" s="1">
        <f t="shared" si="3"/>
        <v>9020</v>
      </c>
      <c r="R48" s="1">
        <f t="shared" si="3"/>
        <v>4862</v>
      </c>
      <c r="S48" s="1">
        <f t="shared" si="3"/>
        <v>5622</v>
      </c>
      <c r="T48" s="1">
        <f t="shared" si="3"/>
        <v>6426</v>
      </c>
      <c r="U48" s="1">
        <f t="shared" si="3"/>
        <v>7787</v>
      </c>
      <c r="V48" s="1">
        <f t="shared" si="3"/>
        <v>542</v>
      </c>
      <c r="W48" s="1">
        <f t="shared" si="3"/>
        <v>1009</v>
      </c>
      <c r="X48" s="1">
        <f t="shared" si="3"/>
        <v>78</v>
      </c>
      <c r="Y48" s="1">
        <f t="shared" si="3"/>
        <v>309</v>
      </c>
      <c r="Z48" s="1">
        <f t="shared" si="3"/>
        <v>363961</v>
      </c>
      <c r="AA48" s="1">
        <f t="shared" si="3"/>
        <v>202921</v>
      </c>
      <c r="AB48" s="1">
        <f t="shared" si="3"/>
        <v>205805</v>
      </c>
      <c r="AC48" s="1">
        <f t="shared" si="3"/>
        <v>16981</v>
      </c>
      <c r="AD48" s="1">
        <f t="shared" si="3"/>
        <v>-5491</v>
      </c>
      <c r="AE48" s="1">
        <f t="shared" si="3"/>
        <v>19956</v>
      </c>
      <c r="AG48" s="1">
        <f>SUM(B48:AE48)</f>
        <v>1732024</v>
      </c>
      <c r="AH48" s="1">
        <f>SUM(H48:AE48)</f>
        <v>1057720</v>
      </c>
      <c r="AI48" s="1">
        <f>SUM(B48:G48)</f>
        <v>674304</v>
      </c>
    </row>
    <row r="49" spans="1:38" x14ac:dyDescent="0.55000000000000004">
      <c r="A49" s="9" t="s">
        <v>51</v>
      </c>
      <c r="B49" s="1">
        <f>B48+B47</f>
        <v>668681</v>
      </c>
      <c r="C49" s="1">
        <f t="shared" ref="C49:AE49" si="4">C48+C47</f>
        <v>109385</v>
      </c>
      <c r="D49" s="1">
        <f t="shared" si="4"/>
        <v>12946</v>
      </c>
      <c r="E49" s="1">
        <f t="shared" si="4"/>
        <v>151250</v>
      </c>
      <c r="F49" s="1">
        <f t="shared" si="4"/>
        <v>89510</v>
      </c>
      <c r="G49" s="1">
        <f t="shared" si="4"/>
        <v>11120</v>
      </c>
      <c r="H49" s="1">
        <f t="shared" si="4"/>
        <v>263116</v>
      </c>
      <c r="I49" s="1">
        <f t="shared" si="4"/>
        <v>359363</v>
      </c>
      <c r="J49" s="1">
        <f t="shared" si="4"/>
        <v>13736</v>
      </c>
      <c r="K49" s="1">
        <f t="shared" si="4"/>
        <v>28070</v>
      </c>
      <c r="L49" s="1">
        <f t="shared" si="4"/>
        <v>12366</v>
      </c>
      <c r="M49" s="1">
        <f t="shared" si="4"/>
        <v>3156</v>
      </c>
      <c r="N49" s="1">
        <f t="shared" si="4"/>
        <v>10838</v>
      </c>
      <c r="O49" s="1">
        <f t="shared" si="4"/>
        <v>5850</v>
      </c>
      <c r="P49" s="1">
        <f t="shared" si="4"/>
        <v>10344</v>
      </c>
      <c r="Q49" s="1">
        <f t="shared" si="4"/>
        <v>9593</v>
      </c>
      <c r="R49" s="1">
        <f t="shared" si="4"/>
        <v>6372</v>
      </c>
      <c r="S49" s="1">
        <f t="shared" si="4"/>
        <v>10753</v>
      </c>
      <c r="T49" s="1">
        <f t="shared" si="4"/>
        <v>6903</v>
      </c>
      <c r="U49" s="1">
        <f t="shared" si="4"/>
        <v>10183</v>
      </c>
      <c r="V49" s="1">
        <f t="shared" si="4"/>
        <v>739</v>
      </c>
      <c r="W49" s="1">
        <f t="shared" si="4"/>
        <v>1099</v>
      </c>
      <c r="X49" s="1">
        <f t="shared" si="4"/>
        <v>85</v>
      </c>
      <c r="Y49" s="1">
        <f t="shared" si="4"/>
        <v>514</v>
      </c>
      <c r="Z49" s="1">
        <f t="shared" si="4"/>
        <v>501957</v>
      </c>
      <c r="AA49" s="1">
        <f t="shared" si="4"/>
        <v>203217</v>
      </c>
      <c r="AB49" s="1">
        <f t="shared" si="4"/>
        <v>254645</v>
      </c>
      <c r="AC49" s="1">
        <f t="shared" si="4"/>
        <v>17031</v>
      </c>
      <c r="AD49" s="1">
        <f t="shared" si="4"/>
        <v>-7316</v>
      </c>
      <c r="AE49" s="1">
        <f t="shared" si="4"/>
        <v>27485</v>
      </c>
      <c r="AG49" s="1">
        <f>SUM(B49:AE49)</f>
        <v>2792991</v>
      </c>
      <c r="AH49" s="1">
        <f>SUM(H49:AE49)</f>
        <v>1750099</v>
      </c>
      <c r="AI49" s="1">
        <f>SUM(B49:G49)</f>
        <v>1042892</v>
      </c>
    </row>
    <row r="50" spans="1:38" x14ac:dyDescent="0.55000000000000004">
      <c r="A50" s="9"/>
    </row>
    <row r="51" spans="1:38" x14ac:dyDescent="0.55000000000000004">
      <c r="A51" s="9" t="s">
        <v>50</v>
      </c>
      <c r="H51" s="1">
        <f>H47+B47</f>
        <v>487733</v>
      </c>
      <c r="I51" s="1">
        <f>I47+C47</f>
        <v>341811</v>
      </c>
      <c r="J51" s="1">
        <f t="shared" ref="J51:AD53" si="5">J47</f>
        <v>1194</v>
      </c>
      <c r="K51" s="1">
        <f t="shared" si="5"/>
        <v>7593</v>
      </c>
      <c r="L51" s="1">
        <f t="shared" si="5"/>
        <v>4360</v>
      </c>
      <c r="M51" s="1">
        <f t="shared" si="5"/>
        <v>93</v>
      </c>
      <c r="N51" s="1">
        <f t="shared" si="5"/>
        <v>407</v>
      </c>
      <c r="O51" s="1">
        <f t="shared" si="5"/>
        <v>-47</v>
      </c>
      <c r="P51" s="1">
        <f t="shared" si="5"/>
        <v>6276</v>
      </c>
      <c r="Q51" s="1">
        <f t="shared" si="5"/>
        <v>573</v>
      </c>
      <c r="R51" s="1">
        <f>R47+D47</f>
        <v>7490</v>
      </c>
      <c r="S51" s="1">
        <f t="shared" si="5"/>
        <v>5131</v>
      </c>
      <c r="T51" s="1">
        <f t="shared" si="5"/>
        <v>477</v>
      </c>
      <c r="U51" s="1">
        <f t="shared" si="5"/>
        <v>2396</v>
      </c>
      <c r="V51" s="1">
        <f t="shared" si="5"/>
        <v>197</v>
      </c>
      <c r="W51" s="1">
        <f t="shared" si="5"/>
        <v>90</v>
      </c>
      <c r="X51" s="1">
        <f t="shared" si="5"/>
        <v>7</v>
      </c>
      <c r="Y51" s="1">
        <f t="shared" si="5"/>
        <v>205</v>
      </c>
      <c r="Z51" s="1">
        <f>Z47+E47</f>
        <v>137996</v>
      </c>
      <c r="AA51" s="1">
        <f>AA47+F47</f>
        <v>2395</v>
      </c>
      <c r="AB51" s="1">
        <f t="shared" si="5"/>
        <v>48840</v>
      </c>
      <c r="AC51" s="1">
        <f t="shared" si="5"/>
        <v>50</v>
      </c>
      <c r="AD51" s="1">
        <f t="shared" si="5"/>
        <v>-1825</v>
      </c>
      <c r="AE51" s="1">
        <f>AE47+G47</f>
        <v>7525</v>
      </c>
      <c r="AG51" s="1">
        <f>SUM(B51:AE51)</f>
        <v>1060967</v>
      </c>
      <c r="AK51" s="1">
        <f>AG51-AL51</f>
        <v>871686</v>
      </c>
      <c r="AL51" s="1">
        <f>SUM(Z51:AC51)</f>
        <v>189281</v>
      </c>
    </row>
    <row r="52" spans="1:38" x14ac:dyDescent="0.55000000000000004">
      <c r="A52" s="9" t="s">
        <v>4</v>
      </c>
      <c r="H52" s="1">
        <f t="shared" ref="H52:I53" si="6">H48+B48</f>
        <v>444064</v>
      </c>
      <c r="I52" s="1">
        <f t="shared" si="6"/>
        <v>126937</v>
      </c>
      <c r="J52" s="1">
        <f t="shared" si="5"/>
        <v>12542</v>
      </c>
      <c r="K52" s="1">
        <f t="shared" si="5"/>
        <v>20477</v>
      </c>
      <c r="L52" s="1">
        <f t="shared" si="5"/>
        <v>8006</v>
      </c>
      <c r="M52" s="1">
        <f t="shared" si="5"/>
        <v>3063</v>
      </c>
      <c r="N52" s="1">
        <f t="shared" si="5"/>
        <v>10431</v>
      </c>
      <c r="O52" s="1">
        <f t="shared" si="5"/>
        <v>5897</v>
      </c>
      <c r="P52" s="1">
        <f t="shared" si="5"/>
        <v>4068</v>
      </c>
      <c r="Q52" s="1">
        <f t="shared" si="5"/>
        <v>9020</v>
      </c>
      <c r="R52" s="1">
        <f t="shared" ref="R52:R53" si="7">R48+D48</f>
        <v>11828</v>
      </c>
      <c r="S52" s="1">
        <f t="shared" si="5"/>
        <v>5622</v>
      </c>
      <c r="T52" s="1">
        <f t="shared" si="5"/>
        <v>6426</v>
      </c>
      <c r="U52" s="1">
        <f t="shared" si="5"/>
        <v>7787</v>
      </c>
      <c r="V52" s="1">
        <f t="shared" si="5"/>
        <v>542</v>
      </c>
      <c r="W52" s="1">
        <f t="shared" si="5"/>
        <v>1009</v>
      </c>
      <c r="X52" s="1">
        <f t="shared" si="5"/>
        <v>78</v>
      </c>
      <c r="Y52" s="1">
        <f t="shared" si="5"/>
        <v>309</v>
      </c>
      <c r="Z52" s="1">
        <f t="shared" ref="Z52:AA53" si="8">Z48+E48</f>
        <v>515211</v>
      </c>
      <c r="AA52" s="1">
        <f t="shared" si="8"/>
        <v>290332</v>
      </c>
      <c r="AB52" s="1">
        <f t="shared" si="5"/>
        <v>205805</v>
      </c>
      <c r="AC52" s="1">
        <f t="shared" si="5"/>
        <v>16981</v>
      </c>
      <c r="AD52" s="1">
        <f t="shared" si="5"/>
        <v>-5491</v>
      </c>
      <c r="AE52" s="1">
        <f t="shared" ref="AE52:AE53" si="9">AE48+G48</f>
        <v>31080</v>
      </c>
      <c r="AG52" s="1">
        <f>SUM(B52:AE52)</f>
        <v>1732024</v>
      </c>
      <c r="AK52" s="1">
        <f t="shared" ref="AK52:AK53" si="10">AG52-AL52</f>
        <v>703695</v>
      </c>
      <c r="AL52" s="1">
        <f t="shared" ref="AL52:AL53" si="11">SUM(Z52:AC52)</f>
        <v>1028329</v>
      </c>
    </row>
    <row r="53" spans="1:38" x14ac:dyDescent="0.55000000000000004">
      <c r="A53" s="9" t="s">
        <v>51</v>
      </c>
      <c r="H53" s="1">
        <f t="shared" si="6"/>
        <v>931797</v>
      </c>
      <c r="I53" s="1">
        <f t="shared" si="6"/>
        <v>468748</v>
      </c>
      <c r="J53" s="1">
        <f t="shared" si="5"/>
        <v>13736</v>
      </c>
      <c r="K53" s="1">
        <f t="shared" si="5"/>
        <v>28070</v>
      </c>
      <c r="L53" s="1">
        <f t="shared" si="5"/>
        <v>12366</v>
      </c>
      <c r="M53" s="1">
        <f t="shared" si="5"/>
        <v>3156</v>
      </c>
      <c r="N53" s="1">
        <f t="shared" si="5"/>
        <v>10838</v>
      </c>
      <c r="O53" s="1">
        <f t="shared" si="5"/>
        <v>5850</v>
      </c>
      <c r="P53" s="1">
        <f t="shared" si="5"/>
        <v>10344</v>
      </c>
      <c r="Q53" s="1">
        <f t="shared" si="5"/>
        <v>9593</v>
      </c>
      <c r="R53" s="1">
        <f t="shared" si="7"/>
        <v>19318</v>
      </c>
      <c r="S53" s="1">
        <f t="shared" si="5"/>
        <v>10753</v>
      </c>
      <c r="T53" s="1">
        <f t="shared" si="5"/>
        <v>6903</v>
      </c>
      <c r="U53" s="1">
        <f t="shared" si="5"/>
        <v>10183</v>
      </c>
      <c r="V53" s="1">
        <f t="shared" si="5"/>
        <v>739</v>
      </c>
      <c r="W53" s="1">
        <f t="shared" si="5"/>
        <v>1099</v>
      </c>
      <c r="X53" s="1">
        <f t="shared" si="5"/>
        <v>85</v>
      </c>
      <c r="Y53" s="1">
        <f t="shared" si="5"/>
        <v>514</v>
      </c>
      <c r="Z53" s="1">
        <f t="shared" si="8"/>
        <v>653207</v>
      </c>
      <c r="AA53" s="1">
        <f t="shared" si="8"/>
        <v>292727</v>
      </c>
      <c r="AB53" s="1">
        <f t="shared" si="5"/>
        <v>254645</v>
      </c>
      <c r="AC53" s="1">
        <f t="shared" si="5"/>
        <v>17031</v>
      </c>
      <c r="AD53" s="1">
        <f t="shared" si="5"/>
        <v>-7316</v>
      </c>
      <c r="AE53" s="1">
        <f t="shared" si="9"/>
        <v>38605</v>
      </c>
      <c r="AG53" s="1">
        <f>SUM(B53:AE53)</f>
        <v>2792991</v>
      </c>
      <c r="AK53" s="1">
        <f t="shared" si="10"/>
        <v>1575381</v>
      </c>
      <c r="AL53" s="1">
        <f t="shared" si="11"/>
        <v>1217610</v>
      </c>
    </row>
    <row r="55" spans="1:38" x14ac:dyDescent="0.55000000000000004">
      <c r="A55" s="9">
        <v>1881</v>
      </c>
      <c r="B55" s="1"/>
      <c r="H55" s="1">
        <f t="shared" ref="H55:H89" si="12">H2+B2</f>
        <v>54846</v>
      </c>
      <c r="I55" s="1">
        <f t="shared" ref="I55:I89" si="13">I2+C2</f>
        <v>21252</v>
      </c>
      <c r="J55" s="1">
        <f t="shared" ref="J55:Q64" si="14">J2</f>
        <v>-366</v>
      </c>
      <c r="K55" s="1">
        <f t="shared" si="14"/>
        <v>-294</v>
      </c>
      <c r="L55" s="1">
        <f t="shared" si="14"/>
        <v>7</v>
      </c>
      <c r="M55" s="1">
        <f t="shared" si="14"/>
        <v>-159</v>
      </c>
      <c r="N55" s="1">
        <f t="shared" si="14"/>
        <v>-3</v>
      </c>
      <c r="O55" s="1">
        <f t="shared" si="14"/>
        <v>-55</v>
      </c>
      <c r="P55" s="1">
        <f t="shared" si="14"/>
        <v>58</v>
      </c>
      <c r="Q55" s="1">
        <f t="shared" si="14"/>
        <v>-76</v>
      </c>
      <c r="R55" s="1">
        <f t="shared" ref="R55:R89" si="15">R2+D2</f>
        <v>1011</v>
      </c>
      <c r="S55" s="1">
        <f t="shared" ref="S55:Y64" si="16">S2</f>
        <v>598</v>
      </c>
      <c r="T55" s="1">
        <f t="shared" si="16"/>
        <v>-18</v>
      </c>
      <c r="U55" s="1">
        <f t="shared" si="16"/>
        <v>122</v>
      </c>
      <c r="V55" s="1">
        <f t="shared" si="16"/>
        <v>-27</v>
      </c>
      <c r="W55" s="1">
        <f t="shared" si="16"/>
        <v>6</v>
      </c>
      <c r="X55" s="1">
        <f t="shared" si="16"/>
        <v>-2</v>
      </c>
      <c r="Y55" s="1">
        <f t="shared" si="16"/>
        <v>26</v>
      </c>
      <c r="Z55" s="1">
        <f t="shared" ref="Z55:Z89" si="17">Z2+E2</f>
        <v>-942</v>
      </c>
      <c r="AA55" s="1">
        <f t="shared" ref="AA55:AA89" si="18">AA2+F2</f>
        <v>2104</v>
      </c>
      <c r="AB55" s="1">
        <f t="shared" ref="AB55:AD70" si="19">AB2</f>
        <v>890</v>
      </c>
      <c r="AC55" s="1">
        <f t="shared" si="19"/>
        <v>-2</v>
      </c>
      <c r="AD55" s="1">
        <f t="shared" si="19"/>
        <v>20</v>
      </c>
      <c r="AE55" s="1">
        <f t="shared" ref="AE55:AE89" si="20">AE2+G2</f>
        <v>17</v>
      </c>
      <c r="AG55" s="1">
        <f>SUM(H55:AE55)</f>
        <v>79013</v>
      </c>
      <c r="AK55" s="1">
        <f>AG55-AL55</f>
        <v>76963</v>
      </c>
      <c r="AL55" s="1">
        <f>SUM(Z55:AC55)</f>
        <v>2050</v>
      </c>
    </row>
    <row r="56" spans="1:38" x14ac:dyDescent="0.55000000000000004">
      <c r="A56" s="9">
        <v>1882</v>
      </c>
      <c r="B56" s="1"/>
      <c r="H56" s="1">
        <f t="shared" si="12"/>
        <v>50504</v>
      </c>
      <c r="I56" s="1">
        <f t="shared" si="13"/>
        <v>41842</v>
      </c>
      <c r="J56" s="1">
        <f t="shared" si="14"/>
        <v>-493</v>
      </c>
      <c r="K56" s="1">
        <f t="shared" si="14"/>
        <v>599</v>
      </c>
      <c r="L56" s="1">
        <f t="shared" si="14"/>
        <v>-11</v>
      </c>
      <c r="M56" s="1">
        <f t="shared" si="14"/>
        <v>-781</v>
      </c>
      <c r="N56" s="1">
        <f t="shared" si="14"/>
        <v>79</v>
      </c>
      <c r="O56" s="1">
        <f t="shared" si="14"/>
        <v>-56</v>
      </c>
      <c r="P56" s="1">
        <f t="shared" si="14"/>
        <v>387</v>
      </c>
      <c r="Q56" s="1">
        <f t="shared" si="14"/>
        <v>-2</v>
      </c>
      <c r="R56" s="1">
        <f t="shared" si="15"/>
        <v>1428</v>
      </c>
      <c r="S56" s="1">
        <f t="shared" si="16"/>
        <v>419</v>
      </c>
      <c r="T56" s="1">
        <f t="shared" si="16"/>
        <v>-21</v>
      </c>
      <c r="U56" s="1">
        <f t="shared" si="16"/>
        <v>17</v>
      </c>
      <c r="V56" s="1">
        <f t="shared" si="16"/>
        <v>5</v>
      </c>
      <c r="W56" s="1">
        <f t="shared" si="16"/>
        <v>4</v>
      </c>
      <c r="X56" s="1">
        <f t="shared" si="16"/>
        <v>-2</v>
      </c>
      <c r="Y56" s="1">
        <f t="shared" si="16"/>
        <v>-3</v>
      </c>
      <c r="Z56" s="1">
        <f t="shared" si="17"/>
        <v>7068</v>
      </c>
      <c r="AA56" s="1">
        <f t="shared" si="18"/>
        <v>10</v>
      </c>
      <c r="AB56" s="1">
        <f t="shared" si="19"/>
        <v>3081</v>
      </c>
      <c r="AC56" s="1">
        <f t="shared" si="19"/>
        <v>35</v>
      </c>
      <c r="AD56" s="1">
        <f t="shared" si="19"/>
        <v>2</v>
      </c>
      <c r="AE56" s="1">
        <f t="shared" si="20"/>
        <v>67</v>
      </c>
      <c r="AG56" s="1">
        <f t="shared" ref="AG56:AG89" si="21">SUM(H56:AE56)</f>
        <v>104178</v>
      </c>
      <c r="AK56" s="1">
        <f t="shared" ref="AK56:AK89" si="22">AG56-AL56</f>
        <v>93984</v>
      </c>
      <c r="AL56" s="1">
        <f t="shared" ref="AL56:AL89" si="23">SUM(Z56:AC56)</f>
        <v>10194</v>
      </c>
    </row>
    <row r="57" spans="1:38" x14ac:dyDescent="0.55000000000000004">
      <c r="A57" s="9">
        <v>1883</v>
      </c>
      <c r="B57" s="1"/>
      <c r="H57" s="1">
        <f t="shared" si="12"/>
        <v>30582</v>
      </c>
      <c r="I57" s="1">
        <f t="shared" si="13"/>
        <v>35166</v>
      </c>
      <c r="J57" s="1">
        <f t="shared" si="14"/>
        <v>1223</v>
      </c>
      <c r="K57" s="1">
        <f t="shared" si="14"/>
        <v>154</v>
      </c>
      <c r="L57" s="1">
        <f t="shared" si="14"/>
        <v>88</v>
      </c>
      <c r="M57" s="1">
        <f t="shared" si="14"/>
        <v>93</v>
      </c>
      <c r="N57" s="1">
        <f t="shared" si="14"/>
        <v>-1</v>
      </c>
      <c r="O57" s="1">
        <f t="shared" si="14"/>
        <v>-6</v>
      </c>
      <c r="P57" s="1">
        <f t="shared" si="14"/>
        <v>34</v>
      </c>
      <c r="Q57" s="1">
        <f t="shared" si="14"/>
        <v>90</v>
      </c>
      <c r="R57" s="1">
        <f t="shared" si="15"/>
        <v>173</v>
      </c>
      <c r="S57" s="1">
        <f t="shared" si="16"/>
        <v>279</v>
      </c>
      <c r="T57" s="1">
        <f t="shared" si="16"/>
        <v>46</v>
      </c>
      <c r="U57" s="1">
        <f t="shared" si="16"/>
        <v>78</v>
      </c>
      <c r="V57" s="1">
        <f t="shared" si="16"/>
        <v>85</v>
      </c>
      <c r="W57" s="1">
        <f t="shared" si="16"/>
        <v>2</v>
      </c>
      <c r="X57" s="1">
        <f t="shared" si="16"/>
        <v>0</v>
      </c>
      <c r="Y57" s="1">
        <f t="shared" si="16"/>
        <v>10</v>
      </c>
      <c r="Z57" s="1">
        <f t="shared" si="17"/>
        <v>4546</v>
      </c>
      <c r="AA57" s="1">
        <f t="shared" si="18"/>
        <v>-3</v>
      </c>
      <c r="AB57" s="1">
        <f t="shared" si="19"/>
        <v>4826</v>
      </c>
      <c r="AC57" s="1">
        <f t="shared" si="19"/>
        <v>-6</v>
      </c>
      <c r="AD57" s="1">
        <f t="shared" si="19"/>
        <v>-7</v>
      </c>
      <c r="AE57" s="1">
        <f t="shared" si="20"/>
        <v>49</v>
      </c>
      <c r="AG57" s="1">
        <f t="shared" si="21"/>
        <v>77501</v>
      </c>
      <c r="AK57" s="1">
        <f t="shared" si="22"/>
        <v>68138</v>
      </c>
      <c r="AL57" s="1">
        <f t="shared" si="23"/>
        <v>9363</v>
      </c>
    </row>
    <row r="58" spans="1:38" x14ac:dyDescent="0.55000000000000004">
      <c r="A58" s="9">
        <v>1884</v>
      </c>
      <c r="B58" s="1"/>
      <c r="H58" s="1">
        <f t="shared" si="12"/>
        <v>32918</v>
      </c>
      <c r="I58" s="1">
        <f t="shared" si="13"/>
        <v>37989</v>
      </c>
      <c r="J58" s="1">
        <f t="shared" si="14"/>
        <v>281</v>
      </c>
      <c r="K58" s="1">
        <f t="shared" si="14"/>
        <v>-371</v>
      </c>
      <c r="L58" s="1">
        <f t="shared" si="14"/>
        <v>59</v>
      </c>
      <c r="M58" s="1">
        <f t="shared" si="14"/>
        <v>29</v>
      </c>
      <c r="N58" s="1">
        <f t="shared" si="14"/>
        <v>45</v>
      </c>
      <c r="O58" s="1">
        <f t="shared" si="14"/>
        <v>12</v>
      </c>
      <c r="P58" s="1">
        <f t="shared" si="14"/>
        <v>102</v>
      </c>
      <c r="Q58" s="1">
        <f t="shared" si="14"/>
        <v>83</v>
      </c>
      <c r="R58" s="1">
        <f t="shared" si="15"/>
        <v>2443</v>
      </c>
      <c r="S58" s="1">
        <f t="shared" si="16"/>
        <v>298</v>
      </c>
      <c r="T58" s="1">
        <f t="shared" si="16"/>
        <v>67</v>
      </c>
      <c r="U58" s="1">
        <f t="shared" si="16"/>
        <v>-83</v>
      </c>
      <c r="V58" s="1">
        <f t="shared" si="16"/>
        <v>17</v>
      </c>
      <c r="W58" s="1">
        <f t="shared" si="16"/>
        <v>-24</v>
      </c>
      <c r="X58" s="1">
        <f t="shared" si="16"/>
        <v>9</v>
      </c>
      <c r="Y58" s="1">
        <f t="shared" si="16"/>
        <v>26</v>
      </c>
      <c r="Z58" s="1">
        <f t="shared" si="17"/>
        <v>6357</v>
      </c>
      <c r="AA58" s="1">
        <f t="shared" si="18"/>
        <v>-8</v>
      </c>
      <c r="AB58" s="1">
        <f t="shared" si="19"/>
        <v>2773</v>
      </c>
      <c r="AC58" s="1">
        <f t="shared" si="19"/>
        <v>-7</v>
      </c>
      <c r="AD58" s="1">
        <f t="shared" si="19"/>
        <v>-85</v>
      </c>
      <c r="AE58" s="1">
        <f t="shared" si="20"/>
        <v>105</v>
      </c>
      <c r="AG58" s="1">
        <f t="shared" si="21"/>
        <v>83035</v>
      </c>
      <c r="AK58" s="1">
        <f t="shared" si="22"/>
        <v>73920</v>
      </c>
      <c r="AL58" s="1">
        <f t="shared" si="23"/>
        <v>9115</v>
      </c>
    </row>
    <row r="59" spans="1:38" x14ac:dyDescent="0.55000000000000004">
      <c r="A59" s="9">
        <v>1885</v>
      </c>
      <c r="B59" s="1"/>
      <c r="H59" s="1">
        <f t="shared" si="12"/>
        <v>65433</v>
      </c>
      <c r="I59" s="1">
        <f t="shared" si="13"/>
        <v>44759</v>
      </c>
      <c r="J59" s="1">
        <f t="shared" si="14"/>
        <v>2181</v>
      </c>
      <c r="K59" s="1">
        <f t="shared" si="14"/>
        <v>537</v>
      </c>
      <c r="L59" s="1">
        <f t="shared" si="14"/>
        <v>145</v>
      </c>
      <c r="M59" s="1">
        <f t="shared" si="14"/>
        <v>218</v>
      </c>
      <c r="N59" s="1">
        <f t="shared" si="14"/>
        <v>63</v>
      </c>
      <c r="O59" s="1">
        <f t="shared" si="14"/>
        <v>-43</v>
      </c>
      <c r="P59" s="1">
        <f t="shared" si="14"/>
        <v>-121</v>
      </c>
      <c r="Q59" s="1">
        <f t="shared" si="14"/>
        <v>-90</v>
      </c>
      <c r="R59" s="1">
        <f t="shared" si="15"/>
        <v>453</v>
      </c>
      <c r="S59" s="1">
        <f t="shared" si="16"/>
        <v>39</v>
      </c>
      <c r="T59" s="1">
        <f t="shared" si="16"/>
        <v>17</v>
      </c>
      <c r="U59" s="1">
        <f t="shared" si="16"/>
        <v>358</v>
      </c>
      <c r="V59" s="1">
        <f t="shared" si="16"/>
        <v>13</v>
      </c>
      <c r="W59" s="1">
        <f t="shared" si="16"/>
        <v>-19</v>
      </c>
      <c r="X59" s="1">
        <f t="shared" si="16"/>
        <v>-3</v>
      </c>
      <c r="Y59" s="1">
        <f t="shared" si="16"/>
        <v>31</v>
      </c>
      <c r="Z59" s="1">
        <f t="shared" si="17"/>
        <v>4602</v>
      </c>
      <c r="AA59" s="1">
        <f t="shared" si="18"/>
        <v>-20</v>
      </c>
      <c r="AB59" s="1">
        <f t="shared" si="19"/>
        <v>3934</v>
      </c>
      <c r="AC59" s="1">
        <f t="shared" si="19"/>
        <v>4</v>
      </c>
      <c r="AD59" s="1">
        <f t="shared" si="19"/>
        <v>-34</v>
      </c>
      <c r="AE59" s="1">
        <f t="shared" si="20"/>
        <v>64</v>
      </c>
      <c r="AG59" s="1">
        <f t="shared" si="21"/>
        <v>122521</v>
      </c>
      <c r="AK59" s="1">
        <f t="shared" si="22"/>
        <v>114001</v>
      </c>
      <c r="AL59" s="1">
        <f t="shared" si="23"/>
        <v>8520</v>
      </c>
    </row>
    <row r="60" spans="1:38" x14ac:dyDescent="0.55000000000000004">
      <c r="A60" s="9">
        <v>1886</v>
      </c>
      <c r="B60" s="1"/>
      <c r="H60" s="1">
        <f t="shared" si="12"/>
        <v>55165</v>
      </c>
      <c r="I60" s="1">
        <f t="shared" si="13"/>
        <v>40607</v>
      </c>
      <c r="J60" s="1">
        <f t="shared" si="14"/>
        <v>285</v>
      </c>
      <c r="K60" s="1">
        <f t="shared" si="14"/>
        <v>229</v>
      </c>
      <c r="L60" s="1">
        <f t="shared" si="14"/>
        <v>414</v>
      </c>
      <c r="M60" s="1">
        <f t="shared" si="14"/>
        <v>223</v>
      </c>
      <c r="N60" s="1">
        <f t="shared" si="14"/>
        <v>-93</v>
      </c>
      <c r="O60" s="1">
        <f t="shared" si="14"/>
        <v>11</v>
      </c>
      <c r="P60" s="1">
        <f t="shared" si="14"/>
        <v>317</v>
      </c>
      <c r="Q60" s="1">
        <f t="shared" si="14"/>
        <v>-8</v>
      </c>
      <c r="R60" s="1">
        <f t="shared" si="15"/>
        <v>646</v>
      </c>
      <c r="S60" s="1">
        <f t="shared" si="16"/>
        <v>879</v>
      </c>
      <c r="T60" s="1">
        <f t="shared" si="16"/>
        <v>43</v>
      </c>
      <c r="U60" s="1">
        <f t="shared" si="16"/>
        <v>150</v>
      </c>
      <c r="V60" s="1">
        <f t="shared" si="16"/>
        <v>44</v>
      </c>
      <c r="W60" s="1">
        <f t="shared" si="16"/>
        <v>17</v>
      </c>
      <c r="X60" s="1">
        <f t="shared" si="16"/>
        <v>-6</v>
      </c>
      <c r="Y60" s="1">
        <f t="shared" si="16"/>
        <v>4</v>
      </c>
      <c r="Z60" s="1">
        <f t="shared" si="17"/>
        <v>14035</v>
      </c>
      <c r="AA60" s="1">
        <f t="shared" si="18"/>
        <v>-24</v>
      </c>
      <c r="AB60" s="1">
        <f t="shared" si="19"/>
        <v>3094</v>
      </c>
      <c r="AC60" s="1">
        <f t="shared" si="19"/>
        <v>-8</v>
      </c>
      <c r="AD60" s="1">
        <f t="shared" si="19"/>
        <v>17</v>
      </c>
      <c r="AE60" s="1">
        <f t="shared" si="20"/>
        <v>-309</v>
      </c>
      <c r="AG60" s="1">
        <f t="shared" si="21"/>
        <v>115732</v>
      </c>
      <c r="AK60" s="1">
        <f t="shared" si="22"/>
        <v>98635</v>
      </c>
      <c r="AL60" s="1">
        <f t="shared" si="23"/>
        <v>17097</v>
      </c>
    </row>
    <row r="61" spans="1:38" x14ac:dyDescent="0.55000000000000004">
      <c r="A61" s="9">
        <v>1887</v>
      </c>
      <c r="B61" s="1"/>
      <c r="H61" s="1">
        <f t="shared" si="12"/>
        <v>40077</v>
      </c>
      <c r="I61" s="1">
        <f t="shared" si="13"/>
        <v>17654</v>
      </c>
      <c r="J61" s="1">
        <f t="shared" si="14"/>
        <v>-898</v>
      </c>
      <c r="K61" s="1">
        <f t="shared" si="14"/>
        <v>-429</v>
      </c>
      <c r="L61" s="1">
        <f t="shared" si="14"/>
        <v>-76</v>
      </c>
      <c r="M61" s="1">
        <f t="shared" si="14"/>
        <v>-294</v>
      </c>
      <c r="N61" s="1">
        <f t="shared" si="14"/>
        <v>-121</v>
      </c>
      <c r="O61" s="1">
        <f t="shared" si="14"/>
        <v>-27</v>
      </c>
      <c r="P61" s="1">
        <f t="shared" si="14"/>
        <v>93</v>
      </c>
      <c r="Q61" s="1">
        <f t="shared" si="14"/>
        <v>-6</v>
      </c>
      <c r="R61" s="1">
        <f t="shared" si="15"/>
        <v>125</v>
      </c>
      <c r="S61" s="1">
        <f t="shared" si="16"/>
        <v>312</v>
      </c>
      <c r="T61" s="1">
        <f t="shared" si="16"/>
        <v>-20</v>
      </c>
      <c r="U61" s="1">
        <f t="shared" si="16"/>
        <v>-37</v>
      </c>
      <c r="V61" s="1">
        <f t="shared" si="16"/>
        <v>13</v>
      </c>
      <c r="W61" s="1">
        <f t="shared" si="16"/>
        <v>-5</v>
      </c>
      <c r="X61" s="1">
        <f t="shared" si="16"/>
        <v>-17</v>
      </c>
      <c r="Y61" s="1">
        <f t="shared" si="16"/>
        <v>22</v>
      </c>
      <c r="Z61" s="1">
        <f t="shared" si="17"/>
        <v>8123</v>
      </c>
      <c r="AA61" s="1">
        <f t="shared" si="18"/>
        <v>-99</v>
      </c>
      <c r="AB61" s="1">
        <f t="shared" si="19"/>
        <v>2183</v>
      </c>
      <c r="AC61" s="1">
        <f t="shared" si="19"/>
        <v>-5</v>
      </c>
      <c r="AD61" s="1">
        <f t="shared" si="19"/>
        <v>-38</v>
      </c>
      <c r="AE61" s="1">
        <f t="shared" si="20"/>
        <v>-215</v>
      </c>
      <c r="AG61" s="1">
        <f t="shared" si="21"/>
        <v>66315</v>
      </c>
      <c r="AK61" s="1">
        <f t="shared" si="22"/>
        <v>56113</v>
      </c>
      <c r="AL61" s="1">
        <f t="shared" si="23"/>
        <v>10202</v>
      </c>
    </row>
    <row r="62" spans="1:38" x14ac:dyDescent="0.55000000000000004">
      <c r="A62" s="9">
        <v>1888</v>
      </c>
      <c r="B62" s="1"/>
      <c r="H62" s="1">
        <f t="shared" si="12"/>
        <v>68160</v>
      </c>
      <c r="I62" s="1">
        <f t="shared" si="13"/>
        <v>15619</v>
      </c>
      <c r="J62" s="1">
        <f t="shared" si="14"/>
        <v>-112</v>
      </c>
      <c r="K62" s="1">
        <f t="shared" si="14"/>
        <v>243</v>
      </c>
      <c r="L62" s="1">
        <f t="shared" si="14"/>
        <v>-75</v>
      </c>
      <c r="M62" s="1">
        <f t="shared" si="14"/>
        <v>5</v>
      </c>
      <c r="N62" s="1">
        <f t="shared" si="14"/>
        <v>74</v>
      </c>
      <c r="O62" s="1">
        <f t="shared" si="14"/>
        <v>8</v>
      </c>
      <c r="P62" s="1">
        <f t="shared" si="14"/>
        <v>174</v>
      </c>
      <c r="Q62" s="1">
        <f t="shared" si="14"/>
        <v>79</v>
      </c>
      <c r="R62" s="1">
        <f t="shared" si="15"/>
        <v>16</v>
      </c>
      <c r="S62" s="1">
        <f t="shared" si="16"/>
        <v>661</v>
      </c>
      <c r="T62" s="1">
        <f t="shared" si="16"/>
        <v>44</v>
      </c>
      <c r="U62" s="1">
        <f t="shared" si="16"/>
        <v>30</v>
      </c>
      <c r="V62" s="1">
        <f t="shared" si="16"/>
        <v>11</v>
      </c>
      <c r="W62" s="1">
        <f t="shared" si="16"/>
        <v>-6</v>
      </c>
      <c r="X62" s="1">
        <f t="shared" si="16"/>
        <v>-12</v>
      </c>
      <c r="Y62" s="1">
        <f t="shared" si="16"/>
        <v>-9</v>
      </c>
      <c r="Z62" s="1">
        <f t="shared" si="17"/>
        <v>6129</v>
      </c>
      <c r="AA62" s="1">
        <f t="shared" si="18"/>
        <v>-34</v>
      </c>
      <c r="AB62" s="1">
        <f t="shared" si="19"/>
        <v>5927</v>
      </c>
      <c r="AC62" s="1">
        <f t="shared" si="19"/>
        <v>-3</v>
      </c>
      <c r="AD62" s="1">
        <f t="shared" si="19"/>
        <v>-71</v>
      </c>
      <c r="AE62" s="1">
        <f t="shared" si="20"/>
        <v>42</v>
      </c>
      <c r="AG62" s="1">
        <f t="shared" si="21"/>
        <v>96900</v>
      </c>
      <c r="AK62" s="1">
        <f t="shared" si="22"/>
        <v>84881</v>
      </c>
      <c r="AL62" s="1">
        <f t="shared" si="23"/>
        <v>12019</v>
      </c>
    </row>
    <row r="63" spans="1:38" x14ac:dyDescent="0.55000000000000004">
      <c r="A63" s="9">
        <v>1889</v>
      </c>
      <c r="B63" s="1"/>
      <c r="H63" s="1">
        <f t="shared" si="12"/>
        <v>17395</v>
      </c>
      <c r="I63" s="1">
        <f t="shared" si="13"/>
        <v>16643</v>
      </c>
      <c r="J63" s="1">
        <f t="shared" si="14"/>
        <v>400</v>
      </c>
      <c r="K63" s="1">
        <f t="shared" si="14"/>
        <v>1075</v>
      </c>
      <c r="L63" s="1">
        <f t="shared" si="14"/>
        <v>920</v>
      </c>
      <c r="M63" s="1">
        <f t="shared" si="14"/>
        <v>252</v>
      </c>
      <c r="N63" s="1">
        <f t="shared" si="14"/>
        <v>-52</v>
      </c>
      <c r="O63" s="1">
        <f t="shared" si="14"/>
        <v>30</v>
      </c>
      <c r="P63" s="1">
        <f t="shared" si="14"/>
        <v>-25</v>
      </c>
      <c r="Q63" s="1">
        <f t="shared" si="14"/>
        <v>4</v>
      </c>
      <c r="R63" s="1">
        <f t="shared" si="15"/>
        <v>335</v>
      </c>
      <c r="S63" s="1">
        <f t="shared" si="16"/>
        <v>296</v>
      </c>
      <c r="T63" s="1">
        <f t="shared" si="16"/>
        <v>-9</v>
      </c>
      <c r="U63" s="1">
        <f t="shared" si="16"/>
        <v>162</v>
      </c>
      <c r="V63" s="1">
        <f t="shared" si="16"/>
        <v>-11</v>
      </c>
      <c r="W63" s="1">
        <f t="shared" si="16"/>
        <v>36</v>
      </c>
      <c r="X63" s="1">
        <f t="shared" si="16"/>
        <v>12</v>
      </c>
      <c r="Y63" s="1">
        <f t="shared" si="16"/>
        <v>-2</v>
      </c>
      <c r="Z63" s="1">
        <f t="shared" si="17"/>
        <v>8526</v>
      </c>
      <c r="AA63" s="1">
        <f t="shared" si="18"/>
        <v>-100</v>
      </c>
      <c r="AB63" s="1">
        <f t="shared" si="19"/>
        <v>2995</v>
      </c>
      <c r="AC63" s="1">
        <f t="shared" si="19"/>
        <v>5</v>
      </c>
      <c r="AD63" s="1">
        <f t="shared" si="19"/>
        <v>23</v>
      </c>
      <c r="AE63" s="1">
        <f t="shared" si="20"/>
        <v>-19</v>
      </c>
      <c r="AG63" s="1">
        <f t="shared" si="21"/>
        <v>48891</v>
      </c>
      <c r="AK63" s="1">
        <f t="shared" si="22"/>
        <v>37465</v>
      </c>
      <c r="AL63" s="1">
        <f t="shared" si="23"/>
        <v>11426</v>
      </c>
    </row>
    <row r="64" spans="1:38" x14ac:dyDescent="0.55000000000000004">
      <c r="A64" s="9">
        <v>1890</v>
      </c>
      <c r="B64" s="1"/>
      <c r="H64" s="1">
        <f t="shared" si="12"/>
        <v>32800</v>
      </c>
      <c r="I64" s="1">
        <f t="shared" si="13"/>
        <v>15833</v>
      </c>
      <c r="J64" s="1">
        <f t="shared" si="14"/>
        <v>1581</v>
      </c>
      <c r="K64" s="1">
        <f t="shared" si="14"/>
        <v>868</v>
      </c>
      <c r="L64" s="1">
        <f t="shared" si="14"/>
        <v>290</v>
      </c>
      <c r="M64" s="1">
        <f t="shared" si="14"/>
        <v>446</v>
      </c>
      <c r="N64" s="1">
        <f t="shared" si="14"/>
        <v>113</v>
      </c>
      <c r="O64" s="1">
        <f t="shared" si="14"/>
        <v>12</v>
      </c>
      <c r="P64" s="1">
        <f t="shared" si="14"/>
        <v>1378</v>
      </c>
      <c r="Q64" s="1">
        <f t="shared" si="14"/>
        <v>9</v>
      </c>
      <c r="R64" s="1">
        <f t="shared" si="15"/>
        <v>612</v>
      </c>
      <c r="S64" s="1">
        <f t="shared" si="16"/>
        <v>426</v>
      </c>
      <c r="T64" s="1">
        <f t="shared" si="16"/>
        <v>21</v>
      </c>
      <c r="U64" s="1">
        <f t="shared" si="16"/>
        <v>291</v>
      </c>
      <c r="V64" s="1">
        <f t="shared" si="16"/>
        <v>-34</v>
      </c>
      <c r="W64" s="1">
        <f t="shared" si="16"/>
        <v>25</v>
      </c>
      <c r="X64" s="1">
        <f t="shared" si="16"/>
        <v>-24</v>
      </c>
      <c r="Y64" s="1">
        <f t="shared" si="16"/>
        <v>41</v>
      </c>
      <c r="Z64" s="1">
        <f t="shared" si="17"/>
        <v>12580</v>
      </c>
      <c r="AA64" s="1">
        <f t="shared" si="18"/>
        <v>-89</v>
      </c>
      <c r="AB64" s="1">
        <f t="shared" si="19"/>
        <v>3372</v>
      </c>
      <c r="AC64" s="1">
        <f t="shared" si="19"/>
        <v>-2</v>
      </c>
      <c r="AD64" s="1">
        <f t="shared" si="19"/>
        <v>-295</v>
      </c>
      <c r="AE64" s="1">
        <f t="shared" si="20"/>
        <v>-706</v>
      </c>
      <c r="AG64" s="1">
        <f t="shared" si="21"/>
        <v>69548</v>
      </c>
      <c r="AK64" s="1">
        <f t="shared" si="22"/>
        <v>53687</v>
      </c>
      <c r="AL64" s="1">
        <f t="shared" si="23"/>
        <v>15861</v>
      </c>
    </row>
    <row r="65" spans="1:38" x14ac:dyDescent="0.55000000000000004">
      <c r="A65" s="9">
        <v>1891</v>
      </c>
      <c r="B65" s="1"/>
      <c r="H65" s="1">
        <f t="shared" si="12"/>
        <v>-11339</v>
      </c>
      <c r="I65" s="1">
        <f t="shared" si="13"/>
        <v>19882</v>
      </c>
      <c r="J65" s="1">
        <f t="shared" ref="J65:Q74" si="24">J12</f>
        <v>-526</v>
      </c>
      <c r="K65" s="1">
        <f t="shared" si="24"/>
        <v>851</v>
      </c>
      <c r="L65" s="1">
        <f t="shared" si="24"/>
        <v>581</v>
      </c>
      <c r="M65" s="1">
        <f t="shared" si="24"/>
        <v>39</v>
      </c>
      <c r="N65" s="1">
        <f t="shared" si="24"/>
        <v>-98</v>
      </c>
      <c r="O65" s="1">
        <f t="shared" si="24"/>
        <v>-2</v>
      </c>
      <c r="P65" s="1">
        <f t="shared" si="24"/>
        <v>879</v>
      </c>
      <c r="Q65" s="1">
        <f t="shared" si="24"/>
        <v>100</v>
      </c>
      <c r="R65" s="1">
        <f t="shared" si="15"/>
        <v>-275</v>
      </c>
      <c r="S65" s="1">
        <f t="shared" ref="S65:Y70" si="25">S12</f>
        <v>201</v>
      </c>
      <c r="T65" s="1">
        <f t="shared" si="25"/>
        <v>85</v>
      </c>
      <c r="U65" s="1">
        <f t="shared" si="25"/>
        <v>240</v>
      </c>
      <c r="V65" s="1">
        <f t="shared" si="25"/>
        <v>31</v>
      </c>
      <c r="W65" s="1">
        <f t="shared" si="25"/>
        <v>-2</v>
      </c>
      <c r="X65" s="1">
        <f t="shared" si="25"/>
        <v>0</v>
      </c>
      <c r="Y65" s="1">
        <f t="shared" si="25"/>
        <v>4</v>
      </c>
      <c r="Z65" s="1">
        <f t="shared" si="17"/>
        <v>7662</v>
      </c>
      <c r="AA65" s="1">
        <f t="shared" si="18"/>
        <v>-122</v>
      </c>
      <c r="AB65" s="1">
        <f t="shared" si="19"/>
        <v>3159</v>
      </c>
      <c r="AC65" s="1">
        <f t="shared" si="19"/>
        <v>3</v>
      </c>
      <c r="AD65" s="1">
        <f t="shared" si="19"/>
        <v>-343</v>
      </c>
      <c r="AE65" s="1">
        <f t="shared" si="20"/>
        <v>-470</v>
      </c>
      <c r="AG65" s="1">
        <f t="shared" si="21"/>
        <v>20540</v>
      </c>
      <c r="AK65" s="1">
        <f t="shared" si="22"/>
        <v>9838</v>
      </c>
      <c r="AL65" s="1">
        <f t="shared" si="23"/>
        <v>10702</v>
      </c>
    </row>
    <row r="66" spans="1:38" x14ac:dyDescent="0.55000000000000004">
      <c r="A66" s="9">
        <v>1892</v>
      </c>
      <c r="B66" s="1"/>
      <c r="H66" s="1">
        <f t="shared" si="12"/>
        <v>3616</v>
      </c>
      <c r="I66" s="1">
        <f t="shared" si="13"/>
        <v>9892</v>
      </c>
      <c r="J66" s="1">
        <f t="shared" si="24"/>
        <v>-999</v>
      </c>
      <c r="K66" s="1">
        <f t="shared" si="24"/>
        <v>416</v>
      </c>
      <c r="L66" s="1">
        <f t="shared" si="24"/>
        <v>224</v>
      </c>
      <c r="M66" s="1">
        <f t="shared" si="24"/>
        <v>-391</v>
      </c>
      <c r="N66" s="1">
        <f t="shared" si="24"/>
        <v>-9</v>
      </c>
      <c r="O66" s="1">
        <f t="shared" si="24"/>
        <v>17</v>
      </c>
      <c r="P66" s="1">
        <f t="shared" si="24"/>
        <v>899</v>
      </c>
      <c r="Q66" s="1">
        <f t="shared" si="24"/>
        <v>101</v>
      </c>
      <c r="R66" s="1">
        <f t="shared" si="15"/>
        <v>-287</v>
      </c>
      <c r="S66" s="1">
        <f t="shared" si="25"/>
        <v>214</v>
      </c>
      <c r="T66" s="1">
        <f t="shared" si="25"/>
        <v>118</v>
      </c>
      <c r="U66" s="1">
        <f t="shared" si="25"/>
        <v>199</v>
      </c>
      <c r="V66" s="1">
        <f t="shared" si="25"/>
        <v>10</v>
      </c>
      <c r="W66" s="1">
        <f t="shared" si="25"/>
        <v>14</v>
      </c>
      <c r="X66" s="1">
        <f t="shared" si="25"/>
        <v>34</v>
      </c>
      <c r="Y66" s="1">
        <f t="shared" si="25"/>
        <v>2</v>
      </c>
      <c r="Z66" s="1">
        <f t="shared" si="17"/>
        <v>16360</v>
      </c>
      <c r="AA66" s="1">
        <f t="shared" si="18"/>
        <v>-201</v>
      </c>
      <c r="AB66" s="1">
        <f t="shared" si="19"/>
        <v>-164</v>
      </c>
      <c r="AC66" s="1">
        <f t="shared" si="19"/>
        <v>5</v>
      </c>
      <c r="AD66" s="1">
        <f t="shared" si="19"/>
        <v>-250</v>
      </c>
      <c r="AE66" s="1">
        <f t="shared" si="20"/>
        <v>-16</v>
      </c>
      <c r="AG66" s="1">
        <f t="shared" si="21"/>
        <v>29804</v>
      </c>
      <c r="AK66" s="1">
        <f t="shared" si="22"/>
        <v>13804</v>
      </c>
      <c r="AL66" s="1">
        <f t="shared" si="23"/>
        <v>16000</v>
      </c>
    </row>
    <row r="67" spans="1:38" x14ac:dyDescent="0.55000000000000004">
      <c r="A67" s="9">
        <v>1893</v>
      </c>
      <c r="B67" s="1"/>
      <c r="H67" s="1">
        <f t="shared" si="12"/>
        <v>26811</v>
      </c>
      <c r="I67" s="1">
        <f t="shared" si="13"/>
        <v>3749</v>
      </c>
      <c r="J67" s="1">
        <f t="shared" si="24"/>
        <v>-127</v>
      </c>
      <c r="K67" s="1">
        <f t="shared" si="24"/>
        <v>1811</v>
      </c>
      <c r="L67" s="1">
        <f t="shared" si="24"/>
        <v>284</v>
      </c>
      <c r="M67" s="1">
        <f t="shared" si="24"/>
        <v>76</v>
      </c>
      <c r="N67" s="1">
        <f t="shared" si="24"/>
        <v>699</v>
      </c>
      <c r="O67" s="1">
        <f t="shared" si="24"/>
        <v>69</v>
      </c>
      <c r="P67" s="1">
        <f t="shared" si="24"/>
        <v>351</v>
      </c>
      <c r="Q67" s="1">
        <f t="shared" si="24"/>
        <v>178</v>
      </c>
      <c r="R67" s="1">
        <f t="shared" si="15"/>
        <v>69</v>
      </c>
      <c r="S67" s="1">
        <f t="shared" si="25"/>
        <v>4</v>
      </c>
      <c r="T67" s="1">
        <f t="shared" si="25"/>
        <v>-31</v>
      </c>
      <c r="U67" s="1">
        <f t="shared" si="25"/>
        <v>275</v>
      </c>
      <c r="V67" s="1">
        <f t="shared" si="25"/>
        <v>29</v>
      </c>
      <c r="W67" s="1">
        <f t="shared" si="25"/>
        <v>-32</v>
      </c>
      <c r="X67" s="1">
        <f t="shared" si="25"/>
        <v>-3</v>
      </c>
      <c r="Y67" s="1">
        <f t="shared" si="25"/>
        <v>15</v>
      </c>
      <c r="Z67" s="1">
        <f t="shared" si="17"/>
        <v>12664</v>
      </c>
      <c r="AA67" s="1">
        <f t="shared" si="18"/>
        <v>385</v>
      </c>
      <c r="AB67" s="1">
        <f t="shared" si="19"/>
        <v>5813</v>
      </c>
      <c r="AC67" s="1">
        <f t="shared" si="19"/>
        <v>13</v>
      </c>
      <c r="AD67" s="1">
        <f t="shared" si="19"/>
        <v>-393</v>
      </c>
      <c r="AE67" s="1">
        <f t="shared" si="20"/>
        <v>44</v>
      </c>
      <c r="AG67" s="1">
        <f t="shared" si="21"/>
        <v>52753</v>
      </c>
      <c r="AK67" s="1">
        <f t="shared" si="22"/>
        <v>33878</v>
      </c>
      <c r="AL67" s="1">
        <f t="shared" si="23"/>
        <v>18875</v>
      </c>
    </row>
    <row r="68" spans="1:38" x14ac:dyDescent="0.55000000000000004">
      <c r="A68" s="9">
        <v>1894</v>
      </c>
      <c r="B68" s="1"/>
      <c r="H68" s="1">
        <f t="shared" si="12"/>
        <v>5875</v>
      </c>
      <c r="I68" s="1">
        <f t="shared" si="13"/>
        <v>5078</v>
      </c>
      <c r="J68" s="1">
        <f t="shared" si="24"/>
        <v>-1092</v>
      </c>
      <c r="K68" s="1">
        <f t="shared" si="24"/>
        <v>871</v>
      </c>
      <c r="L68" s="1">
        <f t="shared" si="24"/>
        <v>430</v>
      </c>
      <c r="M68" s="1">
        <f t="shared" si="24"/>
        <v>-10</v>
      </c>
      <c r="N68" s="1">
        <f t="shared" si="24"/>
        <v>-314</v>
      </c>
      <c r="O68" s="1">
        <f t="shared" si="24"/>
        <v>40</v>
      </c>
      <c r="P68" s="1">
        <f t="shared" si="24"/>
        <v>1153</v>
      </c>
      <c r="Q68" s="1">
        <f t="shared" si="24"/>
        <v>103</v>
      </c>
      <c r="R68" s="1">
        <f t="shared" si="15"/>
        <v>385</v>
      </c>
      <c r="S68" s="1">
        <f t="shared" si="25"/>
        <v>398</v>
      </c>
      <c r="T68" s="1">
        <f t="shared" si="25"/>
        <v>99</v>
      </c>
      <c r="U68" s="1">
        <f t="shared" si="25"/>
        <v>390</v>
      </c>
      <c r="V68" s="1">
        <f t="shared" si="25"/>
        <v>-4</v>
      </c>
      <c r="W68" s="1">
        <f t="shared" si="25"/>
        <v>52</v>
      </c>
      <c r="X68" s="1">
        <f t="shared" si="25"/>
        <v>25</v>
      </c>
      <c r="Y68" s="1">
        <f t="shared" si="25"/>
        <v>16</v>
      </c>
      <c r="Z68" s="1">
        <f t="shared" si="17"/>
        <v>14190</v>
      </c>
      <c r="AA68" s="1">
        <f t="shared" si="18"/>
        <v>537</v>
      </c>
      <c r="AB68" s="1">
        <f t="shared" si="19"/>
        <v>2051</v>
      </c>
      <c r="AC68" s="1">
        <f t="shared" si="19"/>
        <v>6</v>
      </c>
      <c r="AD68" s="1">
        <f t="shared" si="19"/>
        <v>-143</v>
      </c>
      <c r="AE68" s="1">
        <f t="shared" si="20"/>
        <v>4552</v>
      </c>
      <c r="AG68" s="1">
        <f t="shared" si="21"/>
        <v>34688</v>
      </c>
      <c r="AK68" s="1">
        <f t="shared" si="22"/>
        <v>17904</v>
      </c>
      <c r="AL68" s="1">
        <f t="shared" si="23"/>
        <v>16784</v>
      </c>
    </row>
    <row r="69" spans="1:38" x14ac:dyDescent="0.55000000000000004">
      <c r="A69" s="9">
        <v>1895</v>
      </c>
      <c r="B69" s="1"/>
      <c r="H69" s="1">
        <f t="shared" si="12"/>
        <v>14890</v>
      </c>
      <c r="I69" s="1">
        <f t="shared" si="13"/>
        <v>15846</v>
      </c>
      <c r="J69" s="1">
        <f t="shared" si="24"/>
        <v>-144</v>
      </c>
      <c r="K69" s="1">
        <f t="shared" si="24"/>
        <v>1033</v>
      </c>
      <c r="L69" s="1">
        <f t="shared" si="24"/>
        <v>1080</v>
      </c>
      <c r="M69" s="1">
        <f t="shared" si="24"/>
        <v>347</v>
      </c>
      <c r="N69" s="1">
        <f t="shared" si="24"/>
        <v>25</v>
      </c>
      <c r="O69" s="1">
        <f t="shared" si="24"/>
        <v>-57</v>
      </c>
      <c r="P69" s="1">
        <f t="shared" si="24"/>
        <v>597</v>
      </c>
      <c r="Q69" s="1">
        <f t="shared" si="24"/>
        <v>8</v>
      </c>
      <c r="R69" s="1">
        <f t="shared" si="15"/>
        <v>356</v>
      </c>
      <c r="S69" s="1">
        <f t="shared" si="25"/>
        <v>107</v>
      </c>
      <c r="T69" s="1">
        <f t="shared" si="25"/>
        <v>36</v>
      </c>
      <c r="U69" s="1">
        <f t="shared" si="25"/>
        <v>204</v>
      </c>
      <c r="V69" s="1">
        <f t="shared" si="25"/>
        <v>15</v>
      </c>
      <c r="W69" s="1">
        <f t="shared" si="25"/>
        <v>22</v>
      </c>
      <c r="X69" s="1">
        <f t="shared" si="25"/>
        <v>-4</v>
      </c>
      <c r="Y69" s="1">
        <f t="shared" si="25"/>
        <v>22</v>
      </c>
      <c r="Z69" s="1">
        <f t="shared" si="17"/>
        <v>16096</v>
      </c>
      <c r="AA69" s="1">
        <f t="shared" si="18"/>
        <v>59</v>
      </c>
      <c r="AB69" s="1">
        <f t="shared" si="19"/>
        <v>4906</v>
      </c>
      <c r="AC69" s="1">
        <f t="shared" si="19"/>
        <v>12</v>
      </c>
      <c r="AD69" s="1">
        <f t="shared" si="19"/>
        <v>-228</v>
      </c>
      <c r="AE69" s="1">
        <f t="shared" si="20"/>
        <v>4320</v>
      </c>
      <c r="AG69" s="1">
        <f t="shared" si="21"/>
        <v>59548</v>
      </c>
      <c r="AK69" s="1">
        <f t="shared" si="22"/>
        <v>38475</v>
      </c>
      <c r="AL69" s="1">
        <f t="shared" si="23"/>
        <v>21073</v>
      </c>
    </row>
    <row r="70" spans="1:38" x14ac:dyDescent="0.55000000000000004">
      <c r="A70" s="9">
        <v>1896</v>
      </c>
      <c r="B70" s="1"/>
      <c r="H70" s="1">
        <f t="shared" si="12"/>
        <v>23460</v>
      </c>
      <c r="I70" s="1">
        <f t="shared" si="13"/>
        <v>3179</v>
      </c>
      <c r="J70" s="1">
        <f t="shared" si="24"/>
        <v>-978</v>
      </c>
      <c r="K70" s="1">
        <f t="shared" si="24"/>
        <v>-902</v>
      </c>
      <c r="L70" s="1">
        <f t="shared" si="24"/>
        <v>251</v>
      </c>
      <c r="M70" s="1">
        <f t="shared" si="24"/>
        <v>426</v>
      </c>
      <c r="N70" s="1">
        <f t="shared" si="24"/>
        <v>1415</v>
      </c>
      <c r="O70" s="1">
        <f t="shared" si="24"/>
        <v>-110</v>
      </c>
      <c r="P70" s="1">
        <f t="shared" si="24"/>
        <v>354</v>
      </c>
      <c r="Q70" s="1">
        <f t="shared" si="24"/>
        <v>174</v>
      </c>
      <c r="R70" s="1">
        <f t="shared" si="15"/>
        <v>289</v>
      </c>
      <c r="S70" s="1">
        <f t="shared" si="25"/>
        <v>331</v>
      </c>
      <c r="T70" s="1">
        <f t="shared" si="25"/>
        <v>51</v>
      </c>
      <c r="U70" s="1">
        <f t="shared" si="25"/>
        <v>526</v>
      </c>
      <c r="V70" s="1">
        <f t="shared" si="25"/>
        <v>129</v>
      </c>
      <c r="W70" s="1">
        <f t="shared" si="25"/>
        <v>62</v>
      </c>
      <c r="X70" s="1">
        <f t="shared" si="25"/>
        <v>-44</v>
      </c>
      <c r="Y70" s="1">
        <f t="shared" si="25"/>
        <v>25</v>
      </c>
      <c r="Z70" s="1">
        <f t="shared" si="17"/>
        <v>12095</v>
      </c>
      <c r="AA70" s="1">
        <f t="shared" si="18"/>
        <v>1431</v>
      </c>
      <c r="AB70" s="1">
        <f t="shared" si="19"/>
        <v>4771</v>
      </c>
      <c r="AC70" s="1">
        <f t="shared" si="19"/>
        <v>13</v>
      </c>
      <c r="AD70" s="1">
        <f t="shared" si="19"/>
        <v>-2081</v>
      </c>
      <c r="AE70" s="1">
        <f t="shared" si="20"/>
        <v>2834</v>
      </c>
      <c r="AG70" s="1">
        <f t="shared" si="21"/>
        <v>47701</v>
      </c>
      <c r="AK70" s="1">
        <f t="shared" si="22"/>
        <v>29391</v>
      </c>
      <c r="AL70" s="1">
        <f t="shared" si="23"/>
        <v>18310</v>
      </c>
    </row>
    <row r="71" spans="1:38" x14ac:dyDescent="0.55000000000000004">
      <c r="A71" s="9">
        <v>1897</v>
      </c>
      <c r="B71" s="1"/>
      <c r="H71" s="1">
        <f t="shared" si="12"/>
        <v>26567</v>
      </c>
      <c r="I71" s="1">
        <f t="shared" si="13"/>
        <v>9153</v>
      </c>
      <c r="J71" s="1">
        <f t="shared" si="24"/>
        <v>2018</v>
      </c>
      <c r="K71" s="1">
        <f t="shared" si="24"/>
        <v>1013</v>
      </c>
      <c r="L71" s="1">
        <f t="shared" si="24"/>
        <v>515</v>
      </c>
      <c r="M71" s="1">
        <f t="shared" si="24"/>
        <v>524</v>
      </c>
      <c r="N71" s="1">
        <f t="shared" si="24"/>
        <v>1418</v>
      </c>
      <c r="O71" s="1">
        <f t="shared" si="24"/>
        <v>90</v>
      </c>
      <c r="P71" s="1">
        <f t="shared" si="24"/>
        <v>484</v>
      </c>
      <c r="Q71" s="1">
        <f t="shared" si="24"/>
        <v>-4</v>
      </c>
      <c r="R71" s="1">
        <f t="shared" si="15"/>
        <v>455</v>
      </c>
      <c r="S71" s="1">
        <f t="shared" ref="S71:AD86" si="26">S18</f>
        <v>308</v>
      </c>
      <c r="T71" s="1">
        <f t="shared" si="26"/>
        <v>290</v>
      </c>
      <c r="U71" s="1">
        <f t="shared" si="26"/>
        <v>414</v>
      </c>
      <c r="V71" s="1">
        <f t="shared" si="26"/>
        <v>75</v>
      </c>
      <c r="W71" s="1">
        <f t="shared" si="26"/>
        <v>117</v>
      </c>
      <c r="X71" s="1">
        <f t="shared" si="26"/>
        <v>40</v>
      </c>
      <c r="Y71" s="1">
        <f t="shared" si="26"/>
        <v>-40</v>
      </c>
      <c r="Z71" s="1">
        <f t="shared" si="17"/>
        <v>26624</v>
      </c>
      <c r="AA71" s="1">
        <f t="shared" si="18"/>
        <v>1039</v>
      </c>
      <c r="AB71" s="1">
        <f t="shared" si="26"/>
        <v>4740</v>
      </c>
      <c r="AC71" s="1">
        <f t="shared" si="26"/>
        <v>16</v>
      </c>
      <c r="AD71" s="1">
        <f t="shared" si="26"/>
        <v>60</v>
      </c>
      <c r="AE71" s="1">
        <f t="shared" si="20"/>
        <v>3481</v>
      </c>
      <c r="AG71" s="1">
        <f t="shared" si="21"/>
        <v>79397</v>
      </c>
      <c r="AK71" s="1">
        <f t="shared" si="22"/>
        <v>46978</v>
      </c>
      <c r="AL71" s="1">
        <f t="shared" si="23"/>
        <v>32419</v>
      </c>
    </row>
    <row r="72" spans="1:38" x14ac:dyDescent="0.55000000000000004">
      <c r="A72" s="9">
        <v>1898</v>
      </c>
      <c r="B72" s="1"/>
      <c r="H72" s="1">
        <f t="shared" si="12"/>
        <v>19680</v>
      </c>
      <c r="I72" s="1">
        <f t="shared" si="13"/>
        <v>14479</v>
      </c>
      <c r="J72" s="1">
        <f t="shared" si="24"/>
        <v>2061</v>
      </c>
      <c r="K72" s="1">
        <f t="shared" si="24"/>
        <v>2034</v>
      </c>
      <c r="L72" s="1">
        <f t="shared" si="24"/>
        <v>415</v>
      </c>
      <c r="M72" s="1">
        <f t="shared" si="24"/>
        <v>383</v>
      </c>
      <c r="N72" s="1">
        <f t="shared" si="24"/>
        <v>1838</v>
      </c>
      <c r="O72" s="1">
        <f t="shared" si="24"/>
        <v>13</v>
      </c>
      <c r="P72" s="1">
        <f t="shared" si="24"/>
        <v>636</v>
      </c>
      <c r="Q72" s="1">
        <f t="shared" si="24"/>
        <v>161</v>
      </c>
      <c r="R72" s="1">
        <f t="shared" si="15"/>
        <v>746</v>
      </c>
      <c r="S72" s="1">
        <f t="shared" si="26"/>
        <v>424</v>
      </c>
      <c r="T72" s="1">
        <f t="shared" si="26"/>
        <v>-171</v>
      </c>
      <c r="U72" s="1">
        <f t="shared" si="26"/>
        <v>582</v>
      </c>
      <c r="V72" s="1">
        <f t="shared" si="26"/>
        <v>223</v>
      </c>
      <c r="W72" s="1">
        <f t="shared" si="26"/>
        <v>189</v>
      </c>
      <c r="X72" s="1">
        <f t="shared" si="26"/>
        <v>-38</v>
      </c>
      <c r="Y72" s="1">
        <f t="shared" si="26"/>
        <v>30</v>
      </c>
      <c r="Z72" s="1">
        <f t="shared" si="17"/>
        <v>26612</v>
      </c>
      <c r="AA72" s="1">
        <f t="shared" si="18"/>
        <v>1050</v>
      </c>
      <c r="AB72" s="1">
        <f t="shared" si="26"/>
        <v>9956</v>
      </c>
      <c r="AC72" s="1">
        <f t="shared" si="26"/>
        <v>64</v>
      </c>
      <c r="AD72" s="1">
        <f t="shared" si="26"/>
        <v>-14</v>
      </c>
      <c r="AE72" s="1">
        <f t="shared" si="20"/>
        <v>2289</v>
      </c>
      <c r="AG72" s="1">
        <f t="shared" si="21"/>
        <v>83642</v>
      </c>
      <c r="AK72" s="1">
        <f t="shared" si="22"/>
        <v>45960</v>
      </c>
      <c r="AL72" s="1">
        <f t="shared" si="23"/>
        <v>37682</v>
      </c>
    </row>
    <row r="73" spans="1:38" x14ac:dyDescent="0.55000000000000004">
      <c r="A73" s="9">
        <v>1899</v>
      </c>
      <c r="B73" s="1"/>
      <c r="H73" s="1">
        <f t="shared" si="12"/>
        <v>39526</v>
      </c>
      <c r="I73" s="1">
        <f t="shared" si="13"/>
        <v>8689</v>
      </c>
      <c r="J73" s="1">
        <f t="shared" si="24"/>
        <v>506</v>
      </c>
      <c r="K73" s="1">
        <f t="shared" si="24"/>
        <v>1122</v>
      </c>
      <c r="L73" s="1">
        <f t="shared" si="24"/>
        <v>554</v>
      </c>
      <c r="M73" s="1">
        <f t="shared" si="24"/>
        <v>202</v>
      </c>
      <c r="N73" s="1">
        <f t="shared" si="24"/>
        <v>277</v>
      </c>
      <c r="O73" s="1">
        <f t="shared" si="24"/>
        <v>131</v>
      </c>
      <c r="P73" s="1">
        <f t="shared" si="24"/>
        <v>274</v>
      </c>
      <c r="Q73" s="1">
        <f t="shared" si="24"/>
        <v>183</v>
      </c>
      <c r="R73" s="1">
        <f t="shared" si="15"/>
        <v>410</v>
      </c>
      <c r="S73" s="1">
        <f t="shared" si="26"/>
        <v>18</v>
      </c>
      <c r="T73" s="1">
        <f t="shared" si="26"/>
        <v>159</v>
      </c>
      <c r="U73" s="1">
        <f t="shared" si="26"/>
        <v>695</v>
      </c>
      <c r="V73" s="1">
        <f t="shared" si="26"/>
        <v>62</v>
      </c>
      <c r="W73" s="1">
        <f t="shared" si="26"/>
        <v>-23</v>
      </c>
      <c r="X73" s="1">
        <f t="shared" si="26"/>
        <v>11</v>
      </c>
      <c r="Y73" s="1">
        <f t="shared" si="26"/>
        <v>46</v>
      </c>
      <c r="Z73" s="1">
        <f t="shared" si="17"/>
        <v>31058</v>
      </c>
      <c r="AA73" s="1">
        <f t="shared" si="18"/>
        <v>1474</v>
      </c>
      <c r="AB73" s="1">
        <f t="shared" si="26"/>
        <v>8199</v>
      </c>
      <c r="AC73" s="1">
        <f t="shared" si="26"/>
        <v>-4</v>
      </c>
      <c r="AD73" s="1">
        <f t="shared" si="26"/>
        <v>-148</v>
      </c>
      <c r="AE73" s="1">
        <f t="shared" si="20"/>
        <v>1733</v>
      </c>
      <c r="AG73" s="1">
        <f t="shared" si="21"/>
        <v>95154</v>
      </c>
      <c r="AK73" s="1">
        <f t="shared" si="22"/>
        <v>54427</v>
      </c>
      <c r="AL73" s="1">
        <f t="shared" si="23"/>
        <v>40727</v>
      </c>
    </row>
    <row r="74" spans="1:38" x14ac:dyDescent="0.55000000000000004">
      <c r="A74" s="9">
        <v>1900</v>
      </c>
      <c r="B74" s="1"/>
      <c r="H74" s="1">
        <f t="shared" si="12"/>
        <v>28424</v>
      </c>
      <c r="I74" s="1">
        <f t="shared" si="13"/>
        <v>11790</v>
      </c>
      <c r="J74" s="1">
        <f t="shared" si="24"/>
        <v>160</v>
      </c>
      <c r="K74" s="1">
        <f t="shared" si="24"/>
        <v>506</v>
      </c>
      <c r="L74" s="1">
        <f t="shared" si="24"/>
        <v>250</v>
      </c>
      <c r="M74" s="1">
        <f t="shared" si="24"/>
        <v>-268</v>
      </c>
      <c r="N74" s="1">
        <f t="shared" si="24"/>
        <v>598</v>
      </c>
      <c r="O74" s="1">
        <f t="shared" si="24"/>
        <v>-117</v>
      </c>
      <c r="P74" s="1">
        <f t="shared" si="24"/>
        <v>161</v>
      </c>
      <c r="Q74" s="1">
        <f t="shared" si="24"/>
        <v>604</v>
      </c>
      <c r="R74" s="1">
        <f t="shared" si="15"/>
        <v>378</v>
      </c>
      <c r="S74" s="1">
        <f t="shared" si="26"/>
        <v>268</v>
      </c>
      <c r="T74" s="1">
        <f t="shared" si="26"/>
        <v>204</v>
      </c>
      <c r="U74" s="1">
        <f t="shared" si="26"/>
        <v>233</v>
      </c>
      <c r="V74" s="1">
        <f t="shared" si="26"/>
        <v>0</v>
      </c>
      <c r="W74" s="1">
        <f t="shared" si="26"/>
        <v>20</v>
      </c>
      <c r="X74" s="1">
        <f t="shared" si="26"/>
        <v>27</v>
      </c>
      <c r="Y74" s="1">
        <f t="shared" si="26"/>
        <v>34</v>
      </c>
      <c r="Z74" s="1">
        <f t="shared" si="17"/>
        <v>10021</v>
      </c>
      <c r="AA74" s="1">
        <f t="shared" si="18"/>
        <v>1237</v>
      </c>
      <c r="AB74" s="1">
        <f t="shared" si="26"/>
        <v>8448</v>
      </c>
      <c r="AC74" s="1">
        <f t="shared" si="26"/>
        <v>-207</v>
      </c>
      <c r="AD74" s="1">
        <f t="shared" si="26"/>
        <v>-215</v>
      </c>
      <c r="AE74" s="1">
        <f t="shared" si="20"/>
        <v>-4</v>
      </c>
      <c r="AG74" s="1">
        <f t="shared" si="21"/>
        <v>62552</v>
      </c>
      <c r="AK74" s="1">
        <f t="shared" si="22"/>
        <v>43053</v>
      </c>
      <c r="AL74" s="1">
        <f t="shared" si="23"/>
        <v>19499</v>
      </c>
    </row>
    <row r="75" spans="1:38" x14ac:dyDescent="0.55000000000000004">
      <c r="A75" s="9">
        <v>1901</v>
      </c>
      <c r="H75" s="1">
        <f t="shared" si="12"/>
        <v>36675</v>
      </c>
      <c r="I75" s="1">
        <f t="shared" si="13"/>
        <v>13699</v>
      </c>
      <c r="J75" s="1">
        <f t="shared" ref="J75:Q84" si="27">J22</f>
        <v>1178</v>
      </c>
      <c r="K75" s="1">
        <f t="shared" si="27"/>
        <v>103</v>
      </c>
      <c r="L75" s="1">
        <f t="shared" si="27"/>
        <v>373</v>
      </c>
      <c r="M75" s="1">
        <f t="shared" si="27"/>
        <v>89</v>
      </c>
      <c r="N75" s="1">
        <f t="shared" si="27"/>
        <v>236</v>
      </c>
      <c r="O75" s="1">
        <f t="shared" si="27"/>
        <v>13</v>
      </c>
      <c r="P75" s="1">
        <f t="shared" si="27"/>
        <v>270</v>
      </c>
      <c r="Q75" s="1">
        <f t="shared" si="27"/>
        <v>978</v>
      </c>
      <c r="R75" s="1">
        <f t="shared" si="15"/>
        <v>495</v>
      </c>
      <c r="S75" s="1">
        <f t="shared" si="26"/>
        <v>284</v>
      </c>
      <c r="T75" s="1">
        <f t="shared" si="26"/>
        <v>183</v>
      </c>
      <c r="U75" s="1">
        <f t="shared" si="26"/>
        <v>322</v>
      </c>
      <c r="V75" s="1">
        <f t="shared" si="26"/>
        <v>-11</v>
      </c>
      <c r="W75" s="1">
        <f t="shared" si="26"/>
        <v>-7</v>
      </c>
      <c r="X75" s="1">
        <f t="shared" si="26"/>
        <v>5</v>
      </c>
      <c r="Y75" s="1">
        <f t="shared" si="26"/>
        <v>32</v>
      </c>
      <c r="Z75" s="1">
        <f t="shared" si="17"/>
        <v>16538</v>
      </c>
      <c r="AA75" s="1">
        <f t="shared" si="18"/>
        <v>23761</v>
      </c>
      <c r="AB75" s="1">
        <f t="shared" si="26"/>
        <v>3584</v>
      </c>
      <c r="AC75" s="1">
        <f t="shared" si="26"/>
        <v>1622</v>
      </c>
      <c r="AD75" s="1">
        <f t="shared" si="26"/>
        <v>-392</v>
      </c>
      <c r="AE75" s="1">
        <f t="shared" si="20"/>
        <v>-1432</v>
      </c>
      <c r="AG75" s="1">
        <f t="shared" si="21"/>
        <v>98598</v>
      </c>
      <c r="AK75" s="1">
        <f t="shared" si="22"/>
        <v>53093</v>
      </c>
      <c r="AL75" s="1">
        <f t="shared" si="23"/>
        <v>45505</v>
      </c>
    </row>
    <row r="76" spans="1:38" x14ac:dyDescent="0.55000000000000004">
      <c r="A76" s="9">
        <v>1902</v>
      </c>
      <c r="B76" s="1"/>
      <c r="H76" s="1">
        <f t="shared" si="12"/>
        <v>18122</v>
      </c>
      <c r="I76" s="1">
        <f t="shared" si="13"/>
        <v>15376</v>
      </c>
      <c r="J76" s="1">
        <f t="shared" si="27"/>
        <v>439</v>
      </c>
      <c r="K76" s="1">
        <f t="shared" si="27"/>
        <v>485</v>
      </c>
      <c r="L76" s="1">
        <f t="shared" si="27"/>
        <v>191</v>
      </c>
      <c r="M76" s="1">
        <f t="shared" si="27"/>
        <v>62</v>
      </c>
      <c r="N76" s="1">
        <f t="shared" si="27"/>
        <v>213</v>
      </c>
      <c r="O76" s="1">
        <f t="shared" si="27"/>
        <v>198</v>
      </c>
      <c r="P76" s="1">
        <f t="shared" si="27"/>
        <v>333</v>
      </c>
      <c r="Q76" s="1">
        <f t="shared" si="27"/>
        <v>942</v>
      </c>
      <c r="R76" s="1">
        <f t="shared" si="15"/>
        <v>1228</v>
      </c>
      <c r="S76" s="1">
        <f t="shared" si="26"/>
        <v>367</v>
      </c>
      <c r="T76" s="1">
        <f t="shared" si="26"/>
        <v>166</v>
      </c>
      <c r="U76" s="1">
        <f t="shared" si="26"/>
        <v>198</v>
      </c>
      <c r="V76" s="1">
        <f t="shared" si="26"/>
        <v>-19</v>
      </c>
      <c r="W76" s="1">
        <f t="shared" si="26"/>
        <v>85</v>
      </c>
      <c r="X76" s="1">
        <f t="shared" si="26"/>
        <v>-34</v>
      </c>
      <c r="Y76" s="1">
        <f t="shared" si="26"/>
        <v>-36</v>
      </c>
      <c r="Z76" s="1">
        <f t="shared" si="17"/>
        <v>21988</v>
      </c>
      <c r="AA76" s="1">
        <f t="shared" si="18"/>
        <v>27566</v>
      </c>
      <c r="AB76" s="1">
        <f t="shared" si="26"/>
        <v>7913</v>
      </c>
      <c r="AC76" s="1">
        <f t="shared" si="26"/>
        <v>2264</v>
      </c>
      <c r="AD76" s="1">
        <f t="shared" si="26"/>
        <v>-247</v>
      </c>
      <c r="AE76" s="1">
        <f t="shared" si="20"/>
        <v>-1763</v>
      </c>
      <c r="AG76" s="1">
        <f t="shared" si="21"/>
        <v>96037</v>
      </c>
      <c r="AK76" s="1">
        <f t="shared" si="22"/>
        <v>36306</v>
      </c>
      <c r="AL76" s="1">
        <f t="shared" si="23"/>
        <v>59731</v>
      </c>
    </row>
    <row r="77" spans="1:38" x14ac:dyDescent="0.55000000000000004">
      <c r="A77" s="9">
        <v>1903</v>
      </c>
      <c r="H77" s="1">
        <f t="shared" si="12"/>
        <v>24435</v>
      </c>
      <c r="I77" s="1">
        <f t="shared" si="13"/>
        <v>11465</v>
      </c>
      <c r="J77" s="1">
        <f t="shared" si="27"/>
        <v>-8</v>
      </c>
      <c r="K77" s="1">
        <f t="shared" si="27"/>
        <v>651</v>
      </c>
      <c r="L77" s="1">
        <f t="shared" si="27"/>
        <v>355</v>
      </c>
      <c r="M77" s="1">
        <f t="shared" si="27"/>
        <v>118</v>
      </c>
      <c r="N77" s="1">
        <f t="shared" si="27"/>
        <v>84</v>
      </c>
      <c r="O77" s="1">
        <f t="shared" si="27"/>
        <v>194</v>
      </c>
      <c r="P77" s="1">
        <f t="shared" si="27"/>
        <v>375</v>
      </c>
      <c r="Q77" s="1">
        <f t="shared" si="27"/>
        <v>813</v>
      </c>
      <c r="R77" s="1">
        <f t="shared" si="15"/>
        <v>448</v>
      </c>
      <c r="S77" s="1">
        <f t="shared" si="26"/>
        <v>314</v>
      </c>
      <c r="T77" s="1">
        <f t="shared" si="26"/>
        <v>249</v>
      </c>
      <c r="U77" s="1">
        <f t="shared" si="26"/>
        <v>377</v>
      </c>
      <c r="V77" s="1">
        <f t="shared" si="26"/>
        <v>30</v>
      </c>
      <c r="W77" s="1">
        <f t="shared" si="26"/>
        <v>24</v>
      </c>
      <c r="X77" s="1">
        <f t="shared" si="26"/>
        <v>-4</v>
      </c>
      <c r="Y77" s="1">
        <f t="shared" si="26"/>
        <v>20</v>
      </c>
      <c r="Z77" s="1">
        <f t="shared" si="17"/>
        <v>23983</v>
      </c>
      <c r="AA77" s="1">
        <f t="shared" si="18"/>
        <v>5252</v>
      </c>
      <c r="AB77" s="1">
        <f t="shared" si="26"/>
        <v>10102</v>
      </c>
      <c r="AC77" s="1">
        <f t="shared" si="26"/>
        <v>2079</v>
      </c>
      <c r="AD77" s="1">
        <f t="shared" si="26"/>
        <v>-447</v>
      </c>
      <c r="AE77" s="1">
        <f t="shared" si="20"/>
        <v>1191</v>
      </c>
      <c r="AG77" s="1">
        <f t="shared" si="21"/>
        <v>82100</v>
      </c>
      <c r="AK77" s="1">
        <f t="shared" si="22"/>
        <v>40684</v>
      </c>
      <c r="AL77" s="1">
        <f t="shared" si="23"/>
        <v>41416</v>
      </c>
    </row>
    <row r="78" spans="1:38" x14ac:dyDescent="0.55000000000000004">
      <c r="A78" s="9">
        <v>1904</v>
      </c>
      <c r="H78" s="1">
        <f t="shared" si="12"/>
        <v>13711</v>
      </c>
      <c r="I78" s="1">
        <f t="shared" si="13"/>
        <v>16264</v>
      </c>
      <c r="J78" s="1">
        <f t="shared" si="27"/>
        <v>190</v>
      </c>
      <c r="K78" s="1">
        <f t="shared" si="27"/>
        <v>924</v>
      </c>
      <c r="L78" s="1">
        <f t="shared" si="27"/>
        <v>110</v>
      </c>
      <c r="M78" s="1">
        <f t="shared" si="27"/>
        <v>-164</v>
      </c>
      <c r="N78" s="1">
        <f t="shared" si="27"/>
        <v>63</v>
      </c>
      <c r="O78" s="1">
        <f t="shared" si="27"/>
        <v>168</v>
      </c>
      <c r="P78" s="1">
        <f t="shared" si="27"/>
        <v>-192</v>
      </c>
      <c r="Q78" s="1">
        <f t="shared" si="27"/>
        <v>402</v>
      </c>
      <c r="R78" s="1">
        <f t="shared" si="15"/>
        <v>247</v>
      </c>
      <c r="S78" s="1">
        <f t="shared" si="26"/>
        <v>333</v>
      </c>
      <c r="T78" s="1">
        <f t="shared" si="26"/>
        <v>53</v>
      </c>
      <c r="U78" s="1">
        <f t="shared" si="26"/>
        <v>83</v>
      </c>
      <c r="V78" s="1">
        <f t="shared" si="26"/>
        <v>-85</v>
      </c>
      <c r="W78" s="1">
        <f t="shared" si="26"/>
        <v>-55</v>
      </c>
      <c r="X78" s="1">
        <f t="shared" si="26"/>
        <v>-44</v>
      </c>
      <c r="Y78" s="1">
        <f t="shared" si="26"/>
        <v>4</v>
      </c>
      <c r="Z78" s="1">
        <f t="shared" si="17"/>
        <v>14727</v>
      </c>
      <c r="AA78" s="1">
        <f t="shared" si="18"/>
        <v>1849</v>
      </c>
      <c r="AB78" s="1">
        <f t="shared" si="26"/>
        <v>9855</v>
      </c>
      <c r="AC78" s="1">
        <f t="shared" si="26"/>
        <v>-459</v>
      </c>
      <c r="AD78" s="1">
        <f t="shared" si="26"/>
        <v>-257</v>
      </c>
      <c r="AE78" s="1">
        <f t="shared" si="20"/>
        <v>-3052</v>
      </c>
      <c r="AG78" s="1">
        <f t="shared" si="21"/>
        <v>54675</v>
      </c>
      <c r="AK78" s="1">
        <f t="shared" si="22"/>
        <v>28703</v>
      </c>
      <c r="AL78" s="1">
        <f t="shared" si="23"/>
        <v>25972</v>
      </c>
    </row>
    <row r="79" spans="1:38" x14ac:dyDescent="0.55000000000000004">
      <c r="A79" s="9">
        <v>1905</v>
      </c>
      <c r="H79" s="1">
        <f t="shared" si="12"/>
        <v>17314</v>
      </c>
      <c r="I79" s="1">
        <f t="shared" si="13"/>
        <v>-19790</v>
      </c>
      <c r="J79" s="1">
        <f t="shared" si="27"/>
        <v>368</v>
      </c>
      <c r="K79" s="1">
        <f t="shared" si="27"/>
        <v>286</v>
      </c>
      <c r="L79" s="1">
        <f t="shared" si="27"/>
        <v>409</v>
      </c>
      <c r="M79" s="1">
        <f t="shared" si="27"/>
        <v>-104</v>
      </c>
      <c r="N79" s="1">
        <f t="shared" si="27"/>
        <v>-498</v>
      </c>
      <c r="O79" s="1">
        <f t="shared" si="27"/>
        <v>-78</v>
      </c>
      <c r="P79" s="1">
        <f t="shared" si="27"/>
        <v>-161</v>
      </c>
      <c r="Q79" s="1">
        <f t="shared" si="27"/>
        <v>671</v>
      </c>
      <c r="R79" s="1">
        <f t="shared" si="15"/>
        <v>210</v>
      </c>
      <c r="S79" s="1">
        <f t="shared" si="26"/>
        <v>-4</v>
      </c>
      <c r="T79" s="1">
        <f t="shared" si="26"/>
        <v>-289</v>
      </c>
      <c r="U79" s="1">
        <f t="shared" si="26"/>
        <v>208</v>
      </c>
      <c r="V79" s="1">
        <f t="shared" si="26"/>
        <v>48</v>
      </c>
      <c r="W79" s="1">
        <f t="shared" si="26"/>
        <v>-70</v>
      </c>
      <c r="X79" s="1">
        <f t="shared" si="26"/>
        <v>-28</v>
      </c>
      <c r="Y79" s="1">
        <f t="shared" si="26"/>
        <v>8</v>
      </c>
      <c r="Z79" s="1">
        <f t="shared" si="17"/>
        <v>7588</v>
      </c>
      <c r="AA79" s="1">
        <f t="shared" si="18"/>
        <v>-379</v>
      </c>
      <c r="AB79" s="1">
        <f t="shared" si="26"/>
        <v>3277</v>
      </c>
      <c r="AC79" s="1">
        <f t="shared" si="26"/>
        <v>155</v>
      </c>
      <c r="AD79" s="1">
        <f t="shared" si="26"/>
        <v>-61</v>
      </c>
      <c r="AE79" s="1">
        <f t="shared" si="20"/>
        <v>-14</v>
      </c>
      <c r="AG79" s="1">
        <f t="shared" si="21"/>
        <v>9066</v>
      </c>
      <c r="AK79" s="1">
        <f t="shared" si="22"/>
        <v>-1575</v>
      </c>
      <c r="AL79" s="1">
        <f t="shared" si="23"/>
        <v>10641</v>
      </c>
    </row>
    <row r="80" spans="1:38" x14ac:dyDescent="0.55000000000000004">
      <c r="A80" s="9">
        <v>1906</v>
      </c>
      <c r="H80" s="1">
        <f t="shared" si="12"/>
        <v>33711</v>
      </c>
      <c r="I80" s="1">
        <f t="shared" si="13"/>
        <v>-32671</v>
      </c>
      <c r="J80" s="1">
        <f t="shared" si="27"/>
        <v>184</v>
      </c>
      <c r="K80" s="1">
        <f t="shared" si="27"/>
        <v>849</v>
      </c>
      <c r="L80" s="1">
        <f t="shared" si="27"/>
        <v>194</v>
      </c>
      <c r="M80" s="1">
        <f t="shared" si="27"/>
        <v>-127</v>
      </c>
      <c r="N80" s="1">
        <f t="shared" si="27"/>
        <v>57</v>
      </c>
      <c r="O80" s="1">
        <f t="shared" si="27"/>
        <v>92</v>
      </c>
      <c r="P80" s="1">
        <f t="shared" si="27"/>
        <v>33</v>
      </c>
      <c r="Q80" s="1">
        <f t="shared" si="27"/>
        <v>1234</v>
      </c>
      <c r="R80" s="1">
        <f t="shared" si="15"/>
        <v>409</v>
      </c>
      <c r="S80" s="1">
        <f t="shared" si="26"/>
        <v>501</v>
      </c>
      <c r="T80" s="1">
        <f t="shared" si="26"/>
        <v>146</v>
      </c>
      <c r="U80" s="1">
        <f t="shared" si="26"/>
        <v>108</v>
      </c>
      <c r="V80" s="1">
        <f t="shared" si="26"/>
        <v>58</v>
      </c>
      <c r="W80" s="1">
        <f t="shared" si="26"/>
        <v>19</v>
      </c>
      <c r="X80" s="1">
        <f t="shared" si="26"/>
        <v>4</v>
      </c>
      <c r="Y80" s="1">
        <f t="shared" si="26"/>
        <v>20</v>
      </c>
      <c r="Z80" s="1">
        <f t="shared" si="17"/>
        <v>34123</v>
      </c>
      <c r="AA80" s="1">
        <f t="shared" si="18"/>
        <v>16572</v>
      </c>
      <c r="AB80" s="1">
        <f t="shared" si="26"/>
        <v>7674</v>
      </c>
      <c r="AC80" s="1">
        <f t="shared" si="26"/>
        <v>4211</v>
      </c>
      <c r="AD80" s="1">
        <f t="shared" si="26"/>
        <v>-444</v>
      </c>
      <c r="AE80" s="1">
        <f t="shared" si="20"/>
        <v>3450</v>
      </c>
      <c r="AG80" s="1">
        <f t="shared" si="21"/>
        <v>70407</v>
      </c>
      <c r="AK80" s="1">
        <f t="shared" si="22"/>
        <v>7827</v>
      </c>
      <c r="AL80" s="1">
        <f t="shared" si="23"/>
        <v>62580</v>
      </c>
    </row>
    <row r="81" spans="1:38" x14ac:dyDescent="0.55000000000000004">
      <c r="A81" s="9">
        <v>1907</v>
      </c>
      <c r="H81" s="1">
        <f t="shared" si="12"/>
        <v>17598</v>
      </c>
      <c r="I81" s="1">
        <f t="shared" si="13"/>
        <v>11905</v>
      </c>
      <c r="J81" s="1">
        <f t="shared" si="27"/>
        <v>-37</v>
      </c>
      <c r="K81" s="1">
        <f t="shared" si="27"/>
        <v>1500</v>
      </c>
      <c r="L81" s="1">
        <f t="shared" si="27"/>
        <v>553</v>
      </c>
      <c r="M81" s="1">
        <f t="shared" si="27"/>
        <v>-67</v>
      </c>
      <c r="N81" s="1">
        <f t="shared" si="27"/>
        <v>614</v>
      </c>
      <c r="O81" s="1">
        <f t="shared" si="27"/>
        <v>230</v>
      </c>
      <c r="P81" s="1">
        <f t="shared" si="27"/>
        <v>214</v>
      </c>
      <c r="Q81" s="1">
        <f t="shared" si="27"/>
        <v>-13</v>
      </c>
      <c r="R81" s="1">
        <f t="shared" si="15"/>
        <v>375</v>
      </c>
      <c r="S81" s="1">
        <f t="shared" si="26"/>
        <v>714</v>
      </c>
      <c r="T81" s="1">
        <f t="shared" si="26"/>
        <v>140</v>
      </c>
      <c r="U81" s="1">
        <f t="shared" si="26"/>
        <v>445</v>
      </c>
      <c r="V81" s="1">
        <f t="shared" si="26"/>
        <v>83</v>
      </c>
      <c r="W81" s="1">
        <f t="shared" si="26"/>
        <v>149</v>
      </c>
      <c r="X81" s="1">
        <f t="shared" si="26"/>
        <v>-13</v>
      </c>
      <c r="Y81" s="1">
        <f t="shared" si="26"/>
        <v>-25</v>
      </c>
      <c r="Z81" s="1">
        <f t="shared" si="17"/>
        <v>16182</v>
      </c>
      <c r="AA81" s="1">
        <f t="shared" si="18"/>
        <v>27703</v>
      </c>
      <c r="AB81" s="1">
        <f t="shared" si="26"/>
        <v>14572</v>
      </c>
      <c r="AC81" s="1">
        <f t="shared" si="26"/>
        <v>1280</v>
      </c>
      <c r="AD81" s="1">
        <f t="shared" si="26"/>
        <v>-415</v>
      </c>
      <c r="AE81" s="1">
        <f t="shared" si="20"/>
        <v>9635</v>
      </c>
      <c r="AG81" s="1">
        <f t="shared" si="21"/>
        <v>103322</v>
      </c>
      <c r="AK81" s="1">
        <f t="shared" si="22"/>
        <v>43585</v>
      </c>
      <c r="AL81" s="1">
        <f t="shared" si="23"/>
        <v>59737</v>
      </c>
    </row>
    <row r="82" spans="1:38" x14ac:dyDescent="0.55000000000000004">
      <c r="A82" s="9">
        <v>1908</v>
      </c>
      <c r="H82" s="1">
        <f t="shared" si="12"/>
        <v>23538</v>
      </c>
      <c r="I82" s="1">
        <f t="shared" si="13"/>
        <v>10199</v>
      </c>
      <c r="J82" s="1">
        <f t="shared" si="27"/>
        <v>266</v>
      </c>
      <c r="K82" s="1">
        <f t="shared" si="27"/>
        <v>2407</v>
      </c>
      <c r="L82" s="1">
        <f t="shared" si="27"/>
        <v>271</v>
      </c>
      <c r="M82" s="1">
        <f t="shared" si="27"/>
        <v>323</v>
      </c>
      <c r="N82" s="1">
        <f t="shared" si="27"/>
        <v>487</v>
      </c>
      <c r="O82" s="1">
        <f t="shared" si="27"/>
        <v>213</v>
      </c>
      <c r="P82" s="1">
        <f t="shared" si="27"/>
        <v>-16</v>
      </c>
      <c r="Q82" s="1">
        <f t="shared" si="27"/>
        <v>433</v>
      </c>
      <c r="R82" s="1">
        <f t="shared" si="15"/>
        <v>1101</v>
      </c>
      <c r="S82" s="1">
        <f t="shared" si="26"/>
        <v>174</v>
      </c>
      <c r="T82" s="1">
        <f t="shared" si="26"/>
        <v>459</v>
      </c>
      <c r="U82" s="1">
        <f t="shared" si="26"/>
        <v>343</v>
      </c>
      <c r="V82" s="1">
        <f t="shared" si="26"/>
        <v>-70</v>
      </c>
      <c r="W82" s="1">
        <f t="shared" si="26"/>
        <v>102</v>
      </c>
      <c r="X82" s="1">
        <f t="shared" si="26"/>
        <v>65</v>
      </c>
      <c r="Y82" s="1">
        <f t="shared" si="26"/>
        <v>-17</v>
      </c>
      <c r="Z82" s="1">
        <f t="shared" si="17"/>
        <v>14617</v>
      </c>
      <c r="AA82" s="1">
        <f t="shared" si="18"/>
        <v>13337</v>
      </c>
      <c r="AB82" s="1">
        <f t="shared" si="26"/>
        <v>13278</v>
      </c>
      <c r="AC82" s="1">
        <f t="shared" si="26"/>
        <v>170</v>
      </c>
      <c r="AD82" s="1">
        <f t="shared" si="26"/>
        <v>-227</v>
      </c>
      <c r="AE82" s="1">
        <f t="shared" si="20"/>
        <v>856</v>
      </c>
      <c r="AG82" s="1">
        <f t="shared" si="21"/>
        <v>82309</v>
      </c>
      <c r="AK82" s="1">
        <f t="shared" si="22"/>
        <v>40907</v>
      </c>
      <c r="AL82" s="1">
        <f t="shared" si="23"/>
        <v>41402</v>
      </c>
    </row>
    <row r="83" spans="1:38" x14ac:dyDescent="0.55000000000000004">
      <c r="A83" s="9">
        <v>1909</v>
      </c>
      <c r="H83" s="1">
        <f t="shared" si="12"/>
        <v>34466</v>
      </c>
      <c r="I83" s="1">
        <f t="shared" si="13"/>
        <v>6329</v>
      </c>
      <c r="J83" s="1">
        <f t="shared" si="27"/>
        <v>859</v>
      </c>
      <c r="K83" s="1">
        <f t="shared" si="27"/>
        <v>1210</v>
      </c>
      <c r="L83" s="1">
        <f t="shared" si="27"/>
        <v>444</v>
      </c>
      <c r="M83" s="1">
        <f t="shared" si="27"/>
        <v>-112</v>
      </c>
      <c r="N83" s="1">
        <f t="shared" si="27"/>
        <v>578</v>
      </c>
      <c r="O83" s="1">
        <f t="shared" si="27"/>
        <v>430</v>
      </c>
      <c r="P83" s="1">
        <f t="shared" si="27"/>
        <v>397</v>
      </c>
      <c r="Q83" s="1">
        <f t="shared" si="27"/>
        <v>118</v>
      </c>
      <c r="R83" s="1">
        <f t="shared" si="15"/>
        <v>2190</v>
      </c>
      <c r="S83" s="1">
        <f t="shared" si="26"/>
        <v>517</v>
      </c>
      <c r="T83" s="1">
        <f t="shared" si="26"/>
        <v>580</v>
      </c>
      <c r="U83" s="1">
        <f t="shared" si="26"/>
        <v>474</v>
      </c>
      <c r="V83" s="1">
        <f t="shared" si="26"/>
        <v>33</v>
      </c>
      <c r="W83" s="1">
        <f t="shared" si="26"/>
        <v>81</v>
      </c>
      <c r="X83" s="1">
        <f t="shared" si="26"/>
        <v>26</v>
      </c>
      <c r="Y83" s="1">
        <f t="shared" si="26"/>
        <v>27</v>
      </c>
      <c r="Z83" s="1">
        <f t="shared" si="17"/>
        <v>20199</v>
      </c>
      <c r="AA83" s="1">
        <f t="shared" si="18"/>
        <v>16459</v>
      </c>
      <c r="AB83" s="1">
        <f t="shared" si="26"/>
        <v>22675</v>
      </c>
      <c r="AC83" s="1">
        <f t="shared" si="26"/>
        <v>916</v>
      </c>
      <c r="AD83" s="1">
        <f t="shared" si="26"/>
        <v>131</v>
      </c>
      <c r="AE83" s="1">
        <f t="shared" si="20"/>
        <v>1072</v>
      </c>
      <c r="AG83" s="1">
        <f t="shared" si="21"/>
        <v>110099</v>
      </c>
      <c r="AK83" s="1">
        <f t="shared" si="22"/>
        <v>49850</v>
      </c>
      <c r="AL83" s="1">
        <f t="shared" si="23"/>
        <v>60249</v>
      </c>
    </row>
    <row r="84" spans="1:38" x14ac:dyDescent="0.55000000000000004">
      <c r="A84" s="9">
        <v>1910</v>
      </c>
      <c r="H84" s="1">
        <f t="shared" si="12"/>
        <v>28291</v>
      </c>
      <c r="I84" s="1">
        <f t="shared" si="13"/>
        <v>6158</v>
      </c>
      <c r="J84" s="1">
        <f t="shared" si="27"/>
        <v>1491</v>
      </c>
      <c r="K84" s="1">
        <f t="shared" si="27"/>
        <v>3119</v>
      </c>
      <c r="L84" s="1">
        <f t="shared" si="27"/>
        <v>671</v>
      </c>
      <c r="M84" s="1">
        <f t="shared" si="27"/>
        <v>405</v>
      </c>
      <c r="N84" s="1">
        <f t="shared" si="27"/>
        <v>387</v>
      </c>
      <c r="O84" s="1">
        <f t="shared" si="27"/>
        <v>522</v>
      </c>
      <c r="P84" s="1">
        <f t="shared" si="27"/>
        <v>441</v>
      </c>
      <c r="Q84" s="1">
        <f t="shared" si="27"/>
        <v>1345</v>
      </c>
      <c r="R84" s="1">
        <f t="shared" si="15"/>
        <v>967</v>
      </c>
      <c r="S84" s="1">
        <f t="shared" si="26"/>
        <v>278</v>
      </c>
      <c r="T84" s="1">
        <f t="shared" si="26"/>
        <v>455</v>
      </c>
      <c r="U84" s="1">
        <f t="shared" si="26"/>
        <v>725</v>
      </c>
      <c r="V84" s="1">
        <f t="shared" si="26"/>
        <v>121</v>
      </c>
      <c r="W84" s="1">
        <f t="shared" si="26"/>
        <v>63</v>
      </c>
      <c r="X84" s="1">
        <f t="shared" si="26"/>
        <v>28</v>
      </c>
      <c r="Y84" s="1">
        <f t="shared" si="26"/>
        <v>17</v>
      </c>
      <c r="Z84" s="1">
        <f t="shared" si="17"/>
        <v>24406</v>
      </c>
      <c r="AA84" s="1">
        <f t="shared" si="18"/>
        <v>19707</v>
      </c>
      <c r="AB84" s="1">
        <f t="shared" si="26"/>
        <v>18263</v>
      </c>
      <c r="AC84" s="1">
        <f t="shared" si="26"/>
        <v>-754</v>
      </c>
      <c r="AD84" s="1">
        <f t="shared" si="26"/>
        <v>-475</v>
      </c>
      <c r="AE84" s="1">
        <f t="shared" si="20"/>
        <v>6898</v>
      </c>
      <c r="AG84" s="1">
        <f t="shared" si="21"/>
        <v>113529</v>
      </c>
      <c r="AK84" s="1">
        <f t="shared" si="22"/>
        <v>51907</v>
      </c>
      <c r="AL84" s="1">
        <f t="shared" si="23"/>
        <v>61622</v>
      </c>
    </row>
    <row r="85" spans="1:38" x14ac:dyDescent="0.55000000000000004">
      <c r="A85" s="9">
        <v>1911</v>
      </c>
      <c r="H85" s="1">
        <f t="shared" si="12"/>
        <v>18233</v>
      </c>
      <c r="I85" s="1">
        <f t="shared" si="13"/>
        <v>14467</v>
      </c>
      <c r="J85" s="1">
        <f t="shared" ref="J85:Q86" si="28">J32</f>
        <v>885</v>
      </c>
      <c r="K85" s="1">
        <f t="shared" si="28"/>
        <v>1388</v>
      </c>
      <c r="L85" s="1">
        <f t="shared" si="28"/>
        <v>301</v>
      </c>
      <c r="M85" s="1">
        <f t="shared" si="28"/>
        <v>393</v>
      </c>
      <c r="N85" s="1">
        <f t="shared" si="28"/>
        <v>632</v>
      </c>
      <c r="O85" s="1">
        <f t="shared" si="28"/>
        <v>844</v>
      </c>
      <c r="P85" s="1">
        <f t="shared" si="28"/>
        <v>312</v>
      </c>
      <c r="Q85" s="1">
        <f t="shared" si="28"/>
        <v>394</v>
      </c>
      <c r="R85" s="1">
        <f t="shared" si="15"/>
        <v>278</v>
      </c>
      <c r="S85" s="1">
        <f t="shared" si="26"/>
        <v>556</v>
      </c>
      <c r="T85" s="1">
        <f t="shared" si="26"/>
        <v>831</v>
      </c>
      <c r="U85" s="1">
        <f t="shared" si="26"/>
        <v>652</v>
      </c>
      <c r="V85" s="1">
        <f t="shared" si="26"/>
        <v>-1</v>
      </c>
      <c r="W85" s="1">
        <f t="shared" si="26"/>
        <v>73</v>
      </c>
      <c r="X85" s="1">
        <f t="shared" si="26"/>
        <v>35</v>
      </c>
      <c r="Y85" s="1">
        <f t="shared" si="26"/>
        <v>-34</v>
      </c>
      <c r="Z85" s="1">
        <f t="shared" si="17"/>
        <v>32555</v>
      </c>
      <c r="AA85" s="1">
        <f t="shared" si="18"/>
        <v>-3710</v>
      </c>
      <c r="AB85" s="1">
        <f t="shared" si="26"/>
        <v>23277</v>
      </c>
      <c r="AC85" s="1">
        <f t="shared" si="26"/>
        <v>1293</v>
      </c>
      <c r="AD85" s="1">
        <f t="shared" si="26"/>
        <v>-519</v>
      </c>
      <c r="AE85" s="1">
        <f t="shared" si="20"/>
        <v>521</v>
      </c>
      <c r="AG85" s="1">
        <f t="shared" si="21"/>
        <v>93656</v>
      </c>
      <c r="AK85" s="1">
        <f t="shared" si="22"/>
        <v>40241</v>
      </c>
      <c r="AL85" s="1">
        <f t="shared" si="23"/>
        <v>53415</v>
      </c>
    </row>
    <row r="86" spans="1:38" x14ac:dyDescent="0.55000000000000004">
      <c r="A86" s="9">
        <v>1912</v>
      </c>
      <c r="H86" s="1">
        <f t="shared" si="12"/>
        <v>26741</v>
      </c>
      <c r="I86" s="1">
        <f t="shared" si="13"/>
        <v>6329</v>
      </c>
      <c r="J86" s="1">
        <f t="shared" si="28"/>
        <v>1428</v>
      </c>
      <c r="K86" s="1">
        <f t="shared" si="28"/>
        <v>1654</v>
      </c>
      <c r="L86" s="1">
        <f t="shared" si="28"/>
        <v>281</v>
      </c>
      <c r="M86" s="1">
        <f t="shared" si="28"/>
        <v>264</v>
      </c>
      <c r="N86" s="1">
        <f t="shared" si="28"/>
        <v>255</v>
      </c>
      <c r="O86" s="1">
        <f t="shared" si="28"/>
        <v>675</v>
      </c>
      <c r="P86" s="1">
        <f t="shared" si="28"/>
        <v>125</v>
      </c>
      <c r="Q86" s="1">
        <f t="shared" si="28"/>
        <v>-3643</v>
      </c>
      <c r="R86" s="1">
        <f t="shared" si="15"/>
        <v>688</v>
      </c>
      <c r="S86" s="1">
        <f t="shared" si="26"/>
        <v>-447</v>
      </c>
      <c r="T86" s="1">
        <f t="shared" si="26"/>
        <v>1010</v>
      </c>
      <c r="U86" s="1">
        <f t="shared" si="26"/>
        <v>845</v>
      </c>
      <c r="V86" s="1">
        <f t="shared" si="26"/>
        <v>-171</v>
      </c>
      <c r="W86" s="1">
        <f t="shared" si="26"/>
        <v>11</v>
      </c>
      <c r="X86" s="1">
        <f t="shared" si="26"/>
        <v>-9</v>
      </c>
      <c r="Y86" s="1">
        <f t="shared" si="26"/>
        <v>-130</v>
      </c>
      <c r="Z86" s="1">
        <f t="shared" si="17"/>
        <v>49934</v>
      </c>
      <c r="AA86" s="1">
        <f t="shared" si="18"/>
        <v>19789</v>
      </c>
      <c r="AB86" s="1">
        <f t="shared" si="26"/>
        <v>7686</v>
      </c>
      <c r="AC86" s="1">
        <f t="shared" si="26"/>
        <v>1699</v>
      </c>
      <c r="AD86" s="1">
        <f t="shared" si="26"/>
        <v>10</v>
      </c>
      <c r="AE86" s="1">
        <f t="shared" si="20"/>
        <v>-351</v>
      </c>
      <c r="AG86" s="1">
        <f t="shared" si="21"/>
        <v>114673</v>
      </c>
      <c r="AK86" s="1">
        <f t="shared" si="22"/>
        <v>35565</v>
      </c>
      <c r="AL86" s="1">
        <f t="shared" si="23"/>
        <v>79108</v>
      </c>
    </row>
    <row r="87" spans="1:38" x14ac:dyDescent="0.55000000000000004">
      <c r="A87" s="9">
        <v>1913</v>
      </c>
      <c r="H87" s="1">
        <f t="shared" si="12"/>
        <v>20449</v>
      </c>
      <c r="I87" s="1">
        <f t="shared" si="13"/>
        <v>10229</v>
      </c>
      <c r="J87" s="1">
        <f>J34</f>
        <v>2768</v>
      </c>
      <c r="K87" s="1">
        <f>K34</f>
        <v>2244</v>
      </c>
      <c r="L87" s="1">
        <f>L34</f>
        <v>936</v>
      </c>
      <c r="M87" s="1">
        <f>M34</f>
        <v>941</v>
      </c>
      <c r="N87" s="1">
        <f>N34</f>
        <v>1258</v>
      </c>
      <c r="O87" s="1">
        <f t="shared" ref="K87:Q89" si="29">O34</f>
        <v>1699</v>
      </c>
      <c r="P87" s="1">
        <f t="shared" si="29"/>
        <v>383</v>
      </c>
      <c r="Q87" s="1">
        <f t="shared" si="29"/>
        <v>1792</v>
      </c>
      <c r="R87" s="1">
        <f t="shared" si="15"/>
        <v>520</v>
      </c>
      <c r="S87" s="1">
        <f t="shared" ref="S87:AD89" si="30">S34</f>
        <v>263</v>
      </c>
      <c r="T87" s="1">
        <f t="shared" si="30"/>
        <v>1330</v>
      </c>
      <c r="U87" s="1">
        <f t="shared" si="30"/>
        <v>478</v>
      </c>
      <c r="V87" s="1">
        <f t="shared" si="30"/>
        <v>17</v>
      </c>
      <c r="W87" s="1">
        <f t="shared" si="30"/>
        <v>116</v>
      </c>
      <c r="X87" s="1">
        <f t="shared" si="30"/>
        <v>45</v>
      </c>
      <c r="Y87" s="1">
        <f t="shared" si="30"/>
        <v>250</v>
      </c>
      <c r="Z87" s="1">
        <f t="shared" si="17"/>
        <v>60806</v>
      </c>
      <c r="AA87" s="1">
        <f t="shared" si="18"/>
        <v>56725</v>
      </c>
      <c r="AB87" s="1">
        <f t="shared" si="30"/>
        <v>16316</v>
      </c>
      <c r="AC87" s="1">
        <f t="shared" si="30"/>
        <v>814</v>
      </c>
      <c r="AD87" s="1">
        <f t="shared" si="30"/>
        <v>137</v>
      </c>
      <c r="AE87" s="1">
        <f t="shared" si="20"/>
        <v>5688</v>
      </c>
      <c r="AG87" s="1">
        <f t="shared" si="21"/>
        <v>186204</v>
      </c>
      <c r="AK87" s="1">
        <f t="shared" si="22"/>
        <v>51543</v>
      </c>
      <c r="AL87" s="1">
        <f t="shared" si="23"/>
        <v>134661</v>
      </c>
    </row>
    <row r="88" spans="1:38" x14ac:dyDescent="0.55000000000000004">
      <c r="A88" s="9">
        <v>1914</v>
      </c>
      <c r="H88" s="1">
        <f t="shared" si="12"/>
        <v>450</v>
      </c>
      <c r="I88" s="1">
        <f t="shared" si="13"/>
        <v>10782</v>
      </c>
      <c r="J88" s="1">
        <f>J35</f>
        <v>-1098</v>
      </c>
      <c r="K88" s="1">
        <f t="shared" si="29"/>
        <v>-28</v>
      </c>
      <c r="L88" s="1">
        <f t="shared" si="29"/>
        <v>889</v>
      </c>
      <c r="M88" s="1">
        <f t="shared" si="29"/>
        <v>-273</v>
      </c>
      <c r="N88" s="1">
        <f t="shared" si="29"/>
        <v>423</v>
      </c>
      <c r="O88" s="1">
        <f t="shared" si="29"/>
        <v>694</v>
      </c>
      <c r="P88" s="1">
        <f t="shared" si="29"/>
        <v>-331</v>
      </c>
      <c r="Q88" s="1">
        <f t="shared" si="29"/>
        <v>1577</v>
      </c>
      <c r="R88" s="1">
        <f t="shared" si="15"/>
        <v>424</v>
      </c>
      <c r="S88" s="1">
        <f t="shared" si="30"/>
        <v>865</v>
      </c>
      <c r="T88" s="1">
        <f t="shared" si="30"/>
        <v>557</v>
      </c>
      <c r="U88" s="1">
        <f t="shared" si="30"/>
        <v>12</v>
      </c>
      <c r="V88" s="1">
        <f t="shared" si="30"/>
        <v>-14</v>
      </c>
      <c r="W88" s="1">
        <f t="shared" si="30"/>
        <v>43</v>
      </c>
      <c r="X88" s="1">
        <f t="shared" si="30"/>
        <v>7</v>
      </c>
      <c r="Y88" s="1">
        <f t="shared" si="30"/>
        <v>45</v>
      </c>
      <c r="Z88" s="1">
        <f t="shared" si="17"/>
        <v>50658</v>
      </c>
      <c r="AA88" s="1">
        <f t="shared" si="18"/>
        <v>23184</v>
      </c>
      <c r="AB88" s="1">
        <f t="shared" si="30"/>
        <v>10755</v>
      </c>
      <c r="AC88" s="1">
        <f t="shared" si="30"/>
        <v>300</v>
      </c>
      <c r="AD88" s="1">
        <f t="shared" si="30"/>
        <v>34</v>
      </c>
      <c r="AE88" s="1">
        <f t="shared" si="20"/>
        <v>-330</v>
      </c>
      <c r="AG88" s="1">
        <f t="shared" si="21"/>
        <v>99625</v>
      </c>
      <c r="AK88" s="1">
        <f t="shared" si="22"/>
        <v>14728</v>
      </c>
      <c r="AL88" s="1">
        <f t="shared" si="23"/>
        <v>84897</v>
      </c>
    </row>
    <row r="89" spans="1:38" x14ac:dyDescent="0.55000000000000004">
      <c r="A89" s="9">
        <v>1915</v>
      </c>
      <c r="H89" s="1">
        <f t="shared" si="12"/>
        <v>-7327</v>
      </c>
      <c r="I89" s="1">
        <f t="shared" si="13"/>
        <v>-1094</v>
      </c>
      <c r="J89" s="1">
        <f>J36</f>
        <v>-138</v>
      </c>
      <c r="K89" s="1">
        <f t="shared" si="29"/>
        <v>-88</v>
      </c>
      <c r="L89" s="1">
        <f t="shared" si="29"/>
        <v>43</v>
      </c>
      <c r="M89" s="1">
        <f t="shared" si="29"/>
        <v>48</v>
      </c>
      <c r="N89" s="1">
        <f t="shared" si="29"/>
        <v>96</v>
      </c>
      <c r="O89" s="1">
        <f t="shared" si="29"/>
        <v>-4</v>
      </c>
      <c r="P89" s="1">
        <f t="shared" si="29"/>
        <v>-24</v>
      </c>
      <c r="Q89" s="1">
        <f t="shared" si="29"/>
        <v>859</v>
      </c>
      <c r="R89" s="1">
        <f t="shared" si="15"/>
        <v>-30</v>
      </c>
      <c r="S89" s="1">
        <f t="shared" si="30"/>
        <v>-442</v>
      </c>
      <c r="T89" s="1">
        <f t="shared" si="30"/>
        <v>23</v>
      </c>
      <c r="U89" s="1">
        <f t="shared" si="30"/>
        <v>67</v>
      </c>
      <c r="V89" s="1">
        <f t="shared" si="30"/>
        <v>34</v>
      </c>
      <c r="W89" s="1">
        <f t="shared" si="30"/>
        <v>10</v>
      </c>
      <c r="X89" s="1">
        <f t="shared" si="30"/>
        <v>-1</v>
      </c>
      <c r="Y89" s="1">
        <f t="shared" si="30"/>
        <v>33</v>
      </c>
      <c r="Z89" s="1">
        <f t="shared" si="17"/>
        <v>20497</v>
      </c>
      <c r="AA89" s="1">
        <f t="shared" si="18"/>
        <v>36286</v>
      </c>
      <c r="AB89" s="1">
        <f t="shared" si="30"/>
        <v>464</v>
      </c>
      <c r="AC89" s="1">
        <f t="shared" si="30"/>
        <v>1509</v>
      </c>
      <c r="AD89" s="1">
        <f t="shared" si="30"/>
        <v>79</v>
      </c>
      <c r="AE89" s="1">
        <f t="shared" si="20"/>
        <v>-1622</v>
      </c>
      <c r="AG89" s="1">
        <f t="shared" si="21"/>
        <v>49278</v>
      </c>
      <c r="AK89" s="1">
        <f t="shared" si="22"/>
        <v>-9478</v>
      </c>
      <c r="AL89" s="1">
        <f t="shared" si="23"/>
        <v>58756</v>
      </c>
    </row>
    <row r="91" spans="1:38" x14ac:dyDescent="0.55000000000000004">
      <c r="AG91" s="1">
        <f>SUM(AG55:AG69)</f>
        <v>1060967</v>
      </c>
    </row>
    <row r="92" spans="1:38" x14ac:dyDescent="0.55000000000000004">
      <c r="AG92" s="1">
        <f>SUM(AG70:AG89)</f>
        <v>1732024</v>
      </c>
    </row>
    <row r="93" spans="1:38" x14ac:dyDescent="0.55000000000000004">
      <c r="AG93" s="1">
        <f>AG92+AG91</f>
        <v>2792991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note-1</vt:lpstr>
      <vt:lpstr>note-2</vt:lpstr>
      <vt:lpstr>note-3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2024-10-21T03:39:44Z</dcterms:created>
  <dcterms:modified xsi:type="dcterms:W3CDTF">2026-09-29T00:29:11Z</dcterms:modified>
</cp:coreProperties>
</file>