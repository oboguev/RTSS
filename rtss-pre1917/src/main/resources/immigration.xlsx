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7A99E6AF-F077-4BEB-9D71-618CCB32E839}" xr6:coauthVersionLast="45" xr6:coauthVersionMax="47" xr10:uidLastSave="{00000000-0000-0000-0000-000000000000}"/>
  <bookViews>
    <workbookView xWindow="-60" yWindow="-60" windowWidth="38520" windowHeight="23700" activeTab="2" xr2:uid="{F5C0FC2C-9C7B-4145-981E-7BD1765E4EE3}"/>
  </bookViews>
  <sheets>
    <sheet name="note-1" sheetId="2" r:id="rId1"/>
    <sheet name="note-2" sheetId="1" r:id="rId2"/>
    <sheet name="data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52" i="3" l="1"/>
  <c r="AE51" i="3"/>
  <c r="AE50" i="3"/>
  <c r="AA52" i="3"/>
  <c r="AA51" i="3"/>
  <c r="AA50" i="3"/>
  <c r="Z52" i="3"/>
  <c r="Z51" i="3"/>
  <c r="Z50" i="3"/>
  <c r="R52" i="3"/>
  <c r="R51" i="3"/>
  <c r="R50" i="3"/>
  <c r="I52" i="3"/>
  <c r="I51" i="3"/>
  <c r="I50" i="3"/>
  <c r="H52" i="3"/>
  <c r="H51" i="3"/>
  <c r="H50" i="3"/>
  <c r="AG51" i="3"/>
  <c r="AD52" i="3"/>
  <c r="AC52" i="3"/>
  <c r="AB52" i="3"/>
  <c r="Y52" i="3"/>
  <c r="X52" i="3"/>
  <c r="W52" i="3"/>
  <c r="V52" i="3"/>
  <c r="U52" i="3"/>
  <c r="T52" i="3"/>
  <c r="S52" i="3"/>
  <c r="Q52" i="3"/>
  <c r="P52" i="3"/>
  <c r="O52" i="3"/>
  <c r="N52" i="3"/>
  <c r="M52" i="3"/>
  <c r="L52" i="3"/>
  <c r="K52" i="3"/>
  <c r="J52" i="3"/>
  <c r="AD51" i="3"/>
  <c r="AC51" i="3"/>
  <c r="AB51" i="3"/>
  <c r="Y51" i="3"/>
  <c r="X51" i="3"/>
  <c r="W51" i="3"/>
  <c r="V51" i="3"/>
  <c r="U51" i="3"/>
  <c r="T51" i="3"/>
  <c r="S51" i="3"/>
  <c r="Q51" i="3"/>
  <c r="P51" i="3"/>
  <c r="O51" i="3"/>
  <c r="N51" i="3"/>
  <c r="M51" i="3"/>
  <c r="L51" i="3"/>
  <c r="K51" i="3"/>
  <c r="J51" i="3"/>
  <c r="AD50" i="3"/>
  <c r="AC50" i="3"/>
  <c r="AB50" i="3"/>
  <c r="Y50" i="3"/>
  <c r="X50" i="3"/>
  <c r="W50" i="3"/>
  <c r="V50" i="3"/>
  <c r="U50" i="3"/>
  <c r="T50" i="3"/>
  <c r="S50" i="3"/>
  <c r="Q50" i="3"/>
  <c r="P50" i="3"/>
  <c r="O50" i="3"/>
  <c r="N50" i="3"/>
  <c r="M50" i="3"/>
  <c r="L50" i="3"/>
  <c r="K50" i="3"/>
  <c r="J50" i="3"/>
  <c r="X48" i="3"/>
  <c r="W48" i="3"/>
  <c r="V48" i="3"/>
  <c r="U48" i="3"/>
  <c r="T48" i="3"/>
  <c r="L48" i="3"/>
  <c r="K48" i="3"/>
  <c r="J48" i="3"/>
  <c r="I48" i="3"/>
  <c r="H48" i="3"/>
  <c r="AE47" i="3"/>
  <c r="AE48" i="3" s="1"/>
  <c r="AD47" i="3"/>
  <c r="AD48" i="3" s="1"/>
  <c r="AC47" i="3"/>
  <c r="AC48" i="3" s="1"/>
  <c r="AB47" i="3"/>
  <c r="AB48" i="3" s="1"/>
  <c r="AA47" i="3"/>
  <c r="AA48" i="3" s="1"/>
  <c r="Z47" i="3"/>
  <c r="Z48" i="3" s="1"/>
  <c r="Y47" i="3"/>
  <c r="Y48" i="3" s="1"/>
  <c r="X47" i="3"/>
  <c r="W47" i="3"/>
  <c r="V47" i="3"/>
  <c r="U47" i="3"/>
  <c r="T47" i="3"/>
  <c r="S47" i="3"/>
  <c r="S48" i="3" s="1"/>
  <c r="R47" i="3"/>
  <c r="R48" i="3" s="1"/>
  <c r="Q47" i="3"/>
  <c r="Q48" i="3" s="1"/>
  <c r="P47" i="3"/>
  <c r="P48" i="3" s="1"/>
  <c r="O47" i="3"/>
  <c r="O48" i="3" s="1"/>
  <c r="N47" i="3"/>
  <c r="N48" i="3" s="1"/>
  <c r="M47" i="3"/>
  <c r="M48" i="3" s="1"/>
  <c r="L47" i="3"/>
  <c r="K47" i="3"/>
  <c r="J47" i="3"/>
  <c r="I47" i="3"/>
  <c r="H47" i="3"/>
  <c r="G47" i="3"/>
  <c r="G48" i="3" s="1"/>
  <c r="F47" i="3"/>
  <c r="F48" i="3" s="1"/>
  <c r="E47" i="3"/>
  <c r="E48" i="3" s="1"/>
  <c r="D47" i="3"/>
  <c r="D48" i="3" s="1"/>
  <c r="C47" i="3"/>
  <c r="C48" i="3" s="1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AG46" i="3" s="1"/>
  <c r="E46" i="3"/>
  <c r="D46" i="3"/>
  <c r="C46" i="3"/>
  <c r="B47" i="3"/>
  <c r="B46" i="3"/>
  <c r="B48" i="3"/>
  <c r="AG50" i="3" l="1"/>
  <c r="AG52" i="3"/>
  <c r="AG48" i="3"/>
  <c r="AG47" i="3"/>
  <c r="D132" i="2"/>
  <c r="C132" i="2"/>
  <c r="B132" i="2"/>
  <c r="D161" i="2"/>
  <c r="C161" i="2"/>
  <c r="B161" i="2"/>
  <c r="D157" i="2"/>
  <c r="C157" i="2"/>
  <c r="B157" i="2"/>
  <c r="D156" i="2"/>
  <c r="C156" i="2"/>
  <c r="B156" i="2"/>
  <c r="D148" i="2"/>
  <c r="C148" i="2"/>
  <c r="B148" i="2"/>
  <c r="D139" i="2"/>
  <c r="C139" i="2"/>
  <c r="B139" i="2"/>
  <c r="D138" i="2"/>
  <c r="C138" i="2"/>
  <c r="B138" i="2"/>
  <c r="D160" i="2"/>
  <c r="C160" i="2"/>
  <c r="B160" i="2"/>
  <c r="D159" i="2"/>
  <c r="C159" i="2"/>
  <c r="B159" i="2"/>
  <c r="D158" i="2"/>
  <c r="C158" i="2"/>
  <c r="B158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9" i="2"/>
  <c r="C149" i="2"/>
  <c r="B149" i="2"/>
  <c r="D147" i="2"/>
  <c r="C147" i="2"/>
  <c r="B147" i="2"/>
  <c r="D146" i="2"/>
  <c r="C146" i="2"/>
  <c r="B146" i="2"/>
  <c r="D145" i="2"/>
  <c r="C145" i="2"/>
  <c r="B145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D140" i="2"/>
  <c r="C140" i="2"/>
  <c r="B140" i="2"/>
  <c r="B162" i="2" l="1"/>
  <c r="D162" i="2"/>
  <c r="C162" i="2"/>
  <c r="A16" i="3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Y53" i="1"/>
  <c r="AC53" i="1" s="1"/>
  <c r="AE87" i="1"/>
  <c r="AD87" i="1"/>
  <c r="AC87" i="1"/>
  <c r="AE86" i="1"/>
  <c r="AD86" i="1"/>
  <c r="AC86" i="1"/>
  <c r="AE85" i="1"/>
  <c r="AD85" i="1"/>
  <c r="AC85" i="1"/>
  <c r="AE84" i="1"/>
  <c r="AD84" i="1"/>
  <c r="AC84" i="1"/>
  <c r="AE83" i="1"/>
  <c r="AD83" i="1"/>
  <c r="AC83" i="1"/>
  <c r="AE82" i="1"/>
  <c r="AD82" i="1"/>
  <c r="AC82" i="1"/>
  <c r="AE81" i="1"/>
  <c r="AD81" i="1"/>
  <c r="AC81" i="1"/>
  <c r="AE80" i="1"/>
  <c r="AD80" i="1"/>
  <c r="AC80" i="1"/>
  <c r="AE79" i="1"/>
  <c r="AD79" i="1"/>
  <c r="AC79" i="1"/>
  <c r="AE78" i="1"/>
  <c r="AD78" i="1"/>
  <c r="AC78" i="1"/>
  <c r="AE77" i="1"/>
  <c r="AD77" i="1"/>
  <c r="AC77" i="1"/>
  <c r="AE76" i="1"/>
  <c r="AD76" i="1"/>
  <c r="AC76" i="1"/>
  <c r="AE75" i="1"/>
  <c r="AD75" i="1"/>
  <c r="AC75" i="1"/>
  <c r="AE74" i="1"/>
  <c r="AD74" i="1"/>
  <c r="AC74" i="1"/>
  <c r="AE73" i="1"/>
  <c r="AD73" i="1"/>
  <c r="AC73" i="1"/>
  <c r="AE72" i="1"/>
  <c r="AD72" i="1"/>
  <c r="AC72" i="1"/>
  <c r="AE71" i="1"/>
  <c r="AD71" i="1"/>
  <c r="AC71" i="1"/>
  <c r="AE70" i="1"/>
  <c r="AD70" i="1"/>
  <c r="AC70" i="1"/>
  <c r="AE69" i="1"/>
  <c r="AD69" i="1"/>
  <c r="AC69" i="1"/>
  <c r="AE68" i="1"/>
  <c r="AD68" i="1"/>
  <c r="AC68" i="1"/>
  <c r="AE60" i="1"/>
  <c r="AD60" i="1"/>
  <c r="AC60" i="1"/>
  <c r="AE59" i="1"/>
  <c r="AD59" i="1"/>
  <c r="AC59" i="1"/>
  <c r="AE58" i="1"/>
  <c r="AD58" i="1"/>
  <c r="AC58" i="1"/>
  <c r="AE57" i="1"/>
  <c r="AD57" i="1"/>
  <c r="AC57" i="1"/>
  <c r="AE56" i="1"/>
  <c r="AD56" i="1"/>
  <c r="AC56" i="1"/>
  <c r="AE55" i="1"/>
  <c r="AD55" i="1"/>
  <c r="AC55" i="1"/>
  <c r="AE54" i="1"/>
  <c r="AD54" i="1"/>
  <c r="AC54" i="1"/>
  <c r="AA60" i="1"/>
  <c r="Z60" i="1"/>
  <c r="Y60" i="1"/>
  <c r="AA59" i="1"/>
  <c r="Z59" i="1"/>
  <c r="Y59" i="1"/>
  <c r="AA58" i="1"/>
  <c r="Z58" i="1"/>
  <c r="Y58" i="1"/>
  <c r="AA57" i="1"/>
  <c r="Z57" i="1"/>
  <c r="Y57" i="1"/>
  <c r="AA56" i="1"/>
  <c r="Z56" i="1"/>
  <c r="Y56" i="1"/>
  <c r="AA55" i="1"/>
  <c r="Z55" i="1"/>
  <c r="Y55" i="1"/>
  <c r="AA54" i="1"/>
  <c r="Z54" i="1"/>
  <c r="Y54" i="1"/>
  <c r="AA53" i="1"/>
  <c r="AE53" i="1" s="1"/>
  <c r="Z53" i="1"/>
  <c r="AD53" i="1" s="1"/>
  <c r="AA87" i="1"/>
  <c r="Z87" i="1"/>
  <c r="Y87" i="1"/>
  <c r="AA86" i="1"/>
  <c r="Z86" i="1"/>
  <c r="Y86" i="1"/>
  <c r="AA85" i="1"/>
  <c r="Z85" i="1"/>
  <c r="Y85" i="1"/>
  <c r="AA84" i="1"/>
  <c r="Z84" i="1"/>
  <c r="Y84" i="1"/>
  <c r="AA83" i="1"/>
  <c r="Z83" i="1"/>
  <c r="Y83" i="1"/>
  <c r="AA82" i="1"/>
  <c r="Z82" i="1"/>
  <c r="Y82" i="1"/>
  <c r="AA81" i="1"/>
  <c r="Z81" i="1"/>
  <c r="Y81" i="1"/>
  <c r="AA80" i="1"/>
  <c r="Z80" i="1"/>
  <c r="Y80" i="1"/>
  <c r="AA79" i="1"/>
  <c r="Z79" i="1"/>
  <c r="Y79" i="1"/>
  <c r="AA78" i="1"/>
  <c r="Z78" i="1"/>
  <c r="Y78" i="1"/>
  <c r="AA77" i="1"/>
  <c r="Z77" i="1"/>
  <c r="Y77" i="1"/>
  <c r="AA76" i="1"/>
  <c r="Z76" i="1"/>
  <c r="Y76" i="1"/>
  <c r="AA75" i="1"/>
  <c r="Z75" i="1"/>
  <c r="Y75" i="1"/>
  <c r="AA74" i="1"/>
  <c r="Z74" i="1"/>
  <c r="Y74" i="1"/>
  <c r="AA73" i="1"/>
  <c r="Z73" i="1"/>
  <c r="Y73" i="1"/>
  <c r="AA72" i="1"/>
  <c r="Z72" i="1"/>
  <c r="Y72" i="1"/>
  <c r="AA71" i="1"/>
  <c r="Z71" i="1"/>
  <c r="Y71" i="1"/>
  <c r="AA70" i="1"/>
  <c r="Z70" i="1"/>
  <c r="Y70" i="1"/>
  <c r="AA69" i="1"/>
  <c r="Z69" i="1"/>
  <c r="Y69" i="1"/>
  <c r="AA68" i="1"/>
  <c r="Z68" i="1"/>
  <c r="Y68" i="1"/>
  <c r="U88" i="1"/>
  <c r="U89" i="1" s="1"/>
  <c r="U90" i="1" s="1"/>
  <c r="K89" i="1"/>
  <c r="K90" i="1" s="1"/>
  <c r="H89" i="1"/>
  <c r="H90" i="1" s="1"/>
  <c r="E89" i="1"/>
  <c r="E90" i="1" s="1"/>
  <c r="Q88" i="1"/>
  <c r="Q89" i="1" s="1"/>
  <c r="Q90" i="1" s="1"/>
  <c r="K88" i="1"/>
  <c r="H88" i="1"/>
  <c r="E88" i="1"/>
  <c r="B90" i="1"/>
  <c r="B88" i="1"/>
  <c r="B89" i="1" s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Q58" i="1"/>
  <c r="Q57" i="1"/>
  <c r="Q56" i="1"/>
  <c r="Q55" i="1"/>
  <c r="Q54" i="1"/>
  <c r="Q53" i="1"/>
  <c r="H60" i="1"/>
  <c r="H59" i="1"/>
  <c r="H58" i="1"/>
  <c r="H57" i="1"/>
  <c r="H56" i="1"/>
  <c r="H55" i="1"/>
  <c r="H54" i="1"/>
  <c r="H53" i="1"/>
  <c r="E60" i="1"/>
  <c r="E59" i="1"/>
  <c r="E58" i="1"/>
  <c r="E57" i="1"/>
  <c r="E56" i="1"/>
  <c r="E55" i="1"/>
  <c r="E54" i="1"/>
  <c r="E53" i="1"/>
  <c r="B60" i="1"/>
  <c r="B59" i="1"/>
  <c r="B58" i="1"/>
  <c r="B57" i="1"/>
  <c r="B56" i="1"/>
  <c r="B55" i="1"/>
  <c r="B54" i="1"/>
  <c r="B53" i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44" i="1" s="1"/>
  <c r="E9" i="1"/>
  <c r="B23" i="1"/>
  <c r="H23" i="1" s="1"/>
  <c r="B22" i="1"/>
  <c r="B21" i="1"/>
  <c r="B20" i="1"/>
  <c r="B19" i="1"/>
  <c r="B18" i="1"/>
  <c r="B17" i="1"/>
  <c r="B16" i="1"/>
  <c r="B15" i="1"/>
  <c r="B14" i="1"/>
  <c r="B13" i="1"/>
  <c r="B12" i="1"/>
  <c r="H12" i="1" s="1"/>
  <c r="B11" i="1"/>
  <c r="H11" i="1" s="1"/>
  <c r="B10" i="1"/>
  <c r="B9" i="1"/>
  <c r="B44" i="1" s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N88" i="1" l="1"/>
  <c r="N89" i="1" s="1"/>
  <c r="N90" i="1" s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CA61" i="2" l="1" a="1"/>
  <c r="CA61" i="2" s="1"/>
  <c r="CE61" i="2" s="1"/>
  <c r="H44" i="1"/>
  <c r="Z88" i="2"/>
  <c r="CA65" i="2" a="1"/>
  <c r="CA65" i="2" s="1"/>
  <c r="CE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CE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B66" i="2" a="1"/>
  <c r="CB66" i="2" s="1"/>
  <c r="CF66" i="2" s="1"/>
  <c r="CA67" i="2" a="1"/>
  <c r="CA67" i="2" s="1"/>
  <c r="BZ67" i="2" s="1"/>
  <c r="CD67" i="2" s="1"/>
  <c r="CB65" i="2" a="1"/>
  <c r="CB65" i="2" s="1"/>
  <c r="CF65" i="2" s="1"/>
  <c r="CA57" i="2" a="1"/>
  <c r="CA57" i="2" s="1"/>
  <c r="CE57" i="2" s="1"/>
  <c r="CA58" i="2" a="1"/>
  <c r="CA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Z58" i="2" l="1"/>
  <c r="CD58" i="2" s="1"/>
  <c r="AR89" i="2"/>
  <c r="AR90" i="2" s="1"/>
  <c r="BS89" i="2"/>
  <c r="BS90" i="2" s="1"/>
  <c r="BZ55" i="2"/>
  <c r="CD55" i="2" s="1"/>
  <c r="E89" i="2"/>
  <c r="E90" i="2" s="1"/>
  <c r="N89" i="2"/>
  <c r="N90" i="2" s="1"/>
  <c r="W89" i="2"/>
  <c r="W90" i="2" s="1"/>
  <c r="AF89" i="2"/>
  <c r="AF90" i="2" s="1"/>
  <c r="AO89" i="2"/>
  <c r="AO90" i="2" s="1"/>
  <c r="AX89" i="2"/>
  <c r="AX90" i="2" s="1"/>
  <c r="BG89" i="2"/>
  <c r="BG90" i="2" s="1"/>
  <c r="BP89" i="2"/>
  <c r="BP90" i="2" s="1"/>
  <c r="H89" i="2"/>
  <c r="H90" i="2" s="1"/>
  <c r="Q89" i="2"/>
  <c r="Q90" i="2" s="1"/>
  <c r="BZ54" i="2"/>
  <c r="CD54" i="2" s="1"/>
  <c r="Z89" i="2"/>
  <c r="Z90" i="2" s="1"/>
  <c r="AI89" i="2"/>
  <c r="AI90" i="2" s="1"/>
  <c r="BA89" i="2"/>
  <c r="BA90" i="2" s="1"/>
  <c r="BJ89" i="2"/>
  <c r="BJ90" i="2" s="1"/>
  <c r="K89" i="2"/>
  <c r="K90" i="2" s="1"/>
  <c r="AC89" i="2"/>
  <c r="AC90" i="2" s="1"/>
  <c r="T89" i="2"/>
  <c r="T90" i="2" s="1"/>
  <c r="AL89" i="2"/>
  <c r="AL90" i="2" s="1"/>
  <c r="AU89" i="2"/>
  <c r="AU90" i="2" s="1"/>
  <c r="BD89" i="2"/>
  <c r="BD90" i="2" s="1"/>
  <c r="BM89" i="2"/>
  <c r="BM90" i="2" s="1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BZ75" i="2" l="1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<sst xmlns="http://schemas.openxmlformats.org/spreadsheetml/2006/main" count="338" uniqueCount="65">
  <si>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</si>
  <si>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</si>
  <si>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</si>
  <si>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</si>
  <si>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</si>
  <si>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</si>
  <si>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</si>
  <si>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</si>
  <si>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</si>
  <si>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</si>
  <si>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</si>
  <si>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</si>
  <si>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</si>
  <si>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</si>
  <si>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</si>
  <si>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</si>
  <si>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</si>
  <si>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</si>
  <si>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</si>
  <si>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</si>
  <si>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</si>
  <si>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</si>
  <si>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</si>
  <si>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</si>
  <si>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</si>
  <si>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</si>
  <si>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</si>
  <si>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</si>
  <si>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</si>
  <si>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</si>
  <si>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</si>
  <si>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</si>
  <si>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</si>
  <si>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</si>
  <si>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</si>
  <si>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</si>
  <si>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</si>
  <si>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</si>
  <si>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</si>
  <si>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</si>
  <si>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</si>
  <si>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</si>
  <si>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</si>
  <si>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</si>
  <si>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</si>
  <si>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</si>
  <si>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</si>
  <si>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</si>
  <si>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</si>
  <si>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</si>
  <si>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</si>
  <si>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</si>
  <si>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</si>
  <si>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</si>
  <si>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</si>
  <si>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</si>
  <si>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</si>
  <si>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</si>
  <si>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</si>
  <si>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</si>
  <si>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</si>
  <si>
    <t>Баланс по странам, движение по паспортам и легитимационным билетам:</t>
  </si>
  <si>
    <t>Баланс по странам, движение по легитимационным билетам кроме 1889-1895 (см. страницу note-2):</t>
  </si>
  <si>
    <t>всего (п + лб)</t>
  </si>
  <si>
    <t>всего (п)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</si>
</sst>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3" fontId="0" fillId="5" borderId="0" xfId="0" applyNumberFormat="1" applyFill="1"/>
    <xf numFmtId="0" fontId="1" fillId="0" borderId="0" xfId="0" applyFont="1" applyAlignment="1">
      <alignment horizontal="center"/>
    </xf>
    <xf numFmtId="3" fontId="4" fillId="0" borderId="0" xfId="0" applyNumberFormat="1" applyFont="1"/>
    <xf numFmtId="0" fontId="0" fillId="0" borderId="0" xfId="0" applyFill="1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0" fillId="0" borderId="0" xfId="0" applyFo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62"/>
  <sheetViews>
    <sheetView topLeftCell="A76" workbookViewId="0">
      <selection activeCell="C121" sqref="C121"/>
    </sheetView>
  </sheetViews>
  <sheetFormatPr defaultRowHeight="15" x14ac:dyDescent="0.25"/>
  <cols>
    <col min="1" max="1" width="19.28515625" customWidth="1"/>
    <col min="2" max="2" width="10.7109375" customWidth="1"/>
    <col min="3" max="3" width="10.140625" customWidth="1"/>
    <col min="4" max="4" width="9.7109375" customWidth="1"/>
    <col min="23" max="23" width="10.42578125" customWidth="1"/>
  </cols>
  <sheetData>
    <row r="1" spans="1:10" x14ac:dyDescent="0.25">
      <c r="A1" t="s">
        <v>56</v>
      </c>
    </row>
    <row r="3" spans="1:10" x14ac:dyDescent="0.25">
      <c r="A3" t="s">
        <v>19</v>
      </c>
    </row>
    <row r="5" spans="1:10" x14ac:dyDescent="0.25">
      <c r="A5" s="2"/>
      <c r="B5" s="27" t="s">
        <v>5</v>
      </c>
      <c r="C5" s="27"/>
      <c r="D5" s="27"/>
      <c r="E5" s="27" t="s">
        <v>13</v>
      </c>
      <c r="F5" s="27"/>
      <c r="G5" s="27"/>
      <c r="H5" s="27" t="s">
        <v>14</v>
      </c>
      <c r="I5" s="27"/>
      <c r="J5" s="27"/>
    </row>
    <row r="6" spans="1:10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25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25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25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25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25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25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25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25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25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25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25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25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25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25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25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25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25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25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25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25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25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25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25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25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25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25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25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25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25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25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25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25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25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25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25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25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25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25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25">
      <c r="O45" s="1"/>
    </row>
    <row r="46" spans="1:15" x14ac:dyDescent="0.25">
      <c r="A46" t="s">
        <v>39</v>
      </c>
      <c r="O46" s="1"/>
    </row>
    <row r="47" spans="1:15" x14ac:dyDescent="0.25">
      <c r="O47" s="1"/>
    </row>
    <row r="48" spans="1:15" x14ac:dyDescent="0.25">
      <c r="A48" t="s">
        <v>18</v>
      </c>
      <c r="M48" s="6"/>
      <c r="O48" s="1"/>
    </row>
    <row r="49" spans="1:84" x14ac:dyDescent="0.25">
      <c r="A49" s="22" t="s">
        <v>60</v>
      </c>
      <c r="M49" s="6"/>
      <c r="O49" s="1"/>
    </row>
    <row r="50" spans="1:84" x14ac:dyDescent="0.25">
      <c r="O50" s="1"/>
    </row>
    <row r="51" spans="1:84" x14ac:dyDescent="0.25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25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25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25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25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25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25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25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25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25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25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25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25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25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25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25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25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25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25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25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25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25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25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25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25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25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25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9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25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25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25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25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25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25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25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25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25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25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25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25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25">
      <c r="AS91" s="1"/>
      <c r="AT91" s="1"/>
      <c r="BK91" s="1"/>
      <c r="BL91" s="1"/>
    </row>
    <row r="92" spans="1:84" x14ac:dyDescent="0.25">
      <c r="A92" t="s">
        <v>58</v>
      </c>
      <c r="AS92" s="1"/>
      <c r="AT92" s="1"/>
      <c r="BK92" s="1"/>
      <c r="BL92" s="1"/>
    </row>
    <row r="93" spans="1:84" x14ac:dyDescent="0.25">
      <c r="AS93" s="1"/>
      <c r="AT93" s="1"/>
      <c r="BK93" s="1"/>
      <c r="BL93" s="1"/>
    </row>
    <row r="94" spans="1:84" x14ac:dyDescent="0.25">
      <c r="A94" t="s">
        <v>59</v>
      </c>
      <c r="AS94" s="1"/>
      <c r="AT94" s="1"/>
      <c r="BK94" s="1"/>
      <c r="BL94" s="1"/>
    </row>
    <row r="95" spans="1:84" x14ac:dyDescent="0.25">
      <c r="BK95" s="1"/>
      <c r="BL95" s="1"/>
    </row>
    <row r="96" spans="1:84" x14ac:dyDescent="0.25">
      <c r="B96" s="20" t="s">
        <v>50</v>
      </c>
      <c r="C96" s="20" t="s">
        <v>4</v>
      </c>
      <c r="D96" s="20" t="s">
        <v>51</v>
      </c>
      <c r="BK96" s="1"/>
      <c r="BL96" s="1"/>
    </row>
    <row r="97" spans="1:64" x14ac:dyDescent="0.25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25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25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25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25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25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25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25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25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25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25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25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25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25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25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25">
      <c r="A112" t="s">
        <v>33</v>
      </c>
      <c r="B112" s="1">
        <v>90</v>
      </c>
      <c r="C112" s="1">
        <v>1009</v>
      </c>
      <c r="D112" s="1">
        <v>1099</v>
      </c>
    </row>
    <row r="113" spans="1:4" x14ac:dyDescent="0.25">
      <c r="A113" t="s">
        <v>34</v>
      </c>
      <c r="B113" s="1">
        <v>7</v>
      </c>
      <c r="C113" s="1">
        <v>78</v>
      </c>
      <c r="D113" s="1">
        <v>85</v>
      </c>
    </row>
    <row r="114" spans="1:4" x14ac:dyDescent="0.25">
      <c r="A114" t="s">
        <v>35</v>
      </c>
      <c r="B114" s="1">
        <v>205</v>
      </c>
      <c r="C114" s="1">
        <v>309</v>
      </c>
      <c r="D114" s="1">
        <v>514</v>
      </c>
    </row>
    <row r="115" spans="1:4" x14ac:dyDescent="0.25">
      <c r="A115" t="s">
        <v>12</v>
      </c>
      <c r="B115" s="1">
        <v>137996</v>
      </c>
      <c r="C115" s="1">
        <v>363961</v>
      </c>
      <c r="D115" s="1">
        <v>501957</v>
      </c>
    </row>
    <row r="116" spans="1:4" x14ac:dyDescent="0.25">
      <c r="A116" t="s">
        <v>10</v>
      </c>
      <c r="B116" s="1">
        <v>296</v>
      </c>
      <c r="C116" s="1">
        <v>202921</v>
      </c>
      <c r="D116" s="1">
        <v>203217</v>
      </c>
    </row>
    <row r="117" spans="1:4" x14ac:dyDescent="0.25">
      <c r="A117" t="s">
        <v>36</v>
      </c>
      <c r="B117" s="1">
        <v>48840</v>
      </c>
      <c r="C117" s="1">
        <v>205805</v>
      </c>
      <c r="D117" s="1">
        <v>254645</v>
      </c>
    </row>
    <row r="118" spans="1:4" x14ac:dyDescent="0.25">
      <c r="A118" t="s">
        <v>37</v>
      </c>
      <c r="B118" s="1">
        <v>50</v>
      </c>
      <c r="C118" s="1">
        <v>16981</v>
      </c>
      <c r="D118" s="1">
        <v>17031</v>
      </c>
    </row>
    <row r="119" spans="1:4" x14ac:dyDescent="0.25">
      <c r="A119" t="s">
        <v>53</v>
      </c>
      <c r="B119" s="1">
        <v>-1825</v>
      </c>
      <c r="C119" s="1">
        <v>-5491</v>
      </c>
      <c r="D119" s="1">
        <v>-7316</v>
      </c>
    </row>
    <row r="120" spans="1:4" x14ac:dyDescent="0.25">
      <c r="A120" t="s">
        <v>38</v>
      </c>
      <c r="B120" s="1">
        <v>7529</v>
      </c>
      <c r="C120" s="1">
        <v>19956</v>
      </c>
      <c r="D120" s="1">
        <v>27485</v>
      </c>
    </row>
    <row r="121" spans="1:4" x14ac:dyDescent="0.25">
      <c r="A121" t="s">
        <v>54</v>
      </c>
      <c r="B121" s="1">
        <v>591572</v>
      </c>
      <c r="C121" s="1">
        <v>1056620</v>
      </c>
      <c r="D121" s="1">
        <v>1648192</v>
      </c>
    </row>
    <row r="124" spans="1:4" x14ac:dyDescent="0.25">
      <c r="A124" t="s">
        <v>62</v>
      </c>
    </row>
    <row r="125" spans="1:4" x14ac:dyDescent="0.25">
      <c r="B125" s="20" t="s">
        <v>50</v>
      </c>
      <c r="C125" s="20" t="s">
        <v>4</v>
      </c>
      <c r="D125" s="20" t="s">
        <v>51</v>
      </c>
    </row>
    <row r="126" spans="1:4" x14ac:dyDescent="0.25">
      <c r="A126" t="s">
        <v>7</v>
      </c>
      <c r="B126" s="1">
        <v>289250</v>
      </c>
      <c r="C126" s="1">
        <v>608681</v>
      </c>
      <c r="D126" s="1">
        <v>897931</v>
      </c>
    </row>
    <row r="127" spans="1:4" x14ac:dyDescent="0.25">
      <c r="A127" t="s">
        <v>8</v>
      </c>
      <c r="B127" s="1">
        <v>71263</v>
      </c>
      <c r="C127" s="1">
        <v>59385</v>
      </c>
      <c r="D127" s="1">
        <v>130648</v>
      </c>
    </row>
    <row r="128" spans="1:4" x14ac:dyDescent="0.25">
      <c r="A128" t="s">
        <v>9</v>
      </c>
      <c r="B128" s="1">
        <v>5980</v>
      </c>
      <c r="C128" s="1">
        <v>12946</v>
      </c>
      <c r="D128" s="1">
        <v>18926</v>
      </c>
    </row>
    <row r="129" spans="1:4" x14ac:dyDescent="0.25">
      <c r="A129" t="s">
        <v>12</v>
      </c>
      <c r="B129" s="1">
        <v>0</v>
      </c>
      <c r="C129" s="1">
        <v>151250</v>
      </c>
      <c r="D129" s="1">
        <v>151250</v>
      </c>
    </row>
    <row r="130" spans="1:4" x14ac:dyDescent="0.25">
      <c r="A130" t="s">
        <v>10</v>
      </c>
      <c r="B130" s="1">
        <v>2099</v>
      </c>
      <c r="C130" s="1">
        <v>89510</v>
      </c>
      <c r="D130" s="1">
        <v>91609</v>
      </c>
    </row>
    <row r="131" spans="1:4" x14ac:dyDescent="0.25">
      <c r="A131" t="s">
        <v>11</v>
      </c>
      <c r="B131" s="1">
        <v>-4</v>
      </c>
      <c r="C131" s="1">
        <v>11120</v>
      </c>
      <c r="D131" s="1">
        <v>11116</v>
      </c>
    </row>
    <row r="132" spans="1:4" x14ac:dyDescent="0.25">
      <c r="A132" t="s">
        <v>54</v>
      </c>
      <c r="B132" s="1">
        <f>SUM(B126:B131)</f>
        <v>368588</v>
      </c>
      <c r="C132" s="1">
        <f>SUM(C126:C131)</f>
        <v>932892</v>
      </c>
      <c r="D132" s="1">
        <f>SUM(D126:D131)</f>
        <v>1301480</v>
      </c>
    </row>
    <row r="133" spans="1:4" x14ac:dyDescent="0.25">
      <c r="B133" s="1"/>
      <c r="C133" s="1"/>
      <c r="D133" s="1"/>
    </row>
    <row r="135" spans="1:4" x14ac:dyDescent="0.25">
      <c r="A135" t="s">
        <v>61</v>
      </c>
    </row>
    <row r="137" spans="1:4" x14ac:dyDescent="0.25">
      <c r="B137" s="20" t="s">
        <v>50</v>
      </c>
      <c r="C137" s="20" t="s">
        <v>4</v>
      </c>
      <c r="D137" s="20" t="s">
        <v>51</v>
      </c>
    </row>
    <row r="138" spans="1:4" x14ac:dyDescent="0.25">
      <c r="A138" t="s">
        <v>7</v>
      </c>
      <c r="B138" s="1">
        <f t="shared" ref="B138:D139" si="140">B97+B126</f>
        <v>387733</v>
      </c>
      <c r="C138" s="1">
        <f t="shared" si="140"/>
        <v>673314</v>
      </c>
      <c r="D138" s="1">
        <f t="shared" si="140"/>
        <v>1061047</v>
      </c>
    </row>
    <row r="139" spans="1:4" x14ac:dyDescent="0.25">
      <c r="A139" t="s">
        <v>8</v>
      </c>
      <c r="B139" s="1">
        <f t="shared" si="140"/>
        <v>341811</v>
      </c>
      <c r="C139" s="1">
        <f t="shared" si="140"/>
        <v>148200</v>
      </c>
      <c r="D139" s="1">
        <f t="shared" si="140"/>
        <v>490011</v>
      </c>
    </row>
    <row r="140" spans="1:4" x14ac:dyDescent="0.25">
      <c r="A140" t="s">
        <v>21</v>
      </c>
      <c r="B140" s="1">
        <f t="shared" ref="B140:D140" si="141">B99</f>
        <v>1194</v>
      </c>
      <c r="C140" s="1">
        <f t="shared" si="141"/>
        <v>12542</v>
      </c>
      <c r="D140" s="1">
        <f t="shared" si="141"/>
        <v>13736</v>
      </c>
    </row>
    <row r="141" spans="1:4" x14ac:dyDescent="0.25">
      <c r="A141" t="s">
        <v>22</v>
      </c>
      <c r="B141" s="1">
        <f t="shared" ref="B141:D141" si="142">B100</f>
        <v>7593</v>
      </c>
      <c r="C141" s="1">
        <f t="shared" si="142"/>
        <v>20477</v>
      </c>
      <c r="D141" s="1">
        <f t="shared" si="142"/>
        <v>28070</v>
      </c>
    </row>
    <row r="142" spans="1:4" x14ac:dyDescent="0.25">
      <c r="A142" t="s">
        <v>23</v>
      </c>
      <c r="B142" s="1">
        <f t="shared" ref="B142:D142" si="143">B101</f>
        <v>4360</v>
      </c>
      <c r="C142" s="1">
        <f t="shared" si="143"/>
        <v>8006</v>
      </c>
      <c r="D142" s="1">
        <f t="shared" si="143"/>
        <v>12366</v>
      </c>
    </row>
    <row r="143" spans="1:4" x14ac:dyDescent="0.25">
      <c r="A143" t="s">
        <v>24</v>
      </c>
      <c r="B143" s="1">
        <f t="shared" ref="B143:D143" si="144">B102</f>
        <v>93</v>
      </c>
      <c r="C143" s="1">
        <f t="shared" si="144"/>
        <v>3063</v>
      </c>
      <c r="D143" s="1">
        <f t="shared" si="144"/>
        <v>3156</v>
      </c>
    </row>
    <row r="144" spans="1:4" x14ac:dyDescent="0.25">
      <c r="A144" t="s">
        <v>25</v>
      </c>
      <c r="B144" s="1">
        <f t="shared" ref="B144:D144" si="145">B103</f>
        <v>407</v>
      </c>
      <c r="C144" s="1">
        <f t="shared" si="145"/>
        <v>10431</v>
      </c>
      <c r="D144" s="1">
        <f t="shared" si="145"/>
        <v>10838</v>
      </c>
    </row>
    <row r="145" spans="1:4" x14ac:dyDescent="0.25">
      <c r="A145" t="s">
        <v>26</v>
      </c>
      <c r="B145" s="1">
        <f t="shared" ref="B145:D145" si="146">B104</f>
        <v>-47</v>
      </c>
      <c r="C145" s="1">
        <f t="shared" si="146"/>
        <v>5897</v>
      </c>
      <c r="D145" s="1">
        <f t="shared" si="146"/>
        <v>5850</v>
      </c>
    </row>
    <row r="146" spans="1:4" x14ac:dyDescent="0.25">
      <c r="A146" t="s">
        <v>27</v>
      </c>
      <c r="B146" s="1">
        <f t="shared" ref="B146:D146" si="147">B105</f>
        <v>6276</v>
      </c>
      <c r="C146" s="1">
        <f t="shared" si="147"/>
        <v>4068</v>
      </c>
      <c r="D146" s="1">
        <f t="shared" si="147"/>
        <v>10344</v>
      </c>
    </row>
    <row r="147" spans="1:4" x14ac:dyDescent="0.25">
      <c r="A147" t="s">
        <v>28</v>
      </c>
      <c r="B147" s="1">
        <f t="shared" ref="B147:D147" si="148">B106</f>
        <v>573</v>
      </c>
      <c r="C147" s="1">
        <f t="shared" si="148"/>
        <v>9020</v>
      </c>
      <c r="D147" s="1">
        <f t="shared" si="148"/>
        <v>9593</v>
      </c>
    </row>
    <row r="148" spans="1:4" x14ac:dyDescent="0.25">
      <c r="A148" t="s">
        <v>9</v>
      </c>
      <c r="B148" s="1">
        <f>B107+B128</f>
        <v>7490</v>
      </c>
      <c r="C148" s="1">
        <f>C107+C128</f>
        <v>17808</v>
      </c>
      <c r="D148" s="1">
        <f>D107+D128</f>
        <v>25298</v>
      </c>
    </row>
    <row r="149" spans="1:4" x14ac:dyDescent="0.25">
      <c r="A149" t="s">
        <v>29</v>
      </c>
      <c r="B149" s="1">
        <f t="shared" ref="B149:D149" si="149">B108</f>
        <v>5131</v>
      </c>
      <c r="C149" s="1">
        <f t="shared" si="149"/>
        <v>5622</v>
      </c>
      <c r="D149" s="1">
        <f t="shared" si="149"/>
        <v>10753</v>
      </c>
    </row>
    <row r="150" spans="1:4" x14ac:dyDescent="0.25">
      <c r="A150" t="s">
        <v>30</v>
      </c>
      <c r="B150" s="1">
        <f t="shared" ref="B150:D150" si="150">B109</f>
        <v>477</v>
      </c>
      <c r="C150" s="1">
        <f t="shared" si="150"/>
        <v>6426</v>
      </c>
      <c r="D150" s="1">
        <f t="shared" si="150"/>
        <v>6903</v>
      </c>
    </row>
    <row r="151" spans="1:4" x14ac:dyDescent="0.25">
      <c r="A151" t="s">
        <v>31</v>
      </c>
      <c r="B151" s="1">
        <f t="shared" ref="B151:D151" si="151">B110</f>
        <v>2396</v>
      </c>
      <c r="C151" s="1">
        <f t="shared" si="151"/>
        <v>7787</v>
      </c>
      <c r="D151" s="1">
        <f t="shared" si="151"/>
        <v>10183</v>
      </c>
    </row>
    <row r="152" spans="1:4" x14ac:dyDescent="0.25">
      <c r="A152" t="s">
        <v>32</v>
      </c>
      <c r="B152" s="1">
        <f t="shared" ref="B152:D152" si="152">B111</f>
        <v>197</v>
      </c>
      <c r="C152" s="1">
        <f t="shared" si="152"/>
        <v>542</v>
      </c>
      <c r="D152" s="1">
        <f t="shared" si="152"/>
        <v>739</v>
      </c>
    </row>
    <row r="153" spans="1:4" x14ac:dyDescent="0.25">
      <c r="A153" t="s">
        <v>33</v>
      </c>
      <c r="B153" s="1">
        <f t="shared" ref="B153:D153" si="153">B112</f>
        <v>90</v>
      </c>
      <c r="C153" s="1">
        <f t="shared" si="153"/>
        <v>1009</v>
      </c>
      <c r="D153" s="1">
        <f t="shared" si="153"/>
        <v>1099</v>
      </c>
    </row>
    <row r="154" spans="1:4" x14ac:dyDescent="0.25">
      <c r="A154" t="s">
        <v>34</v>
      </c>
      <c r="B154" s="1">
        <f t="shared" ref="B154:D154" si="154">B113</f>
        <v>7</v>
      </c>
      <c r="C154" s="1">
        <f t="shared" si="154"/>
        <v>78</v>
      </c>
      <c r="D154" s="1">
        <f t="shared" si="154"/>
        <v>85</v>
      </c>
    </row>
    <row r="155" spans="1:4" x14ac:dyDescent="0.25">
      <c r="A155" t="s">
        <v>35</v>
      </c>
      <c r="B155" s="1">
        <f t="shared" ref="B155:D155" si="155">B114</f>
        <v>205</v>
      </c>
      <c r="C155" s="1">
        <f t="shared" si="155"/>
        <v>309</v>
      </c>
      <c r="D155" s="1">
        <f t="shared" si="155"/>
        <v>514</v>
      </c>
    </row>
    <row r="156" spans="1:4" x14ac:dyDescent="0.25">
      <c r="A156" t="s">
        <v>12</v>
      </c>
      <c r="B156" s="1">
        <f t="shared" ref="B156:D157" si="156">B115+B129</f>
        <v>137996</v>
      </c>
      <c r="C156" s="1">
        <f t="shared" si="156"/>
        <v>515211</v>
      </c>
      <c r="D156" s="1">
        <f t="shared" si="156"/>
        <v>653207</v>
      </c>
    </row>
    <row r="157" spans="1:4" x14ac:dyDescent="0.25">
      <c r="A157" t="s">
        <v>10</v>
      </c>
      <c r="B157" s="1">
        <f t="shared" si="156"/>
        <v>2395</v>
      </c>
      <c r="C157" s="1">
        <f t="shared" si="156"/>
        <v>292431</v>
      </c>
      <c r="D157" s="1">
        <f t="shared" si="156"/>
        <v>294826</v>
      </c>
    </row>
    <row r="158" spans="1:4" x14ac:dyDescent="0.25">
      <c r="A158" t="s">
        <v>36</v>
      </c>
      <c r="B158" s="1">
        <f t="shared" ref="B158:D158" si="157">B117</f>
        <v>48840</v>
      </c>
      <c r="C158" s="1">
        <f t="shared" si="157"/>
        <v>205805</v>
      </c>
      <c r="D158" s="1">
        <f t="shared" si="157"/>
        <v>254645</v>
      </c>
    </row>
    <row r="159" spans="1:4" x14ac:dyDescent="0.25">
      <c r="A159" t="s">
        <v>37</v>
      </c>
      <c r="B159" s="1">
        <f t="shared" ref="B159:D159" si="158">B118</f>
        <v>50</v>
      </c>
      <c r="C159" s="1">
        <f t="shared" si="158"/>
        <v>16981</v>
      </c>
      <c r="D159" s="1">
        <f t="shared" si="158"/>
        <v>17031</v>
      </c>
    </row>
    <row r="160" spans="1:4" x14ac:dyDescent="0.25">
      <c r="A160" t="s">
        <v>53</v>
      </c>
      <c r="B160" s="1">
        <f t="shared" ref="B160:D160" si="159">B119</f>
        <v>-1825</v>
      </c>
      <c r="C160" s="1">
        <f t="shared" si="159"/>
        <v>-5491</v>
      </c>
      <c r="D160" s="1">
        <f t="shared" si="159"/>
        <v>-7316</v>
      </c>
    </row>
    <row r="161" spans="1:4" x14ac:dyDescent="0.25">
      <c r="A161" t="s">
        <v>38</v>
      </c>
      <c r="B161" s="1">
        <f>B120+B131</f>
        <v>7525</v>
      </c>
      <c r="C161" s="1">
        <f>C120+C131</f>
        <v>31076</v>
      </c>
      <c r="D161" s="1">
        <f>D120+D131</f>
        <v>38601</v>
      </c>
    </row>
    <row r="162" spans="1:4" x14ac:dyDescent="0.25">
      <c r="A162" t="s">
        <v>54</v>
      </c>
      <c r="B162" s="1">
        <f>SUM(B138:B161)</f>
        <v>960967</v>
      </c>
      <c r="C162" s="1">
        <f>SUM(C138:C161)</f>
        <v>1990612</v>
      </c>
      <c r="D162" s="1">
        <f>SUM(D138:D161)</f>
        <v>2951579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52" workbookViewId="0">
      <selection activeCell="B96" sqref="B96"/>
    </sheetView>
  </sheetViews>
  <sheetFormatPr defaultRowHeight="15" x14ac:dyDescent="0.25"/>
  <cols>
    <col min="4" max="4" width="11.7109375" bestFit="1" customWidth="1"/>
    <col min="5" max="5" width="11" customWidth="1"/>
  </cols>
  <sheetData>
    <row r="1" spans="1:15" x14ac:dyDescent="0.25">
      <c r="A1" t="s">
        <v>16</v>
      </c>
    </row>
    <row r="3" spans="1:15" x14ac:dyDescent="0.25">
      <c r="A3" t="s">
        <v>20</v>
      </c>
    </row>
    <row r="4" spans="1:15" x14ac:dyDescent="0.25">
      <c r="A4" t="s">
        <v>15</v>
      </c>
    </row>
    <row r="5" spans="1:15" x14ac:dyDescent="0.25">
      <c r="A5" t="s">
        <v>17</v>
      </c>
    </row>
    <row r="7" spans="1:15" x14ac:dyDescent="0.25">
      <c r="A7" s="2"/>
      <c r="B7" s="27" t="s">
        <v>5</v>
      </c>
      <c r="C7" s="27"/>
      <c r="D7" s="27"/>
      <c r="E7" s="27" t="s">
        <v>13</v>
      </c>
      <c r="F7" s="27"/>
      <c r="G7" s="27"/>
      <c r="H7" s="27" t="s">
        <v>14</v>
      </c>
      <c r="I7" s="27"/>
      <c r="J7" s="27"/>
    </row>
    <row r="8" spans="1:15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25">
      <c r="A9" s="18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25">
      <c r="A10" s="18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25">
      <c r="A11" s="18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25">
      <c r="A12" s="18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25">
      <c r="A13" s="18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25">
      <c r="A14" s="18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25">
      <c r="A15" s="18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25">
      <c r="A16" s="18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25">
      <c r="A17" s="18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M17" s="1"/>
      <c r="O17" s="1"/>
    </row>
    <row r="18" spans="1:15" x14ac:dyDescent="0.25">
      <c r="A18" s="18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25">
      <c r="A19" s="18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25">
      <c r="A20" s="18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25">
      <c r="A21" s="18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25">
      <c r="A22" s="18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25">
      <c r="A23" s="18">
        <f>A24-1</f>
        <v>1895</v>
      </c>
      <c r="B23" s="21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25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25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25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25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25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25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25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25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25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25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25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25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25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25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25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25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25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25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25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25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25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25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25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25">
      <c r="O47" s="1"/>
    </row>
    <row r="48" spans="1:15" x14ac:dyDescent="0.25">
      <c r="A48" t="s">
        <v>6</v>
      </c>
      <c r="O48" s="1"/>
    </row>
    <row r="49" spans="1:31" x14ac:dyDescent="0.25">
      <c r="A49" s="22" t="s">
        <v>60</v>
      </c>
      <c r="O49" s="1"/>
    </row>
    <row r="50" spans="1:31" x14ac:dyDescent="0.25">
      <c r="O50" s="1"/>
    </row>
    <row r="51" spans="1:31" x14ac:dyDescent="0.25">
      <c r="A51" s="2"/>
      <c r="B51" s="27" t="s">
        <v>7</v>
      </c>
      <c r="C51" s="27"/>
      <c r="D51" s="27"/>
      <c r="E51" s="27" t="s">
        <v>8</v>
      </c>
      <c r="F51" s="27"/>
      <c r="G51" s="27"/>
      <c r="H51" s="27" t="s">
        <v>9</v>
      </c>
      <c r="I51" s="27"/>
      <c r="J51" s="27"/>
      <c r="K51" s="27" t="s">
        <v>12</v>
      </c>
      <c r="L51" s="27"/>
      <c r="M51" s="27"/>
      <c r="N51" s="27" t="s">
        <v>10</v>
      </c>
      <c r="O51" s="27"/>
      <c r="P51" s="27"/>
      <c r="Q51" s="27" t="s">
        <v>11</v>
      </c>
      <c r="R51" s="27"/>
      <c r="S51" s="27"/>
      <c r="U51" s="23" t="s">
        <v>5</v>
      </c>
      <c r="Y51" s="25" t="s">
        <v>55</v>
      </c>
      <c r="AC51" s="24" t="s">
        <v>57</v>
      </c>
    </row>
    <row r="52" spans="1:31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16" t="s">
        <v>1</v>
      </c>
      <c r="V52" s="16" t="s">
        <v>2</v>
      </c>
      <c r="W52" s="16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25">
      <c r="A53" s="18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7"/>
      <c r="L53" s="17"/>
      <c r="M53" s="17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25">
      <c r="A54" s="18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7"/>
      <c r="L54" s="17"/>
      <c r="M54" s="17"/>
      <c r="N54" s="17"/>
      <c r="O54" s="17"/>
      <c r="P54" s="17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25">
      <c r="A55" s="18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7"/>
      <c r="L55" s="17"/>
      <c r="M55" s="17"/>
      <c r="N55" s="17"/>
      <c r="O55" s="17"/>
      <c r="P55" s="17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25">
      <c r="A56" s="18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7"/>
      <c r="L56" s="17"/>
      <c r="M56" s="17"/>
      <c r="N56" s="17"/>
      <c r="O56" s="17"/>
      <c r="P56" s="17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25">
      <c r="A57" s="18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7"/>
      <c r="L57" s="17"/>
      <c r="M57" s="17"/>
      <c r="N57" s="17"/>
      <c r="O57" s="17"/>
      <c r="P57" s="17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25">
      <c r="A58" s="18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7"/>
      <c r="L58" s="17"/>
      <c r="M58" s="17"/>
      <c r="N58" s="17"/>
      <c r="O58" s="17"/>
      <c r="P58" s="17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25">
      <c r="A59" s="18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7"/>
      <c r="L59" s="17"/>
      <c r="M59" s="17"/>
      <c r="N59" s="17"/>
      <c r="O59" s="17"/>
      <c r="P59" s="17"/>
      <c r="Q59" s="17"/>
      <c r="R59" s="17"/>
      <c r="S59" s="17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25">
      <c r="A60" s="18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7"/>
      <c r="L60" s="17"/>
      <c r="M60" s="17"/>
      <c r="N60" s="17"/>
      <c r="O60" s="17"/>
      <c r="P60" s="17"/>
      <c r="Q60" s="17"/>
      <c r="R60" s="17"/>
      <c r="S60" s="17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25">
      <c r="A61" s="18">
        <f t="shared" si="13"/>
        <v>1889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U61" s="1">
        <f t="shared" si="21"/>
        <v>30882</v>
      </c>
      <c r="V61" s="1">
        <v>1009672</v>
      </c>
      <c r="W61" s="1">
        <v>978790</v>
      </c>
    </row>
    <row r="62" spans="1:31" x14ac:dyDescent="0.25">
      <c r="A62" s="18">
        <f t="shared" si="13"/>
        <v>1890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U62" s="1">
        <f t="shared" si="21"/>
        <v>50014</v>
      </c>
      <c r="V62" s="1">
        <v>1385207</v>
      </c>
      <c r="W62" s="1">
        <v>1335193</v>
      </c>
    </row>
    <row r="63" spans="1:31" x14ac:dyDescent="0.25">
      <c r="A63" s="18">
        <f t="shared" si="13"/>
        <v>1891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U63" s="1">
        <f t="shared" si="21"/>
        <v>15917</v>
      </c>
      <c r="V63" s="1">
        <v>1598775</v>
      </c>
      <c r="W63" s="1">
        <v>1582858</v>
      </c>
    </row>
    <row r="64" spans="1:31" x14ac:dyDescent="0.25">
      <c r="A64" s="18">
        <f t="shared" si="13"/>
        <v>1892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U64" s="1">
        <f t="shared" si="21"/>
        <v>12069</v>
      </c>
      <c r="V64" s="1">
        <v>939371</v>
      </c>
      <c r="W64" s="1">
        <v>927302</v>
      </c>
    </row>
    <row r="65" spans="1:31" x14ac:dyDescent="0.25">
      <c r="A65" s="18">
        <f t="shared" si="13"/>
        <v>1893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U65" s="1">
        <f t="shared" si="21"/>
        <v>31556</v>
      </c>
      <c r="V65" s="1">
        <v>1088739</v>
      </c>
      <c r="W65" s="1">
        <v>1057183</v>
      </c>
    </row>
    <row r="66" spans="1:31" x14ac:dyDescent="0.25">
      <c r="A66" s="18">
        <f t="shared" si="13"/>
        <v>1894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U66" s="1">
        <f t="shared" si="21"/>
        <v>72247</v>
      </c>
      <c r="V66" s="1">
        <v>1006037</v>
      </c>
      <c r="W66" s="1">
        <v>933790</v>
      </c>
    </row>
    <row r="67" spans="1:31" x14ac:dyDescent="0.25">
      <c r="A67" s="18">
        <f>A68-1</f>
        <v>1895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U67" s="1">
        <f t="shared" si="21"/>
        <v>-78419</v>
      </c>
      <c r="V67" s="1">
        <v>1407483</v>
      </c>
      <c r="W67" s="1">
        <v>1485902</v>
      </c>
    </row>
    <row r="68" spans="1:31" x14ac:dyDescent="0.25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25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25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25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25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25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25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25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25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25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25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25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25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25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25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25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25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25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25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25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25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25">
      <c r="A89" s="10" t="s">
        <v>4</v>
      </c>
      <c r="B89" s="5">
        <f>SUM(B68:B88)</f>
        <v>608681</v>
      </c>
      <c r="C89" s="5"/>
      <c r="D89" s="5"/>
      <c r="E89" s="5">
        <f t="shared" ref="E89" si="43">SUM(E68:E88)</f>
        <v>59385</v>
      </c>
      <c r="F89" s="5"/>
      <c r="G89" s="5"/>
      <c r="H89" s="5">
        <f t="shared" ref="H89" si="44">SUM(H68:H88)</f>
        <v>12946</v>
      </c>
      <c r="I89" s="5"/>
      <c r="J89" s="5"/>
      <c r="K89" s="5">
        <f t="shared" ref="K89" si="45">SUM(K68:K88)</f>
        <v>151250</v>
      </c>
      <c r="L89" s="5"/>
      <c r="M89" s="5"/>
      <c r="N89" s="5">
        <f t="shared" ref="N89" si="46">SUM(N68:N88)</f>
        <v>89510</v>
      </c>
      <c r="O89" s="5"/>
      <c r="P89" s="5"/>
      <c r="Q89" s="5">
        <f t="shared" ref="Q89" si="47">SUM(Q68:Q88)</f>
        <v>11120</v>
      </c>
      <c r="R89" s="5"/>
      <c r="S89" s="5"/>
      <c r="U89" s="5">
        <f>SUM(U68:U88)</f>
        <v>1066141</v>
      </c>
      <c r="V89" s="4"/>
      <c r="W89" s="4"/>
    </row>
    <row r="90" spans="1:31" x14ac:dyDescent="0.25">
      <c r="A90" s="4" t="s">
        <v>51</v>
      </c>
      <c r="B90" s="5">
        <f>B89+B88</f>
        <v>897931</v>
      </c>
      <c r="C90" s="4"/>
      <c r="D90" s="4"/>
      <c r="E90" s="5">
        <f t="shared" ref="E90" si="48">E89+E88</f>
        <v>130648</v>
      </c>
      <c r="F90" s="4"/>
      <c r="G90" s="4"/>
      <c r="H90" s="5">
        <f t="shared" ref="H90" si="49">H89+H88</f>
        <v>18926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91609</v>
      </c>
      <c r="O90" s="4"/>
      <c r="P90" s="4"/>
      <c r="Q90" s="5">
        <f t="shared" ref="Q90" si="52">Q89+Q88</f>
        <v>11116</v>
      </c>
      <c r="R90" s="4"/>
      <c r="S90" s="4"/>
      <c r="U90" s="5">
        <f>U89+U88</f>
        <v>1568978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I52"/>
  <sheetViews>
    <sheetView tabSelected="1" workbookViewId="0">
      <selection activeCell="AI46" sqref="AI46"/>
    </sheetView>
  </sheetViews>
  <sheetFormatPr defaultRowHeight="15" x14ac:dyDescent="0.25"/>
  <cols>
    <col min="1" max="1" width="11" customWidth="1"/>
    <col min="2" max="2" width="12.5703125" bestFit="1" customWidth="1"/>
    <col min="3" max="3" width="11" bestFit="1" customWidth="1"/>
    <col min="4" max="4" width="12" bestFit="1" customWidth="1"/>
    <col min="5" max="5" width="10.28515625" bestFit="1" customWidth="1"/>
    <col min="6" max="6" width="9" bestFit="1" customWidth="1"/>
    <col min="7" max="7" width="12.85546875" bestFit="1" customWidth="1"/>
    <col min="8" max="8" width="9.85546875" bestFit="1" customWidth="1"/>
    <col min="9" max="9" width="8.28515625" bestFit="1" customWidth="1"/>
    <col min="10" max="10" width="9" bestFit="1" customWidth="1"/>
    <col min="11" max="11" width="9.5703125" bestFit="1" customWidth="1"/>
    <col min="12" max="12" width="6.28515625" customWidth="1"/>
    <col min="13" max="13" width="11.5703125" bestFit="1" customWidth="1"/>
    <col min="14" max="14" width="8.28515625" bestFit="1" customWidth="1"/>
    <col min="15" max="15" width="10.7109375" bestFit="1" customWidth="1"/>
    <col min="16" max="16" width="7.5703125" bestFit="1" customWidth="1"/>
    <col min="17" max="17" width="9.42578125" bestFit="1" customWidth="1"/>
    <col min="18" max="18" width="9.28515625" bestFit="1" customWidth="1"/>
    <col min="19" max="19" width="7.42578125" bestFit="1" customWidth="1"/>
    <col min="20" max="20" width="6.7109375" bestFit="1" customWidth="1"/>
    <col min="21" max="21" width="19.140625" bestFit="1" customWidth="1"/>
    <col min="22" max="22" width="7.7109375" bestFit="1" customWidth="1"/>
    <col min="23" max="23" width="8.7109375" bestFit="1" customWidth="1"/>
    <col min="24" max="24" width="11.42578125" bestFit="1" customWidth="1"/>
    <col min="25" max="25" width="11.85546875" bestFit="1" customWidth="1"/>
    <col min="26" max="26" width="7.5703125" bestFit="1" customWidth="1"/>
    <col min="27" max="27" width="7.28515625" bestFit="1" customWidth="1"/>
    <col min="28" max="28" width="7.42578125" bestFit="1" customWidth="1"/>
    <col min="29" max="29" width="7.7109375" bestFit="1" customWidth="1"/>
    <col min="30" max="30" width="14.28515625" customWidth="1"/>
    <col min="31" max="31" width="10.140625" bestFit="1" customWidth="1"/>
  </cols>
  <sheetData>
    <row r="1" spans="1:31" x14ac:dyDescent="0.25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25">
      <c r="A2" s="26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25">
      <c r="A3" s="26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25">
      <c r="A4" s="26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25">
      <c r="A5" s="26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25">
      <c r="A6" s="26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25">
      <c r="A7" s="26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25">
      <c r="A8" s="26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25">
      <c r="A9" s="26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25">
      <c r="A10" s="26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25">
      <c r="A11" s="26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25">
      <c r="A12" s="26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25">
      <c r="A13" s="26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25">
      <c r="A14" s="26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25">
      <c r="A15" s="26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25">
      <c r="A16" s="26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25">
      <c r="A17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25">
      <c r="A18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25">
      <c r="A1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25">
      <c r="A20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25">
      <c r="A21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25">
      <c r="A22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25">
      <c r="A23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25">
      <c r="A24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25">
      <c r="A25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25">
      <c r="A26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25">
      <c r="A27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25">
      <c r="A28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25">
      <c r="A2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25">
      <c r="A30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25">
      <c r="A31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25">
      <c r="A32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25">
      <c r="A33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25">
      <c r="A34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25">
      <c r="A35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25">
      <c r="A36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25">
      <c r="A38" s="8" t="s">
        <v>47</v>
      </c>
      <c r="P38" s="1"/>
    </row>
    <row r="40" spans="1:35" x14ac:dyDescent="0.25">
      <c r="A40" t="s">
        <v>52</v>
      </c>
    </row>
    <row r="42" spans="1:35" x14ac:dyDescent="0.25">
      <c r="A42" t="s">
        <v>48</v>
      </c>
    </row>
    <row r="43" spans="1:35" x14ac:dyDescent="0.25">
      <c r="A43" t="s">
        <v>49</v>
      </c>
    </row>
    <row r="45" spans="1:35" x14ac:dyDescent="0.25">
      <c r="B45" s="8" t="s">
        <v>41</v>
      </c>
      <c r="C45" s="8" t="s">
        <v>40</v>
      </c>
      <c r="D45" s="8" t="s">
        <v>42</v>
      </c>
      <c r="E45" s="8" t="s">
        <v>43</v>
      </c>
      <c r="F45" s="8" t="s">
        <v>44</v>
      </c>
      <c r="G45" s="8" t="s">
        <v>46</v>
      </c>
      <c r="H45" s="8" t="s">
        <v>7</v>
      </c>
      <c r="I45" s="8" t="s">
        <v>8</v>
      </c>
      <c r="J45" s="8" t="s">
        <v>21</v>
      </c>
      <c r="K45" s="8" t="s">
        <v>22</v>
      </c>
      <c r="L45" s="8" t="s">
        <v>23</v>
      </c>
      <c r="M45" s="8" t="s">
        <v>24</v>
      </c>
      <c r="N45" s="8" t="s">
        <v>25</v>
      </c>
      <c r="O45" s="8" t="s">
        <v>26</v>
      </c>
      <c r="P45" s="8" t="s">
        <v>27</v>
      </c>
      <c r="Q45" s="8" t="s">
        <v>28</v>
      </c>
      <c r="R45" s="8" t="s">
        <v>9</v>
      </c>
      <c r="S45" s="8" t="s">
        <v>29</v>
      </c>
      <c r="T45" s="8" t="s">
        <v>30</v>
      </c>
      <c r="U45" s="8" t="s">
        <v>31</v>
      </c>
      <c r="V45" s="8" t="s">
        <v>32</v>
      </c>
      <c r="W45" s="8" t="s">
        <v>33</v>
      </c>
      <c r="X45" s="8" t="s">
        <v>34</v>
      </c>
      <c r="Y45" s="8" t="s">
        <v>35</v>
      </c>
      <c r="Z45" s="8" t="s">
        <v>12</v>
      </c>
      <c r="AA45" s="8" t="s">
        <v>10</v>
      </c>
      <c r="AB45" s="8" t="s">
        <v>36</v>
      </c>
      <c r="AC45" s="8" t="s">
        <v>37</v>
      </c>
      <c r="AD45" s="8" t="s">
        <v>53</v>
      </c>
      <c r="AE45" s="8" t="s">
        <v>45</v>
      </c>
      <c r="AG45" t="s">
        <v>63</v>
      </c>
      <c r="AI45" t="s">
        <v>64</v>
      </c>
    </row>
    <row r="46" spans="1:35" x14ac:dyDescent="0.25">
      <c r="A46" t="s">
        <v>50</v>
      </c>
      <c r="B46" s="1">
        <f>SUM(B2:B16)</f>
        <v>289250</v>
      </c>
      <c r="C46" s="1">
        <f t="shared" ref="C46:AE46" si="2">SUM(C2:C16)</f>
        <v>71263</v>
      </c>
      <c r="D46" s="1">
        <f t="shared" si="2"/>
        <v>5980</v>
      </c>
      <c r="E46" s="1">
        <f t="shared" si="2"/>
        <v>0</v>
      </c>
      <c r="F46" s="1">
        <f t="shared" si="2"/>
        <v>2099</v>
      </c>
      <c r="G46" s="1">
        <f t="shared" si="2"/>
        <v>-4</v>
      </c>
      <c r="H46" s="1">
        <f t="shared" si="2"/>
        <v>98483</v>
      </c>
      <c r="I46" s="1">
        <f t="shared" si="2"/>
        <v>270548</v>
      </c>
      <c r="J46" s="1">
        <f t="shared" si="2"/>
        <v>1194</v>
      </c>
      <c r="K46" s="1">
        <f t="shared" si="2"/>
        <v>7593</v>
      </c>
      <c r="L46" s="1">
        <f t="shared" si="2"/>
        <v>4360</v>
      </c>
      <c r="M46" s="1">
        <f t="shared" si="2"/>
        <v>93</v>
      </c>
      <c r="N46" s="1">
        <f t="shared" si="2"/>
        <v>407</v>
      </c>
      <c r="O46" s="1">
        <f t="shared" si="2"/>
        <v>-47</v>
      </c>
      <c r="P46" s="1">
        <f t="shared" si="2"/>
        <v>6276</v>
      </c>
      <c r="Q46" s="1">
        <f t="shared" si="2"/>
        <v>573</v>
      </c>
      <c r="R46" s="1">
        <f t="shared" si="2"/>
        <v>1510</v>
      </c>
      <c r="S46" s="1">
        <f t="shared" si="2"/>
        <v>5131</v>
      </c>
      <c r="T46" s="1">
        <f t="shared" si="2"/>
        <v>477</v>
      </c>
      <c r="U46" s="1">
        <f t="shared" si="2"/>
        <v>2396</v>
      </c>
      <c r="V46" s="1">
        <f t="shared" si="2"/>
        <v>197</v>
      </c>
      <c r="W46" s="1">
        <f t="shared" si="2"/>
        <v>90</v>
      </c>
      <c r="X46" s="1">
        <f t="shared" si="2"/>
        <v>7</v>
      </c>
      <c r="Y46" s="1">
        <f t="shared" si="2"/>
        <v>205</v>
      </c>
      <c r="Z46" s="1">
        <f t="shared" si="2"/>
        <v>137996</v>
      </c>
      <c r="AA46" s="1">
        <f t="shared" si="2"/>
        <v>296</v>
      </c>
      <c r="AB46" s="1">
        <f t="shared" si="2"/>
        <v>48840</v>
      </c>
      <c r="AC46" s="1">
        <f t="shared" si="2"/>
        <v>50</v>
      </c>
      <c r="AD46" s="1">
        <f t="shared" si="2"/>
        <v>-1825</v>
      </c>
      <c r="AE46" s="1">
        <f t="shared" si="2"/>
        <v>7529</v>
      </c>
      <c r="AG46" s="1">
        <f>SUM(B46:AE46)</f>
        <v>960967</v>
      </c>
    </row>
    <row r="47" spans="1:35" x14ac:dyDescent="0.25">
      <c r="A47" t="s">
        <v>4</v>
      </c>
      <c r="B47" s="1">
        <f>SUM(B17:B36)</f>
        <v>319431</v>
      </c>
      <c r="C47" s="1">
        <f t="shared" ref="C47:AE47" si="3">SUM(C17:C36)</f>
        <v>-11878</v>
      </c>
      <c r="D47" s="1">
        <f t="shared" si="3"/>
        <v>6966</v>
      </c>
      <c r="E47" s="1">
        <f t="shared" si="3"/>
        <v>151250</v>
      </c>
      <c r="F47" s="1">
        <f t="shared" si="3"/>
        <v>87411</v>
      </c>
      <c r="G47" s="1">
        <f t="shared" si="3"/>
        <v>11124</v>
      </c>
      <c r="H47" s="1">
        <f t="shared" si="3"/>
        <v>64633</v>
      </c>
      <c r="I47" s="1">
        <f t="shared" si="3"/>
        <v>88815</v>
      </c>
      <c r="J47" s="1">
        <f t="shared" si="3"/>
        <v>12542</v>
      </c>
      <c r="K47" s="1">
        <f t="shared" si="3"/>
        <v>20477</v>
      </c>
      <c r="L47" s="1">
        <f t="shared" si="3"/>
        <v>8006</v>
      </c>
      <c r="M47" s="1">
        <f t="shared" si="3"/>
        <v>3063</v>
      </c>
      <c r="N47" s="1">
        <f t="shared" si="3"/>
        <v>10431</v>
      </c>
      <c r="O47" s="1">
        <f t="shared" si="3"/>
        <v>5897</v>
      </c>
      <c r="P47" s="1">
        <f t="shared" si="3"/>
        <v>4068</v>
      </c>
      <c r="Q47" s="1">
        <f t="shared" si="3"/>
        <v>9020</v>
      </c>
      <c r="R47" s="1">
        <f t="shared" si="3"/>
        <v>4862</v>
      </c>
      <c r="S47" s="1">
        <f t="shared" si="3"/>
        <v>5622</v>
      </c>
      <c r="T47" s="1">
        <f t="shared" si="3"/>
        <v>6426</v>
      </c>
      <c r="U47" s="1">
        <f t="shared" si="3"/>
        <v>7787</v>
      </c>
      <c r="V47" s="1">
        <f t="shared" si="3"/>
        <v>542</v>
      </c>
      <c r="W47" s="1">
        <f t="shared" si="3"/>
        <v>1009</v>
      </c>
      <c r="X47" s="1">
        <f t="shared" si="3"/>
        <v>78</v>
      </c>
      <c r="Y47" s="1">
        <f t="shared" si="3"/>
        <v>309</v>
      </c>
      <c r="Z47" s="1">
        <f t="shared" si="3"/>
        <v>363961</v>
      </c>
      <c r="AA47" s="1">
        <f t="shared" si="3"/>
        <v>202921</v>
      </c>
      <c r="AB47" s="1">
        <f t="shared" si="3"/>
        <v>205805</v>
      </c>
      <c r="AC47" s="1">
        <f t="shared" si="3"/>
        <v>16981</v>
      </c>
      <c r="AD47" s="1">
        <f t="shared" si="3"/>
        <v>-5491</v>
      </c>
      <c r="AE47" s="1">
        <f t="shared" si="3"/>
        <v>19956</v>
      </c>
      <c r="AG47" s="1">
        <f>SUM(B47:AE47)</f>
        <v>1622024</v>
      </c>
    </row>
    <row r="48" spans="1:35" x14ac:dyDescent="0.25">
      <c r="A48" t="s">
        <v>51</v>
      </c>
      <c r="B48" s="1">
        <f>B47+B46</f>
        <v>608681</v>
      </c>
      <c r="C48" s="1">
        <f t="shared" ref="C48:AE48" si="4">C47+C46</f>
        <v>59385</v>
      </c>
      <c r="D48" s="1">
        <f t="shared" si="4"/>
        <v>12946</v>
      </c>
      <c r="E48" s="1">
        <f t="shared" si="4"/>
        <v>151250</v>
      </c>
      <c r="F48" s="1">
        <f t="shared" si="4"/>
        <v>89510</v>
      </c>
      <c r="G48" s="1">
        <f t="shared" si="4"/>
        <v>11120</v>
      </c>
      <c r="H48" s="1">
        <f t="shared" si="4"/>
        <v>163116</v>
      </c>
      <c r="I48" s="1">
        <f t="shared" si="4"/>
        <v>359363</v>
      </c>
      <c r="J48" s="1">
        <f t="shared" si="4"/>
        <v>13736</v>
      </c>
      <c r="K48" s="1">
        <f t="shared" si="4"/>
        <v>28070</v>
      </c>
      <c r="L48" s="1">
        <f t="shared" si="4"/>
        <v>12366</v>
      </c>
      <c r="M48" s="1">
        <f t="shared" si="4"/>
        <v>3156</v>
      </c>
      <c r="N48" s="1">
        <f t="shared" si="4"/>
        <v>10838</v>
      </c>
      <c r="O48" s="1">
        <f t="shared" si="4"/>
        <v>5850</v>
      </c>
      <c r="P48" s="1">
        <f t="shared" si="4"/>
        <v>10344</v>
      </c>
      <c r="Q48" s="1">
        <f t="shared" si="4"/>
        <v>9593</v>
      </c>
      <c r="R48" s="1">
        <f t="shared" si="4"/>
        <v>6372</v>
      </c>
      <c r="S48" s="1">
        <f t="shared" si="4"/>
        <v>10753</v>
      </c>
      <c r="T48" s="1">
        <f t="shared" si="4"/>
        <v>6903</v>
      </c>
      <c r="U48" s="1">
        <f t="shared" si="4"/>
        <v>10183</v>
      </c>
      <c r="V48" s="1">
        <f t="shared" si="4"/>
        <v>739</v>
      </c>
      <c r="W48" s="1">
        <f t="shared" si="4"/>
        <v>1099</v>
      </c>
      <c r="X48" s="1">
        <f t="shared" si="4"/>
        <v>85</v>
      </c>
      <c r="Y48" s="1">
        <f t="shared" si="4"/>
        <v>514</v>
      </c>
      <c r="Z48" s="1">
        <f t="shared" si="4"/>
        <v>501957</v>
      </c>
      <c r="AA48" s="1">
        <f t="shared" si="4"/>
        <v>203217</v>
      </c>
      <c r="AB48" s="1">
        <f t="shared" si="4"/>
        <v>254645</v>
      </c>
      <c r="AC48" s="1">
        <f t="shared" si="4"/>
        <v>17031</v>
      </c>
      <c r="AD48" s="1">
        <f t="shared" si="4"/>
        <v>-7316</v>
      </c>
      <c r="AE48" s="1">
        <f t="shared" si="4"/>
        <v>27485</v>
      </c>
      <c r="AG48" s="1">
        <f>SUM(B48:AE48)</f>
        <v>2582991</v>
      </c>
    </row>
    <row r="50" spans="1:33" x14ac:dyDescent="0.25">
      <c r="A50" t="s">
        <v>50</v>
      </c>
      <c r="H50" s="1">
        <f>H46+B46</f>
        <v>387733</v>
      </c>
      <c r="I50" s="1">
        <f>I46+C46</f>
        <v>341811</v>
      </c>
      <c r="J50" s="1">
        <f t="shared" ref="I50:AE52" si="5">J46</f>
        <v>1194</v>
      </c>
      <c r="K50" s="1">
        <f t="shared" si="5"/>
        <v>7593</v>
      </c>
      <c r="L50" s="1">
        <f t="shared" si="5"/>
        <v>4360</v>
      </c>
      <c r="M50" s="1">
        <f t="shared" si="5"/>
        <v>93</v>
      </c>
      <c r="N50" s="1">
        <f t="shared" si="5"/>
        <v>407</v>
      </c>
      <c r="O50" s="1">
        <f t="shared" si="5"/>
        <v>-47</v>
      </c>
      <c r="P50" s="1">
        <f t="shared" si="5"/>
        <v>6276</v>
      </c>
      <c r="Q50" s="1">
        <f t="shared" si="5"/>
        <v>573</v>
      </c>
      <c r="R50" s="1">
        <f>R46+D46</f>
        <v>7490</v>
      </c>
      <c r="S50" s="1">
        <f t="shared" si="5"/>
        <v>5131</v>
      </c>
      <c r="T50" s="1">
        <f t="shared" si="5"/>
        <v>477</v>
      </c>
      <c r="U50" s="1">
        <f t="shared" si="5"/>
        <v>2396</v>
      </c>
      <c r="V50" s="1">
        <f t="shared" si="5"/>
        <v>197</v>
      </c>
      <c r="W50" s="1">
        <f t="shared" si="5"/>
        <v>90</v>
      </c>
      <c r="X50" s="1">
        <f t="shared" si="5"/>
        <v>7</v>
      </c>
      <c r="Y50" s="1">
        <f t="shared" si="5"/>
        <v>205</v>
      </c>
      <c r="Z50" s="1">
        <f>Z46+E46</f>
        <v>137996</v>
      </c>
      <c r="AA50" s="1">
        <f>AA46+F46</f>
        <v>2395</v>
      </c>
      <c r="AB50" s="1">
        <f t="shared" si="5"/>
        <v>48840</v>
      </c>
      <c r="AC50" s="1">
        <f t="shared" si="5"/>
        <v>50</v>
      </c>
      <c r="AD50" s="1">
        <f t="shared" si="5"/>
        <v>-1825</v>
      </c>
      <c r="AE50" s="1">
        <f>AE46+G46</f>
        <v>7525</v>
      </c>
      <c r="AG50" s="1">
        <f>SUM(B50:AE50)</f>
        <v>960967</v>
      </c>
    </row>
    <row r="51" spans="1:33" x14ac:dyDescent="0.25">
      <c r="A51" t="s">
        <v>4</v>
      </c>
      <c r="H51" s="1">
        <f t="shared" ref="H51:I52" si="6">H47+B47</f>
        <v>384064</v>
      </c>
      <c r="I51" s="1">
        <f t="shared" si="6"/>
        <v>76937</v>
      </c>
      <c r="J51" s="1">
        <f t="shared" ref="H51:W52" si="7">J47</f>
        <v>12542</v>
      </c>
      <c r="K51" s="1">
        <f t="shared" si="7"/>
        <v>20477</v>
      </c>
      <c r="L51" s="1">
        <f t="shared" si="7"/>
        <v>8006</v>
      </c>
      <c r="M51" s="1">
        <f t="shared" si="7"/>
        <v>3063</v>
      </c>
      <c r="N51" s="1">
        <f t="shared" si="7"/>
        <v>10431</v>
      </c>
      <c r="O51" s="1">
        <f t="shared" si="7"/>
        <v>5897</v>
      </c>
      <c r="P51" s="1">
        <f t="shared" si="7"/>
        <v>4068</v>
      </c>
      <c r="Q51" s="1">
        <f t="shared" si="7"/>
        <v>9020</v>
      </c>
      <c r="R51" s="1">
        <f t="shared" ref="R51:R52" si="8">R47+D47</f>
        <v>11828</v>
      </c>
      <c r="S51" s="1">
        <f t="shared" si="7"/>
        <v>5622</v>
      </c>
      <c r="T51" s="1">
        <f t="shared" si="7"/>
        <v>6426</v>
      </c>
      <c r="U51" s="1">
        <f t="shared" si="7"/>
        <v>7787</v>
      </c>
      <c r="V51" s="1">
        <f t="shared" si="7"/>
        <v>542</v>
      </c>
      <c r="W51" s="1">
        <f t="shared" si="7"/>
        <v>1009</v>
      </c>
      <c r="X51" s="1">
        <f t="shared" si="5"/>
        <v>78</v>
      </c>
      <c r="Y51" s="1">
        <f t="shared" si="5"/>
        <v>309</v>
      </c>
      <c r="Z51" s="1">
        <f t="shared" ref="Z51:Z52" si="9">Z47+E47</f>
        <v>515211</v>
      </c>
      <c r="AA51" s="1">
        <f t="shared" ref="AA51:AA52" si="10">AA47+F47</f>
        <v>290332</v>
      </c>
      <c r="AB51" s="1">
        <f t="shared" si="5"/>
        <v>205805</v>
      </c>
      <c r="AC51" s="1">
        <f t="shared" si="5"/>
        <v>16981</v>
      </c>
      <c r="AD51" s="1">
        <f t="shared" si="5"/>
        <v>-5491</v>
      </c>
      <c r="AE51" s="1">
        <f t="shared" ref="AE51:AE52" si="11">AE47+G47</f>
        <v>31080</v>
      </c>
      <c r="AG51" s="1">
        <f>SUM(B51:AE51)</f>
        <v>1622024</v>
      </c>
    </row>
    <row r="52" spans="1:33" x14ac:dyDescent="0.25">
      <c r="A52" t="s">
        <v>51</v>
      </c>
      <c r="H52" s="1">
        <f t="shared" si="6"/>
        <v>771797</v>
      </c>
      <c r="I52" s="1">
        <f t="shared" si="6"/>
        <v>418748</v>
      </c>
      <c r="J52" s="1">
        <f t="shared" si="5"/>
        <v>13736</v>
      </c>
      <c r="K52" s="1">
        <f t="shared" si="5"/>
        <v>28070</v>
      </c>
      <c r="L52" s="1">
        <f t="shared" si="5"/>
        <v>12366</v>
      </c>
      <c r="M52" s="1">
        <f t="shared" si="5"/>
        <v>3156</v>
      </c>
      <c r="N52" s="1">
        <f t="shared" si="5"/>
        <v>10838</v>
      </c>
      <c r="O52" s="1">
        <f t="shared" si="5"/>
        <v>5850</v>
      </c>
      <c r="P52" s="1">
        <f t="shared" si="5"/>
        <v>10344</v>
      </c>
      <c r="Q52" s="1">
        <f t="shared" si="5"/>
        <v>9593</v>
      </c>
      <c r="R52" s="1">
        <f t="shared" si="8"/>
        <v>19318</v>
      </c>
      <c r="S52" s="1">
        <f t="shared" si="5"/>
        <v>10753</v>
      </c>
      <c r="T52" s="1">
        <f t="shared" si="5"/>
        <v>6903</v>
      </c>
      <c r="U52" s="1">
        <f t="shared" si="5"/>
        <v>10183</v>
      </c>
      <c r="V52" s="1">
        <f t="shared" si="5"/>
        <v>739</v>
      </c>
      <c r="W52" s="1">
        <f t="shared" si="5"/>
        <v>1099</v>
      </c>
      <c r="X52" s="1">
        <f t="shared" si="5"/>
        <v>85</v>
      </c>
      <c r="Y52" s="1">
        <f t="shared" si="5"/>
        <v>514</v>
      </c>
      <c r="Z52" s="1">
        <f t="shared" si="9"/>
        <v>653207</v>
      </c>
      <c r="AA52" s="1">
        <f t="shared" si="10"/>
        <v>292727</v>
      </c>
      <c r="AB52" s="1">
        <f t="shared" si="5"/>
        <v>254645</v>
      </c>
      <c r="AC52" s="1">
        <f t="shared" si="5"/>
        <v>17031</v>
      </c>
      <c r="AD52" s="1">
        <f t="shared" si="5"/>
        <v>-7316</v>
      </c>
      <c r="AE52" s="1">
        <f t="shared" si="11"/>
        <v>38605</v>
      </c>
      <c r="AG52" s="1">
        <f>SUM(B52:AE52)</f>
        <v>2582991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2024-10-21T03:39:44Z</dcterms:created>
  <dcterms:modified xsi:type="dcterms:W3CDTF">2026-08-14T17:33:07Z</dcterms:modified>
</cp:coreProperties>
</file>