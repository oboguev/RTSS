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INAPPS\SLOVO\UKR\github\RTSS\rtss-pre1917\src\main\resources\"/>
    </mc:Choice>
  </mc:AlternateContent>
  <xr:revisionPtr revIDLastSave="0" documentId="13_ncr:1_{319C8045-89C2-47DF-8CC7-2756680B63D1}" xr6:coauthVersionLast="45" xr6:coauthVersionMax="47" xr10:uidLastSave="{00000000-0000-0000-0000-000000000000}"/>
  <bookViews>
    <workbookView xWindow="-60" yWindow="-60" windowWidth="38520" windowHeight="23700" activeTab="3" xr2:uid="{F5C0FC2C-9C7B-4145-981E-7BD1765E4EE3}"/>
  </bookViews>
  <sheets>
    <sheet name="note-1" sheetId="2" r:id="rId1"/>
    <sheet name="note-2" sheetId="1" r:id="rId2"/>
    <sheet name="note-3" sheetId="3" r:id="rId3"/>
    <sheet name="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4" l="1"/>
  <c r="B31" i="4"/>
  <c r="H84" i="4" s="1"/>
  <c r="H16" i="4"/>
  <c r="AE89" i="4"/>
  <c r="AD89" i="4"/>
  <c r="AC89" i="4"/>
  <c r="AB89" i="4"/>
  <c r="AA89" i="4"/>
  <c r="Z89" i="4"/>
  <c r="Y89" i="4"/>
  <c r="X89" i="4"/>
  <c r="W89" i="4"/>
  <c r="V89" i="4"/>
  <c r="U89" i="4"/>
  <c r="AG89" i="4" s="1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AG88" i="4" s="1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AG87" i="4" s="1"/>
  <c r="AG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AG85" i="4" s="1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AG83" i="4" s="1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AG82" i="4" s="1"/>
  <c r="K82" i="4"/>
  <c r="J82" i="4"/>
  <c r="I82" i="4"/>
  <c r="H82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AG81" i="4" s="1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AG80" i="4" s="1"/>
  <c r="O80" i="4"/>
  <c r="N80" i="4"/>
  <c r="M80" i="4"/>
  <c r="L80" i="4"/>
  <c r="K80" i="4"/>
  <c r="J80" i="4"/>
  <c r="I80" i="4"/>
  <c r="H80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AG79" i="4" s="1"/>
  <c r="H79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AG78" i="4" s="1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AG77" i="4" s="1"/>
  <c r="H77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AG76" i="4" s="1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AG75" i="4" s="1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AG74" i="4" s="1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AG73" i="4" s="1"/>
  <c r="N73" i="4"/>
  <c r="M73" i="4"/>
  <c r="L73" i="4"/>
  <c r="K73" i="4"/>
  <c r="J73" i="4"/>
  <c r="I73" i="4"/>
  <c r="H73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AG72" i="4" s="1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AG71" i="4" s="1"/>
  <c r="AG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AG69" i="4" s="1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AG68" i="4" s="1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AG67" i="4" s="1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AG66" i="4" s="1"/>
  <c r="K66" i="4"/>
  <c r="J66" i="4"/>
  <c r="I66" i="4"/>
  <c r="H66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AG65" i="4" s="1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AG64" i="4" s="1"/>
  <c r="O64" i="4"/>
  <c r="N64" i="4"/>
  <c r="M64" i="4"/>
  <c r="L64" i="4"/>
  <c r="K64" i="4"/>
  <c r="J64" i="4"/>
  <c r="I64" i="4"/>
  <c r="H64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AG63" i="4" s="1"/>
  <c r="H63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AG62" i="4" s="1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AG61" i="4" s="1"/>
  <c r="H61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AG60" i="4" s="1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AG59" i="4" s="1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AG58" i="4" s="1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AG57" i="4" s="1"/>
  <c r="N57" i="4"/>
  <c r="M57" i="4"/>
  <c r="L57" i="4"/>
  <c r="K57" i="4"/>
  <c r="J57" i="4"/>
  <c r="I57" i="4"/>
  <c r="H57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AG56" i="4" s="1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AG55" i="4" s="1"/>
  <c r="AB53" i="4"/>
  <c r="L53" i="4"/>
  <c r="Z52" i="4"/>
  <c r="Y52" i="4"/>
  <c r="U52" i="4"/>
  <c r="T52" i="4"/>
  <c r="S52" i="4"/>
  <c r="R52" i="4"/>
  <c r="Q52" i="4"/>
  <c r="K52" i="4"/>
  <c r="J52" i="4"/>
  <c r="AD51" i="4"/>
  <c r="AC51" i="4"/>
  <c r="AB51" i="4"/>
  <c r="T51" i="4"/>
  <c r="S51" i="4"/>
  <c r="R51" i="4"/>
  <c r="N51" i="4"/>
  <c r="M51" i="4"/>
  <c r="L51" i="4"/>
  <c r="AC49" i="4"/>
  <c r="AC53" i="4" s="1"/>
  <c r="AB49" i="4"/>
  <c r="W49" i="4"/>
  <c r="W53" i="4" s="1"/>
  <c r="U49" i="4"/>
  <c r="U53" i="4" s="1"/>
  <c r="M49" i="4"/>
  <c r="M53" i="4" s="1"/>
  <c r="L49" i="4"/>
  <c r="G49" i="4"/>
  <c r="E49" i="4"/>
  <c r="AE48" i="4"/>
  <c r="AE52" i="4" s="1"/>
  <c r="AD48" i="4"/>
  <c r="AD49" i="4" s="1"/>
  <c r="AD53" i="4" s="1"/>
  <c r="AC48" i="4"/>
  <c r="AC52" i="4" s="1"/>
  <c r="AB48" i="4"/>
  <c r="AB52" i="4" s="1"/>
  <c r="AA48" i="4"/>
  <c r="AA49" i="4" s="1"/>
  <c r="AA53" i="4" s="1"/>
  <c r="Z48" i="4"/>
  <c r="Z49" i="4" s="1"/>
  <c r="Z53" i="4" s="1"/>
  <c r="Y48" i="4"/>
  <c r="Y49" i="4" s="1"/>
  <c r="Y53" i="4" s="1"/>
  <c r="X48" i="4"/>
  <c r="X49" i="4" s="1"/>
  <c r="X53" i="4" s="1"/>
  <c r="W48" i="4"/>
  <c r="W52" i="4" s="1"/>
  <c r="V48" i="4"/>
  <c r="V52" i="4" s="1"/>
  <c r="U48" i="4"/>
  <c r="T48" i="4"/>
  <c r="T49" i="4" s="1"/>
  <c r="T53" i="4" s="1"/>
  <c r="S48" i="4"/>
  <c r="S49" i="4" s="1"/>
  <c r="S53" i="4" s="1"/>
  <c r="R48" i="4"/>
  <c r="R49" i="4" s="1"/>
  <c r="R53" i="4" s="1"/>
  <c r="Q48" i="4"/>
  <c r="Q49" i="4" s="1"/>
  <c r="Q53" i="4" s="1"/>
  <c r="P48" i="4"/>
  <c r="P52" i="4" s="1"/>
  <c r="O48" i="4"/>
  <c r="O52" i="4" s="1"/>
  <c r="N48" i="4"/>
  <c r="N52" i="4" s="1"/>
  <c r="M48" i="4"/>
  <c r="M52" i="4" s="1"/>
  <c r="L48" i="4"/>
  <c r="L52" i="4" s="1"/>
  <c r="K48" i="4"/>
  <c r="K49" i="4" s="1"/>
  <c r="K53" i="4" s="1"/>
  <c r="J48" i="4"/>
  <c r="J49" i="4" s="1"/>
  <c r="J53" i="4" s="1"/>
  <c r="I48" i="4"/>
  <c r="I49" i="4" s="1"/>
  <c r="H48" i="4"/>
  <c r="G48" i="4"/>
  <c r="F48" i="4"/>
  <c r="F49" i="4" s="1"/>
  <c r="E48" i="4"/>
  <c r="D48" i="4"/>
  <c r="D49" i="4" s="1"/>
  <c r="C48" i="4"/>
  <c r="C49" i="4" s="1"/>
  <c r="B48" i="4"/>
  <c r="B49" i="4" s="1"/>
  <c r="AE47" i="4"/>
  <c r="AE51" i="4" s="1"/>
  <c r="AD47" i="4"/>
  <c r="AC47" i="4"/>
  <c r="AB47" i="4"/>
  <c r="AA47" i="4"/>
  <c r="AA51" i="4" s="1"/>
  <c r="Z47" i="4"/>
  <c r="Z51" i="4" s="1"/>
  <c r="Y47" i="4"/>
  <c r="Y51" i="4" s="1"/>
  <c r="X47" i="4"/>
  <c r="X51" i="4" s="1"/>
  <c r="W47" i="4"/>
  <c r="W51" i="4" s="1"/>
  <c r="V47" i="4"/>
  <c r="V51" i="4" s="1"/>
  <c r="U47" i="4"/>
  <c r="U51" i="4" s="1"/>
  <c r="T47" i="4"/>
  <c r="S47" i="4"/>
  <c r="R47" i="4"/>
  <c r="Q47" i="4"/>
  <c r="Q51" i="4" s="1"/>
  <c r="P47" i="4"/>
  <c r="P51" i="4" s="1"/>
  <c r="O47" i="4"/>
  <c r="O51" i="4" s="1"/>
  <c r="N47" i="4"/>
  <c r="M47" i="4"/>
  <c r="L47" i="4"/>
  <c r="K47" i="4"/>
  <c r="K51" i="4" s="1"/>
  <c r="J47" i="4"/>
  <c r="J51" i="4" s="1"/>
  <c r="I47" i="4"/>
  <c r="I51" i="4" s="1"/>
  <c r="H47" i="4"/>
  <c r="H51" i="4" s="1"/>
  <c r="G47" i="4"/>
  <c r="F47" i="4"/>
  <c r="E47" i="4"/>
  <c r="D47" i="4"/>
  <c r="C47" i="4"/>
  <c r="B47" i="4"/>
  <c r="AI47" i="4" s="1"/>
  <c r="A18" i="4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16" i="4"/>
  <c r="A15" i="4" s="1"/>
  <c r="A14" i="4" s="1"/>
  <c r="A13" i="4" s="1"/>
  <c r="A12" i="4" s="1"/>
  <c r="A11" i="4" s="1"/>
  <c r="A10" i="4" s="1"/>
  <c r="A9" i="4" s="1"/>
  <c r="A8" i="4" s="1"/>
  <c r="A7" i="4" s="1"/>
  <c r="A6" i="4" s="1"/>
  <c r="A5" i="4" s="1"/>
  <c r="A4" i="4" s="1"/>
  <c r="A3" i="4" s="1"/>
  <c r="AE89" i="3"/>
  <c r="AE88" i="3"/>
  <c r="AE87" i="3"/>
  <c r="AE86" i="3"/>
  <c r="AE85" i="3"/>
  <c r="AE84" i="3"/>
  <c r="AE83" i="3"/>
  <c r="AE82" i="3"/>
  <c r="AE81" i="3"/>
  <c r="AE80" i="3"/>
  <c r="AE79" i="3"/>
  <c r="AE78" i="3"/>
  <c r="AE77" i="3"/>
  <c r="AE76" i="3"/>
  <c r="AE75" i="3"/>
  <c r="AE74" i="3"/>
  <c r="AE73" i="3"/>
  <c r="AE72" i="3"/>
  <c r="AE71" i="3"/>
  <c r="AE70" i="3"/>
  <c r="AE69" i="3"/>
  <c r="AE68" i="3"/>
  <c r="AE67" i="3"/>
  <c r="AE66" i="3"/>
  <c r="AE65" i="3"/>
  <c r="AE64" i="3"/>
  <c r="AE63" i="3"/>
  <c r="AE62" i="3"/>
  <c r="AE61" i="3"/>
  <c r="AE60" i="3"/>
  <c r="AE59" i="3"/>
  <c r="AE58" i="3"/>
  <c r="AE57" i="3"/>
  <c r="AE56" i="3"/>
  <c r="AE55" i="3"/>
  <c r="AA89" i="3"/>
  <c r="AA88" i="3"/>
  <c r="AA87" i="3"/>
  <c r="AA86" i="3"/>
  <c r="AA85" i="3"/>
  <c r="AA84" i="3"/>
  <c r="AA83" i="3"/>
  <c r="AA82" i="3"/>
  <c r="AA81" i="3"/>
  <c r="AA80" i="3"/>
  <c r="AA79" i="3"/>
  <c r="AA78" i="3"/>
  <c r="AA77" i="3"/>
  <c r="AA76" i="3"/>
  <c r="AA75" i="3"/>
  <c r="AA74" i="3"/>
  <c r="AA73" i="3"/>
  <c r="AA72" i="3"/>
  <c r="AA71" i="3"/>
  <c r="AA70" i="3"/>
  <c r="AA69" i="3"/>
  <c r="AA68" i="3"/>
  <c r="AA67" i="3"/>
  <c r="AA66" i="3"/>
  <c r="AA65" i="3"/>
  <c r="AA64" i="3"/>
  <c r="AA63" i="3"/>
  <c r="AA62" i="3"/>
  <c r="AA61" i="3"/>
  <c r="AA60" i="3"/>
  <c r="AA59" i="3"/>
  <c r="AA58" i="3"/>
  <c r="AA57" i="3"/>
  <c r="AA56" i="3"/>
  <c r="AA55" i="3"/>
  <c r="Z89" i="3"/>
  <c r="Z88" i="3"/>
  <c r="Z87" i="3"/>
  <c r="Z86" i="3"/>
  <c r="Z85" i="3"/>
  <c r="Z84" i="3"/>
  <c r="Z83" i="3"/>
  <c r="Z82" i="3"/>
  <c r="Z81" i="3"/>
  <c r="Z80" i="3"/>
  <c r="Z79" i="3"/>
  <c r="Z78" i="3"/>
  <c r="Z77" i="3"/>
  <c r="Z76" i="3"/>
  <c r="Z75" i="3"/>
  <c r="Z74" i="3"/>
  <c r="Z73" i="3"/>
  <c r="Z72" i="3"/>
  <c r="Z71" i="3"/>
  <c r="Z70" i="3"/>
  <c r="Z69" i="3"/>
  <c r="Z68" i="3"/>
  <c r="Z67" i="3"/>
  <c r="Z66" i="3"/>
  <c r="Z65" i="3"/>
  <c r="Z64" i="3"/>
  <c r="Z63" i="3"/>
  <c r="Z62" i="3"/>
  <c r="Z61" i="3"/>
  <c r="Z60" i="3"/>
  <c r="Z59" i="3"/>
  <c r="Z58" i="3"/>
  <c r="Z57" i="3"/>
  <c r="Z56" i="3"/>
  <c r="Z55" i="3"/>
  <c r="AD89" i="3"/>
  <c r="AC89" i="3"/>
  <c r="AB89" i="3"/>
  <c r="Y89" i="3"/>
  <c r="X89" i="3"/>
  <c r="W89" i="3"/>
  <c r="V89" i="3"/>
  <c r="U89" i="3"/>
  <c r="T89" i="3"/>
  <c r="S89" i="3"/>
  <c r="AD88" i="3"/>
  <c r="AC88" i="3"/>
  <c r="AB88" i="3"/>
  <c r="Y88" i="3"/>
  <c r="X88" i="3"/>
  <c r="W88" i="3"/>
  <c r="V88" i="3"/>
  <c r="U88" i="3"/>
  <c r="T88" i="3"/>
  <c r="S88" i="3"/>
  <c r="AD87" i="3"/>
  <c r="AC87" i="3"/>
  <c r="AB87" i="3"/>
  <c r="Y87" i="3"/>
  <c r="X87" i="3"/>
  <c r="W87" i="3"/>
  <c r="V87" i="3"/>
  <c r="U87" i="3"/>
  <c r="T87" i="3"/>
  <c r="S87" i="3"/>
  <c r="AD86" i="3"/>
  <c r="AC86" i="3"/>
  <c r="AB86" i="3"/>
  <c r="Y86" i="3"/>
  <c r="X86" i="3"/>
  <c r="W86" i="3"/>
  <c r="V86" i="3"/>
  <c r="U86" i="3"/>
  <c r="T86" i="3"/>
  <c r="S86" i="3"/>
  <c r="AD85" i="3"/>
  <c r="AC85" i="3"/>
  <c r="AB85" i="3"/>
  <c r="Y85" i="3"/>
  <c r="X85" i="3"/>
  <c r="W85" i="3"/>
  <c r="V85" i="3"/>
  <c r="U85" i="3"/>
  <c r="T85" i="3"/>
  <c r="S85" i="3"/>
  <c r="AD84" i="3"/>
  <c r="AC84" i="3"/>
  <c r="AB84" i="3"/>
  <c r="Y84" i="3"/>
  <c r="X84" i="3"/>
  <c r="W84" i="3"/>
  <c r="V84" i="3"/>
  <c r="U84" i="3"/>
  <c r="T84" i="3"/>
  <c r="S84" i="3"/>
  <c r="AD83" i="3"/>
  <c r="AC83" i="3"/>
  <c r="AB83" i="3"/>
  <c r="Y83" i="3"/>
  <c r="X83" i="3"/>
  <c r="W83" i="3"/>
  <c r="V83" i="3"/>
  <c r="U83" i="3"/>
  <c r="T83" i="3"/>
  <c r="S83" i="3"/>
  <c r="AD82" i="3"/>
  <c r="AC82" i="3"/>
  <c r="AB82" i="3"/>
  <c r="Y82" i="3"/>
  <c r="X82" i="3"/>
  <c r="W82" i="3"/>
  <c r="V82" i="3"/>
  <c r="U82" i="3"/>
  <c r="T82" i="3"/>
  <c r="S82" i="3"/>
  <c r="AD81" i="3"/>
  <c r="AC81" i="3"/>
  <c r="AB81" i="3"/>
  <c r="Y81" i="3"/>
  <c r="X81" i="3"/>
  <c r="W81" i="3"/>
  <c r="V81" i="3"/>
  <c r="U81" i="3"/>
  <c r="T81" i="3"/>
  <c r="S81" i="3"/>
  <c r="AD80" i="3"/>
  <c r="AC80" i="3"/>
  <c r="AB80" i="3"/>
  <c r="Y80" i="3"/>
  <c r="X80" i="3"/>
  <c r="W80" i="3"/>
  <c r="V80" i="3"/>
  <c r="U80" i="3"/>
  <c r="T80" i="3"/>
  <c r="S80" i="3"/>
  <c r="AD79" i="3"/>
  <c r="AC79" i="3"/>
  <c r="AB79" i="3"/>
  <c r="Y79" i="3"/>
  <c r="X79" i="3"/>
  <c r="W79" i="3"/>
  <c r="V79" i="3"/>
  <c r="U79" i="3"/>
  <c r="T79" i="3"/>
  <c r="S79" i="3"/>
  <c r="AD78" i="3"/>
  <c r="AC78" i="3"/>
  <c r="AB78" i="3"/>
  <c r="Y78" i="3"/>
  <c r="X78" i="3"/>
  <c r="W78" i="3"/>
  <c r="V78" i="3"/>
  <c r="U78" i="3"/>
  <c r="T78" i="3"/>
  <c r="S78" i="3"/>
  <c r="AD77" i="3"/>
  <c r="AC77" i="3"/>
  <c r="AB77" i="3"/>
  <c r="Y77" i="3"/>
  <c r="X77" i="3"/>
  <c r="W77" i="3"/>
  <c r="V77" i="3"/>
  <c r="U77" i="3"/>
  <c r="T77" i="3"/>
  <c r="S77" i="3"/>
  <c r="AD76" i="3"/>
  <c r="AC76" i="3"/>
  <c r="AB76" i="3"/>
  <c r="Y76" i="3"/>
  <c r="X76" i="3"/>
  <c r="W76" i="3"/>
  <c r="V76" i="3"/>
  <c r="U76" i="3"/>
  <c r="T76" i="3"/>
  <c r="S76" i="3"/>
  <c r="AD75" i="3"/>
  <c r="AC75" i="3"/>
  <c r="AB75" i="3"/>
  <c r="Y75" i="3"/>
  <c r="X75" i="3"/>
  <c r="W75" i="3"/>
  <c r="V75" i="3"/>
  <c r="U75" i="3"/>
  <c r="T75" i="3"/>
  <c r="S75" i="3"/>
  <c r="AD74" i="3"/>
  <c r="AC74" i="3"/>
  <c r="AB74" i="3"/>
  <c r="Y74" i="3"/>
  <c r="X74" i="3"/>
  <c r="W74" i="3"/>
  <c r="V74" i="3"/>
  <c r="U74" i="3"/>
  <c r="T74" i="3"/>
  <c r="S74" i="3"/>
  <c r="AD73" i="3"/>
  <c r="AC73" i="3"/>
  <c r="AB73" i="3"/>
  <c r="Y73" i="3"/>
  <c r="X73" i="3"/>
  <c r="W73" i="3"/>
  <c r="V73" i="3"/>
  <c r="U73" i="3"/>
  <c r="T73" i="3"/>
  <c r="S73" i="3"/>
  <c r="AD72" i="3"/>
  <c r="AC72" i="3"/>
  <c r="AB72" i="3"/>
  <c r="Y72" i="3"/>
  <c r="X72" i="3"/>
  <c r="W72" i="3"/>
  <c r="V72" i="3"/>
  <c r="U72" i="3"/>
  <c r="T72" i="3"/>
  <c r="S72" i="3"/>
  <c r="AD71" i="3"/>
  <c r="AC71" i="3"/>
  <c r="AB71" i="3"/>
  <c r="Y71" i="3"/>
  <c r="X71" i="3"/>
  <c r="W71" i="3"/>
  <c r="V71" i="3"/>
  <c r="U71" i="3"/>
  <c r="T71" i="3"/>
  <c r="S71" i="3"/>
  <c r="AD70" i="3"/>
  <c r="AC70" i="3"/>
  <c r="AB70" i="3"/>
  <c r="Y70" i="3"/>
  <c r="X70" i="3"/>
  <c r="W70" i="3"/>
  <c r="V70" i="3"/>
  <c r="U70" i="3"/>
  <c r="T70" i="3"/>
  <c r="S70" i="3"/>
  <c r="AD69" i="3"/>
  <c r="AC69" i="3"/>
  <c r="AB69" i="3"/>
  <c r="Y69" i="3"/>
  <c r="X69" i="3"/>
  <c r="W69" i="3"/>
  <c r="V69" i="3"/>
  <c r="U69" i="3"/>
  <c r="T69" i="3"/>
  <c r="S69" i="3"/>
  <c r="AD68" i="3"/>
  <c r="AC68" i="3"/>
  <c r="AB68" i="3"/>
  <c r="Y68" i="3"/>
  <c r="X68" i="3"/>
  <c r="W68" i="3"/>
  <c r="V68" i="3"/>
  <c r="U68" i="3"/>
  <c r="T68" i="3"/>
  <c r="S68" i="3"/>
  <c r="AD67" i="3"/>
  <c r="AC67" i="3"/>
  <c r="AB67" i="3"/>
  <c r="Y67" i="3"/>
  <c r="X67" i="3"/>
  <c r="W67" i="3"/>
  <c r="V67" i="3"/>
  <c r="U67" i="3"/>
  <c r="T67" i="3"/>
  <c r="S67" i="3"/>
  <c r="AD66" i="3"/>
  <c r="AC66" i="3"/>
  <c r="AB66" i="3"/>
  <c r="Y66" i="3"/>
  <c r="X66" i="3"/>
  <c r="W66" i="3"/>
  <c r="V66" i="3"/>
  <c r="U66" i="3"/>
  <c r="T66" i="3"/>
  <c r="S66" i="3"/>
  <c r="AD65" i="3"/>
  <c r="AC65" i="3"/>
  <c r="AB65" i="3"/>
  <c r="Y65" i="3"/>
  <c r="X65" i="3"/>
  <c r="W65" i="3"/>
  <c r="V65" i="3"/>
  <c r="U65" i="3"/>
  <c r="T65" i="3"/>
  <c r="S65" i="3"/>
  <c r="AD64" i="3"/>
  <c r="AC64" i="3"/>
  <c r="AB64" i="3"/>
  <c r="Y64" i="3"/>
  <c r="X64" i="3"/>
  <c r="W64" i="3"/>
  <c r="V64" i="3"/>
  <c r="U64" i="3"/>
  <c r="T64" i="3"/>
  <c r="S64" i="3"/>
  <c r="AD63" i="3"/>
  <c r="AC63" i="3"/>
  <c r="AB63" i="3"/>
  <c r="Y63" i="3"/>
  <c r="X63" i="3"/>
  <c r="W63" i="3"/>
  <c r="V63" i="3"/>
  <c r="U63" i="3"/>
  <c r="T63" i="3"/>
  <c r="S63" i="3"/>
  <c r="AD62" i="3"/>
  <c r="AC62" i="3"/>
  <c r="AB62" i="3"/>
  <c r="Y62" i="3"/>
  <c r="X62" i="3"/>
  <c r="W62" i="3"/>
  <c r="V62" i="3"/>
  <c r="U62" i="3"/>
  <c r="T62" i="3"/>
  <c r="S62" i="3"/>
  <c r="AD61" i="3"/>
  <c r="AC61" i="3"/>
  <c r="AB61" i="3"/>
  <c r="Y61" i="3"/>
  <c r="X61" i="3"/>
  <c r="W61" i="3"/>
  <c r="V61" i="3"/>
  <c r="U61" i="3"/>
  <c r="T61" i="3"/>
  <c r="S61" i="3"/>
  <c r="AD60" i="3"/>
  <c r="AC60" i="3"/>
  <c r="AB60" i="3"/>
  <c r="Y60" i="3"/>
  <c r="X60" i="3"/>
  <c r="W60" i="3"/>
  <c r="V60" i="3"/>
  <c r="U60" i="3"/>
  <c r="T60" i="3"/>
  <c r="S60" i="3"/>
  <c r="AD59" i="3"/>
  <c r="AC59" i="3"/>
  <c r="AB59" i="3"/>
  <c r="Y59" i="3"/>
  <c r="X59" i="3"/>
  <c r="W59" i="3"/>
  <c r="V59" i="3"/>
  <c r="U59" i="3"/>
  <c r="T59" i="3"/>
  <c r="S59" i="3"/>
  <c r="AD58" i="3"/>
  <c r="AC58" i="3"/>
  <c r="AB58" i="3"/>
  <c r="Y58" i="3"/>
  <c r="X58" i="3"/>
  <c r="W58" i="3"/>
  <c r="V58" i="3"/>
  <c r="U58" i="3"/>
  <c r="T58" i="3"/>
  <c r="S58" i="3"/>
  <c r="AD57" i="3"/>
  <c r="AC57" i="3"/>
  <c r="AB57" i="3"/>
  <c r="Y57" i="3"/>
  <c r="X57" i="3"/>
  <c r="W57" i="3"/>
  <c r="V57" i="3"/>
  <c r="U57" i="3"/>
  <c r="T57" i="3"/>
  <c r="S57" i="3"/>
  <c r="AD56" i="3"/>
  <c r="AC56" i="3"/>
  <c r="AB56" i="3"/>
  <c r="Y56" i="3"/>
  <c r="X56" i="3"/>
  <c r="W56" i="3"/>
  <c r="V56" i="3"/>
  <c r="U56" i="3"/>
  <c r="T56" i="3"/>
  <c r="S56" i="3"/>
  <c r="AD55" i="3"/>
  <c r="AC55" i="3"/>
  <c r="AB55" i="3"/>
  <c r="Y55" i="3"/>
  <c r="X55" i="3"/>
  <c r="W55" i="3"/>
  <c r="V55" i="3"/>
  <c r="U55" i="3"/>
  <c r="T55" i="3"/>
  <c r="S55" i="3"/>
  <c r="R89" i="3"/>
  <c r="R88" i="3"/>
  <c r="R87" i="3"/>
  <c r="R86" i="3"/>
  <c r="R85" i="3"/>
  <c r="R84" i="3"/>
  <c r="R83" i="3"/>
  <c r="R82" i="3"/>
  <c r="R81" i="3"/>
  <c r="R80" i="3"/>
  <c r="R79" i="3"/>
  <c r="R78" i="3"/>
  <c r="R77" i="3"/>
  <c r="R76" i="3"/>
  <c r="R75" i="3"/>
  <c r="R74" i="3"/>
  <c r="R73" i="3"/>
  <c r="R72" i="3"/>
  <c r="R71" i="3"/>
  <c r="R70" i="3"/>
  <c r="R69" i="3"/>
  <c r="R68" i="3"/>
  <c r="R67" i="3"/>
  <c r="R66" i="3"/>
  <c r="R65" i="3"/>
  <c r="R64" i="3"/>
  <c r="R63" i="3"/>
  <c r="R62" i="3"/>
  <c r="R61" i="3"/>
  <c r="R60" i="3"/>
  <c r="R59" i="3"/>
  <c r="R58" i="3"/>
  <c r="R57" i="3"/>
  <c r="R56" i="3"/>
  <c r="R55" i="3"/>
  <c r="Q89" i="3"/>
  <c r="P89" i="3"/>
  <c r="O89" i="3"/>
  <c r="N89" i="3"/>
  <c r="M89" i="3"/>
  <c r="L89" i="3"/>
  <c r="K89" i="3"/>
  <c r="Q88" i="3"/>
  <c r="P88" i="3"/>
  <c r="O88" i="3"/>
  <c r="N88" i="3"/>
  <c r="M88" i="3"/>
  <c r="L88" i="3"/>
  <c r="K88" i="3"/>
  <c r="Q87" i="3"/>
  <c r="P87" i="3"/>
  <c r="O87" i="3"/>
  <c r="N87" i="3"/>
  <c r="M87" i="3"/>
  <c r="L87" i="3"/>
  <c r="K87" i="3"/>
  <c r="Q86" i="3"/>
  <c r="P86" i="3"/>
  <c r="O86" i="3"/>
  <c r="N86" i="3"/>
  <c r="M86" i="3"/>
  <c r="L86" i="3"/>
  <c r="K86" i="3"/>
  <c r="Q85" i="3"/>
  <c r="P85" i="3"/>
  <c r="O85" i="3"/>
  <c r="N85" i="3"/>
  <c r="M85" i="3"/>
  <c r="L85" i="3"/>
  <c r="K85" i="3"/>
  <c r="Q84" i="3"/>
  <c r="P84" i="3"/>
  <c r="O84" i="3"/>
  <c r="N84" i="3"/>
  <c r="M84" i="3"/>
  <c r="L84" i="3"/>
  <c r="K84" i="3"/>
  <c r="Q83" i="3"/>
  <c r="P83" i="3"/>
  <c r="O83" i="3"/>
  <c r="N83" i="3"/>
  <c r="M83" i="3"/>
  <c r="L83" i="3"/>
  <c r="K83" i="3"/>
  <c r="Q82" i="3"/>
  <c r="P82" i="3"/>
  <c r="O82" i="3"/>
  <c r="N82" i="3"/>
  <c r="M82" i="3"/>
  <c r="L82" i="3"/>
  <c r="K82" i="3"/>
  <c r="Q81" i="3"/>
  <c r="P81" i="3"/>
  <c r="O81" i="3"/>
  <c r="N81" i="3"/>
  <c r="M81" i="3"/>
  <c r="L81" i="3"/>
  <c r="K81" i="3"/>
  <c r="Q80" i="3"/>
  <c r="P80" i="3"/>
  <c r="O80" i="3"/>
  <c r="N80" i="3"/>
  <c r="M80" i="3"/>
  <c r="L80" i="3"/>
  <c r="K80" i="3"/>
  <c r="Q79" i="3"/>
  <c r="P79" i="3"/>
  <c r="O79" i="3"/>
  <c r="N79" i="3"/>
  <c r="M79" i="3"/>
  <c r="L79" i="3"/>
  <c r="K79" i="3"/>
  <c r="Q78" i="3"/>
  <c r="P78" i="3"/>
  <c r="O78" i="3"/>
  <c r="N78" i="3"/>
  <c r="M78" i="3"/>
  <c r="L78" i="3"/>
  <c r="K78" i="3"/>
  <c r="Q77" i="3"/>
  <c r="P77" i="3"/>
  <c r="O77" i="3"/>
  <c r="N77" i="3"/>
  <c r="M77" i="3"/>
  <c r="L77" i="3"/>
  <c r="K77" i="3"/>
  <c r="Q76" i="3"/>
  <c r="P76" i="3"/>
  <c r="O76" i="3"/>
  <c r="N76" i="3"/>
  <c r="M76" i="3"/>
  <c r="L76" i="3"/>
  <c r="K76" i="3"/>
  <c r="Q75" i="3"/>
  <c r="P75" i="3"/>
  <c r="O75" i="3"/>
  <c r="N75" i="3"/>
  <c r="M75" i="3"/>
  <c r="L75" i="3"/>
  <c r="K75" i="3"/>
  <c r="Q74" i="3"/>
  <c r="P74" i="3"/>
  <c r="O74" i="3"/>
  <c r="N74" i="3"/>
  <c r="M74" i="3"/>
  <c r="L74" i="3"/>
  <c r="K74" i="3"/>
  <c r="Q73" i="3"/>
  <c r="P73" i="3"/>
  <c r="O73" i="3"/>
  <c r="N73" i="3"/>
  <c r="M73" i="3"/>
  <c r="L73" i="3"/>
  <c r="K73" i="3"/>
  <c r="Q72" i="3"/>
  <c r="P72" i="3"/>
  <c r="O72" i="3"/>
  <c r="N72" i="3"/>
  <c r="M72" i="3"/>
  <c r="L72" i="3"/>
  <c r="K72" i="3"/>
  <c r="Q71" i="3"/>
  <c r="P71" i="3"/>
  <c r="O71" i="3"/>
  <c r="N71" i="3"/>
  <c r="M71" i="3"/>
  <c r="L71" i="3"/>
  <c r="K71" i="3"/>
  <c r="Q70" i="3"/>
  <c r="P70" i="3"/>
  <c r="O70" i="3"/>
  <c r="N70" i="3"/>
  <c r="M70" i="3"/>
  <c r="L70" i="3"/>
  <c r="K70" i="3"/>
  <c r="Q69" i="3"/>
  <c r="P69" i="3"/>
  <c r="O69" i="3"/>
  <c r="N69" i="3"/>
  <c r="M69" i="3"/>
  <c r="L69" i="3"/>
  <c r="K69" i="3"/>
  <c r="Q68" i="3"/>
  <c r="P68" i="3"/>
  <c r="O68" i="3"/>
  <c r="N68" i="3"/>
  <c r="M68" i="3"/>
  <c r="L68" i="3"/>
  <c r="K68" i="3"/>
  <c r="Q67" i="3"/>
  <c r="P67" i="3"/>
  <c r="O67" i="3"/>
  <c r="N67" i="3"/>
  <c r="M67" i="3"/>
  <c r="L67" i="3"/>
  <c r="K67" i="3"/>
  <c r="Q66" i="3"/>
  <c r="P66" i="3"/>
  <c r="O66" i="3"/>
  <c r="N66" i="3"/>
  <c r="M66" i="3"/>
  <c r="L66" i="3"/>
  <c r="K66" i="3"/>
  <c r="Q65" i="3"/>
  <c r="P65" i="3"/>
  <c r="O65" i="3"/>
  <c r="N65" i="3"/>
  <c r="M65" i="3"/>
  <c r="L65" i="3"/>
  <c r="K65" i="3"/>
  <c r="Q64" i="3"/>
  <c r="P64" i="3"/>
  <c r="O64" i="3"/>
  <c r="N64" i="3"/>
  <c r="M64" i="3"/>
  <c r="L64" i="3"/>
  <c r="K64" i="3"/>
  <c r="Q63" i="3"/>
  <c r="P63" i="3"/>
  <c r="O63" i="3"/>
  <c r="N63" i="3"/>
  <c r="M63" i="3"/>
  <c r="L63" i="3"/>
  <c r="K63" i="3"/>
  <c r="Q62" i="3"/>
  <c r="P62" i="3"/>
  <c r="O62" i="3"/>
  <c r="N62" i="3"/>
  <c r="M62" i="3"/>
  <c r="L62" i="3"/>
  <c r="K62" i="3"/>
  <c r="Q61" i="3"/>
  <c r="P61" i="3"/>
  <c r="O61" i="3"/>
  <c r="N61" i="3"/>
  <c r="M61" i="3"/>
  <c r="L61" i="3"/>
  <c r="K61" i="3"/>
  <c r="Q60" i="3"/>
  <c r="P60" i="3"/>
  <c r="O60" i="3"/>
  <c r="N60" i="3"/>
  <c r="M60" i="3"/>
  <c r="L60" i="3"/>
  <c r="K60" i="3"/>
  <c r="Q59" i="3"/>
  <c r="P59" i="3"/>
  <c r="O59" i="3"/>
  <c r="N59" i="3"/>
  <c r="M59" i="3"/>
  <c r="L59" i="3"/>
  <c r="K59" i="3"/>
  <c r="Q58" i="3"/>
  <c r="P58" i="3"/>
  <c r="O58" i="3"/>
  <c r="N58" i="3"/>
  <c r="M58" i="3"/>
  <c r="L58" i="3"/>
  <c r="K58" i="3"/>
  <c r="Q57" i="3"/>
  <c r="P57" i="3"/>
  <c r="O57" i="3"/>
  <c r="N57" i="3"/>
  <c r="M57" i="3"/>
  <c r="L57" i="3"/>
  <c r="K57" i="3"/>
  <c r="Q56" i="3"/>
  <c r="P56" i="3"/>
  <c r="O56" i="3"/>
  <c r="N56" i="3"/>
  <c r="M56" i="3"/>
  <c r="L56" i="3"/>
  <c r="K56" i="3"/>
  <c r="Q55" i="3"/>
  <c r="P55" i="3"/>
  <c r="O55" i="3"/>
  <c r="N55" i="3"/>
  <c r="M55" i="3"/>
  <c r="L55" i="3"/>
  <c r="K55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I53" i="4" l="1"/>
  <c r="I52" i="4"/>
  <c r="AG84" i="4"/>
  <c r="H49" i="4"/>
  <c r="H53" i="4"/>
  <c r="AG51" i="4"/>
  <c r="AG91" i="4"/>
  <c r="AG92" i="4"/>
  <c r="AI49" i="4"/>
  <c r="H52" i="4"/>
  <c r="AG52" i="4" s="1"/>
  <c r="X52" i="4"/>
  <c r="AE49" i="4"/>
  <c r="AE53" i="4" s="1"/>
  <c r="AH48" i="4"/>
  <c r="P49" i="4"/>
  <c r="P53" i="4" s="1"/>
  <c r="AG47" i="4"/>
  <c r="AH47" i="4"/>
  <c r="O49" i="4"/>
  <c r="O53" i="4" s="1"/>
  <c r="AI48" i="4"/>
  <c r="N49" i="4"/>
  <c r="N53" i="4" s="1"/>
  <c r="AD52" i="4"/>
  <c r="AG48" i="4"/>
  <c r="AA52" i="4"/>
  <c r="V49" i="4"/>
  <c r="V53" i="4" s="1"/>
  <c r="AG80" i="3"/>
  <c r="AG66" i="3"/>
  <c r="AG84" i="3"/>
  <c r="AG86" i="3"/>
  <c r="AG87" i="3"/>
  <c r="AG71" i="3"/>
  <c r="AG58" i="3"/>
  <c r="AG59" i="3"/>
  <c r="AG75" i="3"/>
  <c r="AG74" i="3"/>
  <c r="AG55" i="3"/>
  <c r="AG62" i="3"/>
  <c r="AG78" i="3"/>
  <c r="AG83" i="3"/>
  <c r="AG85" i="3"/>
  <c r="AG82" i="3"/>
  <c r="AG67" i="3"/>
  <c r="AG69" i="3"/>
  <c r="AG88" i="3"/>
  <c r="AG61" i="3"/>
  <c r="AG56" i="3"/>
  <c r="AG72" i="3"/>
  <c r="AG57" i="3"/>
  <c r="AG73" i="3"/>
  <c r="AG89" i="3"/>
  <c r="AG70" i="3"/>
  <c r="AG60" i="3"/>
  <c r="AG76" i="3"/>
  <c r="AG68" i="3"/>
  <c r="AG77" i="3"/>
  <c r="AG79" i="3"/>
  <c r="AG63" i="3"/>
  <c r="AG65" i="3"/>
  <c r="AG81" i="3"/>
  <c r="AG64" i="3"/>
  <c r="AE48" i="3"/>
  <c r="AD48" i="3"/>
  <c r="AC48" i="3"/>
  <c r="AB48" i="3"/>
  <c r="AA48" i="3"/>
  <c r="Z48" i="3"/>
  <c r="Z49" i="3" s="1"/>
  <c r="Y48" i="3"/>
  <c r="Y49" i="3" s="1"/>
  <c r="Y53" i="3" s="1"/>
  <c r="X48" i="3"/>
  <c r="X52" i="3" s="1"/>
  <c r="W48" i="3"/>
  <c r="W52" i="3" s="1"/>
  <c r="V48" i="3"/>
  <c r="V52" i="3" s="1"/>
  <c r="U48" i="3"/>
  <c r="U52" i="3" s="1"/>
  <c r="T48" i="3"/>
  <c r="T52" i="3" s="1"/>
  <c r="S48" i="3"/>
  <c r="R48" i="3"/>
  <c r="Q48" i="3"/>
  <c r="P48" i="3"/>
  <c r="O48" i="3"/>
  <c r="N48" i="3"/>
  <c r="M48" i="3"/>
  <c r="L48" i="3"/>
  <c r="L52" i="3" s="1"/>
  <c r="K48" i="3"/>
  <c r="K52" i="3" s="1"/>
  <c r="J48" i="3"/>
  <c r="J49" i="3" s="1"/>
  <c r="J53" i="3" s="1"/>
  <c r="I48" i="3"/>
  <c r="I49" i="3" s="1"/>
  <c r="H48" i="3"/>
  <c r="G48" i="3"/>
  <c r="F48" i="3"/>
  <c r="E48" i="3"/>
  <c r="D48" i="3"/>
  <c r="C48" i="3"/>
  <c r="AE47" i="3"/>
  <c r="AD47" i="3"/>
  <c r="AD51" i="3" s="1"/>
  <c r="AC47" i="3"/>
  <c r="AC51" i="3" s="1"/>
  <c r="AB47" i="3"/>
  <c r="AB51" i="3" s="1"/>
  <c r="AA47" i="3"/>
  <c r="Z47" i="3"/>
  <c r="Y47" i="3"/>
  <c r="Y51" i="3" s="1"/>
  <c r="X47" i="3"/>
  <c r="X51" i="3" s="1"/>
  <c r="W47" i="3"/>
  <c r="W51" i="3" s="1"/>
  <c r="V47" i="3"/>
  <c r="V51" i="3" s="1"/>
  <c r="U47" i="3"/>
  <c r="U51" i="3" s="1"/>
  <c r="T47" i="3"/>
  <c r="T51" i="3" s="1"/>
  <c r="S47" i="3"/>
  <c r="S51" i="3" s="1"/>
  <c r="R47" i="3"/>
  <c r="R51" i="3" s="1"/>
  <c r="Q47" i="3"/>
  <c r="Q51" i="3" s="1"/>
  <c r="P47" i="3"/>
  <c r="P51" i="3" s="1"/>
  <c r="O47" i="3"/>
  <c r="O51" i="3" s="1"/>
  <c r="N47" i="3"/>
  <c r="N51" i="3" s="1"/>
  <c r="M47" i="3"/>
  <c r="M51" i="3" s="1"/>
  <c r="L47" i="3"/>
  <c r="L51" i="3" s="1"/>
  <c r="K47" i="3"/>
  <c r="K51" i="3" s="1"/>
  <c r="J47" i="3"/>
  <c r="J51" i="3" s="1"/>
  <c r="I47" i="3"/>
  <c r="H47" i="3"/>
  <c r="G47" i="3"/>
  <c r="F47" i="3"/>
  <c r="E47" i="3"/>
  <c r="D47" i="3"/>
  <c r="C47" i="3"/>
  <c r="B48" i="3"/>
  <c r="B47" i="3"/>
  <c r="AG93" i="4" l="1"/>
  <c r="AG49" i="4"/>
  <c r="AH49" i="4"/>
  <c r="AG53" i="4"/>
  <c r="AG92" i="3"/>
  <c r="AG91" i="3"/>
  <c r="Q49" i="3"/>
  <c r="Q53" i="3" s="1"/>
  <c r="P49" i="3"/>
  <c r="P53" i="3" s="1"/>
  <c r="R49" i="3"/>
  <c r="AE51" i="3"/>
  <c r="AI47" i="3"/>
  <c r="F49" i="3"/>
  <c r="G49" i="3"/>
  <c r="AI48" i="3"/>
  <c r="H51" i="3"/>
  <c r="AH48" i="3"/>
  <c r="I51" i="3"/>
  <c r="AB49" i="3"/>
  <c r="AB53" i="3" s="1"/>
  <c r="Z51" i="3"/>
  <c r="M49" i="3"/>
  <c r="M53" i="3" s="1"/>
  <c r="AC49" i="3"/>
  <c r="AC53" i="3" s="1"/>
  <c r="AA51" i="3"/>
  <c r="N49" i="3"/>
  <c r="N53" i="3" s="1"/>
  <c r="AD49" i="3"/>
  <c r="AD53" i="3" s="1"/>
  <c r="AH47" i="3"/>
  <c r="B49" i="3"/>
  <c r="H52" i="3"/>
  <c r="O49" i="3"/>
  <c r="O53" i="3" s="1"/>
  <c r="AE49" i="3"/>
  <c r="H49" i="3"/>
  <c r="N52" i="3"/>
  <c r="C49" i="3"/>
  <c r="I53" i="3" s="1"/>
  <c r="S49" i="3"/>
  <c r="S53" i="3" s="1"/>
  <c r="K49" i="3"/>
  <c r="K53" i="3" s="1"/>
  <c r="Q52" i="3"/>
  <c r="L49" i="3"/>
  <c r="L53" i="3" s="1"/>
  <c r="S52" i="3"/>
  <c r="T49" i="3"/>
  <c r="T53" i="3" s="1"/>
  <c r="I52" i="3"/>
  <c r="D49" i="3"/>
  <c r="E49" i="3"/>
  <c r="Z53" i="3" s="1"/>
  <c r="U49" i="3"/>
  <c r="U53" i="3" s="1"/>
  <c r="V49" i="3"/>
  <c r="V53" i="3" s="1"/>
  <c r="W49" i="3"/>
  <c r="W53" i="3" s="1"/>
  <c r="R52" i="3"/>
  <c r="X49" i="3"/>
  <c r="X53" i="3" s="1"/>
  <c r="Y52" i="3"/>
  <c r="AG47" i="3"/>
  <c r="AA49" i="3"/>
  <c r="AA53" i="3" s="1"/>
  <c r="AB52" i="3"/>
  <c r="Z52" i="3"/>
  <c r="J52" i="3"/>
  <c r="AC52" i="3"/>
  <c r="AD52" i="3"/>
  <c r="AA52" i="3"/>
  <c r="M52" i="3"/>
  <c r="O52" i="3"/>
  <c r="AE52" i="3"/>
  <c r="P52" i="3"/>
  <c r="AG48" i="3"/>
  <c r="D133" i="2"/>
  <c r="C133" i="2"/>
  <c r="B133" i="2"/>
  <c r="D162" i="2"/>
  <c r="C162" i="2"/>
  <c r="B162" i="2"/>
  <c r="D158" i="2"/>
  <c r="C158" i="2"/>
  <c r="B158" i="2"/>
  <c r="D157" i="2"/>
  <c r="C157" i="2"/>
  <c r="B157" i="2"/>
  <c r="D149" i="2"/>
  <c r="C149" i="2"/>
  <c r="B149" i="2"/>
  <c r="D140" i="2"/>
  <c r="C140" i="2"/>
  <c r="B140" i="2"/>
  <c r="D139" i="2"/>
  <c r="C139" i="2"/>
  <c r="B139" i="2"/>
  <c r="D161" i="2"/>
  <c r="C161" i="2"/>
  <c r="B161" i="2"/>
  <c r="D160" i="2"/>
  <c r="C160" i="2"/>
  <c r="B160" i="2"/>
  <c r="D159" i="2"/>
  <c r="C159" i="2"/>
  <c r="B159" i="2"/>
  <c r="D156" i="2"/>
  <c r="C156" i="2"/>
  <c r="B156" i="2"/>
  <c r="D155" i="2"/>
  <c r="C155" i="2"/>
  <c r="B155" i="2"/>
  <c r="D154" i="2"/>
  <c r="C154" i="2"/>
  <c r="B154" i="2"/>
  <c r="D153" i="2"/>
  <c r="C153" i="2"/>
  <c r="B153" i="2"/>
  <c r="D152" i="2"/>
  <c r="C152" i="2"/>
  <c r="B152" i="2"/>
  <c r="D151" i="2"/>
  <c r="C151" i="2"/>
  <c r="B151" i="2"/>
  <c r="D150" i="2"/>
  <c r="C150" i="2"/>
  <c r="B150" i="2"/>
  <c r="D148" i="2"/>
  <c r="C148" i="2"/>
  <c r="B148" i="2"/>
  <c r="D147" i="2"/>
  <c r="C147" i="2"/>
  <c r="B147" i="2"/>
  <c r="D146" i="2"/>
  <c r="C146" i="2"/>
  <c r="B146" i="2"/>
  <c r="D145" i="2"/>
  <c r="C145" i="2"/>
  <c r="B145" i="2"/>
  <c r="D144" i="2"/>
  <c r="C144" i="2"/>
  <c r="B144" i="2"/>
  <c r="D143" i="2"/>
  <c r="C143" i="2"/>
  <c r="B143" i="2"/>
  <c r="D142" i="2"/>
  <c r="C142" i="2"/>
  <c r="B142" i="2"/>
  <c r="D141" i="2"/>
  <c r="C141" i="2"/>
  <c r="B141" i="2"/>
  <c r="AE53" i="3" l="1"/>
  <c r="R53" i="3"/>
  <c r="AG93" i="3"/>
  <c r="AG51" i="3"/>
  <c r="AI49" i="3"/>
  <c r="H53" i="3"/>
  <c r="AG53" i="3" s="1"/>
  <c r="AH49" i="3"/>
  <c r="AG52" i="3"/>
  <c r="AG49" i="3"/>
  <c r="B163" i="2"/>
  <c r="D163" i="2"/>
  <c r="C163" i="2"/>
  <c r="A16" i="3"/>
  <c r="A15" i="3" s="1"/>
  <c r="A14" i="3" s="1"/>
  <c r="A13" i="3" s="1"/>
  <c r="A12" i="3" s="1"/>
  <c r="A11" i="3" s="1"/>
  <c r="A10" i="3" s="1"/>
  <c r="A9" i="3" s="1"/>
  <c r="A8" i="3" s="1"/>
  <c r="A7" i="3" s="1"/>
  <c r="A6" i="3" s="1"/>
  <c r="A5" i="3" s="1"/>
  <c r="A4" i="3" s="1"/>
  <c r="A3" i="3" s="1"/>
  <c r="AE80" i="1"/>
  <c r="AE79" i="1"/>
  <c r="AE76" i="1"/>
  <c r="AE75" i="1"/>
  <c r="AD75" i="1"/>
  <c r="AA60" i="1"/>
  <c r="AE60" i="1" s="1"/>
  <c r="Z60" i="1"/>
  <c r="AD60" i="1" s="1"/>
  <c r="AA59" i="1"/>
  <c r="AE59" i="1" s="1"/>
  <c r="Z59" i="1"/>
  <c r="AD59" i="1" s="1"/>
  <c r="AA58" i="1"/>
  <c r="AE58" i="1" s="1"/>
  <c r="Z58" i="1"/>
  <c r="AD58" i="1" s="1"/>
  <c r="AA57" i="1"/>
  <c r="AE57" i="1" s="1"/>
  <c r="Z57" i="1"/>
  <c r="AD57" i="1" s="1"/>
  <c r="AA56" i="1"/>
  <c r="AE56" i="1" s="1"/>
  <c r="Z56" i="1"/>
  <c r="AD56" i="1" s="1"/>
  <c r="AA55" i="1"/>
  <c r="AE55" i="1" s="1"/>
  <c r="Z55" i="1"/>
  <c r="AD55" i="1" s="1"/>
  <c r="AA54" i="1"/>
  <c r="AE54" i="1" s="1"/>
  <c r="Z54" i="1"/>
  <c r="AD54" i="1" s="1"/>
  <c r="AA53" i="1"/>
  <c r="AE53" i="1" s="1"/>
  <c r="Z53" i="1"/>
  <c r="AD53" i="1" s="1"/>
  <c r="AA87" i="1"/>
  <c r="AE87" i="1" s="1"/>
  <c r="Z87" i="1"/>
  <c r="AD87" i="1" s="1"/>
  <c r="AA86" i="1"/>
  <c r="AE86" i="1" s="1"/>
  <c r="Z86" i="1"/>
  <c r="AD86" i="1" s="1"/>
  <c r="AA85" i="1"/>
  <c r="AE85" i="1" s="1"/>
  <c r="Z85" i="1"/>
  <c r="AD85" i="1" s="1"/>
  <c r="AA84" i="1"/>
  <c r="AE84" i="1" s="1"/>
  <c r="Z84" i="1"/>
  <c r="AD84" i="1" s="1"/>
  <c r="AA83" i="1"/>
  <c r="AE83" i="1" s="1"/>
  <c r="Z83" i="1"/>
  <c r="AD83" i="1" s="1"/>
  <c r="AA82" i="1"/>
  <c r="AE82" i="1" s="1"/>
  <c r="Z82" i="1"/>
  <c r="AD82" i="1" s="1"/>
  <c r="AA81" i="1"/>
  <c r="AE81" i="1" s="1"/>
  <c r="Z81" i="1"/>
  <c r="AD81" i="1" s="1"/>
  <c r="AA80" i="1"/>
  <c r="Z80" i="1"/>
  <c r="AD80" i="1" s="1"/>
  <c r="AA79" i="1"/>
  <c r="Z79" i="1"/>
  <c r="AD79" i="1" s="1"/>
  <c r="AA78" i="1"/>
  <c r="AE78" i="1" s="1"/>
  <c r="Z78" i="1"/>
  <c r="AD78" i="1" s="1"/>
  <c r="AA77" i="1"/>
  <c r="AE77" i="1" s="1"/>
  <c r="Z77" i="1"/>
  <c r="AD77" i="1" s="1"/>
  <c r="AA76" i="1"/>
  <c r="Z76" i="1"/>
  <c r="AD76" i="1" s="1"/>
  <c r="AA75" i="1"/>
  <c r="Z75" i="1"/>
  <c r="AA74" i="1"/>
  <c r="AE74" i="1" s="1"/>
  <c r="Z74" i="1"/>
  <c r="AD74" i="1" s="1"/>
  <c r="AA73" i="1"/>
  <c r="AE73" i="1" s="1"/>
  <c r="Z73" i="1"/>
  <c r="AD73" i="1" s="1"/>
  <c r="AA72" i="1"/>
  <c r="AE72" i="1" s="1"/>
  <c r="Z72" i="1"/>
  <c r="AD72" i="1" s="1"/>
  <c r="AA71" i="1"/>
  <c r="AE71" i="1" s="1"/>
  <c r="Z71" i="1"/>
  <c r="AD71" i="1" s="1"/>
  <c r="AA70" i="1"/>
  <c r="AE70" i="1" s="1"/>
  <c r="Z70" i="1"/>
  <c r="AD70" i="1" s="1"/>
  <c r="AA69" i="1"/>
  <c r="AE69" i="1" s="1"/>
  <c r="Z69" i="1"/>
  <c r="AD69" i="1" s="1"/>
  <c r="AA68" i="1"/>
  <c r="AE68" i="1" s="1"/>
  <c r="Z68" i="1"/>
  <c r="AD68" i="1" s="1"/>
  <c r="K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Q58" i="1"/>
  <c r="Q57" i="1"/>
  <c r="Q56" i="1"/>
  <c r="Q55" i="1"/>
  <c r="Q54" i="1"/>
  <c r="Q53" i="1"/>
  <c r="Q88" i="1" s="1"/>
  <c r="H60" i="1"/>
  <c r="H59" i="1"/>
  <c r="H58" i="1"/>
  <c r="H57" i="1"/>
  <c r="H56" i="1"/>
  <c r="H55" i="1"/>
  <c r="H54" i="1"/>
  <c r="H53" i="1"/>
  <c r="E60" i="1"/>
  <c r="E59" i="1"/>
  <c r="E58" i="1"/>
  <c r="E57" i="1"/>
  <c r="E56" i="1"/>
  <c r="E55" i="1"/>
  <c r="E54" i="1"/>
  <c r="E53" i="1"/>
  <c r="E88" i="1" s="1"/>
  <c r="B60" i="1"/>
  <c r="Y60" i="1" s="1"/>
  <c r="B59" i="1"/>
  <c r="B58" i="1"/>
  <c r="B57" i="1"/>
  <c r="Y57" i="1" s="1"/>
  <c r="B56" i="1"/>
  <c r="Y56" i="1" s="1"/>
  <c r="B55" i="1"/>
  <c r="Y55" i="1" s="1"/>
  <c r="B54" i="1"/>
  <c r="B53" i="1"/>
  <c r="A67" i="1"/>
  <c r="A66" i="1" s="1"/>
  <c r="A65" i="1" s="1"/>
  <c r="A64" i="1" s="1"/>
  <c r="A63" i="1" s="1"/>
  <c r="A62" i="1" s="1"/>
  <c r="A61" i="1" s="1"/>
  <c r="A60" i="1" s="1"/>
  <c r="A59" i="1" s="1"/>
  <c r="A58" i="1" s="1"/>
  <c r="A57" i="1" s="1"/>
  <c r="A56" i="1" s="1"/>
  <c r="A55" i="1" s="1"/>
  <c r="A54" i="1" s="1"/>
  <c r="A53" i="1" s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A23" i="1"/>
  <c r="A22" i="1" s="1"/>
  <c r="A21" i="1" s="1"/>
  <c r="A20" i="1" s="1"/>
  <c r="A19" i="1" s="1"/>
  <c r="A18" i="1" s="1"/>
  <c r="A17" i="1" s="1"/>
  <c r="A16" i="1" s="1"/>
  <c r="A15" i="1" s="1"/>
  <c r="A14" i="1" s="1"/>
  <c r="A13" i="1" s="1"/>
  <c r="A12" i="1" s="1"/>
  <c r="A11" i="1" s="1"/>
  <c r="A10" i="1" s="1"/>
  <c r="A9" i="1" s="1"/>
  <c r="Y58" i="1" l="1"/>
  <c r="H12" i="1"/>
  <c r="AC60" i="1"/>
  <c r="Y59" i="1"/>
  <c r="AC59" i="1" s="1"/>
  <c r="Y54" i="1"/>
  <c r="AC58" i="1"/>
  <c r="U88" i="1"/>
  <c r="AC57" i="1"/>
  <c r="AC54" i="1"/>
  <c r="U89" i="1"/>
  <c r="B88" i="1"/>
  <c r="H88" i="1"/>
  <c r="AC55" i="1"/>
  <c r="AC56" i="1"/>
  <c r="Y53" i="1"/>
  <c r="AC53" i="1" s="1"/>
  <c r="H23" i="1"/>
  <c r="B44" i="1"/>
  <c r="E44" i="1"/>
  <c r="H11" i="1"/>
  <c r="N88" i="1"/>
  <c r="H13" i="1"/>
  <c r="H14" i="1"/>
  <c r="H15" i="1"/>
  <c r="H16" i="1"/>
  <c r="H17" i="1"/>
  <c r="H20" i="1"/>
  <c r="H9" i="1"/>
  <c r="H18" i="1"/>
  <c r="H21" i="1"/>
  <c r="H10" i="1"/>
  <c r="H22" i="1"/>
  <c r="H19" i="1"/>
  <c r="BV87" i="2"/>
  <c r="BV86" i="2"/>
  <c r="BV85" i="2"/>
  <c r="BV84" i="2"/>
  <c r="BV83" i="2"/>
  <c r="BV82" i="2"/>
  <c r="BV81" i="2"/>
  <c r="BV80" i="2"/>
  <c r="BV79" i="2"/>
  <c r="BV78" i="2"/>
  <c r="BV77" i="2"/>
  <c r="BV76" i="2"/>
  <c r="BV75" i="2"/>
  <c r="BV74" i="2"/>
  <c r="BV73" i="2"/>
  <c r="BV72" i="2"/>
  <c r="BV71" i="2"/>
  <c r="BV70" i="2"/>
  <c r="BV69" i="2"/>
  <c r="BV68" i="2"/>
  <c r="BV67" i="2"/>
  <c r="BV66" i="2"/>
  <c r="BV65" i="2"/>
  <c r="BV64" i="2"/>
  <c r="BV63" i="2"/>
  <c r="BV62" i="2"/>
  <c r="BV61" i="2"/>
  <c r="BV60" i="2"/>
  <c r="BV59" i="2"/>
  <c r="BV58" i="2"/>
  <c r="BV57" i="2"/>
  <c r="BV56" i="2"/>
  <c r="BV55" i="2"/>
  <c r="BV54" i="2"/>
  <c r="BV53" i="2"/>
  <c r="BS67" i="2"/>
  <c r="BS66" i="2"/>
  <c r="BS65" i="2"/>
  <c r="BS64" i="2"/>
  <c r="BS63" i="2"/>
  <c r="BS62" i="2"/>
  <c r="BS61" i="2"/>
  <c r="BS60" i="2"/>
  <c r="BS59" i="2"/>
  <c r="BS58" i="2"/>
  <c r="BS57" i="2"/>
  <c r="BS56" i="2"/>
  <c r="BS55" i="2"/>
  <c r="BS54" i="2"/>
  <c r="BS53" i="2"/>
  <c r="BP67" i="2"/>
  <c r="BP66" i="2"/>
  <c r="BP65" i="2"/>
  <c r="BP64" i="2"/>
  <c r="BP63" i="2"/>
  <c r="BP62" i="2"/>
  <c r="BP61" i="2"/>
  <c r="BP60" i="2"/>
  <c r="BP59" i="2"/>
  <c r="BP58" i="2"/>
  <c r="BP57" i="2"/>
  <c r="BP56" i="2"/>
  <c r="BP55" i="2"/>
  <c r="BP54" i="2"/>
  <c r="BP53" i="2"/>
  <c r="BM67" i="2"/>
  <c r="BM66" i="2"/>
  <c r="BM65" i="2"/>
  <c r="BM64" i="2"/>
  <c r="BM63" i="2"/>
  <c r="BM62" i="2"/>
  <c r="BM61" i="2"/>
  <c r="BM60" i="2"/>
  <c r="BM59" i="2"/>
  <c r="BM58" i="2"/>
  <c r="BM57" i="2"/>
  <c r="BM56" i="2"/>
  <c r="BM55" i="2"/>
  <c r="BM54" i="2"/>
  <c r="BM53" i="2"/>
  <c r="BJ67" i="2"/>
  <c r="BJ66" i="2"/>
  <c r="BJ65" i="2"/>
  <c r="BJ64" i="2"/>
  <c r="BJ63" i="2"/>
  <c r="BJ62" i="2"/>
  <c r="BJ61" i="2"/>
  <c r="BJ60" i="2"/>
  <c r="BJ59" i="2"/>
  <c r="BJ58" i="2"/>
  <c r="BJ57" i="2"/>
  <c r="BJ56" i="2"/>
  <c r="BJ55" i="2"/>
  <c r="BJ54" i="2"/>
  <c r="BJ53" i="2"/>
  <c r="BG67" i="2"/>
  <c r="BG66" i="2"/>
  <c r="BG65" i="2"/>
  <c r="BG64" i="2"/>
  <c r="BG63" i="2"/>
  <c r="BG62" i="2"/>
  <c r="BG61" i="2"/>
  <c r="BG60" i="2"/>
  <c r="BG59" i="2"/>
  <c r="BG58" i="2"/>
  <c r="BG57" i="2"/>
  <c r="BG56" i="2"/>
  <c r="BG55" i="2"/>
  <c r="BG54" i="2"/>
  <c r="BG53" i="2"/>
  <c r="BD67" i="2"/>
  <c r="BD66" i="2"/>
  <c r="BD65" i="2"/>
  <c r="BD64" i="2"/>
  <c r="BD63" i="2"/>
  <c r="BD62" i="2"/>
  <c r="BD61" i="2"/>
  <c r="BD60" i="2"/>
  <c r="BD59" i="2"/>
  <c r="BD58" i="2"/>
  <c r="BD57" i="2"/>
  <c r="BD56" i="2"/>
  <c r="BD55" i="2"/>
  <c r="BD54" i="2"/>
  <c r="BD53" i="2"/>
  <c r="BA67" i="2"/>
  <c r="BA66" i="2"/>
  <c r="BA65" i="2"/>
  <c r="BA64" i="2"/>
  <c r="BA63" i="2"/>
  <c r="BA62" i="2"/>
  <c r="BA61" i="2"/>
  <c r="BA60" i="2"/>
  <c r="BA59" i="2"/>
  <c r="BA58" i="2"/>
  <c r="BA57" i="2"/>
  <c r="BA56" i="2"/>
  <c r="BA55" i="2"/>
  <c r="BA54" i="2"/>
  <c r="BA53" i="2"/>
  <c r="AX67" i="2"/>
  <c r="AX66" i="2"/>
  <c r="AX65" i="2"/>
  <c r="AX64" i="2"/>
  <c r="AX63" i="2"/>
  <c r="AX62" i="2"/>
  <c r="AX61" i="2"/>
  <c r="AX60" i="2"/>
  <c r="AX59" i="2"/>
  <c r="AX58" i="2"/>
  <c r="AX57" i="2"/>
  <c r="AX56" i="2"/>
  <c r="AX55" i="2"/>
  <c r="AX54" i="2"/>
  <c r="AX53" i="2"/>
  <c r="AU67" i="2"/>
  <c r="AU66" i="2"/>
  <c r="AU65" i="2"/>
  <c r="AU64" i="2"/>
  <c r="AU63" i="2"/>
  <c r="AU62" i="2"/>
  <c r="AU61" i="2"/>
  <c r="AU60" i="2"/>
  <c r="AU59" i="2"/>
  <c r="AU58" i="2"/>
  <c r="AU57" i="2"/>
  <c r="AU56" i="2"/>
  <c r="AU55" i="2"/>
  <c r="AU54" i="2"/>
  <c r="AU53" i="2"/>
  <c r="AR67" i="2"/>
  <c r="AR66" i="2"/>
  <c r="AR65" i="2"/>
  <c r="AR64" i="2"/>
  <c r="AR63" i="2"/>
  <c r="AR62" i="2"/>
  <c r="AR61" i="2"/>
  <c r="AR60" i="2"/>
  <c r="AR59" i="2"/>
  <c r="AR58" i="2"/>
  <c r="AR57" i="2"/>
  <c r="AR56" i="2"/>
  <c r="AR55" i="2"/>
  <c r="AR54" i="2"/>
  <c r="AR53" i="2"/>
  <c r="AO67" i="2"/>
  <c r="AO66" i="2"/>
  <c r="AO65" i="2"/>
  <c r="AO64" i="2"/>
  <c r="AO63" i="2"/>
  <c r="AO62" i="2"/>
  <c r="AO61" i="2"/>
  <c r="AO60" i="2"/>
  <c r="AO59" i="2"/>
  <c r="AO58" i="2"/>
  <c r="AO57" i="2"/>
  <c r="AO56" i="2"/>
  <c r="AO55" i="2"/>
  <c r="AO54" i="2"/>
  <c r="AO53" i="2"/>
  <c r="AL67" i="2"/>
  <c r="AL66" i="2"/>
  <c r="AL65" i="2"/>
  <c r="AL64" i="2"/>
  <c r="AL63" i="2"/>
  <c r="AL62" i="2"/>
  <c r="AL61" i="2"/>
  <c r="AL60" i="2"/>
  <c r="AL59" i="2"/>
  <c r="AL58" i="2"/>
  <c r="AL57" i="2"/>
  <c r="AL56" i="2"/>
  <c r="AL55" i="2"/>
  <c r="AL54" i="2"/>
  <c r="AL53" i="2"/>
  <c r="AI67" i="2"/>
  <c r="AI66" i="2"/>
  <c r="AI65" i="2"/>
  <c r="AI64" i="2"/>
  <c r="AI63" i="2"/>
  <c r="AI62" i="2"/>
  <c r="AI61" i="2"/>
  <c r="AI60" i="2"/>
  <c r="AI59" i="2"/>
  <c r="AI58" i="2"/>
  <c r="AI57" i="2"/>
  <c r="AI56" i="2"/>
  <c r="AI55" i="2"/>
  <c r="AI54" i="2"/>
  <c r="AI53" i="2"/>
  <c r="AF67" i="2"/>
  <c r="AF66" i="2"/>
  <c r="AF65" i="2"/>
  <c r="AF64" i="2"/>
  <c r="AF63" i="2"/>
  <c r="AF62" i="2"/>
  <c r="AF61" i="2"/>
  <c r="AF60" i="2"/>
  <c r="AF59" i="2"/>
  <c r="AF58" i="2"/>
  <c r="AF57" i="2"/>
  <c r="AF56" i="2"/>
  <c r="AF55" i="2"/>
  <c r="AF54" i="2"/>
  <c r="AF53" i="2"/>
  <c r="AC67" i="2"/>
  <c r="AC66" i="2"/>
  <c r="AC65" i="2"/>
  <c r="AC64" i="2"/>
  <c r="AC63" i="2"/>
  <c r="AC62" i="2"/>
  <c r="AC61" i="2"/>
  <c r="AC60" i="2"/>
  <c r="AC59" i="2"/>
  <c r="AC58" i="2"/>
  <c r="AC57" i="2"/>
  <c r="AC56" i="2"/>
  <c r="AC55" i="2"/>
  <c r="AC54" i="2"/>
  <c r="AC53" i="2"/>
  <c r="Z67" i="2"/>
  <c r="Z66" i="2"/>
  <c r="Z65" i="2"/>
  <c r="Z64" i="2"/>
  <c r="Z63" i="2"/>
  <c r="Z62" i="2"/>
  <c r="Z61" i="2"/>
  <c r="Z60" i="2"/>
  <c r="Z59" i="2"/>
  <c r="Z58" i="2"/>
  <c r="Z57" i="2"/>
  <c r="Z56" i="2"/>
  <c r="Z55" i="2"/>
  <c r="Z54" i="2"/>
  <c r="Z53" i="2"/>
  <c r="W67" i="2"/>
  <c r="W66" i="2"/>
  <c r="W65" i="2"/>
  <c r="W64" i="2"/>
  <c r="W63" i="2"/>
  <c r="W62" i="2"/>
  <c r="W61" i="2"/>
  <c r="W60" i="2"/>
  <c r="W59" i="2"/>
  <c r="W58" i="2"/>
  <c r="W57" i="2"/>
  <c r="W56" i="2"/>
  <c r="W55" i="2"/>
  <c r="W54" i="2"/>
  <c r="W53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A67" i="2"/>
  <c r="A66" i="2" s="1"/>
  <c r="A65" i="2" s="1"/>
  <c r="A64" i="2" s="1"/>
  <c r="A63" i="2" s="1"/>
  <c r="A62" i="2" s="1"/>
  <c r="A61" i="2" s="1"/>
  <c r="A60" i="2" s="1"/>
  <c r="A59" i="2" s="1"/>
  <c r="A58" i="2" s="1"/>
  <c r="A57" i="2" s="1"/>
  <c r="A56" i="2" s="1"/>
  <c r="A55" i="2" s="1"/>
  <c r="A54" i="2" s="1"/>
  <c r="A53" i="2" s="1"/>
  <c r="J21" i="2"/>
  <c r="I21" i="2"/>
  <c r="J20" i="2"/>
  <c r="I20" i="2"/>
  <c r="J19" i="2"/>
  <c r="I19" i="2"/>
  <c r="J18" i="2"/>
  <c r="I18" i="2"/>
  <c r="J17" i="2"/>
  <c r="I17" i="2"/>
  <c r="J16" i="2"/>
  <c r="I16" i="2"/>
  <c r="J15" i="2"/>
  <c r="I15" i="2"/>
  <c r="J14" i="2"/>
  <c r="I14" i="2"/>
  <c r="J13" i="2"/>
  <c r="I13" i="2"/>
  <c r="J12" i="2"/>
  <c r="I12" i="2"/>
  <c r="J11" i="2"/>
  <c r="I11" i="2"/>
  <c r="J10" i="2"/>
  <c r="I10" i="2"/>
  <c r="J9" i="2"/>
  <c r="I9" i="2"/>
  <c r="J8" i="2"/>
  <c r="I8" i="2"/>
  <c r="J7" i="2"/>
  <c r="I7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A21" i="2"/>
  <c r="A20" i="2" s="1"/>
  <c r="A19" i="2" s="1"/>
  <c r="A18" i="2" s="1"/>
  <c r="A17" i="2" s="1"/>
  <c r="A16" i="2" s="1"/>
  <c r="A15" i="2" s="1"/>
  <c r="A14" i="2" s="1"/>
  <c r="A13" i="2" s="1"/>
  <c r="A12" i="2" s="1"/>
  <c r="A11" i="2" s="1"/>
  <c r="A10" i="2" s="1"/>
  <c r="A9" i="2" s="1"/>
  <c r="A8" i="2" s="1"/>
  <c r="A7" i="2" s="1"/>
  <c r="H87" i="1"/>
  <c r="K87" i="1"/>
  <c r="N87" i="1"/>
  <c r="Q87" i="1"/>
  <c r="A18" i="3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U90" i="1" l="1"/>
  <c r="Y87" i="1"/>
  <c r="AC87" i="1" s="1"/>
  <c r="CA61" i="2" a="1"/>
  <c r="CA61" i="2" s="1"/>
  <c r="CE61" i="2" s="1"/>
  <c r="H44" i="1"/>
  <c r="Z88" i="2"/>
  <c r="CA65" i="2" a="1"/>
  <c r="CA65" i="2" s="1"/>
  <c r="CE65" i="2" s="1"/>
  <c r="CA63" i="2" a="1"/>
  <c r="CA63" i="2" s="1"/>
  <c r="CE63" i="2" s="1"/>
  <c r="BJ88" i="2"/>
  <c r="H20" i="2"/>
  <c r="CA53" i="2" a="1"/>
  <c r="CA53" i="2" s="1"/>
  <c r="CE53" i="2" s="1"/>
  <c r="E88" i="2"/>
  <c r="CA66" i="2" a="1"/>
  <c r="CA66" i="2" s="1"/>
  <c r="CE66" i="2" s="1"/>
  <c r="H88" i="2"/>
  <c r="T88" i="2"/>
  <c r="AF88" i="2"/>
  <c r="AR88" i="2"/>
  <c r="BD88" i="2"/>
  <c r="BP88" i="2"/>
  <c r="BV88" i="2"/>
  <c r="BV90" i="2" s="1"/>
  <c r="CA56" i="2" a="1"/>
  <c r="CA56" i="2" s="1"/>
  <c r="CE56" i="2" s="1"/>
  <c r="AC88" i="2"/>
  <c r="BA88" i="2"/>
  <c r="BM88" i="2"/>
  <c r="AL88" i="2"/>
  <c r="AX88" i="2"/>
  <c r="CB62" i="2" a="1"/>
  <c r="CB62" i="2" s="1"/>
  <c r="CF62" i="2" s="1"/>
  <c r="Q88" i="2"/>
  <c r="AO88" i="2"/>
  <c r="BV89" i="2"/>
  <c r="K88" i="2"/>
  <c r="W88" i="2"/>
  <c r="AI88" i="2"/>
  <c r="AU88" i="2"/>
  <c r="BG88" i="2"/>
  <c r="BS88" i="2"/>
  <c r="B88" i="2"/>
  <c r="N88" i="2"/>
  <c r="H8" i="2"/>
  <c r="CB54" i="2" a="1"/>
  <c r="CB54" i="2" s="1"/>
  <c r="CF54" i="2" s="1"/>
  <c r="CB55" i="2" a="1"/>
  <c r="CB55" i="2" s="1"/>
  <c r="CF55" i="2" s="1"/>
  <c r="CB67" i="2" a="1"/>
  <c r="CB67" i="2" s="1"/>
  <c r="CF67" i="2" s="1"/>
  <c r="CB61" i="2" a="1"/>
  <c r="CB61" i="2" s="1"/>
  <c r="CF61" i="2" s="1"/>
  <c r="CB56" i="2" a="1"/>
  <c r="CB56" i="2" s="1"/>
  <c r="CF56" i="2" s="1"/>
  <c r="CB57" i="2" a="1"/>
  <c r="CB57" i="2" s="1"/>
  <c r="CF57" i="2" s="1"/>
  <c r="CB58" i="2" a="1"/>
  <c r="CB58" i="2" s="1"/>
  <c r="CF58" i="2" s="1"/>
  <c r="CB59" i="2" a="1"/>
  <c r="CB59" i="2" s="1"/>
  <c r="CF59" i="2" s="1"/>
  <c r="CA60" i="2" a="1"/>
  <c r="CA60" i="2" s="1"/>
  <c r="CE60" i="2" s="1"/>
  <c r="CA55" i="2" a="1"/>
  <c r="CA55" i="2" s="1"/>
  <c r="CA62" i="2" a="1"/>
  <c r="CA62" i="2" s="1"/>
  <c r="CE62" i="2" s="1"/>
  <c r="CB63" i="2" a="1"/>
  <c r="CB63" i="2" s="1"/>
  <c r="CF63" i="2" s="1"/>
  <c r="CB60" i="2" a="1"/>
  <c r="CB60" i="2" s="1"/>
  <c r="CF60" i="2" s="1"/>
  <c r="CB64" i="2" a="1"/>
  <c r="CB64" i="2" s="1"/>
  <c r="CF64" i="2" s="1"/>
  <c r="CB66" i="2" a="1"/>
  <c r="CB66" i="2" s="1"/>
  <c r="CF66" i="2" s="1"/>
  <c r="CA67" i="2" a="1"/>
  <c r="CA67" i="2" s="1"/>
  <c r="CB65" i="2" a="1"/>
  <c r="CB65" i="2" s="1"/>
  <c r="CF65" i="2" s="1"/>
  <c r="CA57" i="2" a="1"/>
  <c r="CA57" i="2" s="1"/>
  <c r="CE57" i="2" s="1"/>
  <c r="CA58" i="2" a="1"/>
  <c r="CA58" i="2" s="1"/>
  <c r="CB53" i="2" a="1"/>
  <c r="CB53" i="2" s="1"/>
  <c r="CF53" i="2" s="1"/>
  <c r="CA59" i="2" a="1"/>
  <c r="CA59" i="2" s="1"/>
  <c r="CA64" i="2" a="1"/>
  <c r="CA64" i="2" s="1"/>
  <c r="CE64" i="2" s="1"/>
  <c r="CA54" i="2" a="1"/>
  <c r="CA54" i="2" s="1"/>
  <c r="H17" i="2"/>
  <c r="H13" i="2"/>
  <c r="H11" i="2"/>
  <c r="H12" i="2"/>
  <c r="B43" i="2"/>
  <c r="H16" i="2"/>
  <c r="E43" i="2"/>
  <c r="H18" i="2"/>
  <c r="H7" i="2"/>
  <c r="H9" i="2"/>
  <c r="H10" i="2"/>
  <c r="H14" i="2"/>
  <c r="H15" i="2"/>
  <c r="H19" i="2"/>
  <c r="H21" i="2"/>
  <c r="BS87" i="2"/>
  <c r="BS86" i="2"/>
  <c r="BS85" i="2"/>
  <c r="BS84" i="2"/>
  <c r="BS83" i="2"/>
  <c r="BS82" i="2"/>
  <c r="BS81" i="2"/>
  <c r="BS80" i="2"/>
  <c r="BS79" i="2"/>
  <c r="BS78" i="2"/>
  <c r="BS77" i="2"/>
  <c r="BS76" i="2"/>
  <c r="BS75" i="2"/>
  <c r="BS74" i="2"/>
  <c r="BS73" i="2"/>
  <c r="BS72" i="2"/>
  <c r="BS71" i="2"/>
  <c r="BS70" i="2"/>
  <c r="BS69" i="2"/>
  <c r="BS68" i="2"/>
  <c r="BP87" i="2"/>
  <c r="BP86" i="2"/>
  <c r="BP85" i="2"/>
  <c r="BP84" i="2"/>
  <c r="BP83" i="2"/>
  <c r="BP82" i="2"/>
  <c r="BP81" i="2"/>
  <c r="BP80" i="2"/>
  <c r="BP79" i="2"/>
  <c r="BP78" i="2"/>
  <c r="BP77" i="2"/>
  <c r="BP76" i="2"/>
  <c r="BP75" i="2"/>
  <c r="BP74" i="2"/>
  <c r="BP73" i="2"/>
  <c r="BP72" i="2"/>
  <c r="BP71" i="2"/>
  <c r="BP70" i="2"/>
  <c r="BP69" i="2"/>
  <c r="BP68" i="2"/>
  <c r="BM87" i="2"/>
  <c r="BM86" i="2"/>
  <c r="BM85" i="2"/>
  <c r="BM84" i="2"/>
  <c r="BM83" i="2"/>
  <c r="BM82" i="2"/>
  <c r="BM81" i="2"/>
  <c r="BM80" i="2"/>
  <c r="BM79" i="2"/>
  <c r="BM78" i="2"/>
  <c r="BM77" i="2"/>
  <c r="BM76" i="2"/>
  <c r="BM75" i="2"/>
  <c r="BM74" i="2"/>
  <c r="BM73" i="2"/>
  <c r="BM72" i="2"/>
  <c r="BM71" i="2"/>
  <c r="BM70" i="2"/>
  <c r="BM69" i="2"/>
  <c r="BM68" i="2"/>
  <c r="BJ87" i="2"/>
  <c r="BJ86" i="2"/>
  <c r="BJ85" i="2"/>
  <c r="BJ84" i="2"/>
  <c r="BJ83" i="2"/>
  <c r="BJ82" i="2"/>
  <c r="BJ81" i="2"/>
  <c r="BJ80" i="2"/>
  <c r="BJ79" i="2"/>
  <c r="BJ78" i="2"/>
  <c r="BJ77" i="2"/>
  <c r="BJ76" i="2"/>
  <c r="BJ75" i="2"/>
  <c r="BJ74" i="2"/>
  <c r="BJ73" i="2"/>
  <c r="BJ72" i="2"/>
  <c r="BJ71" i="2"/>
  <c r="BJ70" i="2"/>
  <c r="BJ69" i="2"/>
  <c r="BJ68" i="2"/>
  <c r="BG87" i="2"/>
  <c r="BG86" i="2"/>
  <c r="BG85" i="2"/>
  <c r="BG84" i="2"/>
  <c r="BG83" i="2"/>
  <c r="BG82" i="2"/>
  <c r="BG81" i="2"/>
  <c r="BG80" i="2"/>
  <c r="BG79" i="2"/>
  <c r="BG78" i="2"/>
  <c r="BG77" i="2"/>
  <c r="BG76" i="2"/>
  <c r="BG75" i="2"/>
  <c r="BG74" i="2"/>
  <c r="BG73" i="2"/>
  <c r="BG72" i="2"/>
  <c r="BG71" i="2"/>
  <c r="BG70" i="2"/>
  <c r="BG69" i="2"/>
  <c r="BG68" i="2"/>
  <c r="BD87" i="2"/>
  <c r="BD86" i="2"/>
  <c r="BD85" i="2"/>
  <c r="BD84" i="2"/>
  <c r="BD83" i="2"/>
  <c r="BD82" i="2"/>
  <c r="BD81" i="2"/>
  <c r="BD80" i="2"/>
  <c r="BD79" i="2"/>
  <c r="BD78" i="2"/>
  <c r="BD77" i="2"/>
  <c r="BD76" i="2"/>
  <c r="BD75" i="2"/>
  <c r="BD74" i="2"/>
  <c r="BD73" i="2"/>
  <c r="BD72" i="2"/>
  <c r="BD71" i="2"/>
  <c r="BD70" i="2"/>
  <c r="BD69" i="2"/>
  <c r="BD68" i="2"/>
  <c r="BA87" i="2"/>
  <c r="BA86" i="2"/>
  <c r="BA85" i="2"/>
  <c r="BA84" i="2"/>
  <c r="BA83" i="2"/>
  <c r="BA82" i="2"/>
  <c r="BA81" i="2"/>
  <c r="BA80" i="2"/>
  <c r="BA79" i="2"/>
  <c r="BA78" i="2"/>
  <c r="BA77" i="2"/>
  <c r="BA76" i="2"/>
  <c r="BA75" i="2"/>
  <c r="BA74" i="2"/>
  <c r="BA73" i="2"/>
  <c r="BA72" i="2"/>
  <c r="BA71" i="2"/>
  <c r="BA70" i="2"/>
  <c r="BA69" i="2"/>
  <c r="BA68" i="2"/>
  <c r="AX87" i="2"/>
  <c r="AX86" i="2"/>
  <c r="AX85" i="2"/>
  <c r="AX84" i="2"/>
  <c r="AX83" i="2"/>
  <c r="AX82" i="2"/>
  <c r="AX81" i="2"/>
  <c r="AX80" i="2"/>
  <c r="AX79" i="2"/>
  <c r="AX78" i="2"/>
  <c r="AX77" i="2"/>
  <c r="AX76" i="2"/>
  <c r="AX75" i="2"/>
  <c r="AX74" i="2"/>
  <c r="AX73" i="2"/>
  <c r="AX72" i="2"/>
  <c r="AX71" i="2"/>
  <c r="AX70" i="2"/>
  <c r="AX69" i="2"/>
  <c r="AX68" i="2"/>
  <c r="AU87" i="2"/>
  <c r="AU86" i="2"/>
  <c r="AU85" i="2"/>
  <c r="AU84" i="2"/>
  <c r="AU83" i="2"/>
  <c r="AU82" i="2"/>
  <c r="AU81" i="2"/>
  <c r="AU80" i="2"/>
  <c r="AU79" i="2"/>
  <c r="AU78" i="2"/>
  <c r="AU77" i="2"/>
  <c r="AU76" i="2"/>
  <c r="AU75" i="2"/>
  <c r="AU74" i="2"/>
  <c r="AU73" i="2"/>
  <c r="AU72" i="2"/>
  <c r="AU71" i="2"/>
  <c r="AU70" i="2"/>
  <c r="AU69" i="2"/>
  <c r="AU68" i="2"/>
  <c r="AR87" i="2"/>
  <c r="AR86" i="2"/>
  <c r="AR85" i="2"/>
  <c r="AR84" i="2"/>
  <c r="AR83" i="2"/>
  <c r="AR82" i="2"/>
  <c r="AR81" i="2"/>
  <c r="AR80" i="2"/>
  <c r="AR79" i="2"/>
  <c r="AR78" i="2"/>
  <c r="AR77" i="2"/>
  <c r="AR76" i="2"/>
  <c r="AR75" i="2"/>
  <c r="AR74" i="2"/>
  <c r="AR73" i="2"/>
  <c r="AR72" i="2"/>
  <c r="AR71" i="2"/>
  <c r="AR70" i="2"/>
  <c r="AR69" i="2"/>
  <c r="AR68" i="2"/>
  <c r="AO87" i="2"/>
  <c r="AO86" i="2"/>
  <c r="AO85" i="2"/>
  <c r="AO84" i="2"/>
  <c r="AO83" i="2"/>
  <c r="AO82" i="2"/>
  <c r="AO81" i="2"/>
  <c r="AO80" i="2"/>
  <c r="AO79" i="2"/>
  <c r="AO78" i="2"/>
  <c r="AO77" i="2"/>
  <c r="AO76" i="2"/>
  <c r="AO75" i="2"/>
  <c r="AO74" i="2"/>
  <c r="AO73" i="2"/>
  <c r="AO72" i="2"/>
  <c r="AO71" i="2"/>
  <c r="AO70" i="2"/>
  <c r="AO69" i="2"/>
  <c r="AO68" i="2"/>
  <c r="AL87" i="2"/>
  <c r="AL86" i="2"/>
  <c r="AL85" i="2"/>
  <c r="AL84" i="2"/>
  <c r="AL83" i="2"/>
  <c r="AL82" i="2"/>
  <c r="AL81" i="2"/>
  <c r="AL80" i="2"/>
  <c r="AL79" i="2"/>
  <c r="AL78" i="2"/>
  <c r="AL77" i="2"/>
  <c r="AL76" i="2"/>
  <c r="AL75" i="2"/>
  <c r="AL74" i="2"/>
  <c r="AL73" i="2"/>
  <c r="AL72" i="2"/>
  <c r="AL71" i="2"/>
  <c r="AL70" i="2"/>
  <c r="AL69" i="2"/>
  <c r="AL68" i="2"/>
  <c r="AI87" i="2"/>
  <c r="AI86" i="2"/>
  <c r="AI85" i="2"/>
  <c r="AI84" i="2"/>
  <c r="AI83" i="2"/>
  <c r="AI82" i="2"/>
  <c r="AI81" i="2"/>
  <c r="AI80" i="2"/>
  <c r="AI79" i="2"/>
  <c r="AI78" i="2"/>
  <c r="AI77" i="2"/>
  <c r="AI76" i="2"/>
  <c r="AI75" i="2"/>
  <c r="AI74" i="2"/>
  <c r="AI73" i="2"/>
  <c r="AI72" i="2"/>
  <c r="AI71" i="2"/>
  <c r="AI70" i="2"/>
  <c r="AI69" i="2"/>
  <c r="AI68" i="2"/>
  <c r="AF87" i="2"/>
  <c r="AF86" i="2"/>
  <c r="AF85" i="2"/>
  <c r="AF84" i="2"/>
  <c r="AF83" i="2"/>
  <c r="AF82" i="2"/>
  <c r="AF81" i="2"/>
  <c r="AF80" i="2"/>
  <c r="AF79" i="2"/>
  <c r="AF78" i="2"/>
  <c r="AF77" i="2"/>
  <c r="AF76" i="2"/>
  <c r="AF75" i="2"/>
  <c r="AF74" i="2"/>
  <c r="AF73" i="2"/>
  <c r="AF72" i="2"/>
  <c r="AF71" i="2"/>
  <c r="AF70" i="2"/>
  <c r="AF69" i="2"/>
  <c r="AF68" i="2"/>
  <c r="AC87" i="2"/>
  <c r="AC86" i="2"/>
  <c r="AC85" i="2"/>
  <c r="AC84" i="2"/>
  <c r="AC83" i="2"/>
  <c r="AC82" i="2"/>
  <c r="AC81" i="2"/>
  <c r="AC80" i="2"/>
  <c r="AC79" i="2"/>
  <c r="AC78" i="2"/>
  <c r="AC77" i="2"/>
  <c r="AC76" i="2"/>
  <c r="AC75" i="2"/>
  <c r="AC74" i="2"/>
  <c r="AC73" i="2"/>
  <c r="AC72" i="2"/>
  <c r="AC71" i="2"/>
  <c r="AC70" i="2"/>
  <c r="AC69" i="2"/>
  <c r="AC68" i="2"/>
  <c r="Z87" i="2"/>
  <c r="Z86" i="2"/>
  <c r="Z85" i="2"/>
  <c r="Z84" i="2"/>
  <c r="Z83" i="2"/>
  <c r="Z82" i="2"/>
  <c r="Z81" i="2"/>
  <c r="Z80" i="2"/>
  <c r="Z79" i="2"/>
  <c r="Z78" i="2"/>
  <c r="Z77" i="2"/>
  <c r="Z76" i="2"/>
  <c r="Z75" i="2"/>
  <c r="Z74" i="2"/>
  <c r="Z73" i="2"/>
  <c r="Z72" i="2"/>
  <c r="Z71" i="2"/>
  <c r="Z70" i="2"/>
  <c r="Z69" i="2"/>
  <c r="Z68" i="2"/>
  <c r="W87" i="2"/>
  <c r="W86" i="2"/>
  <c r="W85" i="2"/>
  <c r="W84" i="2"/>
  <c r="W83" i="2"/>
  <c r="W82" i="2"/>
  <c r="W81" i="2"/>
  <c r="W80" i="2"/>
  <c r="W79" i="2"/>
  <c r="W78" i="2"/>
  <c r="W77" i="2"/>
  <c r="W76" i="2"/>
  <c r="W75" i="2"/>
  <c r="W74" i="2"/>
  <c r="W73" i="2"/>
  <c r="W72" i="2"/>
  <c r="W71" i="2"/>
  <c r="W70" i="2"/>
  <c r="W69" i="2"/>
  <c r="W6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Z67" i="2" l="1"/>
  <c r="CD67" i="2" s="1"/>
  <c r="BZ58" i="2"/>
  <c r="CD58" i="2" s="1"/>
  <c r="AR89" i="2"/>
  <c r="AR90" i="2" s="1"/>
  <c r="BS89" i="2"/>
  <c r="BS90" i="2" s="1"/>
  <c r="BZ55" i="2"/>
  <c r="CD55" i="2" s="1"/>
  <c r="E89" i="2"/>
  <c r="E90" i="2" s="1"/>
  <c r="N89" i="2"/>
  <c r="N90" i="2" s="1"/>
  <c r="W89" i="2"/>
  <c r="W90" i="2" s="1"/>
  <c r="AF89" i="2"/>
  <c r="AF90" i="2" s="1"/>
  <c r="AO89" i="2"/>
  <c r="AO90" i="2" s="1"/>
  <c r="AX89" i="2"/>
  <c r="AX90" i="2" s="1"/>
  <c r="BG89" i="2"/>
  <c r="BG90" i="2" s="1"/>
  <c r="BP89" i="2"/>
  <c r="BP90" i="2" s="1"/>
  <c r="H89" i="2"/>
  <c r="H90" i="2" s="1"/>
  <c r="Q89" i="2"/>
  <c r="Q90" i="2" s="1"/>
  <c r="BZ54" i="2"/>
  <c r="CD54" i="2" s="1"/>
  <c r="Z89" i="2"/>
  <c r="Z90" i="2" s="1"/>
  <c r="AI89" i="2"/>
  <c r="AI90" i="2" s="1"/>
  <c r="BA89" i="2"/>
  <c r="BA90" i="2" s="1"/>
  <c r="BJ89" i="2"/>
  <c r="BJ90" i="2" s="1"/>
  <c r="K89" i="2"/>
  <c r="K90" i="2" s="1"/>
  <c r="AC89" i="2"/>
  <c r="AC90" i="2" s="1"/>
  <c r="T89" i="2"/>
  <c r="T90" i="2" s="1"/>
  <c r="AL89" i="2"/>
  <c r="AL90" i="2" s="1"/>
  <c r="AU89" i="2"/>
  <c r="AU90" i="2" s="1"/>
  <c r="BD89" i="2"/>
  <c r="BD90" i="2" s="1"/>
  <c r="BM89" i="2"/>
  <c r="BM90" i="2" s="1"/>
  <c r="CE67" i="2"/>
  <c r="BZ61" i="2"/>
  <c r="CD61" i="2" s="1"/>
  <c r="BZ56" i="2"/>
  <c r="CD56" i="2" s="1"/>
  <c r="BZ60" i="2"/>
  <c r="CD60" i="2" s="1"/>
  <c r="BZ63" i="2"/>
  <c r="CD63" i="2" s="1"/>
  <c r="BZ59" i="2"/>
  <c r="CD59" i="2" s="1"/>
  <c r="BZ62" i="2"/>
  <c r="CD62" i="2" s="1"/>
  <c r="CE55" i="2"/>
  <c r="BZ53" i="2"/>
  <c r="CD53" i="2" s="1"/>
  <c r="CE58" i="2"/>
  <c r="BZ66" i="2"/>
  <c r="CD66" i="2" s="1"/>
  <c r="BZ57" i="2"/>
  <c r="CD57" i="2" s="1"/>
  <c r="CE59" i="2"/>
  <c r="CE54" i="2"/>
  <c r="BZ64" i="2"/>
  <c r="CD64" i="2" s="1"/>
  <c r="BZ65" i="2"/>
  <c r="CD65" i="2" s="1"/>
  <c r="CB69" i="2" a="1"/>
  <c r="CB69" i="2" s="1"/>
  <c r="CF69" i="2" s="1"/>
  <c r="CA69" i="2" a="1"/>
  <c r="CA69" i="2" s="1"/>
  <c r="CA82" i="2" a="1"/>
  <c r="CA82" i="2" s="1"/>
  <c r="CB82" i="2" a="1"/>
  <c r="CB82" i="2" s="1"/>
  <c r="CF82" i="2" s="1"/>
  <c r="CA71" i="2" a="1"/>
  <c r="CA71" i="2" s="1"/>
  <c r="CB71" i="2" a="1"/>
  <c r="CB71" i="2" s="1"/>
  <c r="CF71" i="2" s="1"/>
  <c r="CB83" i="2" a="1"/>
  <c r="CB83" i="2" s="1"/>
  <c r="CF83" i="2" s="1"/>
  <c r="CA83" i="2" a="1"/>
  <c r="CA83" i="2" s="1"/>
  <c r="CB72" i="2" a="1"/>
  <c r="CB72" i="2" s="1"/>
  <c r="CF72" i="2" s="1"/>
  <c r="CA72" i="2" a="1"/>
  <c r="CA72" i="2" s="1"/>
  <c r="CB84" i="2" a="1"/>
  <c r="CB84" i="2" s="1"/>
  <c r="CF84" i="2" s="1"/>
  <c r="CA84" i="2" a="1"/>
  <c r="CA84" i="2" s="1"/>
  <c r="CB73" i="2" a="1"/>
  <c r="CB73" i="2" s="1"/>
  <c r="CA73" i="2" a="1"/>
  <c r="CA73" i="2" s="1"/>
  <c r="CE73" i="2" s="1"/>
  <c r="CB85" i="2" a="1"/>
  <c r="CB85" i="2" s="1"/>
  <c r="CF85" i="2" s="1"/>
  <c r="CA85" i="2" a="1"/>
  <c r="CA85" i="2" s="1"/>
  <c r="CB74" i="2" a="1"/>
  <c r="CB74" i="2" s="1"/>
  <c r="CF74" i="2" s="1"/>
  <c r="CA74" i="2" a="1"/>
  <c r="CA74" i="2" s="1"/>
  <c r="CB76" i="2" a="1"/>
  <c r="CB76" i="2" s="1"/>
  <c r="CF76" i="2" s="1"/>
  <c r="CA76" i="2" a="1"/>
  <c r="CA76" i="2" s="1"/>
  <c r="CB77" i="2" a="1"/>
  <c r="CB77" i="2" s="1"/>
  <c r="CF77" i="2" s="1"/>
  <c r="CA77" i="2" a="1"/>
  <c r="CA77" i="2" s="1"/>
  <c r="CB70" i="2" a="1"/>
  <c r="CB70" i="2" s="1"/>
  <c r="CF70" i="2" s="1"/>
  <c r="CA70" i="2" a="1"/>
  <c r="CA70" i="2" s="1"/>
  <c r="CB75" i="2" a="1"/>
  <c r="CB75" i="2" s="1"/>
  <c r="CF75" i="2" s="1"/>
  <c r="CA75" i="2" a="1"/>
  <c r="CA75" i="2" s="1"/>
  <c r="CB78" i="2" a="1"/>
  <c r="CB78" i="2" s="1"/>
  <c r="CF78" i="2" s="1"/>
  <c r="CA78" i="2" a="1"/>
  <c r="CA78" i="2" s="1"/>
  <c r="CB81" i="2" a="1"/>
  <c r="CB81" i="2" s="1"/>
  <c r="CF81" i="2" s="1"/>
  <c r="CA81" i="2" a="1"/>
  <c r="CA81" i="2" s="1"/>
  <c r="CB87" i="2" a="1"/>
  <c r="CB87" i="2" s="1"/>
  <c r="CF87" i="2" s="1"/>
  <c r="CA87" i="2" a="1"/>
  <c r="CA87" i="2" s="1"/>
  <c r="CB79" i="2" a="1"/>
  <c r="CB79" i="2" s="1"/>
  <c r="CF79" i="2" s="1"/>
  <c r="CA79" i="2" a="1"/>
  <c r="CA79" i="2" s="1"/>
  <c r="CA86" i="2" a="1"/>
  <c r="CA86" i="2" s="1"/>
  <c r="CB86" i="2" a="1"/>
  <c r="CB86" i="2" s="1"/>
  <c r="CF86" i="2" s="1"/>
  <c r="CA68" i="2" a="1"/>
  <c r="CA68" i="2" s="1"/>
  <c r="CB68" i="2" a="1"/>
  <c r="CB68" i="2" s="1"/>
  <c r="CF68" i="2" s="1"/>
  <c r="CA80" i="2" a="1"/>
  <c r="CA80" i="2" s="1"/>
  <c r="CB80" i="2" a="1"/>
  <c r="CB80" i="2" s="1"/>
  <c r="CF80" i="2" s="1"/>
  <c r="H43" i="2"/>
  <c r="B89" i="2"/>
  <c r="B90" i="2" s="1"/>
  <c r="A69" i="2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J41" i="2"/>
  <c r="I41" i="2"/>
  <c r="J40" i="2"/>
  <c r="I40" i="2"/>
  <c r="J39" i="2"/>
  <c r="I39" i="2"/>
  <c r="J38" i="2"/>
  <c r="I38" i="2"/>
  <c r="J37" i="2"/>
  <c r="I37" i="2"/>
  <c r="J36" i="2"/>
  <c r="I36" i="2"/>
  <c r="J35" i="2"/>
  <c r="I35" i="2"/>
  <c r="J34" i="2"/>
  <c r="I34" i="2"/>
  <c r="J33" i="2"/>
  <c r="I33" i="2"/>
  <c r="J32" i="2"/>
  <c r="I32" i="2"/>
  <c r="J31" i="2"/>
  <c r="I31" i="2"/>
  <c r="J30" i="2"/>
  <c r="I30" i="2"/>
  <c r="J29" i="2"/>
  <c r="I29" i="2"/>
  <c r="J28" i="2"/>
  <c r="I28" i="2"/>
  <c r="J27" i="2"/>
  <c r="I27" i="2"/>
  <c r="J26" i="2"/>
  <c r="I26" i="2"/>
  <c r="J25" i="2"/>
  <c r="I25" i="2"/>
  <c r="J24" i="2"/>
  <c r="I24" i="2"/>
  <c r="J23" i="2"/>
  <c r="I23" i="2"/>
  <c r="J22" i="2"/>
  <c r="I2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A23" i="2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B86" i="1"/>
  <c r="B85" i="1"/>
  <c r="Y85" i="1" s="1"/>
  <c r="AC85" i="1" s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Y69" i="1" s="1"/>
  <c r="AC69" i="1" s="1"/>
  <c r="B68" i="1"/>
  <c r="A69" i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Y86" i="1" l="1"/>
  <c r="AC86" i="1" s="1"/>
  <c r="H89" i="1"/>
  <c r="E89" i="1"/>
  <c r="K89" i="1"/>
  <c r="Q89" i="1"/>
  <c r="N89" i="1"/>
  <c r="N90" i="1" s="1"/>
  <c r="B89" i="1"/>
  <c r="Y70" i="1"/>
  <c r="AC70" i="1" s="1"/>
  <c r="Y75" i="1"/>
  <c r="AC75" i="1" s="1"/>
  <c r="K90" i="1"/>
  <c r="Y73" i="1"/>
  <c r="AC73" i="1" s="1"/>
  <c r="E90" i="1"/>
  <c r="Y77" i="1"/>
  <c r="AC77" i="1" s="1"/>
  <c r="Y71" i="1"/>
  <c r="AC71" i="1" s="1"/>
  <c r="H90" i="1"/>
  <c r="Y80" i="1"/>
  <c r="AC80" i="1" s="1"/>
  <c r="Y72" i="1"/>
  <c r="AC72" i="1" s="1"/>
  <c r="Y78" i="1"/>
  <c r="AC78" i="1" s="1"/>
  <c r="Y79" i="1"/>
  <c r="AC79" i="1" s="1"/>
  <c r="Y81" i="1"/>
  <c r="AC81" i="1" s="1"/>
  <c r="Y82" i="1"/>
  <c r="AC82" i="1" s="1"/>
  <c r="Y76" i="1"/>
  <c r="AC76" i="1" s="1"/>
  <c r="Y83" i="1"/>
  <c r="AC83" i="1" s="1"/>
  <c r="Q90" i="1"/>
  <c r="Y74" i="1"/>
  <c r="AC74" i="1" s="1"/>
  <c r="Y68" i="1"/>
  <c r="AC68" i="1" s="1"/>
  <c r="B90" i="1"/>
  <c r="Y84" i="1"/>
  <c r="AC84" i="1" s="1"/>
  <c r="BZ75" i="2"/>
  <c r="CD75" i="2" s="1"/>
  <c r="CE75" i="2"/>
  <c r="BZ68" i="2"/>
  <c r="CD68" i="2" s="1"/>
  <c r="CE68" i="2"/>
  <c r="BZ73" i="2"/>
  <c r="CD73" i="2" s="1"/>
  <c r="CF73" i="2"/>
  <c r="BZ70" i="2"/>
  <c r="CD70" i="2" s="1"/>
  <c r="CE70" i="2"/>
  <c r="BZ84" i="2"/>
  <c r="CD84" i="2" s="1"/>
  <c r="CE84" i="2"/>
  <c r="BZ72" i="2"/>
  <c r="CD72" i="2" s="1"/>
  <c r="CE72" i="2"/>
  <c r="BZ83" i="2"/>
  <c r="CD83" i="2" s="1"/>
  <c r="CE83" i="2"/>
  <c r="BZ76" i="2"/>
  <c r="CD76" i="2" s="1"/>
  <c r="CE76" i="2"/>
  <c r="CE86" i="2"/>
  <c r="BZ86" i="2"/>
  <c r="CD86" i="2" s="1"/>
  <c r="BZ74" i="2"/>
  <c r="CD74" i="2" s="1"/>
  <c r="CE74" i="2"/>
  <c r="BZ71" i="2"/>
  <c r="CD71" i="2" s="1"/>
  <c r="CE71" i="2"/>
  <c r="BZ79" i="2"/>
  <c r="CD79" i="2" s="1"/>
  <c r="CE79" i="2"/>
  <c r="BZ87" i="2"/>
  <c r="CD87" i="2" s="1"/>
  <c r="CE87" i="2"/>
  <c r="BZ78" i="2"/>
  <c r="CD78" i="2" s="1"/>
  <c r="CE78" i="2"/>
  <c r="BZ85" i="2"/>
  <c r="CD85" i="2" s="1"/>
  <c r="CE85" i="2"/>
  <c r="CE77" i="2"/>
  <c r="BZ77" i="2"/>
  <c r="CD77" i="2" s="1"/>
  <c r="CE81" i="2"/>
  <c r="BZ81" i="2"/>
  <c r="CD81" i="2" s="1"/>
  <c r="BZ80" i="2"/>
  <c r="CD80" i="2" s="1"/>
  <c r="CE80" i="2"/>
  <c r="BZ82" i="2"/>
  <c r="CD82" i="2" s="1"/>
  <c r="CE82" i="2"/>
  <c r="CE69" i="2"/>
  <c r="BZ69" i="2"/>
  <c r="CD69" i="2" s="1"/>
  <c r="H38" i="2"/>
  <c r="H22" i="2"/>
  <c r="H26" i="2"/>
  <c r="H41" i="2"/>
  <c r="H24" i="2"/>
  <c r="H34" i="2"/>
  <c r="H39" i="2"/>
  <c r="H28" i="2"/>
  <c r="H40" i="2"/>
  <c r="H27" i="2"/>
  <c r="H29" i="2"/>
  <c r="E42" i="2"/>
  <c r="E44" i="2" s="1"/>
  <c r="H37" i="2"/>
  <c r="H35" i="2"/>
  <c r="H36" i="2"/>
  <c r="H23" i="2"/>
  <c r="H25" i="2"/>
  <c r="H31" i="2"/>
  <c r="H32" i="2"/>
  <c r="H33" i="2"/>
  <c r="H30" i="2"/>
  <c r="B42" i="2"/>
  <c r="B44" i="2" s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A25" i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H40" i="1" l="1"/>
  <c r="H43" i="1"/>
  <c r="H41" i="1"/>
  <c r="H28" i="1"/>
  <c r="H42" i="1"/>
  <c r="H42" i="2"/>
  <c r="H44" i="2" s="1"/>
  <c r="H30" i="1"/>
  <c r="H31" i="1"/>
  <c r="H36" i="1"/>
  <c r="B45" i="1"/>
  <c r="B46" i="1" s="1"/>
  <c r="H29" i="1"/>
  <c r="H37" i="1"/>
  <c r="H24" i="1"/>
  <c r="H38" i="1"/>
  <c r="H32" i="1"/>
  <c r="H33" i="1"/>
  <c r="H34" i="1"/>
  <c r="H35" i="1"/>
  <c r="H25" i="1"/>
  <c r="H26" i="1"/>
  <c r="H27" i="1"/>
  <c r="H39" i="1"/>
  <c r="E45" i="1"/>
  <c r="E46" i="1" s="1"/>
  <c r="H45" i="1" l="1"/>
  <c r="H46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<sst xmlns="http://schemas.openxmlformats.org/spreadsheetml/2006/main" count="417" uniqueCount="70">
  <si>
    <t>год</t>
  </si>
  <si>
    <t>баланс</t>
  </si>
  <si>
    <t>прибыло</t>
  </si>
  <si>
    <t>убыло</t>
  </si>
  <si>
    <t>1896-1915</t>
  </si>
  <si>
    <t>всего</t>
  </si>
  <si>
    <t>Движение иностранцев через границы России по летимационным билетам, по странам</t>
  </si>
  <si>
    <t>Германия</t>
  </si>
  <si>
    <t>Австрия</t>
  </si>
  <si>
    <t>Румыния</t>
  </si>
  <si>
    <t>Китай</t>
  </si>
  <si>
    <t>Др. страны</t>
  </si>
  <si>
    <t>Персия</t>
  </si>
  <si>
    <t>через европейские границы</t>
  </si>
  <si>
    <t>через азиатские границы</t>
  </si>
  <si>
    <t>Легитмационные билеты были предназначены для приграничного населения, для краткосрочного перехода границы</t>
  </si>
  <si>
    <t>NBER, "International Migrations", ред. W. Wilcox, Volume I - Statistics, NY 1929, стр.  797, 804</t>
  </si>
  <si>
    <t>в приграничную полосу на другой её стороне.</t>
  </si>
  <si>
    <t>Движение иностранцев через границы России по паспортам, по странам.</t>
  </si>
  <si>
    <t>Движение иностранцев через границы России по паспортам, сумма.</t>
  </si>
  <si>
    <t>Движение иностранцев через границы России по летимационным билетам, сумма.</t>
  </si>
  <si>
    <t>Франция</t>
  </si>
  <si>
    <t>Британия</t>
  </si>
  <si>
    <t>США</t>
  </si>
  <si>
    <t>Швейцария</t>
  </si>
  <si>
    <t>Бельгия</t>
  </si>
  <si>
    <t>Голландия</t>
  </si>
  <si>
    <t>Италия</t>
  </si>
  <si>
    <t>Болгария</t>
  </si>
  <si>
    <t>Греция</t>
  </si>
  <si>
    <t>Дания</t>
  </si>
  <si>
    <t>Швеция и Норвегия</t>
  </si>
  <si>
    <t>Сербия</t>
  </si>
  <si>
    <t>Испания</t>
  </si>
  <si>
    <t>Португалия</t>
  </si>
  <si>
    <t>Черногория</t>
  </si>
  <si>
    <t>Турция</t>
  </si>
  <si>
    <t>Япония</t>
  </si>
  <si>
    <t>Другие страны</t>
  </si>
  <si>
    <t>Синим цветом помечена исправленная опечатка в ЦСК, Статистический ежегодник России 1914, стр. II/31</t>
  </si>
  <si>
    <t>Австрия лб</t>
  </si>
  <si>
    <t>Германия лб</t>
  </si>
  <si>
    <t>Румыния лб</t>
  </si>
  <si>
    <t>Персия лб</t>
  </si>
  <si>
    <t>Китай лб</t>
  </si>
  <si>
    <t>др страны</t>
  </si>
  <si>
    <t>др страны лб</t>
  </si>
  <si>
    <t xml:space="preserve">note: </t>
  </si>
  <si>
    <t xml:space="preserve">Суффикс "лб" означает иммиграцию по легитимационным билетам, </t>
  </si>
  <si>
    <t>отсутствие суффикса -- иммиграцию по паспортам.</t>
  </si>
  <si>
    <t>1881-1895</t>
  </si>
  <si>
    <t>1881-1915</t>
  </si>
  <si>
    <t>Годовая иммиграция в Россию из различных стран.</t>
  </si>
  <si>
    <t>Хива и Бухара</t>
  </si>
  <si>
    <t>Всего</t>
  </si>
  <si>
    <t>verify</t>
  </si>
  <si>
    <t>NBER, "International Migrations", ред. W. Wilcox, Volume I - Statistics, NY 1929, стр.  794-795, 798-804</t>
  </si>
  <si>
    <t>verify-diff</t>
  </si>
  <si>
    <t>Синим цветом помечена исправленная опечатка, ср. ЦСК, Ежегодник России 1909, стр. LXIV-LXIX.</t>
  </si>
  <si>
    <t>Баланс по странам, движение с паспортами:</t>
  </si>
  <si>
    <t>Для 1889-1895 гг. число иностранцев пересекших границы России по легитимационным билетам включено в таблицу пересекших по паспортам</t>
  </si>
  <si>
    <t>Баланс по странам, движение по легитимационным билетам кроме 1889-1895 (см. страницу note-2):</t>
  </si>
  <si>
    <t>всего (п + лб)</t>
  </si>
  <si>
    <t>всего (п)</t>
  </si>
  <si>
    <t>всего (лб)</t>
  </si>
  <si>
    <t>Данные на этой странице – до внесения поправок для Германии 1895 и 1910 и Австрии 1906 на недоучёт иммиграции по легитимационным билетам.</t>
  </si>
  <si>
    <t>Баланс по странам, движение по паспортам и легитимационным билетам,</t>
  </si>
  <si>
    <t>до внесения поправок не недоучёт для Германии 1895, 1910 и Австрии 1906:</t>
  </si>
  <si>
    <t>и до внесения поправок не недоучёт для Германии 1895, 1910 и Австрии 1906:</t>
  </si>
  <si>
    <t>Данные на этой странице – после внесения поправок для Германии 1895 и 1910 и Австрии 1906 на недоучёт иммиграции по легитимационным билетам.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</si>
</sst>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3" fontId="0" fillId="0" borderId="0" xfId="0" applyNumberFormat="1"/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3" borderId="0" xfId="0" applyFill="1"/>
    <xf numFmtId="3" fontId="0" fillId="3" borderId="0" xfId="0" applyNumberFormat="1" applyFill="1"/>
    <xf numFmtId="0" fontId="0" fillId="0" borderId="0" xfId="0" quotePrefix="1"/>
    <xf numFmtId="3" fontId="0" fillId="2" borderId="0" xfId="0" applyNumberFormat="1" applyFill="1"/>
    <xf numFmtId="0" fontId="1" fillId="0" borderId="0" xfId="0" applyFont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3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1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3" fontId="0" fillId="5" borderId="0" xfId="0" applyNumberFormat="1" applyFill="1"/>
    <xf numFmtId="3" fontId="4" fillId="0" borderId="0" xfId="0" applyNumberFormat="1" applyFont="1"/>
    <xf numFmtId="0" fontId="0" fillId="0" borderId="0" xfId="0" applyAlignment="1">
      <alignment horizontal="left"/>
    </xf>
    <xf numFmtId="0" fontId="1" fillId="2" borderId="0" xfId="0" applyFont="1" applyFill="1"/>
    <xf numFmtId="0" fontId="0" fillId="4" borderId="0" xfId="0" applyFill="1"/>
    <xf numFmtId="0" fontId="1" fillId="4" borderId="0" xfId="0" applyFont="1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7EB44-DA37-426E-8733-CEB32776A88C}">
  <dimension ref="A1:CF163"/>
  <sheetViews>
    <sheetView topLeftCell="A82" workbookViewId="0">
      <selection activeCell="A126" sqref="A126"/>
    </sheetView>
  </sheetViews>
  <sheetFormatPr defaultRowHeight="15" x14ac:dyDescent="0.25"/>
  <cols>
    <col min="1" max="1" width="19.28515625" customWidth="1"/>
    <col min="2" max="2" width="10.7109375" customWidth="1"/>
    <col min="3" max="3" width="10.140625" customWidth="1"/>
    <col min="4" max="4" width="9.7109375" customWidth="1"/>
    <col min="23" max="23" width="10.42578125" customWidth="1"/>
  </cols>
  <sheetData>
    <row r="1" spans="1:10" x14ac:dyDescent="0.25">
      <c r="A1" t="s">
        <v>56</v>
      </c>
    </row>
    <row r="3" spans="1:10" x14ac:dyDescent="0.25">
      <c r="A3" t="s">
        <v>19</v>
      </c>
    </row>
    <row r="5" spans="1:10" x14ac:dyDescent="0.25">
      <c r="A5" s="2"/>
      <c r="B5" s="23" t="s">
        <v>5</v>
      </c>
      <c r="C5" s="23"/>
      <c r="D5" s="23"/>
      <c r="E5" s="23" t="s">
        <v>13</v>
      </c>
      <c r="F5" s="23"/>
      <c r="G5" s="23"/>
      <c r="H5" s="23" t="s">
        <v>14</v>
      </c>
      <c r="I5" s="23"/>
      <c r="J5" s="23"/>
    </row>
    <row r="6" spans="1:10" x14ac:dyDescent="0.25">
      <c r="A6" s="3" t="s">
        <v>0</v>
      </c>
      <c r="B6" s="3" t="s">
        <v>1</v>
      </c>
      <c r="C6" s="3" t="s">
        <v>2</v>
      </c>
      <c r="D6" s="3" t="s">
        <v>3</v>
      </c>
      <c r="E6" s="3" t="s">
        <v>1</v>
      </c>
      <c r="F6" s="3" t="s">
        <v>2</v>
      </c>
      <c r="G6" s="3" t="s">
        <v>3</v>
      </c>
      <c r="H6" s="3" t="s">
        <v>1</v>
      </c>
      <c r="I6" s="3" t="s">
        <v>2</v>
      </c>
      <c r="J6" s="3" t="s">
        <v>3</v>
      </c>
    </row>
    <row r="7" spans="1:10" x14ac:dyDescent="0.25">
      <c r="A7" s="9">
        <f t="shared" ref="A7:A20" si="0">A8-1</f>
        <v>1881</v>
      </c>
      <c r="B7" s="1">
        <f t="shared" ref="B7:B21" si="1">C7-D7</f>
        <v>46700</v>
      </c>
      <c r="C7" s="11">
        <v>273857</v>
      </c>
      <c r="D7" s="11">
        <v>227157</v>
      </c>
      <c r="E7" s="1">
        <f t="shared" ref="E7:E21" si="2">F7-G7</f>
        <v>46867</v>
      </c>
      <c r="F7" s="11">
        <v>225335</v>
      </c>
      <c r="G7" s="11">
        <v>178468</v>
      </c>
      <c r="H7" s="1">
        <f t="shared" ref="H7:H21" si="3">B7-E7</f>
        <v>-167</v>
      </c>
      <c r="I7" s="1">
        <f t="shared" ref="I7:I21" si="4">C7-F7</f>
        <v>48522</v>
      </c>
      <c r="J7" s="1">
        <f t="shared" ref="J7:J21" si="5">D7-G7</f>
        <v>48689</v>
      </c>
    </row>
    <row r="8" spans="1:10" x14ac:dyDescent="0.25">
      <c r="A8" s="9">
        <f t="shared" si="0"/>
        <v>1882</v>
      </c>
      <c r="B8" s="1">
        <f t="shared" si="1"/>
        <v>67597</v>
      </c>
      <c r="C8" s="11">
        <v>306654</v>
      </c>
      <c r="D8" s="11">
        <v>239057</v>
      </c>
      <c r="E8" s="1">
        <f t="shared" si="2"/>
        <v>59018</v>
      </c>
      <c r="F8" s="11">
        <v>272069</v>
      </c>
      <c r="G8" s="11">
        <v>213051</v>
      </c>
      <c r="H8" s="1">
        <f t="shared" si="3"/>
        <v>8579</v>
      </c>
      <c r="I8" s="1">
        <f t="shared" si="4"/>
        <v>34585</v>
      </c>
      <c r="J8" s="1">
        <f t="shared" si="5"/>
        <v>26006</v>
      </c>
    </row>
    <row r="9" spans="1:10" x14ac:dyDescent="0.25">
      <c r="A9" s="9">
        <f t="shared" si="0"/>
        <v>1883</v>
      </c>
      <c r="B9" s="1">
        <f t="shared" si="1"/>
        <v>55451</v>
      </c>
      <c r="C9" s="11">
        <v>265002</v>
      </c>
      <c r="D9" s="11">
        <v>209551</v>
      </c>
      <c r="E9" s="1">
        <f t="shared" si="2"/>
        <v>47674</v>
      </c>
      <c r="F9" s="11">
        <v>231748</v>
      </c>
      <c r="G9" s="11">
        <v>184074</v>
      </c>
      <c r="H9" s="1">
        <f t="shared" si="3"/>
        <v>7777</v>
      </c>
      <c r="I9" s="1">
        <f t="shared" si="4"/>
        <v>33254</v>
      </c>
      <c r="J9" s="1">
        <f t="shared" si="5"/>
        <v>25477</v>
      </c>
    </row>
    <row r="10" spans="1:10" x14ac:dyDescent="0.25">
      <c r="A10" s="9">
        <f t="shared" si="0"/>
        <v>1884</v>
      </c>
      <c r="B10" s="1">
        <f t="shared" si="1"/>
        <v>45084</v>
      </c>
      <c r="C10" s="11">
        <v>243201</v>
      </c>
      <c r="D10" s="11">
        <v>198117</v>
      </c>
      <c r="E10" s="1">
        <f t="shared" si="2"/>
        <v>37662</v>
      </c>
      <c r="F10" s="11">
        <v>209276</v>
      </c>
      <c r="G10" s="11">
        <v>171614</v>
      </c>
      <c r="H10" s="1">
        <f t="shared" si="3"/>
        <v>7422</v>
      </c>
      <c r="I10" s="1">
        <f t="shared" si="4"/>
        <v>33925</v>
      </c>
      <c r="J10" s="1">
        <f t="shared" si="5"/>
        <v>26503</v>
      </c>
    </row>
    <row r="11" spans="1:10" x14ac:dyDescent="0.25">
      <c r="A11" s="9">
        <f t="shared" si="0"/>
        <v>1885</v>
      </c>
      <c r="B11" s="1">
        <f t="shared" si="1"/>
        <v>58808</v>
      </c>
      <c r="C11" s="11">
        <v>259616</v>
      </c>
      <c r="D11" s="11">
        <v>200808</v>
      </c>
      <c r="E11" s="1">
        <f t="shared" si="2"/>
        <v>50986</v>
      </c>
      <c r="F11" s="11">
        <v>222297</v>
      </c>
      <c r="G11" s="11">
        <v>171311</v>
      </c>
      <c r="H11" s="1">
        <f t="shared" si="3"/>
        <v>7822</v>
      </c>
      <c r="I11" s="1">
        <f t="shared" si="4"/>
        <v>37319</v>
      </c>
      <c r="J11" s="1">
        <f t="shared" si="5"/>
        <v>29497</v>
      </c>
    </row>
    <row r="12" spans="1:10" x14ac:dyDescent="0.25">
      <c r="A12" s="9">
        <f t="shared" si="0"/>
        <v>1886</v>
      </c>
      <c r="B12" s="1">
        <f t="shared" si="1"/>
        <v>59536</v>
      </c>
      <c r="C12" s="11">
        <v>237777</v>
      </c>
      <c r="D12" s="11">
        <v>178241</v>
      </c>
      <c r="E12" s="1">
        <f t="shared" si="2"/>
        <v>42795</v>
      </c>
      <c r="F12" s="11">
        <v>197489</v>
      </c>
      <c r="G12" s="11">
        <v>154694</v>
      </c>
      <c r="H12" s="1">
        <f t="shared" si="3"/>
        <v>16741</v>
      </c>
      <c r="I12" s="1">
        <f t="shared" si="4"/>
        <v>40288</v>
      </c>
      <c r="J12" s="1">
        <f t="shared" si="5"/>
        <v>23547</v>
      </c>
    </row>
    <row r="13" spans="1:10" x14ac:dyDescent="0.25">
      <c r="A13" s="9">
        <f t="shared" si="0"/>
        <v>1887</v>
      </c>
      <c r="B13" s="1">
        <f t="shared" si="1"/>
        <v>21546</v>
      </c>
      <c r="C13" s="11">
        <v>250516</v>
      </c>
      <c r="D13" s="11">
        <v>228970</v>
      </c>
      <c r="E13" s="1">
        <f t="shared" si="2"/>
        <v>11321</v>
      </c>
      <c r="F13" s="11">
        <v>206454</v>
      </c>
      <c r="G13" s="11">
        <v>195133</v>
      </c>
      <c r="H13" s="1">
        <f t="shared" si="3"/>
        <v>10225</v>
      </c>
      <c r="I13" s="1">
        <f t="shared" si="4"/>
        <v>44062</v>
      </c>
      <c r="J13" s="1">
        <f t="shared" si="5"/>
        <v>33837</v>
      </c>
    </row>
    <row r="14" spans="1:10" x14ac:dyDescent="0.25">
      <c r="A14" s="9">
        <f t="shared" si="0"/>
        <v>1888</v>
      </c>
      <c r="B14" s="1">
        <f t="shared" si="1"/>
        <v>21899</v>
      </c>
      <c r="C14" s="11">
        <v>272478</v>
      </c>
      <c r="D14" s="11">
        <v>250579</v>
      </c>
      <c r="E14" s="1">
        <f t="shared" si="2"/>
        <v>9990</v>
      </c>
      <c r="F14" s="11">
        <v>227533</v>
      </c>
      <c r="G14" s="11">
        <v>217543</v>
      </c>
      <c r="H14" s="1">
        <f t="shared" si="3"/>
        <v>11909</v>
      </c>
      <c r="I14" s="1">
        <f t="shared" si="4"/>
        <v>44945</v>
      </c>
      <c r="J14" s="1">
        <f t="shared" si="5"/>
        <v>33036</v>
      </c>
    </row>
    <row r="15" spans="1:10" x14ac:dyDescent="0.25">
      <c r="A15" s="9">
        <f t="shared" si="0"/>
        <v>1889</v>
      </c>
      <c r="B15" s="1">
        <f t="shared" si="1"/>
        <v>18009</v>
      </c>
      <c r="C15" s="11">
        <v>323931</v>
      </c>
      <c r="D15" s="11">
        <v>305922</v>
      </c>
      <c r="E15" s="1">
        <f t="shared" si="2"/>
        <v>7547</v>
      </c>
      <c r="F15" s="11">
        <v>274578</v>
      </c>
      <c r="G15" s="11">
        <v>267031</v>
      </c>
      <c r="H15" s="1">
        <f t="shared" si="3"/>
        <v>10462</v>
      </c>
      <c r="I15" s="1">
        <f t="shared" si="4"/>
        <v>49353</v>
      </c>
      <c r="J15" s="1">
        <f t="shared" si="5"/>
        <v>38891</v>
      </c>
    </row>
    <row r="16" spans="1:10" x14ac:dyDescent="0.25">
      <c r="A16" s="9">
        <f t="shared" si="0"/>
        <v>1890</v>
      </c>
      <c r="B16" s="1">
        <f t="shared" si="1"/>
        <v>19534</v>
      </c>
      <c r="C16" s="11">
        <v>306090</v>
      </c>
      <c r="D16" s="11">
        <v>286556</v>
      </c>
      <c r="E16" s="1">
        <f t="shared" si="2"/>
        <v>4703</v>
      </c>
      <c r="F16" s="11">
        <v>253479</v>
      </c>
      <c r="G16" s="11">
        <v>248776</v>
      </c>
      <c r="H16" s="1">
        <f t="shared" si="3"/>
        <v>14831</v>
      </c>
      <c r="I16" s="1">
        <f t="shared" si="4"/>
        <v>52611</v>
      </c>
      <c r="J16" s="1">
        <f t="shared" si="5"/>
        <v>37780</v>
      </c>
    </row>
    <row r="17" spans="1:15" x14ac:dyDescent="0.25">
      <c r="A17" s="9">
        <f t="shared" si="0"/>
        <v>1891</v>
      </c>
      <c r="B17" s="1">
        <f t="shared" si="1"/>
        <v>4623</v>
      </c>
      <c r="C17" s="11">
        <v>268501</v>
      </c>
      <c r="D17" s="11">
        <v>263878</v>
      </c>
      <c r="E17" s="1">
        <f t="shared" si="2"/>
        <v>-6697</v>
      </c>
      <c r="F17" s="11">
        <v>215642</v>
      </c>
      <c r="G17" s="11">
        <v>222339</v>
      </c>
      <c r="H17" s="1">
        <f t="shared" si="3"/>
        <v>11320</v>
      </c>
      <c r="I17" s="1">
        <f t="shared" si="4"/>
        <v>52859</v>
      </c>
      <c r="J17" s="1">
        <f t="shared" si="5"/>
        <v>41539</v>
      </c>
    </row>
    <row r="18" spans="1:15" x14ac:dyDescent="0.25">
      <c r="A18" s="9">
        <f t="shared" si="0"/>
        <v>1892</v>
      </c>
      <c r="B18" s="1">
        <f t="shared" si="1"/>
        <v>17735</v>
      </c>
      <c r="C18" s="11">
        <v>228624</v>
      </c>
      <c r="D18" s="11">
        <v>210889</v>
      </c>
      <c r="E18" s="1">
        <f t="shared" si="2"/>
        <v>458</v>
      </c>
      <c r="F18" s="11">
        <v>173222</v>
      </c>
      <c r="G18" s="11">
        <v>172764</v>
      </c>
      <c r="H18" s="1">
        <f t="shared" si="3"/>
        <v>17277</v>
      </c>
      <c r="I18" s="1">
        <f t="shared" si="4"/>
        <v>55402</v>
      </c>
      <c r="J18" s="1">
        <f t="shared" si="5"/>
        <v>38125</v>
      </c>
    </row>
    <row r="19" spans="1:15" x14ac:dyDescent="0.25">
      <c r="A19" s="9">
        <f t="shared" si="0"/>
        <v>1893</v>
      </c>
      <c r="B19" s="1">
        <f t="shared" si="1"/>
        <v>21197</v>
      </c>
      <c r="C19" s="11">
        <v>248137</v>
      </c>
      <c r="D19" s="11">
        <v>226940</v>
      </c>
      <c r="E19" s="1">
        <f t="shared" si="2"/>
        <v>1989</v>
      </c>
      <c r="F19" s="11">
        <v>184993</v>
      </c>
      <c r="G19" s="11">
        <v>183004</v>
      </c>
      <c r="H19" s="1">
        <f t="shared" si="3"/>
        <v>19208</v>
      </c>
      <c r="I19" s="1">
        <f t="shared" si="4"/>
        <v>63144</v>
      </c>
      <c r="J19" s="1">
        <f t="shared" si="5"/>
        <v>43936</v>
      </c>
    </row>
    <row r="20" spans="1:15" x14ac:dyDescent="0.25">
      <c r="A20" s="9">
        <f t="shared" si="0"/>
        <v>1894</v>
      </c>
      <c r="B20" s="1">
        <f t="shared" si="1"/>
        <v>22621</v>
      </c>
      <c r="C20" s="11">
        <v>256775</v>
      </c>
      <c r="D20" s="11">
        <v>234154</v>
      </c>
      <c r="E20" s="1">
        <f t="shared" si="2"/>
        <v>7921</v>
      </c>
      <c r="F20" s="11">
        <v>192387</v>
      </c>
      <c r="G20" s="11">
        <v>184466</v>
      </c>
      <c r="H20" s="1">
        <f t="shared" si="3"/>
        <v>14700</v>
      </c>
      <c r="I20" s="1">
        <f t="shared" si="4"/>
        <v>64388</v>
      </c>
      <c r="J20" s="1">
        <f t="shared" si="5"/>
        <v>49688</v>
      </c>
    </row>
    <row r="21" spans="1:15" x14ac:dyDescent="0.25">
      <c r="A21" s="9">
        <f>A22-1</f>
        <v>1895</v>
      </c>
      <c r="B21" s="1">
        <f t="shared" si="1"/>
        <v>37966</v>
      </c>
      <c r="C21" s="11">
        <v>273324</v>
      </c>
      <c r="D21" s="11">
        <v>235358</v>
      </c>
      <c r="E21" s="1">
        <f t="shared" si="2"/>
        <v>17062</v>
      </c>
      <c r="F21" s="11">
        <v>198223</v>
      </c>
      <c r="G21" s="11">
        <v>181161</v>
      </c>
      <c r="H21" s="1">
        <f t="shared" si="3"/>
        <v>20904</v>
      </c>
      <c r="I21" s="1">
        <f t="shared" si="4"/>
        <v>75101</v>
      </c>
      <c r="J21" s="1">
        <f t="shared" si="5"/>
        <v>54197</v>
      </c>
    </row>
    <row r="22" spans="1:15" x14ac:dyDescent="0.25">
      <c r="A22" s="9">
        <v>1896</v>
      </c>
      <c r="B22" s="1">
        <f>C22-D22</f>
        <v>12174</v>
      </c>
      <c r="C22" s="1">
        <v>268727</v>
      </c>
      <c r="D22" s="1">
        <v>256553</v>
      </c>
      <c r="E22" s="1">
        <f>F22-G22</f>
        <v>6906</v>
      </c>
      <c r="F22" s="1">
        <v>218121</v>
      </c>
      <c r="G22" s="1">
        <v>211215</v>
      </c>
      <c r="H22" s="1">
        <f>B22-E22</f>
        <v>5268</v>
      </c>
      <c r="I22" s="1">
        <f t="shared" ref="I22:J22" si="6">C22-F22</f>
        <v>50606</v>
      </c>
      <c r="J22" s="1">
        <f t="shared" si="6"/>
        <v>45338</v>
      </c>
      <c r="O22" s="1"/>
    </row>
    <row r="23" spans="1:15" x14ac:dyDescent="0.25">
      <c r="A23" s="9">
        <f>A22+1</f>
        <v>1897</v>
      </c>
      <c r="B23" s="1">
        <f t="shared" ref="B23:B41" si="7">C23-D23</f>
        <v>46098</v>
      </c>
      <c r="C23" s="1">
        <v>286290</v>
      </c>
      <c r="D23" s="1">
        <v>240192</v>
      </c>
      <c r="E23" s="1">
        <f t="shared" ref="E23:E41" si="8">F23-G23</f>
        <v>18072</v>
      </c>
      <c r="F23" s="1">
        <v>222210</v>
      </c>
      <c r="G23" s="1">
        <v>204138</v>
      </c>
      <c r="H23" s="1">
        <f t="shared" ref="H23:H41" si="9">B23-E23</f>
        <v>28026</v>
      </c>
      <c r="I23" s="1">
        <f t="shared" ref="I23:I41" si="10">C23-F23</f>
        <v>64080</v>
      </c>
      <c r="J23" s="1">
        <f t="shared" ref="J23:J41" si="11">D23-G23</f>
        <v>36054</v>
      </c>
      <c r="O23" s="1"/>
    </row>
    <row r="24" spans="1:15" x14ac:dyDescent="0.25">
      <c r="A24" s="9">
        <f t="shared" ref="A24:A41" si="12">A23+1</f>
        <v>1898</v>
      </c>
      <c r="B24" s="1">
        <f t="shared" si="7"/>
        <v>53900</v>
      </c>
      <c r="C24" s="1">
        <v>280132</v>
      </c>
      <c r="D24" s="1">
        <v>226232</v>
      </c>
      <c r="E24" s="1">
        <f t="shared" si="8"/>
        <v>27330</v>
      </c>
      <c r="F24" s="1">
        <v>215612</v>
      </c>
      <c r="G24" s="1">
        <v>188282</v>
      </c>
      <c r="H24" s="1">
        <f t="shared" si="9"/>
        <v>26570</v>
      </c>
      <c r="I24" s="1">
        <f t="shared" si="10"/>
        <v>64520</v>
      </c>
      <c r="J24" s="1">
        <f t="shared" si="11"/>
        <v>37950</v>
      </c>
      <c r="O24" s="1"/>
    </row>
    <row r="25" spans="1:15" x14ac:dyDescent="0.25">
      <c r="A25" s="9">
        <f t="shared" si="12"/>
        <v>1899</v>
      </c>
      <c r="B25" s="1">
        <f t="shared" si="7"/>
        <v>45961</v>
      </c>
      <c r="C25" s="1">
        <v>265598</v>
      </c>
      <c r="D25" s="1">
        <v>219637</v>
      </c>
      <c r="E25" s="1">
        <f t="shared" si="8"/>
        <v>16866</v>
      </c>
      <c r="F25" s="1">
        <v>185855</v>
      </c>
      <c r="G25" s="1">
        <v>168989</v>
      </c>
      <c r="H25" s="1">
        <f t="shared" si="9"/>
        <v>29095</v>
      </c>
      <c r="I25" s="1">
        <f t="shared" si="10"/>
        <v>79743</v>
      </c>
      <c r="J25" s="1">
        <f t="shared" si="11"/>
        <v>50648</v>
      </c>
      <c r="O25" s="1"/>
    </row>
    <row r="26" spans="1:15" x14ac:dyDescent="0.25">
      <c r="A26" s="9">
        <f t="shared" si="12"/>
        <v>1900</v>
      </c>
      <c r="B26" s="1">
        <f t="shared" si="7"/>
        <v>27035</v>
      </c>
      <c r="C26" s="1">
        <v>248239</v>
      </c>
      <c r="D26" s="1">
        <v>221204</v>
      </c>
      <c r="E26" s="1">
        <f t="shared" si="8"/>
        <v>11554</v>
      </c>
      <c r="F26" s="1">
        <v>183301</v>
      </c>
      <c r="G26" s="1">
        <v>171747</v>
      </c>
      <c r="H26" s="1">
        <f t="shared" si="9"/>
        <v>15481</v>
      </c>
      <c r="I26" s="1">
        <f t="shared" si="10"/>
        <v>64938</v>
      </c>
      <c r="J26" s="1">
        <f t="shared" si="11"/>
        <v>49457</v>
      </c>
      <c r="O26" s="1"/>
    </row>
    <row r="27" spans="1:15" x14ac:dyDescent="0.25">
      <c r="A27" s="9">
        <f t="shared" si="12"/>
        <v>1901</v>
      </c>
      <c r="B27" s="1">
        <f t="shared" si="7"/>
        <v>53876</v>
      </c>
      <c r="C27" s="1">
        <v>291644</v>
      </c>
      <c r="D27" s="1">
        <v>237768</v>
      </c>
      <c r="E27" s="1">
        <f t="shared" si="8"/>
        <v>13946</v>
      </c>
      <c r="F27" s="1">
        <v>164434</v>
      </c>
      <c r="G27" s="1">
        <v>150488</v>
      </c>
      <c r="H27" s="1">
        <f t="shared" si="9"/>
        <v>39930</v>
      </c>
      <c r="I27" s="1">
        <f t="shared" si="10"/>
        <v>127210</v>
      </c>
      <c r="J27" s="1">
        <f t="shared" si="11"/>
        <v>87280</v>
      </c>
      <c r="O27" s="1"/>
    </row>
    <row r="28" spans="1:15" x14ac:dyDescent="0.25">
      <c r="A28" s="9">
        <f t="shared" si="12"/>
        <v>1902</v>
      </c>
      <c r="B28" s="1">
        <f t="shared" si="7"/>
        <v>63045</v>
      </c>
      <c r="C28" s="1">
        <v>299766</v>
      </c>
      <c r="D28" s="1">
        <v>236721</v>
      </c>
      <c r="E28" s="1">
        <f t="shared" si="8"/>
        <v>10671</v>
      </c>
      <c r="F28" s="1">
        <v>150439</v>
      </c>
      <c r="G28" s="1">
        <v>139768</v>
      </c>
      <c r="H28" s="1">
        <f t="shared" si="9"/>
        <v>52374</v>
      </c>
      <c r="I28" s="1">
        <f t="shared" si="10"/>
        <v>149327</v>
      </c>
      <c r="J28" s="1">
        <f t="shared" si="11"/>
        <v>96953</v>
      </c>
      <c r="O28" s="1"/>
    </row>
    <row r="29" spans="1:15" x14ac:dyDescent="0.25">
      <c r="A29" s="9">
        <f t="shared" si="12"/>
        <v>1903</v>
      </c>
      <c r="B29" s="1">
        <f t="shared" si="7"/>
        <v>48720</v>
      </c>
      <c r="C29" s="1">
        <v>315221</v>
      </c>
      <c r="D29" s="1">
        <v>266501</v>
      </c>
      <c r="E29" s="1">
        <f t="shared" si="8"/>
        <v>9878</v>
      </c>
      <c r="F29" s="1">
        <v>171788</v>
      </c>
      <c r="G29" s="1">
        <v>161910</v>
      </c>
      <c r="H29" s="1">
        <f t="shared" si="9"/>
        <v>38842</v>
      </c>
      <c r="I29" s="1">
        <f t="shared" si="10"/>
        <v>143433</v>
      </c>
      <c r="J29" s="1">
        <f t="shared" si="11"/>
        <v>104591</v>
      </c>
      <c r="O29" s="1"/>
    </row>
    <row r="30" spans="1:15" x14ac:dyDescent="0.25">
      <c r="A30" s="9">
        <f t="shared" si="12"/>
        <v>1904</v>
      </c>
      <c r="B30" s="1">
        <f t="shared" si="7"/>
        <v>25287</v>
      </c>
      <c r="C30" s="1">
        <v>277010</v>
      </c>
      <c r="D30" s="1">
        <v>251723</v>
      </c>
      <c r="E30" s="1">
        <f t="shared" si="8"/>
        <v>4366</v>
      </c>
      <c r="F30" s="1">
        <v>160572</v>
      </c>
      <c r="G30" s="1">
        <v>156206</v>
      </c>
      <c r="H30" s="1">
        <f t="shared" si="9"/>
        <v>20921</v>
      </c>
      <c r="I30" s="1">
        <f t="shared" si="10"/>
        <v>116438</v>
      </c>
      <c r="J30" s="1">
        <f t="shared" si="11"/>
        <v>95517</v>
      </c>
      <c r="O30" s="1"/>
    </row>
    <row r="31" spans="1:15" x14ac:dyDescent="0.25">
      <c r="A31" s="9">
        <f t="shared" si="12"/>
        <v>1905</v>
      </c>
      <c r="B31" s="1">
        <f t="shared" si="7"/>
        <v>8011</v>
      </c>
      <c r="C31" s="1">
        <v>247420</v>
      </c>
      <c r="D31" s="1">
        <v>239409</v>
      </c>
      <c r="E31" s="1">
        <f t="shared" si="8"/>
        <v>2258</v>
      </c>
      <c r="F31" s="1">
        <v>159354</v>
      </c>
      <c r="G31" s="1">
        <v>157096</v>
      </c>
      <c r="H31" s="1">
        <f t="shared" si="9"/>
        <v>5753</v>
      </c>
      <c r="I31" s="1">
        <f t="shared" si="10"/>
        <v>88066</v>
      </c>
      <c r="J31" s="1">
        <f t="shared" si="11"/>
        <v>82313</v>
      </c>
      <c r="O31" s="1"/>
    </row>
    <row r="32" spans="1:15" x14ac:dyDescent="0.25">
      <c r="A32" s="9">
        <f t="shared" si="12"/>
        <v>1906</v>
      </c>
      <c r="B32" s="1">
        <f t="shared" si="7"/>
        <v>67472</v>
      </c>
      <c r="C32" s="1">
        <v>333902</v>
      </c>
      <c r="D32" s="1">
        <v>266430</v>
      </c>
      <c r="E32" s="1">
        <f t="shared" si="8"/>
        <v>5554</v>
      </c>
      <c r="F32" s="1">
        <v>182314</v>
      </c>
      <c r="G32" s="1">
        <v>176760</v>
      </c>
      <c r="H32" s="1">
        <f t="shared" si="9"/>
        <v>61918</v>
      </c>
      <c r="I32" s="1">
        <f t="shared" si="10"/>
        <v>151588</v>
      </c>
      <c r="J32" s="1">
        <f t="shared" si="11"/>
        <v>89670</v>
      </c>
      <c r="O32" s="1"/>
    </row>
    <row r="33" spans="1:15" x14ac:dyDescent="0.25">
      <c r="A33" s="9">
        <f t="shared" si="12"/>
        <v>1907</v>
      </c>
      <c r="B33" s="1">
        <f t="shared" si="7"/>
        <v>80543</v>
      </c>
      <c r="C33" s="1">
        <v>357931</v>
      </c>
      <c r="D33" s="1">
        <v>277388</v>
      </c>
      <c r="E33" s="1">
        <f t="shared" si="8"/>
        <v>13205</v>
      </c>
      <c r="F33" s="1">
        <v>180360</v>
      </c>
      <c r="G33" s="1">
        <v>167155</v>
      </c>
      <c r="H33" s="1">
        <f t="shared" si="9"/>
        <v>67338</v>
      </c>
      <c r="I33" s="1">
        <f t="shared" si="10"/>
        <v>177571</v>
      </c>
      <c r="J33" s="1">
        <f t="shared" si="11"/>
        <v>110233</v>
      </c>
      <c r="O33" s="1"/>
    </row>
    <row r="34" spans="1:15" x14ac:dyDescent="0.25">
      <c r="A34" s="9">
        <f t="shared" si="12"/>
        <v>1908</v>
      </c>
      <c r="B34" s="1">
        <f t="shared" si="7"/>
        <v>55820</v>
      </c>
      <c r="C34" s="1">
        <v>340860</v>
      </c>
      <c r="D34" s="1">
        <v>285040</v>
      </c>
      <c r="E34" s="1">
        <f t="shared" si="8"/>
        <v>17416</v>
      </c>
      <c r="F34" s="1">
        <v>186590</v>
      </c>
      <c r="G34" s="1">
        <v>169174</v>
      </c>
      <c r="H34" s="1">
        <f t="shared" si="9"/>
        <v>38404</v>
      </c>
      <c r="I34" s="1">
        <f t="shared" si="10"/>
        <v>154270</v>
      </c>
      <c r="J34" s="1">
        <f t="shared" si="11"/>
        <v>115866</v>
      </c>
      <c r="O34" s="1"/>
    </row>
    <row r="35" spans="1:15" x14ac:dyDescent="0.25">
      <c r="A35" s="9">
        <f t="shared" si="12"/>
        <v>1909</v>
      </c>
      <c r="B35" s="1">
        <f t="shared" si="7"/>
        <v>73985</v>
      </c>
      <c r="C35" s="1">
        <v>371010</v>
      </c>
      <c r="D35" s="1">
        <v>297025</v>
      </c>
      <c r="E35" s="1">
        <f t="shared" si="8"/>
        <v>17332</v>
      </c>
      <c r="F35" s="1">
        <v>206524</v>
      </c>
      <c r="G35" s="1">
        <v>189192</v>
      </c>
      <c r="H35" s="1">
        <f t="shared" si="9"/>
        <v>56653</v>
      </c>
      <c r="I35" s="1">
        <f t="shared" si="10"/>
        <v>164486</v>
      </c>
      <c r="J35" s="1">
        <f t="shared" si="11"/>
        <v>107833</v>
      </c>
      <c r="O35" s="1"/>
    </row>
    <row r="36" spans="1:15" x14ac:dyDescent="0.25">
      <c r="A36" s="9">
        <f t="shared" si="12"/>
        <v>1910</v>
      </c>
      <c r="B36" s="1">
        <f t="shared" si="7"/>
        <v>73641</v>
      </c>
      <c r="C36" s="1">
        <v>427320</v>
      </c>
      <c r="D36" s="1">
        <v>353679</v>
      </c>
      <c r="E36" s="1">
        <f t="shared" si="8"/>
        <v>22066</v>
      </c>
      <c r="F36" s="1">
        <v>230396</v>
      </c>
      <c r="G36" s="1">
        <v>208330</v>
      </c>
      <c r="H36" s="1">
        <f t="shared" si="9"/>
        <v>51575</v>
      </c>
      <c r="I36" s="1">
        <f t="shared" si="10"/>
        <v>196924</v>
      </c>
      <c r="J36" s="1">
        <f t="shared" si="11"/>
        <v>145349</v>
      </c>
      <c r="O36" s="1"/>
    </row>
    <row r="37" spans="1:15" x14ac:dyDescent="0.25">
      <c r="A37" s="9">
        <f t="shared" si="12"/>
        <v>1911</v>
      </c>
      <c r="B37" s="1">
        <f t="shared" si="7"/>
        <v>58455</v>
      </c>
      <c r="C37" s="1">
        <v>442315</v>
      </c>
      <c r="D37" s="1">
        <v>383860</v>
      </c>
      <c r="E37" s="1">
        <f t="shared" si="8"/>
        <v>18748</v>
      </c>
      <c r="F37" s="1">
        <v>253176</v>
      </c>
      <c r="G37" s="1">
        <v>234428</v>
      </c>
      <c r="H37" s="1">
        <f t="shared" si="9"/>
        <v>39707</v>
      </c>
      <c r="I37" s="1">
        <f t="shared" si="10"/>
        <v>189139</v>
      </c>
      <c r="J37" s="1">
        <f t="shared" si="11"/>
        <v>149432</v>
      </c>
      <c r="O37" s="1"/>
    </row>
    <row r="38" spans="1:15" x14ac:dyDescent="0.25">
      <c r="A38" s="9">
        <f t="shared" si="12"/>
        <v>1912</v>
      </c>
      <c r="B38" s="1">
        <f t="shared" si="7"/>
        <v>70292</v>
      </c>
      <c r="C38" s="1">
        <v>492452</v>
      </c>
      <c r="D38" s="1">
        <v>422160</v>
      </c>
      <c r="E38" s="1">
        <f t="shared" si="8"/>
        <v>15380</v>
      </c>
      <c r="F38" s="1">
        <v>279137</v>
      </c>
      <c r="G38" s="1">
        <v>263757</v>
      </c>
      <c r="H38" s="1">
        <f t="shared" si="9"/>
        <v>54912</v>
      </c>
      <c r="I38" s="1">
        <f t="shared" si="10"/>
        <v>213315</v>
      </c>
      <c r="J38" s="1">
        <f t="shared" si="11"/>
        <v>158403</v>
      </c>
      <c r="O38" s="1"/>
    </row>
    <row r="39" spans="1:15" x14ac:dyDescent="0.25">
      <c r="A39" s="9">
        <f t="shared" si="12"/>
        <v>1913</v>
      </c>
      <c r="B39" s="1">
        <f t="shared" si="7"/>
        <v>94833</v>
      </c>
      <c r="C39" s="1">
        <v>516014</v>
      </c>
      <c r="D39" s="1">
        <v>421181</v>
      </c>
      <c r="E39" s="1">
        <f t="shared" si="8"/>
        <v>27224</v>
      </c>
      <c r="F39" s="7">
        <v>270622</v>
      </c>
      <c r="G39" s="1">
        <v>243398</v>
      </c>
      <c r="H39" s="1">
        <f t="shared" si="9"/>
        <v>67609</v>
      </c>
      <c r="I39" s="1">
        <f t="shared" si="10"/>
        <v>245392</v>
      </c>
      <c r="J39" s="1">
        <f t="shared" si="11"/>
        <v>177783</v>
      </c>
      <c r="O39" s="1"/>
    </row>
    <row r="40" spans="1:15" x14ac:dyDescent="0.25">
      <c r="A40" s="9">
        <f t="shared" si="12"/>
        <v>1914</v>
      </c>
      <c r="B40" s="1">
        <f t="shared" si="7"/>
        <v>70837</v>
      </c>
      <c r="C40" s="1">
        <v>370987</v>
      </c>
      <c r="D40" s="1">
        <v>300150</v>
      </c>
      <c r="E40" s="1">
        <f t="shared" si="8"/>
        <v>7548</v>
      </c>
      <c r="F40" s="1">
        <v>137904</v>
      </c>
      <c r="G40" s="1">
        <v>130356</v>
      </c>
      <c r="H40" s="1">
        <f t="shared" si="9"/>
        <v>63289</v>
      </c>
      <c r="I40" s="1">
        <f t="shared" si="10"/>
        <v>233083</v>
      </c>
      <c r="J40" s="1">
        <f t="shared" si="11"/>
        <v>169794</v>
      </c>
      <c r="O40" s="1"/>
    </row>
    <row r="41" spans="1:15" x14ac:dyDescent="0.25">
      <c r="A41" s="9">
        <f t="shared" si="12"/>
        <v>1915</v>
      </c>
      <c r="B41" s="1">
        <f t="shared" si="7"/>
        <v>26635</v>
      </c>
      <c r="C41" s="1">
        <v>152864</v>
      </c>
      <c r="D41" s="1">
        <v>126229</v>
      </c>
      <c r="E41" s="1">
        <f t="shared" si="8"/>
        <v>-6115</v>
      </c>
      <c r="F41" s="1">
        <v>11629</v>
      </c>
      <c r="G41" s="1">
        <v>17744</v>
      </c>
      <c r="H41" s="1">
        <f t="shared" si="9"/>
        <v>32750</v>
      </c>
      <c r="I41" s="1">
        <f t="shared" si="10"/>
        <v>141235</v>
      </c>
      <c r="J41" s="1">
        <f t="shared" si="11"/>
        <v>108485</v>
      </c>
      <c r="O41" s="1"/>
    </row>
    <row r="42" spans="1:15" x14ac:dyDescent="0.25">
      <c r="A42" s="10" t="s">
        <v>4</v>
      </c>
      <c r="B42" s="5">
        <f>SUM(B22:B41)</f>
        <v>1056620</v>
      </c>
      <c r="C42" s="5"/>
      <c r="D42" s="5"/>
      <c r="E42" s="5">
        <f>SUM(E22:E41)</f>
        <v>260205</v>
      </c>
      <c r="F42" s="5"/>
      <c r="G42" s="5"/>
      <c r="H42" s="5">
        <f>SUM(H22:H41)</f>
        <v>796415</v>
      </c>
      <c r="I42" s="5"/>
      <c r="J42" s="4"/>
      <c r="O42" s="1"/>
    </row>
    <row r="43" spans="1:15" x14ac:dyDescent="0.25">
      <c r="A43" s="10" t="s">
        <v>50</v>
      </c>
      <c r="B43" s="5">
        <f>SUM(B7:B21)</f>
        <v>518306</v>
      </c>
      <c r="C43" s="5"/>
      <c r="D43" s="5"/>
      <c r="E43" s="5">
        <f>SUM(E7:E21)</f>
        <v>339296</v>
      </c>
      <c r="F43" s="5"/>
      <c r="G43" s="5"/>
      <c r="H43" s="5">
        <f>SUM(H7:H21)</f>
        <v>179010</v>
      </c>
      <c r="I43" s="5"/>
      <c r="J43" s="4"/>
      <c r="O43" s="1"/>
    </row>
    <row r="44" spans="1:15" x14ac:dyDescent="0.25">
      <c r="A44" s="10" t="s">
        <v>51</v>
      </c>
      <c r="B44" s="5">
        <f>B42+B43</f>
        <v>1574926</v>
      </c>
      <c r="C44" s="5"/>
      <c r="D44" s="5"/>
      <c r="E44" s="5">
        <f>E42+E43</f>
        <v>599501</v>
      </c>
      <c r="F44" s="5"/>
      <c r="G44" s="5"/>
      <c r="H44" s="5">
        <f>H42+H43</f>
        <v>975425</v>
      </c>
      <c r="I44" s="5"/>
      <c r="J44" s="4"/>
      <c r="O44" s="1"/>
    </row>
    <row r="45" spans="1:15" x14ac:dyDescent="0.25">
      <c r="O45" s="1"/>
    </row>
    <row r="46" spans="1:15" x14ac:dyDescent="0.25">
      <c r="A46" t="s">
        <v>39</v>
      </c>
      <c r="O46" s="1"/>
    </row>
    <row r="47" spans="1:15" x14ac:dyDescent="0.25">
      <c r="O47" s="1"/>
    </row>
    <row r="48" spans="1:15" x14ac:dyDescent="0.25">
      <c r="A48" t="s">
        <v>18</v>
      </c>
      <c r="M48" s="6"/>
      <c r="O48" s="1"/>
    </row>
    <row r="49" spans="1:84" x14ac:dyDescent="0.25">
      <c r="A49" s="19" t="s">
        <v>60</v>
      </c>
      <c r="M49" s="6"/>
      <c r="O49" s="1"/>
    </row>
    <row r="50" spans="1:84" x14ac:dyDescent="0.25">
      <c r="O50" s="1"/>
    </row>
    <row r="51" spans="1:84" x14ac:dyDescent="0.25">
      <c r="B51" s="2" t="s">
        <v>7</v>
      </c>
      <c r="E51" s="2" t="s">
        <v>8</v>
      </c>
      <c r="H51" s="2" t="s">
        <v>21</v>
      </c>
      <c r="K51" s="2" t="s">
        <v>22</v>
      </c>
      <c r="N51" s="2" t="s">
        <v>23</v>
      </c>
      <c r="O51" s="1"/>
      <c r="Q51" s="2" t="s">
        <v>24</v>
      </c>
      <c r="T51" s="2" t="s">
        <v>25</v>
      </c>
      <c r="W51" s="2" t="s">
        <v>26</v>
      </c>
      <c r="Z51" s="2" t="s">
        <v>27</v>
      </c>
      <c r="AC51" s="2" t="s">
        <v>28</v>
      </c>
      <c r="AF51" s="2" t="s">
        <v>9</v>
      </c>
      <c r="AI51" s="2" t="s">
        <v>29</v>
      </c>
      <c r="AL51" s="2" t="s">
        <v>30</v>
      </c>
      <c r="AO51" s="2" t="s">
        <v>31</v>
      </c>
      <c r="AP51" s="2"/>
      <c r="AR51" s="2" t="s">
        <v>32</v>
      </c>
      <c r="AU51" s="2" t="s">
        <v>33</v>
      </c>
      <c r="AX51" s="2" t="s">
        <v>34</v>
      </c>
      <c r="AY51" s="2"/>
      <c r="BA51" s="2" t="s">
        <v>35</v>
      </c>
      <c r="BB51" s="2"/>
      <c r="BD51" s="2" t="s">
        <v>12</v>
      </c>
      <c r="BG51" s="2" t="s">
        <v>10</v>
      </c>
      <c r="BJ51" s="2" t="s">
        <v>36</v>
      </c>
      <c r="BM51" s="2" t="s">
        <v>37</v>
      </c>
      <c r="BP51" s="2" t="s">
        <v>53</v>
      </c>
      <c r="BQ51" s="2"/>
      <c r="BS51" s="2" t="s">
        <v>38</v>
      </c>
      <c r="BT51" s="2"/>
      <c r="BV51" s="2" t="s">
        <v>54</v>
      </c>
      <c r="BZ51" t="s">
        <v>55</v>
      </c>
      <c r="CD51" t="s">
        <v>57</v>
      </c>
    </row>
    <row r="52" spans="1:84" x14ac:dyDescent="0.25">
      <c r="A52" s="3" t="s">
        <v>0</v>
      </c>
      <c r="B52" s="3" t="s">
        <v>1</v>
      </c>
      <c r="C52" s="3" t="s">
        <v>2</v>
      </c>
      <c r="D52" s="3" t="s">
        <v>3</v>
      </c>
      <c r="E52" s="3" t="s">
        <v>1</v>
      </c>
      <c r="F52" s="3" t="s">
        <v>2</v>
      </c>
      <c r="G52" s="3" t="s">
        <v>3</v>
      </c>
      <c r="H52" s="3" t="s">
        <v>1</v>
      </c>
      <c r="I52" s="3" t="s">
        <v>2</v>
      </c>
      <c r="J52" s="3" t="s">
        <v>3</v>
      </c>
      <c r="K52" s="3" t="s">
        <v>1</v>
      </c>
      <c r="L52" s="3" t="s">
        <v>2</v>
      </c>
      <c r="M52" s="3" t="s">
        <v>3</v>
      </c>
      <c r="N52" s="3" t="s">
        <v>1</v>
      </c>
      <c r="O52" s="3" t="s">
        <v>2</v>
      </c>
      <c r="P52" s="3" t="s">
        <v>3</v>
      </c>
      <c r="Q52" s="3" t="s">
        <v>1</v>
      </c>
      <c r="R52" s="3" t="s">
        <v>2</v>
      </c>
      <c r="S52" s="3" t="s">
        <v>3</v>
      </c>
      <c r="T52" s="3" t="s">
        <v>1</v>
      </c>
      <c r="U52" s="3" t="s">
        <v>2</v>
      </c>
      <c r="V52" s="3" t="s">
        <v>3</v>
      </c>
      <c r="W52" s="3" t="s">
        <v>1</v>
      </c>
      <c r="X52" s="3" t="s">
        <v>2</v>
      </c>
      <c r="Y52" s="3" t="s">
        <v>3</v>
      </c>
      <c r="Z52" s="3" t="s">
        <v>1</v>
      </c>
      <c r="AA52" s="3" t="s">
        <v>2</v>
      </c>
      <c r="AB52" s="3" t="s">
        <v>3</v>
      </c>
      <c r="AC52" s="3" t="s">
        <v>1</v>
      </c>
      <c r="AD52" s="3" t="s">
        <v>2</v>
      </c>
      <c r="AE52" s="3" t="s">
        <v>3</v>
      </c>
      <c r="AF52" s="3" t="s">
        <v>1</v>
      </c>
      <c r="AG52" s="3" t="s">
        <v>2</v>
      </c>
      <c r="AH52" s="3" t="s">
        <v>3</v>
      </c>
      <c r="AI52" s="3" t="s">
        <v>1</v>
      </c>
      <c r="AJ52" s="3" t="s">
        <v>2</v>
      </c>
      <c r="AK52" s="3" t="s">
        <v>3</v>
      </c>
      <c r="AL52" s="3" t="s">
        <v>1</v>
      </c>
      <c r="AM52" s="3" t="s">
        <v>2</v>
      </c>
      <c r="AN52" s="3" t="s">
        <v>3</v>
      </c>
      <c r="AO52" s="3" t="s">
        <v>1</v>
      </c>
      <c r="AP52" s="3" t="s">
        <v>2</v>
      </c>
      <c r="AQ52" s="3" t="s">
        <v>3</v>
      </c>
      <c r="AR52" s="3" t="s">
        <v>1</v>
      </c>
      <c r="AS52" s="3" t="s">
        <v>2</v>
      </c>
      <c r="AT52" s="3" t="s">
        <v>3</v>
      </c>
      <c r="AU52" s="3" t="s">
        <v>1</v>
      </c>
      <c r="AV52" s="3" t="s">
        <v>2</v>
      </c>
      <c r="AW52" s="3" t="s">
        <v>3</v>
      </c>
      <c r="AX52" s="3" t="s">
        <v>1</v>
      </c>
      <c r="AY52" s="3" t="s">
        <v>2</v>
      </c>
      <c r="AZ52" s="3" t="s">
        <v>3</v>
      </c>
      <c r="BA52" s="3" t="s">
        <v>1</v>
      </c>
      <c r="BB52" s="3" t="s">
        <v>2</v>
      </c>
      <c r="BC52" s="3" t="s">
        <v>3</v>
      </c>
      <c r="BD52" s="3" t="s">
        <v>1</v>
      </c>
      <c r="BE52" s="3" t="s">
        <v>2</v>
      </c>
      <c r="BF52" s="3" t="s">
        <v>3</v>
      </c>
      <c r="BG52" s="3" t="s">
        <v>1</v>
      </c>
      <c r="BH52" s="3" t="s">
        <v>2</v>
      </c>
      <c r="BI52" s="3" t="s">
        <v>3</v>
      </c>
      <c r="BJ52" s="3" t="s">
        <v>1</v>
      </c>
      <c r="BK52" s="3" t="s">
        <v>2</v>
      </c>
      <c r="BL52" s="3" t="s">
        <v>3</v>
      </c>
      <c r="BM52" s="3" t="s">
        <v>1</v>
      </c>
      <c r="BN52" s="3" t="s">
        <v>2</v>
      </c>
      <c r="BO52" s="3" t="s">
        <v>3</v>
      </c>
      <c r="BP52" s="3" t="s">
        <v>1</v>
      </c>
      <c r="BQ52" s="3" t="s">
        <v>2</v>
      </c>
      <c r="BR52" s="3" t="s">
        <v>3</v>
      </c>
      <c r="BS52" s="3" t="s">
        <v>1</v>
      </c>
      <c r="BT52" s="3" t="s">
        <v>2</v>
      </c>
      <c r="BU52" s="3" t="s">
        <v>3</v>
      </c>
      <c r="BV52" s="3" t="s">
        <v>1</v>
      </c>
      <c r="BW52" s="3" t="s">
        <v>2</v>
      </c>
      <c r="BX52" s="3" t="s">
        <v>3</v>
      </c>
      <c r="BZ52" s="15" t="s">
        <v>1</v>
      </c>
      <c r="CA52" s="15" t="s">
        <v>2</v>
      </c>
      <c r="CB52" s="15" t="s">
        <v>3</v>
      </c>
      <c r="CD52" s="15" t="s">
        <v>1</v>
      </c>
      <c r="CE52" s="15" t="s">
        <v>2</v>
      </c>
      <c r="CF52" s="15" t="s">
        <v>3</v>
      </c>
    </row>
    <row r="53" spans="1:84" x14ac:dyDescent="0.25">
      <c r="A53" s="9">
        <f t="shared" ref="A53:A66" si="13">A54-1</f>
        <v>1881</v>
      </c>
      <c r="B53" s="1">
        <f t="shared" ref="B53:B67" si="14">C53-D53</f>
        <v>31266</v>
      </c>
      <c r="C53" s="11">
        <v>112831</v>
      </c>
      <c r="D53" s="11">
        <v>81565</v>
      </c>
      <c r="E53" s="1">
        <f t="shared" ref="E53:E67" si="15">F53-G53</f>
        <v>15527</v>
      </c>
      <c r="F53" s="11">
        <v>94439</v>
      </c>
      <c r="G53" s="11">
        <v>78912</v>
      </c>
      <c r="H53" s="1">
        <f t="shared" ref="H53:H67" si="16">I53-J53</f>
        <v>-366</v>
      </c>
      <c r="I53" s="11">
        <v>2918</v>
      </c>
      <c r="J53" s="11">
        <v>3284</v>
      </c>
      <c r="K53" s="1">
        <f t="shared" ref="K53:K67" si="17">L53-M53</f>
        <v>-294</v>
      </c>
      <c r="L53" s="11">
        <v>1498</v>
      </c>
      <c r="M53" s="11">
        <v>1792</v>
      </c>
      <c r="N53" s="1">
        <f t="shared" ref="N53:N67" si="18">O53-P53</f>
        <v>7</v>
      </c>
      <c r="O53" s="11">
        <v>330</v>
      </c>
      <c r="P53" s="11">
        <v>323</v>
      </c>
      <c r="Q53" s="1">
        <f t="shared" ref="Q53:Q67" si="19">R53-S53</f>
        <v>-159</v>
      </c>
      <c r="R53" s="11">
        <v>639</v>
      </c>
      <c r="S53" s="11">
        <v>798</v>
      </c>
      <c r="T53" s="1">
        <f t="shared" ref="T53:T67" si="20">U53-V53</f>
        <v>-3</v>
      </c>
      <c r="U53" s="11">
        <v>321</v>
      </c>
      <c r="V53" s="11">
        <v>324</v>
      </c>
      <c r="W53" s="1">
        <f t="shared" ref="W53:W67" si="21">X53-Y53</f>
        <v>-55</v>
      </c>
      <c r="X53" s="11">
        <v>101</v>
      </c>
      <c r="Y53" s="11">
        <v>156</v>
      </c>
      <c r="Z53" s="1">
        <f t="shared" ref="Z53:Z67" si="22">AA53-AB53</f>
        <v>58</v>
      </c>
      <c r="AA53" s="13">
        <v>1373</v>
      </c>
      <c r="AB53" s="14">
        <v>1315</v>
      </c>
      <c r="AC53" s="1">
        <f t="shared" ref="AC53:AC67" si="23">AD53-AE53</f>
        <v>-76</v>
      </c>
      <c r="AD53" s="13">
        <v>560</v>
      </c>
      <c r="AE53" s="12">
        <v>636</v>
      </c>
      <c r="AF53" s="1">
        <f t="shared" ref="AF53:AF67" si="24">AG53-AH53</f>
        <v>119</v>
      </c>
      <c r="AG53" s="13">
        <v>2294</v>
      </c>
      <c r="AH53" s="14">
        <v>2175</v>
      </c>
      <c r="AI53" s="1">
        <f t="shared" ref="AI53:AI67" si="25">AJ53-AK53</f>
        <v>598</v>
      </c>
      <c r="AJ53" s="14">
        <v>3059</v>
      </c>
      <c r="AK53" s="14">
        <v>2461</v>
      </c>
      <c r="AL53" s="1">
        <f t="shared" ref="AL53:AL67" si="26">AM53-AN53</f>
        <v>-18</v>
      </c>
      <c r="AM53" s="12">
        <v>339</v>
      </c>
      <c r="AN53" s="13">
        <v>357</v>
      </c>
      <c r="AO53" s="1">
        <f t="shared" ref="AO53:AO67" si="27">AP53-AQ53</f>
        <v>122</v>
      </c>
      <c r="AP53" s="12">
        <v>391</v>
      </c>
      <c r="AQ53" s="13">
        <v>269</v>
      </c>
      <c r="AR53" s="1">
        <f t="shared" ref="AR53:AR67" si="28">AS53-AT53</f>
        <v>-27</v>
      </c>
      <c r="AS53" s="13">
        <v>40</v>
      </c>
      <c r="AT53" s="13">
        <v>67</v>
      </c>
      <c r="AU53" s="1">
        <f t="shared" ref="AU53:AU67" si="29">AV53-AW53</f>
        <v>6</v>
      </c>
      <c r="AV53" s="13">
        <v>33</v>
      </c>
      <c r="AW53" s="13">
        <v>27</v>
      </c>
      <c r="AX53" s="1">
        <f t="shared" ref="AX53:AX67" si="30">AY53-AZ53</f>
        <v>-2</v>
      </c>
      <c r="AY53" s="13">
        <v>2</v>
      </c>
      <c r="AZ53" s="13">
        <v>4</v>
      </c>
      <c r="BA53" s="1">
        <f t="shared" ref="BA53:BA67" si="31">BB53-BC53</f>
        <v>26</v>
      </c>
      <c r="BB53">
        <v>115</v>
      </c>
      <c r="BC53">
        <v>89</v>
      </c>
      <c r="BD53" s="1">
        <f t="shared" ref="BD53:BD67" si="32">BE53-BF53</f>
        <v>-942</v>
      </c>
      <c r="BE53" s="1">
        <v>39899</v>
      </c>
      <c r="BF53" s="1">
        <v>40841</v>
      </c>
      <c r="BG53" s="1">
        <f t="shared" ref="BG53:BG67" si="33">BH53-BI53</f>
        <v>5</v>
      </c>
      <c r="BH53">
        <v>40</v>
      </c>
      <c r="BI53">
        <v>35</v>
      </c>
      <c r="BJ53" s="1">
        <f t="shared" ref="BJ53:BJ67" si="34">BK53-BL53</f>
        <v>890</v>
      </c>
      <c r="BK53" s="1">
        <v>12567</v>
      </c>
      <c r="BL53" s="1">
        <v>11677</v>
      </c>
      <c r="BM53" s="1">
        <f t="shared" ref="BM53:BM67" si="35">BN53-BO53</f>
        <v>-2</v>
      </c>
      <c r="BN53">
        <v>13</v>
      </c>
      <c r="BO53">
        <v>15</v>
      </c>
      <c r="BP53" s="1">
        <f t="shared" ref="BP53:BP67" si="36">BQ53-BR53</f>
        <v>20</v>
      </c>
      <c r="BQ53">
        <v>55</v>
      </c>
      <c r="BR53">
        <v>35</v>
      </c>
      <c r="BS53" s="1">
        <f t="shared" ref="BS53:BS67" si="37">BT53-BU53</f>
        <v>0</v>
      </c>
      <c r="BT53">
        <v>0</v>
      </c>
      <c r="BU53">
        <v>0</v>
      </c>
      <c r="BV53" s="1">
        <f>BW53-BX53</f>
        <v>46700</v>
      </c>
      <c r="BW53" s="1">
        <v>273857</v>
      </c>
      <c r="BX53" s="1">
        <v>227157</v>
      </c>
      <c r="BZ53" s="1">
        <f>CA53-CB53</f>
        <v>46700</v>
      </c>
      <c r="CA53" s="1" cm="1">
        <f t="array" ref="CA53">SUMPRODUCT(C53:BT53*(MOD(COLUMN(C53:BT53)-COLUMN(C53),3)=0))</f>
        <v>273857</v>
      </c>
      <c r="CB53" s="1" cm="1">
        <f t="array" ref="CB53">SUMPRODUCT(D53:BU53*(MOD(COLUMN(D53:BU53)-COLUMN(D53),3)=0))</f>
        <v>227157</v>
      </c>
      <c r="CC53" s="1"/>
      <c r="CD53" s="1">
        <f>BV53-BZ53</f>
        <v>0</v>
      </c>
      <c r="CE53" s="1">
        <f>BW53-CA53</f>
        <v>0</v>
      </c>
      <c r="CF53" s="1">
        <f>BX53-CB53</f>
        <v>0</v>
      </c>
    </row>
    <row r="54" spans="1:84" x14ac:dyDescent="0.25">
      <c r="A54" s="9">
        <f t="shared" si="13"/>
        <v>1882</v>
      </c>
      <c r="B54" s="1">
        <f t="shared" si="14"/>
        <v>19184</v>
      </c>
      <c r="C54" s="11">
        <v>99693</v>
      </c>
      <c r="D54" s="11">
        <v>80509</v>
      </c>
      <c r="E54" s="1">
        <f t="shared" si="15"/>
        <v>37463</v>
      </c>
      <c r="F54" s="11">
        <v>141179</v>
      </c>
      <c r="G54" s="11">
        <v>103716</v>
      </c>
      <c r="H54" s="1">
        <f t="shared" si="16"/>
        <v>-493</v>
      </c>
      <c r="I54" s="11">
        <v>4897</v>
      </c>
      <c r="J54" s="11">
        <v>5390</v>
      </c>
      <c r="K54" s="1">
        <f t="shared" si="17"/>
        <v>599</v>
      </c>
      <c r="L54" s="11">
        <v>3624</v>
      </c>
      <c r="M54" s="11">
        <v>3025</v>
      </c>
      <c r="N54" s="1">
        <f t="shared" si="18"/>
        <v>-11</v>
      </c>
      <c r="O54" s="11">
        <v>397</v>
      </c>
      <c r="P54" s="11">
        <v>408</v>
      </c>
      <c r="Q54" s="1">
        <f t="shared" si="19"/>
        <v>-781</v>
      </c>
      <c r="R54" s="11">
        <v>2860</v>
      </c>
      <c r="S54" s="11">
        <v>3641</v>
      </c>
      <c r="T54" s="1">
        <f t="shared" si="20"/>
        <v>79</v>
      </c>
      <c r="U54" s="11">
        <v>370</v>
      </c>
      <c r="V54" s="11">
        <v>291</v>
      </c>
      <c r="W54" s="1">
        <f t="shared" si="21"/>
        <v>-56</v>
      </c>
      <c r="X54" s="11">
        <v>162</v>
      </c>
      <c r="Y54" s="11">
        <v>218</v>
      </c>
      <c r="Z54" s="1">
        <f t="shared" si="22"/>
        <v>387</v>
      </c>
      <c r="AA54" s="14">
        <v>1594</v>
      </c>
      <c r="AB54" s="14">
        <v>1207</v>
      </c>
      <c r="AC54" s="1">
        <f t="shared" si="23"/>
        <v>-2</v>
      </c>
      <c r="AD54" s="14">
        <v>1013</v>
      </c>
      <c r="AE54" s="11">
        <v>1015</v>
      </c>
      <c r="AF54" s="1">
        <f t="shared" si="24"/>
        <v>526</v>
      </c>
      <c r="AG54" s="14">
        <v>4848</v>
      </c>
      <c r="AH54" s="14">
        <v>4322</v>
      </c>
      <c r="AI54" s="1">
        <f t="shared" si="25"/>
        <v>419</v>
      </c>
      <c r="AJ54" s="14">
        <v>4693</v>
      </c>
      <c r="AK54" s="14">
        <v>4274</v>
      </c>
      <c r="AL54" s="1">
        <f t="shared" si="26"/>
        <v>-21</v>
      </c>
      <c r="AM54" s="12">
        <v>296</v>
      </c>
      <c r="AN54" s="13">
        <v>317</v>
      </c>
      <c r="AO54" s="1">
        <f t="shared" si="27"/>
        <v>17</v>
      </c>
      <c r="AP54" s="12">
        <v>359</v>
      </c>
      <c r="AQ54" s="13">
        <v>342</v>
      </c>
      <c r="AR54" s="1">
        <f t="shared" si="28"/>
        <v>5</v>
      </c>
      <c r="AS54" s="13">
        <v>87</v>
      </c>
      <c r="AT54" s="13">
        <v>82</v>
      </c>
      <c r="AU54" s="1">
        <f t="shared" si="29"/>
        <v>4</v>
      </c>
      <c r="AV54" s="13">
        <v>29</v>
      </c>
      <c r="AW54" s="13">
        <v>25</v>
      </c>
      <c r="AX54" s="1">
        <f t="shared" si="30"/>
        <v>-2</v>
      </c>
      <c r="AY54" s="13">
        <v>5</v>
      </c>
      <c r="AZ54" s="13">
        <v>7</v>
      </c>
      <c r="BA54" s="1">
        <f t="shared" si="31"/>
        <v>-3</v>
      </c>
      <c r="BB54">
        <v>36</v>
      </c>
      <c r="BC54">
        <v>39</v>
      </c>
      <c r="BD54" s="1">
        <f t="shared" si="32"/>
        <v>7068</v>
      </c>
      <c r="BE54" s="1">
        <v>25384</v>
      </c>
      <c r="BF54" s="1">
        <v>18316</v>
      </c>
      <c r="BG54" s="1">
        <f t="shared" si="33"/>
        <v>10</v>
      </c>
      <c r="BH54">
        <v>40</v>
      </c>
      <c r="BI54">
        <v>30</v>
      </c>
      <c r="BJ54" s="1">
        <f t="shared" si="34"/>
        <v>3081</v>
      </c>
      <c r="BK54" s="1">
        <v>14869</v>
      </c>
      <c r="BL54" s="1">
        <v>11788</v>
      </c>
      <c r="BM54" s="1">
        <f t="shared" si="35"/>
        <v>35</v>
      </c>
      <c r="BN54">
        <v>61</v>
      </c>
      <c r="BO54">
        <v>26</v>
      </c>
      <c r="BP54" s="1">
        <f t="shared" si="36"/>
        <v>2</v>
      </c>
      <c r="BQ54">
        <v>11</v>
      </c>
      <c r="BR54">
        <v>9</v>
      </c>
      <c r="BS54" s="1">
        <f t="shared" si="37"/>
        <v>77</v>
      </c>
      <c r="BT54">
        <v>147</v>
      </c>
      <c r="BU54">
        <v>70</v>
      </c>
      <c r="BV54" s="1">
        <f t="shared" ref="BV54:BV87" si="38">BW54-BX54</f>
        <v>67597</v>
      </c>
      <c r="BW54" s="1">
        <v>306654</v>
      </c>
      <c r="BX54" s="1">
        <v>239057</v>
      </c>
      <c r="BZ54" s="1">
        <f t="shared" ref="BZ54:BZ87" si="39">CA54-CB54</f>
        <v>67587</v>
      </c>
      <c r="CA54" s="1" cm="1">
        <f t="array" ref="CA54">SUMPRODUCT(C54:BT54*(MOD(COLUMN(C54:BT54)-COLUMN(C54),3)=0))</f>
        <v>306654</v>
      </c>
      <c r="CB54" s="1" cm="1">
        <f t="array" ref="CB54">SUMPRODUCT(D54:BU54*(MOD(COLUMN(D54:BU54)-COLUMN(D54),3)=0))</f>
        <v>239067</v>
      </c>
      <c r="CC54" s="1"/>
      <c r="CD54" s="1">
        <f t="shared" ref="CD54:CD87" si="40">BV54-BZ54</f>
        <v>10</v>
      </c>
      <c r="CE54" s="1">
        <f t="shared" ref="CE54:CE87" si="41">BW54-CA54</f>
        <v>0</v>
      </c>
      <c r="CF54" s="1">
        <f t="shared" ref="CF54:CF87" si="42">BX54-CB54</f>
        <v>-10</v>
      </c>
    </row>
    <row r="55" spans="1:84" x14ac:dyDescent="0.25">
      <c r="A55" s="9">
        <f t="shared" si="13"/>
        <v>1883</v>
      </c>
      <c r="B55" s="1">
        <f t="shared" si="14"/>
        <v>15565</v>
      </c>
      <c r="C55" s="11">
        <v>72639</v>
      </c>
      <c r="D55" s="11">
        <v>57074</v>
      </c>
      <c r="E55" s="1">
        <f t="shared" si="15"/>
        <v>28795</v>
      </c>
      <c r="F55" s="11">
        <v>135851</v>
      </c>
      <c r="G55" s="11">
        <v>107056</v>
      </c>
      <c r="H55" s="1">
        <f t="shared" si="16"/>
        <v>1223</v>
      </c>
      <c r="I55" s="11">
        <v>3128</v>
      </c>
      <c r="J55" s="11">
        <v>1905</v>
      </c>
      <c r="K55" s="1">
        <f t="shared" si="17"/>
        <v>154</v>
      </c>
      <c r="L55" s="11">
        <v>2546</v>
      </c>
      <c r="M55" s="11">
        <v>2392</v>
      </c>
      <c r="N55" s="1">
        <f t="shared" si="18"/>
        <v>88</v>
      </c>
      <c r="O55" s="11">
        <v>590</v>
      </c>
      <c r="P55" s="11">
        <v>502</v>
      </c>
      <c r="Q55" s="1">
        <f t="shared" si="19"/>
        <v>93</v>
      </c>
      <c r="R55" s="11">
        <v>674</v>
      </c>
      <c r="S55" s="11">
        <v>581</v>
      </c>
      <c r="T55" s="1">
        <f t="shared" si="20"/>
        <v>-1</v>
      </c>
      <c r="U55" s="11">
        <v>108</v>
      </c>
      <c r="V55" s="11">
        <v>109</v>
      </c>
      <c r="W55" s="1">
        <f t="shared" si="21"/>
        <v>-6</v>
      </c>
      <c r="X55" s="11">
        <v>53</v>
      </c>
      <c r="Y55" s="11">
        <v>59</v>
      </c>
      <c r="Z55" s="1">
        <f t="shared" si="22"/>
        <v>34</v>
      </c>
      <c r="AA55" s="14">
        <v>1197</v>
      </c>
      <c r="AB55" s="14">
        <v>1163</v>
      </c>
      <c r="AC55" s="1">
        <f t="shared" si="23"/>
        <v>90</v>
      </c>
      <c r="AD55" s="14">
        <v>1122</v>
      </c>
      <c r="AE55" s="11">
        <v>1032</v>
      </c>
      <c r="AF55" s="1">
        <f t="shared" si="24"/>
        <v>-489</v>
      </c>
      <c r="AG55" s="14">
        <v>3805</v>
      </c>
      <c r="AH55" s="14">
        <v>4294</v>
      </c>
      <c r="AI55" s="1">
        <f t="shared" si="25"/>
        <v>279</v>
      </c>
      <c r="AJ55" s="14">
        <v>3642</v>
      </c>
      <c r="AK55" s="14">
        <v>3363</v>
      </c>
      <c r="AL55" s="1">
        <f t="shared" si="26"/>
        <v>46</v>
      </c>
      <c r="AM55" s="12">
        <v>232</v>
      </c>
      <c r="AN55" s="13">
        <v>186</v>
      </c>
      <c r="AO55" s="1">
        <f t="shared" si="27"/>
        <v>78</v>
      </c>
      <c r="AP55" s="12">
        <v>372</v>
      </c>
      <c r="AQ55" s="13">
        <v>294</v>
      </c>
      <c r="AR55" s="1">
        <f t="shared" si="28"/>
        <v>85</v>
      </c>
      <c r="AS55" s="13">
        <v>194</v>
      </c>
      <c r="AT55" s="13">
        <v>109</v>
      </c>
      <c r="AU55" s="1">
        <f t="shared" si="29"/>
        <v>2</v>
      </c>
      <c r="AV55" s="13">
        <v>27</v>
      </c>
      <c r="AW55" s="13">
        <v>25</v>
      </c>
      <c r="AX55" s="1">
        <f t="shared" si="30"/>
        <v>0</v>
      </c>
      <c r="AY55" s="13">
        <v>0</v>
      </c>
      <c r="AZ55" s="13">
        <v>0</v>
      </c>
      <c r="BA55" s="1">
        <f t="shared" si="31"/>
        <v>10</v>
      </c>
      <c r="BB55">
        <v>49</v>
      </c>
      <c r="BC55">
        <v>39</v>
      </c>
      <c r="BD55" s="1">
        <f t="shared" si="32"/>
        <v>4546</v>
      </c>
      <c r="BE55" s="1">
        <v>24741</v>
      </c>
      <c r="BF55" s="1">
        <v>20195</v>
      </c>
      <c r="BG55" s="1">
        <f t="shared" si="33"/>
        <v>-3</v>
      </c>
      <c r="BH55">
        <v>0</v>
      </c>
      <c r="BI55">
        <v>3</v>
      </c>
      <c r="BJ55" s="1">
        <f t="shared" si="34"/>
        <v>4826</v>
      </c>
      <c r="BK55" s="1">
        <v>13859</v>
      </c>
      <c r="BL55" s="1">
        <v>9033</v>
      </c>
      <c r="BM55" s="1">
        <f t="shared" si="35"/>
        <v>-6</v>
      </c>
      <c r="BN55">
        <v>9</v>
      </c>
      <c r="BO55">
        <v>15</v>
      </c>
      <c r="BP55" s="1">
        <f t="shared" si="36"/>
        <v>-7</v>
      </c>
      <c r="BQ55">
        <v>30</v>
      </c>
      <c r="BR55">
        <v>37</v>
      </c>
      <c r="BS55" s="1">
        <f t="shared" si="37"/>
        <v>49</v>
      </c>
      <c r="BT55">
        <v>134</v>
      </c>
      <c r="BU55">
        <v>85</v>
      </c>
      <c r="BV55" s="1">
        <f t="shared" si="38"/>
        <v>55451</v>
      </c>
      <c r="BW55" s="1">
        <v>265002</v>
      </c>
      <c r="BX55" s="1">
        <v>209551</v>
      </c>
      <c r="BZ55" s="1">
        <f t="shared" si="39"/>
        <v>55451</v>
      </c>
      <c r="CA55" s="1" cm="1">
        <f t="array" ref="CA55">SUMPRODUCT(C55:BT55*(MOD(COLUMN(C55:BT55)-COLUMN(C55),3)=0))</f>
        <v>265002</v>
      </c>
      <c r="CB55" s="1" cm="1">
        <f t="array" ref="CB55">SUMPRODUCT(D55:BU55*(MOD(COLUMN(D55:BU55)-COLUMN(D55),3)=0))</f>
        <v>209551</v>
      </c>
      <c r="CC55" s="1"/>
      <c r="CD55" s="1">
        <f t="shared" si="40"/>
        <v>0</v>
      </c>
      <c r="CE55" s="1">
        <f t="shared" si="41"/>
        <v>0</v>
      </c>
      <c r="CF55" s="1">
        <f t="shared" si="42"/>
        <v>0</v>
      </c>
    </row>
    <row r="56" spans="1:84" x14ac:dyDescent="0.25">
      <c r="A56" s="9">
        <f t="shared" si="13"/>
        <v>1884</v>
      </c>
      <c r="B56" s="1">
        <f t="shared" si="14"/>
        <v>9047</v>
      </c>
      <c r="C56" s="11">
        <v>61712</v>
      </c>
      <c r="D56" s="11">
        <v>52665</v>
      </c>
      <c r="E56" s="1">
        <f t="shared" si="15"/>
        <v>26116</v>
      </c>
      <c r="F56" s="11">
        <v>126409</v>
      </c>
      <c r="G56" s="11">
        <v>100293</v>
      </c>
      <c r="H56" s="1">
        <f t="shared" si="16"/>
        <v>281</v>
      </c>
      <c r="I56" s="11">
        <v>1692</v>
      </c>
      <c r="J56" s="11">
        <v>1411</v>
      </c>
      <c r="K56" s="1">
        <f t="shared" si="17"/>
        <v>-371</v>
      </c>
      <c r="L56" s="11">
        <v>1761</v>
      </c>
      <c r="M56" s="11">
        <v>2132</v>
      </c>
      <c r="N56" s="1">
        <f t="shared" si="18"/>
        <v>59</v>
      </c>
      <c r="O56" s="11">
        <v>653</v>
      </c>
      <c r="P56" s="11">
        <v>594</v>
      </c>
      <c r="Q56" s="1">
        <f t="shared" si="19"/>
        <v>29</v>
      </c>
      <c r="R56" s="11">
        <v>699</v>
      </c>
      <c r="S56" s="11">
        <v>670</v>
      </c>
      <c r="T56" s="1">
        <f t="shared" si="20"/>
        <v>45</v>
      </c>
      <c r="U56" s="11">
        <v>202</v>
      </c>
      <c r="V56" s="11">
        <v>157</v>
      </c>
      <c r="W56" s="1">
        <f t="shared" si="21"/>
        <v>12</v>
      </c>
      <c r="X56" s="11">
        <v>78</v>
      </c>
      <c r="Y56" s="11">
        <v>66</v>
      </c>
      <c r="Z56" s="1">
        <f t="shared" si="22"/>
        <v>102</v>
      </c>
      <c r="AA56" s="13">
        <v>974</v>
      </c>
      <c r="AB56" s="13">
        <v>872</v>
      </c>
      <c r="AC56" s="1">
        <f t="shared" si="23"/>
        <v>83</v>
      </c>
      <c r="AD56" s="13">
        <v>958</v>
      </c>
      <c r="AE56" s="12">
        <v>875</v>
      </c>
      <c r="AF56" s="1">
        <f t="shared" si="24"/>
        <v>237</v>
      </c>
      <c r="AG56" s="14">
        <v>4101</v>
      </c>
      <c r="AH56" s="14">
        <v>3864</v>
      </c>
      <c r="AI56" s="1">
        <f t="shared" si="25"/>
        <v>298</v>
      </c>
      <c r="AJ56" s="14">
        <v>4018</v>
      </c>
      <c r="AK56" s="14">
        <v>3720</v>
      </c>
      <c r="AL56" s="1">
        <f t="shared" si="26"/>
        <v>67</v>
      </c>
      <c r="AM56" s="12">
        <v>265</v>
      </c>
      <c r="AN56" s="13">
        <v>198</v>
      </c>
      <c r="AO56" s="1">
        <f t="shared" si="27"/>
        <v>-83</v>
      </c>
      <c r="AP56" s="12">
        <v>327</v>
      </c>
      <c r="AQ56" s="13">
        <v>410</v>
      </c>
      <c r="AR56" s="1">
        <f t="shared" si="28"/>
        <v>17</v>
      </c>
      <c r="AS56" s="13">
        <v>113</v>
      </c>
      <c r="AT56" s="13">
        <v>96</v>
      </c>
      <c r="AU56" s="1">
        <f t="shared" si="29"/>
        <v>-24</v>
      </c>
      <c r="AV56" s="13">
        <v>18</v>
      </c>
      <c r="AW56" s="13">
        <v>42</v>
      </c>
      <c r="AX56" s="1">
        <f t="shared" si="30"/>
        <v>9</v>
      </c>
      <c r="AY56" s="13">
        <v>12</v>
      </c>
      <c r="AZ56" s="13">
        <v>3</v>
      </c>
      <c r="BA56" s="1">
        <f t="shared" si="31"/>
        <v>26</v>
      </c>
      <c r="BB56">
        <v>57</v>
      </c>
      <c r="BC56">
        <v>31</v>
      </c>
      <c r="BD56" s="1">
        <f t="shared" si="32"/>
        <v>6357</v>
      </c>
      <c r="BE56" s="1">
        <v>26724</v>
      </c>
      <c r="BF56" s="1">
        <v>20367</v>
      </c>
      <c r="BG56" s="1">
        <f t="shared" si="33"/>
        <v>-8</v>
      </c>
      <c r="BH56">
        <v>1</v>
      </c>
      <c r="BI56">
        <v>9</v>
      </c>
      <c r="BJ56" s="1">
        <f t="shared" si="34"/>
        <v>2773</v>
      </c>
      <c r="BK56" s="1">
        <v>11890</v>
      </c>
      <c r="BL56" s="1">
        <v>9117</v>
      </c>
      <c r="BM56" s="1">
        <f t="shared" si="35"/>
        <v>-7</v>
      </c>
      <c r="BN56">
        <v>1</v>
      </c>
      <c r="BO56">
        <v>8</v>
      </c>
      <c r="BP56" s="1">
        <f t="shared" si="36"/>
        <v>-85</v>
      </c>
      <c r="BQ56">
        <v>10</v>
      </c>
      <c r="BR56">
        <v>95</v>
      </c>
      <c r="BS56" s="1">
        <f t="shared" si="37"/>
        <v>104</v>
      </c>
      <c r="BT56">
        <v>526</v>
      </c>
      <c r="BU56">
        <v>422</v>
      </c>
      <c r="BV56" s="1">
        <f t="shared" si="38"/>
        <v>45084</v>
      </c>
      <c r="BW56" s="1">
        <v>243201</v>
      </c>
      <c r="BX56" s="1">
        <v>198117</v>
      </c>
      <c r="BZ56" s="1">
        <f t="shared" si="39"/>
        <v>45084</v>
      </c>
      <c r="CA56" s="1" cm="1">
        <f t="array" ref="CA56">SUMPRODUCT(C56:BT56*(MOD(COLUMN(C56:BT56)-COLUMN(C56),3)=0))</f>
        <v>243201</v>
      </c>
      <c r="CB56" s="1" cm="1">
        <f t="array" ref="CB56">SUMPRODUCT(D56:BU56*(MOD(COLUMN(D56:BU56)-COLUMN(D56),3)=0))</f>
        <v>198117</v>
      </c>
      <c r="CC56" s="1"/>
      <c r="CD56" s="1">
        <f t="shared" si="40"/>
        <v>0</v>
      </c>
      <c r="CE56" s="1">
        <f t="shared" si="41"/>
        <v>0</v>
      </c>
      <c r="CF56" s="1">
        <f t="shared" si="42"/>
        <v>0</v>
      </c>
    </row>
    <row r="57" spans="1:84" x14ac:dyDescent="0.25">
      <c r="A57" s="9">
        <f t="shared" si="13"/>
        <v>1885</v>
      </c>
      <c r="B57" s="1">
        <f t="shared" si="14"/>
        <v>15529</v>
      </c>
      <c r="C57" s="11">
        <v>68337</v>
      </c>
      <c r="D57" s="11">
        <v>52808</v>
      </c>
      <c r="E57" s="1">
        <f t="shared" si="15"/>
        <v>31366</v>
      </c>
      <c r="F57" s="11">
        <v>129010</v>
      </c>
      <c r="G57" s="11">
        <v>97644</v>
      </c>
      <c r="H57" s="1">
        <f t="shared" si="16"/>
        <v>2181</v>
      </c>
      <c r="I57" s="11">
        <v>4717</v>
      </c>
      <c r="J57" s="11">
        <v>2536</v>
      </c>
      <c r="K57" s="1">
        <f t="shared" si="17"/>
        <v>537</v>
      </c>
      <c r="L57" s="11">
        <v>2919</v>
      </c>
      <c r="M57" s="11">
        <v>2382</v>
      </c>
      <c r="N57" s="1">
        <f t="shared" si="18"/>
        <v>145</v>
      </c>
      <c r="O57" s="11">
        <v>511</v>
      </c>
      <c r="P57" s="11">
        <v>366</v>
      </c>
      <c r="Q57" s="1">
        <f t="shared" si="19"/>
        <v>218</v>
      </c>
      <c r="R57" s="11">
        <v>1169</v>
      </c>
      <c r="S57" s="11">
        <v>951</v>
      </c>
      <c r="T57" s="1">
        <f t="shared" si="20"/>
        <v>63</v>
      </c>
      <c r="U57" s="11">
        <v>381</v>
      </c>
      <c r="V57" s="11">
        <v>318</v>
      </c>
      <c r="W57" s="1">
        <f t="shared" si="21"/>
        <v>-43</v>
      </c>
      <c r="X57" s="11">
        <v>217</v>
      </c>
      <c r="Y57" s="11">
        <v>260</v>
      </c>
      <c r="Z57" s="1">
        <f t="shared" si="22"/>
        <v>-121</v>
      </c>
      <c r="AA57" s="14">
        <v>1063</v>
      </c>
      <c r="AB57" s="14">
        <v>1184</v>
      </c>
      <c r="AC57" s="1">
        <f t="shared" si="23"/>
        <v>-90</v>
      </c>
      <c r="AD57" s="13">
        <v>983</v>
      </c>
      <c r="AE57" s="11">
        <v>1073</v>
      </c>
      <c r="AF57" s="1">
        <f t="shared" si="24"/>
        <v>33</v>
      </c>
      <c r="AG57" s="14">
        <v>3222</v>
      </c>
      <c r="AH57" s="14">
        <v>3189</v>
      </c>
      <c r="AI57" s="1">
        <f t="shared" si="25"/>
        <v>39</v>
      </c>
      <c r="AJ57" s="14">
        <v>3987</v>
      </c>
      <c r="AK57" s="14">
        <v>3948</v>
      </c>
      <c r="AL57" s="1">
        <f t="shared" si="26"/>
        <v>17</v>
      </c>
      <c r="AM57" s="12">
        <v>265</v>
      </c>
      <c r="AN57" s="13">
        <v>248</v>
      </c>
      <c r="AO57" s="1">
        <f t="shared" si="27"/>
        <v>358</v>
      </c>
      <c r="AP57" s="12">
        <v>670</v>
      </c>
      <c r="AQ57" s="13">
        <v>312</v>
      </c>
      <c r="AR57" s="1">
        <f t="shared" si="28"/>
        <v>13</v>
      </c>
      <c r="AS57" s="13">
        <v>83</v>
      </c>
      <c r="AT57" s="13">
        <v>70</v>
      </c>
      <c r="AU57" s="1">
        <f t="shared" si="29"/>
        <v>-19</v>
      </c>
      <c r="AV57" s="13">
        <v>103</v>
      </c>
      <c r="AW57" s="13">
        <v>122</v>
      </c>
      <c r="AX57" s="1">
        <f t="shared" si="30"/>
        <v>-3</v>
      </c>
      <c r="AY57" s="13">
        <v>8</v>
      </c>
      <c r="AZ57" s="13">
        <v>11</v>
      </c>
      <c r="BA57" s="1">
        <f t="shared" si="31"/>
        <v>31</v>
      </c>
      <c r="BB57">
        <v>51</v>
      </c>
      <c r="BC57">
        <v>20</v>
      </c>
      <c r="BD57" s="1">
        <f t="shared" si="32"/>
        <v>4602</v>
      </c>
      <c r="BE57" s="1">
        <v>27152</v>
      </c>
      <c r="BF57" s="1">
        <v>22550</v>
      </c>
      <c r="BG57" s="1">
        <f t="shared" si="33"/>
        <v>-20</v>
      </c>
      <c r="BH57">
        <v>2</v>
      </c>
      <c r="BI57">
        <v>22</v>
      </c>
      <c r="BJ57" s="1">
        <f t="shared" si="34"/>
        <v>3934</v>
      </c>
      <c r="BK57" s="1">
        <v>14274</v>
      </c>
      <c r="BL57" s="1">
        <v>10340</v>
      </c>
      <c r="BM57" s="1">
        <f t="shared" si="35"/>
        <v>4</v>
      </c>
      <c r="BN57">
        <v>11</v>
      </c>
      <c r="BO57">
        <v>7</v>
      </c>
      <c r="BP57" s="1">
        <f t="shared" si="36"/>
        <v>-34</v>
      </c>
      <c r="BQ57">
        <v>18</v>
      </c>
      <c r="BR57">
        <v>52</v>
      </c>
      <c r="BS57" s="1">
        <f t="shared" si="37"/>
        <v>64</v>
      </c>
      <c r="BT57">
        <v>459</v>
      </c>
      <c r="BU57">
        <v>395</v>
      </c>
      <c r="BV57" s="1">
        <f t="shared" si="38"/>
        <v>58808</v>
      </c>
      <c r="BW57" s="1">
        <v>259616</v>
      </c>
      <c r="BX57" s="1">
        <v>200808</v>
      </c>
      <c r="BZ57" s="1">
        <f t="shared" si="39"/>
        <v>58804</v>
      </c>
      <c r="CA57" s="1" cm="1">
        <f t="array" ref="CA57">SUMPRODUCT(C57:BT57*(MOD(COLUMN(C57:BT57)-COLUMN(C57),3)=0))</f>
        <v>259612</v>
      </c>
      <c r="CB57" s="1" cm="1">
        <f t="array" ref="CB57">SUMPRODUCT(D57:BU57*(MOD(COLUMN(D57:BU57)-COLUMN(D57),3)=0))</f>
        <v>200808</v>
      </c>
      <c r="CC57" s="1"/>
      <c r="CD57" s="1">
        <f t="shared" si="40"/>
        <v>4</v>
      </c>
      <c r="CE57" s="1">
        <f t="shared" si="41"/>
        <v>4</v>
      </c>
      <c r="CF57" s="1">
        <f t="shared" si="42"/>
        <v>0</v>
      </c>
    </row>
    <row r="58" spans="1:84" x14ac:dyDescent="0.25">
      <c r="A58" s="9">
        <f t="shared" si="13"/>
        <v>1886</v>
      </c>
      <c r="B58" s="1">
        <f t="shared" si="14"/>
        <v>10819</v>
      </c>
      <c r="C58" s="11">
        <v>58598</v>
      </c>
      <c r="D58" s="11">
        <v>47779</v>
      </c>
      <c r="E58" s="1">
        <f t="shared" si="15"/>
        <v>29461</v>
      </c>
      <c r="F58" s="11">
        <v>116083</v>
      </c>
      <c r="G58" s="11">
        <v>86622</v>
      </c>
      <c r="H58" s="1">
        <f t="shared" si="16"/>
        <v>285</v>
      </c>
      <c r="I58" s="11">
        <v>3380</v>
      </c>
      <c r="J58" s="11">
        <v>3095</v>
      </c>
      <c r="K58" s="1">
        <f t="shared" si="17"/>
        <v>229</v>
      </c>
      <c r="L58" s="11">
        <v>2803</v>
      </c>
      <c r="M58" s="11">
        <v>2574</v>
      </c>
      <c r="N58" s="1">
        <f t="shared" si="18"/>
        <v>414</v>
      </c>
      <c r="O58" s="11">
        <v>827</v>
      </c>
      <c r="P58" s="11">
        <v>413</v>
      </c>
      <c r="Q58" s="1">
        <f t="shared" si="19"/>
        <v>223</v>
      </c>
      <c r="R58" s="11">
        <v>1142</v>
      </c>
      <c r="S58" s="11">
        <v>919</v>
      </c>
      <c r="T58" s="1">
        <f t="shared" si="20"/>
        <v>-93</v>
      </c>
      <c r="U58" s="11">
        <v>417</v>
      </c>
      <c r="V58" s="11">
        <v>510</v>
      </c>
      <c r="W58" s="1">
        <f t="shared" si="21"/>
        <v>11</v>
      </c>
      <c r="X58" s="11">
        <v>163</v>
      </c>
      <c r="Y58" s="11">
        <v>152</v>
      </c>
      <c r="Z58" s="1">
        <f t="shared" si="22"/>
        <v>317</v>
      </c>
      <c r="AA58" s="14">
        <v>1183</v>
      </c>
      <c r="AB58" s="13">
        <v>866</v>
      </c>
      <c r="AC58" s="1">
        <f t="shared" si="23"/>
        <v>-8</v>
      </c>
      <c r="AD58" s="13">
        <v>800</v>
      </c>
      <c r="AE58" s="12">
        <v>808</v>
      </c>
      <c r="AF58" s="1">
        <f t="shared" si="24"/>
        <v>-70</v>
      </c>
      <c r="AG58" s="13">
        <v>2771</v>
      </c>
      <c r="AH58" s="14">
        <v>2841</v>
      </c>
      <c r="AI58" s="1">
        <f t="shared" si="25"/>
        <v>879</v>
      </c>
      <c r="AJ58" s="14">
        <v>4324</v>
      </c>
      <c r="AK58" s="14">
        <v>3445</v>
      </c>
      <c r="AL58" s="1">
        <f t="shared" si="26"/>
        <v>43</v>
      </c>
      <c r="AM58" s="12">
        <v>278</v>
      </c>
      <c r="AN58" s="13">
        <v>235</v>
      </c>
      <c r="AO58" s="1">
        <f t="shared" si="27"/>
        <v>150</v>
      </c>
      <c r="AP58" s="12">
        <v>691</v>
      </c>
      <c r="AQ58" s="13">
        <v>541</v>
      </c>
      <c r="AR58" s="1">
        <f t="shared" si="28"/>
        <v>44</v>
      </c>
      <c r="AS58" s="13">
        <v>126</v>
      </c>
      <c r="AT58" s="13">
        <v>82</v>
      </c>
      <c r="AU58" s="1">
        <f t="shared" si="29"/>
        <v>17</v>
      </c>
      <c r="AV58" s="13">
        <v>92</v>
      </c>
      <c r="AW58" s="13">
        <v>75</v>
      </c>
      <c r="AX58" s="1">
        <f t="shared" si="30"/>
        <v>-6</v>
      </c>
      <c r="AY58" s="13">
        <v>7</v>
      </c>
      <c r="AZ58" s="13">
        <v>13</v>
      </c>
      <c r="BA58" s="1">
        <f t="shared" si="31"/>
        <v>4</v>
      </c>
      <c r="BB58">
        <v>31</v>
      </c>
      <c r="BC58">
        <v>27</v>
      </c>
      <c r="BD58" s="1">
        <f t="shared" si="32"/>
        <v>14035</v>
      </c>
      <c r="BE58" s="1">
        <v>29994</v>
      </c>
      <c r="BF58" s="1">
        <v>15959</v>
      </c>
      <c r="BG58" s="1">
        <f t="shared" si="33"/>
        <v>-24</v>
      </c>
      <c r="BH58">
        <v>23</v>
      </c>
      <c r="BI58">
        <v>47</v>
      </c>
      <c r="BJ58" s="1">
        <f t="shared" si="34"/>
        <v>3094</v>
      </c>
      <c r="BK58" s="1">
        <v>13692</v>
      </c>
      <c r="BL58" s="1">
        <v>10598</v>
      </c>
      <c r="BM58" s="1">
        <f t="shared" si="35"/>
        <v>-8</v>
      </c>
      <c r="BN58">
        <v>16</v>
      </c>
      <c r="BO58">
        <v>24</v>
      </c>
      <c r="BP58" s="1">
        <f t="shared" si="36"/>
        <v>17</v>
      </c>
      <c r="BQ58">
        <v>32</v>
      </c>
      <c r="BR58">
        <v>15</v>
      </c>
      <c r="BS58" s="1">
        <f t="shared" si="37"/>
        <v>-297</v>
      </c>
      <c r="BT58">
        <v>304</v>
      </c>
      <c r="BU58">
        <v>601</v>
      </c>
      <c r="BV58" s="1">
        <f t="shared" si="38"/>
        <v>59536</v>
      </c>
      <c r="BW58" s="1">
        <v>237777</v>
      </c>
      <c r="BX58" s="1">
        <v>178241</v>
      </c>
      <c r="BZ58" s="1">
        <f t="shared" si="39"/>
        <v>59536</v>
      </c>
      <c r="CA58" s="1" cm="1">
        <f t="array" ref="CA58">SUMPRODUCT(C58:BT58*(MOD(COLUMN(C58:BT58)-COLUMN(C58),3)=0))</f>
        <v>237777</v>
      </c>
      <c r="CB58" s="1" cm="1">
        <f t="array" ref="CB58">SUMPRODUCT(D58:BU58*(MOD(COLUMN(D58:BU58)-COLUMN(D58),3)=0))</f>
        <v>178241</v>
      </c>
      <c r="CC58" s="1"/>
      <c r="CD58" s="1">
        <f t="shared" si="40"/>
        <v>0</v>
      </c>
      <c r="CE58" s="1">
        <f t="shared" si="41"/>
        <v>0</v>
      </c>
      <c r="CF58" s="1">
        <f t="shared" si="42"/>
        <v>0</v>
      </c>
    </row>
    <row r="59" spans="1:84" x14ac:dyDescent="0.25">
      <c r="A59" s="9">
        <f t="shared" si="13"/>
        <v>1887</v>
      </c>
      <c r="B59" s="1">
        <f t="shared" si="14"/>
        <v>2475</v>
      </c>
      <c r="C59" s="11">
        <v>65234</v>
      </c>
      <c r="D59" s="11">
        <v>62759</v>
      </c>
      <c r="E59" s="1">
        <f t="shared" si="15"/>
        <v>10626</v>
      </c>
      <c r="F59" s="11">
        <v>119769</v>
      </c>
      <c r="G59" s="11">
        <v>109143</v>
      </c>
      <c r="H59" s="1">
        <f t="shared" si="16"/>
        <v>-898</v>
      </c>
      <c r="I59" s="11">
        <v>2625</v>
      </c>
      <c r="J59" s="11">
        <v>3523</v>
      </c>
      <c r="K59" s="1">
        <f t="shared" si="17"/>
        <v>-429</v>
      </c>
      <c r="L59" s="11">
        <v>2182</v>
      </c>
      <c r="M59" s="11">
        <v>2611</v>
      </c>
      <c r="N59" s="1">
        <f t="shared" si="18"/>
        <v>-76</v>
      </c>
      <c r="O59" s="11">
        <v>453</v>
      </c>
      <c r="P59" s="11">
        <v>529</v>
      </c>
      <c r="Q59" s="1">
        <f t="shared" si="19"/>
        <v>-294</v>
      </c>
      <c r="R59" s="11">
        <v>825</v>
      </c>
      <c r="S59" s="11">
        <v>1119</v>
      </c>
      <c r="T59" s="1">
        <f t="shared" si="20"/>
        <v>-121</v>
      </c>
      <c r="U59" s="11">
        <v>340</v>
      </c>
      <c r="V59" s="11">
        <v>461</v>
      </c>
      <c r="W59" s="1">
        <f t="shared" si="21"/>
        <v>-27</v>
      </c>
      <c r="X59" s="11">
        <v>88</v>
      </c>
      <c r="Y59" s="11">
        <v>115</v>
      </c>
      <c r="Z59" s="1">
        <f t="shared" si="22"/>
        <v>93</v>
      </c>
      <c r="AA59" s="14">
        <v>1174</v>
      </c>
      <c r="AB59" s="14">
        <v>1081</v>
      </c>
      <c r="AC59" s="1">
        <f t="shared" si="23"/>
        <v>-6</v>
      </c>
      <c r="AD59" s="13">
        <v>949</v>
      </c>
      <c r="AE59" s="12">
        <v>955</v>
      </c>
      <c r="AF59" s="1">
        <f t="shared" si="24"/>
        <v>-14</v>
      </c>
      <c r="AG59" s="14">
        <v>3841</v>
      </c>
      <c r="AH59" s="14">
        <v>3855</v>
      </c>
      <c r="AI59" s="1">
        <f t="shared" si="25"/>
        <v>312</v>
      </c>
      <c r="AJ59" s="14">
        <v>4062</v>
      </c>
      <c r="AK59" s="14">
        <v>3750</v>
      </c>
      <c r="AL59" s="1">
        <f t="shared" si="26"/>
        <v>-20</v>
      </c>
      <c r="AM59" s="12">
        <v>213</v>
      </c>
      <c r="AN59" s="13">
        <v>233</v>
      </c>
      <c r="AO59" s="1">
        <f t="shared" si="27"/>
        <v>-37</v>
      </c>
      <c r="AP59" s="12">
        <v>613</v>
      </c>
      <c r="AQ59" s="13">
        <v>650</v>
      </c>
      <c r="AR59" s="1">
        <f t="shared" si="28"/>
        <v>13</v>
      </c>
      <c r="AS59" s="13">
        <v>160</v>
      </c>
      <c r="AT59" s="13">
        <v>147</v>
      </c>
      <c r="AU59" s="1">
        <f t="shared" si="29"/>
        <v>-5</v>
      </c>
      <c r="AV59" s="13">
        <v>63</v>
      </c>
      <c r="AW59" s="13">
        <v>68</v>
      </c>
      <c r="AX59" s="1">
        <f t="shared" si="30"/>
        <v>-17</v>
      </c>
      <c r="AY59" s="13">
        <v>8</v>
      </c>
      <c r="AZ59" s="13">
        <v>25</v>
      </c>
      <c r="BA59" s="1">
        <f t="shared" si="31"/>
        <v>22</v>
      </c>
      <c r="BB59">
        <v>65</v>
      </c>
      <c r="BC59">
        <v>43</v>
      </c>
      <c r="BD59" s="1">
        <f t="shared" si="32"/>
        <v>8123</v>
      </c>
      <c r="BE59" s="1">
        <v>32523</v>
      </c>
      <c r="BF59" s="1">
        <v>24400</v>
      </c>
      <c r="BG59" s="1">
        <f t="shared" si="33"/>
        <v>-99</v>
      </c>
      <c r="BH59">
        <v>43</v>
      </c>
      <c r="BI59">
        <v>142</v>
      </c>
      <c r="BJ59" s="1">
        <f t="shared" si="34"/>
        <v>2183</v>
      </c>
      <c r="BK59" s="1">
        <v>14427</v>
      </c>
      <c r="BL59" s="1">
        <v>12244</v>
      </c>
      <c r="BM59" s="1">
        <f t="shared" si="35"/>
        <v>-5</v>
      </c>
      <c r="BN59">
        <v>33</v>
      </c>
      <c r="BO59">
        <v>38</v>
      </c>
      <c r="BP59" s="1">
        <f t="shared" si="36"/>
        <v>-38</v>
      </c>
      <c r="BQ59">
        <v>68</v>
      </c>
      <c r="BR59">
        <v>106</v>
      </c>
      <c r="BS59" s="1">
        <f t="shared" si="37"/>
        <v>-215</v>
      </c>
      <c r="BT59">
        <v>758</v>
      </c>
      <c r="BU59">
        <v>973</v>
      </c>
      <c r="BV59" s="1">
        <f t="shared" si="38"/>
        <v>21546</v>
      </c>
      <c r="BW59" s="1">
        <v>250516</v>
      </c>
      <c r="BX59" s="1">
        <v>228970</v>
      </c>
      <c r="BZ59" s="1">
        <f t="shared" si="39"/>
        <v>21546</v>
      </c>
      <c r="CA59" s="1" cm="1">
        <f t="array" ref="CA59">SUMPRODUCT(C59:BT59*(MOD(COLUMN(C59:BT59)-COLUMN(C59),3)=0))</f>
        <v>250516</v>
      </c>
      <c r="CB59" s="1" cm="1">
        <f t="array" ref="CB59">SUMPRODUCT(D59:BU59*(MOD(COLUMN(D59:BU59)-COLUMN(D59),3)=0))</f>
        <v>228970</v>
      </c>
      <c r="CC59" s="1"/>
      <c r="CD59" s="1">
        <f t="shared" si="40"/>
        <v>0</v>
      </c>
      <c r="CE59" s="1">
        <f t="shared" si="41"/>
        <v>0</v>
      </c>
      <c r="CF59" s="1">
        <f t="shared" si="42"/>
        <v>0</v>
      </c>
    </row>
    <row r="60" spans="1:84" x14ac:dyDescent="0.25">
      <c r="A60" s="9">
        <f t="shared" si="13"/>
        <v>1888</v>
      </c>
      <c r="B60" s="1">
        <f t="shared" si="14"/>
        <v>4550</v>
      </c>
      <c r="C60" s="11">
        <v>94503</v>
      </c>
      <c r="D60" s="11">
        <v>89953</v>
      </c>
      <c r="E60" s="1">
        <f t="shared" si="15"/>
        <v>4271</v>
      </c>
      <c r="F60" s="11">
        <v>109278</v>
      </c>
      <c r="G60" s="11">
        <v>105007</v>
      </c>
      <c r="H60" s="1">
        <f t="shared" si="16"/>
        <v>-112</v>
      </c>
      <c r="I60" s="11">
        <v>3018</v>
      </c>
      <c r="J60" s="11">
        <v>3130</v>
      </c>
      <c r="K60" s="1">
        <f t="shared" si="17"/>
        <v>243</v>
      </c>
      <c r="L60" s="11">
        <v>3099</v>
      </c>
      <c r="M60" s="11">
        <v>2856</v>
      </c>
      <c r="N60" s="1">
        <f t="shared" si="18"/>
        <v>-75</v>
      </c>
      <c r="O60" s="11">
        <v>706</v>
      </c>
      <c r="P60" s="11">
        <v>781</v>
      </c>
      <c r="Q60" s="1">
        <f t="shared" si="19"/>
        <v>5</v>
      </c>
      <c r="R60" s="11">
        <v>1182</v>
      </c>
      <c r="S60" s="11">
        <v>1177</v>
      </c>
      <c r="T60" s="1">
        <f t="shared" si="20"/>
        <v>74</v>
      </c>
      <c r="U60" s="11">
        <v>768</v>
      </c>
      <c r="V60" s="11">
        <v>694</v>
      </c>
      <c r="W60" s="1">
        <f t="shared" si="21"/>
        <v>8</v>
      </c>
      <c r="X60" s="11">
        <v>103</v>
      </c>
      <c r="Y60" s="11">
        <v>95</v>
      </c>
      <c r="Z60" s="1">
        <f t="shared" si="22"/>
        <v>174</v>
      </c>
      <c r="AA60" s="14">
        <v>1129</v>
      </c>
      <c r="AB60" s="13">
        <v>955</v>
      </c>
      <c r="AC60" s="1">
        <f t="shared" si="23"/>
        <v>79</v>
      </c>
      <c r="AD60" s="13">
        <v>875</v>
      </c>
      <c r="AE60" s="12">
        <v>796</v>
      </c>
      <c r="AF60" s="1">
        <f t="shared" si="24"/>
        <v>-27</v>
      </c>
      <c r="AG60" s="14">
        <v>4800</v>
      </c>
      <c r="AH60" s="14">
        <v>4827</v>
      </c>
      <c r="AI60" s="1">
        <f t="shared" si="25"/>
        <v>661</v>
      </c>
      <c r="AJ60" s="14">
        <v>3619</v>
      </c>
      <c r="AK60" s="14">
        <v>2958</v>
      </c>
      <c r="AL60" s="1">
        <f t="shared" si="26"/>
        <v>44</v>
      </c>
      <c r="AM60" s="12">
        <v>274</v>
      </c>
      <c r="AN60" s="13">
        <v>230</v>
      </c>
      <c r="AO60" s="1">
        <f t="shared" si="27"/>
        <v>30</v>
      </c>
      <c r="AP60" s="12">
        <v>675</v>
      </c>
      <c r="AQ60" s="13">
        <v>645</v>
      </c>
      <c r="AR60" s="1">
        <f t="shared" si="28"/>
        <v>11</v>
      </c>
      <c r="AS60" s="13">
        <v>158</v>
      </c>
      <c r="AT60" s="13">
        <v>147</v>
      </c>
      <c r="AU60" s="1">
        <f t="shared" si="29"/>
        <v>-6</v>
      </c>
      <c r="AV60" s="13">
        <v>65</v>
      </c>
      <c r="AW60" s="13">
        <v>71</v>
      </c>
      <c r="AX60" s="1">
        <f t="shared" si="30"/>
        <v>-12</v>
      </c>
      <c r="AY60" s="13">
        <v>10</v>
      </c>
      <c r="AZ60" s="13">
        <v>22</v>
      </c>
      <c r="BA60" s="1">
        <f t="shared" si="31"/>
        <v>-9</v>
      </c>
      <c r="BB60">
        <v>45</v>
      </c>
      <c r="BC60">
        <v>54</v>
      </c>
      <c r="BD60" s="1">
        <f t="shared" si="32"/>
        <v>6129</v>
      </c>
      <c r="BE60" s="1">
        <v>30553</v>
      </c>
      <c r="BF60" s="1">
        <v>24424</v>
      </c>
      <c r="BG60" s="1">
        <f t="shared" si="33"/>
        <v>-34</v>
      </c>
      <c r="BH60">
        <v>98</v>
      </c>
      <c r="BI60">
        <v>132</v>
      </c>
      <c r="BJ60" s="1">
        <f t="shared" si="34"/>
        <v>5927</v>
      </c>
      <c r="BK60" s="1">
        <v>17239</v>
      </c>
      <c r="BL60" s="1">
        <v>11312</v>
      </c>
      <c r="BM60" s="1">
        <f t="shared" si="35"/>
        <v>-3</v>
      </c>
      <c r="BN60">
        <v>21</v>
      </c>
      <c r="BO60">
        <v>24</v>
      </c>
      <c r="BP60" s="1">
        <f t="shared" si="36"/>
        <v>-71</v>
      </c>
      <c r="BQ60">
        <v>69</v>
      </c>
      <c r="BR60">
        <v>140</v>
      </c>
      <c r="BS60" s="1">
        <f t="shared" si="37"/>
        <v>42</v>
      </c>
      <c r="BT60">
        <v>191</v>
      </c>
      <c r="BU60">
        <v>149</v>
      </c>
      <c r="BV60" s="1">
        <f t="shared" si="38"/>
        <v>21899</v>
      </c>
      <c r="BW60" s="1">
        <v>272478</v>
      </c>
      <c r="BX60" s="1">
        <v>250579</v>
      </c>
      <c r="BZ60" s="1">
        <f t="shared" si="39"/>
        <v>21899</v>
      </c>
      <c r="CA60" s="1" cm="1">
        <f t="array" ref="CA60">SUMPRODUCT(C60:BT60*(MOD(COLUMN(C60:BT60)-COLUMN(C60),3)=0))</f>
        <v>272478</v>
      </c>
      <c r="CB60" s="1" cm="1">
        <f t="array" ref="CB60">SUMPRODUCT(D60:BU60*(MOD(COLUMN(D60:BU60)-COLUMN(D60),3)=0))</f>
        <v>250579</v>
      </c>
      <c r="CC60" s="1"/>
      <c r="CD60" s="1">
        <f t="shared" si="40"/>
        <v>0</v>
      </c>
      <c r="CE60" s="1">
        <f t="shared" si="41"/>
        <v>0</v>
      </c>
      <c r="CF60" s="1">
        <f t="shared" si="42"/>
        <v>0</v>
      </c>
    </row>
    <row r="61" spans="1:84" x14ac:dyDescent="0.25">
      <c r="A61" s="9">
        <f t="shared" si="13"/>
        <v>1889</v>
      </c>
      <c r="B61" s="1">
        <f t="shared" si="14"/>
        <v>17395</v>
      </c>
      <c r="C61" s="11">
        <v>923112</v>
      </c>
      <c r="D61" s="11">
        <v>905717</v>
      </c>
      <c r="E61" s="1">
        <f t="shared" si="15"/>
        <v>16643</v>
      </c>
      <c r="F61" s="11">
        <v>324485</v>
      </c>
      <c r="G61" s="11">
        <v>307842</v>
      </c>
      <c r="H61" s="1">
        <f t="shared" si="16"/>
        <v>400</v>
      </c>
      <c r="I61" s="11">
        <v>4554</v>
      </c>
      <c r="J61" s="11">
        <v>4154</v>
      </c>
      <c r="K61" s="1">
        <f t="shared" si="17"/>
        <v>1075</v>
      </c>
      <c r="L61" s="11">
        <v>4781</v>
      </c>
      <c r="M61" s="11">
        <v>3706</v>
      </c>
      <c r="N61" s="1">
        <f t="shared" si="18"/>
        <v>920</v>
      </c>
      <c r="O61" s="11">
        <v>2503</v>
      </c>
      <c r="P61" s="11">
        <v>1583</v>
      </c>
      <c r="Q61" s="1">
        <f t="shared" si="19"/>
        <v>252</v>
      </c>
      <c r="R61" s="11">
        <v>1836</v>
      </c>
      <c r="S61" s="11">
        <v>1584</v>
      </c>
      <c r="T61" s="1">
        <f t="shared" si="20"/>
        <v>-52</v>
      </c>
      <c r="U61" s="11">
        <v>1219</v>
      </c>
      <c r="V61" s="11">
        <v>1271</v>
      </c>
      <c r="W61" s="1">
        <f t="shared" si="21"/>
        <v>30</v>
      </c>
      <c r="X61" s="11">
        <v>310</v>
      </c>
      <c r="Y61" s="11">
        <v>280</v>
      </c>
      <c r="Z61" s="1">
        <f t="shared" si="22"/>
        <v>-25</v>
      </c>
      <c r="AA61" s="14">
        <v>1849</v>
      </c>
      <c r="AB61" s="14">
        <v>1874</v>
      </c>
      <c r="AC61" s="1">
        <f t="shared" si="23"/>
        <v>4</v>
      </c>
      <c r="AD61" s="13">
        <v>948</v>
      </c>
      <c r="AE61" s="12">
        <v>944</v>
      </c>
      <c r="AF61" s="1">
        <f t="shared" si="24"/>
        <v>335</v>
      </c>
      <c r="AG61" s="14">
        <v>7620</v>
      </c>
      <c r="AH61" s="14">
        <v>7285</v>
      </c>
      <c r="AI61" s="1">
        <f t="shared" si="25"/>
        <v>296</v>
      </c>
      <c r="AJ61" s="14">
        <v>3620</v>
      </c>
      <c r="AK61" s="14">
        <v>3324</v>
      </c>
      <c r="AL61" s="1">
        <f t="shared" si="26"/>
        <v>-9</v>
      </c>
      <c r="AM61" s="12">
        <v>607</v>
      </c>
      <c r="AN61" s="13">
        <v>616</v>
      </c>
      <c r="AO61" s="1">
        <f t="shared" si="27"/>
        <v>162</v>
      </c>
      <c r="AP61" s="11">
        <v>1292</v>
      </c>
      <c r="AQ61" s="14">
        <v>1130</v>
      </c>
      <c r="AR61" s="1">
        <f t="shared" si="28"/>
        <v>-11</v>
      </c>
      <c r="AS61" s="13">
        <v>228</v>
      </c>
      <c r="AT61" s="13">
        <v>239</v>
      </c>
      <c r="AU61" s="1">
        <f t="shared" si="29"/>
        <v>36</v>
      </c>
      <c r="AV61" s="13">
        <v>115</v>
      </c>
      <c r="AW61" s="13">
        <v>79</v>
      </c>
      <c r="AX61" s="1">
        <f t="shared" si="30"/>
        <v>12</v>
      </c>
      <c r="AY61" s="13">
        <v>41</v>
      </c>
      <c r="AZ61" s="13">
        <v>29</v>
      </c>
      <c r="BA61" s="1">
        <f t="shared" si="31"/>
        <v>-2</v>
      </c>
      <c r="BB61">
        <v>149</v>
      </c>
      <c r="BC61">
        <v>151</v>
      </c>
      <c r="BD61" s="1">
        <f t="shared" si="32"/>
        <v>8526</v>
      </c>
      <c r="BE61" s="1">
        <v>36401</v>
      </c>
      <c r="BF61" s="1">
        <v>27875</v>
      </c>
      <c r="BG61" s="1">
        <f t="shared" si="33"/>
        <v>-100</v>
      </c>
      <c r="BH61">
        <v>127</v>
      </c>
      <c r="BI61">
        <v>227</v>
      </c>
      <c r="BJ61" s="1">
        <f t="shared" si="34"/>
        <v>2995</v>
      </c>
      <c r="BK61" s="1">
        <v>17528</v>
      </c>
      <c r="BL61" s="1">
        <v>14533</v>
      </c>
      <c r="BM61" s="1">
        <f t="shared" si="35"/>
        <v>5</v>
      </c>
      <c r="BN61">
        <v>49</v>
      </c>
      <c r="BO61">
        <v>44</v>
      </c>
      <c r="BP61" s="1">
        <f t="shared" si="36"/>
        <v>23</v>
      </c>
      <c r="BQ61">
        <v>129</v>
      </c>
      <c r="BR61">
        <v>106</v>
      </c>
      <c r="BS61" s="1">
        <f t="shared" si="37"/>
        <v>-19</v>
      </c>
      <c r="BT61">
        <v>100</v>
      </c>
      <c r="BU61">
        <v>119</v>
      </c>
      <c r="BV61" s="1">
        <f t="shared" si="38"/>
        <v>48891</v>
      </c>
      <c r="BW61" s="1">
        <v>1333603</v>
      </c>
      <c r="BX61" s="1">
        <v>1284712</v>
      </c>
      <c r="BZ61" s="1">
        <f t="shared" si="39"/>
        <v>48891</v>
      </c>
      <c r="CA61" s="1" cm="1">
        <f t="array" ref="CA61">SUMPRODUCT(C61:BT61*(MOD(COLUMN(C61:BT61)-COLUMN(C61),3)=0))</f>
        <v>1333603</v>
      </c>
      <c r="CB61" s="1" cm="1">
        <f t="array" ref="CB61">SUMPRODUCT(D61:BU61*(MOD(COLUMN(D61:BU61)-COLUMN(D61),3)=0))</f>
        <v>1284712</v>
      </c>
      <c r="CC61" s="1"/>
      <c r="CD61" s="1">
        <f t="shared" si="40"/>
        <v>0</v>
      </c>
      <c r="CE61" s="1">
        <f t="shared" si="41"/>
        <v>0</v>
      </c>
      <c r="CF61" s="1">
        <f t="shared" si="42"/>
        <v>0</v>
      </c>
    </row>
    <row r="62" spans="1:84" x14ac:dyDescent="0.25">
      <c r="A62" s="9">
        <f t="shared" si="13"/>
        <v>1890</v>
      </c>
      <c r="B62" s="1">
        <f t="shared" si="14"/>
        <v>32800</v>
      </c>
      <c r="C62" s="11">
        <v>1265126</v>
      </c>
      <c r="D62" s="11">
        <v>1232326</v>
      </c>
      <c r="E62" s="1">
        <f t="shared" si="15"/>
        <v>15833</v>
      </c>
      <c r="F62" s="11">
        <v>329920</v>
      </c>
      <c r="G62" s="11">
        <v>314087</v>
      </c>
      <c r="H62" s="1">
        <f t="shared" si="16"/>
        <v>1581</v>
      </c>
      <c r="I62" s="11">
        <v>7043</v>
      </c>
      <c r="J62" s="11">
        <v>5462</v>
      </c>
      <c r="K62" s="1">
        <f t="shared" si="17"/>
        <v>868</v>
      </c>
      <c r="L62" s="11">
        <v>5555</v>
      </c>
      <c r="M62" s="11">
        <v>4687</v>
      </c>
      <c r="N62" s="1">
        <f t="shared" si="18"/>
        <v>290</v>
      </c>
      <c r="O62" s="11">
        <v>3131</v>
      </c>
      <c r="P62" s="11">
        <v>2841</v>
      </c>
      <c r="Q62" s="1">
        <f t="shared" si="19"/>
        <v>446</v>
      </c>
      <c r="R62" s="11">
        <v>2462</v>
      </c>
      <c r="S62" s="11">
        <v>2016</v>
      </c>
      <c r="T62" s="1">
        <f t="shared" si="20"/>
        <v>113</v>
      </c>
      <c r="U62" s="11">
        <v>2876</v>
      </c>
      <c r="V62" s="11">
        <v>2763</v>
      </c>
      <c r="W62" s="1">
        <f t="shared" si="21"/>
        <v>12</v>
      </c>
      <c r="X62" s="11">
        <v>404</v>
      </c>
      <c r="Y62" s="11">
        <v>392</v>
      </c>
      <c r="Z62" s="1">
        <f t="shared" si="22"/>
        <v>1378</v>
      </c>
      <c r="AA62" s="14">
        <v>3505</v>
      </c>
      <c r="AB62" s="14">
        <v>2127</v>
      </c>
      <c r="AC62" s="1">
        <f t="shared" si="23"/>
        <v>9</v>
      </c>
      <c r="AD62" s="13">
        <v>813</v>
      </c>
      <c r="AE62" s="12">
        <v>804</v>
      </c>
      <c r="AF62" s="1">
        <f t="shared" si="24"/>
        <v>612</v>
      </c>
      <c r="AG62" s="14">
        <v>6387</v>
      </c>
      <c r="AH62" s="14">
        <v>5775</v>
      </c>
      <c r="AI62" s="1">
        <f t="shared" si="25"/>
        <v>426</v>
      </c>
      <c r="AJ62" s="14">
        <v>4038</v>
      </c>
      <c r="AK62" s="14">
        <v>3612</v>
      </c>
      <c r="AL62" s="1">
        <f t="shared" si="26"/>
        <v>21</v>
      </c>
      <c r="AM62" s="12">
        <v>659</v>
      </c>
      <c r="AN62" s="13">
        <v>638</v>
      </c>
      <c r="AO62" s="1">
        <f t="shared" si="27"/>
        <v>291</v>
      </c>
      <c r="AP62" s="11">
        <v>1413</v>
      </c>
      <c r="AQ62" s="14">
        <v>1122</v>
      </c>
      <c r="AR62" s="1">
        <f t="shared" si="28"/>
        <v>-34</v>
      </c>
      <c r="AS62" s="13">
        <v>297</v>
      </c>
      <c r="AT62" s="13">
        <v>331</v>
      </c>
      <c r="AU62" s="1">
        <f t="shared" si="29"/>
        <v>25</v>
      </c>
      <c r="AV62" s="13">
        <v>147</v>
      </c>
      <c r="AW62" s="13">
        <v>122</v>
      </c>
      <c r="AX62" s="1">
        <f t="shared" si="30"/>
        <v>-24</v>
      </c>
      <c r="AY62" s="13">
        <v>268</v>
      </c>
      <c r="AZ62" s="13">
        <v>292</v>
      </c>
      <c r="BA62" s="1">
        <f t="shared" si="31"/>
        <v>41</v>
      </c>
      <c r="BB62">
        <v>106</v>
      </c>
      <c r="BC62">
        <v>65</v>
      </c>
      <c r="BD62" s="1">
        <f t="shared" si="32"/>
        <v>12580</v>
      </c>
      <c r="BE62" s="1">
        <v>37566</v>
      </c>
      <c r="BF62" s="1">
        <v>24986</v>
      </c>
      <c r="BG62" s="1">
        <f t="shared" si="33"/>
        <v>-89</v>
      </c>
      <c r="BH62">
        <v>65</v>
      </c>
      <c r="BI62">
        <v>154</v>
      </c>
      <c r="BJ62" s="1">
        <f t="shared" si="34"/>
        <v>3372</v>
      </c>
      <c r="BK62">
        <v>19200</v>
      </c>
      <c r="BL62" s="1">
        <v>15828</v>
      </c>
      <c r="BM62" s="1">
        <f t="shared" si="35"/>
        <v>-2</v>
      </c>
      <c r="BN62">
        <v>20</v>
      </c>
      <c r="BO62">
        <v>22</v>
      </c>
      <c r="BP62" s="1">
        <f t="shared" si="36"/>
        <v>-295</v>
      </c>
      <c r="BQ62">
        <v>49</v>
      </c>
      <c r="BR62">
        <v>344</v>
      </c>
      <c r="BS62" s="1">
        <f t="shared" si="37"/>
        <v>-706</v>
      </c>
      <c r="BT62">
        <v>247</v>
      </c>
      <c r="BU62">
        <v>953</v>
      </c>
      <c r="BV62" s="1">
        <f t="shared" si="38"/>
        <v>69548</v>
      </c>
      <c r="BW62" s="1">
        <v>1691297</v>
      </c>
      <c r="BX62" s="1">
        <v>1621749</v>
      </c>
      <c r="BZ62" s="1">
        <f t="shared" si="39"/>
        <v>69548</v>
      </c>
      <c r="CA62" s="1" cm="1">
        <f t="array" ref="CA62">SUMPRODUCT(C62:BT62*(MOD(COLUMN(C62:BT62)-COLUMN(C62),3)=0))</f>
        <v>1691297</v>
      </c>
      <c r="CB62" s="1" cm="1">
        <f t="array" ref="CB62">SUMPRODUCT(D62:BU62*(MOD(COLUMN(D62:BU62)-COLUMN(D62),3)=0))</f>
        <v>1621749</v>
      </c>
      <c r="CC62" s="1"/>
      <c r="CD62" s="1">
        <f t="shared" si="40"/>
        <v>0</v>
      </c>
      <c r="CE62" s="1">
        <f t="shared" si="41"/>
        <v>0</v>
      </c>
      <c r="CF62" s="1">
        <f t="shared" si="42"/>
        <v>0</v>
      </c>
    </row>
    <row r="63" spans="1:84" x14ac:dyDescent="0.25">
      <c r="A63" s="9">
        <f t="shared" si="13"/>
        <v>1891</v>
      </c>
      <c r="B63" s="1">
        <f t="shared" si="14"/>
        <v>-11339</v>
      </c>
      <c r="C63" s="11">
        <v>1484237</v>
      </c>
      <c r="D63" s="11">
        <v>1495576</v>
      </c>
      <c r="E63" s="1">
        <f t="shared" si="15"/>
        <v>19882</v>
      </c>
      <c r="F63" s="11">
        <v>292278</v>
      </c>
      <c r="G63" s="11">
        <v>272396</v>
      </c>
      <c r="H63" s="1">
        <f t="shared" si="16"/>
        <v>-526</v>
      </c>
      <c r="I63" s="11">
        <v>5983</v>
      </c>
      <c r="J63" s="11">
        <v>6509</v>
      </c>
      <c r="K63" s="1">
        <f t="shared" si="17"/>
        <v>851</v>
      </c>
      <c r="L63" s="11">
        <v>4909</v>
      </c>
      <c r="M63" s="11">
        <v>4058</v>
      </c>
      <c r="N63" s="1">
        <f t="shared" si="18"/>
        <v>581</v>
      </c>
      <c r="O63" s="11">
        <v>3011</v>
      </c>
      <c r="P63" s="11">
        <v>2430</v>
      </c>
      <c r="Q63" s="1">
        <f t="shared" si="19"/>
        <v>39</v>
      </c>
      <c r="R63" s="11">
        <v>2027</v>
      </c>
      <c r="S63" s="11">
        <v>1988</v>
      </c>
      <c r="T63" s="1">
        <f t="shared" si="20"/>
        <v>-98</v>
      </c>
      <c r="U63" s="11">
        <v>1802</v>
      </c>
      <c r="V63" s="11">
        <v>1900</v>
      </c>
      <c r="W63" s="1">
        <f t="shared" si="21"/>
        <v>-2</v>
      </c>
      <c r="X63" s="11">
        <v>318</v>
      </c>
      <c r="Y63" s="11">
        <v>320</v>
      </c>
      <c r="Z63" s="1">
        <f t="shared" si="22"/>
        <v>879</v>
      </c>
      <c r="AA63" s="14">
        <v>2937</v>
      </c>
      <c r="AB63" s="14">
        <v>2058</v>
      </c>
      <c r="AC63" s="1">
        <f t="shared" si="23"/>
        <v>100</v>
      </c>
      <c r="AD63" s="13">
        <v>885</v>
      </c>
      <c r="AE63" s="12">
        <v>785</v>
      </c>
      <c r="AF63" s="1">
        <f t="shared" si="24"/>
        <v>-275</v>
      </c>
      <c r="AG63" s="13">
        <v>5609</v>
      </c>
      <c r="AH63" s="14">
        <v>5884</v>
      </c>
      <c r="AI63" s="1">
        <f t="shared" si="25"/>
        <v>201</v>
      </c>
      <c r="AJ63" s="14">
        <v>4052</v>
      </c>
      <c r="AK63" s="14">
        <v>3851</v>
      </c>
      <c r="AL63" s="1">
        <f t="shared" si="26"/>
        <v>85</v>
      </c>
      <c r="AM63" s="12">
        <v>695</v>
      </c>
      <c r="AN63" s="13">
        <v>610</v>
      </c>
      <c r="AO63" s="1">
        <f t="shared" si="27"/>
        <v>240</v>
      </c>
      <c r="AP63" s="11">
        <v>1454</v>
      </c>
      <c r="AQ63" s="14">
        <v>1214</v>
      </c>
      <c r="AR63" s="1">
        <f t="shared" si="28"/>
        <v>31</v>
      </c>
      <c r="AS63" s="13">
        <v>232</v>
      </c>
      <c r="AT63" s="13">
        <v>201</v>
      </c>
      <c r="AU63" s="1">
        <f t="shared" si="29"/>
        <v>-2</v>
      </c>
      <c r="AV63" s="13">
        <v>160</v>
      </c>
      <c r="AW63" s="13">
        <v>162</v>
      </c>
      <c r="AX63" s="1">
        <f t="shared" si="30"/>
        <v>0</v>
      </c>
      <c r="AY63" s="13">
        <v>17</v>
      </c>
      <c r="AZ63" s="13">
        <v>17</v>
      </c>
      <c r="BA63" s="1">
        <f t="shared" si="31"/>
        <v>4</v>
      </c>
      <c r="BB63">
        <v>51</v>
      </c>
      <c r="BC63">
        <v>47</v>
      </c>
      <c r="BD63" s="1">
        <f t="shared" si="32"/>
        <v>7662</v>
      </c>
      <c r="BE63" s="1">
        <v>37656</v>
      </c>
      <c r="BF63" s="1">
        <v>29994</v>
      </c>
      <c r="BG63" s="1">
        <f t="shared" si="33"/>
        <v>-122</v>
      </c>
      <c r="BH63">
        <v>35</v>
      </c>
      <c r="BI63">
        <v>157</v>
      </c>
      <c r="BJ63" s="1">
        <f t="shared" si="34"/>
        <v>3159</v>
      </c>
      <c r="BK63" s="1">
        <v>18637</v>
      </c>
      <c r="BL63" s="1">
        <v>15478</v>
      </c>
      <c r="BM63" s="1">
        <f t="shared" si="35"/>
        <v>3</v>
      </c>
      <c r="BN63">
        <v>13</v>
      </c>
      <c r="BO63">
        <v>10</v>
      </c>
      <c r="BP63" s="1">
        <f t="shared" si="36"/>
        <v>-343</v>
      </c>
      <c r="BQ63">
        <v>80</v>
      </c>
      <c r="BR63">
        <v>423</v>
      </c>
      <c r="BS63" s="1">
        <f t="shared" si="37"/>
        <v>-470</v>
      </c>
      <c r="BT63">
        <v>198</v>
      </c>
      <c r="BU63">
        <v>668</v>
      </c>
      <c r="BV63" s="1">
        <f t="shared" si="38"/>
        <v>19540</v>
      </c>
      <c r="BW63" s="1">
        <v>1867276</v>
      </c>
      <c r="BX63" s="1">
        <v>1847736</v>
      </c>
      <c r="BZ63" s="1">
        <f t="shared" si="39"/>
        <v>20540</v>
      </c>
      <c r="CA63" s="1" cm="1">
        <f t="array" ref="CA63">SUMPRODUCT(C63:BT63*(MOD(COLUMN(C63:BT63)-COLUMN(C63),3)=0))</f>
        <v>1867276</v>
      </c>
      <c r="CB63" s="1" cm="1">
        <f t="array" ref="CB63">SUMPRODUCT(D63:BU63*(MOD(COLUMN(D63:BU63)-COLUMN(D63),3)=0))</f>
        <v>1846736</v>
      </c>
      <c r="CC63" s="1"/>
      <c r="CD63" s="1">
        <f t="shared" si="40"/>
        <v>-1000</v>
      </c>
      <c r="CE63" s="1">
        <f t="shared" si="41"/>
        <v>0</v>
      </c>
      <c r="CF63" s="1">
        <f t="shared" si="42"/>
        <v>1000</v>
      </c>
    </row>
    <row r="64" spans="1:84" x14ac:dyDescent="0.25">
      <c r="A64" s="9">
        <f t="shared" si="13"/>
        <v>1892</v>
      </c>
      <c r="B64" s="1">
        <f t="shared" si="14"/>
        <v>3616</v>
      </c>
      <c r="C64" s="11">
        <v>875237</v>
      </c>
      <c r="D64" s="11">
        <v>871621</v>
      </c>
      <c r="E64" s="1">
        <f t="shared" si="15"/>
        <v>9892</v>
      </c>
      <c r="F64" s="11">
        <v>210869</v>
      </c>
      <c r="G64" s="11">
        <v>200977</v>
      </c>
      <c r="H64" s="1">
        <f t="shared" si="16"/>
        <v>-999</v>
      </c>
      <c r="I64" s="11">
        <v>5420</v>
      </c>
      <c r="J64" s="11">
        <v>6419</v>
      </c>
      <c r="K64" s="1">
        <f t="shared" si="17"/>
        <v>416</v>
      </c>
      <c r="L64" s="11">
        <v>4185</v>
      </c>
      <c r="M64" s="11">
        <v>3769</v>
      </c>
      <c r="N64" s="1">
        <f t="shared" si="18"/>
        <v>224</v>
      </c>
      <c r="O64" s="11">
        <v>2714</v>
      </c>
      <c r="P64" s="11">
        <v>2490</v>
      </c>
      <c r="Q64" s="1">
        <f t="shared" si="19"/>
        <v>-391</v>
      </c>
      <c r="R64" s="11">
        <v>1699</v>
      </c>
      <c r="S64" s="11">
        <v>2090</v>
      </c>
      <c r="T64" s="1">
        <f t="shared" si="20"/>
        <v>-9</v>
      </c>
      <c r="U64" s="11">
        <v>1883</v>
      </c>
      <c r="V64" s="11">
        <v>1892</v>
      </c>
      <c r="W64" s="1">
        <f t="shared" si="21"/>
        <v>17</v>
      </c>
      <c r="X64" s="11">
        <v>308</v>
      </c>
      <c r="Y64" s="11">
        <v>291</v>
      </c>
      <c r="Z64" s="1">
        <f t="shared" si="22"/>
        <v>899</v>
      </c>
      <c r="AA64" s="14">
        <v>2723</v>
      </c>
      <c r="AB64" s="14">
        <v>1824</v>
      </c>
      <c r="AC64" s="1">
        <f t="shared" si="23"/>
        <v>101</v>
      </c>
      <c r="AD64" s="13">
        <v>949</v>
      </c>
      <c r="AE64" s="12">
        <v>848</v>
      </c>
      <c r="AF64" s="1">
        <f t="shared" si="24"/>
        <v>-287</v>
      </c>
      <c r="AG64" s="13">
        <v>3294</v>
      </c>
      <c r="AH64" s="14">
        <v>3581</v>
      </c>
      <c r="AI64" s="1">
        <f t="shared" si="25"/>
        <v>214</v>
      </c>
      <c r="AJ64" s="14">
        <v>2934</v>
      </c>
      <c r="AK64" s="14">
        <v>2720</v>
      </c>
      <c r="AL64" s="1">
        <f t="shared" si="26"/>
        <v>118</v>
      </c>
      <c r="AM64" s="12">
        <v>495</v>
      </c>
      <c r="AN64" s="13">
        <v>377</v>
      </c>
      <c r="AO64" s="1">
        <f t="shared" si="27"/>
        <v>199</v>
      </c>
      <c r="AP64" s="11">
        <v>1449</v>
      </c>
      <c r="AQ64" s="14">
        <v>1250</v>
      </c>
      <c r="AR64" s="1">
        <f t="shared" si="28"/>
        <v>10</v>
      </c>
      <c r="AS64" s="13">
        <v>218</v>
      </c>
      <c r="AT64" s="13">
        <v>208</v>
      </c>
      <c r="AU64" s="1">
        <f t="shared" si="29"/>
        <v>14</v>
      </c>
      <c r="AV64" s="13">
        <v>160</v>
      </c>
      <c r="AW64" s="13">
        <v>146</v>
      </c>
      <c r="AX64" s="1">
        <f t="shared" si="30"/>
        <v>34</v>
      </c>
      <c r="AY64" s="13">
        <v>47</v>
      </c>
      <c r="AZ64" s="13">
        <v>13</v>
      </c>
      <c r="BA64" s="1">
        <f t="shared" si="31"/>
        <v>2</v>
      </c>
      <c r="BB64">
        <v>33</v>
      </c>
      <c r="BC64">
        <v>31</v>
      </c>
      <c r="BD64" s="1">
        <f t="shared" si="32"/>
        <v>16360</v>
      </c>
      <c r="BE64" s="1">
        <v>42513</v>
      </c>
      <c r="BF64" s="1">
        <v>26153</v>
      </c>
      <c r="BG64" s="1">
        <f t="shared" si="33"/>
        <v>-201</v>
      </c>
      <c r="BH64">
        <v>17</v>
      </c>
      <c r="BI64">
        <v>218</v>
      </c>
      <c r="BJ64" s="1">
        <f t="shared" si="34"/>
        <v>-164</v>
      </c>
      <c r="BK64" s="1">
        <v>10566</v>
      </c>
      <c r="BL64" s="1">
        <v>10730</v>
      </c>
      <c r="BM64" s="1">
        <f t="shared" si="35"/>
        <v>5</v>
      </c>
      <c r="BN64">
        <v>16</v>
      </c>
      <c r="BO64">
        <v>11</v>
      </c>
      <c r="BP64" s="1">
        <f t="shared" si="36"/>
        <v>-250</v>
      </c>
      <c r="BQ64">
        <v>167</v>
      </c>
      <c r="BR64">
        <v>417</v>
      </c>
      <c r="BS64" s="1">
        <f t="shared" si="37"/>
        <v>-16</v>
      </c>
      <c r="BT64">
        <v>99</v>
      </c>
      <c r="BU64">
        <v>115</v>
      </c>
      <c r="BV64" s="1">
        <f t="shared" si="38"/>
        <v>29804</v>
      </c>
      <c r="BW64" s="1">
        <v>1167995</v>
      </c>
      <c r="BX64" s="1">
        <v>1138191</v>
      </c>
      <c r="BZ64" s="1">
        <f t="shared" si="39"/>
        <v>29804</v>
      </c>
      <c r="CA64" s="1" cm="1">
        <f t="array" ref="CA64">SUMPRODUCT(C64:BT64*(MOD(COLUMN(C64:BT64)-COLUMN(C64),3)=0))</f>
        <v>1167995</v>
      </c>
      <c r="CB64" s="1" cm="1">
        <f t="array" ref="CB64">SUMPRODUCT(D64:BU64*(MOD(COLUMN(D64:BU64)-COLUMN(D64),3)=0))</f>
        <v>1138191</v>
      </c>
      <c r="CC64" s="1"/>
      <c r="CD64" s="1">
        <f t="shared" si="40"/>
        <v>0</v>
      </c>
      <c r="CE64" s="1">
        <f t="shared" si="41"/>
        <v>0</v>
      </c>
      <c r="CF64" s="1">
        <f t="shared" si="42"/>
        <v>0</v>
      </c>
    </row>
    <row r="65" spans="1:84" x14ac:dyDescent="0.25">
      <c r="A65" s="9">
        <f t="shared" si="13"/>
        <v>1893</v>
      </c>
      <c r="B65" s="1">
        <f t="shared" si="14"/>
        <v>26811</v>
      </c>
      <c r="C65" s="11">
        <v>1018183</v>
      </c>
      <c r="D65" s="11">
        <v>991372</v>
      </c>
      <c r="E65" s="1">
        <f t="shared" si="15"/>
        <v>3749</v>
      </c>
      <c r="F65" s="11">
        <v>222653</v>
      </c>
      <c r="G65" s="11">
        <v>218904</v>
      </c>
      <c r="H65" s="1">
        <f t="shared" si="16"/>
        <v>-127</v>
      </c>
      <c r="I65" s="11">
        <v>5300</v>
      </c>
      <c r="J65" s="11">
        <v>5427</v>
      </c>
      <c r="K65" s="1">
        <f t="shared" si="17"/>
        <v>1811</v>
      </c>
      <c r="L65" s="11">
        <v>5301</v>
      </c>
      <c r="M65" s="11">
        <v>3490</v>
      </c>
      <c r="N65" s="1">
        <f t="shared" si="18"/>
        <v>284</v>
      </c>
      <c r="O65" s="11">
        <v>2209</v>
      </c>
      <c r="P65" s="11">
        <v>1925</v>
      </c>
      <c r="Q65" s="1">
        <f t="shared" si="19"/>
        <v>76</v>
      </c>
      <c r="R65" s="11">
        <v>1714</v>
      </c>
      <c r="S65" s="11">
        <v>1638</v>
      </c>
      <c r="T65" s="1">
        <f t="shared" si="20"/>
        <v>699</v>
      </c>
      <c r="U65" s="11">
        <v>2705</v>
      </c>
      <c r="V65" s="11">
        <v>2006</v>
      </c>
      <c r="W65" s="1">
        <f t="shared" si="21"/>
        <v>69</v>
      </c>
      <c r="X65" s="11">
        <v>285</v>
      </c>
      <c r="Y65" s="11">
        <v>216</v>
      </c>
      <c r="Z65" s="1">
        <f t="shared" si="22"/>
        <v>351</v>
      </c>
      <c r="AA65" s="14">
        <v>2210</v>
      </c>
      <c r="AB65" s="14">
        <v>1859</v>
      </c>
      <c r="AC65" s="1">
        <f t="shared" si="23"/>
        <v>178</v>
      </c>
      <c r="AD65" s="14">
        <v>1039</v>
      </c>
      <c r="AE65" s="12">
        <v>861</v>
      </c>
      <c r="AF65" s="1">
        <f t="shared" si="24"/>
        <v>69</v>
      </c>
      <c r="AG65" s="14">
        <v>3159</v>
      </c>
      <c r="AH65" s="14">
        <v>3090</v>
      </c>
      <c r="AI65" s="1">
        <f t="shared" si="25"/>
        <v>4</v>
      </c>
      <c r="AJ65" s="14">
        <v>3210</v>
      </c>
      <c r="AK65" s="14">
        <v>3206</v>
      </c>
      <c r="AL65" s="1">
        <f t="shared" si="26"/>
        <v>-31</v>
      </c>
      <c r="AM65" s="12">
        <v>514</v>
      </c>
      <c r="AN65" s="13">
        <v>545</v>
      </c>
      <c r="AO65" s="1">
        <f t="shared" si="27"/>
        <v>275</v>
      </c>
      <c r="AP65" s="11">
        <v>1199</v>
      </c>
      <c r="AQ65" s="13">
        <v>924</v>
      </c>
      <c r="AR65" s="1">
        <f t="shared" si="28"/>
        <v>29</v>
      </c>
      <c r="AS65" s="13">
        <v>245</v>
      </c>
      <c r="AT65" s="13">
        <v>216</v>
      </c>
      <c r="AU65" s="1">
        <f t="shared" si="29"/>
        <v>-32</v>
      </c>
      <c r="AV65" s="13">
        <v>144</v>
      </c>
      <c r="AW65" s="13">
        <v>176</v>
      </c>
      <c r="AX65" s="1">
        <f t="shared" si="30"/>
        <v>-3</v>
      </c>
      <c r="AY65" s="13">
        <v>33</v>
      </c>
      <c r="AZ65" s="13">
        <v>36</v>
      </c>
      <c r="BA65" s="1">
        <f t="shared" si="31"/>
        <v>15</v>
      </c>
      <c r="BB65">
        <v>65</v>
      </c>
      <c r="BC65">
        <v>50</v>
      </c>
      <c r="BD65" s="1">
        <f t="shared" si="32"/>
        <v>12664</v>
      </c>
      <c r="BE65" s="1">
        <v>45906</v>
      </c>
      <c r="BF65" s="1">
        <v>33242</v>
      </c>
      <c r="BG65" s="1">
        <f t="shared" si="33"/>
        <v>385</v>
      </c>
      <c r="BH65" s="1">
        <v>2409</v>
      </c>
      <c r="BI65" s="1">
        <v>2024</v>
      </c>
      <c r="BJ65" s="1">
        <f t="shared" si="34"/>
        <v>5813</v>
      </c>
      <c r="BK65" s="1">
        <v>18159</v>
      </c>
      <c r="BL65" s="1">
        <v>12346</v>
      </c>
      <c r="BM65" s="1">
        <f t="shared" si="35"/>
        <v>13</v>
      </c>
      <c r="BN65">
        <v>26</v>
      </c>
      <c r="BO65">
        <v>13</v>
      </c>
      <c r="BP65" s="1">
        <f t="shared" si="36"/>
        <v>-393</v>
      </c>
      <c r="BQ65">
        <v>106</v>
      </c>
      <c r="BR65">
        <v>499</v>
      </c>
      <c r="BS65" s="1">
        <f t="shared" si="37"/>
        <v>44</v>
      </c>
      <c r="BT65">
        <v>102</v>
      </c>
      <c r="BU65">
        <v>58</v>
      </c>
      <c r="BV65" s="1">
        <f t="shared" si="38"/>
        <v>52753</v>
      </c>
      <c r="BW65" s="1">
        <v>1336876</v>
      </c>
      <c r="BX65" s="1">
        <v>1284123</v>
      </c>
      <c r="BZ65" s="1">
        <f t="shared" si="39"/>
        <v>52753</v>
      </c>
      <c r="CA65" s="1" cm="1">
        <f t="array" ref="CA65">SUMPRODUCT(C65:BT65*(MOD(COLUMN(C65:BT65)-COLUMN(C65),3)=0))</f>
        <v>1336876</v>
      </c>
      <c r="CB65" s="1" cm="1">
        <f t="array" ref="CB65">SUMPRODUCT(D65:BU65*(MOD(COLUMN(D65:BU65)-COLUMN(D65),3)=0))</f>
        <v>1284123</v>
      </c>
      <c r="CC65" s="1"/>
      <c r="CD65" s="1">
        <f t="shared" si="40"/>
        <v>0</v>
      </c>
      <c r="CE65" s="1">
        <f t="shared" si="41"/>
        <v>0</v>
      </c>
      <c r="CF65" s="1">
        <f t="shared" si="42"/>
        <v>0</v>
      </c>
    </row>
    <row r="66" spans="1:84" x14ac:dyDescent="0.25">
      <c r="A66" s="9">
        <f t="shared" si="13"/>
        <v>1894</v>
      </c>
      <c r="B66" s="1">
        <f t="shared" si="14"/>
        <v>5875</v>
      </c>
      <c r="C66" s="11">
        <v>922021</v>
      </c>
      <c r="D66" s="11">
        <v>916146</v>
      </c>
      <c r="E66" s="1">
        <f t="shared" si="15"/>
        <v>5078</v>
      </c>
      <c r="F66" s="11">
        <v>231955</v>
      </c>
      <c r="G66" s="11">
        <v>226877</v>
      </c>
      <c r="H66" s="1">
        <f t="shared" si="16"/>
        <v>-1092</v>
      </c>
      <c r="I66" s="11">
        <v>6794</v>
      </c>
      <c r="J66" s="11">
        <v>7886</v>
      </c>
      <c r="K66" s="1">
        <f t="shared" si="17"/>
        <v>871</v>
      </c>
      <c r="L66" s="11">
        <v>4533</v>
      </c>
      <c r="M66" s="11">
        <v>3662</v>
      </c>
      <c r="N66" s="1">
        <f t="shared" si="18"/>
        <v>430</v>
      </c>
      <c r="O66" s="11">
        <v>3067</v>
      </c>
      <c r="P66" s="11">
        <v>2637</v>
      </c>
      <c r="Q66" s="1">
        <f t="shared" si="19"/>
        <v>-10</v>
      </c>
      <c r="R66" s="11">
        <v>2332</v>
      </c>
      <c r="S66" s="11">
        <v>2342</v>
      </c>
      <c r="T66" s="1">
        <f t="shared" si="20"/>
        <v>-314</v>
      </c>
      <c r="U66" s="11">
        <v>2000</v>
      </c>
      <c r="V66" s="11">
        <v>2314</v>
      </c>
      <c r="W66" s="1">
        <f t="shared" si="21"/>
        <v>40</v>
      </c>
      <c r="X66" s="11">
        <v>437</v>
      </c>
      <c r="Y66" s="11">
        <v>397</v>
      </c>
      <c r="Z66" s="1">
        <f t="shared" si="22"/>
        <v>1153</v>
      </c>
      <c r="AA66" s="14">
        <v>3309</v>
      </c>
      <c r="AB66" s="14">
        <v>2156</v>
      </c>
      <c r="AC66" s="1">
        <f t="shared" si="23"/>
        <v>103</v>
      </c>
      <c r="AD66" s="14">
        <v>1219</v>
      </c>
      <c r="AE66" s="11">
        <v>1116</v>
      </c>
      <c r="AF66" s="1">
        <f t="shared" si="24"/>
        <v>385</v>
      </c>
      <c r="AG66" s="14">
        <v>6048</v>
      </c>
      <c r="AH66" s="14">
        <v>5663</v>
      </c>
      <c r="AI66" s="1">
        <f t="shared" si="25"/>
        <v>398</v>
      </c>
      <c r="AJ66" s="14">
        <v>3319</v>
      </c>
      <c r="AK66" s="14">
        <v>2921</v>
      </c>
      <c r="AL66" s="1">
        <f t="shared" si="26"/>
        <v>99</v>
      </c>
      <c r="AM66" s="12">
        <v>498</v>
      </c>
      <c r="AN66" s="13">
        <v>399</v>
      </c>
      <c r="AO66" s="1">
        <f t="shared" si="27"/>
        <v>390</v>
      </c>
      <c r="AP66" s="11">
        <v>1708</v>
      </c>
      <c r="AQ66" s="14">
        <v>1318</v>
      </c>
      <c r="AR66" s="1">
        <f t="shared" si="28"/>
        <v>-4</v>
      </c>
      <c r="AS66" s="13">
        <v>168</v>
      </c>
      <c r="AT66" s="13">
        <v>172</v>
      </c>
      <c r="AU66" s="1">
        <f t="shared" si="29"/>
        <v>52</v>
      </c>
      <c r="AV66" s="13">
        <v>225</v>
      </c>
      <c r="AW66" s="13">
        <v>173</v>
      </c>
      <c r="AX66" s="1">
        <f t="shared" si="30"/>
        <v>25</v>
      </c>
      <c r="AY66" s="13">
        <v>54</v>
      </c>
      <c r="AZ66" s="13">
        <v>29</v>
      </c>
      <c r="BA66" s="1">
        <f t="shared" si="31"/>
        <v>16</v>
      </c>
      <c r="BB66">
        <v>36</v>
      </c>
      <c r="BC66">
        <v>20</v>
      </c>
      <c r="BD66" s="1">
        <f t="shared" si="32"/>
        <v>14190</v>
      </c>
      <c r="BE66" s="1">
        <v>50073</v>
      </c>
      <c r="BF66" s="1">
        <v>35883</v>
      </c>
      <c r="BG66" s="1">
        <f t="shared" si="33"/>
        <v>537</v>
      </c>
      <c r="BH66" s="1">
        <v>2553</v>
      </c>
      <c r="BI66" s="1">
        <v>2016</v>
      </c>
      <c r="BJ66" s="1">
        <f t="shared" si="34"/>
        <v>2051</v>
      </c>
      <c r="BK66" s="1">
        <v>15435</v>
      </c>
      <c r="BL66" s="1">
        <v>13384</v>
      </c>
      <c r="BM66" s="1">
        <f t="shared" si="35"/>
        <v>6</v>
      </c>
      <c r="BN66">
        <v>31</v>
      </c>
      <c r="BO66">
        <v>25</v>
      </c>
      <c r="BP66" s="1">
        <f t="shared" si="36"/>
        <v>-143</v>
      </c>
      <c r="BQ66">
        <v>171</v>
      </c>
      <c r="BR66">
        <v>314</v>
      </c>
      <c r="BS66" s="1">
        <f t="shared" si="37"/>
        <v>4552</v>
      </c>
      <c r="BT66" s="1">
        <v>4646</v>
      </c>
      <c r="BU66">
        <v>94</v>
      </c>
      <c r="BV66" s="1">
        <f t="shared" si="38"/>
        <v>34868</v>
      </c>
      <c r="BW66" s="1">
        <v>1262812</v>
      </c>
      <c r="BX66" s="1">
        <v>1227944</v>
      </c>
      <c r="BZ66" s="1">
        <f t="shared" si="39"/>
        <v>34688</v>
      </c>
      <c r="CA66" s="1" cm="1">
        <f t="array" ref="CA66">SUMPRODUCT(C66:BT66*(MOD(COLUMN(C66:BT66)-COLUMN(C66),3)=0))</f>
        <v>1262632</v>
      </c>
      <c r="CB66" s="1" cm="1">
        <f t="array" ref="CB66">SUMPRODUCT(D66:BU66*(MOD(COLUMN(D66:BU66)-COLUMN(D66),3)=0))</f>
        <v>1227944</v>
      </c>
      <c r="CC66" s="1"/>
      <c r="CD66" s="1">
        <f t="shared" si="40"/>
        <v>180</v>
      </c>
      <c r="CE66" s="1">
        <f t="shared" si="41"/>
        <v>180</v>
      </c>
      <c r="CF66" s="1">
        <f t="shared" si="42"/>
        <v>0</v>
      </c>
    </row>
    <row r="67" spans="1:84" x14ac:dyDescent="0.25">
      <c r="A67" s="9">
        <f>A68-1</f>
        <v>1895</v>
      </c>
      <c r="B67" s="1">
        <f t="shared" si="14"/>
        <v>-85110</v>
      </c>
      <c r="C67" s="11">
        <v>1298867</v>
      </c>
      <c r="D67" s="11">
        <v>1383977</v>
      </c>
      <c r="E67" s="1">
        <f t="shared" si="15"/>
        <v>15846</v>
      </c>
      <c r="F67" s="11">
        <v>262943</v>
      </c>
      <c r="G67" s="11">
        <v>247097</v>
      </c>
      <c r="H67" s="1">
        <f t="shared" si="16"/>
        <v>-144</v>
      </c>
      <c r="I67" s="11">
        <v>6847</v>
      </c>
      <c r="J67" s="11">
        <v>6991</v>
      </c>
      <c r="K67" s="1">
        <f t="shared" si="17"/>
        <v>1033</v>
      </c>
      <c r="L67" s="11">
        <v>5411</v>
      </c>
      <c r="M67" s="11">
        <v>4378</v>
      </c>
      <c r="N67" s="1">
        <f t="shared" si="18"/>
        <v>1080</v>
      </c>
      <c r="O67" s="11">
        <v>2399</v>
      </c>
      <c r="P67" s="11">
        <v>1319</v>
      </c>
      <c r="Q67" s="1">
        <f t="shared" si="19"/>
        <v>347</v>
      </c>
      <c r="R67" s="11">
        <v>3273</v>
      </c>
      <c r="S67" s="11">
        <v>2926</v>
      </c>
      <c r="T67" s="1">
        <f t="shared" si="20"/>
        <v>25</v>
      </c>
      <c r="U67" s="11">
        <v>2327</v>
      </c>
      <c r="V67" s="11">
        <v>2302</v>
      </c>
      <c r="W67" s="1">
        <f t="shared" si="21"/>
        <v>-57</v>
      </c>
      <c r="X67" s="11">
        <v>434</v>
      </c>
      <c r="Y67" s="11">
        <v>491</v>
      </c>
      <c r="Z67" s="1">
        <f t="shared" si="22"/>
        <v>597</v>
      </c>
      <c r="AA67" s="14">
        <v>2201</v>
      </c>
      <c r="AB67" s="14">
        <v>1604</v>
      </c>
      <c r="AC67" s="1">
        <f t="shared" si="23"/>
        <v>8</v>
      </c>
      <c r="AD67" s="14">
        <v>1282</v>
      </c>
      <c r="AE67" s="11">
        <v>1274</v>
      </c>
      <c r="AF67" s="1">
        <f t="shared" si="24"/>
        <v>356</v>
      </c>
      <c r="AG67" s="14">
        <v>5761</v>
      </c>
      <c r="AH67" s="13">
        <v>5405</v>
      </c>
      <c r="AI67" s="1">
        <f t="shared" si="25"/>
        <v>107</v>
      </c>
      <c r="AJ67" s="14">
        <v>3259</v>
      </c>
      <c r="AK67" s="14">
        <v>3152</v>
      </c>
      <c r="AL67" s="1">
        <f t="shared" si="26"/>
        <v>36</v>
      </c>
      <c r="AM67" s="12">
        <v>416</v>
      </c>
      <c r="AN67" s="13">
        <v>380</v>
      </c>
      <c r="AO67" s="1">
        <f t="shared" si="27"/>
        <v>204</v>
      </c>
      <c r="AP67" s="11">
        <v>1365</v>
      </c>
      <c r="AQ67" s="14">
        <v>1161</v>
      </c>
      <c r="AR67" s="1">
        <f t="shared" si="28"/>
        <v>15</v>
      </c>
      <c r="AS67" s="13">
        <v>519</v>
      </c>
      <c r="AT67" s="13">
        <v>504</v>
      </c>
      <c r="AU67" s="1">
        <f t="shared" si="29"/>
        <v>22</v>
      </c>
      <c r="AV67" s="13">
        <v>150</v>
      </c>
      <c r="AW67" s="13">
        <v>128</v>
      </c>
      <c r="AX67" s="1">
        <f t="shared" si="30"/>
        <v>-4</v>
      </c>
      <c r="AY67" s="13">
        <v>50</v>
      </c>
      <c r="AZ67" s="13">
        <v>54</v>
      </c>
      <c r="BA67" s="1">
        <f t="shared" si="31"/>
        <v>22</v>
      </c>
      <c r="BB67">
        <v>43</v>
      </c>
      <c r="BC67">
        <v>21</v>
      </c>
      <c r="BD67" s="1">
        <f t="shared" si="32"/>
        <v>16096</v>
      </c>
      <c r="BE67" s="1">
        <v>60000</v>
      </c>
      <c r="BF67" s="1">
        <v>43904</v>
      </c>
      <c r="BG67" s="1">
        <f t="shared" si="33"/>
        <v>59</v>
      </c>
      <c r="BH67" s="1">
        <v>2726</v>
      </c>
      <c r="BI67" s="1">
        <v>2667</v>
      </c>
      <c r="BJ67" s="1">
        <f t="shared" si="34"/>
        <v>4906</v>
      </c>
      <c r="BK67" s="1">
        <v>15899</v>
      </c>
      <c r="BL67" s="1">
        <v>10993</v>
      </c>
      <c r="BM67" s="1">
        <f t="shared" si="35"/>
        <v>12</v>
      </c>
      <c r="BN67">
        <v>43</v>
      </c>
      <c r="BO67">
        <v>31</v>
      </c>
      <c r="BP67" s="1">
        <f t="shared" si="36"/>
        <v>-228</v>
      </c>
      <c r="BQ67">
        <v>163</v>
      </c>
      <c r="BR67">
        <v>391</v>
      </c>
      <c r="BS67" s="1">
        <f t="shared" si="37"/>
        <v>4320</v>
      </c>
      <c r="BT67" s="1">
        <v>4429</v>
      </c>
      <c r="BU67">
        <v>109</v>
      </c>
      <c r="BV67" s="1">
        <f t="shared" si="38"/>
        <v>-40453</v>
      </c>
      <c r="BW67" s="1">
        <v>1680807</v>
      </c>
      <c r="BX67" s="1">
        <v>1721260</v>
      </c>
      <c r="BZ67" s="1">
        <f t="shared" si="39"/>
        <v>-40452</v>
      </c>
      <c r="CA67" s="1" cm="1">
        <f t="array" ref="CA67">SUMPRODUCT(C67:BT67*(MOD(COLUMN(C67:BT67)-COLUMN(C67),3)=0))</f>
        <v>1680807</v>
      </c>
      <c r="CB67" s="1" cm="1">
        <f t="array" ref="CB67">SUMPRODUCT(D67:BU67*(MOD(COLUMN(D67:BU67)-COLUMN(D67),3)=0))</f>
        <v>1721259</v>
      </c>
      <c r="CC67" s="1"/>
      <c r="CD67" s="1">
        <f t="shared" si="40"/>
        <v>-1</v>
      </c>
      <c r="CE67" s="1">
        <f t="shared" si="41"/>
        <v>0</v>
      </c>
      <c r="CF67" s="1">
        <f t="shared" si="42"/>
        <v>1</v>
      </c>
    </row>
    <row r="68" spans="1:84" x14ac:dyDescent="0.25">
      <c r="A68" s="9">
        <v>1896</v>
      </c>
      <c r="B68" s="1">
        <f>C68-D68</f>
        <v>-1842</v>
      </c>
      <c r="C68" s="1">
        <v>78666</v>
      </c>
      <c r="D68" s="1">
        <v>80508</v>
      </c>
      <c r="E68" s="1">
        <f>F68-G68</f>
        <v>1018</v>
      </c>
      <c r="F68" s="1">
        <v>97395</v>
      </c>
      <c r="G68" s="1">
        <v>96377</v>
      </c>
      <c r="H68" s="1">
        <f>I68-J68</f>
        <v>-978</v>
      </c>
      <c r="I68" s="1">
        <v>7368</v>
      </c>
      <c r="J68" s="1">
        <v>8346</v>
      </c>
      <c r="K68" s="1">
        <f>L68-M68</f>
        <v>-902</v>
      </c>
      <c r="L68" s="1">
        <v>3805</v>
      </c>
      <c r="M68" s="1">
        <v>4707</v>
      </c>
      <c r="N68" s="1">
        <f>O68-P68</f>
        <v>251</v>
      </c>
      <c r="O68" s="1">
        <v>1624</v>
      </c>
      <c r="P68" s="1">
        <v>1373</v>
      </c>
      <c r="Q68" s="1">
        <f>R68-S68</f>
        <v>426</v>
      </c>
      <c r="R68" s="1">
        <v>2275</v>
      </c>
      <c r="S68" s="1">
        <v>1849</v>
      </c>
      <c r="T68" s="1">
        <f>U68-V68</f>
        <v>1415</v>
      </c>
      <c r="U68" s="1">
        <v>3387</v>
      </c>
      <c r="V68" s="1">
        <v>1972</v>
      </c>
      <c r="W68" s="1">
        <f>X68-Y68</f>
        <v>-110</v>
      </c>
      <c r="X68" s="1">
        <v>583</v>
      </c>
      <c r="Y68" s="1">
        <v>693</v>
      </c>
      <c r="Z68" s="1">
        <f>AA68-AB68</f>
        <v>354</v>
      </c>
      <c r="AA68" s="1">
        <v>2177</v>
      </c>
      <c r="AB68" s="1">
        <v>1823</v>
      </c>
      <c r="AC68" s="1">
        <f>AD68-AE68</f>
        <v>174</v>
      </c>
      <c r="AD68" s="1">
        <v>1705</v>
      </c>
      <c r="AE68" s="1">
        <v>1531</v>
      </c>
      <c r="AF68" s="1">
        <f>AG68-AH68</f>
        <v>166</v>
      </c>
      <c r="AG68" s="1">
        <v>3571</v>
      </c>
      <c r="AH68" s="1">
        <v>3405</v>
      </c>
      <c r="AI68" s="1">
        <f>AJ68-AK68</f>
        <v>331</v>
      </c>
      <c r="AJ68" s="1">
        <v>3459</v>
      </c>
      <c r="AK68" s="1">
        <v>3128</v>
      </c>
      <c r="AL68" s="1">
        <f>AM68-AN68</f>
        <v>51</v>
      </c>
      <c r="AM68" s="1">
        <v>633</v>
      </c>
      <c r="AN68" s="1">
        <v>582</v>
      </c>
      <c r="AO68" s="1">
        <f>AP68-AQ68</f>
        <v>526</v>
      </c>
      <c r="AP68" s="1">
        <v>1486</v>
      </c>
      <c r="AQ68" s="1">
        <v>960</v>
      </c>
      <c r="AR68" s="1">
        <f>AS68-AT68</f>
        <v>129</v>
      </c>
      <c r="AS68" s="1">
        <v>367</v>
      </c>
      <c r="AT68" s="1">
        <v>238</v>
      </c>
      <c r="AU68" s="1">
        <f>AV68-AW68</f>
        <v>62</v>
      </c>
      <c r="AV68" s="1">
        <v>360</v>
      </c>
      <c r="AW68" s="1">
        <v>298</v>
      </c>
      <c r="AX68" s="1">
        <f>AY68-AZ68</f>
        <v>-44</v>
      </c>
      <c r="AY68" s="1">
        <v>114</v>
      </c>
      <c r="AZ68" s="1">
        <v>158</v>
      </c>
      <c r="BA68" s="1">
        <f>BB68-BC68</f>
        <v>25</v>
      </c>
      <c r="BB68" s="1">
        <v>68</v>
      </c>
      <c r="BC68" s="1">
        <v>43</v>
      </c>
      <c r="BD68" s="1">
        <f>BE68-BF68</f>
        <v>5503</v>
      </c>
      <c r="BE68" s="1">
        <v>25843</v>
      </c>
      <c r="BF68" s="1">
        <v>20340</v>
      </c>
      <c r="BG68" s="1">
        <f>BH68-BI68</f>
        <v>-1186</v>
      </c>
      <c r="BH68" s="1">
        <v>3607</v>
      </c>
      <c r="BI68" s="1">
        <v>4793</v>
      </c>
      <c r="BJ68" s="1">
        <f>BK68-BL68</f>
        <v>4771</v>
      </c>
      <c r="BK68" s="1">
        <v>22161</v>
      </c>
      <c r="BL68" s="1">
        <v>17390</v>
      </c>
      <c r="BM68" s="1">
        <f>BN68-BO68</f>
        <v>13</v>
      </c>
      <c r="BN68" s="1">
        <v>95</v>
      </c>
      <c r="BO68" s="1">
        <v>82</v>
      </c>
      <c r="BP68" s="1">
        <f>BQ68-BR68</f>
        <v>-2081</v>
      </c>
      <c r="BQ68" s="1">
        <v>3071</v>
      </c>
      <c r="BR68" s="1">
        <v>5152</v>
      </c>
      <c r="BS68" s="1">
        <f>BT68-BU68</f>
        <v>4102</v>
      </c>
      <c r="BT68" s="1">
        <v>4907</v>
      </c>
      <c r="BU68" s="1">
        <v>805</v>
      </c>
      <c r="BV68" s="1">
        <f t="shared" si="38"/>
        <v>12174</v>
      </c>
      <c r="BW68" s="1">
        <v>268727</v>
      </c>
      <c r="BX68" s="1">
        <v>256553</v>
      </c>
      <c r="BZ68" s="1">
        <f t="shared" si="39"/>
        <v>12174</v>
      </c>
      <c r="CA68" s="1" cm="1">
        <f t="array" ref="CA68">SUMPRODUCT(C68:BT68*(MOD(COLUMN(C68:BT68)-COLUMN(C68),3)=0))</f>
        <v>268727</v>
      </c>
      <c r="CB68" s="1" cm="1">
        <f t="array" ref="CB68">SUMPRODUCT(D68:BU68*(MOD(COLUMN(D68:BU68)-COLUMN(D68),3)=0))</f>
        <v>256553</v>
      </c>
      <c r="CC68" s="1"/>
      <c r="CD68" s="1">
        <f t="shared" si="40"/>
        <v>0</v>
      </c>
      <c r="CE68" s="1">
        <f t="shared" si="41"/>
        <v>0</v>
      </c>
      <c r="CF68" s="1">
        <f t="shared" si="42"/>
        <v>0</v>
      </c>
    </row>
    <row r="69" spans="1:84" x14ac:dyDescent="0.25">
      <c r="A69" s="9">
        <f>A68+1</f>
        <v>1897</v>
      </c>
      <c r="B69" s="1">
        <f t="shared" ref="B69:B87" si="43">C69-D69</f>
        <v>896</v>
      </c>
      <c r="C69" s="1">
        <v>65362</v>
      </c>
      <c r="D69" s="1">
        <v>64466</v>
      </c>
      <c r="E69" s="1">
        <f t="shared" ref="E69:E87" si="44">F69-G69</f>
        <v>6059</v>
      </c>
      <c r="F69" s="1">
        <v>109819</v>
      </c>
      <c r="G69" s="1">
        <v>103760</v>
      </c>
      <c r="H69" s="1">
        <f t="shared" ref="H69:H87" si="45">I69-J69</f>
        <v>2018</v>
      </c>
      <c r="I69" s="1">
        <v>9130</v>
      </c>
      <c r="J69" s="1">
        <v>7112</v>
      </c>
      <c r="K69" s="1">
        <f t="shared" ref="K69:K87" si="46">L69-M69</f>
        <v>1013</v>
      </c>
      <c r="L69" s="1">
        <v>4367</v>
      </c>
      <c r="M69" s="1">
        <v>3354</v>
      </c>
      <c r="N69" s="1">
        <f t="shared" ref="N69:N87" si="47">O69-P69</f>
        <v>515</v>
      </c>
      <c r="O69" s="1">
        <v>2311</v>
      </c>
      <c r="P69" s="1">
        <v>1796</v>
      </c>
      <c r="Q69" s="1">
        <f t="shared" ref="Q69:Q87" si="48">R69-S69</f>
        <v>524</v>
      </c>
      <c r="R69" s="1">
        <v>2823</v>
      </c>
      <c r="S69" s="1">
        <v>2299</v>
      </c>
      <c r="T69" s="1">
        <f t="shared" ref="T69:T87" si="49">U69-V69</f>
        <v>1418</v>
      </c>
      <c r="U69" s="1">
        <v>4456</v>
      </c>
      <c r="V69" s="1">
        <v>3038</v>
      </c>
      <c r="W69" s="1">
        <f t="shared" ref="W69:W87" si="50">X69-Y69</f>
        <v>90</v>
      </c>
      <c r="X69" s="1">
        <v>827</v>
      </c>
      <c r="Y69" s="1">
        <v>737</v>
      </c>
      <c r="Z69" s="1">
        <f t="shared" ref="Z69:Z87" si="51">AA69-AB69</f>
        <v>484</v>
      </c>
      <c r="AA69" s="1">
        <v>2839</v>
      </c>
      <c r="AB69" s="1">
        <v>2355</v>
      </c>
      <c r="AC69" s="1">
        <f t="shared" ref="AC69:AC87" si="52">AD69-AE69</f>
        <v>-4</v>
      </c>
      <c r="AD69" s="1">
        <v>1799</v>
      </c>
      <c r="AE69" s="1">
        <v>1803</v>
      </c>
      <c r="AF69" s="1">
        <f t="shared" ref="AF69:AF87" si="53">AG69-AH69</f>
        <v>190</v>
      </c>
      <c r="AG69" s="1">
        <v>3505</v>
      </c>
      <c r="AH69" s="1">
        <v>3315</v>
      </c>
      <c r="AI69" s="1">
        <f t="shared" ref="AI69:AI87" si="54">AJ69-AK69</f>
        <v>308</v>
      </c>
      <c r="AJ69" s="1">
        <v>3577</v>
      </c>
      <c r="AK69" s="1">
        <v>3269</v>
      </c>
      <c r="AL69" s="1">
        <f t="shared" ref="AL69:AL87" si="55">AM69-AN69</f>
        <v>290</v>
      </c>
      <c r="AM69" s="1">
        <v>1212</v>
      </c>
      <c r="AN69" s="1">
        <v>922</v>
      </c>
      <c r="AO69" s="1">
        <f t="shared" ref="AO69:AO87" si="56">AP69-AQ69</f>
        <v>414</v>
      </c>
      <c r="AP69" s="1">
        <v>1923</v>
      </c>
      <c r="AQ69" s="1">
        <v>1509</v>
      </c>
      <c r="AR69" s="1">
        <f t="shared" ref="AR69:AR87" si="57">AS69-AT69</f>
        <v>75</v>
      </c>
      <c r="AS69" s="1">
        <v>492</v>
      </c>
      <c r="AT69" s="1">
        <v>417</v>
      </c>
      <c r="AU69" s="1">
        <f t="shared" ref="AU69:AU87" si="58">AV69-AW69</f>
        <v>117</v>
      </c>
      <c r="AV69" s="1">
        <v>425</v>
      </c>
      <c r="AW69" s="1">
        <v>308</v>
      </c>
      <c r="AX69" s="1">
        <f t="shared" ref="AX69:AX87" si="59">AY69-AZ69</f>
        <v>40</v>
      </c>
      <c r="AY69" s="1">
        <v>146</v>
      </c>
      <c r="AZ69" s="1">
        <v>106</v>
      </c>
      <c r="BA69" s="1">
        <f t="shared" ref="BA69:BA87" si="60">BB69-BC69</f>
        <v>-40</v>
      </c>
      <c r="BB69" s="1">
        <v>73</v>
      </c>
      <c r="BC69" s="1">
        <v>113</v>
      </c>
      <c r="BD69" s="1">
        <f t="shared" ref="BD69:BD87" si="61">BE69-BF69</f>
        <v>22426</v>
      </c>
      <c r="BE69" s="1">
        <v>44054</v>
      </c>
      <c r="BF69" s="1">
        <v>21628</v>
      </c>
      <c r="BG69" s="1">
        <f t="shared" ref="BG69:BG87" si="62">BH69-BI69</f>
        <v>1281</v>
      </c>
      <c r="BH69" s="1">
        <v>4256</v>
      </c>
      <c r="BI69" s="1">
        <v>2975</v>
      </c>
      <c r="BJ69" s="1">
        <f t="shared" ref="BJ69:BJ87" si="63">BK69-BL69</f>
        <v>4740</v>
      </c>
      <c r="BK69" s="1">
        <v>18880</v>
      </c>
      <c r="BL69" s="1">
        <v>14140</v>
      </c>
      <c r="BM69" s="1">
        <f t="shared" ref="BM69:BM87" si="64">BN69-BO69</f>
        <v>16</v>
      </c>
      <c r="BN69" s="1">
        <v>53</v>
      </c>
      <c r="BO69" s="1">
        <v>37</v>
      </c>
      <c r="BP69" s="1">
        <f t="shared" ref="BP69:BP87" si="65">BQ69-BR69</f>
        <v>60</v>
      </c>
      <c r="BQ69" s="1">
        <v>191</v>
      </c>
      <c r="BR69" s="1">
        <v>131</v>
      </c>
      <c r="BS69" s="1">
        <f t="shared" ref="BS69:BS87" si="66">BT69-BU69</f>
        <v>3222</v>
      </c>
      <c r="BT69" s="1">
        <v>3770</v>
      </c>
      <c r="BU69" s="1">
        <v>548</v>
      </c>
      <c r="BV69" s="1">
        <f t="shared" si="38"/>
        <v>46098</v>
      </c>
      <c r="BW69" s="1">
        <v>286290</v>
      </c>
      <c r="BX69" s="1">
        <v>240192</v>
      </c>
      <c r="BZ69" s="1">
        <f t="shared" si="39"/>
        <v>46152</v>
      </c>
      <c r="CA69" s="1" cm="1">
        <f t="array" ref="CA69">SUMPRODUCT(C69:BT69*(MOD(COLUMN(C69:BT69)-COLUMN(C69),3)=0))</f>
        <v>286290</v>
      </c>
      <c r="CB69" s="1" cm="1">
        <f t="array" ref="CB69">SUMPRODUCT(D69:BU69*(MOD(COLUMN(D69:BU69)-COLUMN(D69),3)=0))</f>
        <v>240138</v>
      </c>
      <c r="CC69" s="1"/>
      <c r="CD69" s="1">
        <f t="shared" si="40"/>
        <v>-54</v>
      </c>
      <c r="CE69" s="1">
        <f t="shared" si="41"/>
        <v>0</v>
      </c>
      <c r="CF69" s="1">
        <f t="shared" si="42"/>
        <v>54</v>
      </c>
    </row>
    <row r="70" spans="1:84" x14ac:dyDescent="0.25">
      <c r="A70" s="9">
        <f t="shared" ref="A70:A87" si="67">A69+1</f>
        <v>1898</v>
      </c>
      <c r="B70" s="1">
        <f t="shared" si="43"/>
        <v>6111</v>
      </c>
      <c r="C70" s="1">
        <v>49905</v>
      </c>
      <c r="D70" s="1">
        <v>43794</v>
      </c>
      <c r="E70" s="1">
        <f t="shared" si="44"/>
        <v>8828</v>
      </c>
      <c r="F70" s="1">
        <v>110120</v>
      </c>
      <c r="G70" s="1">
        <v>101292</v>
      </c>
      <c r="H70" s="1">
        <f t="shared" si="45"/>
        <v>2061</v>
      </c>
      <c r="I70" s="1">
        <v>10967</v>
      </c>
      <c r="J70" s="1">
        <v>8906</v>
      </c>
      <c r="K70" s="1">
        <f t="shared" si="46"/>
        <v>2034</v>
      </c>
      <c r="L70" s="1">
        <v>7113</v>
      </c>
      <c r="M70" s="1">
        <v>5079</v>
      </c>
      <c r="N70" s="1">
        <f t="shared" si="47"/>
        <v>415</v>
      </c>
      <c r="O70" s="1">
        <v>2555</v>
      </c>
      <c r="P70" s="1">
        <v>2140</v>
      </c>
      <c r="Q70" s="1">
        <f t="shared" si="48"/>
        <v>383</v>
      </c>
      <c r="R70" s="1">
        <v>3200</v>
      </c>
      <c r="S70" s="1">
        <v>2817</v>
      </c>
      <c r="T70" s="1">
        <f t="shared" si="49"/>
        <v>1838</v>
      </c>
      <c r="U70" s="1">
        <v>6498</v>
      </c>
      <c r="V70" s="1">
        <v>4660</v>
      </c>
      <c r="W70" s="1">
        <f t="shared" si="50"/>
        <v>13</v>
      </c>
      <c r="X70" s="1">
        <v>514</v>
      </c>
      <c r="Y70" s="1">
        <v>501</v>
      </c>
      <c r="Z70" s="1">
        <f t="shared" si="51"/>
        <v>636</v>
      </c>
      <c r="AA70" s="1">
        <v>3157</v>
      </c>
      <c r="AB70" s="1">
        <v>2521</v>
      </c>
      <c r="AC70" s="1">
        <f t="shared" si="52"/>
        <v>161</v>
      </c>
      <c r="AD70" s="1">
        <v>2057</v>
      </c>
      <c r="AE70" s="1">
        <v>1896</v>
      </c>
      <c r="AF70" s="1">
        <f t="shared" si="53"/>
        <v>320</v>
      </c>
      <c r="AG70" s="1">
        <v>3349</v>
      </c>
      <c r="AH70" s="1">
        <v>3029</v>
      </c>
      <c r="AI70" s="1">
        <f t="shared" si="54"/>
        <v>424</v>
      </c>
      <c r="AJ70" s="1">
        <v>3857</v>
      </c>
      <c r="AK70" s="1">
        <v>3433</v>
      </c>
      <c r="AL70" s="1">
        <f t="shared" si="55"/>
        <v>-171</v>
      </c>
      <c r="AM70" s="1">
        <v>1950</v>
      </c>
      <c r="AN70" s="1">
        <v>2121</v>
      </c>
      <c r="AO70" s="1">
        <f t="shared" si="56"/>
        <v>582</v>
      </c>
      <c r="AP70" s="1">
        <v>2368</v>
      </c>
      <c r="AQ70" s="1">
        <v>1786</v>
      </c>
      <c r="AR70" s="1">
        <f t="shared" si="57"/>
        <v>223</v>
      </c>
      <c r="AS70" s="1">
        <v>537</v>
      </c>
      <c r="AT70" s="1">
        <v>314</v>
      </c>
      <c r="AU70" s="1">
        <f t="shared" si="58"/>
        <v>189</v>
      </c>
      <c r="AV70" s="1">
        <v>501</v>
      </c>
      <c r="AW70" s="1">
        <v>312</v>
      </c>
      <c r="AX70" s="1">
        <f t="shared" si="59"/>
        <v>-38</v>
      </c>
      <c r="AY70" s="1">
        <v>41</v>
      </c>
      <c r="AZ70" s="1">
        <v>79</v>
      </c>
      <c r="BA70" s="1">
        <f t="shared" si="60"/>
        <v>30</v>
      </c>
      <c r="BB70" s="1">
        <v>154</v>
      </c>
      <c r="BC70" s="1">
        <v>124</v>
      </c>
      <c r="BD70" s="1">
        <f t="shared" si="61"/>
        <v>15851</v>
      </c>
      <c r="BE70" s="1">
        <v>39928</v>
      </c>
      <c r="BF70" s="1">
        <v>24077</v>
      </c>
      <c r="BG70" s="1">
        <f t="shared" si="62"/>
        <v>679</v>
      </c>
      <c r="BH70" s="1">
        <v>3005</v>
      </c>
      <c r="BI70" s="1">
        <v>2326</v>
      </c>
      <c r="BJ70" s="1">
        <f t="shared" si="63"/>
        <v>9956</v>
      </c>
      <c r="BK70" s="1">
        <v>24079</v>
      </c>
      <c r="BL70" s="1">
        <v>14123</v>
      </c>
      <c r="BM70" s="1">
        <f t="shared" si="64"/>
        <v>64</v>
      </c>
      <c r="BN70" s="1">
        <v>111</v>
      </c>
      <c r="BO70" s="1">
        <v>47</v>
      </c>
      <c r="BP70" s="1">
        <f t="shared" si="65"/>
        <v>-14</v>
      </c>
      <c r="BQ70" s="1">
        <v>111</v>
      </c>
      <c r="BR70" s="1">
        <v>125</v>
      </c>
      <c r="BS70" s="1">
        <f t="shared" si="66"/>
        <v>3325</v>
      </c>
      <c r="BT70" s="1">
        <v>4055</v>
      </c>
      <c r="BU70" s="1">
        <v>730</v>
      </c>
      <c r="BV70" s="1">
        <f t="shared" si="38"/>
        <v>53900</v>
      </c>
      <c r="BW70" s="1">
        <v>280132</v>
      </c>
      <c r="BX70" s="1">
        <v>226232</v>
      </c>
      <c r="BZ70" s="1">
        <f t="shared" si="39"/>
        <v>53900</v>
      </c>
      <c r="CA70" s="1" cm="1">
        <f t="array" ref="CA70">SUMPRODUCT(C70:BT70*(MOD(COLUMN(C70:BT70)-COLUMN(C70),3)=0))</f>
        <v>280132</v>
      </c>
      <c r="CB70" s="1" cm="1">
        <f t="array" ref="CB70">SUMPRODUCT(D70:BU70*(MOD(COLUMN(D70:BU70)-COLUMN(D70),3)=0))</f>
        <v>226232</v>
      </c>
      <c r="CC70" s="1"/>
      <c r="CD70" s="1">
        <f t="shared" si="40"/>
        <v>0</v>
      </c>
      <c r="CE70" s="1">
        <f t="shared" si="41"/>
        <v>0</v>
      </c>
      <c r="CF70" s="1">
        <f t="shared" si="42"/>
        <v>0</v>
      </c>
    </row>
    <row r="71" spans="1:84" x14ac:dyDescent="0.25">
      <c r="A71" s="9">
        <f t="shared" si="67"/>
        <v>1899</v>
      </c>
      <c r="B71" s="1">
        <f t="shared" si="43"/>
        <v>3887</v>
      </c>
      <c r="C71" s="1">
        <v>43993</v>
      </c>
      <c r="D71" s="1">
        <v>40106</v>
      </c>
      <c r="E71" s="1">
        <f t="shared" si="44"/>
        <v>4298</v>
      </c>
      <c r="F71" s="1">
        <v>93136</v>
      </c>
      <c r="G71" s="1">
        <v>88838</v>
      </c>
      <c r="H71" s="1">
        <f t="shared" si="45"/>
        <v>506</v>
      </c>
      <c r="I71" s="1">
        <v>7251</v>
      </c>
      <c r="J71" s="1">
        <v>6745</v>
      </c>
      <c r="K71" s="1">
        <f t="shared" si="46"/>
        <v>1122</v>
      </c>
      <c r="L71" s="1">
        <v>5727</v>
      </c>
      <c r="M71" s="1">
        <v>4605</v>
      </c>
      <c r="N71" s="1">
        <f t="shared" si="47"/>
        <v>554</v>
      </c>
      <c r="O71" s="1">
        <v>3327</v>
      </c>
      <c r="P71" s="1">
        <v>2773</v>
      </c>
      <c r="Q71" s="1">
        <f t="shared" si="48"/>
        <v>202</v>
      </c>
      <c r="R71" s="1">
        <v>3184</v>
      </c>
      <c r="S71" s="1">
        <v>2982</v>
      </c>
      <c r="T71" s="1">
        <f t="shared" si="49"/>
        <v>277</v>
      </c>
      <c r="U71" s="1">
        <v>5747</v>
      </c>
      <c r="V71" s="1">
        <v>5470</v>
      </c>
      <c r="W71" s="1">
        <f t="shared" si="50"/>
        <v>131</v>
      </c>
      <c r="X71" s="1">
        <v>742</v>
      </c>
      <c r="Y71" s="1">
        <v>611</v>
      </c>
      <c r="Z71" s="1">
        <f t="shared" si="51"/>
        <v>274</v>
      </c>
      <c r="AA71" s="1">
        <v>2288</v>
      </c>
      <c r="AB71" s="1">
        <v>2014</v>
      </c>
      <c r="AC71" s="1">
        <f t="shared" si="52"/>
        <v>183</v>
      </c>
      <c r="AD71" s="1">
        <v>2537</v>
      </c>
      <c r="AE71" s="1">
        <v>2354</v>
      </c>
      <c r="AF71" s="1">
        <f t="shared" si="53"/>
        <v>159</v>
      </c>
      <c r="AG71" s="1">
        <v>3522</v>
      </c>
      <c r="AH71" s="1">
        <v>3363</v>
      </c>
      <c r="AI71" s="1">
        <f t="shared" si="54"/>
        <v>18</v>
      </c>
      <c r="AJ71" s="1">
        <v>3387</v>
      </c>
      <c r="AK71" s="1">
        <v>3369</v>
      </c>
      <c r="AL71" s="1">
        <f t="shared" si="55"/>
        <v>159</v>
      </c>
      <c r="AM71" s="1">
        <v>1143</v>
      </c>
      <c r="AN71" s="1">
        <v>984</v>
      </c>
      <c r="AO71" s="1">
        <f t="shared" si="56"/>
        <v>695</v>
      </c>
      <c r="AP71" s="1">
        <v>1888</v>
      </c>
      <c r="AQ71" s="1">
        <v>1193</v>
      </c>
      <c r="AR71" s="1">
        <f t="shared" si="57"/>
        <v>62</v>
      </c>
      <c r="AS71" s="1">
        <v>343</v>
      </c>
      <c r="AT71" s="1">
        <v>281</v>
      </c>
      <c r="AU71" s="1">
        <f t="shared" si="58"/>
        <v>-23</v>
      </c>
      <c r="AV71" s="1">
        <v>158</v>
      </c>
      <c r="AW71" s="1">
        <v>181</v>
      </c>
      <c r="AX71" s="1">
        <f t="shared" si="59"/>
        <v>11</v>
      </c>
      <c r="AY71" s="1">
        <v>32</v>
      </c>
      <c r="AZ71" s="1">
        <v>21</v>
      </c>
      <c r="BA71" s="1">
        <f t="shared" si="60"/>
        <v>46</v>
      </c>
      <c r="BB71" s="1">
        <v>99</v>
      </c>
      <c r="BC71" s="1">
        <v>53</v>
      </c>
      <c r="BD71" s="1">
        <f t="shared" si="61"/>
        <v>22661</v>
      </c>
      <c r="BE71" s="1">
        <v>57268</v>
      </c>
      <c r="BF71" s="1">
        <v>34607</v>
      </c>
      <c r="BG71" s="1">
        <f t="shared" si="62"/>
        <v>958</v>
      </c>
      <c r="BH71" s="1">
        <v>4124</v>
      </c>
      <c r="BI71" s="1">
        <v>3166</v>
      </c>
      <c r="BJ71" s="1">
        <f t="shared" si="63"/>
        <v>8199</v>
      </c>
      <c r="BK71" s="1">
        <v>22972</v>
      </c>
      <c r="BL71" s="1">
        <v>14773</v>
      </c>
      <c r="BM71" s="1">
        <f t="shared" si="64"/>
        <v>-4</v>
      </c>
      <c r="BN71" s="1">
        <v>75</v>
      </c>
      <c r="BO71" s="1">
        <v>79</v>
      </c>
      <c r="BP71" s="1">
        <f t="shared" si="65"/>
        <v>-148</v>
      </c>
      <c r="BQ71" s="1">
        <v>315</v>
      </c>
      <c r="BR71" s="1">
        <v>463</v>
      </c>
      <c r="BS71" s="1">
        <f t="shared" si="66"/>
        <v>1734</v>
      </c>
      <c r="BT71" s="1">
        <v>2340</v>
      </c>
      <c r="BU71" s="1">
        <v>606</v>
      </c>
      <c r="BV71" s="1">
        <f t="shared" si="38"/>
        <v>45961</v>
      </c>
      <c r="BW71" s="1">
        <v>265598</v>
      </c>
      <c r="BX71" s="1">
        <v>219637</v>
      </c>
      <c r="BZ71" s="1">
        <f t="shared" si="39"/>
        <v>45961</v>
      </c>
      <c r="CA71" s="1" cm="1">
        <f t="array" ref="CA71">SUMPRODUCT(C71:BT71*(MOD(COLUMN(C71:BT71)-COLUMN(C71),3)=0))</f>
        <v>265598</v>
      </c>
      <c r="CB71" s="1" cm="1">
        <f t="array" ref="CB71">SUMPRODUCT(D71:BU71*(MOD(COLUMN(D71:BU71)-COLUMN(D71),3)=0))</f>
        <v>219637</v>
      </c>
      <c r="CC71" s="1"/>
      <c r="CD71" s="1">
        <f t="shared" si="40"/>
        <v>0</v>
      </c>
      <c r="CE71" s="1">
        <f t="shared" si="41"/>
        <v>0</v>
      </c>
      <c r="CF71" s="1">
        <f t="shared" si="42"/>
        <v>0</v>
      </c>
    </row>
    <row r="72" spans="1:84" x14ac:dyDescent="0.25">
      <c r="A72" s="9">
        <f t="shared" si="67"/>
        <v>1900</v>
      </c>
      <c r="B72" s="1">
        <f t="shared" si="43"/>
        <v>3810</v>
      </c>
      <c r="C72" s="1">
        <v>62161</v>
      </c>
      <c r="D72" s="1">
        <v>58351</v>
      </c>
      <c r="E72" s="1">
        <f t="shared" si="44"/>
        <v>4183</v>
      </c>
      <c r="F72" s="1">
        <v>77141</v>
      </c>
      <c r="G72" s="1">
        <v>72958</v>
      </c>
      <c r="H72" s="1">
        <f t="shared" si="45"/>
        <v>160</v>
      </c>
      <c r="I72" s="1">
        <v>6679</v>
      </c>
      <c r="J72" s="1">
        <v>6519</v>
      </c>
      <c r="K72" s="1">
        <f t="shared" si="46"/>
        <v>506</v>
      </c>
      <c r="L72" s="1">
        <v>5900</v>
      </c>
      <c r="M72" s="1">
        <v>5394</v>
      </c>
      <c r="N72" s="1">
        <f t="shared" si="47"/>
        <v>250</v>
      </c>
      <c r="O72" s="1">
        <v>3961</v>
      </c>
      <c r="P72" s="1">
        <v>3711</v>
      </c>
      <c r="Q72" s="1">
        <f t="shared" si="48"/>
        <v>-268</v>
      </c>
      <c r="R72" s="1">
        <v>2515</v>
      </c>
      <c r="S72" s="1">
        <v>2783</v>
      </c>
      <c r="T72" s="1">
        <f t="shared" si="49"/>
        <v>598</v>
      </c>
      <c r="U72" s="1">
        <v>6415</v>
      </c>
      <c r="V72" s="1">
        <v>5817</v>
      </c>
      <c r="W72" s="1">
        <f t="shared" si="50"/>
        <v>-117</v>
      </c>
      <c r="X72" s="1">
        <v>576</v>
      </c>
      <c r="Y72" s="1">
        <v>693</v>
      </c>
      <c r="Z72" s="1">
        <f t="shared" si="51"/>
        <v>161</v>
      </c>
      <c r="AA72" s="1">
        <v>1641</v>
      </c>
      <c r="AB72" s="1">
        <v>1480</v>
      </c>
      <c r="AC72" s="1">
        <f t="shared" si="52"/>
        <v>604</v>
      </c>
      <c r="AD72" s="1">
        <v>3409</v>
      </c>
      <c r="AE72" s="1">
        <v>2805</v>
      </c>
      <c r="AF72" s="1">
        <f t="shared" si="53"/>
        <v>229</v>
      </c>
      <c r="AG72" s="1">
        <v>2885</v>
      </c>
      <c r="AH72" s="1">
        <v>2656</v>
      </c>
      <c r="AI72" s="1">
        <f t="shared" si="54"/>
        <v>268</v>
      </c>
      <c r="AJ72" s="1">
        <v>3138</v>
      </c>
      <c r="AK72" s="1">
        <v>2870</v>
      </c>
      <c r="AL72" s="1">
        <f t="shared" si="55"/>
        <v>204</v>
      </c>
      <c r="AM72" s="1">
        <v>1041</v>
      </c>
      <c r="AN72" s="1">
        <v>837</v>
      </c>
      <c r="AO72" s="1">
        <f t="shared" si="56"/>
        <v>233</v>
      </c>
      <c r="AP72" s="1">
        <v>1330</v>
      </c>
      <c r="AQ72" s="1">
        <v>1097</v>
      </c>
      <c r="AR72" s="1">
        <f t="shared" si="57"/>
        <v>0</v>
      </c>
      <c r="AS72" s="1">
        <v>340</v>
      </c>
      <c r="AT72" s="1">
        <v>340</v>
      </c>
      <c r="AU72" s="1">
        <f t="shared" si="58"/>
        <v>20</v>
      </c>
      <c r="AV72" s="1">
        <v>206</v>
      </c>
      <c r="AW72" s="1">
        <v>186</v>
      </c>
      <c r="AX72" s="1">
        <f t="shared" si="59"/>
        <v>27</v>
      </c>
      <c r="AY72" s="1">
        <v>36</v>
      </c>
      <c r="AZ72" s="1">
        <v>9</v>
      </c>
      <c r="BA72" s="1">
        <f t="shared" si="60"/>
        <v>34</v>
      </c>
      <c r="BB72" s="1">
        <v>130</v>
      </c>
      <c r="BC72" s="1">
        <v>96</v>
      </c>
      <c r="BD72" s="1">
        <f t="shared" si="61"/>
        <v>7390</v>
      </c>
      <c r="BE72" s="1">
        <v>39565</v>
      </c>
      <c r="BF72" s="1">
        <v>32175</v>
      </c>
      <c r="BG72" s="1">
        <f t="shared" si="62"/>
        <v>534</v>
      </c>
      <c r="BH72" s="1">
        <v>5442</v>
      </c>
      <c r="BI72" s="1">
        <v>4908</v>
      </c>
      <c r="BJ72" s="1">
        <f t="shared" si="63"/>
        <v>8448</v>
      </c>
      <c r="BK72" s="1">
        <v>22683</v>
      </c>
      <c r="BL72" s="1">
        <v>14235</v>
      </c>
      <c r="BM72" s="1">
        <f t="shared" si="64"/>
        <v>-207</v>
      </c>
      <c r="BN72" s="1">
        <v>531</v>
      </c>
      <c r="BO72" s="1">
        <v>738</v>
      </c>
      <c r="BP72" s="1">
        <f t="shared" si="65"/>
        <v>-215</v>
      </c>
      <c r="BQ72" s="1">
        <v>247</v>
      </c>
      <c r="BR72" s="1">
        <v>462</v>
      </c>
      <c r="BS72" s="1">
        <f t="shared" si="66"/>
        <v>183</v>
      </c>
      <c r="BT72" s="1">
        <v>267</v>
      </c>
      <c r="BU72" s="1">
        <v>84</v>
      </c>
      <c r="BV72" s="1">
        <f t="shared" si="38"/>
        <v>27035</v>
      </c>
      <c r="BW72" s="1">
        <v>248239</v>
      </c>
      <c r="BX72" s="1">
        <v>221204</v>
      </c>
      <c r="BZ72" s="1">
        <f t="shared" si="39"/>
        <v>27035</v>
      </c>
      <c r="CA72" s="1" cm="1">
        <f t="array" ref="CA72">SUMPRODUCT(C72:BT72*(MOD(COLUMN(C72:BT72)-COLUMN(C72),3)=0))</f>
        <v>248239</v>
      </c>
      <c r="CB72" s="1" cm="1">
        <f t="array" ref="CB72">SUMPRODUCT(D72:BU72*(MOD(COLUMN(D72:BU72)-COLUMN(D72),3)=0))</f>
        <v>221204</v>
      </c>
      <c r="CC72" s="1"/>
      <c r="CD72" s="1">
        <f t="shared" si="40"/>
        <v>0</v>
      </c>
      <c r="CE72" s="1">
        <f t="shared" si="41"/>
        <v>0</v>
      </c>
      <c r="CF72" s="1">
        <f t="shared" si="42"/>
        <v>0</v>
      </c>
    </row>
    <row r="73" spans="1:84" x14ac:dyDescent="0.25">
      <c r="A73" s="9">
        <f t="shared" si="67"/>
        <v>1901</v>
      </c>
      <c r="B73" s="1">
        <f t="shared" si="43"/>
        <v>3376</v>
      </c>
      <c r="C73" s="1">
        <v>43688</v>
      </c>
      <c r="D73" s="1">
        <v>40312</v>
      </c>
      <c r="E73" s="1">
        <f t="shared" si="44"/>
        <v>7264</v>
      </c>
      <c r="F73" s="1">
        <v>78649</v>
      </c>
      <c r="G73" s="1">
        <v>71385</v>
      </c>
      <c r="H73" s="1">
        <f t="shared" si="45"/>
        <v>1178</v>
      </c>
      <c r="I73" s="1">
        <v>6588</v>
      </c>
      <c r="J73" s="1">
        <v>5410</v>
      </c>
      <c r="K73" s="1">
        <f t="shared" si="46"/>
        <v>103</v>
      </c>
      <c r="L73" s="1">
        <v>4306</v>
      </c>
      <c r="M73" s="1">
        <v>4203</v>
      </c>
      <c r="N73" s="1">
        <f t="shared" si="47"/>
        <v>373</v>
      </c>
      <c r="O73" s="1">
        <v>3447</v>
      </c>
      <c r="P73" s="1">
        <v>3074</v>
      </c>
      <c r="Q73" s="1">
        <f t="shared" si="48"/>
        <v>89</v>
      </c>
      <c r="R73" s="1">
        <v>2446</v>
      </c>
      <c r="S73" s="1">
        <v>2357</v>
      </c>
      <c r="T73" s="1">
        <f t="shared" si="49"/>
        <v>236</v>
      </c>
      <c r="U73" s="1">
        <v>4797</v>
      </c>
      <c r="V73" s="1">
        <v>4561</v>
      </c>
      <c r="W73" s="1">
        <f t="shared" si="50"/>
        <v>13</v>
      </c>
      <c r="X73" s="1">
        <v>454</v>
      </c>
      <c r="Y73" s="1">
        <v>441</v>
      </c>
      <c r="Z73" s="1">
        <f t="shared" si="51"/>
        <v>270</v>
      </c>
      <c r="AA73" s="1">
        <v>1928</v>
      </c>
      <c r="AB73" s="1">
        <v>1658</v>
      </c>
      <c r="AC73" s="1">
        <f t="shared" si="52"/>
        <v>978</v>
      </c>
      <c r="AD73" s="1">
        <v>4773</v>
      </c>
      <c r="AE73" s="1">
        <v>3795</v>
      </c>
      <c r="AF73" s="1">
        <f t="shared" si="53"/>
        <v>239</v>
      </c>
      <c r="AG73" s="1">
        <v>3364</v>
      </c>
      <c r="AH73" s="1">
        <v>3125</v>
      </c>
      <c r="AI73" s="1">
        <f t="shared" si="54"/>
        <v>284</v>
      </c>
      <c r="AJ73" s="1">
        <v>3343</v>
      </c>
      <c r="AK73" s="1">
        <v>3059</v>
      </c>
      <c r="AL73" s="1">
        <f t="shared" si="55"/>
        <v>183</v>
      </c>
      <c r="AM73" s="1">
        <v>884</v>
      </c>
      <c r="AN73" s="1">
        <v>701</v>
      </c>
      <c r="AO73" s="1">
        <f t="shared" si="56"/>
        <v>322</v>
      </c>
      <c r="AP73" s="1">
        <v>1310</v>
      </c>
      <c r="AQ73" s="1">
        <v>988</v>
      </c>
      <c r="AR73" s="1">
        <f t="shared" si="57"/>
        <v>-11</v>
      </c>
      <c r="AS73" s="1">
        <v>457</v>
      </c>
      <c r="AT73" s="1">
        <v>468</v>
      </c>
      <c r="AU73" s="1">
        <f t="shared" si="58"/>
        <v>-7</v>
      </c>
      <c r="AV73" s="1">
        <v>163</v>
      </c>
      <c r="AW73" s="1">
        <v>170</v>
      </c>
      <c r="AX73" s="1">
        <f t="shared" si="59"/>
        <v>5</v>
      </c>
      <c r="AY73" s="1">
        <v>10</v>
      </c>
      <c r="AZ73" s="1">
        <v>5</v>
      </c>
      <c r="BA73" s="1">
        <f t="shared" si="60"/>
        <v>32</v>
      </c>
      <c r="BB73" s="1">
        <v>111</v>
      </c>
      <c r="BC73" s="1">
        <v>79</v>
      </c>
      <c r="BD73" s="1">
        <f t="shared" si="61"/>
        <v>13206</v>
      </c>
      <c r="BE73" s="1">
        <v>51742</v>
      </c>
      <c r="BF73" s="1">
        <v>38536</v>
      </c>
      <c r="BG73" s="1">
        <f t="shared" si="62"/>
        <v>23217</v>
      </c>
      <c r="BH73" s="1">
        <v>50266</v>
      </c>
      <c r="BI73" s="1">
        <v>27049</v>
      </c>
      <c r="BJ73" s="1">
        <f t="shared" si="63"/>
        <v>3584</v>
      </c>
      <c r="BK73" s="1">
        <v>23209</v>
      </c>
      <c r="BL73" s="1">
        <v>19625</v>
      </c>
      <c r="BM73" s="1">
        <f t="shared" si="64"/>
        <v>1622</v>
      </c>
      <c r="BN73" s="1">
        <v>2947</v>
      </c>
      <c r="BO73" s="1">
        <v>1325</v>
      </c>
      <c r="BP73" s="1">
        <f t="shared" si="65"/>
        <v>-392</v>
      </c>
      <c r="BQ73" s="1">
        <v>619</v>
      </c>
      <c r="BR73" s="1">
        <v>1011</v>
      </c>
      <c r="BS73" s="1">
        <f t="shared" si="66"/>
        <v>-1288</v>
      </c>
      <c r="BT73" s="1">
        <v>2143</v>
      </c>
      <c r="BU73" s="1">
        <v>3431</v>
      </c>
      <c r="BV73" s="1">
        <f t="shared" si="38"/>
        <v>53876</v>
      </c>
      <c r="BW73" s="1">
        <v>291644</v>
      </c>
      <c r="BX73" s="1">
        <v>237768</v>
      </c>
      <c r="BZ73" s="1">
        <f t="shared" si="39"/>
        <v>54876</v>
      </c>
      <c r="CA73" s="1" cm="1">
        <f t="array" ref="CA73">SUMPRODUCT(C73:BT73*(MOD(COLUMN(C73:BT73)-COLUMN(C73),3)=0))</f>
        <v>291644</v>
      </c>
      <c r="CB73" s="1" cm="1">
        <f t="array" ref="CB73">SUMPRODUCT(D73:BU73*(MOD(COLUMN(D73:BU73)-COLUMN(D73),3)=0))</f>
        <v>236768</v>
      </c>
      <c r="CC73" s="1"/>
      <c r="CD73" s="1">
        <f t="shared" si="40"/>
        <v>-1000</v>
      </c>
      <c r="CE73" s="1">
        <f t="shared" si="41"/>
        <v>0</v>
      </c>
      <c r="CF73" s="1">
        <f t="shared" si="42"/>
        <v>1000</v>
      </c>
    </row>
    <row r="74" spans="1:84" x14ac:dyDescent="0.25">
      <c r="A74" s="9">
        <f t="shared" si="67"/>
        <v>1902</v>
      </c>
      <c r="B74" s="1">
        <f t="shared" si="43"/>
        <v>2400</v>
      </c>
      <c r="C74" s="1">
        <v>36870</v>
      </c>
      <c r="D74" s="1">
        <v>34470</v>
      </c>
      <c r="E74" s="1">
        <f t="shared" si="44"/>
        <v>4431</v>
      </c>
      <c r="F74" s="1">
        <v>65342</v>
      </c>
      <c r="G74" s="1">
        <v>60911</v>
      </c>
      <c r="H74" s="1">
        <f t="shared" si="45"/>
        <v>439</v>
      </c>
      <c r="I74" s="1">
        <v>8740</v>
      </c>
      <c r="J74" s="1">
        <v>8301</v>
      </c>
      <c r="K74" s="1">
        <f t="shared" si="46"/>
        <v>485</v>
      </c>
      <c r="L74" s="1">
        <v>4990</v>
      </c>
      <c r="M74" s="1">
        <v>4505</v>
      </c>
      <c r="N74" s="1">
        <f t="shared" si="47"/>
        <v>191</v>
      </c>
      <c r="O74" s="1">
        <v>3702</v>
      </c>
      <c r="P74" s="1">
        <v>3511</v>
      </c>
      <c r="Q74" s="1">
        <f t="shared" si="48"/>
        <v>62</v>
      </c>
      <c r="R74" s="1">
        <v>2654</v>
      </c>
      <c r="S74" s="1">
        <v>2592</v>
      </c>
      <c r="T74" s="1">
        <f t="shared" si="49"/>
        <v>213</v>
      </c>
      <c r="U74" s="1">
        <v>4418</v>
      </c>
      <c r="V74" s="1">
        <v>4205</v>
      </c>
      <c r="W74" s="1">
        <f t="shared" si="50"/>
        <v>198</v>
      </c>
      <c r="X74" s="1">
        <v>798</v>
      </c>
      <c r="Y74" s="1">
        <v>600</v>
      </c>
      <c r="Z74" s="1">
        <f t="shared" si="51"/>
        <v>333</v>
      </c>
      <c r="AA74" s="1">
        <v>2788</v>
      </c>
      <c r="AB74" s="1">
        <v>2455</v>
      </c>
      <c r="AC74" s="1">
        <f t="shared" si="52"/>
        <v>942</v>
      </c>
      <c r="AD74" s="1">
        <v>5396</v>
      </c>
      <c r="AE74" s="1">
        <v>4454</v>
      </c>
      <c r="AF74" s="1">
        <f t="shared" si="53"/>
        <v>-2</v>
      </c>
      <c r="AG74" s="1">
        <v>3333</v>
      </c>
      <c r="AH74" s="1">
        <v>3335</v>
      </c>
      <c r="AI74" s="1">
        <f t="shared" si="54"/>
        <v>367</v>
      </c>
      <c r="AJ74" s="1">
        <v>3526</v>
      </c>
      <c r="AK74" s="1">
        <v>3159</v>
      </c>
      <c r="AL74" s="1">
        <f t="shared" si="55"/>
        <v>166</v>
      </c>
      <c r="AM74" s="1">
        <v>1018</v>
      </c>
      <c r="AN74" s="1">
        <v>852</v>
      </c>
      <c r="AO74" s="1">
        <f t="shared" si="56"/>
        <v>198</v>
      </c>
      <c r="AP74" s="1">
        <v>1344</v>
      </c>
      <c r="AQ74" s="1">
        <v>1146</v>
      </c>
      <c r="AR74" s="1">
        <f t="shared" si="57"/>
        <v>-19</v>
      </c>
      <c r="AS74" s="1">
        <v>541</v>
      </c>
      <c r="AT74" s="1">
        <v>560</v>
      </c>
      <c r="AU74" s="1">
        <f t="shared" si="58"/>
        <v>85</v>
      </c>
      <c r="AV74" s="1">
        <v>231</v>
      </c>
      <c r="AW74" s="1">
        <v>146</v>
      </c>
      <c r="AX74" s="1">
        <f t="shared" si="59"/>
        <v>-34</v>
      </c>
      <c r="AY74" s="1">
        <v>26</v>
      </c>
      <c r="AZ74" s="1">
        <v>60</v>
      </c>
      <c r="BA74" s="1">
        <f t="shared" si="60"/>
        <v>-36</v>
      </c>
      <c r="BB74" s="1">
        <v>102</v>
      </c>
      <c r="BC74" s="1">
        <v>138</v>
      </c>
      <c r="BD74" s="1">
        <f t="shared" si="61"/>
        <v>17852</v>
      </c>
      <c r="BE74" s="1">
        <v>67724</v>
      </c>
      <c r="BF74" s="1">
        <v>49872</v>
      </c>
      <c r="BG74" s="1">
        <f t="shared" si="62"/>
        <v>26514</v>
      </c>
      <c r="BH74" s="1">
        <v>50129</v>
      </c>
      <c r="BI74" s="1">
        <v>23615</v>
      </c>
      <c r="BJ74" s="1">
        <f t="shared" si="63"/>
        <v>7913</v>
      </c>
      <c r="BK74" s="1">
        <v>29337</v>
      </c>
      <c r="BL74" s="1">
        <v>21424</v>
      </c>
      <c r="BM74" s="1">
        <f t="shared" si="64"/>
        <v>2264</v>
      </c>
      <c r="BN74" s="1">
        <v>3248</v>
      </c>
      <c r="BO74" s="1">
        <v>984</v>
      </c>
      <c r="BP74" s="1">
        <f t="shared" si="65"/>
        <v>-247</v>
      </c>
      <c r="BQ74" s="1">
        <v>733</v>
      </c>
      <c r="BR74" s="1">
        <v>980</v>
      </c>
      <c r="BS74" s="1">
        <f t="shared" si="66"/>
        <v>-1670</v>
      </c>
      <c r="BT74" s="1">
        <v>2776</v>
      </c>
      <c r="BU74" s="1">
        <v>4446</v>
      </c>
      <c r="BV74" s="1">
        <f t="shared" si="38"/>
        <v>63045</v>
      </c>
      <c r="BW74" s="1">
        <v>299766</v>
      </c>
      <c r="BX74" s="1">
        <v>236721</v>
      </c>
      <c r="BZ74" s="1">
        <f t="shared" si="39"/>
        <v>63045</v>
      </c>
      <c r="CA74" s="1" cm="1">
        <f t="array" ref="CA74">SUMPRODUCT(C74:BT74*(MOD(COLUMN(C74:BT74)-COLUMN(C74),3)=0))</f>
        <v>299766</v>
      </c>
      <c r="CB74" s="1" cm="1">
        <f t="array" ref="CB74">SUMPRODUCT(D74:BU74*(MOD(COLUMN(D74:BU74)-COLUMN(D74),3)=0))</f>
        <v>236721</v>
      </c>
      <c r="CC74" s="1"/>
      <c r="CD74" s="1">
        <f t="shared" si="40"/>
        <v>0</v>
      </c>
      <c r="CE74" s="1">
        <f t="shared" si="41"/>
        <v>0</v>
      </c>
      <c r="CF74" s="1">
        <f t="shared" si="42"/>
        <v>0</v>
      </c>
    </row>
    <row r="75" spans="1:84" x14ac:dyDescent="0.25">
      <c r="A75" s="9">
        <f t="shared" si="67"/>
        <v>1903</v>
      </c>
      <c r="B75" s="1">
        <f t="shared" si="43"/>
        <v>2839</v>
      </c>
      <c r="C75" s="1">
        <v>45969</v>
      </c>
      <c r="D75" s="1">
        <v>43130</v>
      </c>
      <c r="E75" s="1">
        <f t="shared" si="44"/>
        <v>3515</v>
      </c>
      <c r="F75" s="1">
        <v>72674</v>
      </c>
      <c r="G75" s="1">
        <v>69159</v>
      </c>
      <c r="H75" s="1">
        <f t="shared" si="45"/>
        <v>-8</v>
      </c>
      <c r="I75" s="1">
        <v>9770</v>
      </c>
      <c r="J75" s="1">
        <v>9778</v>
      </c>
      <c r="K75" s="1">
        <f t="shared" si="46"/>
        <v>651</v>
      </c>
      <c r="L75" s="1">
        <v>6136</v>
      </c>
      <c r="M75" s="1">
        <v>5485</v>
      </c>
      <c r="N75" s="1">
        <f t="shared" si="47"/>
        <v>355</v>
      </c>
      <c r="O75" s="1">
        <v>4573</v>
      </c>
      <c r="P75" s="1">
        <v>4218</v>
      </c>
      <c r="Q75" s="1">
        <f t="shared" si="48"/>
        <v>118</v>
      </c>
      <c r="R75" s="1">
        <v>2818</v>
      </c>
      <c r="S75" s="1">
        <v>2700</v>
      </c>
      <c r="T75" s="1">
        <f t="shared" si="49"/>
        <v>84</v>
      </c>
      <c r="U75" s="1">
        <v>3950</v>
      </c>
      <c r="V75" s="1">
        <v>3866</v>
      </c>
      <c r="W75" s="1">
        <f t="shared" si="50"/>
        <v>194</v>
      </c>
      <c r="X75" s="1">
        <v>928</v>
      </c>
      <c r="Y75" s="1">
        <v>734</v>
      </c>
      <c r="Z75" s="1">
        <f t="shared" si="51"/>
        <v>375</v>
      </c>
      <c r="AA75" s="1">
        <v>2640</v>
      </c>
      <c r="AB75" s="1">
        <v>2265</v>
      </c>
      <c r="AC75" s="1">
        <f t="shared" si="52"/>
        <v>813</v>
      </c>
      <c r="AD75" s="1">
        <v>5676</v>
      </c>
      <c r="AE75" s="1">
        <v>4863</v>
      </c>
      <c r="AF75" s="1">
        <f t="shared" si="53"/>
        <v>185</v>
      </c>
      <c r="AG75" s="1">
        <v>3890</v>
      </c>
      <c r="AH75" s="1">
        <v>3705</v>
      </c>
      <c r="AI75" s="1">
        <f t="shared" si="54"/>
        <v>314</v>
      </c>
      <c r="AJ75" s="1">
        <v>4255</v>
      </c>
      <c r="AK75" s="1">
        <v>3941</v>
      </c>
      <c r="AL75" s="1">
        <f t="shared" si="55"/>
        <v>249</v>
      </c>
      <c r="AM75" s="1">
        <v>1237</v>
      </c>
      <c r="AN75" s="1">
        <v>988</v>
      </c>
      <c r="AO75" s="1">
        <f t="shared" si="56"/>
        <v>377</v>
      </c>
      <c r="AP75" s="1">
        <v>1590</v>
      </c>
      <c r="AQ75" s="1">
        <v>1213</v>
      </c>
      <c r="AR75" s="1">
        <f t="shared" si="57"/>
        <v>30</v>
      </c>
      <c r="AS75" s="1">
        <v>697</v>
      </c>
      <c r="AT75" s="1">
        <v>667</v>
      </c>
      <c r="AU75" s="1">
        <f t="shared" si="58"/>
        <v>24</v>
      </c>
      <c r="AV75" s="1">
        <v>268</v>
      </c>
      <c r="AW75" s="1">
        <v>244</v>
      </c>
      <c r="AX75" s="1">
        <f t="shared" si="59"/>
        <v>-4</v>
      </c>
      <c r="AY75" s="1">
        <v>71</v>
      </c>
      <c r="AZ75" s="1">
        <v>75</v>
      </c>
      <c r="BA75" s="1">
        <f t="shared" si="60"/>
        <v>20</v>
      </c>
      <c r="BB75" s="1">
        <v>165</v>
      </c>
      <c r="BC75" s="1">
        <v>145</v>
      </c>
      <c r="BD75" s="1">
        <f t="shared" si="61"/>
        <v>21426</v>
      </c>
      <c r="BE75" s="1">
        <v>74698</v>
      </c>
      <c r="BF75" s="1">
        <v>53272</v>
      </c>
      <c r="BG75" s="1">
        <f t="shared" si="62"/>
        <v>4225</v>
      </c>
      <c r="BH75" s="1">
        <v>29465</v>
      </c>
      <c r="BI75" s="1">
        <v>25240</v>
      </c>
      <c r="BJ75" s="1">
        <f t="shared" si="63"/>
        <v>10102</v>
      </c>
      <c r="BK75" s="1">
        <v>33234</v>
      </c>
      <c r="BL75" s="1">
        <v>23132</v>
      </c>
      <c r="BM75" s="1">
        <f t="shared" si="64"/>
        <v>2079</v>
      </c>
      <c r="BN75" s="1">
        <v>3109</v>
      </c>
      <c r="BO75" s="1">
        <v>1030</v>
      </c>
      <c r="BP75" s="1">
        <f t="shared" si="65"/>
        <v>-447</v>
      </c>
      <c r="BQ75" s="1">
        <v>576</v>
      </c>
      <c r="BR75" s="1">
        <v>1023</v>
      </c>
      <c r="BS75" s="1">
        <f t="shared" si="66"/>
        <v>1204</v>
      </c>
      <c r="BT75" s="1">
        <v>6832</v>
      </c>
      <c r="BU75" s="1">
        <v>5628</v>
      </c>
      <c r="BV75" s="1">
        <f t="shared" si="38"/>
        <v>48720</v>
      </c>
      <c r="BW75" s="1">
        <v>315221</v>
      </c>
      <c r="BX75" s="1">
        <v>266501</v>
      </c>
      <c r="BZ75" s="1">
        <f t="shared" si="39"/>
        <v>48720</v>
      </c>
      <c r="CA75" s="1" cm="1">
        <f t="array" ref="CA75">SUMPRODUCT(C75:BT75*(MOD(COLUMN(C75:BT75)-COLUMN(C75),3)=0))</f>
        <v>315221</v>
      </c>
      <c r="CB75" s="1" cm="1">
        <f t="array" ref="CB75">SUMPRODUCT(D75:BU75*(MOD(COLUMN(D75:BU75)-COLUMN(D75),3)=0))</f>
        <v>266501</v>
      </c>
      <c r="CC75" s="1"/>
      <c r="CD75" s="1">
        <f t="shared" si="40"/>
        <v>0</v>
      </c>
      <c r="CE75" s="1">
        <f t="shared" si="41"/>
        <v>0</v>
      </c>
      <c r="CF75" s="1">
        <f t="shared" si="42"/>
        <v>0</v>
      </c>
    </row>
    <row r="76" spans="1:84" x14ac:dyDescent="0.25">
      <c r="A76" s="9">
        <f t="shared" si="67"/>
        <v>1904</v>
      </c>
      <c r="B76" s="1">
        <f t="shared" si="43"/>
        <v>3432</v>
      </c>
      <c r="C76" s="1">
        <v>45354</v>
      </c>
      <c r="D76" s="1">
        <v>41922</v>
      </c>
      <c r="E76" s="1">
        <f t="shared" si="44"/>
        <v>-869</v>
      </c>
      <c r="F76" s="1">
        <v>67034</v>
      </c>
      <c r="G76" s="1">
        <v>67903</v>
      </c>
      <c r="H76" s="1">
        <f t="shared" si="45"/>
        <v>190</v>
      </c>
      <c r="I76" s="1">
        <v>9158</v>
      </c>
      <c r="J76" s="1">
        <v>8968</v>
      </c>
      <c r="K76" s="1">
        <f t="shared" si="46"/>
        <v>924</v>
      </c>
      <c r="L76" s="1">
        <v>5425</v>
      </c>
      <c r="M76" s="1">
        <v>4501</v>
      </c>
      <c r="N76" s="1">
        <f t="shared" si="47"/>
        <v>110</v>
      </c>
      <c r="O76" s="1">
        <v>4192</v>
      </c>
      <c r="P76" s="1">
        <v>4082</v>
      </c>
      <c r="Q76" s="1">
        <f t="shared" si="48"/>
        <v>-164</v>
      </c>
      <c r="R76" s="1">
        <v>2097</v>
      </c>
      <c r="S76" s="1">
        <v>2261</v>
      </c>
      <c r="T76" s="1">
        <f t="shared" si="49"/>
        <v>63</v>
      </c>
      <c r="U76" s="1">
        <v>2567</v>
      </c>
      <c r="V76" s="1">
        <v>2504</v>
      </c>
      <c r="W76" s="1">
        <f t="shared" si="50"/>
        <v>168</v>
      </c>
      <c r="X76" s="1">
        <v>721</v>
      </c>
      <c r="Y76" s="1">
        <v>553</v>
      </c>
      <c r="Z76" s="1">
        <f t="shared" si="51"/>
        <v>-192</v>
      </c>
      <c r="AA76" s="1">
        <v>2374</v>
      </c>
      <c r="AB76" s="1">
        <v>2566</v>
      </c>
      <c r="AC76" s="1">
        <f t="shared" si="52"/>
        <v>402</v>
      </c>
      <c r="AD76" s="1">
        <v>5773</v>
      </c>
      <c r="AE76" s="1">
        <v>5371</v>
      </c>
      <c r="AF76" s="1">
        <f t="shared" si="53"/>
        <v>60</v>
      </c>
      <c r="AG76" s="1">
        <v>3928</v>
      </c>
      <c r="AH76" s="1">
        <v>3868</v>
      </c>
      <c r="AI76" s="1">
        <f t="shared" si="54"/>
        <v>333</v>
      </c>
      <c r="AJ76" s="1">
        <v>4012</v>
      </c>
      <c r="AK76" s="1">
        <v>3679</v>
      </c>
      <c r="AL76" s="1">
        <f t="shared" si="55"/>
        <v>53</v>
      </c>
      <c r="AM76" s="1">
        <v>979</v>
      </c>
      <c r="AN76" s="1">
        <v>926</v>
      </c>
      <c r="AO76" s="1">
        <f t="shared" si="56"/>
        <v>83</v>
      </c>
      <c r="AP76" s="1">
        <v>1241</v>
      </c>
      <c r="AQ76" s="1">
        <v>1158</v>
      </c>
      <c r="AR76" s="1">
        <f t="shared" si="57"/>
        <v>-85</v>
      </c>
      <c r="AS76" s="1">
        <v>418</v>
      </c>
      <c r="AT76" s="1">
        <v>503</v>
      </c>
      <c r="AU76" s="1">
        <f t="shared" si="58"/>
        <v>-55</v>
      </c>
      <c r="AV76" s="1">
        <v>201</v>
      </c>
      <c r="AW76" s="1">
        <v>256</v>
      </c>
      <c r="AX76" s="1">
        <f t="shared" si="59"/>
        <v>-44</v>
      </c>
      <c r="AY76" s="1">
        <v>64</v>
      </c>
      <c r="AZ76" s="1">
        <v>108</v>
      </c>
      <c r="BA76" s="1">
        <f t="shared" si="60"/>
        <v>4</v>
      </c>
      <c r="BB76" s="1">
        <v>162</v>
      </c>
      <c r="BC76" s="1">
        <v>158</v>
      </c>
      <c r="BD76" s="1">
        <f t="shared" si="61"/>
        <v>15108</v>
      </c>
      <c r="BE76" s="1">
        <v>66751</v>
      </c>
      <c r="BF76" s="1">
        <v>51643</v>
      </c>
      <c r="BG76" s="1">
        <f t="shared" si="62"/>
        <v>-369</v>
      </c>
      <c r="BH76" s="1">
        <v>18206</v>
      </c>
      <c r="BI76" s="1">
        <v>18575</v>
      </c>
      <c r="BJ76" s="1">
        <f t="shared" si="63"/>
        <v>9855</v>
      </c>
      <c r="BK76" s="1">
        <v>34314</v>
      </c>
      <c r="BL76" s="1">
        <v>24459</v>
      </c>
      <c r="BM76" s="1">
        <f t="shared" si="64"/>
        <v>-459</v>
      </c>
      <c r="BN76" s="1">
        <v>12</v>
      </c>
      <c r="BO76" s="1">
        <v>471</v>
      </c>
      <c r="BP76" s="1">
        <f t="shared" si="65"/>
        <v>-257</v>
      </c>
      <c r="BQ76" s="1">
        <v>889</v>
      </c>
      <c r="BR76" s="1">
        <v>1146</v>
      </c>
      <c r="BS76" s="1">
        <f t="shared" si="66"/>
        <v>-2998</v>
      </c>
      <c r="BT76" s="1">
        <v>1144</v>
      </c>
      <c r="BU76" s="1">
        <v>4142</v>
      </c>
      <c r="BV76" s="1">
        <f t="shared" si="38"/>
        <v>25287</v>
      </c>
      <c r="BW76" s="1">
        <v>277010</v>
      </c>
      <c r="BX76" s="1">
        <v>251723</v>
      </c>
      <c r="BZ76" s="1">
        <f t="shared" si="39"/>
        <v>25293</v>
      </c>
      <c r="CA76" s="1" cm="1">
        <f t="array" ref="CA76">SUMPRODUCT(C76:BT76*(MOD(COLUMN(C76:BT76)-COLUMN(C76),3)=0))</f>
        <v>277016</v>
      </c>
      <c r="CB76" s="1" cm="1">
        <f t="array" ref="CB76">SUMPRODUCT(D76:BU76*(MOD(COLUMN(D76:BU76)-COLUMN(D76),3)=0))</f>
        <v>251723</v>
      </c>
      <c r="CC76" s="1"/>
      <c r="CD76" s="1">
        <f t="shared" si="40"/>
        <v>-6</v>
      </c>
      <c r="CE76" s="1">
        <f t="shared" si="41"/>
        <v>-6</v>
      </c>
      <c r="CF76" s="1">
        <f t="shared" si="42"/>
        <v>0</v>
      </c>
    </row>
    <row r="77" spans="1:84" x14ac:dyDescent="0.25">
      <c r="A77" s="9">
        <f t="shared" si="67"/>
        <v>1905</v>
      </c>
      <c r="B77" s="1">
        <f t="shared" si="43"/>
        <v>269</v>
      </c>
      <c r="C77" s="1">
        <v>45667</v>
      </c>
      <c r="D77" s="1">
        <v>45398</v>
      </c>
      <c r="E77" s="1">
        <f t="shared" si="44"/>
        <v>865</v>
      </c>
      <c r="F77" s="1">
        <v>71467</v>
      </c>
      <c r="G77" s="1">
        <v>70602</v>
      </c>
      <c r="H77" s="1">
        <f t="shared" si="45"/>
        <v>368</v>
      </c>
      <c r="I77" s="1">
        <v>7302</v>
      </c>
      <c r="J77" s="1">
        <v>6934</v>
      </c>
      <c r="K77" s="1">
        <f t="shared" si="46"/>
        <v>286</v>
      </c>
      <c r="L77" s="1">
        <v>4934</v>
      </c>
      <c r="M77" s="1">
        <v>4648</v>
      </c>
      <c r="N77" s="1">
        <f t="shared" si="47"/>
        <v>409</v>
      </c>
      <c r="O77" s="1">
        <v>3326</v>
      </c>
      <c r="P77" s="1">
        <v>2917</v>
      </c>
      <c r="Q77" s="1">
        <f t="shared" si="48"/>
        <v>-104</v>
      </c>
      <c r="R77" s="1">
        <v>1690</v>
      </c>
      <c r="S77" s="1">
        <v>1794</v>
      </c>
      <c r="T77" s="1">
        <f t="shared" si="49"/>
        <v>-498</v>
      </c>
      <c r="U77" s="1">
        <v>2335</v>
      </c>
      <c r="V77" s="1">
        <v>2833</v>
      </c>
      <c r="W77" s="1">
        <f t="shared" si="50"/>
        <v>-78</v>
      </c>
      <c r="X77" s="1">
        <v>633</v>
      </c>
      <c r="Y77" s="1">
        <v>711</v>
      </c>
      <c r="Z77" s="1">
        <f t="shared" si="51"/>
        <v>-161</v>
      </c>
      <c r="AA77" s="1">
        <v>1893</v>
      </c>
      <c r="AB77" s="1">
        <v>2054</v>
      </c>
      <c r="AC77" s="1">
        <f t="shared" si="52"/>
        <v>671</v>
      </c>
      <c r="AD77" s="1">
        <v>6679</v>
      </c>
      <c r="AE77" s="1">
        <v>6008</v>
      </c>
      <c r="AF77" s="1">
        <f t="shared" si="53"/>
        <v>-28</v>
      </c>
      <c r="AG77" s="1">
        <v>3114</v>
      </c>
      <c r="AH77" s="1">
        <v>3142</v>
      </c>
      <c r="AI77" s="1">
        <f t="shared" si="54"/>
        <v>-4</v>
      </c>
      <c r="AJ77" s="1">
        <v>2756</v>
      </c>
      <c r="AK77" s="1">
        <v>2760</v>
      </c>
      <c r="AL77" s="1">
        <f t="shared" si="55"/>
        <v>-289</v>
      </c>
      <c r="AM77" s="1">
        <v>980</v>
      </c>
      <c r="AN77" s="1">
        <v>1269</v>
      </c>
      <c r="AO77" s="1">
        <f t="shared" si="56"/>
        <v>208</v>
      </c>
      <c r="AP77" s="1">
        <v>1079</v>
      </c>
      <c r="AQ77" s="1">
        <v>871</v>
      </c>
      <c r="AR77" s="1">
        <f t="shared" si="57"/>
        <v>48</v>
      </c>
      <c r="AS77" s="1">
        <v>660</v>
      </c>
      <c r="AT77" s="1">
        <v>612</v>
      </c>
      <c r="AU77" s="1">
        <f t="shared" si="58"/>
        <v>-70</v>
      </c>
      <c r="AV77" s="1">
        <v>184</v>
      </c>
      <c r="AW77" s="1">
        <v>254</v>
      </c>
      <c r="AX77" s="1">
        <f t="shared" si="59"/>
        <v>-28</v>
      </c>
      <c r="AY77" s="1">
        <v>46</v>
      </c>
      <c r="AZ77" s="1">
        <v>74</v>
      </c>
      <c r="BA77" s="1">
        <f t="shared" si="60"/>
        <v>8</v>
      </c>
      <c r="BB77" s="1">
        <v>118</v>
      </c>
      <c r="BC77" s="1">
        <v>110</v>
      </c>
      <c r="BD77" s="1">
        <f t="shared" si="61"/>
        <v>5417</v>
      </c>
      <c r="BE77" s="1">
        <v>52014</v>
      </c>
      <c r="BF77" s="1">
        <v>46597</v>
      </c>
      <c r="BG77" s="1">
        <f t="shared" si="62"/>
        <v>-2552</v>
      </c>
      <c r="BH77" s="1">
        <v>19303</v>
      </c>
      <c r="BI77" s="1">
        <v>21855</v>
      </c>
      <c r="BJ77" s="1">
        <f t="shared" si="63"/>
        <v>3277</v>
      </c>
      <c r="BK77" s="1">
        <v>20013</v>
      </c>
      <c r="BL77" s="1">
        <v>16736</v>
      </c>
      <c r="BM77" s="1">
        <f t="shared" si="64"/>
        <v>155</v>
      </c>
      <c r="BN77" s="1">
        <v>210</v>
      </c>
      <c r="BO77" s="1">
        <v>55</v>
      </c>
      <c r="BP77" s="1">
        <f t="shared" si="65"/>
        <v>-61</v>
      </c>
      <c r="BQ77" s="1">
        <v>784</v>
      </c>
      <c r="BR77" s="1">
        <v>845</v>
      </c>
      <c r="BS77" s="1">
        <f t="shared" si="66"/>
        <v>-97</v>
      </c>
      <c r="BT77" s="1">
        <v>233</v>
      </c>
      <c r="BU77" s="1">
        <v>330</v>
      </c>
      <c r="BV77" s="1">
        <f t="shared" si="38"/>
        <v>8011</v>
      </c>
      <c r="BW77" s="1">
        <v>247420</v>
      </c>
      <c r="BX77" s="1">
        <v>239409</v>
      </c>
      <c r="BZ77" s="1">
        <f t="shared" si="39"/>
        <v>8011</v>
      </c>
      <c r="CA77" s="1" cm="1">
        <f t="array" ref="CA77">SUMPRODUCT(C77:BT77*(MOD(COLUMN(C77:BT77)-COLUMN(C77),3)=0))</f>
        <v>247420</v>
      </c>
      <c r="CB77" s="1" cm="1">
        <f t="array" ref="CB77">SUMPRODUCT(D77:BU77*(MOD(COLUMN(D77:BU77)-COLUMN(D77),3)=0))</f>
        <v>239409</v>
      </c>
      <c r="CC77" s="1"/>
      <c r="CD77" s="1">
        <f t="shared" si="40"/>
        <v>0</v>
      </c>
      <c r="CE77" s="1">
        <f t="shared" si="41"/>
        <v>0</v>
      </c>
      <c r="CF77" s="1">
        <f t="shared" si="42"/>
        <v>0</v>
      </c>
    </row>
    <row r="78" spans="1:84" x14ac:dyDescent="0.25">
      <c r="A78" s="9">
        <f t="shared" si="67"/>
        <v>1906</v>
      </c>
      <c r="B78" s="1">
        <f t="shared" si="43"/>
        <v>1400</v>
      </c>
      <c r="C78" s="1">
        <v>47715</v>
      </c>
      <c r="D78" s="1">
        <v>46315</v>
      </c>
      <c r="E78" s="1">
        <f t="shared" si="44"/>
        <v>1882</v>
      </c>
      <c r="F78" s="17">
        <v>86749</v>
      </c>
      <c r="G78" s="1">
        <v>84867</v>
      </c>
      <c r="H78" s="1">
        <f t="shared" si="45"/>
        <v>184</v>
      </c>
      <c r="I78" s="1">
        <v>8424</v>
      </c>
      <c r="J78" s="1">
        <v>8240</v>
      </c>
      <c r="K78" s="1">
        <f t="shared" si="46"/>
        <v>849</v>
      </c>
      <c r="L78" s="1">
        <v>5758</v>
      </c>
      <c r="M78" s="1">
        <v>4909</v>
      </c>
      <c r="N78" s="1">
        <f t="shared" si="47"/>
        <v>194</v>
      </c>
      <c r="O78" s="1">
        <v>2978</v>
      </c>
      <c r="P78" s="1">
        <v>2784</v>
      </c>
      <c r="Q78" s="1">
        <f t="shared" si="48"/>
        <v>-127</v>
      </c>
      <c r="R78" s="1">
        <v>1786</v>
      </c>
      <c r="S78" s="1">
        <v>1913</v>
      </c>
      <c r="T78" s="1">
        <f t="shared" si="49"/>
        <v>57</v>
      </c>
      <c r="U78" s="1">
        <v>2171</v>
      </c>
      <c r="V78" s="1">
        <v>2114</v>
      </c>
      <c r="W78" s="1">
        <f t="shared" si="50"/>
        <v>92</v>
      </c>
      <c r="X78" s="1">
        <v>1021</v>
      </c>
      <c r="Y78" s="1">
        <v>929</v>
      </c>
      <c r="Z78" s="1">
        <f t="shared" si="51"/>
        <v>33</v>
      </c>
      <c r="AA78" s="1">
        <v>1758</v>
      </c>
      <c r="AB78" s="1">
        <v>1725</v>
      </c>
      <c r="AC78" s="1">
        <f t="shared" si="52"/>
        <v>1234</v>
      </c>
      <c r="AD78" s="1">
        <v>7856</v>
      </c>
      <c r="AE78" s="1">
        <v>6622</v>
      </c>
      <c r="AF78" s="1">
        <f t="shared" si="53"/>
        <v>51</v>
      </c>
      <c r="AG78" s="1">
        <v>3205</v>
      </c>
      <c r="AH78" s="1">
        <v>3154</v>
      </c>
      <c r="AI78" s="1">
        <f t="shared" si="54"/>
        <v>501</v>
      </c>
      <c r="AJ78" s="1">
        <v>3846</v>
      </c>
      <c r="AK78" s="1">
        <v>3345</v>
      </c>
      <c r="AL78" s="1">
        <f t="shared" si="55"/>
        <v>146</v>
      </c>
      <c r="AM78" s="1">
        <v>1525</v>
      </c>
      <c r="AN78" s="1">
        <v>1379</v>
      </c>
      <c r="AO78" s="1">
        <f t="shared" si="56"/>
        <v>108</v>
      </c>
      <c r="AP78" s="1">
        <v>947</v>
      </c>
      <c r="AQ78" s="1">
        <v>839</v>
      </c>
      <c r="AR78" s="1">
        <f t="shared" si="57"/>
        <v>58</v>
      </c>
      <c r="AS78" s="1">
        <v>522</v>
      </c>
      <c r="AT78" s="1">
        <v>464</v>
      </c>
      <c r="AU78" s="1">
        <f t="shared" si="58"/>
        <v>19</v>
      </c>
      <c r="AV78" s="1">
        <v>372</v>
      </c>
      <c r="AW78" s="1">
        <v>353</v>
      </c>
      <c r="AX78" s="1">
        <f t="shared" si="59"/>
        <v>4</v>
      </c>
      <c r="AY78" s="1">
        <v>153</v>
      </c>
      <c r="AZ78" s="1">
        <v>149</v>
      </c>
      <c r="BA78" s="1">
        <f t="shared" si="60"/>
        <v>20</v>
      </c>
      <c r="BB78" s="1">
        <v>156</v>
      </c>
      <c r="BC78" s="1">
        <v>136</v>
      </c>
      <c r="BD78" s="1">
        <f t="shared" si="61"/>
        <v>30837</v>
      </c>
      <c r="BE78" s="1">
        <v>63495</v>
      </c>
      <c r="BF78" s="1">
        <v>32658</v>
      </c>
      <c r="BG78" s="1">
        <f t="shared" si="62"/>
        <v>14990</v>
      </c>
      <c r="BH78" s="1">
        <v>55575</v>
      </c>
      <c r="BI78" s="1">
        <v>40585</v>
      </c>
      <c r="BJ78" s="1">
        <f t="shared" si="63"/>
        <v>7674</v>
      </c>
      <c r="BK78" s="1">
        <v>22225</v>
      </c>
      <c r="BL78" s="1">
        <v>14551</v>
      </c>
      <c r="BM78" s="1">
        <f t="shared" si="64"/>
        <v>4211</v>
      </c>
      <c r="BN78" s="1">
        <v>6299</v>
      </c>
      <c r="BO78" s="1">
        <v>2088</v>
      </c>
      <c r="BP78" s="1">
        <f t="shared" si="65"/>
        <v>-444</v>
      </c>
      <c r="BQ78" s="1">
        <v>589</v>
      </c>
      <c r="BR78" s="1">
        <v>1033</v>
      </c>
      <c r="BS78" s="1">
        <f t="shared" si="66"/>
        <v>3499</v>
      </c>
      <c r="BT78" s="1">
        <v>8777</v>
      </c>
      <c r="BU78" s="1">
        <v>5278</v>
      </c>
      <c r="BV78" s="1">
        <f t="shared" si="38"/>
        <v>67472</v>
      </c>
      <c r="BW78" s="1">
        <v>333902</v>
      </c>
      <c r="BX78" s="1">
        <v>266430</v>
      </c>
      <c r="BZ78" s="1">
        <f t="shared" si="39"/>
        <v>67472</v>
      </c>
      <c r="CA78" s="1" cm="1">
        <f t="array" ref="CA78">SUMPRODUCT(C78:BT78*(MOD(COLUMN(C78:BT78)-COLUMN(C78),3)=0))</f>
        <v>333902</v>
      </c>
      <c r="CB78" s="1" cm="1">
        <f t="array" ref="CB78">SUMPRODUCT(D78:BU78*(MOD(COLUMN(D78:BU78)-COLUMN(D78),3)=0))</f>
        <v>266430</v>
      </c>
      <c r="CC78" s="1"/>
      <c r="CD78" s="1">
        <f t="shared" si="40"/>
        <v>0</v>
      </c>
      <c r="CE78" s="1">
        <f t="shared" si="41"/>
        <v>0</v>
      </c>
      <c r="CF78" s="1">
        <f t="shared" si="42"/>
        <v>0</v>
      </c>
    </row>
    <row r="79" spans="1:84" x14ac:dyDescent="0.25">
      <c r="A79" s="9">
        <f t="shared" si="67"/>
        <v>1907</v>
      </c>
      <c r="B79" s="1">
        <f t="shared" si="43"/>
        <v>5908</v>
      </c>
      <c r="C79" s="1">
        <v>52589</v>
      </c>
      <c r="D79" s="1">
        <v>46681</v>
      </c>
      <c r="E79" s="1">
        <f t="shared" si="44"/>
        <v>5420</v>
      </c>
      <c r="F79" s="1">
        <v>75648</v>
      </c>
      <c r="G79" s="1">
        <v>70228</v>
      </c>
      <c r="H79" s="1">
        <f t="shared" si="45"/>
        <v>-37</v>
      </c>
      <c r="I79" s="1">
        <v>8840</v>
      </c>
      <c r="J79" s="1">
        <v>8877</v>
      </c>
      <c r="K79" s="1">
        <f t="shared" si="46"/>
        <v>1500</v>
      </c>
      <c r="L79" s="1">
        <v>7375</v>
      </c>
      <c r="M79" s="1">
        <v>5875</v>
      </c>
      <c r="N79" s="1">
        <f t="shared" si="47"/>
        <v>553</v>
      </c>
      <c r="O79" s="1">
        <v>3111</v>
      </c>
      <c r="P79" s="1">
        <v>2558</v>
      </c>
      <c r="Q79" s="1">
        <f t="shared" si="48"/>
        <v>-67</v>
      </c>
      <c r="R79" s="1">
        <v>2018</v>
      </c>
      <c r="S79" s="1">
        <v>2085</v>
      </c>
      <c r="T79" s="1">
        <f t="shared" si="49"/>
        <v>614</v>
      </c>
      <c r="U79" s="1">
        <v>2393</v>
      </c>
      <c r="V79" s="1">
        <v>1779</v>
      </c>
      <c r="W79" s="1">
        <f t="shared" si="50"/>
        <v>230</v>
      </c>
      <c r="X79" s="1">
        <v>1224</v>
      </c>
      <c r="Y79" s="1">
        <v>994</v>
      </c>
      <c r="Z79" s="1">
        <f t="shared" si="51"/>
        <v>214</v>
      </c>
      <c r="AA79" s="1">
        <v>1906</v>
      </c>
      <c r="AB79" s="1">
        <v>1692</v>
      </c>
      <c r="AC79" s="1">
        <f t="shared" si="52"/>
        <v>-13</v>
      </c>
      <c r="AD79" s="1">
        <v>7005</v>
      </c>
      <c r="AE79" s="1">
        <v>7018</v>
      </c>
      <c r="AF79" s="1">
        <f t="shared" si="53"/>
        <v>89</v>
      </c>
      <c r="AG79" s="1">
        <v>3637</v>
      </c>
      <c r="AH79" s="1">
        <v>3548</v>
      </c>
      <c r="AI79" s="1">
        <f t="shared" si="54"/>
        <v>714</v>
      </c>
      <c r="AJ79" s="1">
        <v>3971</v>
      </c>
      <c r="AK79" s="1">
        <v>3257</v>
      </c>
      <c r="AL79" s="1">
        <f t="shared" si="55"/>
        <v>140</v>
      </c>
      <c r="AM79" s="1">
        <v>1779</v>
      </c>
      <c r="AN79" s="1">
        <v>1639</v>
      </c>
      <c r="AO79" s="1">
        <f t="shared" si="56"/>
        <v>445</v>
      </c>
      <c r="AP79" s="1">
        <v>1354</v>
      </c>
      <c r="AQ79" s="1">
        <v>909</v>
      </c>
      <c r="AR79" s="1">
        <f t="shared" si="57"/>
        <v>83</v>
      </c>
      <c r="AS79" s="1">
        <v>591</v>
      </c>
      <c r="AT79" s="1">
        <v>508</v>
      </c>
      <c r="AU79" s="1">
        <f t="shared" si="58"/>
        <v>149</v>
      </c>
      <c r="AV79" s="1">
        <v>636</v>
      </c>
      <c r="AW79" s="1">
        <v>487</v>
      </c>
      <c r="AX79" s="1">
        <f t="shared" si="59"/>
        <v>-13</v>
      </c>
      <c r="AY79" s="1">
        <v>191</v>
      </c>
      <c r="AZ79" s="1">
        <v>204</v>
      </c>
      <c r="BA79" s="1">
        <f t="shared" si="60"/>
        <v>-25</v>
      </c>
      <c r="BB79" s="1">
        <v>200</v>
      </c>
      <c r="BC79" s="1">
        <v>225</v>
      </c>
      <c r="BD79" s="1">
        <f t="shared" si="61"/>
        <v>13861</v>
      </c>
      <c r="BE79" s="1">
        <v>57184</v>
      </c>
      <c r="BF79" s="1">
        <v>43323</v>
      </c>
      <c r="BG79" s="1">
        <f t="shared" si="62"/>
        <v>25594</v>
      </c>
      <c r="BH79" s="1">
        <v>78149</v>
      </c>
      <c r="BI79" s="1">
        <v>52555</v>
      </c>
      <c r="BJ79" s="1">
        <f t="shared" si="63"/>
        <v>14572</v>
      </c>
      <c r="BK79" s="1">
        <v>28049</v>
      </c>
      <c r="BL79" s="1">
        <v>13477</v>
      </c>
      <c r="BM79" s="1">
        <f t="shared" si="64"/>
        <v>1280</v>
      </c>
      <c r="BN79" s="1">
        <v>4265</v>
      </c>
      <c r="BO79" s="1">
        <v>2985</v>
      </c>
      <c r="BP79" s="1">
        <f t="shared" si="65"/>
        <v>-415</v>
      </c>
      <c r="BQ79" s="1">
        <v>952</v>
      </c>
      <c r="BR79" s="1">
        <v>1367</v>
      </c>
      <c r="BS79" s="1">
        <f t="shared" si="66"/>
        <v>9747</v>
      </c>
      <c r="BT79" s="1">
        <v>14864</v>
      </c>
      <c r="BU79" s="1">
        <v>5117</v>
      </c>
      <c r="BV79" s="1">
        <f t="shared" si="38"/>
        <v>80543</v>
      </c>
      <c r="BW79" s="1">
        <v>357931</v>
      </c>
      <c r="BX79" s="1">
        <v>277388</v>
      </c>
      <c r="BZ79" s="1">
        <f t="shared" si="39"/>
        <v>80543</v>
      </c>
      <c r="CA79" s="1" cm="1">
        <f t="array" ref="CA79">SUMPRODUCT(C79:BT79*(MOD(COLUMN(C79:BT79)-COLUMN(C79),3)=0))</f>
        <v>357931</v>
      </c>
      <c r="CB79" s="1" cm="1">
        <f t="array" ref="CB79">SUMPRODUCT(D79:BU79*(MOD(COLUMN(D79:BU79)-COLUMN(D79),3)=0))</f>
        <v>277388</v>
      </c>
      <c r="CC79" s="1"/>
      <c r="CD79" s="1">
        <f t="shared" si="40"/>
        <v>0</v>
      </c>
      <c r="CE79" s="1">
        <f t="shared" si="41"/>
        <v>0</v>
      </c>
      <c r="CF79" s="1">
        <f t="shared" si="42"/>
        <v>0</v>
      </c>
    </row>
    <row r="80" spans="1:84" x14ac:dyDescent="0.25">
      <c r="A80" s="9">
        <f t="shared" si="67"/>
        <v>1908</v>
      </c>
      <c r="B80" s="1">
        <f t="shared" si="43"/>
        <v>7953</v>
      </c>
      <c r="C80" s="1">
        <v>53113</v>
      </c>
      <c r="D80" s="1">
        <v>45160</v>
      </c>
      <c r="E80" s="1">
        <f t="shared" si="44"/>
        <v>4849</v>
      </c>
      <c r="F80" s="1">
        <v>73298</v>
      </c>
      <c r="G80" s="1">
        <v>68449</v>
      </c>
      <c r="H80" s="1">
        <f t="shared" si="45"/>
        <v>266</v>
      </c>
      <c r="I80" s="1">
        <v>10692</v>
      </c>
      <c r="J80" s="1">
        <v>10426</v>
      </c>
      <c r="K80" s="1">
        <f t="shared" si="46"/>
        <v>2407</v>
      </c>
      <c r="L80" s="1">
        <v>9828</v>
      </c>
      <c r="M80" s="1">
        <v>7421</v>
      </c>
      <c r="N80" s="1">
        <f t="shared" si="47"/>
        <v>271</v>
      </c>
      <c r="O80" s="1">
        <v>3857</v>
      </c>
      <c r="P80" s="1">
        <v>3586</v>
      </c>
      <c r="Q80" s="1">
        <f t="shared" si="48"/>
        <v>323</v>
      </c>
      <c r="R80" s="1">
        <v>2666</v>
      </c>
      <c r="S80" s="1">
        <v>2343</v>
      </c>
      <c r="T80" s="1">
        <f t="shared" si="49"/>
        <v>487</v>
      </c>
      <c r="U80" s="1">
        <v>2328</v>
      </c>
      <c r="V80" s="1">
        <v>1841</v>
      </c>
      <c r="W80" s="1">
        <f t="shared" si="50"/>
        <v>213</v>
      </c>
      <c r="X80" s="1">
        <v>1579</v>
      </c>
      <c r="Y80" s="1">
        <v>1366</v>
      </c>
      <c r="Z80" s="1">
        <f t="shared" si="51"/>
        <v>-16</v>
      </c>
      <c r="AA80" s="1">
        <v>2432</v>
      </c>
      <c r="AB80" s="1">
        <v>2448</v>
      </c>
      <c r="AC80" s="1">
        <f t="shared" si="52"/>
        <v>433</v>
      </c>
      <c r="AD80" s="1">
        <v>7503</v>
      </c>
      <c r="AE80" s="1">
        <v>7070</v>
      </c>
      <c r="AF80" s="1">
        <f t="shared" si="53"/>
        <v>768</v>
      </c>
      <c r="AG80" s="1">
        <v>4418</v>
      </c>
      <c r="AH80" s="1">
        <v>3650</v>
      </c>
      <c r="AI80" s="1">
        <f t="shared" si="54"/>
        <v>174</v>
      </c>
      <c r="AJ80" s="1">
        <v>3632</v>
      </c>
      <c r="AK80" s="1">
        <v>3458</v>
      </c>
      <c r="AL80" s="1">
        <f t="shared" si="55"/>
        <v>459</v>
      </c>
      <c r="AM80" s="1">
        <v>1802</v>
      </c>
      <c r="AN80" s="1">
        <v>1343</v>
      </c>
      <c r="AO80" s="1">
        <f t="shared" si="56"/>
        <v>343</v>
      </c>
      <c r="AP80" s="1">
        <v>1408</v>
      </c>
      <c r="AQ80" s="1">
        <v>1065</v>
      </c>
      <c r="AR80" s="1">
        <f t="shared" si="57"/>
        <v>-70</v>
      </c>
      <c r="AS80" s="1">
        <v>490</v>
      </c>
      <c r="AT80" s="1">
        <v>560</v>
      </c>
      <c r="AU80" s="1">
        <f t="shared" si="58"/>
        <v>102</v>
      </c>
      <c r="AV80" s="1">
        <v>465</v>
      </c>
      <c r="AW80" s="1">
        <v>363</v>
      </c>
      <c r="AX80" s="1">
        <f t="shared" si="59"/>
        <v>65</v>
      </c>
      <c r="AY80" s="1">
        <v>192</v>
      </c>
      <c r="AZ80" s="1">
        <v>127</v>
      </c>
      <c r="BA80" s="1">
        <f t="shared" si="60"/>
        <v>-17</v>
      </c>
      <c r="BB80" s="1">
        <v>209</v>
      </c>
      <c r="BC80" s="1">
        <v>226</v>
      </c>
      <c r="BD80" s="1">
        <f t="shared" si="61"/>
        <v>11241</v>
      </c>
      <c r="BE80" s="1">
        <v>58424</v>
      </c>
      <c r="BF80" s="1">
        <v>47183</v>
      </c>
      <c r="BG80" s="1">
        <f t="shared" si="62"/>
        <v>11410</v>
      </c>
      <c r="BH80" s="1">
        <v>57987</v>
      </c>
      <c r="BI80" s="1">
        <v>46577</v>
      </c>
      <c r="BJ80" s="1">
        <f t="shared" si="63"/>
        <v>13278</v>
      </c>
      <c r="BK80" s="1">
        <v>31355</v>
      </c>
      <c r="BL80" s="1">
        <v>18077</v>
      </c>
      <c r="BM80" s="1">
        <f t="shared" si="64"/>
        <v>170</v>
      </c>
      <c r="BN80" s="1">
        <v>4148</v>
      </c>
      <c r="BO80" s="1">
        <v>3978</v>
      </c>
      <c r="BP80" s="1">
        <f t="shared" si="65"/>
        <v>-227</v>
      </c>
      <c r="BQ80" s="1">
        <v>1061</v>
      </c>
      <c r="BR80" s="1">
        <v>1288</v>
      </c>
      <c r="BS80" s="1">
        <f t="shared" si="66"/>
        <v>938</v>
      </c>
      <c r="BT80" s="1">
        <v>7973</v>
      </c>
      <c r="BU80" s="1">
        <v>7035</v>
      </c>
      <c r="BV80" s="1">
        <f t="shared" si="38"/>
        <v>55820</v>
      </c>
      <c r="BW80" s="1">
        <v>340860</v>
      </c>
      <c r="BX80" s="1">
        <v>285040</v>
      </c>
      <c r="BZ80" s="1">
        <f t="shared" si="39"/>
        <v>55820</v>
      </c>
      <c r="CA80" s="1" cm="1">
        <f t="array" ref="CA80">SUMPRODUCT(C80:BT80*(MOD(COLUMN(C80:BT80)-COLUMN(C80),3)=0))</f>
        <v>340860</v>
      </c>
      <c r="CB80" s="1" cm="1">
        <f t="array" ref="CB80">SUMPRODUCT(D80:BU80*(MOD(COLUMN(D80:BU80)-COLUMN(D80),3)=0))</f>
        <v>285040</v>
      </c>
      <c r="CC80" s="1"/>
      <c r="CD80" s="1">
        <f t="shared" si="40"/>
        <v>0</v>
      </c>
      <c r="CE80" s="1">
        <f t="shared" si="41"/>
        <v>0</v>
      </c>
      <c r="CF80" s="1">
        <f t="shared" si="42"/>
        <v>0</v>
      </c>
    </row>
    <row r="81" spans="1:84" x14ac:dyDescent="0.25">
      <c r="A81" s="9">
        <f t="shared" si="67"/>
        <v>1909</v>
      </c>
      <c r="B81" s="1">
        <f t="shared" si="43"/>
        <v>4663</v>
      </c>
      <c r="C81" s="1">
        <v>60922</v>
      </c>
      <c r="D81" s="1">
        <v>56259</v>
      </c>
      <c r="E81" s="1">
        <f t="shared" si="44"/>
        <v>4928</v>
      </c>
      <c r="F81" s="1">
        <v>75816</v>
      </c>
      <c r="G81" s="1">
        <v>70888</v>
      </c>
      <c r="H81" s="1">
        <f t="shared" si="45"/>
        <v>859</v>
      </c>
      <c r="I81" s="1">
        <v>11256</v>
      </c>
      <c r="J81" s="1">
        <v>10397</v>
      </c>
      <c r="K81" s="1">
        <f t="shared" si="46"/>
        <v>1210</v>
      </c>
      <c r="L81" s="1">
        <v>10024</v>
      </c>
      <c r="M81" s="1">
        <v>8814</v>
      </c>
      <c r="N81" s="1">
        <f t="shared" si="47"/>
        <v>444</v>
      </c>
      <c r="O81" s="1">
        <v>4737</v>
      </c>
      <c r="P81" s="1">
        <v>4293</v>
      </c>
      <c r="Q81" s="1">
        <f t="shared" si="48"/>
        <v>-112</v>
      </c>
      <c r="R81" s="1">
        <v>2915</v>
      </c>
      <c r="S81" s="1">
        <v>3027</v>
      </c>
      <c r="T81" s="1">
        <f t="shared" si="49"/>
        <v>578</v>
      </c>
      <c r="U81" s="1">
        <v>3054</v>
      </c>
      <c r="V81" s="1">
        <v>2476</v>
      </c>
      <c r="W81" s="1">
        <f t="shared" si="50"/>
        <v>430</v>
      </c>
      <c r="X81" s="1">
        <v>1849</v>
      </c>
      <c r="Y81" s="1">
        <v>1419</v>
      </c>
      <c r="Z81" s="1">
        <f t="shared" si="51"/>
        <v>397</v>
      </c>
      <c r="AA81" s="1">
        <v>2917</v>
      </c>
      <c r="AB81" s="1">
        <v>2520</v>
      </c>
      <c r="AC81" s="1">
        <f t="shared" si="52"/>
        <v>118</v>
      </c>
      <c r="AD81" s="1">
        <v>8996</v>
      </c>
      <c r="AE81" s="1">
        <v>8878</v>
      </c>
      <c r="AF81" s="1">
        <f t="shared" si="53"/>
        <v>1680</v>
      </c>
      <c r="AG81" s="1">
        <v>5419</v>
      </c>
      <c r="AH81" s="1">
        <v>3739</v>
      </c>
      <c r="AI81" s="1">
        <f t="shared" si="54"/>
        <v>517</v>
      </c>
      <c r="AJ81" s="1">
        <v>4174</v>
      </c>
      <c r="AK81" s="1">
        <v>3657</v>
      </c>
      <c r="AL81" s="1">
        <f t="shared" si="55"/>
        <v>580</v>
      </c>
      <c r="AM81" s="1">
        <v>2431</v>
      </c>
      <c r="AN81" s="1">
        <v>1851</v>
      </c>
      <c r="AO81" s="1">
        <f t="shared" si="56"/>
        <v>474</v>
      </c>
      <c r="AP81" s="1">
        <v>1929</v>
      </c>
      <c r="AQ81" s="1">
        <v>1455</v>
      </c>
      <c r="AR81" s="1">
        <f t="shared" si="57"/>
        <v>33</v>
      </c>
      <c r="AS81" s="1">
        <v>594</v>
      </c>
      <c r="AT81" s="1">
        <v>561</v>
      </c>
      <c r="AU81" s="1">
        <f t="shared" si="58"/>
        <v>81</v>
      </c>
      <c r="AV81" s="1">
        <v>523</v>
      </c>
      <c r="AW81" s="1">
        <v>442</v>
      </c>
      <c r="AX81" s="1">
        <f t="shared" si="59"/>
        <v>26</v>
      </c>
      <c r="AY81" s="1">
        <v>397</v>
      </c>
      <c r="AZ81" s="1">
        <v>371</v>
      </c>
      <c r="BA81" s="1">
        <f t="shared" si="60"/>
        <v>27</v>
      </c>
      <c r="BB81" s="1">
        <v>397</v>
      </c>
      <c r="BC81" s="1">
        <v>370</v>
      </c>
      <c r="BD81" s="1">
        <f t="shared" si="61"/>
        <v>17832</v>
      </c>
      <c r="BE81" s="1">
        <v>64905</v>
      </c>
      <c r="BF81" s="1">
        <v>47073</v>
      </c>
      <c r="BG81" s="1">
        <f t="shared" si="62"/>
        <v>14565</v>
      </c>
      <c r="BH81" s="1">
        <v>41434</v>
      </c>
      <c r="BI81" s="1">
        <v>26869</v>
      </c>
      <c r="BJ81" s="1">
        <f t="shared" si="63"/>
        <v>22675</v>
      </c>
      <c r="BK81" s="1">
        <v>52909</v>
      </c>
      <c r="BL81" s="1">
        <v>30234</v>
      </c>
      <c r="BM81" s="1">
        <f t="shared" si="64"/>
        <v>916</v>
      </c>
      <c r="BN81" s="1">
        <v>4353</v>
      </c>
      <c r="BO81" s="1">
        <v>3437</v>
      </c>
      <c r="BP81" s="1">
        <f t="shared" si="65"/>
        <v>131</v>
      </c>
      <c r="BQ81" s="1">
        <v>1216</v>
      </c>
      <c r="BR81" s="1">
        <v>1085</v>
      </c>
      <c r="BS81" s="1">
        <f t="shared" si="66"/>
        <v>933</v>
      </c>
      <c r="BT81" s="1">
        <v>7843</v>
      </c>
      <c r="BU81" s="1">
        <v>6910</v>
      </c>
      <c r="BV81" s="1">
        <f t="shared" si="38"/>
        <v>73985</v>
      </c>
      <c r="BW81" s="1">
        <v>371010</v>
      </c>
      <c r="BX81" s="1">
        <v>297025</v>
      </c>
      <c r="BZ81" s="1">
        <f t="shared" si="39"/>
        <v>73985</v>
      </c>
      <c r="CA81" s="1" cm="1">
        <f t="array" ref="CA81">SUMPRODUCT(C81:BT81*(MOD(COLUMN(C81:BT81)-COLUMN(C81),3)=0))</f>
        <v>371010</v>
      </c>
      <c r="CB81" s="1" cm="1">
        <f t="array" ref="CB81">SUMPRODUCT(D81:BU81*(MOD(COLUMN(D81:BU81)-COLUMN(D81),3)=0))</f>
        <v>297025</v>
      </c>
      <c r="CC81" s="1"/>
      <c r="CD81" s="1">
        <f t="shared" si="40"/>
        <v>0</v>
      </c>
      <c r="CE81" s="1">
        <f t="shared" si="41"/>
        <v>0</v>
      </c>
      <c r="CF81" s="1">
        <f t="shared" si="42"/>
        <v>0</v>
      </c>
    </row>
    <row r="82" spans="1:84" x14ac:dyDescent="0.25">
      <c r="A82" s="9">
        <f t="shared" si="67"/>
        <v>1910</v>
      </c>
      <c r="B82" s="1">
        <f t="shared" si="43"/>
        <v>7876</v>
      </c>
      <c r="C82" s="1">
        <v>67531</v>
      </c>
      <c r="D82" s="1">
        <v>59655</v>
      </c>
      <c r="E82" s="1">
        <f t="shared" si="44"/>
        <v>5553</v>
      </c>
      <c r="F82" s="1">
        <v>85151</v>
      </c>
      <c r="G82" s="1">
        <v>79598</v>
      </c>
      <c r="H82" s="1">
        <f t="shared" si="45"/>
        <v>1491</v>
      </c>
      <c r="I82" s="1">
        <v>13789</v>
      </c>
      <c r="J82" s="1">
        <v>12298</v>
      </c>
      <c r="K82" s="1">
        <f t="shared" si="46"/>
        <v>3119</v>
      </c>
      <c r="L82" s="1">
        <v>12676</v>
      </c>
      <c r="M82" s="1">
        <v>9557</v>
      </c>
      <c r="N82" s="1">
        <f t="shared" si="47"/>
        <v>671</v>
      </c>
      <c r="O82" s="1">
        <v>5660</v>
      </c>
      <c r="P82" s="1">
        <v>4989</v>
      </c>
      <c r="Q82" s="1">
        <f t="shared" si="48"/>
        <v>405</v>
      </c>
      <c r="R82" s="1">
        <v>3806</v>
      </c>
      <c r="S82" s="1">
        <v>3401</v>
      </c>
      <c r="T82" s="1">
        <f t="shared" si="49"/>
        <v>387</v>
      </c>
      <c r="U82" s="1">
        <v>3665</v>
      </c>
      <c r="V82" s="1">
        <v>3278</v>
      </c>
      <c r="W82" s="1">
        <f t="shared" si="50"/>
        <v>522</v>
      </c>
      <c r="X82" s="1">
        <v>2009</v>
      </c>
      <c r="Y82" s="1">
        <v>1487</v>
      </c>
      <c r="Z82" s="1">
        <f t="shared" si="51"/>
        <v>441</v>
      </c>
      <c r="AA82" s="1">
        <v>3152</v>
      </c>
      <c r="AB82" s="1">
        <v>2711</v>
      </c>
      <c r="AC82" s="1">
        <f t="shared" si="52"/>
        <v>1345</v>
      </c>
      <c r="AD82" s="1">
        <v>9213</v>
      </c>
      <c r="AE82" s="1">
        <v>7868</v>
      </c>
      <c r="AF82" s="1">
        <f t="shared" si="53"/>
        <v>754</v>
      </c>
      <c r="AG82" s="1">
        <v>3993</v>
      </c>
      <c r="AH82" s="1">
        <v>3239</v>
      </c>
      <c r="AI82" s="1">
        <f t="shared" si="54"/>
        <v>278</v>
      </c>
      <c r="AJ82" s="1">
        <v>3463</v>
      </c>
      <c r="AK82" s="1">
        <v>3185</v>
      </c>
      <c r="AL82" s="1">
        <f t="shared" si="55"/>
        <v>455</v>
      </c>
      <c r="AM82" s="1">
        <v>2681</v>
      </c>
      <c r="AN82" s="1">
        <v>2226</v>
      </c>
      <c r="AO82" s="1">
        <f t="shared" si="56"/>
        <v>725</v>
      </c>
      <c r="AP82" s="1">
        <v>2327</v>
      </c>
      <c r="AQ82" s="1">
        <v>1602</v>
      </c>
      <c r="AR82" s="1">
        <f t="shared" si="57"/>
        <v>121</v>
      </c>
      <c r="AS82" s="1">
        <v>727</v>
      </c>
      <c r="AT82" s="1">
        <v>606</v>
      </c>
      <c r="AU82" s="1">
        <f t="shared" si="58"/>
        <v>63</v>
      </c>
      <c r="AV82" s="1">
        <v>540</v>
      </c>
      <c r="AW82" s="1">
        <v>477</v>
      </c>
      <c r="AX82" s="1">
        <f t="shared" si="59"/>
        <v>28</v>
      </c>
      <c r="AY82" s="1">
        <v>393</v>
      </c>
      <c r="AZ82" s="1">
        <v>365</v>
      </c>
      <c r="BA82" s="1">
        <f t="shared" si="60"/>
        <v>17</v>
      </c>
      <c r="BB82" s="1">
        <v>466</v>
      </c>
      <c r="BC82" s="1">
        <v>449</v>
      </c>
      <c r="BD82" s="1">
        <f t="shared" si="61"/>
        <v>16596</v>
      </c>
      <c r="BE82" s="1">
        <v>80507</v>
      </c>
      <c r="BF82" s="1">
        <v>63911</v>
      </c>
      <c r="BG82" s="1">
        <f t="shared" si="62"/>
        <v>15806</v>
      </c>
      <c r="BH82" s="1">
        <v>67349</v>
      </c>
      <c r="BI82" s="1">
        <v>51543</v>
      </c>
      <c r="BJ82" s="1">
        <f t="shared" si="63"/>
        <v>18263</v>
      </c>
      <c r="BK82" s="1">
        <v>48174</v>
      </c>
      <c r="BL82" s="1">
        <v>29911</v>
      </c>
      <c r="BM82" s="1">
        <f t="shared" si="64"/>
        <v>-754</v>
      </c>
      <c r="BN82" s="1">
        <v>4614</v>
      </c>
      <c r="BO82" s="1">
        <v>5368</v>
      </c>
      <c r="BP82" s="1">
        <f t="shared" si="65"/>
        <v>-475</v>
      </c>
      <c r="BQ82" s="1">
        <v>1345</v>
      </c>
      <c r="BR82" s="1">
        <v>1820</v>
      </c>
      <c r="BS82" s="1">
        <f t="shared" si="66"/>
        <v>-46</v>
      </c>
      <c r="BT82" s="1">
        <v>4089</v>
      </c>
      <c r="BU82" s="1">
        <v>4135</v>
      </c>
      <c r="BV82" s="1">
        <f t="shared" si="38"/>
        <v>73641</v>
      </c>
      <c r="BW82" s="1">
        <v>427320</v>
      </c>
      <c r="BX82" s="1">
        <v>353679</v>
      </c>
      <c r="BZ82" s="1">
        <f t="shared" si="39"/>
        <v>73641</v>
      </c>
      <c r="CA82" s="1" cm="1">
        <f t="array" ref="CA82">SUMPRODUCT(C82:BT82*(MOD(COLUMN(C82:BT82)-COLUMN(C82),3)=0))</f>
        <v>427320</v>
      </c>
      <c r="CB82" s="1" cm="1">
        <f t="array" ref="CB82">SUMPRODUCT(D82:BU82*(MOD(COLUMN(D82:BU82)-COLUMN(D82),3)=0))</f>
        <v>353679</v>
      </c>
      <c r="CC82" s="1"/>
      <c r="CD82" s="1">
        <f t="shared" si="40"/>
        <v>0</v>
      </c>
      <c r="CE82" s="1">
        <f t="shared" si="41"/>
        <v>0</v>
      </c>
      <c r="CF82" s="1">
        <f t="shared" si="42"/>
        <v>0</v>
      </c>
    </row>
    <row r="83" spans="1:84" x14ac:dyDescent="0.25">
      <c r="A83" s="9">
        <f t="shared" si="67"/>
        <v>1911</v>
      </c>
      <c r="B83" s="1">
        <f t="shared" si="43"/>
        <v>6205</v>
      </c>
      <c r="C83" s="1">
        <v>80756</v>
      </c>
      <c r="D83" s="1">
        <v>74551</v>
      </c>
      <c r="E83" s="1">
        <f t="shared" si="44"/>
        <v>7308</v>
      </c>
      <c r="F83" s="1">
        <v>93263</v>
      </c>
      <c r="G83" s="1">
        <v>85955</v>
      </c>
      <c r="H83" s="1">
        <f t="shared" si="45"/>
        <v>885</v>
      </c>
      <c r="I83" s="1">
        <v>14297</v>
      </c>
      <c r="J83" s="1">
        <v>13412</v>
      </c>
      <c r="K83" s="1">
        <f t="shared" si="46"/>
        <v>1388</v>
      </c>
      <c r="L83" s="1">
        <v>11599</v>
      </c>
      <c r="M83" s="1">
        <v>10211</v>
      </c>
      <c r="N83" s="1">
        <f t="shared" si="47"/>
        <v>301</v>
      </c>
      <c r="O83" s="1">
        <v>5239</v>
      </c>
      <c r="P83" s="1">
        <v>4938</v>
      </c>
      <c r="Q83" s="1">
        <f t="shared" si="48"/>
        <v>393</v>
      </c>
      <c r="R83" s="1">
        <v>3407</v>
      </c>
      <c r="S83" s="1">
        <v>3014</v>
      </c>
      <c r="T83" s="1">
        <f t="shared" si="49"/>
        <v>632</v>
      </c>
      <c r="U83" s="1">
        <v>4894</v>
      </c>
      <c r="V83" s="1">
        <v>4262</v>
      </c>
      <c r="W83" s="1">
        <f t="shared" si="50"/>
        <v>844</v>
      </c>
      <c r="X83" s="1">
        <v>2383</v>
      </c>
      <c r="Y83" s="1">
        <v>1539</v>
      </c>
      <c r="Z83" s="1">
        <f t="shared" si="51"/>
        <v>312</v>
      </c>
      <c r="AA83" s="1">
        <v>2822</v>
      </c>
      <c r="AB83" s="1">
        <v>2510</v>
      </c>
      <c r="AC83" s="1">
        <f t="shared" si="52"/>
        <v>394</v>
      </c>
      <c r="AD83" s="1">
        <v>9179</v>
      </c>
      <c r="AE83" s="1">
        <v>8785</v>
      </c>
      <c r="AF83" s="1">
        <f t="shared" si="53"/>
        <v>-193</v>
      </c>
      <c r="AG83" s="1">
        <v>4610</v>
      </c>
      <c r="AH83" s="1">
        <v>4803</v>
      </c>
      <c r="AI83" s="1">
        <f t="shared" si="54"/>
        <v>556</v>
      </c>
      <c r="AJ83" s="1">
        <v>4514</v>
      </c>
      <c r="AK83" s="1">
        <v>3958</v>
      </c>
      <c r="AL83" s="1">
        <f t="shared" si="55"/>
        <v>831</v>
      </c>
      <c r="AM83" s="1">
        <v>2623</v>
      </c>
      <c r="AN83" s="1">
        <v>1792</v>
      </c>
      <c r="AO83" s="1">
        <f t="shared" si="56"/>
        <v>652</v>
      </c>
      <c r="AP83" s="1">
        <v>2299</v>
      </c>
      <c r="AQ83" s="1">
        <v>1647</v>
      </c>
      <c r="AR83" s="1">
        <f t="shared" si="57"/>
        <v>-1</v>
      </c>
      <c r="AS83" s="1">
        <v>847</v>
      </c>
      <c r="AT83" s="1">
        <v>848</v>
      </c>
      <c r="AU83" s="1">
        <f t="shared" si="58"/>
        <v>73</v>
      </c>
      <c r="AV83" s="1">
        <v>474</v>
      </c>
      <c r="AW83" s="1">
        <v>401</v>
      </c>
      <c r="AX83" s="1">
        <f t="shared" si="59"/>
        <v>35</v>
      </c>
      <c r="AY83" s="1">
        <v>358</v>
      </c>
      <c r="AZ83" s="1">
        <v>323</v>
      </c>
      <c r="BA83" s="1">
        <f t="shared" si="60"/>
        <v>-34</v>
      </c>
      <c r="BB83" s="1">
        <v>352</v>
      </c>
      <c r="BC83" s="1">
        <v>386</v>
      </c>
      <c r="BD83" s="1">
        <f t="shared" si="61"/>
        <v>19694</v>
      </c>
      <c r="BE83" s="1">
        <v>84184</v>
      </c>
      <c r="BF83" s="1">
        <v>64490</v>
      </c>
      <c r="BG83" s="1">
        <f t="shared" si="62"/>
        <v>-6520</v>
      </c>
      <c r="BH83" s="1">
        <v>47797</v>
      </c>
      <c r="BI83" s="1">
        <v>54317</v>
      </c>
      <c r="BJ83" s="1">
        <f t="shared" si="63"/>
        <v>23277</v>
      </c>
      <c r="BK83" s="1">
        <v>56331</v>
      </c>
      <c r="BL83" s="1">
        <v>33054</v>
      </c>
      <c r="BM83" s="1">
        <f t="shared" si="64"/>
        <v>1293</v>
      </c>
      <c r="BN83" s="1">
        <v>5288</v>
      </c>
      <c r="BO83" s="1">
        <v>3995</v>
      </c>
      <c r="BP83" s="1">
        <f t="shared" si="65"/>
        <v>-519</v>
      </c>
      <c r="BQ83" s="1">
        <v>1403</v>
      </c>
      <c r="BR83" s="1">
        <v>1922</v>
      </c>
      <c r="BS83" s="1">
        <f t="shared" si="66"/>
        <v>649</v>
      </c>
      <c r="BT83" s="1">
        <v>3396</v>
      </c>
      <c r="BU83" s="1">
        <v>2747</v>
      </c>
      <c r="BV83" s="1">
        <f t="shared" si="38"/>
        <v>58455</v>
      </c>
      <c r="BW83" s="1">
        <v>442315</v>
      </c>
      <c r="BX83" s="1">
        <v>383860</v>
      </c>
      <c r="BZ83" s="1">
        <f t="shared" si="39"/>
        <v>58455</v>
      </c>
      <c r="CA83" s="1" cm="1">
        <f t="array" ref="CA83">SUMPRODUCT(C83:BT83*(MOD(COLUMN(C83:BT83)-COLUMN(C83),3)=0))</f>
        <v>442315</v>
      </c>
      <c r="CB83" s="1" cm="1">
        <f t="array" ref="CB83">SUMPRODUCT(D83:BU83*(MOD(COLUMN(D83:BU83)-COLUMN(D83),3)=0))</f>
        <v>383860</v>
      </c>
      <c r="CC83" s="1"/>
      <c r="CD83" s="1">
        <f t="shared" si="40"/>
        <v>0</v>
      </c>
      <c r="CE83" s="1">
        <f t="shared" si="41"/>
        <v>0</v>
      </c>
      <c r="CF83" s="1">
        <f t="shared" si="42"/>
        <v>0</v>
      </c>
    </row>
    <row r="84" spans="1:84" x14ac:dyDescent="0.25">
      <c r="A84" s="9">
        <f t="shared" si="67"/>
        <v>1912</v>
      </c>
      <c r="B84" s="1">
        <f t="shared" si="43"/>
        <v>6568</v>
      </c>
      <c r="C84" s="1">
        <v>92198</v>
      </c>
      <c r="D84" s="1">
        <v>85630</v>
      </c>
      <c r="E84" s="1">
        <f t="shared" si="44"/>
        <v>7293</v>
      </c>
      <c r="F84" s="1">
        <v>94935</v>
      </c>
      <c r="G84" s="1">
        <v>87642</v>
      </c>
      <c r="H84" s="1">
        <f t="shared" si="45"/>
        <v>1428</v>
      </c>
      <c r="I84" s="1">
        <v>17418</v>
      </c>
      <c r="J84" s="1">
        <v>15990</v>
      </c>
      <c r="K84" s="1">
        <f t="shared" si="46"/>
        <v>1654</v>
      </c>
      <c r="L84" s="1">
        <v>13287</v>
      </c>
      <c r="M84" s="1">
        <v>11633</v>
      </c>
      <c r="N84" s="1">
        <f t="shared" si="47"/>
        <v>281</v>
      </c>
      <c r="O84" s="1">
        <v>5963</v>
      </c>
      <c r="P84" s="1">
        <v>5682</v>
      </c>
      <c r="Q84" s="1">
        <f t="shared" si="48"/>
        <v>264</v>
      </c>
      <c r="R84" s="1">
        <v>5998</v>
      </c>
      <c r="S84" s="1">
        <v>5734</v>
      </c>
      <c r="T84" s="1">
        <f t="shared" si="49"/>
        <v>255</v>
      </c>
      <c r="U84" s="1">
        <v>5909</v>
      </c>
      <c r="V84" s="1">
        <v>5654</v>
      </c>
      <c r="W84" s="1">
        <f t="shared" si="50"/>
        <v>675</v>
      </c>
      <c r="X84" s="1">
        <v>2884</v>
      </c>
      <c r="Y84" s="1">
        <v>2209</v>
      </c>
      <c r="Z84" s="1">
        <f t="shared" si="51"/>
        <v>125</v>
      </c>
      <c r="AA84" s="1">
        <v>3997</v>
      </c>
      <c r="AB84" s="1">
        <v>3872</v>
      </c>
      <c r="AC84" s="1">
        <f t="shared" si="52"/>
        <v>-3643</v>
      </c>
      <c r="AD84" s="1">
        <v>8972</v>
      </c>
      <c r="AE84" s="1">
        <v>12615</v>
      </c>
      <c r="AF84" s="1">
        <f t="shared" si="53"/>
        <v>166</v>
      </c>
      <c r="AG84" s="1">
        <v>5754</v>
      </c>
      <c r="AH84" s="1">
        <v>5588</v>
      </c>
      <c r="AI84" s="1">
        <f t="shared" si="54"/>
        <v>-447</v>
      </c>
      <c r="AJ84" s="1">
        <v>3801</v>
      </c>
      <c r="AK84" s="1">
        <v>4248</v>
      </c>
      <c r="AL84" s="1">
        <f t="shared" si="55"/>
        <v>1010</v>
      </c>
      <c r="AM84" s="1">
        <v>3048</v>
      </c>
      <c r="AN84" s="1">
        <v>2038</v>
      </c>
      <c r="AO84" s="1">
        <f t="shared" si="56"/>
        <v>845</v>
      </c>
      <c r="AP84" s="1">
        <v>2567</v>
      </c>
      <c r="AQ84" s="1">
        <v>1722</v>
      </c>
      <c r="AR84" s="1">
        <f t="shared" si="57"/>
        <v>-171</v>
      </c>
      <c r="AS84" s="1">
        <v>893</v>
      </c>
      <c r="AT84" s="1">
        <v>1064</v>
      </c>
      <c r="AU84" s="1">
        <f t="shared" si="58"/>
        <v>11</v>
      </c>
      <c r="AV84" s="1">
        <v>621</v>
      </c>
      <c r="AW84" s="1">
        <v>610</v>
      </c>
      <c r="AX84" s="1">
        <f t="shared" si="59"/>
        <v>-9</v>
      </c>
      <c r="AY84" s="1">
        <v>341</v>
      </c>
      <c r="AZ84" s="1">
        <v>350</v>
      </c>
      <c r="BA84" s="1">
        <f t="shared" si="60"/>
        <v>-130</v>
      </c>
      <c r="BB84" s="1">
        <v>653</v>
      </c>
      <c r="BC84" s="1">
        <v>783</v>
      </c>
      <c r="BD84" s="1">
        <f t="shared" si="61"/>
        <v>28965</v>
      </c>
      <c r="BE84" s="1">
        <v>103297</v>
      </c>
      <c r="BF84" s="1">
        <v>74332</v>
      </c>
      <c r="BG84" s="1">
        <f t="shared" si="62"/>
        <v>15234</v>
      </c>
      <c r="BH84" s="1">
        <v>64168</v>
      </c>
      <c r="BI84" s="1">
        <v>48934</v>
      </c>
      <c r="BJ84" s="1">
        <f t="shared" si="63"/>
        <v>7686</v>
      </c>
      <c r="BK84" s="1">
        <v>44563</v>
      </c>
      <c r="BL84" s="1">
        <v>36877</v>
      </c>
      <c r="BM84" s="1">
        <f t="shared" si="64"/>
        <v>1699</v>
      </c>
      <c r="BN84" s="1">
        <v>4839</v>
      </c>
      <c r="BO84" s="1">
        <v>3140</v>
      </c>
      <c r="BP84" s="1">
        <f t="shared" si="65"/>
        <v>10</v>
      </c>
      <c r="BQ84" s="1">
        <v>1616</v>
      </c>
      <c r="BR84" s="1">
        <v>1606</v>
      </c>
      <c r="BS84" s="1">
        <f t="shared" si="66"/>
        <v>541</v>
      </c>
      <c r="BT84" s="1">
        <v>4748</v>
      </c>
      <c r="BU84" s="1">
        <v>4207</v>
      </c>
      <c r="BV84" s="1">
        <f t="shared" si="38"/>
        <v>70292</v>
      </c>
      <c r="BW84" s="1">
        <v>492452</v>
      </c>
      <c r="BX84" s="1">
        <v>422160</v>
      </c>
      <c r="BZ84" s="1">
        <f t="shared" si="39"/>
        <v>70310</v>
      </c>
      <c r="CA84" s="1" cm="1">
        <f t="array" ref="CA84">SUMPRODUCT(C84:BT84*(MOD(COLUMN(C84:BT84)-COLUMN(C84),3)=0))</f>
        <v>492470</v>
      </c>
      <c r="CB84" s="1" cm="1">
        <f t="array" ref="CB84">SUMPRODUCT(D84:BU84*(MOD(COLUMN(D84:BU84)-COLUMN(D84),3)=0))</f>
        <v>422160</v>
      </c>
      <c r="CC84" s="1"/>
      <c r="CD84" s="1">
        <f t="shared" si="40"/>
        <v>-18</v>
      </c>
      <c r="CE84" s="1">
        <f t="shared" si="41"/>
        <v>-18</v>
      </c>
      <c r="CF84" s="1">
        <f t="shared" si="42"/>
        <v>0</v>
      </c>
    </row>
    <row r="85" spans="1:84" x14ac:dyDescent="0.25">
      <c r="A85" s="9">
        <f t="shared" si="67"/>
        <v>1913</v>
      </c>
      <c r="B85" s="1">
        <f t="shared" si="43"/>
        <v>6532</v>
      </c>
      <c r="C85" s="1">
        <v>91446</v>
      </c>
      <c r="D85" s="1">
        <v>84914</v>
      </c>
      <c r="E85" s="1">
        <f t="shared" si="44"/>
        <v>7035</v>
      </c>
      <c r="F85" s="1">
        <v>76710</v>
      </c>
      <c r="G85" s="1">
        <v>69675</v>
      </c>
      <c r="H85" s="1">
        <f t="shared" si="45"/>
        <v>2768</v>
      </c>
      <c r="I85" s="1">
        <v>20010</v>
      </c>
      <c r="J85" s="1">
        <v>17242</v>
      </c>
      <c r="K85" s="1">
        <f t="shared" si="46"/>
        <v>2244</v>
      </c>
      <c r="L85" s="1">
        <v>14678</v>
      </c>
      <c r="M85" s="1">
        <v>12434</v>
      </c>
      <c r="N85" s="1">
        <f t="shared" si="47"/>
        <v>936</v>
      </c>
      <c r="O85" s="1">
        <v>7702</v>
      </c>
      <c r="P85" s="1">
        <v>6766</v>
      </c>
      <c r="Q85" s="1">
        <f t="shared" si="48"/>
        <v>941</v>
      </c>
      <c r="R85" s="1">
        <v>7720</v>
      </c>
      <c r="S85" s="1">
        <v>6779</v>
      </c>
      <c r="T85" s="1">
        <f t="shared" si="49"/>
        <v>1258</v>
      </c>
      <c r="U85" s="1">
        <v>6314</v>
      </c>
      <c r="V85" s="1">
        <v>5056</v>
      </c>
      <c r="W85" s="1">
        <f t="shared" si="50"/>
        <v>1699</v>
      </c>
      <c r="X85" s="1">
        <v>5177</v>
      </c>
      <c r="Y85" s="1">
        <v>3478</v>
      </c>
      <c r="Z85" s="1">
        <f t="shared" si="51"/>
        <v>383</v>
      </c>
      <c r="AA85" s="1">
        <v>5601</v>
      </c>
      <c r="AB85" s="1">
        <v>5218</v>
      </c>
      <c r="AC85" s="1">
        <f t="shared" si="52"/>
        <v>1792</v>
      </c>
      <c r="AD85" s="1">
        <v>5879</v>
      </c>
      <c r="AE85" s="1">
        <v>4087</v>
      </c>
      <c r="AF85" s="1">
        <f t="shared" si="53"/>
        <v>214</v>
      </c>
      <c r="AG85" s="1">
        <v>5122</v>
      </c>
      <c r="AH85" s="1">
        <v>4908</v>
      </c>
      <c r="AI85" s="1">
        <f t="shared" si="54"/>
        <v>263</v>
      </c>
      <c r="AJ85" s="1">
        <v>3853</v>
      </c>
      <c r="AK85" s="1">
        <v>3590</v>
      </c>
      <c r="AL85" s="1">
        <f t="shared" si="55"/>
        <v>1330</v>
      </c>
      <c r="AM85" s="1">
        <v>3902</v>
      </c>
      <c r="AN85" s="1">
        <v>2572</v>
      </c>
      <c r="AO85" s="1">
        <f t="shared" si="56"/>
        <v>478</v>
      </c>
      <c r="AP85" s="1">
        <v>2524</v>
      </c>
      <c r="AQ85" s="1">
        <v>2046</v>
      </c>
      <c r="AR85" s="1">
        <f t="shared" si="57"/>
        <v>17</v>
      </c>
      <c r="AS85" s="1">
        <v>791</v>
      </c>
      <c r="AT85" s="1">
        <v>774</v>
      </c>
      <c r="AU85" s="1">
        <f t="shared" si="58"/>
        <v>116</v>
      </c>
      <c r="AV85" s="1">
        <v>623</v>
      </c>
      <c r="AW85" s="1">
        <v>507</v>
      </c>
      <c r="AX85" s="1">
        <f t="shared" si="59"/>
        <v>45</v>
      </c>
      <c r="AY85" s="1">
        <v>393</v>
      </c>
      <c r="AZ85" s="1">
        <v>348</v>
      </c>
      <c r="BA85" s="1">
        <f t="shared" si="60"/>
        <v>250</v>
      </c>
      <c r="BB85" s="1">
        <v>641</v>
      </c>
      <c r="BC85" s="1">
        <v>391</v>
      </c>
      <c r="BD85" s="1">
        <f t="shared" si="61"/>
        <v>36352</v>
      </c>
      <c r="BE85" s="1">
        <v>127994</v>
      </c>
      <c r="BF85" s="1">
        <v>91642</v>
      </c>
      <c r="BG85" s="1">
        <f t="shared" si="62"/>
        <v>13152</v>
      </c>
      <c r="BH85" s="1">
        <v>63842</v>
      </c>
      <c r="BI85" s="1">
        <v>50690</v>
      </c>
      <c r="BJ85" s="1">
        <f t="shared" si="63"/>
        <v>16316</v>
      </c>
      <c r="BK85" s="1">
        <v>54983</v>
      </c>
      <c r="BL85" s="1">
        <v>38667</v>
      </c>
      <c r="BM85" s="1">
        <f t="shared" si="64"/>
        <v>814</v>
      </c>
      <c r="BN85" s="1">
        <v>4069</v>
      </c>
      <c r="BO85" s="1">
        <v>3255</v>
      </c>
      <c r="BP85" s="1">
        <f t="shared" si="65"/>
        <v>137</v>
      </c>
      <c r="BQ85" s="1">
        <v>1585</v>
      </c>
      <c r="BR85" s="1">
        <v>1448</v>
      </c>
      <c r="BS85" s="1">
        <f t="shared" si="66"/>
        <v>-239</v>
      </c>
      <c r="BT85" s="1">
        <v>4455</v>
      </c>
      <c r="BU85" s="1">
        <v>4694</v>
      </c>
      <c r="BV85" s="1">
        <f t="shared" si="38"/>
        <v>94833</v>
      </c>
      <c r="BW85" s="1">
        <v>516014</v>
      </c>
      <c r="BX85" s="1">
        <v>421181</v>
      </c>
      <c r="BZ85" s="1">
        <f t="shared" si="39"/>
        <v>94833</v>
      </c>
      <c r="CA85" s="1" cm="1">
        <f t="array" ref="CA85">SUMPRODUCT(C85:BT85*(MOD(COLUMN(C85:BT85)-COLUMN(C85),3)=0))</f>
        <v>516014</v>
      </c>
      <c r="CB85" s="1" cm="1">
        <f t="array" ref="CB85">SUMPRODUCT(D85:BU85*(MOD(COLUMN(D85:BU85)-COLUMN(D85),3)=0))</f>
        <v>421181</v>
      </c>
      <c r="CC85" s="1"/>
      <c r="CD85" s="1">
        <f t="shared" si="40"/>
        <v>0</v>
      </c>
      <c r="CE85" s="1">
        <f t="shared" si="41"/>
        <v>0</v>
      </c>
      <c r="CF85" s="1">
        <f t="shared" si="42"/>
        <v>0</v>
      </c>
    </row>
    <row r="86" spans="1:84" x14ac:dyDescent="0.25">
      <c r="A86" s="9">
        <f t="shared" si="67"/>
        <v>1914</v>
      </c>
      <c r="B86" s="1">
        <f t="shared" si="43"/>
        <v>-323</v>
      </c>
      <c r="C86" s="1">
        <v>42608</v>
      </c>
      <c r="D86" s="1">
        <v>42931</v>
      </c>
      <c r="E86" s="1">
        <f t="shared" si="44"/>
        <v>6049</v>
      </c>
      <c r="F86" s="1">
        <v>35218</v>
      </c>
      <c r="G86" s="1">
        <v>29169</v>
      </c>
      <c r="H86" s="1">
        <f t="shared" si="45"/>
        <v>-1098</v>
      </c>
      <c r="I86" s="1">
        <v>9471</v>
      </c>
      <c r="J86" s="1">
        <v>10569</v>
      </c>
      <c r="K86" s="1">
        <f t="shared" si="46"/>
        <v>-28</v>
      </c>
      <c r="L86" s="1">
        <v>7612</v>
      </c>
      <c r="M86" s="1">
        <v>7640</v>
      </c>
      <c r="N86" s="1">
        <f t="shared" si="47"/>
        <v>889</v>
      </c>
      <c r="O86" s="1">
        <v>3976</v>
      </c>
      <c r="P86" s="1">
        <v>3087</v>
      </c>
      <c r="Q86" s="1">
        <f t="shared" si="48"/>
        <v>-273</v>
      </c>
      <c r="R86" s="1">
        <v>3417</v>
      </c>
      <c r="S86" s="1">
        <v>3690</v>
      </c>
      <c r="T86" s="1">
        <f t="shared" si="49"/>
        <v>423</v>
      </c>
      <c r="U86" s="1">
        <v>3153</v>
      </c>
      <c r="V86" s="1">
        <v>2730</v>
      </c>
      <c r="W86" s="1">
        <f t="shared" si="50"/>
        <v>694</v>
      </c>
      <c r="X86" s="1">
        <v>2294</v>
      </c>
      <c r="Y86" s="1">
        <v>1600</v>
      </c>
      <c r="Z86" s="1">
        <f t="shared" si="51"/>
        <v>-331</v>
      </c>
      <c r="AA86" s="1">
        <v>3304</v>
      </c>
      <c r="AB86" s="1">
        <v>3635</v>
      </c>
      <c r="AC86" s="1">
        <f t="shared" si="52"/>
        <v>1577</v>
      </c>
      <c r="AD86" s="1">
        <v>7764</v>
      </c>
      <c r="AE86" s="1">
        <v>6187</v>
      </c>
      <c r="AF86" s="1">
        <f t="shared" si="53"/>
        <v>-3</v>
      </c>
      <c r="AG86" s="1">
        <v>4290</v>
      </c>
      <c r="AH86" s="1">
        <v>4293</v>
      </c>
      <c r="AI86" s="1">
        <f t="shared" si="54"/>
        <v>865</v>
      </c>
      <c r="AJ86" s="1">
        <v>3849</v>
      </c>
      <c r="AK86" s="1">
        <v>2984</v>
      </c>
      <c r="AL86" s="1">
        <f t="shared" si="55"/>
        <v>557</v>
      </c>
      <c r="AM86" s="1">
        <v>1994</v>
      </c>
      <c r="AN86" s="1">
        <v>1437</v>
      </c>
      <c r="AO86" s="1">
        <f t="shared" si="56"/>
        <v>12</v>
      </c>
      <c r="AP86" s="1">
        <v>1442</v>
      </c>
      <c r="AQ86" s="1">
        <v>1430</v>
      </c>
      <c r="AR86" s="1">
        <f t="shared" si="57"/>
        <v>-14</v>
      </c>
      <c r="AS86" s="1">
        <v>744</v>
      </c>
      <c r="AT86" s="1">
        <v>758</v>
      </c>
      <c r="AU86" s="1">
        <f t="shared" si="58"/>
        <v>43</v>
      </c>
      <c r="AV86" s="1">
        <v>295</v>
      </c>
      <c r="AW86" s="1">
        <v>252</v>
      </c>
      <c r="AX86" s="1">
        <f t="shared" si="59"/>
        <v>7</v>
      </c>
      <c r="AY86" s="1">
        <v>141</v>
      </c>
      <c r="AZ86" s="1">
        <v>134</v>
      </c>
      <c r="BA86" s="1">
        <f t="shared" si="60"/>
        <v>45</v>
      </c>
      <c r="BB86" s="1">
        <v>254</v>
      </c>
      <c r="BC86" s="1">
        <v>209</v>
      </c>
      <c r="BD86" s="1">
        <f t="shared" si="61"/>
        <v>32894</v>
      </c>
      <c r="BE86" s="1">
        <v>108121</v>
      </c>
      <c r="BF86" s="1">
        <v>75227</v>
      </c>
      <c r="BG86" s="1">
        <f t="shared" si="62"/>
        <v>19052</v>
      </c>
      <c r="BH86" s="1">
        <v>75746</v>
      </c>
      <c r="BI86" s="1">
        <v>56694</v>
      </c>
      <c r="BJ86" s="1">
        <f t="shared" si="63"/>
        <v>10755</v>
      </c>
      <c r="BK86" s="1">
        <v>47141</v>
      </c>
      <c r="BL86" s="1">
        <v>36386</v>
      </c>
      <c r="BM86" s="1">
        <f t="shared" si="64"/>
        <v>300</v>
      </c>
      <c r="BN86" s="1">
        <v>3455</v>
      </c>
      <c r="BO86" s="1">
        <v>3155</v>
      </c>
      <c r="BP86" s="1">
        <f t="shared" si="65"/>
        <v>34</v>
      </c>
      <c r="BQ86" s="1">
        <v>667</v>
      </c>
      <c r="BR86" s="1">
        <v>633</v>
      </c>
      <c r="BS86" s="1">
        <f t="shared" si="66"/>
        <v>-1287</v>
      </c>
      <c r="BT86" s="1">
        <v>4033</v>
      </c>
      <c r="BU86" s="1">
        <v>5320</v>
      </c>
      <c r="BV86" s="1">
        <f t="shared" si="38"/>
        <v>70837</v>
      </c>
      <c r="BW86" s="1">
        <v>370987</v>
      </c>
      <c r="BX86" s="1">
        <v>300150</v>
      </c>
      <c r="BZ86" s="1">
        <f t="shared" si="39"/>
        <v>70839</v>
      </c>
      <c r="CA86" s="1" cm="1">
        <f t="array" ref="CA86">SUMPRODUCT(C86:BT86*(MOD(COLUMN(C86:BT86)-COLUMN(C86),3)=0))</f>
        <v>370989</v>
      </c>
      <c r="CB86" s="1" cm="1">
        <f t="array" ref="CB86">SUMPRODUCT(D86:BU86*(MOD(COLUMN(D86:BU86)-COLUMN(D86),3)=0))</f>
        <v>300150</v>
      </c>
      <c r="CC86" s="1"/>
      <c r="CD86" s="1">
        <f t="shared" si="40"/>
        <v>-2</v>
      </c>
      <c r="CE86" s="1">
        <f t="shared" si="41"/>
        <v>-2</v>
      </c>
      <c r="CF86" s="1">
        <f t="shared" si="42"/>
        <v>0</v>
      </c>
    </row>
    <row r="87" spans="1:84" x14ac:dyDescent="0.25">
      <c r="A87" s="9">
        <f t="shared" si="67"/>
        <v>1915</v>
      </c>
      <c r="B87" s="1">
        <f t="shared" si="43"/>
        <v>-7327</v>
      </c>
      <c r="C87" s="1">
        <v>12</v>
      </c>
      <c r="D87" s="1">
        <v>7339</v>
      </c>
      <c r="E87" s="1">
        <f t="shared" si="44"/>
        <v>-1094</v>
      </c>
      <c r="F87" s="1">
        <v>197</v>
      </c>
      <c r="G87" s="1">
        <v>1291</v>
      </c>
      <c r="H87" s="1">
        <f t="shared" si="45"/>
        <v>-138</v>
      </c>
      <c r="I87" s="1">
        <v>1046</v>
      </c>
      <c r="J87" s="1">
        <v>1184</v>
      </c>
      <c r="K87" s="1">
        <f t="shared" si="46"/>
        <v>-88</v>
      </c>
      <c r="L87" s="1">
        <v>1110</v>
      </c>
      <c r="M87" s="1">
        <v>1198</v>
      </c>
      <c r="N87" s="1">
        <f t="shared" si="47"/>
        <v>43</v>
      </c>
      <c r="O87" s="1">
        <v>471</v>
      </c>
      <c r="P87" s="1">
        <v>428</v>
      </c>
      <c r="Q87" s="1">
        <f t="shared" si="48"/>
        <v>48</v>
      </c>
      <c r="R87" s="1">
        <v>268</v>
      </c>
      <c r="S87" s="1">
        <v>220</v>
      </c>
      <c r="T87" s="1">
        <f t="shared" si="49"/>
        <v>96</v>
      </c>
      <c r="U87" s="1">
        <v>220</v>
      </c>
      <c r="V87" s="1">
        <v>124</v>
      </c>
      <c r="W87" s="1">
        <f t="shared" si="50"/>
        <v>-4</v>
      </c>
      <c r="X87" s="1">
        <v>91</v>
      </c>
      <c r="Y87" s="1">
        <v>95</v>
      </c>
      <c r="Z87" s="1">
        <f t="shared" si="51"/>
        <v>-24</v>
      </c>
      <c r="AA87" s="1">
        <v>509</v>
      </c>
      <c r="AB87" s="1">
        <v>533</v>
      </c>
      <c r="AC87" s="1">
        <f t="shared" si="52"/>
        <v>859</v>
      </c>
      <c r="AD87" s="1">
        <v>1679</v>
      </c>
      <c r="AE87" s="1">
        <v>820</v>
      </c>
      <c r="AF87" s="1">
        <f t="shared" si="53"/>
        <v>-182</v>
      </c>
      <c r="AG87" s="1">
        <v>1063</v>
      </c>
      <c r="AH87" s="1">
        <v>1245</v>
      </c>
      <c r="AI87" s="1">
        <f t="shared" si="54"/>
        <v>-442</v>
      </c>
      <c r="AJ87" s="1">
        <v>1897</v>
      </c>
      <c r="AK87" s="1">
        <v>2339</v>
      </c>
      <c r="AL87" s="1">
        <f t="shared" si="55"/>
        <v>23</v>
      </c>
      <c r="AM87" s="1">
        <v>401</v>
      </c>
      <c r="AN87" s="1">
        <v>378</v>
      </c>
      <c r="AO87" s="1">
        <f t="shared" si="56"/>
        <v>67</v>
      </c>
      <c r="AP87" s="1">
        <v>718</v>
      </c>
      <c r="AQ87" s="1">
        <v>651</v>
      </c>
      <c r="AR87" s="1">
        <f t="shared" si="57"/>
        <v>34</v>
      </c>
      <c r="AS87" s="1">
        <v>161</v>
      </c>
      <c r="AT87" s="1">
        <v>127</v>
      </c>
      <c r="AU87" s="1">
        <f t="shared" si="58"/>
        <v>10</v>
      </c>
      <c r="AV87" s="1">
        <v>17</v>
      </c>
      <c r="AW87" s="1">
        <v>7</v>
      </c>
      <c r="AX87" s="1">
        <f t="shared" si="59"/>
        <v>-1</v>
      </c>
      <c r="AY87" s="1">
        <v>2</v>
      </c>
      <c r="AZ87" s="1">
        <v>3</v>
      </c>
      <c r="BA87" s="1">
        <f t="shared" si="60"/>
        <v>33</v>
      </c>
      <c r="BB87" s="1">
        <v>83</v>
      </c>
      <c r="BC87" s="1">
        <v>50</v>
      </c>
      <c r="BD87" s="1">
        <f t="shared" si="61"/>
        <v>8849</v>
      </c>
      <c r="BE87" s="1">
        <v>71229</v>
      </c>
      <c r="BF87" s="1">
        <v>62380</v>
      </c>
      <c r="BG87" s="1">
        <f t="shared" si="62"/>
        <v>26337</v>
      </c>
      <c r="BH87" s="1">
        <v>60464</v>
      </c>
      <c r="BI87" s="1">
        <v>34127</v>
      </c>
      <c r="BJ87" s="1">
        <f t="shared" si="63"/>
        <v>464</v>
      </c>
      <c r="BK87" s="1">
        <v>2020</v>
      </c>
      <c r="BL87" s="1">
        <v>1556</v>
      </c>
      <c r="BM87" s="1">
        <f t="shared" si="64"/>
        <v>1509</v>
      </c>
      <c r="BN87" s="1">
        <v>4288</v>
      </c>
      <c r="BO87" s="1">
        <v>2779</v>
      </c>
      <c r="BP87" s="1">
        <f t="shared" si="65"/>
        <v>79</v>
      </c>
      <c r="BQ87" s="1">
        <v>542</v>
      </c>
      <c r="BR87" s="1">
        <v>463</v>
      </c>
      <c r="BS87" s="1">
        <f t="shared" si="66"/>
        <v>-2496</v>
      </c>
      <c r="BT87" s="1">
        <v>4376</v>
      </c>
      <c r="BU87" s="1">
        <v>6872</v>
      </c>
      <c r="BV87" s="1">
        <f t="shared" si="38"/>
        <v>26635</v>
      </c>
      <c r="BW87" s="1">
        <v>152864</v>
      </c>
      <c r="BX87" s="1">
        <v>126229</v>
      </c>
      <c r="BZ87" s="1">
        <f t="shared" si="39"/>
        <v>26655</v>
      </c>
      <c r="CA87" s="1" cm="1">
        <f t="array" ref="CA87">SUMPRODUCT(C87:BT87*(MOD(COLUMN(C87:BT87)-COLUMN(C87),3)=0))</f>
        <v>152864</v>
      </c>
      <c r="CB87" s="1" cm="1">
        <f t="array" ref="CB87">SUMPRODUCT(D87:BU87*(MOD(COLUMN(D87:BU87)-COLUMN(D87),3)=0))</f>
        <v>126209</v>
      </c>
      <c r="CC87" s="1"/>
      <c r="CD87" s="1">
        <f t="shared" si="40"/>
        <v>-20</v>
      </c>
      <c r="CE87" s="1">
        <f t="shared" si="41"/>
        <v>0</v>
      </c>
      <c r="CF87" s="1">
        <f t="shared" si="42"/>
        <v>20</v>
      </c>
    </row>
    <row r="88" spans="1:84" x14ac:dyDescent="0.25">
      <c r="A88" s="10" t="s">
        <v>50</v>
      </c>
      <c r="B88" s="1">
        <f>SUM(B53:B67)</f>
        <v>98483</v>
      </c>
      <c r="C88" s="1"/>
      <c r="D88" s="1"/>
      <c r="E88" s="1">
        <f t="shared" ref="E88" si="68">SUM(E53:E67)</f>
        <v>270548</v>
      </c>
      <c r="F88" s="1"/>
      <c r="G88" s="1"/>
      <c r="H88" s="1">
        <f t="shared" ref="H88" si="69">SUM(H53:H67)</f>
        <v>1194</v>
      </c>
      <c r="I88" s="1"/>
      <c r="J88" s="1"/>
      <c r="K88" s="1">
        <f t="shared" ref="K88" si="70">SUM(K53:K67)</f>
        <v>7593</v>
      </c>
      <c r="L88" s="1"/>
      <c r="M88" s="1"/>
      <c r="N88" s="1">
        <f t="shared" ref="N88" si="71">SUM(N53:N67)</f>
        <v>4360</v>
      </c>
      <c r="O88" s="1"/>
      <c r="P88" s="1"/>
      <c r="Q88" s="1">
        <f t="shared" ref="Q88" si="72">SUM(Q53:Q67)</f>
        <v>93</v>
      </c>
      <c r="R88" s="1"/>
      <c r="S88" s="1"/>
      <c r="T88" s="1">
        <f t="shared" ref="T88" si="73">SUM(T53:T67)</f>
        <v>407</v>
      </c>
      <c r="U88" s="1"/>
      <c r="V88" s="1"/>
      <c r="W88" s="1">
        <f t="shared" ref="W88" si="74">SUM(W53:W67)</f>
        <v>-47</v>
      </c>
      <c r="X88" s="1"/>
      <c r="Y88" s="1"/>
      <c r="Z88" s="1">
        <f t="shared" ref="Z88" si="75">SUM(Z53:Z67)</f>
        <v>6276</v>
      </c>
      <c r="AA88" s="1"/>
      <c r="AB88" s="1"/>
      <c r="AC88" s="1">
        <f t="shared" ref="AC88" si="76">SUM(AC53:AC67)</f>
        <v>573</v>
      </c>
      <c r="AD88" s="1"/>
      <c r="AE88" s="1"/>
      <c r="AF88" s="1">
        <f t="shared" ref="AF88" si="77">SUM(AF53:AF67)</f>
        <v>1510</v>
      </c>
      <c r="AG88" s="1"/>
      <c r="AH88" s="1"/>
      <c r="AI88" s="1">
        <f t="shared" ref="AI88" si="78">SUM(AI53:AI67)</f>
        <v>5131</v>
      </c>
      <c r="AJ88" s="1"/>
      <c r="AK88" s="1"/>
      <c r="AL88" s="1">
        <f t="shared" ref="AL88" si="79">SUM(AL53:AL67)</f>
        <v>477</v>
      </c>
      <c r="AM88" s="1"/>
      <c r="AN88" s="1"/>
      <c r="AO88" s="1">
        <f t="shared" ref="AO88" si="80">SUM(AO53:AO67)</f>
        <v>2396</v>
      </c>
      <c r="AP88" s="1"/>
      <c r="AQ88" s="1"/>
      <c r="AR88" s="1">
        <f t="shared" ref="AR88" si="81">SUM(AR53:AR67)</f>
        <v>197</v>
      </c>
      <c r="AS88" s="1"/>
      <c r="AT88" s="1"/>
      <c r="AU88" s="1">
        <f t="shared" ref="AU88" si="82">SUM(AU53:AU67)</f>
        <v>90</v>
      </c>
      <c r="AV88" s="1"/>
      <c r="AW88" s="1"/>
      <c r="AX88" s="1">
        <f t="shared" ref="AX88" si="83">SUM(AX53:AX67)</f>
        <v>7</v>
      </c>
      <c r="AY88" s="1"/>
      <c r="AZ88" s="1"/>
      <c r="BA88" s="1">
        <f t="shared" ref="BA88" si="84">SUM(BA53:BA67)</f>
        <v>205</v>
      </c>
      <c r="BB88" s="1"/>
      <c r="BC88" s="1"/>
      <c r="BD88" s="1">
        <f t="shared" ref="BD88" si="85">SUM(BD53:BD67)</f>
        <v>137996</v>
      </c>
      <c r="BE88" s="1"/>
      <c r="BF88" s="1"/>
      <c r="BG88" s="1">
        <f t="shared" ref="BG88" si="86">SUM(BG53:BG67)</f>
        <v>296</v>
      </c>
      <c r="BH88" s="1"/>
      <c r="BI88" s="1"/>
      <c r="BJ88" s="1">
        <f t="shared" ref="BJ88" si="87">SUM(BJ53:BJ67)</f>
        <v>48840</v>
      </c>
      <c r="BK88" s="1"/>
      <c r="BL88" s="1"/>
      <c r="BM88" s="1">
        <f t="shared" ref="BM88" si="88">SUM(BM53:BM67)</f>
        <v>50</v>
      </c>
      <c r="BN88" s="1"/>
      <c r="BO88" s="1"/>
      <c r="BP88" s="1">
        <f t="shared" ref="BP88" si="89">SUM(BP53:BP67)</f>
        <v>-1825</v>
      </c>
      <c r="BQ88" s="1"/>
      <c r="BR88" s="1"/>
      <c r="BS88" s="1">
        <f t="shared" ref="BS88" si="90">SUM(BS53:BS67)</f>
        <v>7529</v>
      </c>
      <c r="BT88" s="1"/>
      <c r="BU88" s="1"/>
      <c r="BV88" s="1">
        <f t="shared" ref="BV88" si="91">SUM(BV53:BV67)</f>
        <v>591572</v>
      </c>
      <c r="BW88" s="1"/>
      <c r="BX88" s="1"/>
      <c r="BZ88" s="1"/>
      <c r="CA88" s="1"/>
      <c r="CB88" s="1"/>
      <c r="CC88" s="1"/>
      <c r="CD88" s="1"/>
      <c r="CE88" s="1"/>
      <c r="CF88" s="1"/>
    </row>
    <row r="89" spans="1:84" x14ac:dyDescent="0.25">
      <c r="A89" s="10" t="s">
        <v>4</v>
      </c>
      <c r="B89" s="1">
        <f>SUM(B68:B87)</f>
        <v>64633</v>
      </c>
      <c r="C89" s="1"/>
      <c r="D89" s="1"/>
      <c r="E89" s="1">
        <f t="shared" ref="E89" si="92">SUM(E68:E87)</f>
        <v>88815</v>
      </c>
      <c r="F89" s="1"/>
      <c r="G89" s="1"/>
      <c r="H89" s="1">
        <f t="shared" ref="H89" si="93">SUM(H68:H87)</f>
        <v>12542</v>
      </c>
      <c r="I89" s="1"/>
      <c r="J89" s="1"/>
      <c r="K89" s="1">
        <f t="shared" ref="K89" si="94">SUM(K68:K87)</f>
        <v>20477</v>
      </c>
      <c r="L89" s="1"/>
      <c r="M89" s="1"/>
      <c r="N89" s="1">
        <f t="shared" ref="N89" si="95">SUM(N68:N87)</f>
        <v>8006</v>
      </c>
      <c r="O89" s="1"/>
      <c r="P89" s="1"/>
      <c r="Q89" s="1">
        <f t="shared" ref="Q89" si="96">SUM(Q68:Q87)</f>
        <v>3063</v>
      </c>
      <c r="R89" s="1"/>
      <c r="S89" s="1"/>
      <c r="T89" s="1">
        <f t="shared" ref="T89" si="97">SUM(T68:T87)</f>
        <v>10431</v>
      </c>
      <c r="U89" s="1"/>
      <c r="V89" s="1"/>
      <c r="W89" s="1">
        <f t="shared" ref="W89" si="98">SUM(W68:W87)</f>
        <v>5897</v>
      </c>
      <c r="X89" s="1"/>
      <c r="Y89" s="1"/>
      <c r="Z89" s="1">
        <f t="shared" ref="Z89" si="99">SUM(Z68:Z87)</f>
        <v>4068</v>
      </c>
      <c r="AA89" s="1"/>
      <c r="AB89" s="1"/>
      <c r="AC89" s="1">
        <f t="shared" ref="AC89" si="100">SUM(AC68:AC87)</f>
        <v>9020</v>
      </c>
      <c r="AD89" s="1"/>
      <c r="AE89" s="1"/>
      <c r="AF89" s="1">
        <f t="shared" ref="AF89" si="101">SUM(AF68:AF87)</f>
        <v>4862</v>
      </c>
      <c r="AG89" s="1"/>
      <c r="AH89" s="1"/>
      <c r="AI89" s="1">
        <f t="shared" ref="AI89" si="102">SUM(AI68:AI87)</f>
        <v>5622</v>
      </c>
      <c r="AJ89" s="1"/>
      <c r="AK89" s="1"/>
      <c r="AL89" s="1">
        <f t="shared" ref="AL89" si="103">SUM(AL68:AL87)</f>
        <v>6426</v>
      </c>
      <c r="AM89" s="1"/>
      <c r="AN89" s="1"/>
      <c r="AO89" s="1">
        <f t="shared" ref="AO89" si="104">SUM(AO68:AO87)</f>
        <v>7787</v>
      </c>
      <c r="AP89" s="1"/>
      <c r="AQ89" s="1"/>
      <c r="AR89" s="1">
        <f t="shared" ref="AR89" si="105">SUM(AR68:AR87)</f>
        <v>542</v>
      </c>
      <c r="AS89" s="1"/>
      <c r="AT89" s="1"/>
      <c r="AU89" s="1">
        <f t="shared" ref="AU89" si="106">SUM(AU68:AU87)</f>
        <v>1009</v>
      </c>
      <c r="AV89" s="1"/>
      <c r="AW89" s="1"/>
      <c r="AX89" s="1">
        <f t="shared" ref="AX89" si="107">SUM(AX68:AX87)</f>
        <v>78</v>
      </c>
      <c r="AY89" s="1"/>
      <c r="AZ89" s="1"/>
      <c r="BA89" s="1">
        <f t="shared" ref="BA89" si="108">SUM(BA68:BA87)</f>
        <v>309</v>
      </c>
      <c r="BB89" s="1"/>
      <c r="BC89" s="1"/>
      <c r="BD89" s="1">
        <f t="shared" ref="BD89" si="109">SUM(BD68:BD87)</f>
        <v>363961</v>
      </c>
      <c r="BE89" s="1"/>
      <c r="BF89" s="1"/>
      <c r="BG89" s="1">
        <f t="shared" ref="BG89" si="110">SUM(BG68:BG87)</f>
        <v>202921</v>
      </c>
      <c r="BH89" s="1"/>
      <c r="BI89" s="1"/>
      <c r="BJ89" s="1">
        <f t="shared" ref="BJ89" si="111">SUM(BJ68:BJ87)</f>
        <v>205805</v>
      </c>
      <c r="BK89" s="1"/>
      <c r="BL89" s="1"/>
      <c r="BM89" s="1">
        <f t="shared" ref="BM89" si="112">SUM(BM68:BM87)</f>
        <v>16981</v>
      </c>
      <c r="BN89" s="1"/>
      <c r="BO89" s="1"/>
      <c r="BP89" s="1">
        <f t="shared" ref="BP89" si="113">SUM(BP68:BP87)</f>
        <v>-5491</v>
      </c>
      <c r="BQ89" s="1"/>
      <c r="BR89" s="1"/>
      <c r="BS89" s="1">
        <f t="shared" ref="BS89" si="114">SUM(BS68:BS87)</f>
        <v>19956</v>
      </c>
      <c r="BT89" s="1"/>
      <c r="BU89" s="1"/>
      <c r="BV89" s="1">
        <f t="shared" ref="BV89" si="115">SUM(BV68:BV87)</f>
        <v>1056620</v>
      </c>
      <c r="BW89" s="1"/>
      <c r="BX89" s="1"/>
    </row>
    <row r="90" spans="1:84" x14ac:dyDescent="0.25">
      <c r="A90" s="10" t="s">
        <v>51</v>
      </c>
      <c r="B90" s="1">
        <f>B88+B89</f>
        <v>163116</v>
      </c>
      <c r="C90" s="1"/>
      <c r="D90" s="1"/>
      <c r="E90" s="1">
        <f t="shared" ref="E90" si="116">E88+E89</f>
        <v>359363</v>
      </c>
      <c r="F90" s="1"/>
      <c r="G90" s="1"/>
      <c r="H90" s="1">
        <f t="shared" ref="H90" si="117">H88+H89</f>
        <v>13736</v>
      </c>
      <c r="I90" s="1"/>
      <c r="J90" s="1"/>
      <c r="K90" s="1">
        <f t="shared" ref="K90" si="118">K88+K89</f>
        <v>28070</v>
      </c>
      <c r="L90" s="1"/>
      <c r="M90" s="1"/>
      <c r="N90" s="1">
        <f t="shared" ref="N90" si="119">N88+N89</f>
        <v>12366</v>
      </c>
      <c r="O90" s="1"/>
      <c r="P90" s="1"/>
      <c r="Q90" s="1">
        <f t="shared" ref="Q90" si="120">Q88+Q89</f>
        <v>3156</v>
      </c>
      <c r="R90" s="1"/>
      <c r="S90" s="1"/>
      <c r="T90" s="1">
        <f t="shared" ref="T90" si="121">T88+T89</f>
        <v>10838</v>
      </c>
      <c r="U90" s="1"/>
      <c r="V90" s="1"/>
      <c r="W90" s="1">
        <f t="shared" ref="W90" si="122">W88+W89</f>
        <v>5850</v>
      </c>
      <c r="X90" s="1"/>
      <c r="Y90" s="1"/>
      <c r="Z90" s="1">
        <f t="shared" ref="Z90" si="123">Z88+Z89</f>
        <v>10344</v>
      </c>
      <c r="AA90" s="1"/>
      <c r="AB90" s="1"/>
      <c r="AC90" s="1">
        <f t="shared" ref="AC90" si="124">AC88+AC89</f>
        <v>9593</v>
      </c>
      <c r="AD90" s="1"/>
      <c r="AE90" s="1"/>
      <c r="AF90" s="1">
        <f t="shared" ref="AF90" si="125">AF88+AF89</f>
        <v>6372</v>
      </c>
      <c r="AG90" s="1"/>
      <c r="AH90" s="1"/>
      <c r="AI90" s="1">
        <f t="shared" ref="AI90" si="126">AI88+AI89</f>
        <v>10753</v>
      </c>
      <c r="AJ90" s="1"/>
      <c r="AK90" s="1"/>
      <c r="AL90" s="1">
        <f t="shared" ref="AL90" si="127">AL88+AL89</f>
        <v>6903</v>
      </c>
      <c r="AM90" s="1"/>
      <c r="AN90" s="1"/>
      <c r="AO90" s="1">
        <f t="shared" ref="AO90" si="128">AO88+AO89</f>
        <v>10183</v>
      </c>
      <c r="AP90" s="1"/>
      <c r="AQ90" s="1"/>
      <c r="AR90" s="1">
        <f t="shared" ref="AR90" si="129">AR88+AR89</f>
        <v>739</v>
      </c>
      <c r="AS90" s="1"/>
      <c r="AT90" s="1"/>
      <c r="AU90" s="1">
        <f t="shared" ref="AU90" si="130">AU88+AU89</f>
        <v>1099</v>
      </c>
      <c r="AV90" s="1"/>
      <c r="AW90" s="1"/>
      <c r="AX90" s="1">
        <f t="shared" ref="AX90" si="131">AX88+AX89</f>
        <v>85</v>
      </c>
      <c r="AY90" s="1"/>
      <c r="AZ90" s="1"/>
      <c r="BA90" s="1">
        <f t="shared" ref="BA90" si="132">BA88+BA89</f>
        <v>514</v>
      </c>
      <c r="BB90" s="1"/>
      <c r="BC90" s="1"/>
      <c r="BD90" s="1">
        <f t="shared" ref="BD90" si="133">BD88+BD89</f>
        <v>501957</v>
      </c>
      <c r="BE90" s="1"/>
      <c r="BF90" s="1"/>
      <c r="BG90" s="1">
        <f t="shared" ref="BG90" si="134">BG88+BG89</f>
        <v>203217</v>
      </c>
      <c r="BH90" s="1"/>
      <c r="BI90" s="1"/>
      <c r="BJ90" s="1">
        <f t="shared" ref="BJ90" si="135">BJ88+BJ89</f>
        <v>254645</v>
      </c>
      <c r="BK90" s="1"/>
      <c r="BL90" s="1"/>
      <c r="BM90" s="1">
        <f t="shared" ref="BM90" si="136">BM88+BM89</f>
        <v>17031</v>
      </c>
      <c r="BN90" s="1"/>
      <c r="BO90" s="1"/>
      <c r="BP90" s="1">
        <f t="shared" ref="BP90" si="137">BP88+BP89</f>
        <v>-7316</v>
      </c>
      <c r="BQ90" s="1"/>
      <c r="BR90" s="1"/>
      <c r="BS90" s="1">
        <f t="shared" ref="BS90" si="138">BS88+BS89</f>
        <v>27485</v>
      </c>
      <c r="BT90" s="1"/>
      <c r="BU90" s="1"/>
      <c r="BV90" s="1">
        <f t="shared" ref="BV90" si="139">BV88+BV89</f>
        <v>1648192</v>
      </c>
      <c r="BW90" s="1"/>
      <c r="BX90" s="1"/>
    </row>
    <row r="91" spans="1:84" x14ac:dyDescent="0.25">
      <c r="AS91" s="1"/>
      <c r="AT91" s="1"/>
      <c r="BK91" s="1"/>
      <c r="BL91" s="1"/>
    </row>
    <row r="92" spans="1:84" x14ac:dyDescent="0.25">
      <c r="A92" t="s">
        <v>58</v>
      </c>
      <c r="AS92" s="1"/>
      <c r="AT92" s="1"/>
      <c r="BK92" s="1"/>
      <c r="BL92" s="1"/>
    </row>
    <row r="93" spans="1:84" x14ac:dyDescent="0.25">
      <c r="AS93" s="1"/>
      <c r="AT93" s="1"/>
      <c r="BK93" s="1"/>
      <c r="BL93" s="1"/>
    </row>
    <row r="94" spans="1:84" x14ac:dyDescent="0.25">
      <c r="A94" t="s">
        <v>59</v>
      </c>
      <c r="AS94" s="1"/>
      <c r="AT94" s="1"/>
      <c r="BK94" s="1"/>
      <c r="BL94" s="1"/>
    </row>
    <row r="95" spans="1:84" x14ac:dyDescent="0.25">
      <c r="BK95" s="1"/>
      <c r="BL95" s="1"/>
    </row>
    <row r="96" spans="1:84" x14ac:dyDescent="0.25">
      <c r="B96" s="16" t="s">
        <v>50</v>
      </c>
      <c r="C96" s="16" t="s">
        <v>4</v>
      </c>
      <c r="D96" s="16" t="s">
        <v>51</v>
      </c>
      <c r="BK96" s="1"/>
      <c r="BL96" s="1"/>
    </row>
    <row r="97" spans="1:64" x14ac:dyDescent="0.25">
      <c r="A97" t="s">
        <v>7</v>
      </c>
      <c r="B97" s="1">
        <v>98483</v>
      </c>
      <c r="C97" s="1">
        <v>64633</v>
      </c>
      <c r="D97" s="1">
        <v>163116</v>
      </c>
      <c r="BK97" s="1"/>
      <c r="BL97" s="1"/>
    </row>
    <row r="98" spans="1:64" x14ac:dyDescent="0.25">
      <c r="A98" t="s">
        <v>8</v>
      </c>
      <c r="B98" s="1">
        <v>270548</v>
      </c>
      <c r="C98" s="1">
        <v>88815</v>
      </c>
      <c r="D98" s="1">
        <v>359363</v>
      </c>
      <c r="BK98" s="1"/>
      <c r="BL98" s="1"/>
    </row>
    <row r="99" spans="1:64" x14ac:dyDescent="0.25">
      <c r="A99" t="s">
        <v>21</v>
      </c>
      <c r="B99" s="1">
        <v>1194</v>
      </c>
      <c r="C99" s="1">
        <v>12542</v>
      </c>
      <c r="D99" s="1">
        <v>13736</v>
      </c>
      <c r="BK99" s="1"/>
      <c r="BL99" s="1"/>
    </row>
    <row r="100" spans="1:64" x14ac:dyDescent="0.25">
      <c r="A100" t="s">
        <v>22</v>
      </c>
      <c r="B100" s="1">
        <v>7593</v>
      </c>
      <c r="C100" s="1">
        <v>20477</v>
      </c>
      <c r="D100" s="1">
        <v>28070</v>
      </c>
      <c r="BK100" s="1"/>
      <c r="BL100" s="1"/>
    </row>
    <row r="101" spans="1:64" x14ac:dyDescent="0.25">
      <c r="A101" t="s">
        <v>23</v>
      </c>
      <c r="B101" s="1">
        <v>4360</v>
      </c>
      <c r="C101" s="1">
        <v>8006</v>
      </c>
      <c r="D101" s="1">
        <v>12366</v>
      </c>
      <c r="BK101" s="1"/>
      <c r="BL101" s="1"/>
    </row>
    <row r="102" spans="1:64" x14ac:dyDescent="0.25">
      <c r="A102" t="s">
        <v>24</v>
      </c>
      <c r="B102" s="1">
        <v>93</v>
      </c>
      <c r="C102" s="1">
        <v>3063</v>
      </c>
      <c r="D102" s="1">
        <v>3156</v>
      </c>
      <c r="BK102" s="1"/>
      <c r="BL102" s="1"/>
    </row>
    <row r="103" spans="1:64" x14ac:dyDescent="0.25">
      <c r="A103" t="s">
        <v>25</v>
      </c>
      <c r="B103" s="1">
        <v>407</v>
      </c>
      <c r="C103" s="1">
        <v>10431</v>
      </c>
      <c r="D103" s="1">
        <v>10838</v>
      </c>
      <c r="BK103" s="1"/>
      <c r="BL103" s="1"/>
    </row>
    <row r="104" spans="1:64" x14ac:dyDescent="0.25">
      <c r="A104" t="s">
        <v>26</v>
      </c>
      <c r="B104" s="1">
        <v>-47</v>
      </c>
      <c r="C104" s="1">
        <v>5897</v>
      </c>
      <c r="D104" s="1">
        <v>5850</v>
      </c>
      <c r="BK104" s="1"/>
      <c r="BL104" s="1"/>
    </row>
    <row r="105" spans="1:64" x14ac:dyDescent="0.25">
      <c r="A105" t="s">
        <v>27</v>
      </c>
      <c r="B105" s="1">
        <v>6276</v>
      </c>
      <c r="C105" s="1">
        <v>4068</v>
      </c>
      <c r="D105" s="1">
        <v>10344</v>
      </c>
      <c r="BK105" s="1"/>
      <c r="BL105" s="1"/>
    </row>
    <row r="106" spans="1:64" x14ac:dyDescent="0.25">
      <c r="A106" t="s">
        <v>28</v>
      </c>
      <c r="B106" s="1">
        <v>573</v>
      </c>
      <c r="C106" s="1">
        <v>9020</v>
      </c>
      <c r="D106" s="1">
        <v>9593</v>
      </c>
      <c r="BK106" s="1"/>
      <c r="BL106" s="1"/>
    </row>
    <row r="107" spans="1:64" x14ac:dyDescent="0.25">
      <c r="A107" t="s">
        <v>9</v>
      </c>
      <c r="B107" s="1">
        <v>1510</v>
      </c>
      <c r="C107" s="1">
        <v>4862</v>
      </c>
      <c r="D107" s="1">
        <v>6372</v>
      </c>
      <c r="BK107" s="1"/>
      <c r="BL107" s="1"/>
    </row>
    <row r="108" spans="1:64" x14ac:dyDescent="0.25">
      <c r="A108" t="s">
        <v>29</v>
      </c>
      <c r="B108" s="1">
        <v>5131</v>
      </c>
      <c r="C108" s="1">
        <v>5622</v>
      </c>
      <c r="D108" s="1">
        <v>10753</v>
      </c>
      <c r="BK108" s="1"/>
      <c r="BL108" s="1"/>
    </row>
    <row r="109" spans="1:64" x14ac:dyDescent="0.25">
      <c r="A109" t="s">
        <v>30</v>
      </c>
      <c r="B109" s="1">
        <v>477</v>
      </c>
      <c r="C109" s="1">
        <v>6426</v>
      </c>
      <c r="D109" s="1">
        <v>6903</v>
      </c>
    </row>
    <row r="110" spans="1:64" x14ac:dyDescent="0.25">
      <c r="A110" t="s">
        <v>31</v>
      </c>
      <c r="B110" s="1">
        <v>2396</v>
      </c>
      <c r="C110" s="1">
        <v>7787</v>
      </c>
      <c r="D110" s="1">
        <v>10183</v>
      </c>
    </row>
    <row r="111" spans="1:64" x14ac:dyDescent="0.25">
      <c r="A111" t="s">
        <v>32</v>
      </c>
      <c r="B111" s="1">
        <v>197</v>
      </c>
      <c r="C111" s="1">
        <v>542</v>
      </c>
      <c r="D111" s="1">
        <v>739</v>
      </c>
    </row>
    <row r="112" spans="1:64" x14ac:dyDescent="0.25">
      <c r="A112" t="s">
        <v>33</v>
      </c>
      <c r="B112" s="1">
        <v>90</v>
      </c>
      <c r="C112" s="1">
        <v>1009</v>
      </c>
      <c r="D112" s="1">
        <v>1099</v>
      </c>
    </row>
    <row r="113" spans="1:14" x14ac:dyDescent="0.25">
      <c r="A113" t="s">
        <v>34</v>
      </c>
      <c r="B113" s="1">
        <v>7</v>
      </c>
      <c r="C113" s="1">
        <v>78</v>
      </c>
      <c r="D113" s="1">
        <v>85</v>
      </c>
    </row>
    <row r="114" spans="1:14" x14ac:dyDescent="0.25">
      <c r="A114" t="s">
        <v>35</v>
      </c>
      <c r="B114" s="1">
        <v>205</v>
      </c>
      <c r="C114" s="1">
        <v>309</v>
      </c>
      <c r="D114" s="1">
        <v>514</v>
      </c>
    </row>
    <row r="115" spans="1:14" x14ac:dyDescent="0.25">
      <c r="A115" t="s">
        <v>12</v>
      </c>
      <c r="B115" s="1">
        <v>137996</v>
      </c>
      <c r="C115" s="1">
        <v>363961</v>
      </c>
      <c r="D115" s="1">
        <v>501957</v>
      </c>
    </row>
    <row r="116" spans="1:14" x14ac:dyDescent="0.25">
      <c r="A116" t="s">
        <v>10</v>
      </c>
      <c r="B116" s="1">
        <v>296</v>
      </c>
      <c r="C116" s="1">
        <v>202921</v>
      </c>
      <c r="D116" s="1">
        <v>203217</v>
      </c>
    </row>
    <row r="117" spans="1:14" x14ac:dyDescent="0.25">
      <c r="A117" t="s">
        <v>36</v>
      </c>
      <c r="B117" s="1">
        <v>48840</v>
      </c>
      <c r="C117" s="1">
        <v>205805</v>
      </c>
      <c r="D117" s="1">
        <v>254645</v>
      </c>
    </row>
    <row r="118" spans="1:14" x14ac:dyDescent="0.25">
      <c r="A118" t="s">
        <v>37</v>
      </c>
      <c r="B118" s="1">
        <v>50</v>
      </c>
      <c r="C118" s="1">
        <v>16981</v>
      </c>
      <c r="D118" s="1">
        <v>17031</v>
      </c>
    </row>
    <row r="119" spans="1:14" x14ac:dyDescent="0.25">
      <c r="A119" t="s">
        <v>53</v>
      </c>
      <c r="B119" s="1">
        <v>-1825</v>
      </c>
      <c r="C119" s="1">
        <v>-5491</v>
      </c>
      <c r="D119" s="1">
        <v>-7316</v>
      </c>
    </row>
    <row r="120" spans="1:14" x14ac:dyDescent="0.25">
      <c r="A120" t="s">
        <v>38</v>
      </c>
      <c r="B120" s="1">
        <v>7529</v>
      </c>
      <c r="C120" s="1">
        <v>19956</v>
      </c>
      <c r="D120" s="1">
        <v>27485</v>
      </c>
    </row>
    <row r="121" spans="1:14" x14ac:dyDescent="0.25">
      <c r="A121" t="s">
        <v>54</v>
      </c>
      <c r="B121" s="1">
        <v>591572</v>
      </c>
      <c r="C121" s="1">
        <v>1056620</v>
      </c>
      <c r="D121" s="1">
        <v>1648192</v>
      </c>
    </row>
    <row r="124" spans="1:14" x14ac:dyDescent="0.25">
      <c r="A124" t="s">
        <v>61</v>
      </c>
    </row>
    <row r="125" spans="1:14" x14ac:dyDescent="0.25">
      <c r="A125" t="s">
        <v>68</v>
      </c>
    </row>
    <row r="126" spans="1:14" x14ac:dyDescent="0.25">
      <c r="B126" s="16" t="s">
        <v>50</v>
      </c>
      <c r="C126" s="16" t="s">
        <v>4</v>
      </c>
      <c r="D126" s="16" t="s">
        <v>51</v>
      </c>
      <c r="K126" s="12"/>
      <c r="L126" s="12"/>
      <c r="M126" s="12"/>
      <c r="N126" s="12"/>
    </row>
    <row r="127" spans="1:14" x14ac:dyDescent="0.25">
      <c r="A127" t="s">
        <v>7</v>
      </c>
      <c r="B127" s="11">
        <v>289250</v>
      </c>
      <c r="C127" s="11">
        <v>319431</v>
      </c>
      <c r="D127" s="11">
        <v>608681</v>
      </c>
      <c r="K127" s="12"/>
      <c r="L127" s="11"/>
      <c r="M127" s="11"/>
      <c r="N127" s="11"/>
    </row>
    <row r="128" spans="1:14" x14ac:dyDescent="0.25">
      <c r="A128" t="s">
        <v>8</v>
      </c>
      <c r="B128" s="11">
        <v>71263</v>
      </c>
      <c r="C128" s="11">
        <v>-11878</v>
      </c>
      <c r="D128" s="11">
        <v>59385</v>
      </c>
      <c r="K128" s="12"/>
      <c r="L128" s="11"/>
      <c r="M128" s="11"/>
      <c r="N128" s="11"/>
    </row>
    <row r="129" spans="1:14" x14ac:dyDescent="0.25">
      <c r="A129" t="s">
        <v>9</v>
      </c>
      <c r="B129" s="11">
        <v>5980</v>
      </c>
      <c r="C129" s="11">
        <v>6966</v>
      </c>
      <c r="D129" s="11">
        <v>12946</v>
      </c>
      <c r="K129" s="12"/>
      <c r="L129" s="11"/>
      <c r="M129" s="11"/>
      <c r="N129" s="11"/>
    </row>
    <row r="130" spans="1:14" x14ac:dyDescent="0.25">
      <c r="A130" t="s">
        <v>12</v>
      </c>
      <c r="B130" s="11">
        <v>0</v>
      </c>
      <c r="C130" s="11">
        <v>151250</v>
      </c>
      <c r="D130" s="11">
        <v>151250</v>
      </c>
      <c r="K130" s="12"/>
      <c r="L130" s="11"/>
      <c r="M130" s="11"/>
      <c r="N130" s="11"/>
    </row>
    <row r="131" spans="1:14" x14ac:dyDescent="0.25">
      <c r="A131" t="s">
        <v>10</v>
      </c>
      <c r="B131" s="11">
        <v>2099</v>
      </c>
      <c r="C131" s="11">
        <v>87411</v>
      </c>
      <c r="D131" s="11">
        <v>89510</v>
      </c>
      <c r="K131" s="12"/>
      <c r="L131" s="11"/>
      <c r="M131" s="11"/>
      <c r="N131" s="11"/>
    </row>
    <row r="132" spans="1:14" x14ac:dyDescent="0.25">
      <c r="A132" t="s">
        <v>11</v>
      </c>
      <c r="B132" s="11">
        <v>-4</v>
      </c>
      <c r="C132" s="11">
        <v>11124</v>
      </c>
      <c r="D132" s="11">
        <v>11120</v>
      </c>
      <c r="K132" s="12"/>
      <c r="L132" s="11"/>
      <c r="M132" s="11"/>
      <c r="N132" s="11"/>
    </row>
    <row r="133" spans="1:14" x14ac:dyDescent="0.25">
      <c r="A133" t="s">
        <v>54</v>
      </c>
      <c r="B133" s="1">
        <f>SUM(B127:B132)</f>
        <v>368588</v>
      </c>
      <c r="C133" s="1">
        <f>SUM(C127:C132)</f>
        <v>564304</v>
      </c>
      <c r="D133" s="1">
        <f>SUM(D127:D132)</f>
        <v>932892</v>
      </c>
    </row>
    <row r="134" spans="1:14" x14ac:dyDescent="0.25">
      <c r="B134" s="1"/>
      <c r="C134" s="1"/>
      <c r="D134" s="1"/>
    </row>
    <row r="136" spans="1:14" x14ac:dyDescent="0.25">
      <c r="A136" t="s">
        <v>66</v>
      </c>
    </row>
    <row r="137" spans="1:14" x14ac:dyDescent="0.25">
      <c r="A137" t="s">
        <v>67</v>
      </c>
    </row>
    <row r="138" spans="1:14" x14ac:dyDescent="0.25">
      <c r="B138" s="16" t="s">
        <v>50</v>
      </c>
      <c r="C138" s="16" t="s">
        <v>4</v>
      </c>
      <c r="D138" s="16" t="s">
        <v>51</v>
      </c>
    </row>
    <row r="139" spans="1:14" x14ac:dyDescent="0.25">
      <c r="A139" t="s">
        <v>7</v>
      </c>
      <c r="B139" s="1">
        <f t="shared" ref="B139:D140" si="140">B97+B127</f>
        <v>387733</v>
      </c>
      <c r="C139" s="1">
        <f t="shared" si="140"/>
        <v>384064</v>
      </c>
      <c r="D139" s="1">
        <f t="shared" si="140"/>
        <v>771797</v>
      </c>
    </row>
    <row r="140" spans="1:14" x14ac:dyDescent="0.25">
      <c r="A140" t="s">
        <v>8</v>
      </c>
      <c r="B140" s="1">
        <f t="shared" si="140"/>
        <v>341811</v>
      </c>
      <c r="C140" s="1">
        <f t="shared" si="140"/>
        <v>76937</v>
      </c>
      <c r="D140" s="1">
        <f t="shared" si="140"/>
        <v>418748</v>
      </c>
    </row>
    <row r="141" spans="1:14" x14ac:dyDescent="0.25">
      <c r="A141" t="s">
        <v>21</v>
      </c>
      <c r="B141" s="1">
        <f t="shared" ref="B141:D141" si="141">B99</f>
        <v>1194</v>
      </c>
      <c r="C141" s="1">
        <f t="shared" si="141"/>
        <v>12542</v>
      </c>
      <c r="D141" s="1">
        <f t="shared" si="141"/>
        <v>13736</v>
      </c>
    </row>
    <row r="142" spans="1:14" x14ac:dyDescent="0.25">
      <c r="A142" t="s">
        <v>22</v>
      </c>
      <c r="B142" s="1">
        <f t="shared" ref="B142:D142" si="142">B100</f>
        <v>7593</v>
      </c>
      <c r="C142" s="1">
        <f t="shared" si="142"/>
        <v>20477</v>
      </c>
      <c r="D142" s="1">
        <f t="shared" si="142"/>
        <v>28070</v>
      </c>
    </row>
    <row r="143" spans="1:14" x14ac:dyDescent="0.25">
      <c r="A143" t="s">
        <v>23</v>
      </c>
      <c r="B143" s="1">
        <f t="shared" ref="B143:D143" si="143">B101</f>
        <v>4360</v>
      </c>
      <c r="C143" s="1">
        <f t="shared" si="143"/>
        <v>8006</v>
      </c>
      <c r="D143" s="1">
        <f t="shared" si="143"/>
        <v>12366</v>
      </c>
    </row>
    <row r="144" spans="1:14" x14ac:dyDescent="0.25">
      <c r="A144" t="s">
        <v>24</v>
      </c>
      <c r="B144" s="1">
        <f t="shared" ref="B144:D144" si="144">B102</f>
        <v>93</v>
      </c>
      <c r="C144" s="1">
        <f t="shared" si="144"/>
        <v>3063</v>
      </c>
      <c r="D144" s="1">
        <f t="shared" si="144"/>
        <v>3156</v>
      </c>
    </row>
    <row r="145" spans="1:4" x14ac:dyDescent="0.25">
      <c r="A145" t="s">
        <v>25</v>
      </c>
      <c r="B145" s="1">
        <f t="shared" ref="B145:D145" si="145">B103</f>
        <v>407</v>
      </c>
      <c r="C145" s="1">
        <f t="shared" si="145"/>
        <v>10431</v>
      </c>
      <c r="D145" s="1">
        <f t="shared" si="145"/>
        <v>10838</v>
      </c>
    </row>
    <row r="146" spans="1:4" x14ac:dyDescent="0.25">
      <c r="A146" t="s">
        <v>26</v>
      </c>
      <c r="B146" s="1">
        <f t="shared" ref="B146:D146" si="146">B104</f>
        <v>-47</v>
      </c>
      <c r="C146" s="1">
        <f t="shared" si="146"/>
        <v>5897</v>
      </c>
      <c r="D146" s="1">
        <f t="shared" si="146"/>
        <v>5850</v>
      </c>
    </row>
    <row r="147" spans="1:4" x14ac:dyDescent="0.25">
      <c r="A147" t="s">
        <v>27</v>
      </c>
      <c r="B147" s="1">
        <f t="shared" ref="B147:D147" si="147">B105</f>
        <v>6276</v>
      </c>
      <c r="C147" s="1">
        <f t="shared" si="147"/>
        <v>4068</v>
      </c>
      <c r="D147" s="1">
        <f t="shared" si="147"/>
        <v>10344</v>
      </c>
    </row>
    <row r="148" spans="1:4" x14ac:dyDescent="0.25">
      <c r="A148" t="s">
        <v>28</v>
      </c>
      <c r="B148" s="1">
        <f t="shared" ref="B148:D148" si="148">B106</f>
        <v>573</v>
      </c>
      <c r="C148" s="1">
        <f t="shared" si="148"/>
        <v>9020</v>
      </c>
      <c r="D148" s="1">
        <f t="shared" si="148"/>
        <v>9593</v>
      </c>
    </row>
    <row r="149" spans="1:4" x14ac:dyDescent="0.25">
      <c r="A149" t="s">
        <v>9</v>
      </c>
      <c r="B149" s="1">
        <f>B107+B129</f>
        <v>7490</v>
      </c>
      <c r="C149" s="1">
        <f>C107+C129</f>
        <v>11828</v>
      </c>
      <c r="D149" s="1">
        <f>D107+D129</f>
        <v>19318</v>
      </c>
    </row>
    <row r="150" spans="1:4" x14ac:dyDescent="0.25">
      <c r="A150" t="s">
        <v>29</v>
      </c>
      <c r="B150" s="1">
        <f t="shared" ref="B150:D150" si="149">B108</f>
        <v>5131</v>
      </c>
      <c r="C150" s="1">
        <f t="shared" si="149"/>
        <v>5622</v>
      </c>
      <c r="D150" s="1">
        <f t="shared" si="149"/>
        <v>10753</v>
      </c>
    </row>
    <row r="151" spans="1:4" x14ac:dyDescent="0.25">
      <c r="A151" t="s">
        <v>30</v>
      </c>
      <c r="B151" s="1">
        <f t="shared" ref="B151:D151" si="150">B109</f>
        <v>477</v>
      </c>
      <c r="C151" s="1">
        <f t="shared" si="150"/>
        <v>6426</v>
      </c>
      <c r="D151" s="1">
        <f t="shared" si="150"/>
        <v>6903</v>
      </c>
    </row>
    <row r="152" spans="1:4" x14ac:dyDescent="0.25">
      <c r="A152" t="s">
        <v>31</v>
      </c>
      <c r="B152" s="1">
        <f t="shared" ref="B152:D152" si="151">B110</f>
        <v>2396</v>
      </c>
      <c r="C152" s="1">
        <f t="shared" si="151"/>
        <v>7787</v>
      </c>
      <c r="D152" s="1">
        <f t="shared" si="151"/>
        <v>10183</v>
      </c>
    </row>
    <row r="153" spans="1:4" x14ac:dyDescent="0.25">
      <c r="A153" t="s">
        <v>32</v>
      </c>
      <c r="B153" s="1">
        <f t="shared" ref="B153:D153" si="152">B111</f>
        <v>197</v>
      </c>
      <c r="C153" s="1">
        <f t="shared" si="152"/>
        <v>542</v>
      </c>
      <c r="D153" s="1">
        <f t="shared" si="152"/>
        <v>739</v>
      </c>
    </row>
    <row r="154" spans="1:4" x14ac:dyDescent="0.25">
      <c r="A154" t="s">
        <v>33</v>
      </c>
      <c r="B154" s="1">
        <f t="shared" ref="B154:D154" si="153">B112</f>
        <v>90</v>
      </c>
      <c r="C154" s="1">
        <f t="shared" si="153"/>
        <v>1009</v>
      </c>
      <c r="D154" s="1">
        <f t="shared" si="153"/>
        <v>1099</v>
      </c>
    </row>
    <row r="155" spans="1:4" x14ac:dyDescent="0.25">
      <c r="A155" t="s">
        <v>34</v>
      </c>
      <c r="B155" s="1">
        <f t="shared" ref="B155:D155" si="154">B113</f>
        <v>7</v>
      </c>
      <c r="C155" s="1">
        <f t="shared" si="154"/>
        <v>78</v>
      </c>
      <c r="D155" s="1">
        <f t="shared" si="154"/>
        <v>85</v>
      </c>
    </row>
    <row r="156" spans="1:4" x14ac:dyDescent="0.25">
      <c r="A156" t="s">
        <v>35</v>
      </c>
      <c r="B156" s="1">
        <f t="shared" ref="B156:D156" si="155">B114</f>
        <v>205</v>
      </c>
      <c r="C156" s="1">
        <f t="shared" si="155"/>
        <v>309</v>
      </c>
      <c r="D156" s="1">
        <f t="shared" si="155"/>
        <v>514</v>
      </c>
    </row>
    <row r="157" spans="1:4" x14ac:dyDescent="0.25">
      <c r="A157" t="s">
        <v>12</v>
      </c>
      <c r="B157" s="1">
        <f t="shared" ref="B157:D158" si="156">B115+B130</f>
        <v>137996</v>
      </c>
      <c r="C157" s="1">
        <f t="shared" si="156"/>
        <v>515211</v>
      </c>
      <c r="D157" s="1">
        <f t="shared" si="156"/>
        <v>653207</v>
      </c>
    </row>
    <row r="158" spans="1:4" x14ac:dyDescent="0.25">
      <c r="A158" t="s">
        <v>10</v>
      </c>
      <c r="B158" s="1">
        <f t="shared" si="156"/>
        <v>2395</v>
      </c>
      <c r="C158" s="1">
        <f t="shared" si="156"/>
        <v>290332</v>
      </c>
      <c r="D158" s="1">
        <f t="shared" si="156"/>
        <v>292727</v>
      </c>
    </row>
    <row r="159" spans="1:4" x14ac:dyDescent="0.25">
      <c r="A159" t="s">
        <v>36</v>
      </c>
      <c r="B159" s="1">
        <f t="shared" ref="B159:D159" si="157">B117</f>
        <v>48840</v>
      </c>
      <c r="C159" s="1">
        <f t="shared" si="157"/>
        <v>205805</v>
      </c>
      <c r="D159" s="1">
        <f t="shared" si="157"/>
        <v>254645</v>
      </c>
    </row>
    <row r="160" spans="1:4" x14ac:dyDescent="0.25">
      <c r="A160" t="s">
        <v>37</v>
      </c>
      <c r="B160" s="1">
        <f t="shared" ref="B160:D160" si="158">B118</f>
        <v>50</v>
      </c>
      <c r="C160" s="1">
        <f t="shared" si="158"/>
        <v>16981</v>
      </c>
      <c r="D160" s="1">
        <f t="shared" si="158"/>
        <v>17031</v>
      </c>
    </row>
    <row r="161" spans="1:4" x14ac:dyDescent="0.25">
      <c r="A161" t="s">
        <v>53</v>
      </c>
      <c r="B161" s="1">
        <f t="shared" ref="B161:D161" si="159">B119</f>
        <v>-1825</v>
      </c>
      <c r="C161" s="1">
        <f t="shared" si="159"/>
        <v>-5491</v>
      </c>
      <c r="D161" s="1">
        <f t="shared" si="159"/>
        <v>-7316</v>
      </c>
    </row>
    <row r="162" spans="1:4" x14ac:dyDescent="0.25">
      <c r="A162" t="s">
        <v>38</v>
      </c>
      <c r="B162" s="1">
        <f>B120+B132</f>
        <v>7525</v>
      </c>
      <c r="C162" s="1">
        <f>C120+C132</f>
        <v>31080</v>
      </c>
      <c r="D162" s="1">
        <f>D120+D132</f>
        <v>38605</v>
      </c>
    </row>
    <row r="163" spans="1:4" x14ac:dyDescent="0.25">
      <c r="A163" t="s">
        <v>54</v>
      </c>
      <c r="B163" s="1">
        <f>SUM(B139:B162)</f>
        <v>960967</v>
      </c>
      <c r="C163" s="1">
        <f>SUM(C139:C162)</f>
        <v>1622024</v>
      </c>
      <c r="D163" s="1">
        <f>SUM(D139:D162)</f>
        <v>2582991</v>
      </c>
    </row>
  </sheetData>
  <mergeCells count="3">
    <mergeCell ref="B5:D5"/>
    <mergeCell ref="E5:G5"/>
    <mergeCell ref="H5:J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873D5-0E5D-4C85-A503-F7801E4CF69A}">
  <dimension ref="A1:AE90"/>
  <sheetViews>
    <sheetView topLeftCell="A67" workbookViewId="0">
      <selection activeCell="A51" sqref="A51:S90"/>
    </sheetView>
  </sheetViews>
  <sheetFormatPr defaultRowHeight="15" x14ac:dyDescent="0.25"/>
  <cols>
    <col min="4" max="4" width="11.7109375" bestFit="1" customWidth="1"/>
    <col min="5" max="5" width="11" customWidth="1"/>
  </cols>
  <sheetData>
    <row r="1" spans="1:15" x14ac:dyDescent="0.25">
      <c r="A1" t="s">
        <v>16</v>
      </c>
    </row>
    <row r="3" spans="1:15" x14ac:dyDescent="0.25">
      <c r="A3" t="s">
        <v>20</v>
      </c>
    </row>
    <row r="4" spans="1:15" x14ac:dyDescent="0.25">
      <c r="A4" t="s">
        <v>15</v>
      </c>
    </row>
    <row r="5" spans="1:15" x14ac:dyDescent="0.25">
      <c r="A5" t="s">
        <v>17</v>
      </c>
    </row>
    <row r="7" spans="1:15" x14ac:dyDescent="0.25">
      <c r="A7" s="2"/>
      <c r="B7" s="23" t="s">
        <v>5</v>
      </c>
      <c r="C7" s="23"/>
      <c r="D7" s="23"/>
      <c r="E7" s="23" t="s">
        <v>13</v>
      </c>
      <c r="F7" s="23"/>
      <c r="G7" s="23"/>
      <c r="H7" s="23" t="s">
        <v>14</v>
      </c>
      <c r="I7" s="23"/>
      <c r="J7" s="23"/>
    </row>
    <row r="8" spans="1:15" x14ac:dyDescent="0.25">
      <c r="A8" s="3" t="s">
        <v>0</v>
      </c>
      <c r="B8" s="3" t="s">
        <v>1</v>
      </c>
      <c r="C8" s="3" t="s">
        <v>2</v>
      </c>
      <c r="D8" s="3" t="s">
        <v>3</v>
      </c>
      <c r="E8" s="3" t="s">
        <v>1</v>
      </c>
      <c r="F8" s="3" t="s">
        <v>2</v>
      </c>
      <c r="G8" s="3" t="s">
        <v>3</v>
      </c>
      <c r="H8" s="3" t="s">
        <v>1</v>
      </c>
      <c r="I8" s="3" t="s">
        <v>2</v>
      </c>
      <c r="J8" s="3" t="s">
        <v>3</v>
      </c>
      <c r="O8" s="1"/>
    </row>
    <row r="9" spans="1:15" x14ac:dyDescent="0.25">
      <c r="A9" s="9">
        <f t="shared" ref="A9:A22" si="0">A10-1</f>
        <v>1881</v>
      </c>
      <c r="B9" s="1">
        <f t="shared" ref="B9:B23" si="1">C9-D9</f>
        <v>32296</v>
      </c>
      <c r="C9" s="1">
        <v>263812</v>
      </c>
      <c r="D9" s="1">
        <v>231516</v>
      </c>
      <c r="E9" s="1">
        <f t="shared" ref="E9:E23" si="2">F9-G9</f>
        <v>30197</v>
      </c>
      <c r="F9" s="1">
        <v>258972</v>
      </c>
      <c r="G9" s="1">
        <v>228775</v>
      </c>
      <c r="H9" s="1">
        <f t="shared" ref="H9:H23" si="3">B9-E9</f>
        <v>2099</v>
      </c>
      <c r="I9" s="1">
        <f t="shared" ref="I9:I23" si="4">C9-F9</f>
        <v>4840</v>
      </c>
      <c r="J9" s="1">
        <f t="shared" ref="J9:J23" si="5">D9-G9</f>
        <v>2741</v>
      </c>
      <c r="O9" s="1"/>
    </row>
    <row r="10" spans="1:15" x14ac:dyDescent="0.25">
      <c r="A10" s="9">
        <f t="shared" si="0"/>
        <v>1882</v>
      </c>
      <c r="B10" s="1">
        <f t="shared" si="1"/>
        <v>36591</v>
      </c>
      <c r="C10" s="1">
        <v>333434</v>
      </c>
      <c r="D10" s="1">
        <v>296843</v>
      </c>
      <c r="E10" s="1">
        <f t="shared" si="2"/>
        <v>36591</v>
      </c>
      <c r="F10" s="1">
        <v>333434</v>
      </c>
      <c r="G10" s="1">
        <v>296843</v>
      </c>
      <c r="H10" s="1">
        <f t="shared" si="3"/>
        <v>0</v>
      </c>
      <c r="I10" s="1">
        <f t="shared" si="4"/>
        <v>0</v>
      </c>
      <c r="J10" s="1">
        <f t="shared" si="5"/>
        <v>0</v>
      </c>
      <c r="O10" s="1"/>
    </row>
    <row r="11" spans="1:15" x14ac:dyDescent="0.25">
      <c r="A11" s="9">
        <f t="shared" si="0"/>
        <v>1883</v>
      </c>
      <c r="B11" s="1">
        <f t="shared" si="1"/>
        <v>22050</v>
      </c>
      <c r="C11" s="1">
        <v>341577</v>
      </c>
      <c r="D11" s="1">
        <v>319527</v>
      </c>
      <c r="E11" s="1">
        <f t="shared" si="2"/>
        <v>22050</v>
      </c>
      <c r="F11" s="1">
        <v>341577</v>
      </c>
      <c r="G11" s="1">
        <v>319527</v>
      </c>
      <c r="H11" s="1">
        <f t="shared" si="3"/>
        <v>0</v>
      </c>
      <c r="I11" s="1">
        <f t="shared" si="4"/>
        <v>0</v>
      </c>
      <c r="J11" s="1">
        <f t="shared" si="5"/>
        <v>0</v>
      </c>
      <c r="O11" s="1"/>
    </row>
    <row r="12" spans="1:15" x14ac:dyDescent="0.25">
      <c r="A12" s="9">
        <f t="shared" si="0"/>
        <v>1884</v>
      </c>
      <c r="B12" s="1">
        <f t="shared" si="1"/>
        <v>37951</v>
      </c>
      <c r="C12" s="1">
        <v>349851</v>
      </c>
      <c r="D12" s="1">
        <v>311900</v>
      </c>
      <c r="E12" s="1">
        <f t="shared" si="2"/>
        <v>37951</v>
      </c>
      <c r="F12" s="1">
        <v>349851</v>
      </c>
      <c r="G12" s="1">
        <v>311900</v>
      </c>
      <c r="H12" s="1">
        <f t="shared" si="3"/>
        <v>0</v>
      </c>
      <c r="I12" s="1">
        <f t="shared" si="4"/>
        <v>0</v>
      </c>
      <c r="J12" s="1">
        <f t="shared" si="5"/>
        <v>0</v>
      </c>
      <c r="O12" s="1"/>
    </row>
    <row r="13" spans="1:15" x14ac:dyDescent="0.25">
      <c r="A13" s="9">
        <f t="shared" si="0"/>
        <v>1885</v>
      </c>
      <c r="B13" s="1">
        <f t="shared" si="1"/>
        <v>63717</v>
      </c>
      <c r="C13" s="1">
        <v>408761</v>
      </c>
      <c r="D13" s="1">
        <v>345044</v>
      </c>
      <c r="E13" s="1">
        <f t="shared" si="2"/>
        <v>63717</v>
      </c>
      <c r="F13" s="1">
        <v>408761</v>
      </c>
      <c r="G13" s="1">
        <v>345044</v>
      </c>
      <c r="H13" s="1">
        <f t="shared" si="3"/>
        <v>0</v>
      </c>
      <c r="I13" s="1">
        <f t="shared" si="4"/>
        <v>0</v>
      </c>
      <c r="J13" s="1">
        <f t="shared" si="5"/>
        <v>0</v>
      </c>
      <c r="O13" s="1"/>
    </row>
    <row r="14" spans="1:15" x14ac:dyDescent="0.25">
      <c r="A14" s="9">
        <f t="shared" si="0"/>
        <v>1886</v>
      </c>
      <c r="B14" s="1">
        <f t="shared" si="1"/>
        <v>56196</v>
      </c>
      <c r="C14" s="1">
        <v>502936</v>
      </c>
      <c r="D14" s="1">
        <v>446740</v>
      </c>
      <c r="E14" s="1">
        <f t="shared" si="2"/>
        <v>56196</v>
      </c>
      <c r="F14" s="1">
        <v>502936</v>
      </c>
      <c r="G14" s="1">
        <v>446740</v>
      </c>
      <c r="H14" s="1">
        <f t="shared" si="3"/>
        <v>0</v>
      </c>
      <c r="I14" s="1">
        <f t="shared" si="4"/>
        <v>0</v>
      </c>
      <c r="J14" s="1">
        <f t="shared" si="5"/>
        <v>0</v>
      </c>
      <c r="O14" s="1"/>
    </row>
    <row r="15" spans="1:15" x14ac:dyDescent="0.25">
      <c r="A15" s="9">
        <f t="shared" si="0"/>
        <v>1887</v>
      </c>
      <c r="B15" s="1">
        <f t="shared" si="1"/>
        <v>44769</v>
      </c>
      <c r="C15" s="1">
        <v>546868</v>
      </c>
      <c r="D15" s="1">
        <v>502099</v>
      </c>
      <c r="E15" s="1">
        <f t="shared" si="2"/>
        <v>44769</v>
      </c>
      <c r="F15" s="1">
        <v>546868</v>
      </c>
      <c r="G15" s="1">
        <v>502099</v>
      </c>
      <c r="H15" s="1">
        <f t="shared" si="3"/>
        <v>0</v>
      </c>
      <c r="I15" s="1">
        <f t="shared" si="4"/>
        <v>0</v>
      </c>
      <c r="J15" s="1">
        <f t="shared" si="5"/>
        <v>0</v>
      </c>
      <c r="O15" s="1"/>
    </row>
    <row r="16" spans="1:15" x14ac:dyDescent="0.25">
      <c r="A16" s="9">
        <f t="shared" si="0"/>
        <v>1888</v>
      </c>
      <c r="B16" s="1">
        <f t="shared" si="1"/>
        <v>75001</v>
      </c>
      <c r="C16" s="1">
        <v>667855</v>
      </c>
      <c r="D16" s="1">
        <v>592854</v>
      </c>
      <c r="E16" s="1">
        <f t="shared" si="2"/>
        <v>75001</v>
      </c>
      <c r="F16" s="1">
        <v>667855</v>
      </c>
      <c r="G16" s="1">
        <v>592854</v>
      </c>
      <c r="H16" s="1">
        <f t="shared" si="3"/>
        <v>0</v>
      </c>
      <c r="I16" s="1">
        <f t="shared" si="4"/>
        <v>0</v>
      </c>
      <c r="J16" s="1">
        <f t="shared" si="5"/>
        <v>0</v>
      </c>
      <c r="O16" s="1"/>
    </row>
    <row r="17" spans="1:15" x14ac:dyDescent="0.25">
      <c r="A17" s="9">
        <f t="shared" si="0"/>
        <v>1889</v>
      </c>
      <c r="B17" s="1">
        <f t="shared" si="1"/>
        <v>30882</v>
      </c>
      <c r="C17" s="1">
        <v>1009672</v>
      </c>
      <c r="D17" s="1">
        <v>978790</v>
      </c>
      <c r="E17" s="1">
        <f t="shared" si="2"/>
        <v>30882</v>
      </c>
      <c r="F17" s="1">
        <v>1009672</v>
      </c>
      <c r="G17" s="1">
        <v>978790</v>
      </c>
      <c r="H17" s="1">
        <f t="shared" si="3"/>
        <v>0</v>
      </c>
      <c r="I17" s="1">
        <f t="shared" si="4"/>
        <v>0</v>
      </c>
      <c r="J17" s="1">
        <f t="shared" si="5"/>
        <v>0</v>
      </c>
      <c r="M17" s="1"/>
      <c r="O17" s="1"/>
    </row>
    <row r="18" spans="1:15" x14ac:dyDescent="0.25">
      <c r="A18" s="9">
        <f t="shared" si="0"/>
        <v>1890</v>
      </c>
      <c r="B18" s="1">
        <f t="shared" si="1"/>
        <v>50014</v>
      </c>
      <c r="C18" s="1">
        <v>1385207</v>
      </c>
      <c r="D18" s="1">
        <v>1335193</v>
      </c>
      <c r="E18" s="1">
        <f t="shared" si="2"/>
        <v>50014</v>
      </c>
      <c r="F18" s="1">
        <v>1385207</v>
      </c>
      <c r="G18" s="1">
        <v>1335193</v>
      </c>
      <c r="H18" s="1">
        <f t="shared" si="3"/>
        <v>0</v>
      </c>
      <c r="I18" s="1">
        <f t="shared" si="4"/>
        <v>0</v>
      </c>
      <c r="J18" s="1">
        <f t="shared" si="5"/>
        <v>0</v>
      </c>
      <c r="O18" s="1"/>
    </row>
    <row r="19" spans="1:15" x14ac:dyDescent="0.25">
      <c r="A19" s="9">
        <f t="shared" si="0"/>
        <v>1891</v>
      </c>
      <c r="B19" s="1">
        <f t="shared" si="1"/>
        <v>15917</v>
      </c>
      <c r="C19" s="1">
        <v>1598775</v>
      </c>
      <c r="D19" s="1">
        <v>1582858</v>
      </c>
      <c r="E19" s="1">
        <f t="shared" si="2"/>
        <v>15917</v>
      </c>
      <c r="F19" s="1">
        <v>1598775</v>
      </c>
      <c r="G19" s="1">
        <v>1582858</v>
      </c>
      <c r="H19" s="1">
        <f t="shared" si="3"/>
        <v>0</v>
      </c>
      <c r="I19" s="1">
        <f t="shared" si="4"/>
        <v>0</v>
      </c>
      <c r="J19" s="1">
        <f t="shared" si="5"/>
        <v>0</v>
      </c>
      <c r="O19" s="1"/>
    </row>
    <row r="20" spans="1:15" x14ac:dyDescent="0.25">
      <c r="A20" s="9">
        <f t="shared" si="0"/>
        <v>1892</v>
      </c>
      <c r="B20" s="1">
        <f t="shared" si="1"/>
        <v>12069</v>
      </c>
      <c r="C20" s="1">
        <v>939371</v>
      </c>
      <c r="D20" s="1">
        <v>927302</v>
      </c>
      <c r="E20" s="1">
        <f t="shared" si="2"/>
        <v>12069</v>
      </c>
      <c r="F20" s="1">
        <v>939371</v>
      </c>
      <c r="G20" s="1">
        <v>927302</v>
      </c>
      <c r="H20" s="1">
        <f t="shared" si="3"/>
        <v>0</v>
      </c>
      <c r="I20" s="1">
        <f t="shared" si="4"/>
        <v>0</v>
      </c>
      <c r="J20" s="1">
        <f t="shared" si="5"/>
        <v>0</v>
      </c>
      <c r="O20" s="1"/>
    </row>
    <row r="21" spans="1:15" x14ac:dyDescent="0.25">
      <c r="A21" s="9">
        <f t="shared" si="0"/>
        <v>1893</v>
      </c>
      <c r="B21" s="1">
        <f t="shared" si="1"/>
        <v>31556</v>
      </c>
      <c r="C21" s="1">
        <v>1088739</v>
      </c>
      <c r="D21" s="1">
        <v>1057183</v>
      </c>
      <c r="E21" s="1">
        <f t="shared" si="2"/>
        <v>31556</v>
      </c>
      <c r="F21" s="1">
        <v>1088739</v>
      </c>
      <c r="G21" s="1">
        <v>1057183</v>
      </c>
      <c r="H21" s="1">
        <f t="shared" si="3"/>
        <v>0</v>
      </c>
      <c r="I21" s="1">
        <f t="shared" si="4"/>
        <v>0</v>
      </c>
      <c r="J21" s="1">
        <f t="shared" si="5"/>
        <v>0</v>
      </c>
      <c r="O21" s="1"/>
    </row>
    <row r="22" spans="1:15" x14ac:dyDescent="0.25">
      <c r="A22" s="9">
        <f t="shared" si="0"/>
        <v>1894</v>
      </c>
      <c r="B22" s="1">
        <f t="shared" si="1"/>
        <v>12247</v>
      </c>
      <c r="C22" s="1">
        <v>1006037</v>
      </c>
      <c r="D22" s="1">
        <v>993790</v>
      </c>
      <c r="E22" s="1">
        <f t="shared" si="2"/>
        <v>12247</v>
      </c>
      <c r="F22" s="1">
        <v>1006037</v>
      </c>
      <c r="G22" s="1">
        <v>993790</v>
      </c>
      <c r="H22" s="1">
        <f t="shared" si="3"/>
        <v>0</v>
      </c>
      <c r="I22" s="1">
        <f t="shared" si="4"/>
        <v>0</v>
      </c>
      <c r="J22" s="1">
        <f t="shared" si="5"/>
        <v>0</v>
      </c>
      <c r="O22" s="1"/>
    </row>
    <row r="23" spans="1:15" x14ac:dyDescent="0.25">
      <c r="A23" s="9">
        <f>A24-1</f>
        <v>1895</v>
      </c>
      <c r="B23" s="18">
        <f t="shared" si="1"/>
        <v>-78419</v>
      </c>
      <c r="C23" s="1">
        <v>1407483</v>
      </c>
      <c r="D23" s="1">
        <v>1485902</v>
      </c>
      <c r="E23" s="1">
        <f t="shared" si="2"/>
        <v>-78419</v>
      </c>
      <c r="F23" s="1">
        <v>1407483</v>
      </c>
      <c r="G23" s="1">
        <v>1485902</v>
      </c>
      <c r="H23" s="1">
        <f t="shared" si="3"/>
        <v>0</v>
      </c>
      <c r="I23" s="1">
        <f t="shared" si="4"/>
        <v>0</v>
      </c>
      <c r="J23" s="1">
        <f t="shared" si="5"/>
        <v>0</v>
      </c>
      <c r="O23" s="1"/>
    </row>
    <row r="24" spans="1:15" x14ac:dyDescent="0.25">
      <c r="A24" s="9">
        <v>1896</v>
      </c>
      <c r="B24" s="1">
        <f>C24-D24</f>
        <v>35527</v>
      </c>
      <c r="C24" s="1">
        <v>1531339</v>
      </c>
      <c r="D24" s="1">
        <v>1495812</v>
      </c>
      <c r="E24" s="1">
        <f>F24-G24</f>
        <v>27608</v>
      </c>
      <c r="F24" s="1">
        <v>1494096</v>
      </c>
      <c r="G24" s="1">
        <v>1466488</v>
      </c>
      <c r="H24" s="1">
        <f>B24-E24</f>
        <v>7919</v>
      </c>
      <c r="I24" s="1">
        <f t="shared" ref="I24:J24" si="6">C24-F24</f>
        <v>37243</v>
      </c>
      <c r="J24" s="1">
        <f t="shared" si="6"/>
        <v>29324</v>
      </c>
      <c r="O24" s="1"/>
    </row>
    <row r="25" spans="1:15" x14ac:dyDescent="0.25">
      <c r="A25" s="9">
        <f>A24+1</f>
        <v>1897</v>
      </c>
      <c r="B25" s="1">
        <f t="shared" ref="B25:B43" si="7">C25-D25</f>
        <v>33245</v>
      </c>
      <c r="C25" s="1">
        <v>2066468</v>
      </c>
      <c r="D25" s="1">
        <v>2033223</v>
      </c>
      <c r="E25" s="1">
        <f t="shared" ref="E25:E43" si="8">F25-G25</f>
        <v>29065</v>
      </c>
      <c r="F25" s="1">
        <v>2030433</v>
      </c>
      <c r="G25" s="1">
        <v>2001368</v>
      </c>
      <c r="H25" s="1">
        <f t="shared" ref="H25:H43" si="9">B25-E25</f>
        <v>4180</v>
      </c>
      <c r="I25" s="1">
        <f t="shared" ref="I25:I43" si="10">C25-F25</f>
        <v>36035</v>
      </c>
      <c r="J25" s="1">
        <f t="shared" ref="J25:J43" si="11">D25-G25</f>
        <v>31855</v>
      </c>
      <c r="O25" s="1"/>
    </row>
    <row r="26" spans="1:15" x14ac:dyDescent="0.25">
      <c r="A26" s="9">
        <f t="shared" ref="A26:A43" si="12">A25+1</f>
        <v>1898</v>
      </c>
      <c r="B26" s="1">
        <f t="shared" si="7"/>
        <v>29742</v>
      </c>
      <c r="C26" s="1">
        <v>1962537</v>
      </c>
      <c r="D26" s="1">
        <v>1932795</v>
      </c>
      <c r="E26" s="1">
        <f t="shared" si="8"/>
        <v>19647</v>
      </c>
      <c r="F26" s="1">
        <v>1928012</v>
      </c>
      <c r="G26" s="1">
        <v>1908365</v>
      </c>
      <c r="H26" s="1">
        <f t="shared" si="9"/>
        <v>10095</v>
      </c>
      <c r="I26" s="1">
        <f t="shared" si="10"/>
        <v>34525</v>
      </c>
      <c r="J26" s="1">
        <f t="shared" si="11"/>
        <v>24430</v>
      </c>
      <c r="O26" s="1"/>
    </row>
    <row r="27" spans="1:15" x14ac:dyDescent="0.25">
      <c r="A27" s="9">
        <f t="shared" si="12"/>
        <v>1899</v>
      </c>
      <c r="B27" s="1">
        <f t="shared" si="7"/>
        <v>49193</v>
      </c>
      <c r="C27" s="1">
        <v>1644485</v>
      </c>
      <c r="D27" s="1">
        <v>1595292</v>
      </c>
      <c r="E27" s="1">
        <f t="shared" si="8"/>
        <v>40276</v>
      </c>
      <c r="F27" s="1">
        <v>1614875</v>
      </c>
      <c r="G27" s="1">
        <v>1574599</v>
      </c>
      <c r="H27" s="1">
        <f t="shared" si="9"/>
        <v>8917</v>
      </c>
      <c r="I27" s="1">
        <f t="shared" si="10"/>
        <v>29610</v>
      </c>
      <c r="J27" s="1">
        <f t="shared" si="11"/>
        <v>20693</v>
      </c>
      <c r="O27" s="1"/>
    </row>
    <row r="28" spans="1:15" x14ac:dyDescent="0.25">
      <c r="A28" s="9">
        <f t="shared" si="12"/>
        <v>1900</v>
      </c>
      <c r="B28" s="1">
        <f t="shared" si="7"/>
        <v>35517</v>
      </c>
      <c r="C28" s="1">
        <v>1563045</v>
      </c>
      <c r="D28" s="1">
        <v>1527528</v>
      </c>
      <c r="E28" s="1">
        <f t="shared" si="8"/>
        <v>32375</v>
      </c>
      <c r="F28" s="1">
        <v>1532767</v>
      </c>
      <c r="G28" s="1">
        <v>1500392</v>
      </c>
      <c r="H28" s="1">
        <f t="shared" si="9"/>
        <v>3142</v>
      </c>
      <c r="I28" s="1">
        <f t="shared" si="10"/>
        <v>30278</v>
      </c>
      <c r="J28" s="1">
        <f t="shared" si="11"/>
        <v>27136</v>
      </c>
      <c r="O28" s="1"/>
    </row>
    <row r="29" spans="1:15" x14ac:dyDescent="0.25">
      <c r="A29" s="9">
        <f t="shared" si="12"/>
        <v>1901</v>
      </c>
      <c r="B29" s="1">
        <f t="shared" si="7"/>
        <v>43722</v>
      </c>
      <c r="C29" s="1">
        <v>2272750</v>
      </c>
      <c r="D29" s="1">
        <v>2229028</v>
      </c>
      <c r="E29" s="1">
        <f t="shared" si="8"/>
        <v>39934</v>
      </c>
      <c r="F29" s="1">
        <v>2249494</v>
      </c>
      <c r="G29" s="1">
        <v>2209560</v>
      </c>
      <c r="H29" s="1">
        <f t="shared" si="9"/>
        <v>3788</v>
      </c>
      <c r="I29" s="1">
        <f t="shared" si="10"/>
        <v>23256</v>
      </c>
      <c r="J29" s="1">
        <f t="shared" si="11"/>
        <v>19468</v>
      </c>
      <c r="O29" s="1"/>
    </row>
    <row r="30" spans="1:15" x14ac:dyDescent="0.25">
      <c r="A30" s="9">
        <f t="shared" si="12"/>
        <v>1902</v>
      </c>
      <c r="B30" s="1">
        <f t="shared" si="7"/>
        <v>31992</v>
      </c>
      <c r="C30" s="1">
        <v>2889724</v>
      </c>
      <c r="D30" s="1">
        <v>2857732</v>
      </c>
      <c r="E30" s="1">
        <f t="shared" si="8"/>
        <v>26815</v>
      </c>
      <c r="F30" s="1">
        <v>2869693</v>
      </c>
      <c r="G30" s="1">
        <v>2842878</v>
      </c>
      <c r="H30" s="1">
        <f t="shared" si="9"/>
        <v>5177</v>
      </c>
      <c r="I30" s="1">
        <f t="shared" si="10"/>
        <v>20031</v>
      </c>
      <c r="J30" s="1">
        <f t="shared" si="11"/>
        <v>14854</v>
      </c>
      <c r="O30" s="1"/>
    </row>
    <row r="31" spans="1:15" x14ac:dyDescent="0.25">
      <c r="A31" s="9">
        <f t="shared" si="12"/>
        <v>1903</v>
      </c>
      <c r="B31" s="1">
        <f t="shared" si="7"/>
        <v>33380</v>
      </c>
      <c r="C31" s="1">
        <v>2651234</v>
      </c>
      <c r="D31" s="1">
        <v>2617854</v>
      </c>
      <c r="E31" s="1">
        <f t="shared" si="8"/>
        <v>29785</v>
      </c>
      <c r="F31" s="1">
        <v>2628717</v>
      </c>
      <c r="G31" s="1">
        <v>2598932</v>
      </c>
      <c r="H31" s="1">
        <f t="shared" si="9"/>
        <v>3595</v>
      </c>
      <c r="I31" s="1">
        <f t="shared" si="10"/>
        <v>22517</v>
      </c>
      <c r="J31" s="1">
        <f t="shared" si="11"/>
        <v>18922</v>
      </c>
      <c r="O31" s="1"/>
    </row>
    <row r="32" spans="1:15" x14ac:dyDescent="0.25">
      <c r="A32" s="9">
        <f t="shared" si="12"/>
        <v>1904</v>
      </c>
      <c r="B32" s="1">
        <f t="shared" si="7"/>
        <v>29382</v>
      </c>
      <c r="C32" s="1">
        <v>2525001</v>
      </c>
      <c r="D32" s="1">
        <v>2495619</v>
      </c>
      <c r="E32" s="1">
        <f t="shared" si="8"/>
        <v>27549</v>
      </c>
      <c r="F32" s="1">
        <v>2504098</v>
      </c>
      <c r="G32" s="1">
        <v>2476549</v>
      </c>
      <c r="H32" s="1">
        <f t="shared" si="9"/>
        <v>1833</v>
      </c>
      <c r="I32" s="1">
        <f t="shared" si="10"/>
        <v>20903</v>
      </c>
      <c r="J32" s="1">
        <f t="shared" si="11"/>
        <v>19070</v>
      </c>
      <c r="O32" s="1"/>
    </row>
    <row r="33" spans="1:15" x14ac:dyDescent="0.25">
      <c r="A33" s="9">
        <f t="shared" si="12"/>
        <v>1905</v>
      </c>
      <c r="B33" s="1">
        <f t="shared" si="7"/>
        <v>1055</v>
      </c>
      <c r="C33" s="1">
        <v>3105417</v>
      </c>
      <c r="D33" s="1">
        <v>3104362</v>
      </c>
      <c r="E33" s="1">
        <f t="shared" si="8"/>
        <v>-3337</v>
      </c>
      <c r="F33" s="1">
        <v>3083850</v>
      </c>
      <c r="G33" s="1">
        <v>3087187</v>
      </c>
      <c r="H33" s="1">
        <f t="shared" si="9"/>
        <v>4392</v>
      </c>
      <c r="I33" s="1">
        <f t="shared" si="10"/>
        <v>21567</v>
      </c>
      <c r="J33" s="1">
        <f t="shared" si="11"/>
        <v>17175</v>
      </c>
      <c r="O33" s="1"/>
    </row>
    <row r="34" spans="1:15" x14ac:dyDescent="0.25">
      <c r="A34" s="9">
        <f t="shared" si="12"/>
        <v>1906</v>
      </c>
      <c r="B34" s="1">
        <f t="shared" si="7"/>
        <v>-47065</v>
      </c>
      <c r="C34" s="1">
        <v>2591814</v>
      </c>
      <c r="D34" s="1">
        <v>2638879</v>
      </c>
      <c r="E34" s="1">
        <f t="shared" si="8"/>
        <v>-51942</v>
      </c>
      <c r="F34" s="1">
        <v>2554384</v>
      </c>
      <c r="G34" s="1">
        <v>2606326</v>
      </c>
      <c r="H34" s="1">
        <f t="shared" si="9"/>
        <v>4877</v>
      </c>
      <c r="I34" s="1">
        <f t="shared" si="10"/>
        <v>37430</v>
      </c>
      <c r="J34" s="1">
        <f t="shared" si="11"/>
        <v>32553</v>
      </c>
      <c r="O34" s="1"/>
    </row>
    <row r="35" spans="1:15" x14ac:dyDescent="0.25">
      <c r="A35" s="9">
        <f t="shared" si="12"/>
        <v>1907</v>
      </c>
      <c r="B35" s="1">
        <f t="shared" si="7"/>
        <v>22779</v>
      </c>
      <c r="C35" s="1">
        <v>2580135</v>
      </c>
      <c r="D35" s="1">
        <v>2557356</v>
      </c>
      <c r="E35" s="1">
        <f t="shared" si="8"/>
        <v>18388</v>
      </c>
      <c r="F35" s="1">
        <v>2536385</v>
      </c>
      <c r="G35" s="1">
        <v>2517997</v>
      </c>
      <c r="H35" s="1">
        <f t="shared" si="9"/>
        <v>4391</v>
      </c>
      <c r="I35" s="1">
        <f t="shared" si="10"/>
        <v>43750</v>
      </c>
      <c r="J35" s="1">
        <f t="shared" si="11"/>
        <v>39359</v>
      </c>
      <c r="O35" s="1"/>
    </row>
    <row r="36" spans="1:15" x14ac:dyDescent="0.25">
      <c r="A36" s="9">
        <f t="shared" si="12"/>
        <v>1908</v>
      </c>
      <c r="B36" s="1">
        <f t="shared" si="7"/>
        <v>26489</v>
      </c>
      <c r="C36" s="1">
        <v>2473492</v>
      </c>
      <c r="D36" s="1">
        <v>2447003</v>
      </c>
      <c r="E36" s="1">
        <f t="shared" si="8"/>
        <v>21201</v>
      </c>
      <c r="F36" s="1">
        <v>2424198</v>
      </c>
      <c r="G36" s="1">
        <v>2402997</v>
      </c>
      <c r="H36" s="1">
        <f t="shared" si="9"/>
        <v>5288</v>
      </c>
      <c r="I36" s="1">
        <f t="shared" si="10"/>
        <v>49294</v>
      </c>
      <c r="J36" s="1">
        <f t="shared" si="11"/>
        <v>44006</v>
      </c>
      <c r="O36" s="1"/>
    </row>
    <row r="37" spans="1:15" x14ac:dyDescent="0.25">
      <c r="A37" s="9">
        <f t="shared" si="12"/>
        <v>1909</v>
      </c>
      <c r="B37" s="1">
        <f t="shared" si="7"/>
        <v>36114</v>
      </c>
      <c r="C37" s="1">
        <v>3151981</v>
      </c>
      <c r="D37" s="1">
        <v>3115867</v>
      </c>
      <c r="E37" s="1">
        <f t="shared" si="8"/>
        <v>31731</v>
      </c>
      <c r="F37" s="1">
        <v>3094310</v>
      </c>
      <c r="G37" s="1">
        <v>3062579</v>
      </c>
      <c r="H37" s="1">
        <f t="shared" si="9"/>
        <v>4383</v>
      </c>
      <c r="I37" s="1">
        <f t="shared" si="10"/>
        <v>57671</v>
      </c>
      <c r="J37" s="1">
        <f t="shared" si="11"/>
        <v>53288</v>
      </c>
      <c r="O37" s="1"/>
    </row>
    <row r="38" spans="1:15" x14ac:dyDescent="0.25">
      <c r="A38" s="9">
        <f t="shared" si="12"/>
        <v>1910</v>
      </c>
      <c r="B38" s="1">
        <f t="shared" si="7"/>
        <v>-20112</v>
      </c>
      <c r="C38" s="1">
        <v>2940686</v>
      </c>
      <c r="D38" s="1">
        <v>2960798</v>
      </c>
      <c r="E38" s="1">
        <f t="shared" si="8"/>
        <v>-31761</v>
      </c>
      <c r="F38" s="1">
        <v>2836071</v>
      </c>
      <c r="G38" s="1">
        <v>2867832</v>
      </c>
      <c r="H38" s="1">
        <f t="shared" si="9"/>
        <v>11649</v>
      </c>
      <c r="I38" s="1">
        <f t="shared" si="10"/>
        <v>104615</v>
      </c>
      <c r="J38" s="1">
        <f t="shared" si="11"/>
        <v>92966</v>
      </c>
      <c r="O38" s="1"/>
    </row>
    <row r="39" spans="1:15" x14ac:dyDescent="0.25">
      <c r="A39" s="9">
        <f t="shared" si="12"/>
        <v>1911</v>
      </c>
      <c r="B39" s="1">
        <f t="shared" si="7"/>
        <v>35201</v>
      </c>
      <c r="C39" s="1">
        <v>3093635</v>
      </c>
      <c r="D39" s="1">
        <v>3058434</v>
      </c>
      <c r="E39" s="1">
        <f t="shared" si="8"/>
        <v>19663</v>
      </c>
      <c r="F39" s="1">
        <v>2963117</v>
      </c>
      <c r="G39" s="1">
        <v>2943454</v>
      </c>
      <c r="H39" s="1">
        <f t="shared" si="9"/>
        <v>15538</v>
      </c>
      <c r="I39" s="1">
        <f t="shared" si="10"/>
        <v>130518</v>
      </c>
      <c r="J39" s="1">
        <f t="shared" si="11"/>
        <v>114980</v>
      </c>
      <c r="O39" s="1"/>
    </row>
    <row r="40" spans="1:15" x14ac:dyDescent="0.25">
      <c r="A40" s="9">
        <f t="shared" si="12"/>
        <v>1912</v>
      </c>
      <c r="B40" s="1">
        <f t="shared" si="7"/>
        <v>44363</v>
      </c>
      <c r="C40" s="1">
        <v>3399417</v>
      </c>
      <c r="D40" s="1">
        <v>3355054</v>
      </c>
      <c r="E40" s="1">
        <f t="shared" si="8"/>
        <v>19734</v>
      </c>
      <c r="F40" s="1">
        <v>3150663</v>
      </c>
      <c r="G40" s="1">
        <v>3130929</v>
      </c>
      <c r="H40" s="1">
        <f t="shared" si="9"/>
        <v>24629</v>
      </c>
      <c r="I40" s="1">
        <f t="shared" si="10"/>
        <v>248754</v>
      </c>
      <c r="J40" s="1">
        <f t="shared" si="11"/>
        <v>224125</v>
      </c>
      <c r="O40" s="1"/>
    </row>
    <row r="41" spans="1:15" x14ac:dyDescent="0.25">
      <c r="A41" s="9">
        <f t="shared" si="12"/>
        <v>1913</v>
      </c>
      <c r="B41" s="1">
        <f t="shared" si="7"/>
        <v>91371</v>
      </c>
      <c r="C41" s="1">
        <v>3568993</v>
      </c>
      <c r="D41" s="1">
        <v>3477622</v>
      </c>
      <c r="E41" s="1">
        <f t="shared" si="8"/>
        <v>17422</v>
      </c>
      <c r="F41" s="1">
        <v>3269251</v>
      </c>
      <c r="G41" s="1">
        <v>3251829</v>
      </c>
      <c r="H41" s="1">
        <f t="shared" si="9"/>
        <v>73949</v>
      </c>
      <c r="I41" s="1">
        <f t="shared" si="10"/>
        <v>299742</v>
      </c>
      <c r="J41" s="1">
        <f t="shared" si="11"/>
        <v>225793</v>
      </c>
      <c r="O41" s="1"/>
    </row>
    <row r="42" spans="1:15" x14ac:dyDescent="0.25">
      <c r="A42" s="9">
        <f t="shared" si="12"/>
        <v>1914</v>
      </c>
      <c r="B42" s="1">
        <f t="shared" si="7"/>
        <v>28786</v>
      </c>
      <c r="C42" s="1">
        <v>1608780</v>
      </c>
      <c r="D42" s="1">
        <v>1579994</v>
      </c>
      <c r="E42" s="1">
        <f t="shared" si="8"/>
        <v>5934</v>
      </c>
      <c r="F42" s="1">
        <v>1448612</v>
      </c>
      <c r="G42" s="1">
        <v>1442678</v>
      </c>
      <c r="H42" s="1">
        <f t="shared" si="9"/>
        <v>22852</v>
      </c>
      <c r="I42" s="1">
        <f t="shared" si="10"/>
        <v>160168</v>
      </c>
      <c r="J42" s="1">
        <f t="shared" si="11"/>
        <v>137316</v>
      </c>
      <c r="O42" s="1"/>
    </row>
    <row r="43" spans="1:15" x14ac:dyDescent="0.25">
      <c r="A43" s="9">
        <f t="shared" si="12"/>
        <v>1915</v>
      </c>
      <c r="B43" s="1">
        <f t="shared" si="7"/>
        <v>22623</v>
      </c>
      <c r="C43" s="1">
        <v>127267</v>
      </c>
      <c r="D43" s="1">
        <v>104644</v>
      </c>
      <c r="E43" s="1">
        <f t="shared" si="8"/>
        <v>152</v>
      </c>
      <c r="F43" s="1">
        <v>1000</v>
      </c>
      <c r="G43" s="1">
        <v>848</v>
      </c>
      <c r="H43" s="1">
        <f t="shared" si="9"/>
        <v>22471</v>
      </c>
      <c r="I43" s="1">
        <f t="shared" si="10"/>
        <v>126267</v>
      </c>
      <c r="J43" s="1">
        <f t="shared" si="11"/>
        <v>103796</v>
      </c>
      <c r="O43" s="1"/>
    </row>
    <row r="44" spans="1:15" x14ac:dyDescent="0.25">
      <c r="A44" s="10" t="s">
        <v>50</v>
      </c>
      <c r="B44" s="5">
        <f>SUM(B9:B23)</f>
        <v>442837</v>
      </c>
      <c r="C44" s="5"/>
      <c r="D44" s="5"/>
      <c r="E44" s="5">
        <f>SUM(E9:E23)</f>
        <v>440738</v>
      </c>
      <c r="F44" s="5"/>
      <c r="G44" s="5"/>
      <c r="H44" s="5">
        <f>SUM(H9:H23)</f>
        <v>2099</v>
      </c>
      <c r="I44" s="5"/>
      <c r="J44" s="5"/>
      <c r="O44" s="1"/>
    </row>
    <row r="45" spans="1:15" x14ac:dyDescent="0.25">
      <c r="A45" s="10" t="s">
        <v>4</v>
      </c>
      <c r="B45" s="5">
        <f>SUM(B24:B43)</f>
        <v>563304</v>
      </c>
      <c r="C45" s="5"/>
      <c r="D45" s="5"/>
      <c r="E45" s="5">
        <f>SUM(E24:E43)</f>
        <v>320239</v>
      </c>
      <c r="F45" s="5"/>
      <c r="G45" s="5"/>
      <c r="H45" s="5">
        <f>SUM(H24:H43)</f>
        <v>243065</v>
      </c>
      <c r="I45" s="5"/>
      <c r="J45" s="4"/>
      <c r="O45" s="1"/>
    </row>
    <row r="46" spans="1:15" x14ac:dyDescent="0.25">
      <c r="A46" s="10" t="s">
        <v>51</v>
      </c>
      <c r="B46" s="5">
        <f>B45+B44</f>
        <v>1006141</v>
      </c>
      <c r="C46" s="5"/>
      <c r="D46" s="5"/>
      <c r="E46" s="5">
        <f>E45+E44</f>
        <v>760977</v>
      </c>
      <c r="F46" s="5"/>
      <c r="G46" s="5"/>
      <c r="H46" s="5">
        <f>H45+H44</f>
        <v>245164</v>
      </c>
      <c r="I46" s="5"/>
      <c r="J46" s="4"/>
      <c r="O46" s="1"/>
    </row>
    <row r="47" spans="1:15" x14ac:dyDescent="0.25">
      <c r="O47" s="1"/>
    </row>
    <row r="48" spans="1:15" x14ac:dyDescent="0.25">
      <c r="A48" t="s">
        <v>6</v>
      </c>
      <c r="O48" s="1"/>
    </row>
    <row r="49" spans="1:31" x14ac:dyDescent="0.25">
      <c r="A49" s="19" t="s">
        <v>60</v>
      </c>
      <c r="O49" s="1"/>
    </row>
    <row r="50" spans="1:31" x14ac:dyDescent="0.25">
      <c r="O50" s="1"/>
    </row>
    <row r="51" spans="1:31" x14ac:dyDescent="0.25">
      <c r="A51" s="2"/>
      <c r="B51" s="23" t="s">
        <v>7</v>
      </c>
      <c r="C51" s="23"/>
      <c r="D51" s="23"/>
      <c r="E51" s="23" t="s">
        <v>8</v>
      </c>
      <c r="F51" s="23"/>
      <c r="G51" s="23"/>
      <c r="H51" s="23" t="s">
        <v>9</v>
      </c>
      <c r="I51" s="23"/>
      <c r="J51" s="23"/>
      <c r="K51" s="23" t="s">
        <v>12</v>
      </c>
      <c r="L51" s="23"/>
      <c r="M51" s="23"/>
      <c r="N51" s="23" t="s">
        <v>10</v>
      </c>
      <c r="O51" s="23"/>
      <c r="P51" s="23"/>
      <c r="Q51" s="23" t="s">
        <v>11</v>
      </c>
      <c r="R51" s="23"/>
      <c r="S51" s="23"/>
      <c r="U51" s="20" t="s">
        <v>5</v>
      </c>
      <c r="Y51" s="22" t="s">
        <v>55</v>
      </c>
      <c r="AC51" s="21" t="s">
        <v>57</v>
      </c>
    </row>
    <row r="52" spans="1:31" x14ac:dyDescent="0.25">
      <c r="A52" s="3" t="s">
        <v>0</v>
      </c>
      <c r="B52" s="3" t="s">
        <v>1</v>
      </c>
      <c r="C52" s="3" t="s">
        <v>2</v>
      </c>
      <c r="D52" s="3" t="s">
        <v>3</v>
      </c>
      <c r="E52" s="3" t="s">
        <v>1</v>
      </c>
      <c r="F52" s="3" t="s">
        <v>2</v>
      </c>
      <c r="G52" s="3" t="s">
        <v>3</v>
      </c>
      <c r="H52" s="3" t="s">
        <v>1</v>
      </c>
      <c r="I52" s="3" t="s">
        <v>2</v>
      </c>
      <c r="J52" s="3" t="s">
        <v>3</v>
      </c>
      <c r="K52" s="3" t="s">
        <v>1</v>
      </c>
      <c r="L52" s="3" t="s">
        <v>2</v>
      </c>
      <c r="M52" s="3" t="s">
        <v>3</v>
      </c>
      <c r="N52" s="3" t="s">
        <v>1</v>
      </c>
      <c r="O52" s="3" t="s">
        <v>2</v>
      </c>
      <c r="P52" s="3" t="s">
        <v>3</v>
      </c>
      <c r="Q52" s="3" t="s">
        <v>1</v>
      </c>
      <c r="R52" s="3" t="s">
        <v>2</v>
      </c>
      <c r="S52" s="3" t="s">
        <v>3</v>
      </c>
      <c r="U52" s="3" t="s">
        <v>1</v>
      </c>
      <c r="V52" s="3" t="s">
        <v>2</v>
      </c>
      <c r="W52" s="3" t="s">
        <v>3</v>
      </c>
      <c r="Y52" s="15" t="s">
        <v>1</v>
      </c>
      <c r="Z52" s="15" t="s">
        <v>2</v>
      </c>
      <c r="AA52" s="15" t="s">
        <v>3</v>
      </c>
      <c r="AC52" s="15" t="s">
        <v>1</v>
      </c>
      <c r="AD52" s="15" t="s">
        <v>2</v>
      </c>
      <c r="AE52" s="15" t="s">
        <v>3</v>
      </c>
    </row>
    <row r="53" spans="1:31" x14ac:dyDescent="0.25">
      <c r="A53" s="9">
        <f t="shared" ref="A53:A66" si="13">A54-1</f>
        <v>1881</v>
      </c>
      <c r="B53" s="1">
        <f t="shared" ref="B53:B60" si="14">C53-D53</f>
        <v>23580</v>
      </c>
      <c r="C53" s="1">
        <v>229749</v>
      </c>
      <c r="D53" s="1">
        <v>206169</v>
      </c>
      <c r="E53" s="1">
        <f t="shared" ref="E53:E60" si="15">F53-G53</f>
        <v>5725</v>
      </c>
      <c r="F53" s="1">
        <v>20939</v>
      </c>
      <c r="G53" s="1">
        <v>15214</v>
      </c>
      <c r="H53" s="1">
        <f t="shared" ref="H53:H60" si="16">I53-J53</f>
        <v>892</v>
      </c>
      <c r="I53" s="1">
        <v>8284</v>
      </c>
      <c r="J53" s="1">
        <v>7392</v>
      </c>
      <c r="K53" s="16"/>
      <c r="L53" s="16"/>
      <c r="M53" s="16"/>
      <c r="N53" s="1">
        <v>2099</v>
      </c>
      <c r="O53" s="1">
        <v>4840</v>
      </c>
      <c r="P53" s="1">
        <v>2741</v>
      </c>
      <c r="Q53" s="1">
        <f t="shared" ref="Q53:Q58" si="17">R53-S53</f>
        <v>17</v>
      </c>
      <c r="R53">
        <v>37</v>
      </c>
      <c r="S53">
        <v>20</v>
      </c>
      <c r="U53" s="1">
        <f>V53-W53</f>
        <v>32296</v>
      </c>
      <c r="V53" s="1">
        <v>263812</v>
      </c>
      <c r="W53" s="1">
        <v>231516</v>
      </c>
      <c r="Y53" s="1">
        <f t="shared" ref="Y53:Y60" si="18">B53+E53+H53+K53+N53+Q53</f>
        <v>32313</v>
      </c>
      <c r="Z53" s="1">
        <f t="shared" ref="Z53:Z60" si="19">C53+F53+I53+L53+O53+R53</f>
        <v>263849</v>
      </c>
      <c r="AA53" s="1">
        <f t="shared" ref="AA53:AA60" si="20">D53+G53+J53+M53+P53+S53</f>
        <v>231536</v>
      </c>
      <c r="AC53" s="1">
        <f>U53-Y53</f>
        <v>-17</v>
      </c>
      <c r="AD53" s="1">
        <f>V53-Z53</f>
        <v>-37</v>
      </c>
      <c r="AE53" s="1">
        <f>W53-AA53</f>
        <v>-20</v>
      </c>
    </row>
    <row r="54" spans="1:31" x14ac:dyDescent="0.25">
      <c r="A54" s="9">
        <f t="shared" si="13"/>
        <v>1882</v>
      </c>
      <c r="B54" s="1">
        <f t="shared" si="14"/>
        <v>31320</v>
      </c>
      <c r="C54" s="1">
        <v>294606</v>
      </c>
      <c r="D54" s="1">
        <v>263286</v>
      </c>
      <c r="E54" s="1">
        <f t="shared" si="15"/>
        <v>4379</v>
      </c>
      <c r="F54" s="1">
        <v>29364</v>
      </c>
      <c r="G54" s="1">
        <v>24985</v>
      </c>
      <c r="H54" s="1">
        <f t="shared" si="16"/>
        <v>902</v>
      </c>
      <c r="I54" s="1">
        <v>9440</v>
      </c>
      <c r="J54" s="1">
        <v>8538</v>
      </c>
      <c r="K54" s="16"/>
      <c r="L54" s="16"/>
      <c r="M54" s="16"/>
      <c r="N54" s="16"/>
      <c r="O54" s="16"/>
      <c r="P54" s="16"/>
      <c r="Q54" s="1">
        <f t="shared" si="17"/>
        <v>-10</v>
      </c>
      <c r="R54">
        <v>24</v>
      </c>
      <c r="S54">
        <v>34</v>
      </c>
      <c r="U54" s="1">
        <f t="shared" ref="U54:U87" si="21">V54-W54</f>
        <v>36591</v>
      </c>
      <c r="V54" s="1">
        <v>333434</v>
      </c>
      <c r="W54" s="1">
        <v>296843</v>
      </c>
      <c r="Y54" s="1">
        <f t="shared" si="18"/>
        <v>36591</v>
      </c>
      <c r="Z54" s="1">
        <f t="shared" si="19"/>
        <v>333434</v>
      </c>
      <c r="AA54" s="1">
        <f t="shared" si="20"/>
        <v>296843</v>
      </c>
      <c r="AC54" s="1">
        <f t="shared" ref="AC54:AC60" si="22">U54-Y54</f>
        <v>0</v>
      </c>
      <c r="AD54" s="1">
        <f t="shared" ref="AD54:AD60" si="23">V54-Z54</f>
        <v>0</v>
      </c>
      <c r="AE54" s="1">
        <f t="shared" ref="AE54:AE60" si="24">W54-AA54</f>
        <v>0</v>
      </c>
    </row>
    <row r="55" spans="1:31" x14ac:dyDescent="0.25">
      <c r="A55" s="9">
        <f t="shared" si="13"/>
        <v>1883</v>
      </c>
      <c r="B55" s="1">
        <f t="shared" si="14"/>
        <v>15017</v>
      </c>
      <c r="C55" s="1">
        <v>298326</v>
      </c>
      <c r="D55" s="1">
        <v>283309</v>
      </c>
      <c r="E55" s="1">
        <f t="shared" si="15"/>
        <v>6371</v>
      </c>
      <c r="F55" s="1">
        <v>35374</v>
      </c>
      <c r="G55" s="1">
        <v>29003</v>
      </c>
      <c r="H55" s="1">
        <f t="shared" si="16"/>
        <v>662</v>
      </c>
      <c r="I55" s="1">
        <v>7877</v>
      </c>
      <c r="J55" s="1">
        <v>7215</v>
      </c>
      <c r="K55" s="16"/>
      <c r="L55" s="16"/>
      <c r="M55" s="16"/>
      <c r="N55" s="16"/>
      <c r="O55" s="16"/>
      <c r="P55" s="16"/>
      <c r="Q55" s="1">
        <f t="shared" si="17"/>
        <v>0</v>
      </c>
      <c r="U55" s="1">
        <f t="shared" si="21"/>
        <v>22050</v>
      </c>
      <c r="V55" s="1">
        <v>341577</v>
      </c>
      <c r="W55" s="1">
        <v>319527</v>
      </c>
      <c r="Y55" s="1">
        <f t="shared" si="18"/>
        <v>22050</v>
      </c>
      <c r="Z55" s="1">
        <f t="shared" si="19"/>
        <v>341577</v>
      </c>
      <c r="AA55" s="1">
        <f t="shared" si="20"/>
        <v>319527</v>
      </c>
      <c r="AC55" s="1">
        <f t="shared" si="22"/>
        <v>0</v>
      </c>
      <c r="AD55" s="1">
        <f t="shared" si="23"/>
        <v>0</v>
      </c>
      <c r="AE55" s="1">
        <f t="shared" si="24"/>
        <v>0</v>
      </c>
    </row>
    <row r="56" spans="1:31" x14ac:dyDescent="0.25">
      <c r="A56" s="9">
        <f t="shared" si="13"/>
        <v>1884</v>
      </c>
      <c r="B56" s="1">
        <f t="shared" si="14"/>
        <v>23871</v>
      </c>
      <c r="C56" s="1">
        <v>293758</v>
      </c>
      <c r="D56" s="1">
        <v>269887</v>
      </c>
      <c r="E56" s="1">
        <f t="shared" si="15"/>
        <v>11873</v>
      </c>
      <c r="F56" s="1">
        <v>46497</v>
      </c>
      <c r="G56" s="1">
        <v>34624</v>
      </c>
      <c r="H56" s="1">
        <f t="shared" si="16"/>
        <v>2206</v>
      </c>
      <c r="I56" s="1">
        <v>9594</v>
      </c>
      <c r="J56" s="1">
        <v>7388</v>
      </c>
      <c r="K56" s="16"/>
      <c r="L56" s="16"/>
      <c r="M56" s="16"/>
      <c r="N56" s="16"/>
      <c r="O56" s="16"/>
      <c r="P56" s="16"/>
      <c r="Q56" s="1">
        <f t="shared" si="17"/>
        <v>1</v>
      </c>
      <c r="R56">
        <v>2</v>
      </c>
      <c r="S56">
        <v>1</v>
      </c>
      <c r="U56" s="1">
        <f t="shared" si="21"/>
        <v>37951</v>
      </c>
      <c r="V56" s="1">
        <v>349851</v>
      </c>
      <c r="W56" s="1">
        <v>311900</v>
      </c>
      <c r="Y56" s="1">
        <f t="shared" si="18"/>
        <v>37951</v>
      </c>
      <c r="Z56" s="1">
        <f t="shared" si="19"/>
        <v>349851</v>
      </c>
      <c r="AA56" s="1">
        <f t="shared" si="20"/>
        <v>311900</v>
      </c>
      <c r="AC56" s="1">
        <f t="shared" si="22"/>
        <v>0</v>
      </c>
      <c r="AD56" s="1">
        <f t="shared" si="23"/>
        <v>0</v>
      </c>
      <c r="AE56" s="1">
        <f t="shared" si="24"/>
        <v>0</v>
      </c>
    </row>
    <row r="57" spans="1:31" x14ac:dyDescent="0.25">
      <c r="A57" s="9">
        <f t="shared" si="13"/>
        <v>1885</v>
      </c>
      <c r="B57" s="1">
        <f t="shared" si="14"/>
        <v>49904</v>
      </c>
      <c r="C57" s="1">
        <v>337005</v>
      </c>
      <c r="D57" s="1">
        <v>287101</v>
      </c>
      <c r="E57" s="1">
        <f t="shared" si="15"/>
        <v>13393</v>
      </c>
      <c r="F57" s="1">
        <v>61533</v>
      </c>
      <c r="G57" s="1">
        <v>48140</v>
      </c>
      <c r="H57" s="1">
        <f t="shared" si="16"/>
        <v>420</v>
      </c>
      <c r="I57" s="1">
        <v>10223</v>
      </c>
      <c r="J57" s="1">
        <v>9803</v>
      </c>
      <c r="K57" s="16"/>
      <c r="L57" s="16"/>
      <c r="M57" s="16"/>
      <c r="N57" s="16"/>
      <c r="O57" s="16"/>
      <c r="P57" s="16"/>
      <c r="Q57" s="1">
        <f t="shared" si="17"/>
        <v>0</v>
      </c>
      <c r="U57" s="1">
        <f t="shared" si="21"/>
        <v>63717</v>
      </c>
      <c r="V57" s="1">
        <v>408761</v>
      </c>
      <c r="W57" s="1">
        <v>345044</v>
      </c>
      <c r="Y57" s="1">
        <f t="shared" si="18"/>
        <v>63717</v>
      </c>
      <c r="Z57" s="1">
        <f t="shared" si="19"/>
        <v>408761</v>
      </c>
      <c r="AA57" s="1">
        <f t="shared" si="20"/>
        <v>345044</v>
      </c>
      <c r="AC57" s="1">
        <f t="shared" si="22"/>
        <v>0</v>
      </c>
      <c r="AD57" s="1">
        <f t="shared" si="23"/>
        <v>0</v>
      </c>
      <c r="AE57" s="1">
        <f t="shared" si="24"/>
        <v>0</v>
      </c>
    </row>
    <row r="58" spans="1:31" x14ac:dyDescent="0.25">
      <c r="A58" s="9">
        <f t="shared" si="13"/>
        <v>1886</v>
      </c>
      <c r="B58" s="1">
        <f t="shared" si="14"/>
        <v>44346</v>
      </c>
      <c r="C58" s="1">
        <v>399987</v>
      </c>
      <c r="D58" s="1">
        <v>355641</v>
      </c>
      <c r="E58" s="1">
        <f t="shared" si="15"/>
        <v>11146</v>
      </c>
      <c r="F58" s="1">
        <v>93388</v>
      </c>
      <c r="G58" s="1">
        <v>82242</v>
      </c>
      <c r="H58" s="1">
        <f t="shared" si="16"/>
        <v>716</v>
      </c>
      <c r="I58" s="1">
        <v>9530</v>
      </c>
      <c r="J58" s="1">
        <v>8814</v>
      </c>
      <c r="K58" s="16"/>
      <c r="L58" s="16"/>
      <c r="M58" s="16"/>
      <c r="N58" s="16"/>
      <c r="O58" s="16"/>
      <c r="P58" s="16"/>
      <c r="Q58" s="1">
        <f t="shared" si="17"/>
        <v>-12</v>
      </c>
      <c r="R58">
        <v>31</v>
      </c>
      <c r="S58">
        <v>43</v>
      </c>
      <c r="U58" s="1">
        <f t="shared" si="21"/>
        <v>56196</v>
      </c>
      <c r="V58" s="1">
        <v>502936</v>
      </c>
      <c r="W58" s="1">
        <v>446740</v>
      </c>
      <c r="Y58" s="1">
        <f t="shared" si="18"/>
        <v>56196</v>
      </c>
      <c r="Z58" s="1">
        <f t="shared" si="19"/>
        <v>502936</v>
      </c>
      <c r="AA58" s="1">
        <f t="shared" si="20"/>
        <v>446740</v>
      </c>
      <c r="AC58" s="1">
        <f t="shared" si="22"/>
        <v>0</v>
      </c>
      <c r="AD58" s="1">
        <f t="shared" si="23"/>
        <v>0</v>
      </c>
      <c r="AE58" s="1">
        <f t="shared" si="24"/>
        <v>0</v>
      </c>
    </row>
    <row r="59" spans="1:31" x14ac:dyDescent="0.25">
      <c r="A59" s="9">
        <f t="shared" si="13"/>
        <v>1887</v>
      </c>
      <c r="B59" s="1">
        <f t="shared" si="14"/>
        <v>37602</v>
      </c>
      <c r="C59" s="1">
        <v>401791</v>
      </c>
      <c r="D59" s="1">
        <v>364189</v>
      </c>
      <c r="E59" s="1">
        <f t="shared" si="15"/>
        <v>7028</v>
      </c>
      <c r="F59" s="1">
        <v>142924</v>
      </c>
      <c r="G59" s="1">
        <v>135896</v>
      </c>
      <c r="H59" s="1">
        <f t="shared" si="16"/>
        <v>139</v>
      </c>
      <c r="I59" s="1">
        <v>2153</v>
      </c>
      <c r="J59" s="1">
        <v>2014</v>
      </c>
      <c r="K59" s="16"/>
      <c r="L59" s="16"/>
      <c r="M59" s="16"/>
      <c r="N59" s="16"/>
      <c r="O59" s="16"/>
      <c r="P59" s="16"/>
      <c r="Q59" s="16"/>
      <c r="R59" s="16"/>
      <c r="S59" s="16"/>
      <c r="U59" s="1">
        <f t="shared" si="21"/>
        <v>44769</v>
      </c>
      <c r="V59" s="1">
        <v>546868</v>
      </c>
      <c r="W59" s="1">
        <v>502099</v>
      </c>
      <c r="Y59" s="1">
        <f t="shared" si="18"/>
        <v>44769</v>
      </c>
      <c r="Z59" s="1">
        <f t="shared" si="19"/>
        <v>546868</v>
      </c>
      <c r="AA59" s="1">
        <f t="shared" si="20"/>
        <v>502099</v>
      </c>
      <c r="AC59" s="1">
        <f t="shared" si="22"/>
        <v>0</v>
      </c>
      <c r="AD59" s="1">
        <f t="shared" si="23"/>
        <v>0</v>
      </c>
      <c r="AE59" s="1">
        <f t="shared" si="24"/>
        <v>0</v>
      </c>
    </row>
    <row r="60" spans="1:31" x14ac:dyDescent="0.25">
      <c r="A60" s="9">
        <f t="shared" si="13"/>
        <v>1888</v>
      </c>
      <c r="B60" s="1">
        <f t="shared" si="14"/>
        <v>63610</v>
      </c>
      <c r="C60" s="1">
        <v>494846</v>
      </c>
      <c r="D60" s="1">
        <v>431236</v>
      </c>
      <c r="E60" s="1">
        <f t="shared" si="15"/>
        <v>11348</v>
      </c>
      <c r="F60" s="1">
        <v>172753</v>
      </c>
      <c r="G60" s="1">
        <v>161405</v>
      </c>
      <c r="H60" s="1">
        <f t="shared" si="16"/>
        <v>43</v>
      </c>
      <c r="I60">
        <v>256</v>
      </c>
      <c r="J60">
        <v>213</v>
      </c>
      <c r="K60" s="16"/>
      <c r="L60" s="16"/>
      <c r="M60" s="16"/>
      <c r="N60" s="16"/>
      <c r="O60" s="16"/>
      <c r="P60" s="16"/>
      <c r="Q60" s="16"/>
      <c r="R60" s="16"/>
      <c r="S60" s="16"/>
      <c r="U60" s="1">
        <f t="shared" si="21"/>
        <v>75001</v>
      </c>
      <c r="V60" s="1">
        <v>667855</v>
      </c>
      <c r="W60" s="1">
        <v>592854</v>
      </c>
      <c r="Y60" s="1">
        <f t="shared" si="18"/>
        <v>75001</v>
      </c>
      <c r="Z60" s="1">
        <f t="shared" si="19"/>
        <v>667855</v>
      </c>
      <c r="AA60" s="1">
        <f t="shared" si="20"/>
        <v>592854</v>
      </c>
      <c r="AC60" s="1">
        <f t="shared" si="22"/>
        <v>0</v>
      </c>
      <c r="AD60" s="1">
        <f t="shared" si="23"/>
        <v>0</v>
      </c>
      <c r="AE60" s="1">
        <f t="shared" si="24"/>
        <v>0</v>
      </c>
    </row>
    <row r="61" spans="1:31" x14ac:dyDescent="0.25">
      <c r="A61" s="9">
        <f t="shared" si="13"/>
        <v>1889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U61" s="1">
        <f t="shared" si="21"/>
        <v>30882</v>
      </c>
      <c r="V61" s="1">
        <v>1009672</v>
      </c>
      <c r="W61" s="1">
        <v>978790</v>
      </c>
    </row>
    <row r="62" spans="1:31" x14ac:dyDescent="0.25">
      <c r="A62" s="9">
        <f t="shared" si="13"/>
        <v>1890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U62" s="1">
        <f t="shared" si="21"/>
        <v>50014</v>
      </c>
      <c r="V62" s="1">
        <v>1385207</v>
      </c>
      <c r="W62" s="1">
        <v>1335193</v>
      </c>
    </row>
    <row r="63" spans="1:31" x14ac:dyDescent="0.25">
      <c r="A63" s="9">
        <f t="shared" si="13"/>
        <v>1891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U63" s="1">
        <f t="shared" si="21"/>
        <v>15917</v>
      </c>
      <c r="V63" s="1">
        <v>1598775</v>
      </c>
      <c r="W63" s="1">
        <v>1582858</v>
      </c>
    </row>
    <row r="64" spans="1:31" x14ac:dyDescent="0.25">
      <c r="A64" s="9">
        <f t="shared" si="13"/>
        <v>1892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U64" s="1">
        <f t="shared" si="21"/>
        <v>12069</v>
      </c>
      <c r="V64" s="1">
        <v>939371</v>
      </c>
      <c r="W64" s="1">
        <v>927302</v>
      </c>
    </row>
    <row r="65" spans="1:31" x14ac:dyDescent="0.25">
      <c r="A65" s="9">
        <f t="shared" si="13"/>
        <v>1893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U65" s="1">
        <f t="shared" si="21"/>
        <v>31556</v>
      </c>
      <c r="V65" s="1">
        <v>1088739</v>
      </c>
      <c r="W65" s="1">
        <v>1057183</v>
      </c>
    </row>
    <row r="66" spans="1:31" x14ac:dyDescent="0.25">
      <c r="A66" s="9">
        <f t="shared" si="13"/>
        <v>1894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U66" s="1">
        <f t="shared" si="21"/>
        <v>72247</v>
      </c>
      <c r="V66" s="1">
        <v>1006037</v>
      </c>
      <c r="W66" s="1">
        <v>933790</v>
      </c>
    </row>
    <row r="67" spans="1:31" x14ac:dyDescent="0.25">
      <c r="A67" s="9">
        <f>A68-1</f>
        <v>1895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U67" s="1">
        <f t="shared" si="21"/>
        <v>-78419</v>
      </c>
      <c r="V67" s="1">
        <v>1407483</v>
      </c>
      <c r="W67" s="1">
        <v>1485902</v>
      </c>
    </row>
    <row r="68" spans="1:31" x14ac:dyDescent="0.25">
      <c r="A68" s="9">
        <v>1896</v>
      </c>
      <c r="B68" s="1">
        <f>C68-D68</f>
        <v>25302</v>
      </c>
      <c r="C68" s="1">
        <v>1286269</v>
      </c>
      <c r="D68" s="1">
        <v>1260967</v>
      </c>
      <c r="E68" s="1">
        <f>F68-G68</f>
        <v>2161</v>
      </c>
      <c r="F68" s="1">
        <v>204763</v>
      </c>
      <c r="G68" s="1">
        <v>202602</v>
      </c>
      <c r="H68" s="1">
        <f>I68-J68</f>
        <v>123</v>
      </c>
      <c r="I68" s="1">
        <v>2921</v>
      </c>
      <c r="J68" s="1">
        <v>2798</v>
      </c>
      <c r="K68" s="1">
        <f>L68-M68</f>
        <v>6592</v>
      </c>
      <c r="L68" s="1">
        <v>30678</v>
      </c>
      <c r="M68" s="1">
        <v>24086</v>
      </c>
      <c r="N68" s="1">
        <f>O68-P68</f>
        <v>2617</v>
      </c>
      <c r="O68" s="1">
        <v>5291</v>
      </c>
      <c r="P68" s="1">
        <v>2674</v>
      </c>
      <c r="Q68" s="1">
        <f>R68-S68</f>
        <v>-1268</v>
      </c>
      <c r="R68" s="1">
        <v>1417</v>
      </c>
      <c r="S68" s="1">
        <v>2685</v>
      </c>
      <c r="U68" s="1">
        <f t="shared" si="21"/>
        <v>35527</v>
      </c>
      <c r="V68" s="1">
        <v>1531339</v>
      </c>
      <c r="W68" s="1">
        <v>1495812</v>
      </c>
      <c r="Y68" s="1">
        <f>B68+E68+H68+K68+N68+Q68</f>
        <v>35527</v>
      </c>
      <c r="Z68" s="1">
        <f>C68+F68+I68+L68+O68+R68</f>
        <v>1531339</v>
      </c>
      <c r="AA68" s="1">
        <f>D68+G68+J68+M68+P68+S68</f>
        <v>1495812</v>
      </c>
      <c r="AC68" s="1">
        <f t="shared" ref="AC68:AC87" si="25">U68-Y68</f>
        <v>0</v>
      </c>
      <c r="AD68" s="1">
        <f t="shared" ref="AD68:AD87" si="26">V68-Z68</f>
        <v>0</v>
      </c>
      <c r="AE68" s="1">
        <f t="shared" ref="AE68:AE87" si="27">W68-AA68</f>
        <v>0</v>
      </c>
    </row>
    <row r="69" spans="1:31" x14ac:dyDescent="0.25">
      <c r="A69" s="9">
        <f>A68+1</f>
        <v>1897</v>
      </c>
      <c r="B69" s="1">
        <f t="shared" ref="B69:B86" si="28">C69-D69</f>
        <v>25671</v>
      </c>
      <c r="C69" s="1">
        <v>1797163</v>
      </c>
      <c r="D69" s="1">
        <v>1771492</v>
      </c>
      <c r="E69" s="1">
        <f t="shared" ref="E69:E86" si="29">F69-G69</f>
        <v>3094</v>
      </c>
      <c r="F69" s="1">
        <v>230014</v>
      </c>
      <c r="G69" s="1">
        <v>226920</v>
      </c>
      <c r="H69" s="1">
        <f t="shared" ref="H69:H87" si="30">I69-J69</f>
        <v>265</v>
      </c>
      <c r="I69" s="1">
        <v>3049</v>
      </c>
      <c r="J69" s="1">
        <v>2784</v>
      </c>
      <c r="K69" s="1">
        <f t="shared" ref="K69:K87" si="31">L69-M69</f>
        <v>4198</v>
      </c>
      <c r="L69" s="1">
        <v>34375</v>
      </c>
      <c r="M69" s="1">
        <v>30177</v>
      </c>
      <c r="N69" s="1">
        <f t="shared" ref="N69:N87" si="32">O69-P69</f>
        <v>-242</v>
      </c>
      <c r="O69" s="1">
        <v>1398</v>
      </c>
      <c r="P69" s="1">
        <v>1640</v>
      </c>
      <c r="Q69" s="1">
        <f t="shared" ref="Q69:Q87" si="33">R69-S69</f>
        <v>259</v>
      </c>
      <c r="R69" s="1">
        <v>469</v>
      </c>
      <c r="S69" s="1">
        <v>210</v>
      </c>
      <c r="U69" s="1">
        <f t="shared" si="21"/>
        <v>33245</v>
      </c>
      <c r="V69" s="1">
        <v>2066468</v>
      </c>
      <c r="W69" s="1">
        <v>2033223</v>
      </c>
      <c r="Y69" s="1">
        <f t="shared" ref="Y69:Y87" si="34">B69+E69+H69+K69+N69+Q69</f>
        <v>33245</v>
      </c>
      <c r="Z69" s="1">
        <f t="shared" ref="Z69:Z87" si="35">C69+F69+I69+L69+O69+R69</f>
        <v>2066468</v>
      </c>
      <c r="AA69" s="1">
        <f t="shared" ref="AA69:AA87" si="36">D69+G69+J69+M69+P69+S69</f>
        <v>2033223</v>
      </c>
      <c r="AC69" s="1">
        <f t="shared" si="25"/>
        <v>0</v>
      </c>
      <c r="AD69" s="1">
        <f t="shared" si="26"/>
        <v>0</v>
      </c>
      <c r="AE69" s="1">
        <f t="shared" si="27"/>
        <v>0</v>
      </c>
    </row>
    <row r="70" spans="1:31" x14ac:dyDescent="0.25">
      <c r="A70" s="9">
        <f t="shared" ref="A70:A87" si="37">A69+1</f>
        <v>1898</v>
      </c>
      <c r="B70" s="1">
        <f t="shared" si="28"/>
        <v>13569</v>
      </c>
      <c r="C70" s="1">
        <v>1713564</v>
      </c>
      <c r="D70" s="1">
        <v>1699995</v>
      </c>
      <c r="E70" s="1">
        <f t="shared" si="29"/>
        <v>5651</v>
      </c>
      <c r="F70" s="1">
        <v>209032</v>
      </c>
      <c r="G70" s="1">
        <v>203381</v>
      </c>
      <c r="H70" s="1">
        <f t="shared" si="30"/>
        <v>426</v>
      </c>
      <c r="I70" s="1">
        <v>5343</v>
      </c>
      <c r="J70" s="1">
        <v>4917</v>
      </c>
      <c r="K70" s="1">
        <f t="shared" si="31"/>
        <v>10761</v>
      </c>
      <c r="L70" s="1">
        <v>32838</v>
      </c>
      <c r="M70" s="1">
        <v>22077</v>
      </c>
      <c r="N70" s="1">
        <f t="shared" si="32"/>
        <v>371</v>
      </c>
      <c r="O70" s="1">
        <v>1574</v>
      </c>
      <c r="P70" s="1">
        <v>1203</v>
      </c>
      <c r="Q70" s="1">
        <f t="shared" si="33"/>
        <v>-1036</v>
      </c>
      <c r="R70" s="1">
        <v>186</v>
      </c>
      <c r="S70" s="1">
        <v>1222</v>
      </c>
      <c r="U70" s="1">
        <f t="shared" si="21"/>
        <v>29742</v>
      </c>
      <c r="V70" s="1">
        <v>1962537</v>
      </c>
      <c r="W70" s="1">
        <v>1932795</v>
      </c>
      <c r="Y70" s="1">
        <f t="shared" si="34"/>
        <v>29742</v>
      </c>
      <c r="Z70" s="1">
        <f t="shared" si="35"/>
        <v>1962537</v>
      </c>
      <c r="AA70" s="1">
        <f t="shared" si="36"/>
        <v>1932795</v>
      </c>
      <c r="AC70" s="1">
        <f t="shared" si="25"/>
        <v>0</v>
      </c>
      <c r="AD70" s="1">
        <f t="shared" si="26"/>
        <v>0</v>
      </c>
      <c r="AE70" s="1">
        <f t="shared" si="27"/>
        <v>0</v>
      </c>
    </row>
    <row r="71" spans="1:31" x14ac:dyDescent="0.25">
      <c r="A71" s="9">
        <f t="shared" si="37"/>
        <v>1899</v>
      </c>
      <c r="B71" s="1">
        <f t="shared" si="28"/>
        <v>35639</v>
      </c>
      <c r="C71" s="1">
        <v>1424841</v>
      </c>
      <c r="D71" s="1">
        <v>1389202</v>
      </c>
      <c r="E71" s="1">
        <f t="shared" si="29"/>
        <v>4391</v>
      </c>
      <c r="F71" s="1">
        <v>185091</v>
      </c>
      <c r="G71" s="1">
        <v>180700</v>
      </c>
      <c r="H71" s="1">
        <f t="shared" si="30"/>
        <v>251</v>
      </c>
      <c r="I71" s="1">
        <v>4855</v>
      </c>
      <c r="J71" s="1">
        <v>4604</v>
      </c>
      <c r="K71" s="1">
        <f t="shared" si="31"/>
        <v>8397</v>
      </c>
      <c r="L71" s="1">
        <v>27515</v>
      </c>
      <c r="M71" s="1">
        <v>19118</v>
      </c>
      <c r="N71" s="1">
        <f t="shared" si="32"/>
        <v>516</v>
      </c>
      <c r="O71" s="1">
        <v>2008</v>
      </c>
      <c r="P71" s="1">
        <v>1492</v>
      </c>
      <c r="Q71" s="1">
        <f t="shared" si="33"/>
        <v>-1</v>
      </c>
      <c r="R71" s="1">
        <v>175</v>
      </c>
      <c r="S71" s="1">
        <v>176</v>
      </c>
      <c r="U71" s="1">
        <f t="shared" si="21"/>
        <v>49193</v>
      </c>
      <c r="V71" s="1">
        <v>1644485</v>
      </c>
      <c r="W71" s="1">
        <v>1595292</v>
      </c>
      <c r="Y71" s="1">
        <f t="shared" si="34"/>
        <v>49193</v>
      </c>
      <c r="Z71" s="1">
        <f t="shared" si="35"/>
        <v>1644485</v>
      </c>
      <c r="AA71" s="1">
        <f t="shared" si="36"/>
        <v>1595292</v>
      </c>
      <c r="AC71" s="1">
        <f t="shared" si="25"/>
        <v>0</v>
      </c>
      <c r="AD71" s="1">
        <f t="shared" si="26"/>
        <v>0</v>
      </c>
      <c r="AE71" s="1">
        <f t="shared" si="27"/>
        <v>0</v>
      </c>
    </row>
    <row r="72" spans="1:31" x14ac:dyDescent="0.25">
      <c r="A72" s="9">
        <f t="shared" si="37"/>
        <v>1900</v>
      </c>
      <c r="B72" s="1">
        <f t="shared" si="28"/>
        <v>24614</v>
      </c>
      <c r="C72" s="1">
        <v>1303148</v>
      </c>
      <c r="D72" s="1">
        <v>1278534</v>
      </c>
      <c r="E72" s="1">
        <f t="shared" si="29"/>
        <v>7607</v>
      </c>
      <c r="F72" s="1">
        <v>226442</v>
      </c>
      <c r="G72" s="1">
        <v>218835</v>
      </c>
      <c r="H72" s="1">
        <f t="shared" si="30"/>
        <v>149</v>
      </c>
      <c r="I72" s="1">
        <v>3068</v>
      </c>
      <c r="J72" s="1">
        <v>2919</v>
      </c>
      <c r="K72" s="1">
        <f t="shared" si="31"/>
        <v>2631</v>
      </c>
      <c r="L72" s="1">
        <v>28308</v>
      </c>
      <c r="M72" s="1">
        <v>25677</v>
      </c>
      <c r="N72" s="1">
        <f t="shared" si="32"/>
        <v>703</v>
      </c>
      <c r="O72" s="1">
        <v>1702</v>
      </c>
      <c r="P72" s="1">
        <v>999</v>
      </c>
      <c r="Q72" s="1">
        <f t="shared" si="33"/>
        <v>-187</v>
      </c>
      <c r="R72" s="1">
        <v>377</v>
      </c>
      <c r="S72" s="1">
        <v>564</v>
      </c>
      <c r="U72" s="1">
        <f t="shared" si="21"/>
        <v>35517</v>
      </c>
      <c r="V72" s="1">
        <v>1563045</v>
      </c>
      <c r="W72" s="1">
        <v>1527528</v>
      </c>
      <c r="Y72" s="1">
        <f t="shared" si="34"/>
        <v>35517</v>
      </c>
      <c r="Z72" s="1">
        <f t="shared" si="35"/>
        <v>1563045</v>
      </c>
      <c r="AA72" s="1">
        <f t="shared" si="36"/>
        <v>1527528</v>
      </c>
      <c r="AC72" s="1">
        <f t="shared" si="25"/>
        <v>0</v>
      </c>
      <c r="AD72" s="1">
        <f t="shared" si="26"/>
        <v>0</v>
      </c>
      <c r="AE72" s="1">
        <f t="shared" si="27"/>
        <v>0</v>
      </c>
    </row>
    <row r="73" spans="1:31" x14ac:dyDescent="0.25">
      <c r="A73" s="9">
        <f t="shared" si="37"/>
        <v>1901</v>
      </c>
      <c r="B73" s="1">
        <f t="shared" si="28"/>
        <v>33299</v>
      </c>
      <c r="C73" s="1">
        <v>2016551</v>
      </c>
      <c r="D73" s="1">
        <v>1983252</v>
      </c>
      <c r="E73" s="1">
        <f t="shared" si="29"/>
        <v>6435</v>
      </c>
      <c r="F73" s="1">
        <v>228858</v>
      </c>
      <c r="G73" s="1">
        <v>222423</v>
      </c>
      <c r="H73" s="1">
        <f t="shared" si="30"/>
        <v>256</v>
      </c>
      <c r="I73" s="1">
        <v>3825</v>
      </c>
      <c r="J73" s="1">
        <v>3569</v>
      </c>
      <c r="K73" s="1">
        <f t="shared" si="31"/>
        <v>3332</v>
      </c>
      <c r="L73" s="1">
        <v>20751</v>
      </c>
      <c r="M73" s="1">
        <v>17419</v>
      </c>
      <c r="N73" s="1">
        <f t="shared" si="32"/>
        <v>544</v>
      </c>
      <c r="O73" s="1">
        <v>2496</v>
      </c>
      <c r="P73" s="1">
        <v>1952</v>
      </c>
      <c r="Q73" s="1">
        <f t="shared" si="33"/>
        <v>-144</v>
      </c>
      <c r="R73" s="1">
        <v>269</v>
      </c>
      <c r="S73" s="1">
        <v>413</v>
      </c>
      <c r="U73" s="1">
        <f t="shared" si="21"/>
        <v>43722</v>
      </c>
      <c r="V73" s="1">
        <v>2272750</v>
      </c>
      <c r="W73" s="1">
        <v>2229028</v>
      </c>
      <c r="Y73" s="1">
        <f t="shared" si="34"/>
        <v>43722</v>
      </c>
      <c r="Z73" s="1">
        <f t="shared" si="35"/>
        <v>2272750</v>
      </c>
      <c r="AA73" s="1">
        <f t="shared" si="36"/>
        <v>2229028</v>
      </c>
      <c r="AC73" s="1">
        <f t="shared" si="25"/>
        <v>0</v>
      </c>
      <c r="AD73" s="1">
        <f t="shared" si="26"/>
        <v>0</v>
      </c>
      <c r="AE73" s="1">
        <f t="shared" si="27"/>
        <v>0</v>
      </c>
    </row>
    <row r="74" spans="1:31" x14ac:dyDescent="0.25">
      <c r="A74" s="9">
        <f t="shared" si="37"/>
        <v>1902</v>
      </c>
      <c r="B74" s="1">
        <f t="shared" si="28"/>
        <v>15722</v>
      </c>
      <c r="C74" s="1">
        <v>2633032</v>
      </c>
      <c r="D74" s="1">
        <v>2617310</v>
      </c>
      <c r="E74" s="1">
        <f t="shared" si="29"/>
        <v>10945</v>
      </c>
      <c r="F74" s="1">
        <v>231462</v>
      </c>
      <c r="G74" s="1">
        <v>220517</v>
      </c>
      <c r="H74" s="1">
        <f t="shared" si="30"/>
        <v>1230</v>
      </c>
      <c r="I74" s="1">
        <v>4772</v>
      </c>
      <c r="J74" s="1">
        <v>3542</v>
      </c>
      <c r="K74" s="1">
        <f t="shared" si="31"/>
        <v>4136</v>
      </c>
      <c r="L74" s="1">
        <v>17026</v>
      </c>
      <c r="M74" s="1">
        <v>12890</v>
      </c>
      <c r="N74" s="1">
        <f t="shared" si="32"/>
        <v>1052</v>
      </c>
      <c r="O74" s="1">
        <v>2974</v>
      </c>
      <c r="P74" s="1">
        <v>1922</v>
      </c>
      <c r="Q74" s="1">
        <f t="shared" si="33"/>
        <v>-93</v>
      </c>
      <c r="R74" s="1">
        <v>458</v>
      </c>
      <c r="S74" s="1">
        <v>551</v>
      </c>
      <c r="U74" s="1">
        <f t="shared" si="21"/>
        <v>31992</v>
      </c>
      <c r="V74" s="1">
        <v>2889724</v>
      </c>
      <c r="W74" s="1">
        <v>2857732</v>
      </c>
      <c r="Y74" s="1">
        <f t="shared" si="34"/>
        <v>32992</v>
      </c>
      <c r="Z74" s="1">
        <f t="shared" si="35"/>
        <v>2889724</v>
      </c>
      <c r="AA74" s="1">
        <f t="shared" si="36"/>
        <v>2856732</v>
      </c>
      <c r="AC74" s="1">
        <f t="shared" si="25"/>
        <v>-1000</v>
      </c>
      <c r="AD74" s="1">
        <f t="shared" si="26"/>
        <v>0</v>
      </c>
      <c r="AE74" s="1">
        <f t="shared" si="27"/>
        <v>1000</v>
      </c>
    </row>
    <row r="75" spans="1:31" x14ac:dyDescent="0.25">
      <c r="A75" s="9">
        <f t="shared" si="37"/>
        <v>1903</v>
      </c>
      <c r="B75" s="1">
        <f t="shared" si="28"/>
        <v>21596</v>
      </c>
      <c r="C75" s="1">
        <v>2362867</v>
      </c>
      <c r="D75" s="1">
        <v>2341271</v>
      </c>
      <c r="E75" s="1">
        <f t="shared" si="29"/>
        <v>7950</v>
      </c>
      <c r="F75" s="1">
        <v>261007</v>
      </c>
      <c r="G75" s="1">
        <v>253057</v>
      </c>
      <c r="H75" s="1">
        <f t="shared" si="30"/>
        <v>263</v>
      </c>
      <c r="I75" s="1">
        <v>4477</v>
      </c>
      <c r="J75" s="1">
        <v>4214</v>
      </c>
      <c r="K75" s="1">
        <f t="shared" si="31"/>
        <v>2557</v>
      </c>
      <c r="L75" s="1">
        <v>19199</v>
      </c>
      <c r="M75" s="1">
        <v>16642</v>
      </c>
      <c r="N75" s="1">
        <f t="shared" si="32"/>
        <v>1027</v>
      </c>
      <c r="O75" s="1">
        <v>3292</v>
      </c>
      <c r="P75" s="1">
        <v>2265</v>
      </c>
      <c r="Q75" s="1">
        <f t="shared" si="33"/>
        <v>-13</v>
      </c>
      <c r="R75" s="1">
        <v>392</v>
      </c>
      <c r="S75" s="1">
        <v>405</v>
      </c>
      <c r="U75" s="1">
        <f t="shared" si="21"/>
        <v>33380</v>
      </c>
      <c r="V75" s="1">
        <v>2651234</v>
      </c>
      <c r="W75" s="1">
        <v>2617854</v>
      </c>
      <c r="Y75" s="1">
        <f t="shared" si="34"/>
        <v>33380</v>
      </c>
      <c r="Z75" s="1">
        <f t="shared" si="35"/>
        <v>2651234</v>
      </c>
      <c r="AA75" s="1">
        <f t="shared" si="36"/>
        <v>2617854</v>
      </c>
      <c r="AC75" s="1">
        <f t="shared" si="25"/>
        <v>0</v>
      </c>
      <c r="AD75" s="1">
        <f t="shared" si="26"/>
        <v>0</v>
      </c>
      <c r="AE75" s="1">
        <f t="shared" si="27"/>
        <v>0</v>
      </c>
    </row>
    <row r="76" spans="1:31" x14ac:dyDescent="0.25">
      <c r="A76" s="9">
        <f t="shared" si="37"/>
        <v>1904</v>
      </c>
      <c r="B76" s="1">
        <f t="shared" si="28"/>
        <v>10279</v>
      </c>
      <c r="C76" s="1">
        <v>1970336</v>
      </c>
      <c r="D76" s="1">
        <v>1960057</v>
      </c>
      <c r="E76" s="1">
        <f t="shared" si="29"/>
        <v>17133</v>
      </c>
      <c r="F76" s="1">
        <v>530876</v>
      </c>
      <c r="G76" s="1">
        <v>513743</v>
      </c>
      <c r="H76" s="1">
        <f t="shared" si="30"/>
        <v>187</v>
      </c>
      <c r="I76" s="1">
        <v>2769</v>
      </c>
      <c r="J76" s="1">
        <v>2582</v>
      </c>
      <c r="K76" s="1">
        <f t="shared" si="31"/>
        <v>-381</v>
      </c>
      <c r="L76" s="1">
        <v>12623</v>
      </c>
      <c r="M76" s="1">
        <v>13004</v>
      </c>
      <c r="N76" s="1">
        <f t="shared" si="32"/>
        <v>2218</v>
      </c>
      <c r="O76" s="1">
        <v>8276</v>
      </c>
      <c r="P76" s="1">
        <v>6058</v>
      </c>
      <c r="Q76" s="1">
        <f t="shared" si="33"/>
        <v>-54</v>
      </c>
      <c r="R76" s="1">
        <v>121</v>
      </c>
      <c r="S76" s="1">
        <v>175</v>
      </c>
      <c r="U76" s="1">
        <f t="shared" si="21"/>
        <v>29382</v>
      </c>
      <c r="V76" s="1">
        <v>2525001</v>
      </c>
      <c r="W76" s="1">
        <v>2495619</v>
      </c>
      <c r="Y76" s="1">
        <f t="shared" si="34"/>
        <v>29382</v>
      </c>
      <c r="Z76" s="1">
        <f t="shared" si="35"/>
        <v>2525001</v>
      </c>
      <c r="AA76" s="1">
        <f t="shared" si="36"/>
        <v>2495619</v>
      </c>
      <c r="AC76" s="1">
        <f t="shared" si="25"/>
        <v>0</v>
      </c>
      <c r="AD76" s="1">
        <f t="shared" si="26"/>
        <v>0</v>
      </c>
      <c r="AE76" s="1">
        <f t="shared" si="27"/>
        <v>0</v>
      </c>
    </row>
    <row r="77" spans="1:31" x14ac:dyDescent="0.25">
      <c r="A77" s="9">
        <f t="shared" si="37"/>
        <v>1905</v>
      </c>
      <c r="B77" s="1">
        <f t="shared" si="28"/>
        <v>17045</v>
      </c>
      <c r="C77" s="1">
        <v>2448986</v>
      </c>
      <c r="D77" s="1">
        <v>2431941</v>
      </c>
      <c r="E77" s="1">
        <f t="shared" si="29"/>
        <v>-20655</v>
      </c>
      <c r="F77" s="1">
        <v>632490</v>
      </c>
      <c r="G77" s="1">
        <v>653145</v>
      </c>
      <c r="H77" s="1">
        <f t="shared" si="30"/>
        <v>238</v>
      </c>
      <c r="I77" s="1">
        <v>2261</v>
      </c>
      <c r="J77" s="1">
        <v>2023</v>
      </c>
      <c r="K77" s="1">
        <f t="shared" si="31"/>
        <v>2171</v>
      </c>
      <c r="L77" s="1">
        <v>16416</v>
      </c>
      <c r="M77" s="1">
        <v>14245</v>
      </c>
      <c r="N77" s="1">
        <f t="shared" si="32"/>
        <v>2173</v>
      </c>
      <c r="O77" s="1">
        <v>5093</v>
      </c>
      <c r="P77" s="1">
        <v>2920</v>
      </c>
      <c r="Q77" s="1">
        <f t="shared" si="33"/>
        <v>83</v>
      </c>
      <c r="R77" s="1">
        <v>171</v>
      </c>
      <c r="S77" s="1">
        <v>88</v>
      </c>
      <c r="U77" s="1">
        <f t="shared" si="21"/>
        <v>1055</v>
      </c>
      <c r="V77" s="1">
        <v>3105417</v>
      </c>
      <c r="W77" s="1">
        <v>3104362</v>
      </c>
      <c r="Y77" s="1">
        <f t="shared" si="34"/>
        <v>1055</v>
      </c>
      <c r="Z77" s="1">
        <f t="shared" si="35"/>
        <v>3105417</v>
      </c>
      <c r="AA77" s="1">
        <f t="shared" si="36"/>
        <v>3104362</v>
      </c>
      <c r="AC77" s="1">
        <f t="shared" si="25"/>
        <v>0</v>
      </c>
      <c r="AD77" s="1">
        <f t="shared" si="26"/>
        <v>0</v>
      </c>
      <c r="AE77" s="1">
        <f t="shared" si="27"/>
        <v>0</v>
      </c>
    </row>
    <row r="78" spans="1:31" x14ac:dyDescent="0.25">
      <c r="A78" s="9">
        <f t="shared" si="37"/>
        <v>1906</v>
      </c>
      <c r="B78" s="1">
        <f t="shared" si="28"/>
        <v>32311</v>
      </c>
      <c r="C78" s="1">
        <v>1907864</v>
      </c>
      <c r="D78" s="1">
        <v>1875553</v>
      </c>
      <c r="E78" s="1">
        <f t="shared" si="29"/>
        <v>-84553</v>
      </c>
      <c r="F78" s="1">
        <v>642637</v>
      </c>
      <c r="G78" s="1">
        <v>727190</v>
      </c>
      <c r="H78" s="1">
        <f t="shared" si="30"/>
        <v>358</v>
      </c>
      <c r="I78" s="1">
        <v>3796</v>
      </c>
      <c r="J78" s="1">
        <v>3438</v>
      </c>
      <c r="K78" s="1">
        <f t="shared" si="31"/>
        <v>3286</v>
      </c>
      <c r="L78" s="1">
        <v>32302</v>
      </c>
      <c r="M78" s="1">
        <v>29016</v>
      </c>
      <c r="N78" s="1">
        <f t="shared" si="32"/>
        <v>1582</v>
      </c>
      <c r="O78" s="1">
        <v>5087</v>
      </c>
      <c r="P78" s="1">
        <v>3505</v>
      </c>
      <c r="Q78" s="1">
        <f t="shared" si="33"/>
        <v>-49</v>
      </c>
      <c r="R78" s="1">
        <v>128</v>
      </c>
      <c r="S78" s="1">
        <v>177</v>
      </c>
      <c r="U78" s="1">
        <f t="shared" si="21"/>
        <v>-47065</v>
      </c>
      <c r="V78" s="1">
        <v>2591814</v>
      </c>
      <c r="W78" s="1">
        <v>2638879</v>
      </c>
      <c r="Y78" s="1">
        <f t="shared" si="34"/>
        <v>-47065</v>
      </c>
      <c r="Z78" s="1">
        <f t="shared" si="35"/>
        <v>2591814</v>
      </c>
      <c r="AA78" s="1">
        <f t="shared" si="36"/>
        <v>2638879</v>
      </c>
      <c r="AC78" s="1">
        <f t="shared" si="25"/>
        <v>0</v>
      </c>
      <c r="AD78" s="1">
        <f t="shared" si="26"/>
        <v>0</v>
      </c>
      <c r="AE78" s="1">
        <f t="shared" si="27"/>
        <v>0</v>
      </c>
    </row>
    <row r="79" spans="1:31" x14ac:dyDescent="0.25">
      <c r="A79" s="9">
        <f t="shared" si="37"/>
        <v>1907</v>
      </c>
      <c r="B79" s="1">
        <f t="shared" si="28"/>
        <v>11690</v>
      </c>
      <c r="C79" s="1">
        <v>1800036</v>
      </c>
      <c r="D79" s="1">
        <v>1788346</v>
      </c>
      <c r="E79" s="1">
        <f t="shared" si="29"/>
        <v>6485</v>
      </c>
      <c r="F79" s="1">
        <v>732632</v>
      </c>
      <c r="G79" s="1">
        <v>726147</v>
      </c>
      <c r="H79" s="1">
        <f t="shared" si="30"/>
        <v>286</v>
      </c>
      <c r="I79" s="1">
        <v>3689</v>
      </c>
      <c r="J79" s="1">
        <v>3403</v>
      </c>
      <c r="K79" s="1">
        <f t="shared" si="31"/>
        <v>2321</v>
      </c>
      <c r="L79" s="1">
        <v>38352</v>
      </c>
      <c r="M79" s="1">
        <v>36031</v>
      </c>
      <c r="N79" s="1">
        <f t="shared" si="32"/>
        <v>2109</v>
      </c>
      <c r="O79" s="1">
        <v>5380</v>
      </c>
      <c r="P79" s="1">
        <v>3271</v>
      </c>
      <c r="Q79" s="1">
        <f t="shared" si="33"/>
        <v>-112</v>
      </c>
      <c r="R79" s="1">
        <v>46</v>
      </c>
      <c r="S79" s="1">
        <v>158</v>
      </c>
      <c r="U79" s="1">
        <f t="shared" si="21"/>
        <v>22779</v>
      </c>
      <c r="V79" s="1">
        <v>2580135</v>
      </c>
      <c r="W79" s="1">
        <v>2557356</v>
      </c>
      <c r="Y79" s="1">
        <f t="shared" si="34"/>
        <v>22779</v>
      </c>
      <c r="Z79" s="1">
        <f t="shared" si="35"/>
        <v>2580135</v>
      </c>
      <c r="AA79" s="1">
        <f t="shared" si="36"/>
        <v>2557356</v>
      </c>
      <c r="AC79" s="1">
        <f t="shared" si="25"/>
        <v>0</v>
      </c>
      <c r="AD79" s="1">
        <f t="shared" si="26"/>
        <v>0</v>
      </c>
      <c r="AE79" s="1">
        <f t="shared" si="27"/>
        <v>0</v>
      </c>
    </row>
    <row r="80" spans="1:31" x14ac:dyDescent="0.25">
      <c r="A80" s="9">
        <f t="shared" si="37"/>
        <v>1908</v>
      </c>
      <c r="B80" s="1">
        <f t="shared" si="28"/>
        <v>15585</v>
      </c>
      <c r="C80" s="1">
        <v>1748790</v>
      </c>
      <c r="D80" s="1">
        <v>1733205</v>
      </c>
      <c r="E80" s="1">
        <f t="shared" si="29"/>
        <v>5350</v>
      </c>
      <c r="F80" s="1">
        <v>671922</v>
      </c>
      <c r="G80" s="1">
        <v>666572</v>
      </c>
      <c r="H80" s="1">
        <f t="shared" si="30"/>
        <v>333</v>
      </c>
      <c r="I80" s="1">
        <v>3464</v>
      </c>
      <c r="J80" s="1">
        <v>3131</v>
      </c>
      <c r="K80" s="1">
        <f t="shared" si="31"/>
        <v>3376</v>
      </c>
      <c r="L80" s="1">
        <v>44531</v>
      </c>
      <c r="M80" s="1">
        <v>41155</v>
      </c>
      <c r="N80" s="1">
        <f t="shared" si="32"/>
        <v>1927</v>
      </c>
      <c r="O80" s="1">
        <v>4721</v>
      </c>
      <c r="P80" s="1">
        <v>2794</v>
      </c>
      <c r="Q80" s="1">
        <f t="shared" si="33"/>
        <v>-82</v>
      </c>
      <c r="R80" s="1">
        <v>64</v>
      </c>
      <c r="S80" s="1">
        <v>146</v>
      </c>
      <c r="U80" s="1">
        <f t="shared" si="21"/>
        <v>26489</v>
      </c>
      <c r="V80" s="1">
        <v>2473492</v>
      </c>
      <c r="W80" s="1">
        <v>2447003</v>
      </c>
      <c r="Y80" s="1">
        <f t="shared" si="34"/>
        <v>26489</v>
      </c>
      <c r="Z80" s="1">
        <f t="shared" si="35"/>
        <v>2473492</v>
      </c>
      <c r="AA80" s="1">
        <f t="shared" si="36"/>
        <v>2447003</v>
      </c>
      <c r="AC80" s="1">
        <f t="shared" si="25"/>
        <v>0</v>
      </c>
      <c r="AD80" s="1">
        <f t="shared" si="26"/>
        <v>0</v>
      </c>
      <c r="AE80" s="1">
        <f t="shared" si="27"/>
        <v>0</v>
      </c>
    </row>
    <row r="81" spans="1:31" x14ac:dyDescent="0.25">
      <c r="A81" s="9">
        <f t="shared" si="37"/>
        <v>1909</v>
      </c>
      <c r="B81" s="1">
        <f t="shared" si="28"/>
        <v>29803</v>
      </c>
      <c r="C81" s="1">
        <v>2446625</v>
      </c>
      <c r="D81" s="1">
        <v>2416822</v>
      </c>
      <c r="E81" s="1">
        <f t="shared" si="29"/>
        <v>1401</v>
      </c>
      <c r="F81" s="1">
        <v>641500</v>
      </c>
      <c r="G81" s="1">
        <v>640099</v>
      </c>
      <c r="H81" s="1">
        <f t="shared" si="30"/>
        <v>510</v>
      </c>
      <c r="I81" s="1">
        <v>6153</v>
      </c>
      <c r="J81" s="1">
        <v>5643</v>
      </c>
      <c r="K81" s="1">
        <f t="shared" si="31"/>
        <v>2367</v>
      </c>
      <c r="L81" s="1">
        <v>52357</v>
      </c>
      <c r="M81" s="1">
        <v>49990</v>
      </c>
      <c r="N81" s="1">
        <f t="shared" si="32"/>
        <v>1894</v>
      </c>
      <c r="O81" s="1">
        <v>5162</v>
      </c>
      <c r="P81" s="1">
        <v>3268</v>
      </c>
      <c r="Q81" s="1">
        <f t="shared" si="33"/>
        <v>139</v>
      </c>
      <c r="R81" s="1">
        <v>184</v>
      </c>
      <c r="S81" s="1">
        <v>45</v>
      </c>
      <c r="U81" s="1">
        <f t="shared" si="21"/>
        <v>36114</v>
      </c>
      <c r="V81" s="1">
        <v>3151981</v>
      </c>
      <c r="W81" s="1">
        <v>3115867</v>
      </c>
      <c r="Y81" s="1">
        <f t="shared" si="34"/>
        <v>36114</v>
      </c>
      <c r="Z81" s="1">
        <f t="shared" si="35"/>
        <v>3151981</v>
      </c>
      <c r="AA81" s="1">
        <f t="shared" si="36"/>
        <v>3115867</v>
      </c>
      <c r="AC81" s="1">
        <f t="shared" si="25"/>
        <v>0</v>
      </c>
      <c r="AD81" s="1">
        <f t="shared" si="26"/>
        <v>0</v>
      </c>
      <c r="AE81" s="1">
        <f t="shared" si="27"/>
        <v>0</v>
      </c>
    </row>
    <row r="82" spans="1:31" x14ac:dyDescent="0.25">
      <c r="A82" s="9">
        <f t="shared" si="37"/>
        <v>1910</v>
      </c>
      <c r="B82" s="1">
        <f t="shared" si="28"/>
        <v>-39585</v>
      </c>
      <c r="C82" s="1">
        <v>2216286</v>
      </c>
      <c r="D82" s="1">
        <v>2255871</v>
      </c>
      <c r="E82" s="1">
        <f t="shared" si="29"/>
        <v>605</v>
      </c>
      <c r="F82" s="1">
        <v>609375</v>
      </c>
      <c r="G82" s="1">
        <v>608770</v>
      </c>
      <c r="H82" s="1">
        <f t="shared" si="30"/>
        <v>213</v>
      </c>
      <c r="I82" s="1">
        <v>3369</v>
      </c>
      <c r="J82" s="1">
        <v>3156</v>
      </c>
      <c r="K82" s="1">
        <f t="shared" si="31"/>
        <v>7810</v>
      </c>
      <c r="L82" s="1">
        <v>82698</v>
      </c>
      <c r="M82" s="1">
        <v>74888</v>
      </c>
      <c r="N82" s="1">
        <f t="shared" si="32"/>
        <v>3901</v>
      </c>
      <c r="O82" s="1">
        <v>21368</v>
      </c>
      <c r="P82" s="1">
        <v>17467</v>
      </c>
      <c r="Q82" s="1">
        <f t="shared" si="33"/>
        <v>6944</v>
      </c>
      <c r="R82" s="1">
        <v>7590</v>
      </c>
      <c r="S82" s="1">
        <v>646</v>
      </c>
      <c r="U82" s="1">
        <f t="shared" si="21"/>
        <v>-20112</v>
      </c>
      <c r="V82" s="1">
        <v>2940686</v>
      </c>
      <c r="W82" s="1">
        <v>2960798</v>
      </c>
      <c r="Y82" s="1">
        <f t="shared" si="34"/>
        <v>-20112</v>
      </c>
      <c r="Z82" s="1">
        <f t="shared" si="35"/>
        <v>2940686</v>
      </c>
      <c r="AA82" s="1">
        <f t="shared" si="36"/>
        <v>2960798</v>
      </c>
      <c r="AC82" s="1">
        <f t="shared" si="25"/>
        <v>0</v>
      </c>
      <c r="AD82" s="1">
        <f t="shared" si="26"/>
        <v>0</v>
      </c>
      <c r="AE82" s="1">
        <f t="shared" si="27"/>
        <v>0</v>
      </c>
    </row>
    <row r="83" spans="1:31" x14ac:dyDescent="0.25">
      <c r="A83" s="9">
        <f t="shared" si="37"/>
        <v>1911</v>
      </c>
      <c r="B83" s="1">
        <f t="shared" si="28"/>
        <v>12028</v>
      </c>
      <c r="C83" s="1">
        <v>2244089</v>
      </c>
      <c r="D83" s="1">
        <v>2232061</v>
      </c>
      <c r="E83" s="1">
        <f t="shared" si="29"/>
        <v>7159</v>
      </c>
      <c r="F83" s="1">
        <v>711888</v>
      </c>
      <c r="G83" s="1">
        <v>704729</v>
      </c>
      <c r="H83" s="1">
        <f t="shared" si="30"/>
        <v>471</v>
      </c>
      <c r="I83" s="1">
        <v>7103</v>
      </c>
      <c r="J83" s="1">
        <v>6632</v>
      </c>
      <c r="K83" s="1">
        <f t="shared" si="31"/>
        <v>12861</v>
      </c>
      <c r="L83" s="1">
        <v>108582</v>
      </c>
      <c r="M83" s="1">
        <v>95721</v>
      </c>
      <c r="N83" s="1">
        <f t="shared" si="32"/>
        <v>2810</v>
      </c>
      <c r="O83" s="1">
        <v>19517</v>
      </c>
      <c r="P83" s="1">
        <v>16707</v>
      </c>
      <c r="Q83" s="1">
        <f t="shared" si="33"/>
        <v>-128</v>
      </c>
      <c r="R83" s="1">
        <v>2456</v>
      </c>
      <c r="S83" s="1">
        <v>2584</v>
      </c>
      <c r="U83" s="1">
        <f t="shared" si="21"/>
        <v>35201</v>
      </c>
      <c r="V83" s="1">
        <v>3093635</v>
      </c>
      <c r="W83" s="1">
        <v>3058434</v>
      </c>
      <c r="Y83" s="1">
        <f t="shared" si="34"/>
        <v>35201</v>
      </c>
      <c r="Z83" s="1">
        <f t="shared" si="35"/>
        <v>3093635</v>
      </c>
      <c r="AA83" s="1">
        <f t="shared" si="36"/>
        <v>3058434</v>
      </c>
      <c r="AC83" s="1">
        <f t="shared" si="25"/>
        <v>0</v>
      </c>
      <c r="AD83" s="1">
        <f t="shared" si="26"/>
        <v>0</v>
      </c>
      <c r="AE83" s="1">
        <f t="shared" si="27"/>
        <v>0</v>
      </c>
    </row>
    <row r="84" spans="1:31" x14ac:dyDescent="0.25">
      <c r="A84" s="9">
        <f t="shared" si="37"/>
        <v>1912</v>
      </c>
      <c r="B84" s="1">
        <f t="shared" si="28"/>
        <v>20173</v>
      </c>
      <c r="C84" s="1">
        <v>2463970</v>
      </c>
      <c r="D84" s="1">
        <v>2443797</v>
      </c>
      <c r="E84" s="1">
        <f t="shared" si="29"/>
        <v>-964</v>
      </c>
      <c r="F84" s="1">
        <v>677356</v>
      </c>
      <c r="G84" s="1">
        <v>678320</v>
      </c>
      <c r="H84" s="1">
        <f t="shared" si="30"/>
        <v>522</v>
      </c>
      <c r="I84" s="1">
        <v>9319</v>
      </c>
      <c r="J84" s="1">
        <v>8797</v>
      </c>
      <c r="K84" s="1">
        <f t="shared" si="31"/>
        <v>20969</v>
      </c>
      <c r="L84" s="1">
        <v>165374</v>
      </c>
      <c r="M84" s="1">
        <v>144405</v>
      </c>
      <c r="N84" s="1">
        <f t="shared" si="32"/>
        <v>4555</v>
      </c>
      <c r="O84" s="1">
        <v>72603</v>
      </c>
      <c r="P84" s="1">
        <v>68048</v>
      </c>
      <c r="Q84" s="1">
        <f t="shared" si="33"/>
        <v>-892</v>
      </c>
      <c r="R84" s="1">
        <v>10795</v>
      </c>
      <c r="S84" s="1">
        <v>11687</v>
      </c>
      <c r="U84" s="1">
        <f t="shared" si="21"/>
        <v>44363</v>
      </c>
      <c r="V84" s="1">
        <v>3399417</v>
      </c>
      <c r="W84" s="1">
        <v>3355054</v>
      </c>
      <c r="Y84" s="1">
        <f t="shared" si="34"/>
        <v>44363</v>
      </c>
      <c r="Z84" s="1">
        <f t="shared" si="35"/>
        <v>3399417</v>
      </c>
      <c r="AA84" s="1">
        <f t="shared" si="36"/>
        <v>3355054</v>
      </c>
      <c r="AC84" s="1">
        <f t="shared" si="25"/>
        <v>0</v>
      </c>
      <c r="AD84" s="1">
        <f t="shared" si="26"/>
        <v>0</v>
      </c>
      <c r="AE84" s="1">
        <f t="shared" si="27"/>
        <v>0</v>
      </c>
    </row>
    <row r="85" spans="1:31" x14ac:dyDescent="0.25">
      <c r="A85" s="9">
        <f t="shared" si="37"/>
        <v>1913</v>
      </c>
      <c r="B85" s="1">
        <f t="shared" si="28"/>
        <v>13917</v>
      </c>
      <c r="C85" s="1">
        <v>2617317</v>
      </c>
      <c r="D85" s="1">
        <v>2603400</v>
      </c>
      <c r="E85" s="1">
        <f t="shared" si="29"/>
        <v>3194</v>
      </c>
      <c r="F85" s="1">
        <v>644542</v>
      </c>
      <c r="G85" s="1">
        <v>641348</v>
      </c>
      <c r="H85" s="1">
        <f t="shared" si="30"/>
        <v>306</v>
      </c>
      <c r="I85" s="1">
        <v>7387</v>
      </c>
      <c r="J85" s="1">
        <v>7081</v>
      </c>
      <c r="K85" s="1">
        <f t="shared" si="31"/>
        <v>24454</v>
      </c>
      <c r="L85" s="1">
        <v>149589</v>
      </c>
      <c r="M85" s="1">
        <v>125135</v>
      </c>
      <c r="N85" s="1">
        <f t="shared" si="32"/>
        <v>43573</v>
      </c>
      <c r="O85" s="1">
        <v>116513</v>
      </c>
      <c r="P85" s="1">
        <v>72940</v>
      </c>
      <c r="Q85" s="1">
        <f t="shared" si="33"/>
        <v>5927</v>
      </c>
      <c r="R85" s="1">
        <v>33645</v>
      </c>
      <c r="S85" s="1">
        <v>27718</v>
      </c>
      <c r="U85" s="1">
        <f t="shared" si="21"/>
        <v>91371</v>
      </c>
      <c r="V85" s="1">
        <v>3568993</v>
      </c>
      <c r="W85" s="1">
        <v>3477622</v>
      </c>
      <c r="Y85" s="1">
        <f t="shared" si="34"/>
        <v>91371</v>
      </c>
      <c r="Z85" s="1">
        <f t="shared" si="35"/>
        <v>3568993</v>
      </c>
      <c r="AA85" s="1">
        <f t="shared" si="36"/>
        <v>3477622</v>
      </c>
      <c r="AC85" s="1">
        <f t="shared" si="25"/>
        <v>0</v>
      </c>
      <c r="AD85" s="1">
        <f t="shared" si="26"/>
        <v>0</v>
      </c>
      <c r="AE85" s="1">
        <f t="shared" si="27"/>
        <v>0</v>
      </c>
    </row>
    <row r="86" spans="1:31" x14ac:dyDescent="0.25">
      <c r="A86" s="9">
        <f t="shared" si="37"/>
        <v>1914</v>
      </c>
      <c r="B86" s="1">
        <f t="shared" si="28"/>
        <v>773</v>
      </c>
      <c r="C86" s="1">
        <v>1070272</v>
      </c>
      <c r="D86" s="1">
        <v>1069499</v>
      </c>
      <c r="E86" s="1">
        <f t="shared" si="29"/>
        <v>4733</v>
      </c>
      <c r="F86" s="1">
        <v>370805</v>
      </c>
      <c r="G86" s="1">
        <v>366072</v>
      </c>
      <c r="H86" s="1">
        <f t="shared" si="30"/>
        <v>427</v>
      </c>
      <c r="I86" s="1">
        <v>7530</v>
      </c>
      <c r="J86" s="1">
        <v>7103</v>
      </c>
      <c r="K86" s="1">
        <f t="shared" si="31"/>
        <v>17764</v>
      </c>
      <c r="L86" s="1">
        <v>134063</v>
      </c>
      <c r="M86" s="1">
        <v>116299</v>
      </c>
      <c r="N86" s="1">
        <f t="shared" si="32"/>
        <v>4132</v>
      </c>
      <c r="O86" s="1">
        <v>18354</v>
      </c>
      <c r="P86" s="1">
        <v>14222</v>
      </c>
      <c r="Q86" s="1">
        <f t="shared" si="33"/>
        <v>957</v>
      </c>
      <c r="R86" s="1">
        <v>7756</v>
      </c>
      <c r="S86" s="1">
        <v>6799</v>
      </c>
      <c r="U86" s="1">
        <f t="shared" si="21"/>
        <v>28786</v>
      </c>
      <c r="V86" s="1">
        <v>1608780</v>
      </c>
      <c r="W86" s="1">
        <v>1579994</v>
      </c>
      <c r="Y86" s="1">
        <f t="shared" si="34"/>
        <v>28786</v>
      </c>
      <c r="Z86" s="1">
        <f t="shared" si="35"/>
        <v>1608780</v>
      </c>
      <c r="AA86" s="1">
        <f t="shared" si="36"/>
        <v>1579994</v>
      </c>
      <c r="AC86" s="1">
        <f t="shared" si="25"/>
        <v>0</v>
      </c>
      <c r="AD86" s="1">
        <f t="shared" si="26"/>
        <v>0</v>
      </c>
      <c r="AE86" s="1">
        <f t="shared" si="27"/>
        <v>0</v>
      </c>
    </row>
    <row r="87" spans="1:31" x14ac:dyDescent="0.25">
      <c r="A87" s="9">
        <f t="shared" si="37"/>
        <v>1915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f t="shared" si="30"/>
        <v>152</v>
      </c>
      <c r="I87" s="1">
        <v>984</v>
      </c>
      <c r="J87" s="1">
        <v>832</v>
      </c>
      <c r="K87" s="1">
        <f t="shared" si="31"/>
        <v>11648</v>
      </c>
      <c r="L87" s="1">
        <v>79919</v>
      </c>
      <c r="M87" s="1">
        <v>68271</v>
      </c>
      <c r="N87" s="1">
        <f t="shared" si="32"/>
        <v>9949</v>
      </c>
      <c r="O87" s="1">
        <v>41034</v>
      </c>
      <c r="P87" s="1">
        <v>31085</v>
      </c>
      <c r="Q87" s="1">
        <f t="shared" si="33"/>
        <v>874</v>
      </c>
      <c r="R87" s="1">
        <v>5330</v>
      </c>
      <c r="S87" s="1">
        <v>4456</v>
      </c>
      <c r="U87" s="1">
        <f t="shared" si="21"/>
        <v>22623</v>
      </c>
      <c r="V87" s="1">
        <v>127267</v>
      </c>
      <c r="W87" s="1">
        <v>104644</v>
      </c>
      <c r="Y87" s="1">
        <f t="shared" si="34"/>
        <v>22623</v>
      </c>
      <c r="Z87" s="1">
        <f t="shared" si="35"/>
        <v>127267</v>
      </c>
      <c r="AA87" s="1">
        <f t="shared" si="36"/>
        <v>104644</v>
      </c>
      <c r="AC87" s="1">
        <f t="shared" si="25"/>
        <v>0</v>
      </c>
      <c r="AD87" s="1">
        <f t="shared" si="26"/>
        <v>0</v>
      </c>
      <c r="AE87" s="1">
        <f t="shared" si="27"/>
        <v>0</v>
      </c>
    </row>
    <row r="88" spans="1:31" x14ac:dyDescent="0.25">
      <c r="A88" s="10" t="s">
        <v>50</v>
      </c>
      <c r="B88" s="5">
        <f>SUM(B53:B67)</f>
        <v>289250</v>
      </c>
      <c r="C88" s="5"/>
      <c r="D88" s="5"/>
      <c r="E88" s="5">
        <f t="shared" ref="E88" si="38">SUM(E53:E67)</f>
        <v>71263</v>
      </c>
      <c r="F88" s="5"/>
      <c r="G88" s="5"/>
      <c r="H88" s="5">
        <f t="shared" ref="H88" si="39">SUM(H53:H67)</f>
        <v>5980</v>
      </c>
      <c r="I88" s="5"/>
      <c r="J88" s="5"/>
      <c r="K88" s="5">
        <f t="shared" ref="K88" si="40">SUM(K53:K67)</f>
        <v>0</v>
      </c>
      <c r="L88" s="5"/>
      <c r="M88" s="5"/>
      <c r="N88" s="5">
        <f t="shared" ref="N88" si="41">SUM(N53:N67)</f>
        <v>2099</v>
      </c>
      <c r="O88" s="5"/>
      <c r="P88" s="5"/>
      <c r="Q88" s="5">
        <f t="shared" ref="Q88" si="42">SUM(Q53:Q67)</f>
        <v>-4</v>
      </c>
      <c r="R88" s="5"/>
      <c r="S88" s="5"/>
      <c r="U88" s="5">
        <f>SUM(U53:U67)</f>
        <v>502837</v>
      </c>
      <c r="V88" s="5"/>
      <c r="W88" s="5"/>
    </row>
    <row r="89" spans="1:31" x14ac:dyDescent="0.25">
      <c r="A89" s="10" t="s">
        <v>4</v>
      </c>
      <c r="B89" s="5">
        <f>SUM(B68:B87)</f>
        <v>319431</v>
      </c>
      <c r="C89" s="5"/>
      <c r="D89" s="5"/>
      <c r="E89" s="5">
        <f t="shared" ref="E89" si="43">SUM(E68:E87)</f>
        <v>-11878</v>
      </c>
      <c r="F89" s="5"/>
      <c r="G89" s="5"/>
      <c r="H89" s="5">
        <f t="shared" ref="H89" si="44">SUM(H68:H87)</f>
        <v>6966</v>
      </c>
      <c r="I89" s="5"/>
      <c r="J89" s="5"/>
      <c r="K89" s="5">
        <f t="shared" ref="K89" si="45">SUM(K68:K87)</f>
        <v>151250</v>
      </c>
      <c r="L89" s="5"/>
      <c r="M89" s="5"/>
      <c r="N89" s="5">
        <f t="shared" ref="N89" si="46">SUM(N68:N87)</f>
        <v>87411</v>
      </c>
      <c r="O89" s="5"/>
      <c r="P89" s="5"/>
      <c r="Q89" s="5">
        <f t="shared" ref="Q89:U89" si="47">SUM(Q68:Q87)</f>
        <v>11124</v>
      </c>
      <c r="R89" s="5"/>
      <c r="S89" s="5"/>
      <c r="U89" s="5">
        <f t="shared" si="47"/>
        <v>563304</v>
      </c>
      <c r="V89" s="4"/>
      <c r="W89" s="4"/>
    </row>
    <row r="90" spans="1:31" x14ac:dyDescent="0.25">
      <c r="A90" s="4" t="s">
        <v>51</v>
      </c>
      <c r="B90" s="5">
        <f>B89+B88</f>
        <v>608681</v>
      </c>
      <c r="C90" s="4"/>
      <c r="D90" s="4"/>
      <c r="E90" s="5">
        <f t="shared" ref="E90" si="48">E89+E88</f>
        <v>59385</v>
      </c>
      <c r="F90" s="4"/>
      <c r="G90" s="4"/>
      <c r="H90" s="5">
        <f t="shared" ref="H90" si="49">H89+H88</f>
        <v>12946</v>
      </c>
      <c r="I90" s="4"/>
      <c r="J90" s="4"/>
      <c r="K90" s="5">
        <f t="shared" ref="K90" si="50">K89+K88</f>
        <v>151250</v>
      </c>
      <c r="L90" s="4"/>
      <c r="M90" s="4"/>
      <c r="N90" s="5">
        <f t="shared" ref="N90" si="51">N89+N88</f>
        <v>89510</v>
      </c>
      <c r="O90" s="4"/>
      <c r="P90" s="4"/>
      <c r="Q90" s="5">
        <f t="shared" ref="Q90" si="52">Q89+Q88</f>
        <v>11120</v>
      </c>
      <c r="R90" s="4"/>
      <c r="S90" s="4"/>
      <c r="U90" s="5">
        <f>U89+U88</f>
        <v>1066141</v>
      </c>
      <c r="V90" s="4"/>
      <c r="W90" s="4"/>
    </row>
  </sheetData>
  <mergeCells count="9">
    <mergeCell ref="N51:P51"/>
    <mergeCell ref="Q51:S51"/>
    <mergeCell ref="H7:J7"/>
    <mergeCell ref="E7:G7"/>
    <mergeCell ref="B7:D7"/>
    <mergeCell ref="B51:D51"/>
    <mergeCell ref="E51:G51"/>
    <mergeCell ref="H51:J51"/>
    <mergeCell ref="K51:M5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60D45-40A7-4AEF-8152-6E6E2D19E14F}">
  <dimension ref="A1:AI93"/>
  <sheetViews>
    <sheetView topLeftCell="J52" workbookViewId="0">
      <selection sqref="A1:AI93"/>
    </sheetView>
  </sheetViews>
  <sheetFormatPr defaultRowHeight="15" x14ac:dyDescent="0.25"/>
  <cols>
    <col min="1" max="1" width="11" customWidth="1"/>
    <col min="2" max="2" width="12.5703125" bestFit="1" customWidth="1"/>
    <col min="3" max="3" width="11" bestFit="1" customWidth="1"/>
    <col min="4" max="4" width="12" bestFit="1" customWidth="1"/>
    <col min="5" max="5" width="10.28515625" bestFit="1" customWidth="1"/>
    <col min="6" max="6" width="9" bestFit="1" customWidth="1"/>
    <col min="7" max="7" width="12.85546875" bestFit="1" customWidth="1"/>
    <col min="8" max="8" width="9.85546875" bestFit="1" customWidth="1"/>
    <col min="9" max="9" width="8.28515625" bestFit="1" customWidth="1"/>
    <col min="10" max="10" width="9" bestFit="1" customWidth="1"/>
    <col min="11" max="11" width="9.5703125" bestFit="1" customWidth="1"/>
    <col min="12" max="12" width="6.28515625" customWidth="1"/>
    <col min="13" max="13" width="11.5703125" bestFit="1" customWidth="1"/>
    <col min="14" max="14" width="8.28515625" bestFit="1" customWidth="1"/>
    <col min="15" max="15" width="10.7109375" bestFit="1" customWidth="1"/>
    <col min="16" max="16" width="7.5703125" bestFit="1" customWidth="1"/>
    <col min="17" max="17" width="9.42578125" bestFit="1" customWidth="1"/>
    <col min="18" max="18" width="9.28515625" bestFit="1" customWidth="1"/>
    <col min="19" max="19" width="7.42578125" bestFit="1" customWidth="1"/>
    <col min="20" max="20" width="6.7109375" bestFit="1" customWidth="1"/>
    <col min="21" max="21" width="19.140625" bestFit="1" customWidth="1"/>
    <col min="22" max="22" width="7.7109375" bestFit="1" customWidth="1"/>
    <col min="23" max="23" width="8.7109375" bestFit="1" customWidth="1"/>
    <col min="24" max="24" width="11.42578125" bestFit="1" customWidth="1"/>
    <col min="25" max="25" width="11.85546875" bestFit="1" customWidth="1"/>
    <col min="26" max="26" width="7.5703125" bestFit="1" customWidth="1"/>
    <col min="27" max="27" width="7.28515625" bestFit="1" customWidth="1"/>
    <col min="28" max="28" width="7.42578125" bestFit="1" customWidth="1"/>
    <col min="29" max="29" width="7.7109375" bestFit="1" customWidth="1"/>
    <col min="30" max="30" width="14.28515625" customWidth="1"/>
    <col min="31" max="31" width="10.140625" bestFit="1" customWidth="1"/>
    <col min="33" max="33" width="12.42578125" customWidth="1"/>
  </cols>
  <sheetData>
    <row r="1" spans="1:31" x14ac:dyDescent="0.25">
      <c r="A1" s="8" t="s">
        <v>0</v>
      </c>
      <c r="B1" s="8" t="s">
        <v>41</v>
      </c>
      <c r="C1" s="8" t="s">
        <v>40</v>
      </c>
      <c r="D1" s="8" t="s">
        <v>42</v>
      </c>
      <c r="E1" s="8" t="s">
        <v>43</v>
      </c>
      <c r="F1" s="8" t="s">
        <v>44</v>
      </c>
      <c r="G1" s="8" t="s">
        <v>46</v>
      </c>
      <c r="H1" s="8" t="s">
        <v>7</v>
      </c>
      <c r="I1" s="8" t="s">
        <v>8</v>
      </c>
      <c r="J1" s="8" t="s">
        <v>21</v>
      </c>
      <c r="K1" s="8" t="s">
        <v>22</v>
      </c>
      <c r="L1" s="8" t="s">
        <v>23</v>
      </c>
      <c r="M1" s="8" t="s">
        <v>24</v>
      </c>
      <c r="N1" s="8" t="s">
        <v>25</v>
      </c>
      <c r="O1" s="8" t="s">
        <v>26</v>
      </c>
      <c r="P1" s="8" t="s">
        <v>27</v>
      </c>
      <c r="Q1" s="8" t="s">
        <v>28</v>
      </c>
      <c r="R1" s="8" t="s">
        <v>9</v>
      </c>
      <c r="S1" s="8" t="s">
        <v>29</v>
      </c>
      <c r="T1" s="8" t="s">
        <v>30</v>
      </c>
      <c r="U1" s="8" t="s">
        <v>31</v>
      </c>
      <c r="V1" s="8" t="s">
        <v>32</v>
      </c>
      <c r="W1" s="8" t="s">
        <v>33</v>
      </c>
      <c r="X1" s="8" t="s">
        <v>34</v>
      </c>
      <c r="Y1" s="8" t="s">
        <v>35</v>
      </c>
      <c r="Z1" s="8" t="s">
        <v>12</v>
      </c>
      <c r="AA1" s="8" t="s">
        <v>10</v>
      </c>
      <c r="AB1" s="8" t="s">
        <v>36</v>
      </c>
      <c r="AC1" s="8" t="s">
        <v>37</v>
      </c>
      <c r="AD1" s="8" t="s">
        <v>53</v>
      </c>
      <c r="AE1" s="8" t="s">
        <v>45</v>
      </c>
    </row>
    <row r="2" spans="1:31" x14ac:dyDescent="0.25">
      <c r="A2" s="9">
        <v>1881</v>
      </c>
      <c r="B2" s="1">
        <v>23580</v>
      </c>
      <c r="C2" s="1">
        <v>5725</v>
      </c>
      <c r="D2" s="1">
        <v>892</v>
      </c>
      <c r="F2" s="1">
        <v>2099</v>
      </c>
      <c r="G2" s="1">
        <v>17</v>
      </c>
      <c r="H2" s="1">
        <v>31266</v>
      </c>
      <c r="I2" s="1">
        <v>15527</v>
      </c>
      <c r="J2" s="1">
        <v>-366</v>
      </c>
      <c r="K2" s="1">
        <v>-294</v>
      </c>
      <c r="L2" s="1">
        <v>7</v>
      </c>
      <c r="M2" s="1">
        <v>-159</v>
      </c>
      <c r="N2" s="1">
        <v>-3</v>
      </c>
      <c r="O2" s="1">
        <v>-55</v>
      </c>
      <c r="P2" s="1">
        <v>58</v>
      </c>
      <c r="Q2" s="1">
        <v>-76</v>
      </c>
      <c r="R2" s="1">
        <v>119</v>
      </c>
      <c r="S2" s="1">
        <v>598</v>
      </c>
      <c r="T2" s="1">
        <v>-18</v>
      </c>
      <c r="U2" s="1">
        <v>122</v>
      </c>
      <c r="V2" s="1">
        <v>-27</v>
      </c>
      <c r="W2" s="1">
        <v>6</v>
      </c>
      <c r="X2" s="1">
        <v>-2</v>
      </c>
      <c r="Y2" s="1">
        <v>26</v>
      </c>
      <c r="Z2" s="1">
        <v>-942</v>
      </c>
      <c r="AA2" s="1">
        <v>5</v>
      </c>
      <c r="AB2" s="1">
        <v>890</v>
      </c>
      <c r="AC2" s="1">
        <v>-2</v>
      </c>
      <c r="AD2" s="1">
        <v>20</v>
      </c>
      <c r="AE2" s="1">
        <v>0</v>
      </c>
    </row>
    <row r="3" spans="1:31" x14ac:dyDescent="0.25">
      <c r="A3" s="9">
        <f t="shared" ref="A3:A15" si="0">A4-1</f>
        <v>1882</v>
      </c>
      <c r="B3" s="1">
        <v>31320</v>
      </c>
      <c r="C3" s="1">
        <v>4379</v>
      </c>
      <c r="D3" s="1">
        <v>902</v>
      </c>
      <c r="G3" s="1">
        <v>-10</v>
      </c>
      <c r="H3" s="1">
        <v>19184</v>
      </c>
      <c r="I3" s="1">
        <v>37463</v>
      </c>
      <c r="J3" s="1">
        <v>-493</v>
      </c>
      <c r="K3" s="1">
        <v>599</v>
      </c>
      <c r="L3" s="1">
        <v>-11</v>
      </c>
      <c r="M3" s="1">
        <v>-781</v>
      </c>
      <c r="N3" s="1">
        <v>79</v>
      </c>
      <c r="O3" s="1">
        <v>-56</v>
      </c>
      <c r="P3" s="1">
        <v>387</v>
      </c>
      <c r="Q3" s="1">
        <v>-2</v>
      </c>
      <c r="R3" s="1">
        <v>526</v>
      </c>
      <c r="S3" s="1">
        <v>419</v>
      </c>
      <c r="T3" s="1">
        <v>-21</v>
      </c>
      <c r="U3" s="1">
        <v>17</v>
      </c>
      <c r="V3" s="1">
        <v>5</v>
      </c>
      <c r="W3" s="1">
        <v>4</v>
      </c>
      <c r="X3" s="1">
        <v>-2</v>
      </c>
      <c r="Y3" s="1">
        <v>-3</v>
      </c>
      <c r="Z3" s="1">
        <v>7068</v>
      </c>
      <c r="AA3" s="1">
        <v>10</v>
      </c>
      <c r="AB3" s="1">
        <v>3081</v>
      </c>
      <c r="AC3" s="1">
        <v>35</v>
      </c>
      <c r="AD3" s="1">
        <v>2</v>
      </c>
      <c r="AE3" s="1">
        <v>77</v>
      </c>
    </row>
    <row r="4" spans="1:31" x14ac:dyDescent="0.25">
      <c r="A4" s="9">
        <f t="shared" si="0"/>
        <v>1883</v>
      </c>
      <c r="B4" s="1">
        <v>15017</v>
      </c>
      <c r="C4" s="1">
        <v>6371</v>
      </c>
      <c r="D4" s="1">
        <v>662</v>
      </c>
      <c r="G4" s="1">
        <v>0</v>
      </c>
      <c r="H4" s="1">
        <v>15565</v>
      </c>
      <c r="I4" s="1">
        <v>28795</v>
      </c>
      <c r="J4" s="1">
        <v>1223</v>
      </c>
      <c r="K4" s="1">
        <v>154</v>
      </c>
      <c r="L4" s="1">
        <v>88</v>
      </c>
      <c r="M4" s="1">
        <v>93</v>
      </c>
      <c r="N4" s="1">
        <v>-1</v>
      </c>
      <c r="O4" s="1">
        <v>-6</v>
      </c>
      <c r="P4" s="1">
        <v>34</v>
      </c>
      <c r="Q4" s="1">
        <v>90</v>
      </c>
      <c r="R4" s="1">
        <v>-489</v>
      </c>
      <c r="S4" s="1">
        <v>279</v>
      </c>
      <c r="T4" s="1">
        <v>46</v>
      </c>
      <c r="U4" s="1">
        <v>78</v>
      </c>
      <c r="V4" s="1">
        <v>85</v>
      </c>
      <c r="W4" s="1">
        <v>2</v>
      </c>
      <c r="X4" s="1">
        <v>0</v>
      </c>
      <c r="Y4" s="1">
        <v>10</v>
      </c>
      <c r="Z4" s="1">
        <v>4546</v>
      </c>
      <c r="AA4" s="1">
        <v>-3</v>
      </c>
      <c r="AB4" s="1">
        <v>4826</v>
      </c>
      <c r="AC4" s="1">
        <v>-6</v>
      </c>
      <c r="AD4" s="1">
        <v>-7</v>
      </c>
      <c r="AE4" s="1">
        <v>49</v>
      </c>
    </row>
    <row r="5" spans="1:31" x14ac:dyDescent="0.25">
      <c r="A5" s="9">
        <f t="shared" si="0"/>
        <v>1884</v>
      </c>
      <c r="B5" s="1">
        <v>23871</v>
      </c>
      <c r="C5" s="1">
        <v>11873</v>
      </c>
      <c r="D5" s="1">
        <v>2206</v>
      </c>
      <c r="G5" s="1">
        <v>1</v>
      </c>
      <c r="H5" s="1">
        <v>9047</v>
      </c>
      <c r="I5" s="1">
        <v>26116</v>
      </c>
      <c r="J5" s="1">
        <v>281</v>
      </c>
      <c r="K5" s="1">
        <v>-371</v>
      </c>
      <c r="L5" s="1">
        <v>59</v>
      </c>
      <c r="M5" s="1">
        <v>29</v>
      </c>
      <c r="N5" s="1">
        <v>45</v>
      </c>
      <c r="O5" s="1">
        <v>12</v>
      </c>
      <c r="P5" s="1">
        <v>102</v>
      </c>
      <c r="Q5" s="1">
        <v>83</v>
      </c>
      <c r="R5" s="1">
        <v>237</v>
      </c>
      <c r="S5" s="1">
        <v>298</v>
      </c>
      <c r="T5" s="1">
        <v>67</v>
      </c>
      <c r="U5" s="1">
        <v>-83</v>
      </c>
      <c r="V5" s="1">
        <v>17</v>
      </c>
      <c r="W5" s="1">
        <v>-24</v>
      </c>
      <c r="X5" s="1">
        <v>9</v>
      </c>
      <c r="Y5" s="1">
        <v>26</v>
      </c>
      <c r="Z5" s="1">
        <v>6357</v>
      </c>
      <c r="AA5" s="1">
        <v>-8</v>
      </c>
      <c r="AB5" s="1">
        <v>2773</v>
      </c>
      <c r="AC5" s="1">
        <v>-7</v>
      </c>
      <c r="AD5" s="1">
        <v>-85</v>
      </c>
      <c r="AE5" s="1">
        <v>104</v>
      </c>
    </row>
    <row r="6" spans="1:31" x14ac:dyDescent="0.25">
      <c r="A6" s="9">
        <f t="shared" si="0"/>
        <v>1885</v>
      </c>
      <c r="B6" s="1">
        <v>49904</v>
      </c>
      <c r="C6" s="1">
        <v>13393</v>
      </c>
      <c r="D6" s="1">
        <v>420</v>
      </c>
      <c r="G6" s="1">
        <v>0</v>
      </c>
      <c r="H6" s="1">
        <v>15529</v>
      </c>
      <c r="I6" s="1">
        <v>31366</v>
      </c>
      <c r="J6" s="1">
        <v>2181</v>
      </c>
      <c r="K6" s="1">
        <v>537</v>
      </c>
      <c r="L6" s="1">
        <v>145</v>
      </c>
      <c r="M6" s="1">
        <v>218</v>
      </c>
      <c r="N6" s="1">
        <v>63</v>
      </c>
      <c r="O6" s="1">
        <v>-43</v>
      </c>
      <c r="P6" s="1">
        <v>-121</v>
      </c>
      <c r="Q6" s="1">
        <v>-90</v>
      </c>
      <c r="R6" s="1">
        <v>33</v>
      </c>
      <c r="S6" s="1">
        <v>39</v>
      </c>
      <c r="T6" s="1">
        <v>17</v>
      </c>
      <c r="U6" s="1">
        <v>358</v>
      </c>
      <c r="V6" s="1">
        <v>13</v>
      </c>
      <c r="W6" s="1">
        <v>-19</v>
      </c>
      <c r="X6" s="1">
        <v>-3</v>
      </c>
      <c r="Y6" s="1">
        <v>31</v>
      </c>
      <c r="Z6" s="1">
        <v>4602</v>
      </c>
      <c r="AA6" s="1">
        <v>-20</v>
      </c>
      <c r="AB6" s="1">
        <v>3934</v>
      </c>
      <c r="AC6" s="1">
        <v>4</v>
      </c>
      <c r="AD6" s="1">
        <v>-34</v>
      </c>
      <c r="AE6" s="1">
        <v>64</v>
      </c>
    </row>
    <row r="7" spans="1:31" x14ac:dyDescent="0.25">
      <c r="A7" s="9">
        <f t="shared" si="0"/>
        <v>1886</v>
      </c>
      <c r="B7" s="1">
        <v>44346</v>
      </c>
      <c r="C7" s="1">
        <v>11146</v>
      </c>
      <c r="D7" s="1">
        <v>716</v>
      </c>
      <c r="G7" s="1">
        <v>-12</v>
      </c>
      <c r="H7" s="1">
        <v>10819</v>
      </c>
      <c r="I7" s="1">
        <v>29461</v>
      </c>
      <c r="J7" s="1">
        <v>285</v>
      </c>
      <c r="K7" s="1">
        <v>229</v>
      </c>
      <c r="L7" s="1">
        <v>414</v>
      </c>
      <c r="M7" s="1">
        <v>223</v>
      </c>
      <c r="N7" s="1">
        <v>-93</v>
      </c>
      <c r="O7" s="1">
        <v>11</v>
      </c>
      <c r="P7" s="1">
        <v>317</v>
      </c>
      <c r="Q7" s="1">
        <v>-8</v>
      </c>
      <c r="R7" s="1">
        <v>-70</v>
      </c>
      <c r="S7" s="1">
        <v>879</v>
      </c>
      <c r="T7" s="1">
        <v>43</v>
      </c>
      <c r="U7" s="1">
        <v>150</v>
      </c>
      <c r="V7" s="1">
        <v>44</v>
      </c>
      <c r="W7" s="1">
        <v>17</v>
      </c>
      <c r="X7" s="1">
        <v>-6</v>
      </c>
      <c r="Y7" s="1">
        <v>4</v>
      </c>
      <c r="Z7" s="1">
        <v>14035</v>
      </c>
      <c r="AA7" s="1">
        <v>-24</v>
      </c>
      <c r="AB7" s="1">
        <v>3094</v>
      </c>
      <c r="AC7" s="1">
        <v>-8</v>
      </c>
      <c r="AD7" s="1">
        <v>17</v>
      </c>
      <c r="AE7" s="1">
        <v>-297</v>
      </c>
    </row>
    <row r="8" spans="1:31" x14ac:dyDescent="0.25">
      <c r="A8" s="9">
        <f t="shared" si="0"/>
        <v>1887</v>
      </c>
      <c r="B8" s="1">
        <v>37602</v>
      </c>
      <c r="C8" s="1">
        <v>7028</v>
      </c>
      <c r="D8" s="1">
        <v>139</v>
      </c>
      <c r="H8" s="1">
        <v>2475</v>
      </c>
      <c r="I8" s="1">
        <v>10626</v>
      </c>
      <c r="J8" s="1">
        <v>-898</v>
      </c>
      <c r="K8" s="1">
        <v>-429</v>
      </c>
      <c r="L8" s="1">
        <v>-76</v>
      </c>
      <c r="M8" s="1">
        <v>-294</v>
      </c>
      <c r="N8" s="1">
        <v>-121</v>
      </c>
      <c r="O8" s="1">
        <v>-27</v>
      </c>
      <c r="P8" s="1">
        <v>93</v>
      </c>
      <c r="Q8" s="1">
        <v>-6</v>
      </c>
      <c r="R8" s="1">
        <v>-14</v>
      </c>
      <c r="S8" s="1">
        <v>312</v>
      </c>
      <c r="T8" s="1">
        <v>-20</v>
      </c>
      <c r="U8" s="1">
        <v>-37</v>
      </c>
      <c r="V8" s="1">
        <v>13</v>
      </c>
      <c r="W8" s="1">
        <v>-5</v>
      </c>
      <c r="X8" s="1">
        <v>-17</v>
      </c>
      <c r="Y8" s="1">
        <v>22</v>
      </c>
      <c r="Z8" s="1">
        <v>8123</v>
      </c>
      <c r="AA8" s="1">
        <v>-99</v>
      </c>
      <c r="AB8" s="1">
        <v>2183</v>
      </c>
      <c r="AC8" s="1">
        <v>-5</v>
      </c>
      <c r="AD8" s="1">
        <v>-38</v>
      </c>
      <c r="AE8" s="1">
        <v>-215</v>
      </c>
    </row>
    <row r="9" spans="1:31" x14ac:dyDescent="0.25">
      <c r="A9" s="9">
        <f t="shared" si="0"/>
        <v>1888</v>
      </c>
      <c r="B9" s="1">
        <v>63610</v>
      </c>
      <c r="C9" s="1">
        <v>11348</v>
      </c>
      <c r="D9" s="1">
        <v>43</v>
      </c>
      <c r="H9" s="1">
        <v>4550</v>
      </c>
      <c r="I9" s="1">
        <v>4271</v>
      </c>
      <c r="J9" s="1">
        <v>-112</v>
      </c>
      <c r="K9" s="1">
        <v>243</v>
      </c>
      <c r="L9" s="1">
        <v>-75</v>
      </c>
      <c r="M9" s="1">
        <v>5</v>
      </c>
      <c r="N9" s="1">
        <v>74</v>
      </c>
      <c r="O9" s="1">
        <v>8</v>
      </c>
      <c r="P9" s="1">
        <v>174</v>
      </c>
      <c r="Q9" s="1">
        <v>79</v>
      </c>
      <c r="R9" s="1">
        <v>-27</v>
      </c>
      <c r="S9" s="1">
        <v>661</v>
      </c>
      <c r="T9" s="1">
        <v>44</v>
      </c>
      <c r="U9" s="1">
        <v>30</v>
      </c>
      <c r="V9" s="1">
        <v>11</v>
      </c>
      <c r="W9" s="1">
        <v>-6</v>
      </c>
      <c r="X9" s="1">
        <v>-12</v>
      </c>
      <c r="Y9" s="1">
        <v>-9</v>
      </c>
      <c r="Z9" s="1">
        <v>6129</v>
      </c>
      <c r="AA9" s="1">
        <v>-34</v>
      </c>
      <c r="AB9" s="1">
        <v>5927</v>
      </c>
      <c r="AC9" s="1">
        <v>-3</v>
      </c>
      <c r="AD9" s="1">
        <v>-71</v>
      </c>
      <c r="AE9" s="1">
        <v>42</v>
      </c>
    </row>
    <row r="10" spans="1:31" x14ac:dyDescent="0.25">
      <c r="A10" s="9">
        <f t="shared" si="0"/>
        <v>1889</v>
      </c>
      <c r="H10" s="1">
        <v>17395</v>
      </c>
      <c r="I10" s="1">
        <v>16643</v>
      </c>
      <c r="J10" s="1">
        <v>400</v>
      </c>
      <c r="K10" s="1">
        <v>1075</v>
      </c>
      <c r="L10" s="1">
        <v>920</v>
      </c>
      <c r="M10" s="1">
        <v>252</v>
      </c>
      <c r="N10" s="1">
        <v>-52</v>
      </c>
      <c r="O10" s="1">
        <v>30</v>
      </c>
      <c r="P10" s="1">
        <v>-25</v>
      </c>
      <c r="Q10" s="1">
        <v>4</v>
      </c>
      <c r="R10" s="1">
        <v>335</v>
      </c>
      <c r="S10" s="1">
        <v>296</v>
      </c>
      <c r="T10" s="1">
        <v>-9</v>
      </c>
      <c r="U10" s="1">
        <v>162</v>
      </c>
      <c r="V10" s="1">
        <v>-11</v>
      </c>
      <c r="W10" s="1">
        <v>36</v>
      </c>
      <c r="X10" s="1">
        <v>12</v>
      </c>
      <c r="Y10" s="1">
        <v>-2</v>
      </c>
      <c r="Z10" s="1">
        <v>8526</v>
      </c>
      <c r="AA10" s="1">
        <v>-100</v>
      </c>
      <c r="AB10" s="1">
        <v>2995</v>
      </c>
      <c r="AC10" s="1">
        <v>5</v>
      </c>
      <c r="AD10" s="1">
        <v>23</v>
      </c>
      <c r="AE10" s="1">
        <v>-19</v>
      </c>
    </row>
    <row r="11" spans="1:31" x14ac:dyDescent="0.25">
      <c r="A11" s="9">
        <f t="shared" si="0"/>
        <v>1890</v>
      </c>
      <c r="H11" s="1">
        <v>32800</v>
      </c>
      <c r="I11" s="1">
        <v>15833</v>
      </c>
      <c r="J11" s="1">
        <v>1581</v>
      </c>
      <c r="K11" s="1">
        <v>868</v>
      </c>
      <c r="L11" s="1">
        <v>290</v>
      </c>
      <c r="M11" s="1">
        <v>446</v>
      </c>
      <c r="N11" s="1">
        <v>113</v>
      </c>
      <c r="O11" s="1">
        <v>12</v>
      </c>
      <c r="P11" s="1">
        <v>1378</v>
      </c>
      <c r="Q11" s="1">
        <v>9</v>
      </c>
      <c r="R11" s="1">
        <v>612</v>
      </c>
      <c r="S11" s="1">
        <v>426</v>
      </c>
      <c r="T11" s="1">
        <v>21</v>
      </c>
      <c r="U11" s="1">
        <v>291</v>
      </c>
      <c r="V11" s="1">
        <v>-34</v>
      </c>
      <c r="W11" s="1">
        <v>25</v>
      </c>
      <c r="X11" s="1">
        <v>-24</v>
      </c>
      <c r="Y11" s="1">
        <v>41</v>
      </c>
      <c r="Z11" s="1">
        <v>12580</v>
      </c>
      <c r="AA11" s="1">
        <v>-89</v>
      </c>
      <c r="AB11" s="1">
        <v>3372</v>
      </c>
      <c r="AC11" s="1">
        <v>-2</v>
      </c>
      <c r="AD11" s="1">
        <v>-295</v>
      </c>
      <c r="AE11" s="1">
        <v>-706</v>
      </c>
    </row>
    <row r="12" spans="1:31" x14ac:dyDescent="0.25">
      <c r="A12" s="9">
        <f t="shared" si="0"/>
        <v>1891</v>
      </c>
      <c r="H12" s="1">
        <v>-11339</v>
      </c>
      <c r="I12" s="1">
        <v>19882</v>
      </c>
      <c r="J12" s="1">
        <v>-526</v>
      </c>
      <c r="K12" s="1">
        <v>851</v>
      </c>
      <c r="L12" s="1">
        <v>581</v>
      </c>
      <c r="M12" s="1">
        <v>39</v>
      </c>
      <c r="N12" s="1">
        <v>-98</v>
      </c>
      <c r="O12" s="1">
        <v>-2</v>
      </c>
      <c r="P12" s="1">
        <v>879</v>
      </c>
      <c r="Q12" s="1">
        <v>100</v>
      </c>
      <c r="R12" s="1">
        <v>-275</v>
      </c>
      <c r="S12" s="1">
        <v>201</v>
      </c>
      <c r="T12" s="1">
        <v>85</v>
      </c>
      <c r="U12" s="1">
        <v>240</v>
      </c>
      <c r="V12" s="1">
        <v>31</v>
      </c>
      <c r="W12" s="1">
        <v>-2</v>
      </c>
      <c r="X12" s="1">
        <v>0</v>
      </c>
      <c r="Y12" s="1">
        <v>4</v>
      </c>
      <c r="Z12" s="1">
        <v>7662</v>
      </c>
      <c r="AA12" s="1">
        <v>-122</v>
      </c>
      <c r="AB12" s="1">
        <v>3159</v>
      </c>
      <c r="AC12" s="1">
        <v>3</v>
      </c>
      <c r="AD12" s="1">
        <v>-343</v>
      </c>
      <c r="AE12" s="1">
        <v>-470</v>
      </c>
    </row>
    <row r="13" spans="1:31" x14ac:dyDescent="0.25">
      <c r="A13" s="9">
        <f t="shared" si="0"/>
        <v>1892</v>
      </c>
      <c r="H13" s="1">
        <v>3616</v>
      </c>
      <c r="I13" s="1">
        <v>9892</v>
      </c>
      <c r="J13" s="1">
        <v>-999</v>
      </c>
      <c r="K13" s="1">
        <v>416</v>
      </c>
      <c r="L13" s="1">
        <v>224</v>
      </c>
      <c r="M13" s="1">
        <v>-391</v>
      </c>
      <c r="N13" s="1">
        <v>-9</v>
      </c>
      <c r="O13" s="1">
        <v>17</v>
      </c>
      <c r="P13" s="1">
        <v>899</v>
      </c>
      <c r="Q13" s="1">
        <v>101</v>
      </c>
      <c r="R13" s="1">
        <v>-287</v>
      </c>
      <c r="S13" s="1">
        <v>214</v>
      </c>
      <c r="T13" s="1">
        <v>118</v>
      </c>
      <c r="U13" s="1">
        <v>199</v>
      </c>
      <c r="V13" s="1">
        <v>10</v>
      </c>
      <c r="W13" s="1">
        <v>14</v>
      </c>
      <c r="X13" s="1">
        <v>34</v>
      </c>
      <c r="Y13" s="1">
        <v>2</v>
      </c>
      <c r="Z13" s="1">
        <v>16360</v>
      </c>
      <c r="AA13" s="1">
        <v>-201</v>
      </c>
      <c r="AB13" s="1">
        <v>-164</v>
      </c>
      <c r="AC13" s="1">
        <v>5</v>
      </c>
      <c r="AD13" s="1">
        <v>-250</v>
      </c>
      <c r="AE13" s="1">
        <v>-16</v>
      </c>
    </row>
    <row r="14" spans="1:31" x14ac:dyDescent="0.25">
      <c r="A14" s="9">
        <f t="shared" si="0"/>
        <v>1893</v>
      </c>
      <c r="H14" s="1">
        <v>26811</v>
      </c>
      <c r="I14" s="1">
        <v>3749</v>
      </c>
      <c r="J14" s="1">
        <v>-127</v>
      </c>
      <c r="K14" s="1">
        <v>1811</v>
      </c>
      <c r="L14" s="1">
        <v>284</v>
      </c>
      <c r="M14" s="1">
        <v>76</v>
      </c>
      <c r="N14" s="1">
        <v>699</v>
      </c>
      <c r="O14" s="1">
        <v>69</v>
      </c>
      <c r="P14" s="1">
        <v>351</v>
      </c>
      <c r="Q14" s="1">
        <v>178</v>
      </c>
      <c r="R14" s="1">
        <v>69</v>
      </c>
      <c r="S14" s="1">
        <v>4</v>
      </c>
      <c r="T14" s="1">
        <v>-31</v>
      </c>
      <c r="U14" s="1">
        <v>275</v>
      </c>
      <c r="V14" s="1">
        <v>29</v>
      </c>
      <c r="W14" s="1">
        <v>-32</v>
      </c>
      <c r="X14" s="1">
        <v>-3</v>
      </c>
      <c r="Y14" s="1">
        <v>15</v>
      </c>
      <c r="Z14" s="1">
        <v>12664</v>
      </c>
      <c r="AA14" s="1">
        <v>385</v>
      </c>
      <c r="AB14" s="1">
        <v>5813</v>
      </c>
      <c r="AC14" s="1">
        <v>13</v>
      </c>
      <c r="AD14" s="1">
        <v>-393</v>
      </c>
      <c r="AE14" s="1">
        <v>44</v>
      </c>
    </row>
    <row r="15" spans="1:31" x14ac:dyDescent="0.25">
      <c r="A15" s="9">
        <f t="shared" si="0"/>
        <v>1894</v>
      </c>
      <c r="H15" s="1">
        <v>5875</v>
      </c>
      <c r="I15" s="1">
        <v>5078</v>
      </c>
      <c r="J15" s="1">
        <v>-1092</v>
      </c>
      <c r="K15" s="1">
        <v>871</v>
      </c>
      <c r="L15" s="1">
        <v>430</v>
      </c>
      <c r="M15" s="1">
        <v>-10</v>
      </c>
      <c r="N15" s="1">
        <v>-314</v>
      </c>
      <c r="O15" s="1">
        <v>40</v>
      </c>
      <c r="P15" s="1">
        <v>1153</v>
      </c>
      <c r="Q15" s="1">
        <v>103</v>
      </c>
      <c r="R15" s="1">
        <v>385</v>
      </c>
      <c r="S15" s="1">
        <v>398</v>
      </c>
      <c r="T15" s="1">
        <v>99</v>
      </c>
      <c r="U15" s="1">
        <v>390</v>
      </c>
      <c r="V15" s="1">
        <v>-4</v>
      </c>
      <c r="W15" s="1">
        <v>52</v>
      </c>
      <c r="X15" s="1">
        <v>25</v>
      </c>
      <c r="Y15" s="1">
        <v>16</v>
      </c>
      <c r="Z15" s="1">
        <v>14190</v>
      </c>
      <c r="AA15" s="1">
        <v>537</v>
      </c>
      <c r="AB15" s="1">
        <v>2051</v>
      </c>
      <c r="AC15" s="1">
        <v>6</v>
      </c>
      <c r="AD15" s="1">
        <v>-143</v>
      </c>
      <c r="AE15" s="1">
        <v>4552</v>
      </c>
    </row>
    <row r="16" spans="1:31" x14ac:dyDescent="0.25">
      <c r="A16" s="9">
        <f>A17-1</f>
        <v>1895</v>
      </c>
      <c r="H16" s="1">
        <v>-85110</v>
      </c>
      <c r="I16" s="1">
        <v>15846</v>
      </c>
      <c r="J16" s="1">
        <v>-144</v>
      </c>
      <c r="K16" s="1">
        <v>1033</v>
      </c>
      <c r="L16" s="1">
        <v>1080</v>
      </c>
      <c r="M16" s="1">
        <v>347</v>
      </c>
      <c r="N16" s="1">
        <v>25</v>
      </c>
      <c r="O16" s="1">
        <v>-57</v>
      </c>
      <c r="P16" s="1">
        <v>597</v>
      </c>
      <c r="Q16" s="1">
        <v>8</v>
      </c>
      <c r="R16" s="1">
        <v>356</v>
      </c>
      <c r="S16" s="1">
        <v>107</v>
      </c>
      <c r="T16" s="1">
        <v>36</v>
      </c>
      <c r="U16" s="1">
        <v>204</v>
      </c>
      <c r="V16" s="1">
        <v>15</v>
      </c>
      <c r="W16" s="1">
        <v>22</v>
      </c>
      <c r="X16" s="1">
        <v>-4</v>
      </c>
      <c r="Y16" s="1">
        <v>22</v>
      </c>
      <c r="Z16" s="1">
        <v>16096</v>
      </c>
      <c r="AA16" s="1">
        <v>59</v>
      </c>
      <c r="AB16" s="1">
        <v>4906</v>
      </c>
      <c r="AC16" s="1">
        <v>12</v>
      </c>
      <c r="AD16" s="1">
        <v>-228</v>
      </c>
      <c r="AE16" s="1">
        <v>4320</v>
      </c>
    </row>
    <row r="17" spans="1:31" x14ac:dyDescent="0.25">
      <c r="A17" s="9">
        <v>1896</v>
      </c>
      <c r="B17" s="1">
        <v>25302</v>
      </c>
      <c r="C17" s="1">
        <v>2161</v>
      </c>
      <c r="D17" s="1">
        <v>123</v>
      </c>
      <c r="E17" s="1">
        <v>6592</v>
      </c>
      <c r="F17" s="1">
        <v>2617</v>
      </c>
      <c r="G17" s="1">
        <v>-1268</v>
      </c>
      <c r="H17" s="1">
        <v>-1842</v>
      </c>
      <c r="I17" s="1">
        <v>1018</v>
      </c>
      <c r="J17" s="1">
        <v>-978</v>
      </c>
      <c r="K17" s="1">
        <v>-902</v>
      </c>
      <c r="L17" s="1">
        <v>251</v>
      </c>
      <c r="M17" s="1">
        <v>426</v>
      </c>
      <c r="N17" s="1">
        <v>1415</v>
      </c>
      <c r="O17" s="1">
        <v>-110</v>
      </c>
      <c r="P17" s="1">
        <v>354</v>
      </c>
      <c r="Q17" s="1">
        <v>174</v>
      </c>
      <c r="R17" s="1">
        <v>166</v>
      </c>
      <c r="S17" s="1">
        <v>331</v>
      </c>
      <c r="T17" s="1">
        <v>51</v>
      </c>
      <c r="U17" s="1">
        <v>526</v>
      </c>
      <c r="V17" s="1">
        <v>129</v>
      </c>
      <c r="W17" s="1">
        <v>62</v>
      </c>
      <c r="X17" s="1">
        <v>-44</v>
      </c>
      <c r="Y17" s="1">
        <v>25</v>
      </c>
      <c r="Z17" s="1">
        <v>5503</v>
      </c>
      <c r="AA17" s="1">
        <v>-1186</v>
      </c>
      <c r="AB17" s="1">
        <v>4771</v>
      </c>
      <c r="AC17" s="1">
        <v>13</v>
      </c>
      <c r="AD17" s="1">
        <v>-2081</v>
      </c>
      <c r="AE17" s="1">
        <v>4102</v>
      </c>
    </row>
    <row r="18" spans="1:31" x14ac:dyDescent="0.25">
      <c r="A18" s="9">
        <f>A17+1</f>
        <v>1897</v>
      </c>
      <c r="B18" s="1">
        <v>25671</v>
      </c>
      <c r="C18" s="1">
        <v>3094</v>
      </c>
      <c r="D18" s="1">
        <v>265</v>
      </c>
      <c r="E18" s="1">
        <v>4198</v>
      </c>
      <c r="F18" s="1">
        <v>-242</v>
      </c>
      <c r="G18" s="1">
        <v>259</v>
      </c>
      <c r="H18" s="1">
        <v>896</v>
      </c>
      <c r="I18" s="1">
        <v>6059</v>
      </c>
      <c r="J18" s="1">
        <v>2018</v>
      </c>
      <c r="K18" s="1">
        <v>1013</v>
      </c>
      <c r="L18" s="1">
        <v>515</v>
      </c>
      <c r="M18" s="1">
        <v>524</v>
      </c>
      <c r="N18" s="1">
        <v>1418</v>
      </c>
      <c r="O18" s="1">
        <v>90</v>
      </c>
      <c r="P18" s="1">
        <v>484</v>
      </c>
      <c r="Q18" s="1">
        <v>-4</v>
      </c>
      <c r="R18" s="1">
        <v>190</v>
      </c>
      <c r="S18" s="1">
        <v>308</v>
      </c>
      <c r="T18" s="1">
        <v>290</v>
      </c>
      <c r="U18" s="1">
        <v>414</v>
      </c>
      <c r="V18" s="1">
        <v>75</v>
      </c>
      <c r="W18" s="1">
        <v>117</v>
      </c>
      <c r="X18" s="1">
        <v>40</v>
      </c>
      <c r="Y18" s="1">
        <v>-40</v>
      </c>
      <c r="Z18" s="1">
        <v>22426</v>
      </c>
      <c r="AA18" s="1">
        <v>1281</v>
      </c>
      <c r="AB18" s="1">
        <v>4740</v>
      </c>
      <c r="AC18" s="1">
        <v>16</v>
      </c>
      <c r="AD18" s="1">
        <v>60</v>
      </c>
      <c r="AE18" s="1">
        <v>3222</v>
      </c>
    </row>
    <row r="19" spans="1:31" x14ac:dyDescent="0.25">
      <c r="A19" s="9">
        <f t="shared" ref="A19:A36" si="1">A18+1</f>
        <v>1898</v>
      </c>
      <c r="B19" s="1">
        <v>13569</v>
      </c>
      <c r="C19" s="1">
        <v>5651</v>
      </c>
      <c r="D19" s="1">
        <v>426</v>
      </c>
      <c r="E19" s="1">
        <v>10761</v>
      </c>
      <c r="F19" s="1">
        <v>371</v>
      </c>
      <c r="G19" s="1">
        <v>-1036</v>
      </c>
      <c r="H19" s="1">
        <v>6111</v>
      </c>
      <c r="I19" s="1">
        <v>8828</v>
      </c>
      <c r="J19" s="1">
        <v>2061</v>
      </c>
      <c r="K19" s="1">
        <v>2034</v>
      </c>
      <c r="L19" s="1">
        <v>415</v>
      </c>
      <c r="M19" s="1">
        <v>383</v>
      </c>
      <c r="N19" s="1">
        <v>1838</v>
      </c>
      <c r="O19" s="1">
        <v>13</v>
      </c>
      <c r="P19" s="1">
        <v>636</v>
      </c>
      <c r="Q19" s="1">
        <v>161</v>
      </c>
      <c r="R19" s="1">
        <v>320</v>
      </c>
      <c r="S19" s="1">
        <v>424</v>
      </c>
      <c r="T19" s="1">
        <v>-171</v>
      </c>
      <c r="U19" s="1">
        <v>582</v>
      </c>
      <c r="V19" s="1">
        <v>223</v>
      </c>
      <c r="W19" s="1">
        <v>189</v>
      </c>
      <c r="X19" s="1">
        <v>-38</v>
      </c>
      <c r="Y19" s="1">
        <v>30</v>
      </c>
      <c r="Z19" s="1">
        <v>15851</v>
      </c>
      <c r="AA19" s="1">
        <v>679</v>
      </c>
      <c r="AB19" s="1">
        <v>9956</v>
      </c>
      <c r="AC19" s="1">
        <v>64</v>
      </c>
      <c r="AD19" s="1">
        <v>-14</v>
      </c>
      <c r="AE19" s="1">
        <v>3325</v>
      </c>
    </row>
    <row r="20" spans="1:31" x14ac:dyDescent="0.25">
      <c r="A20" s="9">
        <f t="shared" si="1"/>
        <v>1899</v>
      </c>
      <c r="B20" s="1">
        <v>35639</v>
      </c>
      <c r="C20" s="1">
        <v>4391</v>
      </c>
      <c r="D20" s="1">
        <v>251</v>
      </c>
      <c r="E20" s="1">
        <v>8397</v>
      </c>
      <c r="F20" s="1">
        <v>516</v>
      </c>
      <c r="G20" s="1">
        <v>-1</v>
      </c>
      <c r="H20" s="1">
        <v>3887</v>
      </c>
      <c r="I20" s="1">
        <v>4298</v>
      </c>
      <c r="J20" s="1">
        <v>506</v>
      </c>
      <c r="K20" s="1">
        <v>1122</v>
      </c>
      <c r="L20" s="1">
        <v>554</v>
      </c>
      <c r="M20" s="1">
        <v>202</v>
      </c>
      <c r="N20" s="1">
        <v>277</v>
      </c>
      <c r="O20" s="1">
        <v>131</v>
      </c>
      <c r="P20" s="1">
        <v>274</v>
      </c>
      <c r="Q20" s="1">
        <v>183</v>
      </c>
      <c r="R20" s="1">
        <v>159</v>
      </c>
      <c r="S20" s="1">
        <v>18</v>
      </c>
      <c r="T20" s="1">
        <v>159</v>
      </c>
      <c r="U20" s="1">
        <v>695</v>
      </c>
      <c r="V20" s="1">
        <v>62</v>
      </c>
      <c r="W20" s="1">
        <v>-23</v>
      </c>
      <c r="X20" s="1">
        <v>11</v>
      </c>
      <c r="Y20" s="1">
        <v>46</v>
      </c>
      <c r="Z20" s="1">
        <v>22661</v>
      </c>
      <c r="AA20" s="1">
        <v>958</v>
      </c>
      <c r="AB20" s="1">
        <v>8199</v>
      </c>
      <c r="AC20" s="1">
        <v>-4</v>
      </c>
      <c r="AD20" s="1">
        <v>-148</v>
      </c>
      <c r="AE20" s="1">
        <v>1734</v>
      </c>
    </row>
    <row r="21" spans="1:31" x14ac:dyDescent="0.25">
      <c r="A21" s="9">
        <f t="shared" si="1"/>
        <v>1900</v>
      </c>
      <c r="B21" s="1">
        <v>24614</v>
      </c>
      <c r="C21" s="1">
        <v>7607</v>
      </c>
      <c r="D21" s="1">
        <v>149</v>
      </c>
      <c r="E21" s="1">
        <v>2631</v>
      </c>
      <c r="F21" s="1">
        <v>703</v>
      </c>
      <c r="G21" s="1">
        <v>-187</v>
      </c>
      <c r="H21" s="1">
        <v>3810</v>
      </c>
      <c r="I21" s="1">
        <v>4183</v>
      </c>
      <c r="J21" s="1">
        <v>160</v>
      </c>
      <c r="K21" s="1">
        <v>506</v>
      </c>
      <c r="L21" s="1">
        <v>250</v>
      </c>
      <c r="M21" s="1">
        <v>-268</v>
      </c>
      <c r="N21" s="1">
        <v>598</v>
      </c>
      <c r="O21" s="1">
        <v>-117</v>
      </c>
      <c r="P21" s="1">
        <v>161</v>
      </c>
      <c r="Q21" s="1">
        <v>604</v>
      </c>
      <c r="R21" s="1">
        <v>229</v>
      </c>
      <c r="S21" s="1">
        <v>268</v>
      </c>
      <c r="T21" s="1">
        <v>204</v>
      </c>
      <c r="U21" s="1">
        <v>233</v>
      </c>
      <c r="V21" s="1">
        <v>0</v>
      </c>
      <c r="W21" s="1">
        <v>20</v>
      </c>
      <c r="X21" s="1">
        <v>27</v>
      </c>
      <c r="Y21" s="1">
        <v>34</v>
      </c>
      <c r="Z21" s="1">
        <v>7390</v>
      </c>
      <c r="AA21" s="1">
        <v>534</v>
      </c>
      <c r="AB21" s="1">
        <v>8448</v>
      </c>
      <c r="AC21" s="1">
        <v>-207</v>
      </c>
      <c r="AD21" s="1">
        <v>-215</v>
      </c>
      <c r="AE21" s="1">
        <v>183</v>
      </c>
    </row>
    <row r="22" spans="1:31" x14ac:dyDescent="0.25">
      <c r="A22" s="9">
        <f t="shared" si="1"/>
        <v>1901</v>
      </c>
      <c r="B22" s="1">
        <v>33299</v>
      </c>
      <c r="C22" s="1">
        <v>6435</v>
      </c>
      <c r="D22" s="1">
        <v>256</v>
      </c>
      <c r="E22" s="1">
        <v>3332</v>
      </c>
      <c r="F22" s="1">
        <v>544</v>
      </c>
      <c r="G22" s="1">
        <v>-144</v>
      </c>
      <c r="H22" s="1">
        <v>3376</v>
      </c>
      <c r="I22" s="1">
        <v>7264</v>
      </c>
      <c r="J22" s="1">
        <v>1178</v>
      </c>
      <c r="K22" s="1">
        <v>103</v>
      </c>
      <c r="L22" s="1">
        <v>373</v>
      </c>
      <c r="M22" s="1">
        <v>89</v>
      </c>
      <c r="N22" s="1">
        <v>236</v>
      </c>
      <c r="O22" s="1">
        <v>13</v>
      </c>
      <c r="P22" s="1">
        <v>270</v>
      </c>
      <c r="Q22" s="1">
        <v>978</v>
      </c>
      <c r="R22" s="1">
        <v>239</v>
      </c>
      <c r="S22" s="1">
        <v>284</v>
      </c>
      <c r="T22" s="1">
        <v>183</v>
      </c>
      <c r="U22" s="1">
        <v>322</v>
      </c>
      <c r="V22" s="1">
        <v>-11</v>
      </c>
      <c r="W22" s="1">
        <v>-7</v>
      </c>
      <c r="X22" s="1">
        <v>5</v>
      </c>
      <c r="Y22" s="1">
        <v>32</v>
      </c>
      <c r="Z22" s="1">
        <v>13206</v>
      </c>
      <c r="AA22" s="1">
        <v>23217</v>
      </c>
      <c r="AB22" s="1">
        <v>3584</v>
      </c>
      <c r="AC22" s="1">
        <v>1622</v>
      </c>
      <c r="AD22" s="1">
        <v>-392</v>
      </c>
      <c r="AE22" s="1">
        <v>-1288</v>
      </c>
    </row>
    <row r="23" spans="1:31" x14ac:dyDescent="0.25">
      <c r="A23" s="9">
        <f t="shared" si="1"/>
        <v>1902</v>
      </c>
      <c r="B23" s="1">
        <v>15722</v>
      </c>
      <c r="C23" s="1">
        <v>10945</v>
      </c>
      <c r="D23" s="1">
        <v>1230</v>
      </c>
      <c r="E23" s="1">
        <v>4136</v>
      </c>
      <c r="F23" s="1">
        <v>1052</v>
      </c>
      <c r="G23" s="1">
        <v>-93</v>
      </c>
      <c r="H23" s="1">
        <v>2400</v>
      </c>
      <c r="I23" s="1">
        <v>4431</v>
      </c>
      <c r="J23" s="1">
        <v>439</v>
      </c>
      <c r="K23" s="1">
        <v>485</v>
      </c>
      <c r="L23" s="1">
        <v>191</v>
      </c>
      <c r="M23" s="1">
        <v>62</v>
      </c>
      <c r="N23" s="1">
        <v>213</v>
      </c>
      <c r="O23" s="1">
        <v>198</v>
      </c>
      <c r="P23" s="1">
        <v>333</v>
      </c>
      <c r="Q23" s="1">
        <v>942</v>
      </c>
      <c r="R23" s="1">
        <v>-2</v>
      </c>
      <c r="S23" s="1">
        <v>367</v>
      </c>
      <c r="T23" s="1">
        <v>166</v>
      </c>
      <c r="U23" s="1">
        <v>198</v>
      </c>
      <c r="V23" s="1">
        <v>-19</v>
      </c>
      <c r="W23" s="1">
        <v>85</v>
      </c>
      <c r="X23" s="1">
        <v>-34</v>
      </c>
      <c r="Y23" s="1">
        <v>-36</v>
      </c>
      <c r="Z23" s="1">
        <v>17852</v>
      </c>
      <c r="AA23" s="1">
        <v>26514</v>
      </c>
      <c r="AB23" s="1">
        <v>7913</v>
      </c>
      <c r="AC23" s="1">
        <v>2264</v>
      </c>
      <c r="AD23" s="1">
        <v>-247</v>
      </c>
      <c r="AE23" s="1">
        <v>-1670</v>
      </c>
    </row>
    <row r="24" spans="1:31" x14ac:dyDescent="0.25">
      <c r="A24" s="9">
        <f t="shared" si="1"/>
        <v>1903</v>
      </c>
      <c r="B24" s="1">
        <v>21596</v>
      </c>
      <c r="C24" s="1">
        <v>7950</v>
      </c>
      <c r="D24" s="1">
        <v>263</v>
      </c>
      <c r="E24" s="1">
        <v>2557</v>
      </c>
      <c r="F24" s="1">
        <v>1027</v>
      </c>
      <c r="G24" s="1">
        <v>-13</v>
      </c>
      <c r="H24" s="1">
        <v>2839</v>
      </c>
      <c r="I24" s="1">
        <v>3515</v>
      </c>
      <c r="J24" s="1">
        <v>-8</v>
      </c>
      <c r="K24" s="1">
        <v>651</v>
      </c>
      <c r="L24" s="1">
        <v>355</v>
      </c>
      <c r="M24" s="1">
        <v>118</v>
      </c>
      <c r="N24" s="1">
        <v>84</v>
      </c>
      <c r="O24" s="1">
        <v>194</v>
      </c>
      <c r="P24" s="1">
        <v>375</v>
      </c>
      <c r="Q24" s="1">
        <v>813</v>
      </c>
      <c r="R24" s="1">
        <v>185</v>
      </c>
      <c r="S24" s="1">
        <v>314</v>
      </c>
      <c r="T24" s="1">
        <v>249</v>
      </c>
      <c r="U24" s="1">
        <v>377</v>
      </c>
      <c r="V24" s="1">
        <v>30</v>
      </c>
      <c r="W24" s="1">
        <v>24</v>
      </c>
      <c r="X24" s="1">
        <v>-4</v>
      </c>
      <c r="Y24" s="1">
        <v>20</v>
      </c>
      <c r="Z24" s="1">
        <v>21426</v>
      </c>
      <c r="AA24" s="1">
        <v>4225</v>
      </c>
      <c r="AB24" s="1">
        <v>10102</v>
      </c>
      <c r="AC24" s="1">
        <v>2079</v>
      </c>
      <c r="AD24" s="1">
        <v>-447</v>
      </c>
      <c r="AE24" s="1">
        <v>1204</v>
      </c>
    </row>
    <row r="25" spans="1:31" x14ac:dyDescent="0.25">
      <c r="A25" s="9">
        <f t="shared" si="1"/>
        <v>1904</v>
      </c>
      <c r="B25" s="1">
        <v>10279</v>
      </c>
      <c r="C25" s="1">
        <v>17133</v>
      </c>
      <c r="D25" s="1">
        <v>187</v>
      </c>
      <c r="E25" s="1">
        <v>-381</v>
      </c>
      <c r="F25" s="1">
        <v>2218</v>
      </c>
      <c r="G25" s="1">
        <v>-54</v>
      </c>
      <c r="H25" s="1">
        <v>3432</v>
      </c>
      <c r="I25" s="1">
        <v>-869</v>
      </c>
      <c r="J25" s="1">
        <v>190</v>
      </c>
      <c r="K25" s="1">
        <v>924</v>
      </c>
      <c r="L25" s="1">
        <v>110</v>
      </c>
      <c r="M25" s="1">
        <v>-164</v>
      </c>
      <c r="N25" s="1">
        <v>63</v>
      </c>
      <c r="O25" s="1">
        <v>168</v>
      </c>
      <c r="P25" s="1">
        <v>-192</v>
      </c>
      <c r="Q25" s="1">
        <v>402</v>
      </c>
      <c r="R25" s="1">
        <v>60</v>
      </c>
      <c r="S25" s="1">
        <v>333</v>
      </c>
      <c r="T25" s="1">
        <v>53</v>
      </c>
      <c r="U25" s="1">
        <v>83</v>
      </c>
      <c r="V25" s="1">
        <v>-85</v>
      </c>
      <c r="W25" s="1">
        <v>-55</v>
      </c>
      <c r="X25" s="1">
        <v>-44</v>
      </c>
      <c r="Y25" s="1">
        <v>4</v>
      </c>
      <c r="Z25" s="1">
        <v>15108</v>
      </c>
      <c r="AA25" s="1">
        <v>-369</v>
      </c>
      <c r="AB25" s="1">
        <v>9855</v>
      </c>
      <c r="AC25" s="1">
        <v>-459</v>
      </c>
      <c r="AD25" s="1">
        <v>-257</v>
      </c>
      <c r="AE25" s="1">
        <v>-2998</v>
      </c>
    </row>
    <row r="26" spans="1:31" x14ac:dyDescent="0.25">
      <c r="A26" s="9">
        <f t="shared" si="1"/>
        <v>1905</v>
      </c>
      <c r="B26" s="1">
        <v>17045</v>
      </c>
      <c r="C26" s="1">
        <v>-20655</v>
      </c>
      <c r="D26" s="1">
        <v>238</v>
      </c>
      <c r="E26" s="1">
        <v>2171</v>
      </c>
      <c r="F26" s="1">
        <v>2173</v>
      </c>
      <c r="G26" s="1">
        <v>83</v>
      </c>
      <c r="H26" s="1">
        <v>269</v>
      </c>
      <c r="I26" s="1">
        <v>865</v>
      </c>
      <c r="J26" s="1">
        <v>368</v>
      </c>
      <c r="K26" s="1">
        <v>286</v>
      </c>
      <c r="L26" s="1">
        <v>409</v>
      </c>
      <c r="M26" s="1">
        <v>-104</v>
      </c>
      <c r="N26" s="1">
        <v>-498</v>
      </c>
      <c r="O26" s="1">
        <v>-78</v>
      </c>
      <c r="P26" s="1">
        <v>-161</v>
      </c>
      <c r="Q26" s="1">
        <v>671</v>
      </c>
      <c r="R26" s="1">
        <v>-28</v>
      </c>
      <c r="S26" s="1">
        <v>-4</v>
      </c>
      <c r="T26" s="1">
        <v>-289</v>
      </c>
      <c r="U26" s="1">
        <v>208</v>
      </c>
      <c r="V26" s="1">
        <v>48</v>
      </c>
      <c r="W26" s="1">
        <v>-70</v>
      </c>
      <c r="X26" s="1">
        <v>-28</v>
      </c>
      <c r="Y26" s="1">
        <v>8</v>
      </c>
      <c r="Z26" s="1">
        <v>5417</v>
      </c>
      <c r="AA26" s="1">
        <v>-2552</v>
      </c>
      <c r="AB26" s="1">
        <v>3277</v>
      </c>
      <c r="AC26" s="1">
        <v>155</v>
      </c>
      <c r="AD26" s="1">
        <v>-61</v>
      </c>
      <c r="AE26" s="1">
        <v>-97</v>
      </c>
    </row>
    <row r="27" spans="1:31" x14ac:dyDescent="0.25">
      <c r="A27" s="9">
        <f t="shared" si="1"/>
        <v>1906</v>
      </c>
      <c r="B27" s="1">
        <v>32311</v>
      </c>
      <c r="C27" s="1">
        <v>-84553</v>
      </c>
      <c r="D27" s="1">
        <v>358</v>
      </c>
      <c r="E27" s="1">
        <v>3286</v>
      </c>
      <c r="F27" s="1">
        <v>1582</v>
      </c>
      <c r="G27" s="1">
        <v>-49</v>
      </c>
      <c r="H27" s="1">
        <v>1400</v>
      </c>
      <c r="I27" s="1">
        <v>1882</v>
      </c>
      <c r="J27" s="1">
        <v>184</v>
      </c>
      <c r="K27" s="1">
        <v>849</v>
      </c>
      <c r="L27" s="1">
        <v>194</v>
      </c>
      <c r="M27" s="1">
        <v>-127</v>
      </c>
      <c r="N27" s="1">
        <v>57</v>
      </c>
      <c r="O27" s="1">
        <v>92</v>
      </c>
      <c r="P27" s="1">
        <v>33</v>
      </c>
      <c r="Q27" s="1">
        <v>1234</v>
      </c>
      <c r="R27" s="1">
        <v>51</v>
      </c>
      <c r="S27" s="1">
        <v>501</v>
      </c>
      <c r="T27" s="1">
        <v>146</v>
      </c>
      <c r="U27" s="1">
        <v>108</v>
      </c>
      <c r="V27" s="1">
        <v>58</v>
      </c>
      <c r="W27" s="1">
        <v>19</v>
      </c>
      <c r="X27" s="1">
        <v>4</v>
      </c>
      <c r="Y27" s="1">
        <v>20</v>
      </c>
      <c r="Z27" s="1">
        <v>30837</v>
      </c>
      <c r="AA27" s="1">
        <v>14990</v>
      </c>
      <c r="AB27" s="1">
        <v>7674</v>
      </c>
      <c r="AC27" s="1">
        <v>4211</v>
      </c>
      <c r="AD27" s="1">
        <v>-444</v>
      </c>
      <c r="AE27" s="1">
        <v>3499</v>
      </c>
    </row>
    <row r="28" spans="1:31" x14ac:dyDescent="0.25">
      <c r="A28" s="9">
        <f t="shared" si="1"/>
        <v>1907</v>
      </c>
      <c r="B28" s="1">
        <v>11690</v>
      </c>
      <c r="C28" s="1">
        <v>6485</v>
      </c>
      <c r="D28" s="1">
        <v>286</v>
      </c>
      <c r="E28" s="1">
        <v>2321</v>
      </c>
      <c r="F28" s="1">
        <v>2109</v>
      </c>
      <c r="G28" s="1">
        <v>-112</v>
      </c>
      <c r="H28" s="1">
        <v>5908</v>
      </c>
      <c r="I28" s="1">
        <v>5420</v>
      </c>
      <c r="J28" s="1">
        <v>-37</v>
      </c>
      <c r="K28" s="1">
        <v>1500</v>
      </c>
      <c r="L28" s="1">
        <v>553</v>
      </c>
      <c r="M28" s="1">
        <v>-67</v>
      </c>
      <c r="N28" s="1">
        <v>614</v>
      </c>
      <c r="O28" s="1">
        <v>230</v>
      </c>
      <c r="P28" s="1">
        <v>214</v>
      </c>
      <c r="Q28" s="1">
        <v>-13</v>
      </c>
      <c r="R28" s="1">
        <v>89</v>
      </c>
      <c r="S28" s="1">
        <v>714</v>
      </c>
      <c r="T28" s="1">
        <v>140</v>
      </c>
      <c r="U28" s="1">
        <v>445</v>
      </c>
      <c r="V28" s="1">
        <v>83</v>
      </c>
      <c r="W28" s="1">
        <v>149</v>
      </c>
      <c r="X28" s="1">
        <v>-13</v>
      </c>
      <c r="Y28" s="1">
        <v>-25</v>
      </c>
      <c r="Z28" s="1">
        <v>13861</v>
      </c>
      <c r="AA28" s="1">
        <v>25594</v>
      </c>
      <c r="AB28" s="1">
        <v>14572</v>
      </c>
      <c r="AC28" s="1">
        <v>1280</v>
      </c>
      <c r="AD28" s="1">
        <v>-415</v>
      </c>
      <c r="AE28" s="1">
        <v>9747</v>
      </c>
    </row>
    <row r="29" spans="1:31" x14ac:dyDescent="0.25">
      <c r="A29" s="9">
        <f t="shared" si="1"/>
        <v>1908</v>
      </c>
      <c r="B29" s="1">
        <v>15585</v>
      </c>
      <c r="C29" s="1">
        <v>5350</v>
      </c>
      <c r="D29" s="1">
        <v>333</v>
      </c>
      <c r="E29" s="1">
        <v>3376</v>
      </c>
      <c r="F29" s="1">
        <v>1927</v>
      </c>
      <c r="G29" s="1">
        <v>-82</v>
      </c>
      <c r="H29" s="1">
        <v>7953</v>
      </c>
      <c r="I29" s="1">
        <v>4849</v>
      </c>
      <c r="J29" s="1">
        <v>266</v>
      </c>
      <c r="K29" s="1">
        <v>2407</v>
      </c>
      <c r="L29" s="1">
        <v>271</v>
      </c>
      <c r="M29" s="1">
        <v>323</v>
      </c>
      <c r="N29" s="1">
        <v>487</v>
      </c>
      <c r="O29" s="1">
        <v>213</v>
      </c>
      <c r="P29" s="1">
        <v>-16</v>
      </c>
      <c r="Q29" s="1">
        <v>433</v>
      </c>
      <c r="R29" s="1">
        <v>768</v>
      </c>
      <c r="S29" s="1">
        <v>174</v>
      </c>
      <c r="T29" s="1">
        <v>459</v>
      </c>
      <c r="U29" s="1">
        <v>343</v>
      </c>
      <c r="V29" s="1">
        <v>-70</v>
      </c>
      <c r="W29" s="1">
        <v>102</v>
      </c>
      <c r="X29" s="1">
        <v>65</v>
      </c>
      <c r="Y29" s="1">
        <v>-17</v>
      </c>
      <c r="Z29" s="1">
        <v>11241</v>
      </c>
      <c r="AA29" s="1">
        <v>11410</v>
      </c>
      <c r="AB29" s="1">
        <v>13278</v>
      </c>
      <c r="AC29" s="1">
        <v>170</v>
      </c>
      <c r="AD29" s="1">
        <v>-227</v>
      </c>
      <c r="AE29" s="1">
        <v>938</v>
      </c>
    </row>
    <row r="30" spans="1:31" x14ac:dyDescent="0.25">
      <c r="A30" s="9">
        <f t="shared" si="1"/>
        <v>1909</v>
      </c>
      <c r="B30" s="1">
        <v>29803</v>
      </c>
      <c r="C30" s="1">
        <v>1401</v>
      </c>
      <c r="D30" s="1">
        <v>510</v>
      </c>
      <c r="E30" s="1">
        <v>2367</v>
      </c>
      <c r="F30" s="1">
        <v>1894</v>
      </c>
      <c r="G30" s="1">
        <v>139</v>
      </c>
      <c r="H30" s="1">
        <v>4663</v>
      </c>
      <c r="I30" s="1">
        <v>4928</v>
      </c>
      <c r="J30" s="1">
        <v>859</v>
      </c>
      <c r="K30" s="1">
        <v>1210</v>
      </c>
      <c r="L30" s="1">
        <v>444</v>
      </c>
      <c r="M30" s="1">
        <v>-112</v>
      </c>
      <c r="N30" s="1">
        <v>578</v>
      </c>
      <c r="O30" s="1">
        <v>430</v>
      </c>
      <c r="P30" s="1">
        <v>397</v>
      </c>
      <c r="Q30" s="1">
        <v>118</v>
      </c>
      <c r="R30" s="1">
        <v>1680</v>
      </c>
      <c r="S30" s="1">
        <v>517</v>
      </c>
      <c r="T30" s="1">
        <v>580</v>
      </c>
      <c r="U30" s="1">
        <v>474</v>
      </c>
      <c r="V30" s="1">
        <v>33</v>
      </c>
      <c r="W30" s="1">
        <v>81</v>
      </c>
      <c r="X30" s="1">
        <v>26</v>
      </c>
      <c r="Y30" s="1">
        <v>27</v>
      </c>
      <c r="Z30" s="1">
        <v>17832</v>
      </c>
      <c r="AA30" s="1">
        <v>14565</v>
      </c>
      <c r="AB30" s="1">
        <v>22675</v>
      </c>
      <c r="AC30" s="1">
        <v>916</v>
      </c>
      <c r="AD30" s="1">
        <v>131</v>
      </c>
      <c r="AE30" s="1">
        <v>933</v>
      </c>
    </row>
    <row r="31" spans="1:31" x14ac:dyDescent="0.25">
      <c r="A31" s="9">
        <f t="shared" si="1"/>
        <v>1910</v>
      </c>
      <c r="B31" s="1">
        <v>-39585</v>
      </c>
      <c r="C31" s="1">
        <v>605</v>
      </c>
      <c r="D31" s="1">
        <v>213</v>
      </c>
      <c r="E31" s="1">
        <v>7810</v>
      </c>
      <c r="F31" s="1">
        <v>3901</v>
      </c>
      <c r="G31" s="1">
        <v>6944</v>
      </c>
      <c r="H31" s="1">
        <v>7876</v>
      </c>
      <c r="I31" s="1">
        <v>5553</v>
      </c>
      <c r="J31" s="1">
        <v>1491</v>
      </c>
      <c r="K31" s="1">
        <v>3119</v>
      </c>
      <c r="L31" s="1">
        <v>671</v>
      </c>
      <c r="M31" s="1">
        <v>405</v>
      </c>
      <c r="N31" s="1">
        <v>387</v>
      </c>
      <c r="O31" s="1">
        <v>522</v>
      </c>
      <c r="P31" s="1">
        <v>441</v>
      </c>
      <c r="Q31" s="1">
        <v>1345</v>
      </c>
      <c r="R31" s="1">
        <v>754</v>
      </c>
      <c r="S31" s="1">
        <v>278</v>
      </c>
      <c r="T31" s="1">
        <v>455</v>
      </c>
      <c r="U31" s="1">
        <v>725</v>
      </c>
      <c r="V31" s="1">
        <v>121</v>
      </c>
      <c r="W31" s="1">
        <v>63</v>
      </c>
      <c r="X31" s="1">
        <v>28</v>
      </c>
      <c r="Y31" s="1">
        <v>17</v>
      </c>
      <c r="Z31" s="1">
        <v>16596</v>
      </c>
      <c r="AA31" s="1">
        <v>15806</v>
      </c>
      <c r="AB31" s="1">
        <v>18263</v>
      </c>
      <c r="AC31" s="1">
        <v>-754</v>
      </c>
      <c r="AD31" s="1">
        <v>-475</v>
      </c>
      <c r="AE31" s="1">
        <v>-46</v>
      </c>
    </row>
    <row r="32" spans="1:31" x14ac:dyDescent="0.25">
      <c r="A32" s="9">
        <f t="shared" si="1"/>
        <v>1911</v>
      </c>
      <c r="B32" s="1">
        <v>12028</v>
      </c>
      <c r="C32" s="1">
        <v>7159</v>
      </c>
      <c r="D32" s="1">
        <v>471</v>
      </c>
      <c r="E32" s="1">
        <v>12861</v>
      </c>
      <c r="F32" s="1">
        <v>2810</v>
      </c>
      <c r="G32" s="1">
        <v>-128</v>
      </c>
      <c r="H32" s="1">
        <v>6205</v>
      </c>
      <c r="I32" s="1">
        <v>7308</v>
      </c>
      <c r="J32" s="1">
        <v>885</v>
      </c>
      <c r="K32" s="1">
        <v>1388</v>
      </c>
      <c r="L32" s="1">
        <v>301</v>
      </c>
      <c r="M32" s="1">
        <v>393</v>
      </c>
      <c r="N32" s="1">
        <v>632</v>
      </c>
      <c r="O32" s="1">
        <v>844</v>
      </c>
      <c r="P32" s="1">
        <v>312</v>
      </c>
      <c r="Q32" s="1">
        <v>394</v>
      </c>
      <c r="R32" s="1">
        <v>-193</v>
      </c>
      <c r="S32" s="1">
        <v>556</v>
      </c>
      <c r="T32" s="1">
        <v>831</v>
      </c>
      <c r="U32" s="1">
        <v>652</v>
      </c>
      <c r="V32" s="1">
        <v>-1</v>
      </c>
      <c r="W32" s="1">
        <v>73</v>
      </c>
      <c r="X32" s="1">
        <v>35</v>
      </c>
      <c r="Y32" s="1">
        <v>-34</v>
      </c>
      <c r="Z32" s="1">
        <v>19694</v>
      </c>
      <c r="AA32" s="1">
        <v>-6520</v>
      </c>
      <c r="AB32" s="1">
        <v>23277</v>
      </c>
      <c r="AC32" s="1">
        <v>1293</v>
      </c>
      <c r="AD32" s="1">
        <v>-519</v>
      </c>
      <c r="AE32" s="1">
        <v>649</v>
      </c>
    </row>
    <row r="33" spans="1:35" x14ac:dyDescent="0.25">
      <c r="A33" s="9">
        <f t="shared" si="1"/>
        <v>1912</v>
      </c>
      <c r="B33" s="1">
        <v>20173</v>
      </c>
      <c r="C33" s="1">
        <v>-964</v>
      </c>
      <c r="D33" s="1">
        <v>522</v>
      </c>
      <c r="E33" s="1">
        <v>20969</v>
      </c>
      <c r="F33" s="1">
        <v>4555</v>
      </c>
      <c r="G33" s="1">
        <v>-892</v>
      </c>
      <c r="H33" s="1">
        <v>6568</v>
      </c>
      <c r="I33" s="1">
        <v>7293</v>
      </c>
      <c r="J33" s="1">
        <v>1428</v>
      </c>
      <c r="K33" s="1">
        <v>1654</v>
      </c>
      <c r="L33" s="1">
        <v>281</v>
      </c>
      <c r="M33" s="1">
        <v>264</v>
      </c>
      <c r="N33" s="1">
        <v>255</v>
      </c>
      <c r="O33" s="1">
        <v>675</v>
      </c>
      <c r="P33" s="1">
        <v>125</v>
      </c>
      <c r="Q33" s="1">
        <v>-3643</v>
      </c>
      <c r="R33" s="1">
        <v>166</v>
      </c>
      <c r="S33" s="1">
        <v>-447</v>
      </c>
      <c r="T33" s="1">
        <v>1010</v>
      </c>
      <c r="U33" s="1">
        <v>845</v>
      </c>
      <c r="V33" s="1">
        <v>-171</v>
      </c>
      <c r="W33" s="1">
        <v>11</v>
      </c>
      <c r="X33" s="1">
        <v>-9</v>
      </c>
      <c r="Y33" s="1">
        <v>-130</v>
      </c>
      <c r="Z33" s="1">
        <v>28965</v>
      </c>
      <c r="AA33" s="1">
        <v>15234</v>
      </c>
      <c r="AB33" s="1">
        <v>7686</v>
      </c>
      <c r="AC33" s="1">
        <v>1699</v>
      </c>
      <c r="AD33" s="1">
        <v>10</v>
      </c>
      <c r="AE33" s="1">
        <v>541</v>
      </c>
    </row>
    <row r="34" spans="1:35" x14ac:dyDescent="0.25">
      <c r="A34" s="9">
        <f t="shared" si="1"/>
        <v>1913</v>
      </c>
      <c r="B34" s="1">
        <v>13917</v>
      </c>
      <c r="C34" s="1">
        <v>3194</v>
      </c>
      <c r="D34" s="1">
        <v>306</v>
      </c>
      <c r="E34" s="1">
        <v>24454</v>
      </c>
      <c r="F34" s="1">
        <v>43573</v>
      </c>
      <c r="G34" s="1">
        <v>5927</v>
      </c>
      <c r="H34" s="1">
        <v>6532</v>
      </c>
      <c r="I34" s="1">
        <v>7035</v>
      </c>
      <c r="J34" s="1">
        <v>2768</v>
      </c>
      <c r="K34" s="1">
        <v>2244</v>
      </c>
      <c r="L34" s="1">
        <v>936</v>
      </c>
      <c r="M34" s="1">
        <v>941</v>
      </c>
      <c r="N34" s="1">
        <v>1258</v>
      </c>
      <c r="O34" s="1">
        <v>1699</v>
      </c>
      <c r="P34" s="1">
        <v>383</v>
      </c>
      <c r="Q34" s="1">
        <v>1792</v>
      </c>
      <c r="R34" s="1">
        <v>214</v>
      </c>
      <c r="S34" s="1">
        <v>263</v>
      </c>
      <c r="T34" s="1">
        <v>1330</v>
      </c>
      <c r="U34" s="1">
        <v>478</v>
      </c>
      <c r="V34" s="1">
        <v>17</v>
      </c>
      <c r="W34" s="1">
        <v>116</v>
      </c>
      <c r="X34" s="1">
        <v>45</v>
      </c>
      <c r="Y34" s="1">
        <v>250</v>
      </c>
      <c r="Z34" s="1">
        <v>36352</v>
      </c>
      <c r="AA34" s="1">
        <v>13152</v>
      </c>
      <c r="AB34" s="1">
        <v>16316</v>
      </c>
      <c r="AC34" s="1">
        <v>814</v>
      </c>
      <c r="AD34" s="1">
        <v>137</v>
      </c>
      <c r="AE34" s="1">
        <v>-239</v>
      </c>
    </row>
    <row r="35" spans="1:35" x14ac:dyDescent="0.25">
      <c r="A35" s="9">
        <f t="shared" si="1"/>
        <v>1914</v>
      </c>
      <c r="B35" s="1">
        <v>773</v>
      </c>
      <c r="C35" s="1">
        <v>4733</v>
      </c>
      <c r="D35" s="1">
        <v>427</v>
      </c>
      <c r="E35" s="1">
        <v>17764</v>
      </c>
      <c r="F35" s="1">
        <v>4132</v>
      </c>
      <c r="G35" s="1">
        <v>957</v>
      </c>
      <c r="H35" s="1">
        <v>-323</v>
      </c>
      <c r="I35" s="1">
        <v>6049</v>
      </c>
      <c r="J35" s="1">
        <v>-1098</v>
      </c>
      <c r="K35" s="1">
        <v>-28</v>
      </c>
      <c r="L35" s="1">
        <v>889</v>
      </c>
      <c r="M35" s="1">
        <v>-273</v>
      </c>
      <c r="N35" s="1">
        <v>423</v>
      </c>
      <c r="O35" s="1">
        <v>694</v>
      </c>
      <c r="P35" s="1">
        <v>-331</v>
      </c>
      <c r="Q35" s="1">
        <v>1577</v>
      </c>
      <c r="R35" s="1">
        <v>-3</v>
      </c>
      <c r="S35" s="1">
        <v>865</v>
      </c>
      <c r="T35" s="1">
        <v>557</v>
      </c>
      <c r="U35" s="1">
        <v>12</v>
      </c>
      <c r="V35" s="1">
        <v>-14</v>
      </c>
      <c r="W35" s="1">
        <v>43</v>
      </c>
      <c r="X35" s="1">
        <v>7</v>
      </c>
      <c r="Y35" s="1">
        <v>45</v>
      </c>
      <c r="Z35" s="1">
        <v>32894</v>
      </c>
      <c r="AA35" s="1">
        <v>19052</v>
      </c>
      <c r="AB35" s="1">
        <v>10755</v>
      </c>
      <c r="AC35" s="1">
        <v>300</v>
      </c>
      <c r="AD35" s="1">
        <v>34</v>
      </c>
      <c r="AE35" s="1">
        <v>-1287</v>
      </c>
    </row>
    <row r="36" spans="1:35" x14ac:dyDescent="0.25">
      <c r="A36" s="9">
        <f t="shared" si="1"/>
        <v>1915</v>
      </c>
      <c r="B36" s="1">
        <v>0</v>
      </c>
      <c r="C36" s="1">
        <v>0</v>
      </c>
      <c r="D36" s="1">
        <v>152</v>
      </c>
      <c r="E36" s="1">
        <v>11648</v>
      </c>
      <c r="F36" s="1">
        <v>9949</v>
      </c>
      <c r="G36" s="1">
        <v>874</v>
      </c>
      <c r="H36" s="1">
        <v>-7327</v>
      </c>
      <c r="I36" s="1">
        <v>-1094</v>
      </c>
      <c r="J36" s="1">
        <v>-138</v>
      </c>
      <c r="K36" s="1">
        <v>-88</v>
      </c>
      <c r="L36" s="1">
        <v>43</v>
      </c>
      <c r="M36" s="1">
        <v>48</v>
      </c>
      <c r="N36" s="1">
        <v>96</v>
      </c>
      <c r="O36" s="1">
        <v>-4</v>
      </c>
      <c r="P36" s="1">
        <v>-24</v>
      </c>
      <c r="Q36" s="1">
        <v>859</v>
      </c>
      <c r="R36" s="1">
        <v>-182</v>
      </c>
      <c r="S36" s="1">
        <v>-442</v>
      </c>
      <c r="T36" s="1">
        <v>23</v>
      </c>
      <c r="U36" s="1">
        <v>67</v>
      </c>
      <c r="V36" s="1">
        <v>34</v>
      </c>
      <c r="W36" s="1">
        <v>10</v>
      </c>
      <c r="X36" s="1">
        <v>-1</v>
      </c>
      <c r="Y36" s="1">
        <v>33</v>
      </c>
      <c r="Z36" s="1">
        <v>8849</v>
      </c>
      <c r="AA36" s="1">
        <v>26337</v>
      </c>
      <c r="AB36" s="1">
        <v>464</v>
      </c>
      <c r="AC36" s="1">
        <v>1509</v>
      </c>
      <c r="AD36" s="1">
        <v>79</v>
      </c>
      <c r="AE36" s="1">
        <v>-2496</v>
      </c>
    </row>
    <row r="38" spans="1:35" x14ac:dyDescent="0.25">
      <c r="A38" s="8" t="s">
        <v>47</v>
      </c>
      <c r="P38" s="1"/>
    </row>
    <row r="39" spans="1:35" x14ac:dyDescent="0.25">
      <c r="A39" s="21" t="s">
        <v>65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P39" s="1"/>
    </row>
    <row r="41" spans="1:35" x14ac:dyDescent="0.25">
      <c r="A41" t="s">
        <v>52</v>
      </c>
    </row>
    <row r="43" spans="1:35" x14ac:dyDescent="0.25">
      <c r="A43" t="s">
        <v>48</v>
      </c>
    </row>
    <row r="44" spans="1:35" x14ac:dyDescent="0.25">
      <c r="A44" t="s">
        <v>49</v>
      </c>
    </row>
    <row r="46" spans="1:35" x14ac:dyDescent="0.25">
      <c r="B46" s="8" t="s">
        <v>41</v>
      </c>
      <c r="C46" s="8" t="s">
        <v>40</v>
      </c>
      <c r="D46" s="8" t="s">
        <v>42</v>
      </c>
      <c r="E46" s="8" t="s">
        <v>43</v>
      </c>
      <c r="F46" s="8" t="s">
        <v>44</v>
      </c>
      <c r="G46" s="8" t="s">
        <v>46</v>
      </c>
      <c r="H46" s="8" t="s">
        <v>7</v>
      </c>
      <c r="I46" s="8" t="s">
        <v>8</v>
      </c>
      <c r="J46" s="8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 t="s">
        <v>26</v>
      </c>
      <c r="P46" s="8" t="s">
        <v>27</v>
      </c>
      <c r="Q46" s="8" t="s">
        <v>28</v>
      </c>
      <c r="R46" s="8" t="s">
        <v>9</v>
      </c>
      <c r="S46" s="8" t="s">
        <v>29</v>
      </c>
      <c r="T46" s="8" t="s">
        <v>30</v>
      </c>
      <c r="U46" s="8" t="s">
        <v>31</v>
      </c>
      <c r="V46" s="8" t="s">
        <v>32</v>
      </c>
      <c r="W46" s="8" t="s">
        <v>33</v>
      </c>
      <c r="X46" s="8" t="s">
        <v>34</v>
      </c>
      <c r="Y46" s="8" t="s">
        <v>35</v>
      </c>
      <c r="Z46" s="8" t="s">
        <v>12</v>
      </c>
      <c r="AA46" s="8" t="s">
        <v>10</v>
      </c>
      <c r="AB46" s="8" t="s">
        <v>36</v>
      </c>
      <c r="AC46" s="8" t="s">
        <v>37</v>
      </c>
      <c r="AD46" s="8" t="s">
        <v>53</v>
      </c>
      <c r="AE46" s="8" t="s">
        <v>45</v>
      </c>
      <c r="AG46" s="8" t="s">
        <v>62</v>
      </c>
      <c r="AH46" s="8" t="s">
        <v>63</v>
      </c>
      <c r="AI46" s="8" t="s">
        <v>64</v>
      </c>
    </row>
    <row r="47" spans="1:35" x14ac:dyDescent="0.25">
      <c r="A47" s="9" t="s">
        <v>50</v>
      </c>
      <c r="B47" s="1">
        <f t="shared" ref="B47:AE47" si="2">SUM(B2:B16)</f>
        <v>289250</v>
      </c>
      <c r="C47" s="1">
        <f t="shared" si="2"/>
        <v>71263</v>
      </c>
      <c r="D47" s="1">
        <f t="shared" si="2"/>
        <v>5980</v>
      </c>
      <c r="E47" s="1">
        <f t="shared" si="2"/>
        <v>0</v>
      </c>
      <c r="F47" s="1">
        <f t="shared" si="2"/>
        <v>2099</v>
      </c>
      <c r="G47" s="1">
        <f t="shared" si="2"/>
        <v>-4</v>
      </c>
      <c r="H47" s="1">
        <f t="shared" si="2"/>
        <v>98483</v>
      </c>
      <c r="I47" s="1">
        <f t="shared" si="2"/>
        <v>270548</v>
      </c>
      <c r="J47" s="1">
        <f t="shared" si="2"/>
        <v>1194</v>
      </c>
      <c r="K47" s="1">
        <f t="shared" si="2"/>
        <v>7593</v>
      </c>
      <c r="L47" s="1">
        <f t="shared" si="2"/>
        <v>4360</v>
      </c>
      <c r="M47" s="1">
        <f t="shared" si="2"/>
        <v>93</v>
      </c>
      <c r="N47" s="1">
        <f t="shared" si="2"/>
        <v>407</v>
      </c>
      <c r="O47" s="1">
        <f t="shared" si="2"/>
        <v>-47</v>
      </c>
      <c r="P47" s="1">
        <f t="shared" si="2"/>
        <v>6276</v>
      </c>
      <c r="Q47" s="1">
        <f t="shared" si="2"/>
        <v>573</v>
      </c>
      <c r="R47" s="1">
        <f t="shared" si="2"/>
        <v>1510</v>
      </c>
      <c r="S47" s="1">
        <f t="shared" si="2"/>
        <v>5131</v>
      </c>
      <c r="T47" s="1">
        <f t="shared" si="2"/>
        <v>477</v>
      </c>
      <c r="U47" s="1">
        <f t="shared" si="2"/>
        <v>2396</v>
      </c>
      <c r="V47" s="1">
        <f t="shared" si="2"/>
        <v>197</v>
      </c>
      <c r="W47" s="1">
        <f t="shared" si="2"/>
        <v>90</v>
      </c>
      <c r="X47" s="1">
        <f t="shared" si="2"/>
        <v>7</v>
      </c>
      <c r="Y47" s="1">
        <f t="shared" si="2"/>
        <v>205</v>
      </c>
      <c r="Z47" s="1">
        <f t="shared" si="2"/>
        <v>137996</v>
      </c>
      <c r="AA47" s="1">
        <f t="shared" si="2"/>
        <v>296</v>
      </c>
      <c r="AB47" s="1">
        <f t="shared" si="2"/>
        <v>48840</v>
      </c>
      <c r="AC47" s="1">
        <f t="shared" si="2"/>
        <v>50</v>
      </c>
      <c r="AD47" s="1">
        <f t="shared" si="2"/>
        <v>-1825</v>
      </c>
      <c r="AE47" s="1">
        <f t="shared" si="2"/>
        <v>7529</v>
      </c>
      <c r="AG47" s="1">
        <f>SUM(B47:AE47)</f>
        <v>960967</v>
      </c>
      <c r="AH47" s="1">
        <f>SUM(H47:AE47)</f>
        <v>592379</v>
      </c>
      <c r="AI47" s="1">
        <f>SUM(B47:G47)</f>
        <v>368588</v>
      </c>
    </row>
    <row r="48" spans="1:35" x14ac:dyDescent="0.25">
      <c r="A48" s="9" t="s">
        <v>4</v>
      </c>
      <c r="B48" s="1">
        <f t="shared" ref="B48:AE48" si="3">SUM(B17:B36)</f>
        <v>319431</v>
      </c>
      <c r="C48" s="1">
        <f t="shared" si="3"/>
        <v>-11878</v>
      </c>
      <c r="D48" s="1">
        <f t="shared" si="3"/>
        <v>6966</v>
      </c>
      <c r="E48" s="1">
        <f t="shared" si="3"/>
        <v>151250</v>
      </c>
      <c r="F48" s="1">
        <f t="shared" si="3"/>
        <v>87411</v>
      </c>
      <c r="G48" s="1">
        <f t="shared" si="3"/>
        <v>11124</v>
      </c>
      <c r="H48" s="1">
        <f t="shared" si="3"/>
        <v>64633</v>
      </c>
      <c r="I48" s="1">
        <f t="shared" si="3"/>
        <v>88815</v>
      </c>
      <c r="J48" s="1">
        <f t="shared" si="3"/>
        <v>12542</v>
      </c>
      <c r="K48" s="1">
        <f t="shared" si="3"/>
        <v>20477</v>
      </c>
      <c r="L48" s="1">
        <f t="shared" si="3"/>
        <v>8006</v>
      </c>
      <c r="M48" s="1">
        <f t="shared" si="3"/>
        <v>3063</v>
      </c>
      <c r="N48" s="1">
        <f t="shared" si="3"/>
        <v>10431</v>
      </c>
      <c r="O48" s="1">
        <f t="shared" si="3"/>
        <v>5897</v>
      </c>
      <c r="P48" s="1">
        <f t="shared" si="3"/>
        <v>4068</v>
      </c>
      <c r="Q48" s="1">
        <f t="shared" si="3"/>
        <v>9020</v>
      </c>
      <c r="R48" s="1">
        <f t="shared" si="3"/>
        <v>4862</v>
      </c>
      <c r="S48" s="1">
        <f t="shared" si="3"/>
        <v>5622</v>
      </c>
      <c r="T48" s="1">
        <f t="shared" si="3"/>
        <v>6426</v>
      </c>
      <c r="U48" s="1">
        <f t="shared" si="3"/>
        <v>7787</v>
      </c>
      <c r="V48" s="1">
        <f t="shared" si="3"/>
        <v>542</v>
      </c>
      <c r="W48" s="1">
        <f t="shared" si="3"/>
        <v>1009</v>
      </c>
      <c r="X48" s="1">
        <f t="shared" si="3"/>
        <v>78</v>
      </c>
      <c r="Y48" s="1">
        <f t="shared" si="3"/>
        <v>309</v>
      </c>
      <c r="Z48" s="1">
        <f t="shared" si="3"/>
        <v>363961</v>
      </c>
      <c r="AA48" s="1">
        <f t="shared" si="3"/>
        <v>202921</v>
      </c>
      <c r="AB48" s="1">
        <f t="shared" si="3"/>
        <v>205805</v>
      </c>
      <c r="AC48" s="1">
        <f t="shared" si="3"/>
        <v>16981</v>
      </c>
      <c r="AD48" s="1">
        <f t="shared" si="3"/>
        <v>-5491</v>
      </c>
      <c r="AE48" s="1">
        <f t="shared" si="3"/>
        <v>19956</v>
      </c>
      <c r="AG48" s="1">
        <f>SUM(B48:AE48)</f>
        <v>1622024</v>
      </c>
      <c r="AH48" s="1">
        <f>SUM(H48:AE48)</f>
        <v>1057720</v>
      </c>
      <c r="AI48" s="1">
        <f>SUM(B48:G48)</f>
        <v>564304</v>
      </c>
    </row>
    <row r="49" spans="1:35" x14ac:dyDescent="0.25">
      <c r="A49" s="9" t="s">
        <v>51</v>
      </c>
      <c r="B49" s="1">
        <f>B48+B47</f>
        <v>608681</v>
      </c>
      <c r="C49" s="1">
        <f t="shared" ref="C49:AE49" si="4">C48+C47</f>
        <v>59385</v>
      </c>
      <c r="D49" s="1">
        <f t="shared" si="4"/>
        <v>12946</v>
      </c>
      <c r="E49" s="1">
        <f t="shared" si="4"/>
        <v>151250</v>
      </c>
      <c r="F49" s="1">
        <f t="shared" si="4"/>
        <v>89510</v>
      </c>
      <c r="G49" s="1">
        <f t="shared" si="4"/>
        <v>11120</v>
      </c>
      <c r="H49" s="1">
        <f t="shared" si="4"/>
        <v>163116</v>
      </c>
      <c r="I49" s="1">
        <f t="shared" si="4"/>
        <v>359363</v>
      </c>
      <c r="J49" s="1">
        <f t="shared" si="4"/>
        <v>13736</v>
      </c>
      <c r="K49" s="1">
        <f t="shared" si="4"/>
        <v>28070</v>
      </c>
      <c r="L49" s="1">
        <f t="shared" si="4"/>
        <v>12366</v>
      </c>
      <c r="M49" s="1">
        <f t="shared" si="4"/>
        <v>3156</v>
      </c>
      <c r="N49" s="1">
        <f t="shared" si="4"/>
        <v>10838</v>
      </c>
      <c r="O49" s="1">
        <f t="shared" si="4"/>
        <v>5850</v>
      </c>
      <c r="P49" s="1">
        <f t="shared" si="4"/>
        <v>10344</v>
      </c>
      <c r="Q49" s="1">
        <f t="shared" si="4"/>
        <v>9593</v>
      </c>
      <c r="R49" s="1">
        <f t="shared" si="4"/>
        <v>6372</v>
      </c>
      <c r="S49" s="1">
        <f t="shared" si="4"/>
        <v>10753</v>
      </c>
      <c r="T49" s="1">
        <f t="shared" si="4"/>
        <v>6903</v>
      </c>
      <c r="U49" s="1">
        <f t="shared" si="4"/>
        <v>10183</v>
      </c>
      <c r="V49" s="1">
        <f t="shared" si="4"/>
        <v>739</v>
      </c>
      <c r="W49" s="1">
        <f t="shared" si="4"/>
        <v>1099</v>
      </c>
      <c r="X49" s="1">
        <f t="shared" si="4"/>
        <v>85</v>
      </c>
      <c r="Y49" s="1">
        <f t="shared" si="4"/>
        <v>514</v>
      </c>
      <c r="Z49" s="1">
        <f t="shared" si="4"/>
        <v>501957</v>
      </c>
      <c r="AA49" s="1">
        <f t="shared" si="4"/>
        <v>203217</v>
      </c>
      <c r="AB49" s="1">
        <f t="shared" si="4"/>
        <v>254645</v>
      </c>
      <c r="AC49" s="1">
        <f t="shared" si="4"/>
        <v>17031</v>
      </c>
      <c r="AD49" s="1">
        <f t="shared" si="4"/>
        <v>-7316</v>
      </c>
      <c r="AE49" s="1">
        <f t="shared" si="4"/>
        <v>27485</v>
      </c>
      <c r="AG49" s="1">
        <f>SUM(B49:AE49)</f>
        <v>2582991</v>
      </c>
      <c r="AH49" s="1">
        <f>SUM(H49:AE49)</f>
        <v>1650099</v>
      </c>
      <c r="AI49" s="1">
        <f>SUM(B49:G49)</f>
        <v>932892</v>
      </c>
    </row>
    <row r="50" spans="1:35" x14ac:dyDescent="0.25">
      <c r="A50" s="9"/>
    </row>
    <row r="51" spans="1:35" x14ac:dyDescent="0.25">
      <c r="A51" s="9" t="s">
        <v>50</v>
      </c>
      <c r="H51" s="1">
        <f>H47+B47</f>
        <v>387733</v>
      </c>
      <c r="I51" s="1">
        <f>I47+C47</f>
        <v>341811</v>
      </c>
      <c r="J51" s="1">
        <f t="shared" ref="J51:AD53" si="5">J47</f>
        <v>1194</v>
      </c>
      <c r="K51" s="1">
        <f t="shared" si="5"/>
        <v>7593</v>
      </c>
      <c r="L51" s="1">
        <f t="shared" si="5"/>
        <v>4360</v>
      </c>
      <c r="M51" s="1">
        <f t="shared" si="5"/>
        <v>93</v>
      </c>
      <c r="N51" s="1">
        <f t="shared" si="5"/>
        <v>407</v>
      </c>
      <c r="O51" s="1">
        <f t="shared" si="5"/>
        <v>-47</v>
      </c>
      <c r="P51" s="1">
        <f t="shared" si="5"/>
        <v>6276</v>
      </c>
      <c r="Q51" s="1">
        <f t="shared" si="5"/>
        <v>573</v>
      </c>
      <c r="R51" s="1">
        <f>R47+D47</f>
        <v>7490</v>
      </c>
      <c r="S51" s="1">
        <f t="shared" si="5"/>
        <v>5131</v>
      </c>
      <c r="T51" s="1">
        <f t="shared" si="5"/>
        <v>477</v>
      </c>
      <c r="U51" s="1">
        <f t="shared" si="5"/>
        <v>2396</v>
      </c>
      <c r="V51" s="1">
        <f t="shared" si="5"/>
        <v>197</v>
      </c>
      <c r="W51" s="1">
        <f t="shared" si="5"/>
        <v>90</v>
      </c>
      <c r="X51" s="1">
        <f t="shared" si="5"/>
        <v>7</v>
      </c>
      <c r="Y51" s="1">
        <f t="shared" si="5"/>
        <v>205</v>
      </c>
      <c r="Z51" s="1">
        <f>Z47+E47</f>
        <v>137996</v>
      </c>
      <c r="AA51" s="1">
        <f>AA47+F47</f>
        <v>2395</v>
      </c>
      <c r="AB51" s="1">
        <f t="shared" si="5"/>
        <v>48840</v>
      </c>
      <c r="AC51" s="1">
        <f t="shared" si="5"/>
        <v>50</v>
      </c>
      <c r="AD51" s="1">
        <f t="shared" si="5"/>
        <v>-1825</v>
      </c>
      <c r="AE51" s="1">
        <f>AE47+G47</f>
        <v>7525</v>
      </c>
      <c r="AG51" s="1">
        <f>SUM(B51:AE51)</f>
        <v>960967</v>
      </c>
    </row>
    <row r="52" spans="1:35" x14ac:dyDescent="0.25">
      <c r="A52" s="9" t="s">
        <v>4</v>
      </c>
      <c r="H52" s="1">
        <f t="shared" ref="H52:I53" si="6">H48+B48</f>
        <v>384064</v>
      </c>
      <c r="I52" s="1">
        <f t="shared" si="6"/>
        <v>76937</v>
      </c>
      <c r="J52" s="1">
        <f t="shared" ref="J52:W52" si="7">J48</f>
        <v>12542</v>
      </c>
      <c r="K52" s="1">
        <f t="shared" si="7"/>
        <v>20477</v>
      </c>
      <c r="L52" s="1">
        <f t="shared" si="7"/>
        <v>8006</v>
      </c>
      <c r="M52" s="1">
        <f t="shared" si="7"/>
        <v>3063</v>
      </c>
      <c r="N52" s="1">
        <f t="shared" si="7"/>
        <v>10431</v>
      </c>
      <c r="O52" s="1">
        <f t="shared" si="7"/>
        <v>5897</v>
      </c>
      <c r="P52" s="1">
        <f t="shared" si="7"/>
        <v>4068</v>
      </c>
      <c r="Q52" s="1">
        <f t="shared" si="7"/>
        <v>9020</v>
      </c>
      <c r="R52" s="1">
        <f t="shared" ref="R52:R53" si="8">R48+D48</f>
        <v>11828</v>
      </c>
      <c r="S52" s="1">
        <f t="shared" si="7"/>
        <v>5622</v>
      </c>
      <c r="T52" s="1">
        <f t="shared" si="7"/>
        <v>6426</v>
      </c>
      <c r="U52" s="1">
        <f t="shared" si="7"/>
        <v>7787</v>
      </c>
      <c r="V52" s="1">
        <f t="shared" si="7"/>
        <v>542</v>
      </c>
      <c r="W52" s="1">
        <f t="shared" si="7"/>
        <v>1009</v>
      </c>
      <c r="X52" s="1">
        <f t="shared" si="5"/>
        <v>78</v>
      </c>
      <c r="Y52" s="1">
        <f t="shared" si="5"/>
        <v>309</v>
      </c>
      <c r="Z52" s="1">
        <f t="shared" ref="Z52:Z53" si="9">Z48+E48</f>
        <v>515211</v>
      </c>
      <c r="AA52" s="1">
        <f t="shared" ref="AA52:AA53" si="10">AA48+F48</f>
        <v>290332</v>
      </c>
      <c r="AB52" s="1">
        <f t="shared" si="5"/>
        <v>205805</v>
      </c>
      <c r="AC52" s="1">
        <f t="shared" si="5"/>
        <v>16981</v>
      </c>
      <c r="AD52" s="1">
        <f t="shared" si="5"/>
        <v>-5491</v>
      </c>
      <c r="AE52" s="1">
        <f t="shared" ref="AE52:AE53" si="11">AE48+G48</f>
        <v>31080</v>
      </c>
      <c r="AG52" s="1">
        <f>SUM(B52:AE52)</f>
        <v>1622024</v>
      </c>
    </row>
    <row r="53" spans="1:35" x14ac:dyDescent="0.25">
      <c r="A53" s="9" t="s">
        <v>51</v>
      </c>
      <c r="H53" s="1">
        <f t="shared" si="6"/>
        <v>771797</v>
      </c>
      <c r="I53" s="1">
        <f t="shared" si="6"/>
        <v>418748</v>
      </c>
      <c r="J53" s="1">
        <f t="shared" si="5"/>
        <v>13736</v>
      </c>
      <c r="K53" s="1">
        <f t="shared" si="5"/>
        <v>28070</v>
      </c>
      <c r="L53" s="1">
        <f t="shared" si="5"/>
        <v>12366</v>
      </c>
      <c r="M53" s="1">
        <f t="shared" si="5"/>
        <v>3156</v>
      </c>
      <c r="N53" s="1">
        <f t="shared" si="5"/>
        <v>10838</v>
      </c>
      <c r="O53" s="1">
        <f t="shared" si="5"/>
        <v>5850</v>
      </c>
      <c r="P53" s="1">
        <f t="shared" si="5"/>
        <v>10344</v>
      </c>
      <c r="Q53" s="1">
        <f t="shared" si="5"/>
        <v>9593</v>
      </c>
      <c r="R53" s="1">
        <f t="shared" si="8"/>
        <v>19318</v>
      </c>
      <c r="S53" s="1">
        <f t="shared" si="5"/>
        <v>10753</v>
      </c>
      <c r="T53" s="1">
        <f t="shared" si="5"/>
        <v>6903</v>
      </c>
      <c r="U53" s="1">
        <f t="shared" si="5"/>
        <v>10183</v>
      </c>
      <c r="V53" s="1">
        <f t="shared" si="5"/>
        <v>739</v>
      </c>
      <c r="W53" s="1">
        <f t="shared" si="5"/>
        <v>1099</v>
      </c>
      <c r="X53" s="1">
        <f t="shared" si="5"/>
        <v>85</v>
      </c>
      <c r="Y53" s="1">
        <f t="shared" si="5"/>
        <v>514</v>
      </c>
      <c r="Z53" s="1">
        <f t="shared" si="9"/>
        <v>653207</v>
      </c>
      <c r="AA53" s="1">
        <f t="shared" si="10"/>
        <v>292727</v>
      </c>
      <c r="AB53" s="1">
        <f t="shared" si="5"/>
        <v>254645</v>
      </c>
      <c r="AC53" s="1">
        <f t="shared" si="5"/>
        <v>17031</v>
      </c>
      <c r="AD53" s="1">
        <f t="shared" si="5"/>
        <v>-7316</v>
      </c>
      <c r="AE53" s="1">
        <f t="shared" si="11"/>
        <v>38605</v>
      </c>
      <c r="AG53" s="1">
        <f>SUM(B53:AE53)</f>
        <v>2582991</v>
      </c>
    </row>
    <row r="55" spans="1:35" x14ac:dyDescent="0.25">
      <c r="A55" s="9">
        <v>1881</v>
      </c>
      <c r="B55" s="1"/>
      <c r="H55" s="1">
        <f t="shared" ref="H55:H89" si="12">H2+B2</f>
        <v>54846</v>
      </c>
      <c r="I55" s="1">
        <f t="shared" ref="I55:I89" si="13">I2+C2</f>
        <v>21252</v>
      </c>
      <c r="J55" s="1">
        <f t="shared" ref="J55:Q64" si="14">J2</f>
        <v>-366</v>
      </c>
      <c r="K55" s="1">
        <f t="shared" si="14"/>
        <v>-294</v>
      </c>
      <c r="L55" s="1">
        <f t="shared" si="14"/>
        <v>7</v>
      </c>
      <c r="M55" s="1">
        <f t="shared" si="14"/>
        <v>-159</v>
      </c>
      <c r="N55" s="1">
        <f t="shared" si="14"/>
        <v>-3</v>
      </c>
      <c r="O55" s="1">
        <f t="shared" si="14"/>
        <v>-55</v>
      </c>
      <c r="P55" s="1">
        <f t="shared" si="14"/>
        <v>58</v>
      </c>
      <c r="Q55" s="1">
        <f t="shared" si="14"/>
        <v>-76</v>
      </c>
      <c r="R55" s="1">
        <f t="shared" ref="R55:R89" si="15">R2+D2</f>
        <v>1011</v>
      </c>
      <c r="S55" s="1">
        <f t="shared" ref="S55:Y64" si="16">S2</f>
        <v>598</v>
      </c>
      <c r="T55" s="1">
        <f t="shared" si="16"/>
        <v>-18</v>
      </c>
      <c r="U55" s="1">
        <f t="shared" si="16"/>
        <v>122</v>
      </c>
      <c r="V55" s="1">
        <f t="shared" si="16"/>
        <v>-27</v>
      </c>
      <c r="W55" s="1">
        <f t="shared" si="16"/>
        <v>6</v>
      </c>
      <c r="X55" s="1">
        <f t="shared" si="16"/>
        <v>-2</v>
      </c>
      <c r="Y55" s="1">
        <f t="shared" si="16"/>
        <v>26</v>
      </c>
      <c r="Z55" s="1">
        <f t="shared" ref="Z55:Z89" si="17">Z2+E2</f>
        <v>-942</v>
      </c>
      <c r="AA55" s="1">
        <f t="shared" ref="AA55:AA89" si="18">AA2+F2</f>
        <v>2104</v>
      </c>
      <c r="AB55" s="1">
        <f t="shared" ref="AB55:AD70" si="19">AB2</f>
        <v>890</v>
      </c>
      <c r="AC55" s="1">
        <f t="shared" si="19"/>
        <v>-2</v>
      </c>
      <c r="AD55" s="1">
        <f t="shared" si="19"/>
        <v>20</v>
      </c>
      <c r="AE55" s="1">
        <f t="shared" ref="AE55:AE89" si="20">AE2+G2</f>
        <v>17</v>
      </c>
      <c r="AG55" s="1">
        <f>SUM(H55:AE55)</f>
        <v>79013</v>
      </c>
    </row>
    <row r="56" spans="1:35" x14ac:dyDescent="0.25">
      <c r="A56" s="9">
        <v>1882</v>
      </c>
      <c r="B56" s="1"/>
      <c r="H56" s="1">
        <f t="shared" si="12"/>
        <v>50504</v>
      </c>
      <c r="I56" s="1">
        <f t="shared" si="13"/>
        <v>41842</v>
      </c>
      <c r="J56" s="1">
        <f t="shared" si="14"/>
        <v>-493</v>
      </c>
      <c r="K56" s="1">
        <f t="shared" si="14"/>
        <v>599</v>
      </c>
      <c r="L56" s="1">
        <f t="shared" si="14"/>
        <v>-11</v>
      </c>
      <c r="M56" s="1">
        <f t="shared" si="14"/>
        <v>-781</v>
      </c>
      <c r="N56" s="1">
        <f t="shared" si="14"/>
        <v>79</v>
      </c>
      <c r="O56" s="1">
        <f t="shared" si="14"/>
        <v>-56</v>
      </c>
      <c r="P56" s="1">
        <f t="shared" si="14"/>
        <v>387</v>
      </c>
      <c r="Q56" s="1">
        <f t="shared" si="14"/>
        <v>-2</v>
      </c>
      <c r="R56" s="1">
        <f t="shared" si="15"/>
        <v>1428</v>
      </c>
      <c r="S56" s="1">
        <f t="shared" si="16"/>
        <v>419</v>
      </c>
      <c r="T56" s="1">
        <f t="shared" si="16"/>
        <v>-21</v>
      </c>
      <c r="U56" s="1">
        <f t="shared" si="16"/>
        <v>17</v>
      </c>
      <c r="V56" s="1">
        <f t="shared" si="16"/>
        <v>5</v>
      </c>
      <c r="W56" s="1">
        <f t="shared" si="16"/>
        <v>4</v>
      </c>
      <c r="X56" s="1">
        <f t="shared" si="16"/>
        <v>-2</v>
      </c>
      <c r="Y56" s="1">
        <f t="shared" si="16"/>
        <v>-3</v>
      </c>
      <c r="Z56" s="1">
        <f t="shared" si="17"/>
        <v>7068</v>
      </c>
      <c r="AA56" s="1">
        <f t="shared" si="18"/>
        <v>10</v>
      </c>
      <c r="AB56" s="1">
        <f t="shared" si="19"/>
        <v>3081</v>
      </c>
      <c r="AC56" s="1">
        <f t="shared" si="19"/>
        <v>35</v>
      </c>
      <c r="AD56" s="1">
        <f t="shared" si="19"/>
        <v>2</v>
      </c>
      <c r="AE56" s="1">
        <f t="shared" si="20"/>
        <v>67</v>
      </c>
      <c r="AG56" s="1">
        <f t="shared" ref="AG56:AG89" si="21">SUM(H56:AE56)</f>
        <v>104178</v>
      </c>
    </row>
    <row r="57" spans="1:35" x14ac:dyDescent="0.25">
      <c r="A57" s="9">
        <v>1883</v>
      </c>
      <c r="B57" s="1"/>
      <c r="H57" s="1">
        <f t="shared" si="12"/>
        <v>30582</v>
      </c>
      <c r="I57" s="1">
        <f t="shared" si="13"/>
        <v>35166</v>
      </c>
      <c r="J57" s="1">
        <f t="shared" si="14"/>
        <v>1223</v>
      </c>
      <c r="K57" s="1">
        <f t="shared" si="14"/>
        <v>154</v>
      </c>
      <c r="L57" s="1">
        <f t="shared" si="14"/>
        <v>88</v>
      </c>
      <c r="M57" s="1">
        <f t="shared" si="14"/>
        <v>93</v>
      </c>
      <c r="N57" s="1">
        <f t="shared" si="14"/>
        <v>-1</v>
      </c>
      <c r="O57" s="1">
        <f t="shared" si="14"/>
        <v>-6</v>
      </c>
      <c r="P57" s="1">
        <f t="shared" si="14"/>
        <v>34</v>
      </c>
      <c r="Q57" s="1">
        <f t="shared" si="14"/>
        <v>90</v>
      </c>
      <c r="R57" s="1">
        <f t="shared" si="15"/>
        <v>173</v>
      </c>
      <c r="S57" s="1">
        <f t="shared" si="16"/>
        <v>279</v>
      </c>
      <c r="T57" s="1">
        <f t="shared" si="16"/>
        <v>46</v>
      </c>
      <c r="U57" s="1">
        <f t="shared" si="16"/>
        <v>78</v>
      </c>
      <c r="V57" s="1">
        <f t="shared" si="16"/>
        <v>85</v>
      </c>
      <c r="W57" s="1">
        <f t="shared" si="16"/>
        <v>2</v>
      </c>
      <c r="X57" s="1">
        <f t="shared" si="16"/>
        <v>0</v>
      </c>
      <c r="Y57" s="1">
        <f t="shared" si="16"/>
        <v>10</v>
      </c>
      <c r="Z57" s="1">
        <f t="shared" si="17"/>
        <v>4546</v>
      </c>
      <c r="AA57" s="1">
        <f t="shared" si="18"/>
        <v>-3</v>
      </c>
      <c r="AB57" s="1">
        <f t="shared" si="19"/>
        <v>4826</v>
      </c>
      <c r="AC57" s="1">
        <f t="shared" si="19"/>
        <v>-6</v>
      </c>
      <c r="AD57" s="1">
        <f t="shared" si="19"/>
        <v>-7</v>
      </c>
      <c r="AE57" s="1">
        <f t="shared" si="20"/>
        <v>49</v>
      </c>
      <c r="AG57" s="1">
        <f t="shared" si="21"/>
        <v>77501</v>
      </c>
    </row>
    <row r="58" spans="1:35" x14ac:dyDescent="0.25">
      <c r="A58" s="9">
        <v>1884</v>
      </c>
      <c r="B58" s="1"/>
      <c r="H58" s="1">
        <f t="shared" si="12"/>
        <v>32918</v>
      </c>
      <c r="I58" s="1">
        <f t="shared" si="13"/>
        <v>37989</v>
      </c>
      <c r="J58" s="1">
        <f t="shared" si="14"/>
        <v>281</v>
      </c>
      <c r="K58" s="1">
        <f t="shared" si="14"/>
        <v>-371</v>
      </c>
      <c r="L58" s="1">
        <f t="shared" si="14"/>
        <v>59</v>
      </c>
      <c r="M58" s="1">
        <f t="shared" si="14"/>
        <v>29</v>
      </c>
      <c r="N58" s="1">
        <f t="shared" si="14"/>
        <v>45</v>
      </c>
      <c r="O58" s="1">
        <f t="shared" si="14"/>
        <v>12</v>
      </c>
      <c r="P58" s="1">
        <f t="shared" si="14"/>
        <v>102</v>
      </c>
      <c r="Q58" s="1">
        <f t="shared" si="14"/>
        <v>83</v>
      </c>
      <c r="R58" s="1">
        <f t="shared" si="15"/>
        <v>2443</v>
      </c>
      <c r="S58" s="1">
        <f t="shared" si="16"/>
        <v>298</v>
      </c>
      <c r="T58" s="1">
        <f t="shared" si="16"/>
        <v>67</v>
      </c>
      <c r="U58" s="1">
        <f t="shared" si="16"/>
        <v>-83</v>
      </c>
      <c r="V58" s="1">
        <f t="shared" si="16"/>
        <v>17</v>
      </c>
      <c r="W58" s="1">
        <f t="shared" si="16"/>
        <v>-24</v>
      </c>
      <c r="X58" s="1">
        <f t="shared" si="16"/>
        <v>9</v>
      </c>
      <c r="Y58" s="1">
        <f t="shared" si="16"/>
        <v>26</v>
      </c>
      <c r="Z58" s="1">
        <f t="shared" si="17"/>
        <v>6357</v>
      </c>
      <c r="AA58" s="1">
        <f t="shared" si="18"/>
        <v>-8</v>
      </c>
      <c r="AB58" s="1">
        <f t="shared" si="19"/>
        <v>2773</v>
      </c>
      <c r="AC58" s="1">
        <f t="shared" si="19"/>
        <v>-7</v>
      </c>
      <c r="AD58" s="1">
        <f t="shared" si="19"/>
        <v>-85</v>
      </c>
      <c r="AE58" s="1">
        <f t="shared" si="20"/>
        <v>105</v>
      </c>
      <c r="AG58" s="1">
        <f t="shared" si="21"/>
        <v>83035</v>
      </c>
    </row>
    <row r="59" spans="1:35" x14ac:dyDescent="0.25">
      <c r="A59" s="9">
        <v>1885</v>
      </c>
      <c r="B59" s="1"/>
      <c r="H59" s="1">
        <f t="shared" si="12"/>
        <v>65433</v>
      </c>
      <c r="I59" s="1">
        <f t="shared" si="13"/>
        <v>44759</v>
      </c>
      <c r="J59" s="1">
        <f t="shared" si="14"/>
        <v>2181</v>
      </c>
      <c r="K59" s="1">
        <f t="shared" si="14"/>
        <v>537</v>
      </c>
      <c r="L59" s="1">
        <f t="shared" si="14"/>
        <v>145</v>
      </c>
      <c r="M59" s="1">
        <f t="shared" si="14"/>
        <v>218</v>
      </c>
      <c r="N59" s="1">
        <f t="shared" si="14"/>
        <v>63</v>
      </c>
      <c r="O59" s="1">
        <f t="shared" si="14"/>
        <v>-43</v>
      </c>
      <c r="P59" s="1">
        <f t="shared" si="14"/>
        <v>-121</v>
      </c>
      <c r="Q59" s="1">
        <f t="shared" si="14"/>
        <v>-90</v>
      </c>
      <c r="R59" s="1">
        <f t="shared" si="15"/>
        <v>453</v>
      </c>
      <c r="S59" s="1">
        <f t="shared" si="16"/>
        <v>39</v>
      </c>
      <c r="T59" s="1">
        <f t="shared" si="16"/>
        <v>17</v>
      </c>
      <c r="U59" s="1">
        <f t="shared" si="16"/>
        <v>358</v>
      </c>
      <c r="V59" s="1">
        <f t="shared" si="16"/>
        <v>13</v>
      </c>
      <c r="W59" s="1">
        <f t="shared" si="16"/>
        <v>-19</v>
      </c>
      <c r="X59" s="1">
        <f t="shared" si="16"/>
        <v>-3</v>
      </c>
      <c r="Y59" s="1">
        <f t="shared" si="16"/>
        <v>31</v>
      </c>
      <c r="Z59" s="1">
        <f t="shared" si="17"/>
        <v>4602</v>
      </c>
      <c r="AA59" s="1">
        <f t="shared" si="18"/>
        <v>-20</v>
      </c>
      <c r="AB59" s="1">
        <f t="shared" si="19"/>
        <v>3934</v>
      </c>
      <c r="AC59" s="1">
        <f t="shared" si="19"/>
        <v>4</v>
      </c>
      <c r="AD59" s="1">
        <f t="shared" si="19"/>
        <v>-34</v>
      </c>
      <c r="AE59" s="1">
        <f t="shared" si="20"/>
        <v>64</v>
      </c>
      <c r="AG59" s="1">
        <f t="shared" si="21"/>
        <v>122521</v>
      </c>
    </row>
    <row r="60" spans="1:35" x14ac:dyDescent="0.25">
      <c r="A60" s="9">
        <v>1886</v>
      </c>
      <c r="B60" s="1"/>
      <c r="H60" s="1">
        <f t="shared" si="12"/>
        <v>55165</v>
      </c>
      <c r="I60" s="1">
        <f t="shared" si="13"/>
        <v>40607</v>
      </c>
      <c r="J60" s="1">
        <f t="shared" si="14"/>
        <v>285</v>
      </c>
      <c r="K60" s="1">
        <f t="shared" si="14"/>
        <v>229</v>
      </c>
      <c r="L60" s="1">
        <f t="shared" si="14"/>
        <v>414</v>
      </c>
      <c r="M60" s="1">
        <f t="shared" si="14"/>
        <v>223</v>
      </c>
      <c r="N60" s="1">
        <f t="shared" si="14"/>
        <v>-93</v>
      </c>
      <c r="O60" s="1">
        <f t="shared" si="14"/>
        <v>11</v>
      </c>
      <c r="P60" s="1">
        <f t="shared" si="14"/>
        <v>317</v>
      </c>
      <c r="Q60" s="1">
        <f t="shared" si="14"/>
        <v>-8</v>
      </c>
      <c r="R60" s="1">
        <f t="shared" si="15"/>
        <v>646</v>
      </c>
      <c r="S60" s="1">
        <f t="shared" si="16"/>
        <v>879</v>
      </c>
      <c r="T60" s="1">
        <f t="shared" si="16"/>
        <v>43</v>
      </c>
      <c r="U60" s="1">
        <f t="shared" si="16"/>
        <v>150</v>
      </c>
      <c r="V60" s="1">
        <f t="shared" si="16"/>
        <v>44</v>
      </c>
      <c r="W60" s="1">
        <f t="shared" si="16"/>
        <v>17</v>
      </c>
      <c r="X60" s="1">
        <f t="shared" si="16"/>
        <v>-6</v>
      </c>
      <c r="Y60" s="1">
        <f t="shared" si="16"/>
        <v>4</v>
      </c>
      <c r="Z60" s="1">
        <f t="shared" si="17"/>
        <v>14035</v>
      </c>
      <c r="AA60" s="1">
        <f t="shared" si="18"/>
        <v>-24</v>
      </c>
      <c r="AB60" s="1">
        <f t="shared" si="19"/>
        <v>3094</v>
      </c>
      <c r="AC60" s="1">
        <f t="shared" si="19"/>
        <v>-8</v>
      </c>
      <c r="AD60" s="1">
        <f t="shared" si="19"/>
        <v>17</v>
      </c>
      <c r="AE60" s="1">
        <f t="shared" si="20"/>
        <v>-309</v>
      </c>
      <c r="AG60" s="1">
        <f t="shared" si="21"/>
        <v>115732</v>
      </c>
    </row>
    <row r="61" spans="1:35" x14ac:dyDescent="0.25">
      <c r="A61" s="9">
        <v>1887</v>
      </c>
      <c r="B61" s="1"/>
      <c r="H61" s="1">
        <f t="shared" si="12"/>
        <v>40077</v>
      </c>
      <c r="I61" s="1">
        <f t="shared" si="13"/>
        <v>17654</v>
      </c>
      <c r="J61" s="1">
        <f t="shared" si="14"/>
        <v>-898</v>
      </c>
      <c r="K61" s="1">
        <f t="shared" si="14"/>
        <v>-429</v>
      </c>
      <c r="L61" s="1">
        <f t="shared" si="14"/>
        <v>-76</v>
      </c>
      <c r="M61" s="1">
        <f t="shared" si="14"/>
        <v>-294</v>
      </c>
      <c r="N61" s="1">
        <f t="shared" si="14"/>
        <v>-121</v>
      </c>
      <c r="O61" s="1">
        <f t="shared" si="14"/>
        <v>-27</v>
      </c>
      <c r="P61" s="1">
        <f t="shared" si="14"/>
        <v>93</v>
      </c>
      <c r="Q61" s="1">
        <f t="shared" si="14"/>
        <v>-6</v>
      </c>
      <c r="R61" s="1">
        <f t="shared" si="15"/>
        <v>125</v>
      </c>
      <c r="S61" s="1">
        <f t="shared" si="16"/>
        <v>312</v>
      </c>
      <c r="T61" s="1">
        <f t="shared" si="16"/>
        <v>-20</v>
      </c>
      <c r="U61" s="1">
        <f t="shared" si="16"/>
        <v>-37</v>
      </c>
      <c r="V61" s="1">
        <f t="shared" si="16"/>
        <v>13</v>
      </c>
      <c r="W61" s="1">
        <f t="shared" si="16"/>
        <v>-5</v>
      </c>
      <c r="X61" s="1">
        <f t="shared" si="16"/>
        <v>-17</v>
      </c>
      <c r="Y61" s="1">
        <f t="shared" si="16"/>
        <v>22</v>
      </c>
      <c r="Z61" s="1">
        <f t="shared" si="17"/>
        <v>8123</v>
      </c>
      <c r="AA61" s="1">
        <f t="shared" si="18"/>
        <v>-99</v>
      </c>
      <c r="AB61" s="1">
        <f t="shared" si="19"/>
        <v>2183</v>
      </c>
      <c r="AC61" s="1">
        <f t="shared" si="19"/>
        <v>-5</v>
      </c>
      <c r="AD61" s="1">
        <f t="shared" si="19"/>
        <v>-38</v>
      </c>
      <c r="AE61" s="1">
        <f t="shared" si="20"/>
        <v>-215</v>
      </c>
      <c r="AG61" s="1">
        <f t="shared" si="21"/>
        <v>66315</v>
      </c>
    </row>
    <row r="62" spans="1:35" x14ac:dyDescent="0.25">
      <c r="A62" s="9">
        <v>1888</v>
      </c>
      <c r="B62" s="1"/>
      <c r="H62" s="1">
        <f t="shared" si="12"/>
        <v>68160</v>
      </c>
      <c r="I62" s="1">
        <f t="shared" si="13"/>
        <v>15619</v>
      </c>
      <c r="J62" s="1">
        <f t="shared" si="14"/>
        <v>-112</v>
      </c>
      <c r="K62" s="1">
        <f t="shared" si="14"/>
        <v>243</v>
      </c>
      <c r="L62" s="1">
        <f t="shared" si="14"/>
        <v>-75</v>
      </c>
      <c r="M62" s="1">
        <f t="shared" si="14"/>
        <v>5</v>
      </c>
      <c r="N62" s="1">
        <f t="shared" si="14"/>
        <v>74</v>
      </c>
      <c r="O62" s="1">
        <f t="shared" si="14"/>
        <v>8</v>
      </c>
      <c r="P62" s="1">
        <f t="shared" si="14"/>
        <v>174</v>
      </c>
      <c r="Q62" s="1">
        <f t="shared" si="14"/>
        <v>79</v>
      </c>
      <c r="R62" s="1">
        <f t="shared" si="15"/>
        <v>16</v>
      </c>
      <c r="S62" s="1">
        <f t="shared" si="16"/>
        <v>661</v>
      </c>
      <c r="T62" s="1">
        <f t="shared" si="16"/>
        <v>44</v>
      </c>
      <c r="U62" s="1">
        <f t="shared" si="16"/>
        <v>30</v>
      </c>
      <c r="V62" s="1">
        <f t="shared" si="16"/>
        <v>11</v>
      </c>
      <c r="W62" s="1">
        <f t="shared" si="16"/>
        <v>-6</v>
      </c>
      <c r="X62" s="1">
        <f t="shared" si="16"/>
        <v>-12</v>
      </c>
      <c r="Y62" s="1">
        <f t="shared" si="16"/>
        <v>-9</v>
      </c>
      <c r="Z62" s="1">
        <f t="shared" si="17"/>
        <v>6129</v>
      </c>
      <c r="AA62" s="1">
        <f t="shared" si="18"/>
        <v>-34</v>
      </c>
      <c r="AB62" s="1">
        <f t="shared" si="19"/>
        <v>5927</v>
      </c>
      <c r="AC62" s="1">
        <f t="shared" si="19"/>
        <v>-3</v>
      </c>
      <c r="AD62" s="1">
        <f t="shared" si="19"/>
        <v>-71</v>
      </c>
      <c r="AE62" s="1">
        <f t="shared" si="20"/>
        <v>42</v>
      </c>
      <c r="AG62" s="1">
        <f t="shared" si="21"/>
        <v>96900</v>
      </c>
    </row>
    <row r="63" spans="1:35" x14ac:dyDescent="0.25">
      <c r="A63" s="9">
        <v>1889</v>
      </c>
      <c r="B63" s="1"/>
      <c r="H63" s="1">
        <f t="shared" si="12"/>
        <v>17395</v>
      </c>
      <c r="I63" s="1">
        <f t="shared" si="13"/>
        <v>16643</v>
      </c>
      <c r="J63" s="1">
        <f t="shared" si="14"/>
        <v>400</v>
      </c>
      <c r="K63" s="1">
        <f t="shared" si="14"/>
        <v>1075</v>
      </c>
      <c r="L63" s="1">
        <f t="shared" si="14"/>
        <v>920</v>
      </c>
      <c r="M63" s="1">
        <f t="shared" si="14"/>
        <v>252</v>
      </c>
      <c r="N63" s="1">
        <f t="shared" si="14"/>
        <v>-52</v>
      </c>
      <c r="O63" s="1">
        <f t="shared" si="14"/>
        <v>30</v>
      </c>
      <c r="P63" s="1">
        <f t="shared" si="14"/>
        <v>-25</v>
      </c>
      <c r="Q63" s="1">
        <f t="shared" si="14"/>
        <v>4</v>
      </c>
      <c r="R63" s="1">
        <f t="shared" si="15"/>
        <v>335</v>
      </c>
      <c r="S63" s="1">
        <f t="shared" si="16"/>
        <v>296</v>
      </c>
      <c r="T63" s="1">
        <f t="shared" si="16"/>
        <v>-9</v>
      </c>
      <c r="U63" s="1">
        <f t="shared" si="16"/>
        <v>162</v>
      </c>
      <c r="V63" s="1">
        <f t="shared" si="16"/>
        <v>-11</v>
      </c>
      <c r="W63" s="1">
        <f t="shared" si="16"/>
        <v>36</v>
      </c>
      <c r="X63" s="1">
        <f t="shared" si="16"/>
        <v>12</v>
      </c>
      <c r="Y63" s="1">
        <f t="shared" si="16"/>
        <v>-2</v>
      </c>
      <c r="Z63" s="1">
        <f t="shared" si="17"/>
        <v>8526</v>
      </c>
      <c r="AA63" s="1">
        <f t="shared" si="18"/>
        <v>-100</v>
      </c>
      <c r="AB63" s="1">
        <f t="shared" si="19"/>
        <v>2995</v>
      </c>
      <c r="AC63" s="1">
        <f t="shared" si="19"/>
        <v>5</v>
      </c>
      <c r="AD63" s="1">
        <f t="shared" si="19"/>
        <v>23</v>
      </c>
      <c r="AE63" s="1">
        <f t="shared" si="20"/>
        <v>-19</v>
      </c>
      <c r="AG63" s="1">
        <f t="shared" si="21"/>
        <v>48891</v>
      </c>
    </row>
    <row r="64" spans="1:35" x14ac:dyDescent="0.25">
      <c r="A64" s="9">
        <v>1890</v>
      </c>
      <c r="B64" s="1"/>
      <c r="H64" s="1">
        <f t="shared" si="12"/>
        <v>32800</v>
      </c>
      <c r="I64" s="1">
        <f t="shared" si="13"/>
        <v>15833</v>
      </c>
      <c r="J64" s="1">
        <f t="shared" si="14"/>
        <v>1581</v>
      </c>
      <c r="K64" s="1">
        <f t="shared" si="14"/>
        <v>868</v>
      </c>
      <c r="L64" s="1">
        <f t="shared" si="14"/>
        <v>290</v>
      </c>
      <c r="M64" s="1">
        <f t="shared" si="14"/>
        <v>446</v>
      </c>
      <c r="N64" s="1">
        <f t="shared" si="14"/>
        <v>113</v>
      </c>
      <c r="O64" s="1">
        <f t="shared" si="14"/>
        <v>12</v>
      </c>
      <c r="P64" s="1">
        <f t="shared" si="14"/>
        <v>1378</v>
      </c>
      <c r="Q64" s="1">
        <f t="shared" si="14"/>
        <v>9</v>
      </c>
      <c r="R64" s="1">
        <f t="shared" si="15"/>
        <v>612</v>
      </c>
      <c r="S64" s="1">
        <f t="shared" si="16"/>
        <v>426</v>
      </c>
      <c r="T64" s="1">
        <f t="shared" si="16"/>
        <v>21</v>
      </c>
      <c r="U64" s="1">
        <f t="shared" si="16"/>
        <v>291</v>
      </c>
      <c r="V64" s="1">
        <f t="shared" si="16"/>
        <v>-34</v>
      </c>
      <c r="W64" s="1">
        <f t="shared" si="16"/>
        <v>25</v>
      </c>
      <c r="X64" s="1">
        <f t="shared" si="16"/>
        <v>-24</v>
      </c>
      <c r="Y64" s="1">
        <f t="shared" si="16"/>
        <v>41</v>
      </c>
      <c r="Z64" s="1">
        <f t="shared" si="17"/>
        <v>12580</v>
      </c>
      <c r="AA64" s="1">
        <f t="shared" si="18"/>
        <v>-89</v>
      </c>
      <c r="AB64" s="1">
        <f t="shared" si="19"/>
        <v>3372</v>
      </c>
      <c r="AC64" s="1">
        <f t="shared" si="19"/>
        <v>-2</v>
      </c>
      <c r="AD64" s="1">
        <f t="shared" si="19"/>
        <v>-295</v>
      </c>
      <c r="AE64" s="1">
        <f t="shared" si="20"/>
        <v>-706</v>
      </c>
      <c r="AG64" s="1">
        <f t="shared" si="21"/>
        <v>69548</v>
      </c>
    </row>
    <row r="65" spans="1:33" x14ac:dyDescent="0.25">
      <c r="A65" s="9">
        <v>1891</v>
      </c>
      <c r="B65" s="1"/>
      <c r="H65" s="1">
        <f t="shared" si="12"/>
        <v>-11339</v>
      </c>
      <c r="I65" s="1">
        <f t="shared" si="13"/>
        <v>19882</v>
      </c>
      <c r="J65" s="1">
        <f t="shared" ref="J65:Q74" si="22">J12</f>
        <v>-526</v>
      </c>
      <c r="K65" s="1">
        <f t="shared" si="22"/>
        <v>851</v>
      </c>
      <c r="L65" s="1">
        <f t="shared" si="22"/>
        <v>581</v>
      </c>
      <c r="M65" s="1">
        <f t="shared" si="22"/>
        <v>39</v>
      </c>
      <c r="N65" s="1">
        <f t="shared" si="22"/>
        <v>-98</v>
      </c>
      <c r="O65" s="1">
        <f t="shared" si="22"/>
        <v>-2</v>
      </c>
      <c r="P65" s="1">
        <f t="shared" si="22"/>
        <v>879</v>
      </c>
      <c r="Q65" s="1">
        <f t="shared" si="22"/>
        <v>100</v>
      </c>
      <c r="R65" s="1">
        <f t="shared" si="15"/>
        <v>-275</v>
      </c>
      <c r="S65" s="1">
        <f t="shared" ref="S65:Y70" si="23">S12</f>
        <v>201</v>
      </c>
      <c r="T65" s="1">
        <f t="shared" si="23"/>
        <v>85</v>
      </c>
      <c r="U65" s="1">
        <f t="shared" si="23"/>
        <v>240</v>
      </c>
      <c r="V65" s="1">
        <f t="shared" si="23"/>
        <v>31</v>
      </c>
      <c r="W65" s="1">
        <f t="shared" si="23"/>
        <v>-2</v>
      </c>
      <c r="X65" s="1">
        <f t="shared" si="23"/>
        <v>0</v>
      </c>
      <c r="Y65" s="1">
        <f t="shared" si="23"/>
        <v>4</v>
      </c>
      <c r="Z65" s="1">
        <f t="shared" si="17"/>
        <v>7662</v>
      </c>
      <c r="AA65" s="1">
        <f t="shared" si="18"/>
        <v>-122</v>
      </c>
      <c r="AB65" s="1">
        <f t="shared" si="19"/>
        <v>3159</v>
      </c>
      <c r="AC65" s="1">
        <f t="shared" si="19"/>
        <v>3</v>
      </c>
      <c r="AD65" s="1">
        <f t="shared" si="19"/>
        <v>-343</v>
      </c>
      <c r="AE65" s="1">
        <f t="shared" si="20"/>
        <v>-470</v>
      </c>
      <c r="AG65" s="1">
        <f t="shared" si="21"/>
        <v>20540</v>
      </c>
    </row>
    <row r="66" spans="1:33" x14ac:dyDescent="0.25">
      <c r="A66" s="9">
        <v>1892</v>
      </c>
      <c r="B66" s="1"/>
      <c r="H66" s="1">
        <f t="shared" si="12"/>
        <v>3616</v>
      </c>
      <c r="I66" s="1">
        <f t="shared" si="13"/>
        <v>9892</v>
      </c>
      <c r="J66" s="1">
        <f t="shared" si="22"/>
        <v>-999</v>
      </c>
      <c r="K66" s="1">
        <f t="shared" si="22"/>
        <v>416</v>
      </c>
      <c r="L66" s="1">
        <f t="shared" si="22"/>
        <v>224</v>
      </c>
      <c r="M66" s="1">
        <f t="shared" si="22"/>
        <v>-391</v>
      </c>
      <c r="N66" s="1">
        <f t="shared" si="22"/>
        <v>-9</v>
      </c>
      <c r="O66" s="1">
        <f t="shared" si="22"/>
        <v>17</v>
      </c>
      <c r="P66" s="1">
        <f t="shared" si="22"/>
        <v>899</v>
      </c>
      <c r="Q66" s="1">
        <f t="shared" si="22"/>
        <v>101</v>
      </c>
      <c r="R66" s="1">
        <f t="shared" si="15"/>
        <v>-287</v>
      </c>
      <c r="S66" s="1">
        <f t="shared" si="23"/>
        <v>214</v>
      </c>
      <c r="T66" s="1">
        <f t="shared" si="23"/>
        <v>118</v>
      </c>
      <c r="U66" s="1">
        <f t="shared" si="23"/>
        <v>199</v>
      </c>
      <c r="V66" s="1">
        <f t="shared" si="23"/>
        <v>10</v>
      </c>
      <c r="W66" s="1">
        <f t="shared" si="23"/>
        <v>14</v>
      </c>
      <c r="X66" s="1">
        <f t="shared" si="23"/>
        <v>34</v>
      </c>
      <c r="Y66" s="1">
        <f t="shared" si="23"/>
        <v>2</v>
      </c>
      <c r="Z66" s="1">
        <f t="shared" si="17"/>
        <v>16360</v>
      </c>
      <c r="AA66" s="1">
        <f t="shared" si="18"/>
        <v>-201</v>
      </c>
      <c r="AB66" s="1">
        <f t="shared" si="19"/>
        <v>-164</v>
      </c>
      <c r="AC66" s="1">
        <f t="shared" si="19"/>
        <v>5</v>
      </c>
      <c r="AD66" s="1">
        <f t="shared" si="19"/>
        <v>-250</v>
      </c>
      <c r="AE66" s="1">
        <f t="shared" si="20"/>
        <v>-16</v>
      </c>
      <c r="AG66" s="1">
        <f t="shared" si="21"/>
        <v>29804</v>
      </c>
    </row>
    <row r="67" spans="1:33" x14ac:dyDescent="0.25">
      <c r="A67" s="9">
        <v>1893</v>
      </c>
      <c r="B67" s="1"/>
      <c r="H67" s="1">
        <f t="shared" si="12"/>
        <v>26811</v>
      </c>
      <c r="I67" s="1">
        <f t="shared" si="13"/>
        <v>3749</v>
      </c>
      <c r="J67" s="1">
        <f t="shared" si="22"/>
        <v>-127</v>
      </c>
      <c r="K67" s="1">
        <f t="shared" si="22"/>
        <v>1811</v>
      </c>
      <c r="L67" s="1">
        <f t="shared" si="22"/>
        <v>284</v>
      </c>
      <c r="M67" s="1">
        <f t="shared" si="22"/>
        <v>76</v>
      </c>
      <c r="N67" s="1">
        <f t="shared" si="22"/>
        <v>699</v>
      </c>
      <c r="O67" s="1">
        <f t="shared" si="22"/>
        <v>69</v>
      </c>
      <c r="P67" s="1">
        <f t="shared" si="22"/>
        <v>351</v>
      </c>
      <c r="Q67" s="1">
        <f t="shared" si="22"/>
        <v>178</v>
      </c>
      <c r="R67" s="1">
        <f t="shared" si="15"/>
        <v>69</v>
      </c>
      <c r="S67" s="1">
        <f t="shared" si="23"/>
        <v>4</v>
      </c>
      <c r="T67" s="1">
        <f t="shared" si="23"/>
        <v>-31</v>
      </c>
      <c r="U67" s="1">
        <f t="shared" si="23"/>
        <v>275</v>
      </c>
      <c r="V67" s="1">
        <f t="shared" si="23"/>
        <v>29</v>
      </c>
      <c r="W67" s="1">
        <f t="shared" si="23"/>
        <v>-32</v>
      </c>
      <c r="X67" s="1">
        <f t="shared" si="23"/>
        <v>-3</v>
      </c>
      <c r="Y67" s="1">
        <f t="shared" si="23"/>
        <v>15</v>
      </c>
      <c r="Z67" s="1">
        <f t="shared" si="17"/>
        <v>12664</v>
      </c>
      <c r="AA67" s="1">
        <f t="shared" si="18"/>
        <v>385</v>
      </c>
      <c r="AB67" s="1">
        <f t="shared" si="19"/>
        <v>5813</v>
      </c>
      <c r="AC67" s="1">
        <f t="shared" si="19"/>
        <v>13</v>
      </c>
      <c r="AD67" s="1">
        <f t="shared" si="19"/>
        <v>-393</v>
      </c>
      <c r="AE67" s="1">
        <f t="shared" si="20"/>
        <v>44</v>
      </c>
      <c r="AG67" s="1">
        <f t="shared" si="21"/>
        <v>52753</v>
      </c>
    </row>
    <row r="68" spans="1:33" x14ac:dyDescent="0.25">
      <c r="A68" s="9">
        <v>1894</v>
      </c>
      <c r="B68" s="1"/>
      <c r="H68" s="1">
        <f t="shared" si="12"/>
        <v>5875</v>
      </c>
      <c r="I68" s="1">
        <f t="shared" si="13"/>
        <v>5078</v>
      </c>
      <c r="J68" s="1">
        <f t="shared" si="22"/>
        <v>-1092</v>
      </c>
      <c r="K68" s="1">
        <f t="shared" si="22"/>
        <v>871</v>
      </c>
      <c r="L68" s="1">
        <f t="shared" si="22"/>
        <v>430</v>
      </c>
      <c r="M68" s="1">
        <f t="shared" si="22"/>
        <v>-10</v>
      </c>
      <c r="N68" s="1">
        <f t="shared" si="22"/>
        <v>-314</v>
      </c>
      <c r="O68" s="1">
        <f t="shared" si="22"/>
        <v>40</v>
      </c>
      <c r="P68" s="1">
        <f t="shared" si="22"/>
        <v>1153</v>
      </c>
      <c r="Q68" s="1">
        <f t="shared" si="22"/>
        <v>103</v>
      </c>
      <c r="R68" s="1">
        <f t="shared" si="15"/>
        <v>385</v>
      </c>
      <c r="S68" s="1">
        <f t="shared" si="23"/>
        <v>398</v>
      </c>
      <c r="T68" s="1">
        <f t="shared" si="23"/>
        <v>99</v>
      </c>
      <c r="U68" s="1">
        <f t="shared" si="23"/>
        <v>390</v>
      </c>
      <c r="V68" s="1">
        <f t="shared" si="23"/>
        <v>-4</v>
      </c>
      <c r="W68" s="1">
        <f t="shared" si="23"/>
        <v>52</v>
      </c>
      <c r="X68" s="1">
        <f t="shared" si="23"/>
        <v>25</v>
      </c>
      <c r="Y68" s="1">
        <f t="shared" si="23"/>
        <v>16</v>
      </c>
      <c r="Z68" s="1">
        <f t="shared" si="17"/>
        <v>14190</v>
      </c>
      <c r="AA68" s="1">
        <f t="shared" si="18"/>
        <v>537</v>
      </c>
      <c r="AB68" s="1">
        <f t="shared" si="19"/>
        <v>2051</v>
      </c>
      <c r="AC68" s="1">
        <f t="shared" si="19"/>
        <v>6</v>
      </c>
      <c r="AD68" s="1">
        <f t="shared" si="19"/>
        <v>-143</v>
      </c>
      <c r="AE68" s="1">
        <f t="shared" si="20"/>
        <v>4552</v>
      </c>
      <c r="AG68" s="1">
        <f t="shared" si="21"/>
        <v>34688</v>
      </c>
    </row>
    <row r="69" spans="1:33" x14ac:dyDescent="0.25">
      <c r="A69" s="9">
        <v>1895</v>
      </c>
      <c r="B69" s="1"/>
      <c r="H69" s="1">
        <f t="shared" si="12"/>
        <v>-85110</v>
      </c>
      <c r="I69" s="1">
        <f t="shared" si="13"/>
        <v>15846</v>
      </c>
      <c r="J69" s="1">
        <f t="shared" si="22"/>
        <v>-144</v>
      </c>
      <c r="K69" s="1">
        <f t="shared" si="22"/>
        <v>1033</v>
      </c>
      <c r="L69" s="1">
        <f t="shared" si="22"/>
        <v>1080</v>
      </c>
      <c r="M69" s="1">
        <f t="shared" si="22"/>
        <v>347</v>
      </c>
      <c r="N69" s="1">
        <f t="shared" si="22"/>
        <v>25</v>
      </c>
      <c r="O69" s="1">
        <f t="shared" si="22"/>
        <v>-57</v>
      </c>
      <c r="P69" s="1">
        <f t="shared" si="22"/>
        <v>597</v>
      </c>
      <c r="Q69" s="1">
        <f t="shared" si="22"/>
        <v>8</v>
      </c>
      <c r="R69" s="1">
        <f t="shared" si="15"/>
        <v>356</v>
      </c>
      <c r="S69" s="1">
        <f t="shared" si="23"/>
        <v>107</v>
      </c>
      <c r="T69" s="1">
        <f t="shared" si="23"/>
        <v>36</v>
      </c>
      <c r="U69" s="1">
        <f t="shared" si="23"/>
        <v>204</v>
      </c>
      <c r="V69" s="1">
        <f t="shared" si="23"/>
        <v>15</v>
      </c>
      <c r="W69" s="1">
        <f t="shared" si="23"/>
        <v>22</v>
      </c>
      <c r="X69" s="1">
        <f t="shared" si="23"/>
        <v>-4</v>
      </c>
      <c r="Y69" s="1">
        <f t="shared" si="23"/>
        <v>22</v>
      </c>
      <c r="Z69" s="1">
        <f t="shared" si="17"/>
        <v>16096</v>
      </c>
      <c r="AA69" s="1">
        <f t="shared" si="18"/>
        <v>59</v>
      </c>
      <c r="AB69" s="1">
        <f t="shared" si="19"/>
        <v>4906</v>
      </c>
      <c r="AC69" s="1">
        <f t="shared" si="19"/>
        <v>12</v>
      </c>
      <c r="AD69" s="1">
        <f t="shared" si="19"/>
        <v>-228</v>
      </c>
      <c r="AE69" s="1">
        <f t="shared" si="20"/>
        <v>4320</v>
      </c>
      <c r="AG69" s="1">
        <f t="shared" si="21"/>
        <v>-40452</v>
      </c>
    </row>
    <row r="70" spans="1:33" x14ac:dyDescent="0.25">
      <c r="A70" s="9">
        <v>1896</v>
      </c>
      <c r="B70" s="1"/>
      <c r="H70" s="1">
        <f t="shared" si="12"/>
        <v>23460</v>
      </c>
      <c r="I70" s="1">
        <f t="shared" si="13"/>
        <v>3179</v>
      </c>
      <c r="J70" s="1">
        <f t="shared" si="22"/>
        <v>-978</v>
      </c>
      <c r="K70" s="1">
        <f t="shared" si="22"/>
        <v>-902</v>
      </c>
      <c r="L70" s="1">
        <f t="shared" si="22"/>
        <v>251</v>
      </c>
      <c r="M70" s="1">
        <f t="shared" si="22"/>
        <v>426</v>
      </c>
      <c r="N70" s="1">
        <f t="shared" si="22"/>
        <v>1415</v>
      </c>
      <c r="O70" s="1">
        <f t="shared" si="22"/>
        <v>-110</v>
      </c>
      <c r="P70" s="1">
        <f t="shared" si="22"/>
        <v>354</v>
      </c>
      <c r="Q70" s="1">
        <f t="shared" si="22"/>
        <v>174</v>
      </c>
      <c r="R70" s="1">
        <f t="shared" si="15"/>
        <v>289</v>
      </c>
      <c r="S70" s="1">
        <f t="shared" si="23"/>
        <v>331</v>
      </c>
      <c r="T70" s="1">
        <f t="shared" si="23"/>
        <v>51</v>
      </c>
      <c r="U70" s="1">
        <f t="shared" si="23"/>
        <v>526</v>
      </c>
      <c r="V70" s="1">
        <f t="shared" si="23"/>
        <v>129</v>
      </c>
      <c r="W70" s="1">
        <f t="shared" si="23"/>
        <v>62</v>
      </c>
      <c r="X70" s="1">
        <f t="shared" si="23"/>
        <v>-44</v>
      </c>
      <c r="Y70" s="1">
        <f t="shared" si="23"/>
        <v>25</v>
      </c>
      <c r="Z70" s="1">
        <f t="shared" si="17"/>
        <v>12095</v>
      </c>
      <c r="AA70" s="1">
        <f t="shared" si="18"/>
        <v>1431</v>
      </c>
      <c r="AB70" s="1">
        <f t="shared" si="19"/>
        <v>4771</v>
      </c>
      <c r="AC70" s="1">
        <f t="shared" si="19"/>
        <v>13</v>
      </c>
      <c r="AD70" s="1">
        <f t="shared" si="19"/>
        <v>-2081</v>
      </c>
      <c r="AE70" s="1">
        <f t="shared" si="20"/>
        <v>2834</v>
      </c>
      <c r="AG70" s="1">
        <f t="shared" si="21"/>
        <v>47701</v>
      </c>
    </row>
    <row r="71" spans="1:33" x14ac:dyDescent="0.25">
      <c r="A71" s="9">
        <v>1897</v>
      </c>
      <c r="B71" s="1"/>
      <c r="H71" s="1">
        <f t="shared" si="12"/>
        <v>26567</v>
      </c>
      <c r="I71" s="1">
        <f t="shared" si="13"/>
        <v>9153</v>
      </c>
      <c r="J71" s="1">
        <f t="shared" si="22"/>
        <v>2018</v>
      </c>
      <c r="K71" s="1">
        <f t="shared" si="22"/>
        <v>1013</v>
      </c>
      <c r="L71" s="1">
        <f t="shared" si="22"/>
        <v>515</v>
      </c>
      <c r="M71" s="1">
        <f t="shared" si="22"/>
        <v>524</v>
      </c>
      <c r="N71" s="1">
        <f t="shared" si="22"/>
        <v>1418</v>
      </c>
      <c r="O71" s="1">
        <f t="shared" si="22"/>
        <v>90</v>
      </c>
      <c r="P71" s="1">
        <f t="shared" si="22"/>
        <v>484</v>
      </c>
      <c r="Q71" s="1">
        <f t="shared" si="22"/>
        <v>-4</v>
      </c>
      <c r="R71" s="1">
        <f t="shared" si="15"/>
        <v>455</v>
      </c>
      <c r="S71" s="1">
        <f t="shared" ref="S71:AD86" si="24">S18</f>
        <v>308</v>
      </c>
      <c r="T71" s="1">
        <f t="shared" si="24"/>
        <v>290</v>
      </c>
      <c r="U71" s="1">
        <f t="shared" si="24"/>
        <v>414</v>
      </c>
      <c r="V71" s="1">
        <f t="shared" si="24"/>
        <v>75</v>
      </c>
      <c r="W71" s="1">
        <f t="shared" si="24"/>
        <v>117</v>
      </c>
      <c r="X71" s="1">
        <f t="shared" si="24"/>
        <v>40</v>
      </c>
      <c r="Y71" s="1">
        <f t="shared" si="24"/>
        <v>-40</v>
      </c>
      <c r="Z71" s="1">
        <f t="shared" si="17"/>
        <v>26624</v>
      </c>
      <c r="AA71" s="1">
        <f t="shared" si="18"/>
        <v>1039</v>
      </c>
      <c r="AB71" s="1">
        <f t="shared" si="24"/>
        <v>4740</v>
      </c>
      <c r="AC71" s="1">
        <f t="shared" si="24"/>
        <v>16</v>
      </c>
      <c r="AD71" s="1">
        <f t="shared" si="24"/>
        <v>60</v>
      </c>
      <c r="AE71" s="1">
        <f t="shared" si="20"/>
        <v>3481</v>
      </c>
      <c r="AG71" s="1">
        <f t="shared" si="21"/>
        <v>79397</v>
      </c>
    </row>
    <row r="72" spans="1:33" x14ac:dyDescent="0.25">
      <c r="A72" s="9">
        <v>1898</v>
      </c>
      <c r="B72" s="1"/>
      <c r="H72" s="1">
        <f t="shared" si="12"/>
        <v>19680</v>
      </c>
      <c r="I72" s="1">
        <f t="shared" si="13"/>
        <v>14479</v>
      </c>
      <c r="J72" s="1">
        <f t="shared" si="22"/>
        <v>2061</v>
      </c>
      <c r="K72" s="1">
        <f t="shared" si="22"/>
        <v>2034</v>
      </c>
      <c r="L72" s="1">
        <f t="shared" si="22"/>
        <v>415</v>
      </c>
      <c r="M72" s="1">
        <f t="shared" si="22"/>
        <v>383</v>
      </c>
      <c r="N72" s="1">
        <f t="shared" si="22"/>
        <v>1838</v>
      </c>
      <c r="O72" s="1">
        <f t="shared" si="22"/>
        <v>13</v>
      </c>
      <c r="P72" s="1">
        <f t="shared" si="22"/>
        <v>636</v>
      </c>
      <c r="Q72" s="1">
        <f t="shared" si="22"/>
        <v>161</v>
      </c>
      <c r="R72" s="1">
        <f t="shared" si="15"/>
        <v>746</v>
      </c>
      <c r="S72" s="1">
        <f t="shared" si="24"/>
        <v>424</v>
      </c>
      <c r="T72" s="1">
        <f t="shared" si="24"/>
        <v>-171</v>
      </c>
      <c r="U72" s="1">
        <f t="shared" si="24"/>
        <v>582</v>
      </c>
      <c r="V72" s="1">
        <f t="shared" si="24"/>
        <v>223</v>
      </c>
      <c r="W72" s="1">
        <f t="shared" si="24"/>
        <v>189</v>
      </c>
      <c r="X72" s="1">
        <f t="shared" si="24"/>
        <v>-38</v>
      </c>
      <c r="Y72" s="1">
        <f t="shared" si="24"/>
        <v>30</v>
      </c>
      <c r="Z72" s="1">
        <f t="shared" si="17"/>
        <v>26612</v>
      </c>
      <c r="AA72" s="1">
        <f t="shared" si="18"/>
        <v>1050</v>
      </c>
      <c r="AB72" s="1">
        <f t="shared" si="24"/>
        <v>9956</v>
      </c>
      <c r="AC72" s="1">
        <f t="shared" si="24"/>
        <v>64</v>
      </c>
      <c r="AD72" s="1">
        <f t="shared" si="24"/>
        <v>-14</v>
      </c>
      <c r="AE72" s="1">
        <f t="shared" si="20"/>
        <v>2289</v>
      </c>
      <c r="AG72" s="1">
        <f t="shared" si="21"/>
        <v>83642</v>
      </c>
    </row>
    <row r="73" spans="1:33" x14ac:dyDescent="0.25">
      <c r="A73" s="9">
        <v>1899</v>
      </c>
      <c r="B73" s="1"/>
      <c r="H73" s="1">
        <f t="shared" si="12"/>
        <v>39526</v>
      </c>
      <c r="I73" s="1">
        <f t="shared" si="13"/>
        <v>8689</v>
      </c>
      <c r="J73" s="1">
        <f t="shared" si="22"/>
        <v>506</v>
      </c>
      <c r="K73" s="1">
        <f t="shared" si="22"/>
        <v>1122</v>
      </c>
      <c r="L73" s="1">
        <f t="shared" si="22"/>
        <v>554</v>
      </c>
      <c r="M73" s="1">
        <f t="shared" si="22"/>
        <v>202</v>
      </c>
      <c r="N73" s="1">
        <f t="shared" si="22"/>
        <v>277</v>
      </c>
      <c r="O73" s="1">
        <f t="shared" si="22"/>
        <v>131</v>
      </c>
      <c r="P73" s="1">
        <f t="shared" si="22"/>
        <v>274</v>
      </c>
      <c r="Q73" s="1">
        <f t="shared" si="22"/>
        <v>183</v>
      </c>
      <c r="R73" s="1">
        <f t="shared" si="15"/>
        <v>410</v>
      </c>
      <c r="S73" s="1">
        <f t="shared" si="24"/>
        <v>18</v>
      </c>
      <c r="T73" s="1">
        <f t="shared" si="24"/>
        <v>159</v>
      </c>
      <c r="U73" s="1">
        <f t="shared" si="24"/>
        <v>695</v>
      </c>
      <c r="V73" s="1">
        <f t="shared" si="24"/>
        <v>62</v>
      </c>
      <c r="W73" s="1">
        <f t="shared" si="24"/>
        <v>-23</v>
      </c>
      <c r="X73" s="1">
        <f t="shared" si="24"/>
        <v>11</v>
      </c>
      <c r="Y73" s="1">
        <f t="shared" si="24"/>
        <v>46</v>
      </c>
      <c r="Z73" s="1">
        <f t="shared" si="17"/>
        <v>31058</v>
      </c>
      <c r="AA73" s="1">
        <f t="shared" si="18"/>
        <v>1474</v>
      </c>
      <c r="AB73" s="1">
        <f t="shared" si="24"/>
        <v>8199</v>
      </c>
      <c r="AC73" s="1">
        <f t="shared" si="24"/>
        <v>-4</v>
      </c>
      <c r="AD73" s="1">
        <f t="shared" si="24"/>
        <v>-148</v>
      </c>
      <c r="AE73" s="1">
        <f t="shared" si="20"/>
        <v>1733</v>
      </c>
      <c r="AG73" s="1">
        <f t="shared" si="21"/>
        <v>95154</v>
      </c>
    </row>
    <row r="74" spans="1:33" x14ac:dyDescent="0.25">
      <c r="A74" s="9">
        <v>1900</v>
      </c>
      <c r="B74" s="1"/>
      <c r="H74" s="1">
        <f t="shared" si="12"/>
        <v>28424</v>
      </c>
      <c r="I74" s="1">
        <f t="shared" si="13"/>
        <v>11790</v>
      </c>
      <c r="J74" s="1">
        <f t="shared" si="22"/>
        <v>160</v>
      </c>
      <c r="K74" s="1">
        <f t="shared" si="22"/>
        <v>506</v>
      </c>
      <c r="L74" s="1">
        <f t="shared" si="22"/>
        <v>250</v>
      </c>
      <c r="M74" s="1">
        <f t="shared" si="22"/>
        <v>-268</v>
      </c>
      <c r="N74" s="1">
        <f t="shared" si="22"/>
        <v>598</v>
      </c>
      <c r="O74" s="1">
        <f t="shared" si="22"/>
        <v>-117</v>
      </c>
      <c r="P74" s="1">
        <f t="shared" si="22"/>
        <v>161</v>
      </c>
      <c r="Q74" s="1">
        <f t="shared" si="22"/>
        <v>604</v>
      </c>
      <c r="R74" s="1">
        <f t="shared" si="15"/>
        <v>378</v>
      </c>
      <c r="S74" s="1">
        <f t="shared" si="24"/>
        <v>268</v>
      </c>
      <c r="T74" s="1">
        <f t="shared" si="24"/>
        <v>204</v>
      </c>
      <c r="U74" s="1">
        <f t="shared" si="24"/>
        <v>233</v>
      </c>
      <c r="V74" s="1">
        <f t="shared" si="24"/>
        <v>0</v>
      </c>
      <c r="W74" s="1">
        <f t="shared" si="24"/>
        <v>20</v>
      </c>
      <c r="X74" s="1">
        <f t="shared" si="24"/>
        <v>27</v>
      </c>
      <c r="Y74" s="1">
        <f t="shared" si="24"/>
        <v>34</v>
      </c>
      <c r="Z74" s="1">
        <f t="shared" si="17"/>
        <v>10021</v>
      </c>
      <c r="AA74" s="1">
        <f t="shared" si="18"/>
        <v>1237</v>
      </c>
      <c r="AB74" s="1">
        <f t="shared" si="24"/>
        <v>8448</v>
      </c>
      <c r="AC74" s="1">
        <f t="shared" si="24"/>
        <v>-207</v>
      </c>
      <c r="AD74" s="1">
        <f t="shared" si="24"/>
        <v>-215</v>
      </c>
      <c r="AE74" s="1">
        <f t="shared" si="20"/>
        <v>-4</v>
      </c>
      <c r="AG74" s="1">
        <f t="shared" si="21"/>
        <v>62552</v>
      </c>
    </row>
    <row r="75" spans="1:33" x14ac:dyDescent="0.25">
      <c r="A75" s="9">
        <v>1901</v>
      </c>
      <c r="H75" s="1">
        <f t="shared" si="12"/>
        <v>36675</v>
      </c>
      <c r="I75" s="1">
        <f t="shared" si="13"/>
        <v>13699</v>
      </c>
      <c r="J75" s="1">
        <f t="shared" ref="J75:Q84" si="25">J22</f>
        <v>1178</v>
      </c>
      <c r="K75" s="1">
        <f t="shared" si="25"/>
        <v>103</v>
      </c>
      <c r="L75" s="1">
        <f t="shared" si="25"/>
        <v>373</v>
      </c>
      <c r="M75" s="1">
        <f t="shared" si="25"/>
        <v>89</v>
      </c>
      <c r="N75" s="1">
        <f t="shared" si="25"/>
        <v>236</v>
      </c>
      <c r="O75" s="1">
        <f t="shared" si="25"/>
        <v>13</v>
      </c>
      <c r="P75" s="1">
        <f t="shared" si="25"/>
        <v>270</v>
      </c>
      <c r="Q75" s="1">
        <f t="shared" si="25"/>
        <v>978</v>
      </c>
      <c r="R75" s="1">
        <f t="shared" si="15"/>
        <v>495</v>
      </c>
      <c r="S75" s="1">
        <f t="shared" si="24"/>
        <v>284</v>
      </c>
      <c r="T75" s="1">
        <f t="shared" si="24"/>
        <v>183</v>
      </c>
      <c r="U75" s="1">
        <f t="shared" si="24"/>
        <v>322</v>
      </c>
      <c r="V75" s="1">
        <f t="shared" si="24"/>
        <v>-11</v>
      </c>
      <c r="W75" s="1">
        <f t="shared" si="24"/>
        <v>-7</v>
      </c>
      <c r="X75" s="1">
        <f t="shared" si="24"/>
        <v>5</v>
      </c>
      <c r="Y75" s="1">
        <f t="shared" si="24"/>
        <v>32</v>
      </c>
      <c r="Z75" s="1">
        <f t="shared" si="17"/>
        <v>16538</v>
      </c>
      <c r="AA75" s="1">
        <f t="shared" si="18"/>
        <v>23761</v>
      </c>
      <c r="AB75" s="1">
        <f t="shared" si="24"/>
        <v>3584</v>
      </c>
      <c r="AC75" s="1">
        <f t="shared" si="24"/>
        <v>1622</v>
      </c>
      <c r="AD75" s="1">
        <f t="shared" si="24"/>
        <v>-392</v>
      </c>
      <c r="AE75" s="1">
        <f t="shared" si="20"/>
        <v>-1432</v>
      </c>
      <c r="AG75" s="1">
        <f t="shared" si="21"/>
        <v>98598</v>
      </c>
    </row>
    <row r="76" spans="1:33" x14ac:dyDescent="0.25">
      <c r="A76" s="9">
        <v>1902</v>
      </c>
      <c r="B76" s="1"/>
      <c r="H76" s="1">
        <f t="shared" si="12"/>
        <v>18122</v>
      </c>
      <c r="I76" s="1">
        <f t="shared" si="13"/>
        <v>15376</v>
      </c>
      <c r="J76" s="1">
        <f t="shared" si="25"/>
        <v>439</v>
      </c>
      <c r="K76" s="1">
        <f t="shared" si="25"/>
        <v>485</v>
      </c>
      <c r="L76" s="1">
        <f t="shared" si="25"/>
        <v>191</v>
      </c>
      <c r="M76" s="1">
        <f t="shared" si="25"/>
        <v>62</v>
      </c>
      <c r="N76" s="1">
        <f t="shared" si="25"/>
        <v>213</v>
      </c>
      <c r="O76" s="1">
        <f t="shared" si="25"/>
        <v>198</v>
      </c>
      <c r="P76" s="1">
        <f t="shared" si="25"/>
        <v>333</v>
      </c>
      <c r="Q76" s="1">
        <f t="shared" si="25"/>
        <v>942</v>
      </c>
      <c r="R76" s="1">
        <f t="shared" si="15"/>
        <v>1228</v>
      </c>
      <c r="S76" s="1">
        <f t="shared" si="24"/>
        <v>367</v>
      </c>
      <c r="T76" s="1">
        <f t="shared" si="24"/>
        <v>166</v>
      </c>
      <c r="U76" s="1">
        <f t="shared" si="24"/>
        <v>198</v>
      </c>
      <c r="V76" s="1">
        <f t="shared" si="24"/>
        <v>-19</v>
      </c>
      <c r="W76" s="1">
        <f t="shared" si="24"/>
        <v>85</v>
      </c>
      <c r="X76" s="1">
        <f t="shared" si="24"/>
        <v>-34</v>
      </c>
      <c r="Y76" s="1">
        <f t="shared" si="24"/>
        <v>-36</v>
      </c>
      <c r="Z76" s="1">
        <f t="shared" si="17"/>
        <v>21988</v>
      </c>
      <c r="AA76" s="1">
        <f t="shared" si="18"/>
        <v>27566</v>
      </c>
      <c r="AB76" s="1">
        <f t="shared" si="24"/>
        <v>7913</v>
      </c>
      <c r="AC76" s="1">
        <f t="shared" si="24"/>
        <v>2264</v>
      </c>
      <c r="AD76" s="1">
        <f t="shared" si="24"/>
        <v>-247</v>
      </c>
      <c r="AE76" s="1">
        <f t="shared" si="20"/>
        <v>-1763</v>
      </c>
      <c r="AG76" s="1">
        <f t="shared" si="21"/>
        <v>96037</v>
      </c>
    </row>
    <row r="77" spans="1:33" x14ac:dyDescent="0.25">
      <c r="A77" s="9">
        <v>1903</v>
      </c>
      <c r="H77" s="1">
        <f t="shared" si="12"/>
        <v>24435</v>
      </c>
      <c r="I77" s="1">
        <f t="shared" si="13"/>
        <v>11465</v>
      </c>
      <c r="J77" s="1">
        <f t="shared" si="25"/>
        <v>-8</v>
      </c>
      <c r="K77" s="1">
        <f t="shared" si="25"/>
        <v>651</v>
      </c>
      <c r="L77" s="1">
        <f t="shared" si="25"/>
        <v>355</v>
      </c>
      <c r="M77" s="1">
        <f t="shared" si="25"/>
        <v>118</v>
      </c>
      <c r="N77" s="1">
        <f t="shared" si="25"/>
        <v>84</v>
      </c>
      <c r="O77" s="1">
        <f t="shared" si="25"/>
        <v>194</v>
      </c>
      <c r="P77" s="1">
        <f t="shared" si="25"/>
        <v>375</v>
      </c>
      <c r="Q77" s="1">
        <f t="shared" si="25"/>
        <v>813</v>
      </c>
      <c r="R77" s="1">
        <f t="shared" si="15"/>
        <v>448</v>
      </c>
      <c r="S77" s="1">
        <f t="shared" si="24"/>
        <v>314</v>
      </c>
      <c r="T77" s="1">
        <f t="shared" si="24"/>
        <v>249</v>
      </c>
      <c r="U77" s="1">
        <f t="shared" si="24"/>
        <v>377</v>
      </c>
      <c r="V77" s="1">
        <f t="shared" si="24"/>
        <v>30</v>
      </c>
      <c r="W77" s="1">
        <f t="shared" si="24"/>
        <v>24</v>
      </c>
      <c r="X77" s="1">
        <f t="shared" si="24"/>
        <v>-4</v>
      </c>
      <c r="Y77" s="1">
        <f t="shared" si="24"/>
        <v>20</v>
      </c>
      <c r="Z77" s="1">
        <f t="shared" si="17"/>
        <v>23983</v>
      </c>
      <c r="AA77" s="1">
        <f t="shared" si="18"/>
        <v>5252</v>
      </c>
      <c r="AB77" s="1">
        <f t="shared" si="24"/>
        <v>10102</v>
      </c>
      <c r="AC77" s="1">
        <f t="shared" si="24"/>
        <v>2079</v>
      </c>
      <c r="AD77" s="1">
        <f t="shared" si="24"/>
        <v>-447</v>
      </c>
      <c r="AE77" s="1">
        <f t="shared" si="20"/>
        <v>1191</v>
      </c>
      <c r="AG77" s="1">
        <f t="shared" si="21"/>
        <v>82100</v>
      </c>
    </row>
    <row r="78" spans="1:33" x14ac:dyDescent="0.25">
      <c r="A78" s="9">
        <v>1904</v>
      </c>
      <c r="H78" s="1">
        <f t="shared" si="12"/>
        <v>13711</v>
      </c>
      <c r="I78" s="1">
        <f t="shared" si="13"/>
        <v>16264</v>
      </c>
      <c r="J78" s="1">
        <f t="shared" si="25"/>
        <v>190</v>
      </c>
      <c r="K78" s="1">
        <f t="shared" si="25"/>
        <v>924</v>
      </c>
      <c r="L78" s="1">
        <f t="shared" si="25"/>
        <v>110</v>
      </c>
      <c r="M78" s="1">
        <f t="shared" si="25"/>
        <v>-164</v>
      </c>
      <c r="N78" s="1">
        <f t="shared" si="25"/>
        <v>63</v>
      </c>
      <c r="O78" s="1">
        <f t="shared" si="25"/>
        <v>168</v>
      </c>
      <c r="P78" s="1">
        <f t="shared" si="25"/>
        <v>-192</v>
      </c>
      <c r="Q78" s="1">
        <f t="shared" si="25"/>
        <v>402</v>
      </c>
      <c r="R78" s="1">
        <f t="shared" si="15"/>
        <v>247</v>
      </c>
      <c r="S78" s="1">
        <f t="shared" si="24"/>
        <v>333</v>
      </c>
      <c r="T78" s="1">
        <f t="shared" si="24"/>
        <v>53</v>
      </c>
      <c r="U78" s="1">
        <f t="shared" si="24"/>
        <v>83</v>
      </c>
      <c r="V78" s="1">
        <f t="shared" si="24"/>
        <v>-85</v>
      </c>
      <c r="W78" s="1">
        <f t="shared" si="24"/>
        <v>-55</v>
      </c>
      <c r="X78" s="1">
        <f t="shared" si="24"/>
        <v>-44</v>
      </c>
      <c r="Y78" s="1">
        <f t="shared" si="24"/>
        <v>4</v>
      </c>
      <c r="Z78" s="1">
        <f t="shared" si="17"/>
        <v>14727</v>
      </c>
      <c r="AA78" s="1">
        <f t="shared" si="18"/>
        <v>1849</v>
      </c>
      <c r="AB78" s="1">
        <f t="shared" si="24"/>
        <v>9855</v>
      </c>
      <c r="AC78" s="1">
        <f t="shared" si="24"/>
        <v>-459</v>
      </c>
      <c r="AD78" s="1">
        <f t="shared" si="24"/>
        <v>-257</v>
      </c>
      <c r="AE78" s="1">
        <f t="shared" si="20"/>
        <v>-3052</v>
      </c>
      <c r="AG78" s="1">
        <f t="shared" si="21"/>
        <v>54675</v>
      </c>
    </row>
    <row r="79" spans="1:33" x14ac:dyDescent="0.25">
      <c r="A79" s="9">
        <v>1905</v>
      </c>
      <c r="H79" s="1">
        <f t="shared" si="12"/>
        <v>17314</v>
      </c>
      <c r="I79" s="1">
        <f t="shared" si="13"/>
        <v>-19790</v>
      </c>
      <c r="J79" s="1">
        <f t="shared" si="25"/>
        <v>368</v>
      </c>
      <c r="K79" s="1">
        <f t="shared" si="25"/>
        <v>286</v>
      </c>
      <c r="L79" s="1">
        <f t="shared" si="25"/>
        <v>409</v>
      </c>
      <c r="M79" s="1">
        <f t="shared" si="25"/>
        <v>-104</v>
      </c>
      <c r="N79" s="1">
        <f t="shared" si="25"/>
        <v>-498</v>
      </c>
      <c r="O79" s="1">
        <f t="shared" si="25"/>
        <v>-78</v>
      </c>
      <c r="P79" s="1">
        <f t="shared" si="25"/>
        <v>-161</v>
      </c>
      <c r="Q79" s="1">
        <f t="shared" si="25"/>
        <v>671</v>
      </c>
      <c r="R79" s="1">
        <f t="shared" si="15"/>
        <v>210</v>
      </c>
      <c r="S79" s="1">
        <f t="shared" si="24"/>
        <v>-4</v>
      </c>
      <c r="T79" s="1">
        <f t="shared" si="24"/>
        <v>-289</v>
      </c>
      <c r="U79" s="1">
        <f t="shared" si="24"/>
        <v>208</v>
      </c>
      <c r="V79" s="1">
        <f t="shared" si="24"/>
        <v>48</v>
      </c>
      <c r="W79" s="1">
        <f t="shared" si="24"/>
        <v>-70</v>
      </c>
      <c r="X79" s="1">
        <f t="shared" si="24"/>
        <v>-28</v>
      </c>
      <c r="Y79" s="1">
        <f t="shared" si="24"/>
        <v>8</v>
      </c>
      <c r="Z79" s="1">
        <f t="shared" si="17"/>
        <v>7588</v>
      </c>
      <c r="AA79" s="1">
        <f t="shared" si="18"/>
        <v>-379</v>
      </c>
      <c r="AB79" s="1">
        <f t="shared" si="24"/>
        <v>3277</v>
      </c>
      <c r="AC79" s="1">
        <f t="shared" si="24"/>
        <v>155</v>
      </c>
      <c r="AD79" s="1">
        <f t="shared" si="24"/>
        <v>-61</v>
      </c>
      <c r="AE79" s="1">
        <f t="shared" si="20"/>
        <v>-14</v>
      </c>
      <c r="AG79" s="1">
        <f t="shared" si="21"/>
        <v>9066</v>
      </c>
    </row>
    <row r="80" spans="1:33" x14ac:dyDescent="0.25">
      <c r="A80" s="9">
        <v>1906</v>
      </c>
      <c r="H80" s="1">
        <f t="shared" si="12"/>
        <v>33711</v>
      </c>
      <c r="I80" s="1">
        <f t="shared" si="13"/>
        <v>-82671</v>
      </c>
      <c r="J80" s="1">
        <f t="shared" si="25"/>
        <v>184</v>
      </c>
      <c r="K80" s="1">
        <f t="shared" si="25"/>
        <v>849</v>
      </c>
      <c r="L80" s="1">
        <f t="shared" si="25"/>
        <v>194</v>
      </c>
      <c r="M80" s="1">
        <f t="shared" si="25"/>
        <v>-127</v>
      </c>
      <c r="N80" s="1">
        <f t="shared" si="25"/>
        <v>57</v>
      </c>
      <c r="O80" s="1">
        <f t="shared" si="25"/>
        <v>92</v>
      </c>
      <c r="P80" s="1">
        <f t="shared" si="25"/>
        <v>33</v>
      </c>
      <c r="Q80" s="1">
        <f t="shared" si="25"/>
        <v>1234</v>
      </c>
      <c r="R80" s="1">
        <f t="shared" si="15"/>
        <v>409</v>
      </c>
      <c r="S80" s="1">
        <f t="shared" si="24"/>
        <v>501</v>
      </c>
      <c r="T80" s="1">
        <f t="shared" si="24"/>
        <v>146</v>
      </c>
      <c r="U80" s="1">
        <f t="shared" si="24"/>
        <v>108</v>
      </c>
      <c r="V80" s="1">
        <f t="shared" si="24"/>
        <v>58</v>
      </c>
      <c r="W80" s="1">
        <f t="shared" si="24"/>
        <v>19</v>
      </c>
      <c r="X80" s="1">
        <f t="shared" si="24"/>
        <v>4</v>
      </c>
      <c r="Y80" s="1">
        <f t="shared" si="24"/>
        <v>20</v>
      </c>
      <c r="Z80" s="1">
        <f t="shared" si="17"/>
        <v>34123</v>
      </c>
      <c r="AA80" s="1">
        <f t="shared" si="18"/>
        <v>16572</v>
      </c>
      <c r="AB80" s="1">
        <f t="shared" si="24"/>
        <v>7674</v>
      </c>
      <c r="AC80" s="1">
        <f t="shared" si="24"/>
        <v>4211</v>
      </c>
      <c r="AD80" s="1">
        <f t="shared" si="24"/>
        <v>-444</v>
      </c>
      <c r="AE80" s="1">
        <f t="shared" si="20"/>
        <v>3450</v>
      </c>
      <c r="AG80" s="1">
        <f t="shared" si="21"/>
        <v>20407</v>
      </c>
    </row>
    <row r="81" spans="1:33" x14ac:dyDescent="0.25">
      <c r="A81" s="9">
        <v>1907</v>
      </c>
      <c r="H81" s="1">
        <f t="shared" si="12"/>
        <v>17598</v>
      </c>
      <c r="I81" s="1">
        <f t="shared" si="13"/>
        <v>11905</v>
      </c>
      <c r="J81" s="1">
        <f t="shared" si="25"/>
        <v>-37</v>
      </c>
      <c r="K81" s="1">
        <f t="shared" si="25"/>
        <v>1500</v>
      </c>
      <c r="L81" s="1">
        <f t="shared" si="25"/>
        <v>553</v>
      </c>
      <c r="M81" s="1">
        <f t="shared" si="25"/>
        <v>-67</v>
      </c>
      <c r="N81" s="1">
        <f t="shared" si="25"/>
        <v>614</v>
      </c>
      <c r="O81" s="1">
        <f t="shared" si="25"/>
        <v>230</v>
      </c>
      <c r="P81" s="1">
        <f t="shared" si="25"/>
        <v>214</v>
      </c>
      <c r="Q81" s="1">
        <f t="shared" si="25"/>
        <v>-13</v>
      </c>
      <c r="R81" s="1">
        <f t="shared" si="15"/>
        <v>375</v>
      </c>
      <c r="S81" s="1">
        <f t="shared" si="24"/>
        <v>714</v>
      </c>
      <c r="T81" s="1">
        <f t="shared" si="24"/>
        <v>140</v>
      </c>
      <c r="U81" s="1">
        <f t="shared" si="24"/>
        <v>445</v>
      </c>
      <c r="V81" s="1">
        <f t="shared" si="24"/>
        <v>83</v>
      </c>
      <c r="W81" s="1">
        <f t="shared" si="24"/>
        <v>149</v>
      </c>
      <c r="X81" s="1">
        <f t="shared" si="24"/>
        <v>-13</v>
      </c>
      <c r="Y81" s="1">
        <f t="shared" si="24"/>
        <v>-25</v>
      </c>
      <c r="Z81" s="1">
        <f t="shared" si="17"/>
        <v>16182</v>
      </c>
      <c r="AA81" s="1">
        <f t="shared" si="18"/>
        <v>27703</v>
      </c>
      <c r="AB81" s="1">
        <f t="shared" si="24"/>
        <v>14572</v>
      </c>
      <c r="AC81" s="1">
        <f t="shared" si="24"/>
        <v>1280</v>
      </c>
      <c r="AD81" s="1">
        <f t="shared" si="24"/>
        <v>-415</v>
      </c>
      <c r="AE81" s="1">
        <f t="shared" si="20"/>
        <v>9635</v>
      </c>
      <c r="AG81" s="1">
        <f t="shared" si="21"/>
        <v>103322</v>
      </c>
    </row>
    <row r="82" spans="1:33" x14ac:dyDescent="0.25">
      <c r="A82" s="9">
        <v>1908</v>
      </c>
      <c r="H82" s="1">
        <f t="shared" si="12"/>
        <v>23538</v>
      </c>
      <c r="I82" s="1">
        <f t="shared" si="13"/>
        <v>10199</v>
      </c>
      <c r="J82" s="1">
        <f t="shared" si="25"/>
        <v>266</v>
      </c>
      <c r="K82" s="1">
        <f t="shared" si="25"/>
        <v>2407</v>
      </c>
      <c r="L82" s="1">
        <f t="shared" si="25"/>
        <v>271</v>
      </c>
      <c r="M82" s="1">
        <f t="shared" si="25"/>
        <v>323</v>
      </c>
      <c r="N82" s="1">
        <f t="shared" si="25"/>
        <v>487</v>
      </c>
      <c r="O82" s="1">
        <f t="shared" si="25"/>
        <v>213</v>
      </c>
      <c r="P82" s="1">
        <f t="shared" si="25"/>
        <v>-16</v>
      </c>
      <c r="Q82" s="1">
        <f t="shared" si="25"/>
        <v>433</v>
      </c>
      <c r="R82" s="1">
        <f t="shared" si="15"/>
        <v>1101</v>
      </c>
      <c r="S82" s="1">
        <f t="shared" si="24"/>
        <v>174</v>
      </c>
      <c r="T82" s="1">
        <f t="shared" si="24"/>
        <v>459</v>
      </c>
      <c r="U82" s="1">
        <f t="shared" si="24"/>
        <v>343</v>
      </c>
      <c r="V82" s="1">
        <f t="shared" si="24"/>
        <v>-70</v>
      </c>
      <c r="W82" s="1">
        <f t="shared" si="24"/>
        <v>102</v>
      </c>
      <c r="X82" s="1">
        <f t="shared" si="24"/>
        <v>65</v>
      </c>
      <c r="Y82" s="1">
        <f t="shared" si="24"/>
        <v>-17</v>
      </c>
      <c r="Z82" s="1">
        <f t="shared" si="17"/>
        <v>14617</v>
      </c>
      <c r="AA82" s="1">
        <f t="shared" si="18"/>
        <v>13337</v>
      </c>
      <c r="AB82" s="1">
        <f t="shared" si="24"/>
        <v>13278</v>
      </c>
      <c r="AC82" s="1">
        <f t="shared" si="24"/>
        <v>170</v>
      </c>
      <c r="AD82" s="1">
        <f t="shared" si="24"/>
        <v>-227</v>
      </c>
      <c r="AE82" s="1">
        <f t="shared" si="20"/>
        <v>856</v>
      </c>
      <c r="AG82" s="1">
        <f t="shared" si="21"/>
        <v>82309</v>
      </c>
    </row>
    <row r="83" spans="1:33" x14ac:dyDescent="0.25">
      <c r="A83" s="9">
        <v>1909</v>
      </c>
      <c r="H83" s="1">
        <f t="shared" si="12"/>
        <v>34466</v>
      </c>
      <c r="I83" s="1">
        <f t="shared" si="13"/>
        <v>6329</v>
      </c>
      <c r="J83" s="1">
        <f t="shared" si="25"/>
        <v>859</v>
      </c>
      <c r="K83" s="1">
        <f t="shared" si="25"/>
        <v>1210</v>
      </c>
      <c r="L83" s="1">
        <f t="shared" si="25"/>
        <v>444</v>
      </c>
      <c r="M83" s="1">
        <f t="shared" si="25"/>
        <v>-112</v>
      </c>
      <c r="N83" s="1">
        <f t="shared" si="25"/>
        <v>578</v>
      </c>
      <c r="O83" s="1">
        <f t="shared" si="25"/>
        <v>430</v>
      </c>
      <c r="P83" s="1">
        <f t="shared" si="25"/>
        <v>397</v>
      </c>
      <c r="Q83" s="1">
        <f t="shared" si="25"/>
        <v>118</v>
      </c>
      <c r="R83" s="1">
        <f t="shared" si="15"/>
        <v>2190</v>
      </c>
      <c r="S83" s="1">
        <f t="shared" si="24"/>
        <v>517</v>
      </c>
      <c r="T83" s="1">
        <f t="shared" si="24"/>
        <v>580</v>
      </c>
      <c r="U83" s="1">
        <f t="shared" si="24"/>
        <v>474</v>
      </c>
      <c r="V83" s="1">
        <f t="shared" si="24"/>
        <v>33</v>
      </c>
      <c r="W83" s="1">
        <f t="shared" si="24"/>
        <v>81</v>
      </c>
      <c r="X83" s="1">
        <f t="shared" si="24"/>
        <v>26</v>
      </c>
      <c r="Y83" s="1">
        <f t="shared" si="24"/>
        <v>27</v>
      </c>
      <c r="Z83" s="1">
        <f t="shared" si="17"/>
        <v>20199</v>
      </c>
      <c r="AA83" s="1">
        <f t="shared" si="18"/>
        <v>16459</v>
      </c>
      <c r="AB83" s="1">
        <f t="shared" si="24"/>
        <v>22675</v>
      </c>
      <c r="AC83" s="1">
        <f t="shared" si="24"/>
        <v>916</v>
      </c>
      <c r="AD83" s="1">
        <f t="shared" si="24"/>
        <v>131</v>
      </c>
      <c r="AE83" s="1">
        <f t="shared" si="20"/>
        <v>1072</v>
      </c>
      <c r="AG83" s="1">
        <f t="shared" si="21"/>
        <v>110099</v>
      </c>
    </row>
    <row r="84" spans="1:33" x14ac:dyDescent="0.25">
      <c r="A84" s="9">
        <v>1910</v>
      </c>
      <c r="H84" s="1">
        <f t="shared" si="12"/>
        <v>-31709</v>
      </c>
      <c r="I84" s="1">
        <f t="shared" si="13"/>
        <v>6158</v>
      </c>
      <c r="J84" s="1">
        <f t="shared" si="25"/>
        <v>1491</v>
      </c>
      <c r="K84" s="1">
        <f t="shared" si="25"/>
        <v>3119</v>
      </c>
      <c r="L84" s="1">
        <f t="shared" si="25"/>
        <v>671</v>
      </c>
      <c r="M84" s="1">
        <f t="shared" si="25"/>
        <v>405</v>
      </c>
      <c r="N84" s="1">
        <f t="shared" si="25"/>
        <v>387</v>
      </c>
      <c r="O84" s="1">
        <f t="shared" si="25"/>
        <v>522</v>
      </c>
      <c r="P84" s="1">
        <f t="shared" si="25"/>
        <v>441</v>
      </c>
      <c r="Q84" s="1">
        <f t="shared" si="25"/>
        <v>1345</v>
      </c>
      <c r="R84" s="1">
        <f t="shared" si="15"/>
        <v>967</v>
      </c>
      <c r="S84" s="1">
        <f t="shared" si="24"/>
        <v>278</v>
      </c>
      <c r="T84" s="1">
        <f t="shared" si="24"/>
        <v>455</v>
      </c>
      <c r="U84" s="1">
        <f t="shared" si="24"/>
        <v>725</v>
      </c>
      <c r="V84" s="1">
        <f t="shared" si="24"/>
        <v>121</v>
      </c>
      <c r="W84" s="1">
        <f t="shared" si="24"/>
        <v>63</v>
      </c>
      <c r="X84" s="1">
        <f t="shared" si="24"/>
        <v>28</v>
      </c>
      <c r="Y84" s="1">
        <f t="shared" si="24"/>
        <v>17</v>
      </c>
      <c r="Z84" s="1">
        <f t="shared" si="17"/>
        <v>24406</v>
      </c>
      <c r="AA84" s="1">
        <f t="shared" si="18"/>
        <v>19707</v>
      </c>
      <c r="AB84" s="1">
        <f t="shared" si="24"/>
        <v>18263</v>
      </c>
      <c r="AC84" s="1">
        <f t="shared" si="24"/>
        <v>-754</v>
      </c>
      <c r="AD84" s="1">
        <f t="shared" si="24"/>
        <v>-475</v>
      </c>
      <c r="AE84" s="1">
        <f t="shared" si="20"/>
        <v>6898</v>
      </c>
      <c r="AG84" s="1">
        <f t="shared" si="21"/>
        <v>53529</v>
      </c>
    </row>
    <row r="85" spans="1:33" x14ac:dyDescent="0.25">
      <c r="A85" s="9">
        <v>1911</v>
      </c>
      <c r="H85" s="1">
        <f t="shared" si="12"/>
        <v>18233</v>
      </c>
      <c r="I85" s="1">
        <f t="shared" si="13"/>
        <v>14467</v>
      </c>
      <c r="J85" s="1">
        <f t="shared" ref="J85:Q86" si="26">J32</f>
        <v>885</v>
      </c>
      <c r="K85" s="1">
        <f t="shared" si="26"/>
        <v>1388</v>
      </c>
      <c r="L85" s="1">
        <f t="shared" si="26"/>
        <v>301</v>
      </c>
      <c r="M85" s="1">
        <f t="shared" si="26"/>
        <v>393</v>
      </c>
      <c r="N85" s="1">
        <f t="shared" si="26"/>
        <v>632</v>
      </c>
      <c r="O85" s="1">
        <f t="shared" si="26"/>
        <v>844</v>
      </c>
      <c r="P85" s="1">
        <f t="shared" si="26"/>
        <v>312</v>
      </c>
      <c r="Q85" s="1">
        <f t="shared" si="26"/>
        <v>394</v>
      </c>
      <c r="R85" s="1">
        <f t="shared" si="15"/>
        <v>278</v>
      </c>
      <c r="S85" s="1">
        <f t="shared" si="24"/>
        <v>556</v>
      </c>
      <c r="T85" s="1">
        <f t="shared" si="24"/>
        <v>831</v>
      </c>
      <c r="U85" s="1">
        <f t="shared" si="24"/>
        <v>652</v>
      </c>
      <c r="V85" s="1">
        <f t="shared" si="24"/>
        <v>-1</v>
      </c>
      <c r="W85" s="1">
        <f t="shared" si="24"/>
        <v>73</v>
      </c>
      <c r="X85" s="1">
        <f t="shared" si="24"/>
        <v>35</v>
      </c>
      <c r="Y85" s="1">
        <f t="shared" si="24"/>
        <v>-34</v>
      </c>
      <c r="Z85" s="1">
        <f t="shared" si="17"/>
        <v>32555</v>
      </c>
      <c r="AA85" s="1">
        <f t="shared" si="18"/>
        <v>-3710</v>
      </c>
      <c r="AB85" s="1">
        <f t="shared" si="24"/>
        <v>23277</v>
      </c>
      <c r="AC85" s="1">
        <f t="shared" si="24"/>
        <v>1293</v>
      </c>
      <c r="AD85" s="1">
        <f t="shared" si="24"/>
        <v>-519</v>
      </c>
      <c r="AE85" s="1">
        <f t="shared" si="20"/>
        <v>521</v>
      </c>
      <c r="AG85" s="1">
        <f t="shared" si="21"/>
        <v>93656</v>
      </c>
    </row>
    <row r="86" spans="1:33" x14ac:dyDescent="0.25">
      <c r="A86" s="9">
        <v>1912</v>
      </c>
      <c r="H86" s="1">
        <f t="shared" si="12"/>
        <v>26741</v>
      </c>
      <c r="I86" s="1">
        <f t="shared" si="13"/>
        <v>6329</v>
      </c>
      <c r="J86" s="1">
        <f t="shared" si="26"/>
        <v>1428</v>
      </c>
      <c r="K86" s="1">
        <f t="shared" si="26"/>
        <v>1654</v>
      </c>
      <c r="L86" s="1">
        <f t="shared" si="26"/>
        <v>281</v>
      </c>
      <c r="M86" s="1">
        <f t="shared" si="26"/>
        <v>264</v>
      </c>
      <c r="N86" s="1">
        <f t="shared" si="26"/>
        <v>255</v>
      </c>
      <c r="O86" s="1">
        <f t="shared" si="26"/>
        <v>675</v>
      </c>
      <c r="P86" s="1">
        <f t="shared" si="26"/>
        <v>125</v>
      </c>
      <c r="Q86" s="1">
        <f t="shared" si="26"/>
        <v>-3643</v>
      </c>
      <c r="R86" s="1">
        <f t="shared" si="15"/>
        <v>688</v>
      </c>
      <c r="S86" s="1">
        <f t="shared" si="24"/>
        <v>-447</v>
      </c>
      <c r="T86" s="1">
        <f t="shared" si="24"/>
        <v>1010</v>
      </c>
      <c r="U86" s="1">
        <f t="shared" si="24"/>
        <v>845</v>
      </c>
      <c r="V86" s="1">
        <f t="shared" si="24"/>
        <v>-171</v>
      </c>
      <c r="W86" s="1">
        <f t="shared" si="24"/>
        <v>11</v>
      </c>
      <c r="X86" s="1">
        <f t="shared" si="24"/>
        <v>-9</v>
      </c>
      <c r="Y86" s="1">
        <f t="shared" si="24"/>
        <v>-130</v>
      </c>
      <c r="Z86" s="1">
        <f t="shared" si="17"/>
        <v>49934</v>
      </c>
      <c r="AA86" s="1">
        <f t="shared" si="18"/>
        <v>19789</v>
      </c>
      <c r="AB86" s="1">
        <f t="shared" si="24"/>
        <v>7686</v>
      </c>
      <c r="AC86" s="1">
        <f t="shared" si="24"/>
        <v>1699</v>
      </c>
      <c r="AD86" s="1">
        <f t="shared" si="24"/>
        <v>10</v>
      </c>
      <c r="AE86" s="1">
        <f t="shared" si="20"/>
        <v>-351</v>
      </c>
      <c r="AG86" s="1">
        <f t="shared" si="21"/>
        <v>114673</v>
      </c>
    </row>
    <row r="87" spans="1:33" x14ac:dyDescent="0.25">
      <c r="A87" s="9">
        <v>1913</v>
      </c>
      <c r="H87" s="1">
        <f t="shared" si="12"/>
        <v>20449</v>
      </c>
      <c r="I87" s="1">
        <f t="shared" si="13"/>
        <v>10229</v>
      </c>
      <c r="J87" s="1">
        <f>J34</f>
        <v>2768</v>
      </c>
      <c r="K87" s="1">
        <f>K34</f>
        <v>2244</v>
      </c>
      <c r="L87" s="1">
        <f>L34</f>
        <v>936</v>
      </c>
      <c r="M87" s="1">
        <f>M34</f>
        <v>941</v>
      </c>
      <c r="N87" s="1">
        <f>N34</f>
        <v>1258</v>
      </c>
      <c r="O87" s="1">
        <f t="shared" ref="K87:Q89" si="27">O34</f>
        <v>1699</v>
      </c>
      <c r="P87" s="1">
        <f t="shared" si="27"/>
        <v>383</v>
      </c>
      <c r="Q87" s="1">
        <f t="shared" si="27"/>
        <v>1792</v>
      </c>
      <c r="R87" s="1">
        <f t="shared" si="15"/>
        <v>520</v>
      </c>
      <c r="S87" s="1">
        <f t="shared" ref="S87:AD87" si="28">S34</f>
        <v>263</v>
      </c>
      <c r="T87" s="1">
        <f t="shared" si="28"/>
        <v>1330</v>
      </c>
      <c r="U87" s="1">
        <f t="shared" si="28"/>
        <v>478</v>
      </c>
      <c r="V87" s="1">
        <f t="shared" si="28"/>
        <v>17</v>
      </c>
      <c r="W87" s="1">
        <f t="shared" si="28"/>
        <v>116</v>
      </c>
      <c r="X87" s="1">
        <f t="shared" si="28"/>
        <v>45</v>
      </c>
      <c r="Y87" s="1">
        <f t="shared" si="28"/>
        <v>250</v>
      </c>
      <c r="Z87" s="1">
        <f t="shared" si="17"/>
        <v>60806</v>
      </c>
      <c r="AA87" s="1">
        <f t="shared" si="18"/>
        <v>56725</v>
      </c>
      <c r="AB87" s="1">
        <f t="shared" si="28"/>
        <v>16316</v>
      </c>
      <c r="AC87" s="1">
        <f t="shared" si="28"/>
        <v>814</v>
      </c>
      <c r="AD87" s="1">
        <f t="shared" si="28"/>
        <v>137</v>
      </c>
      <c r="AE87" s="1">
        <f t="shared" si="20"/>
        <v>5688</v>
      </c>
      <c r="AG87" s="1">
        <f t="shared" si="21"/>
        <v>186204</v>
      </c>
    </row>
    <row r="88" spans="1:33" x14ac:dyDescent="0.25">
      <c r="A88" s="9">
        <v>1914</v>
      </c>
      <c r="H88" s="1">
        <f t="shared" si="12"/>
        <v>450</v>
      </c>
      <c r="I88" s="1">
        <f t="shared" si="13"/>
        <v>10782</v>
      </c>
      <c r="J88" s="1">
        <f>J35</f>
        <v>-1098</v>
      </c>
      <c r="K88" s="1">
        <f t="shared" si="27"/>
        <v>-28</v>
      </c>
      <c r="L88" s="1">
        <f t="shared" si="27"/>
        <v>889</v>
      </c>
      <c r="M88" s="1">
        <f t="shared" si="27"/>
        <v>-273</v>
      </c>
      <c r="N88" s="1">
        <f t="shared" si="27"/>
        <v>423</v>
      </c>
      <c r="O88" s="1">
        <f t="shared" si="27"/>
        <v>694</v>
      </c>
      <c r="P88" s="1">
        <f t="shared" si="27"/>
        <v>-331</v>
      </c>
      <c r="Q88" s="1">
        <f t="shared" si="27"/>
        <v>1577</v>
      </c>
      <c r="R88" s="1">
        <f t="shared" si="15"/>
        <v>424</v>
      </c>
      <c r="S88" s="1">
        <f t="shared" ref="S88:AD88" si="29">S35</f>
        <v>865</v>
      </c>
      <c r="T88" s="1">
        <f t="shared" si="29"/>
        <v>557</v>
      </c>
      <c r="U88" s="1">
        <f t="shared" si="29"/>
        <v>12</v>
      </c>
      <c r="V88" s="1">
        <f t="shared" si="29"/>
        <v>-14</v>
      </c>
      <c r="W88" s="1">
        <f t="shared" si="29"/>
        <v>43</v>
      </c>
      <c r="X88" s="1">
        <f t="shared" si="29"/>
        <v>7</v>
      </c>
      <c r="Y88" s="1">
        <f t="shared" si="29"/>
        <v>45</v>
      </c>
      <c r="Z88" s="1">
        <f t="shared" si="17"/>
        <v>50658</v>
      </c>
      <c r="AA88" s="1">
        <f t="shared" si="18"/>
        <v>23184</v>
      </c>
      <c r="AB88" s="1">
        <f t="shared" si="29"/>
        <v>10755</v>
      </c>
      <c r="AC88" s="1">
        <f t="shared" si="29"/>
        <v>300</v>
      </c>
      <c r="AD88" s="1">
        <f t="shared" si="29"/>
        <v>34</v>
      </c>
      <c r="AE88" s="1">
        <f t="shared" si="20"/>
        <v>-330</v>
      </c>
      <c r="AG88" s="1">
        <f t="shared" si="21"/>
        <v>99625</v>
      </c>
    </row>
    <row r="89" spans="1:33" x14ac:dyDescent="0.25">
      <c r="A89" s="9">
        <v>1915</v>
      </c>
      <c r="H89" s="1">
        <f t="shared" si="12"/>
        <v>-7327</v>
      </c>
      <c r="I89" s="1">
        <f t="shared" si="13"/>
        <v>-1094</v>
      </c>
      <c r="J89" s="1">
        <f>J36</f>
        <v>-138</v>
      </c>
      <c r="K89" s="1">
        <f t="shared" si="27"/>
        <v>-88</v>
      </c>
      <c r="L89" s="1">
        <f t="shared" si="27"/>
        <v>43</v>
      </c>
      <c r="M89" s="1">
        <f t="shared" si="27"/>
        <v>48</v>
      </c>
      <c r="N89" s="1">
        <f t="shared" si="27"/>
        <v>96</v>
      </c>
      <c r="O89" s="1">
        <f t="shared" si="27"/>
        <v>-4</v>
      </c>
      <c r="P89" s="1">
        <f t="shared" si="27"/>
        <v>-24</v>
      </c>
      <c r="Q89" s="1">
        <f t="shared" si="27"/>
        <v>859</v>
      </c>
      <c r="R89" s="1">
        <f t="shared" si="15"/>
        <v>-30</v>
      </c>
      <c r="S89" s="1">
        <f t="shared" ref="S89:AD89" si="30">S36</f>
        <v>-442</v>
      </c>
      <c r="T89" s="1">
        <f t="shared" si="30"/>
        <v>23</v>
      </c>
      <c r="U89" s="1">
        <f t="shared" si="30"/>
        <v>67</v>
      </c>
      <c r="V89" s="1">
        <f t="shared" si="30"/>
        <v>34</v>
      </c>
      <c r="W89" s="1">
        <f t="shared" si="30"/>
        <v>10</v>
      </c>
      <c r="X89" s="1">
        <f t="shared" si="30"/>
        <v>-1</v>
      </c>
      <c r="Y89" s="1">
        <f t="shared" si="30"/>
        <v>33</v>
      </c>
      <c r="Z89" s="1">
        <f t="shared" si="17"/>
        <v>20497</v>
      </c>
      <c r="AA89" s="1">
        <f t="shared" si="18"/>
        <v>36286</v>
      </c>
      <c r="AB89" s="1">
        <f t="shared" si="30"/>
        <v>464</v>
      </c>
      <c r="AC89" s="1">
        <f t="shared" si="30"/>
        <v>1509</v>
      </c>
      <c r="AD89" s="1">
        <f t="shared" si="30"/>
        <v>79</v>
      </c>
      <c r="AE89" s="1">
        <f t="shared" si="20"/>
        <v>-1622</v>
      </c>
      <c r="AG89" s="1">
        <f t="shared" si="21"/>
        <v>49278</v>
      </c>
    </row>
    <row r="91" spans="1:33" x14ac:dyDescent="0.25">
      <c r="AG91" s="1">
        <f>SUM(AG55:AG69)</f>
        <v>960967</v>
      </c>
    </row>
    <row r="92" spans="1:33" x14ac:dyDescent="0.25">
      <c r="AG92" s="1">
        <f>SUM(AG70:AG89)</f>
        <v>1622024</v>
      </c>
    </row>
    <row r="93" spans="1:33" x14ac:dyDescent="0.25">
      <c r="AG93" s="1">
        <f>AG92+AG91</f>
        <v>2582991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8E4D5-6DC9-4566-AC84-244F24C82204}">
  <dimension ref="A1:AI93"/>
  <sheetViews>
    <sheetView tabSelected="1" workbookViewId="0">
      <pane xSplit="1" topLeftCell="B1" activePane="topRight" state="frozen"/>
      <selection pane="topRight" activeCell="A40" sqref="A40"/>
    </sheetView>
  </sheetViews>
  <sheetFormatPr defaultRowHeight="15" x14ac:dyDescent="0.25"/>
  <cols>
    <col min="1" max="1" width="10.7109375" customWidth="1"/>
    <col min="2" max="2" width="11.5703125" bestFit="1" customWidth="1"/>
    <col min="3" max="3" width="10" bestFit="1" customWidth="1"/>
    <col min="4" max="4" width="11.28515625" bestFit="1" customWidth="1"/>
    <col min="5" max="5" width="9.42578125" bestFit="1" customWidth="1"/>
    <col min="6" max="6" width="8.140625" bestFit="1" customWidth="1"/>
    <col min="7" max="7" width="12.140625" bestFit="1" customWidth="1"/>
    <col min="8" max="8" width="9.140625" bestFit="1" customWidth="1"/>
    <col min="9" max="9" width="7.5703125" bestFit="1" customWidth="1"/>
    <col min="10" max="10" width="8.42578125" bestFit="1" customWidth="1"/>
    <col min="11" max="11" width="8.7109375" bestFit="1" customWidth="1"/>
    <col min="12" max="12" width="6.140625" bestFit="1" customWidth="1"/>
    <col min="13" max="13" width="10.5703125" bestFit="1" customWidth="1"/>
    <col min="14" max="14" width="7.5703125" bestFit="1" customWidth="1"/>
    <col min="15" max="15" width="10" bestFit="1" customWidth="1"/>
    <col min="16" max="16" width="6.85546875" bestFit="1" customWidth="1"/>
    <col min="17" max="17" width="8.5703125" bestFit="1" customWidth="1"/>
    <col min="18" max="18" width="8.7109375" bestFit="1" customWidth="1"/>
    <col min="19" max="19" width="6.85546875" bestFit="1" customWidth="1"/>
    <col min="20" max="20" width="6.140625" bestFit="1" customWidth="1"/>
    <col min="21" max="21" width="17.5703125" bestFit="1" customWidth="1"/>
    <col min="22" max="22" width="7" bestFit="1" customWidth="1"/>
    <col min="23" max="23" width="8" bestFit="1" customWidth="1"/>
    <col min="24" max="24" width="10.42578125" bestFit="1" customWidth="1"/>
    <col min="25" max="25" width="11" bestFit="1" customWidth="1"/>
    <col min="26" max="29" width="7.140625" bestFit="1" customWidth="1"/>
    <col min="30" max="30" width="12.5703125" bestFit="1" customWidth="1"/>
    <col min="31" max="31" width="9.5703125" bestFit="1" customWidth="1"/>
    <col min="33" max="33" width="12" bestFit="1" customWidth="1"/>
    <col min="34" max="34" width="8.5703125" bestFit="1" customWidth="1"/>
    <col min="35" max="35" width="9.140625" bestFit="1" customWidth="1"/>
  </cols>
  <sheetData>
    <row r="1" spans="1:31" x14ac:dyDescent="0.25">
      <c r="A1" s="16" t="s">
        <v>0</v>
      </c>
      <c r="B1" s="8" t="s">
        <v>41</v>
      </c>
      <c r="C1" s="8" t="s">
        <v>40</v>
      </c>
      <c r="D1" s="8" t="s">
        <v>42</v>
      </c>
      <c r="E1" s="8" t="s">
        <v>43</v>
      </c>
      <c r="F1" s="8" t="s">
        <v>44</v>
      </c>
      <c r="G1" s="8" t="s">
        <v>46</v>
      </c>
      <c r="H1" s="8" t="s">
        <v>7</v>
      </c>
      <c r="I1" s="8" t="s">
        <v>8</v>
      </c>
      <c r="J1" s="8" t="s">
        <v>21</v>
      </c>
      <c r="K1" s="8" t="s">
        <v>22</v>
      </c>
      <c r="L1" s="8" t="s">
        <v>23</v>
      </c>
      <c r="M1" s="8" t="s">
        <v>24</v>
      </c>
      <c r="N1" s="8" t="s">
        <v>25</v>
      </c>
      <c r="O1" s="8" t="s">
        <v>26</v>
      </c>
      <c r="P1" s="8" t="s">
        <v>27</v>
      </c>
      <c r="Q1" s="8" t="s">
        <v>28</v>
      </c>
      <c r="R1" s="8" t="s">
        <v>9</v>
      </c>
      <c r="S1" s="8" t="s">
        <v>29</v>
      </c>
      <c r="T1" s="8" t="s">
        <v>30</v>
      </c>
      <c r="U1" s="8" t="s">
        <v>31</v>
      </c>
      <c r="V1" s="8" t="s">
        <v>32</v>
      </c>
      <c r="W1" s="8" t="s">
        <v>33</v>
      </c>
      <c r="X1" s="8" t="s">
        <v>34</v>
      </c>
      <c r="Y1" s="8" t="s">
        <v>35</v>
      </c>
      <c r="Z1" s="8" t="s">
        <v>12</v>
      </c>
      <c r="AA1" s="8" t="s">
        <v>10</v>
      </c>
      <c r="AB1" s="8" t="s">
        <v>36</v>
      </c>
      <c r="AC1" s="8" t="s">
        <v>37</v>
      </c>
      <c r="AD1" s="8" t="s">
        <v>53</v>
      </c>
      <c r="AE1" s="8" t="s">
        <v>45</v>
      </c>
    </row>
    <row r="2" spans="1:31" x14ac:dyDescent="0.25">
      <c r="A2" s="9">
        <v>1881</v>
      </c>
      <c r="B2" s="1">
        <v>23580</v>
      </c>
      <c r="C2" s="1">
        <v>5725</v>
      </c>
      <c r="D2" s="1">
        <v>892</v>
      </c>
      <c r="F2" s="1">
        <v>2099</v>
      </c>
      <c r="G2" s="1">
        <v>17</v>
      </c>
      <c r="H2" s="1">
        <v>31266</v>
      </c>
      <c r="I2" s="1">
        <v>15527</v>
      </c>
      <c r="J2" s="1">
        <v>-366</v>
      </c>
      <c r="K2" s="1">
        <v>-294</v>
      </c>
      <c r="L2" s="1">
        <v>7</v>
      </c>
      <c r="M2" s="1">
        <v>-159</v>
      </c>
      <c r="N2" s="1">
        <v>-3</v>
      </c>
      <c r="O2" s="1">
        <v>-55</v>
      </c>
      <c r="P2" s="1">
        <v>58</v>
      </c>
      <c r="Q2" s="1">
        <v>-76</v>
      </c>
      <c r="R2" s="1">
        <v>119</v>
      </c>
      <c r="S2" s="1">
        <v>598</v>
      </c>
      <c r="T2" s="1">
        <v>-18</v>
      </c>
      <c r="U2" s="1">
        <v>122</v>
      </c>
      <c r="V2" s="1">
        <v>-27</v>
      </c>
      <c r="W2" s="1">
        <v>6</v>
      </c>
      <c r="X2" s="1">
        <v>-2</v>
      </c>
      <c r="Y2" s="1">
        <v>26</v>
      </c>
      <c r="Z2" s="1">
        <v>-942</v>
      </c>
      <c r="AA2" s="1">
        <v>5</v>
      </c>
      <c r="AB2" s="1">
        <v>890</v>
      </c>
      <c r="AC2" s="1">
        <v>-2</v>
      </c>
      <c r="AD2" s="1">
        <v>20</v>
      </c>
      <c r="AE2" s="1">
        <v>0</v>
      </c>
    </row>
    <row r="3" spans="1:31" x14ac:dyDescent="0.25">
      <c r="A3" s="9">
        <f t="shared" ref="A3:A15" si="0">A4-1</f>
        <v>1882</v>
      </c>
      <c r="B3" s="1">
        <v>31320</v>
      </c>
      <c r="C3" s="1">
        <v>4379</v>
      </c>
      <c r="D3" s="1">
        <v>902</v>
      </c>
      <c r="G3" s="1">
        <v>-10</v>
      </c>
      <c r="H3" s="1">
        <v>19184</v>
      </c>
      <c r="I3" s="1">
        <v>37463</v>
      </c>
      <c r="J3" s="1">
        <v>-493</v>
      </c>
      <c r="K3" s="1">
        <v>599</v>
      </c>
      <c r="L3" s="1">
        <v>-11</v>
      </c>
      <c r="M3" s="1">
        <v>-781</v>
      </c>
      <c r="N3" s="1">
        <v>79</v>
      </c>
      <c r="O3" s="1">
        <v>-56</v>
      </c>
      <c r="P3" s="1">
        <v>387</v>
      </c>
      <c r="Q3" s="1">
        <v>-2</v>
      </c>
      <c r="R3" s="1">
        <v>526</v>
      </c>
      <c r="S3" s="1">
        <v>419</v>
      </c>
      <c r="T3" s="1">
        <v>-21</v>
      </c>
      <c r="U3" s="1">
        <v>17</v>
      </c>
      <c r="V3" s="1">
        <v>5</v>
      </c>
      <c r="W3" s="1">
        <v>4</v>
      </c>
      <c r="X3" s="1">
        <v>-2</v>
      </c>
      <c r="Y3" s="1">
        <v>-3</v>
      </c>
      <c r="Z3" s="1">
        <v>7068</v>
      </c>
      <c r="AA3" s="1">
        <v>10</v>
      </c>
      <c r="AB3" s="1">
        <v>3081</v>
      </c>
      <c r="AC3" s="1">
        <v>35</v>
      </c>
      <c r="AD3" s="1">
        <v>2</v>
      </c>
      <c r="AE3" s="1">
        <v>77</v>
      </c>
    </row>
    <row r="4" spans="1:31" x14ac:dyDescent="0.25">
      <c r="A4" s="9">
        <f t="shared" si="0"/>
        <v>1883</v>
      </c>
      <c r="B4" s="1">
        <v>15017</v>
      </c>
      <c r="C4" s="1">
        <v>6371</v>
      </c>
      <c r="D4" s="1">
        <v>662</v>
      </c>
      <c r="G4" s="1">
        <v>0</v>
      </c>
      <c r="H4" s="1">
        <v>15565</v>
      </c>
      <c r="I4" s="1">
        <v>28795</v>
      </c>
      <c r="J4" s="1">
        <v>1223</v>
      </c>
      <c r="K4" s="1">
        <v>154</v>
      </c>
      <c r="L4" s="1">
        <v>88</v>
      </c>
      <c r="M4" s="1">
        <v>93</v>
      </c>
      <c r="N4" s="1">
        <v>-1</v>
      </c>
      <c r="O4" s="1">
        <v>-6</v>
      </c>
      <c r="P4" s="1">
        <v>34</v>
      </c>
      <c r="Q4" s="1">
        <v>90</v>
      </c>
      <c r="R4" s="1">
        <v>-489</v>
      </c>
      <c r="S4" s="1">
        <v>279</v>
      </c>
      <c r="T4" s="1">
        <v>46</v>
      </c>
      <c r="U4" s="1">
        <v>78</v>
      </c>
      <c r="V4" s="1">
        <v>85</v>
      </c>
      <c r="W4" s="1">
        <v>2</v>
      </c>
      <c r="X4" s="1">
        <v>0</v>
      </c>
      <c r="Y4" s="1">
        <v>10</v>
      </c>
      <c r="Z4" s="1">
        <v>4546</v>
      </c>
      <c r="AA4" s="1">
        <v>-3</v>
      </c>
      <c r="AB4" s="1">
        <v>4826</v>
      </c>
      <c r="AC4" s="1">
        <v>-6</v>
      </c>
      <c r="AD4" s="1">
        <v>-7</v>
      </c>
      <c r="AE4" s="1">
        <v>49</v>
      </c>
    </row>
    <row r="5" spans="1:31" x14ac:dyDescent="0.25">
      <c r="A5" s="9">
        <f t="shared" si="0"/>
        <v>1884</v>
      </c>
      <c r="B5" s="1">
        <v>23871</v>
      </c>
      <c r="C5" s="1">
        <v>11873</v>
      </c>
      <c r="D5" s="1">
        <v>2206</v>
      </c>
      <c r="G5" s="1">
        <v>1</v>
      </c>
      <c r="H5" s="1">
        <v>9047</v>
      </c>
      <c r="I5" s="1">
        <v>26116</v>
      </c>
      <c r="J5" s="1">
        <v>281</v>
      </c>
      <c r="K5" s="1">
        <v>-371</v>
      </c>
      <c r="L5" s="1">
        <v>59</v>
      </c>
      <c r="M5" s="1">
        <v>29</v>
      </c>
      <c r="N5" s="1">
        <v>45</v>
      </c>
      <c r="O5" s="1">
        <v>12</v>
      </c>
      <c r="P5" s="1">
        <v>102</v>
      </c>
      <c r="Q5" s="1">
        <v>83</v>
      </c>
      <c r="R5" s="1">
        <v>237</v>
      </c>
      <c r="S5" s="1">
        <v>298</v>
      </c>
      <c r="T5" s="1">
        <v>67</v>
      </c>
      <c r="U5" s="1">
        <v>-83</v>
      </c>
      <c r="V5" s="1">
        <v>17</v>
      </c>
      <c r="W5" s="1">
        <v>-24</v>
      </c>
      <c r="X5" s="1">
        <v>9</v>
      </c>
      <c r="Y5" s="1">
        <v>26</v>
      </c>
      <c r="Z5" s="1">
        <v>6357</v>
      </c>
      <c r="AA5" s="1">
        <v>-8</v>
      </c>
      <c r="AB5" s="1">
        <v>2773</v>
      </c>
      <c r="AC5" s="1">
        <v>-7</v>
      </c>
      <c r="AD5" s="1">
        <v>-85</v>
      </c>
      <c r="AE5" s="1">
        <v>104</v>
      </c>
    </row>
    <row r="6" spans="1:31" x14ac:dyDescent="0.25">
      <c r="A6" s="9">
        <f t="shared" si="0"/>
        <v>1885</v>
      </c>
      <c r="B6" s="1">
        <v>49904</v>
      </c>
      <c r="C6" s="1">
        <v>13393</v>
      </c>
      <c r="D6" s="1">
        <v>420</v>
      </c>
      <c r="G6" s="1">
        <v>0</v>
      </c>
      <c r="H6" s="1">
        <v>15529</v>
      </c>
      <c r="I6" s="1">
        <v>31366</v>
      </c>
      <c r="J6" s="1">
        <v>2181</v>
      </c>
      <c r="K6" s="1">
        <v>537</v>
      </c>
      <c r="L6" s="1">
        <v>145</v>
      </c>
      <c r="M6" s="1">
        <v>218</v>
      </c>
      <c r="N6" s="1">
        <v>63</v>
      </c>
      <c r="O6" s="1">
        <v>-43</v>
      </c>
      <c r="P6" s="1">
        <v>-121</v>
      </c>
      <c r="Q6" s="1">
        <v>-90</v>
      </c>
      <c r="R6" s="1">
        <v>33</v>
      </c>
      <c r="S6" s="1">
        <v>39</v>
      </c>
      <c r="T6" s="1">
        <v>17</v>
      </c>
      <c r="U6" s="1">
        <v>358</v>
      </c>
      <c r="V6" s="1">
        <v>13</v>
      </c>
      <c r="W6" s="1">
        <v>-19</v>
      </c>
      <c r="X6" s="1">
        <v>-3</v>
      </c>
      <c r="Y6" s="1">
        <v>31</v>
      </c>
      <c r="Z6" s="1">
        <v>4602</v>
      </c>
      <c r="AA6" s="1">
        <v>-20</v>
      </c>
      <c r="AB6" s="1">
        <v>3934</v>
      </c>
      <c r="AC6" s="1">
        <v>4</v>
      </c>
      <c r="AD6" s="1">
        <v>-34</v>
      </c>
      <c r="AE6" s="1">
        <v>64</v>
      </c>
    </row>
    <row r="7" spans="1:31" x14ac:dyDescent="0.25">
      <c r="A7" s="9">
        <f t="shared" si="0"/>
        <v>1886</v>
      </c>
      <c r="B7" s="1">
        <v>44346</v>
      </c>
      <c r="C7" s="1">
        <v>11146</v>
      </c>
      <c r="D7" s="1">
        <v>716</v>
      </c>
      <c r="G7" s="1">
        <v>-12</v>
      </c>
      <c r="H7" s="1">
        <v>10819</v>
      </c>
      <c r="I7" s="1">
        <v>29461</v>
      </c>
      <c r="J7" s="1">
        <v>285</v>
      </c>
      <c r="K7" s="1">
        <v>229</v>
      </c>
      <c r="L7" s="1">
        <v>414</v>
      </c>
      <c r="M7" s="1">
        <v>223</v>
      </c>
      <c r="N7" s="1">
        <v>-93</v>
      </c>
      <c r="O7" s="1">
        <v>11</v>
      </c>
      <c r="P7" s="1">
        <v>317</v>
      </c>
      <c r="Q7" s="1">
        <v>-8</v>
      </c>
      <c r="R7" s="1">
        <v>-70</v>
      </c>
      <c r="S7" s="1">
        <v>879</v>
      </c>
      <c r="T7" s="1">
        <v>43</v>
      </c>
      <c r="U7" s="1">
        <v>150</v>
      </c>
      <c r="V7" s="1">
        <v>44</v>
      </c>
      <c r="W7" s="1">
        <v>17</v>
      </c>
      <c r="X7" s="1">
        <v>-6</v>
      </c>
      <c r="Y7" s="1">
        <v>4</v>
      </c>
      <c r="Z7" s="1">
        <v>14035</v>
      </c>
      <c r="AA7" s="1">
        <v>-24</v>
      </c>
      <c r="AB7" s="1">
        <v>3094</v>
      </c>
      <c r="AC7" s="1">
        <v>-8</v>
      </c>
      <c r="AD7" s="1">
        <v>17</v>
      </c>
      <c r="AE7" s="1">
        <v>-297</v>
      </c>
    </row>
    <row r="8" spans="1:31" x14ac:dyDescent="0.25">
      <c r="A8" s="9">
        <f t="shared" si="0"/>
        <v>1887</v>
      </c>
      <c r="B8" s="1">
        <v>37602</v>
      </c>
      <c r="C8" s="1">
        <v>7028</v>
      </c>
      <c r="D8" s="1">
        <v>139</v>
      </c>
      <c r="H8" s="1">
        <v>2475</v>
      </c>
      <c r="I8" s="1">
        <v>10626</v>
      </c>
      <c r="J8" s="1">
        <v>-898</v>
      </c>
      <c r="K8" s="1">
        <v>-429</v>
      </c>
      <c r="L8" s="1">
        <v>-76</v>
      </c>
      <c r="M8" s="1">
        <v>-294</v>
      </c>
      <c r="N8" s="1">
        <v>-121</v>
      </c>
      <c r="O8" s="1">
        <v>-27</v>
      </c>
      <c r="P8" s="1">
        <v>93</v>
      </c>
      <c r="Q8" s="1">
        <v>-6</v>
      </c>
      <c r="R8" s="1">
        <v>-14</v>
      </c>
      <c r="S8" s="1">
        <v>312</v>
      </c>
      <c r="T8" s="1">
        <v>-20</v>
      </c>
      <c r="U8" s="1">
        <v>-37</v>
      </c>
      <c r="V8" s="1">
        <v>13</v>
      </c>
      <c r="W8" s="1">
        <v>-5</v>
      </c>
      <c r="X8" s="1">
        <v>-17</v>
      </c>
      <c r="Y8" s="1">
        <v>22</v>
      </c>
      <c r="Z8" s="1">
        <v>8123</v>
      </c>
      <c r="AA8" s="1">
        <v>-99</v>
      </c>
      <c r="AB8" s="1">
        <v>2183</v>
      </c>
      <c r="AC8" s="1">
        <v>-5</v>
      </c>
      <c r="AD8" s="1">
        <v>-38</v>
      </c>
      <c r="AE8" s="1">
        <v>-215</v>
      </c>
    </row>
    <row r="9" spans="1:31" x14ac:dyDescent="0.25">
      <c r="A9" s="9">
        <f t="shared" si="0"/>
        <v>1888</v>
      </c>
      <c r="B9" s="1">
        <v>63610</v>
      </c>
      <c r="C9" s="1">
        <v>11348</v>
      </c>
      <c r="D9" s="1">
        <v>43</v>
      </c>
      <c r="H9" s="1">
        <v>4550</v>
      </c>
      <c r="I9" s="1">
        <v>4271</v>
      </c>
      <c r="J9" s="1">
        <v>-112</v>
      </c>
      <c r="K9" s="1">
        <v>243</v>
      </c>
      <c r="L9" s="1">
        <v>-75</v>
      </c>
      <c r="M9" s="1">
        <v>5</v>
      </c>
      <c r="N9" s="1">
        <v>74</v>
      </c>
      <c r="O9" s="1">
        <v>8</v>
      </c>
      <c r="P9" s="1">
        <v>174</v>
      </c>
      <c r="Q9" s="1">
        <v>79</v>
      </c>
      <c r="R9" s="1">
        <v>-27</v>
      </c>
      <c r="S9" s="1">
        <v>661</v>
      </c>
      <c r="T9" s="1">
        <v>44</v>
      </c>
      <c r="U9" s="1">
        <v>30</v>
      </c>
      <c r="V9" s="1">
        <v>11</v>
      </c>
      <c r="W9" s="1">
        <v>-6</v>
      </c>
      <c r="X9" s="1">
        <v>-12</v>
      </c>
      <c r="Y9" s="1">
        <v>-9</v>
      </c>
      <c r="Z9" s="1">
        <v>6129</v>
      </c>
      <c r="AA9" s="1">
        <v>-34</v>
      </c>
      <c r="AB9" s="1">
        <v>5927</v>
      </c>
      <c r="AC9" s="1">
        <v>-3</v>
      </c>
      <c r="AD9" s="1">
        <v>-71</v>
      </c>
      <c r="AE9" s="1">
        <v>42</v>
      </c>
    </row>
    <row r="10" spans="1:31" x14ac:dyDescent="0.25">
      <c r="A10" s="9">
        <f t="shared" si="0"/>
        <v>1889</v>
      </c>
      <c r="H10" s="1">
        <v>17395</v>
      </c>
      <c r="I10" s="1">
        <v>16643</v>
      </c>
      <c r="J10" s="1">
        <v>400</v>
      </c>
      <c r="K10" s="1">
        <v>1075</v>
      </c>
      <c r="L10" s="1">
        <v>920</v>
      </c>
      <c r="M10" s="1">
        <v>252</v>
      </c>
      <c r="N10" s="1">
        <v>-52</v>
      </c>
      <c r="O10" s="1">
        <v>30</v>
      </c>
      <c r="P10" s="1">
        <v>-25</v>
      </c>
      <c r="Q10" s="1">
        <v>4</v>
      </c>
      <c r="R10" s="1">
        <v>335</v>
      </c>
      <c r="S10" s="1">
        <v>296</v>
      </c>
      <c r="T10" s="1">
        <v>-9</v>
      </c>
      <c r="U10" s="1">
        <v>162</v>
      </c>
      <c r="V10" s="1">
        <v>-11</v>
      </c>
      <c r="W10" s="1">
        <v>36</v>
      </c>
      <c r="X10" s="1">
        <v>12</v>
      </c>
      <c r="Y10" s="1">
        <v>-2</v>
      </c>
      <c r="Z10" s="1">
        <v>8526</v>
      </c>
      <c r="AA10" s="1">
        <v>-100</v>
      </c>
      <c r="AB10" s="1">
        <v>2995</v>
      </c>
      <c r="AC10" s="1">
        <v>5</v>
      </c>
      <c r="AD10" s="1">
        <v>23</v>
      </c>
      <c r="AE10" s="1">
        <v>-19</v>
      </c>
    </row>
    <row r="11" spans="1:31" x14ac:dyDescent="0.25">
      <c r="A11" s="9">
        <f t="shared" si="0"/>
        <v>1890</v>
      </c>
      <c r="H11" s="1">
        <v>32800</v>
      </c>
      <c r="I11" s="1">
        <v>15833</v>
      </c>
      <c r="J11" s="1">
        <v>1581</v>
      </c>
      <c r="K11" s="1">
        <v>868</v>
      </c>
      <c r="L11" s="1">
        <v>290</v>
      </c>
      <c r="M11" s="1">
        <v>446</v>
      </c>
      <c r="N11" s="1">
        <v>113</v>
      </c>
      <c r="O11" s="1">
        <v>12</v>
      </c>
      <c r="P11" s="1">
        <v>1378</v>
      </c>
      <c r="Q11" s="1">
        <v>9</v>
      </c>
      <c r="R11" s="1">
        <v>612</v>
      </c>
      <c r="S11" s="1">
        <v>426</v>
      </c>
      <c r="T11" s="1">
        <v>21</v>
      </c>
      <c r="U11" s="1">
        <v>291</v>
      </c>
      <c r="V11" s="1">
        <v>-34</v>
      </c>
      <c r="W11" s="1">
        <v>25</v>
      </c>
      <c r="X11" s="1">
        <v>-24</v>
      </c>
      <c r="Y11" s="1">
        <v>41</v>
      </c>
      <c r="Z11" s="1">
        <v>12580</v>
      </c>
      <c r="AA11" s="1">
        <v>-89</v>
      </c>
      <c r="AB11" s="1">
        <v>3372</v>
      </c>
      <c r="AC11" s="1">
        <v>-2</v>
      </c>
      <c r="AD11" s="1">
        <v>-295</v>
      </c>
      <c r="AE11" s="1">
        <v>-706</v>
      </c>
    </row>
    <row r="12" spans="1:31" x14ac:dyDescent="0.25">
      <c r="A12" s="9">
        <f t="shared" si="0"/>
        <v>1891</v>
      </c>
      <c r="H12" s="1">
        <v>-11339</v>
      </c>
      <c r="I12" s="1">
        <v>19882</v>
      </c>
      <c r="J12" s="1">
        <v>-526</v>
      </c>
      <c r="K12" s="1">
        <v>851</v>
      </c>
      <c r="L12" s="1">
        <v>581</v>
      </c>
      <c r="M12" s="1">
        <v>39</v>
      </c>
      <c r="N12" s="1">
        <v>-98</v>
      </c>
      <c r="O12" s="1">
        <v>-2</v>
      </c>
      <c r="P12" s="1">
        <v>879</v>
      </c>
      <c r="Q12" s="1">
        <v>100</v>
      </c>
      <c r="R12" s="1">
        <v>-275</v>
      </c>
      <c r="S12" s="1">
        <v>201</v>
      </c>
      <c r="T12" s="1">
        <v>85</v>
      </c>
      <c r="U12" s="1">
        <v>240</v>
      </c>
      <c r="V12" s="1">
        <v>31</v>
      </c>
      <c r="W12" s="1">
        <v>-2</v>
      </c>
      <c r="X12" s="1">
        <v>0</v>
      </c>
      <c r="Y12" s="1">
        <v>4</v>
      </c>
      <c r="Z12" s="1">
        <v>7662</v>
      </c>
      <c r="AA12" s="1">
        <v>-122</v>
      </c>
      <c r="AB12" s="1">
        <v>3159</v>
      </c>
      <c r="AC12" s="1">
        <v>3</v>
      </c>
      <c r="AD12" s="1">
        <v>-343</v>
      </c>
      <c r="AE12" s="1">
        <v>-470</v>
      </c>
    </row>
    <row r="13" spans="1:31" x14ac:dyDescent="0.25">
      <c r="A13" s="9">
        <f t="shared" si="0"/>
        <v>1892</v>
      </c>
      <c r="H13" s="1">
        <v>3616</v>
      </c>
      <c r="I13" s="1">
        <v>9892</v>
      </c>
      <c r="J13" s="1">
        <v>-999</v>
      </c>
      <c r="K13" s="1">
        <v>416</v>
      </c>
      <c r="L13" s="1">
        <v>224</v>
      </c>
      <c r="M13" s="1">
        <v>-391</v>
      </c>
      <c r="N13" s="1">
        <v>-9</v>
      </c>
      <c r="O13" s="1">
        <v>17</v>
      </c>
      <c r="P13" s="1">
        <v>899</v>
      </c>
      <c r="Q13" s="1">
        <v>101</v>
      </c>
      <c r="R13" s="1">
        <v>-287</v>
      </c>
      <c r="S13" s="1">
        <v>214</v>
      </c>
      <c r="T13" s="1">
        <v>118</v>
      </c>
      <c r="U13" s="1">
        <v>199</v>
      </c>
      <c r="V13" s="1">
        <v>10</v>
      </c>
      <c r="W13" s="1">
        <v>14</v>
      </c>
      <c r="X13" s="1">
        <v>34</v>
      </c>
      <c r="Y13" s="1">
        <v>2</v>
      </c>
      <c r="Z13" s="1">
        <v>16360</v>
      </c>
      <c r="AA13" s="1">
        <v>-201</v>
      </c>
      <c r="AB13" s="1">
        <v>-164</v>
      </c>
      <c r="AC13" s="1">
        <v>5</v>
      </c>
      <c r="AD13" s="1">
        <v>-250</v>
      </c>
      <c r="AE13" s="1">
        <v>-16</v>
      </c>
    </row>
    <row r="14" spans="1:31" x14ac:dyDescent="0.25">
      <c r="A14" s="9">
        <f t="shared" si="0"/>
        <v>1893</v>
      </c>
      <c r="H14" s="1">
        <v>26811</v>
      </c>
      <c r="I14" s="1">
        <v>3749</v>
      </c>
      <c r="J14" s="1">
        <v>-127</v>
      </c>
      <c r="K14" s="1">
        <v>1811</v>
      </c>
      <c r="L14" s="1">
        <v>284</v>
      </c>
      <c r="M14" s="1">
        <v>76</v>
      </c>
      <c r="N14" s="1">
        <v>699</v>
      </c>
      <c r="O14" s="1">
        <v>69</v>
      </c>
      <c r="P14" s="1">
        <v>351</v>
      </c>
      <c r="Q14" s="1">
        <v>178</v>
      </c>
      <c r="R14" s="1">
        <v>69</v>
      </c>
      <c r="S14" s="1">
        <v>4</v>
      </c>
      <c r="T14" s="1">
        <v>-31</v>
      </c>
      <c r="U14" s="1">
        <v>275</v>
      </c>
      <c r="V14" s="1">
        <v>29</v>
      </c>
      <c r="W14" s="1">
        <v>-32</v>
      </c>
      <c r="X14" s="1">
        <v>-3</v>
      </c>
      <c r="Y14" s="1">
        <v>15</v>
      </c>
      <c r="Z14" s="1">
        <v>12664</v>
      </c>
      <c r="AA14" s="1">
        <v>385</v>
      </c>
      <c r="AB14" s="1">
        <v>5813</v>
      </c>
      <c r="AC14" s="1">
        <v>13</v>
      </c>
      <c r="AD14" s="1">
        <v>-393</v>
      </c>
      <c r="AE14" s="1">
        <v>44</v>
      </c>
    </row>
    <row r="15" spans="1:31" x14ac:dyDescent="0.25">
      <c r="A15" s="9">
        <f t="shared" si="0"/>
        <v>1894</v>
      </c>
      <c r="H15" s="1">
        <v>5875</v>
      </c>
      <c r="I15" s="1">
        <v>5078</v>
      </c>
      <c r="J15" s="1">
        <v>-1092</v>
      </c>
      <c r="K15" s="1">
        <v>871</v>
      </c>
      <c r="L15" s="1">
        <v>430</v>
      </c>
      <c r="M15" s="1">
        <v>-10</v>
      </c>
      <c r="N15" s="1">
        <v>-314</v>
      </c>
      <c r="O15" s="1">
        <v>40</v>
      </c>
      <c r="P15" s="1">
        <v>1153</v>
      </c>
      <c r="Q15" s="1">
        <v>103</v>
      </c>
      <c r="R15" s="1">
        <v>385</v>
      </c>
      <c r="S15" s="1">
        <v>398</v>
      </c>
      <c r="T15" s="1">
        <v>99</v>
      </c>
      <c r="U15" s="1">
        <v>390</v>
      </c>
      <c r="V15" s="1">
        <v>-4</v>
      </c>
      <c r="W15" s="1">
        <v>52</v>
      </c>
      <c r="X15" s="1">
        <v>25</v>
      </c>
      <c r="Y15" s="1">
        <v>16</v>
      </c>
      <c r="Z15" s="1">
        <v>14190</v>
      </c>
      <c r="AA15" s="1">
        <v>537</v>
      </c>
      <c r="AB15" s="1">
        <v>2051</v>
      </c>
      <c r="AC15" s="1">
        <v>6</v>
      </c>
      <c r="AD15" s="1">
        <v>-143</v>
      </c>
      <c r="AE15" s="1">
        <v>4552</v>
      </c>
    </row>
    <row r="16" spans="1:31" x14ac:dyDescent="0.25">
      <c r="A16" s="9">
        <f>A17-1</f>
        <v>1895</v>
      </c>
      <c r="H16" s="1">
        <f>-85110+100000</f>
        <v>14890</v>
      </c>
      <c r="I16" s="1">
        <v>15846</v>
      </c>
      <c r="J16" s="1">
        <v>-144</v>
      </c>
      <c r="K16" s="1">
        <v>1033</v>
      </c>
      <c r="L16" s="1">
        <v>1080</v>
      </c>
      <c r="M16" s="1">
        <v>347</v>
      </c>
      <c r="N16" s="1">
        <v>25</v>
      </c>
      <c r="O16" s="1">
        <v>-57</v>
      </c>
      <c r="P16" s="1">
        <v>597</v>
      </c>
      <c r="Q16" s="1">
        <v>8</v>
      </c>
      <c r="R16" s="1">
        <v>356</v>
      </c>
      <c r="S16" s="1">
        <v>107</v>
      </c>
      <c r="T16" s="1">
        <v>36</v>
      </c>
      <c r="U16" s="1">
        <v>204</v>
      </c>
      <c r="V16" s="1">
        <v>15</v>
      </c>
      <c r="W16" s="1">
        <v>22</v>
      </c>
      <c r="X16" s="1">
        <v>-4</v>
      </c>
      <c r="Y16" s="1">
        <v>22</v>
      </c>
      <c r="Z16" s="1">
        <v>16096</v>
      </c>
      <c r="AA16" s="1">
        <v>59</v>
      </c>
      <c r="AB16" s="1">
        <v>4906</v>
      </c>
      <c r="AC16" s="1">
        <v>12</v>
      </c>
      <c r="AD16" s="1">
        <v>-228</v>
      </c>
      <c r="AE16" s="1">
        <v>4320</v>
      </c>
    </row>
    <row r="17" spans="1:31" x14ac:dyDescent="0.25">
      <c r="A17" s="9">
        <v>1896</v>
      </c>
      <c r="B17" s="1">
        <v>25302</v>
      </c>
      <c r="C17" s="1">
        <v>2161</v>
      </c>
      <c r="D17" s="1">
        <v>123</v>
      </c>
      <c r="E17" s="1">
        <v>6592</v>
      </c>
      <c r="F17" s="1">
        <v>2617</v>
      </c>
      <c r="G17" s="1">
        <v>-1268</v>
      </c>
      <c r="H17" s="1">
        <v>-1842</v>
      </c>
      <c r="I17" s="1">
        <v>1018</v>
      </c>
      <c r="J17" s="1">
        <v>-978</v>
      </c>
      <c r="K17" s="1">
        <v>-902</v>
      </c>
      <c r="L17" s="1">
        <v>251</v>
      </c>
      <c r="M17" s="1">
        <v>426</v>
      </c>
      <c r="N17" s="1">
        <v>1415</v>
      </c>
      <c r="O17" s="1">
        <v>-110</v>
      </c>
      <c r="P17" s="1">
        <v>354</v>
      </c>
      <c r="Q17" s="1">
        <v>174</v>
      </c>
      <c r="R17" s="1">
        <v>166</v>
      </c>
      <c r="S17" s="1">
        <v>331</v>
      </c>
      <c r="T17" s="1">
        <v>51</v>
      </c>
      <c r="U17" s="1">
        <v>526</v>
      </c>
      <c r="V17" s="1">
        <v>129</v>
      </c>
      <c r="W17" s="1">
        <v>62</v>
      </c>
      <c r="X17" s="1">
        <v>-44</v>
      </c>
      <c r="Y17" s="1">
        <v>25</v>
      </c>
      <c r="Z17" s="1">
        <v>5503</v>
      </c>
      <c r="AA17" s="1">
        <v>-1186</v>
      </c>
      <c r="AB17" s="1">
        <v>4771</v>
      </c>
      <c r="AC17" s="1">
        <v>13</v>
      </c>
      <c r="AD17" s="1">
        <v>-2081</v>
      </c>
      <c r="AE17" s="1">
        <v>4102</v>
      </c>
    </row>
    <row r="18" spans="1:31" x14ac:dyDescent="0.25">
      <c r="A18" s="9">
        <f>A17+1</f>
        <v>1897</v>
      </c>
      <c r="B18" s="1">
        <v>25671</v>
      </c>
      <c r="C18" s="1">
        <v>3094</v>
      </c>
      <c r="D18" s="1">
        <v>265</v>
      </c>
      <c r="E18" s="1">
        <v>4198</v>
      </c>
      <c r="F18" s="1">
        <v>-242</v>
      </c>
      <c r="G18" s="1">
        <v>259</v>
      </c>
      <c r="H18" s="1">
        <v>896</v>
      </c>
      <c r="I18" s="1">
        <v>6059</v>
      </c>
      <c r="J18" s="1">
        <v>2018</v>
      </c>
      <c r="K18" s="1">
        <v>1013</v>
      </c>
      <c r="L18" s="1">
        <v>515</v>
      </c>
      <c r="M18" s="1">
        <v>524</v>
      </c>
      <c r="N18" s="1">
        <v>1418</v>
      </c>
      <c r="O18" s="1">
        <v>90</v>
      </c>
      <c r="P18" s="1">
        <v>484</v>
      </c>
      <c r="Q18" s="1">
        <v>-4</v>
      </c>
      <c r="R18" s="1">
        <v>190</v>
      </c>
      <c r="S18" s="1">
        <v>308</v>
      </c>
      <c r="T18" s="1">
        <v>290</v>
      </c>
      <c r="U18" s="1">
        <v>414</v>
      </c>
      <c r="V18" s="1">
        <v>75</v>
      </c>
      <c r="W18" s="1">
        <v>117</v>
      </c>
      <c r="X18" s="1">
        <v>40</v>
      </c>
      <c r="Y18" s="1">
        <v>-40</v>
      </c>
      <c r="Z18" s="1">
        <v>22426</v>
      </c>
      <c r="AA18" s="1">
        <v>1281</v>
      </c>
      <c r="AB18" s="1">
        <v>4740</v>
      </c>
      <c r="AC18" s="1">
        <v>16</v>
      </c>
      <c r="AD18" s="1">
        <v>60</v>
      </c>
      <c r="AE18" s="1">
        <v>3222</v>
      </c>
    </row>
    <row r="19" spans="1:31" x14ac:dyDescent="0.25">
      <c r="A19" s="9">
        <f t="shared" ref="A19:A36" si="1">A18+1</f>
        <v>1898</v>
      </c>
      <c r="B19" s="1">
        <v>13569</v>
      </c>
      <c r="C19" s="1">
        <v>5651</v>
      </c>
      <c r="D19" s="1">
        <v>426</v>
      </c>
      <c r="E19" s="1">
        <v>10761</v>
      </c>
      <c r="F19" s="1">
        <v>371</v>
      </c>
      <c r="G19" s="1">
        <v>-1036</v>
      </c>
      <c r="H19" s="1">
        <v>6111</v>
      </c>
      <c r="I19" s="1">
        <v>8828</v>
      </c>
      <c r="J19" s="1">
        <v>2061</v>
      </c>
      <c r="K19" s="1">
        <v>2034</v>
      </c>
      <c r="L19" s="1">
        <v>415</v>
      </c>
      <c r="M19" s="1">
        <v>383</v>
      </c>
      <c r="N19" s="1">
        <v>1838</v>
      </c>
      <c r="O19" s="1">
        <v>13</v>
      </c>
      <c r="P19" s="1">
        <v>636</v>
      </c>
      <c r="Q19" s="1">
        <v>161</v>
      </c>
      <c r="R19" s="1">
        <v>320</v>
      </c>
      <c r="S19" s="1">
        <v>424</v>
      </c>
      <c r="T19" s="1">
        <v>-171</v>
      </c>
      <c r="U19" s="1">
        <v>582</v>
      </c>
      <c r="V19" s="1">
        <v>223</v>
      </c>
      <c r="W19" s="1">
        <v>189</v>
      </c>
      <c r="X19" s="1">
        <v>-38</v>
      </c>
      <c r="Y19" s="1">
        <v>30</v>
      </c>
      <c r="Z19" s="1">
        <v>15851</v>
      </c>
      <c r="AA19" s="1">
        <v>679</v>
      </c>
      <c r="AB19" s="1">
        <v>9956</v>
      </c>
      <c r="AC19" s="1">
        <v>64</v>
      </c>
      <c r="AD19" s="1">
        <v>-14</v>
      </c>
      <c r="AE19" s="1">
        <v>3325</v>
      </c>
    </row>
    <row r="20" spans="1:31" x14ac:dyDescent="0.25">
      <c r="A20" s="9">
        <f t="shared" si="1"/>
        <v>1899</v>
      </c>
      <c r="B20" s="1">
        <v>35639</v>
      </c>
      <c r="C20" s="1">
        <v>4391</v>
      </c>
      <c r="D20" s="1">
        <v>251</v>
      </c>
      <c r="E20" s="1">
        <v>8397</v>
      </c>
      <c r="F20" s="1">
        <v>516</v>
      </c>
      <c r="G20" s="1">
        <v>-1</v>
      </c>
      <c r="H20" s="1">
        <v>3887</v>
      </c>
      <c r="I20" s="1">
        <v>4298</v>
      </c>
      <c r="J20" s="1">
        <v>506</v>
      </c>
      <c r="K20" s="1">
        <v>1122</v>
      </c>
      <c r="L20" s="1">
        <v>554</v>
      </c>
      <c r="M20" s="1">
        <v>202</v>
      </c>
      <c r="N20" s="1">
        <v>277</v>
      </c>
      <c r="O20" s="1">
        <v>131</v>
      </c>
      <c r="P20" s="1">
        <v>274</v>
      </c>
      <c r="Q20" s="1">
        <v>183</v>
      </c>
      <c r="R20" s="1">
        <v>159</v>
      </c>
      <c r="S20" s="1">
        <v>18</v>
      </c>
      <c r="T20" s="1">
        <v>159</v>
      </c>
      <c r="U20" s="1">
        <v>695</v>
      </c>
      <c r="V20" s="1">
        <v>62</v>
      </c>
      <c r="W20" s="1">
        <v>-23</v>
      </c>
      <c r="X20" s="1">
        <v>11</v>
      </c>
      <c r="Y20" s="1">
        <v>46</v>
      </c>
      <c r="Z20" s="1">
        <v>22661</v>
      </c>
      <c r="AA20" s="1">
        <v>958</v>
      </c>
      <c r="AB20" s="1">
        <v>8199</v>
      </c>
      <c r="AC20" s="1">
        <v>-4</v>
      </c>
      <c r="AD20" s="1">
        <v>-148</v>
      </c>
      <c r="AE20" s="1">
        <v>1734</v>
      </c>
    </row>
    <row r="21" spans="1:31" x14ac:dyDescent="0.25">
      <c r="A21" s="9">
        <f t="shared" si="1"/>
        <v>1900</v>
      </c>
      <c r="B21" s="1">
        <v>24614</v>
      </c>
      <c r="C21" s="1">
        <v>7607</v>
      </c>
      <c r="D21" s="1">
        <v>149</v>
      </c>
      <c r="E21" s="1">
        <v>2631</v>
      </c>
      <c r="F21" s="1">
        <v>703</v>
      </c>
      <c r="G21" s="1">
        <v>-187</v>
      </c>
      <c r="H21" s="1">
        <v>3810</v>
      </c>
      <c r="I21" s="1">
        <v>4183</v>
      </c>
      <c r="J21" s="1">
        <v>160</v>
      </c>
      <c r="K21" s="1">
        <v>506</v>
      </c>
      <c r="L21" s="1">
        <v>250</v>
      </c>
      <c r="M21" s="1">
        <v>-268</v>
      </c>
      <c r="N21" s="1">
        <v>598</v>
      </c>
      <c r="O21" s="1">
        <v>-117</v>
      </c>
      <c r="P21" s="1">
        <v>161</v>
      </c>
      <c r="Q21" s="1">
        <v>604</v>
      </c>
      <c r="R21" s="1">
        <v>229</v>
      </c>
      <c r="S21" s="1">
        <v>268</v>
      </c>
      <c r="T21" s="1">
        <v>204</v>
      </c>
      <c r="U21" s="1">
        <v>233</v>
      </c>
      <c r="V21" s="1">
        <v>0</v>
      </c>
      <c r="W21" s="1">
        <v>20</v>
      </c>
      <c r="X21" s="1">
        <v>27</v>
      </c>
      <c r="Y21" s="1">
        <v>34</v>
      </c>
      <c r="Z21" s="1">
        <v>7390</v>
      </c>
      <c r="AA21" s="1">
        <v>534</v>
      </c>
      <c r="AB21" s="1">
        <v>8448</v>
      </c>
      <c r="AC21" s="1">
        <v>-207</v>
      </c>
      <c r="AD21" s="1">
        <v>-215</v>
      </c>
      <c r="AE21" s="1">
        <v>183</v>
      </c>
    </row>
    <row r="22" spans="1:31" x14ac:dyDescent="0.25">
      <c r="A22" s="9">
        <f t="shared" si="1"/>
        <v>1901</v>
      </c>
      <c r="B22" s="1">
        <v>33299</v>
      </c>
      <c r="C22" s="1">
        <v>6435</v>
      </c>
      <c r="D22" s="1">
        <v>256</v>
      </c>
      <c r="E22" s="1">
        <v>3332</v>
      </c>
      <c r="F22" s="1">
        <v>544</v>
      </c>
      <c r="G22" s="1">
        <v>-144</v>
      </c>
      <c r="H22" s="1">
        <v>3376</v>
      </c>
      <c r="I22" s="1">
        <v>7264</v>
      </c>
      <c r="J22" s="1">
        <v>1178</v>
      </c>
      <c r="K22" s="1">
        <v>103</v>
      </c>
      <c r="L22" s="1">
        <v>373</v>
      </c>
      <c r="M22" s="1">
        <v>89</v>
      </c>
      <c r="N22" s="1">
        <v>236</v>
      </c>
      <c r="O22" s="1">
        <v>13</v>
      </c>
      <c r="P22" s="1">
        <v>270</v>
      </c>
      <c r="Q22" s="1">
        <v>978</v>
      </c>
      <c r="R22" s="1">
        <v>239</v>
      </c>
      <c r="S22" s="1">
        <v>284</v>
      </c>
      <c r="T22" s="1">
        <v>183</v>
      </c>
      <c r="U22" s="1">
        <v>322</v>
      </c>
      <c r="V22" s="1">
        <v>-11</v>
      </c>
      <c r="W22" s="1">
        <v>-7</v>
      </c>
      <c r="X22" s="1">
        <v>5</v>
      </c>
      <c r="Y22" s="1">
        <v>32</v>
      </c>
      <c r="Z22" s="1">
        <v>13206</v>
      </c>
      <c r="AA22" s="1">
        <v>23217</v>
      </c>
      <c r="AB22" s="1">
        <v>3584</v>
      </c>
      <c r="AC22" s="1">
        <v>1622</v>
      </c>
      <c r="AD22" s="1">
        <v>-392</v>
      </c>
      <c r="AE22" s="1">
        <v>-1288</v>
      </c>
    </row>
    <row r="23" spans="1:31" x14ac:dyDescent="0.25">
      <c r="A23" s="9">
        <f t="shared" si="1"/>
        <v>1902</v>
      </c>
      <c r="B23" s="1">
        <v>15722</v>
      </c>
      <c r="C23" s="1">
        <v>10945</v>
      </c>
      <c r="D23" s="1">
        <v>1230</v>
      </c>
      <c r="E23" s="1">
        <v>4136</v>
      </c>
      <c r="F23" s="1">
        <v>1052</v>
      </c>
      <c r="G23" s="1">
        <v>-93</v>
      </c>
      <c r="H23" s="1">
        <v>2400</v>
      </c>
      <c r="I23" s="1">
        <v>4431</v>
      </c>
      <c r="J23" s="1">
        <v>439</v>
      </c>
      <c r="K23" s="1">
        <v>485</v>
      </c>
      <c r="L23" s="1">
        <v>191</v>
      </c>
      <c r="M23" s="1">
        <v>62</v>
      </c>
      <c r="N23" s="1">
        <v>213</v>
      </c>
      <c r="O23" s="1">
        <v>198</v>
      </c>
      <c r="P23" s="1">
        <v>333</v>
      </c>
      <c r="Q23" s="1">
        <v>942</v>
      </c>
      <c r="R23" s="1">
        <v>-2</v>
      </c>
      <c r="S23" s="1">
        <v>367</v>
      </c>
      <c r="T23" s="1">
        <v>166</v>
      </c>
      <c r="U23" s="1">
        <v>198</v>
      </c>
      <c r="V23" s="1">
        <v>-19</v>
      </c>
      <c r="W23" s="1">
        <v>85</v>
      </c>
      <c r="X23" s="1">
        <v>-34</v>
      </c>
      <c r="Y23" s="1">
        <v>-36</v>
      </c>
      <c r="Z23" s="1">
        <v>17852</v>
      </c>
      <c r="AA23" s="1">
        <v>26514</v>
      </c>
      <c r="AB23" s="1">
        <v>7913</v>
      </c>
      <c r="AC23" s="1">
        <v>2264</v>
      </c>
      <c r="AD23" s="1">
        <v>-247</v>
      </c>
      <c r="AE23" s="1">
        <v>-1670</v>
      </c>
    </row>
    <row r="24" spans="1:31" x14ac:dyDescent="0.25">
      <c r="A24" s="9">
        <f t="shared" si="1"/>
        <v>1903</v>
      </c>
      <c r="B24" s="1">
        <v>21596</v>
      </c>
      <c r="C24" s="1">
        <v>7950</v>
      </c>
      <c r="D24" s="1">
        <v>263</v>
      </c>
      <c r="E24" s="1">
        <v>2557</v>
      </c>
      <c r="F24" s="1">
        <v>1027</v>
      </c>
      <c r="G24" s="1">
        <v>-13</v>
      </c>
      <c r="H24" s="1">
        <v>2839</v>
      </c>
      <c r="I24" s="1">
        <v>3515</v>
      </c>
      <c r="J24" s="1">
        <v>-8</v>
      </c>
      <c r="K24" s="1">
        <v>651</v>
      </c>
      <c r="L24" s="1">
        <v>355</v>
      </c>
      <c r="M24" s="1">
        <v>118</v>
      </c>
      <c r="N24" s="1">
        <v>84</v>
      </c>
      <c r="O24" s="1">
        <v>194</v>
      </c>
      <c r="P24" s="1">
        <v>375</v>
      </c>
      <c r="Q24" s="1">
        <v>813</v>
      </c>
      <c r="R24" s="1">
        <v>185</v>
      </c>
      <c r="S24" s="1">
        <v>314</v>
      </c>
      <c r="T24" s="1">
        <v>249</v>
      </c>
      <c r="U24" s="1">
        <v>377</v>
      </c>
      <c r="V24" s="1">
        <v>30</v>
      </c>
      <c r="W24" s="1">
        <v>24</v>
      </c>
      <c r="X24" s="1">
        <v>-4</v>
      </c>
      <c r="Y24" s="1">
        <v>20</v>
      </c>
      <c r="Z24" s="1">
        <v>21426</v>
      </c>
      <c r="AA24" s="1">
        <v>4225</v>
      </c>
      <c r="AB24" s="1">
        <v>10102</v>
      </c>
      <c r="AC24" s="1">
        <v>2079</v>
      </c>
      <c r="AD24" s="1">
        <v>-447</v>
      </c>
      <c r="AE24" s="1">
        <v>1204</v>
      </c>
    </row>
    <row r="25" spans="1:31" x14ac:dyDescent="0.25">
      <c r="A25" s="9">
        <f t="shared" si="1"/>
        <v>1904</v>
      </c>
      <c r="B25" s="1">
        <v>10279</v>
      </c>
      <c r="C25" s="1">
        <v>17133</v>
      </c>
      <c r="D25" s="1">
        <v>187</v>
      </c>
      <c r="E25" s="1">
        <v>-381</v>
      </c>
      <c r="F25" s="1">
        <v>2218</v>
      </c>
      <c r="G25" s="1">
        <v>-54</v>
      </c>
      <c r="H25" s="1">
        <v>3432</v>
      </c>
      <c r="I25" s="1">
        <v>-869</v>
      </c>
      <c r="J25" s="1">
        <v>190</v>
      </c>
      <c r="K25" s="1">
        <v>924</v>
      </c>
      <c r="L25" s="1">
        <v>110</v>
      </c>
      <c r="M25" s="1">
        <v>-164</v>
      </c>
      <c r="N25" s="1">
        <v>63</v>
      </c>
      <c r="O25" s="1">
        <v>168</v>
      </c>
      <c r="P25" s="1">
        <v>-192</v>
      </c>
      <c r="Q25" s="1">
        <v>402</v>
      </c>
      <c r="R25" s="1">
        <v>60</v>
      </c>
      <c r="S25" s="1">
        <v>333</v>
      </c>
      <c r="T25" s="1">
        <v>53</v>
      </c>
      <c r="U25" s="1">
        <v>83</v>
      </c>
      <c r="V25" s="1">
        <v>-85</v>
      </c>
      <c r="W25" s="1">
        <v>-55</v>
      </c>
      <c r="X25" s="1">
        <v>-44</v>
      </c>
      <c r="Y25" s="1">
        <v>4</v>
      </c>
      <c r="Z25" s="1">
        <v>15108</v>
      </c>
      <c r="AA25" s="1">
        <v>-369</v>
      </c>
      <c r="AB25" s="1">
        <v>9855</v>
      </c>
      <c r="AC25" s="1">
        <v>-459</v>
      </c>
      <c r="AD25" s="1">
        <v>-257</v>
      </c>
      <c r="AE25" s="1">
        <v>-2998</v>
      </c>
    </row>
    <row r="26" spans="1:31" x14ac:dyDescent="0.25">
      <c r="A26" s="9">
        <f t="shared" si="1"/>
        <v>1905</v>
      </c>
      <c r="B26" s="1">
        <v>17045</v>
      </c>
      <c r="C26" s="1">
        <v>-20655</v>
      </c>
      <c r="D26" s="1">
        <v>238</v>
      </c>
      <c r="E26" s="1">
        <v>2171</v>
      </c>
      <c r="F26" s="1">
        <v>2173</v>
      </c>
      <c r="G26" s="1">
        <v>83</v>
      </c>
      <c r="H26" s="1">
        <v>269</v>
      </c>
      <c r="I26" s="1">
        <v>865</v>
      </c>
      <c r="J26" s="1">
        <v>368</v>
      </c>
      <c r="K26" s="1">
        <v>286</v>
      </c>
      <c r="L26" s="1">
        <v>409</v>
      </c>
      <c r="M26" s="1">
        <v>-104</v>
      </c>
      <c r="N26" s="1">
        <v>-498</v>
      </c>
      <c r="O26" s="1">
        <v>-78</v>
      </c>
      <c r="P26" s="1">
        <v>-161</v>
      </c>
      <c r="Q26" s="1">
        <v>671</v>
      </c>
      <c r="R26" s="1">
        <v>-28</v>
      </c>
      <c r="S26" s="1">
        <v>-4</v>
      </c>
      <c r="T26" s="1">
        <v>-289</v>
      </c>
      <c r="U26" s="1">
        <v>208</v>
      </c>
      <c r="V26" s="1">
        <v>48</v>
      </c>
      <c r="W26" s="1">
        <v>-70</v>
      </c>
      <c r="X26" s="1">
        <v>-28</v>
      </c>
      <c r="Y26" s="1">
        <v>8</v>
      </c>
      <c r="Z26" s="1">
        <v>5417</v>
      </c>
      <c r="AA26" s="1">
        <v>-2552</v>
      </c>
      <c r="AB26" s="1">
        <v>3277</v>
      </c>
      <c r="AC26" s="1">
        <v>155</v>
      </c>
      <c r="AD26" s="1">
        <v>-61</v>
      </c>
      <c r="AE26" s="1">
        <v>-97</v>
      </c>
    </row>
    <row r="27" spans="1:31" x14ac:dyDescent="0.25">
      <c r="A27" s="9">
        <f t="shared" si="1"/>
        <v>1906</v>
      </c>
      <c r="B27" s="1">
        <v>32311</v>
      </c>
      <c r="C27" s="1">
        <f>-84553+50000</f>
        <v>-34553</v>
      </c>
      <c r="D27" s="1">
        <v>358</v>
      </c>
      <c r="E27" s="1">
        <v>3286</v>
      </c>
      <c r="F27" s="1">
        <v>1582</v>
      </c>
      <c r="G27" s="1">
        <v>-49</v>
      </c>
      <c r="H27" s="1">
        <v>1400</v>
      </c>
      <c r="I27" s="1">
        <v>1882</v>
      </c>
      <c r="J27" s="1">
        <v>184</v>
      </c>
      <c r="K27" s="1">
        <v>849</v>
      </c>
      <c r="L27" s="1">
        <v>194</v>
      </c>
      <c r="M27" s="1">
        <v>-127</v>
      </c>
      <c r="N27" s="1">
        <v>57</v>
      </c>
      <c r="O27" s="1">
        <v>92</v>
      </c>
      <c r="P27" s="1">
        <v>33</v>
      </c>
      <c r="Q27" s="1">
        <v>1234</v>
      </c>
      <c r="R27" s="1">
        <v>51</v>
      </c>
      <c r="S27" s="1">
        <v>501</v>
      </c>
      <c r="T27" s="1">
        <v>146</v>
      </c>
      <c r="U27" s="1">
        <v>108</v>
      </c>
      <c r="V27" s="1">
        <v>58</v>
      </c>
      <c r="W27" s="1">
        <v>19</v>
      </c>
      <c r="X27" s="1">
        <v>4</v>
      </c>
      <c r="Y27" s="1">
        <v>20</v>
      </c>
      <c r="Z27" s="1">
        <v>30837</v>
      </c>
      <c r="AA27" s="1">
        <v>14990</v>
      </c>
      <c r="AB27" s="1">
        <v>7674</v>
      </c>
      <c r="AC27" s="1">
        <v>4211</v>
      </c>
      <c r="AD27" s="1">
        <v>-444</v>
      </c>
      <c r="AE27" s="1">
        <v>3499</v>
      </c>
    </row>
    <row r="28" spans="1:31" x14ac:dyDescent="0.25">
      <c r="A28" s="9">
        <f t="shared" si="1"/>
        <v>1907</v>
      </c>
      <c r="B28" s="1">
        <v>11690</v>
      </c>
      <c r="C28" s="1">
        <v>6485</v>
      </c>
      <c r="D28" s="1">
        <v>286</v>
      </c>
      <c r="E28" s="1">
        <v>2321</v>
      </c>
      <c r="F28" s="1">
        <v>2109</v>
      </c>
      <c r="G28" s="1">
        <v>-112</v>
      </c>
      <c r="H28" s="1">
        <v>5908</v>
      </c>
      <c r="I28" s="1">
        <v>5420</v>
      </c>
      <c r="J28" s="1">
        <v>-37</v>
      </c>
      <c r="K28" s="1">
        <v>1500</v>
      </c>
      <c r="L28" s="1">
        <v>553</v>
      </c>
      <c r="M28" s="1">
        <v>-67</v>
      </c>
      <c r="N28" s="1">
        <v>614</v>
      </c>
      <c r="O28" s="1">
        <v>230</v>
      </c>
      <c r="P28" s="1">
        <v>214</v>
      </c>
      <c r="Q28" s="1">
        <v>-13</v>
      </c>
      <c r="R28" s="1">
        <v>89</v>
      </c>
      <c r="S28" s="1">
        <v>714</v>
      </c>
      <c r="T28" s="1">
        <v>140</v>
      </c>
      <c r="U28" s="1">
        <v>445</v>
      </c>
      <c r="V28" s="1">
        <v>83</v>
      </c>
      <c r="W28" s="1">
        <v>149</v>
      </c>
      <c r="X28" s="1">
        <v>-13</v>
      </c>
      <c r="Y28" s="1">
        <v>-25</v>
      </c>
      <c r="Z28" s="1">
        <v>13861</v>
      </c>
      <c r="AA28" s="1">
        <v>25594</v>
      </c>
      <c r="AB28" s="1">
        <v>14572</v>
      </c>
      <c r="AC28" s="1">
        <v>1280</v>
      </c>
      <c r="AD28" s="1">
        <v>-415</v>
      </c>
      <c r="AE28" s="1">
        <v>9747</v>
      </c>
    </row>
    <row r="29" spans="1:31" x14ac:dyDescent="0.25">
      <c r="A29" s="9">
        <f t="shared" si="1"/>
        <v>1908</v>
      </c>
      <c r="B29" s="1">
        <v>15585</v>
      </c>
      <c r="C29" s="1">
        <v>5350</v>
      </c>
      <c r="D29" s="1">
        <v>333</v>
      </c>
      <c r="E29" s="1">
        <v>3376</v>
      </c>
      <c r="F29" s="1">
        <v>1927</v>
      </c>
      <c r="G29" s="1">
        <v>-82</v>
      </c>
      <c r="H29" s="1">
        <v>7953</v>
      </c>
      <c r="I29" s="1">
        <v>4849</v>
      </c>
      <c r="J29" s="1">
        <v>266</v>
      </c>
      <c r="K29" s="1">
        <v>2407</v>
      </c>
      <c r="L29" s="1">
        <v>271</v>
      </c>
      <c r="M29" s="1">
        <v>323</v>
      </c>
      <c r="N29" s="1">
        <v>487</v>
      </c>
      <c r="O29" s="1">
        <v>213</v>
      </c>
      <c r="P29" s="1">
        <v>-16</v>
      </c>
      <c r="Q29" s="1">
        <v>433</v>
      </c>
      <c r="R29" s="1">
        <v>768</v>
      </c>
      <c r="S29" s="1">
        <v>174</v>
      </c>
      <c r="T29" s="1">
        <v>459</v>
      </c>
      <c r="U29" s="1">
        <v>343</v>
      </c>
      <c r="V29" s="1">
        <v>-70</v>
      </c>
      <c r="W29" s="1">
        <v>102</v>
      </c>
      <c r="X29" s="1">
        <v>65</v>
      </c>
      <c r="Y29" s="1">
        <v>-17</v>
      </c>
      <c r="Z29" s="1">
        <v>11241</v>
      </c>
      <c r="AA29" s="1">
        <v>11410</v>
      </c>
      <c r="AB29" s="1">
        <v>13278</v>
      </c>
      <c r="AC29" s="1">
        <v>170</v>
      </c>
      <c r="AD29" s="1">
        <v>-227</v>
      </c>
      <c r="AE29" s="1">
        <v>938</v>
      </c>
    </row>
    <row r="30" spans="1:31" x14ac:dyDescent="0.25">
      <c r="A30" s="9">
        <f t="shared" si="1"/>
        <v>1909</v>
      </c>
      <c r="B30" s="1">
        <v>29803</v>
      </c>
      <c r="C30" s="1">
        <v>1401</v>
      </c>
      <c r="D30" s="1">
        <v>510</v>
      </c>
      <c r="E30" s="1">
        <v>2367</v>
      </c>
      <c r="F30" s="1">
        <v>1894</v>
      </c>
      <c r="G30" s="1">
        <v>139</v>
      </c>
      <c r="H30" s="1">
        <v>4663</v>
      </c>
      <c r="I30" s="1">
        <v>4928</v>
      </c>
      <c r="J30" s="1">
        <v>859</v>
      </c>
      <c r="K30" s="1">
        <v>1210</v>
      </c>
      <c r="L30" s="1">
        <v>444</v>
      </c>
      <c r="M30" s="1">
        <v>-112</v>
      </c>
      <c r="N30" s="1">
        <v>578</v>
      </c>
      <c r="O30" s="1">
        <v>430</v>
      </c>
      <c r="P30" s="1">
        <v>397</v>
      </c>
      <c r="Q30" s="1">
        <v>118</v>
      </c>
      <c r="R30" s="1">
        <v>1680</v>
      </c>
      <c r="S30" s="1">
        <v>517</v>
      </c>
      <c r="T30" s="1">
        <v>580</v>
      </c>
      <c r="U30" s="1">
        <v>474</v>
      </c>
      <c r="V30" s="1">
        <v>33</v>
      </c>
      <c r="W30" s="1">
        <v>81</v>
      </c>
      <c r="X30" s="1">
        <v>26</v>
      </c>
      <c r="Y30" s="1">
        <v>27</v>
      </c>
      <c r="Z30" s="1">
        <v>17832</v>
      </c>
      <c r="AA30" s="1">
        <v>14565</v>
      </c>
      <c r="AB30" s="1">
        <v>22675</v>
      </c>
      <c r="AC30" s="1">
        <v>916</v>
      </c>
      <c r="AD30" s="1">
        <v>131</v>
      </c>
      <c r="AE30" s="1">
        <v>933</v>
      </c>
    </row>
    <row r="31" spans="1:31" x14ac:dyDescent="0.25">
      <c r="A31" s="9">
        <f t="shared" si="1"/>
        <v>1910</v>
      </c>
      <c r="B31" s="1">
        <f>-39585+60000</f>
        <v>20415</v>
      </c>
      <c r="C31" s="1">
        <v>605</v>
      </c>
      <c r="D31" s="1">
        <v>213</v>
      </c>
      <c r="E31" s="1">
        <v>7810</v>
      </c>
      <c r="F31" s="1">
        <v>3901</v>
      </c>
      <c r="G31" s="1">
        <v>6944</v>
      </c>
      <c r="H31" s="1">
        <v>7876</v>
      </c>
      <c r="I31" s="1">
        <v>5553</v>
      </c>
      <c r="J31" s="1">
        <v>1491</v>
      </c>
      <c r="K31" s="1">
        <v>3119</v>
      </c>
      <c r="L31" s="1">
        <v>671</v>
      </c>
      <c r="M31" s="1">
        <v>405</v>
      </c>
      <c r="N31" s="1">
        <v>387</v>
      </c>
      <c r="O31" s="1">
        <v>522</v>
      </c>
      <c r="P31" s="1">
        <v>441</v>
      </c>
      <c r="Q31" s="1">
        <v>1345</v>
      </c>
      <c r="R31" s="1">
        <v>754</v>
      </c>
      <c r="S31" s="1">
        <v>278</v>
      </c>
      <c r="T31" s="1">
        <v>455</v>
      </c>
      <c r="U31" s="1">
        <v>725</v>
      </c>
      <c r="V31" s="1">
        <v>121</v>
      </c>
      <c r="W31" s="1">
        <v>63</v>
      </c>
      <c r="X31" s="1">
        <v>28</v>
      </c>
      <c r="Y31" s="1">
        <v>17</v>
      </c>
      <c r="Z31" s="1">
        <v>16596</v>
      </c>
      <c r="AA31" s="1">
        <v>15806</v>
      </c>
      <c r="AB31" s="1">
        <v>18263</v>
      </c>
      <c r="AC31" s="1">
        <v>-754</v>
      </c>
      <c r="AD31" s="1">
        <v>-475</v>
      </c>
      <c r="AE31" s="1">
        <v>-46</v>
      </c>
    </row>
    <row r="32" spans="1:31" x14ac:dyDescent="0.25">
      <c r="A32" s="9">
        <f t="shared" si="1"/>
        <v>1911</v>
      </c>
      <c r="B32" s="1">
        <v>12028</v>
      </c>
      <c r="C32" s="1">
        <v>7159</v>
      </c>
      <c r="D32" s="1">
        <v>471</v>
      </c>
      <c r="E32" s="1">
        <v>12861</v>
      </c>
      <c r="F32" s="1">
        <v>2810</v>
      </c>
      <c r="G32" s="1">
        <v>-128</v>
      </c>
      <c r="H32" s="1">
        <v>6205</v>
      </c>
      <c r="I32" s="1">
        <v>7308</v>
      </c>
      <c r="J32" s="1">
        <v>885</v>
      </c>
      <c r="K32" s="1">
        <v>1388</v>
      </c>
      <c r="L32" s="1">
        <v>301</v>
      </c>
      <c r="M32" s="1">
        <v>393</v>
      </c>
      <c r="N32" s="1">
        <v>632</v>
      </c>
      <c r="O32" s="1">
        <v>844</v>
      </c>
      <c r="P32" s="1">
        <v>312</v>
      </c>
      <c r="Q32" s="1">
        <v>394</v>
      </c>
      <c r="R32" s="1">
        <v>-193</v>
      </c>
      <c r="S32" s="1">
        <v>556</v>
      </c>
      <c r="T32" s="1">
        <v>831</v>
      </c>
      <c r="U32" s="1">
        <v>652</v>
      </c>
      <c r="V32" s="1">
        <v>-1</v>
      </c>
      <c r="W32" s="1">
        <v>73</v>
      </c>
      <c r="X32" s="1">
        <v>35</v>
      </c>
      <c r="Y32" s="1">
        <v>-34</v>
      </c>
      <c r="Z32" s="1">
        <v>19694</v>
      </c>
      <c r="AA32" s="1">
        <v>-6520</v>
      </c>
      <c r="AB32" s="1">
        <v>23277</v>
      </c>
      <c r="AC32" s="1">
        <v>1293</v>
      </c>
      <c r="AD32" s="1">
        <v>-519</v>
      </c>
      <c r="AE32" s="1">
        <v>649</v>
      </c>
    </row>
    <row r="33" spans="1:35" x14ac:dyDescent="0.25">
      <c r="A33" s="9">
        <f t="shared" si="1"/>
        <v>1912</v>
      </c>
      <c r="B33" s="1">
        <v>20173</v>
      </c>
      <c r="C33" s="1">
        <v>-964</v>
      </c>
      <c r="D33" s="1">
        <v>522</v>
      </c>
      <c r="E33" s="1">
        <v>20969</v>
      </c>
      <c r="F33" s="1">
        <v>4555</v>
      </c>
      <c r="G33" s="1">
        <v>-892</v>
      </c>
      <c r="H33" s="1">
        <v>6568</v>
      </c>
      <c r="I33" s="1">
        <v>7293</v>
      </c>
      <c r="J33" s="1">
        <v>1428</v>
      </c>
      <c r="K33" s="1">
        <v>1654</v>
      </c>
      <c r="L33" s="1">
        <v>281</v>
      </c>
      <c r="M33" s="1">
        <v>264</v>
      </c>
      <c r="N33" s="1">
        <v>255</v>
      </c>
      <c r="O33" s="1">
        <v>675</v>
      </c>
      <c r="P33" s="1">
        <v>125</v>
      </c>
      <c r="Q33" s="1">
        <v>-3643</v>
      </c>
      <c r="R33" s="1">
        <v>166</v>
      </c>
      <c r="S33" s="1">
        <v>-447</v>
      </c>
      <c r="T33" s="1">
        <v>1010</v>
      </c>
      <c r="U33" s="1">
        <v>845</v>
      </c>
      <c r="V33" s="1">
        <v>-171</v>
      </c>
      <c r="W33" s="1">
        <v>11</v>
      </c>
      <c r="X33" s="1">
        <v>-9</v>
      </c>
      <c r="Y33" s="1">
        <v>-130</v>
      </c>
      <c r="Z33" s="1">
        <v>28965</v>
      </c>
      <c r="AA33" s="1">
        <v>15234</v>
      </c>
      <c r="AB33" s="1">
        <v>7686</v>
      </c>
      <c r="AC33" s="1">
        <v>1699</v>
      </c>
      <c r="AD33" s="1">
        <v>10</v>
      </c>
      <c r="AE33" s="1">
        <v>541</v>
      </c>
    </row>
    <row r="34" spans="1:35" x14ac:dyDescent="0.25">
      <c r="A34" s="9">
        <f t="shared" si="1"/>
        <v>1913</v>
      </c>
      <c r="B34" s="1">
        <v>13917</v>
      </c>
      <c r="C34" s="1">
        <v>3194</v>
      </c>
      <c r="D34" s="1">
        <v>306</v>
      </c>
      <c r="E34" s="1">
        <v>24454</v>
      </c>
      <c r="F34" s="1">
        <v>43573</v>
      </c>
      <c r="G34" s="1">
        <v>5927</v>
      </c>
      <c r="H34" s="1">
        <v>6532</v>
      </c>
      <c r="I34" s="1">
        <v>7035</v>
      </c>
      <c r="J34" s="1">
        <v>2768</v>
      </c>
      <c r="K34" s="1">
        <v>2244</v>
      </c>
      <c r="L34" s="1">
        <v>936</v>
      </c>
      <c r="M34" s="1">
        <v>941</v>
      </c>
      <c r="N34" s="1">
        <v>1258</v>
      </c>
      <c r="O34" s="1">
        <v>1699</v>
      </c>
      <c r="P34" s="1">
        <v>383</v>
      </c>
      <c r="Q34" s="1">
        <v>1792</v>
      </c>
      <c r="R34" s="1">
        <v>214</v>
      </c>
      <c r="S34" s="1">
        <v>263</v>
      </c>
      <c r="T34" s="1">
        <v>1330</v>
      </c>
      <c r="U34" s="1">
        <v>478</v>
      </c>
      <c r="V34" s="1">
        <v>17</v>
      </c>
      <c r="W34" s="1">
        <v>116</v>
      </c>
      <c r="X34" s="1">
        <v>45</v>
      </c>
      <c r="Y34" s="1">
        <v>250</v>
      </c>
      <c r="Z34" s="1">
        <v>36352</v>
      </c>
      <c r="AA34" s="1">
        <v>13152</v>
      </c>
      <c r="AB34" s="1">
        <v>16316</v>
      </c>
      <c r="AC34" s="1">
        <v>814</v>
      </c>
      <c r="AD34" s="1">
        <v>137</v>
      </c>
      <c r="AE34" s="1">
        <v>-239</v>
      </c>
    </row>
    <row r="35" spans="1:35" x14ac:dyDescent="0.25">
      <c r="A35" s="9">
        <f t="shared" si="1"/>
        <v>1914</v>
      </c>
      <c r="B35" s="1">
        <v>773</v>
      </c>
      <c r="C35" s="1">
        <v>4733</v>
      </c>
      <c r="D35" s="1">
        <v>427</v>
      </c>
      <c r="E35" s="1">
        <v>17764</v>
      </c>
      <c r="F35" s="1">
        <v>4132</v>
      </c>
      <c r="G35" s="1">
        <v>957</v>
      </c>
      <c r="H35" s="1">
        <v>-323</v>
      </c>
      <c r="I35" s="1">
        <v>6049</v>
      </c>
      <c r="J35" s="1">
        <v>-1098</v>
      </c>
      <c r="K35" s="1">
        <v>-28</v>
      </c>
      <c r="L35" s="1">
        <v>889</v>
      </c>
      <c r="M35" s="1">
        <v>-273</v>
      </c>
      <c r="N35" s="1">
        <v>423</v>
      </c>
      <c r="O35" s="1">
        <v>694</v>
      </c>
      <c r="P35" s="1">
        <v>-331</v>
      </c>
      <c r="Q35" s="1">
        <v>1577</v>
      </c>
      <c r="R35" s="1">
        <v>-3</v>
      </c>
      <c r="S35" s="1">
        <v>865</v>
      </c>
      <c r="T35" s="1">
        <v>557</v>
      </c>
      <c r="U35" s="1">
        <v>12</v>
      </c>
      <c r="V35" s="1">
        <v>-14</v>
      </c>
      <c r="W35" s="1">
        <v>43</v>
      </c>
      <c r="X35" s="1">
        <v>7</v>
      </c>
      <c r="Y35" s="1">
        <v>45</v>
      </c>
      <c r="Z35" s="1">
        <v>32894</v>
      </c>
      <c r="AA35" s="1">
        <v>19052</v>
      </c>
      <c r="AB35" s="1">
        <v>10755</v>
      </c>
      <c r="AC35" s="1">
        <v>300</v>
      </c>
      <c r="AD35" s="1">
        <v>34</v>
      </c>
      <c r="AE35" s="1">
        <v>-1287</v>
      </c>
    </row>
    <row r="36" spans="1:35" x14ac:dyDescent="0.25">
      <c r="A36" s="9">
        <f t="shared" si="1"/>
        <v>1915</v>
      </c>
      <c r="B36" s="1">
        <v>0</v>
      </c>
      <c r="C36" s="1">
        <v>0</v>
      </c>
      <c r="D36" s="1">
        <v>152</v>
      </c>
      <c r="E36" s="1">
        <v>11648</v>
      </c>
      <c r="F36" s="1">
        <v>9949</v>
      </c>
      <c r="G36" s="1">
        <v>874</v>
      </c>
      <c r="H36" s="1">
        <v>-7327</v>
      </c>
      <c r="I36" s="1">
        <v>-1094</v>
      </c>
      <c r="J36" s="1">
        <v>-138</v>
      </c>
      <c r="K36" s="1">
        <v>-88</v>
      </c>
      <c r="L36" s="1">
        <v>43</v>
      </c>
      <c r="M36" s="1">
        <v>48</v>
      </c>
      <c r="N36" s="1">
        <v>96</v>
      </c>
      <c r="O36" s="1">
        <v>-4</v>
      </c>
      <c r="P36" s="1">
        <v>-24</v>
      </c>
      <c r="Q36" s="1">
        <v>859</v>
      </c>
      <c r="R36" s="1">
        <v>-182</v>
      </c>
      <c r="S36" s="1">
        <v>-442</v>
      </c>
      <c r="T36" s="1">
        <v>23</v>
      </c>
      <c r="U36" s="1">
        <v>67</v>
      </c>
      <c r="V36" s="1">
        <v>34</v>
      </c>
      <c r="W36" s="1">
        <v>10</v>
      </c>
      <c r="X36" s="1">
        <v>-1</v>
      </c>
      <c r="Y36" s="1">
        <v>33</v>
      </c>
      <c r="Z36" s="1">
        <v>8849</v>
      </c>
      <c r="AA36" s="1">
        <v>26337</v>
      </c>
      <c r="AB36" s="1">
        <v>464</v>
      </c>
      <c r="AC36" s="1">
        <v>1509</v>
      </c>
      <c r="AD36" s="1">
        <v>79</v>
      </c>
      <c r="AE36" s="1">
        <v>-2496</v>
      </c>
    </row>
    <row r="38" spans="1:35" x14ac:dyDescent="0.25">
      <c r="A38" s="8" t="s">
        <v>47</v>
      </c>
      <c r="P38" s="1"/>
    </row>
    <row r="39" spans="1:35" x14ac:dyDescent="0.25">
      <c r="A39" s="21" t="s">
        <v>69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P39" s="1"/>
    </row>
    <row r="41" spans="1:35" x14ac:dyDescent="0.25">
      <c r="A41" t="s">
        <v>52</v>
      </c>
    </row>
    <row r="43" spans="1:35" x14ac:dyDescent="0.25">
      <c r="A43" t="s">
        <v>48</v>
      </c>
    </row>
    <row r="44" spans="1:35" x14ac:dyDescent="0.25">
      <c r="A44" t="s">
        <v>49</v>
      </c>
    </row>
    <row r="46" spans="1:35" x14ac:dyDescent="0.25">
      <c r="B46" s="8" t="s">
        <v>41</v>
      </c>
      <c r="C46" s="8" t="s">
        <v>40</v>
      </c>
      <c r="D46" s="8" t="s">
        <v>42</v>
      </c>
      <c r="E46" s="8" t="s">
        <v>43</v>
      </c>
      <c r="F46" s="8" t="s">
        <v>44</v>
      </c>
      <c r="G46" s="8" t="s">
        <v>46</v>
      </c>
      <c r="H46" s="8" t="s">
        <v>7</v>
      </c>
      <c r="I46" s="8" t="s">
        <v>8</v>
      </c>
      <c r="J46" s="8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 t="s">
        <v>26</v>
      </c>
      <c r="P46" s="8" t="s">
        <v>27</v>
      </c>
      <c r="Q46" s="8" t="s">
        <v>28</v>
      </c>
      <c r="R46" s="8" t="s">
        <v>9</v>
      </c>
      <c r="S46" s="8" t="s">
        <v>29</v>
      </c>
      <c r="T46" s="8" t="s">
        <v>30</v>
      </c>
      <c r="U46" s="8" t="s">
        <v>31</v>
      </c>
      <c r="V46" s="8" t="s">
        <v>32</v>
      </c>
      <c r="W46" s="8" t="s">
        <v>33</v>
      </c>
      <c r="X46" s="8" t="s">
        <v>34</v>
      </c>
      <c r="Y46" s="8" t="s">
        <v>35</v>
      </c>
      <c r="Z46" s="8" t="s">
        <v>12</v>
      </c>
      <c r="AA46" s="8" t="s">
        <v>10</v>
      </c>
      <c r="AB46" s="8" t="s">
        <v>36</v>
      </c>
      <c r="AC46" s="8" t="s">
        <v>37</v>
      </c>
      <c r="AD46" s="8" t="s">
        <v>53</v>
      </c>
      <c r="AE46" s="8" t="s">
        <v>45</v>
      </c>
      <c r="AG46" s="8" t="s">
        <v>62</v>
      </c>
      <c r="AH46" s="8" t="s">
        <v>63</v>
      </c>
      <c r="AI46" s="8" t="s">
        <v>64</v>
      </c>
    </row>
    <row r="47" spans="1:35" x14ac:dyDescent="0.25">
      <c r="A47" s="9" t="s">
        <v>50</v>
      </c>
      <c r="B47" s="1">
        <f t="shared" ref="B47:AE47" si="2">SUM(B2:B16)</f>
        <v>289250</v>
      </c>
      <c r="C47" s="1">
        <f t="shared" si="2"/>
        <v>71263</v>
      </c>
      <c r="D47" s="1">
        <f t="shared" si="2"/>
        <v>5980</v>
      </c>
      <c r="E47" s="1">
        <f t="shared" si="2"/>
        <v>0</v>
      </c>
      <c r="F47" s="1">
        <f t="shared" si="2"/>
        <v>2099</v>
      </c>
      <c r="G47" s="1">
        <f t="shared" si="2"/>
        <v>-4</v>
      </c>
      <c r="H47" s="1">
        <f t="shared" si="2"/>
        <v>198483</v>
      </c>
      <c r="I47" s="1">
        <f t="shared" si="2"/>
        <v>270548</v>
      </c>
      <c r="J47" s="1">
        <f t="shared" si="2"/>
        <v>1194</v>
      </c>
      <c r="K47" s="1">
        <f t="shared" si="2"/>
        <v>7593</v>
      </c>
      <c r="L47" s="1">
        <f t="shared" si="2"/>
        <v>4360</v>
      </c>
      <c r="M47" s="1">
        <f t="shared" si="2"/>
        <v>93</v>
      </c>
      <c r="N47" s="1">
        <f t="shared" si="2"/>
        <v>407</v>
      </c>
      <c r="O47" s="1">
        <f t="shared" si="2"/>
        <v>-47</v>
      </c>
      <c r="P47" s="1">
        <f t="shared" si="2"/>
        <v>6276</v>
      </c>
      <c r="Q47" s="1">
        <f t="shared" si="2"/>
        <v>573</v>
      </c>
      <c r="R47" s="1">
        <f t="shared" si="2"/>
        <v>1510</v>
      </c>
      <c r="S47" s="1">
        <f t="shared" si="2"/>
        <v>5131</v>
      </c>
      <c r="T47" s="1">
        <f t="shared" si="2"/>
        <v>477</v>
      </c>
      <c r="U47" s="1">
        <f t="shared" si="2"/>
        <v>2396</v>
      </c>
      <c r="V47" s="1">
        <f t="shared" si="2"/>
        <v>197</v>
      </c>
      <c r="W47" s="1">
        <f t="shared" si="2"/>
        <v>90</v>
      </c>
      <c r="X47" s="1">
        <f t="shared" si="2"/>
        <v>7</v>
      </c>
      <c r="Y47" s="1">
        <f t="shared" si="2"/>
        <v>205</v>
      </c>
      <c r="Z47" s="1">
        <f t="shared" si="2"/>
        <v>137996</v>
      </c>
      <c r="AA47" s="1">
        <f t="shared" si="2"/>
        <v>296</v>
      </c>
      <c r="AB47" s="1">
        <f t="shared" si="2"/>
        <v>48840</v>
      </c>
      <c r="AC47" s="1">
        <f t="shared" si="2"/>
        <v>50</v>
      </c>
      <c r="AD47" s="1">
        <f t="shared" si="2"/>
        <v>-1825</v>
      </c>
      <c r="AE47" s="1">
        <f t="shared" si="2"/>
        <v>7529</v>
      </c>
      <c r="AG47" s="1">
        <f>SUM(B47:AE47)</f>
        <v>1060967</v>
      </c>
      <c r="AH47" s="1">
        <f>SUM(H47:AE47)</f>
        <v>692379</v>
      </c>
      <c r="AI47" s="1">
        <f>SUM(B47:G47)</f>
        <v>368588</v>
      </c>
    </row>
    <row r="48" spans="1:35" x14ac:dyDescent="0.25">
      <c r="A48" s="9" t="s">
        <v>4</v>
      </c>
      <c r="B48" s="1">
        <f t="shared" ref="B48:AE48" si="3">SUM(B17:B36)</f>
        <v>379431</v>
      </c>
      <c r="C48" s="1">
        <f t="shared" si="3"/>
        <v>38122</v>
      </c>
      <c r="D48" s="1">
        <f t="shared" si="3"/>
        <v>6966</v>
      </c>
      <c r="E48" s="1">
        <f t="shared" si="3"/>
        <v>151250</v>
      </c>
      <c r="F48" s="1">
        <f t="shared" si="3"/>
        <v>87411</v>
      </c>
      <c r="G48" s="1">
        <f t="shared" si="3"/>
        <v>11124</v>
      </c>
      <c r="H48" s="1">
        <f t="shared" si="3"/>
        <v>64633</v>
      </c>
      <c r="I48" s="1">
        <f t="shared" si="3"/>
        <v>88815</v>
      </c>
      <c r="J48" s="1">
        <f t="shared" si="3"/>
        <v>12542</v>
      </c>
      <c r="K48" s="1">
        <f t="shared" si="3"/>
        <v>20477</v>
      </c>
      <c r="L48" s="1">
        <f t="shared" si="3"/>
        <v>8006</v>
      </c>
      <c r="M48" s="1">
        <f t="shared" si="3"/>
        <v>3063</v>
      </c>
      <c r="N48" s="1">
        <f t="shared" si="3"/>
        <v>10431</v>
      </c>
      <c r="O48" s="1">
        <f t="shared" si="3"/>
        <v>5897</v>
      </c>
      <c r="P48" s="1">
        <f t="shared" si="3"/>
        <v>4068</v>
      </c>
      <c r="Q48" s="1">
        <f t="shared" si="3"/>
        <v>9020</v>
      </c>
      <c r="R48" s="1">
        <f t="shared" si="3"/>
        <v>4862</v>
      </c>
      <c r="S48" s="1">
        <f t="shared" si="3"/>
        <v>5622</v>
      </c>
      <c r="T48" s="1">
        <f t="shared" si="3"/>
        <v>6426</v>
      </c>
      <c r="U48" s="1">
        <f t="shared" si="3"/>
        <v>7787</v>
      </c>
      <c r="V48" s="1">
        <f t="shared" si="3"/>
        <v>542</v>
      </c>
      <c r="W48" s="1">
        <f t="shared" si="3"/>
        <v>1009</v>
      </c>
      <c r="X48" s="1">
        <f t="shared" si="3"/>
        <v>78</v>
      </c>
      <c r="Y48" s="1">
        <f t="shared" si="3"/>
        <v>309</v>
      </c>
      <c r="Z48" s="1">
        <f t="shared" si="3"/>
        <v>363961</v>
      </c>
      <c r="AA48" s="1">
        <f t="shared" si="3"/>
        <v>202921</v>
      </c>
      <c r="AB48" s="1">
        <f t="shared" si="3"/>
        <v>205805</v>
      </c>
      <c r="AC48" s="1">
        <f t="shared" si="3"/>
        <v>16981</v>
      </c>
      <c r="AD48" s="1">
        <f t="shared" si="3"/>
        <v>-5491</v>
      </c>
      <c r="AE48" s="1">
        <f t="shared" si="3"/>
        <v>19956</v>
      </c>
      <c r="AG48" s="1">
        <f>SUM(B48:AE48)</f>
        <v>1732024</v>
      </c>
      <c r="AH48" s="1">
        <f>SUM(H48:AE48)</f>
        <v>1057720</v>
      </c>
      <c r="AI48" s="1">
        <f>SUM(B48:G48)</f>
        <v>674304</v>
      </c>
    </row>
    <row r="49" spans="1:35" x14ac:dyDescent="0.25">
      <c r="A49" s="9" t="s">
        <v>51</v>
      </c>
      <c r="B49" s="1">
        <f>B48+B47</f>
        <v>668681</v>
      </c>
      <c r="C49" s="1">
        <f t="shared" ref="C49:AE49" si="4">C48+C47</f>
        <v>109385</v>
      </c>
      <c r="D49" s="1">
        <f t="shared" si="4"/>
        <v>12946</v>
      </c>
      <c r="E49" s="1">
        <f t="shared" si="4"/>
        <v>151250</v>
      </c>
      <c r="F49" s="1">
        <f t="shared" si="4"/>
        <v>89510</v>
      </c>
      <c r="G49" s="1">
        <f t="shared" si="4"/>
        <v>11120</v>
      </c>
      <c r="H49" s="1">
        <f t="shared" si="4"/>
        <v>263116</v>
      </c>
      <c r="I49" s="1">
        <f t="shared" si="4"/>
        <v>359363</v>
      </c>
      <c r="J49" s="1">
        <f t="shared" si="4"/>
        <v>13736</v>
      </c>
      <c r="K49" s="1">
        <f t="shared" si="4"/>
        <v>28070</v>
      </c>
      <c r="L49" s="1">
        <f t="shared" si="4"/>
        <v>12366</v>
      </c>
      <c r="M49" s="1">
        <f t="shared" si="4"/>
        <v>3156</v>
      </c>
      <c r="N49" s="1">
        <f t="shared" si="4"/>
        <v>10838</v>
      </c>
      <c r="O49" s="1">
        <f t="shared" si="4"/>
        <v>5850</v>
      </c>
      <c r="P49" s="1">
        <f t="shared" si="4"/>
        <v>10344</v>
      </c>
      <c r="Q49" s="1">
        <f t="shared" si="4"/>
        <v>9593</v>
      </c>
      <c r="R49" s="1">
        <f t="shared" si="4"/>
        <v>6372</v>
      </c>
      <c r="S49" s="1">
        <f t="shared" si="4"/>
        <v>10753</v>
      </c>
      <c r="T49" s="1">
        <f t="shared" si="4"/>
        <v>6903</v>
      </c>
      <c r="U49" s="1">
        <f t="shared" si="4"/>
        <v>10183</v>
      </c>
      <c r="V49" s="1">
        <f t="shared" si="4"/>
        <v>739</v>
      </c>
      <c r="W49" s="1">
        <f t="shared" si="4"/>
        <v>1099</v>
      </c>
      <c r="X49" s="1">
        <f t="shared" si="4"/>
        <v>85</v>
      </c>
      <c r="Y49" s="1">
        <f t="shared" si="4"/>
        <v>514</v>
      </c>
      <c r="Z49" s="1">
        <f t="shared" si="4"/>
        <v>501957</v>
      </c>
      <c r="AA49" s="1">
        <f t="shared" si="4"/>
        <v>203217</v>
      </c>
      <c r="AB49" s="1">
        <f t="shared" si="4"/>
        <v>254645</v>
      </c>
      <c r="AC49" s="1">
        <f t="shared" si="4"/>
        <v>17031</v>
      </c>
      <c r="AD49" s="1">
        <f t="shared" si="4"/>
        <v>-7316</v>
      </c>
      <c r="AE49" s="1">
        <f t="shared" si="4"/>
        <v>27485</v>
      </c>
      <c r="AG49" s="1">
        <f>SUM(B49:AE49)</f>
        <v>2792991</v>
      </c>
      <c r="AH49" s="1">
        <f>SUM(H49:AE49)</f>
        <v>1750099</v>
      </c>
      <c r="AI49" s="1">
        <f>SUM(B49:G49)</f>
        <v>1042892</v>
      </c>
    </row>
    <row r="50" spans="1:35" x14ac:dyDescent="0.25">
      <c r="A50" s="9"/>
    </row>
    <row r="51" spans="1:35" x14ac:dyDescent="0.25">
      <c r="A51" s="9" t="s">
        <v>50</v>
      </c>
      <c r="H51" s="1">
        <f>H47+B47</f>
        <v>487733</v>
      </c>
      <c r="I51" s="1">
        <f>I47+C47</f>
        <v>341811</v>
      </c>
      <c r="J51" s="1">
        <f t="shared" ref="J51:AD53" si="5">J47</f>
        <v>1194</v>
      </c>
      <c r="K51" s="1">
        <f t="shared" si="5"/>
        <v>7593</v>
      </c>
      <c r="L51" s="1">
        <f t="shared" si="5"/>
        <v>4360</v>
      </c>
      <c r="M51" s="1">
        <f t="shared" si="5"/>
        <v>93</v>
      </c>
      <c r="N51" s="1">
        <f t="shared" si="5"/>
        <v>407</v>
      </c>
      <c r="O51" s="1">
        <f t="shared" si="5"/>
        <v>-47</v>
      </c>
      <c r="P51" s="1">
        <f t="shared" si="5"/>
        <v>6276</v>
      </c>
      <c r="Q51" s="1">
        <f t="shared" si="5"/>
        <v>573</v>
      </c>
      <c r="R51" s="1">
        <f>R47+D47</f>
        <v>7490</v>
      </c>
      <c r="S51" s="1">
        <f t="shared" si="5"/>
        <v>5131</v>
      </c>
      <c r="T51" s="1">
        <f t="shared" si="5"/>
        <v>477</v>
      </c>
      <c r="U51" s="1">
        <f t="shared" si="5"/>
        <v>2396</v>
      </c>
      <c r="V51" s="1">
        <f t="shared" si="5"/>
        <v>197</v>
      </c>
      <c r="W51" s="1">
        <f t="shared" si="5"/>
        <v>90</v>
      </c>
      <c r="X51" s="1">
        <f t="shared" si="5"/>
        <v>7</v>
      </c>
      <c r="Y51" s="1">
        <f t="shared" si="5"/>
        <v>205</v>
      </c>
      <c r="Z51" s="1">
        <f>Z47+E47</f>
        <v>137996</v>
      </c>
      <c r="AA51" s="1">
        <f>AA47+F47</f>
        <v>2395</v>
      </c>
      <c r="AB51" s="1">
        <f t="shared" si="5"/>
        <v>48840</v>
      </c>
      <c r="AC51" s="1">
        <f t="shared" si="5"/>
        <v>50</v>
      </c>
      <c r="AD51" s="1">
        <f t="shared" si="5"/>
        <v>-1825</v>
      </c>
      <c r="AE51" s="1">
        <f>AE47+G47</f>
        <v>7525</v>
      </c>
      <c r="AG51" s="1">
        <f>SUM(B51:AE51)</f>
        <v>1060967</v>
      </c>
    </row>
    <row r="52" spans="1:35" x14ac:dyDescent="0.25">
      <c r="A52" s="9" t="s">
        <v>4</v>
      </c>
      <c r="H52" s="1">
        <f t="shared" ref="H52:I53" si="6">H48+B48</f>
        <v>444064</v>
      </c>
      <c r="I52" s="1">
        <f t="shared" si="6"/>
        <v>126937</v>
      </c>
      <c r="J52" s="1">
        <f t="shared" si="5"/>
        <v>12542</v>
      </c>
      <c r="K52" s="1">
        <f t="shared" si="5"/>
        <v>20477</v>
      </c>
      <c r="L52" s="1">
        <f t="shared" si="5"/>
        <v>8006</v>
      </c>
      <c r="M52" s="1">
        <f t="shared" si="5"/>
        <v>3063</v>
      </c>
      <c r="N52" s="1">
        <f t="shared" si="5"/>
        <v>10431</v>
      </c>
      <c r="O52" s="1">
        <f t="shared" si="5"/>
        <v>5897</v>
      </c>
      <c r="P52" s="1">
        <f t="shared" si="5"/>
        <v>4068</v>
      </c>
      <c r="Q52" s="1">
        <f t="shared" si="5"/>
        <v>9020</v>
      </c>
      <c r="R52" s="1">
        <f t="shared" ref="R52:R53" si="7">R48+D48</f>
        <v>11828</v>
      </c>
      <c r="S52" s="1">
        <f t="shared" si="5"/>
        <v>5622</v>
      </c>
      <c r="T52" s="1">
        <f t="shared" si="5"/>
        <v>6426</v>
      </c>
      <c r="U52" s="1">
        <f t="shared" si="5"/>
        <v>7787</v>
      </c>
      <c r="V52" s="1">
        <f t="shared" si="5"/>
        <v>542</v>
      </c>
      <c r="W52" s="1">
        <f t="shared" si="5"/>
        <v>1009</v>
      </c>
      <c r="X52" s="1">
        <f t="shared" si="5"/>
        <v>78</v>
      </c>
      <c r="Y52" s="1">
        <f t="shared" si="5"/>
        <v>309</v>
      </c>
      <c r="Z52" s="1">
        <f t="shared" ref="Z52:AA53" si="8">Z48+E48</f>
        <v>515211</v>
      </c>
      <c r="AA52" s="1">
        <f t="shared" si="8"/>
        <v>290332</v>
      </c>
      <c r="AB52" s="1">
        <f t="shared" si="5"/>
        <v>205805</v>
      </c>
      <c r="AC52" s="1">
        <f t="shared" si="5"/>
        <v>16981</v>
      </c>
      <c r="AD52" s="1">
        <f t="shared" si="5"/>
        <v>-5491</v>
      </c>
      <c r="AE52" s="1">
        <f t="shared" ref="AE52:AE53" si="9">AE48+G48</f>
        <v>31080</v>
      </c>
      <c r="AG52" s="1">
        <f>SUM(B52:AE52)</f>
        <v>1732024</v>
      </c>
    </row>
    <row r="53" spans="1:35" x14ac:dyDescent="0.25">
      <c r="A53" s="9" t="s">
        <v>51</v>
      </c>
      <c r="H53" s="1">
        <f t="shared" si="6"/>
        <v>931797</v>
      </c>
      <c r="I53" s="1">
        <f t="shared" si="6"/>
        <v>468748</v>
      </c>
      <c r="J53" s="1">
        <f t="shared" si="5"/>
        <v>13736</v>
      </c>
      <c r="K53" s="1">
        <f t="shared" si="5"/>
        <v>28070</v>
      </c>
      <c r="L53" s="1">
        <f t="shared" si="5"/>
        <v>12366</v>
      </c>
      <c r="M53" s="1">
        <f t="shared" si="5"/>
        <v>3156</v>
      </c>
      <c r="N53" s="1">
        <f t="shared" si="5"/>
        <v>10838</v>
      </c>
      <c r="O53" s="1">
        <f t="shared" si="5"/>
        <v>5850</v>
      </c>
      <c r="P53" s="1">
        <f t="shared" si="5"/>
        <v>10344</v>
      </c>
      <c r="Q53" s="1">
        <f t="shared" si="5"/>
        <v>9593</v>
      </c>
      <c r="R53" s="1">
        <f t="shared" si="7"/>
        <v>19318</v>
      </c>
      <c r="S53" s="1">
        <f t="shared" si="5"/>
        <v>10753</v>
      </c>
      <c r="T53" s="1">
        <f t="shared" si="5"/>
        <v>6903</v>
      </c>
      <c r="U53" s="1">
        <f t="shared" si="5"/>
        <v>10183</v>
      </c>
      <c r="V53" s="1">
        <f t="shared" si="5"/>
        <v>739</v>
      </c>
      <c r="W53" s="1">
        <f t="shared" si="5"/>
        <v>1099</v>
      </c>
      <c r="X53" s="1">
        <f t="shared" si="5"/>
        <v>85</v>
      </c>
      <c r="Y53" s="1">
        <f t="shared" si="5"/>
        <v>514</v>
      </c>
      <c r="Z53" s="1">
        <f t="shared" si="8"/>
        <v>653207</v>
      </c>
      <c r="AA53" s="1">
        <f t="shared" si="8"/>
        <v>292727</v>
      </c>
      <c r="AB53" s="1">
        <f t="shared" si="5"/>
        <v>254645</v>
      </c>
      <c r="AC53" s="1">
        <f t="shared" si="5"/>
        <v>17031</v>
      </c>
      <c r="AD53" s="1">
        <f t="shared" si="5"/>
        <v>-7316</v>
      </c>
      <c r="AE53" s="1">
        <f t="shared" si="9"/>
        <v>38605</v>
      </c>
      <c r="AG53" s="1">
        <f>SUM(B53:AE53)</f>
        <v>2792991</v>
      </c>
    </row>
    <row r="55" spans="1:35" x14ac:dyDescent="0.25">
      <c r="A55" s="9">
        <v>1881</v>
      </c>
      <c r="B55" s="1"/>
      <c r="H55" s="1">
        <f t="shared" ref="H55:H89" si="10">H2+B2</f>
        <v>54846</v>
      </c>
      <c r="I55" s="1">
        <f t="shared" ref="I55:I89" si="11">I2+C2</f>
        <v>21252</v>
      </c>
      <c r="J55" s="1">
        <f t="shared" ref="J55:Q64" si="12">J2</f>
        <v>-366</v>
      </c>
      <c r="K55" s="1">
        <f t="shared" si="12"/>
        <v>-294</v>
      </c>
      <c r="L55" s="1">
        <f t="shared" si="12"/>
        <v>7</v>
      </c>
      <c r="M55" s="1">
        <f t="shared" si="12"/>
        <v>-159</v>
      </c>
      <c r="N55" s="1">
        <f t="shared" si="12"/>
        <v>-3</v>
      </c>
      <c r="O55" s="1">
        <f t="shared" si="12"/>
        <v>-55</v>
      </c>
      <c r="P55" s="1">
        <f t="shared" si="12"/>
        <v>58</v>
      </c>
      <c r="Q55" s="1">
        <f t="shared" si="12"/>
        <v>-76</v>
      </c>
      <c r="R55" s="1">
        <f t="shared" ref="R55:R89" si="13">R2+D2</f>
        <v>1011</v>
      </c>
      <c r="S55" s="1">
        <f t="shared" ref="S55:Y64" si="14">S2</f>
        <v>598</v>
      </c>
      <c r="T55" s="1">
        <f t="shared" si="14"/>
        <v>-18</v>
      </c>
      <c r="U55" s="1">
        <f t="shared" si="14"/>
        <v>122</v>
      </c>
      <c r="V55" s="1">
        <f t="shared" si="14"/>
        <v>-27</v>
      </c>
      <c r="W55" s="1">
        <f t="shared" si="14"/>
        <v>6</v>
      </c>
      <c r="X55" s="1">
        <f t="shared" si="14"/>
        <v>-2</v>
      </c>
      <c r="Y55" s="1">
        <f t="shared" si="14"/>
        <v>26</v>
      </c>
      <c r="Z55" s="1">
        <f t="shared" ref="Z55:Z89" si="15">Z2+E2</f>
        <v>-942</v>
      </c>
      <c r="AA55" s="1">
        <f t="shared" ref="AA55:AA89" si="16">AA2+F2</f>
        <v>2104</v>
      </c>
      <c r="AB55" s="1">
        <f t="shared" ref="AB55:AD70" si="17">AB2</f>
        <v>890</v>
      </c>
      <c r="AC55" s="1">
        <f t="shared" si="17"/>
        <v>-2</v>
      </c>
      <c r="AD55" s="1">
        <f t="shared" si="17"/>
        <v>20</v>
      </c>
      <c r="AE55" s="1">
        <f t="shared" ref="AE55:AE89" si="18">AE2+G2</f>
        <v>17</v>
      </c>
      <c r="AG55" s="1">
        <f>SUM(H55:AE55)</f>
        <v>79013</v>
      </c>
    </row>
    <row r="56" spans="1:35" x14ac:dyDescent="0.25">
      <c r="A56" s="9">
        <v>1882</v>
      </c>
      <c r="B56" s="1"/>
      <c r="H56" s="1">
        <f t="shared" si="10"/>
        <v>50504</v>
      </c>
      <c r="I56" s="1">
        <f t="shared" si="11"/>
        <v>41842</v>
      </c>
      <c r="J56" s="1">
        <f t="shared" si="12"/>
        <v>-493</v>
      </c>
      <c r="K56" s="1">
        <f t="shared" si="12"/>
        <v>599</v>
      </c>
      <c r="L56" s="1">
        <f t="shared" si="12"/>
        <v>-11</v>
      </c>
      <c r="M56" s="1">
        <f t="shared" si="12"/>
        <v>-781</v>
      </c>
      <c r="N56" s="1">
        <f t="shared" si="12"/>
        <v>79</v>
      </c>
      <c r="O56" s="1">
        <f t="shared" si="12"/>
        <v>-56</v>
      </c>
      <c r="P56" s="1">
        <f t="shared" si="12"/>
        <v>387</v>
      </c>
      <c r="Q56" s="1">
        <f t="shared" si="12"/>
        <v>-2</v>
      </c>
      <c r="R56" s="1">
        <f t="shared" si="13"/>
        <v>1428</v>
      </c>
      <c r="S56" s="1">
        <f t="shared" si="14"/>
        <v>419</v>
      </c>
      <c r="T56" s="1">
        <f t="shared" si="14"/>
        <v>-21</v>
      </c>
      <c r="U56" s="1">
        <f t="shared" si="14"/>
        <v>17</v>
      </c>
      <c r="V56" s="1">
        <f t="shared" si="14"/>
        <v>5</v>
      </c>
      <c r="W56" s="1">
        <f t="shared" si="14"/>
        <v>4</v>
      </c>
      <c r="X56" s="1">
        <f t="shared" si="14"/>
        <v>-2</v>
      </c>
      <c r="Y56" s="1">
        <f t="shared" si="14"/>
        <v>-3</v>
      </c>
      <c r="Z56" s="1">
        <f t="shared" si="15"/>
        <v>7068</v>
      </c>
      <c r="AA56" s="1">
        <f t="shared" si="16"/>
        <v>10</v>
      </c>
      <c r="AB56" s="1">
        <f t="shared" si="17"/>
        <v>3081</v>
      </c>
      <c r="AC56" s="1">
        <f t="shared" si="17"/>
        <v>35</v>
      </c>
      <c r="AD56" s="1">
        <f t="shared" si="17"/>
        <v>2</v>
      </c>
      <c r="AE56" s="1">
        <f t="shared" si="18"/>
        <v>67</v>
      </c>
      <c r="AG56" s="1">
        <f t="shared" ref="AG56:AG89" si="19">SUM(H56:AE56)</f>
        <v>104178</v>
      </c>
    </row>
    <row r="57" spans="1:35" x14ac:dyDescent="0.25">
      <c r="A57" s="9">
        <v>1883</v>
      </c>
      <c r="B57" s="1"/>
      <c r="H57" s="1">
        <f t="shared" si="10"/>
        <v>30582</v>
      </c>
      <c r="I57" s="1">
        <f t="shared" si="11"/>
        <v>35166</v>
      </c>
      <c r="J57" s="1">
        <f t="shared" si="12"/>
        <v>1223</v>
      </c>
      <c r="K57" s="1">
        <f t="shared" si="12"/>
        <v>154</v>
      </c>
      <c r="L57" s="1">
        <f t="shared" si="12"/>
        <v>88</v>
      </c>
      <c r="M57" s="1">
        <f t="shared" si="12"/>
        <v>93</v>
      </c>
      <c r="N57" s="1">
        <f t="shared" si="12"/>
        <v>-1</v>
      </c>
      <c r="O57" s="1">
        <f t="shared" si="12"/>
        <v>-6</v>
      </c>
      <c r="P57" s="1">
        <f t="shared" si="12"/>
        <v>34</v>
      </c>
      <c r="Q57" s="1">
        <f t="shared" si="12"/>
        <v>90</v>
      </c>
      <c r="R57" s="1">
        <f t="shared" si="13"/>
        <v>173</v>
      </c>
      <c r="S57" s="1">
        <f t="shared" si="14"/>
        <v>279</v>
      </c>
      <c r="T57" s="1">
        <f t="shared" si="14"/>
        <v>46</v>
      </c>
      <c r="U57" s="1">
        <f t="shared" si="14"/>
        <v>78</v>
      </c>
      <c r="V57" s="1">
        <f t="shared" si="14"/>
        <v>85</v>
      </c>
      <c r="W57" s="1">
        <f t="shared" si="14"/>
        <v>2</v>
      </c>
      <c r="X57" s="1">
        <f t="shared" si="14"/>
        <v>0</v>
      </c>
      <c r="Y57" s="1">
        <f t="shared" si="14"/>
        <v>10</v>
      </c>
      <c r="Z57" s="1">
        <f t="shared" si="15"/>
        <v>4546</v>
      </c>
      <c r="AA57" s="1">
        <f t="shared" si="16"/>
        <v>-3</v>
      </c>
      <c r="AB57" s="1">
        <f t="shared" si="17"/>
        <v>4826</v>
      </c>
      <c r="AC57" s="1">
        <f t="shared" si="17"/>
        <v>-6</v>
      </c>
      <c r="AD57" s="1">
        <f t="shared" si="17"/>
        <v>-7</v>
      </c>
      <c r="AE57" s="1">
        <f t="shared" si="18"/>
        <v>49</v>
      </c>
      <c r="AG57" s="1">
        <f t="shared" si="19"/>
        <v>77501</v>
      </c>
    </row>
    <row r="58" spans="1:35" x14ac:dyDescent="0.25">
      <c r="A58" s="9">
        <v>1884</v>
      </c>
      <c r="B58" s="1"/>
      <c r="H58" s="1">
        <f t="shared" si="10"/>
        <v>32918</v>
      </c>
      <c r="I58" s="1">
        <f t="shared" si="11"/>
        <v>37989</v>
      </c>
      <c r="J58" s="1">
        <f t="shared" si="12"/>
        <v>281</v>
      </c>
      <c r="K58" s="1">
        <f t="shared" si="12"/>
        <v>-371</v>
      </c>
      <c r="L58" s="1">
        <f t="shared" si="12"/>
        <v>59</v>
      </c>
      <c r="M58" s="1">
        <f t="shared" si="12"/>
        <v>29</v>
      </c>
      <c r="N58" s="1">
        <f t="shared" si="12"/>
        <v>45</v>
      </c>
      <c r="O58" s="1">
        <f t="shared" si="12"/>
        <v>12</v>
      </c>
      <c r="P58" s="1">
        <f t="shared" si="12"/>
        <v>102</v>
      </c>
      <c r="Q58" s="1">
        <f t="shared" si="12"/>
        <v>83</v>
      </c>
      <c r="R58" s="1">
        <f t="shared" si="13"/>
        <v>2443</v>
      </c>
      <c r="S58" s="1">
        <f t="shared" si="14"/>
        <v>298</v>
      </c>
      <c r="T58" s="1">
        <f t="shared" si="14"/>
        <v>67</v>
      </c>
      <c r="U58" s="1">
        <f t="shared" si="14"/>
        <v>-83</v>
      </c>
      <c r="V58" s="1">
        <f t="shared" si="14"/>
        <v>17</v>
      </c>
      <c r="W58" s="1">
        <f t="shared" si="14"/>
        <v>-24</v>
      </c>
      <c r="X58" s="1">
        <f t="shared" si="14"/>
        <v>9</v>
      </c>
      <c r="Y58" s="1">
        <f t="shared" si="14"/>
        <v>26</v>
      </c>
      <c r="Z58" s="1">
        <f t="shared" si="15"/>
        <v>6357</v>
      </c>
      <c r="AA58" s="1">
        <f t="shared" si="16"/>
        <v>-8</v>
      </c>
      <c r="AB58" s="1">
        <f t="shared" si="17"/>
        <v>2773</v>
      </c>
      <c r="AC58" s="1">
        <f t="shared" si="17"/>
        <v>-7</v>
      </c>
      <c r="AD58" s="1">
        <f t="shared" si="17"/>
        <v>-85</v>
      </c>
      <c r="AE58" s="1">
        <f t="shared" si="18"/>
        <v>105</v>
      </c>
      <c r="AG58" s="1">
        <f t="shared" si="19"/>
        <v>83035</v>
      </c>
    </row>
    <row r="59" spans="1:35" x14ac:dyDescent="0.25">
      <c r="A59" s="9">
        <v>1885</v>
      </c>
      <c r="B59" s="1"/>
      <c r="H59" s="1">
        <f t="shared" si="10"/>
        <v>65433</v>
      </c>
      <c r="I59" s="1">
        <f t="shared" si="11"/>
        <v>44759</v>
      </c>
      <c r="J59" s="1">
        <f t="shared" si="12"/>
        <v>2181</v>
      </c>
      <c r="K59" s="1">
        <f t="shared" si="12"/>
        <v>537</v>
      </c>
      <c r="L59" s="1">
        <f t="shared" si="12"/>
        <v>145</v>
      </c>
      <c r="M59" s="1">
        <f t="shared" si="12"/>
        <v>218</v>
      </c>
      <c r="N59" s="1">
        <f t="shared" si="12"/>
        <v>63</v>
      </c>
      <c r="O59" s="1">
        <f t="shared" si="12"/>
        <v>-43</v>
      </c>
      <c r="P59" s="1">
        <f t="shared" si="12"/>
        <v>-121</v>
      </c>
      <c r="Q59" s="1">
        <f t="shared" si="12"/>
        <v>-90</v>
      </c>
      <c r="R59" s="1">
        <f t="shared" si="13"/>
        <v>453</v>
      </c>
      <c r="S59" s="1">
        <f t="shared" si="14"/>
        <v>39</v>
      </c>
      <c r="T59" s="1">
        <f t="shared" si="14"/>
        <v>17</v>
      </c>
      <c r="U59" s="1">
        <f t="shared" si="14"/>
        <v>358</v>
      </c>
      <c r="V59" s="1">
        <f t="shared" si="14"/>
        <v>13</v>
      </c>
      <c r="W59" s="1">
        <f t="shared" si="14"/>
        <v>-19</v>
      </c>
      <c r="X59" s="1">
        <f t="shared" si="14"/>
        <v>-3</v>
      </c>
      <c r="Y59" s="1">
        <f t="shared" si="14"/>
        <v>31</v>
      </c>
      <c r="Z59" s="1">
        <f t="shared" si="15"/>
        <v>4602</v>
      </c>
      <c r="AA59" s="1">
        <f t="shared" si="16"/>
        <v>-20</v>
      </c>
      <c r="AB59" s="1">
        <f t="shared" si="17"/>
        <v>3934</v>
      </c>
      <c r="AC59" s="1">
        <f t="shared" si="17"/>
        <v>4</v>
      </c>
      <c r="AD59" s="1">
        <f t="shared" si="17"/>
        <v>-34</v>
      </c>
      <c r="AE59" s="1">
        <f t="shared" si="18"/>
        <v>64</v>
      </c>
      <c r="AG59" s="1">
        <f t="shared" si="19"/>
        <v>122521</v>
      </c>
    </row>
    <row r="60" spans="1:35" x14ac:dyDescent="0.25">
      <c r="A60" s="9">
        <v>1886</v>
      </c>
      <c r="B60" s="1"/>
      <c r="H60" s="1">
        <f t="shared" si="10"/>
        <v>55165</v>
      </c>
      <c r="I60" s="1">
        <f t="shared" si="11"/>
        <v>40607</v>
      </c>
      <c r="J60" s="1">
        <f t="shared" si="12"/>
        <v>285</v>
      </c>
      <c r="K60" s="1">
        <f t="shared" si="12"/>
        <v>229</v>
      </c>
      <c r="L60" s="1">
        <f t="shared" si="12"/>
        <v>414</v>
      </c>
      <c r="M60" s="1">
        <f t="shared" si="12"/>
        <v>223</v>
      </c>
      <c r="N60" s="1">
        <f t="shared" si="12"/>
        <v>-93</v>
      </c>
      <c r="O60" s="1">
        <f t="shared" si="12"/>
        <v>11</v>
      </c>
      <c r="P60" s="1">
        <f t="shared" si="12"/>
        <v>317</v>
      </c>
      <c r="Q60" s="1">
        <f t="shared" si="12"/>
        <v>-8</v>
      </c>
      <c r="R60" s="1">
        <f t="shared" si="13"/>
        <v>646</v>
      </c>
      <c r="S60" s="1">
        <f t="shared" si="14"/>
        <v>879</v>
      </c>
      <c r="T60" s="1">
        <f t="shared" si="14"/>
        <v>43</v>
      </c>
      <c r="U60" s="1">
        <f t="shared" si="14"/>
        <v>150</v>
      </c>
      <c r="V60" s="1">
        <f t="shared" si="14"/>
        <v>44</v>
      </c>
      <c r="W60" s="1">
        <f t="shared" si="14"/>
        <v>17</v>
      </c>
      <c r="X60" s="1">
        <f t="shared" si="14"/>
        <v>-6</v>
      </c>
      <c r="Y60" s="1">
        <f t="shared" si="14"/>
        <v>4</v>
      </c>
      <c r="Z60" s="1">
        <f t="shared" si="15"/>
        <v>14035</v>
      </c>
      <c r="AA60" s="1">
        <f t="shared" si="16"/>
        <v>-24</v>
      </c>
      <c r="AB60" s="1">
        <f t="shared" si="17"/>
        <v>3094</v>
      </c>
      <c r="AC60" s="1">
        <f t="shared" si="17"/>
        <v>-8</v>
      </c>
      <c r="AD60" s="1">
        <f t="shared" si="17"/>
        <v>17</v>
      </c>
      <c r="AE60" s="1">
        <f t="shared" si="18"/>
        <v>-309</v>
      </c>
      <c r="AG60" s="1">
        <f t="shared" si="19"/>
        <v>115732</v>
      </c>
    </row>
    <row r="61" spans="1:35" x14ac:dyDescent="0.25">
      <c r="A61" s="9">
        <v>1887</v>
      </c>
      <c r="B61" s="1"/>
      <c r="H61" s="1">
        <f t="shared" si="10"/>
        <v>40077</v>
      </c>
      <c r="I61" s="1">
        <f t="shared" si="11"/>
        <v>17654</v>
      </c>
      <c r="J61" s="1">
        <f t="shared" si="12"/>
        <v>-898</v>
      </c>
      <c r="K61" s="1">
        <f t="shared" si="12"/>
        <v>-429</v>
      </c>
      <c r="L61" s="1">
        <f t="shared" si="12"/>
        <v>-76</v>
      </c>
      <c r="M61" s="1">
        <f t="shared" si="12"/>
        <v>-294</v>
      </c>
      <c r="N61" s="1">
        <f t="shared" si="12"/>
        <v>-121</v>
      </c>
      <c r="O61" s="1">
        <f t="shared" si="12"/>
        <v>-27</v>
      </c>
      <c r="P61" s="1">
        <f t="shared" si="12"/>
        <v>93</v>
      </c>
      <c r="Q61" s="1">
        <f t="shared" si="12"/>
        <v>-6</v>
      </c>
      <c r="R61" s="1">
        <f t="shared" si="13"/>
        <v>125</v>
      </c>
      <c r="S61" s="1">
        <f t="shared" si="14"/>
        <v>312</v>
      </c>
      <c r="T61" s="1">
        <f t="shared" si="14"/>
        <v>-20</v>
      </c>
      <c r="U61" s="1">
        <f t="shared" si="14"/>
        <v>-37</v>
      </c>
      <c r="V61" s="1">
        <f t="shared" si="14"/>
        <v>13</v>
      </c>
      <c r="W61" s="1">
        <f t="shared" si="14"/>
        <v>-5</v>
      </c>
      <c r="X61" s="1">
        <f t="shared" si="14"/>
        <v>-17</v>
      </c>
      <c r="Y61" s="1">
        <f t="shared" si="14"/>
        <v>22</v>
      </c>
      <c r="Z61" s="1">
        <f t="shared" si="15"/>
        <v>8123</v>
      </c>
      <c r="AA61" s="1">
        <f t="shared" si="16"/>
        <v>-99</v>
      </c>
      <c r="AB61" s="1">
        <f t="shared" si="17"/>
        <v>2183</v>
      </c>
      <c r="AC61" s="1">
        <f t="shared" si="17"/>
        <v>-5</v>
      </c>
      <c r="AD61" s="1">
        <f t="shared" si="17"/>
        <v>-38</v>
      </c>
      <c r="AE61" s="1">
        <f t="shared" si="18"/>
        <v>-215</v>
      </c>
      <c r="AG61" s="1">
        <f t="shared" si="19"/>
        <v>66315</v>
      </c>
    </row>
    <row r="62" spans="1:35" x14ac:dyDescent="0.25">
      <c r="A62" s="9">
        <v>1888</v>
      </c>
      <c r="B62" s="1"/>
      <c r="H62" s="1">
        <f t="shared" si="10"/>
        <v>68160</v>
      </c>
      <c r="I62" s="1">
        <f t="shared" si="11"/>
        <v>15619</v>
      </c>
      <c r="J62" s="1">
        <f t="shared" si="12"/>
        <v>-112</v>
      </c>
      <c r="K62" s="1">
        <f t="shared" si="12"/>
        <v>243</v>
      </c>
      <c r="L62" s="1">
        <f t="shared" si="12"/>
        <v>-75</v>
      </c>
      <c r="M62" s="1">
        <f t="shared" si="12"/>
        <v>5</v>
      </c>
      <c r="N62" s="1">
        <f t="shared" si="12"/>
        <v>74</v>
      </c>
      <c r="O62" s="1">
        <f t="shared" si="12"/>
        <v>8</v>
      </c>
      <c r="P62" s="1">
        <f t="shared" si="12"/>
        <v>174</v>
      </c>
      <c r="Q62" s="1">
        <f t="shared" si="12"/>
        <v>79</v>
      </c>
      <c r="R62" s="1">
        <f t="shared" si="13"/>
        <v>16</v>
      </c>
      <c r="S62" s="1">
        <f t="shared" si="14"/>
        <v>661</v>
      </c>
      <c r="T62" s="1">
        <f t="shared" si="14"/>
        <v>44</v>
      </c>
      <c r="U62" s="1">
        <f t="shared" si="14"/>
        <v>30</v>
      </c>
      <c r="V62" s="1">
        <f t="shared" si="14"/>
        <v>11</v>
      </c>
      <c r="W62" s="1">
        <f t="shared" si="14"/>
        <v>-6</v>
      </c>
      <c r="X62" s="1">
        <f t="shared" si="14"/>
        <v>-12</v>
      </c>
      <c r="Y62" s="1">
        <f t="shared" si="14"/>
        <v>-9</v>
      </c>
      <c r="Z62" s="1">
        <f t="shared" si="15"/>
        <v>6129</v>
      </c>
      <c r="AA62" s="1">
        <f t="shared" si="16"/>
        <v>-34</v>
      </c>
      <c r="AB62" s="1">
        <f t="shared" si="17"/>
        <v>5927</v>
      </c>
      <c r="AC62" s="1">
        <f t="shared" si="17"/>
        <v>-3</v>
      </c>
      <c r="AD62" s="1">
        <f t="shared" si="17"/>
        <v>-71</v>
      </c>
      <c r="AE62" s="1">
        <f t="shared" si="18"/>
        <v>42</v>
      </c>
      <c r="AG62" s="1">
        <f t="shared" si="19"/>
        <v>96900</v>
      </c>
    </row>
    <row r="63" spans="1:35" x14ac:dyDescent="0.25">
      <c r="A63" s="9">
        <v>1889</v>
      </c>
      <c r="B63" s="1"/>
      <c r="H63" s="1">
        <f t="shared" si="10"/>
        <v>17395</v>
      </c>
      <c r="I63" s="1">
        <f t="shared" si="11"/>
        <v>16643</v>
      </c>
      <c r="J63" s="1">
        <f t="shared" si="12"/>
        <v>400</v>
      </c>
      <c r="K63" s="1">
        <f t="shared" si="12"/>
        <v>1075</v>
      </c>
      <c r="L63" s="1">
        <f t="shared" si="12"/>
        <v>920</v>
      </c>
      <c r="M63" s="1">
        <f t="shared" si="12"/>
        <v>252</v>
      </c>
      <c r="N63" s="1">
        <f t="shared" si="12"/>
        <v>-52</v>
      </c>
      <c r="O63" s="1">
        <f t="shared" si="12"/>
        <v>30</v>
      </c>
      <c r="P63" s="1">
        <f t="shared" si="12"/>
        <v>-25</v>
      </c>
      <c r="Q63" s="1">
        <f t="shared" si="12"/>
        <v>4</v>
      </c>
      <c r="R63" s="1">
        <f t="shared" si="13"/>
        <v>335</v>
      </c>
      <c r="S63" s="1">
        <f t="shared" si="14"/>
        <v>296</v>
      </c>
      <c r="T63" s="1">
        <f t="shared" si="14"/>
        <v>-9</v>
      </c>
      <c r="U63" s="1">
        <f t="shared" si="14"/>
        <v>162</v>
      </c>
      <c r="V63" s="1">
        <f t="shared" si="14"/>
        <v>-11</v>
      </c>
      <c r="W63" s="1">
        <f t="shared" si="14"/>
        <v>36</v>
      </c>
      <c r="X63" s="1">
        <f t="shared" si="14"/>
        <v>12</v>
      </c>
      <c r="Y63" s="1">
        <f t="shared" si="14"/>
        <v>-2</v>
      </c>
      <c r="Z63" s="1">
        <f t="shared" si="15"/>
        <v>8526</v>
      </c>
      <c r="AA63" s="1">
        <f t="shared" si="16"/>
        <v>-100</v>
      </c>
      <c r="AB63" s="1">
        <f t="shared" si="17"/>
        <v>2995</v>
      </c>
      <c r="AC63" s="1">
        <f t="shared" si="17"/>
        <v>5</v>
      </c>
      <c r="AD63" s="1">
        <f t="shared" si="17"/>
        <v>23</v>
      </c>
      <c r="AE63" s="1">
        <f t="shared" si="18"/>
        <v>-19</v>
      </c>
      <c r="AG63" s="1">
        <f t="shared" si="19"/>
        <v>48891</v>
      </c>
    </row>
    <row r="64" spans="1:35" x14ac:dyDescent="0.25">
      <c r="A64" s="9">
        <v>1890</v>
      </c>
      <c r="B64" s="1"/>
      <c r="H64" s="1">
        <f t="shared" si="10"/>
        <v>32800</v>
      </c>
      <c r="I64" s="1">
        <f t="shared" si="11"/>
        <v>15833</v>
      </c>
      <c r="J64" s="1">
        <f t="shared" si="12"/>
        <v>1581</v>
      </c>
      <c r="K64" s="1">
        <f t="shared" si="12"/>
        <v>868</v>
      </c>
      <c r="L64" s="1">
        <f t="shared" si="12"/>
        <v>290</v>
      </c>
      <c r="M64" s="1">
        <f t="shared" si="12"/>
        <v>446</v>
      </c>
      <c r="N64" s="1">
        <f t="shared" si="12"/>
        <v>113</v>
      </c>
      <c r="O64" s="1">
        <f t="shared" si="12"/>
        <v>12</v>
      </c>
      <c r="P64" s="1">
        <f t="shared" si="12"/>
        <v>1378</v>
      </c>
      <c r="Q64" s="1">
        <f t="shared" si="12"/>
        <v>9</v>
      </c>
      <c r="R64" s="1">
        <f t="shared" si="13"/>
        <v>612</v>
      </c>
      <c r="S64" s="1">
        <f t="shared" si="14"/>
        <v>426</v>
      </c>
      <c r="T64" s="1">
        <f t="shared" si="14"/>
        <v>21</v>
      </c>
      <c r="U64" s="1">
        <f t="shared" si="14"/>
        <v>291</v>
      </c>
      <c r="V64" s="1">
        <f t="shared" si="14"/>
        <v>-34</v>
      </c>
      <c r="W64" s="1">
        <f t="shared" si="14"/>
        <v>25</v>
      </c>
      <c r="X64" s="1">
        <f t="shared" si="14"/>
        <v>-24</v>
      </c>
      <c r="Y64" s="1">
        <f t="shared" si="14"/>
        <v>41</v>
      </c>
      <c r="Z64" s="1">
        <f t="shared" si="15"/>
        <v>12580</v>
      </c>
      <c r="AA64" s="1">
        <f t="shared" si="16"/>
        <v>-89</v>
      </c>
      <c r="AB64" s="1">
        <f t="shared" si="17"/>
        <v>3372</v>
      </c>
      <c r="AC64" s="1">
        <f t="shared" si="17"/>
        <v>-2</v>
      </c>
      <c r="AD64" s="1">
        <f t="shared" si="17"/>
        <v>-295</v>
      </c>
      <c r="AE64" s="1">
        <f t="shared" si="18"/>
        <v>-706</v>
      </c>
      <c r="AG64" s="1">
        <f t="shared" si="19"/>
        <v>69548</v>
      </c>
    </row>
    <row r="65" spans="1:33" x14ac:dyDescent="0.25">
      <c r="A65" s="9">
        <v>1891</v>
      </c>
      <c r="B65" s="1"/>
      <c r="H65" s="1">
        <f t="shared" si="10"/>
        <v>-11339</v>
      </c>
      <c r="I65" s="1">
        <f t="shared" si="11"/>
        <v>19882</v>
      </c>
      <c r="J65" s="1">
        <f t="shared" ref="J65:Q74" si="20">J12</f>
        <v>-526</v>
      </c>
      <c r="K65" s="1">
        <f t="shared" si="20"/>
        <v>851</v>
      </c>
      <c r="L65" s="1">
        <f t="shared" si="20"/>
        <v>581</v>
      </c>
      <c r="M65" s="1">
        <f t="shared" si="20"/>
        <v>39</v>
      </c>
      <c r="N65" s="1">
        <f t="shared" si="20"/>
        <v>-98</v>
      </c>
      <c r="O65" s="1">
        <f t="shared" si="20"/>
        <v>-2</v>
      </c>
      <c r="P65" s="1">
        <f t="shared" si="20"/>
        <v>879</v>
      </c>
      <c r="Q65" s="1">
        <f t="shared" si="20"/>
        <v>100</v>
      </c>
      <c r="R65" s="1">
        <f t="shared" si="13"/>
        <v>-275</v>
      </c>
      <c r="S65" s="1">
        <f t="shared" ref="S65:Y70" si="21">S12</f>
        <v>201</v>
      </c>
      <c r="T65" s="1">
        <f t="shared" si="21"/>
        <v>85</v>
      </c>
      <c r="U65" s="1">
        <f t="shared" si="21"/>
        <v>240</v>
      </c>
      <c r="V65" s="1">
        <f t="shared" si="21"/>
        <v>31</v>
      </c>
      <c r="W65" s="1">
        <f t="shared" si="21"/>
        <v>-2</v>
      </c>
      <c r="X65" s="1">
        <f t="shared" si="21"/>
        <v>0</v>
      </c>
      <c r="Y65" s="1">
        <f t="shared" si="21"/>
        <v>4</v>
      </c>
      <c r="Z65" s="1">
        <f t="shared" si="15"/>
        <v>7662</v>
      </c>
      <c r="AA65" s="1">
        <f t="shared" si="16"/>
        <v>-122</v>
      </c>
      <c r="AB65" s="1">
        <f t="shared" si="17"/>
        <v>3159</v>
      </c>
      <c r="AC65" s="1">
        <f t="shared" si="17"/>
        <v>3</v>
      </c>
      <c r="AD65" s="1">
        <f t="shared" si="17"/>
        <v>-343</v>
      </c>
      <c r="AE65" s="1">
        <f t="shared" si="18"/>
        <v>-470</v>
      </c>
      <c r="AG65" s="1">
        <f t="shared" si="19"/>
        <v>20540</v>
      </c>
    </row>
    <row r="66" spans="1:33" x14ac:dyDescent="0.25">
      <c r="A66" s="9">
        <v>1892</v>
      </c>
      <c r="B66" s="1"/>
      <c r="H66" s="1">
        <f t="shared" si="10"/>
        <v>3616</v>
      </c>
      <c r="I66" s="1">
        <f t="shared" si="11"/>
        <v>9892</v>
      </c>
      <c r="J66" s="1">
        <f t="shared" si="20"/>
        <v>-999</v>
      </c>
      <c r="K66" s="1">
        <f t="shared" si="20"/>
        <v>416</v>
      </c>
      <c r="L66" s="1">
        <f t="shared" si="20"/>
        <v>224</v>
      </c>
      <c r="M66" s="1">
        <f t="shared" si="20"/>
        <v>-391</v>
      </c>
      <c r="N66" s="1">
        <f t="shared" si="20"/>
        <v>-9</v>
      </c>
      <c r="O66" s="1">
        <f t="shared" si="20"/>
        <v>17</v>
      </c>
      <c r="P66" s="1">
        <f t="shared" si="20"/>
        <v>899</v>
      </c>
      <c r="Q66" s="1">
        <f t="shared" si="20"/>
        <v>101</v>
      </c>
      <c r="R66" s="1">
        <f t="shared" si="13"/>
        <v>-287</v>
      </c>
      <c r="S66" s="1">
        <f t="shared" si="21"/>
        <v>214</v>
      </c>
      <c r="T66" s="1">
        <f t="shared" si="21"/>
        <v>118</v>
      </c>
      <c r="U66" s="1">
        <f t="shared" si="21"/>
        <v>199</v>
      </c>
      <c r="V66" s="1">
        <f t="shared" si="21"/>
        <v>10</v>
      </c>
      <c r="W66" s="1">
        <f t="shared" si="21"/>
        <v>14</v>
      </c>
      <c r="X66" s="1">
        <f t="shared" si="21"/>
        <v>34</v>
      </c>
      <c r="Y66" s="1">
        <f t="shared" si="21"/>
        <v>2</v>
      </c>
      <c r="Z66" s="1">
        <f t="shared" si="15"/>
        <v>16360</v>
      </c>
      <c r="AA66" s="1">
        <f t="shared" si="16"/>
        <v>-201</v>
      </c>
      <c r="AB66" s="1">
        <f t="shared" si="17"/>
        <v>-164</v>
      </c>
      <c r="AC66" s="1">
        <f t="shared" si="17"/>
        <v>5</v>
      </c>
      <c r="AD66" s="1">
        <f t="shared" si="17"/>
        <v>-250</v>
      </c>
      <c r="AE66" s="1">
        <f t="shared" si="18"/>
        <v>-16</v>
      </c>
      <c r="AG66" s="1">
        <f t="shared" si="19"/>
        <v>29804</v>
      </c>
    </row>
    <row r="67" spans="1:33" x14ac:dyDescent="0.25">
      <c r="A67" s="9">
        <v>1893</v>
      </c>
      <c r="B67" s="1"/>
      <c r="H67" s="1">
        <f t="shared" si="10"/>
        <v>26811</v>
      </c>
      <c r="I67" s="1">
        <f t="shared" si="11"/>
        <v>3749</v>
      </c>
      <c r="J67" s="1">
        <f t="shared" si="20"/>
        <v>-127</v>
      </c>
      <c r="K67" s="1">
        <f t="shared" si="20"/>
        <v>1811</v>
      </c>
      <c r="L67" s="1">
        <f t="shared" si="20"/>
        <v>284</v>
      </c>
      <c r="M67" s="1">
        <f t="shared" si="20"/>
        <v>76</v>
      </c>
      <c r="N67" s="1">
        <f t="shared" si="20"/>
        <v>699</v>
      </c>
      <c r="O67" s="1">
        <f t="shared" si="20"/>
        <v>69</v>
      </c>
      <c r="P67" s="1">
        <f t="shared" si="20"/>
        <v>351</v>
      </c>
      <c r="Q67" s="1">
        <f t="shared" si="20"/>
        <v>178</v>
      </c>
      <c r="R67" s="1">
        <f t="shared" si="13"/>
        <v>69</v>
      </c>
      <c r="S67" s="1">
        <f t="shared" si="21"/>
        <v>4</v>
      </c>
      <c r="T67" s="1">
        <f t="shared" si="21"/>
        <v>-31</v>
      </c>
      <c r="U67" s="1">
        <f t="shared" si="21"/>
        <v>275</v>
      </c>
      <c r="V67" s="1">
        <f t="shared" si="21"/>
        <v>29</v>
      </c>
      <c r="W67" s="1">
        <f t="shared" si="21"/>
        <v>-32</v>
      </c>
      <c r="X67" s="1">
        <f t="shared" si="21"/>
        <v>-3</v>
      </c>
      <c r="Y67" s="1">
        <f t="shared" si="21"/>
        <v>15</v>
      </c>
      <c r="Z67" s="1">
        <f t="shared" si="15"/>
        <v>12664</v>
      </c>
      <c r="AA67" s="1">
        <f t="shared" si="16"/>
        <v>385</v>
      </c>
      <c r="AB67" s="1">
        <f t="shared" si="17"/>
        <v>5813</v>
      </c>
      <c r="AC67" s="1">
        <f t="shared" si="17"/>
        <v>13</v>
      </c>
      <c r="AD67" s="1">
        <f t="shared" si="17"/>
        <v>-393</v>
      </c>
      <c r="AE67" s="1">
        <f t="shared" si="18"/>
        <v>44</v>
      </c>
      <c r="AG67" s="1">
        <f t="shared" si="19"/>
        <v>52753</v>
      </c>
    </row>
    <row r="68" spans="1:33" x14ac:dyDescent="0.25">
      <c r="A68" s="9">
        <v>1894</v>
      </c>
      <c r="B68" s="1"/>
      <c r="H68" s="1">
        <f t="shared" si="10"/>
        <v>5875</v>
      </c>
      <c r="I68" s="1">
        <f t="shared" si="11"/>
        <v>5078</v>
      </c>
      <c r="J68" s="1">
        <f t="shared" si="20"/>
        <v>-1092</v>
      </c>
      <c r="K68" s="1">
        <f t="shared" si="20"/>
        <v>871</v>
      </c>
      <c r="L68" s="1">
        <f t="shared" si="20"/>
        <v>430</v>
      </c>
      <c r="M68" s="1">
        <f t="shared" si="20"/>
        <v>-10</v>
      </c>
      <c r="N68" s="1">
        <f t="shared" si="20"/>
        <v>-314</v>
      </c>
      <c r="O68" s="1">
        <f t="shared" si="20"/>
        <v>40</v>
      </c>
      <c r="P68" s="1">
        <f t="shared" si="20"/>
        <v>1153</v>
      </c>
      <c r="Q68" s="1">
        <f t="shared" si="20"/>
        <v>103</v>
      </c>
      <c r="R68" s="1">
        <f t="shared" si="13"/>
        <v>385</v>
      </c>
      <c r="S68" s="1">
        <f t="shared" si="21"/>
        <v>398</v>
      </c>
      <c r="T68" s="1">
        <f t="shared" si="21"/>
        <v>99</v>
      </c>
      <c r="U68" s="1">
        <f t="shared" si="21"/>
        <v>390</v>
      </c>
      <c r="V68" s="1">
        <f t="shared" si="21"/>
        <v>-4</v>
      </c>
      <c r="W68" s="1">
        <f t="shared" si="21"/>
        <v>52</v>
      </c>
      <c r="X68" s="1">
        <f t="shared" si="21"/>
        <v>25</v>
      </c>
      <c r="Y68" s="1">
        <f t="shared" si="21"/>
        <v>16</v>
      </c>
      <c r="Z68" s="1">
        <f t="shared" si="15"/>
        <v>14190</v>
      </c>
      <c r="AA68" s="1">
        <f t="shared" si="16"/>
        <v>537</v>
      </c>
      <c r="AB68" s="1">
        <f t="shared" si="17"/>
        <v>2051</v>
      </c>
      <c r="AC68" s="1">
        <f t="shared" si="17"/>
        <v>6</v>
      </c>
      <c r="AD68" s="1">
        <f t="shared" si="17"/>
        <v>-143</v>
      </c>
      <c r="AE68" s="1">
        <f t="shared" si="18"/>
        <v>4552</v>
      </c>
      <c r="AG68" s="1">
        <f t="shared" si="19"/>
        <v>34688</v>
      </c>
    </row>
    <row r="69" spans="1:33" x14ac:dyDescent="0.25">
      <c r="A69" s="9">
        <v>1895</v>
      </c>
      <c r="B69" s="1"/>
      <c r="H69" s="1">
        <f t="shared" si="10"/>
        <v>14890</v>
      </c>
      <c r="I69" s="1">
        <f t="shared" si="11"/>
        <v>15846</v>
      </c>
      <c r="J69" s="1">
        <f t="shared" si="20"/>
        <v>-144</v>
      </c>
      <c r="K69" s="1">
        <f t="shared" si="20"/>
        <v>1033</v>
      </c>
      <c r="L69" s="1">
        <f t="shared" si="20"/>
        <v>1080</v>
      </c>
      <c r="M69" s="1">
        <f t="shared" si="20"/>
        <v>347</v>
      </c>
      <c r="N69" s="1">
        <f t="shared" si="20"/>
        <v>25</v>
      </c>
      <c r="O69" s="1">
        <f t="shared" si="20"/>
        <v>-57</v>
      </c>
      <c r="P69" s="1">
        <f t="shared" si="20"/>
        <v>597</v>
      </c>
      <c r="Q69" s="1">
        <f t="shared" si="20"/>
        <v>8</v>
      </c>
      <c r="R69" s="1">
        <f t="shared" si="13"/>
        <v>356</v>
      </c>
      <c r="S69" s="1">
        <f t="shared" si="21"/>
        <v>107</v>
      </c>
      <c r="T69" s="1">
        <f t="shared" si="21"/>
        <v>36</v>
      </c>
      <c r="U69" s="1">
        <f t="shared" si="21"/>
        <v>204</v>
      </c>
      <c r="V69" s="1">
        <f t="shared" si="21"/>
        <v>15</v>
      </c>
      <c r="W69" s="1">
        <f t="shared" si="21"/>
        <v>22</v>
      </c>
      <c r="X69" s="1">
        <f t="shared" si="21"/>
        <v>-4</v>
      </c>
      <c r="Y69" s="1">
        <f t="shared" si="21"/>
        <v>22</v>
      </c>
      <c r="Z69" s="1">
        <f t="shared" si="15"/>
        <v>16096</v>
      </c>
      <c r="AA69" s="1">
        <f t="shared" si="16"/>
        <v>59</v>
      </c>
      <c r="AB69" s="1">
        <f t="shared" si="17"/>
        <v>4906</v>
      </c>
      <c r="AC69" s="1">
        <f t="shared" si="17"/>
        <v>12</v>
      </c>
      <c r="AD69" s="1">
        <f t="shared" si="17"/>
        <v>-228</v>
      </c>
      <c r="AE69" s="1">
        <f t="shared" si="18"/>
        <v>4320</v>
      </c>
      <c r="AG69" s="1">
        <f t="shared" si="19"/>
        <v>59548</v>
      </c>
    </row>
    <row r="70" spans="1:33" x14ac:dyDescent="0.25">
      <c r="A70" s="9">
        <v>1896</v>
      </c>
      <c r="B70" s="1"/>
      <c r="H70" s="1">
        <f t="shared" si="10"/>
        <v>23460</v>
      </c>
      <c r="I70" s="1">
        <f t="shared" si="11"/>
        <v>3179</v>
      </c>
      <c r="J70" s="1">
        <f t="shared" si="20"/>
        <v>-978</v>
      </c>
      <c r="K70" s="1">
        <f t="shared" si="20"/>
        <v>-902</v>
      </c>
      <c r="L70" s="1">
        <f t="shared" si="20"/>
        <v>251</v>
      </c>
      <c r="M70" s="1">
        <f t="shared" si="20"/>
        <v>426</v>
      </c>
      <c r="N70" s="1">
        <f t="shared" si="20"/>
        <v>1415</v>
      </c>
      <c r="O70" s="1">
        <f t="shared" si="20"/>
        <v>-110</v>
      </c>
      <c r="P70" s="1">
        <f t="shared" si="20"/>
        <v>354</v>
      </c>
      <c r="Q70" s="1">
        <f t="shared" si="20"/>
        <v>174</v>
      </c>
      <c r="R70" s="1">
        <f t="shared" si="13"/>
        <v>289</v>
      </c>
      <c r="S70" s="1">
        <f t="shared" si="21"/>
        <v>331</v>
      </c>
      <c r="T70" s="1">
        <f t="shared" si="21"/>
        <v>51</v>
      </c>
      <c r="U70" s="1">
        <f t="shared" si="21"/>
        <v>526</v>
      </c>
      <c r="V70" s="1">
        <f t="shared" si="21"/>
        <v>129</v>
      </c>
      <c r="W70" s="1">
        <f t="shared" si="21"/>
        <v>62</v>
      </c>
      <c r="X70" s="1">
        <f t="shared" si="21"/>
        <v>-44</v>
      </c>
      <c r="Y70" s="1">
        <f t="shared" si="21"/>
        <v>25</v>
      </c>
      <c r="Z70" s="1">
        <f t="shared" si="15"/>
        <v>12095</v>
      </c>
      <c r="AA70" s="1">
        <f t="shared" si="16"/>
        <v>1431</v>
      </c>
      <c r="AB70" s="1">
        <f t="shared" si="17"/>
        <v>4771</v>
      </c>
      <c r="AC70" s="1">
        <f t="shared" si="17"/>
        <v>13</v>
      </c>
      <c r="AD70" s="1">
        <f t="shared" si="17"/>
        <v>-2081</v>
      </c>
      <c r="AE70" s="1">
        <f t="shared" si="18"/>
        <v>2834</v>
      </c>
      <c r="AG70" s="1">
        <f t="shared" si="19"/>
        <v>47701</v>
      </c>
    </row>
    <row r="71" spans="1:33" x14ac:dyDescent="0.25">
      <c r="A71" s="9">
        <v>1897</v>
      </c>
      <c r="B71" s="1"/>
      <c r="H71" s="1">
        <f t="shared" si="10"/>
        <v>26567</v>
      </c>
      <c r="I71" s="1">
        <f t="shared" si="11"/>
        <v>9153</v>
      </c>
      <c r="J71" s="1">
        <f t="shared" si="20"/>
        <v>2018</v>
      </c>
      <c r="K71" s="1">
        <f t="shared" si="20"/>
        <v>1013</v>
      </c>
      <c r="L71" s="1">
        <f t="shared" si="20"/>
        <v>515</v>
      </c>
      <c r="M71" s="1">
        <f t="shared" si="20"/>
        <v>524</v>
      </c>
      <c r="N71" s="1">
        <f t="shared" si="20"/>
        <v>1418</v>
      </c>
      <c r="O71" s="1">
        <f t="shared" si="20"/>
        <v>90</v>
      </c>
      <c r="P71" s="1">
        <f t="shared" si="20"/>
        <v>484</v>
      </c>
      <c r="Q71" s="1">
        <f t="shared" si="20"/>
        <v>-4</v>
      </c>
      <c r="R71" s="1">
        <f t="shared" si="13"/>
        <v>455</v>
      </c>
      <c r="S71" s="1">
        <f t="shared" ref="S71:AD86" si="22">S18</f>
        <v>308</v>
      </c>
      <c r="T71" s="1">
        <f t="shared" si="22"/>
        <v>290</v>
      </c>
      <c r="U71" s="1">
        <f t="shared" si="22"/>
        <v>414</v>
      </c>
      <c r="V71" s="1">
        <f t="shared" si="22"/>
        <v>75</v>
      </c>
      <c r="W71" s="1">
        <f t="shared" si="22"/>
        <v>117</v>
      </c>
      <c r="X71" s="1">
        <f t="shared" si="22"/>
        <v>40</v>
      </c>
      <c r="Y71" s="1">
        <f t="shared" si="22"/>
        <v>-40</v>
      </c>
      <c r="Z71" s="1">
        <f t="shared" si="15"/>
        <v>26624</v>
      </c>
      <c r="AA71" s="1">
        <f t="shared" si="16"/>
        <v>1039</v>
      </c>
      <c r="AB71" s="1">
        <f t="shared" si="22"/>
        <v>4740</v>
      </c>
      <c r="AC71" s="1">
        <f t="shared" si="22"/>
        <v>16</v>
      </c>
      <c r="AD71" s="1">
        <f t="shared" si="22"/>
        <v>60</v>
      </c>
      <c r="AE71" s="1">
        <f t="shared" si="18"/>
        <v>3481</v>
      </c>
      <c r="AG71" s="1">
        <f t="shared" si="19"/>
        <v>79397</v>
      </c>
    </row>
    <row r="72" spans="1:33" x14ac:dyDescent="0.25">
      <c r="A72" s="9">
        <v>1898</v>
      </c>
      <c r="B72" s="1"/>
      <c r="H72" s="1">
        <f t="shared" si="10"/>
        <v>19680</v>
      </c>
      <c r="I72" s="1">
        <f t="shared" si="11"/>
        <v>14479</v>
      </c>
      <c r="J72" s="1">
        <f t="shared" si="20"/>
        <v>2061</v>
      </c>
      <c r="K72" s="1">
        <f t="shared" si="20"/>
        <v>2034</v>
      </c>
      <c r="L72" s="1">
        <f t="shared" si="20"/>
        <v>415</v>
      </c>
      <c r="M72" s="1">
        <f t="shared" si="20"/>
        <v>383</v>
      </c>
      <c r="N72" s="1">
        <f t="shared" si="20"/>
        <v>1838</v>
      </c>
      <c r="O72" s="1">
        <f t="shared" si="20"/>
        <v>13</v>
      </c>
      <c r="P72" s="1">
        <f t="shared" si="20"/>
        <v>636</v>
      </c>
      <c r="Q72" s="1">
        <f t="shared" si="20"/>
        <v>161</v>
      </c>
      <c r="R72" s="1">
        <f t="shared" si="13"/>
        <v>746</v>
      </c>
      <c r="S72" s="1">
        <f t="shared" si="22"/>
        <v>424</v>
      </c>
      <c r="T72" s="1">
        <f t="shared" si="22"/>
        <v>-171</v>
      </c>
      <c r="U72" s="1">
        <f t="shared" si="22"/>
        <v>582</v>
      </c>
      <c r="V72" s="1">
        <f t="shared" si="22"/>
        <v>223</v>
      </c>
      <c r="W72" s="1">
        <f t="shared" si="22"/>
        <v>189</v>
      </c>
      <c r="X72" s="1">
        <f t="shared" si="22"/>
        <v>-38</v>
      </c>
      <c r="Y72" s="1">
        <f t="shared" si="22"/>
        <v>30</v>
      </c>
      <c r="Z72" s="1">
        <f t="shared" si="15"/>
        <v>26612</v>
      </c>
      <c r="AA72" s="1">
        <f t="shared" si="16"/>
        <v>1050</v>
      </c>
      <c r="AB72" s="1">
        <f t="shared" si="22"/>
        <v>9956</v>
      </c>
      <c r="AC72" s="1">
        <f t="shared" si="22"/>
        <v>64</v>
      </c>
      <c r="AD72" s="1">
        <f t="shared" si="22"/>
        <v>-14</v>
      </c>
      <c r="AE72" s="1">
        <f t="shared" si="18"/>
        <v>2289</v>
      </c>
      <c r="AG72" s="1">
        <f t="shared" si="19"/>
        <v>83642</v>
      </c>
    </row>
    <row r="73" spans="1:33" x14ac:dyDescent="0.25">
      <c r="A73" s="9">
        <v>1899</v>
      </c>
      <c r="B73" s="1"/>
      <c r="H73" s="1">
        <f t="shared" si="10"/>
        <v>39526</v>
      </c>
      <c r="I73" s="1">
        <f t="shared" si="11"/>
        <v>8689</v>
      </c>
      <c r="J73" s="1">
        <f t="shared" si="20"/>
        <v>506</v>
      </c>
      <c r="K73" s="1">
        <f t="shared" si="20"/>
        <v>1122</v>
      </c>
      <c r="L73" s="1">
        <f t="shared" si="20"/>
        <v>554</v>
      </c>
      <c r="M73" s="1">
        <f t="shared" si="20"/>
        <v>202</v>
      </c>
      <c r="N73" s="1">
        <f t="shared" si="20"/>
        <v>277</v>
      </c>
      <c r="O73" s="1">
        <f t="shared" si="20"/>
        <v>131</v>
      </c>
      <c r="P73" s="1">
        <f t="shared" si="20"/>
        <v>274</v>
      </c>
      <c r="Q73" s="1">
        <f t="shared" si="20"/>
        <v>183</v>
      </c>
      <c r="R73" s="1">
        <f t="shared" si="13"/>
        <v>410</v>
      </c>
      <c r="S73" s="1">
        <f t="shared" si="22"/>
        <v>18</v>
      </c>
      <c r="T73" s="1">
        <f t="shared" si="22"/>
        <v>159</v>
      </c>
      <c r="U73" s="1">
        <f t="shared" si="22"/>
        <v>695</v>
      </c>
      <c r="V73" s="1">
        <f t="shared" si="22"/>
        <v>62</v>
      </c>
      <c r="W73" s="1">
        <f t="shared" si="22"/>
        <v>-23</v>
      </c>
      <c r="X73" s="1">
        <f t="shared" si="22"/>
        <v>11</v>
      </c>
      <c r="Y73" s="1">
        <f t="shared" si="22"/>
        <v>46</v>
      </c>
      <c r="Z73" s="1">
        <f t="shared" si="15"/>
        <v>31058</v>
      </c>
      <c r="AA73" s="1">
        <f t="shared" si="16"/>
        <v>1474</v>
      </c>
      <c r="AB73" s="1">
        <f t="shared" si="22"/>
        <v>8199</v>
      </c>
      <c r="AC73" s="1">
        <f t="shared" si="22"/>
        <v>-4</v>
      </c>
      <c r="AD73" s="1">
        <f t="shared" si="22"/>
        <v>-148</v>
      </c>
      <c r="AE73" s="1">
        <f t="shared" si="18"/>
        <v>1733</v>
      </c>
      <c r="AG73" s="1">
        <f t="shared" si="19"/>
        <v>95154</v>
      </c>
    </row>
    <row r="74" spans="1:33" x14ac:dyDescent="0.25">
      <c r="A74" s="9">
        <v>1900</v>
      </c>
      <c r="B74" s="1"/>
      <c r="H74" s="1">
        <f t="shared" si="10"/>
        <v>28424</v>
      </c>
      <c r="I74" s="1">
        <f t="shared" si="11"/>
        <v>11790</v>
      </c>
      <c r="J74" s="1">
        <f t="shared" si="20"/>
        <v>160</v>
      </c>
      <c r="K74" s="1">
        <f t="shared" si="20"/>
        <v>506</v>
      </c>
      <c r="L74" s="1">
        <f t="shared" si="20"/>
        <v>250</v>
      </c>
      <c r="M74" s="1">
        <f t="shared" si="20"/>
        <v>-268</v>
      </c>
      <c r="N74" s="1">
        <f t="shared" si="20"/>
        <v>598</v>
      </c>
      <c r="O74" s="1">
        <f t="shared" si="20"/>
        <v>-117</v>
      </c>
      <c r="P74" s="1">
        <f t="shared" si="20"/>
        <v>161</v>
      </c>
      <c r="Q74" s="1">
        <f t="shared" si="20"/>
        <v>604</v>
      </c>
      <c r="R74" s="1">
        <f t="shared" si="13"/>
        <v>378</v>
      </c>
      <c r="S74" s="1">
        <f t="shared" si="22"/>
        <v>268</v>
      </c>
      <c r="T74" s="1">
        <f t="shared" si="22"/>
        <v>204</v>
      </c>
      <c r="U74" s="1">
        <f t="shared" si="22"/>
        <v>233</v>
      </c>
      <c r="V74" s="1">
        <f t="shared" si="22"/>
        <v>0</v>
      </c>
      <c r="W74" s="1">
        <f t="shared" si="22"/>
        <v>20</v>
      </c>
      <c r="X74" s="1">
        <f t="shared" si="22"/>
        <v>27</v>
      </c>
      <c r="Y74" s="1">
        <f t="shared" si="22"/>
        <v>34</v>
      </c>
      <c r="Z74" s="1">
        <f t="shared" si="15"/>
        <v>10021</v>
      </c>
      <c r="AA74" s="1">
        <f t="shared" si="16"/>
        <v>1237</v>
      </c>
      <c r="AB74" s="1">
        <f t="shared" si="22"/>
        <v>8448</v>
      </c>
      <c r="AC74" s="1">
        <f t="shared" si="22"/>
        <v>-207</v>
      </c>
      <c r="AD74" s="1">
        <f t="shared" si="22"/>
        <v>-215</v>
      </c>
      <c r="AE74" s="1">
        <f t="shared" si="18"/>
        <v>-4</v>
      </c>
      <c r="AG74" s="1">
        <f t="shared" si="19"/>
        <v>62552</v>
      </c>
    </row>
    <row r="75" spans="1:33" x14ac:dyDescent="0.25">
      <c r="A75" s="9">
        <v>1901</v>
      </c>
      <c r="H75" s="1">
        <f t="shared" si="10"/>
        <v>36675</v>
      </c>
      <c r="I75" s="1">
        <f t="shared" si="11"/>
        <v>13699</v>
      </c>
      <c r="J75" s="1">
        <f t="shared" ref="J75:Q84" si="23">J22</f>
        <v>1178</v>
      </c>
      <c r="K75" s="1">
        <f t="shared" si="23"/>
        <v>103</v>
      </c>
      <c r="L75" s="1">
        <f t="shared" si="23"/>
        <v>373</v>
      </c>
      <c r="M75" s="1">
        <f t="shared" si="23"/>
        <v>89</v>
      </c>
      <c r="N75" s="1">
        <f t="shared" si="23"/>
        <v>236</v>
      </c>
      <c r="O75" s="1">
        <f t="shared" si="23"/>
        <v>13</v>
      </c>
      <c r="P75" s="1">
        <f t="shared" si="23"/>
        <v>270</v>
      </c>
      <c r="Q75" s="1">
        <f t="shared" si="23"/>
        <v>978</v>
      </c>
      <c r="R75" s="1">
        <f t="shared" si="13"/>
        <v>495</v>
      </c>
      <c r="S75" s="1">
        <f t="shared" si="22"/>
        <v>284</v>
      </c>
      <c r="T75" s="1">
        <f t="shared" si="22"/>
        <v>183</v>
      </c>
      <c r="U75" s="1">
        <f t="shared" si="22"/>
        <v>322</v>
      </c>
      <c r="V75" s="1">
        <f t="shared" si="22"/>
        <v>-11</v>
      </c>
      <c r="W75" s="1">
        <f t="shared" si="22"/>
        <v>-7</v>
      </c>
      <c r="X75" s="1">
        <f t="shared" si="22"/>
        <v>5</v>
      </c>
      <c r="Y75" s="1">
        <f t="shared" si="22"/>
        <v>32</v>
      </c>
      <c r="Z75" s="1">
        <f t="shared" si="15"/>
        <v>16538</v>
      </c>
      <c r="AA75" s="1">
        <f t="shared" si="16"/>
        <v>23761</v>
      </c>
      <c r="AB75" s="1">
        <f t="shared" si="22"/>
        <v>3584</v>
      </c>
      <c r="AC75" s="1">
        <f t="shared" si="22"/>
        <v>1622</v>
      </c>
      <c r="AD75" s="1">
        <f t="shared" si="22"/>
        <v>-392</v>
      </c>
      <c r="AE75" s="1">
        <f t="shared" si="18"/>
        <v>-1432</v>
      </c>
      <c r="AG75" s="1">
        <f t="shared" si="19"/>
        <v>98598</v>
      </c>
    </row>
    <row r="76" spans="1:33" x14ac:dyDescent="0.25">
      <c r="A76" s="9">
        <v>1902</v>
      </c>
      <c r="B76" s="1"/>
      <c r="H76" s="1">
        <f t="shared" si="10"/>
        <v>18122</v>
      </c>
      <c r="I76" s="1">
        <f t="shared" si="11"/>
        <v>15376</v>
      </c>
      <c r="J76" s="1">
        <f t="shared" si="23"/>
        <v>439</v>
      </c>
      <c r="K76" s="1">
        <f t="shared" si="23"/>
        <v>485</v>
      </c>
      <c r="L76" s="1">
        <f t="shared" si="23"/>
        <v>191</v>
      </c>
      <c r="M76" s="1">
        <f t="shared" si="23"/>
        <v>62</v>
      </c>
      <c r="N76" s="1">
        <f t="shared" si="23"/>
        <v>213</v>
      </c>
      <c r="O76" s="1">
        <f t="shared" si="23"/>
        <v>198</v>
      </c>
      <c r="P76" s="1">
        <f t="shared" si="23"/>
        <v>333</v>
      </c>
      <c r="Q76" s="1">
        <f t="shared" si="23"/>
        <v>942</v>
      </c>
      <c r="R76" s="1">
        <f t="shared" si="13"/>
        <v>1228</v>
      </c>
      <c r="S76" s="1">
        <f t="shared" si="22"/>
        <v>367</v>
      </c>
      <c r="T76" s="1">
        <f t="shared" si="22"/>
        <v>166</v>
      </c>
      <c r="U76" s="1">
        <f t="shared" si="22"/>
        <v>198</v>
      </c>
      <c r="V76" s="1">
        <f t="shared" si="22"/>
        <v>-19</v>
      </c>
      <c r="W76" s="1">
        <f t="shared" si="22"/>
        <v>85</v>
      </c>
      <c r="X76" s="1">
        <f t="shared" si="22"/>
        <v>-34</v>
      </c>
      <c r="Y76" s="1">
        <f t="shared" si="22"/>
        <v>-36</v>
      </c>
      <c r="Z76" s="1">
        <f t="shared" si="15"/>
        <v>21988</v>
      </c>
      <c r="AA76" s="1">
        <f t="shared" si="16"/>
        <v>27566</v>
      </c>
      <c r="AB76" s="1">
        <f t="shared" si="22"/>
        <v>7913</v>
      </c>
      <c r="AC76" s="1">
        <f t="shared" si="22"/>
        <v>2264</v>
      </c>
      <c r="AD76" s="1">
        <f t="shared" si="22"/>
        <v>-247</v>
      </c>
      <c r="AE76" s="1">
        <f t="shared" si="18"/>
        <v>-1763</v>
      </c>
      <c r="AG76" s="1">
        <f t="shared" si="19"/>
        <v>96037</v>
      </c>
    </row>
    <row r="77" spans="1:33" x14ac:dyDescent="0.25">
      <c r="A77" s="9">
        <v>1903</v>
      </c>
      <c r="H77" s="1">
        <f t="shared" si="10"/>
        <v>24435</v>
      </c>
      <c r="I77" s="1">
        <f t="shared" si="11"/>
        <v>11465</v>
      </c>
      <c r="J77" s="1">
        <f t="shared" si="23"/>
        <v>-8</v>
      </c>
      <c r="K77" s="1">
        <f t="shared" si="23"/>
        <v>651</v>
      </c>
      <c r="L77" s="1">
        <f t="shared" si="23"/>
        <v>355</v>
      </c>
      <c r="M77" s="1">
        <f t="shared" si="23"/>
        <v>118</v>
      </c>
      <c r="N77" s="1">
        <f t="shared" si="23"/>
        <v>84</v>
      </c>
      <c r="O77" s="1">
        <f t="shared" si="23"/>
        <v>194</v>
      </c>
      <c r="P77" s="1">
        <f t="shared" si="23"/>
        <v>375</v>
      </c>
      <c r="Q77" s="1">
        <f t="shared" si="23"/>
        <v>813</v>
      </c>
      <c r="R77" s="1">
        <f t="shared" si="13"/>
        <v>448</v>
      </c>
      <c r="S77" s="1">
        <f t="shared" si="22"/>
        <v>314</v>
      </c>
      <c r="T77" s="1">
        <f t="shared" si="22"/>
        <v>249</v>
      </c>
      <c r="U77" s="1">
        <f t="shared" si="22"/>
        <v>377</v>
      </c>
      <c r="V77" s="1">
        <f t="shared" si="22"/>
        <v>30</v>
      </c>
      <c r="W77" s="1">
        <f t="shared" si="22"/>
        <v>24</v>
      </c>
      <c r="X77" s="1">
        <f t="shared" si="22"/>
        <v>-4</v>
      </c>
      <c r="Y77" s="1">
        <f t="shared" si="22"/>
        <v>20</v>
      </c>
      <c r="Z77" s="1">
        <f t="shared" si="15"/>
        <v>23983</v>
      </c>
      <c r="AA77" s="1">
        <f t="shared" si="16"/>
        <v>5252</v>
      </c>
      <c r="AB77" s="1">
        <f t="shared" si="22"/>
        <v>10102</v>
      </c>
      <c r="AC77" s="1">
        <f t="shared" si="22"/>
        <v>2079</v>
      </c>
      <c r="AD77" s="1">
        <f t="shared" si="22"/>
        <v>-447</v>
      </c>
      <c r="AE77" s="1">
        <f t="shared" si="18"/>
        <v>1191</v>
      </c>
      <c r="AG77" s="1">
        <f t="shared" si="19"/>
        <v>82100</v>
      </c>
    </row>
    <row r="78" spans="1:33" x14ac:dyDescent="0.25">
      <c r="A78" s="9">
        <v>1904</v>
      </c>
      <c r="H78" s="1">
        <f t="shared" si="10"/>
        <v>13711</v>
      </c>
      <c r="I78" s="1">
        <f t="shared" si="11"/>
        <v>16264</v>
      </c>
      <c r="J78" s="1">
        <f t="shared" si="23"/>
        <v>190</v>
      </c>
      <c r="K78" s="1">
        <f t="shared" si="23"/>
        <v>924</v>
      </c>
      <c r="L78" s="1">
        <f t="shared" si="23"/>
        <v>110</v>
      </c>
      <c r="M78" s="1">
        <f t="shared" si="23"/>
        <v>-164</v>
      </c>
      <c r="N78" s="1">
        <f t="shared" si="23"/>
        <v>63</v>
      </c>
      <c r="O78" s="1">
        <f t="shared" si="23"/>
        <v>168</v>
      </c>
      <c r="P78" s="1">
        <f t="shared" si="23"/>
        <v>-192</v>
      </c>
      <c r="Q78" s="1">
        <f t="shared" si="23"/>
        <v>402</v>
      </c>
      <c r="R78" s="1">
        <f t="shared" si="13"/>
        <v>247</v>
      </c>
      <c r="S78" s="1">
        <f t="shared" si="22"/>
        <v>333</v>
      </c>
      <c r="T78" s="1">
        <f t="shared" si="22"/>
        <v>53</v>
      </c>
      <c r="U78" s="1">
        <f t="shared" si="22"/>
        <v>83</v>
      </c>
      <c r="V78" s="1">
        <f t="shared" si="22"/>
        <v>-85</v>
      </c>
      <c r="W78" s="1">
        <f t="shared" si="22"/>
        <v>-55</v>
      </c>
      <c r="X78" s="1">
        <f t="shared" si="22"/>
        <v>-44</v>
      </c>
      <c r="Y78" s="1">
        <f t="shared" si="22"/>
        <v>4</v>
      </c>
      <c r="Z78" s="1">
        <f t="shared" si="15"/>
        <v>14727</v>
      </c>
      <c r="AA78" s="1">
        <f t="shared" si="16"/>
        <v>1849</v>
      </c>
      <c r="AB78" s="1">
        <f t="shared" si="22"/>
        <v>9855</v>
      </c>
      <c r="AC78" s="1">
        <f t="shared" si="22"/>
        <v>-459</v>
      </c>
      <c r="AD78" s="1">
        <f t="shared" si="22"/>
        <v>-257</v>
      </c>
      <c r="AE78" s="1">
        <f t="shared" si="18"/>
        <v>-3052</v>
      </c>
      <c r="AG78" s="1">
        <f t="shared" si="19"/>
        <v>54675</v>
      </c>
    </row>
    <row r="79" spans="1:33" x14ac:dyDescent="0.25">
      <c r="A79" s="9">
        <v>1905</v>
      </c>
      <c r="H79" s="1">
        <f t="shared" si="10"/>
        <v>17314</v>
      </c>
      <c r="I79" s="1">
        <f t="shared" si="11"/>
        <v>-19790</v>
      </c>
      <c r="J79" s="1">
        <f t="shared" si="23"/>
        <v>368</v>
      </c>
      <c r="K79" s="1">
        <f t="shared" si="23"/>
        <v>286</v>
      </c>
      <c r="L79" s="1">
        <f t="shared" si="23"/>
        <v>409</v>
      </c>
      <c r="M79" s="1">
        <f t="shared" si="23"/>
        <v>-104</v>
      </c>
      <c r="N79" s="1">
        <f t="shared" si="23"/>
        <v>-498</v>
      </c>
      <c r="O79" s="1">
        <f t="shared" si="23"/>
        <v>-78</v>
      </c>
      <c r="P79" s="1">
        <f t="shared" si="23"/>
        <v>-161</v>
      </c>
      <c r="Q79" s="1">
        <f t="shared" si="23"/>
        <v>671</v>
      </c>
      <c r="R79" s="1">
        <f t="shared" si="13"/>
        <v>210</v>
      </c>
      <c r="S79" s="1">
        <f t="shared" si="22"/>
        <v>-4</v>
      </c>
      <c r="T79" s="1">
        <f t="shared" si="22"/>
        <v>-289</v>
      </c>
      <c r="U79" s="1">
        <f t="shared" si="22"/>
        <v>208</v>
      </c>
      <c r="V79" s="1">
        <f t="shared" si="22"/>
        <v>48</v>
      </c>
      <c r="W79" s="1">
        <f t="shared" si="22"/>
        <v>-70</v>
      </c>
      <c r="X79" s="1">
        <f t="shared" si="22"/>
        <v>-28</v>
      </c>
      <c r="Y79" s="1">
        <f t="shared" si="22"/>
        <v>8</v>
      </c>
      <c r="Z79" s="1">
        <f t="shared" si="15"/>
        <v>7588</v>
      </c>
      <c r="AA79" s="1">
        <f t="shared" si="16"/>
        <v>-379</v>
      </c>
      <c r="AB79" s="1">
        <f t="shared" si="22"/>
        <v>3277</v>
      </c>
      <c r="AC79" s="1">
        <f t="shared" si="22"/>
        <v>155</v>
      </c>
      <c r="AD79" s="1">
        <f t="shared" si="22"/>
        <v>-61</v>
      </c>
      <c r="AE79" s="1">
        <f t="shared" si="18"/>
        <v>-14</v>
      </c>
      <c r="AG79" s="1">
        <f t="shared" si="19"/>
        <v>9066</v>
      </c>
    </row>
    <row r="80" spans="1:33" x14ac:dyDescent="0.25">
      <c r="A80" s="9">
        <v>1906</v>
      </c>
      <c r="H80" s="1">
        <f t="shared" si="10"/>
        <v>33711</v>
      </c>
      <c r="I80" s="1">
        <f t="shared" si="11"/>
        <v>-32671</v>
      </c>
      <c r="J80" s="1">
        <f t="shared" si="23"/>
        <v>184</v>
      </c>
      <c r="K80" s="1">
        <f t="shared" si="23"/>
        <v>849</v>
      </c>
      <c r="L80" s="1">
        <f t="shared" si="23"/>
        <v>194</v>
      </c>
      <c r="M80" s="1">
        <f t="shared" si="23"/>
        <v>-127</v>
      </c>
      <c r="N80" s="1">
        <f t="shared" si="23"/>
        <v>57</v>
      </c>
      <c r="O80" s="1">
        <f t="shared" si="23"/>
        <v>92</v>
      </c>
      <c r="P80" s="1">
        <f t="shared" si="23"/>
        <v>33</v>
      </c>
      <c r="Q80" s="1">
        <f t="shared" si="23"/>
        <v>1234</v>
      </c>
      <c r="R80" s="1">
        <f t="shared" si="13"/>
        <v>409</v>
      </c>
      <c r="S80" s="1">
        <f t="shared" si="22"/>
        <v>501</v>
      </c>
      <c r="T80" s="1">
        <f t="shared" si="22"/>
        <v>146</v>
      </c>
      <c r="U80" s="1">
        <f t="shared" si="22"/>
        <v>108</v>
      </c>
      <c r="V80" s="1">
        <f t="shared" si="22"/>
        <v>58</v>
      </c>
      <c r="W80" s="1">
        <f t="shared" si="22"/>
        <v>19</v>
      </c>
      <c r="X80" s="1">
        <f t="shared" si="22"/>
        <v>4</v>
      </c>
      <c r="Y80" s="1">
        <f t="shared" si="22"/>
        <v>20</v>
      </c>
      <c r="Z80" s="1">
        <f t="shared" si="15"/>
        <v>34123</v>
      </c>
      <c r="AA80" s="1">
        <f t="shared" si="16"/>
        <v>16572</v>
      </c>
      <c r="AB80" s="1">
        <f t="shared" si="22"/>
        <v>7674</v>
      </c>
      <c r="AC80" s="1">
        <f t="shared" si="22"/>
        <v>4211</v>
      </c>
      <c r="AD80" s="1">
        <f t="shared" si="22"/>
        <v>-444</v>
      </c>
      <c r="AE80" s="1">
        <f t="shared" si="18"/>
        <v>3450</v>
      </c>
      <c r="AG80" s="1">
        <f t="shared" si="19"/>
        <v>70407</v>
      </c>
    </row>
    <row r="81" spans="1:33" x14ac:dyDescent="0.25">
      <c r="A81" s="9">
        <v>1907</v>
      </c>
      <c r="H81" s="1">
        <f t="shared" si="10"/>
        <v>17598</v>
      </c>
      <c r="I81" s="1">
        <f t="shared" si="11"/>
        <v>11905</v>
      </c>
      <c r="J81" s="1">
        <f t="shared" si="23"/>
        <v>-37</v>
      </c>
      <c r="K81" s="1">
        <f t="shared" si="23"/>
        <v>1500</v>
      </c>
      <c r="L81" s="1">
        <f t="shared" si="23"/>
        <v>553</v>
      </c>
      <c r="M81" s="1">
        <f t="shared" si="23"/>
        <v>-67</v>
      </c>
      <c r="N81" s="1">
        <f t="shared" si="23"/>
        <v>614</v>
      </c>
      <c r="O81" s="1">
        <f t="shared" si="23"/>
        <v>230</v>
      </c>
      <c r="P81" s="1">
        <f t="shared" si="23"/>
        <v>214</v>
      </c>
      <c r="Q81" s="1">
        <f t="shared" si="23"/>
        <v>-13</v>
      </c>
      <c r="R81" s="1">
        <f t="shared" si="13"/>
        <v>375</v>
      </c>
      <c r="S81" s="1">
        <f t="shared" si="22"/>
        <v>714</v>
      </c>
      <c r="T81" s="1">
        <f t="shared" si="22"/>
        <v>140</v>
      </c>
      <c r="U81" s="1">
        <f t="shared" si="22"/>
        <v>445</v>
      </c>
      <c r="V81" s="1">
        <f t="shared" si="22"/>
        <v>83</v>
      </c>
      <c r="W81" s="1">
        <f t="shared" si="22"/>
        <v>149</v>
      </c>
      <c r="X81" s="1">
        <f t="shared" si="22"/>
        <v>-13</v>
      </c>
      <c r="Y81" s="1">
        <f t="shared" si="22"/>
        <v>-25</v>
      </c>
      <c r="Z81" s="1">
        <f t="shared" si="15"/>
        <v>16182</v>
      </c>
      <c r="AA81" s="1">
        <f t="shared" si="16"/>
        <v>27703</v>
      </c>
      <c r="AB81" s="1">
        <f t="shared" si="22"/>
        <v>14572</v>
      </c>
      <c r="AC81" s="1">
        <f t="shared" si="22"/>
        <v>1280</v>
      </c>
      <c r="AD81" s="1">
        <f t="shared" si="22"/>
        <v>-415</v>
      </c>
      <c r="AE81" s="1">
        <f t="shared" si="18"/>
        <v>9635</v>
      </c>
      <c r="AG81" s="1">
        <f t="shared" si="19"/>
        <v>103322</v>
      </c>
    </row>
    <row r="82" spans="1:33" x14ac:dyDescent="0.25">
      <c r="A82" s="9">
        <v>1908</v>
      </c>
      <c r="H82" s="1">
        <f t="shared" si="10"/>
        <v>23538</v>
      </c>
      <c r="I82" s="1">
        <f t="shared" si="11"/>
        <v>10199</v>
      </c>
      <c r="J82" s="1">
        <f t="shared" si="23"/>
        <v>266</v>
      </c>
      <c r="K82" s="1">
        <f t="shared" si="23"/>
        <v>2407</v>
      </c>
      <c r="L82" s="1">
        <f t="shared" si="23"/>
        <v>271</v>
      </c>
      <c r="M82" s="1">
        <f t="shared" si="23"/>
        <v>323</v>
      </c>
      <c r="N82" s="1">
        <f t="shared" si="23"/>
        <v>487</v>
      </c>
      <c r="O82" s="1">
        <f t="shared" si="23"/>
        <v>213</v>
      </c>
      <c r="P82" s="1">
        <f t="shared" si="23"/>
        <v>-16</v>
      </c>
      <c r="Q82" s="1">
        <f t="shared" si="23"/>
        <v>433</v>
      </c>
      <c r="R82" s="1">
        <f t="shared" si="13"/>
        <v>1101</v>
      </c>
      <c r="S82" s="1">
        <f t="shared" si="22"/>
        <v>174</v>
      </c>
      <c r="T82" s="1">
        <f t="shared" si="22"/>
        <v>459</v>
      </c>
      <c r="U82" s="1">
        <f t="shared" si="22"/>
        <v>343</v>
      </c>
      <c r="V82" s="1">
        <f t="shared" si="22"/>
        <v>-70</v>
      </c>
      <c r="W82" s="1">
        <f t="shared" si="22"/>
        <v>102</v>
      </c>
      <c r="X82" s="1">
        <f t="shared" si="22"/>
        <v>65</v>
      </c>
      <c r="Y82" s="1">
        <f t="shared" si="22"/>
        <v>-17</v>
      </c>
      <c r="Z82" s="1">
        <f t="shared" si="15"/>
        <v>14617</v>
      </c>
      <c r="AA82" s="1">
        <f t="shared" si="16"/>
        <v>13337</v>
      </c>
      <c r="AB82" s="1">
        <f t="shared" si="22"/>
        <v>13278</v>
      </c>
      <c r="AC82" s="1">
        <f t="shared" si="22"/>
        <v>170</v>
      </c>
      <c r="AD82" s="1">
        <f t="shared" si="22"/>
        <v>-227</v>
      </c>
      <c r="AE82" s="1">
        <f t="shared" si="18"/>
        <v>856</v>
      </c>
      <c r="AG82" s="1">
        <f t="shared" si="19"/>
        <v>82309</v>
      </c>
    </row>
    <row r="83" spans="1:33" x14ac:dyDescent="0.25">
      <c r="A83" s="9">
        <v>1909</v>
      </c>
      <c r="H83" s="1">
        <f t="shared" si="10"/>
        <v>34466</v>
      </c>
      <c r="I83" s="1">
        <f t="shared" si="11"/>
        <v>6329</v>
      </c>
      <c r="J83" s="1">
        <f t="shared" si="23"/>
        <v>859</v>
      </c>
      <c r="K83" s="1">
        <f t="shared" si="23"/>
        <v>1210</v>
      </c>
      <c r="L83" s="1">
        <f t="shared" si="23"/>
        <v>444</v>
      </c>
      <c r="M83" s="1">
        <f t="shared" si="23"/>
        <v>-112</v>
      </c>
      <c r="N83" s="1">
        <f t="shared" si="23"/>
        <v>578</v>
      </c>
      <c r="O83" s="1">
        <f t="shared" si="23"/>
        <v>430</v>
      </c>
      <c r="P83" s="1">
        <f t="shared" si="23"/>
        <v>397</v>
      </c>
      <c r="Q83" s="1">
        <f t="shared" si="23"/>
        <v>118</v>
      </c>
      <c r="R83" s="1">
        <f t="shared" si="13"/>
        <v>2190</v>
      </c>
      <c r="S83" s="1">
        <f t="shared" si="22"/>
        <v>517</v>
      </c>
      <c r="T83" s="1">
        <f t="shared" si="22"/>
        <v>580</v>
      </c>
      <c r="U83" s="1">
        <f t="shared" si="22"/>
        <v>474</v>
      </c>
      <c r="V83" s="1">
        <f t="shared" si="22"/>
        <v>33</v>
      </c>
      <c r="W83" s="1">
        <f t="shared" si="22"/>
        <v>81</v>
      </c>
      <c r="X83" s="1">
        <f t="shared" si="22"/>
        <v>26</v>
      </c>
      <c r="Y83" s="1">
        <f t="shared" si="22"/>
        <v>27</v>
      </c>
      <c r="Z83" s="1">
        <f t="shared" si="15"/>
        <v>20199</v>
      </c>
      <c r="AA83" s="1">
        <f t="shared" si="16"/>
        <v>16459</v>
      </c>
      <c r="AB83" s="1">
        <f t="shared" si="22"/>
        <v>22675</v>
      </c>
      <c r="AC83" s="1">
        <f t="shared" si="22"/>
        <v>916</v>
      </c>
      <c r="AD83" s="1">
        <f t="shared" si="22"/>
        <v>131</v>
      </c>
      <c r="AE83" s="1">
        <f t="shared" si="18"/>
        <v>1072</v>
      </c>
      <c r="AG83" s="1">
        <f t="shared" si="19"/>
        <v>110099</v>
      </c>
    </row>
    <row r="84" spans="1:33" x14ac:dyDescent="0.25">
      <c r="A84" s="9">
        <v>1910</v>
      </c>
      <c r="H84" s="1">
        <f t="shared" si="10"/>
        <v>28291</v>
      </c>
      <c r="I84" s="1">
        <f t="shared" si="11"/>
        <v>6158</v>
      </c>
      <c r="J84" s="1">
        <f t="shared" si="23"/>
        <v>1491</v>
      </c>
      <c r="K84" s="1">
        <f t="shared" si="23"/>
        <v>3119</v>
      </c>
      <c r="L84" s="1">
        <f t="shared" si="23"/>
        <v>671</v>
      </c>
      <c r="M84" s="1">
        <f t="shared" si="23"/>
        <v>405</v>
      </c>
      <c r="N84" s="1">
        <f t="shared" si="23"/>
        <v>387</v>
      </c>
      <c r="O84" s="1">
        <f t="shared" si="23"/>
        <v>522</v>
      </c>
      <c r="P84" s="1">
        <f t="shared" si="23"/>
        <v>441</v>
      </c>
      <c r="Q84" s="1">
        <f t="shared" si="23"/>
        <v>1345</v>
      </c>
      <c r="R84" s="1">
        <f t="shared" si="13"/>
        <v>967</v>
      </c>
      <c r="S84" s="1">
        <f t="shared" si="22"/>
        <v>278</v>
      </c>
      <c r="T84" s="1">
        <f t="shared" si="22"/>
        <v>455</v>
      </c>
      <c r="U84" s="1">
        <f t="shared" si="22"/>
        <v>725</v>
      </c>
      <c r="V84" s="1">
        <f t="shared" si="22"/>
        <v>121</v>
      </c>
      <c r="W84" s="1">
        <f t="shared" si="22"/>
        <v>63</v>
      </c>
      <c r="X84" s="1">
        <f t="shared" si="22"/>
        <v>28</v>
      </c>
      <c r="Y84" s="1">
        <f t="shared" si="22"/>
        <v>17</v>
      </c>
      <c r="Z84" s="1">
        <f t="shared" si="15"/>
        <v>24406</v>
      </c>
      <c r="AA84" s="1">
        <f t="shared" si="16"/>
        <v>19707</v>
      </c>
      <c r="AB84" s="1">
        <f t="shared" si="22"/>
        <v>18263</v>
      </c>
      <c r="AC84" s="1">
        <f t="shared" si="22"/>
        <v>-754</v>
      </c>
      <c r="AD84" s="1">
        <f t="shared" si="22"/>
        <v>-475</v>
      </c>
      <c r="AE84" s="1">
        <f t="shared" si="18"/>
        <v>6898</v>
      </c>
      <c r="AG84" s="1">
        <f t="shared" si="19"/>
        <v>113529</v>
      </c>
    </row>
    <row r="85" spans="1:33" x14ac:dyDescent="0.25">
      <c r="A85" s="9">
        <v>1911</v>
      </c>
      <c r="H85" s="1">
        <f t="shared" si="10"/>
        <v>18233</v>
      </c>
      <c r="I85" s="1">
        <f t="shared" si="11"/>
        <v>14467</v>
      </c>
      <c r="J85" s="1">
        <f t="shared" ref="J85:Q86" si="24">J32</f>
        <v>885</v>
      </c>
      <c r="K85" s="1">
        <f t="shared" si="24"/>
        <v>1388</v>
      </c>
      <c r="L85" s="1">
        <f t="shared" si="24"/>
        <v>301</v>
      </c>
      <c r="M85" s="1">
        <f t="shared" si="24"/>
        <v>393</v>
      </c>
      <c r="N85" s="1">
        <f t="shared" si="24"/>
        <v>632</v>
      </c>
      <c r="O85" s="1">
        <f t="shared" si="24"/>
        <v>844</v>
      </c>
      <c r="P85" s="1">
        <f t="shared" si="24"/>
        <v>312</v>
      </c>
      <c r="Q85" s="1">
        <f t="shared" si="24"/>
        <v>394</v>
      </c>
      <c r="R85" s="1">
        <f t="shared" si="13"/>
        <v>278</v>
      </c>
      <c r="S85" s="1">
        <f t="shared" si="22"/>
        <v>556</v>
      </c>
      <c r="T85" s="1">
        <f t="shared" si="22"/>
        <v>831</v>
      </c>
      <c r="U85" s="1">
        <f t="shared" si="22"/>
        <v>652</v>
      </c>
      <c r="V85" s="1">
        <f t="shared" si="22"/>
        <v>-1</v>
      </c>
      <c r="W85" s="1">
        <f t="shared" si="22"/>
        <v>73</v>
      </c>
      <c r="X85" s="1">
        <f t="shared" si="22"/>
        <v>35</v>
      </c>
      <c r="Y85" s="1">
        <f t="shared" si="22"/>
        <v>-34</v>
      </c>
      <c r="Z85" s="1">
        <f t="shared" si="15"/>
        <v>32555</v>
      </c>
      <c r="AA85" s="1">
        <f t="shared" si="16"/>
        <v>-3710</v>
      </c>
      <c r="AB85" s="1">
        <f t="shared" si="22"/>
        <v>23277</v>
      </c>
      <c r="AC85" s="1">
        <f t="shared" si="22"/>
        <v>1293</v>
      </c>
      <c r="AD85" s="1">
        <f t="shared" si="22"/>
        <v>-519</v>
      </c>
      <c r="AE85" s="1">
        <f t="shared" si="18"/>
        <v>521</v>
      </c>
      <c r="AG85" s="1">
        <f t="shared" si="19"/>
        <v>93656</v>
      </c>
    </row>
    <row r="86" spans="1:33" x14ac:dyDescent="0.25">
      <c r="A86" s="9">
        <v>1912</v>
      </c>
      <c r="H86" s="1">
        <f t="shared" si="10"/>
        <v>26741</v>
      </c>
      <c r="I86" s="1">
        <f t="shared" si="11"/>
        <v>6329</v>
      </c>
      <c r="J86" s="1">
        <f t="shared" si="24"/>
        <v>1428</v>
      </c>
      <c r="K86" s="1">
        <f t="shared" si="24"/>
        <v>1654</v>
      </c>
      <c r="L86" s="1">
        <f t="shared" si="24"/>
        <v>281</v>
      </c>
      <c r="M86" s="1">
        <f t="shared" si="24"/>
        <v>264</v>
      </c>
      <c r="N86" s="1">
        <f t="shared" si="24"/>
        <v>255</v>
      </c>
      <c r="O86" s="1">
        <f t="shared" si="24"/>
        <v>675</v>
      </c>
      <c r="P86" s="1">
        <f t="shared" si="24"/>
        <v>125</v>
      </c>
      <c r="Q86" s="1">
        <f t="shared" si="24"/>
        <v>-3643</v>
      </c>
      <c r="R86" s="1">
        <f t="shared" si="13"/>
        <v>688</v>
      </c>
      <c r="S86" s="1">
        <f t="shared" si="22"/>
        <v>-447</v>
      </c>
      <c r="T86" s="1">
        <f t="shared" si="22"/>
        <v>1010</v>
      </c>
      <c r="U86" s="1">
        <f t="shared" si="22"/>
        <v>845</v>
      </c>
      <c r="V86" s="1">
        <f t="shared" si="22"/>
        <v>-171</v>
      </c>
      <c r="W86" s="1">
        <f t="shared" si="22"/>
        <v>11</v>
      </c>
      <c r="X86" s="1">
        <f t="shared" si="22"/>
        <v>-9</v>
      </c>
      <c r="Y86" s="1">
        <f t="shared" si="22"/>
        <v>-130</v>
      </c>
      <c r="Z86" s="1">
        <f t="shared" si="15"/>
        <v>49934</v>
      </c>
      <c r="AA86" s="1">
        <f t="shared" si="16"/>
        <v>19789</v>
      </c>
      <c r="AB86" s="1">
        <f t="shared" si="22"/>
        <v>7686</v>
      </c>
      <c r="AC86" s="1">
        <f t="shared" si="22"/>
        <v>1699</v>
      </c>
      <c r="AD86" s="1">
        <f t="shared" si="22"/>
        <v>10</v>
      </c>
      <c r="AE86" s="1">
        <f t="shared" si="18"/>
        <v>-351</v>
      </c>
      <c r="AG86" s="1">
        <f t="shared" si="19"/>
        <v>114673</v>
      </c>
    </row>
    <row r="87" spans="1:33" x14ac:dyDescent="0.25">
      <c r="A87" s="9">
        <v>1913</v>
      </c>
      <c r="H87" s="1">
        <f t="shared" si="10"/>
        <v>20449</v>
      </c>
      <c r="I87" s="1">
        <f t="shared" si="11"/>
        <v>10229</v>
      </c>
      <c r="J87" s="1">
        <f>J34</f>
        <v>2768</v>
      </c>
      <c r="K87" s="1">
        <f>K34</f>
        <v>2244</v>
      </c>
      <c r="L87" s="1">
        <f>L34</f>
        <v>936</v>
      </c>
      <c r="M87" s="1">
        <f>M34</f>
        <v>941</v>
      </c>
      <c r="N87" s="1">
        <f>N34</f>
        <v>1258</v>
      </c>
      <c r="O87" s="1">
        <f t="shared" ref="K87:Q89" si="25">O34</f>
        <v>1699</v>
      </c>
      <c r="P87" s="1">
        <f t="shared" si="25"/>
        <v>383</v>
      </c>
      <c r="Q87" s="1">
        <f t="shared" si="25"/>
        <v>1792</v>
      </c>
      <c r="R87" s="1">
        <f t="shared" si="13"/>
        <v>520</v>
      </c>
      <c r="S87" s="1">
        <f t="shared" ref="S87:AD89" si="26">S34</f>
        <v>263</v>
      </c>
      <c r="T87" s="1">
        <f t="shared" si="26"/>
        <v>1330</v>
      </c>
      <c r="U87" s="1">
        <f t="shared" si="26"/>
        <v>478</v>
      </c>
      <c r="V87" s="1">
        <f t="shared" si="26"/>
        <v>17</v>
      </c>
      <c r="W87" s="1">
        <f t="shared" si="26"/>
        <v>116</v>
      </c>
      <c r="X87" s="1">
        <f t="shared" si="26"/>
        <v>45</v>
      </c>
      <c r="Y87" s="1">
        <f t="shared" si="26"/>
        <v>250</v>
      </c>
      <c r="Z87" s="1">
        <f t="shared" si="15"/>
        <v>60806</v>
      </c>
      <c r="AA87" s="1">
        <f t="shared" si="16"/>
        <v>56725</v>
      </c>
      <c r="AB87" s="1">
        <f t="shared" si="26"/>
        <v>16316</v>
      </c>
      <c r="AC87" s="1">
        <f t="shared" si="26"/>
        <v>814</v>
      </c>
      <c r="AD87" s="1">
        <f t="shared" si="26"/>
        <v>137</v>
      </c>
      <c r="AE87" s="1">
        <f t="shared" si="18"/>
        <v>5688</v>
      </c>
      <c r="AG87" s="1">
        <f t="shared" si="19"/>
        <v>186204</v>
      </c>
    </row>
    <row r="88" spans="1:33" x14ac:dyDescent="0.25">
      <c r="A88" s="9">
        <v>1914</v>
      </c>
      <c r="H88" s="1">
        <f t="shared" si="10"/>
        <v>450</v>
      </c>
      <c r="I88" s="1">
        <f t="shared" si="11"/>
        <v>10782</v>
      </c>
      <c r="J88" s="1">
        <f>J35</f>
        <v>-1098</v>
      </c>
      <c r="K88" s="1">
        <f t="shared" si="25"/>
        <v>-28</v>
      </c>
      <c r="L88" s="1">
        <f t="shared" si="25"/>
        <v>889</v>
      </c>
      <c r="M88" s="1">
        <f t="shared" si="25"/>
        <v>-273</v>
      </c>
      <c r="N88" s="1">
        <f t="shared" si="25"/>
        <v>423</v>
      </c>
      <c r="O88" s="1">
        <f t="shared" si="25"/>
        <v>694</v>
      </c>
      <c r="P88" s="1">
        <f t="shared" si="25"/>
        <v>-331</v>
      </c>
      <c r="Q88" s="1">
        <f t="shared" si="25"/>
        <v>1577</v>
      </c>
      <c r="R88" s="1">
        <f t="shared" si="13"/>
        <v>424</v>
      </c>
      <c r="S88" s="1">
        <f t="shared" si="26"/>
        <v>865</v>
      </c>
      <c r="T88" s="1">
        <f t="shared" si="26"/>
        <v>557</v>
      </c>
      <c r="U88" s="1">
        <f t="shared" si="26"/>
        <v>12</v>
      </c>
      <c r="V88" s="1">
        <f t="shared" si="26"/>
        <v>-14</v>
      </c>
      <c r="W88" s="1">
        <f t="shared" si="26"/>
        <v>43</v>
      </c>
      <c r="X88" s="1">
        <f t="shared" si="26"/>
        <v>7</v>
      </c>
      <c r="Y88" s="1">
        <f t="shared" si="26"/>
        <v>45</v>
      </c>
      <c r="Z88" s="1">
        <f t="shared" si="15"/>
        <v>50658</v>
      </c>
      <c r="AA88" s="1">
        <f t="shared" si="16"/>
        <v>23184</v>
      </c>
      <c r="AB88" s="1">
        <f t="shared" si="26"/>
        <v>10755</v>
      </c>
      <c r="AC88" s="1">
        <f t="shared" si="26"/>
        <v>300</v>
      </c>
      <c r="AD88" s="1">
        <f t="shared" si="26"/>
        <v>34</v>
      </c>
      <c r="AE88" s="1">
        <f t="shared" si="18"/>
        <v>-330</v>
      </c>
      <c r="AG88" s="1">
        <f t="shared" si="19"/>
        <v>99625</v>
      </c>
    </row>
    <row r="89" spans="1:33" x14ac:dyDescent="0.25">
      <c r="A89" s="9">
        <v>1915</v>
      </c>
      <c r="H89" s="1">
        <f t="shared" si="10"/>
        <v>-7327</v>
      </c>
      <c r="I89" s="1">
        <f t="shared" si="11"/>
        <v>-1094</v>
      </c>
      <c r="J89" s="1">
        <f>J36</f>
        <v>-138</v>
      </c>
      <c r="K89" s="1">
        <f t="shared" si="25"/>
        <v>-88</v>
      </c>
      <c r="L89" s="1">
        <f t="shared" si="25"/>
        <v>43</v>
      </c>
      <c r="M89" s="1">
        <f t="shared" si="25"/>
        <v>48</v>
      </c>
      <c r="N89" s="1">
        <f t="shared" si="25"/>
        <v>96</v>
      </c>
      <c r="O89" s="1">
        <f t="shared" si="25"/>
        <v>-4</v>
      </c>
      <c r="P89" s="1">
        <f t="shared" si="25"/>
        <v>-24</v>
      </c>
      <c r="Q89" s="1">
        <f t="shared" si="25"/>
        <v>859</v>
      </c>
      <c r="R89" s="1">
        <f t="shared" si="13"/>
        <v>-30</v>
      </c>
      <c r="S89" s="1">
        <f t="shared" si="26"/>
        <v>-442</v>
      </c>
      <c r="T89" s="1">
        <f t="shared" si="26"/>
        <v>23</v>
      </c>
      <c r="U89" s="1">
        <f t="shared" si="26"/>
        <v>67</v>
      </c>
      <c r="V89" s="1">
        <f t="shared" si="26"/>
        <v>34</v>
      </c>
      <c r="W89" s="1">
        <f t="shared" si="26"/>
        <v>10</v>
      </c>
      <c r="X89" s="1">
        <f t="shared" si="26"/>
        <v>-1</v>
      </c>
      <c r="Y89" s="1">
        <f t="shared" si="26"/>
        <v>33</v>
      </c>
      <c r="Z89" s="1">
        <f t="shared" si="15"/>
        <v>20497</v>
      </c>
      <c r="AA89" s="1">
        <f t="shared" si="16"/>
        <v>36286</v>
      </c>
      <c r="AB89" s="1">
        <f t="shared" si="26"/>
        <v>464</v>
      </c>
      <c r="AC89" s="1">
        <f t="shared" si="26"/>
        <v>1509</v>
      </c>
      <c r="AD89" s="1">
        <f t="shared" si="26"/>
        <v>79</v>
      </c>
      <c r="AE89" s="1">
        <f t="shared" si="18"/>
        <v>-1622</v>
      </c>
      <c r="AG89" s="1">
        <f t="shared" si="19"/>
        <v>49278</v>
      </c>
    </row>
    <row r="91" spans="1:33" x14ac:dyDescent="0.25">
      <c r="AG91" s="1">
        <f>SUM(AG55:AG69)</f>
        <v>1060967</v>
      </c>
    </row>
    <row r="92" spans="1:33" x14ac:dyDescent="0.25">
      <c r="AG92" s="1">
        <f>SUM(AG70:AG89)</f>
        <v>1732024</v>
      </c>
    </row>
    <row r="93" spans="1:33" x14ac:dyDescent="0.25">
      <c r="AG93" s="1">
        <f>AG92+AG91</f>
        <v>2792991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note-1</vt:lpstr>
      <vt:lpstr>note-2</vt:lpstr>
      <vt:lpstr>note-3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2024-10-21T03:39:44Z</dcterms:created>
  <dcterms:modified xsi:type="dcterms:W3CDTF">2026-09-28T18:51:10Z</dcterms:modified>
</cp:coreProperties>
</file>