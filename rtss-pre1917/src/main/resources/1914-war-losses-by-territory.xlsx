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INAPPS\SLOVO\UKR\github\RTSS\rtss-pre1917\src\main\resources\"/>
    </mc:Choice>
  </mc:AlternateContent>
  <xr:revisionPtr revIDLastSave="0" documentId="13_ncr:1_{C44449D8-4339-42CE-B404-B3B341E14566}" xr6:coauthVersionLast="45" xr6:coauthVersionMax="45" xr10:uidLastSave="{00000000-0000-0000-0000-000000000000}"/>
  <bookViews>
    <workbookView xWindow="19725" yWindow="1530" windowWidth="16980" windowHeight="20055" activeTab="1" xr2:uid="{F8F3F2E6-999D-4585-B617-B43779846A3C}"/>
  </bookViews>
  <sheets>
    <sheet name="Notes" sheetId="1" r:id="rId1"/>
    <sheet name="Data" sheetId="2" r:id="rId2"/>
  </sheets>
  <definedNames>
    <definedName name="ALL_DEATHS">Data!$I$95</definedName>
    <definedName name="ALL_LOSSES">Data!$M$95</definedName>
    <definedName name="VYB_TOTAL">Data!$C$95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02" i="2" l="1"/>
  <c r="M96" i="2" l="1"/>
  <c r="N96" i="2"/>
  <c r="N66" i="2" l="1"/>
  <c r="N91" i="2"/>
  <c r="N90" i="2"/>
  <c r="N89" i="2"/>
  <c r="N88" i="2"/>
  <c r="N87" i="2"/>
  <c r="N86" i="2"/>
  <c r="N85" i="2"/>
  <c r="N84" i="2"/>
  <c r="N83" i="2"/>
  <c r="N81" i="2"/>
  <c r="N80" i="2"/>
  <c r="N79" i="2"/>
  <c r="N78" i="2"/>
  <c r="N77" i="2"/>
  <c r="N76" i="2"/>
  <c r="N75" i="2"/>
  <c r="N74" i="2"/>
  <c r="N73" i="2"/>
  <c r="N72" i="2"/>
  <c r="N71" i="2"/>
  <c r="N68" i="2"/>
  <c r="N67" i="2"/>
  <c r="N65" i="2"/>
  <c r="N64" i="2"/>
  <c r="N63" i="2"/>
  <c r="N62" i="2"/>
  <c r="N61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V96" i="2"/>
  <c r="U96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H96" i="2"/>
  <c r="G96" i="2"/>
  <c r="F96" i="2"/>
  <c r="D96" i="2"/>
  <c r="C96" i="2"/>
  <c r="I95" i="2" l="1"/>
  <c r="J9" i="2" s="1"/>
  <c r="J47" i="2" l="1"/>
  <c r="J19" i="2"/>
  <c r="J37" i="2"/>
  <c r="J63" i="2"/>
  <c r="J7" i="2"/>
  <c r="J51" i="2"/>
  <c r="J64" i="2"/>
  <c r="J15" i="2"/>
  <c r="J13" i="2"/>
  <c r="J89" i="2"/>
  <c r="J75" i="2"/>
  <c r="J81" i="2"/>
  <c r="J2" i="2"/>
  <c r="J53" i="2"/>
  <c r="J79" i="2"/>
  <c r="J25" i="2"/>
  <c r="J29" i="2"/>
  <c r="J67" i="2"/>
  <c r="J17" i="2"/>
  <c r="J11" i="2"/>
  <c r="J26" i="2"/>
  <c r="J76" i="2"/>
  <c r="J82" i="2"/>
  <c r="J33" i="2"/>
  <c r="J80" i="2"/>
  <c r="J78" i="2"/>
  <c r="J87" i="2"/>
  <c r="J36" i="2"/>
  <c r="J27" i="2"/>
  <c r="J72" i="2"/>
  <c r="J83" i="2"/>
  <c r="J28" i="2"/>
  <c r="J42" i="2"/>
  <c r="J22" i="2"/>
  <c r="J62" i="2"/>
  <c r="J77" i="2"/>
  <c r="J10" i="2"/>
  <c r="J85" i="2"/>
  <c r="J18" i="2"/>
  <c r="J8" i="2"/>
  <c r="J6" i="2"/>
  <c r="J69" i="2"/>
  <c r="J38" i="2"/>
  <c r="J57" i="2"/>
  <c r="J74" i="2"/>
  <c r="J45" i="2"/>
  <c r="J44" i="2"/>
  <c r="J12" i="2"/>
  <c r="J56" i="2"/>
  <c r="J48" i="2"/>
  <c r="J86" i="2"/>
  <c r="J52" i="2"/>
  <c r="J40" i="2"/>
  <c r="J70" i="2"/>
  <c r="J21" i="2"/>
  <c r="J61" i="2"/>
  <c r="J66" i="2"/>
  <c r="J46" i="2"/>
  <c r="J14" i="2"/>
  <c r="J54" i="2"/>
  <c r="J34" i="2"/>
  <c r="J50" i="2"/>
  <c r="J71" i="2"/>
  <c r="J49" i="2"/>
  <c r="J30" i="2"/>
  <c r="J59" i="2"/>
  <c r="J3" i="2"/>
  <c r="J39" i="2"/>
  <c r="J24" i="2"/>
  <c r="J65" i="2"/>
  <c r="J91" i="2"/>
  <c r="J60" i="2"/>
  <c r="J35" i="2"/>
  <c r="J20" i="2"/>
  <c r="J41" i="2"/>
  <c r="J23" i="2"/>
  <c r="J32" i="2"/>
  <c r="J73" i="2"/>
  <c r="J5" i="2"/>
  <c r="J55" i="2"/>
  <c r="J88" i="2"/>
  <c r="J43" i="2"/>
  <c r="J31" i="2"/>
  <c r="J68" i="2"/>
  <c r="J84" i="2"/>
  <c r="J90" i="2"/>
  <c r="J16" i="2"/>
  <c r="J4" i="2"/>
  <c r="J58" i="2"/>
  <c r="J99" i="2" l="1"/>
  <c r="J95" i="2"/>
</calcChain>
</file>

<file path=xl/sharedStrings.xml><?xml version="1.0" encoding="utf-8"?>
<sst xmlns="http://schemas.openxmlformats.org/spreadsheetml/2006/main" count="310" uniqueCount="155">
  <si>
    <t>Акмолинская</t>
  </si>
  <si>
    <t>Архангельская</t>
  </si>
  <si>
    <t>Астраханская</t>
  </si>
  <si>
    <t>Бессарабская</t>
  </si>
  <si>
    <t>Варшавская</t>
  </si>
  <si>
    <t>Виленская</t>
  </si>
  <si>
    <t>Витебская</t>
  </si>
  <si>
    <t>Вологодская</t>
  </si>
  <si>
    <t>Волынская</t>
  </si>
  <si>
    <t>Воронежская</t>
  </si>
  <si>
    <t xml:space="preserve">Вятская </t>
  </si>
  <si>
    <t>Гродненская</t>
  </si>
  <si>
    <t xml:space="preserve">Донская </t>
  </si>
  <si>
    <t>Екатеринославская</t>
  </si>
  <si>
    <t>Елизаветпольская</t>
  </si>
  <si>
    <t>Енисейская</t>
  </si>
  <si>
    <t>Иркутская</t>
  </si>
  <si>
    <t>Казанская</t>
  </si>
  <si>
    <t>Калишская</t>
  </si>
  <si>
    <t>Калужская</t>
  </si>
  <si>
    <t>Ковенская</t>
  </si>
  <si>
    <t>Костромская</t>
  </si>
  <si>
    <t>Кубанская</t>
  </si>
  <si>
    <t>Курляндская</t>
  </si>
  <si>
    <t xml:space="preserve">Курская </t>
  </si>
  <si>
    <t>Кутаисская</t>
  </si>
  <si>
    <t>Лифляндская</t>
  </si>
  <si>
    <t>Ломжинская</t>
  </si>
  <si>
    <t>Люблинская</t>
  </si>
  <si>
    <t>Минская</t>
  </si>
  <si>
    <t>Могилевская</t>
  </si>
  <si>
    <t>Московская</t>
  </si>
  <si>
    <t>Нижегородская</t>
  </si>
  <si>
    <t>Новгородская</t>
  </si>
  <si>
    <t>Оренбургская</t>
  </si>
  <si>
    <t>Орловская</t>
  </si>
  <si>
    <t>Пензенская</t>
  </si>
  <si>
    <t xml:space="preserve">Пермская </t>
  </si>
  <si>
    <t>Петроградская</t>
  </si>
  <si>
    <t>Петроковская</t>
  </si>
  <si>
    <t>Подольская</t>
  </si>
  <si>
    <t>Полтавская</t>
  </si>
  <si>
    <t>Приморская</t>
  </si>
  <si>
    <t>Псковская</t>
  </si>
  <si>
    <t>Радомская</t>
  </si>
  <si>
    <t>Рязанская</t>
  </si>
  <si>
    <t>Самарская</t>
  </si>
  <si>
    <t>Саратовская</t>
  </si>
  <si>
    <t>Симбирская</t>
  </si>
  <si>
    <t>Смоленская</t>
  </si>
  <si>
    <t>Ставропольская</t>
  </si>
  <si>
    <t>Сувалкская</t>
  </si>
  <si>
    <t>Таврическая</t>
  </si>
  <si>
    <t>Тамбовская</t>
  </si>
  <si>
    <t xml:space="preserve">Тверская </t>
  </si>
  <si>
    <t>Тифлисская</t>
  </si>
  <si>
    <t>Тобольская</t>
  </si>
  <si>
    <t>Томская</t>
  </si>
  <si>
    <t xml:space="preserve">Тульская </t>
  </si>
  <si>
    <t>Тургайская</t>
  </si>
  <si>
    <t>Уфимская</t>
  </si>
  <si>
    <t>Харьковская</t>
  </si>
  <si>
    <t>Херсонская</t>
  </si>
  <si>
    <t>Холмская</t>
  </si>
  <si>
    <t>Черниговская</t>
  </si>
  <si>
    <t>Эриванская</t>
  </si>
  <si>
    <t>Эстляндская</t>
  </si>
  <si>
    <t>Ярославская</t>
  </si>
  <si>
    <t xml:space="preserve">Кeлецкая </t>
  </si>
  <si>
    <t>Олонецкая</t>
  </si>
  <si>
    <t>кровавые потери</t>
  </si>
  <si>
    <t>ген Н.Н. Головин, "Военные усилия России в первой мировой войне", Париж, 1939, т. 1, стр. . 174-175</t>
  </si>
  <si>
    <t>убитых</t>
  </si>
  <si>
    <t>пленные</t>
  </si>
  <si>
    <t>всего</t>
  </si>
  <si>
    <t xml:space="preserve">Астраханская </t>
  </si>
  <si>
    <t xml:space="preserve">Бакинская  </t>
  </si>
  <si>
    <t xml:space="preserve">Батумская  </t>
  </si>
  <si>
    <t xml:space="preserve">Воронежская </t>
  </si>
  <si>
    <t xml:space="preserve">Гродненская </t>
  </si>
  <si>
    <t xml:space="preserve">Ковенская  </t>
  </si>
  <si>
    <t xml:space="preserve">Костромская </t>
  </si>
  <si>
    <t xml:space="preserve">Кубанская  </t>
  </si>
  <si>
    <t xml:space="preserve">Курляндская </t>
  </si>
  <si>
    <t xml:space="preserve">Курская   </t>
  </si>
  <si>
    <t xml:space="preserve">Кутаисская  </t>
  </si>
  <si>
    <t xml:space="preserve">Московская  </t>
  </si>
  <si>
    <t xml:space="preserve">Новгородская </t>
  </si>
  <si>
    <t xml:space="preserve">Оренбургская </t>
  </si>
  <si>
    <t xml:space="preserve">Орловская  </t>
  </si>
  <si>
    <t>Амурская</t>
  </si>
  <si>
    <t>Вятская</t>
  </si>
  <si>
    <t xml:space="preserve">Дагестанская </t>
  </si>
  <si>
    <t>Донская</t>
  </si>
  <si>
    <t>Елисаветпольская</t>
  </si>
  <si>
    <t>Забайкальская</t>
  </si>
  <si>
    <t>Закаспийская</t>
  </si>
  <si>
    <t>Киевская</t>
  </si>
  <si>
    <t xml:space="preserve">Келецкая   </t>
  </si>
  <si>
    <t xml:space="preserve">Бессарабская </t>
  </si>
  <si>
    <t>Владимирская</t>
  </si>
  <si>
    <t xml:space="preserve">Подольская </t>
  </si>
  <si>
    <t xml:space="preserve">Псковская </t>
  </si>
  <si>
    <t xml:space="preserve">Самарская </t>
  </si>
  <si>
    <t>Тверская</t>
  </si>
  <si>
    <t>Терская</t>
  </si>
  <si>
    <t xml:space="preserve">Тобольская </t>
  </si>
  <si>
    <t xml:space="preserve">Томская </t>
  </si>
  <si>
    <t>Тульская</t>
  </si>
  <si>
    <t xml:space="preserve">Уральская </t>
  </si>
  <si>
    <t xml:space="preserve">Ферганская </t>
  </si>
  <si>
    <t>Черноморская</t>
  </si>
  <si>
    <t>Якутская</t>
  </si>
  <si>
    <t>Самаркандская</t>
  </si>
  <si>
    <t>Семипалатинская</t>
  </si>
  <si>
    <t>Семиреченская</t>
  </si>
  <si>
    <t xml:space="preserve">Карсская </t>
  </si>
  <si>
    <t>Сыр-Дарьинская</t>
  </si>
  <si>
    <t>note</t>
  </si>
  <si>
    <t>конец строк читаемых копьютером</t>
  </si>
  <si>
    <t>выбыло из строя</t>
  </si>
  <si>
    <t>выбыло %</t>
  </si>
  <si>
    <t>умерло от ран</t>
  </si>
  <si>
    <t>умерло от болезней</t>
  </si>
  <si>
    <t>—</t>
  </si>
  <si>
    <t>Седлецкая</t>
  </si>
  <si>
    <t>Финляндия</t>
  </si>
  <si>
    <t>verify</t>
  </si>
  <si>
    <t>выбыло % уточ.</t>
  </si>
  <si>
    <t xml:space="preserve">Киевская </t>
  </si>
  <si>
    <t>всего смертей</t>
  </si>
  <si>
    <t>% смертей</t>
  </si>
  <si>
    <t>Плоцкая</t>
  </si>
  <si>
    <t xml:space="preserve">Плоцкая </t>
  </si>
  <si>
    <t>Вторая таблица</t>
  </si>
  <si>
    <t xml:space="preserve">Первая таблица: доктора И. И. Волоцкого, напечатанная в </t>
  </si>
  <si>
    <t>Третья таблица:</t>
  </si>
  <si>
    <t>1-м выпуске "Трудов Комиссии по обследованию санитарных последствий войны 1914-1920 г.г.", стр. 214-217, 147</t>
  </si>
  <si>
    <t>"Труды Комиссии по обследованию санитарных последствий войны 1914-1920 г.г.", стр. 218-219, 147</t>
  </si>
  <si>
    <t>число потерь</t>
  </si>
  <si>
    <t>Дагестанская</t>
  </si>
  <si>
    <t>Карсская</t>
  </si>
  <si>
    <t>Курская</t>
  </si>
  <si>
    <t>Пермская</t>
  </si>
  <si>
    <t xml:space="preserve">Херсонская </t>
  </si>
  <si>
    <t xml:space="preserve">Смоленская </t>
  </si>
  <si>
    <t>губерния-1</t>
  </si>
  <si>
    <t>губерния-2</t>
  </si>
  <si>
    <t>губерния-3</t>
  </si>
  <si>
    <t>% смертей РСФСР-1991</t>
  </si>
  <si>
    <t>входит в РСФСР-1991</t>
  </si>
  <si>
    <t>на основании "Именных списков убитых, раненых и без вести пропавших нижних чинов" (Изд. Главн. Штаба № 1—1140)</t>
  </si>
  <si>
    <t>Выборка составленная Комиссией из "Именных списков убитых, раненых и без вести пропавших" списков Главного Штаба.</t>
  </si>
  <si>
    <t>%потерь</t>
  </si>
  <si>
    <t>% выбывших из строя РСФСР-1991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</si>
</sst>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0" fontId="0" fillId="0" borderId="0" xfId="0" applyFill="1"/>
    <xf numFmtId="165" fontId="0" fillId="0" borderId="0" xfId="0" applyNumberFormat="1" applyFill="1"/>
    <xf numFmtId="165" fontId="0" fillId="0" borderId="0" xfId="0" applyNumberFormat="1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7882E-B03D-4608-81DB-6873058635E1}">
  <dimension ref="A2:A11"/>
  <sheetViews>
    <sheetView workbookViewId="0">
      <selection activeCell="A9" sqref="A9"/>
    </sheetView>
  </sheetViews>
  <sheetFormatPr defaultRowHeight="15" x14ac:dyDescent="0.25"/>
  <cols>
    <col min="1" max="1" width="20.140625" customWidth="1"/>
  </cols>
  <sheetData>
    <row r="2" spans="1:1" x14ac:dyDescent="0.25">
      <c r="A2" s="1" t="s">
        <v>135</v>
      </c>
    </row>
    <row r="3" spans="1:1" x14ac:dyDescent="0.25">
      <c r="A3" s="1" t="s">
        <v>137</v>
      </c>
    </row>
    <row r="4" spans="1:1" x14ac:dyDescent="0.25">
      <c r="A4" t="s">
        <v>151</v>
      </c>
    </row>
    <row r="6" spans="1:1" x14ac:dyDescent="0.25">
      <c r="A6" t="s">
        <v>134</v>
      </c>
    </row>
    <row r="7" spans="1:1" x14ac:dyDescent="0.25">
      <c r="A7" t="s">
        <v>152</v>
      </c>
    </row>
    <row r="8" spans="1:1" x14ac:dyDescent="0.25">
      <c r="A8" s="1" t="s">
        <v>138</v>
      </c>
    </row>
    <row r="10" spans="1:1" x14ac:dyDescent="0.25">
      <c r="A10" t="s">
        <v>136</v>
      </c>
    </row>
    <row r="11" spans="1:1" x14ac:dyDescent="0.25">
      <c r="A1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34585-A639-4992-9BB6-5D0B3F85270D}">
  <dimension ref="A1:V102"/>
  <sheetViews>
    <sheetView tabSelected="1" topLeftCell="H61" workbookViewId="0">
      <selection activeCell="J105" sqref="J105"/>
    </sheetView>
  </sheetViews>
  <sheetFormatPr defaultRowHeight="15" x14ac:dyDescent="0.25"/>
  <cols>
    <col min="1" max="1" width="18.140625" customWidth="1"/>
    <col min="2" max="2" width="21.42578125" customWidth="1"/>
    <col min="3" max="4" width="18.140625" customWidth="1"/>
    <col min="5" max="5" width="18.140625" style="7" customWidth="1"/>
    <col min="6" max="7" width="18.140625" customWidth="1"/>
    <col min="8" max="9" width="20.42578125" customWidth="1"/>
    <col min="10" max="10" width="22.85546875" customWidth="1"/>
    <col min="12" max="12" width="22.7109375" customWidth="1"/>
    <col min="13" max="13" width="14.42578125" customWidth="1"/>
    <col min="20" max="20" width="19.28515625" customWidth="1"/>
    <col min="21" max="21" width="17.42578125" customWidth="1"/>
    <col min="23" max="23" width="14.5703125" customWidth="1"/>
  </cols>
  <sheetData>
    <row r="1" spans="1:22" x14ac:dyDescent="0.25">
      <c r="A1" s="2" t="s">
        <v>146</v>
      </c>
      <c r="B1" s="3" t="s">
        <v>150</v>
      </c>
      <c r="C1" s="3" t="s">
        <v>120</v>
      </c>
      <c r="D1" s="3" t="s">
        <v>121</v>
      </c>
      <c r="E1" s="3" t="s">
        <v>128</v>
      </c>
      <c r="F1" s="3" t="s">
        <v>72</v>
      </c>
      <c r="G1" s="3" t="s">
        <v>122</v>
      </c>
      <c r="H1" s="3" t="s">
        <v>123</v>
      </c>
      <c r="I1" s="3" t="s">
        <v>130</v>
      </c>
      <c r="J1" s="3" t="s">
        <v>131</v>
      </c>
      <c r="L1" s="2" t="s">
        <v>147</v>
      </c>
      <c r="M1" s="3" t="s">
        <v>139</v>
      </c>
      <c r="N1" s="3" t="s">
        <v>153</v>
      </c>
      <c r="T1" s="2" t="s">
        <v>148</v>
      </c>
      <c r="U1" s="3" t="s">
        <v>70</v>
      </c>
      <c r="V1" s="2" t="s">
        <v>73</v>
      </c>
    </row>
    <row r="2" spans="1:22" x14ac:dyDescent="0.25">
      <c r="A2" t="s">
        <v>0</v>
      </c>
      <c r="B2">
        <v>0.05</v>
      </c>
      <c r="C2">
        <v>3155</v>
      </c>
      <c r="D2">
        <v>0.4</v>
      </c>
      <c r="E2" s="8">
        <f t="shared" ref="E2:E33" si="0">100* C2/VYB_TOTAL</f>
        <v>0.40460804317187055</v>
      </c>
      <c r="F2">
        <v>294</v>
      </c>
      <c r="G2">
        <v>9</v>
      </c>
      <c r="H2" s="5" t="s">
        <v>124</v>
      </c>
      <c r="I2" s="5">
        <f>SUM(F2:H2)</f>
        <v>303</v>
      </c>
      <c r="J2" s="9">
        <f t="shared" ref="J2:J33" si="1">100*I2/ALL_DEATHS</f>
        <v>0.38749280644542489</v>
      </c>
      <c r="L2" t="s">
        <v>0</v>
      </c>
      <c r="M2">
        <v>2502</v>
      </c>
      <c r="N2" s="6">
        <f t="shared" ref="N2:N23" si="2">100*M2/ALL_LOSSES</f>
        <v>0.50540043187295103</v>
      </c>
      <c r="T2" t="s">
        <v>0</v>
      </c>
      <c r="U2" s="1">
        <v>1735</v>
      </c>
      <c r="V2" s="1">
        <v>1420</v>
      </c>
    </row>
    <row r="3" spans="1:22" x14ac:dyDescent="0.25">
      <c r="A3" t="s">
        <v>90</v>
      </c>
      <c r="B3">
        <v>1</v>
      </c>
      <c r="C3">
        <v>612</v>
      </c>
      <c r="D3">
        <v>7.0000000000000007E-2</v>
      </c>
      <c r="E3" s="8">
        <f t="shared" si="0"/>
        <v>7.848498333476539E-2</v>
      </c>
      <c r="F3">
        <v>41</v>
      </c>
      <c r="G3">
        <v>1</v>
      </c>
      <c r="H3" s="5" t="s">
        <v>124</v>
      </c>
      <c r="I3" s="5">
        <f t="shared" ref="I3:I66" si="3">SUM(F3:H3)</f>
        <v>42</v>
      </c>
      <c r="J3" s="9">
        <f t="shared" si="1"/>
        <v>5.3711874160751967E-2</v>
      </c>
      <c r="L3" t="s">
        <v>90</v>
      </c>
      <c r="M3">
        <v>468</v>
      </c>
      <c r="N3" s="6">
        <f t="shared" si="2"/>
        <v>9.4535332580551981E-2</v>
      </c>
    </row>
    <row r="4" spans="1:22" x14ac:dyDescent="0.25">
      <c r="A4" t="s">
        <v>1</v>
      </c>
      <c r="B4">
        <v>1</v>
      </c>
      <c r="C4">
        <v>2934</v>
      </c>
      <c r="D4">
        <v>0.38</v>
      </c>
      <c r="E4" s="8">
        <f t="shared" si="0"/>
        <v>0.37626624363431638</v>
      </c>
      <c r="F4">
        <v>288</v>
      </c>
      <c r="G4">
        <v>13</v>
      </c>
      <c r="H4">
        <v>1</v>
      </c>
      <c r="I4" s="5">
        <f t="shared" si="3"/>
        <v>302</v>
      </c>
      <c r="J4" s="9">
        <f t="shared" si="1"/>
        <v>0.38621395229874034</v>
      </c>
      <c r="L4" t="s">
        <v>1</v>
      </c>
      <c r="M4">
        <v>1984</v>
      </c>
      <c r="N4" s="6">
        <f t="shared" si="2"/>
        <v>0.40076517059789557</v>
      </c>
      <c r="T4" t="s">
        <v>1</v>
      </c>
      <c r="U4" s="1">
        <v>1685</v>
      </c>
      <c r="V4" s="1">
        <v>1239</v>
      </c>
    </row>
    <row r="5" spans="1:22" x14ac:dyDescent="0.25">
      <c r="A5" t="s">
        <v>75</v>
      </c>
      <c r="B5">
        <v>1</v>
      </c>
      <c r="C5">
        <v>2897</v>
      </c>
      <c r="D5">
        <v>0.37</v>
      </c>
      <c r="E5" s="8">
        <f t="shared" si="0"/>
        <v>0.37152123647192048</v>
      </c>
      <c r="F5">
        <v>304</v>
      </c>
      <c r="G5">
        <v>7</v>
      </c>
      <c r="H5">
        <v>2</v>
      </c>
      <c r="I5" s="5">
        <f t="shared" si="3"/>
        <v>313</v>
      </c>
      <c r="J5" s="9">
        <f t="shared" si="1"/>
        <v>0.4002813479122706</v>
      </c>
      <c r="L5" t="s">
        <v>2</v>
      </c>
      <c r="M5">
        <v>1988</v>
      </c>
      <c r="N5" s="6">
        <f t="shared" si="2"/>
        <v>0.40157316489345585</v>
      </c>
      <c r="T5" t="s">
        <v>2</v>
      </c>
      <c r="U5" s="1">
        <v>1825</v>
      </c>
      <c r="V5" s="1">
        <v>1071</v>
      </c>
    </row>
    <row r="6" spans="1:22" x14ac:dyDescent="0.25">
      <c r="A6" t="s">
        <v>76</v>
      </c>
      <c r="C6">
        <v>670</v>
      </c>
      <c r="D6">
        <v>0.08</v>
      </c>
      <c r="E6" s="8">
        <f t="shared" si="0"/>
        <v>8.5923102670413087E-2</v>
      </c>
      <c r="F6">
        <v>68</v>
      </c>
      <c r="G6">
        <v>2</v>
      </c>
      <c r="H6" s="5" t="s">
        <v>124</v>
      </c>
      <c r="I6" s="5">
        <f t="shared" si="3"/>
        <v>70</v>
      </c>
      <c r="J6" s="9">
        <f t="shared" si="1"/>
        <v>8.9519790267919938E-2</v>
      </c>
      <c r="L6" t="s">
        <v>76</v>
      </c>
      <c r="M6">
        <v>412</v>
      </c>
      <c r="N6" s="6">
        <f t="shared" si="2"/>
        <v>8.3223412442708158E-2</v>
      </c>
    </row>
    <row r="7" spans="1:22" x14ac:dyDescent="0.25">
      <c r="A7" t="s">
        <v>77</v>
      </c>
      <c r="C7">
        <v>30</v>
      </c>
      <c r="D7">
        <v>3.0000000000000001E-3</v>
      </c>
      <c r="E7" s="8">
        <f t="shared" si="0"/>
        <v>3.8473031046453621E-3</v>
      </c>
      <c r="F7">
        <v>3</v>
      </c>
      <c r="G7" s="5" t="s">
        <v>124</v>
      </c>
      <c r="H7" s="5" t="s">
        <v>124</v>
      </c>
      <c r="I7" s="5">
        <f t="shared" si="3"/>
        <v>3</v>
      </c>
      <c r="J7" s="9">
        <f t="shared" si="1"/>
        <v>3.8365624400537117E-3</v>
      </c>
      <c r="L7" t="s">
        <v>77</v>
      </c>
      <c r="M7">
        <v>7</v>
      </c>
      <c r="N7" s="6">
        <f t="shared" si="2"/>
        <v>1.4139900172304783E-3</v>
      </c>
    </row>
    <row r="8" spans="1:22" x14ac:dyDescent="0.25">
      <c r="A8" t="s">
        <v>99</v>
      </c>
      <c r="C8">
        <v>20261</v>
      </c>
      <c r="D8">
        <v>2.57</v>
      </c>
      <c r="E8" s="8">
        <f t="shared" si="0"/>
        <v>2.5983402734406562</v>
      </c>
      <c r="F8">
        <v>1977</v>
      </c>
      <c r="G8">
        <v>52</v>
      </c>
      <c r="H8">
        <v>8</v>
      </c>
      <c r="I8" s="5">
        <f t="shared" si="3"/>
        <v>2037</v>
      </c>
      <c r="J8" s="9">
        <f t="shared" si="1"/>
        <v>2.6050258967964703</v>
      </c>
      <c r="L8" t="s">
        <v>99</v>
      </c>
      <c r="M8">
        <v>13914</v>
      </c>
      <c r="N8" s="6">
        <f t="shared" si="2"/>
        <v>2.8106081571064108</v>
      </c>
      <c r="T8" t="s">
        <v>3</v>
      </c>
      <c r="U8" s="1">
        <v>12165</v>
      </c>
      <c r="V8" s="1">
        <v>8094</v>
      </c>
    </row>
    <row r="9" spans="1:22" x14ac:dyDescent="0.25">
      <c r="A9" t="s">
        <v>4</v>
      </c>
      <c r="C9">
        <v>8193</v>
      </c>
      <c r="D9">
        <v>1.05</v>
      </c>
      <c r="E9" s="8">
        <f t="shared" si="0"/>
        <v>1.0506984778786483</v>
      </c>
      <c r="F9">
        <v>631</v>
      </c>
      <c r="G9">
        <v>19</v>
      </c>
      <c r="H9">
        <v>10</v>
      </c>
      <c r="I9" s="5">
        <f t="shared" si="3"/>
        <v>660</v>
      </c>
      <c r="J9" s="9">
        <f t="shared" si="1"/>
        <v>0.84404373681181666</v>
      </c>
      <c r="L9" t="s">
        <v>4</v>
      </c>
      <c r="M9">
        <v>5944</v>
      </c>
      <c r="N9" s="6">
        <f t="shared" si="2"/>
        <v>1.2006795232025662</v>
      </c>
      <c r="T9" t="s">
        <v>4</v>
      </c>
      <c r="U9" s="1">
        <v>3411</v>
      </c>
      <c r="V9" s="1">
        <v>4778</v>
      </c>
    </row>
    <row r="10" spans="1:22" x14ac:dyDescent="0.25">
      <c r="A10" t="s">
        <v>5</v>
      </c>
      <c r="C10">
        <v>10109</v>
      </c>
      <c r="D10">
        <v>1.29</v>
      </c>
      <c r="E10" s="8">
        <f t="shared" si="0"/>
        <v>1.2964129028286655</v>
      </c>
      <c r="F10">
        <v>829</v>
      </c>
      <c r="G10">
        <v>25</v>
      </c>
      <c r="H10">
        <v>10</v>
      </c>
      <c r="I10" s="5">
        <f t="shared" si="3"/>
        <v>864</v>
      </c>
      <c r="J10" s="9">
        <f t="shared" si="1"/>
        <v>1.1049299827354691</v>
      </c>
      <c r="L10" t="s">
        <v>5</v>
      </c>
      <c r="M10">
        <v>6315</v>
      </c>
      <c r="N10" s="6">
        <f t="shared" si="2"/>
        <v>1.2756209941157814</v>
      </c>
      <c r="T10" t="s">
        <v>5</v>
      </c>
      <c r="U10" s="1">
        <v>3805</v>
      </c>
      <c r="V10" s="1">
        <v>6302</v>
      </c>
    </row>
    <row r="11" spans="1:22" x14ac:dyDescent="0.25">
      <c r="A11" t="s">
        <v>6</v>
      </c>
      <c r="C11">
        <v>12475</v>
      </c>
      <c r="D11">
        <v>1.6</v>
      </c>
      <c r="E11" s="8">
        <f t="shared" si="0"/>
        <v>1.5998368743483631</v>
      </c>
      <c r="F11">
        <v>938</v>
      </c>
      <c r="G11">
        <v>31</v>
      </c>
      <c r="H11">
        <v>12</v>
      </c>
      <c r="I11" s="5">
        <f t="shared" si="3"/>
        <v>981</v>
      </c>
      <c r="J11" s="9">
        <f t="shared" si="1"/>
        <v>1.2545559178975638</v>
      </c>
      <c r="L11" t="s">
        <v>6</v>
      </c>
      <c r="M11">
        <v>7922</v>
      </c>
      <c r="N11" s="6">
        <f t="shared" si="2"/>
        <v>1.6002327023571215</v>
      </c>
      <c r="T11" t="s">
        <v>6</v>
      </c>
      <c r="U11" s="1">
        <v>6328</v>
      </c>
      <c r="V11" s="1">
        <v>6140</v>
      </c>
    </row>
    <row r="12" spans="1:22" x14ac:dyDescent="0.25">
      <c r="A12" t="s">
        <v>100</v>
      </c>
      <c r="B12">
        <v>1</v>
      </c>
      <c r="C12">
        <v>11589</v>
      </c>
      <c r="D12">
        <v>1.4</v>
      </c>
      <c r="E12" s="8">
        <f t="shared" si="0"/>
        <v>1.4862131893245034</v>
      </c>
      <c r="F12">
        <v>1036</v>
      </c>
      <c r="G12">
        <v>43</v>
      </c>
      <c r="H12">
        <v>2</v>
      </c>
      <c r="I12" s="5">
        <f t="shared" si="3"/>
        <v>1081</v>
      </c>
      <c r="J12" s="9">
        <f t="shared" si="1"/>
        <v>1.3824413325660208</v>
      </c>
      <c r="L12" t="s">
        <v>100</v>
      </c>
      <c r="M12">
        <v>6769</v>
      </c>
      <c r="N12" s="6">
        <f t="shared" si="2"/>
        <v>1.3673283466618726</v>
      </c>
      <c r="T12" t="s">
        <v>100</v>
      </c>
      <c r="U12" s="1">
        <v>7280</v>
      </c>
      <c r="V12" s="1">
        <v>4299</v>
      </c>
    </row>
    <row r="13" spans="1:22" x14ac:dyDescent="0.25">
      <c r="A13" t="s">
        <v>7</v>
      </c>
      <c r="B13">
        <v>1</v>
      </c>
      <c r="C13">
        <v>10040</v>
      </c>
      <c r="D13">
        <v>1.2</v>
      </c>
      <c r="E13" s="8">
        <f t="shared" si="0"/>
        <v>1.2875641056879812</v>
      </c>
      <c r="F13">
        <v>1066</v>
      </c>
      <c r="G13">
        <v>27</v>
      </c>
      <c r="H13">
        <v>11</v>
      </c>
      <c r="I13" s="5">
        <f t="shared" si="3"/>
        <v>1104</v>
      </c>
      <c r="J13" s="9">
        <f t="shared" si="1"/>
        <v>1.411854977939766</v>
      </c>
      <c r="L13" t="s">
        <v>7</v>
      </c>
      <c r="M13">
        <v>5448</v>
      </c>
      <c r="N13" s="6">
        <f t="shared" si="2"/>
        <v>1.1004882305530923</v>
      </c>
      <c r="T13" t="s">
        <v>7</v>
      </c>
      <c r="U13" s="1">
        <v>5997</v>
      </c>
      <c r="V13" s="1">
        <v>4035</v>
      </c>
    </row>
    <row r="14" spans="1:22" x14ac:dyDescent="0.25">
      <c r="A14" t="s">
        <v>8</v>
      </c>
      <c r="C14">
        <v>30662</v>
      </c>
      <c r="D14">
        <v>3.93</v>
      </c>
      <c r="E14" s="8">
        <f t="shared" si="0"/>
        <v>3.9322002598212031</v>
      </c>
      <c r="F14">
        <v>3473</v>
      </c>
      <c r="G14">
        <v>89</v>
      </c>
      <c r="H14">
        <v>18</v>
      </c>
      <c r="I14" s="5">
        <f t="shared" si="3"/>
        <v>3580</v>
      </c>
      <c r="J14" s="9">
        <f t="shared" si="1"/>
        <v>4.5782978451307628</v>
      </c>
      <c r="L14" t="s">
        <v>8</v>
      </c>
      <c r="M14">
        <v>17079</v>
      </c>
      <c r="N14" s="6">
        <f t="shared" si="2"/>
        <v>3.4499336434684773</v>
      </c>
      <c r="T14" t="s">
        <v>8</v>
      </c>
      <c r="U14" s="1">
        <v>19464</v>
      </c>
      <c r="V14" s="1">
        <v>11194</v>
      </c>
    </row>
    <row r="15" spans="1:22" x14ac:dyDescent="0.25">
      <c r="A15" t="s">
        <v>78</v>
      </c>
      <c r="B15">
        <v>1</v>
      </c>
      <c r="C15">
        <v>16004</v>
      </c>
      <c r="D15">
        <v>2.0499999999999998</v>
      </c>
      <c r="E15" s="8">
        <f t="shared" si="0"/>
        <v>2.0524079628914791</v>
      </c>
      <c r="F15">
        <v>1632</v>
      </c>
      <c r="G15">
        <v>51</v>
      </c>
      <c r="H15">
        <v>7</v>
      </c>
      <c r="I15" s="5">
        <f t="shared" si="3"/>
        <v>1690</v>
      </c>
      <c r="J15" s="9">
        <f t="shared" si="1"/>
        <v>2.1612635078969245</v>
      </c>
      <c r="L15" t="s">
        <v>9</v>
      </c>
      <c r="M15">
        <v>9146</v>
      </c>
      <c r="N15" s="6">
        <f t="shared" si="2"/>
        <v>1.847478956798565</v>
      </c>
      <c r="T15" t="s">
        <v>9</v>
      </c>
      <c r="U15" s="1">
        <v>9805</v>
      </c>
      <c r="V15" s="1">
        <v>6197</v>
      </c>
    </row>
    <row r="16" spans="1:22" x14ac:dyDescent="0.25">
      <c r="A16" t="s">
        <v>10</v>
      </c>
      <c r="B16">
        <v>1</v>
      </c>
      <c r="C16">
        <v>18944</v>
      </c>
      <c r="D16">
        <v>2.42</v>
      </c>
      <c r="E16" s="8">
        <f t="shared" si="0"/>
        <v>2.4294436671467246</v>
      </c>
      <c r="F16">
        <v>1911</v>
      </c>
      <c r="G16">
        <v>57</v>
      </c>
      <c r="H16">
        <v>9</v>
      </c>
      <c r="I16" s="5">
        <f t="shared" si="3"/>
        <v>1977</v>
      </c>
      <c r="J16" s="9">
        <f t="shared" si="1"/>
        <v>2.5282946479953963</v>
      </c>
      <c r="L16" t="s">
        <v>91</v>
      </c>
      <c r="M16">
        <v>10288</v>
      </c>
      <c r="N16" s="6">
        <f t="shared" si="2"/>
        <v>2.0781613281810229</v>
      </c>
      <c r="T16" t="s">
        <v>10</v>
      </c>
      <c r="U16" s="1">
        <v>11109</v>
      </c>
      <c r="V16" s="1">
        <v>7830</v>
      </c>
    </row>
    <row r="17" spans="1:22" x14ac:dyDescent="0.25">
      <c r="A17" t="s">
        <v>79</v>
      </c>
      <c r="C17">
        <v>9114</v>
      </c>
      <c r="D17">
        <v>1.74</v>
      </c>
      <c r="E17" s="8">
        <f t="shared" si="0"/>
        <v>1.168810683191261</v>
      </c>
      <c r="F17">
        <v>757</v>
      </c>
      <c r="G17">
        <v>29</v>
      </c>
      <c r="H17">
        <v>1</v>
      </c>
      <c r="I17" s="5">
        <f t="shared" si="3"/>
        <v>787</v>
      </c>
      <c r="J17" s="9">
        <f t="shared" si="1"/>
        <v>1.0064582134407571</v>
      </c>
      <c r="L17" t="s">
        <v>11</v>
      </c>
      <c r="M17">
        <v>7451</v>
      </c>
      <c r="N17" s="6">
        <f t="shared" si="2"/>
        <v>1.5050913740548992</v>
      </c>
      <c r="T17" t="s">
        <v>11</v>
      </c>
      <c r="U17" s="1">
        <v>4456</v>
      </c>
      <c r="V17" s="1">
        <v>4684</v>
      </c>
    </row>
    <row r="18" spans="1:22" x14ac:dyDescent="0.25">
      <c r="A18" t="s">
        <v>92</v>
      </c>
      <c r="B18">
        <v>1</v>
      </c>
      <c r="C18">
        <v>276</v>
      </c>
      <c r="D18">
        <v>3.0300000000000001E-2</v>
      </c>
      <c r="E18" s="8">
        <f t="shared" si="0"/>
        <v>3.539518856273733E-2</v>
      </c>
      <c r="F18">
        <v>44</v>
      </c>
      <c r="G18">
        <v>1</v>
      </c>
      <c r="H18" s="5" t="s">
        <v>124</v>
      </c>
      <c r="I18" s="5">
        <f t="shared" si="3"/>
        <v>45</v>
      </c>
      <c r="J18" s="9">
        <f t="shared" si="1"/>
        <v>5.7548436600805677E-2</v>
      </c>
      <c r="L18" t="s">
        <v>140</v>
      </c>
      <c r="M18">
        <v>67</v>
      </c>
      <c r="N18" s="6">
        <f t="shared" si="2"/>
        <v>1.3533904450634579E-2</v>
      </c>
    </row>
    <row r="19" spans="1:22" x14ac:dyDescent="0.25">
      <c r="A19" t="s">
        <v>93</v>
      </c>
      <c r="B19">
        <v>1</v>
      </c>
      <c r="C19">
        <v>7418</v>
      </c>
      <c r="D19">
        <v>0.95</v>
      </c>
      <c r="E19" s="8">
        <f t="shared" si="0"/>
        <v>0.95130981434197648</v>
      </c>
      <c r="F19">
        <v>976</v>
      </c>
      <c r="G19">
        <v>79</v>
      </c>
      <c r="H19">
        <v>33</v>
      </c>
      <c r="I19" s="5">
        <f t="shared" si="3"/>
        <v>1088</v>
      </c>
      <c r="J19" s="9">
        <f t="shared" si="1"/>
        <v>1.3913933115928128</v>
      </c>
      <c r="L19" t="s">
        <v>93</v>
      </c>
      <c r="M19">
        <v>1516</v>
      </c>
      <c r="N19" s="6">
        <f t="shared" si="2"/>
        <v>0.3062298380173436</v>
      </c>
      <c r="T19" t="s">
        <v>12</v>
      </c>
      <c r="U19" s="1">
        <v>5181</v>
      </c>
      <c r="V19" s="1">
        <v>2176</v>
      </c>
    </row>
    <row r="20" spans="1:22" x14ac:dyDescent="0.25">
      <c r="A20" t="s">
        <v>13</v>
      </c>
      <c r="C20">
        <v>16649</v>
      </c>
      <c r="D20">
        <v>2.1</v>
      </c>
      <c r="E20" s="8">
        <f t="shared" si="0"/>
        <v>2.1351249796413545</v>
      </c>
      <c r="F20">
        <v>1754</v>
      </c>
      <c r="G20">
        <v>49</v>
      </c>
      <c r="H20">
        <v>5</v>
      </c>
      <c r="I20" s="5">
        <f t="shared" si="3"/>
        <v>1808</v>
      </c>
      <c r="J20" s="9">
        <f t="shared" si="1"/>
        <v>2.3121682972057038</v>
      </c>
      <c r="L20" t="s">
        <v>13</v>
      </c>
      <c r="M20">
        <v>8051</v>
      </c>
      <c r="N20" s="6">
        <f t="shared" si="2"/>
        <v>1.6262905183889402</v>
      </c>
      <c r="T20" t="s">
        <v>13</v>
      </c>
      <c r="U20" s="1">
        <v>10777</v>
      </c>
      <c r="V20" s="1">
        <v>5872</v>
      </c>
    </row>
    <row r="21" spans="1:22" x14ac:dyDescent="0.25">
      <c r="A21" t="s">
        <v>94</v>
      </c>
      <c r="C21">
        <v>1822</v>
      </c>
      <c r="D21">
        <v>0.23</v>
      </c>
      <c r="E21" s="8">
        <f t="shared" si="0"/>
        <v>0.23365954188879498</v>
      </c>
      <c r="F21">
        <v>166</v>
      </c>
      <c r="G21">
        <v>6</v>
      </c>
      <c r="H21" s="5" t="s">
        <v>124</v>
      </c>
      <c r="I21" s="5">
        <f t="shared" si="3"/>
        <v>172</v>
      </c>
      <c r="J21" s="9">
        <f t="shared" si="1"/>
        <v>0.21996291322974615</v>
      </c>
      <c r="L21" t="s">
        <v>94</v>
      </c>
      <c r="M21">
        <v>1310</v>
      </c>
      <c r="N21" s="6">
        <f t="shared" si="2"/>
        <v>0.26461813179598953</v>
      </c>
      <c r="T21" t="s">
        <v>14</v>
      </c>
      <c r="U21" s="1">
        <v>1312</v>
      </c>
      <c r="V21" s="1">
        <v>509</v>
      </c>
    </row>
    <row r="22" spans="1:22" x14ac:dyDescent="0.25">
      <c r="A22" t="s">
        <v>15</v>
      </c>
      <c r="B22">
        <v>1</v>
      </c>
      <c r="C22">
        <v>3472</v>
      </c>
      <c r="D22">
        <v>0.44</v>
      </c>
      <c r="E22" s="8">
        <f t="shared" si="0"/>
        <v>0.44526121264428992</v>
      </c>
      <c r="F22">
        <v>345</v>
      </c>
      <c r="G22">
        <v>19</v>
      </c>
      <c r="H22">
        <v>2</v>
      </c>
      <c r="I22" s="5">
        <f t="shared" si="3"/>
        <v>366</v>
      </c>
      <c r="J22" s="9">
        <f t="shared" si="1"/>
        <v>0.46806061768655283</v>
      </c>
      <c r="L22" t="s">
        <v>15</v>
      </c>
      <c r="M22">
        <v>2091</v>
      </c>
      <c r="N22" s="6">
        <f t="shared" si="2"/>
        <v>0.42237901800413291</v>
      </c>
      <c r="T22" t="s">
        <v>15</v>
      </c>
      <c r="U22" s="1">
        <v>2104</v>
      </c>
      <c r="V22" s="1">
        <v>1366</v>
      </c>
    </row>
    <row r="23" spans="1:22" x14ac:dyDescent="0.25">
      <c r="A23" t="s">
        <v>95</v>
      </c>
      <c r="B23">
        <v>1</v>
      </c>
      <c r="C23">
        <v>966</v>
      </c>
      <c r="D23">
        <v>0.1</v>
      </c>
      <c r="E23" s="8">
        <f t="shared" si="0"/>
        <v>0.12388315996958066</v>
      </c>
      <c r="F23">
        <v>101</v>
      </c>
      <c r="G23">
        <v>4</v>
      </c>
      <c r="H23" s="5" t="s">
        <v>124</v>
      </c>
      <c r="I23" s="5">
        <f t="shared" si="3"/>
        <v>105</v>
      </c>
      <c r="J23" s="9">
        <f t="shared" si="1"/>
        <v>0.13427968540187993</v>
      </c>
      <c r="L23" t="s">
        <v>95</v>
      </c>
      <c r="M23">
        <v>531</v>
      </c>
      <c r="N23" s="6">
        <f t="shared" si="2"/>
        <v>0.10726124273562629</v>
      </c>
    </row>
    <row r="24" spans="1:22" x14ac:dyDescent="0.25">
      <c r="A24" t="s">
        <v>96</v>
      </c>
      <c r="C24">
        <v>36</v>
      </c>
      <c r="D24">
        <v>4.0000000000000001E-3</v>
      </c>
      <c r="E24" s="8">
        <f t="shared" si="0"/>
        <v>4.6167637255744342E-3</v>
      </c>
      <c r="F24" s="5" t="s">
        <v>124</v>
      </c>
      <c r="G24" s="5" t="s">
        <v>124</v>
      </c>
      <c r="H24" s="5" t="s">
        <v>124</v>
      </c>
      <c r="I24" s="5">
        <f t="shared" si="3"/>
        <v>0</v>
      </c>
      <c r="J24" s="9">
        <f t="shared" si="1"/>
        <v>0</v>
      </c>
      <c r="N24" s="6"/>
    </row>
    <row r="25" spans="1:22" x14ac:dyDescent="0.25">
      <c r="A25" t="s">
        <v>16</v>
      </c>
      <c r="B25">
        <v>1</v>
      </c>
      <c r="C25">
        <v>1821</v>
      </c>
      <c r="D25">
        <v>0.23</v>
      </c>
      <c r="E25" s="8">
        <f t="shared" si="0"/>
        <v>0.23353129845197348</v>
      </c>
      <c r="F25">
        <v>189</v>
      </c>
      <c r="G25">
        <v>5</v>
      </c>
      <c r="H25">
        <v>3</v>
      </c>
      <c r="I25" s="5">
        <f t="shared" si="3"/>
        <v>197</v>
      </c>
      <c r="J25" s="9">
        <f t="shared" si="1"/>
        <v>0.25193426689686044</v>
      </c>
      <c r="L25" t="s">
        <v>16</v>
      </c>
      <c r="M25">
        <v>923</v>
      </c>
      <c r="N25" s="6">
        <f t="shared" ref="N25:N59" si="4">100*M25/ALL_LOSSES</f>
        <v>0.18644468370053308</v>
      </c>
      <c r="T25" t="s">
        <v>16</v>
      </c>
      <c r="U25" s="1">
        <v>1047</v>
      </c>
      <c r="V25" s="1">
        <v>774</v>
      </c>
    </row>
    <row r="26" spans="1:22" x14ac:dyDescent="0.25">
      <c r="A26" t="s">
        <v>17</v>
      </c>
      <c r="B26">
        <v>1</v>
      </c>
      <c r="C26">
        <v>16274</v>
      </c>
      <c r="D26">
        <v>2.09</v>
      </c>
      <c r="E26" s="8">
        <f t="shared" si="0"/>
        <v>2.0870336908332874</v>
      </c>
      <c r="F26">
        <v>1450</v>
      </c>
      <c r="G26">
        <v>20</v>
      </c>
      <c r="H26">
        <v>10</v>
      </c>
      <c r="I26" s="5">
        <f t="shared" si="3"/>
        <v>1480</v>
      </c>
      <c r="J26" s="9">
        <f t="shared" si="1"/>
        <v>1.8927041370931645</v>
      </c>
      <c r="L26" t="s">
        <v>17</v>
      </c>
      <c r="M26">
        <v>12506</v>
      </c>
      <c r="N26" s="6">
        <f t="shared" si="4"/>
        <v>2.5261941650691946</v>
      </c>
      <c r="T26" t="s">
        <v>17</v>
      </c>
      <c r="U26" s="1">
        <v>9331</v>
      </c>
      <c r="V26" s="1">
        <v>6942</v>
      </c>
    </row>
    <row r="27" spans="1:22" x14ac:dyDescent="0.25">
      <c r="A27" t="s">
        <v>18</v>
      </c>
      <c r="C27">
        <v>3468</v>
      </c>
      <c r="D27">
        <v>0.4</v>
      </c>
      <c r="E27" s="8">
        <f t="shared" si="0"/>
        <v>0.44474823889700382</v>
      </c>
      <c r="F27">
        <v>339</v>
      </c>
      <c r="G27">
        <v>17</v>
      </c>
      <c r="H27">
        <v>5</v>
      </c>
      <c r="I27" s="5">
        <f t="shared" si="3"/>
        <v>361</v>
      </c>
      <c r="J27" s="9">
        <f t="shared" si="1"/>
        <v>0.46166634695312997</v>
      </c>
      <c r="L27" t="s">
        <v>18</v>
      </c>
      <c r="M27">
        <v>2187</v>
      </c>
      <c r="N27" s="6">
        <f t="shared" si="4"/>
        <v>0.44177088109757945</v>
      </c>
      <c r="T27" t="s">
        <v>18</v>
      </c>
      <c r="U27" s="1">
        <v>1647</v>
      </c>
      <c r="V27" s="1">
        <v>1817</v>
      </c>
    </row>
    <row r="28" spans="1:22" x14ac:dyDescent="0.25">
      <c r="A28" t="s">
        <v>19</v>
      </c>
      <c r="B28">
        <v>1</v>
      </c>
      <c r="C28">
        <v>7804</v>
      </c>
      <c r="D28" s="4">
        <v>1</v>
      </c>
      <c r="E28" s="8">
        <f t="shared" si="0"/>
        <v>1.0008117809550803</v>
      </c>
      <c r="F28">
        <v>782</v>
      </c>
      <c r="G28">
        <v>24</v>
      </c>
      <c r="H28">
        <v>6</v>
      </c>
      <c r="I28" s="5">
        <f t="shared" si="3"/>
        <v>812</v>
      </c>
      <c r="J28" s="9">
        <f t="shared" si="1"/>
        <v>1.0384295671078714</v>
      </c>
      <c r="L28" t="s">
        <v>19</v>
      </c>
      <c r="M28">
        <v>5361</v>
      </c>
      <c r="N28" s="6">
        <f t="shared" si="4"/>
        <v>1.0829143546246562</v>
      </c>
      <c r="T28" t="s">
        <v>19</v>
      </c>
      <c r="U28" s="1">
        <v>4614</v>
      </c>
      <c r="V28" s="1">
        <v>3187</v>
      </c>
    </row>
    <row r="29" spans="1:22" x14ac:dyDescent="0.25">
      <c r="A29" t="s">
        <v>116</v>
      </c>
      <c r="C29">
        <v>442</v>
      </c>
      <c r="D29">
        <v>0.05</v>
      </c>
      <c r="E29" s="8">
        <f t="shared" si="0"/>
        <v>5.668359907510833E-2</v>
      </c>
      <c r="F29">
        <v>32</v>
      </c>
      <c r="G29" s="5" t="s">
        <v>124</v>
      </c>
      <c r="H29" s="5" t="s">
        <v>124</v>
      </c>
      <c r="I29" s="5">
        <f t="shared" si="3"/>
        <v>32</v>
      </c>
      <c r="J29" s="9">
        <f t="shared" si="1"/>
        <v>4.0923332693906259E-2</v>
      </c>
      <c r="L29" t="s">
        <v>141</v>
      </c>
      <c r="M29">
        <v>229</v>
      </c>
      <c r="N29" s="6">
        <f t="shared" si="4"/>
        <v>4.6257673420825651E-2</v>
      </c>
    </row>
    <row r="30" spans="1:22" x14ac:dyDescent="0.25">
      <c r="A30" t="s">
        <v>97</v>
      </c>
      <c r="C30">
        <v>29183</v>
      </c>
      <c r="D30">
        <v>3.74</v>
      </c>
      <c r="E30" s="8">
        <f t="shared" si="0"/>
        <v>3.7425282167621865</v>
      </c>
      <c r="F30">
        <v>2700</v>
      </c>
      <c r="G30">
        <v>86</v>
      </c>
      <c r="H30">
        <v>19</v>
      </c>
      <c r="I30" s="5">
        <f t="shared" si="3"/>
        <v>2805</v>
      </c>
      <c r="J30" s="9">
        <f t="shared" si="1"/>
        <v>3.5871858814502207</v>
      </c>
      <c r="L30" t="s">
        <v>97</v>
      </c>
      <c r="M30">
        <v>20684</v>
      </c>
      <c r="N30" s="6">
        <f t="shared" si="4"/>
        <v>4.1781385023421738</v>
      </c>
      <c r="T30" t="s">
        <v>129</v>
      </c>
      <c r="U30" s="1">
        <v>18674</v>
      </c>
      <c r="V30" s="1">
        <v>10505</v>
      </c>
    </row>
    <row r="31" spans="1:22" x14ac:dyDescent="0.25">
      <c r="A31" t="s">
        <v>80</v>
      </c>
      <c r="C31">
        <v>9619</v>
      </c>
      <c r="D31">
        <v>1.23</v>
      </c>
      <c r="E31" s="8">
        <f t="shared" si="0"/>
        <v>1.2335736187861246</v>
      </c>
      <c r="F31">
        <v>589</v>
      </c>
      <c r="G31">
        <v>9</v>
      </c>
      <c r="H31">
        <v>12</v>
      </c>
      <c r="I31" s="5">
        <f t="shared" si="3"/>
        <v>610</v>
      </c>
      <c r="J31" s="9">
        <f t="shared" si="1"/>
        <v>0.78010102947758808</v>
      </c>
      <c r="L31" t="s">
        <v>80</v>
      </c>
      <c r="M31">
        <v>5085</v>
      </c>
      <c r="N31" s="6">
        <f t="shared" si="4"/>
        <v>1.0271627482309975</v>
      </c>
      <c r="T31" t="s">
        <v>20</v>
      </c>
      <c r="U31" s="1">
        <v>3201</v>
      </c>
      <c r="V31" s="1">
        <v>6414</v>
      </c>
    </row>
    <row r="32" spans="1:22" x14ac:dyDescent="0.25">
      <c r="A32" t="s">
        <v>81</v>
      </c>
      <c r="B32">
        <v>1</v>
      </c>
      <c r="C32">
        <v>12086</v>
      </c>
      <c r="D32">
        <v>1.56</v>
      </c>
      <c r="E32" s="8">
        <f t="shared" si="0"/>
        <v>1.5499501774247948</v>
      </c>
      <c r="F32">
        <v>1285</v>
      </c>
      <c r="G32">
        <v>43</v>
      </c>
      <c r="H32">
        <v>3</v>
      </c>
      <c r="I32" s="5">
        <f t="shared" si="3"/>
        <v>1331</v>
      </c>
      <c r="J32" s="9">
        <f t="shared" si="1"/>
        <v>1.7021548692371635</v>
      </c>
      <c r="L32" t="s">
        <v>21</v>
      </c>
      <c r="M32">
        <v>6129</v>
      </c>
      <c r="N32" s="6">
        <f t="shared" si="4"/>
        <v>1.2380492593722288</v>
      </c>
      <c r="T32" t="s">
        <v>21</v>
      </c>
      <c r="U32" s="1">
        <v>7020</v>
      </c>
      <c r="V32" s="1">
        <v>5058</v>
      </c>
    </row>
    <row r="33" spans="1:22" x14ac:dyDescent="0.25">
      <c r="A33" t="s">
        <v>82</v>
      </c>
      <c r="B33">
        <v>1</v>
      </c>
      <c r="C33">
        <v>3774</v>
      </c>
      <c r="D33">
        <v>0.48</v>
      </c>
      <c r="E33" s="8">
        <f t="shared" si="0"/>
        <v>0.48399073056438652</v>
      </c>
      <c r="F33">
        <v>611</v>
      </c>
      <c r="G33">
        <v>63</v>
      </c>
      <c r="H33">
        <v>8</v>
      </c>
      <c r="I33" s="5">
        <f t="shared" si="3"/>
        <v>682</v>
      </c>
      <c r="J33" s="9">
        <f t="shared" si="1"/>
        <v>0.87217852803887719</v>
      </c>
      <c r="L33" t="s">
        <v>22</v>
      </c>
      <c r="M33">
        <v>1307</v>
      </c>
      <c r="N33" s="6">
        <f t="shared" si="4"/>
        <v>0.26401213607431934</v>
      </c>
      <c r="T33" t="s">
        <v>22</v>
      </c>
      <c r="U33" s="1">
        <v>3217</v>
      </c>
      <c r="V33" s="1">
        <v>557</v>
      </c>
    </row>
    <row r="34" spans="1:22" x14ac:dyDescent="0.25">
      <c r="A34" t="s">
        <v>83</v>
      </c>
      <c r="C34">
        <v>4524</v>
      </c>
      <c r="D34">
        <v>0.56999999999999995</v>
      </c>
      <c r="E34" s="8">
        <f t="shared" ref="E34:E65" si="5">100* C34/VYB_TOTAL</f>
        <v>0.5801733081805206</v>
      </c>
      <c r="F34">
        <v>497</v>
      </c>
      <c r="G34">
        <v>9</v>
      </c>
      <c r="H34">
        <v>5</v>
      </c>
      <c r="I34" s="5">
        <f t="shared" si="3"/>
        <v>511</v>
      </c>
      <c r="J34" s="9">
        <f t="shared" ref="J34:J65" si="6">100*I34/ALL_DEATHS</f>
        <v>0.65349446895581564</v>
      </c>
      <c r="L34" t="s">
        <v>23</v>
      </c>
      <c r="M34">
        <v>2725</v>
      </c>
      <c r="N34" s="6">
        <f t="shared" si="4"/>
        <v>0.55044611385043618</v>
      </c>
      <c r="T34" t="s">
        <v>23</v>
      </c>
      <c r="U34" s="1">
        <v>2013</v>
      </c>
      <c r="V34" s="1">
        <v>2500</v>
      </c>
    </row>
    <row r="35" spans="1:22" x14ac:dyDescent="0.25">
      <c r="A35" t="s">
        <v>84</v>
      </c>
      <c r="B35">
        <v>1</v>
      </c>
      <c r="C35">
        <v>19258</v>
      </c>
      <c r="D35">
        <v>2.46</v>
      </c>
      <c r="E35" s="8">
        <f t="shared" si="5"/>
        <v>2.4697121063086795</v>
      </c>
      <c r="F35">
        <v>2013</v>
      </c>
      <c r="G35">
        <v>58</v>
      </c>
      <c r="H35">
        <v>15</v>
      </c>
      <c r="I35" s="5">
        <f t="shared" si="3"/>
        <v>2086</v>
      </c>
      <c r="J35" s="9">
        <f t="shared" si="6"/>
        <v>2.6676897499840142</v>
      </c>
      <c r="L35" t="s">
        <v>142</v>
      </c>
      <c r="M35">
        <v>10520</v>
      </c>
      <c r="N35" s="6">
        <f t="shared" si="4"/>
        <v>2.1250249973235187</v>
      </c>
      <c r="T35" t="s">
        <v>24</v>
      </c>
      <c r="U35" s="1">
        <v>12225</v>
      </c>
      <c r="V35" s="1">
        <v>7029</v>
      </c>
    </row>
    <row r="36" spans="1:22" x14ac:dyDescent="0.25">
      <c r="A36" t="s">
        <v>85</v>
      </c>
      <c r="C36">
        <v>3916</v>
      </c>
      <c r="D36">
        <v>0.5</v>
      </c>
      <c r="E36" s="8">
        <f t="shared" si="5"/>
        <v>0.5022012985930413</v>
      </c>
      <c r="F36">
        <v>480</v>
      </c>
      <c r="G36">
        <v>25</v>
      </c>
      <c r="H36">
        <v>3</v>
      </c>
      <c r="I36" s="5">
        <f t="shared" si="3"/>
        <v>508</v>
      </c>
      <c r="J36" s="9">
        <f t="shared" si="6"/>
        <v>0.64965790651576183</v>
      </c>
      <c r="L36" t="s">
        <v>25</v>
      </c>
      <c r="M36">
        <v>2134</v>
      </c>
      <c r="N36" s="6">
        <f t="shared" si="4"/>
        <v>0.43106495668140582</v>
      </c>
      <c r="T36" t="s">
        <v>25</v>
      </c>
      <c r="U36" s="1">
        <v>2664</v>
      </c>
      <c r="V36" s="1">
        <v>1252</v>
      </c>
    </row>
    <row r="37" spans="1:22" x14ac:dyDescent="0.25">
      <c r="A37" t="s">
        <v>98</v>
      </c>
      <c r="C37">
        <v>2788</v>
      </c>
      <c r="D37">
        <v>0.35</v>
      </c>
      <c r="E37" s="8">
        <f t="shared" si="5"/>
        <v>0.35754270185837567</v>
      </c>
      <c r="F37">
        <v>208</v>
      </c>
      <c r="G37">
        <v>4</v>
      </c>
      <c r="H37" s="5" t="s">
        <v>124</v>
      </c>
      <c r="I37" s="5">
        <f t="shared" si="3"/>
        <v>212</v>
      </c>
      <c r="J37" s="9">
        <f t="shared" si="6"/>
        <v>0.27111707909712895</v>
      </c>
      <c r="L37" t="s">
        <v>98</v>
      </c>
      <c r="M37">
        <v>1868</v>
      </c>
      <c r="N37" s="6">
        <f t="shared" si="4"/>
        <v>0.37733333602664765</v>
      </c>
      <c r="T37" t="s">
        <v>68</v>
      </c>
      <c r="U37" s="1">
        <v>1083</v>
      </c>
      <c r="V37" s="1">
        <v>1704</v>
      </c>
    </row>
    <row r="38" spans="1:22" x14ac:dyDescent="0.25">
      <c r="A38" t="s">
        <v>26</v>
      </c>
      <c r="C38">
        <v>6602</v>
      </c>
      <c r="D38">
        <v>0.84</v>
      </c>
      <c r="E38" s="8">
        <f t="shared" si="5"/>
        <v>0.84666316989562262</v>
      </c>
      <c r="F38">
        <v>557</v>
      </c>
      <c r="G38">
        <v>23</v>
      </c>
      <c r="H38">
        <v>5</v>
      </c>
      <c r="I38" s="5">
        <f t="shared" si="3"/>
        <v>585</v>
      </c>
      <c r="J38" s="9">
        <f t="shared" si="6"/>
        <v>0.74812967581047385</v>
      </c>
      <c r="L38" t="s">
        <v>26</v>
      </c>
      <c r="M38">
        <v>4359</v>
      </c>
      <c r="N38" s="6">
        <f t="shared" si="4"/>
        <v>0.88051178358680793</v>
      </c>
      <c r="T38" t="s">
        <v>26</v>
      </c>
      <c r="U38" s="1">
        <v>3291</v>
      </c>
      <c r="V38" s="1">
        <v>3297</v>
      </c>
    </row>
    <row r="39" spans="1:22" x14ac:dyDescent="0.25">
      <c r="A39" t="s">
        <v>27</v>
      </c>
      <c r="C39">
        <v>1846</v>
      </c>
      <c r="D39">
        <v>0.23</v>
      </c>
      <c r="E39" s="8">
        <f t="shared" si="5"/>
        <v>0.23673738437251127</v>
      </c>
      <c r="F39">
        <v>130</v>
      </c>
      <c r="G39">
        <v>4</v>
      </c>
      <c r="H39">
        <v>2</v>
      </c>
      <c r="I39" s="5">
        <f t="shared" si="3"/>
        <v>136</v>
      </c>
      <c r="J39" s="9">
        <f t="shared" si="6"/>
        <v>0.1739241639491016</v>
      </c>
      <c r="L39" t="s">
        <v>27</v>
      </c>
      <c r="M39">
        <v>1282</v>
      </c>
      <c r="N39" s="6">
        <f t="shared" si="4"/>
        <v>0.25896217172706759</v>
      </c>
      <c r="T39" t="s">
        <v>27</v>
      </c>
      <c r="U39" s="1">
        <v>861</v>
      </c>
      <c r="V39" s="1">
        <v>985</v>
      </c>
    </row>
    <row r="40" spans="1:22" x14ac:dyDescent="0.25">
      <c r="A40" t="s">
        <v>28</v>
      </c>
      <c r="C40">
        <v>9553</v>
      </c>
      <c r="D40">
        <v>1.22</v>
      </c>
      <c r="E40" s="8">
        <f t="shared" si="5"/>
        <v>1.2251095519559048</v>
      </c>
      <c r="F40">
        <v>657</v>
      </c>
      <c r="G40">
        <v>18</v>
      </c>
      <c r="H40">
        <v>5</v>
      </c>
      <c r="I40" s="5">
        <f t="shared" si="3"/>
        <v>680</v>
      </c>
      <c r="J40" s="9">
        <f t="shared" si="6"/>
        <v>0.86962081974550798</v>
      </c>
      <c r="L40" t="s">
        <v>28</v>
      </c>
      <c r="M40">
        <v>5175</v>
      </c>
      <c r="N40" s="6">
        <f t="shared" si="4"/>
        <v>1.0453426198811036</v>
      </c>
      <c r="T40" t="s">
        <v>28</v>
      </c>
      <c r="U40" s="1">
        <v>3973</v>
      </c>
      <c r="V40" s="1">
        <v>5577</v>
      </c>
    </row>
    <row r="41" spans="1:22" x14ac:dyDescent="0.25">
      <c r="A41" t="s">
        <v>29</v>
      </c>
      <c r="C41">
        <v>11212</v>
      </c>
      <c r="D41">
        <v>1.43</v>
      </c>
      <c r="E41" s="8">
        <f t="shared" si="5"/>
        <v>1.4378654136427933</v>
      </c>
      <c r="F41">
        <v>1073</v>
      </c>
      <c r="G41">
        <v>40</v>
      </c>
      <c r="H41">
        <v>15</v>
      </c>
      <c r="I41" s="5">
        <f t="shared" si="3"/>
        <v>1128</v>
      </c>
      <c r="J41" s="9">
        <f t="shared" si="6"/>
        <v>1.4425474774601956</v>
      </c>
      <c r="L41" t="s">
        <v>29</v>
      </c>
      <c r="M41">
        <v>6429</v>
      </c>
      <c r="N41" s="6">
        <f t="shared" si="4"/>
        <v>1.2986488315392493</v>
      </c>
      <c r="T41" t="s">
        <v>29</v>
      </c>
      <c r="U41" s="1">
        <v>5840</v>
      </c>
      <c r="V41" s="1">
        <v>5372</v>
      </c>
    </row>
    <row r="42" spans="1:22" x14ac:dyDescent="0.25">
      <c r="A42" t="s">
        <v>30</v>
      </c>
      <c r="C42">
        <v>11342</v>
      </c>
      <c r="D42">
        <v>1.45</v>
      </c>
      <c r="E42" s="8">
        <f t="shared" si="5"/>
        <v>1.45453706042959</v>
      </c>
      <c r="F42">
        <v>1271</v>
      </c>
      <c r="G42">
        <v>88</v>
      </c>
      <c r="H42">
        <v>10</v>
      </c>
      <c r="I42" s="5">
        <f t="shared" si="3"/>
        <v>1369</v>
      </c>
      <c r="J42" s="9">
        <f t="shared" si="6"/>
        <v>1.7507513268111772</v>
      </c>
      <c r="L42" t="s">
        <v>30</v>
      </c>
      <c r="M42">
        <v>6017</v>
      </c>
      <c r="N42" s="6">
        <f t="shared" si="4"/>
        <v>1.2154254190965412</v>
      </c>
      <c r="T42" t="s">
        <v>30</v>
      </c>
      <c r="U42" s="1">
        <v>6497</v>
      </c>
      <c r="V42" s="1">
        <v>4840</v>
      </c>
    </row>
    <row r="43" spans="1:22" x14ac:dyDescent="0.25">
      <c r="A43" t="s">
        <v>86</v>
      </c>
      <c r="B43">
        <v>1</v>
      </c>
      <c r="C43">
        <v>11479</v>
      </c>
      <c r="D43">
        <v>1.46</v>
      </c>
      <c r="E43" s="8">
        <f t="shared" si="5"/>
        <v>1.4721064112741371</v>
      </c>
      <c r="F43">
        <v>972</v>
      </c>
      <c r="G43">
        <v>30</v>
      </c>
      <c r="H43">
        <v>10</v>
      </c>
      <c r="I43" s="5">
        <f t="shared" si="3"/>
        <v>1012</v>
      </c>
      <c r="J43" s="9">
        <f t="shared" si="6"/>
        <v>1.2942003964447855</v>
      </c>
      <c r="L43" t="s">
        <v>86</v>
      </c>
      <c r="M43">
        <v>8744</v>
      </c>
      <c r="N43" s="6">
        <f t="shared" si="4"/>
        <v>1.7662755300947575</v>
      </c>
      <c r="T43" t="s">
        <v>31</v>
      </c>
      <c r="U43" s="1">
        <v>5883</v>
      </c>
      <c r="V43" s="1">
        <v>5591</v>
      </c>
    </row>
    <row r="44" spans="1:22" x14ac:dyDescent="0.25">
      <c r="A44" t="s">
        <v>32</v>
      </c>
      <c r="B44">
        <v>1</v>
      </c>
      <c r="C44">
        <v>12451</v>
      </c>
      <c r="D44">
        <v>1.59</v>
      </c>
      <c r="E44" s="8">
        <f t="shared" si="5"/>
        <v>1.5967590318646467</v>
      </c>
      <c r="F44">
        <v>1202</v>
      </c>
      <c r="G44">
        <v>39</v>
      </c>
      <c r="H44">
        <v>5</v>
      </c>
      <c r="I44" s="5">
        <f t="shared" si="3"/>
        <v>1246</v>
      </c>
      <c r="J44" s="9">
        <f t="shared" si="6"/>
        <v>1.593452266768975</v>
      </c>
      <c r="L44" t="s">
        <v>32</v>
      </c>
      <c r="M44">
        <v>9355</v>
      </c>
      <c r="N44" s="6">
        <f t="shared" si="4"/>
        <v>1.8896966587415893</v>
      </c>
      <c r="T44" t="s">
        <v>32</v>
      </c>
      <c r="U44" s="1">
        <v>7380</v>
      </c>
      <c r="V44" s="1">
        <v>5068</v>
      </c>
    </row>
    <row r="45" spans="1:22" x14ac:dyDescent="0.25">
      <c r="A45" t="s">
        <v>87</v>
      </c>
      <c r="B45">
        <v>1</v>
      </c>
      <c r="C45">
        <v>12643</v>
      </c>
      <c r="D45">
        <v>1.62</v>
      </c>
      <c r="E45" s="8">
        <f t="shared" si="5"/>
        <v>1.621381771734377</v>
      </c>
      <c r="F45">
        <v>1264</v>
      </c>
      <c r="G45">
        <v>49</v>
      </c>
      <c r="H45">
        <v>5</v>
      </c>
      <c r="I45" s="5">
        <f t="shared" si="3"/>
        <v>1318</v>
      </c>
      <c r="J45" s="9">
        <f t="shared" si="6"/>
        <v>1.6855297653302641</v>
      </c>
      <c r="L45" t="s">
        <v>33</v>
      </c>
      <c r="M45">
        <v>8221</v>
      </c>
      <c r="N45" s="6">
        <f t="shared" si="4"/>
        <v>1.6606302759502518</v>
      </c>
      <c r="T45" t="s">
        <v>33</v>
      </c>
      <c r="U45" s="1">
        <v>7891</v>
      </c>
      <c r="V45" s="1">
        <v>4742</v>
      </c>
    </row>
    <row r="46" spans="1:22" x14ac:dyDescent="0.25">
      <c r="A46" t="s">
        <v>69</v>
      </c>
      <c r="B46">
        <v>1</v>
      </c>
      <c r="C46">
        <v>3791</v>
      </c>
      <c r="D46">
        <v>0.48</v>
      </c>
      <c r="E46" s="8">
        <f t="shared" si="5"/>
        <v>0.48617086899035222</v>
      </c>
      <c r="F46">
        <v>333</v>
      </c>
      <c r="G46">
        <v>11</v>
      </c>
      <c r="H46">
        <v>1</v>
      </c>
      <c r="I46" s="5">
        <f t="shared" si="3"/>
        <v>345</v>
      </c>
      <c r="J46" s="9">
        <f t="shared" si="6"/>
        <v>0.44120468060617685</v>
      </c>
      <c r="L46" t="s">
        <v>69</v>
      </c>
      <c r="M46">
        <v>2845</v>
      </c>
      <c r="N46" s="6">
        <f t="shared" si="4"/>
        <v>0.57468594271724438</v>
      </c>
      <c r="T46" t="s">
        <v>69</v>
      </c>
      <c r="U46" s="1">
        <v>2378</v>
      </c>
      <c r="V46" s="1">
        <v>1412</v>
      </c>
    </row>
    <row r="47" spans="1:22" x14ac:dyDescent="0.25">
      <c r="A47" t="s">
        <v>88</v>
      </c>
      <c r="B47">
        <v>1</v>
      </c>
      <c r="C47">
        <v>9774</v>
      </c>
      <c r="D47">
        <v>1.25</v>
      </c>
      <c r="E47" s="8">
        <f t="shared" si="5"/>
        <v>1.2534513514934589</v>
      </c>
      <c r="F47">
        <v>847</v>
      </c>
      <c r="G47">
        <v>40</v>
      </c>
      <c r="H47">
        <v>2</v>
      </c>
      <c r="I47" s="5">
        <f t="shared" si="3"/>
        <v>889</v>
      </c>
      <c r="J47" s="9">
        <f t="shared" si="6"/>
        <v>1.1369013364025833</v>
      </c>
      <c r="L47" t="s">
        <v>34</v>
      </c>
      <c r="M47">
        <v>5924</v>
      </c>
      <c r="N47" s="6">
        <f t="shared" si="4"/>
        <v>1.1966395517247648</v>
      </c>
      <c r="T47" t="s">
        <v>34</v>
      </c>
      <c r="U47" s="1">
        <v>6373</v>
      </c>
      <c r="V47" s="1">
        <v>3399</v>
      </c>
    </row>
    <row r="48" spans="1:22" x14ac:dyDescent="0.25">
      <c r="A48" t="s">
        <v>89</v>
      </c>
      <c r="B48">
        <v>1</v>
      </c>
      <c r="C48">
        <v>11327</v>
      </c>
      <c r="D48">
        <v>1.45</v>
      </c>
      <c r="E48" s="8">
        <f t="shared" si="5"/>
        <v>1.4526134088772671</v>
      </c>
      <c r="F48">
        <v>1088</v>
      </c>
      <c r="G48">
        <v>30</v>
      </c>
      <c r="H48">
        <v>8</v>
      </c>
      <c r="I48" s="5">
        <f t="shared" si="3"/>
        <v>1126</v>
      </c>
      <c r="J48" s="9">
        <f t="shared" si="6"/>
        <v>1.4399897691668264</v>
      </c>
      <c r="L48" t="s">
        <v>89</v>
      </c>
      <c r="M48">
        <v>7495</v>
      </c>
      <c r="N48" s="6">
        <f t="shared" si="4"/>
        <v>1.5139793113060622</v>
      </c>
      <c r="T48" t="s">
        <v>35</v>
      </c>
      <c r="U48" s="1">
        <v>6603</v>
      </c>
      <c r="V48" s="1">
        <v>4724</v>
      </c>
    </row>
    <row r="49" spans="1:22" x14ac:dyDescent="0.25">
      <c r="A49" t="s">
        <v>36</v>
      </c>
      <c r="B49">
        <v>1</v>
      </c>
      <c r="C49">
        <v>12760</v>
      </c>
      <c r="D49">
        <v>1.63</v>
      </c>
      <c r="E49" s="8">
        <f t="shared" si="5"/>
        <v>1.636386253842494</v>
      </c>
      <c r="F49">
        <v>1216</v>
      </c>
      <c r="G49">
        <v>33</v>
      </c>
      <c r="H49">
        <v>7</v>
      </c>
      <c r="I49" s="5">
        <f t="shared" si="3"/>
        <v>1256</v>
      </c>
      <c r="J49" s="9">
        <f t="shared" si="6"/>
        <v>1.6062408082358206</v>
      </c>
      <c r="L49" t="s">
        <v>36</v>
      </c>
      <c r="M49">
        <v>7505</v>
      </c>
      <c r="N49" s="6">
        <f t="shared" si="4"/>
        <v>1.5159992970449629</v>
      </c>
      <c r="T49" t="s">
        <v>36</v>
      </c>
      <c r="U49" s="1">
        <v>7965</v>
      </c>
      <c r="V49" s="1">
        <v>4779</v>
      </c>
    </row>
    <row r="50" spans="1:22" x14ac:dyDescent="0.25">
      <c r="A50" t="s">
        <v>37</v>
      </c>
      <c r="B50">
        <v>1</v>
      </c>
      <c r="C50">
        <v>17080</v>
      </c>
      <c r="D50">
        <v>2.1800000000000002</v>
      </c>
      <c r="E50" s="8">
        <f t="shared" si="5"/>
        <v>2.1903979009114263</v>
      </c>
      <c r="F50">
        <v>1630</v>
      </c>
      <c r="G50">
        <v>57</v>
      </c>
      <c r="H50">
        <v>15</v>
      </c>
      <c r="I50" s="5">
        <f t="shared" si="3"/>
        <v>1702</v>
      </c>
      <c r="J50" s="9">
        <f t="shared" si="6"/>
        <v>2.1766097576571393</v>
      </c>
      <c r="L50" t="s">
        <v>143</v>
      </c>
      <c r="M50">
        <v>11397</v>
      </c>
      <c r="N50" s="6">
        <f t="shared" si="4"/>
        <v>2.3021777466251088</v>
      </c>
      <c r="T50" t="s">
        <v>37</v>
      </c>
      <c r="U50" s="1">
        <v>10218</v>
      </c>
      <c r="V50" s="1">
        <v>6858</v>
      </c>
    </row>
    <row r="51" spans="1:22" x14ac:dyDescent="0.25">
      <c r="A51" t="s">
        <v>38</v>
      </c>
      <c r="B51">
        <v>1</v>
      </c>
      <c r="C51">
        <v>6686</v>
      </c>
      <c r="D51">
        <v>0.75</v>
      </c>
      <c r="E51" s="8">
        <f t="shared" si="5"/>
        <v>0.85743561858862971</v>
      </c>
      <c r="F51">
        <v>746</v>
      </c>
      <c r="G51">
        <v>39</v>
      </c>
      <c r="H51">
        <v>8</v>
      </c>
      <c r="I51" s="5">
        <f t="shared" si="3"/>
        <v>793</v>
      </c>
      <c r="J51" s="9">
        <f t="shared" si="6"/>
        <v>1.0141313383208646</v>
      </c>
      <c r="L51" t="s">
        <v>38</v>
      </c>
      <c r="M51">
        <v>3795</v>
      </c>
      <c r="N51" s="6">
        <f t="shared" si="4"/>
        <v>0.76658458791280937</v>
      </c>
      <c r="T51" t="s">
        <v>38</v>
      </c>
      <c r="U51" s="1">
        <v>4414</v>
      </c>
      <c r="V51" s="1">
        <v>2271</v>
      </c>
    </row>
    <row r="52" spans="1:22" x14ac:dyDescent="0.25">
      <c r="A52" t="s">
        <v>39</v>
      </c>
      <c r="C52">
        <v>6150</v>
      </c>
      <c r="D52">
        <v>0.71</v>
      </c>
      <c r="E52" s="8">
        <f t="shared" si="5"/>
        <v>0.78869713645229922</v>
      </c>
      <c r="F52">
        <v>522</v>
      </c>
      <c r="G52">
        <v>30</v>
      </c>
      <c r="H52">
        <v>6</v>
      </c>
      <c r="I52" s="5">
        <f t="shared" si="3"/>
        <v>558</v>
      </c>
      <c r="J52" s="9">
        <f t="shared" si="6"/>
        <v>0.71360061384999041</v>
      </c>
      <c r="L52" t="s">
        <v>39</v>
      </c>
      <c r="M52">
        <v>3133</v>
      </c>
      <c r="N52" s="6">
        <f t="shared" si="4"/>
        <v>0.6328615319975841</v>
      </c>
      <c r="T52" t="s">
        <v>39</v>
      </c>
      <c r="U52" s="1">
        <v>2744</v>
      </c>
      <c r="V52" s="1">
        <v>3408</v>
      </c>
    </row>
    <row r="53" spans="1:22" x14ac:dyDescent="0.25">
      <c r="A53" t="s">
        <v>132</v>
      </c>
      <c r="C53">
        <v>1002</v>
      </c>
      <c r="D53">
        <v>0.12</v>
      </c>
      <c r="E53" s="8">
        <f t="shared" si="5"/>
        <v>0.12849992369515509</v>
      </c>
      <c r="F53">
        <v>114</v>
      </c>
      <c r="G53" s="5" t="s">
        <v>124</v>
      </c>
      <c r="H53">
        <v>2</v>
      </c>
      <c r="I53" s="5">
        <f t="shared" si="3"/>
        <v>116</v>
      </c>
      <c r="J53" s="9">
        <f t="shared" si="6"/>
        <v>0.14834708101541019</v>
      </c>
      <c r="L53" t="s">
        <v>132</v>
      </c>
      <c r="M53">
        <v>648</v>
      </c>
      <c r="N53" s="6">
        <f t="shared" si="4"/>
        <v>0.13089507588076429</v>
      </c>
      <c r="T53" t="s">
        <v>133</v>
      </c>
      <c r="U53" s="1">
        <v>534</v>
      </c>
      <c r="V53" s="1">
        <v>468</v>
      </c>
    </row>
    <row r="54" spans="1:22" x14ac:dyDescent="0.25">
      <c r="A54" t="s">
        <v>101</v>
      </c>
      <c r="C54">
        <v>28037</v>
      </c>
      <c r="D54">
        <v>3.59</v>
      </c>
      <c r="E54" s="8">
        <f t="shared" si="5"/>
        <v>3.5955612381647337</v>
      </c>
      <c r="F54">
        <v>3051</v>
      </c>
      <c r="G54">
        <v>128</v>
      </c>
      <c r="H54">
        <v>34</v>
      </c>
      <c r="I54" s="5">
        <f t="shared" si="3"/>
        <v>3213</v>
      </c>
      <c r="J54" s="9">
        <f t="shared" si="6"/>
        <v>4.1089583732975257</v>
      </c>
      <c r="L54" t="s">
        <v>40</v>
      </c>
      <c r="M54">
        <v>19360</v>
      </c>
      <c r="N54" s="6">
        <f t="shared" si="4"/>
        <v>3.910692390511723</v>
      </c>
      <c r="T54" t="s">
        <v>40</v>
      </c>
      <c r="U54" s="1">
        <v>18662</v>
      </c>
      <c r="V54" s="1">
        <v>9365</v>
      </c>
    </row>
    <row r="55" spans="1:22" x14ac:dyDescent="0.25">
      <c r="A55" t="s">
        <v>41</v>
      </c>
      <c r="B55">
        <v>1</v>
      </c>
      <c r="C55">
        <v>25689</v>
      </c>
      <c r="D55">
        <v>3.28</v>
      </c>
      <c r="E55" s="8">
        <f t="shared" si="5"/>
        <v>3.2944456485078235</v>
      </c>
      <c r="F55">
        <v>2636</v>
      </c>
      <c r="G55">
        <v>68</v>
      </c>
      <c r="H55">
        <v>43</v>
      </c>
      <c r="I55" s="5">
        <f t="shared" si="3"/>
        <v>2747</v>
      </c>
      <c r="J55" s="9">
        <f t="shared" si="6"/>
        <v>3.5130123409425154</v>
      </c>
      <c r="L55" t="s">
        <v>41</v>
      </c>
      <c r="M55">
        <v>18917</v>
      </c>
      <c r="N55" s="6">
        <f t="shared" si="4"/>
        <v>3.8212070222784229</v>
      </c>
      <c r="T55" t="s">
        <v>41</v>
      </c>
      <c r="U55" s="1">
        <v>17421</v>
      </c>
      <c r="V55" s="1">
        <v>8267</v>
      </c>
    </row>
    <row r="56" spans="1:22" x14ac:dyDescent="0.25">
      <c r="A56" t="s">
        <v>42</v>
      </c>
      <c r="B56">
        <v>1</v>
      </c>
      <c r="C56">
        <v>1242</v>
      </c>
      <c r="D56">
        <v>0.15</v>
      </c>
      <c r="E56" s="8">
        <f t="shared" si="5"/>
        <v>0.15927834853231798</v>
      </c>
      <c r="F56">
        <v>99</v>
      </c>
      <c r="G56">
        <v>1</v>
      </c>
      <c r="H56">
        <v>2</v>
      </c>
      <c r="I56" s="5">
        <f t="shared" si="3"/>
        <v>102</v>
      </c>
      <c r="J56" s="9">
        <f t="shared" si="6"/>
        <v>0.1304431229618262</v>
      </c>
      <c r="L56" t="s">
        <v>42</v>
      </c>
      <c r="M56">
        <v>757</v>
      </c>
      <c r="N56" s="6">
        <f t="shared" si="4"/>
        <v>0.15291292043478172</v>
      </c>
      <c r="T56" t="s">
        <v>42</v>
      </c>
      <c r="U56" s="1">
        <v>635</v>
      </c>
      <c r="V56" s="1">
        <v>607</v>
      </c>
    </row>
    <row r="57" spans="1:22" x14ac:dyDescent="0.25">
      <c r="A57" t="s">
        <v>102</v>
      </c>
      <c r="B57">
        <v>1</v>
      </c>
      <c r="C57">
        <v>10407</v>
      </c>
      <c r="D57">
        <v>1.33</v>
      </c>
      <c r="E57" s="8">
        <f t="shared" si="5"/>
        <v>1.3346294470014761</v>
      </c>
      <c r="F57">
        <v>837</v>
      </c>
      <c r="G57">
        <v>31</v>
      </c>
      <c r="H57">
        <v>9</v>
      </c>
      <c r="I57" s="5">
        <f t="shared" si="3"/>
        <v>877</v>
      </c>
      <c r="J57" s="9">
        <f t="shared" si="6"/>
        <v>1.1215550866423685</v>
      </c>
      <c r="L57" t="s">
        <v>102</v>
      </c>
      <c r="M57">
        <v>8519</v>
      </c>
      <c r="N57" s="6">
        <f t="shared" si="4"/>
        <v>1.7208258509694923</v>
      </c>
      <c r="T57" t="s">
        <v>43</v>
      </c>
      <c r="U57" s="1">
        <v>5634</v>
      </c>
      <c r="V57" s="1">
        <v>4772</v>
      </c>
    </row>
    <row r="58" spans="1:22" x14ac:dyDescent="0.25">
      <c r="A58" t="s">
        <v>44</v>
      </c>
      <c r="C58">
        <v>4445</v>
      </c>
      <c r="D58">
        <v>0.56999999999999995</v>
      </c>
      <c r="E58" s="8">
        <f t="shared" si="5"/>
        <v>0.5700420766716211</v>
      </c>
      <c r="F58">
        <v>321</v>
      </c>
      <c r="G58">
        <v>10</v>
      </c>
      <c r="H58">
        <v>4</v>
      </c>
      <c r="I58" s="5">
        <f t="shared" si="3"/>
        <v>335</v>
      </c>
      <c r="J58" s="9">
        <f t="shared" si="6"/>
        <v>0.42841613913933119</v>
      </c>
      <c r="L58" t="s">
        <v>44</v>
      </c>
      <c r="M58">
        <v>2474</v>
      </c>
      <c r="N58" s="6">
        <f t="shared" si="4"/>
        <v>0.49974447180402909</v>
      </c>
      <c r="T58" t="s">
        <v>44</v>
      </c>
      <c r="U58" s="1">
        <v>1678</v>
      </c>
      <c r="V58" s="1">
        <v>2766</v>
      </c>
    </row>
    <row r="59" spans="1:22" x14ac:dyDescent="0.25">
      <c r="A59" t="s">
        <v>45</v>
      </c>
      <c r="B59">
        <v>1</v>
      </c>
      <c r="C59">
        <v>11938</v>
      </c>
      <c r="D59">
        <v>1.53</v>
      </c>
      <c r="E59" s="8">
        <f t="shared" si="5"/>
        <v>1.530970148775211</v>
      </c>
      <c r="F59">
        <v>1160</v>
      </c>
      <c r="G59">
        <v>36</v>
      </c>
      <c r="H59">
        <v>12</v>
      </c>
      <c r="I59" s="5">
        <f t="shared" si="3"/>
        <v>1208</v>
      </c>
      <c r="J59" s="9">
        <f t="shared" si="6"/>
        <v>1.5448558091949613</v>
      </c>
      <c r="L59" t="s">
        <v>45</v>
      </c>
      <c r="M59">
        <v>7005</v>
      </c>
      <c r="N59" s="6">
        <f t="shared" si="4"/>
        <v>1.4150000100999287</v>
      </c>
      <c r="T59" t="s">
        <v>45</v>
      </c>
      <c r="U59" s="1">
        <v>7070</v>
      </c>
      <c r="V59" s="1">
        <v>4865</v>
      </c>
    </row>
    <row r="60" spans="1:22" x14ac:dyDescent="0.25">
      <c r="A60" t="s">
        <v>113</v>
      </c>
      <c r="C60">
        <v>5</v>
      </c>
      <c r="D60">
        <v>5.0000000000000001E-4</v>
      </c>
      <c r="E60" s="8">
        <f t="shared" si="5"/>
        <v>6.4121718410756038E-4</v>
      </c>
      <c r="F60">
        <v>1</v>
      </c>
      <c r="G60" s="5" t="s">
        <v>124</v>
      </c>
      <c r="H60" s="5" t="s">
        <v>124</v>
      </c>
      <c r="I60" s="5">
        <f t="shared" si="3"/>
        <v>1</v>
      </c>
      <c r="J60" s="9">
        <f t="shared" si="6"/>
        <v>1.2788541466845706E-3</v>
      </c>
      <c r="N60" s="6"/>
    </row>
    <row r="61" spans="1:22" x14ac:dyDescent="0.25">
      <c r="A61" t="s">
        <v>103</v>
      </c>
      <c r="B61">
        <v>1</v>
      </c>
      <c r="C61">
        <v>16489</v>
      </c>
      <c r="D61">
        <v>2.11</v>
      </c>
      <c r="E61" s="8">
        <f t="shared" si="5"/>
        <v>2.1146060297499125</v>
      </c>
      <c r="F61">
        <v>1507</v>
      </c>
      <c r="G61">
        <v>52</v>
      </c>
      <c r="H61">
        <v>6</v>
      </c>
      <c r="I61" s="5">
        <f t="shared" si="3"/>
        <v>1565</v>
      </c>
      <c r="J61" s="9">
        <f t="shared" si="6"/>
        <v>2.0014067395613528</v>
      </c>
      <c r="L61" t="s">
        <v>103</v>
      </c>
      <c r="M61">
        <v>9786</v>
      </c>
      <c r="N61" s="6">
        <f t="shared" ref="N61:N68" si="7">100*M61/ALL_LOSSES</f>
        <v>1.9767580440882087</v>
      </c>
      <c r="T61" t="s">
        <v>46</v>
      </c>
      <c r="U61" s="1">
        <v>9506</v>
      </c>
      <c r="V61" s="1">
        <v>6981</v>
      </c>
    </row>
    <row r="62" spans="1:22" x14ac:dyDescent="0.25">
      <c r="A62" t="s">
        <v>47</v>
      </c>
      <c r="B62">
        <v>1</v>
      </c>
      <c r="C62">
        <v>14988</v>
      </c>
      <c r="D62">
        <v>1.92</v>
      </c>
      <c r="E62" s="8">
        <f t="shared" si="5"/>
        <v>1.9221126310808228</v>
      </c>
      <c r="F62">
        <v>1285</v>
      </c>
      <c r="G62">
        <v>49</v>
      </c>
      <c r="H62">
        <v>9</v>
      </c>
      <c r="I62" s="5">
        <f t="shared" si="3"/>
        <v>1343</v>
      </c>
      <c r="J62" s="9">
        <f t="shared" si="6"/>
        <v>1.7175011189973783</v>
      </c>
      <c r="L62" t="s">
        <v>47</v>
      </c>
      <c r="M62">
        <v>9570</v>
      </c>
      <c r="N62" s="6">
        <f t="shared" si="7"/>
        <v>1.933126352127954</v>
      </c>
      <c r="T62" t="s">
        <v>47</v>
      </c>
      <c r="U62" s="1">
        <v>9380</v>
      </c>
      <c r="V62" s="1">
        <v>5607</v>
      </c>
    </row>
    <row r="63" spans="1:22" x14ac:dyDescent="0.25">
      <c r="A63" t="s">
        <v>114</v>
      </c>
      <c r="C63">
        <v>893</v>
      </c>
      <c r="D63">
        <v>0.1</v>
      </c>
      <c r="E63" s="8">
        <f t="shared" si="5"/>
        <v>0.11452138908161028</v>
      </c>
      <c r="F63">
        <v>60</v>
      </c>
      <c r="G63">
        <v>2</v>
      </c>
      <c r="H63" s="5" t="s">
        <v>124</v>
      </c>
      <c r="I63" s="5">
        <f t="shared" si="3"/>
        <v>62</v>
      </c>
      <c r="J63" s="9">
        <f t="shared" si="6"/>
        <v>7.9288957094443377E-2</v>
      </c>
      <c r="L63" t="s">
        <v>114</v>
      </c>
      <c r="M63">
        <v>382</v>
      </c>
      <c r="N63" s="6">
        <f t="shared" si="7"/>
        <v>7.7163455226006109E-2</v>
      </c>
    </row>
    <row r="64" spans="1:22" x14ac:dyDescent="0.25">
      <c r="A64" t="s">
        <v>115</v>
      </c>
      <c r="C64">
        <v>31</v>
      </c>
      <c r="D64">
        <v>4.0000000000000001E-3</v>
      </c>
      <c r="E64" s="8">
        <f t="shared" si="5"/>
        <v>3.9755465414668739E-3</v>
      </c>
      <c r="F64">
        <v>2</v>
      </c>
      <c r="G64" s="5" t="s">
        <v>124</v>
      </c>
      <c r="H64" s="5" t="s">
        <v>124</v>
      </c>
      <c r="I64" s="5">
        <f t="shared" si="3"/>
        <v>2</v>
      </c>
      <c r="J64" s="9">
        <f t="shared" si="6"/>
        <v>2.5577082933691412E-3</v>
      </c>
      <c r="L64" t="s">
        <v>115</v>
      </c>
      <c r="M64">
        <v>4</v>
      </c>
      <c r="N64" s="6">
        <f t="shared" si="7"/>
        <v>8.0799429556027333E-4</v>
      </c>
    </row>
    <row r="65" spans="1:22" x14ac:dyDescent="0.25">
      <c r="A65" t="s">
        <v>48</v>
      </c>
      <c r="B65">
        <v>1</v>
      </c>
      <c r="C65">
        <v>12047</v>
      </c>
      <c r="D65">
        <v>1.54</v>
      </c>
      <c r="E65" s="8">
        <f t="shared" si="5"/>
        <v>1.5449486833887558</v>
      </c>
      <c r="F65">
        <v>1069</v>
      </c>
      <c r="G65">
        <v>35</v>
      </c>
      <c r="H65">
        <v>3</v>
      </c>
      <c r="I65" s="5">
        <f t="shared" si="3"/>
        <v>1107</v>
      </c>
      <c r="J65" s="9">
        <f t="shared" si="6"/>
        <v>1.4156915403798196</v>
      </c>
      <c r="L65" t="s">
        <v>48</v>
      </c>
      <c r="M65">
        <v>8465</v>
      </c>
      <c r="N65" s="6">
        <f t="shared" si="7"/>
        <v>1.7099179279794285</v>
      </c>
      <c r="T65" t="s">
        <v>48</v>
      </c>
      <c r="U65" s="1">
        <v>6677</v>
      </c>
      <c r="V65" s="1">
        <v>5367</v>
      </c>
    </row>
    <row r="66" spans="1:22" x14ac:dyDescent="0.25">
      <c r="A66" t="s">
        <v>49</v>
      </c>
      <c r="B66">
        <v>1</v>
      </c>
      <c r="C66">
        <v>10921</v>
      </c>
      <c r="D66">
        <v>1.4</v>
      </c>
      <c r="E66" s="8">
        <f t="shared" ref="E66:E91" si="8">100* C66/VYB_TOTAL</f>
        <v>1.4005465735277334</v>
      </c>
      <c r="F66">
        <v>965</v>
      </c>
      <c r="G66">
        <v>14</v>
      </c>
      <c r="H66">
        <v>11</v>
      </c>
      <c r="I66" s="5">
        <f t="shared" si="3"/>
        <v>990</v>
      </c>
      <c r="J66" s="9">
        <f t="shared" ref="J66:J91" si="9">100*I66/ALL_DEATHS</f>
        <v>1.2660656052177248</v>
      </c>
      <c r="L66" t="s">
        <v>145</v>
      </c>
      <c r="M66">
        <v>7115</v>
      </c>
      <c r="N66" s="6">
        <f t="shared" si="7"/>
        <v>1.4372198532278362</v>
      </c>
      <c r="T66" t="s">
        <v>49</v>
      </c>
      <c r="U66" s="1">
        <v>6205</v>
      </c>
      <c r="V66" s="1">
        <v>4716</v>
      </c>
    </row>
    <row r="67" spans="1:22" x14ac:dyDescent="0.25">
      <c r="A67" t="s">
        <v>50</v>
      </c>
      <c r="B67">
        <v>1</v>
      </c>
      <c r="C67">
        <v>1916</v>
      </c>
      <c r="D67">
        <v>0.24</v>
      </c>
      <c r="E67" s="8">
        <f t="shared" si="8"/>
        <v>0.24571442495001711</v>
      </c>
      <c r="F67">
        <v>203</v>
      </c>
      <c r="G67">
        <v>13</v>
      </c>
      <c r="H67">
        <v>2</v>
      </c>
      <c r="I67" s="5">
        <f t="shared" ref="I67:I91" si="10">SUM(F67:H67)</f>
        <v>218</v>
      </c>
      <c r="J67" s="9">
        <f t="shared" si="9"/>
        <v>0.27879020397723642</v>
      </c>
      <c r="L67" t="s">
        <v>50</v>
      </c>
      <c r="M67">
        <v>823</v>
      </c>
      <c r="N67" s="6">
        <f t="shared" si="7"/>
        <v>0.16624482631152623</v>
      </c>
      <c r="T67" t="s">
        <v>50</v>
      </c>
      <c r="U67" s="1">
        <v>1284</v>
      </c>
      <c r="V67" s="1">
        <v>632</v>
      </c>
    </row>
    <row r="68" spans="1:22" x14ac:dyDescent="0.25">
      <c r="A68" t="s">
        <v>51</v>
      </c>
      <c r="C68">
        <v>3023</v>
      </c>
      <c r="D68">
        <v>0.38</v>
      </c>
      <c r="E68" s="8">
        <f t="shared" si="8"/>
        <v>0.387679909511431</v>
      </c>
      <c r="F68">
        <v>223</v>
      </c>
      <c r="G68">
        <v>5</v>
      </c>
      <c r="H68">
        <v>2</v>
      </c>
      <c r="I68" s="5">
        <f t="shared" si="10"/>
        <v>230</v>
      </c>
      <c r="J68" s="9">
        <f t="shared" si="9"/>
        <v>0.29413645373745123</v>
      </c>
      <c r="L68" t="s">
        <v>51</v>
      </c>
      <c r="M68">
        <v>1610</v>
      </c>
      <c r="N68" s="6">
        <f t="shared" si="7"/>
        <v>0.32521770396301003</v>
      </c>
      <c r="T68" t="s">
        <v>51</v>
      </c>
      <c r="U68" s="1">
        <v>1297</v>
      </c>
      <c r="V68" s="1">
        <v>1726</v>
      </c>
    </row>
    <row r="69" spans="1:22" x14ac:dyDescent="0.25">
      <c r="A69" t="s">
        <v>117</v>
      </c>
      <c r="C69">
        <v>153</v>
      </c>
      <c r="D69">
        <v>0.01</v>
      </c>
      <c r="E69" s="8">
        <f t="shared" si="8"/>
        <v>1.9621245833691348E-2</v>
      </c>
      <c r="F69">
        <v>19</v>
      </c>
      <c r="G69" s="5" t="s">
        <v>124</v>
      </c>
      <c r="H69" s="5" t="s">
        <v>124</v>
      </c>
      <c r="I69" s="5">
        <f t="shared" si="10"/>
        <v>19</v>
      </c>
      <c r="J69" s="9">
        <f t="shared" si="9"/>
        <v>2.4298228787006843E-2</v>
      </c>
      <c r="N69" s="6"/>
    </row>
    <row r="70" spans="1:22" x14ac:dyDescent="0.25">
      <c r="A70" t="s">
        <v>125</v>
      </c>
      <c r="C70">
        <v>59</v>
      </c>
      <c r="D70">
        <v>0.01</v>
      </c>
      <c r="E70" s="8">
        <f t="shared" si="8"/>
        <v>7.5663627724692119E-3</v>
      </c>
      <c r="F70">
        <v>25</v>
      </c>
      <c r="G70" s="5" t="s">
        <v>124</v>
      </c>
      <c r="H70" s="5" t="s">
        <v>124</v>
      </c>
      <c r="I70" s="5">
        <f t="shared" si="10"/>
        <v>25</v>
      </c>
      <c r="J70" s="9">
        <f t="shared" si="9"/>
        <v>3.1971353667114268E-2</v>
      </c>
      <c r="N70" s="6"/>
    </row>
    <row r="71" spans="1:22" x14ac:dyDescent="0.25">
      <c r="A71" t="s">
        <v>52</v>
      </c>
      <c r="C71">
        <v>13027</v>
      </c>
      <c r="D71">
        <v>1.66</v>
      </c>
      <c r="E71" s="8">
        <f t="shared" si="8"/>
        <v>1.6706272514738376</v>
      </c>
      <c r="F71">
        <v>1318</v>
      </c>
      <c r="G71">
        <v>40</v>
      </c>
      <c r="H71">
        <v>5</v>
      </c>
      <c r="I71" s="5">
        <f t="shared" si="10"/>
        <v>1363</v>
      </c>
      <c r="J71" s="9">
        <f t="shared" si="9"/>
        <v>1.7430782019310698</v>
      </c>
      <c r="L71" t="s">
        <v>52</v>
      </c>
      <c r="M71">
        <v>9477</v>
      </c>
      <c r="N71" s="6">
        <f t="shared" ref="N71:N81" si="11">100*M71/ALL_LOSSES</f>
        <v>1.9143404847561776</v>
      </c>
      <c r="T71" t="s">
        <v>52</v>
      </c>
      <c r="U71" s="1">
        <v>8036</v>
      </c>
      <c r="V71" s="1">
        <v>4942</v>
      </c>
    </row>
    <row r="72" spans="1:22" x14ac:dyDescent="0.25">
      <c r="A72" t="s">
        <v>53</v>
      </c>
      <c r="B72">
        <v>1</v>
      </c>
      <c r="C72">
        <v>19779</v>
      </c>
      <c r="D72">
        <v>2.41</v>
      </c>
      <c r="E72" s="8">
        <f t="shared" si="8"/>
        <v>2.5365269368926873</v>
      </c>
      <c r="F72">
        <v>1860</v>
      </c>
      <c r="G72">
        <v>56</v>
      </c>
      <c r="H72">
        <v>19</v>
      </c>
      <c r="I72" s="5">
        <f t="shared" si="10"/>
        <v>1935</v>
      </c>
      <c r="J72" s="9">
        <f t="shared" si="9"/>
        <v>2.4745827738346442</v>
      </c>
      <c r="L72" t="s">
        <v>53</v>
      </c>
      <c r="M72">
        <v>15002</v>
      </c>
      <c r="N72" s="6">
        <f t="shared" si="11"/>
        <v>3.0303826054988052</v>
      </c>
      <c r="T72" t="s">
        <v>53</v>
      </c>
      <c r="U72" s="1">
        <v>12335</v>
      </c>
      <c r="V72" s="1">
        <v>7443</v>
      </c>
    </row>
    <row r="73" spans="1:22" x14ac:dyDescent="0.25">
      <c r="A73" t="s">
        <v>104</v>
      </c>
      <c r="B73">
        <v>1</v>
      </c>
      <c r="C73">
        <v>15905</v>
      </c>
      <c r="D73">
        <v>2.0299999999999998</v>
      </c>
      <c r="E73" s="8">
        <f t="shared" si="8"/>
        <v>2.0397118626461492</v>
      </c>
      <c r="F73">
        <v>1486</v>
      </c>
      <c r="G73">
        <v>43</v>
      </c>
      <c r="H73">
        <v>12</v>
      </c>
      <c r="I73" s="5">
        <f t="shared" si="10"/>
        <v>1541</v>
      </c>
      <c r="J73" s="9">
        <f t="shared" si="9"/>
        <v>1.9707142400409234</v>
      </c>
      <c r="L73" t="s">
        <v>104</v>
      </c>
      <c r="M73">
        <v>10014</v>
      </c>
      <c r="N73" s="6">
        <f t="shared" si="11"/>
        <v>2.0228137189351445</v>
      </c>
      <c r="T73" t="s">
        <v>54</v>
      </c>
      <c r="U73" s="1">
        <v>9205</v>
      </c>
      <c r="V73" s="1">
        <v>6684</v>
      </c>
    </row>
    <row r="74" spans="1:22" x14ac:dyDescent="0.25">
      <c r="A74" t="s">
        <v>105</v>
      </c>
      <c r="B74">
        <v>1</v>
      </c>
      <c r="C74">
        <v>731</v>
      </c>
      <c r="D74">
        <v>0.08</v>
      </c>
      <c r="E74" s="8">
        <f t="shared" si="8"/>
        <v>9.3745952316525327E-2</v>
      </c>
      <c r="F74">
        <v>101</v>
      </c>
      <c r="G74">
        <v>13</v>
      </c>
      <c r="H74" s="5" t="s">
        <v>124</v>
      </c>
      <c r="I74" s="5">
        <f t="shared" si="10"/>
        <v>114</v>
      </c>
      <c r="J74" s="9">
        <f t="shared" si="9"/>
        <v>0.14578937272204104</v>
      </c>
      <c r="L74" t="s">
        <v>105</v>
      </c>
      <c r="M74">
        <v>201</v>
      </c>
      <c r="N74" s="6">
        <f t="shared" si="11"/>
        <v>4.0601713351903733E-2</v>
      </c>
    </row>
    <row r="75" spans="1:22" x14ac:dyDescent="0.25">
      <c r="A75" t="s">
        <v>55</v>
      </c>
      <c r="C75">
        <v>4677</v>
      </c>
      <c r="D75">
        <v>0.56999999999999995</v>
      </c>
      <c r="E75" s="8">
        <f t="shared" si="8"/>
        <v>0.59979455401421189</v>
      </c>
      <c r="F75">
        <v>384</v>
      </c>
      <c r="G75">
        <v>16</v>
      </c>
      <c r="H75">
        <v>6</v>
      </c>
      <c r="I75" s="5">
        <f t="shared" si="10"/>
        <v>406</v>
      </c>
      <c r="J75" s="9">
        <f t="shared" si="9"/>
        <v>0.51921478355393569</v>
      </c>
      <c r="L75" t="s">
        <v>55</v>
      </c>
      <c r="M75">
        <v>2100</v>
      </c>
      <c r="N75" s="6">
        <f t="shared" si="11"/>
        <v>0.42419700516914349</v>
      </c>
      <c r="T75" t="s">
        <v>55</v>
      </c>
      <c r="U75" s="1">
        <v>2907</v>
      </c>
      <c r="V75" s="1">
        <v>1769</v>
      </c>
    </row>
    <row r="76" spans="1:22" x14ac:dyDescent="0.25">
      <c r="A76" t="s">
        <v>106</v>
      </c>
      <c r="B76">
        <v>1</v>
      </c>
      <c r="C76">
        <v>8943</v>
      </c>
      <c r="D76">
        <v>1.1399999999999999</v>
      </c>
      <c r="E76" s="8">
        <f t="shared" si="8"/>
        <v>1.1468810554947824</v>
      </c>
      <c r="F76">
        <v>733</v>
      </c>
      <c r="G76">
        <v>33</v>
      </c>
      <c r="H76">
        <v>10</v>
      </c>
      <c r="I76" s="5">
        <f t="shared" si="10"/>
        <v>776</v>
      </c>
      <c r="J76" s="9">
        <f t="shared" si="9"/>
        <v>0.99239081782722682</v>
      </c>
      <c r="L76" t="s">
        <v>56</v>
      </c>
      <c r="M76">
        <v>5681</v>
      </c>
      <c r="N76" s="6">
        <f t="shared" si="11"/>
        <v>1.1475538982694782</v>
      </c>
      <c r="T76" t="s">
        <v>56</v>
      </c>
      <c r="U76" s="1">
        <v>5219</v>
      </c>
      <c r="V76" s="1">
        <v>3721</v>
      </c>
    </row>
    <row r="77" spans="1:22" x14ac:dyDescent="0.25">
      <c r="A77" t="s">
        <v>107</v>
      </c>
      <c r="B77">
        <v>1</v>
      </c>
      <c r="C77">
        <v>14583</v>
      </c>
      <c r="D77">
        <v>1.7</v>
      </c>
      <c r="E77" s="8">
        <f t="shared" si="8"/>
        <v>1.8701740391681105</v>
      </c>
      <c r="F77">
        <v>1394</v>
      </c>
      <c r="G77">
        <v>53</v>
      </c>
      <c r="H77">
        <v>9</v>
      </c>
      <c r="I77" s="5">
        <f t="shared" si="10"/>
        <v>1456</v>
      </c>
      <c r="J77" s="9">
        <f t="shared" si="9"/>
        <v>1.8620116375727349</v>
      </c>
      <c r="L77" t="s">
        <v>107</v>
      </c>
      <c r="M77">
        <v>9915</v>
      </c>
      <c r="N77" s="6">
        <f t="shared" si="11"/>
        <v>2.0028158601200277</v>
      </c>
      <c r="T77" t="s">
        <v>57</v>
      </c>
      <c r="U77" s="1">
        <v>8123</v>
      </c>
      <c r="V77" s="1">
        <v>6456</v>
      </c>
    </row>
    <row r="78" spans="1:22" x14ac:dyDescent="0.25">
      <c r="A78" t="s">
        <v>108</v>
      </c>
      <c r="B78">
        <v>1</v>
      </c>
      <c r="C78">
        <v>8348</v>
      </c>
      <c r="D78">
        <v>1.06</v>
      </c>
      <c r="E78" s="8">
        <f t="shared" si="8"/>
        <v>1.0705762105859828</v>
      </c>
      <c r="F78">
        <v>775</v>
      </c>
      <c r="G78">
        <v>27</v>
      </c>
      <c r="H78">
        <v>5</v>
      </c>
      <c r="I78" s="5">
        <f t="shared" si="10"/>
        <v>807</v>
      </c>
      <c r="J78" s="9">
        <f t="shared" si="9"/>
        <v>1.0320352963744486</v>
      </c>
      <c r="L78" t="s">
        <v>108</v>
      </c>
      <c r="M78">
        <v>6457</v>
      </c>
      <c r="N78" s="6">
        <f t="shared" si="11"/>
        <v>1.3043047916081711</v>
      </c>
      <c r="T78" t="s">
        <v>58</v>
      </c>
      <c r="U78" s="1">
        <v>4733</v>
      </c>
      <c r="V78" s="1">
        <v>3613</v>
      </c>
    </row>
    <row r="79" spans="1:22" x14ac:dyDescent="0.25">
      <c r="A79" t="s">
        <v>59</v>
      </c>
      <c r="B79">
        <v>0.01</v>
      </c>
      <c r="C79">
        <v>1081</v>
      </c>
      <c r="D79">
        <v>0.15</v>
      </c>
      <c r="E79" s="8">
        <f t="shared" si="8"/>
        <v>0.13863115520405456</v>
      </c>
      <c r="F79">
        <v>99</v>
      </c>
      <c r="G79">
        <v>5</v>
      </c>
      <c r="H79" s="5" t="s">
        <v>124</v>
      </c>
      <c r="I79" s="5">
        <f t="shared" si="10"/>
        <v>104</v>
      </c>
      <c r="J79" s="9">
        <f t="shared" si="9"/>
        <v>0.13300083125519535</v>
      </c>
      <c r="L79" t="s">
        <v>59</v>
      </c>
      <c r="M79">
        <v>540</v>
      </c>
      <c r="N79" s="6">
        <f t="shared" si="11"/>
        <v>0.1090792299006369</v>
      </c>
      <c r="T79" t="s">
        <v>59</v>
      </c>
      <c r="U79" s="1">
        <v>800</v>
      </c>
      <c r="V79" s="1">
        <v>280</v>
      </c>
    </row>
    <row r="80" spans="1:22" x14ac:dyDescent="0.25">
      <c r="A80" t="s">
        <v>109</v>
      </c>
      <c r="C80">
        <v>331</v>
      </c>
      <c r="D80">
        <v>0.04</v>
      </c>
      <c r="E80" s="8">
        <f t="shared" si="8"/>
        <v>4.2448577587920491E-2</v>
      </c>
      <c r="F80">
        <v>38</v>
      </c>
      <c r="G80">
        <v>3</v>
      </c>
      <c r="H80">
        <v>1</v>
      </c>
      <c r="I80" s="5">
        <f t="shared" si="10"/>
        <v>42</v>
      </c>
      <c r="J80" s="9">
        <f t="shared" si="9"/>
        <v>5.3711874160751967E-2</v>
      </c>
      <c r="L80" t="s">
        <v>109</v>
      </c>
      <c r="M80">
        <v>130</v>
      </c>
      <c r="N80" s="6">
        <f t="shared" si="11"/>
        <v>2.6259814605708885E-2</v>
      </c>
    </row>
    <row r="81" spans="1:22" x14ac:dyDescent="0.25">
      <c r="A81" t="s">
        <v>60</v>
      </c>
      <c r="B81">
        <v>1</v>
      </c>
      <c r="C81">
        <v>17788</v>
      </c>
      <c r="D81">
        <v>2.27</v>
      </c>
      <c r="E81" s="8">
        <f t="shared" si="8"/>
        <v>2.2811942541810568</v>
      </c>
      <c r="F81">
        <v>1363</v>
      </c>
      <c r="G81">
        <v>21</v>
      </c>
      <c r="H81">
        <v>17</v>
      </c>
      <c r="I81" s="5">
        <f t="shared" si="10"/>
        <v>1401</v>
      </c>
      <c r="J81" s="9">
        <f t="shared" si="9"/>
        <v>1.7916746595050834</v>
      </c>
      <c r="L81" t="s">
        <v>60</v>
      </c>
      <c r="M81">
        <v>10697</v>
      </c>
      <c r="N81" s="6">
        <f t="shared" si="11"/>
        <v>2.160778744902061</v>
      </c>
      <c r="T81" t="s">
        <v>60</v>
      </c>
      <c r="U81" s="1">
        <v>9954</v>
      </c>
      <c r="V81" s="1">
        <v>7833</v>
      </c>
    </row>
    <row r="82" spans="1:22" x14ac:dyDescent="0.25">
      <c r="A82" t="s">
        <v>110</v>
      </c>
      <c r="C82">
        <v>4</v>
      </c>
      <c r="D82">
        <v>4.0000000000000002E-4</v>
      </c>
      <c r="E82" s="8">
        <f t="shared" si="8"/>
        <v>5.1297374728604826E-4</v>
      </c>
      <c r="F82">
        <v>3</v>
      </c>
      <c r="G82" s="5" t="s">
        <v>124</v>
      </c>
      <c r="H82" s="5" t="s">
        <v>124</v>
      </c>
      <c r="I82" s="5">
        <f t="shared" si="10"/>
        <v>3</v>
      </c>
      <c r="J82" s="9">
        <f t="shared" si="9"/>
        <v>3.8365624400537117E-3</v>
      </c>
      <c r="N82" s="6"/>
    </row>
    <row r="83" spans="1:22" x14ac:dyDescent="0.25">
      <c r="A83" t="s">
        <v>61</v>
      </c>
      <c r="C83">
        <v>21506</v>
      </c>
      <c r="D83">
        <v>2.65</v>
      </c>
      <c r="E83" s="8">
        <f t="shared" si="8"/>
        <v>2.7580033522834384</v>
      </c>
      <c r="F83">
        <v>2390</v>
      </c>
      <c r="G83">
        <v>69</v>
      </c>
      <c r="H83">
        <v>9</v>
      </c>
      <c r="I83" s="5">
        <f t="shared" si="10"/>
        <v>2468</v>
      </c>
      <c r="J83" s="9">
        <f t="shared" si="9"/>
        <v>3.1562120340175204</v>
      </c>
      <c r="L83" t="s">
        <v>61</v>
      </c>
      <c r="M83">
        <v>14586</v>
      </c>
      <c r="N83" s="6">
        <f t="shared" ref="N83:N91" si="12">100*M83/ALL_LOSSES</f>
        <v>2.9463511987605369</v>
      </c>
      <c r="T83" t="s">
        <v>61</v>
      </c>
      <c r="U83" s="1">
        <v>14394</v>
      </c>
      <c r="V83" s="1">
        <v>7111</v>
      </c>
    </row>
    <row r="84" spans="1:22" x14ac:dyDescent="0.25">
      <c r="A84" t="s">
        <v>62</v>
      </c>
      <c r="C84">
        <v>28974</v>
      </c>
      <c r="D84">
        <v>3.61</v>
      </c>
      <c r="E84" s="8">
        <f t="shared" si="8"/>
        <v>3.7157253384664908</v>
      </c>
      <c r="F84">
        <v>3046</v>
      </c>
      <c r="G84">
        <v>76</v>
      </c>
      <c r="H84">
        <v>13</v>
      </c>
      <c r="I84" s="5">
        <f t="shared" si="10"/>
        <v>3135</v>
      </c>
      <c r="J84" s="9">
        <f t="shared" si="9"/>
        <v>4.0092077498561292</v>
      </c>
      <c r="L84" t="s">
        <v>144</v>
      </c>
      <c r="M84">
        <v>20998</v>
      </c>
      <c r="N84" s="6">
        <f t="shared" si="12"/>
        <v>4.2415660545436547</v>
      </c>
      <c r="T84" t="s">
        <v>62</v>
      </c>
      <c r="U84" s="1">
        <v>19507</v>
      </c>
      <c r="V84" s="1">
        <v>9466</v>
      </c>
    </row>
    <row r="85" spans="1:22" x14ac:dyDescent="0.25">
      <c r="A85" t="s">
        <v>63</v>
      </c>
      <c r="C85">
        <v>5881</v>
      </c>
      <c r="D85">
        <v>0.65</v>
      </c>
      <c r="E85" s="8">
        <f t="shared" si="8"/>
        <v>0.75419965194731242</v>
      </c>
      <c r="F85">
        <v>455</v>
      </c>
      <c r="G85">
        <v>9</v>
      </c>
      <c r="H85">
        <v>1</v>
      </c>
      <c r="I85" s="5">
        <f t="shared" si="10"/>
        <v>465</v>
      </c>
      <c r="J85" s="9">
        <f t="shared" si="9"/>
        <v>0.59466717820832538</v>
      </c>
      <c r="L85" t="s">
        <v>63</v>
      </c>
      <c r="M85">
        <v>3315</v>
      </c>
      <c r="N85" s="6">
        <f t="shared" si="12"/>
        <v>0.66962527244557657</v>
      </c>
      <c r="T85" t="s">
        <v>63</v>
      </c>
      <c r="U85" s="1">
        <v>2706</v>
      </c>
      <c r="V85" s="1">
        <v>3175</v>
      </c>
    </row>
    <row r="86" spans="1:22" x14ac:dyDescent="0.25">
      <c r="A86" t="s">
        <v>64</v>
      </c>
      <c r="C86">
        <v>14326</v>
      </c>
      <c r="D86">
        <v>1.76</v>
      </c>
      <c r="E86" s="8">
        <f t="shared" si="8"/>
        <v>1.8372154759049819</v>
      </c>
      <c r="F86">
        <v>1424</v>
      </c>
      <c r="G86">
        <v>51</v>
      </c>
      <c r="H86">
        <v>14</v>
      </c>
      <c r="I86" s="5">
        <f t="shared" si="10"/>
        <v>1489</v>
      </c>
      <c r="J86" s="9">
        <f t="shared" si="9"/>
        <v>1.9042138244133258</v>
      </c>
      <c r="L86" t="s">
        <v>64</v>
      </c>
      <c r="M86">
        <v>8457</v>
      </c>
      <c r="N86" s="6">
        <f t="shared" si="12"/>
        <v>1.7083019393883079</v>
      </c>
      <c r="T86" t="s">
        <v>64</v>
      </c>
      <c r="U86" s="1">
        <v>8459</v>
      </c>
      <c r="V86" s="1">
        <v>5866</v>
      </c>
    </row>
    <row r="87" spans="1:22" x14ac:dyDescent="0.25">
      <c r="A87" t="s">
        <v>111</v>
      </c>
      <c r="B87">
        <v>1</v>
      </c>
      <c r="C87">
        <v>77</v>
      </c>
      <c r="D87">
        <v>0.01</v>
      </c>
      <c r="E87" s="8">
        <f t="shared" si="8"/>
        <v>9.8747446352564286E-3</v>
      </c>
      <c r="F87">
        <v>8</v>
      </c>
      <c r="G87">
        <v>2</v>
      </c>
      <c r="H87" s="5" t="s">
        <v>124</v>
      </c>
      <c r="I87" s="5">
        <f t="shared" si="10"/>
        <v>10</v>
      </c>
      <c r="J87" s="9">
        <f t="shared" si="9"/>
        <v>1.2788541466845707E-2</v>
      </c>
      <c r="L87" t="s">
        <v>111</v>
      </c>
      <c r="M87">
        <v>32</v>
      </c>
      <c r="N87" s="6">
        <f t="shared" si="12"/>
        <v>6.4639543644821867E-3</v>
      </c>
    </row>
    <row r="88" spans="1:22" x14ac:dyDescent="0.25">
      <c r="A88" t="s">
        <v>65</v>
      </c>
      <c r="C88">
        <v>2135</v>
      </c>
      <c r="D88">
        <v>0.26</v>
      </c>
      <c r="E88" s="8">
        <f t="shared" si="8"/>
        <v>0.27379973761392828</v>
      </c>
      <c r="F88">
        <v>143</v>
      </c>
      <c r="G88">
        <v>3</v>
      </c>
      <c r="H88">
        <v>3</v>
      </c>
      <c r="I88" s="5">
        <f t="shared" si="10"/>
        <v>149</v>
      </c>
      <c r="J88" s="9">
        <f t="shared" si="9"/>
        <v>0.19054926785600101</v>
      </c>
      <c r="L88" t="s">
        <v>65</v>
      </c>
      <c r="M88">
        <v>1100</v>
      </c>
      <c r="N88" s="6">
        <f t="shared" si="12"/>
        <v>0.22219843127907518</v>
      </c>
      <c r="T88" t="s">
        <v>65</v>
      </c>
      <c r="U88" s="1">
        <v>1174</v>
      </c>
      <c r="V88" s="1">
        <v>957</v>
      </c>
    </row>
    <row r="89" spans="1:22" x14ac:dyDescent="0.25">
      <c r="A89" t="s">
        <v>66</v>
      </c>
      <c r="C89">
        <v>2057</v>
      </c>
      <c r="D89">
        <v>0.26</v>
      </c>
      <c r="E89" s="8">
        <f t="shared" si="8"/>
        <v>0.26379674954185034</v>
      </c>
      <c r="F89">
        <v>214</v>
      </c>
      <c r="G89">
        <v>7</v>
      </c>
      <c r="H89">
        <v>5</v>
      </c>
      <c r="I89" s="5">
        <f t="shared" si="10"/>
        <v>226</v>
      </c>
      <c r="J89" s="9">
        <f t="shared" si="9"/>
        <v>0.28902103715071298</v>
      </c>
      <c r="L89" t="s">
        <v>66</v>
      </c>
      <c r="M89">
        <v>1054</v>
      </c>
      <c r="N89" s="6">
        <f t="shared" si="12"/>
        <v>0.21290649688013202</v>
      </c>
      <c r="T89" t="s">
        <v>66</v>
      </c>
      <c r="U89" s="1">
        <v>1413</v>
      </c>
      <c r="V89" s="1">
        <v>641</v>
      </c>
    </row>
    <row r="90" spans="1:22" x14ac:dyDescent="0.25">
      <c r="A90" t="s">
        <v>112</v>
      </c>
      <c r="B90">
        <v>1</v>
      </c>
      <c r="C90">
        <v>23</v>
      </c>
      <c r="D90">
        <v>3.0000000000000001E-3</v>
      </c>
      <c r="E90" s="8">
        <f t="shared" si="8"/>
        <v>2.9495990468947774E-3</v>
      </c>
      <c r="F90">
        <v>1</v>
      </c>
      <c r="G90" s="5" t="s">
        <v>124</v>
      </c>
      <c r="H90" s="5" t="s">
        <v>124</v>
      </c>
      <c r="I90" s="5">
        <f t="shared" si="10"/>
        <v>1</v>
      </c>
      <c r="J90" s="9">
        <f t="shared" si="9"/>
        <v>1.2788541466845706E-3</v>
      </c>
      <c r="L90" t="s">
        <v>112</v>
      </c>
      <c r="M90">
        <v>6</v>
      </c>
      <c r="N90" s="6">
        <f t="shared" si="12"/>
        <v>1.2119914433404101E-3</v>
      </c>
    </row>
    <row r="91" spans="1:22" x14ac:dyDescent="0.25">
      <c r="A91" t="s">
        <v>67</v>
      </c>
      <c r="B91">
        <v>1</v>
      </c>
      <c r="C91">
        <v>8289</v>
      </c>
      <c r="D91">
        <v>1.05</v>
      </c>
      <c r="E91" s="8">
        <f t="shared" si="8"/>
        <v>1.0630098478135135</v>
      </c>
      <c r="F91">
        <v>954</v>
      </c>
      <c r="G91">
        <v>38</v>
      </c>
      <c r="H91">
        <v>4</v>
      </c>
      <c r="I91" s="5">
        <f t="shared" si="10"/>
        <v>996</v>
      </c>
      <c r="J91" s="9">
        <f t="shared" si="9"/>
        <v>1.2737387300978325</v>
      </c>
      <c r="L91" t="s">
        <v>67</v>
      </c>
      <c r="M91">
        <v>5309</v>
      </c>
      <c r="N91" s="6">
        <f t="shared" si="12"/>
        <v>1.0724104287823728</v>
      </c>
      <c r="T91" t="s">
        <v>67</v>
      </c>
      <c r="U91" s="1">
        <v>5688</v>
      </c>
      <c r="V91" s="1">
        <v>2597</v>
      </c>
    </row>
    <row r="92" spans="1:22" x14ac:dyDescent="0.25">
      <c r="J92" s="6"/>
    </row>
    <row r="93" spans="1:22" x14ac:dyDescent="0.25">
      <c r="A93" s="2" t="s">
        <v>118</v>
      </c>
      <c r="B93" s="2"/>
      <c r="C93" t="s">
        <v>119</v>
      </c>
      <c r="J93" s="6"/>
    </row>
    <row r="94" spans="1:22" x14ac:dyDescent="0.25">
      <c r="J94" s="6"/>
    </row>
    <row r="95" spans="1:22" x14ac:dyDescent="0.25">
      <c r="A95" t="s">
        <v>74</v>
      </c>
      <c r="C95">
        <v>779767</v>
      </c>
      <c r="D95">
        <v>100</v>
      </c>
      <c r="F95">
        <v>75083</v>
      </c>
      <c r="G95">
        <v>2516</v>
      </c>
      <c r="H95">
        <v>596</v>
      </c>
      <c r="I95">
        <f>SUM(I2:I91)</f>
        <v>78195</v>
      </c>
      <c r="J95" s="6">
        <f>SUM(J2:J91)</f>
        <v>100</v>
      </c>
      <c r="M95">
        <v>495053</v>
      </c>
      <c r="N95">
        <v>100</v>
      </c>
      <c r="U95">
        <v>458122</v>
      </c>
      <c r="V95">
        <v>315961</v>
      </c>
    </row>
    <row r="96" spans="1:22" x14ac:dyDescent="0.25">
      <c r="A96" t="s">
        <v>127</v>
      </c>
      <c r="C96">
        <f>SUM(C2:C91) - C95</f>
        <v>-36</v>
      </c>
      <c r="D96">
        <f>SUM(D2:D91) - D95</f>
        <v>-0.99479999999995528</v>
      </c>
      <c r="F96">
        <f>SUM(F2:F91) - F95</f>
        <v>0</v>
      </c>
      <c r="G96">
        <f>SUM(G2:G91) - G95</f>
        <v>0</v>
      </c>
      <c r="H96">
        <f>SUM(H2:H91) - H95</f>
        <v>0</v>
      </c>
      <c r="M96" s="1">
        <f>SUM(M2:M91)-ALL_LOSSES</f>
        <v>-10</v>
      </c>
      <c r="N96" s="1">
        <f>SUM(N2:N91)-N95</f>
        <v>-2.0199857389116005E-3</v>
      </c>
      <c r="U96" s="1">
        <f>SUM(U2:U91)-U95</f>
        <v>0</v>
      </c>
      <c r="V96" s="1">
        <f>SUM(V2:V91)-V95</f>
        <v>0</v>
      </c>
    </row>
    <row r="98" spans="1:10" x14ac:dyDescent="0.25">
      <c r="A98" t="s">
        <v>126</v>
      </c>
      <c r="C98">
        <v>62</v>
      </c>
      <c r="J98" s="2" t="s">
        <v>149</v>
      </c>
    </row>
    <row r="99" spans="1:10" x14ac:dyDescent="0.25">
      <c r="J99" s="10">
        <f>SUMPRODUCT(B2:B91,J2:J91)</f>
        <v>55.755726069441792</v>
      </c>
    </row>
    <row r="101" spans="1:10" x14ac:dyDescent="0.25">
      <c r="J101" s="2" t="s">
        <v>154</v>
      </c>
    </row>
    <row r="102" spans="1:10" x14ac:dyDescent="0.25">
      <c r="J102" s="10">
        <f>SUMPRODUCT(B2:B91,E2:E91)</f>
        <v>55.712996318130919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Notes</vt:lpstr>
      <vt:lpstr>Data</vt:lpstr>
      <vt:lpstr>ALL_DEATHS</vt:lpstr>
      <vt:lpstr>ALL_LOSSES</vt:lpstr>
      <vt:lpstr>VYB_TOTAL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2026-05-01T13:57:47Z</dcterms:created>
  <dcterms:modified xsi:type="dcterms:W3CDTF">2026-05-01T17:22:09Z</dcterms:modified>
</cp:coreProperties>
</file>