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ADABBDF4-79E4-4BD0-86D1-92ECE85C572A}" xr6:coauthVersionLast="45" xr6:coauthVersionMax="47" xr10:uidLastSave="{00000000-0000-0000-0000-000000000000}"/>
  <bookViews>
    <workbookView xWindow="165" yWindow="1530" windowWidth="29775" windowHeight="21255" activeTab="3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2" i="8" l="1"/>
  <c r="B43" i="4"/>
  <c r="B42" i="4"/>
  <c r="B41" i="4"/>
  <c r="B40" i="4"/>
  <c r="B34" i="8"/>
  <c r="B33" i="8"/>
  <c r="B32" i="8"/>
  <c r="E108" i="5"/>
  <c r="E107" i="5"/>
  <c r="E106" i="5"/>
  <c r="A73" i="5"/>
  <c r="A72" i="5" s="1"/>
  <c r="A71" i="5" s="1"/>
  <c r="A70" i="5" s="1"/>
  <c r="A69" i="5" s="1"/>
  <c r="A68" i="5" s="1"/>
  <c r="A67" i="5" s="1"/>
  <c r="A66" i="5" s="1"/>
  <c r="A65" i="5" s="1"/>
  <c r="A64" i="5" s="1"/>
  <c r="A63" i="5" s="1"/>
  <c r="A62" i="5" s="1"/>
  <c r="A61" i="5" s="1"/>
  <c r="A60" i="5" s="1"/>
  <c r="A74" i="5"/>
  <c r="T5" i="8"/>
  <c r="T4" i="8"/>
  <c r="N16" i="8"/>
  <c r="M16" i="8"/>
  <c r="T16" i="8" s="1"/>
  <c r="L16" i="8"/>
  <c r="K16" i="8"/>
  <c r="J16" i="8"/>
  <c r="I16" i="8"/>
  <c r="H16" i="8"/>
  <c r="G16" i="8"/>
  <c r="F16" i="8"/>
  <c r="E16" i="8"/>
  <c r="D16" i="8"/>
  <c r="C16" i="8"/>
  <c r="N15" i="8"/>
  <c r="M15" i="8"/>
  <c r="T15" i="8" s="1"/>
  <c r="L15" i="8"/>
  <c r="K15" i="8"/>
  <c r="J15" i="8"/>
  <c r="I15" i="8"/>
  <c r="H15" i="8"/>
  <c r="G15" i="8"/>
  <c r="F15" i="8"/>
  <c r="E15" i="8"/>
  <c r="D15" i="8"/>
  <c r="C15" i="8"/>
  <c r="N14" i="8"/>
  <c r="M14" i="8"/>
  <c r="T14" i="8" s="1"/>
  <c r="L14" i="8"/>
  <c r="K14" i="8"/>
  <c r="J14" i="8"/>
  <c r="I14" i="8"/>
  <c r="H14" i="8"/>
  <c r="G14" i="8"/>
  <c r="F14" i="8"/>
  <c r="E14" i="8"/>
  <c r="D14" i="8"/>
  <c r="C14" i="8"/>
  <c r="N13" i="8"/>
  <c r="M13" i="8"/>
  <c r="T13" i="8" s="1"/>
  <c r="L13" i="8"/>
  <c r="K13" i="8"/>
  <c r="J13" i="8"/>
  <c r="I13" i="8"/>
  <c r="H13" i="8"/>
  <c r="G13" i="8"/>
  <c r="F13" i="8"/>
  <c r="E13" i="8"/>
  <c r="D13" i="8"/>
  <c r="C13" i="8"/>
  <c r="N12" i="8"/>
  <c r="M12" i="8"/>
  <c r="T12" i="8" s="1"/>
  <c r="L12" i="8"/>
  <c r="K12" i="8"/>
  <c r="J12" i="8"/>
  <c r="I12" i="8"/>
  <c r="H12" i="8"/>
  <c r="G12" i="8"/>
  <c r="F12" i="8"/>
  <c r="E12" i="8"/>
  <c r="D12" i="8"/>
  <c r="C12" i="8"/>
  <c r="N11" i="8"/>
  <c r="M11" i="8"/>
  <c r="T11" i="8" s="1"/>
  <c r="L11" i="8"/>
  <c r="K11" i="8"/>
  <c r="J11" i="8"/>
  <c r="I11" i="8"/>
  <c r="H11" i="8"/>
  <c r="G11" i="8"/>
  <c r="F11" i="8"/>
  <c r="E11" i="8"/>
  <c r="D11" i="8"/>
  <c r="C11" i="8"/>
  <c r="N10" i="8"/>
  <c r="M10" i="8"/>
  <c r="T10" i="8" s="1"/>
  <c r="L10" i="8"/>
  <c r="K10" i="8"/>
  <c r="J10" i="8"/>
  <c r="I10" i="8"/>
  <c r="H10" i="8"/>
  <c r="G10" i="8"/>
  <c r="F10" i="8"/>
  <c r="E10" i="8"/>
  <c r="D10" i="8"/>
  <c r="C10" i="8"/>
  <c r="N9" i="8"/>
  <c r="M9" i="8"/>
  <c r="T9" i="8" s="1"/>
  <c r="L9" i="8"/>
  <c r="K9" i="8"/>
  <c r="J9" i="8"/>
  <c r="I9" i="8"/>
  <c r="H9" i="8"/>
  <c r="G9" i="8"/>
  <c r="F9" i="8"/>
  <c r="E9" i="8"/>
  <c r="D9" i="8"/>
  <c r="C9" i="8"/>
  <c r="N8" i="8"/>
  <c r="M8" i="8"/>
  <c r="T8" i="8" s="1"/>
  <c r="L8" i="8"/>
  <c r="K8" i="8"/>
  <c r="J8" i="8"/>
  <c r="I8" i="8"/>
  <c r="H8" i="8"/>
  <c r="G8" i="8"/>
  <c r="F8" i="8"/>
  <c r="E8" i="8"/>
  <c r="D8" i="8"/>
  <c r="C8" i="8"/>
  <c r="N7" i="8"/>
  <c r="M7" i="8"/>
  <c r="T7" i="8" s="1"/>
  <c r="L7" i="8"/>
  <c r="K7" i="8"/>
  <c r="J7" i="8"/>
  <c r="I7" i="8"/>
  <c r="H7" i="8"/>
  <c r="G7" i="8"/>
  <c r="F7" i="8"/>
  <c r="E7" i="8"/>
  <c r="D7" i="8"/>
  <c r="C7" i="8"/>
  <c r="N6" i="8"/>
  <c r="M6" i="8"/>
  <c r="T6" i="8" s="1"/>
  <c r="L6" i="8"/>
  <c r="K6" i="8"/>
  <c r="J6" i="8"/>
  <c r="I6" i="8"/>
  <c r="H6" i="8"/>
  <c r="G6" i="8"/>
  <c r="F6" i="8"/>
  <c r="E6" i="8"/>
  <c r="D6" i="8"/>
  <c r="C6" i="8"/>
  <c r="N5" i="8"/>
  <c r="M5" i="8"/>
  <c r="L5" i="8"/>
  <c r="K5" i="8"/>
  <c r="J5" i="8"/>
  <c r="I5" i="8"/>
  <c r="H5" i="8"/>
  <c r="G5" i="8"/>
  <c r="F5" i="8"/>
  <c r="E5" i="8"/>
  <c r="D5" i="8"/>
  <c r="C5" i="8"/>
  <c r="N4" i="8"/>
  <c r="M4" i="8"/>
  <c r="L4" i="8"/>
  <c r="K4" i="8"/>
  <c r="J4" i="8"/>
  <c r="I4" i="8"/>
  <c r="H4" i="8"/>
  <c r="G4" i="8"/>
  <c r="F4" i="8"/>
  <c r="E4" i="8"/>
  <c r="D4" i="8"/>
  <c r="C4" i="8"/>
  <c r="N3" i="8"/>
  <c r="M3" i="8"/>
  <c r="T3" i="8" s="1"/>
  <c r="L3" i="8"/>
  <c r="K3" i="8"/>
  <c r="J3" i="8"/>
  <c r="I3" i="8"/>
  <c r="H3" i="8"/>
  <c r="G3" i="8"/>
  <c r="F3" i="8"/>
  <c r="E3" i="8"/>
  <c r="D3" i="8"/>
  <c r="C3" i="8"/>
  <c r="N2" i="8"/>
  <c r="M2" i="8"/>
  <c r="T2" i="8" s="1"/>
  <c r="L2" i="8"/>
  <c r="K2" i="8"/>
  <c r="J2" i="8"/>
  <c r="I2" i="8"/>
  <c r="I23" i="8" s="1"/>
  <c r="H2" i="8"/>
  <c r="H23" i="8" s="1"/>
  <c r="G2" i="8"/>
  <c r="G23" i="8" s="1"/>
  <c r="F2" i="8"/>
  <c r="E2" i="8"/>
  <c r="D2" i="8"/>
  <c r="C2" i="8"/>
  <c r="M36" i="4"/>
  <c r="L36" i="4"/>
  <c r="K36" i="4"/>
  <c r="J36" i="4"/>
  <c r="I36" i="4"/>
  <c r="H36" i="4"/>
  <c r="G36" i="4"/>
  <c r="F36" i="4"/>
  <c r="E36" i="4"/>
  <c r="D36" i="4"/>
  <c r="C36" i="4"/>
  <c r="B36" i="4"/>
  <c r="L35" i="4"/>
  <c r="M35" i="4"/>
  <c r="K35" i="4"/>
  <c r="J35" i="4"/>
  <c r="I35" i="4"/>
  <c r="H35" i="4"/>
  <c r="G35" i="4"/>
  <c r="F35" i="4"/>
  <c r="E35" i="4"/>
  <c r="D35" i="4"/>
  <c r="B35" i="4"/>
  <c r="B31" i="4"/>
  <c r="C31" i="4"/>
  <c r="B172" i="5"/>
  <c r="E53" i="5"/>
  <c r="D53" i="5"/>
  <c r="B53" i="5"/>
  <c r="E51" i="5"/>
  <c r="D51" i="5"/>
  <c r="F50" i="5"/>
  <c r="L50" i="5" s="1"/>
  <c r="F49" i="5"/>
  <c r="F48" i="5"/>
  <c r="L48" i="5" s="1"/>
  <c r="F47" i="5"/>
  <c r="L47" i="5" s="1"/>
  <c r="F46" i="5"/>
  <c r="L46" i="5" s="1"/>
  <c r="F45" i="5"/>
  <c r="L45" i="5" s="1"/>
  <c r="F44" i="5"/>
  <c r="F43" i="5"/>
  <c r="L43" i="5" s="1"/>
  <c r="F53" i="5" l="1"/>
  <c r="F51" i="5"/>
  <c r="L44" i="5"/>
  <c r="C106" i="5" s="1"/>
  <c r="M23" i="8"/>
  <c r="K23" i="8"/>
  <c r="N23" i="8"/>
  <c r="C23" i="8"/>
  <c r="J23" i="8"/>
  <c r="L23" i="8"/>
  <c r="E23" i="8"/>
  <c r="D23" i="8"/>
  <c r="F23" i="8"/>
  <c r="L49" i="5"/>
  <c r="C111" i="5" s="1"/>
  <c r="M31" i="4"/>
  <c r="L31" i="4"/>
  <c r="K31" i="4"/>
  <c r="J31" i="4"/>
  <c r="I31" i="4"/>
  <c r="H31" i="4"/>
  <c r="G31" i="4"/>
  <c r="F31" i="4"/>
  <c r="E31" i="4"/>
  <c r="D31" i="4"/>
  <c r="A215" i="5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A178" i="5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B171" i="5"/>
  <c r="B170" i="5"/>
  <c r="A125" i="5"/>
  <c r="A124" i="5"/>
  <c r="A123" i="5"/>
  <c r="A122" i="5"/>
  <c r="A121" i="5"/>
  <c r="A120" i="5"/>
  <c r="A119" i="5"/>
  <c r="A118" i="5"/>
  <c r="A117" i="5"/>
  <c r="K53" i="5"/>
  <c r="J53" i="5"/>
  <c r="C112" i="5"/>
  <c r="C110" i="5"/>
  <c r="C109" i="5"/>
  <c r="C108" i="5"/>
  <c r="C107" i="5"/>
  <c r="C105" i="5"/>
  <c r="I53" i="5"/>
  <c r="H53" i="5"/>
  <c r="G53" i="5"/>
  <c r="C53" i="5"/>
  <c r="K51" i="5"/>
  <c r="J51" i="5"/>
  <c r="I51" i="5"/>
  <c r="H51" i="5"/>
  <c r="G51" i="5"/>
  <c r="C51" i="5"/>
  <c r="B51" i="5"/>
  <c r="L53" i="5" l="1"/>
  <c r="F54" i="5" s="1"/>
  <c r="L51" i="5"/>
  <c r="K52" i="5" s="1"/>
  <c r="B211" i="5"/>
  <c r="B212" i="5" s="1"/>
  <c r="B214" i="5" s="1"/>
  <c r="B119" i="5"/>
  <c r="B123" i="5"/>
  <c r="B118" i="5"/>
  <c r="B117" i="5"/>
  <c r="B120" i="5"/>
  <c r="B121" i="5"/>
  <c r="B122" i="5"/>
  <c r="B124" i="5"/>
  <c r="B112" i="5"/>
  <c r="B111" i="5"/>
  <c r="B110" i="5"/>
  <c r="B109" i="5"/>
  <c r="B108" i="5"/>
  <c r="B107" i="5"/>
  <c r="B106" i="5"/>
  <c r="B105" i="5"/>
  <c r="I26" i="5"/>
  <c r="B100" i="5"/>
  <c r="E112" i="5" s="1"/>
  <c r="B99" i="5"/>
  <c r="E111" i="5" s="1"/>
  <c r="B98" i="5"/>
  <c r="E110" i="5" s="1"/>
  <c r="B97" i="5"/>
  <c r="E109" i="5" s="1"/>
  <c r="B96" i="5"/>
  <c r="F36" i="5"/>
  <c r="E36" i="5"/>
  <c r="D36" i="5"/>
  <c r="C36" i="5"/>
  <c r="I27" i="5"/>
  <c r="I28" i="5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L174" i="3"/>
  <c r="L200" i="3" s="1"/>
  <c r="I174" i="3"/>
  <c r="I200" i="3" s="1"/>
  <c r="G174" i="3"/>
  <c r="G200" i="3" s="1"/>
  <c r="C174" i="3"/>
  <c r="C200" i="3" s="1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H26" i="7"/>
  <c r="H25" i="7"/>
  <c r="H24" i="7"/>
  <c r="J24" i="7" s="1"/>
  <c r="H23" i="7"/>
  <c r="H22" i="7"/>
  <c r="H21" i="7"/>
  <c r="H20" i="7"/>
  <c r="H19" i="7"/>
  <c r="H18" i="7"/>
  <c r="H17" i="7"/>
  <c r="H16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218" i="5" l="1"/>
  <c r="H54" i="5"/>
  <c r="I54" i="5"/>
  <c r="G54" i="5"/>
  <c r="K54" i="5"/>
  <c r="J54" i="5"/>
  <c r="B54" i="5"/>
  <c r="B225" i="5"/>
  <c r="G52" i="5"/>
  <c r="B224" i="5"/>
  <c r="B219" i="5"/>
  <c r="H52" i="5"/>
  <c r="J23" i="7"/>
  <c r="J21" i="7"/>
  <c r="B220" i="5"/>
  <c r="J22" i="7"/>
  <c r="B222" i="5"/>
  <c r="I52" i="5"/>
  <c r="B226" i="5"/>
  <c r="B227" i="5"/>
  <c r="J52" i="5"/>
  <c r="J25" i="7"/>
  <c r="B215" i="5"/>
  <c r="B125" i="5"/>
  <c r="J27" i="7"/>
  <c r="B217" i="5"/>
  <c r="B228" i="5"/>
  <c r="B216" i="5"/>
  <c r="J33" i="7"/>
  <c r="J35" i="7"/>
  <c r="B223" i="5"/>
  <c r="B221" i="5"/>
  <c r="B52" i="5"/>
  <c r="F52" i="5"/>
  <c r="D107" i="5"/>
  <c r="B126" i="5"/>
  <c r="J31" i="7"/>
  <c r="D106" i="5"/>
  <c r="J16" i="7"/>
  <c r="G37" i="7"/>
  <c r="J17" i="7"/>
  <c r="J32" i="7"/>
  <c r="J18" i="7"/>
  <c r="J34" i="7"/>
  <c r="J19" i="7"/>
  <c r="J20" i="7"/>
  <c r="J36" i="7"/>
  <c r="D105" i="5"/>
  <c r="D108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L54" i="5" l="1"/>
  <c r="L52" i="5"/>
  <c r="J37" i="7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112" i="5" s="1"/>
  <c r="I32" i="5"/>
  <c r="D111" i="5" s="1"/>
  <c r="I31" i="5"/>
  <c r="D110" i="5" s="1"/>
  <c r="I30" i="5"/>
  <c r="D109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247" i="3"/>
  <c r="B302" i="3" s="1"/>
  <c r="L249" i="3"/>
  <c r="J281" i="3"/>
  <c r="J252" i="3"/>
  <c r="J307" i="3" s="1"/>
  <c r="K247" i="3"/>
  <c r="K276" i="3"/>
  <c r="C275" i="3"/>
  <c r="C246" i="3"/>
  <c r="C301" i="3" s="1"/>
  <c r="I247" i="3"/>
  <c r="I276" i="3"/>
  <c r="I282" i="3"/>
  <c r="I253" i="3"/>
  <c r="C279" i="3"/>
  <c r="C250" i="3"/>
  <c r="C305" i="3" s="1"/>
  <c r="I278" i="3"/>
  <c r="I249" i="3"/>
  <c r="D252" i="3"/>
  <c r="D281" i="3"/>
  <c r="D307" i="3" s="1"/>
  <c r="I281" i="3"/>
  <c r="I252" i="3"/>
  <c r="L250" i="3"/>
  <c r="I277" i="3"/>
  <c r="I248" i="3"/>
  <c r="L246" i="3"/>
  <c r="J247" i="3"/>
  <c r="J302" i="3" s="1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B245" i="3"/>
  <c r="B274" i="3"/>
  <c r="L248" i="3"/>
  <c r="D276" i="3"/>
  <c r="D247" i="3"/>
  <c r="D302" i="3" s="1"/>
  <c r="G276" i="3"/>
  <c r="G247" i="3"/>
  <c r="G302" i="3" s="1"/>
  <c r="C249" i="3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I280" i="3"/>
  <c r="I251" i="3"/>
  <c r="I306" i="3" s="1"/>
  <c r="G279" i="3"/>
  <c r="G250" i="3"/>
  <c r="G305" i="3" s="1"/>
  <c r="L253" i="3"/>
  <c r="G246" i="3"/>
  <c r="G275" i="3"/>
  <c r="E281" i="3"/>
  <c r="E252" i="3"/>
  <c r="E307" i="3" s="1"/>
  <c r="K281" i="3"/>
  <c r="K307" i="3" s="1"/>
  <c r="K252" i="3"/>
  <c r="E246" i="3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283" i="3"/>
  <c r="C254" i="3"/>
  <c r="C309" i="3" s="1"/>
  <c r="G249" i="3"/>
  <c r="G278" i="3"/>
  <c r="G304" i="3"/>
  <c r="H253" i="3"/>
  <c r="H282" i="3"/>
  <c r="H308" i="3" s="1"/>
  <c r="C276" i="3"/>
  <c r="C247" i="3"/>
  <c r="H276" i="3"/>
  <c r="H247" i="3"/>
  <c r="H302" i="3" s="1"/>
  <c r="I250" i="3"/>
  <c r="I279" i="3"/>
  <c r="D246" i="3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281" i="3"/>
  <c r="G252" i="3"/>
  <c r="K246" i="3"/>
  <c r="K275" i="3"/>
  <c r="K301" i="3"/>
  <c r="J246" i="3"/>
  <c r="J301" i="3" s="1"/>
  <c r="J275" i="3"/>
  <c r="C280" i="3"/>
  <c r="C251" i="3"/>
  <c r="C306" i="3" s="1"/>
  <c r="C282" i="3"/>
  <c r="C253" i="3"/>
  <c r="F246" i="3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I16" i="5"/>
  <c r="H16" i="5"/>
  <c r="G16" i="5"/>
  <c r="F16" i="5"/>
  <c r="E16" i="5"/>
  <c r="D16" i="5"/>
  <c r="C16" i="5"/>
  <c r="B16" i="5"/>
  <c r="F301" i="3" l="1"/>
  <c r="I302" i="3"/>
  <c r="E301" i="3"/>
  <c r="C308" i="3"/>
  <c r="B300" i="3"/>
  <c r="I303" i="3"/>
  <c r="G303" i="3"/>
  <c r="I307" i="3"/>
  <c r="K302" i="3"/>
  <c r="D301" i="3"/>
  <c r="G301" i="3"/>
  <c r="I305" i="3"/>
  <c r="I304" i="3"/>
  <c r="G307" i="3"/>
  <c r="C304" i="3"/>
  <c r="C302" i="3"/>
  <c r="G306" i="3"/>
  <c r="E302" i="3"/>
  <c r="I308" i="3"/>
  <c r="J17" i="5"/>
  <c r="B242" i="3"/>
  <c r="B271" i="3"/>
  <c r="B297" i="3" s="1"/>
  <c r="B268" i="3"/>
  <c r="B239" i="3"/>
  <c r="B294" i="3" s="1"/>
  <c r="B272" i="3"/>
  <c r="B243" i="3"/>
  <c r="B240" i="3"/>
  <c r="B295" i="3" s="1"/>
  <c r="B269" i="3"/>
  <c r="B267" i="3"/>
  <c r="B238" i="3"/>
  <c r="B293" i="3" s="1"/>
  <c r="B244" i="3"/>
  <c r="B273" i="3"/>
  <c r="B241" i="3"/>
  <c r="B270" i="3"/>
  <c r="B266" i="3"/>
  <c r="B237" i="3"/>
  <c r="B292" i="3" s="1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 s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 s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B299" i="3" l="1"/>
  <c r="B298" i="3"/>
  <c r="D210" i="3"/>
  <c r="B296" i="3"/>
  <c r="I274" i="3"/>
  <c r="I245" i="3"/>
  <c r="I300" i="3" s="1"/>
  <c r="G245" i="3"/>
  <c r="G274" i="3"/>
  <c r="G300" i="3"/>
  <c r="J266" i="3"/>
  <c r="J237" i="3"/>
  <c r="J292" i="3" s="1"/>
  <c r="K274" i="3"/>
  <c r="K245" i="3"/>
  <c r="K300" i="3" s="1"/>
  <c r="F245" i="3"/>
  <c r="F300" i="3" s="1"/>
  <c r="F274" i="3"/>
  <c r="D268" i="3"/>
  <c r="D239" i="3"/>
  <c r="D294" i="3" s="1"/>
  <c r="E245" i="3"/>
  <c r="E274" i="3"/>
  <c r="F268" i="3"/>
  <c r="F239" i="3"/>
  <c r="F294" i="3" s="1"/>
  <c r="J274" i="3"/>
  <c r="J245" i="3"/>
  <c r="J300" i="3" s="1"/>
  <c r="D3" i="1"/>
  <c r="F3" i="1" s="1"/>
  <c r="C245" i="3"/>
  <c r="C274" i="3"/>
  <c r="H245" i="3"/>
  <c r="H274" i="3"/>
  <c r="D245" i="3"/>
  <c r="D300" i="3" s="1"/>
  <c r="D274" i="3"/>
  <c r="F212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89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300" i="3" l="1"/>
  <c r="H300" i="3"/>
  <c r="C300" i="3"/>
  <c r="E268" i="3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C272" i="3"/>
  <c r="C243" i="3"/>
  <c r="C298" i="3" s="1"/>
  <c r="C240" i="3"/>
  <c r="C269" i="3"/>
  <c r="C295" i="3"/>
  <c r="I243" i="3"/>
  <c r="I272" i="3"/>
  <c r="D244" i="3"/>
  <c r="D273" i="3"/>
  <c r="F242" i="3"/>
  <c r="F271" i="3"/>
  <c r="C266" i="3"/>
  <c r="C237" i="3"/>
  <c r="C292" i="3" s="1"/>
  <c r="K242" i="3"/>
  <c r="K297" i="3" s="1"/>
  <c r="K271" i="3"/>
  <c r="H242" i="3"/>
  <c r="H297" i="3" s="1"/>
  <c r="H271" i="3"/>
  <c r="J240" i="3"/>
  <c r="J269" i="3"/>
  <c r="F243" i="3"/>
  <c r="F272" i="3"/>
  <c r="K244" i="3"/>
  <c r="K273" i="3"/>
  <c r="G241" i="3"/>
  <c r="G270" i="3"/>
  <c r="G296" i="3"/>
  <c r="E266" i="3"/>
  <c r="E237" i="3"/>
  <c r="E292" i="3" s="1"/>
  <c r="C241" i="3"/>
  <c r="C296" i="3" s="1"/>
  <c r="C270" i="3"/>
  <c r="C244" i="3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69" i="3"/>
  <c r="M247" i="3"/>
  <c r="O247" i="3" s="1"/>
  <c r="O218" i="3"/>
  <c r="M276" i="3"/>
  <c r="F240" i="3"/>
  <c r="F269" i="3"/>
  <c r="I266" i="3"/>
  <c r="I237" i="3"/>
  <c r="I292" i="3" s="1"/>
  <c r="G240" i="3"/>
  <c r="G269" i="3"/>
  <c r="J242" i="3"/>
  <c r="J271" i="3"/>
  <c r="D241" i="3"/>
  <c r="D270" i="3"/>
  <c r="F241" i="3"/>
  <c r="F270" i="3"/>
  <c r="F296" i="3"/>
  <c r="J267" i="3"/>
  <c r="J238" i="3"/>
  <c r="J293" i="3"/>
  <c r="H243" i="3"/>
  <c r="H298" i="3" s="1"/>
  <c r="H272" i="3"/>
  <c r="K266" i="3"/>
  <c r="K237" i="3"/>
  <c r="K292" i="3" s="1"/>
  <c r="K268" i="3"/>
  <c r="K239" i="3"/>
  <c r="K294" i="3" s="1"/>
  <c r="K241" i="3"/>
  <c r="K296" i="3" s="1"/>
  <c r="K270" i="3"/>
  <c r="E243" i="3"/>
  <c r="E272" i="3"/>
  <c r="E269" i="3"/>
  <c r="E240" i="3"/>
  <c r="E295" i="3" s="1"/>
  <c r="J244" i="3"/>
  <c r="J299" i="3" s="1"/>
  <c r="J273" i="3"/>
  <c r="D242" i="3"/>
  <c r="D297" i="3" s="1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72" i="3"/>
  <c r="E242" i="3"/>
  <c r="E271" i="3"/>
  <c r="I273" i="3"/>
  <c r="I244" i="3"/>
  <c r="I299" i="3" s="1"/>
  <c r="M282" i="3"/>
  <c r="M253" i="3"/>
  <c r="O224" i="3"/>
  <c r="I242" i="3"/>
  <c r="I271" i="3"/>
  <c r="I297" i="3" s="1"/>
  <c r="I240" i="3"/>
  <c r="I269" i="3"/>
  <c r="J268" i="3"/>
  <c r="J239" i="3"/>
  <c r="J294" i="3" s="1"/>
  <c r="G243" i="3"/>
  <c r="G272" i="3"/>
  <c r="G298" i="3" s="1"/>
  <c r="G268" i="3"/>
  <c r="G239" i="3"/>
  <c r="G294" i="3" s="1"/>
  <c r="C242" i="3"/>
  <c r="C271" i="3"/>
  <c r="G237" i="3"/>
  <c r="G266" i="3"/>
  <c r="E241" i="3"/>
  <c r="E296" i="3" s="1"/>
  <c r="E270" i="3"/>
  <c r="G242" i="3"/>
  <c r="G271" i="3"/>
  <c r="H268" i="3"/>
  <c r="H239" i="3"/>
  <c r="H294" i="3" s="1"/>
  <c r="H267" i="3"/>
  <c r="H238" i="3"/>
  <c r="H293" i="3" s="1"/>
  <c r="D266" i="3"/>
  <c r="D237" i="3"/>
  <c r="D292" i="3" s="1"/>
  <c r="C267" i="3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K295" i="3" l="1"/>
  <c r="F297" i="3"/>
  <c r="C297" i="3"/>
  <c r="E297" i="3"/>
  <c r="H295" i="3"/>
  <c r="D299" i="3"/>
  <c r="F298" i="3"/>
  <c r="I298" i="3"/>
  <c r="C293" i="3"/>
  <c r="E298" i="3"/>
  <c r="G297" i="3"/>
  <c r="G295" i="3"/>
  <c r="J295" i="3"/>
  <c r="D296" i="3"/>
  <c r="K298" i="3"/>
  <c r="K299" i="3"/>
  <c r="J297" i="3"/>
  <c r="O253" i="3"/>
  <c r="C299" i="3"/>
  <c r="I295" i="3"/>
  <c r="G292" i="3"/>
  <c r="F295" i="3"/>
  <c r="G299" i="3"/>
  <c r="F265" i="3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 s="1"/>
  <c r="E207" i="3" s="1"/>
  <c r="I119" i="3"/>
  <c r="I155" i="3" s="1"/>
  <c r="I181" i="3" s="1"/>
  <c r="I207" i="3" s="1"/>
  <c r="I117" i="3"/>
  <c r="I153" i="3" s="1"/>
  <c r="I179" i="3" s="1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 s="1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65" i="3"/>
  <c r="B291" i="3" s="1"/>
  <c r="L275" i="3"/>
  <c r="L301" i="3" s="1"/>
  <c r="H234" i="3"/>
  <c r="H263" i="3"/>
  <c r="E265" i="3"/>
  <c r="E236" i="3"/>
  <c r="M266" i="3"/>
  <c r="M237" i="3"/>
  <c r="M243" i="3"/>
  <c r="M272" i="3"/>
  <c r="J283" i="3"/>
  <c r="J254" i="3"/>
  <c r="J309" i="3"/>
  <c r="L274" i="3"/>
  <c r="O274" i="3" s="1"/>
  <c r="M244" i="3"/>
  <c r="M273" i="3"/>
  <c r="J264" i="3"/>
  <c r="J235" i="3"/>
  <c r="J290" i="3" s="1"/>
  <c r="K234" i="3"/>
  <c r="K263" i="3"/>
  <c r="L281" i="3"/>
  <c r="L307" i="3" s="1"/>
  <c r="O281" i="3"/>
  <c r="M271" i="3"/>
  <c r="M242" i="3"/>
  <c r="M297" i="3" s="1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M299" i="3" l="1"/>
  <c r="M292" i="3"/>
  <c r="M293" i="3"/>
  <c r="E291" i="3"/>
  <c r="J277" i="3"/>
  <c r="J248" i="3"/>
  <c r="J303" i="3" s="1"/>
  <c r="M265" i="3"/>
  <c r="M236" i="3"/>
  <c r="F279" i="3"/>
  <c r="F250" i="3"/>
  <c r="F305" i="3" s="1"/>
  <c r="H249" i="3"/>
  <c r="H278" i="3"/>
  <c r="J278" i="3"/>
  <c r="J249" i="3"/>
  <c r="J304" i="3" s="1"/>
  <c r="K265" i="3"/>
  <c r="K236" i="3"/>
  <c r="K291" i="3" s="1"/>
  <c r="L268" i="3"/>
  <c r="O268" i="3" s="1"/>
  <c r="D279" i="3"/>
  <c r="D250" i="3"/>
  <c r="L269" i="3"/>
  <c r="O269" i="3" s="1"/>
  <c r="L273" i="3"/>
  <c r="O273" i="3" s="1"/>
  <c r="J234" i="3"/>
  <c r="J263" i="3"/>
  <c r="J289" i="3"/>
  <c r="E280" i="3"/>
  <c r="E251" i="3"/>
  <c r="E306" i="3" s="1"/>
  <c r="H277" i="3"/>
  <c r="H248" i="3"/>
  <c r="H303" i="3" s="1"/>
  <c r="J250" i="3"/>
  <c r="J305" i="3" s="1"/>
  <c r="J279" i="3"/>
  <c r="K264" i="3"/>
  <c r="K235" i="3"/>
  <c r="D280" i="3"/>
  <c r="D251" i="3"/>
  <c r="D306" i="3" s="1"/>
  <c r="L266" i="3"/>
  <c r="O266" i="3"/>
  <c r="E264" i="3"/>
  <c r="E235" i="3"/>
  <c r="E290" i="3" s="1"/>
  <c r="E279" i="3"/>
  <c r="E250" i="3"/>
  <c r="L272" i="3"/>
  <c r="O272" i="3" s="1"/>
  <c r="F280" i="3"/>
  <c r="F251" i="3"/>
  <c r="F306" i="3" s="1"/>
  <c r="M298" i="3"/>
  <c r="E277" i="3"/>
  <c r="E248" i="3"/>
  <c r="E249" i="3"/>
  <c r="E304" i="3" s="1"/>
  <c r="E278" i="3"/>
  <c r="F277" i="3"/>
  <c r="F248" i="3"/>
  <c r="F249" i="3"/>
  <c r="F278" i="3"/>
  <c r="F304" i="3" s="1"/>
  <c r="D248" i="3"/>
  <c r="D277" i="3"/>
  <c r="D303" i="3"/>
  <c r="H250" i="3"/>
  <c r="H279" i="3"/>
  <c r="L271" i="3"/>
  <c r="O271" i="3" s="1"/>
  <c r="H289" i="3"/>
  <c r="L267" i="3"/>
  <c r="O267" i="3" s="1"/>
  <c r="G226" i="3"/>
  <c r="G264" i="3"/>
  <c r="G235" i="3"/>
  <c r="M295" i="3"/>
  <c r="H264" i="3"/>
  <c r="H235" i="3"/>
  <c r="B248" i="3"/>
  <c r="B277" i="3"/>
  <c r="B303" i="3"/>
  <c r="G255" i="3"/>
  <c r="I226" i="3"/>
  <c r="I264" i="3"/>
  <c r="I235" i="3"/>
  <c r="I255" i="3" s="1"/>
  <c r="L118" i="3"/>
  <c r="L154" i="3" s="1"/>
  <c r="B278" i="3"/>
  <c r="B304" i="3"/>
  <c r="B249" i="3"/>
  <c r="F263" i="3"/>
  <c r="F234" i="3"/>
  <c r="H280" i="3"/>
  <c r="H251" i="3"/>
  <c r="H306" i="3" s="1"/>
  <c r="G284" i="3"/>
  <c r="D264" i="3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34" i="3"/>
  <c r="D249" i="3"/>
  <c r="D278" i="3"/>
  <c r="C264" i="3"/>
  <c r="C235" i="3"/>
  <c r="C290" i="3" s="1"/>
  <c r="B264" i="3"/>
  <c r="B235" i="3"/>
  <c r="B290" i="3" s="1"/>
  <c r="B280" i="3"/>
  <c r="B251" i="3"/>
  <c r="B306" i="3" s="1"/>
  <c r="C236" i="3"/>
  <c r="C265" i="3"/>
  <c r="B279" i="3"/>
  <c r="B250" i="3"/>
  <c r="B305" i="3" s="1"/>
  <c r="C263" i="3"/>
  <c r="C234" i="3"/>
  <c r="C289" i="3" s="1"/>
  <c r="K277" i="3"/>
  <c r="K248" i="3"/>
  <c r="K303" i="3" s="1"/>
  <c r="K280" i="3"/>
  <c r="K251" i="3"/>
  <c r="K306" i="3" s="1"/>
  <c r="K289" i="3"/>
  <c r="L119" i="3"/>
  <c r="L155" i="3" s="1"/>
  <c r="D207" i="3"/>
  <c r="D226" i="3" s="1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C226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I290" i="3" l="1"/>
  <c r="E305" i="3"/>
  <c r="H304" i="3"/>
  <c r="H255" i="3"/>
  <c r="H284" i="3"/>
  <c r="F303" i="3"/>
  <c r="C291" i="3"/>
  <c r="K284" i="3"/>
  <c r="E284" i="3"/>
  <c r="G290" i="3"/>
  <c r="G310" i="3" s="1"/>
  <c r="K290" i="3"/>
  <c r="D305" i="3"/>
  <c r="H305" i="3"/>
  <c r="D290" i="3"/>
  <c r="D304" i="3"/>
  <c r="C310" i="3"/>
  <c r="C284" i="3"/>
  <c r="E303" i="3"/>
  <c r="M264" i="3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K255" i="3"/>
  <c r="L245" i="3"/>
  <c r="O245" i="3" s="1"/>
  <c r="O216" i="3"/>
  <c r="L243" i="3"/>
  <c r="O243" i="3" s="1"/>
  <c r="O214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306" i="3" l="1"/>
  <c r="M309" i="3"/>
  <c r="H310" i="3"/>
  <c r="M255" i="3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L280" i="3"/>
  <c r="L306" i="3" s="1"/>
  <c r="O306" i="3" s="1"/>
  <c r="O280" i="3"/>
  <c r="L279" i="3"/>
  <c r="L305" i="3" s="1"/>
  <c r="L278" i="3"/>
  <c r="L304" i="3" s="1"/>
  <c r="L283" i="3"/>
  <c r="L309" i="3" s="1"/>
  <c r="O309" i="3" s="1"/>
  <c r="M290" i="3"/>
  <c r="O180" i="3"/>
  <c r="L206" i="3"/>
  <c r="O153" i="3"/>
  <c r="L179" i="3"/>
  <c r="O181" i="3"/>
  <c r="L207" i="3"/>
  <c r="A128" i="3"/>
  <c r="A163" i="3"/>
  <c r="O304" i="3" l="1"/>
  <c r="O279" i="3"/>
  <c r="L235" i="3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<sst xmlns="http://schemas.openxmlformats.org/spreadsheetml/2006/main" count="582" uniqueCount="218">
  <si>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</si>
  <si>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</si>
  <si>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</si>
  <si>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</si>
  <si>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</si>
  <si>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</si>
  <si>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</si>
  <si>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</si>
  <si>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</si>
  <si>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</si>
  <si>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</si>
  <si>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</si>
  <si>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</si>
  <si>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</si>
  <si>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</si>
  <si>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</si>
  <si>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</si>
  <si>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</si>
  <si>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</si>
  <si>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</si>
  <si>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</si>
  <si>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</si>
  <si>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</si>
  <si>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</si>
  <si>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</si>
  <si>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</si>
  <si>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</si>
  <si>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</si>
  <si>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</si>
  <si>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</si>
  <si>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</si>
  <si>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</si>
  <si>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</si>
  <si>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</si>
  <si>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</si>
  <si>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</si>
  <si>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</si>
  <si>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</si>
  <si>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</si>
  <si>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</si>
  <si>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</si>
  <si>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</si>
  <si>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</si>
  <si>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</si>
  <si>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</si>
  <si>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</si>
  <si>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</si>
  <si>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</si>
  <si>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</si>
  <si>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</si>
  <si>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</si>
  <si>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</si>
  <si>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</si>
  <si>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</si>
  <si>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</si>
  <si>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</si>
  <si>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</si>
  <si>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</si>
  <si>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</si>
  <si>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</si>
  <si>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</si>
  <si>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</si>
  <si>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</si>
  <si>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</si>
  <si>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</si>
  <si>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</si>
  <si>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</si>
  <si>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</si>
  <si>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</si>
  <si>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</si>
  <si>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</si>
  <si>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</si>
  <si>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</si>
  <si>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</si>
  <si>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</si>
  <si>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</si>
  <si>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</si>
  <si>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</si>
  <si>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</si>
  <si>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</si>
  <si>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</si>
  <si>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</si>
  <si>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</si>
  <si>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</si>
  <si>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</si>
  <si>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</si>
  <si>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</si>
  <si>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</si>
  <si>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</si>
  <si>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</si>
  <si>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</si>
  <si>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</si>
  <si>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</si>
  <si>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</si>
  <si>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</si>
  <si>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</si>
  <si>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</si>
  <si>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</si>
  <si>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</si>
  <si>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</si>
  <si>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</si>
  <si>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</si>
  <si>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</si>
  <si>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</si>
  <si>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</si>
  <si>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</si>
  <si>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</si>
  <si>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</si>
  <si>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</si>
  <si>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</si>
  <si>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</si>
  <si>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</si>
  <si>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</si>
  <si>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</si>
  <si>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</si>
  <si>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</si>
  <si>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</si>
  <si>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</si>
  <si>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</si>
  <si>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</si>
  <si>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</si>
  <si>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</si>
  <si>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</si>
  <si>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</si>
  <si>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</si>
  <si>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</si>
  <si>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</si>
  <si>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</si>
  <si>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</si>
  <si>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</si>
  <si>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</si>
  <si>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</si>
  <si>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</si>
  <si>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</si>
  <si>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</si>
  <si>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</si>
  <si>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</si>
  <si>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</si>
  <si>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</si>
  <si>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</si>
  <si>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</si>
  <si>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</si>
  <si>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</si>
  <si>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</si>
  <si>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</si>
  <si>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</si>
  <si>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</si>
  <si>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</si>
  <si>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</si>
  <si>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</si>
  <si>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</si>
  <si>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</si>
  <si>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</si>
  <si>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</si>
  <si>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</si>
  <si>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</si>
  <si>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</si>
  <si>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</si>
  <si>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</si>
  <si>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</si>
  <si>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</si>
  <si>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</si>
  <si>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</si>
  <si>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</si>
  <si>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</si>
  <si>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</si>
  <si>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</si>
  <si>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</si>
  <si>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</si>
  <si>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</si>
  <si>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</si>
  <si>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</si>
  <si>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</si>
  <si>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</si>
  <si>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</si>
  <si>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</si>
  <si>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</si>
  <si>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</si>
  <si>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</si>
  <si>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</si>
  <si>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</si>
  <si>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</si>
  <si>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</si>
  <si>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</si>
  <si>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</si>
  <si>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</si>
  <si>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</si>
  <si>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</si>
  <si>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</si>
  <si>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</si>
  <si>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</si>
  <si>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</si>
  <si>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</si>
  <si>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</si>
  <si>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</si>
  <si>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</si>
  <si>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</si>
  <si>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</si>
  <si>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</si>
  <si>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</si>
  <si>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</si>
  <si>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</si>
  <si>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в календарный год сравнительно со среднегодовым за 1896-1900</t>
  </si>
  <si>
    <t>v</t>
  </si>
  <si>
    <t>Эмиграция из России в различные страны (для США - по финансовым годам) с поправкой на более точный учёт эмиграции</t>
  </si>
  <si>
    <t xml:space="preserve">из русской Польши (см. приложение № 2 к pre1917.docx/pdf) и на вычет эмиграции из Финляндии (см. приложение № 4 к pre1917.docx/pdf) </t>
  </si>
  <si>
    <t>минус
Финляндия в США</t>
  </si>
  <si>
    <t>плюс
уточнение
рус. Польша
в США</t>
  </si>
  <si>
    <t>Россия без
Финляндии
с русской
Польшей
в США</t>
  </si>
  <si>
    <t>среднее за 1896-1900  для расчёта 1881-1895</t>
  </si>
  <si>
    <t>средний состав эмиграции  за 1896-1900  для расчёта 1881-1895, финская эмиграция из Выборгской губернии в этот период исчезает</t>
  </si>
  <si>
    <t>То же без Финляндии, т.к. , финская эмиграция из Выборгской губернии в период до 1895 практически исчезает (становится единичной)</t>
  </si>
  <si>
    <t>% для Выборгской губернии фиктивен (умножается на 0) и используется общим кодом загрузки</t>
  </si>
  <si>
    <t>v%</t>
  </si>
  <si>
    <t>с учётом
реэмиграции</t>
  </si>
  <si>
    <t>v2</t>
  </si>
  <si>
    <t>Общая эмиграция из России по годам, с учётом реэмиграции, выдача модуля RTSS EmigrationShowSum</t>
  </si>
  <si>
    <t>Для 1896-1898 гг. разбивка расчитана исходя из общего числа иммигрантов из России в США в данный год, в предположении,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</si>
</sst>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1" fontId="0" fillId="0" borderId="0" xfId="0" applyNumberFormat="1"/>
    <xf numFmtId="2" fontId="0" fillId="0" borderId="0" xfId="0" applyNumberFormat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60" workbookViewId="0">
      <selection activeCell="D89" sqref="D89"/>
    </sheetView>
  </sheetViews>
  <sheetFormatPr defaultRowHeight="15" x14ac:dyDescent="0.25"/>
  <cols>
    <col min="2" max="2" width="15.5703125" customWidth="1"/>
    <col min="3" max="3" width="20.85546875" customWidth="1"/>
    <col min="4" max="4" width="24.5703125" customWidth="1"/>
  </cols>
  <sheetData>
    <row r="1" spans="1:5" x14ac:dyDescent="0.25">
      <c r="A1" t="s">
        <v>48</v>
      </c>
    </row>
    <row r="3" spans="1:5" x14ac:dyDescent="0.25">
      <c r="A3" t="s">
        <v>0</v>
      </c>
    </row>
    <row r="5" spans="1:5" ht="30" x14ac:dyDescent="0.25">
      <c r="B5" s="2" t="s">
        <v>1</v>
      </c>
      <c r="C5" s="2" t="s">
        <v>2</v>
      </c>
      <c r="D5" s="3" t="s">
        <v>17</v>
      </c>
      <c r="E5" s="1"/>
    </row>
    <row r="6" spans="1:5" x14ac:dyDescent="0.25">
      <c r="B6" s="1">
        <v>1904</v>
      </c>
      <c r="C6" t="s">
        <v>3</v>
      </c>
      <c r="D6" t="s">
        <v>4</v>
      </c>
    </row>
    <row r="7" spans="1:5" x14ac:dyDescent="0.25">
      <c r="B7" s="1">
        <v>1906</v>
      </c>
      <c r="C7" t="s">
        <v>5</v>
      </c>
      <c r="D7" t="s">
        <v>6</v>
      </c>
    </row>
    <row r="8" spans="1:5" x14ac:dyDescent="0.25">
      <c r="B8" s="1">
        <v>1909</v>
      </c>
      <c r="C8" t="s">
        <v>7</v>
      </c>
      <c r="D8" t="s">
        <v>8</v>
      </c>
    </row>
    <row r="9" spans="1:5" x14ac:dyDescent="0.25">
      <c r="B9" s="1">
        <v>1910</v>
      </c>
      <c r="C9" t="s">
        <v>9</v>
      </c>
      <c r="D9" t="s">
        <v>10</v>
      </c>
    </row>
    <row r="10" spans="1:5" x14ac:dyDescent="0.25">
      <c r="B10" s="1">
        <v>1911</v>
      </c>
      <c r="C10" t="s">
        <v>11</v>
      </c>
      <c r="D10" t="s">
        <v>12</v>
      </c>
    </row>
    <row r="11" spans="1:5" x14ac:dyDescent="0.25">
      <c r="B11" s="1">
        <v>1912</v>
      </c>
      <c r="C11" t="s">
        <v>13</v>
      </c>
      <c r="D11" t="s">
        <v>14</v>
      </c>
    </row>
    <row r="12" spans="1:5" x14ac:dyDescent="0.25">
      <c r="B12" s="1">
        <v>1913</v>
      </c>
      <c r="C12" t="s">
        <v>15</v>
      </c>
      <c r="D12" t="s">
        <v>16</v>
      </c>
    </row>
    <row r="14" spans="1:5" x14ac:dyDescent="0.25">
      <c r="A14" t="s">
        <v>18</v>
      </c>
    </row>
    <row r="16" spans="1:5" x14ac:dyDescent="0.25">
      <c r="A16" t="s">
        <v>45</v>
      </c>
    </row>
    <row r="18" spans="2:2" x14ac:dyDescent="0.25">
      <c r="B18" t="s">
        <v>35</v>
      </c>
    </row>
    <row r="19" spans="2:2" x14ac:dyDescent="0.25">
      <c r="B19" t="s">
        <v>36</v>
      </c>
    </row>
    <row r="20" spans="2:2" x14ac:dyDescent="0.25">
      <c r="B20" t="s">
        <v>37</v>
      </c>
    </row>
    <row r="22" spans="2:2" x14ac:dyDescent="0.25">
      <c r="B22" t="s">
        <v>105</v>
      </c>
    </row>
    <row r="23" spans="2:2" x14ac:dyDescent="0.25">
      <c r="B23" t="s">
        <v>38</v>
      </c>
    </row>
    <row r="24" spans="2:2" x14ac:dyDescent="0.25">
      <c r="B24" t="s">
        <v>39</v>
      </c>
    </row>
    <row r="25" spans="2:2" x14ac:dyDescent="0.25">
      <c r="B25" t="s">
        <v>40</v>
      </c>
    </row>
    <row r="27" spans="2:2" x14ac:dyDescent="0.25">
      <c r="B27" t="s">
        <v>99</v>
      </c>
    </row>
    <row r="28" spans="2:2" x14ac:dyDescent="0.25">
      <c r="B28" t="s">
        <v>41</v>
      </c>
    </row>
    <row r="30" spans="2:2" x14ac:dyDescent="0.25">
      <c r="B30" t="s">
        <v>34</v>
      </c>
    </row>
    <row r="31" spans="2:2" x14ac:dyDescent="0.25">
      <c r="B31" t="s">
        <v>29</v>
      </c>
    </row>
    <row r="32" spans="2:2" x14ac:dyDescent="0.25">
      <c r="B32" t="s">
        <v>30</v>
      </c>
    </row>
    <row r="34" spans="1:2" x14ac:dyDescent="0.25">
      <c r="B34" t="s">
        <v>28</v>
      </c>
    </row>
    <row r="35" spans="1:2" x14ac:dyDescent="0.25">
      <c r="B35" t="s">
        <v>27</v>
      </c>
    </row>
    <row r="37" spans="1:2" x14ac:dyDescent="0.25">
      <c r="B37" t="s">
        <v>26</v>
      </c>
    </row>
    <row r="38" spans="1:2" x14ac:dyDescent="0.25">
      <c r="B38" t="s">
        <v>25</v>
      </c>
    </row>
    <row r="40" spans="1:2" x14ac:dyDescent="0.25">
      <c r="B40" t="s">
        <v>43</v>
      </c>
    </row>
    <row r="41" spans="1:2" x14ac:dyDescent="0.25">
      <c r="B41" t="s">
        <v>42</v>
      </c>
    </row>
    <row r="42" spans="1:2" x14ac:dyDescent="0.25">
      <c r="B42" t="s">
        <v>44</v>
      </c>
    </row>
    <row r="44" spans="1:2" x14ac:dyDescent="0.25">
      <c r="A44" t="s">
        <v>31</v>
      </c>
    </row>
    <row r="45" spans="1:2" x14ac:dyDescent="0.25">
      <c r="A45" t="s">
        <v>32</v>
      </c>
    </row>
    <row r="46" spans="1:2" x14ac:dyDescent="0.25">
      <c r="A46" t="s">
        <v>33</v>
      </c>
    </row>
    <row r="48" spans="1:2" x14ac:dyDescent="0.25">
      <c r="A48" t="s">
        <v>46</v>
      </c>
    </row>
    <row r="49" spans="1:3" x14ac:dyDescent="0.25">
      <c r="A49" t="s">
        <v>47</v>
      </c>
    </row>
    <row r="51" spans="1:3" x14ac:dyDescent="0.25">
      <c r="A51" t="s">
        <v>52</v>
      </c>
    </row>
    <row r="53" spans="1:3" x14ac:dyDescent="0.25">
      <c r="A53" t="s">
        <v>131</v>
      </c>
    </row>
    <row r="55" spans="1:3" x14ac:dyDescent="0.25">
      <c r="A55" t="s">
        <v>89</v>
      </c>
    </row>
    <row r="56" spans="1:3" x14ac:dyDescent="0.25">
      <c r="A56" t="s">
        <v>90</v>
      </c>
    </row>
    <row r="57" spans="1:3" x14ac:dyDescent="0.25">
      <c r="A57" t="s">
        <v>91</v>
      </c>
    </row>
    <row r="59" spans="1:3" x14ac:dyDescent="0.25">
      <c r="B59" s="1" t="s">
        <v>53</v>
      </c>
      <c r="C59" s="1" t="s">
        <v>54</v>
      </c>
    </row>
    <row r="60" spans="1:3" x14ac:dyDescent="0.25">
      <c r="B60" s="1">
        <v>1896</v>
      </c>
      <c r="C60" s="8" t="s">
        <v>93</v>
      </c>
    </row>
    <row r="61" spans="1:3" x14ac:dyDescent="0.25">
      <c r="B61" s="1">
        <f>B60+1</f>
        <v>1897</v>
      </c>
      <c r="C61" s="8" t="s">
        <v>93</v>
      </c>
    </row>
    <row r="62" spans="1:3" x14ac:dyDescent="0.25">
      <c r="B62" s="1">
        <f t="shared" ref="B62:B80" si="0">B61+1</f>
        <v>1898</v>
      </c>
      <c r="C62" s="8" t="s">
        <v>93</v>
      </c>
    </row>
    <row r="63" spans="1:3" x14ac:dyDescent="0.25">
      <c r="B63" s="1">
        <f t="shared" si="0"/>
        <v>1899</v>
      </c>
      <c r="C63" s="8" t="s">
        <v>55</v>
      </c>
    </row>
    <row r="64" spans="1:3" x14ac:dyDescent="0.25">
      <c r="B64" s="1">
        <f t="shared" si="0"/>
        <v>1900</v>
      </c>
      <c r="C64" s="8" t="s">
        <v>56</v>
      </c>
    </row>
    <row r="65" spans="2:3" x14ac:dyDescent="0.25">
      <c r="B65" s="1">
        <f t="shared" si="0"/>
        <v>1901</v>
      </c>
      <c r="C65" s="8" t="s">
        <v>55</v>
      </c>
    </row>
    <row r="66" spans="2:3" x14ac:dyDescent="0.25">
      <c r="B66" s="1">
        <f t="shared" si="0"/>
        <v>1902</v>
      </c>
      <c r="C66" s="8" t="s">
        <v>57</v>
      </c>
    </row>
    <row r="67" spans="2:3" x14ac:dyDescent="0.25">
      <c r="B67" s="1">
        <f t="shared" si="0"/>
        <v>1903</v>
      </c>
      <c r="C67" s="8" t="s">
        <v>58</v>
      </c>
    </row>
    <row r="68" spans="2:3" x14ac:dyDescent="0.25">
      <c r="B68" s="1">
        <f t="shared" si="0"/>
        <v>1904</v>
      </c>
      <c r="C68" s="8" t="s">
        <v>59</v>
      </c>
    </row>
    <row r="69" spans="2:3" x14ac:dyDescent="0.25">
      <c r="B69" s="1">
        <f t="shared" si="0"/>
        <v>1905</v>
      </c>
      <c r="C69" s="8" t="s">
        <v>60</v>
      </c>
    </row>
    <row r="70" spans="2:3" x14ac:dyDescent="0.25">
      <c r="B70" s="1">
        <f t="shared" si="0"/>
        <v>1906</v>
      </c>
      <c r="C70" s="8" t="s">
        <v>61</v>
      </c>
    </row>
    <row r="71" spans="2:3" x14ac:dyDescent="0.25">
      <c r="B71" s="1">
        <f t="shared" si="0"/>
        <v>1907</v>
      </c>
      <c r="C71" s="8" t="s">
        <v>61</v>
      </c>
    </row>
    <row r="72" spans="2:3" x14ac:dyDescent="0.25">
      <c r="B72" s="1">
        <f t="shared" si="0"/>
        <v>1908</v>
      </c>
      <c r="C72" s="8" t="s">
        <v>62</v>
      </c>
    </row>
    <row r="73" spans="2:3" x14ac:dyDescent="0.25">
      <c r="B73" s="1">
        <f t="shared" si="0"/>
        <v>1909</v>
      </c>
      <c r="C73" s="8" t="s">
        <v>63</v>
      </c>
    </row>
    <row r="74" spans="2:3" x14ac:dyDescent="0.25">
      <c r="B74" s="1">
        <f t="shared" si="0"/>
        <v>1910</v>
      </c>
      <c r="C74" s="8" t="s">
        <v>63</v>
      </c>
    </row>
    <row r="75" spans="2:3" x14ac:dyDescent="0.25">
      <c r="B75" s="1">
        <f t="shared" si="0"/>
        <v>1911</v>
      </c>
      <c r="C75" s="8" t="s">
        <v>63</v>
      </c>
    </row>
    <row r="76" spans="2:3" x14ac:dyDescent="0.25">
      <c r="B76" s="1">
        <f t="shared" si="0"/>
        <v>1912</v>
      </c>
      <c r="C76" s="8" t="s">
        <v>64</v>
      </c>
    </row>
    <row r="77" spans="2:3" x14ac:dyDescent="0.25">
      <c r="B77" s="1">
        <f t="shared" si="0"/>
        <v>1913</v>
      </c>
      <c r="C77" s="8" t="s">
        <v>65</v>
      </c>
    </row>
    <row r="78" spans="2:3" x14ac:dyDescent="0.25">
      <c r="B78" s="1">
        <f t="shared" si="0"/>
        <v>1914</v>
      </c>
      <c r="C78" s="8" t="s">
        <v>66</v>
      </c>
    </row>
    <row r="79" spans="2:3" x14ac:dyDescent="0.25">
      <c r="B79" s="1">
        <f t="shared" si="0"/>
        <v>1915</v>
      </c>
      <c r="C79" s="8" t="s">
        <v>67</v>
      </c>
    </row>
    <row r="80" spans="2:3" x14ac:dyDescent="0.25">
      <c r="B80" s="1">
        <f t="shared" si="0"/>
        <v>1916</v>
      </c>
      <c r="C80" s="8" t="s">
        <v>63</v>
      </c>
    </row>
    <row r="81" spans="1:3" x14ac:dyDescent="0.25">
      <c r="B81" s="1">
        <v>1917</v>
      </c>
      <c r="C81" s="8" t="s">
        <v>63</v>
      </c>
    </row>
    <row r="83" spans="1:3" x14ac:dyDescent="0.25">
      <c r="A83" t="s">
        <v>96</v>
      </c>
    </row>
    <row r="84" spans="1:3" x14ac:dyDescent="0.25">
      <c r="A84" t="s">
        <v>97</v>
      </c>
    </row>
    <row r="86" spans="1:3" x14ac:dyDescent="0.25">
      <c r="A86" t="s">
        <v>130</v>
      </c>
    </row>
    <row r="88" spans="1:3" x14ac:dyDescent="0.25">
      <c r="B88" s="1">
        <v>1908</v>
      </c>
      <c r="C88" s="1" t="s">
        <v>133</v>
      </c>
    </row>
    <row r="89" spans="1:3" x14ac:dyDescent="0.25">
      <c r="B89" s="1">
        <f t="shared" ref="B89:B96" si="1">B88+1</f>
        <v>1909</v>
      </c>
      <c r="C89" s="1" t="s">
        <v>134</v>
      </c>
    </row>
    <row r="90" spans="1:3" x14ac:dyDescent="0.25">
      <c r="B90" s="1">
        <f t="shared" si="1"/>
        <v>1910</v>
      </c>
      <c r="C90" s="1" t="s">
        <v>134</v>
      </c>
    </row>
    <row r="91" spans="1:3" x14ac:dyDescent="0.25">
      <c r="B91" s="1">
        <f t="shared" si="1"/>
        <v>1911</v>
      </c>
      <c r="C91" s="1" t="s">
        <v>137</v>
      </c>
    </row>
    <row r="92" spans="1:3" x14ac:dyDescent="0.25">
      <c r="B92" s="1">
        <f t="shared" si="1"/>
        <v>1912</v>
      </c>
      <c r="C92" s="1" t="s">
        <v>135</v>
      </c>
    </row>
    <row r="93" spans="1:3" x14ac:dyDescent="0.25">
      <c r="B93" s="1">
        <f t="shared" si="1"/>
        <v>1913</v>
      </c>
      <c r="C93" s="1" t="s">
        <v>136</v>
      </c>
    </row>
    <row r="94" spans="1:3" x14ac:dyDescent="0.25">
      <c r="B94" s="1">
        <f t="shared" si="1"/>
        <v>1914</v>
      </c>
      <c r="C94" s="1" t="s">
        <v>138</v>
      </c>
    </row>
    <row r="95" spans="1:3" x14ac:dyDescent="0.25">
      <c r="B95" s="1">
        <f t="shared" si="1"/>
        <v>1915</v>
      </c>
      <c r="C95" s="1" t="s">
        <v>139</v>
      </c>
    </row>
    <row r="96" spans="1:3" x14ac:dyDescent="0.25">
      <c r="B96" s="1">
        <f t="shared" si="1"/>
        <v>1916</v>
      </c>
      <c r="C96" s="1" t="s">
        <v>140</v>
      </c>
    </row>
    <row r="97" spans="2:3" x14ac:dyDescent="0.25">
      <c r="B97" s="1">
        <v>1917</v>
      </c>
      <c r="C97" s="1" t="s">
        <v>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5" x14ac:dyDescent="0.25"/>
  <cols>
    <col min="4" max="4" width="10.42578125" customWidth="1"/>
    <col min="5" max="5" width="12.42578125" customWidth="1"/>
    <col min="6" max="6" width="27.140625" customWidth="1"/>
  </cols>
  <sheetData>
    <row r="1" spans="1:20" ht="45" x14ac:dyDescent="0.25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106</v>
      </c>
      <c r="Q1" s="19" t="s">
        <v>102</v>
      </c>
      <c r="R1" s="20" t="s">
        <v>101</v>
      </c>
      <c r="S1" s="20" t="s">
        <v>103</v>
      </c>
      <c r="T1" s="20" t="s">
        <v>104</v>
      </c>
    </row>
    <row r="2" spans="1:20" x14ac:dyDescent="0.25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100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 x14ac:dyDescent="0.25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 x14ac:dyDescent="0.25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 x14ac:dyDescent="0.25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 x14ac:dyDescent="0.25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 x14ac:dyDescent="0.25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 x14ac:dyDescent="0.25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 x14ac:dyDescent="0.25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 x14ac:dyDescent="0.25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 x14ac:dyDescent="0.25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 x14ac:dyDescent="0.25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 x14ac:dyDescent="0.25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 x14ac:dyDescent="0.25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 x14ac:dyDescent="0.25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 x14ac:dyDescent="0.25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 x14ac:dyDescent="0.25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 x14ac:dyDescent="0.25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 x14ac:dyDescent="0.25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 x14ac:dyDescent="0.25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 x14ac:dyDescent="0.25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 x14ac:dyDescent="0.25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 x14ac:dyDescent="0.25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 x14ac:dyDescent="0.25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workbookViewId="0">
      <selection activeCell="A6" sqref="A6"/>
    </sheetView>
  </sheetViews>
  <sheetFormatPr defaultRowHeight="15" x14ac:dyDescent="0.25"/>
  <cols>
    <col min="1" max="1" width="16.5703125" customWidth="1"/>
    <col min="2" max="2" width="7.28515625" bestFit="1" customWidth="1"/>
    <col min="3" max="3" width="8.140625" customWidth="1"/>
    <col min="4" max="4" width="7.5703125" customWidth="1"/>
    <col min="5" max="5" width="5.7109375" customWidth="1"/>
    <col min="6" max="6" width="9.5703125" customWidth="1"/>
    <col min="7" max="7" width="8.140625" bestFit="1" customWidth="1"/>
    <col min="8" max="8" width="7.7109375" customWidth="1"/>
    <col min="9" max="9" width="7.5703125" customWidth="1"/>
    <col min="10" max="10" width="7.140625" bestFit="1" customWidth="1"/>
    <col min="11" max="11" width="11" customWidth="1"/>
    <col min="12" max="12" width="10.140625" customWidth="1"/>
    <col min="13" max="13" width="6.85546875" bestFit="1" customWidth="1"/>
    <col min="16" max="16" width="15.42578125" customWidth="1"/>
    <col min="17" max="17" width="10.85546875" bestFit="1" customWidth="1"/>
    <col min="19" max="19" width="11.85546875" bestFit="1" customWidth="1"/>
    <col min="20" max="20" width="10.85546875" bestFit="1" customWidth="1"/>
    <col min="22" max="22" width="11.85546875" bestFit="1" customWidth="1"/>
    <col min="23" max="23" width="10.85546875" bestFit="1" customWidth="1"/>
    <col min="25" max="25" width="11.85546875" bestFit="1" customWidth="1"/>
    <col min="26" max="26" width="10.85546875" bestFit="1" customWidth="1"/>
    <col min="28" max="28" width="11.85546875" bestFit="1" customWidth="1"/>
    <col min="29" max="29" width="10.85546875" bestFit="1" customWidth="1"/>
    <col min="31" max="31" width="11.85546875" bestFit="1" customWidth="1"/>
    <col min="32" max="32" width="10.85546875" bestFit="1" customWidth="1"/>
    <col min="34" max="34" width="11.85546875" bestFit="1" customWidth="1"/>
    <col min="35" max="35" width="10.85546875" bestFit="1" customWidth="1"/>
  </cols>
  <sheetData>
    <row r="1" spans="1:35" x14ac:dyDescent="0.25">
      <c r="A1" t="s">
        <v>92</v>
      </c>
    </row>
    <row r="3" spans="1:35" x14ac:dyDescent="0.25">
      <c r="A3" t="s">
        <v>68</v>
      </c>
    </row>
    <row r="5" spans="1:35" x14ac:dyDescent="0.25">
      <c r="A5" t="s">
        <v>217</v>
      </c>
    </row>
    <row r="6" spans="1:35" x14ac:dyDescent="0.25">
      <c r="A6" t="s">
        <v>69</v>
      </c>
    </row>
    <row r="7" spans="1:35" x14ac:dyDescent="0.25">
      <c r="A7" t="s">
        <v>83</v>
      </c>
      <c r="P7" t="s">
        <v>98</v>
      </c>
    </row>
    <row r="9" spans="1:35" x14ac:dyDescent="0.2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 x14ac:dyDescent="0.2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94</v>
      </c>
      <c r="Q10" s="10" t="s">
        <v>95</v>
      </c>
      <c r="S10" s="10" t="s">
        <v>94</v>
      </c>
      <c r="T10" s="10" t="s">
        <v>95</v>
      </c>
      <c r="V10" s="10" t="s">
        <v>94</v>
      </c>
      <c r="W10" s="10" t="s">
        <v>95</v>
      </c>
      <c r="Y10" s="10" t="s">
        <v>94</v>
      </c>
      <c r="Z10" s="10" t="s">
        <v>95</v>
      </c>
      <c r="AB10" s="10" t="s">
        <v>94</v>
      </c>
      <c r="AC10" s="10" t="s">
        <v>95</v>
      </c>
      <c r="AE10" s="10" t="s">
        <v>94</v>
      </c>
      <c r="AF10" s="10" t="s">
        <v>95</v>
      </c>
      <c r="AH10" s="10" t="s">
        <v>94</v>
      </c>
      <c r="AI10" s="10" t="s">
        <v>95</v>
      </c>
    </row>
    <row r="11" spans="1:35" x14ac:dyDescent="0.2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 x14ac:dyDescent="0.2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 x14ac:dyDescent="0.2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 x14ac:dyDescent="0.2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 x14ac:dyDescent="0.2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 x14ac:dyDescent="0.2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 x14ac:dyDescent="0.2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 x14ac:dyDescent="0.2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 x14ac:dyDescent="0.2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 x14ac:dyDescent="0.2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 x14ac:dyDescent="0.2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 x14ac:dyDescent="0.2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 x14ac:dyDescent="0.2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 x14ac:dyDescent="0.2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 x14ac:dyDescent="0.2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 x14ac:dyDescent="0.2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 x14ac:dyDescent="0.2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 x14ac:dyDescent="0.2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 x14ac:dyDescent="0.2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 x14ac:dyDescent="0.2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 x14ac:dyDescent="0.2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 x14ac:dyDescent="0.2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 x14ac:dyDescent="0.2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 x14ac:dyDescent="0.2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 x14ac:dyDescent="0.2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 x14ac:dyDescent="0.25">
      <c r="A38" t="s">
        <v>86</v>
      </c>
    </row>
    <row r="40" spans="1:35" x14ac:dyDescent="0.2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169</v>
      </c>
    </row>
    <row r="41" spans="1:35" x14ac:dyDescent="0.2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 x14ac:dyDescent="0.2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 x14ac:dyDescent="0.2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 x14ac:dyDescent="0.2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 x14ac:dyDescent="0.2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 x14ac:dyDescent="0.2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 x14ac:dyDescent="0.2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 x14ac:dyDescent="0.2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 x14ac:dyDescent="0.2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 x14ac:dyDescent="0.2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 x14ac:dyDescent="0.2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 x14ac:dyDescent="0.2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 x14ac:dyDescent="0.2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 x14ac:dyDescent="0.2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 x14ac:dyDescent="0.2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 x14ac:dyDescent="0.2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 x14ac:dyDescent="0.2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 x14ac:dyDescent="0.2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 x14ac:dyDescent="0.2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 x14ac:dyDescent="0.2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 x14ac:dyDescent="0.2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 x14ac:dyDescent="0.2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 x14ac:dyDescent="0.2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 x14ac:dyDescent="0.25">
      <c r="A66" t="s">
        <v>132</v>
      </c>
    </row>
    <row r="68" spans="1:19" x14ac:dyDescent="0.25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 x14ac:dyDescent="0.25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 x14ac:dyDescent="0.25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 x14ac:dyDescent="0.25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 x14ac:dyDescent="0.25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 x14ac:dyDescent="0.25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 x14ac:dyDescent="0.25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 x14ac:dyDescent="0.25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 x14ac:dyDescent="0.25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174</v>
      </c>
      <c r="Q76" t="s">
        <v>175</v>
      </c>
      <c r="R76" t="s">
        <v>176</v>
      </c>
    </row>
    <row r="77" spans="1:19" x14ac:dyDescent="0.25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 x14ac:dyDescent="0.25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177</v>
      </c>
    </row>
    <row r="80" spans="1:19" x14ac:dyDescent="0.25">
      <c r="A80" t="s">
        <v>141</v>
      </c>
    </row>
    <row r="82" spans="1:13" x14ac:dyDescent="0.25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 x14ac:dyDescent="0.25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 x14ac:dyDescent="0.25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 x14ac:dyDescent="0.25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 x14ac:dyDescent="0.25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 x14ac:dyDescent="0.25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 x14ac:dyDescent="0.25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 x14ac:dyDescent="0.25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 x14ac:dyDescent="0.25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 x14ac:dyDescent="0.25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 x14ac:dyDescent="0.25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 x14ac:dyDescent="0.25">
      <c r="A94" t="s">
        <v>145</v>
      </c>
    </row>
    <row r="96" spans="1:13" x14ac:dyDescent="0.25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 x14ac:dyDescent="0.25">
      <c r="A97" t="s">
        <v>142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 x14ac:dyDescent="0.25">
      <c r="A98" t="s">
        <v>143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 x14ac:dyDescent="0.25">
      <c r="A99" t="s">
        <v>144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 x14ac:dyDescent="0.25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x14ac:dyDescent="0.25">
      <c r="A101" t="s">
        <v>151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x14ac:dyDescent="0.25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x14ac:dyDescent="0.25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 x14ac:dyDescent="0.25">
      <c r="A104" t="s">
        <v>142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 x14ac:dyDescent="0.25">
      <c r="A105" t="s">
        <v>143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 x14ac:dyDescent="0.25">
      <c r="A106" t="s">
        <v>144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 x14ac:dyDescent="0.25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x14ac:dyDescent="0.25">
      <c r="A108" t="s">
        <v>152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x14ac:dyDescent="0.25">
      <c r="A109" t="s">
        <v>153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x14ac:dyDescent="0.25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x14ac:dyDescent="0.25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 x14ac:dyDescent="0.25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 x14ac:dyDescent="0.25">
      <c r="A114" t="s">
        <v>170</v>
      </c>
    </row>
    <row r="116" spans="1:16" x14ac:dyDescent="0.25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169</v>
      </c>
      <c r="P116" s="10" t="s">
        <v>172</v>
      </c>
    </row>
    <row r="117" spans="1:16" x14ac:dyDescent="0.25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 x14ac:dyDescent="0.25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 x14ac:dyDescent="0.25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 x14ac:dyDescent="0.25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 x14ac:dyDescent="0.25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 x14ac:dyDescent="0.25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 x14ac:dyDescent="0.25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 x14ac:dyDescent="0.25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 x14ac:dyDescent="0.25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 x14ac:dyDescent="0.25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 x14ac:dyDescent="0.25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 x14ac:dyDescent="0.25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 x14ac:dyDescent="0.25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 x14ac:dyDescent="0.25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 x14ac:dyDescent="0.25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 x14ac:dyDescent="0.25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 x14ac:dyDescent="0.25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 x14ac:dyDescent="0.25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 x14ac:dyDescent="0.25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 x14ac:dyDescent="0.25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 x14ac:dyDescent="0.25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 x14ac:dyDescent="0.25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 x14ac:dyDescent="0.25">
      <c r="A140" s="30" t="s">
        <v>173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 x14ac:dyDescent="0.25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 x14ac:dyDescent="0.25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 x14ac:dyDescent="0.25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 x14ac:dyDescent="0.25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 x14ac:dyDescent="0.2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 x14ac:dyDescent="0.2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 x14ac:dyDescent="0.2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 x14ac:dyDescent="0.2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 x14ac:dyDescent="0.2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 x14ac:dyDescent="0.25">
      <c r="A150" s="30" t="s">
        <v>171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 x14ac:dyDescent="0.2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 x14ac:dyDescent="0.2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 x14ac:dyDescent="0.2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 x14ac:dyDescent="0.2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 x14ac:dyDescent="0.2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 x14ac:dyDescent="0.2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 x14ac:dyDescent="0.2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 x14ac:dyDescent="0.2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 x14ac:dyDescent="0.2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 x14ac:dyDescent="0.2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 x14ac:dyDescent="0.2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 x14ac:dyDescent="0.2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 x14ac:dyDescent="0.2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 x14ac:dyDescent="0.2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 x14ac:dyDescent="0.2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 x14ac:dyDescent="0.2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 x14ac:dyDescent="0.2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 x14ac:dyDescent="0.2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 x14ac:dyDescent="0.2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 x14ac:dyDescent="0.2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 x14ac:dyDescent="0.2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 x14ac:dyDescent="0.2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 x14ac:dyDescent="0.2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 x14ac:dyDescent="0.2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 x14ac:dyDescent="0.25">
      <c r="A176" t="s">
        <v>146</v>
      </c>
    </row>
    <row r="178" spans="1:16" x14ac:dyDescent="0.25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169</v>
      </c>
    </row>
    <row r="179" spans="1:16" x14ac:dyDescent="0.25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 x14ac:dyDescent="0.25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 x14ac:dyDescent="0.25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 x14ac:dyDescent="0.25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 x14ac:dyDescent="0.25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 x14ac:dyDescent="0.25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 x14ac:dyDescent="0.25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 x14ac:dyDescent="0.25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 x14ac:dyDescent="0.25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 x14ac:dyDescent="0.25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 x14ac:dyDescent="0.25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 x14ac:dyDescent="0.25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 x14ac:dyDescent="0.25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 x14ac:dyDescent="0.25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 x14ac:dyDescent="0.2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 x14ac:dyDescent="0.2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 x14ac:dyDescent="0.2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 x14ac:dyDescent="0.2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 x14ac:dyDescent="0.2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 x14ac:dyDescent="0.2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 x14ac:dyDescent="0.2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 x14ac:dyDescent="0.2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 x14ac:dyDescent="0.25">
      <c r="A202" t="s">
        <v>178</v>
      </c>
    </row>
    <row r="204" spans="1:15" x14ac:dyDescent="0.2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169</v>
      </c>
    </row>
    <row r="205" spans="1:15" x14ac:dyDescent="0.2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 x14ac:dyDescent="0.2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 x14ac:dyDescent="0.2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 x14ac:dyDescent="0.2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 x14ac:dyDescent="0.2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 x14ac:dyDescent="0.2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 x14ac:dyDescent="0.2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 x14ac:dyDescent="0.2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 x14ac:dyDescent="0.2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 x14ac:dyDescent="0.2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 x14ac:dyDescent="0.2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 x14ac:dyDescent="0.2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 x14ac:dyDescent="0.2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 x14ac:dyDescent="0.2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 x14ac:dyDescent="0.2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 x14ac:dyDescent="0.2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 x14ac:dyDescent="0.2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 x14ac:dyDescent="0.2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 x14ac:dyDescent="0.2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 x14ac:dyDescent="0.2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 x14ac:dyDescent="0.2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 x14ac:dyDescent="0.2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 x14ac:dyDescent="0.2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 x14ac:dyDescent="0.25">
      <c r="A229" t="s">
        <v>179</v>
      </c>
    </row>
    <row r="230" spans="1:15" x14ac:dyDescent="0.25">
      <c r="L230" s="4"/>
    </row>
    <row r="231" spans="1:15" x14ac:dyDescent="0.25">
      <c r="A231" t="s">
        <v>180</v>
      </c>
      <c r="G231">
        <v>89</v>
      </c>
      <c r="L231" s="4"/>
    </row>
    <row r="232" spans="1:15" x14ac:dyDescent="0.25">
      <c r="L232" s="4"/>
    </row>
    <row r="233" spans="1:15" x14ac:dyDescent="0.2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169</v>
      </c>
    </row>
    <row r="234" spans="1:15" x14ac:dyDescent="0.2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 x14ac:dyDescent="0.2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 x14ac:dyDescent="0.2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 x14ac:dyDescent="0.2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 x14ac:dyDescent="0.2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 x14ac:dyDescent="0.2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 x14ac:dyDescent="0.2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 x14ac:dyDescent="0.2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 x14ac:dyDescent="0.2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 x14ac:dyDescent="0.2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 x14ac:dyDescent="0.2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 x14ac:dyDescent="0.2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 x14ac:dyDescent="0.2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 x14ac:dyDescent="0.2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 x14ac:dyDescent="0.2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 x14ac:dyDescent="0.2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 x14ac:dyDescent="0.2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 x14ac:dyDescent="0.2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 x14ac:dyDescent="0.2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 x14ac:dyDescent="0.2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 x14ac:dyDescent="0.2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 x14ac:dyDescent="0.2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 x14ac:dyDescent="0.25">
      <c r="A257" t="s">
        <v>182</v>
      </c>
    </row>
    <row r="259" spans="1:17" x14ac:dyDescent="0.25">
      <c r="A259" s="14" t="s">
        <v>181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 x14ac:dyDescent="0.25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 x14ac:dyDescent="0.25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169</v>
      </c>
    </row>
    <row r="263" spans="1:17" x14ac:dyDescent="0.25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 x14ac:dyDescent="0.25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 x14ac:dyDescent="0.25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 x14ac:dyDescent="0.25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 x14ac:dyDescent="0.25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 x14ac:dyDescent="0.25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 x14ac:dyDescent="0.25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 x14ac:dyDescent="0.25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 x14ac:dyDescent="0.25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 x14ac:dyDescent="0.25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 x14ac:dyDescent="0.2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 x14ac:dyDescent="0.2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 x14ac:dyDescent="0.2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 x14ac:dyDescent="0.2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 x14ac:dyDescent="0.2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 x14ac:dyDescent="0.2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 x14ac:dyDescent="0.2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 x14ac:dyDescent="0.2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 x14ac:dyDescent="0.2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 x14ac:dyDescent="0.2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 x14ac:dyDescent="0.2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 x14ac:dyDescent="0.2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 x14ac:dyDescent="0.25">
      <c r="A286" t="s">
        <v>183</v>
      </c>
    </row>
    <row r="288" spans="1:15" x14ac:dyDescent="0.2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169</v>
      </c>
    </row>
    <row r="289" spans="1:15" x14ac:dyDescent="0.2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 x14ac:dyDescent="0.2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 x14ac:dyDescent="0.2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 x14ac:dyDescent="0.2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 x14ac:dyDescent="0.2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 x14ac:dyDescent="0.2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 x14ac:dyDescent="0.2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 x14ac:dyDescent="0.2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 x14ac:dyDescent="0.2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 x14ac:dyDescent="0.2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 x14ac:dyDescent="0.2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 x14ac:dyDescent="0.2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 x14ac:dyDescent="0.2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 x14ac:dyDescent="0.2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 x14ac:dyDescent="0.2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 x14ac:dyDescent="0.2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 x14ac:dyDescent="0.2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 x14ac:dyDescent="0.2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 x14ac:dyDescent="0.2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 x14ac:dyDescent="0.2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 x14ac:dyDescent="0.2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 x14ac:dyDescent="0.2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N228"/>
  <sheetViews>
    <sheetView tabSelected="1" topLeftCell="A52" workbookViewId="0">
      <selection activeCell="D60" sqref="D60:G95"/>
    </sheetView>
  </sheetViews>
  <sheetFormatPr defaultRowHeight="15" x14ac:dyDescent="0.25"/>
  <cols>
    <col min="1" max="1" width="13.42578125" customWidth="1"/>
    <col min="2" max="2" width="17.42578125" customWidth="1"/>
    <col min="3" max="3" width="10.7109375" customWidth="1"/>
    <col min="4" max="4" width="14.28515625" customWidth="1"/>
    <col min="5" max="5" width="12.5703125" customWidth="1"/>
    <col min="6" max="6" width="13.28515625" customWidth="1"/>
    <col min="7" max="7" width="10.28515625" customWidth="1"/>
    <col min="9" max="9" width="12.28515625" customWidth="1"/>
    <col min="10" max="10" width="11.5703125" customWidth="1"/>
  </cols>
  <sheetData>
    <row r="1" spans="1:11" x14ac:dyDescent="0.25">
      <c r="A1" t="s">
        <v>192</v>
      </c>
    </row>
    <row r="2" spans="1:11" x14ac:dyDescent="0.25">
      <c r="A2" t="s">
        <v>190</v>
      </c>
    </row>
    <row r="4" spans="1:11" ht="60" x14ac:dyDescent="0.25">
      <c r="A4" s="2" t="s">
        <v>116</v>
      </c>
      <c r="B4" s="3" t="s">
        <v>107</v>
      </c>
      <c r="C4" s="2" t="s">
        <v>108</v>
      </c>
      <c r="D4" s="2" t="s">
        <v>109</v>
      </c>
      <c r="E4" s="2" t="s">
        <v>110</v>
      </c>
      <c r="F4" s="3" t="s">
        <v>111</v>
      </c>
      <c r="G4" s="2" t="s">
        <v>112</v>
      </c>
      <c r="H4" s="2" t="s">
        <v>113</v>
      </c>
      <c r="I4" s="2" t="s">
        <v>114</v>
      </c>
      <c r="J4" s="3" t="s">
        <v>115</v>
      </c>
      <c r="K4" s="2" t="s">
        <v>80</v>
      </c>
    </row>
    <row r="5" spans="1:11" x14ac:dyDescent="0.25">
      <c r="A5" t="s">
        <v>117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</row>
    <row r="6" spans="1:11" x14ac:dyDescent="0.25">
      <c r="A6" t="s">
        <v>118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</row>
    <row r="7" spans="1:11" x14ac:dyDescent="0.25">
      <c r="A7" t="s">
        <v>119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</row>
    <row r="8" spans="1:11" x14ac:dyDescent="0.25">
      <c r="A8" t="s">
        <v>120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</row>
    <row r="9" spans="1:11" x14ac:dyDescent="0.25">
      <c r="A9" t="s">
        <v>121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</row>
    <row r="10" spans="1:11" x14ac:dyDescent="0.25">
      <c r="A10" t="s">
        <v>122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</row>
    <row r="11" spans="1:11" x14ac:dyDescent="0.25">
      <c r="A11" t="s">
        <v>123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</row>
    <row r="12" spans="1:11" x14ac:dyDescent="0.25">
      <c r="A12" t="s">
        <v>124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</row>
    <row r="13" spans="1:11" x14ac:dyDescent="0.25">
      <c r="A13" t="s">
        <v>125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</row>
    <row r="14" spans="1:11" x14ac:dyDescent="0.25">
      <c r="A14" s="22" t="s">
        <v>128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</row>
    <row r="15" spans="1:11" x14ac:dyDescent="0.25">
      <c r="A15" s="22" t="s">
        <v>129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</row>
    <row r="16" spans="1:11" x14ac:dyDescent="0.25">
      <c r="A16" s="17" t="s">
        <v>126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4" x14ac:dyDescent="0.25">
      <c r="A17" s="24" t="s">
        <v>127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4" x14ac:dyDescent="0.25">
      <c r="A18" s="33" t="s">
        <v>184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4" x14ac:dyDescent="0.25">
      <c r="A19" s="33" t="s">
        <v>185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4" x14ac:dyDescent="0.25">
      <c r="A22" t="s">
        <v>193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4" x14ac:dyDescent="0.25">
      <c r="A23" t="s">
        <v>191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4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4" x14ac:dyDescent="0.25">
      <c r="A25" s="36" t="s">
        <v>116</v>
      </c>
      <c r="B25" s="37" t="s">
        <v>147</v>
      </c>
      <c r="C25" s="37" t="s">
        <v>108</v>
      </c>
      <c r="D25" s="37" t="s">
        <v>109</v>
      </c>
      <c r="E25" s="37" t="s">
        <v>110</v>
      </c>
      <c r="F25" s="37" t="s">
        <v>148</v>
      </c>
      <c r="G25" s="37" t="s">
        <v>149</v>
      </c>
      <c r="H25" s="37" t="s">
        <v>150</v>
      </c>
      <c r="I25" s="37" t="s">
        <v>80</v>
      </c>
      <c r="J25" s="4"/>
      <c r="K25" s="4"/>
    </row>
    <row r="26" spans="1:14" x14ac:dyDescent="0.25">
      <c r="A26" t="s">
        <v>118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4" x14ac:dyDescent="0.25">
      <c r="A27" t="s">
        <v>119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4" x14ac:dyDescent="0.25">
      <c r="A28" t="s">
        <v>120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4" x14ac:dyDescent="0.25">
      <c r="A29" t="s">
        <v>121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4" x14ac:dyDescent="0.25">
      <c r="A30" s="21" t="s">
        <v>122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</row>
    <row r="31" spans="1:14" x14ac:dyDescent="0.25">
      <c r="A31" t="s">
        <v>123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</row>
    <row r="32" spans="1:14" x14ac:dyDescent="0.25">
      <c r="A32" t="s">
        <v>124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</row>
    <row r="33" spans="1:14" x14ac:dyDescent="0.25">
      <c r="A33" t="s">
        <v>125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</row>
    <row r="34" spans="1:14" x14ac:dyDescent="0.25">
      <c r="A34" s="27" t="s">
        <v>126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</row>
    <row r="35" spans="1:14" x14ac:dyDescent="0.25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</row>
    <row r="36" spans="1:14" x14ac:dyDescent="0.25">
      <c r="A36" s="33" t="s">
        <v>184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</row>
    <row r="37" spans="1:14" x14ac:dyDescent="0.25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4" x14ac:dyDescent="0.25">
      <c r="A39" t="s">
        <v>204</v>
      </c>
    </row>
    <row r="40" spans="1:14" x14ac:dyDescent="0.25">
      <c r="A40" t="s">
        <v>205</v>
      </c>
    </row>
    <row r="42" spans="1:14" ht="75" x14ac:dyDescent="0.25">
      <c r="A42" s="2" t="s">
        <v>116</v>
      </c>
      <c r="B42" s="39" t="s">
        <v>147</v>
      </c>
      <c r="C42" s="39" t="s">
        <v>108</v>
      </c>
      <c r="D42" s="40" t="s">
        <v>207</v>
      </c>
      <c r="E42" s="40" t="s">
        <v>206</v>
      </c>
      <c r="F42" s="40" t="s">
        <v>208</v>
      </c>
      <c r="G42" s="39" t="s">
        <v>109</v>
      </c>
      <c r="H42" s="39" t="s">
        <v>110</v>
      </c>
      <c r="I42" s="39" t="s">
        <v>148</v>
      </c>
      <c r="J42" s="39" t="s">
        <v>149</v>
      </c>
      <c r="K42" s="39" t="s">
        <v>150</v>
      </c>
      <c r="L42" s="39" t="s">
        <v>80</v>
      </c>
    </row>
    <row r="43" spans="1:14" x14ac:dyDescent="0.25">
      <c r="A43" t="s">
        <v>118</v>
      </c>
      <c r="B43" s="4"/>
      <c r="C43" s="4">
        <v>23669</v>
      </c>
      <c r="D43" s="4">
        <v>2336</v>
      </c>
      <c r="E43" s="4">
        <v>0</v>
      </c>
      <c r="F43" s="4">
        <f>C43+D43-E43</f>
        <v>26005</v>
      </c>
      <c r="G43" s="4">
        <v>190</v>
      </c>
      <c r="H43" s="4">
        <v>7463</v>
      </c>
      <c r="I43" s="4"/>
      <c r="J43" s="4"/>
      <c r="K43" s="4"/>
      <c r="L43" s="4">
        <f>SUM(B43) + SUM(F43:K43)</f>
        <v>33658</v>
      </c>
      <c r="M43" s="4"/>
    </row>
    <row r="44" spans="1:14" x14ac:dyDescent="0.25">
      <c r="A44" t="s">
        <v>119</v>
      </c>
      <c r="B44" s="4"/>
      <c r="C44" s="4">
        <v>58829</v>
      </c>
      <c r="D44" s="4">
        <v>9959</v>
      </c>
      <c r="E44" s="4">
        <v>0</v>
      </c>
      <c r="F44" s="4">
        <f t="shared" ref="F44:F50" si="17">C44+D44-E44</f>
        <v>68788</v>
      </c>
      <c r="G44" s="4">
        <v>120</v>
      </c>
      <c r="H44" s="4">
        <v>1066</v>
      </c>
      <c r="I44" s="4">
        <v>8</v>
      </c>
      <c r="J44" s="4"/>
      <c r="K44" s="4"/>
      <c r="L44" s="4">
        <f t="shared" ref="L44:L54" si="18">SUM(B44) + SUM(F44:K44)</f>
        <v>69982</v>
      </c>
      <c r="M44" s="4"/>
    </row>
    <row r="45" spans="1:14" x14ac:dyDescent="0.25">
      <c r="A45" t="s">
        <v>120</v>
      </c>
      <c r="B45" s="4"/>
      <c r="C45" s="4">
        <v>142545</v>
      </c>
      <c r="D45" s="4">
        <v>15994</v>
      </c>
      <c r="E45" s="4">
        <v>0</v>
      </c>
      <c r="F45" s="4">
        <f t="shared" si="17"/>
        <v>158539</v>
      </c>
      <c r="G45" s="4">
        <v>4035</v>
      </c>
      <c r="H45" s="4">
        <v>27271</v>
      </c>
      <c r="I45" s="4">
        <v>5</v>
      </c>
      <c r="J45" s="4"/>
      <c r="K45" s="4"/>
      <c r="L45" s="4">
        <f t="shared" si="18"/>
        <v>189850</v>
      </c>
      <c r="M45" s="4"/>
    </row>
    <row r="46" spans="1:14" x14ac:dyDescent="0.25">
      <c r="A46" t="s">
        <v>121</v>
      </c>
      <c r="B46" s="4"/>
      <c r="C46" s="4">
        <v>246432</v>
      </c>
      <c r="D46" s="4">
        <v>44935</v>
      </c>
      <c r="E46" s="4">
        <v>22287</v>
      </c>
      <c r="F46" s="4">
        <f t="shared" si="17"/>
        <v>269080</v>
      </c>
      <c r="G46" s="4">
        <v>11010</v>
      </c>
      <c r="H46" s="4">
        <v>12462</v>
      </c>
      <c r="I46" s="4">
        <v>22</v>
      </c>
      <c r="J46" s="4"/>
      <c r="K46" s="4"/>
      <c r="L46" s="4">
        <f t="shared" si="18"/>
        <v>292574</v>
      </c>
      <c r="M46" s="4"/>
    </row>
    <row r="47" spans="1:14" x14ac:dyDescent="0.25">
      <c r="A47" s="21" t="s">
        <v>122</v>
      </c>
      <c r="B47" s="4"/>
      <c r="C47" s="4">
        <v>258858</v>
      </c>
      <c r="D47" s="4">
        <v>9582</v>
      </c>
      <c r="E47" s="4">
        <v>30544</v>
      </c>
      <c r="F47" s="4">
        <f t="shared" si="17"/>
        <v>237896</v>
      </c>
      <c r="G47" s="4">
        <v>6456</v>
      </c>
      <c r="H47" s="4">
        <v>1978</v>
      </c>
      <c r="I47" s="4">
        <v>9</v>
      </c>
      <c r="J47" s="4"/>
      <c r="K47" s="4"/>
      <c r="L47" s="4">
        <f t="shared" si="18"/>
        <v>246339</v>
      </c>
      <c r="M47" s="4"/>
    </row>
    <row r="48" spans="1:14" x14ac:dyDescent="0.25">
      <c r="A48" t="s">
        <v>123</v>
      </c>
      <c r="B48" s="4">
        <v>12995</v>
      </c>
      <c r="C48" s="4">
        <v>678735</v>
      </c>
      <c r="D48" s="4"/>
      <c r="E48" s="4">
        <v>69344</v>
      </c>
      <c r="F48" s="4">
        <f t="shared" si="17"/>
        <v>609391</v>
      </c>
      <c r="G48" s="4">
        <v>19739</v>
      </c>
      <c r="H48" s="4">
        <v>1861</v>
      </c>
      <c r="I48" s="4">
        <v>18</v>
      </c>
      <c r="J48" s="4">
        <v>527</v>
      </c>
      <c r="K48" s="4"/>
      <c r="L48" s="4">
        <f t="shared" si="18"/>
        <v>644531</v>
      </c>
      <c r="M48" s="4"/>
    </row>
    <row r="49" spans="1:13" x14ac:dyDescent="0.25">
      <c r="A49" t="s">
        <v>124</v>
      </c>
      <c r="B49" s="4">
        <v>26337</v>
      </c>
      <c r="C49" s="4">
        <v>938571</v>
      </c>
      <c r="D49" s="4"/>
      <c r="E49" s="4">
        <v>60276</v>
      </c>
      <c r="F49" s="4">
        <f t="shared" si="17"/>
        <v>878295</v>
      </c>
      <c r="G49" s="4">
        <v>64754</v>
      </c>
      <c r="H49" s="4">
        <v>15360</v>
      </c>
      <c r="I49" s="4"/>
      <c r="J49" s="4">
        <v>2231</v>
      </c>
      <c r="K49" s="4"/>
      <c r="L49" s="4">
        <f t="shared" si="18"/>
        <v>986977</v>
      </c>
      <c r="M49" s="4"/>
    </row>
    <row r="50" spans="1:13" x14ac:dyDescent="0.25">
      <c r="A50" t="s">
        <v>125</v>
      </c>
      <c r="B50" s="4">
        <v>58290</v>
      </c>
      <c r="C50" s="4">
        <v>894003</v>
      </c>
      <c r="D50" s="4"/>
      <c r="E50" s="4">
        <v>38424</v>
      </c>
      <c r="F50" s="4">
        <f t="shared" si="17"/>
        <v>855579</v>
      </c>
      <c r="G50" s="4">
        <v>55308</v>
      </c>
      <c r="H50" s="4">
        <v>35055</v>
      </c>
      <c r="I50" s="4"/>
      <c r="J50" s="4">
        <v>5649</v>
      </c>
      <c r="K50" s="4">
        <v>404</v>
      </c>
      <c r="L50" s="4">
        <f t="shared" si="18"/>
        <v>1010285</v>
      </c>
      <c r="M50" s="4"/>
    </row>
    <row r="51" spans="1:13" x14ac:dyDescent="0.25">
      <c r="A51" s="27" t="s">
        <v>126</v>
      </c>
      <c r="B51" s="12">
        <f>SUM(B47:B50)</f>
        <v>97622</v>
      </c>
      <c r="C51" s="12">
        <f t="shared" ref="C51:K51" si="19">SUM(C47:C50)</f>
        <v>2770167</v>
      </c>
      <c r="D51" s="12">
        <f t="shared" si="19"/>
        <v>9582</v>
      </c>
      <c r="E51" s="12">
        <f t="shared" si="19"/>
        <v>198588</v>
      </c>
      <c r="F51" s="12">
        <f t="shared" si="19"/>
        <v>2581161</v>
      </c>
      <c r="G51" s="12">
        <f t="shared" si="19"/>
        <v>146257</v>
      </c>
      <c r="H51" s="12">
        <f t="shared" si="19"/>
        <v>54254</v>
      </c>
      <c r="I51" s="12">
        <f t="shared" si="19"/>
        <v>27</v>
      </c>
      <c r="J51" s="12">
        <f t="shared" si="19"/>
        <v>8407</v>
      </c>
      <c r="K51" s="12">
        <f t="shared" si="19"/>
        <v>404</v>
      </c>
      <c r="L51" s="12">
        <f t="shared" si="18"/>
        <v>2888132</v>
      </c>
    </row>
    <row r="52" spans="1:13" x14ac:dyDescent="0.25">
      <c r="A52" s="22" t="s">
        <v>88</v>
      </c>
      <c r="B52" s="23">
        <f>B51/$L51*100</f>
        <v>3.38010866539341</v>
      </c>
      <c r="C52" s="23"/>
      <c r="D52" s="23"/>
      <c r="E52" s="23"/>
      <c r="F52" s="23">
        <f t="shared" ref="F52:K52" si="20">F51/$L51*100</f>
        <v>89.371296048795557</v>
      </c>
      <c r="G52" s="23">
        <f t="shared" si="20"/>
        <v>5.064069093794882</v>
      </c>
      <c r="H52" s="23">
        <f t="shared" si="20"/>
        <v>1.8785152479180314</v>
      </c>
      <c r="I52" s="23">
        <f t="shared" si="20"/>
        <v>9.3486031801870548E-4</v>
      </c>
      <c r="J52" s="23">
        <f t="shared" si="20"/>
        <v>0.29108780346604657</v>
      </c>
      <c r="K52" s="23">
        <f t="shared" si="20"/>
        <v>1.3988280314057668E-2</v>
      </c>
      <c r="L52" s="23">
        <f t="shared" si="18"/>
        <v>100</v>
      </c>
    </row>
    <row r="53" spans="1:13" x14ac:dyDescent="0.25">
      <c r="A53" s="33" t="s">
        <v>184</v>
      </c>
      <c r="B53" s="34">
        <f t="shared" ref="B53:K53" si="21">SUM(B44:B46)</f>
        <v>0</v>
      </c>
      <c r="C53" s="34">
        <f t="shared" si="21"/>
        <v>447806</v>
      </c>
      <c r="D53" s="34">
        <f t="shared" si="21"/>
        <v>70888</v>
      </c>
      <c r="E53" s="34">
        <f t="shared" si="21"/>
        <v>22287</v>
      </c>
      <c r="F53" s="34">
        <f t="shared" si="21"/>
        <v>496407</v>
      </c>
      <c r="G53" s="34">
        <f t="shared" si="21"/>
        <v>15165</v>
      </c>
      <c r="H53" s="34">
        <f t="shared" si="21"/>
        <v>40799</v>
      </c>
      <c r="I53" s="34">
        <f t="shared" si="21"/>
        <v>35</v>
      </c>
      <c r="J53" s="34">
        <f t="shared" si="21"/>
        <v>0</v>
      </c>
      <c r="K53" s="34">
        <f t="shared" si="21"/>
        <v>0</v>
      </c>
      <c r="L53" s="34">
        <f t="shared" si="18"/>
        <v>552406</v>
      </c>
    </row>
    <row r="54" spans="1:13" x14ac:dyDescent="0.25">
      <c r="A54" s="33" t="s">
        <v>88</v>
      </c>
      <c r="B54" s="35">
        <f>B53/$L53*100</f>
        <v>0</v>
      </c>
      <c r="C54" s="35"/>
      <c r="D54" s="35"/>
      <c r="E54" s="35"/>
      <c r="F54" s="35">
        <f t="shared" ref="F54:K54" si="22">F53/$L53*100</f>
        <v>89.862709673682033</v>
      </c>
      <c r="G54" s="35">
        <f t="shared" si="22"/>
        <v>2.7452634475367756</v>
      </c>
      <c r="H54" s="35">
        <f t="shared" si="22"/>
        <v>7.3856909591858155</v>
      </c>
      <c r="I54" s="35">
        <f t="shared" si="22"/>
        <v>6.3359195953700724E-3</v>
      </c>
      <c r="J54" s="35">
        <f t="shared" si="22"/>
        <v>0</v>
      </c>
      <c r="K54" s="35">
        <f t="shared" si="22"/>
        <v>0</v>
      </c>
      <c r="L54" s="35">
        <f t="shared" si="18"/>
        <v>99.999999999999986</v>
      </c>
    </row>
    <row r="57" spans="1:13" x14ac:dyDescent="0.25">
      <c r="A57" t="s">
        <v>216</v>
      </c>
    </row>
    <row r="59" spans="1:13" x14ac:dyDescent="0.25">
      <c r="A59" s="36" t="s">
        <v>19</v>
      </c>
      <c r="B59" s="36" t="s">
        <v>189</v>
      </c>
    </row>
    <row r="60" spans="1:13" x14ac:dyDescent="0.25">
      <c r="A60" s="1">
        <f t="shared" ref="A60:A73" si="23">A61-1</f>
        <v>1881</v>
      </c>
      <c r="B60" s="4">
        <v>9121</v>
      </c>
      <c r="E60" s="4"/>
      <c r="F60" s="4"/>
      <c r="G60" s="4"/>
    </row>
    <row r="61" spans="1:13" x14ac:dyDescent="0.25">
      <c r="A61" s="1">
        <f t="shared" si="23"/>
        <v>1882</v>
      </c>
      <c r="B61" s="4">
        <v>11000</v>
      </c>
      <c r="E61" s="4"/>
      <c r="F61" s="4"/>
      <c r="G61" s="4"/>
    </row>
    <row r="62" spans="1:13" x14ac:dyDescent="0.25">
      <c r="A62" s="1">
        <f t="shared" si="23"/>
        <v>1883</v>
      </c>
      <c r="B62" s="4">
        <v>13560</v>
      </c>
      <c r="E62" s="4"/>
      <c r="F62" s="4"/>
      <c r="G62" s="4"/>
    </row>
    <row r="63" spans="1:13" x14ac:dyDescent="0.25">
      <c r="A63" s="1">
        <f t="shared" si="23"/>
        <v>1884</v>
      </c>
      <c r="B63" s="4">
        <v>16938</v>
      </c>
      <c r="E63" s="4"/>
      <c r="F63" s="4"/>
      <c r="G63" s="4"/>
    </row>
    <row r="64" spans="1:13" x14ac:dyDescent="0.25">
      <c r="A64" s="1">
        <f t="shared" si="23"/>
        <v>1885</v>
      </c>
      <c r="B64" s="4">
        <v>21491</v>
      </c>
      <c r="E64" s="4"/>
      <c r="F64" s="4"/>
      <c r="G64" s="4"/>
    </row>
    <row r="65" spans="1:7" x14ac:dyDescent="0.25">
      <c r="A65" s="1">
        <f t="shared" si="23"/>
        <v>1886</v>
      </c>
      <c r="B65" s="4">
        <v>26717</v>
      </c>
      <c r="E65" s="4"/>
      <c r="F65" s="4"/>
      <c r="G65" s="4"/>
    </row>
    <row r="66" spans="1:7" x14ac:dyDescent="0.25">
      <c r="A66" s="1">
        <f t="shared" si="23"/>
        <v>1887</v>
      </c>
      <c r="B66" s="4">
        <v>31977</v>
      </c>
      <c r="E66" s="4"/>
      <c r="F66" s="4"/>
      <c r="G66" s="4"/>
    </row>
    <row r="67" spans="1:7" x14ac:dyDescent="0.25">
      <c r="A67" s="1">
        <f t="shared" si="23"/>
        <v>1888</v>
      </c>
      <c r="B67" s="4">
        <v>37427</v>
      </c>
      <c r="E67" s="4"/>
      <c r="F67" s="4"/>
      <c r="G67" s="4"/>
    </row>
    <row r="68" spans="1:7" x14ac:dyDescent="0.25">
      <c r="A68" s="1">
        <f t="shared" si="23"/>
        <v>1889</v>
      </c>
      <c r="B68" s="4">
        <v>43051</v>
      </c>
      <c r="E68" s="4"/>
      <c r="F68" s="4"/>
      <c r="G68" s="4"/>
    </row>
    <row r="69" spans="1:7" x14ac:dyDescent="0.25">
      <c r="A69" s="1">
        <f t="shared" si="23"/>
        <v>1890</v>
      </c>
      <c r="B69" s="4">
        <v>49211</v>
      </c>
      <c r="E69" s="4"/>
      <c r="F69" s="4"/>
      <c r="G69" s="4"/>
    </row>
    <row r="70" spans="1:7" x14ac:dyDescent="0.25">
      <c r="A70" s="1">
        <f t="shared" si="23"/>
        <v>1891</v>
      </c>
      <c r="B70" s="4">
        <v>54201</v>
      </c>
      <c r="E70" s="4"/>
      <c r="F70" s="4"/>
      <c r="G70" s="4"/>
    </row>
    <row r="71" spans="1:7" x14ac:dyDescent="0.25">
      <c r="A71" s="1">
        <f t="shared" si="23"/>
        <v>1892</v>
      </c>
      <c r="B71" s="4">
        <v>56181</v>
      </c>
      <c r="E71" s="4"/>
      <c r="F71" s="4"/>
      <c r="G71" s="4"/>
    </row>
    <row r="72" spans="1:7" x14ac:dyDescent="0.25">
      <c r="A72" s="1">
        <f t="shared" si="23"/>
        <v>1893</v>
      </c>
      <c r="B72" s="4">
        <v>55339</v>
      </c>
      <c r="E72" s="4"/>
      <c r="F72" s="4"/>
      <c r="G72" s="4"/>
    </row>
    <row r="73" spans="1:7" x14ac:dyDescent="0.25">
      <c r="A73" s="1">
        <f t="shared" si="23"/>
        <v>1894</v>
      </c>
      <c r="B73" s="4">
        <v>51779</v>
      </c>
      <c r="E73" s="4"/>
      <c r="F73" s="4"/>
      <c r="G73" s="4"/>
    </row>
    <row r="74" spans="1:7" x14ac:dyDescent="0.25">
      <c r="A74" s="1">
        <f>A75-1</f>
        <v>1895</v>
      </c>
      <c r="B74" s="4">
        <v>44863</v>
      </c>
      <c r="E74" s="4"/>
      <c r="F74" s="4"/>
      <c r="G74" s="4"/>
    </row>
    <row r="75" spans="1:7" x14ac:dyDescent="0.25">
      <c r="A75" s="1">
        <v>1896</v>
      </c>
      <c r="B75" s="4">
        <v>35639</v>
      </c>
      <c r="E75" s="4"/>
      <c r="F75" s="4"/>
      <c r="G75" s="4"/>
    </row>
    <row r="76" spans="1:7" x14ac:dyDescent="0.25">
      <c r="A76" s="1">
        <v>1897</v>
      </c>
      <c r="B76" s="4">
        <v>28021</v>
      </c>
      <c r="E76" s="4"/>
      <c r="F76" s="4"/>
      <c r="G76" s="4"/>
    </row>
    <row r="77" spans="1:7" x14ac:dyDescent="0.25">
      <c r="A77" s="1">
        <v>1898</v>
      </c>
      <c r="B77" s="4">
        <v>41907</v>
      </c>
      <c r="E77" s="4"/>
      <c r="F77" s="4"/>
      <c r="G77" s="4"/>
    </row>
    <row r="78" spans="1:7" x14ac:dyDescent="0.25">
      <c r="A78" s="1">
        <v>1899</v>
      </c>
      <c r="B78" s="4">
        <v>65559</v>
      </c>
      <c r="E78" s="4"/>
      <c r="F78" s="4"/>
      <c r="G78" s="4"/>
    </row>
    <row r="79" spans="1:7" x14ac:dyDescent="0.25">
      <c r="A79" s="1">
        <v>1900</v>
      </c>
      <c r="B79" s="4">
        <v>76085</v>
      </c>
      <c r="E79" s="4"/>
      <c r="F79" s="4"/>
      <c r="G79" s="4"/>
    </row>
    <row r="80" spans="1:7" x14ac:dyDescent="0.25">
      <c r="A80" s="1">
        <v>1901</v>
      </c>
      <c r="B80" s="4">
        <v>83166</v>
      </c>
      <c r="E80" s="4"/>
      <c r="F80" s="4"/>
      <c r="G80" s="4"/>
    </row>
    <row r="81" spans="1:7" x14ac:dyDescent="0.25">
      <c r="A81" s="1">
        <v>1902</v>
      </c>
      <c r="B81" s="4">
        <v>103114</v>
      </c>
      <c r="E81" s="4"/>
      <c r="F81" s="4"/>
      <c r="G81" s="4"/>
    </row>
    <row r="82" spans="1:7" x14ac:dyDescent="0.25">
      <c r="A82" s="1">
        <v>1903</v>
      </c>
      <c r="B82" s="4">
        <v>125022</v>
      </c>
      <c r="E82" s="4"/>
      <c r="F82" s="4"/>
      <c r="G82" s="4"/>
    </row>
    <row r="83" spans="1:7" x14ac:dyDescent="0.25">
      <c r="A83" s="1">
        <v>1904</v>
      </c>
      <c r="B83" s="4">
        <v>151739</v>
      </c>
      <c r="E83" s="4"/>
      <c r="F83" s="4"/>
      <c r="G83" s="4"/>
    </row>
    <row r="84" spans="1:7" x14ac:dyDescent="0.25">
      <c r="A84" s="1">
        <v>1905</v>
      </c>
      <c r="B84" s="4">
        <v>186157</v>
      </c>
      <c r="E84" s="4"/>
      <c r="F84" s="4"/>
      <c r="G84" s="4"/>
    </row>
    <row r="85" spans="1:7" x14ac:dyDescent="0.25">
      <c r="A85" s="1">
        <v>1906</v>
      </c>
      <c r="B85" s="4">
        <v>221400</v>
      </c>
      <c r="E85" s="4"/>
      <c r="F85" s="4"/>
      <c r="G85" s="4"/>
    </row>
    <row r="86" spans="1:7" x14ac:dyDescent="0.25">
      <c r="A86" s="1">
        <v>1907</v>
      </c>
      <c r="B86" s="4">
        <v>186071</v>
      </c>
      <c r="E86" s="4"/>
      <c r="F86" s="4"/>
      <c r="G86" s="4"/>
    </row>
    <row r="87" spans="1:7" x14ac:dyDescent="0.25">
      <c r="A87" s="1">
        <v>1908</v>
      </c>
      <c r="B87" s="4">
        <v>119541</v>
      </c>
      <c r="E87" s="4"/>
      <c r="F87" s="4"/>
      <c r="G87" s="4"/>
    </row>
    <row r="88" spans="1:7" x14ac:dyDescent="0.25">
      <c r="A88" s="1">
        <v>1909</v>
      </c>
      <c r="B88" s="4">
        <v>141698</v>
      </c>
      <c r="E88" s="4"/>
      <c r="F88" s="4"/>
      <c r="G88" s="4"/>
    </row>
    <row r="89" spans="1:7" x14ac:dyDescent="0.25">
      <c r="A89" s="1">
        <v>1910</v>
      </c>
      <c r="B89" s="4">
        <v>162676</v>
      </c>
      <c r="E89" s="4"/>
      <c r="F89" s="4"/>
      <c r="G89" s="4"/>
    </row>
    <row r="90" spans="1:7" x14ac:dyDescent="0.25">
      <c r="A90" s="1">
        <v>1911</v>
      </c>
      <c r="B90" s="4">
        <v>144660</v>
      </c>
      <c r="E90" s="4"/>
      <c r="F90" s="4"/>
      <c r="G90" s="4"/>
    </row>
    <row r="91" spans="1:7" x14ac:dyDescent="0.25">
      <c r="A91" s="1">
        <v>1912</v>
      </c>
      <c r="B91" s="4">
        <v>217990</v>
      </c>
      <c r="E91" s="4"/>
      <c r="F91" s="4"/>
      <c r="G91" s="4"/>
    </row>
    <row r="92" spans="1:7" x14ac:dyDescent="0.25">
      <c r="A92" s="1">
        <v>1913</v>
      </c>
      <c r="B92" s="4">
        <v>261265</v>
      </c>
      <c r="E92" s="4"/>
      <c r="F92" s="4"/>
      <c r="G92" s="4"/>
    </row>
    <row r="93" spans="1:7" x14ac:dyDescent="0.25">
      <c r="A93" s="1">
        <v>1914</v>
      </c>
      <c r="B93" s="4">
        <v>119358</v>
      </c>
      <c r="E93" s="4"/>
      <c r="F93" s="4"/>
      <c r="G93" s="4"/>
    </row>
    <row r="94" spans="1:7" x14ac:dyDescent="0.25">
      <c r="A94" s="1">
        <v>1915</v>
      </c>
      <c r="B94" s="4">
        <v>3880</v>
      </c>
      <c r="E94" s="4"/>
      <c r="F94" s="4"/>
      <c r="G94" s="4"/>
    </row>
    <row r="95" spans="1:7" x14ac:dyDescent="0.25">
      <c r="A95" s="1">
        <v>1916</v>
      </c>
      <c r="B95" s="4">
        <v>2305</v>
      </c>
      <c r="E95" s="4"/>
      <c r="F95" s="4"/>
      <c r="G95" s="4"/>
    </row>
    <row r="96" spans="1:7" x14ac:dyDescent="0.25">
      <c r="A96" s="1" t="s">
        <v>49</v>
      </c>
      <c r="B96" s="4">
        <f>SUM(B75:B95)</f>
        <v>2477253</v>
      </c>
    </row>
    <row r="97" spans="1:6" x14ac:dyDescent="0.25">
      <c r="A97" s="1" t="s">
        <v>122</v>
      </c>
      <c r="B97" s="4">
        <f>SUM(B75:B79)</f>
        <v>247211</v>
      </c>
    </row>
    <row r="98" spans="1:6" x14ac:dyDescent="0.25">
      <c r="A98" s="1" t="s">
        <v>123</v>
      </c>
      <c r="B98" s="4">
        <f>SUM(B80:B84)</f>
        <v>649198</v>
      </c>
    </row>
    <row r="99" spans="1:6" x14ac:dyDescent="0.25">
      <c r="A99" s="1" t="s">
        <v>124</v>
      </c>
      <c r="B99" s="4">
        <f>SUM(B85:B89)</f>
        <v>831386</v>
      </c>
    </row>
    <row r="100" spans="1:6" x14ac:dyDescent="0.25">
      <c r="A100" s="1" t="s">
        <v>125</v>
      </c>
      <c r="B100" s="4">
        <f>SUM(B90:B94)</f>
        <v>747153</v>
      </c>
    </row>
    <row r="104" spans="1:6" ht="45" x14ac:dyDescent="0.25">
      <c r="A104" s="2" t="s">
        <v>116</v>
      </c>
      <c r="B104" s="2" t="s">
        <v>187</v>
      </c>
      <c r="C104" s="2" t="s">
        <v>186</v>
      </c>
      <c r="D104" s="2" t="s">
        <v>188</v>
      </c>
      <c r="E104" s="3" t="s">
        <v>214</v>
      </c>
      <c r="F104" s="38"/>
    </row>
    <row r="105" spans="1:6" x14ac:dyDescent="0.25">
      <c r="A105" s="1" t="s">
        <v>118</v>
      </c>
      <c r="B105" s="4">
        <f t="shared" ref="B105:B112" si="24">K6</f>
        <v>27525</v>
      </c>
      <c r="C105" s="4">
        <f t="shared" ref="C105:C112" si="25">L43</f>
        <v>33658</v>
      </c>
      <c r="D105" s="26">
        <f>B105/C105*100</f>
        <v>81.778477627904209</v>
      </c>
      <c r="E105" s="14"/>
    </row>
    <row r="106" spans="1:6" x14ac:dyDescent="0.25">
      <c r="A106" s="1" t="s">
        <v>119</v>
      </c>
      <c r="B106" s="4">
        <f t="shared" si="24"/>
        <v>64393</v>
      </c>
      <c r="C106" s="4">
        <f t="shared" si="25"/>
        <v>69982</v>
      </c>
      <c r="D106" s="26">
        <f>B106/C106*100</f>
        <v>92.01366065559715</v>
      </c>
      <c r="E106" s="4">
        <f>SUM(B60:B64)</f>
        <v>72110</v>
      </c>
    </row>
    <row r="107" spans="1:6" x14ac:dyDescent="0.25">
      <c r="A107" s="1" t="s">
        <v>120</v>
      </c>
      <c r="B107" s="4">
        <f t="shared" si="24"/>
        <v>223248</v>
      </c>
      <c r="C107" s="4">
        <f t="shared" si="25"/>
        <v>189850</v>
      </c>
      <c r="D107" s="26">
        <f t="shared" ref="D107:D112" si="26">B107/C107*100</f>
        <v>117.59178298656833</v>
      </c>
      <c r="E107" s="4">
        <f>SUM(B65:B69)</f>
        <v>188383</v>
      </c>
    </row>
    <row r="108" spans="1:6" x14ac:dyDescent="0.25">
      <c r="A108" s="1" t="s">
        <v>121</v>
      </c>
      <c r="B108" s="4">
        <f t="shared" si="24"/>
        <v>279258</v>
      </c>
      <c r="C108" s="4">
        <f t="shared" si="25"/>
        <v>292574</v>
      </c>
      <c r="D108" s="26">
        <f t="shared" si="26"/>
        <v>95.448672814399089</v>
      </c>
      <c r="E108" s="4">
        <f>SUM(B70:B74)</f>
        <v>262363</v>
      </c>
    </row>
    <row r="109" spans="1:6" x14ac:dyDescent="0.25">
      <c r="A109" s="43" t="s">
        <v>122</v>
      </c>
      <c r="B109" s="4">
        <f t="shared" si="24"/>
        <v>173914</v>
      </c>
      <c r="C109" s="4">
        <f t="shared" si="25"/>
        <v>246339</v>
      </c>
      <c r="D109" s="26">
        <f t="shared" si="26"/>
        <v>70.599458469832229</v>
      </c>
      <c r="E109" s="4">
        <f>B97</f>
        <v>247211</v>
      </c>
    </row>
    <row r="110" spans="1:6" x14ac:dyDescent="0.25">
      <c r="A110" s="1" t="s">
        <v>123</v>
      </c>
      <c r="B110" s="4">
        <f t="shared" si="24"/>
        <v>340174</v>
      </c>
      <c r="C110" s="4">
        <f t="shared" si="25"/>
        <v>644531</v>
      </c>
      <c r="D110" s="26">
        <f t="shared" si="26"/>
        <v>52.778531986824525</v>
      </c>
      <c r="E110" s="4">
        <f>B98</f>
        <v>649198</v>
      </c>
    </row>
    <row r="111" spans="1:6" x14ac:dyDescent="0.25">
      <c r="A111" s="1" t="s">
        <v>124</v>
      </c>
      <c r="B111" s="4">
        <f t="shared" si="24"/>
        <v>471971</v>
      </c>
      <c r="C111" s="4">
        <f t="shared" si="25"/>
        <v>986977</v>
      </c>
      <c r="D111" s="26">
        <f t="shared" si="26"/>
        <v>47.819858010875635</v>
      </c>
      <c r="E111" s="4">
        <f>B99</f>
        <v>831386</v>
      </c>
    </row>
    <row r="112" spans="1:6" x14ac:dyDescent="0.25">
      <c r="A112" s="1" t="s">
        <v>125</v>
      </c>
      <c r="B112" s="4">
        <f t="shared" si="24"/>
        <v>409911</v>
      </c>
      <c r="C112" s="4">
        <f t="shared" si="25"/>
        <v>1010285</v>
      </c>
      <c r="D112" s="26">
        <f t="shared" si="26"/>
        <v>40.573798482606392</v>
      </c>
      <c r="E112" s="4">
        <f>B100</f>
        <v>747153</v>
      </c>
    </row>
    <row r="113" spans="1:2" x14ac:dyDescent="0.25">
      <c r="B113" s="4"/>
    </row>
    <row r="114" spans="1:2" x14ac:dyDescent="0.25">
      <c r="B114" s="4"/>
    </row>
    <row r="115" spans="1:2" x14ac:dyDescent="0.25">
      <c r="A115" s="14" t="s">
        <v>195</v>
      </c>
    </row>
    <row r="116" spans="1:2" x14ac:dyDescent="0.25">
      <c r="A116" s="36" t="s">
        <v>116</v>
      </c>
      <c r="B116" s="36" t="s">
        <v>194</v>
      </c>
    </row>
    <row r="117" spans="1:2" x14ac:dyDescent="0.25">
      <c r="A117" s="1" t="str">
        <f t="shared" ref="A117:A125" si="27">A43</f>
        <v>1876-1880</v>
      </c>
      <c r="B117" s="4">
        <f t="shared" ref="B117:B125" si="28">L43</f>
        <v>33658</v>
      </c>
    </row>
    <row r="118" spans="1:2" x14ac:dyDescent="0.25">
      <c r="A118" s="1" t="str">
        <f t="shared" si="27"/>
        <v>1881-1885</v>
      </c>
      <c r="B118" s="4">
        <f t="shared" si="28"/>
        <v>69982</v>
      </c>
    </row>
    <row r="119" spans="1:2" x14ac:dyDescent="0.25">
      <c r="A119" s="1" t="str">
        <f t="shared" si="27"/>
        <v>1886-1890</v>
      </c>
      <c r="B119" s="4">
        <f t="shared" si="28"/>
        <v>189850</v>
      </c>
    </row>
    <row r="120" spans="1:2" x14ac:dyDescent="0.25">
      <c r="A120" s="1" t="str">
        <f t="shared" si="27"/>
        <v>1891-1895</v>
      </c>
      <c r="B120" s="4">
        <f t="shared" si="28"/>
        <v>292574</v>
      </c>
    </row>
    <row r="121" spans="1:2" x14ac:dyDescent="0.25">
      <c r="A121" s="1" t="str">
        <f t="shared" si="27"/>
        <v>1896-1900</v>
      </c>
      <c r="B121" s="4">
        <f t="shared" si="28"/>
        <v>246339</v>
      </c>
    </row>
    <row r="122" spans="1:2" x14ac:dyDescent="0.25">
      <c r="A122" s="1" t="str">
        <f t="shared" si="27"/>
        <v>1901-1905</v>
      </c>
      <c r="B122" s="4">
        <f t="shared" si="28"/>
        <v>644531</v>
      </c>
    </row>
    <row r="123" spans="1:2" x14ac:dyDescent="0.25">
      <c r="A123" s="1" t="str">
        <f t="shared" si="27"/>
        <v>1906-1910</v>
      </c>
      <c r="B123" s="4">
        <f t="shared" si="28"/>
        <v>986977</v>
      </c>
    </row>
    <row r="124" spans="1:2" x14ac:dyDescent="0.25">
      <c r="A124" s="1" t="str">
        <f t="shared" si="27"/>
        <v>1911-1915</v>
      </c>
      <c r="B124" s="4">
        <f t="shared" si="28"/>
        <v>1010285</v>
      </c>
    </row>
    <row r="125" spans="1:2" x14ac:dyDescent="0.25">
      <c r="A125" s="10" t="str">
        <f t="shared" si="27"/>
        <v>1896-1915</v>
      </c>
      <c r="B125" s="42">
        <f t="shared" si="28"/>
        <v>2888132</v>
      </c>
    </row>
    <row r="126" spans="1:2" x14ac:dyDescent="0.25">
      <c r="A126" s="10" t="s">
        <v>128</v>
      </c>
      <c r="B126" s="42">
        <f>SUM(B117:B124)</f>
        <v>3474196</v>
      </c>
    </row>
    <row r="128" spans="1:2" x14ac:dyDescent="0.25">
      <c r="A128" s="14" t="s">
        <v>196</v>
      </c>
    </row>
    <row r="129" spans="1:6" x14ac:dyDescent="0.25">
      <c r="A129" s="36" t="s">
        <v>116</v>
      </c>
      <c r="B129" s="36" t="s">
        <v>194</v>
      </c>
    </row>
    <row r="130" spans="1:6" x14ac:dyDescent="0.25">
      <c r="A130" s="1">
        <v>1876</v>
      </c>
      <c r="B130" s="48">
        <v>5958.6872560000002</v>
      </c>
      <c r="F130" s="48"/>
    </row>
    <row r="131" spans="1:6" x14ac:dyDescent="0.25">
      <c r="A131" s="1">
        <v>1877</v>
      </c>
      <c r="B131" s="48">
        <v>6133.5817779999998</v>
      </c>
      <c r="F131" s="48"/>
    </row>
    <row r="132" spans="1:6" x14ac:dyDescent="0.25">
      <c r="A132" s="1">
        <v>1878</v>
      </c>
      <c r="B132" s="48">
        <v>6497.8953369999999</v>
      </c>
      <c r="F132" s="48"/>
    </row>
    <row r="133" spans="1:6" x14ac:dyDescent="0.25">
      <c r="A133" s="1">
        <v>1879</v>
      </c>
      <c r="B133" s="48">
        <v>7099.2952009999999</v>
      </c>
      <c r="F133" s="48"/>
    </row>
    <row r="134" spans="1:6" x14ac:dyDescent="0.25">
      <c r="A134" s="1">
        <v>1880</v>
      </c>
      <c r="B134" s="48">
        <v>7968.5404280000002</v>
      </c>
      <c r="F134" s="48"/>
    </row>
    <row r="135" spans="1:6" x14ac:dyDescent="0.25">
      <c r="A135" s="1">
        <v>1881</v>
      </c>
      <c r="B135" s="48">
        <v>9081.0078830000002</v>
      </c>
      <c r="F135" s="48"/>
    </row>
    <row r="136" spans="1:6" x14ac:dyDescent="0.25">
      <c r="A136" s="1">
        <v>1882</v>
      </c>
      <c r="B136" s="48">
        <v>10799.985825</v>
      </c>
      <c r="F136" s="48"/>
    </row>
    <row r="137" spans="1:6" x14ac:dyDescent="0.25">
      <c r="A137" s="1">
        <v>1883</v>
      </c>
      <c r="B137" s="48">
        <v>13180.685009000001</v>
      </c>
      <c r="F137" s="48"/>
    </row>
    <row r="138" spans="1:6" x14ac:dyDescent="0.25">
      <c r="A138" s="1">
        <v>1884</v>
      </c>
      <c r="B138" s="48">
        <v>16376.145667999999</v>
      </c>
      <c r="F138" s="48"/>
    </row>
    <row r="139" spans="1:6" x14ac:dyDescent="0.25">
      <c r="A139" s="1">
        <v>1885</v>
      </c>
      <c r="B139" s="48">
        <v>20544.175615</v>
      </c>
      <c r="F139" s="48"/>
    </row>
    <row r="140" spans="1:6" x14ac:dyDescent="0.25">
      <c r="A140" s="1">
        <v>1886</v>
      </c>
      <c r="B140" s="48">
        <v>26303.239323000002</v>
      </c>
      <c r="F140" s="48"/>
    </row>
    <row r="141" spans="1:6" x14ac:dyDescent="0.25">
      <c r="A141" s="1">
        <v>1887</v>
      </c>
      <c r="B141" s="48">
        <v>31933.797870999999</v>
      </c>
      <c r="F141" s="48"/>
    </row>
    <row r="142" spans="1:6" x14ac:dyDescent="0.25">
      <c r="A142" s="1">
        <v>1888</v>
      </c>
      <c r="B142" s="48">
        <v>37768.818612000003</v>
      </c>
      <c r="F142" s="48"/>
    </row>
    <row r="143" spans="1:6" x14ac:dyDescent="0.25">
      <c r="A143" s="1">
        <v>1889</v>
      </c>
      <c r="B143" s="48">
        <v>43815.890546000002</v>
      </c>
      <c r="F143" s="48"/>
    </row>
    <row r="144" spans="1:6" x14ac:dyDescent="0.25">
      <c r="A144" s="1">
        <v>1890</v>
      </c>
      <c r="B144" s="48">
        <v>50028.253647999998</v>
      </c>
      <c r="F144" s="48"/>
    </row>
    <row r="145" spans="1:6" x14ac:dyDescent="0.25">
      <c r="A145" s="1">
        <v>1891</v>
      </c>
      <c r="B145" s="48">
        <v>57244.128299000004</v>
      </c>
      <c r="F145" s="48"/>
    </row>
    <row r="146" spans="1:6" x14ac:dyDescent="0.25">
      <c r="A146" s="1">
        <v>1892</v>
      </c>
      <c r="B146" s="48">
        <v>60906.481652000002</v>
      </c>
      <c r="F146" s="48"/>
    </row>
    <row r="147" spans="1:6" x14ac:dyDescent="0.25">
      <c r="A147" s="1">
        <v>1893</v>
      </c>
      <c r="B147" s="48">
        <v>61556.958893000003</v>
      </c>
      <c r="F147" s="48"/>
    </row>
    <row r="148" spans="1:6" x14ac:dyDescent="0.25">
      <c r="A148" s="1">
        <v>1894</v>
      </c>
      <c r="B148" s="48">
        <v>59073.614796000002</v>
      </c>
      <c r="F148" s="48"/>
    </row>
    <row r="149" spans="1:6" x14ac:dyDescent="0.25">
      <c r="A149" s="1">
        <v>1895</v>
      </c>
      <c r="B149" s="48">
        <v>53792.816358999997</v>
      </c>
      <c r="F149" s="48"/>
    </row>
    <row r="150" spans="1:6" x14ac:dyDescent="0.25">
      <c r="A150" s="1">
        <v>1896</v>
      </c>
      <c r="B150" s="48">
        <v>44001.050108000003</v>
      </c>
      <c r="F150" s="48"/>
    </row>
    <row r="151" spans="1:6" x14ac:dyDescent="0.25">
      <c r="A151" s="1">
        <v>1897</v>
      </c>
      <c r="B151" s="48">
        <v>41555.827486000002</v>
      </c>
      <c r="F151" s="48"/>
    </row>
    <row r="152" spans="1:6" x14ac:dyDescent="0.25">
      <c r="A152" s="1">
        <v>1898</v>
      </c>
      <c r="B152" s="48">
        <v>43914.876993999998</v>
      </c>
      <c r="F152" s="48"/>
    </row>
    <row r="153" spans="1:6" x14ac:dyDescent="0.25">
      <c r="A153" s="1">
        <v>1899</v>
      </c>
      <c r="B153" s="48">
        <v>51608.617109999999</v>
      </c>
      <c r="F153" s="48"/>
    </row>
    <row r="154" spans="1:6" x14ac:dyDescent="0.25">
      <c r="A154" s="1">
        <v>1900</v>
      </c>
      <c r="B154" s="48">
        <v>65258.628300999997</v>
      </c>
      <c r="F154" s="48"/>
    </row>
    <row r="155" spans="1:6" x14ac:dyDescent="0.25">
      <c r="A155" s="1">
        <v>1901</v>
      </c>
      <c r="B155" s="48">
        <v>89374.285107000003</v>
      </c>
      <c r="F155" s="48"/>
    </row>
    <row r="156" spans="1:6" x14ac:dyDescent="0.25">
      <c r="A156" s="1">
        <v>1902</v>
      </c>
      <c r="B156" s="48">
        <v>110396.48513099999</v>
      </c>
      <c r="F156" s="48"/>
    </row>
    <row r="157" spans="1:6" x14ac:dyDescent="0.25">
      <c r="A157" s="1">
        <v>1903</v>
      </c>
      <c r="B157" s="48">
        <v>130369.29534500001</v>
      </c>
      <c r="F157" s="48"/>
    </row>
    <row r="158" spans="1:6" x14ac:dyDescent="0.25">
      <c r="A158" s="1">
        <v>1904</v>
      </c>
      <c r="B158" s="48">
        <v>148831.43620900001</v>
      </c>
      <c r="F158" s="48"/>
    </row>
    <row r="159" spans="1:6" x14ac:dyDescent="0.25">
      <c r="A159" s="1">
        <v>1905</v>
      </c>
      <c r="B159" s="48">
        <v>165559.498208</v>
      </c>
      <c r="F159" s="48"/>
    </row>
    <row r="160" spans="1:6" x14ac:dyDescent="0.25">
      <c r="A160" s="1">
        <v>1906</v>
      </c>
      <c r="B160" s="48">
        <v>180624.48191</v>
      </c>
      <c r="F160" s="48"/>
    </row>
    <row r="161" spans="1:6" x14ac:dyDescent="0.25">
      <c r="A161" s="1">
        <v>1907</v>
      </c>
      <c r="B161" s="48">
        <v>192365.54383800001</v>
      </c>
      <c r="F161" s="48"/>
    </row>
    <row r="162" spans="1:6" x14ac:dyDescent="0.25">
      <c r="A162" s="1">
        <v>1908</v>
      </c>
      <c r="B162" s="48">
        <v>200821.20595</v>
      </c>
      <c r="F162" s="48"/>
    </row>
    <row r="163" spans="1:6" x14ac:dyDescent="0.25">
      <c r="A163" s="1">
        <v>1909</v>
      </c>
      <c r="B163" s="48">
        <v>205811.42198099999</v>
      </c>
      <c r="F163" s="48"/>
    </row>
    <row r="164" spans="1:6" x14ac:dyDescent="0.25">
      <c r="A164" s="1">
        <v>1910</v>
      </c>
      <c r="B164" s="48">
        <v>207354.34632099999</v>
      </c>
      <c r="F164" s="48"/>
    </row>
    <row r="165" spans="1:6" x14ac:dyDescent="0.25">
      <c r="A165" s="1">
        <v>1911</v>
      </c>
      <c r="B165" s="48">
        <v>204407.818902</v>
      </c>
      <c r="F165" s="48"/>
    </row>
    <row r="166" spans="1:6" x14ac:dyDescent="0.25">
      <c r="A166" s="1">
        <v>1912</v>
      </c>
      <c r="B166" s="48">
        <v>202841.37030400001</v>
      </c>
      <c r="F166" s="48"/>
    </row>
    <row r="167" spans="1:6" x14ac:dyDescent="0.25">
      <c r="A167" s="1">
        <v>1913</v>
      </c>
      <c r="B167" s="48">
        <v>201633.03541400001</v>
      </c>
      <c r="F167" s="48"/>
    </row>
    <row r="168" spans="1:6" x14ac:dyDescent="0.25">
      <c r="A168" s="1">
        <v>1914</v>
      </c>
      <c r="B168" s="48">
        <v>200884.29531700001</v>
      </c>
      <c r="F168" s="48"/>
    </row>
    <row r="169" spans="1:6" x14ac:dyDescent="0.25">
      <c r="A169" s="1">
        <v>1915</v>
      </c>
      <c r="B169" s="48">
        <v>200518.480064</v>
      </c>
      <c r="F169" s="48"/>
    </row>
    <row r="170" spans="1:6" x14ac:dyDescent="0.25">
      <c r="A170" s="10" t="s">
        <v>126</v>
      </c>
      <c r="B170" s="4">
        <f>SUM(B150:B169)</f>
        <v>2888132</v>
      </c>
    </row>
    <row r="171" spans="1:6" x14ac:dyDescent="0.25">
      <c r="A171" s="10" t="s">
        <v>128</v>
      </c>
      <c r="B171" s="4">
        <f>SUM(B130:B169)</f>
        <v>3474195.9999989998</v>
      </c>
    </row>
    <row r="172" spans="1:6" x14ac:dyDescent="0.25">
      <c r="A172" s="10" t="s">
        <v>184</v>
      </c>
      <c r="B172" s="4">
        <f>SUM(B135:B149)</f>
        <v>552405.99999899999</v>
      </c>
    </row>
    <row r="173" spans="1:6" x14ac:dyDescent="0.25">
      <c r="A173" s="10"/>
      <c r="B173" s="4"/>
    </row>
    <row r="175" spans="1:6" x14ac:dyDescent="0.25">
      <c r="A175" s="14" t="s">
        <v>197</v>
      </c>
    </row>
    <row r="176" spans="1:6" x14ac:dyDescent="0.25">
      <c r="A176" s="36" t="s">
        <v>116</v>
      </c>
      <c r="B176" s="36" t="s">
        <v>194</v>
      </c>
    </row>
    <row r="177" spans="1:2" x14ac:dyDescent="0.25">
      <c r="A177" s="1">
        <v>1881</v>
      </c>
      <c r="B177" s="4">
        <f t="shared" ref="B177:B210" si="29">(B135+B136) / 2</f>
        <v>9940.4968540000009</v>
      </c>
    </row>
    <row r="178" spans="1:2" x14ac:dyDescent="0.25">
      <c r="A178" s="1">
        <f>A177+1</f>
        <v>1882</v>
      </c>
      <c r="B178" s="4">
        <f t="shared" si="29"/>
        <v>11990.335417</v>
      </c>
    </row>
    <row r="179" spans="1:2" x14ac:dyDescent="0.25">
      <c r="A179" s="1">
        <f t="shared" ref="A179:A210" si="30">A178+1</f>
        <v>1883</v>
      </c>
      <c r="B179" s="4">
        <f t="shared" si="29"/>
        <v>14778.415338499999</v>
      </c>
    </row>
    <row r="180" spans="1:2" x14ac:dyDescent="0.25">
      <c r="A180" s="1">
        <f t="shared" si="30"/>
        <v>1884</v>
      </c>
      <c r="B180" s="4">
        <f t="shared" si="29"/>
        <v>18460.160641499999</v>
      </c>
    </row>
    <row r="181" spans="1:2" x14ac:dyDescent="0.25">
      <c r="A181" s="1">
        <f t="shared" si="30"/>
        <v>1885</v>
      </c>
      <c r="B181" s="4">
        <f t="shared" si="29"/>
        <v>23423.707469000001</v>
      </c>
    </row>
    <row r="182" spans="1:2" x14ac:dyDescent="0.25">
      <c r="A182" s="1">
        <f t="shared" si="30"/>
        <v>1886</v>
      </c>
      <c r="B182" s="4">
        <f t="shared" si="29"/>
        <v>29118.518597000002</v>
      </c>
    </row>
    <row r="183" spans="1:2" x14ac:dyDescent="0.25">
      <c r="A183" s="1">
        <f t="shared" si="30"/>
        <v>1887</v>
      </c>
      <c r="B183" s="4">
        <f t="shared" si="29"/>
        <v>34851.308241500003</v>
      </c>
    </row>
    <row r="184" spans="1:2" x14ac:dyDescent="0.25">
      <c r="A184" s="1">
        <f t="shared" si="30"/>
        <v>1888</v>
      </c>
      <c r="B184" s="4">
        <f t="shared" si="29"/>
        <v>40792.354579000006</v>
      </c>
    </row>
    <row r="185" spans="1:2" x14ac:dyDescent="0.25">
      <c r="A185" s="1">
        <f t="shared" si="30"/>
        <v>1889</v>
      </c>
      <c r="B185" s="4">
        <f t="shared" si="29"/>
        <v>46922.072096999997</v>
      </c>
    </row>
    <row r="186" spans="1:2" x14ac:dyDescent="0.25">
      <c r="A186" s="1">
        <f t="shared" si="30"/>
        <v>1890</v>
      </c>
      <c r="B186" s="4">
        <f t="shared" si="29"/>
        <v>53636.190973500001</v>
      </c>
    </row>
    <row r="187" spans="1:2" x14ac:dyDescent="0.25">
      <c r="A187" s="1">
        <f t="shared" si="30"/>
        <v>1891</v>
      </c>
      <c r="B187" s="4">
        <f t="shared" si="29"/>
        <v>59075.304975500003</v>
      </c>
    </row>
    <row r="188" spans="1:2" x14ac:dyDescent="0.25">
      <c r="A188" s="1">
        <f t="shared" si="30"/>
        <v>1892</v>
      </c>
      <c r="B188" s="4">
        <f t="shared" si="29"/>
        <v>61231.720272500002</v>
      </c>
    </row>
    <row r="189" spans="1:2" x14ac:dyDescent="0.25">
      <c r="A189" s="1">
        <f t="shared" si="30"/>
        <v>1893</v>
      </c>
      <c r="B189" s="4">
        <f t="shared" si="29"/>
        <v>60315.286844500006</v>
      </c>
    </row>
    <row r="190" spans="1:2" x14ac:dyDescent="0.25">
      <c r="A190" s="1">
        <f t="shared" si="30"/>
        <v>1894</v>
      </c>
      <c r="B190" s="4">
        <f t="shared" si="29"/>
        <v>56433.215577499999</v>
      </c>
    </row>
    <row r="191" spans="1:2" x14ac:dyDescent="0.25">
      <c r="A191" s="1">
        <f t="shared" si="30"/>
        <v>1895</v>
      </c>
      <c r="B191" s="4">
        <f t="shared" si="29"/>
        <v>48896.9332335</v>
      </c>
    </row>
    <row r="192" spans="1:2" x14ac:dyDescent="0.25">
      <c r="A192" s="1">
        <f t="shared" si="30"/>
        <v>1896</v>
      </c>
      <c r="B192" s="4">
        <f t="shared" si="29"/>
        <v>42778.438797000003</v>
      </c>
    </row>
    <row r="193" spans="1:2" x14ac:dyDescent="0.25">
      <c r="A193" s="1">
        <f t="shared" si="30"/>
        <v>1897</v>
      </c>
      <c r="B193" s="4">
        <f t="shared" si="29"/>
        <v>42735.35224</v>
      </c>
    </row>
    <row r="194" spans="1:2" x14ac:dyDescent="0.25">
      <c r="A194" s="1">
        <f t="shared" si="30"/>
        <v>1898</v>
      </c>
      <c r="B194" s="4">
        <f t="shared" si="29"/>
        <v>47761.747051999999</v>
      </c>
    </row>
    <row r="195" spans="1:2" x14ac:dyDescent="0.25">
      <c r="A195" s="1">
        <f t="shared" si="30"/>
        <v>1899</v>
      </c>
      <c r="B195" s="4">
        <f t="shared" si="29"/>
        <v>58433.622705499998</v>
      </c>
    </row>
    <row r="196" spans="1:2" x14ac:dyDescent="0.25">
      <c r="A196" s="1">
        <f t="shared" si="30"/>
        <v>1900</v>
      </c>
      <c r="B196" s="4">
        <f t="shared" si="29"/>
        <v>77316.456703999997</v>
      </c>
    </row>
    <row r="197" spans="1:2" x14ac:dyDescent="0.25">
      <c r="A197" s="1">
        <f t="shared" si="30"/>
        <v>1901</v>
      </c>
      <c r="B197" s="4">
        <f t="shared" si="29"/>
        <v>99885.385118999999</v>
      </c>
    </row>
    <row r="198" spans="1:2" x14ac:dyDescent="0.25">
      <c r="A198" s="1">
        <f t="shared" si="30"/>
        <v>1902</v>
      </c>
      <c r="B198" s="4">
        <f t="shared" si="29"/>
        <v>120382.89023799999</v>
      </c>
    </row>
    <row r="199" spans="1:2" x14ac:dyDescent="0.25">
      <c r="A199" s="1">
        <f t="shared" si="30"/>
        <v>1903</v>
      </c>
      <c r="B199" s="4">
        <f t="shared" si="29"/>
        <v>139600.365777</v>
      </c>
    </row>
    <row r="200" spans="1:2" x14ac:dyDescent="0.25">
      <c r="A200" s="1">
        <f t="shared" si="30"/>
        <v>1904</v>
      </c>
      <c r="B200" s="4">
        <f t="shared" si="29"/>
        <v>157195.46720850002</v>
      </c>
    </row>
    <row r="201" spans="1:2" x14ac:dyDescent="0.25">
      <c r="A201" s="1">
        <f t="shared" si="30"/>
        <v>1905</v>
      </c>
      <c r="B201" s="4">
        <f t="shared" si="29"/>
        <v>173091.990059</v>
      </c>
    </row>
    <row r="202" spans="1:2" x14ac:dyDescent="0.25">
      <c r="A202" s="1">
        <f t="shared" si="30"/>
        <v>1906</v>
      </c>
      <c r="B202" s="4">
        <f t="shared" si="29"/>
        <v>186495.01287400001</v>
      </c>
    </row>
    <row r="203" spans="1:2" x14ac:dyDescent="0.25">
      <c r="A203" s="1">
        <f t="shared" si="30"/>
        <v>1907</v>
      </c>
      <c r="B203" s="4">
        <f t="shared" si="29"/>
        <v>196593.37489400001</v>
      </c>
    </row>
    <row r="204" spans="1:2" x14ac:dyDescent="0.25">
      <c r="A204" s="1">
        <f t="shared" si="30"/>
        <v>1908</v>
      </c>
      <c r="B204" s="4">
        <f t="shared" si="29"/>
        <v>203316.31396549998</v>
      </c>
    </row>
    <row r="205" spans="1:2" x14ac:dyDescent="0.25">
      <c r="A205" s="1">
        <f t="shared" si="30"/>
        <v>1909</v>
      </c>
      <c r="B205" s="4">
        <f t="shared" si="29"/>
        <v>206582.88415100001</v>
      </c>
    </row>
    <row r="206" spans="1:2" x14ac:dyDescent="0.25">
      <c r="A206" s="1">
        <f t="shared" si="30"/>
        <v>1910</v>
      </c>
      <c r="B206" s="4">
        <f t="shared" si="29"/>
        <v>205881.08261149999</v>
      </c>
    </row>
    <row r="207" spans="1:2" x14ac:dyDescent="0.25">
      <c r="A207" s="1">
        <f t="shared" si="30"/>
        <v>1911</v>
      </c>
      <c r="B207" s="4">
        <f t="shared" si="29"/>
        <v>203624.59460300001</v>
      </c>
    </row>
    <row r="208" spans="1:2" x14ac:dyDescent="0.25">
      <c r="A208" s="1">
        <f t="shared" si="30"/>
        <v>1912</v>
      </c>
      <c r="B208" s="4">
        <f t="shared" si="29"/>
        <v>202237.20285900001</v>
      </c>
    </row>
    <row r="209" spans="1:6" x14ac:dyDescent="0.25">
      <c r="A209" s="1">
        <f t="shared" si="30"/>
        <v>1913</v>
      </c>
      <c r="B209" s="4">
        <f t="shared" si="29"/>
        <v>201258.66536550003</v>
      </c>
    </row>
    <row r="210" spans="1:6" x14ac:dyDescent="0.25">
      <c r="A210" s="1">
        <f t="shared" si="30"/>
        <v>1914</v>
      </c>
      <c r="B210" s="4">
        <f t="shared" si="29"/>
        <v>200701.38769050001</v>
      </c>
    </row>
    <row r="211" spans="1:6" x14ac:dyDescent="0.25">
      <c r="A211" s="10" t="s">
        <v>122</v>
      </c>
      <c r="B211" s="42">
        <f>SUM(B192:B196)</f>
        <v>269025.61749849998</v>
      </c>
    </row>
    <row r="212" spans="1:6" ht="30" x14ac:dyDescent="0.25">
      <c r="A212" s="45" t="s">
        <v>198</v>
      </c>
      <c r="B212" s="46">
        <f>B211/5</f>
        <v>53805.123499699999</v>
      </c>
    </row>
    <row r="213" spans="1:6" x14ac:dyDescent="0.25">
      <c r="A213" s="41" t="s">
        <v>202</v>
      </c>
      <c r="B213" s="44"/>
      <c r="C213" s="41"/>
      <c r="D213" s="38"/>
      <c r="E213" s="38"/>
      <c r="F213" s="38"/>
    </row>
    <row r="214" spans="1:6" x14ac:dyDescent="0.25">
      <c r="A214" s="1">
        <v>1881</v>
      </c>
      <c r="B214" s="26">
        <f>B177/B$212*100</f>
        <v>18.475000534206423</v>
      </c>
    </row>
    <row r="215" spans="1:6" x14ac:dyDescent="0.25">
      <c r="A215" s="1">
        <f>A214+1</f>
        <v>1882</v>
      </c>
      <c r="B215" s="26">
        <f t="shared" ref="B215:B228" si="31">B178/B$212*100</f>
        <v>22.28474657634947</v>
      </c>
    </row>
    <row r="216" spans="1:6" x14ac:dyDescent="0.25">
      <c r="A216" s="1">
        <f t="shared" ref="A216:A228" si="32">A215+1</f>
        <v>1883</v>
      </c>
      <c r="B216" s="26">
        <f t="shared" si="31"/>
        <v>27.466557787163893</v>
      </c>
    </row>
    <row r="217" spans="1:6" x14ac:dyDescent="0.25">
      <c r="A217" s="1">
        <f t="shared" si="32"/>
        <v>1884</v>
      </c>
      <c r="B217" s="26">
        <f t="shared" si="31"/>
        <v>34.309298893446325</v>
      </c>
    </row>
    <row r="218" spans="1:6" x14ac:dyDescent="0.25">
      <c r="A218" s="1">
        <f t="shared" si="32"/>
        <v>1885</v>
      </c>
      <c r="B218" s="26">
        <f t="shared" si="31"/>
        <v>43.534343842051776</v>
      </c>
    </row>
    <row r="219" spans="1:6" x14ac:dyDescent="0.25">
      <c r="A219" s="1">
        <f t="shared" si="32"/>
        <v>1886</v>
      </c>
      <c r="B219" s="26">
        <f t="shared" si="31"/>
        <v>54.118486684938759</v>
      </c>
    </row>
    <row r="220" spans="1:6" x14ac:dyDescent="0.25">
      <c r="A220" s="1">
        <f t="shared" si="32"/>
        <v>1887</v>
      </c>
      <c r="B220" s="26">
        <f t="shared" si="31"/>
        <v>64.77321484392526</v>
      </c>
    </row>
    <row r="221" spans="1:6" x14ac:dyDescent="0.25">
      <c r="A221" s="1">
        <f t="shared" si="32"/>
        <v>1888</v>
      </c>
      <c r="B221" s="26">
        <f t="shared" si="31"/>
        <v>75.815000367441684</v>
      </c>
    </row>
    <row r="222" spans="1:6" x14ac:dyDescent="0.25">
      <c r="A222" s="1">
        <f t="shared" si="32"/>
        <v>1889</v>
      </c>
      <c r="B222" s="26">
        <f t="shared" si="31"/>
        <v>87.207442423697103</v>
      </c>
    </row>
    <row r="223" spans="1:6" x14ac:dyDescent="0.25">
      <c r="A223" s="1">
        <f t="shared" si="32"/>
        <v>1890</v>
      </c>
      <c r="B223" s="26">
        <f t="shared" si="31"/>
        <v>99.686028922132408</v>
      </c>
    </row>
    <row r="224" spans="1:6" x14ac:dyDescent="0.25">
      <c r="A224" s="1">
        <f t="shared" si="32"/>
        <v>1891</v>
      </c>
      <c r="B224" s="26">
        <f t="shared" si="31"/>
        <v>109.79494355371079</v>
      </c>
    </row>
    <row r="225" spans="1:2" x14ac:dyDescent="0.25">
      <c r="A225" s="1">
        <f t="shared" si="32"/>
        <v>1892</v>
      </c>
      <c r="B225" s="26">
        <f t="shared" si="31"/>
        <v>113.80276875090047</v>
      </c>
    </row>
    <row r="226" spans="1:2" x14ac:dyDescent="0.25">
      <c r="A226" s="1">
        <f t="shared" si="32"/>
        <v>1893</v>
      </c>
      <c r="B226" s="26">
        <f t="shared" si="31"/>
        <v>112.09952309622764</v>
      </c>
    </row>
    <row r="227" spans="1:2" x14ac:dyDescent="0.25">
      <c r="A227" s="1">
        <f t="shared" si="32"/>
        <v>1894</v>
      </c>
      <c r="B227" s="26">
        <f t="shared" si="31"/>
        <v>104.88446435368679</v>
      </c>
    </row>
    <row r="228" spans="1:2" x14ac:dyDescent="0.25">
      <c r="A228" s="1">
        <f t="shared" si="32"/>
        <v>1895</v>
      </c>
      <c r="B228" s="26">
        <f t="shared" si="31"/>
        <v>90.877838490181389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5" x14ac:dyDescent="0.25"/>
  <cols>
    <col min="2" max="2" width="12.7109375" customWidth="1"/>
    <col min="3" max="3" width="18.85546875" customWidth="1"/>
    <col min="4" max="4" width="13.85546875" customWidth="1"/>
    <col min="5" max="5" width="16.85546875" customWidth="1"/>
    <col min="7" max="7" width="13.28515625" customWidth="1"/>
    <col min="8" max="8" width="16.42578125" customWidth="1"/>
  </cols>
  <sheetData>
    <row r="1" spans="1:10" x14ac:dyDescent="0.25">
      <c r="A1" t="s">
        <v>161</v>
      </c>
    </row>
    <row r="3" spans="1:10" x14ac:dyDescent="0.25">
      <c r="A3" t="s">
        <v>160</v>
      </c>
    </row>
    <row r="4" spans="1:10" x14ac:dyDescent="0.25">
      <c r="A4" t="s">
        <v>157</v>
      </c>
    </row>
    <row r="5" spans="1:10" x14ac:dyDescent="0.25">
      <c r="B5" t="s">
        <v>158</v>
      </c>
    </row>
    <row r="6" spans="1:10" x14ac:dyDescent="0.25">
      <c r="B6" t="s">
        <v>159</v>
      </c>
    </row>
    <row r="8" spans="1:10" x14ac:dyDescent="0.25">
      <c r="B8" t="s">
        <v>1</v>
      </c>
      <c r="C8" t="s">
        <v>154</v>
      </c>
    </row>
    <row r="10" spans="1:10" x14ac:dyDescent="0.25">
      <c r="B10" s="1">
        <v>1908</v>
      </c>
      <c r="C10" s="1" t="s">
        <v>155</v>
      </c>
    </row>
    <row r="11" spans="1:10" x14ac:dyDescent="0.25">
      <c r="B11" s="1">
        <v>1917</v>
      </c>
      <c r="C11" s="1" t="s">
        <v>156</v>
      </c>
    </row>
    <row r="12" spans="1:10" x14ac:dyDescent="0.25">
      <c r="B12" s="1">
        <v>1918</v>
      </c>
      <c r="C12" s="1">
        <v>66</v>
      </c>
    </row>
    <row r="14" spans="1:10" x14ac:dyDescent="0.25">
      <c r="B14" s="51" t="s">
        <v>162</v>
      </c>
      <c r="C14" s="51"/>
      <c r="D14" s="51" t="s">
        <v>165</v>
      </c>
      <c r="E14" s="51"/>
      <c r="G14" s="51" t="s">
        <v>166</v>
      </c>
      <c r="H14" s="51"/>
    </row>
    <row r="15" spans="1:10" x14ac:dyDescent="0.25">
      <c r="A15" s="14" t="s">
        <v>19</v>
      </c>
      <c r="B15" s="14" t="s">
        <v>163</v>
      </c>
      <c r="C15" s="14" t="s">
        <v>164</v>
      </c>
      <c r="D15" s="14" t="s">
        <v>163</v>
      </c>
      <c r="E15" s="14" t="s">
        <v>164</v>
      </c>
      <c r="G15" s="14" t="s">
        <v>163</v>
      </c>
      <c r="H15" s="14" t="s">
        <v>164</v>
      </c>
      <c r="J15" s="14" t="s">
        <v>167</v>
      </c>
    </row>
    <row r="16" spans="1:10" x14ac:dyDescent="0.25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 x14ac:dyDescent="0.25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 x14ac:dyDescent="0.25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 x14ac:dyDescent="0.25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 x14ac:dyDescent="0.25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 x14ac:dyDescent="0.25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 x14ac:dyDescent="0.25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 x14ac:dyDescent="0.25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 x14ac:dyDescent="0.25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 x14ac:dyDescent="0.25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 x14ac:dyDescent="0.25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 x14ac:dyDescent="0.25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 x14ac:dyDescent="0.25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 x14ac:dyDescent="0.25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 x14ac:dyDescent="0.25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 x14ac:dyDescent="0.25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 x14ac:dyDescent="0.25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 x14ac:dyDescent="0.25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 x14ac:dyDescent="0.25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 x14ac:dyDescent="0.25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 x14ac:dyDescent="0.25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 x14ac:dyDescent="0.25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43"/>
  <sheetViews>
    <sheetView workbookViewId="0">
      <selection activeCell="B44" sqref="B44"/>
    </sheetView>
  </sheetViews>
  <sheetFormatPr defaultRowHeight="15" x14ac:dyDescent="0.25"/>
  <cols>
    <col min="1" max="1" width="10.85546875" customWidth="1"/>
    <col min="11" max="11" width="13.5703125" customWidth="1"/>
    <col min="15" max="15" width="26.7109375" customWidth="1"/>
    <col min="16" max="16" width="19.85546875" customWidth="1"/>
  </cols>
  <sheetData>
    <row r="1" spans="1:18" x14ac:dyDescent="0.25">
      <c r="A1" s="36" t="s">
        <v>19</v>
      </c>
      <c r="B1" s="36" t="s">
        <v>70</v>
      </c>
      <c r="C1" s="36" t="s">
        <v>71</v>
      </c>
      <c r="D1" s="36" t="s">
        <v>72</v>
      </c>
      <c r="E1" s="36" t="s">
        <v>73</v>
      </c>
      <c r="F1" s="36" t="s">
        <v>74</v>
      </c>
      <c r="G1" s="36" t="s">
        <v>75</v>
      </c>
      <c r="H1" s="36" t="s">
        <v>76</v>
      </c>
      <c r="I1" s="36" t="s">
        <v>77</v>
      </c>
      <c r="J1" s="36" t="s">
        <v>78</v>
      </c>
      <c r="K1" s="36" t="s">
        <v>79</v>
      </c>
      <c r="L1" s="36" t="s">
        <v>80</v>
      </c>
      <c r="M1" s="36" t="s">
        <v>81</v>
      </c>
      <c r="O1" s="41" t="s">
        <v>168</v>
      </c>
      <c r="P1" s="10"/>
    </row>
    <row r="2" spans="1:18" x14ac:dyDescent="0.25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 x14ac:dyDescent="0.25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 x14ac:dyDescent="0.25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 x14ac:dyDescent="0.25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 x14ac:dyDescent="0.25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 x14ac:dyDescent="0.25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 x14ac:dyDescent="0.25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 x14ac:dyDescent="0.25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 x14ac:dyDescent="0.25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 x14ac:dyDescent="0.25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 x14ac:dyDescent="0.25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 x14ac:dyDescent="0.25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 x14ac:dyDescent="0.25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 x14ac:dyDescent="0.25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 x14ac:dyDescent="0.25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 x14ac:dyDescent="0.25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 x14ac:dyDescent="0.25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 x14ac:dyDescent="0.25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 x14ac:dyDescent="0.25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 x14ac:dyDescent="0.25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 x14ac:dyDescent="0.25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 x14ac:dyDescent="0.25">
      <c r="R24" s="4"/>
    </row>
    <row r="25" spans="1:18" x14ac:dyDescent="0.25">
      <c r="A25" s="47" t="s">
        <v>199</v>
      </c>
    </row>
    <row r="26" spans="1:18" x14ac:dyDescent="0.25">
      <c r="A26" t="s">
        <v>200</v>
      </c>
      <c r="F26" s="4"/>
      <c r="L26" s="4"/>
      <c r="M26" s="4"/>
    </row>
    <row r="27" spans="1:18" x14ac:dyDescent="0.25">
      <c r="A27" t="s">
        <v>201</v>
      </c>
    </row>
    <row r="29" spans="1:18" x14ac:dyDescent="0.25">
      <c r="A29" t="s">
        <v>209</v>
      </c>
    </row>
    <row r="30" spans="1:18" x14ac:dyDescent="0.25">
      <c r="A30" s="10" t="s">
        <v>19</v>
      </c>
      <c r="B30" s="10" t="s">
        <v>70</v>
      </c>
      <c r="C30" s="10" t="s">
        <v>71</v>
      </c>
      <c r="D30" s="10" t="s">
        <v>72</v>
      </c>
      <c r="E30" s="10" t="s">
        <v>73</v>
      </c>
      <c r="F30" s="10" t="s">
        <v>74</v>
      </c>
      <c r="G30" s="10" t="s">
        <v>75</v>
      </c>
      <c r="H30" s="10" t="s">
        <v>76</v>
      </c>
      <c r="I30" s="10" t="s">
        <v>77</v>
      </c>
      <c r="J30" s="10" t="s">
        <v>78</v>
      </c>
      <c r="K30" s="10" t="s">
        <v>79</v>
      </c>
      <c r="L30" s="10" t="s">
        <v>80</v>
      </c>
      <c r="M30" s="10" t="s">
        <v>81</v>
      </c>
    </row>
    <row r="31" spans="1:18" x14ac:dyDescent="0.25">
      <c r="A31" t="s">
        <v>122</v>
      </c>
      <c r="B31" s="4">
        <f t="shared" ref="B31:M31" si="0">AVERAGE(B2:B6)</f>
        <v>0.29029344824026204</v>
      </c>
      <c r="C31" s="4">
        <f t="shared" si="0"/>
        <v>5861.5519938519883</v>
      </c>
      <c r="D31" s="4">
        <f t="shared" si="0"/>
        <v>4231.1951632577848</v>
      </c>
      <c r="E31" s="4">
        <f t="shared" si="0"/>
        <v>0.76053690733800128</v>
      </c>
      <c r="F31" s="4">
        <f t="shared" si="0"/>
        <v>25753.922387578099</v>
      </c>
      <c r="G31" s="4">
        <f t="shared" si="0"/>
        <v>5811.2768055236984</v>
      </c>
      <c r="H31" s="4">
        <f t="shared" si="0"/>
        <v>11833.25487288596</v>
      </c>
      <c r="I31" s="4">
        <f t="shared" si="0"/>
        <v>665.11834373800025</v>
      </c>
      <c r="J31" s="4">
        <f t="shared" si="0"/>
        <v>10.241153407602926</v>
      </c>
      <c r="K31" s="4">
        <f t="shared" si="0"/>
        <v>1011.3841073369298</v>
      </c>
      <c r="L31" s="4">
        <f t="shared" si="0"/>
        <v>55228.256248743775</v>
      </c>
      <c r="M31" s="4">
        <f t="shared" si="0"/>
        <v>49.260590808123176</v>
      </c>
      <c r="O31" s="4"/>
    </row>
    <row r="32" spans="1:18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 x14ac:dyDescent="0.25">
      <c r="A33" t="s">
        <v>211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 x14ac:dyDescent="0.25">
      <c r="A34" s="10" t="s">
        <v>19</v>
      </c>
      <c r="B34" s="10" t="s">
        <v>70</v>
      </c>
      <c r="C34" s="10" t="s">
        <v>71</v>
      </c>
      <c r="D34" s="10" t="s">
        <v>72</v>
      </c>
      <c r="E34" s="10" t="s">
        <v>73</v>
      </c>
      <c r="F34" s="10" t="s">
        <v>74</v>
      </c>
      <c r="G34" s="10" t="s">
        <v>75</v>
      </c>
      <c r="H34" s="10" t="s">
        <v>76</v>
      </c>
      <c r="I34" s="10" t="s">
        <v>77</v>
      </c>
      <c r="J34" s="10" t="s">
        <v>78</v>
      </c>
      <c r="K34" s="10" t="s">
        <v>79</v>
      </c>
      <c r="L34" s="10" t="s">
        <v>80</v>
      </c>
      <c r="M34" s="10" t="s">
        <v>81</v>
      </c>
      <c r="O34" s="4"/>
    </row>
    <row r="35" spans="1:15" x14ac:dyDescent="0.25">
      <c r="A35" t="s">
        <v>122</v>
      </c>
      <c r="B35" s="4">
        <f>B31</f>
        <v>0.29029344824026204</v>
      </c>
      <c r="C35" s="4">
        <v>0</v>
      </c>
      <c r="D35" s="4">
        <f t="shared" ref="D35:M35" si="1">D31</f>
        <v>4231.1951632577848</v>
      </c>
      <c r="E35" s="4">
        <f t="shared" si="1"/>
        <v>0.76053690733800128</v>
      </c>
      <c r="F35" s="4">
        <f t="shared" si="1"/>
        <v>25753.922387578099</v>
      </c>
      <c r="G35" s="4">
        <f t="shared" si="1"/>
        <v>5811.2768055236984</v>
      </c>
      <c r="H35" s="4">
        <f t="shared" si="1"/>
        <v>11833.25487288596</v>
      </c>
      <c r="I35" s="4">
        <f t="shared" si="1"/>
        <v>665.11834373800025</v>
      </c>
      <c r="J35" s="4">
        <f t="shared" si="1"/>
        <v>10.241153407602926</v>
      </c>
      <c r="K35" s="4">
        <f t="shared" si="1"/>
        <v>1011.3841073369298</v>
      </c>
      <c r="L35" s="4">
        <f>SUM(B35:K35)+M35</f>
        <v>49366.704254891782</v>
      </c>
      <c r="M35" s="4">
        <f t="shared" si="1"/>
        <v>49.260590808123176</v>
      </c>
      <c r="O35" s="4"/>
    </row>
    <row r="36" spans="1:15" x14ac:dyDescent="0.25">
      <c r="A36" t="s">
        <v>88</v>
      </c>
      <c r="B36" s="49">
        <f t="shared" ref="B36:M36" si="2">B35/$L35*100</f>
        <v>5.8803489643831483E-4</v>
      </c>
      <c r="C36" s="49">
        <f t="shared" si="2"/>
        <v>0</v>
      </c>
      <c r="D36" s="49">
        <f t="shared" si="2"/>
        <v>8.5709492402230048</v>
      </c>
      <c r="E36" s="49">
        <f t="shared" si="2"/>
        <v>1.5405867554195481E-3</v>
      </c>
      <c r="F36" s="49">
        <f t="shared" si="2"/>
        <v>52.168607923681932</v>
      </c>
      <c r="G36" s="49">
        <f t="shared" si="2"/>
        <v>11.771652358072608</v>
      </c>
      <c r="H36" s="49">
        <f t="shared" si="2"/>
        <v>23.970113159242132</v>
      </c>
      <c r="I36" s="49">
        <f t="shared" si="2"/>
        <v>1.3473014935407466</v>
      </c>
      <c r="J36" s="49">
        <f t="shared" si="2"/>
        <v>2.0745062005203888E-2</v>
      </c>
      <c r="K36" s="49">
        <f t="shared" si="2"/>
        <v>2.0487170910071661</v>
      </c>
      <c r="L36" s="49">
        <f t="shared" si="2"/>
        <v>100</v>
      </c>
      <c r="M36" s="49">
        <f t="shared" si="2"/>
        <v>9.9785050575341816E-2</v>
      </c>
    </row>
    <row r="37" spans="1:15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  <row r="39" spans="1:15" x14ac:dyDescent="0.25">
      <c r="A39" s="10" t="s">
        <v>116</v>
      </c>
      <c r="B39" s="10" t="s">
        <v>80</v>
      </c>
    </row>
    <row r="40" spans="1:15" x14ac:dyDescent="0.25">
      <c r="A40" s="43" t="s">
        <v>122</v>
      </c>
      <c r="B40" s="4">
        <f>SUM(L2:L6)</f>
        <v>276141.28124371887</v>
      </c>
    </row>
    <row r="41" spans="1:15" x14ac:dyDescent="0.25">
      <c r="A41" s="1" t="s">
        <v>123</v>
      </c>
      <c r="B41" s="4">
        <f>SUM(L7:L11)</f>
        <v>705906.12273697765</v>
      </c>
    </row>
    <row r="42" spans="1:15" x14ac:dyDescent="0.25">
      <c r="A42" s="1" t="s">
        <v>124</v>
      </c>
      <c r="B42" s="4">
        <f>SUM(L12:L16)</f>
        <v>878080.04671502998</v>
      </c>
    </row>
    <row r="43" spans="1:15" x14ac:dyDescent="0.25">
      <c r="A43" s="1" t="s">
        <v>125</v>
      </c>
      <c r="B43" s="4">
        <f>SUM(L17:L22)</f>
        <v>777781.94085353415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W34"/>
  <sheetViews>
    <sheetView workbookViewId="0">
      <selection activeCell="AC11" sqref="AC11"/>
    </sheetView>
  </sheetViews>
  <sheetFormatPr defaultRowHeight="15" x14ac:dyDescent="0.25"/>
  <cols>
    <col min="16" max="16" width="25" customWidth="1"/>
  </cols>
  <sheetData>
    <row r="1" spans="1:23" x14ac:dyDescent="0.25">
      <c r="A1" s="36" t="s">
        <v>19</v>
      </c>
      <c r="B1" s="36" t="s">
        <v>88</v>
      </c>
      <c r="C1" s="36" t="s">
        <v>70</v>
      </c>
      <c r="D1" s="36" t="s">
        <v>71</v>
      </c>
      <c r="E1" s="36" t="s">
        <v>72</v>
      </c>
      <c r="F1" s="36" t="s">
        <v>73</v>
      </c>
      <c r="G1" s="36" t="s">
        <v>74</v>
      </c>
      <c r="H1" s="36" t="s">
        <v>75</v>
      </c>
      <c r="I1" s="36" t="s">
        <v>76</v>
      </c>
      <c r="J1" s="36" t="s">
        <v>77</v>
      </c>
      <c r="K1" s="36" t="s">
        <v>78</v>
      </c>
      <c r="L1" s="36" t="s">
        <v>79</v>
      </c>
      <c r="M1" s="36" t="s">
        <v>80</v>
      </c>
      <c r="N1" s="36" t="s">
        <v>81</v>
      </c>
      <c r="P1" s="41" t="s">
        <v>168</v>
      </c>
      <c r="R1" s="50" t="s">
        <v>203</v>
      </c>
      <c r="T1" s="50" t="s">
        <v>213</v>
      </c>
      <c r="U1" s="10"/>
      <c r="V1" s="50" t="s">
        <v>215</v>
      </c>
    </row>
    <row r="2" spans="1:23" x14ac:dyDescent="0.25">
      <c r="A2" s="1">
        <v>1881</v>
      </c>
      <c r="B2" s="26">
        <v>18.475000534206423</v>
      </c>
      <c r="C2" s="4">
        <f t="shared" ref="C2:N16" si="0">C$27*$B2/100</f>
        <v>5.3631716113154662E-2</v>
      </c>
      <c r="D2" s="4">
        <f t="shared" si="0"/>
        <v>0</v>
      </c>
      <c r="E2" s="4">
        <f t="shared" si="0"/>
        <v>781.71332901519202</v>
      </c>
      <c r="F2" s="4">
        <f t="shared" si="0"/>
        <v>0.14050919769353276</v>
      </c>
      <c r="G2" s="4">
        <f t="shared" si="0"/>
        <v>4758.0372986841612</v>
      </c>
      <c r="H2" s="4">
        <f t="shared" si="0"/>
        <v>1073.6334208647172</v>
      </c>
      <c r="I2" s="4">
        <f t="shared" si="0"/>
        <v>2186.1939009796888</v>
      </c>
      <c r="J2" s="4">
        <f t="shared" si="0"/>
        <v>122.88061755870045</v>
      </c>
      <c r="K2" s="4">
        <f t="shared" si="0"/>
        <v>1.89205314676354</v>
      </c>
      <c r="L2" s="4">
        <f t="shared" si="0"/>
        <v>186.85321923337662</v>
      </c>
      <c r="M2" s="4">
        <f t="shared" si="0"/>
        <v>9120.498874811361</v>
      </c>
      <c r="N2" s="4">
        <f t="shared" si="0"/>
        <v>9.1008944149539968</v>
      </c>
      <c r="P2" s="29">
        <v>0</v>
      </c>
      <c r="R2" s="4">
        <v>9940.4968540000009</v>
      </c>
      <c r="T2" s="4">
        <f>M2/R2*100</f>
        <v>91.750935680255481</v>
      </c>
      <c r="V2" s="4">
        <f>SUM(C2:L2)+N2-M2</f>
        <v>0</v>
      </c>
      <c r="W2" s="4"/>
    </row>
    <row r="3" spans="1:23" x14ac:dyDescent="0.25">
      <c r="A3" s="1">
        <v>1882</v>
      </c>
      <c r="B3" s="26">
        <v>22.28474657634947</v>
      </c>
      <c r="C3" s="4">
        <f t="shared" si="0"/>
        <v>6.4691159268088605E-2</v>
      </c>
      <c r="D3" s="4">
        <f t="shared" si="0"/>
        <v>0</v>
      </c>
      <c r="E3" s="4">
        <f t="shared" si="0"/>
        <v>942.91111928275348</v>
      </c>
      <c r="F3" s="4">
        <f t="shared" si="0"/>
        <v>0.16948372241987936</v>
      </c>
      <c r="G3" s="4">
        <f t="shared" si="0"/>
        <v>5739.1963375415107</v>
      </c>
      <c r="H3" s="4">
        <f t="shared" si="0"/>
        <v>1295.0283089611332</v>
      </c>
      <c r="I3" s="4">
        <f t="shared" si="0"/>
        <v>2637.0108601561606</v>
      </c>
      <c r="J3" s="4">
        <f t="shared" si="0"/>
        <v>148.21993733482631</v>
      </c>
      <c r="K3" s="4">
        <f t="shared" si="0"/>
        <v>2.2822150833794903</v>
      </c>
      <c r="L3" s="4">
        <f t="shared" si="0"/>
        <v>225.38438523350908</v>
      </c>
      <c r="M3" s="4">
        <f t="shared" si="0"/>
        <v>11001.244936298564</v>
      </c>
      <c r="N3" s="4">
        <f t="shared" si="0"/>
        <v>10.97759782360275</v>
      </c>
      <c r="P3" s="29">
        <v>0</v>
      </c>
      <c r="R3" s="4">
        <v>11990.335417</v>
      </c>
      <c r="T3" s="4">
        <f t="shared" ref="T3:T16" si="1">M3/R3*100</f>
        <v>91.750935680255495</v>
      </c>
      <c r="V3" s="4">
        <v>0</v>
      </c>
      <c r="W3" s="4"/>
    </row>
    <row r="4" spans="1:23" x14ac:dyDescent="0.25">
      <c r="A4" s="1">
        <v>1883</v>
      </c>
      <c r="B4" s="26">
        <v>27.466557787163893</v>
      </c>
      <c r="C4" s="4">
        <f t="shared" si="0"/>
        <v>7.9733617713262275E-2</v>
      </c>
      <c r="D4" s="4">
        <f t="shared" si="0"/>
        <v>0</v>
      </c>
      <c r="E4" s="4">
        <f t="shared" si="0"/>
        <v>1162.163664603883</v>
      </c>
      <c r="F4" s="4">
        <f t="shared" si="0"/>
        <v>0.20889330914670123</v>
      </c>
      <c r="G4" s="4">
        <f t="shared" si="0"/>
        <v>7073.7159750454775</v>
      </c>
      <c r="H4" s="4">
        <f t="shared" si="0"/>
        <v>1596.1577019612187</v>
      </c>
      <c r="I4" s="4">
        <f t="shared" si="0"/>
        <v>3250.1877877636098</v>
      </c>
      <c r="J4" s="4">
        <f t="shared" si="0"/>
        <v>182.68511423582521</v>
      </c>
      <c r="K4" s="4">
        <f t="shared" si="0"/>
        <v>2.8128923187713624</v>
      </c>
      <c r="L4" s="4">
        <f t="shared" si="0"/>
        <v>277.79240029188952</v>
      </c>
      <c r="M4" s="4">
        <f t="shared" si="0"/>
        <v>13559.334351788148</v>
      </c>
      <c r="N4" s="4">
        <f t="shared" si="0"/>
        <v>13.530188640611497</v>
      </c>
      <c r="P4" s="29">
        <v>0</v>
      </c>
      <c r="R4" s="4">
        <v>14778.415338499999</v>
      </c>
      <c r="T4" s="4">
        <f t="shared" si="1"/>
        <v>91.750935680255509</v>
      </c>
      <c r="V4" s="4">
        <v>0</v>
      </c>
      <c r="W4" s="4"/>
    </row>
    <row r="5" spans="1:23" x14ac:dyDescent="0.25">
      <c r="A5" s="1">
        <v>1884</v>
      </c>
      <c r="B5" s="26">
        <v>34.309298893446325</v>
      </c>
      <c r="C5" s="4">
        <f t="shared" si="0"/>
        <v>9.9597646824843414E-2</v>
      </c>
      <c r="D5" s="4">
        <f t="shared" si="0"/>
        <v>0</v>
      </c>
      <c r="E5" s="4">
        <f t="shared" si="0"/>
        <v>1451.6933953271575</v>
      </c>
      <c r="F5" s="4">
        <f t="shared" si="0"/>
        <v>0.2609348807335678</v>
      </c>
      <c r="G5" s="4">
        <f t="shared" si="0"/>
        <v>8835.990208740357</v>
      </c>
      <c r="H5" s="4">
        <f t="shared" si="0"/>
        <v>1993.8083287326454</v>
      </c>
      <c r="I5" s="4">
        <f t="shared" si="0"/>
        <v>4059.9067831617458</v>
      </c>
      <c r="J5" s="4">
        <f t="shared" si="0"/>
        <v>228.19744054821024</v>
      </c>
      <c r="K5" s="4">
        <f t="shared" si="0"/>
        <v>3.5136679327508511</v>
      </c>
      <c r="L5" s="4">
        <f t="shared" si="0"/>
        <v>346.99879634704126</v>
      </c>
      <c r="M5" s="4">
        <f t="shared" si="0"/>
        <v>16937.370116654507</v>
      </c>
      <c r="N5" s="4">
        <f t="shared" si="0"/>
        <v>16.900963337036526</v>
      </c>
      <c r="P5" s="29">
        <v>0</v>
      </c>
      <c r="R5" s="4">
        <v>18460.160641499999</v>
      </c>
      <c r="T5" s="4">
        <f t="shared" si="1"/>
        <v>91.750935680255509</v>
      </c>
      <c r="V5" s="4">
        <v>0</v>
      </c>
      <c r="W5" s="4"/>
    </row>
    <row r="6" spans="1:23" x14ac:dyDescent="0.25">
      <c r="A6" s="1">
        <v>1885</v>
      </c>
      <c r="B6" s="26">
        <v>43.534343842051776</v>
      </c>
      <c r="C6" s="4">
        <f t="shared" si="0"/>
        <v>0.12637734790786428</v>
      </c>
      <c r="D6" s="4">
        <f t="shared" si="0"/>
        <v>0</v>
      </c>
      <c r="E6" s="4">
        <f t="shared" si="0"/>
        <v>1842.023051000908</v>
      </c>
      <c r="F6" s="4">
        <f t="shared" si="0"/>
        <v>0.3310947522862322</v>
      </c>
      <c r="G6" s="4">
        <f t="shared" si="0"/>
        <v>11211.801125023399</v>
      </c>
      <c r="H6" s="4">
        <f t="shared" si="0"/>
        <v>2529.9012261300891</v>
      </c>
      <c r="I6" s="4">
        <f t="shared" si="0"/>
        <v>5151.5298640685205</v>
      </c>
      <c r="J6" s="4">
        <f t="shared" si="0"/>
        <v>289.55490671946086</v>
      </c>
      <c r="K6" s="4">
        <f t="shared" si="0"/>
        <v>4.4584189378578598</v>
      </c>
      <c r="L6" s="4">
        <f t="shared" si="0"/>
        <v>440.29943485192501</v>
      </c>
      <c r="M6" s="4">
        <f t="shared" si="0"/>
        <v>21491.470773813395</v>
      </c>
      <c r="N6" s="4">
        <f t="shared" si="0"/>
        <v>21.445274981034494</v>
      </c>
      <c r="P6" s="29">
        <v>0</v>
      </c>
      <c r="R6" s="4">
        <v>23423.707469000001</v>
      </c>
      <c r="T6" s="4">
        <f t="shared" si="1"/>
        <v>91.750935680255495</v>
      </c>
      <c r="V6" s="4">
        <v>0</v>
      </c>
      <c r="W6" s="4"/>
    </row>
    <row r="7" spans="1:23" x14ac:dyDescent="0.25">
      <c r="A7" s="1">
        <v>1886</v>
      </c>
      <c r="B7" s="26">
        <v>54.118486684938759</v>
      </c>
      <c r="C7" s="4">
        <f t="shared" si="0"/>
        <v>0.15710242113315581</v>
      </c>
      <c r="D7" s="4">
        <f t="shared" si="0"/>
        <v>0</v>
      </c>
      <c r="E7" s="4">
        <f t="shared" si="0"/>
        <v>2289.8587910414371</v>
      </c>
      <c r="F7" s="4">
        <f t="shared" si="0"/>
        <v>0.41159106493176123</v>
      </c>
      <c r="G7" s="4">
        <f t="shared" si="0"/>
        <v>13937.633058170915</v>
      </c>
      <c r="H7" s="4">
        <f t="shared" si="0"/>
        <v>3144.9750642222771</v>
      </c>
      <c r="I7" s="4">
        <f t="shared" si="0"/>
        <v>6403.9784627776544</v>
      </c>
      <c r="J7" s="4">
        <f t="shared" si="0"/>
        <v>359.95198229493485</v>
      </c>
      <c r="K7" s="4">
        <f t="shared" si="0"/>
        <v>5.5423572432777419</v>
      </c>
      <c r="L7" s="4">
        <f t="shared" si="0"/>
        <v>547.34577346272306</v>
      </c>
      <c r="M7" s="4">
        <f t="shared" si="0"/>
        <v>26716.513268976705</v>
      </c>
      <c r="N7" s="4">
        <f t="shared" si="0"/>
        <v>26.659086277416307</v>
      </c>
      <c r="P7" s="29">
        <v>0</v>
      </c>
      <c r="R7" s="4">
        <v>29118.518597000002</v>
      </c>
      <c r="T7" s="4">
        <f t="shared" si="1"/>
        <v>91.750935680255481</v>
      </c>
      <c r="V7" s="4">
        <v>0</v>
      </c>
      <c r="W7" s="4"/>
    </row>
    <row r="8" spans="1:23" x14ac:dyDescent="0.25">
      <c r="A8" s="1">
        <v>1887</v>
      </c>
      <c r="B8" s="26">
        <v>64.77321484392526</v>
      </c>
      <c r="C8" s="4">
        <f t="shared" si="0"/>
        <v>0.18803239890650392</v>
      </c>
      <c r="D8" s="4">
        <f t="shared" si="0"/>
        <v>0</v>
      </c>
      <c r="E8" s="4">
        <f t="shared" si="0"/>
        <v>2740.681133562739</v>
      </c>
      <c r="F8" s="4">
        <f t="shared" si="0"/>
        <v>0.49262420495738835</v>
      </c>
      <c r="G8" s="4">
        <f t="shared" si="0"/>
        <v>16681.643478843729</v>
      </c>
      <c r="H8" s="4">
        <f t="shared" si="0"/>
        <v>3764.1508104170621</v>
      </c>
      <c r="I8" s="4">
        <f t="shared" si="0"/>
        <v>7664.7796018436784</v>
      </c>
      <c r="J8" s="4">
        <f t="shared" si="0"/>
        <v>430.81853375577225</v>
      </c>
      <c r="K8" s="4">
        <f t="shared" si="0"/>
        <v>6.6335242992026169</v>
      </c>
      <c r="L8" s="4">
        <f t="shared" si="0"/>
        <v>655.10600074266517</v>
      </c>
      <c r="M8" s="4">
        <f t="shared" si="0"/>
        <v>31976.401408386246</v>
      </c>
      <c r="N8" s="4">
        <f t="shared" si="0"/>
        <v>31.907668317532526</v>
      </c>
      <c r="P8" s="29">
        <v>0</v>
      </c>
      <c r="R8" s="4">
        <v>34851.308241500003</v>
      </c>
      <c r="T8" s="4">
        <f t="shared" si="1"/>
        <v>91.750935680255481</v>
      </c>
      <c r="V8" s="4">
        <v>0</v>
      </c>
      <c r="W8" s="4"/>
    </row>
    <row r="9" spans="1:23" x14ac:dyDescent="0.25">
      <c r="A9" s="1">
        <v>1888</v>
      </c>
      <c r="B9" s="26">
        <v>75.815000367441684</v>
      </c>
      <c r="C9" s="4">
        <f t="shared" si="0"/>
        <v>0.2200859788500138</v>
      </c>
      <c r="D9" s="4">
        <f t="shared" si="0"/>
        <v>0</v>
      </c>
      <c r="E9" s="4">
        <f t="shared" si="0"/>
        <v>3207.8806285710643</v>
      </c>
      <c r="F9" s="4">
        <f t="shared" si="0"/>
        <v>0.57660105909283532</v>
      </c>
      <c r="G9" s="4">
        <f t="shared" si="0"/>
        <v>19525.336352772982</v>
      </c>
      <c r="H9" s="4">
        <f t="shared" si="0"/>
        <v>4405.8195314608447</v>
      </c>
      <c r="I9" s="4">
        <f t="shared" si="0"/>
        <v>8971.3822253588023</v>
      </c>
      <c r="J9" s="4">
        <f t="shared" si="0"/>
        <v>504.25947474888693</v>
      </c>
      <c r="K9" s="4">
        <f t="shared" si="0"/>
        <v>7.7643304936044251</v>
      </c>
      <c r="L9" s="4">
        <f t="shared" si="0"/>
        <v>766.78086469374011</v>
      </c>
      <c r="M9" s="4">
        <f t="shared" si="0"/>
        <v>37427.367012240051</v>
      </c>
      <c r="N9" s="4">
        <f t="shared" si="0"/>
        <v>37.34691710218253</v>
      </c>
      <c r="P9" s="29">
        <v>0</v>
      </c>
      <c r="R9" s="4">
        <v>40792.354579000006</v>
      </c>
      <c r="T9" s="4">
        <f t="shared" si="1"/>
        <v>91.750935680255481</v>
      </c>
      <c r="V9" s="4">
        <v>0</v>
      </c>
      <c r="W9" s="4"/>
    </row>
    <row r="10" spans="1:23" x14ac:dyDescent="0.25">
      <c r="A10" s="1">
        <v>1889</v>
      </c>
      <c r="B10" s="26">
        <v>87.207442423697103</v>
      </c>
      <c r="C10" s="4">
        <f t="shared" si="0"/>
        <v>0.25315749173389146</v>
      </c>
      <c r="D10" s="4">
        <f t="shared" si="0"/>
        <v>0</v>
      </c>
      <c r="E10" s="4">
        <f t="shared" si="0"/>
        <v>3689.9170858322891</v>
      </c>
      <c r="F10" s="4">
        <f t="shared" si="0"/>
        <v>0.66324478557775413</v>
      </c>
      <c r="G10" s="4">
        <f t="shared" si="0"/>
        <v>22459.337037990812</v>
      </c>
      <c r="H10" s="4">
        <f t="shared" si="0"/>
        <v>5067.865874258744</v>
      </c>
      <c r="I10" s="4">
        <f t="shared" si="0"/>
        <v>10319.478930121355</v>
      </c>
      <c r="J10" s="4">
        <f t="shared" si="0"/>
        <v>580.03269666476433</v>
      </c>
      <c r="K10" s="4">
        <f t="shared" si="0"/>
        <v>8.931047961457816</v>
      </c>
      <c r="L10" s="4">
        <f t="shared" si="0"/>
        <v>882.00221308827588</v>
      </c>
      <c r="M10" s="4">
        <f t="shared" si="0"/>
        <v>43051.440189561574</v>
      </c>
      <c r="N10" s="4">
        <f t="shared" si="0"/>
        <v>42.958901366567041</v>
      </c>
      <c r="P10" s="29">
        <v>0</v>
      </c>
      <c r="R10" s="4">
        <v>46922.072096999997</v>
      </c>
      <c r="T10" s="4">
        <f t="shared" si="1"/>
        <v>91.750935680255481</v>
      </c>
      <c r="V10" s="4">
        <v>0</v>
      </c>
      <c r="W10" s="4"/>
    </row>
    <row r="11" spans="1:23" x14ac:dyDescent="0.25">
      <c r="A11" s="1">
        <v>1890</v>
      </c>
      <c r="B11" s="26">
        <v>99.686028922132408</v>
      </c>
      <c r="C11" s="4">
        <f t="shared" si="0"/>
        <v>0.28938201077184311</v>
      </c>
      <c r="D11" s="4">
        <f t="shared" si="0"/>
        <v>0</v>
      </c>
      <c r="E11" s="4">
        <f t="shared" si="0"/>
        <v>4217.9104341970224</v>
      </c>
      <c r="F11" s="4">
        <f t="shared" si="0"/>
        <v>0.75814904141245132</v>
      </c>
      <c r="G11" s="4">
        <f t="shared" si="0"/>
        <v>25673.062519864634</v>
      </c>
      <c r="H11" s="4">
        <f t="shared" si="0"/>
        <v>5793.0310770995266</v>
      </c>
      <c r="I11" s="4">
        <f t="shared" si="0"/>
        <v>11796.101875014741</v>
      </c>
      <c r="J11" s="4">
        <f t="shared" si="0"/>
        <v>663.03006450507087</v>
      </c>
      <c r="K11" s="4">
        <f t="shared" si="0"/>
        <v>10.208999147863002</v>
      </c>
      <c r="L11" s="4">
        <f t="shared" si="0"/>
        <v>1008.2086537537425</v>
      </c>
      <c r="M11" s="4">
        <f t="shared" si="0"/>
        <v>49211.707081434986</v>
      </c>
      <c r="N11" s="4">
        <f t="shared" si="0"/>
        <v>49.105926800198965</v>
      </c>
      <c r="P11" s="29">
        <v>0</v>
      </c>
      <c r="R11" s="4">
        <v>53636.190973500001</v>
      </c>
      <c r="T11" s="4">
        <f t="shared" si="1"/>
        <v>91.750935680255481</v>
      </c>
      <c r="V11" s="4">
        <v>0</v>
      </c>
      <c r="W11" s="4"/>
    </row>
    <row r="12" spans="1:23" x14ac:dyDescent="0.25">
      <c r="A12" s="1">
        <v>1891</v>
      </c>
      <c r="B12" s="26">
        <v>109.79494355371079</v>
      </c>
      <c r="C12" s="4">
        <f t="shared" si="0"/>
        <v>0.31872752763551637</v>
      </c>
      <c r="D12" s="4">
        <f t="shared" si="0"/>
        <v>0</v>
      </c>
      <c r="E12" s="4">
        <f t="shared" si="0"/>
        <v>4645.6383411462266</v>
      </c>
      <c r="F12" s="4">
        <f t="shared" si="0"/>
        <v>0.83503106811689631</v>
      </c>
      <c r="G12" s="4">
        <f t="shared" si="0"/>
        <v>28276.504548307861</v>
      </c>
      <c r="H12" s="4">
        <f t="shared" si="0"/>
        <v>6380.4880883746328</v>
      </c>
      <c r="I12" s="4">
        <f t="shared" si="0"/>
        <v>12992.315508251872</v>
      </c>
      <c r="J12" s="4">
        <f t="shared" si="0"/>
        <v>730.26631007251342</v>
      </c>
      <c r="K12" s="4">
        <f t="shared" si="0"/>
        <v>11.244268603126564</v>
      </c>
      <c r="L12" s="4">
        <f t="shared" si="0"/>
        <v>1110.4486097617839</v>
      </c>
      <c r="M12" s="4">
        <f t="shared" si="0"/>
        <v>54202.145070985782</v>
      </c>
      <c r="N12" s="4">
        <f t="shared" si="0"/>
        <v>54.085637872003289</v>
      </c>
      <c r="P12" s="29">
        <v>0</v>
      </c>
      <c r="R12" s="4">
        <v>59075.304975500003</v>
      </c>
      <c r="T12" s="4">
        <f t="shared" si="1"/>
        <v>91.750935680255495</v>
      </c>
      <c r="V12" s="4">
        <v>0</v>
      </c>
      <c r="W12" s="4"/>
    </row>
    <row r="13" spans="1:23" x14ac:dyDescent="0.25">
      <c r="A13" s="1">
        <v>1892</v>
      </c>
      <c r="B13" s="26">
        <v>113.80276875090047</v>
      </c>
      <c r="C13" s="4">
        <f t="shared" si="0"/>
        <v>0.33036198159988039</v>
      </c>
      <c r="D13" s="4">
        <f t="shared" si="0"/>
        <v>0</v>
      </c>
      <c r="E13" s="4">
        <f t="shared" si="0"/>
        <v>4815.2172470415426</v>
      </c>
      <c r="F13" s="4">
        <f t="shared" si="0"/>
        <v>0.86551205792311581</v>
      </c>
      <c r="G13" s="4">
        <f t="shared" si="0"/>
        <v>29308.676739021888</v>
      </c>
      <c r="H13" s="4">
        <f t="shared" si="0"/>
        <v>6613.3939044648505</v>
      </c>
      <c r="I13" s="4">
        <f t="shared" si="0"/>
        <v>13466.571678695071</v>
      </c>
      <c r="J13" s="4">
        <f t="shared" si="0"/>
        <v>756.92309064397568</v>
      </c>
      <c r="K13" s="4">
        <f t="shared" si="0"/>
        <v>11.65471612987932</v>
      </c>
      <c r="L13" s="4">
        <f t="shared" si="0"/>
        <v>1150.9831168560052</v>
      </c>
      <c r="M13" s="4">
        <f t="shared" si="0"/>
        <v>56180.676283135435</v>
      </c>
      <c r="N13" s="4">
        <f t="shared" si="0"/>
        <v>56.059916242695756</v>
      </c>
      <c r="P13" s="29">
        <v>0</v>
      </c>
      <c r="R13" s="4">
        <v>61231.720272500002</v>
      </c>
      <c r="T13" s="4">
        <f t="shared" si="1"/>
        <v>91.750935680255481</v>
      </c>
      <c r="V13" s="4">
        <v>0</v>
      </c>
      <c r="W13" s="4"/>
    </row>
    <row r="14" spans="1:23" x14ac:dyDescent="0.25">
      <c r="A14" s="1">
        <v>1893</v>
      </c>
      <c r="B14" s="26">
        <v>112.09952309622764</v>
      </c>
      <c r="C14" s="4">
        <f t="shared" si="0"/>
        <v>0.32541757105692815</v>
      </c>
      <c r="D14" s="4">
        <f t="shared" si="0"/>
        <v>0</v>
      </c>
      <c r="E14" s="4">
        <f t="shared" si="0"/>
        <v>4743.1495992826276</v>
      </c>
      <c r="F14" s="4">
        <f t="shared" si="0"/>
        <v>0.85255824609669817</v>
      </c>
      <c r="G14" s="4">
        <f t="shared" si="0"/>
        <v>28870.024175047653</v>
      </c>
      <c r="H14" s="4">
        <f t="shared" si="0"/>
        <v>6514.4135847937587</v>
      </c>
      <c r="I14" s="4">
        <f t="shared" si="0"/>
        <v>13265.022279266279</v>
      </c>
      <c r="J14" s="4">
        <f t="shared" si="0"/>
        <v>745.59449135582634</v>
      </c>
      <c r="K14" s="4">
        <f t="shared" si="0"/>
        <v>11.480284129475947</v>
      </c>
      <c r="L14" s="4">
        <f t="shared" si="0"/>
        <v>1133.7567609957375</v>
      </c>
      <c r="M14" s="4">
        <f t="shared" si="0"/>
        <v>55339.840038058806</v>
      </c>
      <c r="N14" s="4">
        <f t="shared" si="0"/>
        <v>55.220887370290228</v>
      </c>
      <c r="P14" s="29">
        <v>0</v>
      </c>
      <c r="R14" s="4">
        <v>60315.286844500006</v>
      </c>
      <c r="T14" s="4">
        <f t="shared" si="1"/>
        <v>91.750935680255495</v>
      </c>
      <c r="V14" s="4">
        <v>0</v>
      </c>
      <c r="W14" s="4"/>
    </row>
    <row r="15" spans="1:23" x14ac:dyDescent="0.25">
      <c r="A15" s="1">
        <v>1894</v>
      </c>
      <c r="B15" s="26">
        <v>104.88446435368679</v>
      </c>
      <c r="C15" s="4">
        <f t="shared" si="0"/>
        <v>0.30447272824064586</v>
      </c>
      <c r="D15" s="4">
        <f t="shared" si="0"/>
        <v>0</v>
      </c>
      <c r="E15" s="4">
        <f t="shared" si="0"/>
        <v>4437.8663827420314</v>
      </c>
      <c r="F15" s="4">
        <f t="shared" si="0"/>
        <v>0.79768506147355789</v>
      </c>
      <c r="G15" s="4">
        <f t="shared" si="0"/>
        <v>27011.863546275516</v>
      </c>
      <c r="H15" s="4">
        <f t="shared" si="0"/>
        <v>6095.1265495835723</v>
      </c>
      <c r="I15" s="4">
        <f t="shared" si="0"/>
        <v>12411.245989032981</v>
      </c>
      <c r="J15" s="4">
        <f t="shared" si="0"/>
        <v>697.60581214771491</v>
      </c>
      <c r="K15" s="4">
        <f t="shared" si="0"/>
        <v>10.741378895203672</v>
      </c>
      <c r="L15" s="4">
        <f t="shared" si="0"/>
        <v>1060.7848035386555</v>
      </c>
      <c r="M15" s="4">
        <f t="shared" si="0"/>
        <v>51778.003326811951</v>
      </c>
      <c r="N15" s="4">
        <f t="shared" si="0"/>
        <v>51.666706806561471</v>
      </c>
      <c r="P15" s="29">
        <v>0</v>
      </c>
      <c r="R15" s="4">
        <v>56433.215577499999</v>
      </c>
      <c r="T15" s="4">
        <f t="shared" si="1"/>
        <v>91.750935680255495</v>
      </c>
      <c r="V15" s="4">
        <v>0</v>
      </c>
      <c r="W15" s="4"/>
    </row>
    <row r="16" spans="1:23" x14ac:dyDescent="0.25">
      <c r="A16" s="1">
        <v>1895</v>
      </c>
      <c r="B16" s="26">
        <v>90.877838490181389</v>
      </c>
      <c r="C16" s="4">
        <f t="shared" si="0"/>
        <v>0.26381241103936365</v>
      </c>
      <c r="D16" s="4">
        <f t="shared" si="0"/>
        <v>0</v>
      </c>
      <c r="E16" s="4">
        <f t="shared" si="0"/>
        <v>3845.2187066697766</v>
      </c>
      <c r="F16" s="4">
        <f t="shared" si="0"/>
        <v>0.69115950230884937</v>
      </c>
      <c r="G16" s="4">
        <f t="shared" si="0"/>
        <v>23404.607992269892</v>
      </c>
      <c r="H16" s="4">
        <f t="shared" si="0"/>
        <v>5281.1627495411994</v>
      </c>
      <c r="I16" s="4">
        <f t="shared" si="0"/>
        <v>10753.806251512822</v>
      </c>
      <c r="J16" s="4">
        <f t="shared" si="0"/>
        <v>604.44517419078932</v>
      </c>
      <c r="K16" s="4">
        <f t="shared" si="0"/>
        <v>9.3069388532930954</v>
      </c>
      <c r="L16" s="4">
        <f t="shared" si="0"/>
        <v>919.12401558101783</v>
      </c>
      <c r="M16" s="4">
        <f t="shared" si="0"/>
        <v>44863.393760686064</v>
      </c>
      <c r="N16" s="4">
        <f t="shared" si="0"/>
        <v>44.766960153915313</v>
      </c>
      <c r="P16" s="29">
        <v>0</v>
      </c>
      <c r="R16" s="4">
        <v>48896.9332335</v>
      </c>
      <c r="T16" s="4">
        <f t="shared" si="1"/>
        <v>91.750935680255509</v>
      </c>
      <c r="V16" s="4">
        <v>0</v>
      </c>
      <c r="W16" s="4"/>
    </row>
    <row r="18" spans="1:16" x14ac:dyDescent="0.25">
      <c r="A18" s="47" t="s">
        <v>199</v>
      </c>
    </row>
    <row r="19" spans="1:16" x14ac:dyDescent="0.25">
      <c r="A19" t="s">
        <v>200</v>
      </c>
    </row>
    <row r="20" spans="1:16" x14ac:dyDescent="0.25">
      <c r="A20" t="s">
        <v>201</v>
      </c>
    </row>
    <row r="21" spans="1:16" x14ac:dyDescent="0.25">
      <c r="A21" s="14"/>
    </row>
    <row r="23" spans="1:16" x14ac:dyDescent="0.25">
      <c r="A23" t="s">
        <v>184</v>
      </c>
      <c r="C23" s="4">
        <f>SUM(C2:C16)</f>
        <v>3.0745840087949561</v>
      </c>
      <c r="D23" s="4">
        <f t="shared" ref="D23:N23" si="2">SUM(D2:D16)</f>
        <v>0</v>
      </c>
      <c r="E23" s="4">
        <f t="shared" si="2"/>
        <v>44813.842909316649</v>
      </c>
      <c r="F23" s="4">
        <f t="shared" si="2"/>
        <v>8.0550719541712201</v>
      </c>
      <c r="G23" s="4">
        <f t="shared" si="2"/>
        <v>272767.43039360078</v>
      </c>
      <c r="H23" s="4">
        <f t="shared" si="2"/>
        <v>61548.956220866268</v>
      </c>
      <c r="I23" s="4">
        <f t="shared" si="2"/>
        <v>125329.51199800498</v>
      </c>
      <c r="J23" s="4">
        <f t="shared" si="2"/>
        <v>7044.465646777272</v>
      </c>
      <c r="K23" s="4">
        <f t="shared" si="2"/>
        <v>108.46709317590728</v>
      </c>
      <c r="L23" s="4">
        <f t="shared" si="2"/>
        <v>10711.869048432089</v>
      </c>
      <c r="M23" s="4">
        <f t="shared" si="2"/>
        <v>522857.40649364353</v>
      </c>
      <c r="N23" s="4">
        <f t="shared" si="2"/>
        <v>521.73352750660274</v>
      </c>
    </row>
    <row r="25" spans="1:16" x14ac:dyDescent="0.25">
      <c r="A25" t="s">
        <v>210</v>
      </c>
    </row>
    <row r="26" spans="1:16" x14ac:dyDescent="0.25">
      <c r="C26" s="10" t="s">
        <v>70</v>
      </c>
      <c r="D26" s="10" t="s">
        <v>71</v>
      </c>
      <c r="E26" s="10" t="s">
        <v>72</v>
      </c>
      <c r="F26" s="10" t="s">
        <v>73</v>
      </c>
      <c r="G26" s="10" t="s">
        <v>74</v>
      </c>
      <c r="H26" s="10" t="s">
        <v>75</v>
      </c>
      <c r="I26" s="10" t="s">
        <v>76</v>
      </c>
      <c r="J26" s="10" t="s">
        <v>77</v>
      </c>
      <c r="K26" s="10" t="s">
        <v>78</v>
      </c>
      <c r="L26" s="10" t="s">
        <v>79</v>
      </c>
      <c r="M26" s="10" t="s">
        <v>80</v>
      </c>
      <c r="N26" s="10" t="s">
        <v>81</v>
      </c>
    </row>
    <row r="27" spans="1:16" x14ac:dyDescent="0.25">
      <c r="A27" t="s">
        <v>122</v>
      </c>
      <c r="C27" s="4">
        <v>0.29029344824026204</v>
      </c>
      <c r="D27" s="4">
        <v>0</v>
      </c>
      <c r="E27" s="4">
        <v>4231.1951632577848</v>
      </c>
      <c r="F27" s="4">
        <v>0.76053690733800128</v>
      </c>
      <c r="G27" s="4">
        <v>25753.922387578099</v>
      </c>
      <c r="H27" s="4">
        <v>5811.2768055236984</v>
      </c>
      <c r="I27" s="4">
        <v>11833.25487288596</v>
      </c>
      <c r="J27" s="4">
        <v>665.11834373800025</v>
      </c>
      <c r="K27" s="4">
        <v>10.241153407602926</v>
      </c>
      <c r="L27" s="4">
        <v>1011.3841073369298</v>
      </c>
      <c r="M27" s="4">
        <v>49366.704254891782</v>
      </c>
      <c r="N27" s="4">
        <v>49.260590808123176</v>
      </c>
    </row>
    <row r="29" spans="1:16" x14ac:dyDescent="0.25">
      <c r="A29" t="s">
        <v>212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P29" s="4"/>
    </row>
    <row r="31" spans="1:16" x14ac:dyDescent="0.25">
      <c r="A31" s="10" t="s">
        <v>116</v>
      </c>
      <c r="B31" s="10" t="s">
        <v>80</v>
      </c>
    </row>
    <row r="32" spans="1:16" x14ac:dyDescent="0.25">
      <c r="A32" s="1" t="s">
        <v>119</v>
      </c>
      <c r="B32" s="4">
        <f>SUM(M2:M4)</f>
        <v>33681.078162898077</v>
      </c>
    </row>
    <row r="33" spans="1:2" x14ac:dyDescent="0.25">
      <c r="A33" s="1" t="s">
        <v>120</v>
      </c>
      <c r="B33" s="4">
        <f>SUM(M7:M11)</f>
        <v>188383.42896059956</v>
      </c>
    </row>
    <row r="34" spans="1:2" x14ac:dyDescent="0.25">
      <c r="A34" s="1" t="s">
        <v>121</v>
      </c>
      <c r="B34" s="4">
        <f>SUM(M12:M16)</f>
        <v>262364.058479678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2024-09-26T23:11:15Z</dcterms:created>
  <dcterms:modified xsi:type="dcterms:W3CDTF">2026-08-13T16:20:12Z</dcterms:modified>
</cp:coreProperties>
</file>