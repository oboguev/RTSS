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B5BBD8FF-01FB-46DE-BB25-1A7F529B5B9D}" xr6:coauthVersionLast="45" xr6:coauthVersionMax="47" xr10:uidLastSave="{00000000-0000-0000-0000-000000000000}"/>
  <bookViews>
    <workbookView xWindow="1980" yWindow="1980" windowWidth="19785" windowHeight="18390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" sheetId="4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7" i="5" l="1"/>
  <c r="C96" i="5"/>
  <c r="C95" i="5"/>
  <c r="C94" i="5"/>
  <c r="C93" i="5"/>
  <c r="C92" i="5"/>
  <c r="C91" i="5"/>
  <c r="C90" i="5"/>
  <c r="I53" i="5"/>
  <c r="H53" i="5"/>
  <c r="G53" i="5"/>
  <c r="I51" i="5"/>
  <c r="J50" i="5"/>
  <c r="J49" i="5"/>
  <c r="J48" i="5"/>
  <c r="J47" i="5"/>
  <c r="J46" i="5"/>
  <c r="J45" i="5"/>
  <c r="J44" i="5"/>
  <c r="J43" i="5"/>
  <c r="F53" i="5"/>
  <c r="E53" i="5"/>
  <c r="D53" i="5"/>
  <c r="C53" i="5"/>
  <c r="J53" i="5" s="1"/>
  <c r="H51" i="5"/>
  <c r="G51" i="5"/>
  <c r="F51" i="5"/>
  <c r="E51" i="5"/>
  <c r="D51" i="5"/>
  <c r="C51" i="5"/>
  <c r="B51" i="5"/>
  <c r="J51" i="5" s="1"/>
  <c r="I52" i="5" l="1"/>
  <c r="H54" i="5"/>
  <c r="G54" i="5"/>
  <c r="F54" i="5"/>
  <c r="I54" i="5"/>
  <c r="C52" i="5"/>
  <c r="J52" i="5"/>
  <c r="G52" i="5"/>
  <c r="C54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D91" i="5" s="1"/>
  <c r="I28" i="5"/>
  <c r="D92" i="5" s="1"/>
  <c r="I29" i="5"/>
  <c r="K18" i="5"/>
  <c r="J18" i="5"/>
  <c r="I18" i="5"/>
  <c r="H18" i="5"/>
  <c r="G18" i="5"/>
  <c r="F18" i="5"/>
  <c r="E18" i="5"/>
  <c r="D18" i="5"/>
  <c r="C18" i="5"/>
  <c r="B18" i="5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84" i="3" s="1"/>
  <c r="L263" i="3"/>
  <c r="M284" i="3"/>
  <c r="K284" i="3"/>
  <c r="J284" i="3"/>
  <c r="I284" i="3"/>
  <c r="H284" i="3"/>
  <c r="G284" i="3"/>
  <c r="F284" i="3"/>
  <c r="E284" i="3"/>
  <c r="D284" i="3"/>
  <c r="C284" i="3"/>
  <c r="B284" i="3"/>
  <c r="M283" i="3"/>
  <c r="K283" i="3"/>
  <c r="J283" i="3"/>
  <c r="I283" i="3"/>
  <c r="H283" i="3"/>
  <c r="G283" i="3"/>
  <c r="F283" i="3"/>
  <c r="E283" i="3"/>
  <c r="D283" i="3"/>
  <c r="C283" i="3"/>
  <c r="B283" i="3"/>
  <c r="M282" i="3"/>
  <c r="K282" i="3"/>
  <c r="J282" i="3"/>
  <c r="I282" i="3"/>
  <c r="H282" i="3"/>
  <c r="G282" i="3"/>
  <c r="F282" i="3"/>
  <c r="E282" i="3"/>
  <c r="D282" i="3"/>
  <c r="C282" i="3"/>
  <c r="B282" i="3"/>
  <c r="M281" i="3"/>
  <c r="K281" i="3"/>
  <c r="J281" i="3"/>
  <c r="I281" i="3"/>
  <c r="H281" i="3"/>
  <c r="G281" i="3"/>
  <c r="F281" i="3"/>
  <c r="E281" i="3"/>
  <c r="D281" i="3"/>
  <c r="C281" i="3"/>
  <c r="B281" i="3"/>
  <c r="M280" i="3"/>
  <c r="K280" i="3"/>
  <c r="J280" i="3"/>
  <c r="I280" i="3"/>
  <c r="H280" i="3"/>
  <c r="G280" i="3"/>
  <c r="F280" i="3"/>
  <c r="E280" i="3"/>
  <c r="D280" i="3"/>
  <c r="C280" i="3"/>
  <c r="B280" i="3"/>
  <c r="M279" i="3"/>
  <c r="K279" i="3"/>
  <c r="J279" i="3"/>
  <c r="I279" i="3"/>
  <c r="H279" i="3"/>
  <c r="G279" i="3"/>
  <c r="F279" i="3"/>
  <c r="E279" i="3"/>
  <c r="D279" i="3"/>
  <c r="C279" i="3"/>
  <c r="B279" i="3"/>
  <c r="M278" i="3"/>
  <c r="K278" i="3"/>
  <c r="J278" i="3"/>
  <c r="I278" i="3"/>
  <c r="H278" i="3"/>
  <c r="G278" i="3"/>
  <c r="F278" i="3"/>
  <c r="E278" i="3"/>
  <c r="D278" i="3"/>
  <c r="C278" i="3"/>
  <c r="B278" i="3"/>
  <c r="M277" i="3"/>
  <c r="K277" i="3"/>
  <c r="J277" i="3"/>
  <c r="I277" i="3"/>
  <c r="H277" i="3"/>
  <c r="G277" i="3"/>
  <c r="F277" i="3"/>
  <c r="E277" i="3"/>
  <c r="D277" i="3"/>
  <c r="C277" i="3"/>
  <c r="B277" i="3"/>
  <c r="M276" i="3"/>
  <c r="K276" i="3"/>
  <c r="J276" i="3"/>
  <c r="I276" i="3"/>
  <c r="H276" i="3"/>
  <c r="G276" i="3"/>
  <c r="F276" i="3"/>
  <c r="E276" i="3"/>
  <c r="D276" i="3"/>
  <c r="C276" i="3"/>
  <c r="B276" i="3"/>
  <c r="M275" i="3"/>
  <c r="K275" i="3"/>
  <c r="J275" i="3"/>
  <c r="I275" i="3"/>
  <c r="H275" i="3"/>
  <c r="G275" i="3"/>
  <c r="F275" i="3"/>
  <c r="E275" i="3"/>
  <c r="D275" i="3"/>
  <c r="C275" i="3"/>
  <c r="B275" i="3"/>
  <c r="M274" i="3"/>
  <c r="K274" i="3"/>
  <c r="J274" i="3"/>
  <c r="I274" i="3"/>
  <c r="H274" i="3"/>
  <c r="G274" i="3"/>
  <c r="F274" i="3"/>
  <c r="E274" i="3"/>
  <c r="D274" i="3"/>
  <c r="C274" i="3"/>
  <c r="B274" i="3"/>
  <c r="M273" i="3"/>
  <c r="K273" i="3"/>
  <c r="J273" i="3"/>
  <c r="I273" i="3"/>
  <c r="H273" i="3"/>
  <c r="G273" i="3"/>
  <c r="F273" i="3"/>
  <c r="E273" i="3"/>
  <c r="D273" i="3"/>
  <c r="C273" i="3"/>
  <c r="B273" i="3"/>
  <c r="M272" i="3"/>
  <c r="K272" i="3"/>
  <c r="J272" i="3"/>
  <c r="I272" i="3"/>
  <c r="H272" i="3"/>
  <c r="G272" i="3"/>
  <c r="F272" i="3"/>
  <c r="E272" i="3"/>
  <c r="D272" i="3"/>
  <c r="C272" i="3"/>
  <c r="B272" i="3"/>
  <c r="M271" i="3"/>
  <c r="K271" i="3"/>
  <c r="J271" i="3"/>
  <c r="I271" i="3"/>
  <c r="H271" i="3"/>
  <c r="G271" i="3"/>
  <c r="F271" i="3"/>
  <c r="E271" i="3"/>
  <c r="D271" i="3"/>
  <c r="C271" i="3"/>
  <c r="B271" i="3"/>
  <c r="M270" i="3"/>
  <c r="K270" i="3"/>
  <c r="J270" i="3"/>
  <c r="I270" i="3"/>
  <c r="H270" i="3"/>
  <c r="G270" i="3"/>
  <c r="F270" i="3"/>
  <c r="E270" i="3"/>
  <c r="D270" i="3"/>
  <c r="C270" i="3"/>
  <c r="B270" i="3"/>
  <c r="M269" i="3"/>
  <c r="K269" i="3"/>
  <c r="J269" i="3"/>
  <c r="I269" i="3"/>
  <c r="H269" i="3"/>
  <c r="G269" i="3"/>
  <c r="F269" i="3"/>
  <c r="E269" i="3"/>
  <c r="D269" i="3"/>
  <c r="C269" i="3"/>
  <c r="B269" i="3"/>
  <c r="M268" i="3"/>
  <c r="K268" i="3"/>
  <c r="J268" i="3"/>
  <c r="I268" i="3"/>
  <c r="H268" i="3"/>
  <c r="G268" i="3"/>
  <c r="F268" i="3"/>
  <c r="E268" i="3"/>
  <c r="D268" i="3"/>
  <c r="C268" i="3"/>
  <c r="B268" i="3"/>
  <c r="M267" i="3"/>
  <c r="K267" i="3"/>
  <c r="J267" i="3"/>
  <c r="I267" i="3"/>
  <c r="H267" i="3"/>
  <c r="G267" i="3"/>
  <c r="F267" i="3"/>
  <c r="E267" i="3"/>
  <c r="D267" i="3"/>
  <c r="C267" i="3"/>
  <c r="B267" i="3"/>
  <c r="M266" i="3"/>
  <c r="K266" i="3"/>
  <c r="J266" i="3"/>
  <c r="I266" i="3"/>
  <c r="H266" i="3"/>
  <c r="G266" i="3"/>
  <c r="F266" i="3"/>
  <c r="E266" i="3"/>
  <c r="D266" i="3"/>
  <c r="C266" i="3"/>
  <c r="B266" i="3"/>
  <c r="M265" i="3"/>
  <c r="K265" i="3"/>
  <c r="J265" i="3"/>
  <c r="I265" i="3"/>
  <c r="H265" i="3"/>
  <c r="G265" i="3"/>
  <c r="F265" i="3"/>
  <c r="E265" i="3"/>
  <c r="D265" i="3"/>
  <c r="C265" i="3"/>
  <c r="B265" i="3"/>
  <c r="M264" i="3"/>
  <c r="K264" i="3"/>
  <c r="J264" i="3"/>
  <c r="I264" i="3"/>
  <c r="H264" i="3"/>
  <c r="G264" i="3"/>
  <c r="F264" i="3"/>
  <c r="E264" i="3"/>
  <c r="D264" i="3"/>
  <c r="C264" i="3"/>
  <c r="B264" i="3"/>
  <c r="M263" i="3"/>
  <c r="K263" i="3"/>
  <c r="J263" i="3"/>
  <c r="I263" i="3"/>
  <c r="H263" i="3"/>
  <c r="G263" i="3"/>
  <c r="F263" i="3"/>
  <c r="E263" i="3"/>
  <c r="D263" i="3"/>
  <c r="C263" i="3"/>
  <c r="B263" i="3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C200" i="3"/>
  <c r="G199" i="3"/>
  <c r="B199" i="3"/>
  <c r="L198" i="3"/>
  <c r="C198" i="3"/>
  <c r="H197" i="3"/>
  <c r="F197" i="3"/>
  <c r="G196" i="3"/>
  <c r="K195" i="3"/>
  <c r="F195" i="3"/>
  <c r="C194" i="3"/>
  <c r="H193" i="3"/>
  <c r="F192" i="3"/>
  <c r="B192" i="3"/>
  <c r="H191" i="3"/>
  <c r="F191" i="3"/>
  <c r="L174" i="3"/>
  <c r="L200" i="3" s="1"/>
  <c r="I174" i="3"/>
  <c r="I200" i="3" s="1"/>
  <c r="G174" i="3"/>
  <c r="G200" i="3" s="1"/>
  <c r="C174" i="3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F173" i="3"/>
  <c r="F199" i="3" s="1"/>
  <c r="E173" i="3"/>
  <c r="E199" i="3" s="1"/>
  <c r="D173" i="3"/>
  <c r="D199" i="3" s="1"/>
  <c r="C173" i="3"/>
  <c r="C199" i="3" s="1"/>
  <c r="B173" i="3"/>
  <c r="L172" i="3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G171" i="3"/>
  <c r="G197" i="3" s="1"/>
  <c r="F171" i="3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C170" i="3"/>
  <c r="C196" i="3" s="1"/>
  <c r="L169" i="3"/>
  <c r="L195" i="3" s="1"/>
  <c r="K169" i="3"/>
  <c r="J169" i="3"/>
  <c r="J195" i="3" s="1"/>
  <c r="I169" i="3"/>
  <c r="I195" i="3" s="1"/>
  <c r="H169" i="3"/>
  <c r="H195" i="3" s="1"/>
  <c r="G169" i="3"/>
  <c r="G195" i="3" s="1"/>
  <c r="F169" i="3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E166" i="3"/>
  <c r="E192" i="3" s="1"/>
  <c r="D166" i="3"/>
  <c r="D192" i="3" s="1"/>
  <c r="C166" i="3"/>
  <c r="C192" i="3" s="1"/>
  <c r="B166" i="3"/>
  <c r="L165" i="3"/>
  <c r="L191" i="3" s="1"/>
  <c r="K165" i="3"/>
  <c r="K191" i="3" s="1"/>
  <c r="J165" i="3"/>
  <c r="J191" i="3" s="1"/>
  <c r="I165" i="3"/>
  <c r="I191" i="3" s="1"/>
  <c r="H165" i="3"/>
  <c r="G165" i="3"/>
  <c r="G191" i="3" s="1"/>
  <c r="F165" i="3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35" i="7"/>
  <c r="J33" i="7"/>
  <c r="J30" i="7"/>
  <c r="J28" i="7"/>
  <c r="J26" i="7"/>
  <c r="J24" i="7"/>
  <c r="J23" i="7"/>
  <c r="J22" i="7"/>
  <c r="E37" i="7"/>
  <c r="D37" i="7"/>
  <c r="C37" i="7"/>
  <c r="B37" i="7"/>
  <c r="H36" i="7"/>
  <c r="J36" i="7" s="1"/>
  <c r="H35" i="7"/>
  <c r="H34" i="7"/>
  <c r="J34" i="7" s="1"/>
  <c r="H33" i="7"/>
  <c r="H32" i="7"/>
  <c r="J32" i="7" s="1"/>
  <c r="H31" i="7"/>
  <c r="H30" i="7"/>
  <c r="H29" i="7"/>
  <c r="J29" i="7" s="1"/>
  <c r="H28" i="7"/>
  <c r="H27" i="7"/>
  <c r="J27" i="7" s="1"/>
  <c r="H26" i="7"/>
  <c r="H25" i="7"/>
  <c r="J25" i="7" s="1"/>
  <c r="H24" i="7"/>
  <c r="H23" i="7"/>
  <c r="H22" i="7"/>
  <c r="H21" i="7"/>
  <c r="J21" i="7" s="1"/>
  <c r="H20" i="7"/>
  <c r="J20" i="7" s="1"/>
  <c r="H19" i="7"/>
  <c r="J19" i="7" s="1"/>
  <c r="H18" i="7"/>
  <c r="J18" i="7" s="1"/>
  <c r="H17" i="7"/>
  <c r="J17" i="7" s="1"/>
  <c r="H16" i="7"/>
  <c r="J16" i="7" s="1"/>
  <c r="G36" i="7"/>
  <c r="G35" i="7"/>
  <c r="G34" i="7"/>
  <c r="G33" i="7"/>
  <c r="G32" i="7"/>
  <c r="G31" i="7"/>
  <c r="J31" i="7" s="1"/>
  <c r="G30" i="7"/>
  <c r="G29" i="7"/>
  <c r="G28" i="7"/>
  <c r="G27" i="7"/>
  <c r="G26" i="7"/>
  <c r="G25" i="7"/>
  <c r="G24" i="7"/>
  <c r="G23" i="7"/>
  <c r="G22" i="7"/>
  <c r="G37" i="7" s="1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52" i="5" l="1"/>
  <c r="F52" i="5"/>
  <c r="E52" i="5"/>
  <c r="H52" i="5"/>
  <c r="D52" i="5"/>
  <c r="D90" i="5"/>
  <c r="D54" i="5"/>
  <c r="E54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J37" i="7" s="1"/>
  <c r="J54" i="5" l="1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B214" i="3" l="1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J17" i="5" s="1"/>
  <c r="I16" i="5"/>
  <c r="H16" i="5"/>
  <c r="G16" i="5"/>
  <c r="F16" i="5"/>
  <c r="E16" i="5"/>
  <c r="D16" i="5"/>
  <c r="C16" i="5"/>
  <c r="B16" i="5"/>
  <c r="F17" i="5" l="1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D210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F5" i="1"/>
  <c r="E5" i="1"/>
  <c r="D5" i="1"/>
  <c r="D22" i="1"/>
  <c r="F22" i="1"/>
  <c r="E22" i="1"/>
  <c r="D21" i="1"/>
  <c r="F21" i="1"/>
  <c r="E21" i="1"/>
  <c r="A21" i="1"/>
  <c r="A22" i="1" s="1"/>
  <c r="B4" i="1"/>
  <c r="E4" i="1" s="1"/>
  <c r="F3" i="1"/>
  <c r="D3" i="1"/>
  <c r="B3" i="1"/>
  <c r="E3" i="1" s="1"/>
  <c r="B2" i="1"/>
  <c r="E2" i="1" s="1"/>
  <c r="E20" i="1"/>
  <c r="E19" i="1"/>
  <c r="D20" i="1"/>
  <c r="F20" i="1" s="1"/>
  <c r="D19" i="1"/>
  <c r="F19" i="1" s="1"/>
  <c r="D18" i="1"/>
  <c r="F18" i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F212" i="3" l="1"/>
  <c r="M189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J119" i="3" l="1"/>
  <c r="J155" i="3" s="1"/>
  <c r="J181" i="3"/>
  <c r="F119" i="3"/>
  <c r="F155" i="3" s="1"/>
  <c r="F181" i="3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J207" i="3"/>
  <c r="F43" i="3"/>
  <c r="F207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M213" i="3" l="1"/>
  <c r="E119" i="3"/>
  <c r="E155" i="3" s="1"/>
  <c r="E181" i="3"/>
  <c r="I119" i="3"/>
  <c r="I155" i="3" s="1"/>
  <c r="I181" i="3"/>
  <c r="I207" i="3" s="1"/>
  <c r="I117" i="3"/>
  <c r="I153" i="3" s="1"/>
  <c r="I179" i="3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/>
  <c r="K119" i="3"/>
  <c r="K155" i="3" s="1"/>
  <c r="K181" i="3"/>
  <c r="J117" i="3"/>
  <c r="J153" i="3" s="1"/>
  <c r="J179" i="3"/>
  <c r="D117" i="3"/>
  <c r="D153" i="3" s="1"/>
  <c r="D179" i="3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G207" i="3"/>
  <c r="E42" i="3"/>
  <c r="K41" i="3"/>
  <c r="D41" i="3"/>
  <c r="C43" i="3"/>
  <c r="E43" i="3"/>
  <c r="E207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F205" i="3" l="1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L118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I226" i="3" s="1"/>
  <c r="J62" i="3"/>
  <c r="J63" i="3" s="1"/>
  <c r="M43" i="3"/>
  <c r="C207" i="3"/>
  <c r="C206" i="3"/>
  <c r="H206" i="3"/>
  <c r="G206" i="3"/>
  <c r="G226" i="3" s="1"/>
  <c r="M41" i="3"/>
  <c r="H62" i="3"/>
  <c r="H63" i="3" s="1"/>
  <c r="C62" i="3"/>
  <c r="C63" i="3" s="1"/>
  <c r="G62" i="3"/>
  <c r="G63" i="3" s="1"/>
  <c r="E62" i="3"/>
  <c r="E63" i="3" s="1"/>
  <c r="I62" i="3"/>
  <c r="I63" i="3" s="1"/>
  <c r="L119" i="3" l="1"/>
  <c r="D207" i="3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D226" i="3"/>
  <c r="C226" i="3"/>
  <c r="L155" i="3"/>
  <c r="L154" i="3"/>
  <c r="L117" i="3"/>
  <c r="O117" i="3" s="1"/>
  <c r="M153" i="3"/>
  <c r="M179" i="3" s="1"/>
  <c r="M205" i="3" s="1"/>
  <c r="A126" i="3"/>
  <c r="A161" i="3"/>
  <c r="O41" i="3"/>
  <c r="O43" i="3"/>
  <c r="O42" i="3"/>
  <c r="B205" i="3"/>
  <c r="B226" i="3" s="1"/>
  <c r="O118" i="3"/>
  <c r="O119" i="3"/>
  <c r="B63" i="3"/>
  <c r="E226" i="3"/>
  <c r="K226" i="3"/>
  <c r="M206" i="3"/>
  <c r="M62" i="3"/>
  <c r="M63" i="3" s="1"/>
  <c r="L181" i="3" l="1"/>
  <c r="O155" i="3"/>
  <c r="O154" i="3"/>
  <c r="L180" i="3"/>
  <c r="A127" i="3"/>
  <c r="A162" i="3"/>
  <c r="L153" i="3"/>
  <c r="O62" i="3"/>
  <c r="M226" i="3"/>
  <c r="O180" i="3" l="1"/>
  <c r="L206" i="3"/>
  <c r="O153" i="3"/>
  <c r="L179" i="3"/>
  <c r="O181" i="3"/>
  <c r="L207" i="3"/>
  <c r="A128" i="3"/>
  <c r="A163" i="3"/>
  <c r="O179" i="3" l="1"/>
  <c r="L205" i="3"/>
  <c r="L226" i="3" s="1"/>
  <c r="A129" i="3"/>
  <c r="A164" i="3"/>
  <c r="D227" i="3" l="1"/>
  <c r="E227" i="3"/>
  <c r="K227" i="3"/>
  <c r="I227" i="3"/>
  <c r="C227" i="3"/>
  <c r="J227" i="3"/>
  <c r="F227" i="3"/>
  <c r="L227" i="3"/>
  <c r="M227" i="3"/>
  <c r="H227" i="3"/>
  <c r="B227" i="3"/>
  <c r="G227" i="3"/>
  <c r="A130" i="3"/>
  <c r="A165" i="3"/>
  <c r="A131" i="3" l="1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<sst xmlns="http://schemas.openxmlformats.org/spreadsheetml/2006/main" count="482" uniqueCount="200">
  <si>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</si>
  <si>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</si>
  <si>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</si>
  <si>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</si>
  <si>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</si>
  <si>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</si>
  <si>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</si>
  <si>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</si>
  <si>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</si>
  <si>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</si>
  <si>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</si>
  <si>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</si>
  <si>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</si>
  <si>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</si>
  <si>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</si>
  <si>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</si>
  <si>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</si>
  <si>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</si>
  <si>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</si>
  <si>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</si>
  <si>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</si>
  <si>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</si>
  <si>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</si>
  <si>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</si>
  <si>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</si>
  <si>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</si>
  <si>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</si>
  <si>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</si>
  <si>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</si>
  <si>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</si>
  <si>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</si>
  <si>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</si>
  <si>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</si>
  <si>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</si>
  <si>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</si>
  <si>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</si>
  <si>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</si>
  <si>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</si>
  <si>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</si>
  <si>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</si>
  <si>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</si>
  <si>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</si>
  <si>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</si>
  <si>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</si>
  <si>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</si>
  <si>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</si>
  <si>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</si>
  <si>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</si>
  <si>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</si>
  <si>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</si>
  <si>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</si>
  <si>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</si>
  <si>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</si>
  <si>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</si>
  <si>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</si>
  <si>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</si>
  <si>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</si>
  <si>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</si>
  <si>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</si>
  <si>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</si>
  <si>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</si>
  <si>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</si>
  <si>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</si>
  <si>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</si>
  <si>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</si>
  <si>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</si>
  <si>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</si>
  <si>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</si>
  <si>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</si>
  <si>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</si>
  <si>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</si>
  <si>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</si>
  <si>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</si>
  <si>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</si>
  <si>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</si>
  <si>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</si>
  <si>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</si>
  <si>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</si>
  <si>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</si>
  <si>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</si>
  <si>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</si>
  <si>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</si>
  <si>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</si>
  <si>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</si>
  <si>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</si>
  <si>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</si>
  <si>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</si>
  <si>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</si>
  <si>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</si>
  <si>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</si>
  <si>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</si>
  <si>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</si>
  <si>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</si>
  <si>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</si>
  <si>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</si>
  <si>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</si>
  <si>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</si>
  <si>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</si>
  <si>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</si>
  <si>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</si>
  <si>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</si>
  <si>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</si>
  <si>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</si>
  <si>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</si>
  <si>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</si>
  <si>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</si>
  <si>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</si>
  <si>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</si>
  <si>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</si>
  <si>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</si>
  <si>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</si>
  <si>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</si>
  <si>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</si>
  <si>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</si>
  <si>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</si>
  <si>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</si>
  <si>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</si>
  <si>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</si>
  <si>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</si>
  <si>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</si>
  <si>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</si>
  <si>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</si>
  <si>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</si>
  <si>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</si>
  <si>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</si>
  <si>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</si>
  <si>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</si>
  <si>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</si>
  <si>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</si>
  <si>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</si>
  <si>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</si>
  <si>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</si>
  <si>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</si>
  <si>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</si>
  <si>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</si>
  <si>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</si>
  <si>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</si>
  <si>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</si>
  <si>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</si>
  <si>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</si>
  <si>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</si>
  <si>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</si>
  <si>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</si>
  <si>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</si>
  <si>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</si>
  <si>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</si>
  <si>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</si>
  <si>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</si>
  <si>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</si>
  <si>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</si>
  <si>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</si>
  <si>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</si>
  <si>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</si>
  <si>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</si>
  <si>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</si>
  <si>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</si>
  <si>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</si>
  <si>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</si>
  <si>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</si>
  <si>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</si>
  <si>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</si>
  <si>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</si>
  <si>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</si>
  <si>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</si>
  <si>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</si>
  <si>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</si>
  <si>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</si>
  <si>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</si>
  <si>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</si>
  <si>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</si>
  <si>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</si>
  <si>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</si>
  <si>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</si>
  <si>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</si>
  <si>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</si>
  <si>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</si>
  <si>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</si>
  <si>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</si>
  <si>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</si>
  <si>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</si>
  <si>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</si>
  <si>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</si>
  <si>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</si>
  <si>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</si>
  <si>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</si>
  <si>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</si>
  <si>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</si>
  <si>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</si>
  <si>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</si>
  <si>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</si>
  <si>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</si>
  <si>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</si>
  <si>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</si>
  <si>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</si>
  <si>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</si>
  <si>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</si>
  <si>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</si>
  <si>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Эмиграция из России в различные страны (для США - по финансовым годам) с поправкой на более учёт эмиграции</t>
  </si>
  <si>
    <t>из русской Польши (см. приложение № 2 к pre1917.docx/pdf)</t>
  </si>
  <si>
    <t>уточнение
рус. Польша
в США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</si>
</sst>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48" workbookViewId="0">
      <selection activeCell="D89" sqref="D89"/>
    </sheetView>
  </sheetViews>
  <sheetFormatPr defaultRowHeight="15" x14ac:dyDescent="0.25"/>
  <cols>
    <col min="2" max="2" width="15.5703125" customWidth="1"/>
    <col min="3" max="3" width="20.85546875" customWidth="1"/>
    <col min="4" max="4" width="24.5703125" customWidth="1"/>
  </cols>
  <sheetData>
    <row r="1" spans="1:5" x14ac:dyDescent="0.25">
      <c r="A1" t="s">
        <v>48</v>
      </c>
    </row>
    <row r="3" spans="1:5" x14ac:dyDescent="0.25">
      <c r="A3" t="s">
        <v>0</v>
      </c>
    </row>
    <row r="5" spans="1:5" ht="30" x14ac:dyDescent="0.25">
      <c r="B5" s="2" t="s">
        <v>1</v>
      </c>
      <c r="C5" s="2" t="s">
        <v>2</v>
      </c>
      <c r="D5" s="3" t="s">
        <v>17</v>
      </c>
      <c r="E5" s="1"/>
    </row>
    <row r="6" spans="1:5" x14ac:dyDescent="0.25">
      <c r="B6" s="1">
        <v>1904</v>
      </c>
      <c r="C6" t="s">
        <v>3</v>
      </c>
      <c r="D6" t="s">
        <v>4</v>
      </c>
    </row>
    <row r="7" spans="1:5" x14ac:dyDescent="0.25">
      <c r="B7" s="1">
        <v>1906</v>
      </c>
      <c r="C7" t="s">
        <v>5</v>
      </c>
      <c r="D7" t="s">
        <v>6</v>
      </c>
    </row>
    <row r="8" spans="1:5" x14ac:dyDescent="0.25">
      <c r="B8" s="1">
        <v>1909</v>
      </c>
      <c r="C8" t="s">
        <v>7</v>
      </c>
      <c r="D8" t="s">
        <v>8</v>
      </c>
    </row>
    <row r="9" spans="1:5" x14ac:dyDescent="0.25">
      <c r="B9" s="1">
        <v>1910</v>
      </c>
      <c r="C9" t="s">
        <v>9</v>
      </c>
      <c r="D9" t="s">
        <v>10</v>
      </c>
    </row>
    <row r="10" spans="1:5" x14ac:dyDescent="0.25">
      <c r="B10" s="1">
        <v>1911</v>
      </c>
      <c r="C10" t="s">
        <v>11</v>
      </c>
      <c r="D10" t="s">
        <v>12</v>
      </c>
    </row>
    <row r="11" spans="1:5" x14ac:dyDescent="0.25">
      <c r="B11" s="1">
        <v>1912</v>
      </c>
      <c r="C11" t="s">
        <v>13</v>
      </c>
      <c r="D11" t="s">
        <v>14</v>
      </c>
    </row>
    <row r="12" spans="1:5" x14ac:dyDescent="0.25">
      <c r="B12" s="1">
        <v>1913</v>
      </c>
      <c r="C12" t="s">
        <v>15</v>
      </c>
      <c r="D12" t="s">
        <v>16</v>
      </c>
    </row>
    <row r="14" spans="1:5" x14ac:dyDescent="0.25">
      <c r="A14" t="s">
        <v>18</v>
      </c>
    </row>
    <row r="16" spans="1:5" x14ac:dyDescent="0.25">
      <c r="A16" t="s">
        <v>45</v>
      </c>
    </row>
    <row r="18" spans="2:2" x14ac:dyDescent="0.25">
      <c r="B18" t="s">
        <v>35</v>
      </c>
    </row>
    <row r="19" spans="2:2" x14ac:dyDescent="0.25">
      <c r="B19" t="s">
        <v>36</v>
      </c>
    </row>
    <row r="20" spans="2:2" x14ac:dyDescent="0.25">
      <c r="B20" t="s">
        <v>37</v>
      </c>
    </row>
    <row r="22" spans="2:2" x14ac:dyDescent="0.25">
      <c r="B22" t="s">
        <v>106</v>
      </c>
    </row>
    <row r="23" spans="2:2" x14ac:dyDescent="0.25">
      <c r="B23" t="s">
        <v>38</v>
      </c>
    </row>
    <row r="24" spans="2:2" x14ac:dyDescent="0.25">
      <c r="B24" t="s">
        <v>39</v>
      </c>
    </row>
    <row r="25" spans="2:2" x14ac:dyDescent="0.25">
      <c r="B25" t="s">
        <v>40</v>
      </c>
    </row>
    <row r="27" spans="2:2" x14ac:dyDescent="0.25">
      <c r="B27" t="s">
        <v>100</v>
      </c>
    </row>
    <row r="28" spans="2:2" x14ac:dyDescent="0.25">
      <c r="B28" t="s">
        <v>41</v>
      </c>
    </row>
    <row r="30" spans="2:2" x14ac:dyDescent="0.25">
      <c r="B30" t="s">
        <v>34</v>
      </c>
    </row>
    <row r="31" spans="2:2" x14ac:dyDescent="0.25">
      <c r="B31" t="s">
        <v>29</v>
      </c>
    </row>
    <row r="32" spans="2:2" x14ac:dyDescent="0.25">
      <c r="B32" t="s">
        <v>30</v>
      </c>
    </row>
    <row r="34" spans="1:2" x14ac:dyDescent="0.25">
      <c r="B34" t="s">
        <v>28</v>
      </c>
    </row>
    <row r="35" spans="1:2" x14ac:dyDescent="0.25">
      <c r="B35" t="s">
        <v>27</v>
      </c>
    </row>
    <row r="37" spans="1:2" x14ac:dyDescent="0.25">
      <c r="B37" t="s">
        <v>26</v>
      </c>
    </row>
    <row r="38" spans="1:2" x14ac:dyDescent="0.25">
      <c r="B38" t="s">
        <v>25</v>
      </c>
    </row>
    <row r="40" spans="1:2" x14ac:dyDescent="0.25">
      <c r="B40" t="s">
        <v>43</v>
      </c>
    </row>
    <row r="41" spans="1:2" x14ac:dyDescent="0.25">
      <c r="B41" t="s">
        <v>42</v>
      </c>
    </row>
    <row r="42" spans="1:2" x14ac:dyDescent="0.25">
      <c r="B42" t="s">
        <v>44</v>
      </c>
    </row>
    <row r="44" spans="1:2" x14ac:dyDescent="0.25">
      <c r="A44" t="s">
        <v>31</v>
      </c>
    </row>
    <row r="45" spans="1:2" x14ac:dyDescent="0.25">
      <c r="A45" t="s">
        <v>32</v>
      </c>
    </row>
    <row r="46" spans="1:2" x14ac:dyDescent="0.25">
      <c r="A46" t="s">
        <v>33</v>
      </c>
    </row>
    <row r="48" spans="1:2" x14ac:dyDescent="0.25">
      <c r="A48" t="s">
        <v>46</v>
      </c>
    </row>
    <row r="49" spans="1:3" x14ac:dyDescent="0.25">
      <c r="A49" t="s">
        <v>47</v>
      </c>
    </row>
    <row r="51" spans="1:3" x14ac:dyDescent="0.25">
      <c r="A51" t="s">
        <v>52</v>
      </c>
    </row>
    <row r="53" spans="1:3" x14ac:dyDescent="0.25">
      <c r="A53" t="s">
        <v>132</v>
      </c>
    </row>
    <row r="55" spans="1:3" x14ac:dyDescent="0.25">
      <c r="A55" t="s">
        <v>89</v>
      </c>
    </row>
    <row r="56" spans="1:3" x14ac:dyDescent="0.25">
      <c r="A56" t="s">
        <v>90</v>
      </c>
    </row>
    <row r="57" spans="1:3" x14ac:dyDescent="0.25">
      <c r="A57" t="s">
        <v>91</v>
      </c>
    </row>
    <row r="59" spans="1:3" x14ac:dyDescent="0.25">
      <c r="B59" s="1" t="s">
        <v>53</v>
      </c>
      <c r="C59" s="1" t="s">
        <v>54</v>
      </c>
    </row>
    <row r="60" spans="1:3" x14ac:dyDescent="0.25">
      <c r="B60" s="1">
        <v>1896</v>
      </c>
      <c r="C60" s="8" t="s">
        <v>94</v>
      </c>
    </row>
    <row r="61" spans="1:3" x14ac:dyDescent="0.25">
      <c r="B61" s="1">
        <f>B60+1</f>
        <v>1897</v>
      </c>
      <c r="C61" s="8" t="s">
        <v>94</v>
      </c>
    </row>
    <row r="62" spans="1:3" x14ac:dyDescent="0.25">
      <c r="B62" s="1">
        <f t="shared" ref="B62:B80" si="0">B61+1</f>
        <v>1898</v>
      </c>
      <c r="C62" s="8" t="s">
        <v>94</v>
      </c>
    </row>
    <row r="63" spans="1:3" x14ac:dyDescent="0.25">
      <c r="B63" s="1">
        <f t="shared" si="0"/>
        <v>1899</v>
      </c>
      <c r="C63" s="8" t="s">
        <v>55</v>
      </c>
    </row>
    <row r="64" spans="1:3" x14ac:dyDescent="0.25">
      <c r="B64" s="1">
        <f t="shared" si="0"/>
        <v>1900</v>
      </c>
      <c r="C64" s="8" t="s">
        <v>56</v>
      </c>
    </row>
    <row r="65" spans="2:3" x14ac:dyDescent="0.25">
      <c r="B65" s="1">
        <f t="shared" si="0"/>
        <v>1901</v>
      </c>
      <c r="C65" s="8" t="s">
        <v>55</v>
      </c>
    </row>
    <row r="66" spans="2:3" x14ac:dyDescent="0.25">
      <c r="B66" s="1">
        <f t="shared" si="0"/>
        <v>1902</v>
      </c>
      <c r="C66" s="8" t="s">
        <v>57</v>
      </c>
    </row>
    <row r="67" spans="2:3" x14ac:dyDescent="0.25">
      <c r="B67" s="1">
        <f t="shared" si="0"/>
        <v>1903</v>
      </c>
      <c r="C67" s="8" t="s">
        <v>58</v>
      </c>
    </row>
    <row r="68" spans="2:3" x14ac:dyDescent="0.25">
      <c r="B68" s="1">
        <f t="shared" si="0"/>
        <v>1904</v>
      </c>
      <c r="C68" s="8" t="s">
        <v>59</v>
      </c>
    </row>
    <row r="69" spans="2:3" x14ac:dyDescent="0.25">
      <c r="B69" s="1">
        <f t="shared" si="0"/>
        <v>1905</v>
      </c>
      <c r="C69" s="8" t="s">
        <v>60</v>
      </c>
    </row>
    <row r="70" spans="2:3" x14ac:dyDescent="0.25">
      <c r="B70" s="1">
        <f t="shared" si="0"/>
        <v>1906</v>
      </c>
      <c r="C70" s="8" t="s">
        <v>61</v>
      </c>
    </row>
    <row r="71" spans="2:3" x14ac:dyDescent="0.25">
      <c r="B71" s="1">
        <f t="shared" si="0"/>
        <v>1907</v>
      </c>
      <c r="C71" s="8" t="s">
        <v>61</v>
      </c>
    </row>
    <row r="72" spans="2:3" x14ac:dyDescent="0.25">
      <c r="B72" s="1">
        <f t="shared" si="0"/>
        <v>1908</v>
      </c>
      <c r="C72" s="8" t="s">
        <v>62</v>
      </c>
    </row>
    <row r="73" spans="2:3" x14ac:dyDescent="0.25">
      <c r="B73" s="1">
        <f t="shared" si="0"/>
        <v>1909</v>
      </c>
      <c r="C73" s="8" t="s">
        <v>63</v>
      </c>
    </row>
    <row r="74" spans="2:3" x14ac:dyDescent="0.25">
      <c r="B74" s="1">
        <f t="shared" si="0"/>
        <v>1910</v>
      </c>
      <c r="C74" s="8" t="s">
        <v>63</v>
      </c>
    </row>
    <row r="75" spans="2:3" x14ac:dyDescent="0.25">
      <c r="B75" s="1">
        <f t="shared" si="0"/>
        <v>1911</v>
      </c>
      <c r="C75" s="8" t="s">
        <v>63</v>
      </c>
    </row>
    <row r="76" spans="2:3" x14ac:dyDescent="0.25">
      <c r="B76" s="1">
        <f t="shared" si="0"/>
        <v>1912</v>
      </c>
      <c r="C76" s="8" t="s">
        <v>64</v>
      </c>
    </row>
    <row r="77" spans="2:3" x14ac:dyDescent="0.25">
      <c r="B77" s="1">
        <f t="shared" si="0"/>
        <v>1913</v>
      </c>
      <c r="C77" s="8" t="s">
        <v>65</v>
      </c>
    </row>
    <row r="78" spans="2:3" x14ac:dyDescent="0.25">
      <c r="B78" s="1">
        <f t="shared" si="0"/>
        <v>1914</v>
      </c>
      <c r="C78" s="8" t="s">
        <v>66</v>
      </c>
    </row>
    <row r="79" spans="2:3" x14ac:dyDescent="0.25">
      <c r="B79" s="1">
        <f t="shared" si="0"/>
        <v>1915</v>
      </c>
      <c r="C79" s="8" t="s">
        <v>67</v>
      </c>
    </row>
    <row r="80" spans="2:3" x14ac:dyDescent="0.25">
      <c r="B80" s="1">
        <f t="shared" si="0"/>
        <v>1916</v>
      </c>
      <c r="C80" s="8" t="s">
        <v>63</v>
      </c>
    </row>
    <row r="81" spans="1:3" x14ac:dyDescent="0.25">
      <c r="B81" s="1">
        <v>1917</v>
      </c>
      <c r="C81" s="8" t="s">
        <v>63</v>
      </c>
    </row>
    <row r="83" spans="1:3" x14ac:dyDescent="0.25">
      <c r="A83" t="s">
        <v>97</v>
      </c>
    </row>
    <row r="84" spans="1:3" x14ac:dyDescent="0.25">
      <c r="A84" t="s">
        <v>98</v>
      </c>
    </row>
    <row r="86" spans="1:3" x14ac:dyDescent="0.25">
      <c r="A86" t="s">
        <v>131</v>
      </c>
    </row>
    <row r="88" spans="1:3" x14ac:dyDescent="0.25">
      <c r="B88" s="1">
        <v>1908</v>
      </c>
      <c r="C88" s="1" t="s">
        <v>134</v>
      </c>
    </row>
    <row r="89" spans="1:3" x14ac:dyDescent="0.25">
      <c r="B89" s="1">
        <f t="shared" ref="B89:B96" si="1">B88+1</f>
        <v>1909</v>
      </c>
      <c r="C89" s="1" t="s">
        <v>135</v>
      </c>
    </row>
    <row r="90" spans="1:3" x14ac:dyDescent="0.25">
      <c r="B90" s="1">
        <f t="shared" si="1"/>
        <v>1910</v>
      </c>
      <c r="C90" s="1" t="s">
        <v>135</v>
      </c>
    </row>
    <row r="91" spans="1:3" x14ac:dyDescent="0.25">
      <c r="B91" s="1">
        <f t="shared" si="1"/>
        <v>1911</v>
      </c>
      <c r="C91" s="1" t="s">
        <v>138</v>
      </c>
    </row>
    <row r="92" spans="1:3" x14ac:dyDescent="0.25">
      <c r="B92" s="1">
        <f t="shared" si="1"/>
        <v>1912</v>
      </c>
      <c r="C92" s="1" t="s">
        <v>136</v>
      </c>
    </row>
    <row r="93" spans="1:3" x14ac:dyDescent="0.25">
      <c r="B93" s="1">
        <f t="shared" si="1"/>
        <v>1913</v>
      </c>
      <c r="C93" s="1" t="s">
        <v>137</v>
      </c>
    </row>
    <row r="94" spans="1:3" x14ac:dyDescent="0.25">
      <c r="B94" s="1">
        <f t="shared" si="1"/>
        <v>1914</v>
      </c>
      <c r="C94" s="1" t="s">
        <v>139</v>
      </c>
    </row>
    <row r="95" spans="1:3" x14ac:dyDescent="0.25">
      <c r="B95" s="1">
        <f t="shared" si="1"/>
        <v>1915</v>
      </c>
      <c r="C95" s="1" t="s">
        <v>140</v>
      </c>
    </row>
    <row r="96" spans="1:3" x14ac:dyDescent="0.25">
      <c r="B96" s="1">
        <f t="shared" si="1"/>
        <v>1916</v>
      </c>
      <c r="C96" s="1" t="s">
        <v>141</v>
      </c>
    </row>
    <row r="97" spans="2:3" x14ac:dyDescent="0.25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5" x14ac:dyDescent="0.25"/>
  <cols>
    <col min="4" max="4" width="10.42578125" customWidth="1"/>
    <col min="5" max="5" width="12.42578125" customWidth="1"/>
    <col min="6" max="6" width="27.140625" customWidth="1"/>
  </cols>
  <sheetData>
    <row r="1" spans="1:20" ht="45" x14ac:dyDescent="0.25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 x14ac:dyDescent="0.25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 x14ac:dyDescent="0.25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 x14ac:dyDescent="0.25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 x14ac:dyDescent="0.25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 x14ac:dyDescent="0.25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 x14ac:dyDescent="0.25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 x14ac:dyDescent="0.25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 x14ac:dyDescent="0.25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 x14ac:dyDescent="0.25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 x14ac:dyDescent="0.25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 x14ac:dyDescent="0.25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 x14ac:dyDescent="0.25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 x14ac:dyDescent="0.25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 x14ac:dyDescent="0.25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 x14ac:dyDescent="0.25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 x14ac:dyDescent="0.25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 x14ac:dyDescent="0.25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 x14ac:dyDescent="0.25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 x14ac:dyDescent="0.25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 x14ac:dyDescent="0.25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 x14ac:dyDescent="0.25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 x14ac:dyDescent="0.25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 x14ac:dyDescent="0.25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workbookViewId="0">
      <selection activeCell="H319" sqref="H319"/>
    </sheetView>
  </sheetViews>
  <sheetFormatPr defaultRowHeight="15" x14ac:dyDescent="0.25"/>
  <cols>
    <col min="1" max="1" width="16.5703125" customWidth="1"/>
    <col min="2" max="2" width="7.28515625" bestFit="1" customWidth="1"/>
    <col min="3" max="3" width="8.140625" customWidth="1"/>
    <col min="4" max="4" width="7.5703125" customWidth="1"/>
    <col min="5" max="5" width="5.7109375" customWidth="1"/>
    <col min="6" max="6" width="9.5703125" customWidth="1"/>
    <col min="7" max="7" width="8.140625" bestFit="1" customWidth="1"/>
    <col min="8" max="8" width="7.7109375" customWidth="1"/>
    <col min="9" max="9" width="7.5703125" customWidth="1"/>
    <col min="10" max="10" width="7.140625" bestFit="1" customWidth="1"/>
    <col min="11" max="11" width="11" customWidth="1"/>
    <col min="12" max="12" width="10.140625" customWidth="1"/>
    <col min="13" max="13" width="6.85546875" bestFit="1" customWidth="1"/>
    <col min="16" max="16" width="15.42578125" customWidth="1"/>
    <col min="17" max="17" width="10.85546875" bestFit="1" customWidth="1"/>
    <col min="19" max="19" width="11.85546875" bestFit="1" customWidth="1"/>
    <col min="20" max="20" width="10.85546875" bestFit="1" customWidth="1"/>
    <col min="22" max="22" width="11.85546875" bestFit="1" customWidth="1"/>
    <col min="23" max="23" width="10.85546875" bestFit="1" customWidth="1"/>
    <col min="25" max="25" width="11.85546875" bestFit="1" customWidth="1"/>
    <col min="26" max="26" width="10.85546875" bestFit="1" customWidth="1"/>
    <col min="28" max="28" width="11.85546875" bestFit="1" customWidth="1"/>
    <col min="29" max="29" width="10.85546875" bestFit="1" customWidth="1"/>
    <col min="31" max="31" width="11.85546875" bestFit="1" customWidth="1"/>
    <col min="32" max="32" width="10.85546875" bestFit="1" customWidth="1"/>
    <col min="34" max="34" width="11.85546875" bestFit="1" customWidth="1"/>
    <col min="35" max="35" width="10.85546875" bestFit="1" customWidth="1"/>
  </cols>
  <sheetData>
    <row r="1" spans="1:35" x14ac:dyDescent="0.25">
      <c r="A1" t="s">
        <v>92</v>
      </c>
    </row>
    <row r="3" spans="1:35" x14ac:dyDescent="0.25">
      <c r="A3" t="s">
        <v>68</v>
      </c>
    </row>
    <row r="5" spans="1:35" x14ac:dyDescent="0.25">
      <c r="A5" t="s">
        <v>93</v>
      </c>
    </row>
    <row r="6" spans="1:35" x14ac:dyDescent="0.25">
      <c r="A6" t="s">
        <v>69</v>
      </c>
    </row>
    <row r="7" spans="1:35" x14ac:dyDescent="0.25">
      <c r="A7" t="s">
        <v>83</v>
      </c>
      <c r="P7" t="s">
        <v>99</v>
      </c>
    </row>
    <row r="9" spans="1:35" x14ac:dyDescent="0.2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 x14ac:dyDescent="0.2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 x14ac:dyDescent="0.2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 x14ac:dyDescent="0.2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 x14ac:dyDescent="0.2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 x14ac:dyDescent="0.2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 x14ac:dyDescent="0.2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 x14ac:dyDescent="0.2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 x14ac:dyDescent="0.2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 x14ac:dyDescent="0.2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 x14ac:dyDescent="0.2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 x14ac:dyDescent="0.2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 x14ac:dyDescent="0.2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 x14ac:dyDescent="0.2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 x14ac:dyDescent="0.2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 x14ac:dyDescent="0.2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 x14ac:dyDescent="0.2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 x14ac:dyDescent="0.2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 x14ac:dyDescent="0.2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 x14ac:dyDescent="0.2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 x14ac:dyDescent="0.2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 x14ac:dyDescent="0.2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 x14ac:dyDescent="0.2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 x14ac:dyDescent="0.2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 x14ac:dyDescent="0.2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 x14ac:dyDescent="0.2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 x14ac:dyDescent="0.2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 x14ac:dyDescent="0.25">
      <c r="A38" t="s">
        <v>86</v>
      </c>
    </row>
    <row r="40" spans="1:35" x14ac:dyDescent="0.2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 x14ac:dyDescent="0.2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 x14ac:dyDescent="0.2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 x14ac:dyDescent="0.2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 x14ac:dyDescent="0.2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 x14ac:dyDescent="0.2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 x14ac:dyDescent="0.2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 x14ac:dyDescent="0.2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 x14ac:dyDescent="0.2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 x14ac:dyDescent="0.2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 x14ac:dyDescent="0.2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 x14ac:dyDescent="0.2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 x14ac:dyDescent="0.2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 x14ac:dyDescent="0.2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 x14ac:dyDescent="0.2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 x14ac:dyDescent="0.2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 x14ac:dyDescent="0.2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 x14ac:dyDescent="0.2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 x14ac:dyDescent="0.2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 x14ac:dyDescent="0.2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 x14ac:dyDescent="0.2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 x14ac:dyDescent="0.2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 x14ac:dyDescent="0.2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 x14ac:dyDescent="0.2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 x14ac:dyDescent="0.25">
      <c r="A66" t="s">
        <v>133</v>
      </c>
    </row>
    <row r="68" spans="1:19" x14ac:dyDescent="0.25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 x14ac:dyDescent="0.25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 x14ac:dyDescent="0.25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 x14ac:dyDescent="0.25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 x14ac:dyDescent="0.25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 x14ac:dyDescent="0.25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 x14ac:dyDescent="0.25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 x14ac:dyDescent="0.25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 x14ac:dyDescent="0.25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 x14ac:dyDescent="0.25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 x14ac:dyDescent="0.25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 x14ac:dyDescent="0.25">
      <c r="A80" t="s">
        <v>142</v>
      </c>
    </row>
    <row r="82" spans="1:13" x14ac:dyDescent="0.25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 x14ac:dyDescent="0.25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 x14ac:dyDescent="0.25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 x14ac:dyDescent="0.25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 x14ac:dyDescent="0.25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 x14ac:dyDescent="0.25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 x14ac:dyDescent="0.25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 x14ac:dyDescent="0.25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 x14ac:dyDescent="0.25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 x14ac:dyDescent="0.25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 x14ac:dyDescent="0.25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 x14ac:dyDescent="0.25">
      <c r="A94" t="s">
        <v>146</v>
      </c>
    </row>
    <row r="96" spans="1:13" x14ac:dyDescent="0.25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 x14ac:dyDescent="0.25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 x14ac:dyDescent="0.25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 x14ac:dyDescent="0.25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 x14ac:dyDescent="0.25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x14ac:dyDescent="0.25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x14ac:dyDescent="0.25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x14ac:dyDescent="0.25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 x14ac:dyDescent="0.25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 x14ac:dyDescent="0.25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 x14ac:dyDescent="0.25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 x14ac:dyDescent="0.25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x14ac:dyDescent="0.25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x14ac:dyDescent="0.25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x14ac:dyDescent="0.25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x14ac:dyDescent="0.25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 x14ac:dyDescent="0.25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 x14ac:dyDescent="0.25">
      <c r="A114" t="s">
        <v>171</v>
      </c>
    </row>
    <row r="116" spans="1:16" x14ac:dyDescent="0.25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 x14ac:dyDescent="0.25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 x14ac:dyDescent="0.25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 x14ac:dyDescent="0.25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 x14ac:dyDescent="0.25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 x14ac:dyDescent="0.25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 x14ac:dyDescent="0.25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 x14ac:dyDescent="0.25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 x14ac:dyDescent="0.25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 x14ac:dyDescent="0.25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 x14ac:dyDescent="0.25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 x14ac:dyDescent="0.25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 x14ac:dyDescent="0.25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 x14ac:dyDescent="0.25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 x14ac:dyDescent="0.25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 x14ac:dyDescent="0.25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 x14ac:dyDescent="0.25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 x14ac:dyDescent="0.25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 x14ac:dyDescent="0.25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 x14ac:dyDescent="0.25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 x14ac:dyDescent="0.25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 x14ac:dyDescent="0.25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 x14ac:dyDescent="0.25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 x14ac:dyDescent="0.25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 x14ac:dyDescent="0.25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 x14ac:dyDescent="0.25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 x14ac:dyDescent="0.25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 x14ac:dyDescent="0.25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 x14ac:dyDescent="0.2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 x14ac:dyDescent="0.2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 x14ac:dyDescent="0.2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 x14ac:dyDescent="0.2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 x14ac:dyDescent="0.2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 x14ac:dyDescent="0.2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 x14ac:dyDescent="0.2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 x14ac:dyDescent="0.2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 x14ac:dyDescent="0.2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 x14ac:dyDescent="0.2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 x14ac:dyDescent="0.2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 x14ac:dyDescent="0.2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 x14ac:dyDescent="0.2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 x14ac:dyDescent="0.2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 x14ac:dyDescent="0.2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 x14ac:dyDescent="0.2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 x14ac:dyDescent="0.2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 x14ac:dyDescent="0.2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 x14ac:dyDescent="0.2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 x14ac:dyDescent="0.2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 x14ac:dyDescent="0.2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 x14ac:dyDescent="0.2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 x14ac:dyDescent="0.2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 x14ac:dyDescent="0.2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 x14ac:dyDescent="0.2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 x14ac:dyDescent="0.2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 x14ac:dyDescent="0.2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 x14ac:dyDescent="0.2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 x14ac:dyDescent="0.2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 x14ac:dyDescent="0.2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 x14ac:dyDescent="0.25">
      <c r="A176" t="s">
        <v>147</v>
      </c>
    </row>
    <row r="178" spans="1:16" x14ac:dyDescent="0.25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 x14ac:dyDescent="0.25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 x14ac:dyDescent="0.25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 x14ac:dyDescent="0.25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 x14ac:dyDescent="0.25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 x14ac:dyDescent="0.25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 x14ac:dyDescent="0.25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 x14ac:dyDescent="0.25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 x14ac:dyDescent="0.25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 x14ac:dyDescent="0.25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 x14ac:dyDescent="0.25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 x14ac:dyDescent="0.25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 x14ac:dyDescent="0.25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 x14ac:dyDescent="0.25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 x14ac:dyDescent="0.25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 x14ac:dyDescent="0.2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 x14ac:dyDescent="0.2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 x14ac:dyDescent="0.2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 x14ac:dyDescent="0.2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 x14ac:dyDescent="0.2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 x14ac:dyDescent="0.2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 x14ac:dyDescent="0.2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 x14ac:dyDescent="0.2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 x14ac:dyDescent="0.25">
      <c r="A202" t="s">
        <v>179</v>
      </c>
    </row>
    <row r="204" spans="1:15" x14ac:dyDescent="0.2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 x14ac:dyDescent="0.2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 x14ac:dyDescent="0.2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 x14ac:dyDescent="0.2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 x14ac:dyDescent="0.2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 x14ac:dyDescent="0.2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 x14ac:dyDescent="0.2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 x14ac:dyDescent="0.2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 x14ac:dyDescent="0.2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 x14ac:dyDescent="0.2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 x14ac:dyDescent="0.2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 x14ac:dyDescent="0.2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 x14ac:dyDescent="0.2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 x14ac:dyDescent="0.2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 x14ac:dyDescent="0.2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 x14ac:dyDescent="0.2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 x14ac:dyDescent="0.2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 x14ac:dyDescent="0.2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 x14ac:dyDescent="0.2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 x14ac:dyDescent="0.2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 x14ac:dyDescent="0.2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 x14ac:dyDescent="0.2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 x14ac:dyDescent="0.2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 x14ac:dyDescent="0.2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 x14ac:dyDescent="0.25">
      <c r="A229" t="s">
        <v>180</v>
      </c>
    </row>
    <row r="230" spans="1:15" x14ac:dyDescent="0.25">
      <c r="L230" s="4"/>
    </row>
    <row r="231" spans="1:15" x14ac:dyDescent="0.25">
      <c r="A231" t="s">
        <v>181</v>
      </c>
      <c r="G231">
        <v>89</v>
      </c>
      <c r="L231" s="4"/>
    </row>
    <row r="232" spans="1:15" x14ac:dyDescent="0.25">
      <c r="L232" s="4"/>
    </row>
    <row r="233" spans="1:15" x14ac:dyDescent="0.2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 x14ac:dyDescent="0.2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 x14ac:dyDescent="0.2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 x14ac:dyDescent="0.2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 x14ac:dyDescent="0.2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 x14ac:dyDescent="0.2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 x14ac:dyDescent="0.2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 x14ac:dyDescent="0.2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 x14ac:dyDescent="0.2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 x14ac:dyDescent="0.2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 x14ac:dyDescent="0.2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 x14ac:dyDescent="0.2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 x14ac:dyDescent="0.2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 x14ac:dyDescent="0.2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 x14ac:dyDescent="0.2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 x14ac:dyDescent="0.2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 x14ac:dyDescent="0.2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 x14ac:dyDescent="0.2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 x14ac:dyDescent="0.2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 x14ac:dyDescent="0.2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 x14ac:dyDescent="0.2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 x14ac:dyDescent="0.2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 x14ac:dyDescent="0.2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 x14ac:dyDescent="0.25">
      <c r="A257" t="s">
        <v>183</v>
      </c>
    </row>
    <row r="259" spans="1:17" x14ac:dyDescent="0.25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 x14ac:dyDescent="0.25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 x14ac:dyDescent="0.25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 x14ac:dyDescent="0.25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 x14ac:dyDescent="0.25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 x14ac:dyDescent="0.25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 x14ac:dyDescent="0.25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 x14ac:dyDescent="0.25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 x14ac:dyDescent="0.25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 x14ac:dyDescent="0.25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 x14ac:dyDescent="0.25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 x14ac:dyDescent="0.25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 x14ac:dyDescent="0.25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 x14ac:dyDescent="0.2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 x14ac:dyDescent="0.2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 x14ac:dyDescent="0.2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 x14ac:dyDescent="0.2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 x14ac:dyDescent="0.2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 x14ac:dyDescent="0.2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 x14ac:dyDescent="0.2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 x14ac:dyDescent="0.2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 x14ac:dyDescent="0.2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 x14ac:dyDescent="0.2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 x14ac:dyDescent="0.2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 x14ac:dyDescent="0.2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 x14ac:dyDescent="0.25">
      <c r="A286" t="s">
        <v>184</v>
      </c>
    </row>
    <row r="288" spans="1:15" x14ac:dyDescent="0.2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 x14ac:dyDescent="0.2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 x14ac:dyDescent="0.2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 x14ac:dyDescent="0.2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 x14ac:dyDescent="0.2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 x14ac:dyDescent="0.2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 x14ac:dyDescent="0.2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 x14ac:dyDescent="0.2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 x14ac:dyDescent="0.2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 x14ac:dyDescent="0.2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 x14ac:dyDescent="0.2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 x14ac:dyDescent="0.2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 x14ac:dyDescent="0.2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 x14ac:dyDescent="0.2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 x14ac:dyDescent="0.2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 x14ac:dyDescent="0.2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 x14ac:dyDescent="0.2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 x14ac:dyDescent="0.2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 x14ac:dyDescent="0.2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 x14ac:dyDescent="0.2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 x14ac:dyDescent="0.2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 x14ac:dyDescent="0.2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 x14ac:dyDescent="0.2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P99"/>
  <sheetViews>
    <sheetView tabSelected="1" topLeftCell="A43" workbookViewId="0">
      <selection activeCell="N61" sqref="N61"/>
    </sheetView>
  </sheetViews>
  <sheetFormatPr defaultRowHeight="15" x14ac:dyDescent="0.25"/>
  <cols>
    <col min="1" max="1" width="13.42578125" customWidth="1"/>
    <col min="2" max="2" width="17.42578125" customWidth="1"/>
    <col min="3" max="3" width="10.7109375" customWidth="1"/>
    <col min="4" max="4" width="14.28515625" customWidth="1"/>
    <col min="9" max="9" width="12.28515625" customWidth="1"/>
  </cols>
  <sheetData>
    <row r="1" spans="1:13" x14ac:dyDescent="0.25">
      <c r="A1" t="s">
        <v>195</v>
      </c>
    </row>
    <row r="2" spans="1:13" x14ac:dyDescent="0.25">
      <c r="A2" t="s">
        <v>193</v>
      </c>
    </row>
    <row r="4" spans="1:13" ht="60" x14ac:dyDescent="0.25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3" x14ac:dyDescent="0.25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  <c r="L5" s="4"/>
      <c r="M5" s="4"/>
    </row>
    <row r="6" spans="1:13" x14ac:dyDescent="0.25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  <c r="L6" s="4"/>
      <c r="M6" s="4"/>
    </row>
    <row r="7" spans="1:13" x14ac:dyDescent="0.25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  <c r="L7" s="4"/>
      <c r="M7" s="4"/>
    </row>
    <row r="8" spans="1:13" x14ac:dyDescent="0.25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  <c r="L8" s="4"/>
      <c r="M8" s="4"/>
    </row>
    <row r="9" spans="1:13" x14ac:dyDescent="0.25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  <c r="L9" s="4"/>
      <c r="M9" s="4"/>
    </row>
    <row r="10" spans="1:13" x14ac:dyDescent="0.25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  <c r="L10" s="4"/>
      <c r="M10" s="4"/>
    </row>
    <row r="11" spans="1:13" x14ac:dyDescent="0.25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  <c r="L11" s="4"/>
      <c r="M11" s="4"/>
    </row>
    <row r="12" spans="1:13" x14ac:dyDescent="0.25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  <c r="L12" s="4"/>
      <c r="M12" s="4"/>
    </row>
    <row r="13" spans="1:13" x14ac:dyDescent="0.25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  <c r="L13" s="4"/>
      <c r="M13" s="4"/>
    </row>
    <row r="14" spans="1:13" x14ac:dyDescent="0.25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  <c r="L14" s="4"/>
      <c r="M14" s="4"/>
    </row>
    <row r="15" spans="1:13" x14ac:dyDescent="0.25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  <c r="L15" s="4"/>
    </row>
    <row r="16" spans="1:13" x14ac:dyDescent="0.25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6" x14ac:dyDescent="0.25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6" x14ac:dyDescent="0.25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6" x14ac:dyDescent="0.25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6" x14ac:dyDescent="0.25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6" x14ac:dyDescent="0.25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6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6" x14ac:dyDescent="0.25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6" x14ac:dyDescent="0.25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6" x14ac:dyDescent="0.25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6" x14ac:dyDescent="0.25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6" x14ac:dyDescent="0.25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6" x14ac:dyDescent="0.25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  <c r="O30" s="4"/>
      <c r="P30" s="4"/>
    </row>
    <row r="31" spans="1:16" x14ac:dyDescent="0.25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  <c r="O31" s="4"/>
      <c r="P31" s="4"/>
    </row>
    <row r="32" spans="1:16" x14ac:dyDescent="0.25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  <c r="O32" s="4"/>
      <c r="P32" s="4"/>
    </row>
    <row r="33" spans="1:16" x14ac:dyDescent="0.25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  <c r="O33" s="4"/>
      <c r="P33" s="4"/>
    </row>
    <row r="34" spans="1:16" x14ac:dyDescent="0.25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  <c r="O34" s="4"/>
      <c r="P34" s="4"/>
    </row>
    <row r="35" spans="1:16" x14ac:dyDescent="0.25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  <c r="O35" s="4"/>
      <c r="P35" s="4"/>
    </row>
    <row r="36" spans="1:16" x14ac:dyDescent="0.25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  <c r="O36" s="4"/>
      <c r="P36" s="4"/>
    </row>
    <row r="37" spans="1:16" x14ac:dyDescent="0.25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6" x14ac:dyDescent="0.25">
      <c r="A39" t="s">
        <v>197</v>
      </c>
    </row>
    <row r="40" spans="1:16" x14ac:dyDescent="0.25">
      <c r="A40" t="s">
        <v>198</v>
      </c>
    </row>
    <row r="42" spans="1:16" ht="45" x14ac:dyDescent="0.25">
      <c r="A42" s="2" t="s">
        <v>117</v>
      </c>
      <c r="B42" s="40" t="s">
        <v>148</v>
      </c>
      <c r="C42" s="40" t="s">
        <v>109</v>
      </c>
      <c r="D42" s="40" t="s">
        <v>110</v>
      </c>
      <c r="E42" s="40" t="s">
        <v>111</v>
      </c>
      <c r="F42" s="40" t="s">
        <v>149</v>
      </c>
      <c r="G42" s="40" t="s">
        <v>150</v>
      </c>
      <c r="H42" s="40" t="s">
        <v>151</v>
      </c>
      <c r="I42" s="41" t="s">
        <v>199</v>
      </c>
      <c r="J42" s="40" t="s">
        <v>80</v>
      </c>
    </row>
    <row r="43" spans="1:16" x14ac:dyDescent="0.25">
      <c r="A43" t="s">
        <v>119</v>
      </c>
      <c r="B43" s="4"/>
      <c r="C43" s="4">
        <v>23669</v>
      </c>
      <c r="D43" s="4">
        <v>190</v>
      </c>
      <c r="E43" s="4">
        <v>7463</v>
      </c>
      <c r="F43" s="4"/>
      <c r="G43" s="4"/>
      <c r="H43" s="4"/>
      <c r="I43" s="4">
        <v>2336</v>
      </c>
      <c r="J43" s="4">
        <f>SUM(B43:I43)</f>
        <v>33658</v>
      </c>
    </row>
    <row r="44" spans="1:16" x14ac:dyDescent="0.25">
      <c r="A44" t="s">
        <v>120</v>
      </c>
      <c r="B44" s="4"/>
      <c r="C44" s="4">
        <v>58829</v>
      </c>
      <c r="D44" s="4">
        <v>120</v>
      </c>
      <c r="E44" s="4">
        <v>1066</v>
      </c>
      <c r="F44" s="4">
        <v>8</v>
      </c>
      <c r="G44" s="4"/>
      <c r="H44" s="4"/>
      <c r="I44" s="4">
        <v>9959</v>
      </c>
      <c r="J44" s="4">
        <f t="shared" ref="J44:J51" si="17">SUM(B44:I44)</f>
        <v>69982</v>
      </c>
    </row>
    <row r="45" spans="1:16" x14ac:dyDescent="0.25">
      <c r="A45" t="s">
        <v>121</v>
      </c>
      <c r="B45" s="4"/>
      <c r="C45" s="4">
        <v>142545</v>
      </c>
      <c r="D45" s="4">
        <v>4035</v>
      </c>
      <c r="E45" s="4">
        <v>27271</v>
      </c>
      <c r="F45" s="4">
        <v>5</v>
      </c>
      <c r="G45" s="4"/>
      <c r="H45" s="4"/>
      <c r="I45" s="4">
        <v>15994</v>
      </c>
      <c r="J45" s="4">
        <f t="shared" si="17"/>
        <v>189850</v>
      </c>
    </row>
    <row r="46" spans="1:16" x14ac:dyDescent="0.25">
      <c r="A46" t="s">
        <v>122</v>
      </c>
      <c r="B46" s="4"/>
      <c r="C46" s="4">
        <v>246432</v>
      </c>
      <c r="D46" s="4">
        <v>11010</v>
      </c>
      <c r="E46" s="4">
        <v>12462</v>
      </c>
      <c r="F46" s="4">
        <v>22</v>
      </c>
      <c r="G46" s="4"/>
      <c r="H46" s="4"/>
      <c r="I46" s="4">
        <v>44935</v>
      </c>
      <c r="J46" s="4">
        <f t="shared" si="17"/>
        <v>314861</v>
      </c>
    </row>
    <row r="47" spans="1:16" x14ac:dyDescent="0.25">
      <c r="A47" s="21" t="s">
        <v>123</v>
      </c>
      <c r="B47" s="4"/>
      <c r="C47" s="4">
        <v>258858</v>
      </c>
      <c r="D47" s="4">
        <v>6456</v>
      </c>
      <c r="E47" s="4">
        <v>1978</v>
      </c>
      <c r="F47" s="4">
        <v>9</v>
      </c>
      <c r="G47" s="4"/>
      <c r="H47" s="4"/>
      <c r="I47" s="4">
        <v>9582</v>
      </c>
      <c r="J47" s="4">
        <f t="shared" si="17"/>
        <v>276883</v>
      </c>
    </row>
    <row r="48" spans="1:16" x14ac:dyDescent="0.25">
      <c r="A48" t="s">
        <v>124</v>
      </c>
      <c r="B48" s="4">
        <v>12995</v>
      </c>
      <c r="C48" s="4">
        <v>678735</v>
      </c>
      <c r="D48" s="4">
        <v>19739</v>
      </c>
      <c r="E48" s="4">
        <v>1861</v>
      </c>
      <c r="F48" s="4">
        <v>18</v>
      </c>
      <c r="G48" s="4">
        <v>527</v>
      </c>
      <c r="H48" s="4"/>
      <c r="I48" s="4"/>
      <c r="J48" s="4">
        <f t="shared" si="17"/>
        <v>713875</v>
      </c>
    </row>
    <row r="49" spans="1:10" x14ac:dyDescent="0.25">
      <c r="A49" t="s">
        <v>125</v>
      </c>
      <c r="B49" s="4">
        <v>26337</v>
      </c>
      <c r="C49" s="4">
        <v>938571</v>
      </c>
      <c r="D49" s="4">
        <v>64754</v>
      </c>
      <c r="E49" s="4">
        <v>15360</v>
      </c>
      <c r="F49" s="4"/>
      <c r="G49" s="4">
        <v>2231</v>
      </c>
      <c r="H49" s="4"/>
      <c r="I49" s="4"/>
      <c r="J49" s="4">
        <f t="shared" si="17"/>
        <v>1047253</v>
      </c>
    </row>
    <row r="50" spans="1:10" x14ac:dyDescent="0.25">
      <c r="A50" t="s">
        <v>126</v>
      </c>
      <c r="B50" s="4">
        <v>58290</v>
      </c>
      <c r="C50" s="4">
        <v>894003</v>
      </c>
      <c r="D50" s="4">
        <v>55308</v>
      </c>
      <c r="E50" s="4">
        <v>35055</v>
      </c>
      <c r="F50" s="4"/>
      <c r="G50" s="4">
        <v>5649</v>
      </c>
      <c r="H50" s="4">
        <v>404</v>
      </c>
      <c r="I50" s="4"/>
      <c r="J50" s="4">
        <f t="shared" si="17"/>
        <v>1048709</v>
      </c>
    </row>
    <row r="51" spans="1:10" x14ac:dyDescent="0.25">
      <c r="A51" s="27" t="s">
        <v>127</v>
      </c>
      <c r="B51" s="12">
        <f>SUM(B47:B50)</f>
        <v>97622</v>
      </c>
      <c r="C51" s="12">
        <f t="shared" ref="C51:I51" si="18">SUM(C47:C50)</f>
        <v>2770167</v>
      </c>
      <c r="D51" s="12">
        <f t="shared" si="18"/>
        <v>146257</v>
      </c>
      <c r="E51" s="12">
        <f t="shared" si="18"/>
        <v>54254</v>
      </c>
      <c r="F51" s="12">
        <f t="shared" si="18"/>
        <v>27</v>
      </c>
      <c r="G51" s="12">
        <f t="shared" si="18"/>
        <v>8407</v>
      </c>
      <c r="H51" s="12">
        <f t="shared" si="18"/>
        <v>404</v>
      </c>
      <c r="I51" s="12">
        <f t="shared" si="18"/>
        <v>9582</v>
      </c>
      <c r="J51" s="12">
        <f t="shared" si="17"/>
        <v>3086720</v>
      </c>
    </row>
    <row r="52" spans="1:10" x14ac:dyDescent="0.25">
      <c r="A52" s="22" t="s">
        <v>88</v>
      </c>
      <c r="B52" s="23">
        <f>100*B51/$J51</f>
        <v>3.162645137880987</v>
      </c>
      <c r="C52" s="23">
        <f>100*C51/$J51</f>
        <v>89.744680437487048</v>
      </c>
      <c r="D52" s="23">
        <f>100*D51/$J51</f>
        <v>4.7382658614969939</v>
      </c>
      <c r="E52" s="23">
        <f>100*E51/$J51</f>
        <v>1.7576586149699358</v>
      </c>
      <c r="F52" s="23">
        <f>100*F51/$J51</f>
        <v>8.7471490773377569E-4</v>
      </c>
      <c r="G52" s="23">
        <f>100*G51/$J51</f>
        <v>0.27236030478955009</v>
      </c>
      <c r="H52" s="23">
        <f>100*H51/$J51</f>
        <v>1.308832676757205E-2</v>
      </c>
      <c r="I52" s="23">
        <f>100*I51/$J51</f>
        <v>0.3104266017001866</v>
      </c>
      <c r="J52" s="23">
        <f>100*J51/$J51</f>
        <v>100</v>
      </c>
    </row>
    <row r="53" spans="1:10" x14ac:dyDescent="0.25">
      <c r="A53" s="33" t="s">
        <v>185</v>
      </c>
      <c r="B53" s="34"/>
      <c r="C53" s="34">
        <f>SUM(C44:C46)</f>
        <v>447806</v>
      </c>
      <c r="D53" s="34">
        <f>SUM(D44:D46)</f>
        <v>15165</v>
      </c>
      <c r="E53" s="34">
        <f>SUM(E44:E46)</f>
        <v>40799</v>
      </c>
      <c r="F53" s="34">
        <f>SUM(F44:F46)</f>
        <v>35</v>
      </c>
      <c r="G53" s="34">
        <f>SUM(G44:G46)</f>
        <v>0</v>
      </c>
      <c r="H53" s="34">
        <f>SUM(H44:H46)</f>
        <v>0</v>
      </c>
      <c r="I53" s="34">
        <f>SUM(I44:I46)</f>
        <v>70888</v>
      </c>
      <c r="J53" s="34">
        <f>SUM(B53:I53)</f>
        <v>574693</v>
      </c>
    </row>
    <row r="54" spans="1:10" x14ac:dyDescent="0.25">
      <c r="A54" s="33" t="s">
        <v>88</v>
      </c>
      <c r="B54" s="35"/>
      <c r="C54" s="35">
        <f>C53/$J53*100</f>
        <v>77.920907336612771</v>
      </c>
      <c r="D54" s="35">
        <f>D53/$J53*100</f>
        <v>2.6388001941906372</v>
      </c>
      <c r="E54" s="35">
        <f>E53/$J53*100</f>
        <v>7.099268653002559</v>
      </c>
      <c r="F54" s="35">
        <f>F53/$J53*100</f>
        <v>6.0902081633150218E-3</v>
      </c>
      <c r="G54" s="35">
        <f>G53/$J53*100</f>
        <v>0</v>
      </c>
      <c r="H54" s="35">
        <f>H53/$J53*100</f>
        <v>0</v>
      </c>
      <c r="I54" s="35">
        <f>I53/$J53*100</f>
        <v>12.334933608030722</v>
      </c>
      <c r="J54" s="35">
        <f>SUM(B54:H54)</f>
        <v>87.665066391969276</v>
      </c>
    </row>
    <row r="57" spans="1:10" x14ac:dyDescent="0.25">
      <c r="A57" t="s">
        <v>191</v>
      </c>
    </row>
    <row r="59" spans="1:10" x14ac:dyDescent="0.25">
      <c r="A59" s="36" t="s">
        <v>19</v>
      </c>
      <c r="B59" s="36" t="s">
        <v>190</v>
      </c>
    </row>
    <row r="60" spans="1:10" x14ac:dyDescent="0.25">
      <c r="A60">
        <v>1896</v>
      </c>
      <c r="B60" s="4">
        <v>35639</v>
      </c>
    </row>
    <row r="61" spans="1:10" x14ac:dyDescent="0.25">
      <c r="A61">
        <v>1897</v>
      </c>
      <c r="B61" s="4">
        <v>28021</v>
      </c>
    </row>
    <row r="62" spans="1:10" x14ac:dyDescent="0.25">
      <c r="A62">
        <v>1898</v>
      </c>
      <c r="B62" s="4">
        <v>41907</v>
      </c>
    </row>
    <row r="63" spans="1:10" x14ac:dyDescent="0.25">
      <c r="A63">
        <v>1899</v>
      </c>
      <c r="B63" s="4">
        <v>65559</v>
      </c>
    </row>
    <row r="64" spans="1:10" x14ac:dyDescent="0.25">
      <c r="A64">
        <v>1900</v>
      </c>
      <c r="B64" s="4">
        <v>76085</v>
      </c>
    </row>
    <row r="65" spans="1:2" x14ac:dyDescent="0.25">
      <c r="A65">
        <v>1901</v>
      </c>
      <c r="B65" s="4">
        <v>83166</v>
      </c>
    </row>
    <row r="66" spans="1:2" x14ac:dyDescent="0.25">
      <c r="A66">
        <v>1902</v>
      </c>
      <c r="B66" s="4">
        <v>103114</v>
      </c>
    </row>
    <row r="67" spans="1:2" x14ac:dyDescent="0.25">
      <c r="A67">
        <v>1903</v>
      </c>
      <c r="B67" s="4">
        <v>125022</v>
      </c>
    </row>
    <row r="68" spans="1:2" x14ac:dyDescent="0.25">
      <c r="A68">
        <v>1904</v>
      </c>
      <c r="B68" s="4">
        <v>151739</v>
      </c>
    </row>
    <row r="69" spans="1:2" x14ac:dyDescent="0.25">
      <c r="A69">
        <v>1905</v>
      </c>
      <c r="B69" s="4">
        <v>186157</v>
      </c>
    </row>
    <row r="70" spans="1:2" x14ac:dyDescent="0.25">
      <c r="A70">
        <v>1906</v>
      </c>
      <c r="B70" s="4">
        <v>221400</v>
      </c>
    </row>
    <row r="71" spans="1:2" x14ac:dyDescent="0.25">
      <c r="A71">
        <v>1907</v>
      </c>
      <c r="B71" s="4">
        <v>186071</v>
      </c>
    </row>
    <row r="72" spans="1:2" x14ac:dyDescent="0.25">
      <c r="A72">
        <v>1908</v>
      </c>
      <c r="B72" s="4">
        <v>119541</v>
      </c>
    </row>
    <row r="73" spans="1:2" x14ac:dyDescent="0.25">
      <c r="A73">
        <v>1909</v>
      </c>
      <c r="B73" s="4">
        <v>141698</v>
      </c>
    </row>
    <row r="74" spans="1:2" x14ac:dyDescent="0.25">
      <c r="A74">
        <v>1910</v>
      </c>
      <c r="B74" s="4">
        <v>162676</v>
      </c>
    </row>
    <row r="75" spans="1:2" x14ac:dyDescent="0.25">
      <c r="A75">
        <v>1911</v>
      </c>
      <c r="B75" s="4">
        <v>144660</v>
      </c>
    </row>
    <row r="76" spans="1:2" x14ac:dyDescent="0.25">
      <c r="A76">
        <v>1912</v>
      </c>
      <c r="B76" s="4">
        <v>217990</v>
      </c>
    </row>
    <row r="77" spans="1:2" x14ac:dyDescent="0.25">
      <c r="A77">
        <v>1913</v>
      </c>
      <c r="B77" s="4">
        <v>261265</v>
      </c>
    </row>
    <row r="78" spans="1:2" x14ac:dyDescent="0.25">
      <c r="A78">
        <v>1914</v>
      </c>
      <c r="B78" s="4">
        <v>119358</v>
      </c>
    </row>
    <row r="79" spans="1:2" x14ac:dyDescent="0.25">
      <c r="A79">
        <v>1915</v>
      </c>
      <c r="B79" s="4">
        <v>3880</v>
      </c>
    </row>
    <row r="80" spans="1:2" x14ac:dyDescent="0.25">
      <c r="A80">
        <v>1916</v>
      </c>
      <c r="B80" s="4">
        <v>2305</v>
      </c>
    </row>
    <row r="81" spans="1:6" x14ac:dyDescent="0.25">
      <c r="A81" t="s">
        <v>49</v>
      </c>
      <c r="B81" s="4">
        <f>SUM(B60:B80)</f>
        <v>2477253</v>
      </c>
    </row>
    <row r="82" spans="1:6" x14ac:dyDescent="0.25">
      <c r="A82" t="s">
        <v>123</v>
      </c>
      <c r="B82" s="4">
        <f>SUM(B60:B64)</f>
        <v>247211</v>
      </c>
    </row>
    <row r="83" spans="1:6" x14ac:dyDescent="0.25">
      <c r="A83" t="s">
        <v>124</v>
      </c>
      <c r="B83" s="4">
        <f>SUM(B65:B69)</f>
        <v>649198</v>
      </c>
    </row>
    <row r="84" spans="1:6" x14ac:dyDescent="0.25">
      <c r="A84" t="s">
        <v>125</v>
      </c>
      <c r="B84" s="4">
        <f>SUM(B70:B74)</f>
        <v>831386</v>
      </c>
    </row>
    <row r="85" spans="1:6" x14ac:dyDescent="0.25">
      <c r="A85" t="s">
        <v>126</v>
      </c>
      <c r="B85" s="4">
        <f>SUM(B75:B79)</f>
        <v>747153</v>
      </c>
    </row>
    <row r="89" spans="1:6" x14ac:dyDescent="0.25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 x14ac:dyDescent="0.25">
      <c r="A90" t="s">
        <v>119</v>
      </c>
      <c r="B90" s="4">
        <f>K6</f>
        <v>27525</v>
      </c>
      <c r="C90" s="4">
        <f>J43</f>
        <v>33658</v>
      </c>
      <c r="D90" s="26">
        <f>B90/C90*100</f>
        <v>81.778477627904209</v>
      </c>
      <c r="E90" s="14"/>
    </row>
    <row r="91" spans="1:6" x14ac:dyDescent="0.25">
      <c r="A91" t="s">
        <v>120</v>
      </c>
      <c r="B91" s="4">
        <f>K7</f>
        <v>64393</v>
      </c>
      <c r="C91" s="4">
        <f t="shared" ref="C91:C97" si="19">J44</f>
        <v>69982</v>
      </c>
      <c r="D91" s="26">
        <f>B91/C91*100</f>
        <v>92.01366065559715</v>
      </c>
    </row>
    <row r="92" spans="1:6" x14ac:dyDescent="0.25">
      <c r="A92" t="s">
        <v>121</v>
      </c>
      <c r="B92" s="4">
        <f>K8</f>
        <v>223248</v>
      </c>
      <c r="C92" s="4">
        <f t="shared" si="19"/>
        <v>189850</v>
      </c>
      <c r="D92" s="26">
        <f t="shared" ref="D92:D97" si="20">B92/C92*100</f>
        <v>117.59178298656833</v>
      </c>
    </row>
    <row r="93" spans="1:6" x14ac:dyDescent="0.25">
      <c r="A93" t="s">
        <v>122</v>
      </c>
      <c r="B93" s="4">
        <f>K9</f>
        <v>279258</v>
      </c>
      <c r="C93" s="4">
        <f t="shared" si="19"/>
        <v>314861</v>
      </c>
      <c r="D93" s="26">
        <f t="shared" si="20"/>
        <v>88.692470645777021</v>
      </c>
    </row>
    <row r="94" spans="1:6" x14ac:dyDescent="0.25">
      <c r="A94" s="21" t="s">
        <v>123</v>
      </c>
      <c r="B94" s="4">
        <f>K10</f>
        <v>173914</v>
      </c>
      <c r="C94" s="4">
        <f t="shared" si="19"/>
        <v>276883</v>
      </c>
      <c r="D94" s="26">
        <f t="shared" si="20"/>
        <v>62.811367978532452</v>
      </c>
      <c r="E94" s="4">
        <f>B82</f>
        <v>247211</v>
      </c>
    </row>
    <row r="95" spans="1:6" x14ac:dyDescent="0.25">
      <c r="A95" t="s">
        <v>124</v>
      </c>
      <c r="B95" s="4">
        <f>K11</f>
        <v>340174</v>
      </c>
      <c r="C95" s="4">
        <f t="shared" si="19"/>
        <v>713875</v>
      </c>
      <c r="D95" s="26">
        <f t="shared" si="20"/>
        <v>47.651759761863069</v>
      </c>
      <c r="E95" s="4">
        <f>B83</f>
        <v>649198</v>
      </c>
    </row>
    <row r="96" spans="1:6" x14ac:dyDescent="0.25">
      <c r="A96" t="s">
        <v>125</v>
      </c>
      <c r="B96" s="4">
        <f>K12</f>
        <v>471971</v>
      </c>
      <c r="C96" s="4">
        <f t="shared" si="19"/>
        <v>1047253</v>
      </c>
      <c r="D96" s="26">
        <f t="shared" si="20"/>
        <v>45.067524275413867</v>
      </c>
      <c r="E96" s="4">
        <f>B84</f>
        <v>831386</v>
      </c>
    </row>
    <row r="97" spans="1:5" x14ac:dyDescent="0.25">
      <c r="A97" t="s">
        <v>126</v>
      </c>
      <c r="B97" s="4">
        <f>K13</f>
        <v>409911</v>
      </c>
      <c r="C97" s="4">
        <f t="shared" si="19"/>
        <v>1048709</v>
      </c>
      <c r="D97" s="26">
        <f t="shared" si="20"/>
        <v>39.087201502037267</v>
      </c>
      <c r="E97" s="4">
        <f>B85</f>
        <v>747153</v>
      </c>
    </row>
    <row r="98" spans="1:5" x14ac:dyDescent="0.25">
      <c r="B98" s="4"/>
    </row>
    <row r="99" spans="1:5" x14ac:dyDescent="0.25">
      <c r="B99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5" x14ac:dyDescent="0.25"/>
  <cols>
    <col min="2" max="2" width="12.7109375" customWidth="1"/>
    <col min="3" max="3" width="18.85546875" customWidth="1"/>
    <col min="4" max="4" width="13.85546875" customWidth="1"/>
    <col min="5" max="5" width="16.85546875" customWidth="1"/>
    <col min="7" max="7" width="13.28515625" customWidth="1"/>
    <col min="8" max="8" width="16.42578125" customWidth="1"/>
  </cols>
  <sheetData>
    <row r="1" spans="1:10" x14ac:dyDescent="0.25">
      <c r="A1" t="s">
        <v>162</v>
      </c>
    </row>
    <row r="3" spans="1:10" x14ac:dyDescent="0.25">
      <c r="A3" t="s">
        <v>161</v>
      </c>
    </row>
    <row r="4" spans="1:10" x14ac:dyDescent="0.25">
      <c r="A4" t="s">
        <v>158</v>
      </c>
    </row>
    <row r="5" spans="1:10" x14ac:dyDescent="0.25">
      <c r="B5" t="s">
        <v>159</v>
      </c>
    </row>
    <row r="6" spans="1:10" x14ac:dyDescent="0.25">
      <c r="B6" t="s">
        <v>160</v>
      </c>
    </row>
    <row r="8" spans="1:10" x14ac:dyDescent="0.25">
      <c r="B8" t="s">
        <v>1</v>
      </c>
      <c r="C8" t="s">
        <v>155</v>
      </c>
    </row>
    <row r="10" spans="1:10" x14ac:dyDescent="0.25">
      <c r="B10" s="1">
        <v>1908</v>
      </c>
      <c r="C10" s="1" t="s">
        <v>156</v>
      </c>
    </row>
    <row r="11" spans="1:10" x14ac:dyDescent="0.25">
      <c r="B11" s="1">
        <v>1917</v>
      </c>
      <c r="C11" s="1" t="s">
        <v>157</v>
      </c>
    </row>
    <row r="12" spans="1:10" x14ac:dyDescent="0.25">
      <c r="B12" s="1">
        <v>1918</v>
      </c>
      <c r="C12" s="1">
        <v>66</v>
      </c>
    </row>
    <row r="14" spans="1:10" x14ac:dyDescent="0.25">
      <c r="B14" s="39" t="s">
        <v>163</v>
      </c>
      <c r="C14" s="39"/>
      <c r="D14" s="39" t="s">
        <v>166</v>
      </c>
      <c r="E14" s="39"/>
      <c r="G14" s="39" t="s">
        <v>167</v>
      </c>
      <c r="H14" s="39"/>
    </row>
    <row r="15" spans="1:10" x14ac:dyDescent="0.25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 x14ac:dyDescent="0.25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 x14ac:dyDescent="0.25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 x14ac:dyDescent="0.25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 x14ac:dyDescent="0.25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 x14ac:dyDescent="0.25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 x14ac:dyDescent="0.25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 x14ac:dyDescent="0.25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 x14ac:dyDescent="0.25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 x14ac:dyDescent="0.25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 x14ac:dyDescent="0.25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 x14ac:dyDescent="0.25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 x14ac:dyDescent="0.25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 x14ac:dyDescent="0.25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 x14ac:dyDescent="0.25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 x14ac:dyDescent="0.25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 x14ac:dyDescent="0.25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 x14ac:dyDescent="0.25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 x14ac:dyDescent="0.25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 x14ac:dyDescent="0.25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 x14ac:dyDescent="0.25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 x14ac:dyDescent="0.25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 x14ac:dyDescent="0.25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26"/>
  <sheetViews>
    <sheetView workbookViewId="0">
      <selection activeCell="O38" sqref="O38"/>
    </sheetView>
  </sheetViews>
  <sheetFormatPr defaultRowHeight="15" x14ac:dyDescent="0.25"/>
  <cols>
    <col min="11" max="11" width="13.5703125" customWidth="1"/>
    <col min="15" max="15" width="26.7109375" customWidth="1"/>
    <col min="16" max="16" width="19.85546875" customWidth="1"/>
  </cols>
  <sheetData>
    <row r="1" spans="1:18" x14ac:dyDescent="0.25">
      <c r="A1" s="10" t="s">
        <v>19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  <c r="J1" s="10" t="s">
        <v>78</v>
      </c>
      <c r="K1" s="10" t="s">
        <v>79</v>
      </c>
      <c r="L1" s="10" t="s">
        <v>80</v>
      </c>
      <c r="M1" s="10" t="s">
        <v>81</v>
      </c>
      <c r="O1" s="14" t="s">
        <v>169</v>
      </c>
      <c r="P1" s="10"/>
    </row>
    <row r="2" spans="1:18" x14ac:dyDescent="0.25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 x14ac:dyDescent="0.25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 x14ac:dyDescent="0.25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 x14ac:dyDescent="0.25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 x14ac:dyDescent="0.25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 x14ac:dyDescent="0.25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 x14ac:dyDescent="0.25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 x14ac:dyDescent="0.25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 x14ac:dyDescent="0.25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 x14ac:dyDescent="0.25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 x14ac:dyDescent="0.25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 x14ac:dyDescent="0.25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 x14ac:dyDescent="0.25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 x14ac:dyDescent="0.25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 x14ac:dyDescent="0.25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 x14ac:dyDescent="0.25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 x14ac:dyDescent="0.25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 x14ac:dyDescent="0.25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 x14ac:dyDescent="0.25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 x14ac:dyDescent="0.25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 x14ac:dyDescent="0.25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 x14ac:dyDescent="0.25">
      <c r="R24" s="4"/>
    </row>
    <row r="26" spans="1:18" x14ac:dyDescent="0.25">
      <c r="F26" s="4"/>
      <c r="L26" s="4"/>
      <c r="M26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note-1</vt:lpstr>
      <vt:lpstr>note-2</vt:lpstr>
      <vt:lpstr>note-3</vt:lpstr>
      <vt:lpstr>note-4</vt:lpstr>
      <vt:lpstr>note-5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2024-09-26T23:11:15Z</dcterms:created>
  <dcterms:modified xsi:type="dcterms:W3CDTF">2026-08-02T19:30:15Z</dcterms:modified>
</cp:coreProperties>
</file>