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ensus-1897\"/>
    </mc:Choice>
  </mc:AlternateContent>
  <xr:revisionPtr revIDLastSave="0" documentId="13_ncr:1_{EA8C0896-9872-4593-B21B-AD0B24262E70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Источник" sheetId="2" r:id="rId1"/>
    <sheet name="Данные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" l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<sst xmlns="http://schemas.openxmlformats.org/spreadsheetml/2006/main" count="69" uniqueCount="68">
  <si>
    <t>Губерния</t>
  </si>
  <si>
    <t>Мужчины-полонофоны</t>
  </si>
  <si>
    <t>Всего мужчин</t>
  </si>
  <si>
    <t>Доля полонофонов среди мужчин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</si>
  <si>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</si>
  <si>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</si>
  <si>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</si>
  <si>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</si>
  <si>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</si>
  <si>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</si>
  <si>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</si>
  <si>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</si>
  <si>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</si>
  <si>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</si>
  <si>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</si>
  <si>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</si>
  <si>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</si>
  <si>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</si>
  <si>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</si>
  <si>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</si>
  <si>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</si>
  <si>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</si>
  <si>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</si>
  <si>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</si>
  <si>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</si>
  <si>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</si>
  <si>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</si>
  <si>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</si>
  <si>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</si>
  <si>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</si>
  <si>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</si>
  <si>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</si>
  <si>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</si>
  <si>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</si>
  <si>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</si>
  <si>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</si>
  <si>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</si>
  <si>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</si>
  <si>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</si>
  <si>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</si>
  <si>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</si>
  <si>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</si>
  <si>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</si>
  <si>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</si>
  <si>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</si>
  <si>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</si>
  <si>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</si>
  <si>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</si>
  <si>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</si>
  <si>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</si>
  <si>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</si>
  <si>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</si>
  <si>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</si>
  <si>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</si>
  <si>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Итого: Европейская Россия</t>
  </si>
  <si>
    <t>Поле</t>
  </si>
  <si>
    <t>Описание</t>
  </si>
  <si>
    <t>Издание</t>
  </si>
  <si>
    <t>Первая всеобщая перепись населения Российской империи 1897 г. Общий свод по Империи результатов разработки данных. Том II. СПб., 1905.</t>
  </si>
  <si>
    <t>Полонофоны</t>
  </si>
  <si>
    <t>Печатная стр. 20, табл. XIII-а: колонка «Польский», мужчины (М.).</t>
  </si>
  <si>
    <t>Печатная стр. 37, табл. XIII-а: колонка «ИТОГО», мужчины (М.).</t>
  </si>
  <si>
    <t>Метод</t>
  </si>
  <si>
    <t>Числа переписаны визуально со сканов; OCR-слой для числовой транскрипции не использовался.</t>
  </si>
  <si>
    <t>Процент</t>
  </si>
  <si>
    <t>Доля = мужчины с польским родным языком / все мужчины губернии. Это приближение к доле поляков, а не прямое измерение этнической самоидентификации.</t>
  </si>
  <si>
    <t>Городские подстроки</t>
  </si>
  <si>
    <t>Москва, С.-Петербург и Одесса в таблицах приведены отдельными подстроками; в файле использованы итоговые строки соответствующих губерний, включающие города.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</si>
</sst>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name val="Carlito"/>
    </font>
    <font>
      <b/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1" fillId="3" borderId="0" xfId="0" applyFont="1" applyFill="1"/>
    <xf numFmtId="3" fontId="0" fillId="0" borderId="0" xfId="0" applyNumberFormat="1"/>
    <xf numFmtId="3" fontId="1" fillId="3" borderId="0" xfId="0" applyNumberFormat="1" applyFont="1" applyFill="1"/>
    <xf numFmtId="10" fontId="0" fillId="0" borderId="0" xfId="0" applyNumberFormat="1"/>
    <xf numFmtId="10" fontId="1" fillId="3" borderId="0" xfId="0" applyNumberFormat="1" applyFont="1" applyFill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lishMenByProvince" displayName="PolishMenByProvince" ref="A1:D51" headerRowDxfId="0">
  <tableColumns count="4">
    <tableColumn id="1" xr3:uid="{00000000-0010-0000-0000-000001000000}" name="Губерния"/>
    <tableColumn id="2" xr3:uid="{00000000-0010-0000-0000-000002000000}" name="Мужчины-полонофоны"/>
    <tableColumn id="3" xr3:uid="{00000000-0010-0000-0000-000003000000}" name="Всего мужчин"/>
    <tableColumn id="4" xr3:uid="{00000000-0010-0000-0000-000004000000}" name="Доля полонофонов среди мужчи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4" x14ac:dyDescent="0.55000000000000004"/>
  <cols>
    <col min="1" max="1" width="22" customWidth="1"/>
    <col min="2" max="2" width="80" customWidth="1"/>
  </cols>
  <sheetData>
    <row r="1" spans="1:2" x14ac:dyDescent="0.55000000000000004">
      <c r="A1" s="1" t="s">
        <v>55</v>
      </c>
      <c r="B1" s="1" t="s">
        <v>56</v>
      </c>
    </row>
    <row r="2" spans="1:2" ht="28.8" x14ac:dyDescent="0.55000000000000004">
      <c r="A2" s="7" t="s">
        <v>57</v>
      </c>
      <c r="B2" s="7" t="s">
        <v>58</v>
      </c>
    </row>
    <row r="3" spans="1:2" x14ac:dyDescent="0.55000000000000004">
      <c r="A3" s="7" t="s">
        <v>59</v>
      </c>
      <c r="B3" s="7" t="s">
        <v>60</v>
      </c>
    </row>
    <row r="4" spans="1:2" x14ac:dyDescent="0.55000000000000004">
      <c r="A4" s="7" t="s">
        <v>2</v>
      </c>
      <c r="B4" s="7" t="s">
        <v>61</v>
      </c>
    </row>
    <row r="5" spans="1:2" ht="28.8" x14ac:dyDescent="0.55000000000000004">
      <c r="A5" s="7" t="s">
        <v>62</v>
      </c>
      <c r="B5" s="7" t="s">
        <v>63</v>
      </c>
    </row>
    <row r="6" spans="1:2" ht="28.8" x14ac:dyDescent="0.55000000000000004">
      <c r="A6" s="7" t="s">
        <v>64</v>
      </c>
      <c r="B6" s="7" t="s">
        <v>65</v>
      </c>
    </row>
    <row r="7" spans="1:2" ht="28.8" x14ac:dyDescent="0.55000000000000004">
      <c r="A7" s="7" t="s">
        <v>66</v>
      </c>
      <c r="B7" s="7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workbookViewId="0">
      <selection activeCell="I5" sqref="I5"/>
    </sheetView>
  </sheetViews>
  <sheetFormatPr defaultRowHeight="14.4" x14ac:dyDescent="0.55000000000000004"/>
  <cols>
    <col min="1" max="1" width="26" customWidth="1"/>
    <col min="2" max="2" width="21" customWidth="1"/>
    <col min="3" max="3" width="18" customWidth="1"/>
    <col min="4" max="4" width="29" customWidth="1"/>
  </cols>
  <sheetData>
    <row r="1" spans="1:4" ht="28.8" x14ac:dyDescent="0.55000000000000004">
      <c r="A1" s="8" t="s">
        <v>0</v>
      </c>
      <c r="B1" s="8" t="s">
        <v>1</v>
      </c>
      <c r="C1" s="8" t="s">
        <v>2</v>
      </c>
      <c r="D1" s="8" t="s">
        <v>3</v>
      </c>
    </row>
    <row r="2" spans="1:4" x14ac:dyDescent="0.55000000000000004">
      <c r="A2" t="s">
        <v>4</v>
      </c>
      <c r="B2" s="3">
        <v>350</v>
      </c>
      <c r="C2" s="3">
        <v>163784</v>
      </c>
      <c r="D2" s="5">
        <f t="shared" ref="D2:D33" si="0">B2/C2</f>
        <v>2.1369608752991745E-3</v>
      </c>
    </row>
    <row r="3" spans="1:4" x14ac:dyDescent="0.55000000000000004">
      <c r="A3" t="s">
        <v>5</v>
      </c>
      <c r="B3" s="3">
        <v>576</v>
      </c>
      <c r="C3" s="3">
        <v>513453</v>
      </c>
      <c r="D3" s="5">
        <f t="shared" si="0"/>
        <v>1.1218164077335219E-3</v>
      </c>
    </row>
    <row r="4" spans="1:4" x14ac:dyDescent="0.55000000000000004">
      <c r="A4" t="s">
        <v>6</v>
      </c>
      <c r="B4" s="3">
        <v>7432</v>
      </c>
      <c r="C4" s="3">
        <v>991239</v>
      </c>
      <c r="D4" s="5">
        <f t="shared" si="0"/>
        <v>7.4976872378911645E-3</v>
      </c>
    </row>
    <row r="5" spans="1:4" x14ac:dyDescent="0.55000000000000004">
      <c r="A5" t="s">
        <v>7</v>
      </c>
      <c r="B5" s="3">
        <v>61576</v>
      </c>
      <c r="C5" s="3">
        <v>790880</v>
      </c>
      <c r="D5" s="5">
        <f t="shared" si="0"/>
        <v>7.7857576370625126E-2</v>
      </c>
    </row>
    <row r="6" spans="1:4" x14ac:dyDescent="0.55000000000000004">
      <c r="A6" t="s">
        <v>8</v>
      </c>
      <c r="B6" s="3">
        <v>24071</v>
      </c>
      <c r="C6" s="3">
        <v>736882</v>
      </c>
      <c r="D6" s="5">
        <f t="shared" si="0"/>
        <v>3.2666017082789378E-2</v>
      </c>
    </row>
    <row r="7" spans="1:4" x14ac:dyDescent="0.55000000000000004">
      <c r="A7" t="s">
        <v>9</v>
      </c>
      <c r="B7" s="3">
        <v>954</v>
      </c>
      <c r="C7" s="3">
        <v>690312</v>
      </c>
      <c r="D7" s="5">
        <f t="shared" si="0"/>
        <v>1.3819837986301846E-3</v>
      </c>
    </row>
    <row r="8" spans="1:4" x14ac:dyDescent="0.55000000000000004">
      <c r="A8" t="s">
        <v>10</v>
      </c>
      <c r="B8" s="3">
        <v>222</v>
      </c>
      <c r="C8" s="3">
        <v>635664</v>
      </c>
      <c r="D8" s="5">
        <f t="shared" si="0"/>
        <v>3.4924110851015629E-4</v>
      </c>
    </row>
    <row r="9" spans="1:4" x14ac:dyDescent="0.55000000000000004">
      <c r="A9" t="s">
        <v>11</v>
      </c>
      <c r="B9" s="3">
        <v>90701</v>
      </c>
      <c r="C9" s="3">
        <v>1502803</v>
      </c>
      <c r="D9" s="5">
        <f t="shared" si="0"/>
        <v>6.0354550796079064E-2</v>
      </c>
    </row>
    <row r="10" spans="1:4" x14ac:dyDescent="0.55000000000000004">
      <c r="A10" t="s">
        <v>12</v>
      </c>
      <c r="B10" s="3">
        <v>1195</v>
      </c>
      <c r="C10" s="3">
        <v>1251345</v>
      </c>
      <c r="D10" s="5">
        <f t="shared" si="0"/>
        <v>9.5497244964418289E-4</v>
      </c>
    </row>
    <row r="11" spans="1:4" x14ac:dyDescent="0.55000000000000004">
      <c r="A11" t="s">
        <v>13</v>
      </c>
      <c r="B11" s="3">
        <v>389</v>
      </c>
      <c r="C11" s="3">
        <v>1426359</v>
      </c>
      <c r="D11" s="5">
        <f t="shared" si="0"/>
        <v>2.7272236512687197E-4</v>
      </c>
    </row>
    <row r="12" spans="1:4" x14ac:dyDescent="0.55000000000000004">
      <c r="A12" t="s">
        <v>14</v>
      </c>
      <c r="B12" s="3">
        <v>79195</v>
      </c>
      <c r="C12" s="3">
        <v>815833</v>
      </c>
      <c r="D12" s="5">
        <f t="shared" si="0"/>
        <v>9.7072562644560836E-2</v>
      </c>
    </row>
    <row r="13" spans="1:4" x14ac:dyDescent="0.55000000000000004">
      <c r="A13" t="s">
        <v>15</v>
      </c>
      <c r="B13" s="3">
        <v>1971</v>
      </c>
      <c r="C13" s="3">
        <v>1294320</v>
      </c>
      <c r="D13" s="5">
        <f t="shared" si="0"/>
        <v>1.5228073428518449E-3</v>
      </c>
    </row>
    <row r="14" spans="1:4" x14ac:dyDescent="0.55000000000000004">
      <c r="A14" t="s">
        <v>16</v>
      </c>
      <c r="B14" s="3">
        <v>7356</v>
      </c>
      <c r="C14" s="3">
        <v>1091715</v>
      </c>
      <c r="D14" s="5">
        <f t="shared" si="0"/>
        <v>6.738022286036191E-3</v>
      </c>
    </row>
    <row r="15" spans="1:4" x14ac:dyDescent="0.55000000000000004">
      <c r="A15" t="s">
        <v>17</v>
      </c>
      <c r="B15" s="3">
        <v>1317</v>
      </c>
      <c r="C15" s="3">
        <v>1059388</v>
      </c>
      <c r="D15" s="5">
        <f t="shared" si="0"/>
        <v>1.2431705852813133E-3</v>
      </c>
    </row>
    <row r="16" spans="1:4" x14ac:dyDescent="0.55000000000000004">
      <c r="A16" t="s">
        <v>18</v>
      </c>
      <c r="B16" s="3">
        <v>1451</v>
      </c>
      <c r="C16" s="3">
        <v>501573</v>
      </c>
      <c r="D16" s="5">
        <f t="shared" si="0"/>
        <v>2.8928989399349646E-3</v>
      </c>
    </row>
    <row r="17" spans="1:4" x14ac:dyDescent="0.55000000000000004">
      <c r="A17" t="s">
        <v>19</v>
      </c>
      <c r="B17" s="3">
        <v>34093</v>
      </c>
      <c r="C17" s="3">
        <v>1767288</v>
      </c>
      <c r="D17" s="5">
        <f t="shared" si="0"/>
        <v>1.9291139870807703E-2</v>
      </c>
    </row>
    <row r="18" spans="1:4" x14ac:dyDescent="0.55000000000000004">
      <c r="A18" t="s">
        <v>20</v>
      </c>
      <c r="B18" s="3">
        <v>66850</v>
      </c>
      <c r="C18" s="3">
        <v>752051</v>
      </c>
      <c r="D18" s="5">
        <f t="shared" si="0"/>
        <v>8.8890248134767452E-2</v>
      </c>
    </row>
    <row r="19" spans="1:4" x14ac:dyDescent="0.55000000000000004">
      <c r="A19" t="s">
        <v>21</v>
      </c>
      <c r="B19" s="3">
        <v>548</v>
      </c>
      <c r="C19" s="3">
        <v>623103</v>
      </c>
      <c r="D19" s="5">
        <f t="shared" si="0"/>
        <v>8.7946936541791643E-4</v>
      </c>
    </row>
    <row r="20" spans="1:4" x14ac:dyDescent="0.55000000000000004">
      <c r="A20" t="s">
        <v>22</v>
      </c>
      <c r="B20" s="3">
        <v>9985</v>
      </c>
      <c r="C20" s="3">
        <v>326252</v>
      </c>
      <c r="D20" s="5">
        <f t="shared" si="0"/>
        <v>3.0605176366734918E-2</v>
      </c>
    </row>
    <row r="21" spans="1:4" x14ac:dyDescent="0.55000000000000004">
      <c r="A21" t="s">
        <v>23</v>
      </c>
      <c r="B21" s="3">
        <v>1973</v>
      </c>
      <c r="C21" s="3">
        <v>1166190</v>
      </c>
      <c r="D21" s="5">
        <f t="shared" si="0"/>
        <v>1.6918340922148192E-3</v>
      </c>
    </row>
    <row r="22" spans="1:4" x14ac:dyDescent="0.55000000000000004">
      <c r="A22" t="s">
        <v>24</v>
      </c>
      <c r="B22" s="3">
        <v>8321</v>
      </c>
      <c r="C22" s="3">
        <v>629992</v>
      </c>
      <c r="D22" s="5">
        <f t="shared" si="0"/>
        <v>1.3208104229894983E-2</v>
      </c>
    </row>
    <row r="23" spans="1:4" x14ac:dyDescent="0.55000000000000004">
      <c r="A23" t="s">
        <v>25</v>
      </c>
      <c r="B23" s="3">
        <v>31400</v>
      </c>
      <c r="C23" s="3">
        <v>1069445</v>
      </c>
      <c r="D23" s="5">
        <f t="shared" si="0"/>
        <v>2.9361023708559114E-2</v>
      </c>
    </row>
    <row r="24" spans="1:4" x14ac:dyDescent="0.55000000000000004">
      <c r="A24" t="s">
        <v>26</v>
      </c>
      <c r="B24" s="3">
        <v>8680</v>
      </c>
      <c r="C24" s="3">
        <v>827690</v>
      </c>
      <c r="D24" s="5">
        <f t="shared" si="0"/>
        <v>1.0487018086481654E-2</v>
      </c>
    </row>
    <row r="25" spans="1:4" x14ac:dyDescent="0.55000000000000004">
      <c r="A25" t="s">
        <v>27</v>
      </c>
      <c r="B25" s="3">
        <v>7676</v>
      </c>
      <c r="C25" s="3">
        <v>1219267</v>
      </c>
      <c r="D25" s="5">
        <f t="shared" si="0"/>
        <v>6.295585790479034E-3</v>
      </c>
    </row>
    <row r="26" spans="1:4" x14ac:dyDescent="0.55000000000000004">
      <c r="A26" t="s">
        <v>28</v>
      </c>
      <c r="B26" s="3">
        <v>829</v>
      </c>
      <c r="C26" s="3">
        <v>744467</v>
      </c>
      <c r="D26" s="5">
        <f t="shared" si="0"/>
        <v>1.1135483506992251E-3</v>
      </c>
    </row>
    <row r="27" spans="1:4" x14ac:dyDescent="0.55000000000000004">
      <c r="A27" t="s">
        <v>29</v>
      </c>
      <c r="B27" s="3">
        <v>2580</v>
      </c>
      <c r="C27" s="3">
        <v>651901</v>
      </c>
      <c r="D27" s="5">
        <f t="shared" si="0"/>
        <v>3.9576561471757216E-3</v>
      </c>
    </row>
    <row r="28" spans="1:4" x14ac:dyDescent="0.55000000000000004">
      <c r="A28" t="s">
        <v>30</v>
      </c>
      <c r="B28" s="3">
        <v>175</v>
      </c>
      <c r="C28" s="3">
        <v>171718</v>
      </c>
      <c r="D28" s="5">
        <f t="shared" si="0"/>
        <v>1.0191127313385899E-3</v>
      </c>
    </row>
    <row r="29" spans="1:4" x14ac:dyDescent="0.55000000000000004">
      <c r="A29" t="s">
        <v>31</v>
      </c>
      <c r="B29" s="3">
        <v>1141</v>
      </c>
      <c r="C29" s="3">
        <v>793771</v>
      </c>
      <c r="D29" s="5">
        <f t="shared" si="0"/>
        <v>1.4374422849915151E-3</v>
      </c>
    </row>
    <row r="30" spans="1:4" x14ac:dyDescent="0.55000000000000004">
      <c r="A30" t="s">
        <v>32</v>
      </c>
      <c r="B30" s="3">
        <v>2700</v>
      </c>
      <c r="C30" s="3">
        <v>983327</v>
      </c>
      <c r="D30" s="5">
        <f t="shared" si="0"/>
        <v>2.7457803965517066E-3</v>
      </c>
    </row>
    <row r="31" spans="1:4" x14ac:dyDescent="0.55000000000000004">
      <c r="A31" t="s">
        <v>33</v>
      </c>
      <c r="B31" s="3">
        <v>615</v>
      </c>
      <c r="C31" s="3">
        <v>704054</v>
      </c>
      <c r="D31" s="5">
        <f t="shared" si="0"/>
        <v>8.735125430719803E-4</v>
      </c>
    </row>
    <row r="32" spans="1:4" x14ac:dyDescent="0.55000000000000004">
      <c r="A32" t="s">
        <v>34</v>
      </c>
      <c r="B32" s="3">
        <v>1244</v>
      </c>
      <c r="C32" s="3">
        <v>1440124</v>
      </c>
      <c r="D32" s="5">
        <f t="shared" si="0"/>
        <v>8.6381450486208136E-4</v>
      </c>
    </row>
    <row r="33" spans="1:4" x14ac:dyDescent="0.55000000000000004">
      <c r="A33" t="s">
        <v>35</v>
      </c>
      <c r="B33" s="3">
        <v>33762</v>
      </c>
      <c r="C33" s="3">
        <v>1505940</v>
      </c>
      <c r="D33" s="5">
        <f t="shared" si="0"/>
        <v>2.2419219889238614E-2</v>
      </c>
    </row>
    <row r="34" spans="1:4" x14ac:dyDescent="0.55000000000000004">
      <c r="A34" t="s">
        <v>36</v>
      </c>
      <c r="B34" s="3">
        <v>2782</v>
      </c>
      <c r="C34" s="3">
        <v>1376539</v>
      </c>
      <c r="D34" s="5">
        <f t="shared" ref="D34:D65" si="1">B34/C34</f>
        <v>2.0210106651536936E-3</v>
      </c>
    </row>
    <row r="35" spans="1:4" x14ac:dyDescent="0.55000000000000004">
      <c r="A35" t="s">
        <v>37</v>
      </c>
      <c r="B35" s="3">
        <v>2668</v>
      </c>
      <c r="C35" s="3">
        <v>539632</v>
      </c>
      <c r="D35" s="5">
        <f t="shared" si="1"/>
        <v>4.944110060189166E-3</v>
      </c>
    </row>
    <row r="36" spans="1:4" x14ac:dyDescent="0.55000000000000004">
      <c r="A36" t="s">
        <v>38</v>
      </c>
      <c r="B36" s="3">
        <v>1560</v>
      </c>
      <c r="C36" s="3">
        <v>843559</v>
      </c>
      <c r="D36" s="5">
        <f t="shared" si="1"/>
        <v>1.8493075173165124E-3</v>
      </c>
    </row>
    <row r="37" spans="1:4" x14ac:dyDescent="0.55000000000000004">
      <c r="A37" t="s">
        <v>39</v>
      </c>
      <c r="B37" s="3">
        <v>1193</v>
      </c>
      <c r="C37" s="3">
        <v>1351438</v>
      </c>
      <c r="D37" s="5">
        <f t="shared" si="1"/>
        <v>8.8276339721097088E-4</v>
      </c>
    </row>
    <row r="38" spans="1:4" x14ac:dyDescent="0.55000000000000004">
      <c r="A38" t="s">
        <v>40</v>
      </c>
      <c r="B38" s="3">
        <v>28836</v>
      </c>
      <c r="C38" s="3">
        <v>1121048</v>
      </c>
      <c r="D38" s="5">
        <f t="shared" si="1"/>
        <v>2.5722359791909E-2</v>
      </c>
    </row>
    <row r="39" spans="1:4" x14ac:dyDescent="0.55000000000000004">
      <c r="A39" t="s">
        <v>41</v>
      </c>
      <c r="B39" s="3">
        <v>1781</v>
      </c>
      <c r="C39" s="3">
        <v>1174304</v>
      </c>
      <c r="D39" s="5">
        <f t="shared" si="1"/>
        <v>1.5166430498405863E-3</v>
      </c>
    </row>
    <row r="40" spans="1:4" x14ac:dyDescent="0.55000000000000004">
      <c r="A40" t="s">
        <v>42</v>
      </c>
      <c r="B40" s="3">
        <v>603</v>
      </c>
      <c r="C40" s="3">
        <v>728909</v>
      </c>
      <c r="D40" s="5">
        <f t="shared" si="1"/>
        <v>8.2726375994808684E-4</v>
      </c>
    </row>
    <row r="41" spans="1:4" x14ac:dyDescent="0.55000000000000004">
      <c r="A41" t="s">
        <v>43</v>
      </c>
      <c r="B41" s="3">
        <v>4855</v>
      </c>
      <c r="C41" s="3">
        <v>720116</v>
      </c>
      <c r="D41" s="5">
        <f t="shared" si="1"/>
        <v>6.7419693493825997E-3</v>
      </c>
    </row>
    <row r="42" spans="1:4" x14ac:dyDescent="0.55000000000000004">
      <c r="A42" t="s">
        <v>44</v>
      </c>
      <c r="B42" s="3">
        <v>7349</v>
      </c>
      <c r="C42" s="3">
        <v>762804</v>
      </c>
      <c r="D42" s="5">
        <f t="shared" si="1"/>
        <v>9.6341917451927359E-3</v>
      </c>
    </row>
    <row r="43" spans="1:4" x14ac:dyDescent="0.55000000000000004">
      <c r="A43" t="s">
        <v>45</v>
      </c>
      <c r="B43" s="3">
        <v>1373</v>
      </c>
      <c r="C43" s="3">
        <v>1301723</v>
      </c>
      <c r="D43" s="5">
        <f t="shared" si="1"/>
        <v>1.0547558889256777E-3</v>
      </c>
    </row>
    <row r="44" spans="1:4" x14ac:dyDescent="0.55000000000000004">
      <c r="A44" t="s">
        <v>46</v>
      </c>
      <c r="B44" s="3">
        <v>1081</v>
      </c>
      <c r="C44" s="3">
        <v>795220</v>
      </c>
      <c r="D44" s="5">
        <f t="shared" si="1"/>
        <v>1.3593722491889036E-3</v>
      </c>
    </row>
    <row r="45" spans="1:4" x14ac:dyDescent="0.55000000000000004">
      <c r="A45" t="s">
        <v>47</v>
      </c>
      <c r="B45" s="3">
        <v>720</v>
      </c>
      <c r="C45" s="3">
        <v>665910</v>
      </c>
      <c r="D45" s="5">
        <f t="shared" si="1"/>
        <v>1.0812271928639006E-3</v>
      </c>
    </row>
    <row r="46" spans="1:4" x14ac:dyDescent="0.55000000000000004">
      <c r="A46" t="s">
        <v>48</v>
      </c>
      <c r="B46" s="3">
        <v>597</v>
      </c>
      <c r="C46" s="3">
        <v>1089801</v>
      </c>
      <c r="D46" s="5">
        <f t="shared" si="1"/>
        <v>5.4780643438572733E-4</v>
      </c>
    </row>
    <row r="47" spans="1:4" x14ac:dyDescent="0.55000000000000004">
      <c r="A47" t="s">
        <v>49</v>
      </c>
      <c r="B47" s="3">
        <v>4056</v>
      </c>
      <c r="C47" s="3">
        <v>1253759</v>
      </c>
      <c r="D47" s="5">
        <f t="shared" si="1"/>
        <v>3.2350714930062317E-3</v>
      </c>
    </row>
    <row r="48" spans="1:4" x14ac:dyDescent="0.55000000000000004">
      <c r="A48" t="s">
        <v>50</v>
      </c>
      <c r="B48" s="3">
        <v>20236</v>
      </c>
      <c r="C48" s="3">
        <v>1400981</v>
      </c>
      <c r="D48" s="5">
        <f t="shared" si="1"/>
        <v>1.4444164481888049E-2</v>
      </c>
    </row>
    <row r="49" spans="1:4" x14ac:dyDescent="0.55000000000000004">
      <c r="A49" t="s">
        <v>51</v>
      </c>
      <c r="B49" s="3">
        <v>1775</v>
      </c>
      <c r="C49" s="3">
        <v>1118696</v>
      </c>
      <c r="D49" s="5">
        <f t="shared" si="1"/>
        <v>1.5866687643470612E-3</v>
      </c>
    </row>
    <row r="50" spans="1:4" x14ac:dyDescent="0.55000000000000004">
      <c r="A50" t="s">
        <v>52</v>
      </c>
      <c r="B50" s="3">
        <v>921</v>
      </c>
      <c r="C50" s="3">
        <v>202409</v>
      </c>
      <c r="D50" s="5">
        <f t="shared" si="1"/>
        <v>4.5501929262038747E-3</v>
      </c>
    </row>
    <row r="51" spans="1:4" x14ac:dyDescent="0.55000000000000004">
      <c r="A51" t="s">
        <v>53</v>
      </c>
      <c r="B51" s="3">
        <v>1176</v>
      </c>
      <c r="C51" s="3">
        <v>460597</v>
      </c>
      <c r="D51" s="5">
        <f t="shared" si="1"/>
        <v>2.5532081190281311E-3</v>
      </c>
    </row>
    <row r="52" spans="1:4" x14ac:dyDescent="0.55000000000000004">
      <c r="A52" s="2" t="s">
        <v>54</v>
      </c>
      <c r="B52" s="4">
        <v>574890</v>
      </c>
      <c r="C52" s="4">
        <v>45749575</v>
      </c>
      <c r="D52" s="6">
        <f t="shared" si="1"/>
        <v>1.2566018372848273E-2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Источник</vt:lpstr>
      <vt:lpstr>Данные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2026-08-04T01:14:21Z</dcterms:modified>
</cp:coreProperties>
</file>