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"/>
    </mc:Choice>
  </mc:AlternateContent>
  <xr:revisionPtr revIDLastSave="0" documentId="13_ncr:1_{381827AF-4C91-42A0-BB54-B5DA83D5CC18}" xr6:coauthVersionLast="47" xr6:coauthVersionMax="47" xr10:uidLastSave="{00000000-0000-0000-0000-000000000000}"/>
  <bookViews>
    <workbookView xWindow="57690" yWindow="0" windowWidth="24420" windowHeight="20985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8" i="1" l="1"/>
  <c r="W158" i="1"/>
  <c r="V158" i="1"/>
  <c r="U158" i="1"/>
  <c r="T158" i="1"/>
  <c r="S158" i="1"/>
  <c r="R158" i="1"/>
  <c r="Q158" i="1"/>
  <c r="W157" i="1"/>
  <c r="V157" i="1"/>
  <c r="U157" i="1"/>
  <c r="T157" i="1"/>
  <c r="S157" i="1"/>
  <c r="R157" i="1"/>
  <c r="Q157" i="1"/>
  <c r="W156" i="1"/>
  <c r="V156" i="1"/>
  <c r="U156" i="1"/>
  <c r="T156" i="1"/>
  <c r="S156" i="1"/>
  <c r="R156" i="1"/>
  <c r="Q156" i="1"/>
  <c r="W155" i="1"/>
  <c r="V155" i="1"/>
  <c r="U155" i="1"/>
  <c r="T155" i="1"/>
  <c r="S155" i="1"/>
  <c r="R155" i="1"/>
  <c r="Q155" i="1"/>
  <c r="W154" i="1"/>
  <c r="V154" i="1"/>
  <c r="U154" i="1"/>
  <c r="T154" i="1"/>
  <c r="S154" i="1"/>
  <c r="R154" i="1"/>
  <c r="Q154" i="1"/>
  <c r="W153" i="1"/>
  <c r="V153" i="1"/>
  <c r="U153" i="1"/>
  <c r="T153" i="1"/>
  <c r="S153" i="1"/>
  <c r="R153" i="1"/>
  <c r="Q153" i="1"/>
  <c r="W152" i="1"/>
  <c r="V152" i="1"/>
  <c r="U152" i="1"/>
  <c r="T152" i="1"/>
  <c r="S152" i="1"/>
  <c r="R152" i="1"/>
  <c r="Q152" i="1"/>
  <c r="W151" i="1"/>
  <c r="V151" i="1"/>
  <c r="U151" i="1"/>
  <c r="T151" i="1"/>
  <c r="S151" i="1"/>
  <c r="R151" i="1"/>
  <c r="Q151" i="1"/>
  <c r="W150" i="1"/>
  <c r="V150" i="1"/>
  <c r="U150" i="1"/>
  <c r="T150" i="1"/>
  <c r="S150" i="1"/>
  <c r="R150" i="1"/>
  <c r="Q150" i="1"/>
  <c r="W149" i="1"/>
  <c r="V149" i="1"/>
  <c r="U149" i="1"/>
  <c r="T149" i="1"/>
  <c r="S149" i="1"/>
  <c r="R149" i="1"/>
  <c r="Q149" i="1"/>
  <c r="W148" i="1"/>
  <c r="V148" i="1"/>
  <c r="U148" i="1"/>
  <c r="T148" i="1"/>
  <c r="S148" i="1"/>
  <c r="R148" i="1"/>
  <c r="Q148" i="1"/>
  <c r="W147" i="1"/>
  <c r="V147" i="1"/>
  <c r="U147" i="1"/>
  <c r="T147" i="1"/>
  <c r="S147" i="1"/>
  <c r="R147" i="1"/>
  <c r="Q147" i="1"/>
  <c r="W146" i="1"/>
  <c r="V146" i="1"/>
  <c r="U146" i="1"/>
  <c r="T146" i="1"/>
  <c r="S146" i="1"/>
  <c r="R146" i="1"/>
  <c r="Q146" i="1"/>
  <c r="W144" i="1"/>
  <c r="V144" i="1"/>
  <c r="U144" i="1"/>
  <c r="T144" i="1"/>
  <c r="S144" i="1"/>
  <c r="R144" i="1"/>
  <c r="Q144" i="1"/>
  <c r="W143" i="1"/>
  <c r="V143" i="1"/>
  <c r="U143" i="1"/>
  <c r="T143" i="1"/>
  <c r="S143" i="1"/>
  <c r="R143" i="1"/>
  <c r="Q143" i="1"/>
  <c r="W142" i="1"/>
  <c r="V142" i="1"/>
  <c r="U142" i="1"/>
  <c r="T142" i="1"/>
  <c r="S142" i="1"/>
  <c r="R142" i="1"/>
  <c r="Q142" i="1"/>
  <c r="W141" i="1"/>
  <c r="V141" i="1"/>
  <c r="U141" i="1"/>
  <c r="T141" i="1"/>
  <c r="S141" i="1"/>
  <c r="R141" i="1"/>
  <c r="Q141" i="1"/>
  <c r="W140" i="1"/>
  <c r="V140" i="1"/>
  <c r="U140" i="1"/>
  <c r="T140" i="1"/>
  <c r="S140" i="1"/>
  <c r="R140" i="1"/>
  <c r="Q140" i="1"/>
  <c r="W139" i="1"/>
  <c r="V139" i="1"/>
  <c r="U139" i="1"/>
  <c r="T139" i="1"/>
  <c r="S139" i="1"/>
  <c r="R139" i="1"/>
  <c r="Q139" i="1"/>
  <c r="W138" i="1"/>
  <c r="V138" i="1"/>
  <c r="U138" i="1"/>
  <c r="T138" i="1"/>
  <c r="S138" i="1"/>
  <c r="R138" i="1"/>
  <c r="Q138" i="1"/>
  <c r="W137" i="1"/>
  <c r="V137" i="1"/>
  <c r="U137" i="1"/>
  <c r="T137" i="1"/>
  <c r="S137" i="1"/>
  <c r="R137" i="1"/>
  <c r="Q137" i="1"/>
  <c r="W136" i="1"/>
  <c r="V136" i="1"/>
  <c r="U136" i="1"/>
  <c r="T136" i="1"/>
  <c r="S136" i="1"/>
  <c r="R136" i="1"/>
  <c r="Q136" i="1"/>
  <c r="W135" i="1"/>
  <c r="V135" i="1"/>
  <c r="U135" i="1"/>
  <c r="T135" i="1"/>
  <c r="S135" i="1"/>
  <c r="R135" i="1"/>
  <c r="Q135" i="1"/>
  <c r="W134" i="1"/>
  <c r="V134" i="1"/>
  <c r="U134" i="1"/>
  <c r="T134" i="1"/>
  <c r="S134" i="1"/>
  <c r="R134" i="1"/>
  <c r="W133" i="1"/>
  <c r="V133" i="1"/>
  <c r="U133" i="1"/>
  <c r="T133" i="1"/>
  <c r="S133" i="1"/>
  <c r="R133" i="1"/>
  <c r="W132" i="1"/>
  <c r="V132" i="1"/>
  <c r="U132" i="1"/>
  <c r="T132" i="1"/>
  <c r="S132" i="1"/>
  <c r="R132" i="1"/>
  <c r="W131" i="1"/>
  <c r="V131" i="1"/>
  <c r="U131" i="1"/>
  <c r="T131" i="1"/>
  <c r="S131" i="1"/>
  <c r="R131" i="1"/>
  <c r="Q131" i="1"/>
  <c r="W130" i="1"/>
  <c r="V130" i="1"/>
  <c r="U130" i="1"/>
  <c r="T130" i="1"/>
  <c r="S130" i="1"/>
  <c r="R130" i="1"/>
  <c r="Q130" i="1"/>
  <c r="W129" i="1"/>
  <c r="V129" i="1"/>
  <c r="U129" i="1"/>
  <c r="T129" i="1"/>
  <c r="S129" i="1"/>
  <c r="R129" i="1"/>
  <c r="Q129" i="1"/>
  <c r="W128" i="1"/>
  <c r="V128" i="1"/>
  <c r="U128" i="1"/>
  <c r="T128" i="1"/>
  <c r="S128" i="1"/>
  <c r="R128" i="1"/>
  <c r="Q128" i="1"/>
  <c r="W127" i="1"/>
  <c r="V127" i="1"/>
  <c r="U127" i="1"/>
  <c r="T127" i="1"/>
  <c r="S127" i="1"/>
  <c r="R127" i="1"/>
  <c r="Q127" i="1"/>
  <c r="W126" i="1"/>
  <c r="V126" i="1"/>
  <c r="U126" i="1"/>
  <c r="T126" i="1"/>
  <c r="S126" i="1"/>
  <c r="R126" i="1"/>
  <c r="Q126" i="1"/>
  <c r="W125" i="1"/>
  <c r="V125" i="1"/>
  <c r="U125" i="1"/>
  <c r="T125" i="1"/>
  <c r="S125" i="1"/>
  <c r="R125" i="1"/>
  <c r="Q125" i="1"/>
  <c r="W124" i="1"/>
  <c r="V124" i="1"/>
  <c r="U124" i="1"/>
  <c r="T124" i="1"/>
  <c r="S124" i="1"/>
  <c r="R124" i="1"/>
  <c r="Q124" i="1"/>
  <c r="W123" i="1"/>
  <c r="V123" i="1"/>
  <c r="U123" i="1"/>
  <c r="T123" i="1"/>
  <c r="S123" i="1"/>
  <c r="R123" i="1"/>
  <c r="Q123" i="1"/>
  <c r="W122" i="1"/>
  <c r="V122" i="1"/>
  <c r="U122" i="1"/>
  <c r="T122" i="1"/>
  <c r="S122" i="1"/>
  <c r="R122" i="1"/>
  <c r="Q122" i="1"/>
  <c r="W121" i="1"/>
  <c r="V121" i="1"/>
  <c r="U121" i="1"/>
  <c r="T121" i="1"/>
  <c r="S121" i="1"/>
  <c r="R121" i="1"/>
  <c r="Q121" i="1"/>
  <c r="W120" i="1"/>
  <c r="V120" i="1"/>
  <c r="U120" i="1"/>
  <c r="T120" i="1"/>
  <c r="S120" i="1"/>
  <c r="R120" i="1"/>
  <c r="Q120" i="1"/>
  <c r="W119" i="1"/>
  <c r="V119" i="1"/>
  <c r="U119" i="1"/>
  <c r="T119" i="1"/>
  <c r="S119" i="1"/>
  <c r="R119" i="1"/>
  <c r="Q119" i="1"/>
  <c r="W118" i="1"/>
  <c r="V118" i="1"/>
  <c r="U118" i="1"/>
  <c r="T118" i="1"/>
  <c r="S118" i="1"/>
  <c r="R118" i="1"/>
  <c r="Q118" i="1"/>
  <c r="W117" i="1"/>
  <c r="V117" i="1"/>
  <c r="U117" i="1"/>
  <c r="T117" i="1"/>
  <c r="S117" i="1"/>
  <c r="R117" i="1"/>
  <c r="Q117" i="1"/>
  <c r="W116" i="1"/>
  <c r="V116" i="1"/>
  <c r="U116" i="1"/>
  <c r="T116" i="1"/>
  <c r="S116" i="1"/>
  <c r="R116" i="1"/>
  <c r="Q116" i="1"/>
  <c r="W115" i="1"/>
  <c r="V115" i="1"/>
  <c r="U115" i="1"/>
  <c r="T115" i="1"/>
  <c r="S115" i="1"/>
  <c r="R115" i="1"/>
  <c r="Q115" i="1"/>
  <c r="W114" i="1"/>
  <c r="V114" i="1"/>
  <c r="U114" i="1"/>
  <c r="T114" i="1"/>
  <c r="S114" i="1"/>
  <c r="R114" i="1"/>
  <c r="Q114" i="1"/>
  <c r="W113" i="1"/>
  <c r="V113" i="1"/>
  <c r="U113" i="1"/>
  <c r="T113" i="1"/>
  <c r="S113" i="1"/>
  <c r="R113" i="1"/>
  <c r="Q113" i="1"/>
  <c r="W112" i="1"/>
  <c r="V112" i="1"/>
  <c r="U112" i="1"/>
  <c r="T112" i="1"/>
  <c r="S112" i="1"/>
  <c r="R112" i="1"/>
  <c r="Q112" i="1"/>
  <c r="W111" i="1"/>
  <c r="V111" i="1"/>
  <c r="U111" i="1"/>
  <c r="T111" i="1"/>
  <c r="S111" i="1"/>
  <c r="R111" i="1"/>
  <c r="Q111" i="1"/>
  <c r="W110" i="1"/>
  <c r="V110" i="1"/>
  <c r="U110" i="1"/>
  <c r="T110" i="1"/>
  <c r="S110" i="1"/>
  <c r="R110" i="1"/>
  <c r="Q110" i="1"/>
  <c r="W109" i="1"/>
  <c r="V109" i="1"/>
  <c r="U109" i="1"/>
  <c r="T109" i="1"/>
  <c r="S109" i="1"/>
  <c r="R109" i="1"/>
  <c r="Q109" i="1"/>
  <c r="W108" i="1"/>
  <c r="V108" i="1"/>
  <c r="U108" i="1"/>
  <c r="T108" i="1"/>
  <c r="S108" i="1"/>
  <c r="R108" i="1"/>
  <c r="Q108" i="1"/>
  <c r="W107" i="1"/>
  <c r="V107" i="1"/>
  <c r="U107" i="1"/>
  <c r="T107" i="1"/>
  <c r="S107" i="1"/>
  <c r="R107" i="1"/>
  <c r="Q107" i="1"/>
  <c r="W106" i="1"/>
  <c r="V106" i="1"/>
  <c r="U106" i="1"/>
  <c r="T106" i="1"/>
  <c r="S106" i="1"/>
  <c r="R106" i="1"/>
  <c r="Q106" i="1"/>
  <c r="W105" i="1"/>
  <c r="V105" i="1"/>
  <c r="U105" i="1"/>
  <c r="T105" i="1"/>
  <c r="S105" i="1"/>
  <c r="R105" i="1"/>
  <c r="Q105" i="1"/>
  <c r="W104" i="1"/>
  <c r="V104" i="1"/>
  <c r="U104" i="1"/>
  <c r="T104" i="1"/>
  <c r="S104" i="1"/>
  <c r="R104" i="1"/>
  <c r="Q104" i="1"/>
  <c r="W103" i="1"/>
  <c r="V103" i="1"/>
  <c r="U103" i="1"/>
  <c r="T103" i="1"/>
  <c r="S103" i="1"/>
  <c r="R103" i="1"/>
  <c r="Q103" i="1"/>
  <c r="W102" i="1"/>
  <c r="V102" i="1"/>
  <c r="U102" i="1"/>
  <c r="T102" i="1"/>
  <c r="S102" i="1"/>
  <c r="R102" i="1"/>
  <c r="Q102" i="1"/>
  <c r="W101" i="1"/>
  <c r="V101" i="1"/>
  <c r="U101" i="1"/>
  <c r="T101" i="1"/>
  <c r="S101" i="1"/>
  <c r="R101" i="1"/>
  <c r="Q101" i="1"/>
  <c r="W100" i="1"/>
  <c r="V100" i="1"/>
  <c r="U100" i="1"/>
  <c r="T100" i="1"/>
  <c r="S100" i="1"/>
  <c r="R100" i="1"/>
  <c r="Q100" i="1"/>
  <c r="W99" i="1"/>
  <c r="V99" i="1"/>
  <c r="U99" i="1"/>
  <c r="T99" i="1"/>
  <c r="S99" i="1"/>
  <c r="R99" i="1"/>
  <c r="Q99" i="1"/>
  <c r="W98" i="1"/>
  <c r="V98" i="1"/>
  <c r="U98" i="1"/>
  <c r="T98" i="1"/>
  <c r="S98" i="1"/>
  <c r="Q98" i="1"/>
  <c r="W97" i="1"/>
  <c r="V97" i="1"/>
  <c r="U97" i="1"/>
  <c r="T97" i="1"/>
  <c r="S97" i="1"/>
  <c r="R97" i="1"/>
  <c r="Q97" i="1"/>
  <c r="W96" i="1"/>
  <c r="V96" i="1"/>
  <c r="U96" i="1"/>
  <c r="T96" i="1"/>
  <c r="S96" i="1"/>
  <c r="R96" i="1"/>
  <c r="Q96" i="1"/>
  <c r="W95" i="1"/>
  <c r="V95" i="1"/>
  <c r="U95" i="1"/>
  <c r="T95" i="1"/>
  <c r="S95" i="1"/>
  <c r="R95" i="1"/>
  <c r="Q95" i="1"/>
  <c r="W94" i="1"/>
  <c r="V94" i="1"/>
  <c r="U94" i="1"/>
  <c r="T94" i="1"/>
  <c r="S94" i="1"/>
  <c r="R94" i="1"/>
  <c r="Q94" i="1"/>
  <c r="W93" i="1"/>
  <c r="V93" i="1"/>
  <c r="U93" i="1"/>
  <c r="T93" i="1"/>
  <c r="S93" i="1"/>
  <c r="R93" i="1"/>
  <c r="Q93" i="1"/>
  <c r="W92" i="1"/>
  <c r="V92" i="1"/>
  <c r="U92" i="1"/>
  <c r="T92" i="1"/>
  <c r="S92" i="1"/>
  <c r="R92" i="1"/>
  <c r="Q92" i="1"/>
  <c r="W91" i="1"/>
  <c r="V91" i="1"/>
  <c r="U91" i="1"/>
  <c r="T91" i="1"/>
  <c r="S91" i="1"/>
  <c r="R91" i="1"/>
  <c r="Q91" i="1"/>
  <c r="W90" i="1"/>
  <c r="V90" i="1"/>
  <c r="U90" i="1"/>
  <c r="T90" i="1"/>
  <c r="S90" i="1"/>
  <c r="R90" i="1"/>
  <c r="Q90" i="1"/>
  <c r="W89" i="1"/>
  <c r="V89" i="1"/>
  <c r="U89" i="1"/>
  <c r="T89" i="1"/>
  <c r="S89" i="1"/>
  <c r="R89" i="1"/>
  <c r="Q89" i="1"/>
  <c r="W88" i="1"/>
  <c r="V88" i="1"/>
  <c r="U88" i="1"/>
  <c r="T88" i="1"/>
  <c r="S88" i="1"/>
  <c r="R88" i="1"/>
  <c r="Q88" i="1"/>
  <c r="W87" i="1"/>
  <c r="V87" i="1"/>
  <c r="U87" i="1"/>
  <c r="T87" i="1"/>
  <c r="S87" i="1"/>
  <c r="R87" i="1"/>
  <c r="Q87" i="1"/>
  <c r="W86" i="1"/>
  <c r="V86" i="1"/>
  <c r="U86" i="1"/>
  <c r="T86" i="1"/>
  <c r="S86" i="1"/>
  <c r="R86" i="1"/>
  <c r="Q86" i="1"/>
  <c r="W85" i="1"/>
  <c r="V85" i="1"/>
  <c r="U85" i="1"/>
  <c r="T85" i="1"/>
  <c r="S85" i="1"/>
  <c r="R85" i="1"/>
  <c r="Q85" i="1"/>
  <c r="W84" i="1"/>
  <c r="V84" i="1"/>
  <c r="U84" i="1"/>
  <c r="T84" i="1"/>
  <c r="S84" i="1"/>
  <c r="R84" i="1"/>
  <c r="Q84" i="1"/>
  <c r="W83" i="1"/>
  <c r="V83" i="1"/>
  <c r="U83" i="1"/>
  <c r="T83" i="1"/>
  <c r="S83" i="1"/>
  <c r="R83" i="1"/>
  <c r="Q83" i="1"/>
  <c r="W82" i="1"/>
  <c r="V82" i="1"/>
  <c r="U82" i="1"/>
  <c r="T82" i="1"/>
  <c r="S82" i="1"/>
  <c r="R82" i="1"/>
  <c r="Q82" i="1"/>
  <c r="W81" i="1"/>
  <c r="V81" i="1"/>
  <c r="U81" i="1"/>
  <c r="T81" i="1"/>
  <c r="S81" i="1"/>
  <c r="R81" i="1"/>
  <c r="Q81" i="1"/>
  <c r="W80" i="1"/>
  <c r="V80" i="1"/>
  <c r="U80" i="1"/>
  <c r="T80" i="1"/>
  <c r="S80" i="1"/>
  <c r="R80" i="1"/>
  <c r="Q80" i="1"/>
  <c r="W79" i="1"/>
  <c r="V79" i="1"/>
  <c r="U79" i="1"/>
  <c r="T79" i="1"/>
  <c r="S79" i="1"/>
  <c r="R79" i="1"/>
  <c r="Q79" i="1"/>
  <c r="W78" i="1"/>
  <c r="V78" i="1"/>
  <c r="U78" i="1"/>
  <c r="T78" i="1"/>
  <c r="S78" i="1"/>
  <c r="R78" i="1"/>
  <c r="Q78" i="1"/>
  <c r="W77" i="1"/>
  <c r="V77" i="1"/>
  <c r="U77" i="1"/>
  <c r="T77" i="1"/>
  <c r="S77" i="1"/>
  <c r="R77" i="1"/>
  <c r="Q77" i="1"/>
  <c r="W76" i="1"/>
  <c r="V76" i="1"/>
  <c r="U76" i="1"/>
  <c r="T76" i="1"/>
  <c r="S76" i="1"/>
  <c r="R76" i="1"/>
  <c r="Q76" i="1"/>
  <c r="W75" i="1"/>
  <c r="V75" i="1"/>
  <c r="U75" i="1"/>
  <c r="T75" i="1"/>
  <c r="S75" i="1"/>
  <c r="R75" i="1"/>
  <c r="Q75" i="1"/>
  <c r="W74" i="1"/>
  <c r="V74" i="1"/>
  <c r="U74" i="1"/>
  <c r="T74" i="1"/>
  <c r="S74" i="1"/>
  <c r="R74" i="1"/>
  <c r="W73" i="1"/>
  <c r="V73" i="1"/>
  <c r="U73" i="1"/>
  <c r="T73" i="1"/>
  <c r="S73" i="1"/>
  <c r="R73" i="1"/>
  <c r="W72" i="1"/>
  <c r="V72" i="1"/>
  <c r="U72" i="1"/>
  <c r="T72" i="1"/>
  <c r="S72" i="1"/>
  <c r="R72" i="1"/>
  <c r="W71" i="1"/>
  <c r="V71" i="1"/>
  <c r="U71" i="1"/>
  <c r="T71" i="1"/>
  <c r="S71" i="1"/>
  <c r="R71" i="1"/>
  <c r="Q71" i="1"/>
  <c r="W70" i="1"/>
  <c r="V70" i="1"/>
  <c r="U70" i="1"/>
  <c r="T70" i="1"/>
  <c r="S70" i="1"/>
  <c r="R70" i="1"/>
  <c r="Q70" i="1"/>
  <c r="W69" i="1"/>
  <c r="V69" i="1"/>
  <c r="U69" i="1"/>
  <c r="T69" i="1"/>
  <c r="S69" i="1"/>
  <c r="R69" i="1"/>
  <c r="Q69" i="1"/>
  <c r="W68" i="1"/>
  <c r="V68" i="1"/>
  <c r="U68" i="1"/>
  <c r="T68" i="1"/>
  <c r="S68" i="1"/>
  <c r="R68" i="1"/>
  <c r="Q68" i="1"/>
  <c r="W67" i="1"/>
  <c r="V67" i="1"/>
  <c r="U67" i="1"/>
  <c r="T67" i="1"/>
  <c r="S67" i="1"/>
  <c r="R67" i="1"/>
  <c r="Q67" i="1"/>
  <c r="W66" i="1"/>
  <c r="V66" i="1"/>
  <c r="U66" i="1"/>
  <c r="T66" i="1"/>
  <c r="S66" i="1"/>
  <c r="R66" i="1"/>
  <c r="Q66" i="1"/>
  <c r="W65" i="1"/>
  <c r="V65" i="1"/>
  <c r="U65" i="1"/>
  <c r="T65" i="1"/>
  <c r="S65" i="1"/>
  <c r="R65" i="1"/>
  <c r="Q65" i="1"/>
  <c r="W64" i="1"/>
  <c r="V64" i="1"/>
  <c r="U64" i="1"/>
  <c r="T64" i="1"/>
  <c r="S64" i="1"/>
  <c r="R64" i="1"/>
  <c r="Q64" i="1"/>
  <c r="W63" i="1"/>
  <c r="V63" i="1"/>
  <c r="U63" i="1"/>
  <c r="T63" i="1"/>
  <c r="S63" i="1"/>
  <c r="R63" i="1"/>
  <c r="Q63" i="1"/>
  <c r="W62" i="1"/>
  <c r="V62" i="1"/>
  <c r="U62" i="1"/>
  <c r="T62" i="1"/>
  <c r="S62" i="1"/>
  <c r="R62" i="1"/>
  <c r="W61" i="1"/>
  <c r="V61" i="1"/>
  <c r="U61" i="1"/>
  <c r="T61" i="1"/>
  <c r="S61" i="1"/>
  <c r="R61" i="1"/>
  <c r="W60" i="1"/>
  <c r="V60" i="1"/>
  <c r="U60" i="1"/>
  <c r="T60" i="1"/>
  <c r="S60" i="1"/>
  <c r="R60" i="1"/>
  <c r="W59" i="1"/>
  <c r="V59" i="1"/>
  <c r="U59" i="1"/>
  <c r="T59" i="1"/>
  <c r="S59" i="1"/>
  <c r="R59" i="1"/>
  <c r="W58" i="1"/>
  <c r="V58" i="1"/>
  <c r="U58" i="1"/>
  <c r="T58" i="1"/>
  <c r="S58" i="1"/>
  <c r="R58" i="1"/>
  <c r="W57" i="1"/>
  <c r="V57" i="1"/>
  <c r="U57" i="1"/>
  <c r="T57" i="1"/>
  <c r="S57" i="1"/>
  <c r="R57" i="1"/>
  <c r="W56" i="1"/>
  <c r="V56" i="1"/>
  <c r="U56" i="1"/>
  <c r="T56" i="1"/>
  <c r="S56" i="1"/>
  <c r="R56" i="1"/>
  <c r="W55" i="1"/>
  <c r="V55" i="1"/>
  <c r="U55" i="1"/>
  <c r="T55" i="1"/>
  <c r="S55" i="1"/>
  <c r="R55" i="1"/>
  <c r="W54" i="1"/>
  <c r="V54" i="1"/>
  <c r="U54" i="1"/>
  <c r="T54" i="1"/>
  <c r="S54" i="1"/>
  <c r="R54" i="1"/>
  <c r="W53" i="1"/>
  <c r="V53" i="1"/>
  <c r="U53" i="1"/>
  <c r="T53" i="1"/>
  <c r="S53" i="1"/>
  <c r="R53" i="1"/>
  <c r="Q53" i="1"/>
  <c r="W52" i="1"/>
  <c r="V52" i="1"/>
  <c r="U52" i="1"/>
  <c r="T52" i="1"/>
  <c r="S52" i="1"/>
  <c r="R52" i="1"/>
  <c r="Q52" i="1"/>
  <c r="W51" i="1"/>
  <c r="V51" i="1"/>
  <c r="U51" i="1"/>
  <c r="T51" i="1"/>
  <c r="S51" i="1"/>
  <c r="R51" i="1"/>
  <c r="Q51" i="1"/>
  <c r="W50" i="1"/>
  <c r="V50" i="1"/>
  <c r="U50" i="1"/>
  <c r="T50" i="1"/>
  <c r="S50" i="1"/>
  <c r="R50" i="1"/>
  <c r="Q50" i="1"/>
  <c r="W49" i="1"/>
  <c r="V49" i="1"/>
  <c r="U49" i="1"/>
  <c r="T49" i="1"/>
  <c r="S49" i="1"/>
  <c r="R49" i="1"/>
  <c r="Q49" i="1"/>
  <c r="W48" i="1"/>
  <c r="V48" i="1"/>
  <c r="U48" i="1"/>
  <c r="T48" i="1"/>
  <c r="S48" i="1"/>
  <c r="R48" i="1"/>
  <c r="Q48" i="1"/>
  <c r="W47" i="1"/>
  <c r="V47" i="1"/>
  <c r="U47" i="1"/>
  <c r="T47" i="1"/>
  <c r="S47" i="1"/>
  <c r="R47" i="1"/>
  <c r="Q47" i="1"/>
  <c r="W46" i="1"/>
  <c r="V46" i="1"/>
  <c r="U46" i="1"/>
  <c r="T46" i="1"/>
  <c r="S46" i="1"/>
  <c r="R46" i="1"/>
  <c r="Q46" i="1"/>
  <c r="W45" i="1"/>
  <c r="V45" i="1"/>
  <c r="U45" i="1"/>
  <c r="T45" i="1"/>
  <c r="S45" i="1"/>
  <c r="R45" i="1"/>
  <c r="Q45" i="1"/>
  <c r="W44" i="1"/>
  <c r="V44" i="1"/>
  <c r="U44" i="1"/>
  <c r="T44" i="1"/>
  <c r="S44" i="1"/>
  <c r="R44" i="1"/>
  <c r="Q44" i="1"/>
  <c r="W43" i="1"/>
  <c r="V43" i="1"/>
  <c r="U43" i="1"/>
  <c r="T43" i="1"/>
  <c r="S43" i="1"/>
  <c r="R43" i="1"/>
  <c r="Q43" i="1"/>
  <c r="W42" i="1"/>
  <c r="V42" i="1"/>
  <c r="U42" i="1"/>
  <c r="T42" i="1"/>
  <c r="S42" i="1"/>
  <c r="R42" i="1"/>
  <c r="Q42" i="1"/>
  <c r="W41" i="1"/>
  <c r="V41" i="1"/>
  <c r="U41" i="1"/>
  <c r="T41" i="1"/>
  <c r="S41" i="1"/>
  <c r="R41" i="1"/>
  <c r="Q41" i="1"/>
  <c r="W40" i="1"/>
  <c r="V40" i="1"/>
  <c r="U40" i="1"/>
  <c r="T40" i="1"/>
  <c r="S40" i="1"/>
  <c r="R40" i="1"/>
  <c r="Q40" i="1"/>
  <c r="W39" i="1"/>
  <c r="V39" i="1"/>
  <c r="U39" i="1"/>
  <c r="T39" i="1"/>
  <c r="S39" i="1"/>
  <c r="R39" i="1"/>
  <c r="Q39" i="1"/>
  <c r="W38" i="1"/>
  <c r="V38" i="1"/>
  <c r="U38" i="1"/>
  <c r="T38" i="1"/>
  <c r="S38" i="1"/>
  <c r="R38" i="1"/>
  <c r="Q38" i="1"/>
  <c r="W37" i="1"/>
  <c r="V37" i="1"/>
  <c r="U37" i="1"/>
  <c r="T37" i="1"/>
  <c r="S37" i="1"/>
  <c r="R37" i="1"/>
  <c r="Q37" i="1"/>
  <c r="W36" i="1"/>
  <c r="V36" i="1"/>
  <c r="U36" i="1"/>
  <c r="T36" i="1"/>
  <c r="S36" i="1"/>
  <c r="R36" i="1"/>
  <c r="Q36" i="1"/>
  <c r="W35" i="1"/>
  <c r="V35" i="1"/>
  <c r="U35" i="1"/>
  <c r="T35" i="1"/>
  <c r="S35" i="1"/>
  <c r="Q35" i="1"/>
  <c r="W34" i="1"/>
  <c r="V34" i="1"/>
  <c r="U34" i="1"/>
  <c r="T34" i="1"/>
  <c r="S34" i="1"/>
  <c r="R34" i="1"/>
  <c r="Q34" i="1"/>
  <c r="W33" i="1"/>
  <c r="V33" i="1"/>
  <c r="U33" i="1"/>
  <c r="T33" i="1"/>
  <c r="S33" i="1"/>
  <c r="R33" i="1"/>
  <c r="Q33" i="1"/>
  <c r="W32" i="1"/>
  <c r="V32" i="1"/>
  <c r="U32" i="1"/>
  <c r="T32" i="1"/>
  <c r="S32" i="1"/>
  <c r="R32" i="1"/>
  <c r="Q32" i="1"/>
  <c r="W31" i="1"/>
  <c r="V31" i="1"/>
  <c r="U31" i="1"/>
  <c r="T31" i="1"/>
  <c r="S31" i="1"/>
  <c r="R31" i="1"/>
  <c r="Q31" i="1"/>
  <c r="W30" i="1"/>
  <c r="V30" i="1"/>
  <c r="U30" i="1"/>
  <c r="T30" i="1"/>
  <c r="S30" i="1"/>
  <c r="R30" i="1"/>
  <c r="Q30" i="1"/>
  <c r="W29" i="1"/>
  <c r="V29" i="1"/>
  <c r="U29" i="1"/>
  <c r="T29" i="1"/>
  <c r="S29" i="1"/>
  <c r="R29" i="1"/>
  <c r="Q29" i="1"/>
  <c r="W28" i="1"/>
  <c r="V28" i="1"/>
  <c r="U28" i="1"/>
  <c r="T28" i="1"/>
  <c r="S28" i="1"/>
  <c r="R28" i="1"/>
  <c r="Q28" i="1"/>
  <c r="W27" i="1"/>
  <c r="V27" i="1"/>
  <c r="U27" i="1"/>
  <c r="T27" i="1"/>
  <c r="S27" i="1"/>
  <c r="R27" i="1"/>
  <c r="Q27" i="1"/>
  <c r="W26" i="1"/>
  <c r="V26" i="1"/>
  <c r="U26" i="1"/>
  <c r="T26" i="1"/>
  <c r="S26" i="1"/>
  <c r="R26" i="1"/>
  <c r="Q26" i="1"/>
  <c r="W25" i="1"/>
  <c r="V25" i="1"/>
  <c r="U25" i="1"/>
  <c r="T25" i="1"/>
  <c r="S25" i="1"/>
  <c r="R25" i="1"/>
  <c r="Q25" i="1"/>
  <c r="W24" i="1"/>
  <c r="V24" i="1"/>
  <c r="U24" i="1"/>
  <c r="T24" i="1"/>
  <c r="S24" i="1"/>
  <c r="R24" i="1"/>
  <c r="Q24" i="1"/>
  <c r="W23" i="1"/>
  <c r="V23" i="1"/>
  <c r="U23" i="1"/>
  <c r="T23" i="1"/>
  <c r="S23" i="1"/>
  <c r="R23" i="1"/>
  <c r="Q23" i="1"/>
  <c r="W22" i="1"/>
  <c r="V22" i="1"/>
  <c r="U22" i="1"/>
  <c r="T22" i="1"/>
  <c r="S22" i="1"/>
  <c r="R22" i="1"/>
  <c r="Q22" i="1"/>
  <c r="W21" i="1"/>
  <c r="V21" i="1"/>
  <c r="U21" i="1"/>
  <c r="T21" i="1"/>
  <c r="S21" i="1"/>
  <c r="R21" i="1"/>
  <c r="Q21" i="1"/>
  <c r="W20" i="1"/>
  <c r="V20" i="1"/>
  <c r="U20" i="1"/>
  <c r="T20" i="1"/>
  <c r="S20" i="1"/>
  <c r="R20" i="1"/>
  <c r="Q20" i="1"/>
  <c r="W19" i="1"/>
  <c r="V19" i="1"/>
  <c r="U19" i="1"/>
  <c r="T19" i="1"/>
  <c r="S19" i="1"/>
  <c r="R19" i="1"/>
  <c r="Q19" i="1"/>
  <c r="W18" i="1"/>
  <c r="V18" i="1"/>
  <c r="U18" i="1"/>
  <c r="T18" i="1"/>
  <c r="S18" i="1"/>
  <c r="R18" i="1"/>
  <c r="Q18" i="1"/>
  <c r="W17" i="1"/>
  <c r="V17" i="1"/>
  <c r="U17" i="1"/>
  <c r="T17" i="1"/>
  <c r="S17" i="1"/>
  <c r="R17" i="1"/>
  <c r="Q17" i="1"/>
  <c r="W16" i="1"/>
  <c r="V16" i="1"/>
  <c r="U16" i="1"/>
  <c r="T16" i="1"/>
  <c r="S16" i="1"/>
  <c r="R16" i="1"/>
  <c r="Q16" i="1"/>
  <c r="W15" i="1"/>
  <c r="V15" i="1"/>
  <c r="U15" i="1"/>
  <c r="T15" i="1"/>
  <c r="S15" i="1"/>
  <c r="R15" i="1"/>
  <c r="Q15" i="1"/>
  <c r="W14" i="1"/>
  <c r="V14" i="1"/>
  <c r="U14" i="1"/>
  <c r="T14" i="1"/>
  <c r="S14" i="1"/>
  <c r="R14" i="1"/>
  <c r="Q14" i="1"/>
  <c r="W13" i="1"/>
  <c r="V13" i="1"/>
  <c r="U13" i="1"/>
  <c r="T13" i="1"/>
  <c r="S13" i="1"/>
  <c r="R13" i="1"/>
  <c r="Q13" i="1"/>
  <c r="W12" i="1"/>
  <c r="V12" i="1"/>
  <c r="U12" i="1"/>
  <c r="T12" i="1"/>
  <c r="S12" i="1"/>
  <c r="R12" i="1"/>
  <c r="Q12" i="1"/>
  <c r="W11" i="1"/>
  <c r="V11" i="1"/>
  <c r="U11" i="1"/>
  <c r="T11" i="1"/>
  <c r="S11" i="1"/>
  <c r="R11" i="1"/>
  <c r="Q11" i="1"/>
  <c r="W10" i="1"/>
  <c r="V10" i="1"/>
  <c r="U10" i="1"/>
  <c r="T10" i="1"/>
  <c r="S10" i="1"/>
  <c r="R10" i="1"/>
  <c r="Q10" i="1"/>
  <c r="W9" i="1"/>
  <c r="V9" i="1"/>
  <c r="U9" i="1"/>
  <c r="T9" i="1"/>
  <c r="S9" i="1"/>
  <c r="R9" i="1"/>
  <c r="Q9" i="1"/>
  <c r="W8" i="1"/>
  <c r="V8" i="1"/>
  <c r="U8" i="1"/>
  <c r="T8" i="1"/>
  <c r="S8" i="1"/>
  <c r="R8" i="1"/>
  <c r="Q8" i="1"/>
  <c r="W7" i="1"/>
  <c r="V7" i="1"/>
  <c r="U7" i="1"/>
  <c r="T7" i="1"/>
  <c r="S7" i="1"/>
  <c r="R7" i="1"/>
  <c r="Q7" i="1"/>
  <c r="W6" i="1"/>
  <c r="V6" i="1"/>
  <c r="U6" i="1"/>
  <c r="T6" i="1"/>
  <c r="S6" i="1"/>
  <c r="R6" i="1"/>
  <c r="Q6" i="1"/>
  <c r="W5" i="1"/>
  <c r="V5" i="1"/>
  <c r="U5" i="1"/>
  <c r="T5" i="1"/>
  <c r="S5" i="1"/>
  <c r="R5" i="1"/>
  <c r="Q5" i="1"/>
  <c r="W4" i="1"/>
  <c r="V4" i="1"/>
  <c r="U4" i="1"/>
  <c r="T4" i="1"/>
  <c r="S4" i="1"/>
  <c r="R4" i="1"/>
  <c r="Q4" i="1"/>
  <c r="W3" i="1"/>
  <c r="V3" i="1"/>
  <c r="U3" i="1"/>
  <c r="T3" i="1"/>
  <c r="S3" i="1"/>
  <c r="R3" i="1"/>
  <c r="Q3" i="1"/>
  <c r="V2" i="1"/>
  <c r="U2" i="1"/>
  <c r="W2" i="1"/>
  <c r="T2" i="1"/>
  <c r="S2" i="1"/>
  <c r="R2" i="1"/>
  <c r="Q2" i="1"/>
</calcChain>
</file>

<file path=xl/sharedStrings.xml><?xml version="1.0" encoding="utf-8"?>
<sst xmlns="http://schemas.openxmlformats.org/spreadsheetml/2006/main" count="242" uniqueCount="67">
  <si>
    <t>губерния</t>
  </si>
  <si>
    <t>год</t>
  </si>
  <si>
    <t>чж-м</t>
  </si>
  <si>
    <t>чж-ж</t>
  </si>
  <si>
    <t>чж-о</t>
  </si>
  <si>
    <t>чр-м</t>
  </si>
  <si>
    <t>чр-ж</t>
  </si>
  <si>
    <t>чр-о</t>
  </si>
  <si>
    <t>чу-м</t>
  </si>
  <si>
    <t>чу-ж</t>
  </si>
  <si>
    <t>чу-о</t>
  </si>
  <si>
    <t>чеп</t>
  </si>
  <si>
    <t>р</t>
  </si>
  <si>
    <t>с</t>
  </si>
  <si>
    <t>еп</t>
  </si>
  <si>
    <t>г. Варшава</t>
  </si>
  <si>
    <t>Варшавская</t>
  </si>
  <si>
    <t>Калишская</t>
  </si>
  <si>
    <t>Келецкая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</si>
  <si>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</si>
  <si>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</si>
  <si>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</si>
  <si>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</si>
  <si>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</si>
  <si>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</si>
  <si>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</si>
  <si>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Итого 10 губерний Царства Польского</t>
  </si>
  <si>
    <t>Источник</t>
  </si>
  <si>
    <t>Труды Варшавского статистического комитета, вып. №13 (1895), "Статистика движения населения в десяти губерниях края от 1867 по 1894 год"</t>
  </si>
  <si>
    <t>Таблица</t>
  </si>
  <si>
    <t>Численность населения и движение его за период от 1867 по 1894 г.</t>
  </si>
  <si>
    <t>Обработано</t>
  </si>
  <si>
    <t>Период строк</t>
  </si>
  <si>
    <t>1881-1893</t>
  </si>
  <si>
    <t>Примечание 1</t>
  </si>
  <si>
    <t>Калишская, 1888: в источнике чр-м и чр-ж напечатаны как "?", при этом чр-о = 32320. Сохранено буквально.</t>
  </si>
  <si>
    <t>Примечание 2</t>
  </si>
  <si>
    <t>Келецкая, 1886: в источнике чу-м = 10119, чу-ж = 9977, чу-о = 20176, чеп = 8046. Половые компоненты смертей дают 20096, т.е. источник внутренне расходится на 80 человек. В Excel переписаны именно напечатанные величины.</t>
  </si>
  <si>
    <t>Примечание 3</t>
  </si>
  <si>
    <t>Ломжинская, 1881-1889: в источнике чж-м и чж-ж обозначены как "?", при этом чж-о приведено. Сохранено буквально.</t>
  </si>
  <si>
    <t>Примечание 4</t>
  </si>
  <si>
    <t>Люблинская, 1886-1888: в источнике чж-м и чж-ж обозначены как "?", при этом чж-о приведено. Сохранено буквально.</t>
  </si>
  <si>
    <t>Примечание 5</t>
  </si>
  <si>
    <t>Люблинская, 1891: в источнике чр-о = 43808, чу-о = 25603, чеп = 18202. Разность чр-о − чу-о равна 18205, т.е. источник внутренне расходится на 3 человека. В Excel переписаны именно напечатанные величины.</t>
  </si>
  <si>
    <t>Примечание 6</t>
  </si>
  <si>
    <t>Плоцкая, 1886: в источнике чр-м = 13240, чр-ж = 11888, но чр-о = 26128 (компоненты дают 25128). чеп = 9705 согласуется с напечатанным чр-о = 26128 и чу-о = 16423. В Excel переписаны именно напечатанные величины.</t>
  </si>
  <si>
    <t>Примечание 7</t>
  </si>
  <si>
    <t>Радомская, 1887: в источнике чу-м = 9240, чу-ж = 8052, чу-о = 16292, чеп = 10483. Здесь две внутренние несогласованности: 9240 + 8052 = 17292, а 26725 − 16292 = 10433. В Excel сохранены напечатанные величины.</t>
  </si>
  <si>
    <t>Примечание 8</t>
  </si>
  <si>
    <t>Сувалкская, 1884: в источнике чж-м = 303232, чж-ж = 310381, чж-о = 613603; компоненты дают 613613. В Excel сохранено напечатанное чж-о = 613603.</t>
  </si>
  <si>
    <t>Примечание 9</t>
  </si>
  <si>
    <t>Седлецкая, 1881-1883: в источнике чж-м и чж-ж обозначены как "?", при этом чж-о приведено. Сохранено буквально.</t>
  </si>
  <si>
    <t>Примечание 10</t>
  </si>
  <si>
    <t>Итого 10 губерний, 1882: в источнике чу-м = 108035, чу-ж = 103027, чу-о = 206062; компоненты дают 211062. чеп = 84225 согласуется именно с напечатанным чу-о = 206062. В Excel сохранены напечатанные величины.</t>
  </si>
  <si>
    <t>Примечание 11</t>
  </si>
  <si>
    <t>Итого 10 губерний, 1883: в источнике чр-м = 146848, чр-ж = 143871, чр-о = 290769; компоненты дают 290719. чеп = 105060 согласуется именно с напечатанным чр-о = 290769. В Excel сохранены напечатанные величины.</t>
  </si>
  <si>
    <t>—</t>
  </si>
  <si>
    <t>vd-чж</t>
  </si>
  <si>
    <t>vd-чр</t>
  </si>
  <si>
    <t>vd-чу</t>
  </si>
  <si>
    <t>vd-чеп</t>
  </si>
  <si>
    <t>vd-еп</t>
  </si>
  <si>
    <t>vd-с</t>
  </si>
  <si>
    <t>vd-р</t>
  </si>
  <si>
    <t>Оранжевым фоном помечены исправленные значения.</t>
  </si>
  <si>
    <t>Исправления на основании других колонок.</t>
  </si>
  <si>
    <t>Все 9 двухстраничных разворотов: печатные стр. 146-163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</si>
</sst>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rlito"/>
    </font>
    <font>
      <b/>
      <sz val="10"/>
      <name val="Calibri"/>
    </font>
    <font>
      <sz val="11"/>
      <color theme="1"/>
      <name val="Carlito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name val="Carlito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6573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8064A2"/>
      </patternFill>
    </fill>
    <fill>
      <patternFill patternType="solid">
        <fgColor rgb="FF008C9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3" fontId="3" fillId="4" borderId="5" xfId="0" applyNumberFormat="1" applyFont="1" applyFill="1" applyBorder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center" vertical="center" wrapText="1"/>
    </xf>
    <xf numFmtId="3" fontId="3" fillId="6" borderId="5" xfId="0" applyNumberFormat="1" applyFont="1" applyFill="1" applyBorder="1" applyAlignment="1">
      <alignment horizontal="center" vertical="center" wrapText="1"/>
    </xf>
    <xf numFmtId="164" fontId="3" fillId="7" borderId="5" xfId="0" applyNumberFormat="1" applyFont="1" applyFill="1" applyBorder="1" applyAlignment="1">
      <alignment horizontal="center" vertical="center" wrapText="1"/>
    </xf>
    <xf numFmtId="164" fontId="3" fillId="7" borderId="6" xfId="0" applyNumberFormat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/>
    </xf>
    <xf numFmtId="1" fontId="4" fillId="8" borderId="5" xfId="0" applyNumberFormat="1" applyFont="1" applyFill="1" applyBorder="1" applyAlignment="1">
      <alignment horizontal="center" vertical="center"/>
    </xf>
    <xf numFmtId="3" fontId="4" fillId="8" borderId="5" xfId="0" applyNumberFormat="1" applyFont="1" applyFill="1" applyBorder="1" applyAlignment="1">
      <alignment horizontal="right" vertical="center"/>
    </xf>
    <xf numFmtId="164" fontId="4" fillId="8" borderId="5" xfId="0" applyNumberFormat="1" applyFont="1" applyFill="1" applyBorder="1" applyAlignment="1">
      <alignment horizontal="right" vertical="center"/>
    </xf>
    <xf numFmtId="164" fontId="4" fillId="8" borderId="6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164" fontId="4" fillId="0" borderId="6" xfId="0" applyNumberFormat="1" applyFont="1" applyBorder="1" applyAlignment="1">
      <alignment horizontal="right" vertical="center"/>
    </xf>
    <xf numFmtId="0" fontId="2" fillId="8" borderId="4" xfId="0" applyFont="1" applyFill="1" applyBorder="1"/>
    <xf numFmtId="0" fontId="2" fillId="8" borderId="5" xfId="0" applyFont="1" applyFill="1" applyBorder="1" applyAlignment="1">
      <alignment horizontal="center"/>
    </xf>
    <xf numFmtId="3" fontId="2" fillId="8" borderId="5" xfId="0" applyNumberFormat="1" applyFont="1" applyFill="1" applyBorder="1" applyAlignment="1">
      <alignment horizontal="center"/>
    </xf>
    <xf numFmtId="3" fontId="2" fillId="8" borderId="5" xfId="0" applyNumberFormat="1" applyFont="1" applyFill="1" applyBorder="1"/>
    <xf numFmtId="164" fontId="2" fillId="8" borderId="5" xfId="0" applyNumberFormat="1" applyFont="1" applyFill="1" applyBorder="1"/>
    <xf numFmtId="164" fontId="2" fillId="8" borderId="6" xfId="0" applyNumberFormat="1" applyFont="1" applyFill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5" xfId="0" applyNumberFormat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5" fillId="9" borderId="0" xfId="0" applyFont="1" applyFill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3" fontId="2" fillId="0" borderId="5" xfId="0" applyNumberFormat="1" applyFont="1" applyFill="1" applyBorder="1"/>
    <xf numFmtId="164" fontId="2" fillId="0" borderId="5" xfId="0" applyNumberFormat="1" applyFont="1" applyFill="1" applyBorder="1"/>
    <xf numFmtId="164" fontId="2" fillId="0" borderId="6" xfId="0" applyNumberFormat="1" applyFont="1" applyFill="1" applyBorder="1"/>
    <xf numFmtId="3" fontId="2" fillId="10" borderId="5" xfId="0" applyNumberFormat="1" applyFont="1" applyFill="1" applyBorder="1"/>
    <xf numFmtId="0" fontId="6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workbookViewId="0">
      <selection activeCell="B25" sqref="B25"/>
    </sheetView>
  </sheetViews>
  <sheetFormatPr defaultRowHeight="14.4" x14ac:dyDescent="0.55000000000000004"/>
  <cols>
    <col min="1" max="1" width="18" customWidth="1"/>
    <col min="2" max="2" width="140.734375" customWidth="1"/>
  </cols>
  <sheetData>
    <row r="1" spans="1:3" ht="12.85" customHeight="1" x14ac:dyDescent="0.55000000000000004">
      <c r="A1" s="1"/>
      <c r="B1" s="2"/>
    </row>
    <row r="2" spans="1:3" ht="12.85" customHeight="1" x14ac:dyDescent="0.55000000000000004">
      <c r="A2" s="51" t="s">
        <v>27</v>
      </c>
      <c r="B2" s="48" t="s">
        <v>28</v>
      </c>
      <c r="C2" s="49"/>
    </row>
    <row r="3" spans="1:3" ht="12.85" customHeight="1" x14ac:dyDescent="0.55000000000000004">
      <c r="A3" s="51" t="s">
        <v>29</v>
      </c>
      <c r="B3" s="48" t="s">
        <v>30</v>
      </c>
      <c r="C3" s="49"/>
    </row>
    <row r="4" spans="1:3" ht="12.85" customHeight="1" x14ac:dyDescent="0.55000000000000004">
      <c r="A4" s="51" t="s">
        <v>31</v>
      </c>
      <c r="B4" s="48" t="s">
        <v>66</v>
      </c>
      <c r="C4" s="49"/>
    </row>
    <row r="5" spans="1:3" ht="12.85" customHeight="1" x14ac:dyDescent="0.55000000000000004">
      <c r="A5" s="51" t="s">
        <v>32</v>
      </c>
      <c r="B5" s="48" t="s">
        <v>33</v>
      </c>
      <c r="C5" s="49"/>
    </row>
    <row r="6" spans="1:3" ht="12.85" customHeight="1" x14ac:dyDescent="0.55000000000000004">
      <c r="A6" s="51"/>
      <c r="B6" s="48"/>
      <c r="C6" s="49"/>
    </row>
    <row r="7" spans="1:3" ht="12.85" customHeight="1" x14ac:dyDescent="0.55000000000000004">
      <c r="A7" s="51" t="s">
        <v>34</v>
      </c>
      <c r="B7" s="48" t="s">
        <v>35</v>
      </c>
      <c r="C7" s="49"/>
    </row>
    <row r="8" spans="1:3" ht="12.85" customHeight="1" x14ac:dyDescent="0.55000000000000004">
      <c r="A8" s="51" t="s">
        <v>36</v>
      </c>
      <c r="B8" s="48" t="s">
        <v>37</v>
      </c>
      <c r="C8" s="49"/>
    </row>
    <row r="9" spans="1:3" x14ac:dyDescent="0.55000000000000004">
      <c r="A9" s="51" t="s">
        <v>38</v>
      </c>
      <c r="B9" s="50" t="s">
        <v>39</v>
      </c>
      <c r="C9" s="49"/>
    </row>
    <row r="10" spans="1:3" x14ac:dyDescent="0.55000000000000004">
      <c r="A10" s="51" t="s">
        <v>40</v>
      </c>
      <c r="B10" s="50" t="s">
        <v>41</v>
      </c>
      <c r="C10" s="49"/>
    </row>
    <row r="11" spans="1:3" ht="28.8" x14ac:dyDescent="0.55000000000000004">
      <c r="A11" s="51" t="s">
        <v>42</v>
      </c>
      <c r="B11" s="50" t="s">
        <v>43</v>
      </c>
      <c r="C11" s="49"/>
    </row>
    <row r="12" spans="1:3" ht="28.8" x14ac:dyDescent="0.55000000000000004">
      <c r="A12" s="51" t="s">
        <v>44</v>
      </c>
      <c r="B12" s="50" t="s">
        <v>45</v>
      </c>
      <c r="C12" s="49"/>
    </row>
    <row r="13" spans="1:3" ht="28.8" x14ac:dyDescent="0.55000000000000004">
      <c r="A13" s="51" t="s">
        <v>46</v>
      </c>
      <c r="B13" s="50" t="s">
        <v>47</v>
      </c>
      <c r="C13" s="49"/>
    </row>
    <row r="14" spans="1:3" x14ac:dyDescent="0.55000000000000004">
      <c r="A14" s="51" t="s">
        <v>48</v>
      </c>
      <c r="B14" s="50" t="s">
        <v>49</v>
      </c>
      <c r="C14" s="49"/>
    </row>
    <row r="15" spans="1:3" x14ac:dyDescent="0.55000000000000004">
      <c r="A15" s="51" t="s">
        <v>50</v>
      </c>
      <c r="B15" s="50" t="s">
        <v>51</v>
      </c>
      <c r="C15" s="49"/>
    </row>
    <row r="16" spans="1:3" ht="28.8" x14ac:dyDescent="0.55000000000000004">
      <c r="A16" s="51" t="s">
        <v>52</v>
      </c>
      <c r="B16" s="50" t="s">
        <v>53</v>
      </c>
      <c r="C16" s="49"/>
    </row>
    <row r="17" spans="1:3" ht="28.8" x14ac:dyDescent="0.55000000000000004">
      <c r="A17" s="51" t="s">
        <v>54</v>
      </c>
      <c r="B17" s="50" t="s">
        <v>55</v>
      </c>
      <c r="C17" s="49"/>
    </row>
    <row r="18" spans="1:3" x14ac:dyDescent="0.55000000000000004">
      <c r="A18" s="49"/>
      <c r="B18" s="49"/>
      <c r="C18" s="49"/>
    </row>
    <row r="19" spans="1:3" x14ac:dyDescent="0.55000000000000004">
      <c r="A19" s="49"/>
      <c r="B19" s="49"/>
      <c r="C19" s="49"/>
    </row>
    <row r="20" spans="1:3" x14ac:dyDescent="0.55000000000000004">
      <c r="A20" s="49" t="s">
        <v>64</v>
      </c>
      <c r="B20" s="49"/>
      <c r="C20" s="49"/>
    </row>
    <row r="21" spans="1:3" x14ac:dyDescent="0.55000000000000004">
      <c r="A21" s="49" t="s">
        <v>65</v>
      </c>
      <c r="B21" s="49"/>
      <c r="C21" s="49"/>
    </row>
    <row r="22" spans="1:3" x14ac:dyDescent="0.55000000000000004">
      <c r="A22" s="49"/>
      <c r="B22" s="49"/>
      <c r="C22" s="49"/>
    </row>
    <row r="23" spans="1:3" x14ac:dyDescent="0.55000000000000004">
      <c r="A23" s="49"/>
      <c r="B23" s="49"/>
      <c r="C23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7" sqref="U7"/>
    </sheetView>
  </sheetViews>
  <sheetFormatPr defaultRowHeight="14.4" x14ac:dyDescent="0.55000000000000004"/>
  <cols>
    <col min="1" max="1" width="33.20703125" bestFit="1" customWidth="1"/>
    <col min="2" max="2" width="5.05078125" style="3" bestFit="1" customWidth="1"/>
    <col min="3" max="5" width="9.26171875" style="4" bestFit="1" customWidth="1"/>
    <col min="6" max="12" width="7.68359375" style="4" bestFit="1" customWidth="1"/>
    <col min="13" max="15" width="5.05078125" style="5" bestFit="1" customWidth="1"/>
  </cols>
  <sheetData>
    <row r="1" spans="1:23" x14ac:dyDescent="0.55000000000000004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2" t="s">
        <v>12</v>
      </c>
      <c r="N1" s="12" t="s">
        <v>13</v>
      </c>
      <c r="O1" s="13" t="s">
        <v>14</v>
      </c>
      <c r="Q1" s="41" t="s">
        <v>57</v>
      </c>
      <c r="R1" s="41" t="s">
        <v>58</v>
      </c>
      <c r="S1" s="41" t="s">
        <v>59</v>
      </c>
      <c r="T1" s="41" t="s">
        <v>60</v>
      </c>
      <c r="U1" s="41" t="s">
        <v>63</v>
      </c>
      <c r="V1" s="41" t="s">
        <v>62</v>
      </c>
      <c r="W1" s="41" t="s">
        <v>61</v>
      </c>
    </row>
    <row r="2" spans="1:23" x14ac:dyDescent="0.55000000000000004">
      <c r="A2" s="14" t="s">
        <v>15</v>
      </c>
      <c r="B2" s="15">
        <v>1881</v>
      </c>
      <c r="C2" s="16">
        <v>182405</v>
      </c>
      <c r="D2" s="16">
        <v>197358</v>
      </c>
      <c r="E2" s="16">
        <v>379763</v>
      </c>
      <c r="F2" s="16">
        <v>6875</v>
      </c>
      <c r="G2" s="16">
        <v>6613</v>
      </c>
      <c r="H2" s="16">
        <v>13488</v>
      </c>
      <c r="I2" s="16">
        <v>6439</v>
      </c>
      <c r="J2" s="16">
        <v>5560</v>
      </c>
      <c r="K2" s="16">
        <v>11999</v>
      </c>
      <c r="L2" s="16">
        <v>1489</v>
      </c>
      <c r="M2" s="17">
        <v>35.5</v>
      </c>
      <c r="N2" s="17">
        <v>31.6</v>
      </c>
      <c r="O2" s="18">
        <v>3.9</v>
      </c>
      <c r="Q2" s="4">
        <f>E2-D2-C2</f>
        <v>0</v>
      </c>
      <c r="R2" s="4">
        <f>H2-G2-F2</f>
        <v>0</v>
      </c>
      <c r="S2" s="4">
        <f>K2-J2-I2</f>
        <v>0</v>
      </c>
      <c r="T2" s="4">
        <f>H2-K2-L2</f>
        <v>0</v>
      </c>
      <c r="U2" s="5">
        <f>H2/E2*1000-M2</f>
        <v>1.6888164460468147E-2</v>
      </c>
      <c r="V2" s="5">
        <f>K2/E2*1000-N2</f>
        <v>-3.9782706582798255E-3</v>
      </c>
      <c r="W2" s="5">
        <f>M2-N2-O2</f>
        <v>0</v>
      </c>
    </row>
    <row r="3" spans="1:23" x14ac:dyDescent="0.55000000000000004">
      <c r="A3" s="19" t="s">
        <v>15</v>
      </c>
      <c r="B3" s="20">
        <v>1882</v>
      </c>
      <c r="C3" s="21">
        <v>185633</v>
      </c>
      <c r="D3" s="21">
        <v>198957</v>
      </c>
      <c r="E3" s="21">
        <v>384590</v>
      </c>
      <c r="F3" s="21">
        <v>7265</v>
      </c>
      <c r="G3" s="21">
        <v>7034</v>
      </c>
      <c r="H3" s="21">
        <v>14299</v>
      </c>
      <c r="I3" s="21">
        <v>6251</v>
      </c>
      <c r="J3" s="21">
        <v>5732</v>
      </c>
      <c r="K3" s="21">
        <v>11983</v>
      </c>
      <c r="L3" s="21">
        <v>2316</v>
      </c>
      <c r="M3" s="22">
        <v>37.200000000000003</v>
      </c>
      <c r="N3" s="22">
        <v>31.2</v>
      </c>
      <c r="O3" s="23">
        <v>6</v>
      </c>
      <c r="Q3" s="4">
        <f t="shared" ref="Q3:Q66" si="0">E3-D3-C3</f>
        <v>0</v>
      </c>
      <c r="R3" s="4">
        <f t="shared" ref="R3:R66" si="1">H3-G3-F3</f>
        <v>0</v>
      </c>
      <c r="S3" s="4">
        <f t="shared" ref="S3:S66" si="2">K3-J3-I3</f>
        <v>0</v>
      </c>
      <c r="T3" s="4">
        <f t="shared" ref="T3:T66" si="3">H3-K3-L3</f>
        <v>0</v>
      </c>
      <c r="U3" s="5">
        <f t="shared" ref="U3:U66" si="4">H3/E3*1000-M3</f>
        <v>-2.0146129644558641E-2</v>
      </c>
      <c r="V3" s="5">
        <f t="shared" ref="V3:V66" si="5">K3/E3*1000-N3</f>
        <v>-4.2143581476377534E-2</v>
      </c>
      <c r="W3" s="5">
        <f t="shared" ref="W3:W66" si="6">M3-N3-O3</f>
        <v>0</v>
      </c>
    </row>
    <row r="4" spans="1:23" x14ac:dyDescent="0.55000000000000004">
      <c r="A4" s="14" t="s">
        <v>15</v>
      </c>
      <c r="B4" s="15">
        <v>1883</v>
      </c>
      <c r="C4" s="16">
        <v>187818</v>
      </c>
      <c r="D4" s="16">
        <v>203673</v>
      </c>
      <c r="E4" s="16">
        <v>391491</v>
      </c>
      <c r="F4" s="16">
        <v>7311</v>
      </c>
      <c r="G4" s="16">
        <v>6856</v>
      </c>
      <c r="H4" s="16">
        <v>14167</v>
      </c>
      <c r="I4" s="16">
        <v>5879</v>
      </c>
      <c r="J4" s="16">
        <v>5096</v>
      </c>
      <c r="K4" s="16">
        <v>10975</v>
      </c>
      <c r="L4" s="16">
        <v>3192</v>
      </c>
      <c r="M4" s="17">
        <v>36.200000000000003</v>
      </c>
      <c r="N4" s="17">
        <v>28</v>
      </c>
      <c r="O4" s="18">
        <v>8.1999999999999993</v>
      </c>
      <c r="Q4" s="4">
        <f t="shared" si="0"/>
        <v>0</v>
      </c>
      <c r="R4" s="4">
        <f t="shared" si="1"/>
        <v>0</v>
      </c>
      <c r="S4" s="4">
        <f t="shared" si="2"/>
        <v>0</v>
      </c>
      <c r="T4" s="4">
        <f t="shared" si="3"/>
        <v>0</v>
      </c>
      <c r="U4" s="5">
        <f t="shared" si="4"/>
        <v>-1.2705783785577296E-2</v>
      </c>
      <c r="V4" s="5">
        <f t="shared" si="5"/>
        <v>3.3850075736097551E-2</v>
      </c>
      <c r="W4" s="5">
        <f t="shared" si="6"/>
        <v>0</v>
      </c>
    </row>
    <row r="5" spans="1:23" x14ac:dyDescent="0.55000000000000004">
      <c r="A5" s="19" t="s">
        <v>15</v>
      </c>
      <c r="B5" s="20">
        <v>1884</v>
      </c>
      <c r="C5" s="21">
        <v>194018</v>
      </c>
      <c r="D5" s="21">
        <v>210871</v>
      </c>
      <c r="E5" s="21">
        <v>404889</v>
      </c>
      <c r="F5" s="21">
        <v>7293</v>
      </c>
      <c r="G5" s="21">
        <v>7106</v>
      </c>
      <c r="H5" s="21">
        <v>14399</v>
      </c>
      <c r="I5" s="21">
        <v>5919</v>
      </c>
      <c r="J5" s="21">
        <v>5358</v>
      </c>
      <c r="K5" s="21">
        <v>11277</v>
      </c>
      <c r="L5" s="21">
        <v>3122</v>
      </c>
      <c r="M5" s="22">
        <v>35.6</v>
      </c>
      <c r="N5" s="22">
        <v>27.8</v>
      </c>
      <c r="O5" s="23">
        <v>7.8</v>
      </c>
      <c r="Q5" s="4">
        <f t="shared" si="0"/>
        <v>0</v>
      </c>
      <c r="R5" s="4">
        <f t="shared" si="1"/>
        <v>0</v>
      </c>
      <c r="S5" s="4">
        <f t="shared" si="2"/>
        <v>0</v>
      </c>
      <c r="T5" s="4">
        <f t="shared" si="3"/>
        <v>0</v>
      </c>
      <c r="U5" s="5">
        <f t="shared" si="4"/>
        <v>-3.7166729646891383E-2</v>
      </c>
      <c r="V5" s="5">
        <f t="shared" si="5"/>
        <v>5.2077976927009217E-2</v>
      </c>
      <c r="W5" s="5">
        <f t="shared" si="6"/>
        <v>0</v>
      </c>
    </row>
    <row r="6" spans="1:23" x14ac:dyDescent="0.55000000000000004">
      <c r="A6" s="14" t="s">
        <v>15</v>
      </c>
      <c r="B6" s="15">
        <v>1885</v>
      </c>
      <c r="C6" s="16">
        <v>199329</v>
      </c>
      <c r="D6" s="16">
        <v>207636</v>
      </c>
      <c r="E6" s="16">
        <v>406965</v>
      </c>
      <c r="F6" s="16">
        <v>7436</v>
      </c>
      <c r="G6" s="16">
        <v>7134</v>
      </c>
      <c r="H6" s="16">
        <v>14570</v>
      </c>
      <c r="I6" s="16">
        <v>6135</v>
      </c>
      <c r="J6" s="16">
        <v>5672</v>
      </c>
      <c r="K6" s="16">
        <v>11807</v>
      </c>
      <c r="L6" s="16">
        <v>2763</v>
      </c>
      <c r="M6" s="17">
        <v>35.799999999999997</v>
      </c>
      <c r="N6" s="17">
        <v>29</v>
      </c>
      <c r="O6" s="18">
        <v>6.8</v>
      </c>
      <c r="Q6" s="4">
        <f t="shared" si="0"/>
        <v>0</v>
      </c>
      <c r="R6" s="4">
        <f t="shared" si="1"/>
        <v>0</v>
      </c>
      <c r="S6" s="4">
        <f t="shared" si="2"/>
        <v>0</v>
      </c>
      <c r="T6" s="4">
        <f t="shared" si="3"/>
        <v>0</v>
      </c>
      <c r="U6" s="5">
        <f t="shared" si="4"/>
        <v>1.6045605887526904E-3</v>
      </c>
      <c r="V6" s="5">
        <f t="shared" si="5"/>
        <v>1.2322927033036279E-2</v>
      </c>
      <c r="W6" s="5">
        <f t="shared" si="6"/>
        <v>0</v>
      </c>
    </row>
    <row r="7" spans="1:23" x14ac:dyDescent="0.55000000000000004">
      <c r="A7" s="19" t="s">
        <v>15</v>
      </c>
      <c r="B7" s="20">
        <v>1886</v>
      </c>
      <c r="C7" s="21">
        <v>208960</v>
      </c>
      <c r="D7" s="21">
        <v>222904</v>
      </c>
      <c r="E7" s="21">
        <v>431864</v>
      </c>
      <c r="F7" s="21">
        <v>8187</v>
      </c>
      <c r="G7" s="21">
        <v>7817</v>
      </c>
      <c r="H7" s="21">
        <v>16004</v>
      </c>
      <c r="I7" s="21">
        <v>5953</v>
      </c>
      <c r="J7" s="21">
        <v>5343</v>
      </c>
      <c r="K7" s="21">
        <v>11296</v>
      </c>
      <c r="L7" s="21">
        <v>4708</v>
      </c>
      <c r="M7" s="22">
        <v>32.4</v>
      </c>
      <c r="N7" s="22">
        <v>26.1</v>
      </c>
      <c r="O7" s="23">
        <v>6.3</v>
      </c>
      <c r="Q7" s="4">
        <f t="shared" si="0"/>
        <v>0</v>
      </c>
      <c r="R7" s="4">
        <f t="shared" si="1"/>
        <v>0</v>
      </c>
      <c r="S7" s="4">
        <f t="shared" si="2"/>
        <v>0</v>
      </c>
      <c r="T7" s="4">
        <f t="shared" si="3"/>
        <v>0</v>
      </c>
      <c r="U7" s="5">
        <f t="shared" si="4"/>
        <v>4.6579626919585806</v>
      </c>
      <c r="V7" s="5">
        <f t="shared" si="5"/>
        <v>5.6382564881534591E-2</v>
      </c>
      <c r="W7" s="5">
        <f t="shared" si="6"/>
        <v>0</v>
      </c>
    </row>
    <row r="8" spans="1:23" x14ac:dyDescent="0.55000000000000004">
      <c r="A8" s="14" t="s">
        <v>15</v>
      </c>
      <c r="B8" s="15">
        <v>1887</v>
      </c>
      <c r="C8" s="16">
        <v>212525</v>
      </c>
      <c r="D8" s="16">
        <v>226649</v>
      </c>
      <c r="E8" s="16">
        <v>439174</v>
      </c>
      <c r="F8" s="16">
        <v>8450</v>
      </c>
      <c r="G8" s="16">
        <v>8141</v>
      </c>
      <c r="H8" s="16">
        <v>16591</v>
      </c>
      <c r="I8" s="16">
        <v>5622</v>
      </c>
      <c r="J8" s="16">
        <v>5329</v>
      </c>
      <c r="K8" s="16">
        <v>10951</v>
      </c>
      <c r="L8" s="16">
        <v>5640</v>
      </c>
      <c r="M8" s="17">
        <v>37.700000000000003</v>
      </c>
      <c r="N8" s="17">
        <v>24.9</v>
      </c>
      <c r="O8" s="18">
        <v>12.8</v>
      </c>
      <c r="Q8" s="4">
        <f t="shared" si="0"/>
        <v>0</v>
      </c>
      <c r="R8" s="4">
        <f t="shared" si="1"/>
        <v>0</v>
      </c>
      <c r="S8" s="4">
        <f t="shared" si="2"/>
        <v>0</v>
      </c>
      <c r="T8" s="4">
        <f t="shared" si="3"/>
        <v>0</v>
      </c>
      <c r="U8" s="5">
        <f t="shared" si="4"/>
        <v>7.7737297745308354E-2</v>
      </c>
      <c r="V8" s="5">
        <f t="shared" si="5"/>
        <v>3.5446998228493953E-2</v>
      </c>
      <c r="W8" s="5">
        <f t="shared" si="6"/>
        <v>0</v>
      </c>
    </row>
    <row r="9" spans="1:23" x14ac:dyDescent="0.55000000000000004">
      <c r="A9" s="19" t="s">
        <v>15</v>
      </c>
      <c r="B9" s="20">
        <v>1888</v>
      </c>
      <c r="C9" s="21">
        <v>215353</v>
      </c>
      <c r="D9" s="21">
        <v>229461</v>
      </c>
      <c r="E9" s="21">
        <v>444814</v>
      </c>
      <c r="F9" s="21">
        <v>8520</v>
      </c>
      <c r="G9" s="21">
        <v>8157</v>
      </c>
      <c r="H9" s="21">
        <v>16677</v>
      </c>
      <c r="I9" s="21">
        <v>5600</v>
      </c>
      <c r="J9" s="21">
        <v>5442</v>
      </c>
      <c r="K9" s="21">
        <v>11042</v>
      </c>
      <c r="L9" s="21">
        <v>5635</v>
      </c>
      <c r="M9" s="22">
        <v>37.5</v>
      </c>
      <c r="N9" s="22">
        <v>24.8</v>
      </c>
      <c r="O9" s="23">
        <v>12.7</v>
      </c>
      <c r="Q9" s="4">
        <f t="shared" si="0"/>
        <v>0</v>
      </c>
      <c r="R9" s="4">
        <f t="shared" si="1"/>
        <v>0</v>
      </c>
      <c r="S9" s="4">
        <f t="shared" si="2"/>
        <v>0</v>
      </c>
      <c r="T9" s="4">
        <f t="shared" si="3"/>
        <v>0</v>
      </c>
      <c r="U9" s="5">
        <f t="shared" si="4"/>
        <v>-7.9246606446687906E-3</v>
      </c>
      <c r="V9" s="5">
        <f t="shared" si="5"/>
        <v>2.3858961273699464E-2</v>
      </c>
      <c r="W9" s="5">
        <f t="shared" si="6"/>
        <v>0</v>
      </c>
    </row>
    <row r="10" spans="1:23" x14ac:dyDescent="0.55000000000000004">
      <c r="A10" s="14" t="s">
        <v>15</v>
      </c>
      <c r="B10" s="15">
        <v>1889</v>
      </c>
      <c r="C10" s="16">
        <v>207221</v>
      </c>
      <c r="D10" s="16">
        <v>227129</v>
      </c>
      <c r="E10" s="16">
        <v>434350</v>
      </c>
      <c r="F10" s="16">
        <v>11072</v>
      </c>
      <c r="G10" s="16">
        <v>11053</v>
      </c>
      <c r="H10" s="16">
        <v>22125</v>
      </c>
      <c r="I10" s="16">
        <v>6813</v>
      </c>
      <c r="J10" s="16">
        <v>6236</v>
      </c>
      <c r="K10" s="16">
        <v>13049</v>
      </c>
      <c r="L10" s="16">
        <v>9076</v>
      </c>
      <c r="M10" s="17">
        <v>50.9</v>
      </c>
      <c r="N10" s="17">
        <v>30</v>
      </c>
      <c r="O10" s="18">
        <v>20.9</v>
      </c>
      <c r="Q10" s="4">
        <f t="shared" si="0"/>
        <v>0</v>
      </c>
      <c r="R10" s="4">
        <f t="shared" si="1"/>
        <v>0</v>
      </c>
      <c r="S10" s="4">
        <f t="shared" si="2"/>
        <v>0</v>
      </c>
      <c r="T10" s="4">
        <f t="shared" si="3"/>
        <v>0</v>
      </c>
      <c r="U10" s="5">
        <f t="shared" si="4"/>
        <v>3.8183492575114997E-2</v>
      </c>
      <c r="V10" s="5">
        <f t="shared" si="5"/>
        <v>4.2592379417520476E-2</v>
      </c>
      <c r="W10" s="5">
        <f t="shared" si="6"/>
        <v>0</v>
      </c>
    </row>
    <row r="11" spans="1:23" x14ac:dyDescent="0.55000000000000004">
      <c r="A11" s="19" t="s">
        <v>15</v>
      </c>
      <c r="B11" s="20">
        <v>1890</v>
      </c>
      <c r="C11" s="21">
        <v>211480</v>
      </c>
      <c r="D11" s="21">
        <v>231946</v>
      </c>
      <c r="E11" s="21">
        <v>443426</v>
      </c>
      <c r="F11" s="21">
        <v>10685</v>
      </c>
      <c r="G11" s="21">
        <v>10092</v>
      </c>
      <c r="H11" s="21">
        <v>20777</v>
      </c>
      <c r="I11" s="21">
        <v>5908</v>
      </c>
      <c r="J11" s="21">
        <v>5449</v>
      </c>
      <c r="K11" s="21">
        <v>11357</v>
      </c>
      <c r="L11" s="21">
        <v>9420</v>
      </c>
      <c r="M11" s="22">
        <v>46.9</v>
      </c>
      <c r="N11" s="22">
        <v>25.6</v>
      </c>
      <c r="O11" s="23">
        <v>21.3</v>
      </c>
      <c r="Q11" s="4">
        <f t="shared" si="0"/>
        <v>0</v>
      </c>
      <c r="R11" s="4">
        <f t="shared" si="1"/>
        <v>0</v>
      </c>
      <c r="S11" s="4">
        <f t="shared" si="2"/>
        <v>0</v>
      </c>
      <c r="T11" s="4">
        <f t="shared" si="3"/>
        <v>0</v>
      </c>
      <c r="U11" s="5">
        <f t="shared" si="4"/>
        <v>-4.4380347566445266E-2</v>
      </c>
      <c r="V11" s="5">
        <f t="shared" si="5"/>
        <v>1.1939759959947338E-2</v>
      </c>
      <c r="W11" s="5">
        <f t="shared" si="6"/>
        <v>0</v>
      </c>
    </row>
    <row r="12" spans="1:23" x14ac:dyDescent="0.55000000000000004">
      <c r="A12" s="14" t="s">
        <v>15</v>
      </c>
      <c r="B12" s="15">
        <v>1891</v>
      </c>
      <c r="C12" s="16">
        <v>226246</v>
      </c>
      <c r="D12" s="16">
        <v>239026</v>
      </c>
      <c r="E12" s="16">
        <v>465272</v>
      </c>
      <c r="F12" s="16">
        <v>9802</v>
      </c>
      <c r="G12" s="16">
        <v>9599</v>
      </c>
      <c r="H12" s="16">
        <v>19401</v>
      </c>
      <c r="I12" s="16">
        <v>5489</v>
      </c>
      <c r="J12" s="16">
        <v>5235</v>
      </c>
      <c r="K12" s="16">
        <v>10724</v>
      </c>
      <c r="L12" s="16">
        <v>8677</v>
      </c>
      <c r="M12" s="17">
        <v>41.7</v>
      </c>
      <c r="N12" s="17">
        <v>23</v>
      </c>
      <c r="O12" s="18">
        <v>18.7</v>
      </c>
      <c r="Q12" s="4">
        <f t="shared" si="0"/>
        <v>0</v>
      </c>
      <c r="R12" s="4">
        <f t="shared" si="1"/>
        <v>0</v>
      </c>
      <c r="S12" s="4">
        <f t="shared" si="2"/>
        <v>0</v>
      </c>
      <c r="T12" s="4">
        <f t="shared" si="3"/>
        <v>0</v>
      </c>
      <c r="U12" s="5">
        <f t="shared" si="4"/>
        <v>-1.8105538265800192E-3</v>
      </c>
      <c r="V12" s="5">
        <f t="shared" si="5"/>
        <v>4.8883233893292299E-2</v>
      </c>
      <c r="W12" s="5">
        <f t="shared" si="6"/>
        <v>0</v>
      </c>
    </row>
    <row r="13" spans="1:23" x14ac:dyDescent="0.55000000000000004">
      <c r="A13" s="19" t="s">
        <v>15</v>
      </c>
      <c r="B13" s="20">
        <v>1892</v>
      </c>
      <c r="C13" s="21">
        <v>230634</v>
      </c>
      <c r="D13" s="21">
        <v>259783</v>
      </c>
      <c r="E13" s="21">
        <v>490417</v>
      </c>
      <c r="F13" s="21">
        <v>11099</v>
      </c>
      <c r="G13" s="21">
        <v>10980</v>
      </c>
      <c r="H13" s="21">
        <v>22079</v>
      </c>
      <c r="I13" s="21">
        <v>7166</v>
      </c>
      <c r="J13" s="21">
        <v>6882</v>
      </c>
      <c r="K13" s="21">
        <v>14048</v>
      </c>
      <c r="L13" s="21">
        <v>8031</v>
      </c>
      <c r="M13" s="22">
        <v>45</v>
      </c>
      <c r="N13" s="22">
        <v>28.6</v>
      </c>
      <c r="O13" s="23">
        <v>16.399999999999999</v>
      </c>
      <c r="Q13" s="4">
        <f t="shared" si="0"/>
        <v>0</v>
      </c>
      <c r="R13" s="4">
        <f t="shared" si="1"/>
        <v>0</v>
      </c>
      <c r="S13" s="4">
        <f t="shared" si="2"/>
        <v>0</v>
      </c>
      <c r="T13" s="4">
        <f t="shared" si="3"/>
        <v>0</v>
      </c>
      <c r="U13" s="5">
        <f t="shared" si="4"/>
        <v>2.0869994310963591E-2</v>
      </c>
      <c r="V13" s="5">
        <f t="shared" si="5"/>
        <v>4.5010266772969487E-2</v>
      </c>
      <c r="W13" s="5">
        <f t="shared" si="6"/>
        <v>0</v>
      </c>
    </row>
    <row r="14" spans="1:23" x14ac:dyDescent="0.55000000000000004">
      <c r="A14" s="14" t="s">
        <v>15</v>
      </c>
      <c r="B14" s="15">
        <v>1893</v>
      </c>
      <c r="C14" s="16">
        <v>239852</v>
      </c>
      <c r="D14" s="16">
        <v>261169</v>
      </c>
      <c r="E14" s="16">
        <v>501021</v>
      </c>
      <c r="F14" s="16">
        <v>11351</v>
      </c>
      <c r="G14" s="16">
        <v>10659</v>
      </c>
      <c r="H14" s="16">
        <v>22010</v>
      </c>
      <c r="I14" s="16">
        <v>6244</v>
      </c>
      <c r="J14" s="16">
        <v>5790</v>
      </c>
      <c r="K14" s="16">
        <v>12034</v>
      </c>
      <c r="L14" s="16">
        <v>9976</v>
      </c>
      <c r="M14" s="17">
        <v>43.9</v>
      </c>
      <c r="N14" s="17">
        <v>24</v>
      </c>
      <c r="O14" s="18">
        <v>19.899999999999999</v>
      </c>
      <c r="Q14" s="4">
        <f t="shared" si="0"/>
        <v>0</v>
      </c>
      <c r="R14" s="4">
        <f t="shared" si="1"/>
        <v>0</v>
      </c>
      <c r="S14" s="4">
        <f t="shared" si="2"/>
        <v>0</v>
      </c>
      <c r="T14" s="4">
        <f t="shared" si="3"/>
        <v>0</v>
      </c>
      <c r="U14" s="5">
        <f t="shared" si="4"/>
        <v>3.0294338959841127E-2</v>
      </c>
      <c r="V14" s="5">
        <f t="shared" si="5"/>
        <v>1.8953297366774535E-2</v>
      </c>
      <c r="W14" s="5">
        <f t="shared" si="6"/>
        <v>0</v>
      </c>
    </row>
    <row r="15" spans="1:23" x14ac:dyDescent="0.55000000000000004">
      <c r="A15" s="19" t="s">
        <v>16</v>
      </c>
      <c r="B15" s="20">
        <v>1881</v>
      </c>
      <c r="C15" s="21">
        <v>444199</v>
      </c>
      <c r="D15" s="21">
        <v>461840</v>
      </c>
      <c r="E15" s="21">
        <v>906039</v>
      </c>
      <c r="F15" s="21">
        <v>17524</v>
      </c>
      <c r="G15" s="21">
        <v>16508</v>
      </c>
      <c r="H15" s="21">
        <v>34032</v>
      </c>
      <c r="I15" s="21">
        <v>12434</v>
      </c>
      <c r="J15" s="21">
        <v>11662</v>
      </c>
      <c r="K15" s="21">
        <v>24096</v>
      </c>
      <c r="L15" s="21">
        <v>9936</v>
      </c>
      <c r="M15" s="22">
        <v>37.5</v>
      </c>
      <c r="N15" s="22">
        <v>26.6</v>
      </c>
      <c r="O15" s="23">
        <v>10.9</v>
      </c>
      <c r="Q15" s="4">
        <f t="shared" si="0"/>
        <v>0</v>
      </c>
      <c r="R15" s="4">
        <f t="shared" si="1"/>
        <v>0</v>
      </c>
      <c r="S15" s="4">
        <f t="shared" si="2"/>
        <v>0</v>
      </c>
      <c r="T15" s="4">
        <f t="shared" si="3"/>
        <v>0</v>
      </c>
      <c r="U15" s="5">
        <f t="shared" si="4"/>
        <v>6.1297030260284657E-2</v>
      </c>
      <c r="V15" s="5">
        <f t="shared" si="5"/>
        <v>-5.1183227212092675E-3</v>
      </c>
      <c r="W15" s="5">
        <f t="shared" si="6"/>
        <v>0</v>
      </c>
    </row>
    <row r="16" spans="1:23" x14ac:dyDescent="0.55000000000000004">
      <c r="A16" s="14" t="s">
        <v>16</v>
      </c>
      <c r="B16" s="15">
        <v>1882</v>
      </c>
      <c r="C16" s="16">
        <v>449289</v>
      </c>
      <c r="D16" s="16">
        <v>466686</v>
      </c>
      <c r="E16" s="16">
        <v>915975</v>
      </c>
      <c r="F16" s="16">
        <v>19679</v>
      </c>
      <c r="G16" s="16">
        <v>18317</v>
      </c>
      <c r="H16" s="16">
        <v>37996</v>
      </c>
      <c r="I16" s="16">
        <v>13732</v>
      </c>
      <c r="J16" s="16">
        <v>13153</v>
      </c>
      <c r="K16" s="16">
        <v>26885</v>
      </c>
      <c r="L16" s="16">
        <v>11111</v>
      </c>
      <c r="M16" s="17">
        <v>41.4</v>
      </c>
      <c r="N16" s="17">
        <v>29.3</v>
      </c>
      <c r="O16" s="18">
        <v>12.1</v>
      </c>
      <c r="Q16" s="4">
        <f t="shared" si="0"/>
        <v>0</v>
      </c>
      <c r="R16" s="4">
        <f t="shared" si="1"/>
        <v>0</v>
      </c>
      <c r="S16" s="4">
        <f t="shared" si="2"/>
        <v>0</v>
      </c>
      <c r="T16" s="4">
        <f t="shared" si="3"/>
        <v>0</v>
      </c>
      <c r="U16" s="5">
        <f t="shared" si="4"/>
        <v>8.1481481481482376E-2</v>
      </c>
      <c r="V16" s="5">
        <f t="shared" si="5"/>
        <v>5.1237752122052171E-2</v>
      </c>
      <c r="W16" s="5">
        <f t="shared" si="6"/>
        <v>0</v>
      </c>
    </row>
    <row r="17" spans="1:23" x14ac:dyDescent="0.55000000000000004">
      <c r="A17" s="19" t="s">
        <v>16</v>
      </c>
      <c r="B17" s="20">
        <v>1883</v>
      </c>
      <c r="C17" s="21">
        <v>455236</v>
      </c>
      <c r="D17" s="21">
        <v>471850</v>
      </c>
      <c r="E17" s="21">
        <v>927086</v>
      </c>
      <c r="F17" s="21">
        <v>19478</v>
      </c>
      <c r="G17" s="21">
        <v>18401</v>
      </c>
      <c r="H17" s="21">
        <v>37879</v>
      </c>
      <c r="I17" s="21">
        <v>12313</v>
      </c>
      <c r="J17" s="21">
        <v>11654</v>
      </c>
      <c r="K17" s="21">
        <v>23967</v>
      </c>
      <c r="L17" s="21">
        <v>13912</v>
      </c>
      <c r="M17" s="22">
        <v>40.799999999999997</v>
      </c>
      <c r="N17" s="22">
        <v>25.8</v>
      </c>
      <c r="O17" s="23">
        <v>15</v>
      </c>
      <c r="Q17" s="4">
        <f t="shared" si="0"/>
        <v>0</v>
      </c>
      <c r="R17" s="4">
        <f t="shared" si="1"/>
        <v>0</v>
      </c>
      <c r="S17" s="4">
        <f t="shared" si="2"/>
        <v>0</v>
      </c>
      <c r="T17" s="4">
        <f t="shared" si="3"/>
        <v>0</v>
      </c>
      <c r="U17" s="5">
        <f t="shared" si="4"/>
        <v>5.8129666503432986E-2</v>
      </c>
      <c r="V17" s="5">
        <f t="shared" si="5"/>
        <v>5.1970583095851453E-2</v>
      </c>
      <c r="W17" s="5">
        <f t="shared" si="6"/>
        <v>0</v>
      </c>
    </row>
    <row r="18" spans="1:23" x14ac:dyDescent="0.55000000000000004">
      <c r="A18" s="14" t="s">
        <v>16</v>
      </c>
      <c r="B18" s="15">
        <v>1884</v>
      </c>
      <c r="C18" s="16">
        <v>462401</v>
      </c>
      <c r="D18" s="16">
        <v>478597</v>
      </c>
      <c r="E18" s="16">
        <v>940998</v>
      </c>
      <c r="F18" s="16">
        <v>19227</v>
      </c>
      <c r="G18" s="16">
        <v>18222</v>
      </c>
      <c r="H18" s="16">
        <v>37449</v>
      </c>
      <c r="I18" s="16">
        <v>11435</v>
      </c>
      <c r="J18" s="16">
        <v>10875</v>
      </c>
      <c r="K18" s="16">
        <v>22310</v>
      </c>
      <c r="L18" s="16">
        <v>15139</v>
      </c>
      <c r="M18" s="17">
        <v>39.799999999999997</v>
      </c>
      <c r="N18" s="17">
        <v>23.7</v>
      </c>
      <c r="O18" s="18">
        <v>16.100000000000001</v>
      </c>
      <c r="Q18" s="4">
        <f t="shared" si="0"/>
        <v>0</v>
      </c>
      <c r="R18" s="4">
        <f t="shared" si="1"/>
        <v>0</v>
      </c>
      <c r="S18" s="4">
        <f t="shared" si="2"/>
        <v>0</v>
      </c>
      <c r="T18" s="4">
        <f t="shared" si="3"/>
        <v>0</v>
      </c>
      <c r="U18" s="5">
        <f t="shared" si="4"/>
        <v>-2.890973200791791E-3</v>
      </c>
      <c r="V18" s="5">
        <f t="shared" si="5"/>
        <v>8.8707946244319658E-3</v>
      </c>
      <c r="W18" s="5">
        <f t="shared" si="6"/>
        <v>0</v>
      </c>
    </row>
    <row r="19" spans="1:23" x14ac:dyDescent="0.55000000000000004">
      <c r="A19" s="19" t="s">
        <v>16</v>
      </c>
      <c r="B19" s="20">
        <v>1885</v>
      </c>
      <c r="C19" s="21">
        <v>470193</v>
      </c>
      <c r="D19" s="21">
        <v>485944</v>
      </c>
      <c r="E19" s="21">
        <v>956137</v>
      </c>
      <c r="F19" s="21">
        <v>20853</v>
      </c>
      <c r="G19" s="21">
        <v>19967</v>
      </c>
      <c r="H19" s="21">
        <v>40820</v>
      </c>
      <c r="I19" s="21">
        <v>13070</v>
      </c>
      <c r="J19" s="21">
        <v>12160</v>
      </c>
      <c r="K19" s="21">
        <v>25230</v>
      </c>
      <c r="L19" s="21">
        <v>15590</v>
      </c>
      <c r="M19" s="22">
        <v>42.7</v>
      </c>
      <c r="N19" s="22">
        <v>26.4</v>
      </c>
      <c r="O19" s="23">
        <v>16.3</v>
      </c>
      <c r="Q19" s="4">
        <f t="shared" si="0"/>
        <v>0</v>
      </c>
      <c r="R19" s="4">
        <f t="shared" si="1"/>
        <v>0</v>
      </c>
      <c r="S19" s="4">
        <f t="shared" si="2"/>
        <v>0</v>
      </c>
      <c r="T19" s="4">
        <f t="shared" si="3"/>
        <v>0</v>
      </c>
      <c r="U19" s="5">
        <f t="shared" si="4"/>
        <v>-7.3733157486870482E-3</v>
      </c>
      <c r="V19" s="5">
        <f t="shared" si="5"/>
        <v>-1.2568073403706137E-2</v>
      </c>
      <c r="W19" s="5">
        <f t="shared" si="6"/>
        <v>0</v>
      </c>
    </row>
    <row r="20" spans="1:23" x14ac:dyDescent="0.55000000000000004">
      <c r="A20" s="14" t="s">
        <v>16</v>
      </c>
      <c r="B20" s="15">
        <v>1886</v>
      </c>
      <c r="C20" s="16">
        <v>477976</v>
      </c>
      <c r="D20" s="16">
        <v>493751</v>
      </c>
      <c r="E20" s="16">
        <v>971727</v>
      </c>
      <c r="F20" s="16">
        <v>21633</v>
      </c>
      <c r="G20" s="16">
        <v>19836</v>
      </c>
      <c r="H20" s="16">
        <v>41469</v>
      </c>
      <c r="I20" s="16">
        <v>11336</v>
      </c>
      <c r="J20" s="16">
        <v>10862</v>
      </c>
      <c r="K20" s="16">
        <v>22198</v>
      </c>
      <c r="L20" s="16">
        <v>19271</v>
      </c>
      <c r="M20" s="17">
        <v>42.6</v>
      </c>
      <c r="N20" s="17">
        <v>22.8</v>
      </c>
      <c r="O20" s="18">
        <v>19.8</v>
      </c>
      <c r="Q20" s="4">
        <f t="shared" si="0"/>
        <v>0</v>
      </c>
      <c r="R20" s="4">
        <f t="shared" si="1"/>
        <v>0</v>
      </c>
      <c r="S20" s="4">
        <f t="shared" si="2"/>
        <v>0</v>
      </c>
      <c r="T20" s="4">
        <f t="shared" si="3"/>
        <v>0</v>
      </c>
      <c r="U20" s="5">
        <f t="shared" si="4"/>
        <v>7.5566285592557847E-2</v>
      </c>
      <c r="V20" s="5">
        <f t="shared" si="5"/>
        <v>4.3864583365493814E-2</v>
      </c>
      <c r="W20" s="5">
        <f t="shared" si="6"/>
        <v>0</v>
      </c>
    </row>
    <row r="21" spans="1:23" x14ac:dyDescent="0.55000000000000004">
      <c r="A21" s="19" t="s">
        <v>16</v>
      </c>
      <c r="B21" s="20">
        <v>1887</v>
      </c>
      <c r="C21" s="21">
        <v>488273</v>
      </c>
      <c r="D21" s="21">
        <v>502725</v>
      </c>
      <c r="E21" s="21">
        <v>990998</v>
      </c>
      <c r="F21" s="21">
        <v>22023</v>
      </c>
      <c r="G21" s="21">
        <v>20435</v>
      </c>
      <c r="H21" s="21">
        <v>42458</v>
      </c>
      <c r="I21" s="21">
        <v>12254</v>
      </c>
      <c r="J21" s="21">
        <v>11790</v>
      </c>
      <c r="K21" s="21">
        <v>24044</v>
      </c>
      <c r="L21" s="21">
        <v>18414</v>
      </c>
      <c r="M21" s="22">
        <v>42.8</v>
      </c>
      <c r="N21" s="22">
        <v>24.2</v>
      </c>
      <c r="O21" s="23">
        <v>18.600000000000001</v>
      </c>
      <c r="Q21" s="4">
        <f t="shared" si="0"/>
        <v>0</v>
      </c>
      <c r="R21" s="4">
        <f t="shared" si="1"/>
        <v>0</v>
      </c>
      <c r="S21" s="4">
        <f t="shared" si="2"/>
        <v>0</v>
      </c>
      <c r="T21" s="4">
        <f t="shared" si="3"/>
        <v>0</v>
      </c>
      <c r="U21" s="5">
        <f t="shared" si="4"/>
        <v>4.3678796526329222E-2</v>
      </c>
      <c r="V21" s="5">
        <f t="shared" si="5"/>
        <v>6.2410216771375815E-2</v>
      </c>
      <c r="W21" s="5">
        <f t="shared" si="6"/>
        <v>0</v>
      </c>
    </row>
    <row r="22" spans="1:23" x14ac:dyDescent="0.55000000000000004">
      <c r="A22" s="14" t="s">
        <v>16</v>
      </c>
      <c r="B22" s="15">
        <v>1888</v>
      </c>
      <c r="C22" s="16">
        <v>498062</v>
      </c>
      <c r="D22" s="16">
        <v>511370</v>
      </c>
      <c r="E22" s="16">
        <v>1009432</v>
      </c>
      <c r="F22" s="16">
        <v>22651</v>
      </c>
      <c r="G22" s="16">
        <v>20980</v>
      </c>
      <c r="H22" s="16">
        <v>43631</v>
      </c>
      <c r="I22" s="16">
        <v>13382</v>
      </c>
      <c r="J22" s="16">
        <v>12430</v>
      </c>
      <c r="K22" s="16">
        <v>25812</v>
      </c>
      <c r="L22" s="16">
        <v>17819</v>
      </c>
      <c r="M22" s="17">
        <v>43.2</v>
      </c>
      <c r="N22" s="17">
        <v>25.5</v>
      </c>
      <c r="O22" s="18">
        <v>17.7</v>
      </c>
      <c r="Q22" s="4">
        <f t="shared" si="0"/>
        <v>0</v>
      </c>
      <c r="R22" s="4">
        <f t="shared" si="1"/>
        <v>0</v>
      </c>
      <c r="S22" s="4">
        <f t="shared" si="2"/>
        <v>0</v>
      </c>
      <c r="T22" s="4">
        <f t="shared" si="3"/>
        <v>0</v>
      </c>
      <c r="U22" s="5">
        <f t="shared" si="4"/>
        <v>2.3317667757702054E-2</v>
      </c>
      <c r="V22" s="5">
        <f t="shared" si="5"/>
        <v>7.081606289477449E-2</v>
      </c>
      <c r="W22" s="5">
        <f t="shared" si="6"/>
        <v>0</v>
      </c>
    </row>
    <row r="23" spans="1:23" x14ac:dyDescent="0.55000000000000004">
      <c r="A23" s="19" t="s">
        <v>16</v>
      </c>
      <c r="B23" s="20">
        <v>1889</v>
      </c>
      <c r="C23" s="21">
        <v>464988</v>
      </c>
      <c r="D23" s="21">
        <v>505154</v>
      </c>
      <c r="E23" s="21">
        <v>970142</v>
      </c>
      <c r="F23" s="21">
        <v>22393</v>
      </c>
      <c r="G23" s="21">
        <v>21353</v>
      </c>
      <c r="H23" s="21">
        <v>43746</v>
      </c>
      <c r="I23" s="21">
        <v>14013</v>
      </c>
      <c r="J23" s="21">
        <v>13804</v>
      </c>
      <c r="K23" s="21">
        <v>27817</v>
      </c>
      <c r="L23" s="21">
        <v>15929</v>
      </c>
      <c r="M23" s="22">
        <v>45.1</v>
      </c>
      <c r="N23" s="22">
        <v>28.7</v>
      </c>
      <c r="O23" s="23">
        <v>16.399999999999999</v>
      </c>
      <c r="Q23" s="4">
        <f t="shared" si="0"/>
        <v>0</v>
      </c>
      <c r="R23" s="4">
        <f t="shared" si="1"/>
        <v>0</v>
      </c>
      <c r="S23" s="4">
        <f t="shared" si="2"/>
        <v>0</v>
      </c>
      <c r="T23" s="4">
        <f t="shared" si="3"/>
        <v>0</v>
      </c>
      <c r="U23" s="5">
        <f t="shared" si="4"/>
        <v>-7.6320786029313581E-3</v>
      </c>
      <c r="V23" s="5">
        <f t="shared" si="5"/>
        <v>-2.687792096414654E-2</v>
      </c>
      <c r="W23" s="5">
        <f t="shared" si="6"/>
        <v>0</v>
      </c>
    </row>
    <row r="24" spans="1:23" x14ac:dyDescent="0.55000000000000004">
      <c r="A24" s="14" t="s">
        <v>16</v>
      </c>
      <c r="B24" s="15">
        <v>1890</v>
      </c>
      <c r="C24" s="16">
        <v>473368</v>
      </c>
      <c r="D24" s="16">
        <v>512703</v>
      </c>
      <c r="E24" s="16">
        <v>986071</v>
      </c>
      <c r="F24" s="16">
        <v>22425</v>
      </c>
      <c r="G24" s="16">
        <v>22012</v>
      </c>
      <c r="H24" s="16">
        <v>44437</v>
      </c>
      <c r="I24" s="16">
        <v>13961</v>
      </c>
      <c r="J24" s="16">
        <v>13767</v>
      </c>
      <c r="K24" s="16">
        <v>27728</v>
      </c>
      <c r="L24" s="16">
        <v>16709</v>
      </c>
      <c r="M24" s="17">
        <v>45.1</v>
      </c>
      <c r="N24" s="17">
        <v>28.1</v>
      </c>
      <c r="O24" s="18">
        <v>17</v>
      </c>
      <c r="Q24" s="4">
        <f t="shared" si="0"/>
        <v>0</v>
      </c>
      <c r="R24" s="4">
        <f t="shared" si="1"/>
        <v>0</v>
      </c>
      <c r="S24" s="4">
        <f t="shared" si="2"/>
        <v>0</v>
      </c>
      <c r="T24" s="4">
        <f t="shared" si="3"/>
        <v>0</v>
      </c>
      <c r="U24" s="5">
        <f t="shared" si="4"/>
        <v>-3.529370603131099E-2</v>
      </c>
      <c r="V24" s="5">
        <f t="shared" si="5"/>
        <v>1.9679008915176155E-2</v>
      </c>
      <c r="W24" s="5">
        <f t="shared" si="6"/>
        <v>0</v>
      </c>
    </row>
    <row r="25" spans="1:23" x14ac:dyDescent="0.55000000000000004">
      <c r="A25" s="19" t="s">
        <v>16</v>
      </c>
      <c r="B25" s="20">
        <v>1891</v>
      </c>
      <c r="C25" s="21">
        <v>487496</v>
      </c>
      <c r="D25" s="21">
        <v>525466</v>
      </c>
      <c r="E25" s="21">
        <v>1012962</v>
      </c>
      <c r="F25" s="21">
        <v>23510</v>
      </c>
      <c r="G25" s="21">
        <v>22814</v>
      </c>
      <c r="H25" s="21">
        <v>46324</v>
      </c>
      <c r="I25" s="21">
        <v>13080</v>
      </c>
      <c r="J25" s="21">
        <v>12589</v>
      </c>
      <c r="K25" s="21">
        <v>25669</v>
      </c>
      <c r="L25" s="21">
        <v>20655</v>
      </c>
      <c r="M25" s="22">
        <v>45.7</v>
      </c>
      <c r="N25" s="22">
        <v>25.3</v>
      </c>
      <c r="O25" s="23">
        <v>20.399999999999999</v>
      </c>
      <c r="Q25" s="4">
        <f t="shared" si="0"/>
        <v>0</v>
      </c>
      <c r="R25" s="4">
        <f t="shared" si="1"/>
        <v>0</v>
      </c>
      <c r="S25" s="4">
        <f t="shared" si="2"/>
        <v>0</v>
      </c>
      <c r="T25" s="4">
        <f t="shared" si="3"/>
        <v>0</v>
      </c>
      <c r="U25" s="5">
        <f t="shared" si="4"/>
        <v>3.1231773748665148E-2</v>
      </c>
      <c r="V25" s="5">
        <f t="shared" si="5"/>
        <v>4.0535972721581714E-2</v>
      </c>
      <c r="W25" s="5">
        <f t="shared" si="6"/>
        <v>0</v>
      </c>
    </row>
    <row r="26" spans="1:23" x14ac:dyDescent="0.55000000000000004">
      <c r="A26" s="14" t="s">
        <v>16</v>
      </c>
      <c r="B26" s="15">
        <v>1892</v>
      </c>
      <c r="C26" s="16">
        <v>501624</v>
      </c>
      <c r="D26" s="16">
        <v>538229</v>
      </c>
      <c r="E26" s="16">
        <v>1039853</v>
      </c>
      <c r="F26" s="16">
        <v>22265</v>
      </c>
      <c r="G26" s="16">
        <v>21705</v>
      </c>
      <c r="H26" s="16">
        <v>43970</v>
      </c>
      <c r="I26" s="16">
        <v>14786</v>
      </c>
      <c r="J26" s="16">
        <v>14356</v>
      </c>
      <c r="K26" s="16">
        <v>29142</v>
      </c>
      <c r="L26" s="16">
        <v>14828</v>
      </c>
      <c r="M26" s="17">
        <v>42.3</v>
      </c>
      <c r="N26" s="17">
        <v>28</v>
      </c>
      <c r="O26" s="18">
        <v>14.3</v>
      </c>
      <c r="Q26" s="4">
        <f t="shared" si="0"/>
        <v>0</v>
      </c>
      <c r="R26" s="4">
        <f t="shared" si="1"/>
        <v>0</v>
      </c>
      <c r="S26" s="4">
        <f t="shared" si="2"/>
        <v>0</v>
      </c>
      <c r="T26" s="4">
        <f t="shared" si="3"/>
        <v>0</v>
      </c>
      <c r="U26" s="5">
        <f t="shared" si="4"/>
        <v>-1.5177049063659354E-2</v>
      </c>
      <c r="V26" s="5">
        <f t="shared" si="5"/>
        <v>2.5115088382687389E-2</v>
      </c>
      <c r="W26" s="5">
        <f t="shared" si="6"/>
        <v>0</v>
      </c>
    </row>
    <row r="27" spans="1:23" x14ac:dyDescent="0.55000000000000004">
      <c r="A27" s="19" t="s">
        <v>16</v>
      </c>
      <c r="B27" s="20">
        <v>1893</v>
      </c>
      <c r="C27" s="21">
        <v>515752</v>
      </c>
      <c r="D27" s="21">
        <v>550993</v>
      </c>
      <c r="E27" s="21">
        <v>1066745</v>
      </c>
      <c r="F27" s="21">
        <v>24004</v>
      </c>
      <c r="G27" s="21">
        <v>23771</v>
      </c>
      <c r="H27" s="21">
        <v>47775</v>
      </c>
      <c r="I27" s="21">
        <v>14235</v>
      </c>
      <c r="J27" s="21">
        <v>14464</v>
      </c>
      <c r="K27" s="21">
        <v>28699</v>
      </c>
      <c r="L27" s="21">
        <v>19076</v>
      </c>
      <c r="M27" s="22">
        <v>44.8</v>
      </c>
      <c r="N27" s="22">
        <v>26.9</v>
      </c>
      <c r="O27" s="23">
        <v>17.899999999999999</v>
      </c>
      <c r="Q27" s="4">
        <f t="shared" si="0"/>
        <v>0</v>
      </c>
      <c r="R27" s="4">
        <f t="shared" si="1"/>
        <v>0</v>
      </c>
      <c r="S27" s="4">
        <f t="shared" si="2"/>
        <v>0</v>
      </c>
      <c r="T27" s="4">
        <f t="shared" si="3"/>
        <v>0</v>
      </c>
      <c r="U27" s="5">
        <f t="shared" si="4"/>
        <v>-1.4226455244696012E-2</v>
      </c>
      <c r="V27" s="5">
        <f t="shared" si="5"/>
        <v>3.3367862047661845E-3</v>
      </c>
      <c r="W27" s="5">
        <f t="shared" si="6"/>
        <v>0</v>
      </c>
    </row>
    <row r="28" spans="1:23" x14ac:dyDescent="0.55000000000000004">
      <c r="A28" s="14" t="s">
        <v>17</v>
      </c>
      <c r="B28" s="15">
        <v>1881</v>
      </c>
      <c r="C28" s="16">
        <v>366710</v>
      </c>
      <c r="D28" s="16">
        <v>388722</v>
      </c>
      <c r="E28" s="16">
        <v>755432</v>
      </c>
      <c r="F28" s="16">
        <v>13836</v>
      </c>
      <c r="G28" s="16">
        <v>13619</v>
      </c>
      <c r="H28" s="16">
        <v>27455</v>
      </c>
      <c r="I28" s="16">
        <v>8633</v>
      </c>
      <c r="J28" s="16">
        <v>8851</v>
      </c>
      <c r="K28" s="16">
        <v>17484</v>
      </c>
      <c r="L28" s="16">
        <v>9971</v>
      </c>
      <c r="M28" s="17">
        <v>36.1</v>
      </c>
      <c r="N28" s="17">
        <v>22.9</v>
      </c>
      <c r="O28" s="18">
        <v>13.2</v>
      </c>
      <c r="Q28" s="4">
        <f t="shared" si="0"/>
        <v>0</v>
      </c>
      <c r="R28" s="4">
        <f t="shared" si="1"/>
        <v>0</v>
      </c>
      <c r="S28" s="4">
        <f t="shared" si="2"/>
        <v>0</v>
      </c>
      <c r="T28" s="4">
        <f t="shared" si="3"/>
        <v>0</v>
      </c>
      <c r="U28" s="5">
        <f t="shared" si="4"/>
        <v>0.24344322189157452</v>
      </c>
      <c r="V28" s="5">
        <f t="shared" si="5"/>
        <v>0.24437302099990887</v>
      </c>
      <c r="W28" s="5">
        <f t="shared" si="6"/>
        <v>0</v>
      </c>
    </row>
    <row r="29" spans="1:23" x14ac:dyDescent="0.55000000000000004">
      <c r="A29" s="19" t="s">
        <v>17</v>
      </c>
      <c r="B29" s="20">
        <v>1882</v>
      </c>
      <c r="C29" s="21">
        <v>371913</v>
      </c>
      <c r="D29" s="21">
        <v>393490</v>
      </c>
      <c r="E29" s="21">
        <v>765403</v>
      </c>
      <c r="F29" s="21">
        <v>13908</v>
      </c>
      <c r="G29" s="21">
        <v>14059</v>
      </c>
      <c r="H29" s="21">
        <v>27967</v>
      </c>
      <c r="I29" s="21">
        <v>9089</v>
      </c>
      <c r="J29" s="21">
        <v>9522</v>
      </c>
      <c r="K29" s="21">
        <v>18611</v>
      </c>
      <c r="L29" s="21">
        <v>9356</v>
      </c>
      <c r="M29" s="22">
        <v>36.200000000000003</v>
      </c>
      <c r="N29" s="22">
        <v>24.1</v>
      </c>
      <c r="O29" s="23">
        <v>12.1</v>
      </c>
      <c r="Q29" s="4">
        <f t="shared" si="0"/>
        <v>0</v>
      </c>
      <c r="R29" s="4">
        <f t="shared" si="1"/>
        <v>0</v>
      </c>
      <c r="S29" s="4">
        <f t="shared" si="2"/>
        <v>0</v>
      </c>
      <c r="T29" s="4">
        <f t="shared" si="3"/>
        <v>0</v>
      </c>
      <c r="U29" s="5">
        <f t="shared" si="4"/>
        <v>0.33892132641235406</v>
      </c>
      <c r="V29" s="5">
        <f t="shared" si="5"/>
        <v>0.21529534114708326</v>
      </c>
      <c r="W29" s="5">
        <f t="shared" si="6"/>
        <v>0</v>
      </c>
    </row>
    <row r="30" spans="1:23" x14ac:dyDescent="0.55000000000000004">
      <c r="A30" s="14" t="s">
        <v>17</v>
      </c>
      <c r="B30" s="15">
        <v>1883</v>
      </c>
      <c r="C30" s="16">
        <v>376743</v>
      </c>
      <c r="D30" s="16">
        <v>398016</v>
      </c>
      <c r="E30" s="16">
        <v>774759</v>
      </c>
      <c r="F30" s="16">
        <v>14121</v>
      </c>
      <c r="G30" s="16">
        <v>13866</v>
      </c>
      <c r="H30" s="16">
        <v>27987</v>
      </c>
      <c r="I30" s="16">
        <v>8614</v>
      </c>
      <c r="J30" s="16">
        <v>9193</v>
      </c>
      <c r="K30" s="16">
        <v>17807</v>
      </c>
      <c r="L30" s="16">
        <v>10180</v>
      </c>
      <c r="M30" s="17">
        <v>35.700000000000003</v>
      </c>
      <c r="N30" s="17">
        <v>22.8</v>
      </c>
      <c r="O30" s="18">
        <v>12.9</v>
      </c>
      <c r="Q30" s="4">
        <f t="shared" si="0"/>
        <v>0</v>
      </c>
      <c r="R30" s="4">
        <f t="shared" si="1"/>
        <v>0</v>
      </c>
      <c r="S30" s="4">
        <f t="shared" si="2"/>
        <v>0</v>
      </c>
      <c r="T30" s="4">
        <f t="shared" si="3"/>
        <v>0</v>
      </c>
      <c r="U30" s="5">
        <f t="shared" si="4"/>
        <v>0.42349130503808396</v>
      </c>
      <c r="V30" s="5">
        <f t="shared" si="5"/>
        <v>0.1839214517030463</v>
      </c>
      <c r="W30" s="5">
        <f t="shared" si="6"/>
        <v>0</v>
      </c>
    </row>
    <row r="31" spans="1:23" x14ac:dyDescent="0.55000000000000004">
      <c r="A31" s="19" t="s">
        <v>17</v>
      </c>
      <c r="B31" s="20">
        <v>1884</v>
      </c>
      <c r="C31" s="21">
        <v>382250</v>
      </c>
      <c r="D31" s="21">
        <v>402689</v>
      </c>
      <c r="E31" s="21">
        <v>784939</v>
      </c>
      <c r="F31" s="21">
        <v>13908</v>
      </c>
      <c r="G31" s="21">
        <v>13863</v>
      </c>
      <c r="H31" s="21">
        <v>27771</v>
      </c>
      <c r="I31" s="21">
        <v>8562</v>
      </c>
      <c r="J31" s="21">
        <v>9135</v>
      </c>
      <c r="K31" s="21">
        <v>17697</v>
      </c>
      <c r="L31" s="21">
        <v>10074</v>
      </c>
      <c r="M31" s="22">
        <v>35.1</v>
      </c>
      <c r="N31" s="22">
        <v>22.4</v>
      </c>
      <c r="O31" s="23">
        <v>12.7</v>
      </c>
      <c r="Q31" s="4">
        <f t="shared" si="0"/>
        <v>0</v>
      </c>
      <c r="R31" s="4">
        <f t="shared" si="1"/>
        <v>0</v>
      </c>
      <c r="S31" s="4">
        <f t="shared" si="2"/>
        <v>0</v>
      </c>
      <c r="T31" s="4">
        <f t="shared" si="3"/>
        <v>0</v>
      </c>
      <c r="U31" s="5">
        <f t="shared" si="4"/>
        <v>0.27981932353979033</v>
      </c>
      <c r="V31" s="5">
        <f t="shared" si="5"/>
        <v>0.14570100351747328</v>
      </c>
      <c r="W31" s="5">
        <f t="shared" si="6"/>
        <v>0</v>
      </c>
    </row>
    <row r="32" spans="1:23" x14ac:dyDescent="0.55000000000000004">
      <c r="A32" s="14" t="s">
        <v>17</v>
      </c>
      <c r="B32" s="15">
        <v>1885</v>
      </c>
      <c r="C32" s="16">
        <v>387196</v>
      </c>
      <c r="D32" s="16">
        <v>407218</v>
      </c>
      <c r="E32" s="16">
        <v>794414</v>
      </c>
      <c r="F32" s="16">
        <v>14473</v>
      </c>
      <c r="G32" s="16">
        <v>14705</v>
      </c>
      <c r="H32" s="16">
        <v>29178</v>
      </c>
      <c r="I32" s="16">
        <v>8993</v>
      </c>
      <c r="J32" s="16">
        <v>9366</v>
      </c>
      <c r="K32" s="16">
        <v>18359</v>
      </c>
      <c r="L32" s="16">
        <v>10819</v>
      </c>
      <c r="M32" s="17">
        <v>36.4</v>
      </c>
      <c r="N32" s="17">
        <v>22.9</v>
      </c>
      <c r="O32" s="18">
        <v>13.5</v>
      </c>
      <c r="Q32" s="4">
        <f t="shared" si="0"/>
        <v>0</v>
      </c>
      <c r="R32" s="4">
        <f t="shared" si="1"/>
        <v>0</v>
      </c>
      <c r="S32" s="4">
        <f t="shared" si="2"/>
        <v>0</v>
      </c>
      <c r="T32" s="4">
        <f t="shared" si="3"/>
        <v>0</v>
      </c>
      <c r="U32" s="5">
        <f t="shared" si="4"/>
        <v>0.32895996294124075</v>
      </c>
      <c r="V32" s="5">
        <f t="shared" si="5"/>
        <v>0.21011638767695473</v>
      </c>
      <c r="W32" s="5">
        <f t="shared" si="6"/>
        <v>0</v>
      </c>
    </row>
    <row r="33" spans="1:23" x14ac:dyDescent="0.55000000000000004">
      <c r="A33" s="19" t="s">
        <v>17</v>
      </c>
      <c r="B33" s="20">
        <v>1886</v>
      </c>
      <c r="C33" s="21">
        <v>393781</v>
      </c>
      <c r="D33" s="21">
        <v>413663</v>
      </c>
      <c r="E33" s="21">
        <v>807444</v>
      </c>
      <c r="F33" s="21">
        <v>15205</v>
      </c>
      <c r="G33" s="21">
        <v>15823</v>
      </c>
      <c r="H33" s="21">
        <v>31028</v>
      </c>
      <c r="I33" s="21">
        <v>9554</v>
      </c>
      <c r="J33" s="21">
        <v>9724</v>
      </c>
      <c r="K33" s="21">
        <v>19278</v>
      </c>
      <c r="L33" s="21">
        <v>11750</v>
      </c>
      <c r="M33" s="22">
        <v>38.200000000000003</v>
      </c>
      <c r="N33" s="22">
        <v>23.7</v>
      </c>
      <c r="O33" s="23">
        <v>14.5</v>
      </c>
      <c r="Q33" s="4">
        <f t="shared" si="0"/>
        <v>0</v>
      </c>
      <c r="R33" s="4">
        <f t="shared" si="1"/>
        <v>0</v>
      </c>
      <c r="S33" s="4">
        <f t="shared" si="2"/>
        <v>0</v>
      </c>
      <c r="T33" s="4">
        <f t="shared" si="3"/>
        <v>0</v>
      </c>
      <c r="U33" s="5">
        <f t="shared" si="4"/>
        <v>0.22743273836947253</v>
      </c>
      <c r="V33" s="5">
        <f t="shared" si="5"/>
        <v>0.17533996165678545</v>
      </c>
      <c r="W33" s="5">
        <f t="shared" si="6"/>
        <v>0</v>
      </c>
    </row>
    <row r="34" spans="1:23" x14ac:dyDescent="0.55000000000000004">
      <c r="A34" s="14" t="s">
        <v>17</v>
      </c>
      <c r="B34" s="15">
        <v>1887</v>
      </c>
      <c r="C34" s="16">
        <v>401501</v>
      </c>
      <c r="D34" s="16">
        <v>422073</v>
      </c>
      <c r="E34" s="16">
        <v>823574</v>
      </c>
      <c r="F34" s="16">
        <v>16382</v>
      </c>
      <c r="G34" s="16">
        <v>16695</v>
      </c>
      <c r="H34" s="16">
        <v>33077</v>
      </c>
      <c r="I34" s="16">
        <v>9377</v>
      </c>
      <c r="J34" s="16">
        <v>9965</v>
      </c>
      <c r="K34" s="16">
        <v>19342</v>
      </c>
      <c r="L34" s="16">
        <v>13735</v>
      </c>
      <c r="M34" s="17">
        <v>40.200000000000003</v>
      </c>
      <c r="N34" s="17">
        <v>23.5</v>
      </c>
      <c r="O34" s="18">
        <v>16.7</v>
      </c>
      <c r="Q34" s="4">
        <f t="shared" si="0"/>
        <v>0</v>
      </c>
      <c r="R34" s="4">
        <f t="shared" si="1"/>
        <v>0</v>
      </c>
      <c r="S34" s="4">
        <f t="shared" si="2"/>
        <v>0</v>
      </c>
      <c r="T34" s="4">
        <f t="shared" si="3"/>
        <v>0</v>
      </c>
      <c r="U34" s="5">
        <f t="shared" si="4"/>
        <v>-3.7245954826161665E-2</v>
      </c>
      <c r="V34" s="5">
        <f t="shared" si="5"/>
        <v>-1.4557283255662412E-2</v>
      </c>
      <c r="W34" s="5">
        <f t="shared" si="6"/>
        <v>0</v>
      </c>
    </row>
    <row r="35" spans="1:23" x14ac:dyDescent="0.55000000000000004">
      <c r="A35" s="19" t="s">
        <v>17</v>
      </c>
      <c r="B35" s="20">
        <v>1888</v>
      </c>
      <c r="C35" s="21">
        <v>408686</v>
      </c>
      <c r="D35" s="21">
        <v>428631</v>
      </c>
      <c r="E35" s="21">
        <v>837317</v>
      </c>
      <c r="F35" s="32" t="s">
        <v>56</v>
      </c>
      <c r="G35" s="32" t="s">
        <v>56</v>
      </c>
      <c r="H35" s="21">
        <v>32320</v>
      </c>
      <c r="I35" s="21">
        <v>11078</v>
      </c>
      <c r="J35" s="21">
        <v>11223</v>
      </c>
      <c r="K35" s="21">
        <v>22301</v>
      </c>
      <c r="L35" s="21">
        <v>10019</v>
      </c>
      <c r="M35" s="22">
        <v>38.6</v>
      </c>
      <c r="N35" s="22">
        <v>26.6</v>
      </c>
      <c r="O35" s="23">
        <v>12</v>
      </c>
      <c r="Q35" s="4">
        <f t="shared" si="0"/>
        <v>0</v>
      </c>
      <c r="R35" s="4"/>
      <c r="S35" s="4">
        <f t="shared" si="2"/>
        <v>0</v>
      </c>
      <c r="T35" s="4">
        <f t="shared" si="3"/>
        <v>0</v>
      </c>
      <c r="U35" s="5">
        <f t="shared" si="4"/>
        <v>-5.2094965228377532E-4</v>
      </c>
      <c r="V35" s="5">
        <f t="shared" si="5"/>
        <v>3.3879402902364575E-2</v>
      </c>
      <c r="W35" s="5">
        <f t="shared" si="6"/>
        <v>0</v>
      </c>
    </row>
    <row r="36" spans="1:23" x14ac:dyDescent="0.55000000000000004">
      <c r="A36" s="14" t="s">
        <v>17</v>
      </c>
      <c r="B36" s="15">
        <v>1889</v>
      </c>
      <c r="C36" s="16">
        <v>383309</v>
      </c>
      <c r="D36" s="16">
        <v>425753</v>
      </c>
      <c r="E36" s="16">
        <v>809062</v>
      </c>
      <c r="F36" s="16">
        <v>17635</v>
      </c>
      <c r="G36" s="16">
        <v>16900</v>
      </c>
      <c r="H36" s="16">
        <v>34535</v>
      </c>
      <c r="I36" s="16">
        <v>10105</v>
      </c>
      <c r="J36" s="16">
        <v>9852</v>
      </c>
      <c r="K36" s="16">
        <v>19957</v>
      </c>
      <c r="L36" s="16">
        <v>14578</v>
      </c>
      <c r="M36" s="17">
        <v>42.7</v>
      </c>
      <c r="N36" s="17">
        <v>24.7</v>
      </c>
      <c r="O36" s="18">
        <v>18</v>
      </c>
      <c r="Q36" s="4">
        <f t="shared" si="0"/>
        <v>0</v>
      </c>
      <c r="R36" s="4">
        <f t="shared" si="1"/>
        <v>0</v>
      </c>
      <c r="S36" s="4">
        <f t="shared" si="2"/>
        <v>0</v>
      </c>
      <c r="T36" s="4">
        <f t="shared" si="3"/>
        <v>0</v>
      </c>
      <c r="U36" s="5">
        <f t="shared" si="4"/>
        <v>-1.4766977067274922E-2</v>
      </c>
      <c r="V36" s="5">
        <f t="shared" si="5"/>
        <v>-3.3163589440608376E-2</v>
      </c>
      <c r="W36" s="5">
        <f t="shared" si="6"/>
        <v>0</v>
      </c>
    </row>
    <row r="37" spans="1:23" x14ac:dyDescent="0.55000000000000004">
      <c r="A37" s="19" t="s">
        <v>17</v>
      </c>
      <c r="B37" s="20">
        <v>1890</v>
      </c>
      <c r="C37" s="21">
        <v>390839</v>
      </c>
      <c r="D37" s="21">
        <v>432801</v>
      </c>
      <c r="E37" s="21">
        <v>823640</v>
      </c>
      <c r="F37" s="21">
        <v>16970</v>
      </c>
      <c r="G37" s="21">
        <v>17902</v>
      </c>
      <c r="H37" s="21">
        <v>34872</v>
      </c>
      <c r="I37" s="21">
        <v>9735</v>
      </c>
      <c r="J37" s="21">
        <v>9818</v>
      </c>
      <c r="K37" s="21">
        <v>19553</v>
      </c>
      <c r="L37" s="21">
        <v>15319</v>
      </c>
      <c r="M37" s="22">
        <v>42.3</v>
      </c>
      <c r="N37" s="22">
        <v>23.8</v>
      </c>
      <c r="O37" s="23">
        <v>18.5</v>
      </c>
      <c r="Q37" s="4">
        <f t="shared" si="0"/>
        <v>0</v>
      </c>
      <c r="R37" s="4">
        <f t="shared" si="1"/>
        <v>0</v>
      </c>
      <c r="S37" s="4">
        <f t="shared" si="2"/>
        <v>0</v>
      </c>
      <c r="T37" s="4">
        <f t="shared" si="3"/>
        <v>0</v>
      </c>
      <c r="U37" s="5">
        <f t="shared" si="4"/>
        <v>3.8885921033468662E-2</v>
      </c>
      <c r="V37" s="5">
        <f t="shared" si="5"/>
        <v>-6.0259336603373015E-2</v>
      </c>
      <c r="W37" s="5">
        <f t="shared" si="6"/>
        <v>0</v>
      </c>
    </row>
    <row r="38" spans="1:23" x14ac:dyDescent="0.55000000000000004">
      <c r="A38" s="14" t="s">
        <v>17</v>
      </c>
      <c r="B38" s="15">
        <v>1891</v>
      </c>
      <c r="C38" s="16">
        <v>401484</v>
      </c>
      <c r="D38" s="16">
        <v>438231</v>
      </c>
      <c r="E38" s="16">
        <v>839715</v>
      </c>
      <c r="F38" s="16">
        <v>16628</v>
      </c>
      <c r="G38" s="16">
        <v>17051</v>
      </c>
      <c r="H38" s="16">
        <v>33679</v>
      </c>
      <c r="I38" s="16">
        <v>8922</v>
      </c>
      <c r="J38" s="16">
        <v>9213</v>
      </c>
      <c r="K38" s="16">
        <v>18135</v>
      </c>
      <c r="L38" s="16">
        <v>15544</v>
      </c>
      <c r="M38" s="17">
        <v>40.1</v>
      </c>
      <c r="N38" s="17">
        <v>21.6</v>
      </c>
      <c r="O38" s="18">
        <v>18.5</v>
      </c>
      <c r="Q38" s="4">
        <f t="shared" si="0"/>
        <v>0</v>
      </c>
      <c r="R38" s="4">
        <f t="shared" si="1"/>
        <v>0</v>
      </c>
      <c r="S38" s="4">
        <f t="shared" si="2"/>
        <v>0</v>
      </c>
      <c r="T38" s="4">
        <f t="shared" si="3"/>
        <v>0</v>
      </c>
      <c r="U38" s="5">
        <f t="shared" si="4"/>
        <v>7.655573617235234E-3</v>
      </c>
      <c r="V38" s="5">
        <f t="shared" si="5"/>
        <v>-3.3868634000810971E-3</v>
      </c>
      <c r="W38" s="5">
        <f t="shared" si="6"/>
        <v>0</v>
      </c>
    </row>
    <row r="39" spans="1:23" x14ac:dyDescent="0.55000000000000004">
      <c r="A39" s="19" t="s">
        <v>17</v>
      </c>
      <c r="B39" s="20">
        <v>1892</v>
      </c>
      <c r="C39" s="21">
        <v>412129</v>
      </c>
      <c r="D39" s="21">
        <v>443661</v>
      </c>
      <c r="E39" s="21">
        <v>855790</v>
      </c>
      <c r="F39" s="21">
        <v>15717</v>
      </c>
      <c r="G39" s="21">
        <v>16194</v>
      </c>
      <c r="H39" s="21">
        <v>31911</v>
      </c>
      <c r="I39" s="21">
        <v>10307</v>
      </c>
      <c r="J39" s="21">
        <v>10276</v>
      </c>
      <c r="K39" s="21">
        <v>20583</v>
      </c>
      <c r="L39" s="21">
        <v>11328</v>
      </c>
      <c r="M39" s="22">
        <v>37.299999999999997</v>
      </c>
      <c r="N39" s="22">
        <v>24.1</v>
      </c>
      <c r="O39" s="23">
        <v>13.2</v>
      </c>
      <c r="Q39" s="4">
        <f t="shared" si="0"/>
        <v>0</v>
      </c>
      <c r="R39" s="4">
        <f t="shared" si="1"/>
        <v>0</v>
      </c>
      <c r="S39" s="4">
        <f t="shared" si="2"/>
        <v>0</v>
      </c>
      <c r="T39" s="4">
        <f t="shared" si="3"/>
        <v>0</v>
      </c>
      <c r="U39" s="5">
        <f t="shared" si="4"/>
        <v>-1.1646548802858092E-2</v>
      </c>
      <c r="V39" s="5">
        <f t="shared" si="5"/>
        <v>-4.8538777036423397E-2</v>
      </c>
      <c r="W39" s="5">
        <f t="shared" si="6"/>
        <v>0</v>
      </c>
    </row>
    <row r="40" spans="1:23" x14ac:dyDescent="0.55000000000000004">
      <c r="A40" s="14" t="s">
        <v>17</v>
      </c>
      <c r="B40" s="15">
        <v>1893</v>
      </c>
      <c r="C40" s="16">
        <v>422774</v>
      </c>
      <c r="D40" s="16">
        <v>449092</v>
      </c>
      <c r="E40" s="16">
        <v>871866</v>
      </c>
      <c r="F40" s="16">
        <v>17049</v>
      </c>
      <c r="G40" s="16">
        <v>16912</v>
      </c>
      <c r="H40" s="16">
        <v>33961</v>
      </c>
      <c r="I40" s="16">
        <v>10897</v>
      </c>
      <c r="J40" s="16">
        <v>11250</v>
      </c>
      <c r="K40" s="16">
        <v>22147</v>
      </c>
      <c r="L40" s="16">
        <v>11814</v>
      </c>
      <c r="M40" s="17">
        <v>39</v>
      </c>
      <c r="N40" s="17">
        <v>25.5</v>
      </c>
      <c r="O40" s="18">
        <v>13.5</v>
      </c>
      <c r="Q40" s="4">
        <f t="shared" si="0"/>
        <v>0</v>
      </c>
      <c r="R40" s="4">
        <f t="shared" si="1"/>
        <v>0</v>
      </c>
      <c r="S40" s="4">
        <f t="shared" si="2"/>
        <v>0</v>
      </c>
      <c r="T40" s="4">
        <f t="shared" si="3"/>
        <v>0</v>
      </c>
      <c r="U40" s="5">
        <f t="shared" si="4"/>
        <v>-4.7913326130391454E-2</v>
      </c>
      <c r="V40" s="5">
        <f t="shared" si="5"/>
        <v>-9.8160726533663478E-2</v>
      </c>
      <c r="W40" s="5">
        <f t="shared" si="6"/>
        <v>0</v>
      </c>
    </row>
    <row r="41" spans="1:23" x14ac:dyDescent="0.55000000000000004">
      <c r="A41" s="19" t="s">
        <v>18</v>
      </c>
      <c r="B41" s="20">
        <v>1881</v>
      </c>
      <c r="C41" s="21">
        <v>300135</v>
      </c>
      <c r="D41" s="21">
        <v>314576</v>
      </c>
      <c r="E41" s="21">
        <v>614711</v>
      </c>
      <c r="F41" s="21">
        <v>13439</v>
      </c>
      <c r="G41" s="21">
        <v>13079</v>
      </c>
      <c r="H41" s="21">
        <v>26518</v>
      </c>
      <c r="I41" s="21">
        <v>9172</v>
      </c>
      <c r="J41" s="21">
        <v>9215</v>
      </c>
      <c r="K41" s="21">
        <v>18387</v>
      </c>
      <c r="L41" s="21">
        <v>8131</v>
      </c>
      <c r="M41" s="22">
        <v>42.8</v>
      </c>
      <c r="N41" s="22">
        <v>29.7</v>
      </c>
      <c r="O41" s="23">
        <v>13.1</v>
      </c>
      <c r="Q41" s="4">
        <f t="shared" si="0"/>
        <v>0</v>
      </c>
      <c r="R41" s="4">
        <f t="shared" si="1"/>
        <v>0</v>
      </c>
      <c r="S41" s="4">
        <f t="shared" si="2"/>
        <v>0</v>
      </c>
      <c r="T41" s="4">
        <f t="shared" si="3"/>
        <v>0</v>
      </c>
      <c r="U41" s="5">
        <f t="shared" si="4"/>
        <v>0.3389709961266405</v>
      </c>
      <c r="V41" s="5">
        <f t="shared" si="5"/>
        <v>0.21161700376274695</v>
      </c>
      <c r="W41" s="5">
        <f t="shared" si="6"/>
        <v>0</v>
      </c>
    </row>
    <row r="42" spans="1:23" x14ac:dyDescent="0.55000000000000004">
      <c r="A42" s="14" t="s">
        <v>18</v>
      </c>
      <c r="B42" s="15">
        <v>1882</v>
      </c>
      <c r="C42" s="16">
        <v>304402</v>
      </c>
      <c r="D42" s="16">
        <v>318440</v>
      </c>
      <c r="E42" s="16">
        <v>622842</v>
      </c>
      <c r="F42" s="16">
        <v>13914</v>
      </c>
      <c r="G42" s="16">
        <v>13884</v>
      </c>
      <c r="H42" s="16">
        <v>27798</v>
      </c>
      <c r="I42" s="16">
        <v>9379</v>
      </c>
      <c r="J42" s="16">
        <v>9579</v>
      </c>
      <c r="K42" s="16">
        <v>18958</v>
      </c>
      <c r="L42" s="16">
        <v>8840</v>
      </c>
      <c r="M42" s="17">
        <v>44.3</v>
      </c>
      <c r="N42" s="17">
        <v>30.2</v>
      </c>
      <c r="O42" s="18">
        <v>14.1</v>
      </c>
      <c r="Q42" s="4">
        <f t="shared" si="0"/>
        <v>0</v>
      </c>
      <c r="R42" s="4">
        <f t="shared" si="1"/>
        <v>0</v>
      </c>
      <c r="S42" s="4">
        <f t="shared" si="2"/>
        <v>0</v>
      </c>
      <c r="T42" s="4">
        <f t="shared" si="3"/>
        <v>0</v>
      </c>
      <c r="U42" s="5">
        <f t="shared" si="4"/>
        <v>0.33090157696494771</v>
      </c>
      <c r="V42" s="5">
        <f t="shared" si="5"/>
        <v>0.23789596719553074</v>
      </c>
      <c r="W42" s="5">
        <f t="shared" si="6"/>
        <v>0</v>
      </c>
    </row>
    <row r="43" spans="1:23" x14ac:dyDescent="0.55000000000000004">
      <c r="A43" s="19" t="s">
        <v>18</v>
      </c>
      <c r="B43" s="20">
        <v>1883</v>
      </c>
      <c r="C43" s="21">
        <v>310115</v>
      </c>
      <c r="D43" s="21">
        <v>323404</v>
      </c>
      <c r="E43" s="21">
        <v>633519</v>
      </c>
      <c r="F43" s="21">
        <v>13405</v>
      </c>
      <c r="G43" s="21">
        <v>13307</v>
      </c>
      <c r="H43" s="21">
        <v>26712</v>
      </c>
      <c r="I43" s="21">
        <v>8115</v>
      </c>
      <c r="J43" s="21">
        <v>8487</v>
      </c>
      <c r="K43" s="21">
        <v>16602</v>
      </c>
      <c r="L43" s="21">
        <v>10110</v>
      </c>
      <c r="M43" s="22">
        <v>42</v>
      </c>
      <c r="N43" s="22">
        <v>26.1</v>
      </c>
      <c r="O43" s="23">
        <v>15.9</v>
      </c>
      <c r="Q43" s="4">
        <f t="shared" si="0"/>
        <v>0</v>
      </c>
      <c r="R43" s="4">
        <f t="shared" si="1"/>
        <v>0</v>
      </c>
      <c r="S43" s="4">
        <f t="shared" si="2"/>
        <v>0</v>
      </c>
      <c r="T43" s="4">
        <f t="shared" si="3"/>
        <v>0</v>
      </c>
      <c r="U43" s="5">
        <f t="shared" si="4"/>
        <v>0.16448125470585495</v>
      </c>
      <c r="V43" s="5">
        <f t="shared" si="5"/>
        <v>0.10600171423429927</v>
      </c>
      <c r="W43" s="5">
        <f t="shared" si="6"/>
        <v>0</v>
      </c>
    </row>
    <row r="44" spans="1:23" x14ac:dyDescent="0.55000000000000004">
      <c r="A44" s="14" t="s">
        <v>18</v>
      </c>
      <c r="B44" s="15">
        <v>1884</v>
      </c>
      <c r="C44" s="16">
        <v>315405</v>
      </c>
      <c r="D44" s="16">
        <v>328224</v>
      </c>
      <c r="E44" s="16">
        <v>643629</v>
      </c>
      <c r="F44" s="16">
        <v>13169</v>
      </c>
      <c r="G44" s="16">
        <v>13132</v>
      </c>
      <c r="H44" s="16">
        <v>26301</v>
      </c>
      <c r="I44" s="16">
        <v>7666</v>
      </c>
      <c r="J44" s="16">
        <v>7887</v>
      </c>
      <c r="K44" s="16">
        <v>15553</v>
      </c>
      <c r="L44" s="16">
        <v>10748</v>
      </c>
      <c r="M44" s="17">
        <v>40.700000000000003</v>
      </c>
      <c r="N44" s="17">
        <v>24.1</v>
      </c>
      <c r="O44" s="18">
        <v>16.600000000000001</v>
      </c>
      <c r="Q44" s="4">
        <f t="shared" si="0"/>
        <v>0</v>
      </c>
      <c r="R44" s="4">
        <f t="shared" si="1"/>
        <v>0</v>
      </c>
      <c r="S44" s="4">
        <f t="shared" si="2"/>
        <v>0</v>
      </c>
      <c r="T44" s="4">
        <f t="shared" si="3"/>
        <v>0</v>
      </c>
      <c r="U44" s="5">
        <f t="shared" si="4"/>
        <v>0.16360310054394489</v>
      </c>
      <c r="V44" s="5">
        <f t="shared" si="5"/>
        <v>6.454199546633177E-2</v>
      </c>
      <c r="W44" s="5">
        <f t="shared" si="6"/>
        <v>0</v>
      </c>
    </row>
    <row r="45" spans="1:23" x14ac:dyDescent="0.55000000000000004">
      <c r="A45" s="19" t="s">
        <v>18</v>
      </c>
      <c r="B45" s="20">
        <v>1885</v>
      </c>
      <c r="C45" s="21">
        <v>320908</v>
      </c>
      <c r="D45" s="21">
        <v>333469</v>
      </c>
      <c r="E45" s="21">
        <v>654377</v>
      </c>
      <c r="F45" s="21">
        <v>13606</v>
      </c>
      <c r="G45" s="21">
        <v>13201</v>
      </c>
      <c r="H45" s="21">
        <v>26807</v>
      </c>
      <c r="I45" s="21">
        <v>9821</v>
      </c>
      <c r="J45" s="21">
        <v>10096</v>
      </c>
      <c r="K45" s="21">
        <v>19917</v>
      </c>
      <c r="L45" s="21">
        <v>6890</v>
      </c>
      <c r="M45" s="22">
        <v>40.799999999999997</v>
      </c>
      <c r="N45" s="22">
        <v>30.3</v>
      </c>
      <c r="O45" s="23">
        <v>10.5</v>
      </c>
      <c r="Q45" s="4">
        <f t="shared" si="0"/>
        <v>0</v>
      </c>
      <c r="R45" s="4">
        <f t="shared" si="1"/>
        <v>0</v>
      </c>
      <c r="S45" s="4">
        <f t="shared" si="2"/>
        <v>0</v>
      </c>
      <c r="T45" s="4">
        <f t="shared" si="3"/>
        <v>0</v>
      </c>
      <c r="U45" s="5">
        <f t="shared" si="4"/>
        <v>0.16568186229039839</v>
      </c>
      <c r="V45" s="5">
        <f t="shared" si="5"/>
        <v>0.13658319286894027</v>
      </c>
      <c r="W45" s="5">
        <f t="shared" si="6"/>
        <v>0</v>
      </c>
    </row>
    <row r="46" spans="1:23" x14ac:dyDescent="0.55000000000000004">
      <c r="A46" s="14" t="s">
        <v>18</v>
      </c>
      <c r="B46" s="15">
        <v>1886</v>
      </c>
      <c r="C46" s="16">
        <v>324693</v>
      </c>
      <c r="D46" s="16">
        <v>336574</v>
      </c>
      <c r="E46" s="16">
        <v>661267</v>
      </c>
      <c r="F46" s="16">
        <v>14264</v>
      </c>
      <c r="G46" s="16">
        <v>13958</v>
      </c>
      <c r="H46" s="16">
        <v>28222</v>
      </c>
      <c r="I46" s="16">
        <v>10119</v>
      </c>
      <c r="J46" s="16">
        <v>9977</v>
      </c>
      <c r="K46" s="16">
        <v>20176</v>
      </c>
      <c r="L46" s="16">
        <v>8046</v>
      </c>
      <c r="M46" s="17">
        <v>42.5</v>
      </c>
      <c r="N46" s="17">
        <v>30.4</v>
      </c>
      <c r="O46" s="18">
        <v>12.1</v>
      </c>
      <c r="Q46" s="4">
        <f t="shared" si="0"/>
        <v>0</v>
      </c>
      <c r="R46" s="4">
        <f t="shared" si="1"/>
        <v>0</v>
      </c>
      <c r="S46" s="4">
        <f t="shared" si="2"/>
        <v>80</v>
      </c>
      <c r="T46" s="4">
        <f t="shared" si="3"/>
        <v>0</v>
      </c>
      <c r="U46" s="5">
        <f t="shared" si="4"/>
        <v>0.17867593574153773</v>
      </c>
      <c r="V46" s="5">
        <f t="shared" si="5"/>
        <v>0.11112485576930453</v>
      </c>
      <c r="W46" s="5">
        <f t="shared" si="6"/>
        <v>0</v>
      </c>
    </row>
    <row r="47" spans="1:23" x14ac:dyDescent="0.55000000000000004">
      <c r="A47" s="19" t="s">
        <v>18</v>
      </c>
      <c r="B47" s="20">
        <v>1887</v>
      </c>
      <c r="C47" s="21">
        <v>328758</v>
      </c>
      <c r="D47" s="21">
        <v>340555</v>
      </c>
      <c r="E47" s="21">
        <v>669313</v>
      </c>
      <c r="F47" s="21">
        <v>14041</v>
      </c>
      <c r="G47" s="21">
        <v>13717</v>
      </c>
      <c r="H47" s="21">
        <v>27758</v>
      </c>
      <c r="I47" s="21">
        <v>7551</v>
      </c>
      <c r="J47" s="21">
        <v>7511</v>
      </c>
      <c r="K47" s="21">
        <v>15062</v>
      </c>
      <c r="L47" s="21">
        <v>12696</v>
      </c>
      <c r="M47" s="22">
        <v>41.3</v>
      </c>
      <c r="N47" s="22">
        <v>22.4</v>
      </c>
      <c r="O47" s="23">
        <v>18.899999999999999</v>
      </c>
      <c r="Q47" s="4">
        <f t="shared" si="0"/>
        <v>0</v>
      </c>
      <c r="R47" s="4">
        <f t="shared" si="1"/>
        <v>0</v>
      </c>
      <c r="S47" s="4">
        <f t="shared" si="2"/>
        <v>0</v>
      </c>
      <c r="T47" s="4">
        <f t="shared" si="3"/>
        <v>0</v>
      </c>
      <c r="U47" s="5">
        <f t="shared" si="4"/>
        <v>0.17237540582657829</v>
      </c>
      <c r="V47" s="5">
        <f t="shared" si="5"/>
        <v>0.10367167528495713</v>
      </c>
      <c r="W47" s="5">
        <f t="shared" si="6"/>
        <v>0</v>
      </c>
    </row>
    <row r="48" spans="1:23" x14ac:dyDescent="0.55000000000000004">
      <c r="A48" s="14" t="s">
        <v>18</v>
      </c>
      <c r="B48" s="15">
        <v>1888</v>
      </c>
      <c r="C48" s="16">
        <v>338325</v>
      </c>
      <c r="D48" s="16">
        <v>354003</v>
      </c>
      <c r="E48" s="16">
        <v>692328</v>
      </c>
      <c r="F48" s="16">
        <v>14752</v>
      </c>
      <c r="G48" s="16">
        <v>14299</v>
      </c>
      <c r="H48" s="16">
        <v>29051</v>
      </c>
      <c r="I48" s="16">
        <v>7033</v>
      </c>
      <c r="J48" s="16">
        <v>7523</v>
      </c>
      <c r="K48" s="16">
        <v>14556</v>
      </c>
      <c r="L48" s="16">
        <v>14495</v>
      </c>
      <c r="M48" s="17">
        <v>42</v>
      </c>
      <c r="N48" s="17">
        <v>21</v>
      </c>
      <c r="O48" s="18">
        <v>21</v>
      </c>
      <c r="Q48" s="4">
        <f t="shared" si="0"/>
        <v>0</v>
      </c>
      <c r="R48" s="4">
        <f t="shared" si="1"/>
        <v>0</v>
      </c>
      <c r="S48" s="4">
        <f t="shared" si="2"/>
        <v>0</v>
      </c>
      <c r="T48" s="4">
        <f t="shared" si="3"/>
        <v>0</v>
      </c>
      <c r="U48" s="5">
        <f t="shared" si="4"/>
        <v>-3.8675309968681404E-2</v>
      </c>
      <c r="V48" s="5">
        <f t="shared" si="5"/>
        <v>2.4716608312822075E-2</v>
      </c>
      <c r="W48" s="5">
        <f t="shared" si="6"/>
        <v>0</v>
      </c>
    </row>
    <row r="49" spans="1:23" x14ac:dyDescent="0.55000000000000004">
      <c r="A49" s="19" t="s">
        <v>18</v>
      </c>
      <c r="B49" s="20">
        <v>1889</v>
      </c>
      <c r="C49" s="21">
        <v>328611</v>
      </c>
      <c r="D49" s="21">
        <v>358150</v>
      </c>
      <c r="E49" s="21">
        <v>686761</v>
      </c>
      <c r="F49" s="21">
        <v>15439</v>
      </c>
      <c r="G49" s="21">
        <v>14912</v>
      </c>
      <c r="H49" s="21">
        <v>30351</v>
      </c>
      <c r="I49" s="21">
        <v>8495</v>
      </c>
      <c r="J49" s="21">
        <v>8409</v>
      </c>
      <c r="K49" s="21">
        <v>16904</v>
      </c>
      <c r="L49" s="21">
        <v>13447</v>
      </c>
      <c r="M49" s="22">
        <v>44.2</v>
      </c>
      <c r="N49" s="22">
        <v>24.7</v>
      </c>
      <c r="O49" s="23">
        <v>19.5</v>
      </c>
      <c r="Q49" s="4">
        <f t="shared" si="0"/>
        <v>0</v>
      </c>
      <c r="R49" s="4">
        <f t="shared" si="1"/>
        <v>0</v>
      </c>
      <c r="S49" s="4">
        <f t="shared" si="2"/>
        <v>0</v>
      </c>
      <c r="T49" s="4">
        <f t="shared" si="3"/>
        <v>0</v>
      </c>
      <c r="U49" s="5">
        <f t="shared" si="4"/>
        <v>-5.585931641434172E-3</v>
      </c>
      <c r="V49" s="5">
        <f t="shared" si="5"/>
        <v>-8.5905722660427841E-2</v>
      </c>
      <c r="W49" s="5">
        <f t="shared" si="6"/>
        <v>0</v>
      </c>
    </row>
    <row r="50" spans="1:23" x14ac:dyDescent="0.55000000000000004">
      <c r="A50" s="14" t="s">
        <v>18</v>
      </c>
      <c r="B50" s="15">
        <v>1890</v>
      </c>
      <c r="C50" s="16">
        <v>335555</v>
      </c>
      <c r="D50" s="16">
        <v>364653</v>
      </c>
      <c r="E50" s="16">
        <v>700208</v>
      </c>
      <c r="F50" s="16">
        <v>14264</v>
      </c>
      <c r="G50" s="16">
        <v>13583</v>
      </c>
      <c r="H50" s="16">
        <v>27847</v>
      </c>
      <c r="I50" s="16">
        <v>9110</v>
      </c>
      <c r="J50" s="16">
        <v>8868</v>
      </c>
      <c r="K50" s="16">
        <v>17978</v>
      </c>
      <c r="L50" s="16">
        <v>9869</v>
      </c>
      <c r="M50" s="17">
        <v>39.799999999999997</v>
      </c>
      <c r="N50" s="17">
        <v>25.7</v>
      </c>
      <c r="O50" s="18">
        <v>14.1</v>
      </c>
      <c r="Q50" s="4">
        <f t="shared" si="0"/>
        <v>0</v>
      </c>
      <c r="R50" s="4">
        <f t="shared" si="1"/>
        <v>0</v>
      </c>
      <c r="S50" s="4">
        <f t="shared" si="2"/>
        <v>0</v>
      </c>
      <c r="T50" s="4">
        <f t="shared" si="3"/>
        <v>0</v>
      </c>
      <c r="U50" s="5">
        <f t="shared" si="4"/>
        <v>-3.03886845051764E-2</v>
      </c>
      <c r="V50" s="5">
        <f t="shared" si="5"/>
        <v>-2.4772067728445535E-2</v>
      </c>
      <c r="W50" s="5">
        <f t="shared" si="6"/>
        <v>0</v>
      </c>
    </row>
    <row r="51" spans="1:23" x14ac:dyDescent="0.55000000000000004">
      <c r="A51" s="19" t="s">
        <v>18</v>
      </c>
      <c r="B51" s="20">
        <v>1891</v>
      </c>
      <c r="C51" s="21">
        <v>338474</v>
      </c>
      <c r="D51" s="21">
        <v>368499</v>
      </c>
      <c r="E51" s="21">
        <v>706973</v>
      </c>
      <c r="F51" s="21">
        <v>16095</v>
      </c>
      <c r="G51" s="21">
        <v>15085</v>
      </c>
      <c r="H51" s="21">
        <v>31180</v>
      </c>
      <c r="I51" s="21">
        <v>8428</v>
      </c>
      <c r="J51" s="21">
        <v>8456</v>
      </c>
      <c r="K51" s="21">
        <v>16884</v>
      </c>
      <c r="L51" s="21">
        <v>14296</v>
      </c>
      <c r="M51" s="22">
        <v>44.1</v>
      </c>
      <c r="N51" s="22">
        <v>23.9</v>
      </c>
      <c r="O51" s="23">
        <v>20.2</v>
      </c>
      <c r="Q51" s="4">
        <f t="shared" si="0"/>
        <v>0</v>
      </c>
      <c r="R51" s="4">
        <f t="shared" si="1"/>
        <v>0</v>
      </c>
      <c r="S51" s="4">
        <f t="shared" si="2"/>
        <v>0</v>
      </c>
      <c r="T51" s="4">
        <f t="shared" si="3"/>
        <v>0</v>
      </c>
      <c r="U51" s="5">
        <f t="shared" si="4"/>
        <v>3.5230482635100202E-3</v>
      </c>
      <c r="V51" s="5">
        <f t="shared" si="5"/>
        <v>-1.7899834930044989E-2</v>
      </c>
      <c r="W51" s="5">
        <f t="shared" si="6"/>
        <v>0</v>
      </c>
    </row>
    <row r="52" spans="1:23" x14ac:dyDescent="0.55000000000000004">
      <c r="A52" s="14" t="s">
        <v>18</v>
      </c>
      <c r="B52" s="15">
        <v>1892</v>
      </c>
      <c r="C52" s="16">
        <v>341393</v>
      </c>
      <c r="D52" s="16">
        <v>372345</v>
      </c>
      <c r="E52" s="16">
        <v>713738</v>
      </c>
      <c r="F52" s="16">
        <v>14414</v>
      </c>
      <c r="G52" s="16">
        <v>13333</v>
      </c>
      <c r="H52" s="16">
        <v>27747</v>
      </c>
      <c r="I52" s="16">
        <v>11325</v>
      </c>
      <c r="J52" s="16">
        <v>10901</v>
      </c>
      <c r="K52" s="16">
        <v>22226</v>
      </c>
      <c r="L52" s="16">
        <v>5521</v>
      </c>
      <c r="M52" s="17">
        <v>38.9</v>
      </c>
      <c r="N52" s="17">
        <v>31.1</v>
      </c>
      <c r="O52" s="18">
        <v>7.8</v>
      </c>
      <c r="Q52" s="4">
        <f t="shared" si="0"/>
        <v>0</v>
      </c>
      <c r="R52" s="4">
        <f t="shared" si="1"/>
        <v>0</v>
      </c>
      <c r="S52" s="4">
        <f t="shared" si="2"/>
        <v>0</v>
      </c>
      <c r="T52" s="4">
        <f t="shared" si="3"/>
        <v>0</v>
      </c>
      <c r="U52" s="5">
        <f t="shared" si="4"/>
        <v>-2.439018239186197E-2</v>
      </c>
      <c r="V52" s="5">
        <f t="shared" si="5"/>
        <v>4.0278365450628684E-2</v>
      </c>
      <c r="W52" s="5">
        <f t="shared" si="6"/>
        <v>0</v>
      </c>
    </row>
    <row r="53" spans="1:23" x14ac:dyDescent="0.55000000000000004">
      <c r="A53" s="19" t="s">
        <v>18</v>
      </c>
      <c r="B53" s="20">
        <v>1893</v>
      </c>
      <c r="C53" s="21">
        <v>344312</v>
      </c>
      <c r="D53" s="21">
        <v>376190</v>
      </c>
      <c r="E53" s="21">
        <v>720502</v>
      </c>
      <c r="F53" s="21">
        <v>16941</v>
      </c>
      <c r="G53" s="21">
        <v>16217</v>
      </c>
      <c r="H53" s="21">
        <v>33158</v>
      </c>
      <c r="I53" s="21">
        <v>9080</v>
      </c>
      <c r="J53" s="21">
        <v>8938</v>
      </c>
      <c r="K53" s="21">
        <v>18018</v>
      </c>
      <c r="L53" s="21">
        <v>15140</v>
      </c>
      <c r="M53" s="22">
        <v>46</v>
      </c>
      <c r="N53" s="22">
        <v>25</v>
      </c>
      <c r="O53" s="23">
        <v>21</v>
      </c>
      <c r="Q53" s="4">
        <f t="shared" si="0"/>
        <v>0</v>
      </c>
      <c r="R53" s="4">
        <f t="shared" si="1"/>
        <v>0</v>
      </c>
      <c r="S53" s="4">
        <f t="shared" si="2"/>
        <v>0</v>
      </c>
      <c r="T53" s="4">
        <f t="shared" si="3"/>
        <v>0</v>
      </c>
      <c r="U53" s="5">
        <f t="shared" si="4"/>
        <v>2.0691129240447026E-2</v>
      </c>
      <c r="V53" s="5">
        <f t="shared" si="5"/>
        <v>7.5641705366535916E-3</v>
      </c>
      <c r="W53" s="5">
        <f t="shared" si="6"/>
        <v>0</v>
      </c>
    </row>
    <row r="54" spans="1:23" x14ac:dyDescent="0.55000000000000004">
      <c r="A54" s="24" t="s">
        <v>19</v>
      </c>
      <c r="B54" s="25">
        <v>1881</v>
      </c>
      <c r="C54" s="26" t="s">
        <v>56</v>
      </c>
      <c r="D54" s="26" t="s">
        <v>56</v>
      </c>
      <c r="E54" s="27">
        <v>543091</v>
      </c>
      <c r="F54" s="27">
        <v>11047</v>
      </c>
      <c r="G54" s="27">
        <v>10839</v>
      </c>
      <c r="H54" s="27">
        <v>21886</v>
      </c>
      <c r="I54" s="27">
        <v>7451</v>
      </c>
      <c r="J54" s="27">
        <v>7544</v>
      </c>
      <c r="K54" s="27">
        <v>14995</v>
      </c>
      <c r="L54" s="27">
        <v>6891</v>
      </c>
      <c r="M54" s="28">
        <v>40.299999999999997</v>
      </c>
      <c r="N54" s="28">
        <v>27.6</v>
      </c>
      <c r="O54" s="29">
        <v>12.7</v>
      </c>
      <c r="Q54" s="4"/>
      <c r="R54" s="4">
        <f t="shared" si="1"/>
        <v>0</v>
      </c>
      <c r="S54" s="4">
        <f t="shared" si="2"/>
        <v>0</v>
      </c>
      <c r="T54" s="4">
        <f t="shared" si="3"/>
        <v>0</v>
      </c>
      <c r="U54" s="5">
        <f t="shared" si="4"/>
        <v>-1.0445763233022376E-3</v>
      </c>
      <c r="V54" s="5">
        <f t="shared" si="5"/>
        <v>1.0474119438548257E-2</v>
      </c>
      <c r="W54" s="5">
        <f t="shared" si="6"/>
        <v>0</v>
      </c>
    </row>
    <row r="55" spans="1:23" x14ac:dyDescent="0.55000000000000004">
      <c r="A55" s="30" t="s">
        <v>19</v>
      </c>
      <c r="B55" s="31">
        <v>1882</v>
      </c>
      <c r="C55" s="32" t="s">
        <v>56</v>
      </c>
      <c r="D55" s="32" t="s">
        <v>56</v>
      </c>
      <c r="E55" s="33">
        <v>549982</v>
      </c>
      <c r="F55" s="33">
        <v>10931</v>
      </c>
      <c r="G55" s="33">
        <v>10889</v>
      </c>
      <c r="H55" s="33">
        <v>21820</v>
      </c>
      <c r="I55" s="33">
        <v>9211</v>
      </c>
      <c r="J55" s="33">
        <v>9369</v>
      </c>
      <c r="K55" s="33">
        <v>18580</v>
      </c>
      <c r="L55" s="33">
        <v>3240</v>
      </c>
      <c r="M55" s="34">
        <v>39.6</v>
      </c>
      <c r="N55" s="34">
        <v>33.799999999999997</v>
      </c>
      <c r="O55" s="35">
        <v>5.8</v>
      </c>
      <c r="Q55" s="4"/>
      <c r="R55" s="4">
        <f t="shared" si="1"/>
        <v>0</v>
      </c>
      <c r="S55" s="4">
        <f t="shared" si="2"/>
        <v>0</v>
      </c>
      <c r="T55" s="4">
        <f t="shared" si="3"/>
        <v>0</v>
      </c>
      <c r="U55" s="5">
        <f t="shared" si="4"/>
        <v>7.4025695386396251E-2</v>
      </c>
      <c r="V55" s="5">
        <f t="shared" si="5"/>
        <v>-1.7076195220937507E-2</v>
      </c>
      <c r="W55" s="5">
        <f t="shared" si="6"/>
        <v>0</v>
      </c>
    </row>
    <row r="56" spans="1:23" x14ac:dyDescent="0.55000000000000004">
      <c r="A56" s="24" t="s">
        <v>19</v>
      </c>
      <c r="B56" s="25">
        <v>1883</v>
      </c>
      <c r="C56" s="26" t="s">
        <v>56</v>
      </c>
      <c r="D56" s="26" t="s">
        <v>56</v>
      </c>
      <c r="E56" s="27">
        <v>552222</v>
      </c>
      <c r="F56" s="27">
        <v>10579</v>
      </c>
      <c r="G56" s="27">
        <v>10043</v>
      </c>
      <c r="H56" s="27">
        <v>20622</v>
      </c>
      <c r="I56" s="27">
        <v>6813</v>
      </c>
      <c r="J56" s="27">
        <v>6672</v>
      </c>
      <c r="K56" s="27">
        <v>13485</v>
      </c>
      <c r="L56" s="27">
        <v>7137</v>
      </c>
      <c r="M56" s="28">
        <v>37.299999999999997</v>
      </c>
      <c r="N56" s="28">
        <v>24.4</v>
      </c>
      <c r="O56" s="29">
        <v>12.9</v>
      </c>
      <c r="Q56" s="4"/>
      <c r="R56" s="4">
        <f t="shared" si="1"/>
        <v>0</v>
      </c>
      <c r="S56" s="4">
        <f t="shared" si="2"/>
        <v>0</v>
      </c>
      <c r="T56" s="4">
        <f t="shared" si="3"/>
        <v>0</v>
      </c>
      <c r="U56" s="5">
        <f t="shared" si="4"/>
        <v>4.3676999467606947E-2</v>
      </c>
      <c r="V56" s="5">
        <f t="shared" si="5"/>
        <v>1.952692938709788E-2</v>
      </c>
      <c r="W56" s="5">
        <f t="shared" si="6"/>
        <v>0</v>
      </c>
    </row>
    <row r="57" spans="1:23" x14ac:dyDescent="0.55000000000000004">
      <c r="A57" s="30" t="s">
        <v>19</v>
      </c>
      <c r="B57" s="31">
        <v>1884</v>
      </c>
      <c r="C57" s="32" t="s">
        <v>56</v>
      </c>
      <c r="D57" s="32" t="s">
        <v>56</v>
      </c>
      <c r="E57" s="33">
        <v>563586</v>
      </c>
      <c r="F57" s="33">
        <v>10875</v>
      </c>
      <c r="G57" s="33">
        <v>10786</v>
      </c>
      <c r="H57" s="33">
        <v>21661</v>
      </c>
      <c r="I57" s="33">
        <v>7211</v>
      </c>
      <c r="J57" s="33">
        <v>7364</v>
      </c>
      <c r="K57" s="33">
        <v>14575</v>
      </c>
      <c r="L57" s="33">
        <v>7086</v>
      </c>
      <c r="M57" s="34">
        <v>38.4</v>
      </c>
      <c r="N57" s="34">
        <v>25.9</v>
      </c>
      <c r="O57" s="35">
        <v>12.5</v>
      </c>
      <c r="Q57" s="4"/>
      <c r="R57" s="4">
        <f t="shared" si="1"/>
        <v>0</v>
      </c>
      <c r="S57" s="4">
        <f t="shared" si="2"/>
        <v>0</v>
      </c>
      <c r="T57" s="4">
        <f t="shared" si="3"/>
        <v>0</v>
      </c>
      <c r="U57" s="5">
        <f t="shared" si="4"/>
        <v>3.4240736994881615E-2</v>
      </c>
      <c r="V57" s="5">
        <f t="shared" si="5"/>
        <v>-3.8818210530426001E-2</v>
      </c>
      <c r="W57" s="5">
        <f t="shared" si="6"/>
        <v>0</v>
      </c>
    </row>
    <row r="58" spans="1:23" x14ac:dyDescent="0.55000000000000004">
      <c r="A58" s="24" t="s">
        <v>19</v>
      </c>
      <c r="B58" s="25">
        <v>1885</v>
      </c>
      <c r="C58" s="26" t="s">
        <v>56</v>
      </c>
      <c r="D58" s="26" t="s">
        <v>56</v>
      </c>
      <c r="E58" s="27">
        <v>575004</v>
      </c>
      <c r="F58" s="27">
        <v>11636</v>
      </c>
      <c r="G58" s="27">
        <v>10982</v>
      </c>
      <c r="H58" s="27">
        <v>22618</v>
      </c>
      <c r="I58" s="27">
        <v>8398</v>
      </c>
      <c r="J58" s="27">
        <v>8492</v>
      </c>
      <c r="K58" s="27">
        <v>16890</v>
      </c>
      <c r="L58" s="27">
        <v>5728</v>
      </c>
      <c r="M58" s="28">
        <v>39.299999999999997</v>
      </c>
      <c r="N58" s="28">
        <v>29.4</v>
      </c>
      <c r="O58" s="29">
        <v>9.9</v>
      </c>
      <c r="Q58" s="4"/>
      <c r="R58" s="4">
        <f t="shared" si="1"/>
        <v>0</v>
      </c>
      <c r="S58" s="4">
        <f t="shared" si="2"/>
        <v>0</v>
      </c>
      <c r="T58" s="4">
        <f t="shared" si="3"/>
        <v>0</v>
      </c>
      <c r="U58" s="5">
        <f t="shared" si="4"/>
        <v>3.5378536497141511E-2</v>
      </c>
      <c r="V58" s="5">
        <f t="shared" si="5"/>
        <v>-2.629129536489927E-2</v>
      </c>
      <c r="W58" s="5">
        <f t="shared" si="6"/>
        <v>0</v>
      </c>
    </row>
    <row r="59" spans="1:23" x14ac:dyDescent="0.55000000000000004">
      <c r="A59" s="30" t="s">
        <v>19</v>
      </c>
      <c r="B59" s="31">
        <v>1886</v>
      </c>
      <c r="C59" s="32" t="s">
        <v>56</v>
      </c>
      <c r="D59" s="32" t="s">
        <v>56</v>
      </c>
      <c r="E59" s="33">
        <v>594129</v>
      </c>
      <c r="F59" s="33">
        <v>11056</v>
      </c>
      <c r="G59" s="33">
        <v>11047</v>
      </c>
      <c r="H59" s="33">
        <v>22103</v>
      </c>
      <c r="I59" s="33">
        <v>7640</v>
      </c>
      <c r="J59" s="33">
        <v>7005</v>
      </c>
      <c r="K59" s="33">
        <v>14645</v>
      </c>
      <c r="L59" s="33">
        <v>7458</v>
      </c>
      <c r="M59" s="34">
        <v>37.200000000000003</v>
      </c>
      <c r="N59" s="34">
        <v>24.6</v>
      </c>
      <c r="O59" s="35">
        <v>12.6</v>
      </c>
      <c r="Q59" s="4"/>
      <c r="R59" s="4">
        <f t="shared" si="1"/>
        <v>0</v>
      </c>
      <c r="S59" s="4">
        <f t="shared" si="2"/>
        <v>0</v>
      </c>
      <c r="T59" s="4">
        <f t="shared" si="3"/>
        <v>0</v>
      </c>
      <c r="U59" s="5">
        <f t="shared" si="4"/>
        <v>2.3584103788891753E-3</v>
      </c>
      <c r="V59" s="5">
        <f t="shared" si="5"/>
        <v>4.9528974347321508E-2</v>
      </c>
      <c r="W59" s="5">
        <f t="shared" si="6"/>
        <v>0</v>
      </c>
    </row>
    <row r="60" spans="1:23" x14ac:dyDescent="0.55000000000000004">
      <c r="A60" s="24" t="s">
        <v>19</v>
      </c>
      <c r="B60" s="25">
        <v>1887</v>
      </c>
      <c r="C60" s="26" t="s">
        <v>56</v>
      </c>
      <c r="D60" s="26" t="s">
        <v>56</v>
      </c>
      <c r="E60" s="27">
        <v>601587</v>
      </c>
      <c r="F60" s="27">
        <v>11470</v>
      </c>
      <c r="G60" s="27">
        <v>11463</v>
      </c>
      <c r="H60" s="27">
        <v>22933</v>
      </c>
      <c r="I60" s="27">
        <v>8282</v>
      </c>
      <c r="J60" s="27">
        <v>8419</v>
      </c>
      <c r="K60" s="27">
        <v>16701</v>
      </c>
      <c r="L60" s="27">
        <v>6232</v>
      </c>
      <c r="M60" s="28">
        <v>38.1</v>
      </c>
      <c r="N60" s="28">
        <v>27.8</v>
      </c>
      <c r="O60" s="29">
        <v>10.3</v>
      </c>
      <c r="Q60" s="4"/>
      <c r="R60" s="4">
        <f t="shared" si="1"/>
        <v>0</v>
      </c>
      <c r="S60" s="4">
        <f t="shared" si="2"/>
        <v>0</v>
      </c>
      <c r="T60" s="4">
        <f t="shared" si="3"/>
        <v>0</v>
      </c>
      <c r="U60" s="5">
        <f t="shared" si="4"/>
        <v>2.0837052662372457E-2</v>
      </c>
      <c r="V60" s="5">
        <f t="shared" si="5"/>
        <v>-3.8429354357724321E-2</v>
      </c>
      <c r="W60" s="5">
        <f t="shared" si="6"/>
        <v>0</v>
      </c>
    </row>
    <row r="61" spans="1:23" x14ac:dyDescent="0.55000000000000004">
      <c r="A61" s="30" t="s">
        <v>19</v>
      </c>
      <c r="B61" s="31">
        <v>1888</v>
      </c>
      <c r="C61" s="32" t="s">
        <v>56</v>
      </c>
      <c r="D61" s="32" t="s">
        <v>56</v>
      </c>
      <c r="E61" s="33">
        <v>607819</v>
      </c>
      <c r="F61" s="33">
        <v>12402</v>
      </c>
      <c r="G61" s="33">
        <v>11937</v>
      </c>
      <c r="H61" s="33">
        <v>24339</v>
      </c>
      <c r="I61" s="33">
        <v>8732</v>
      </c>
      <c r="J61" s="33">
        <v>8888</v>
      </c>
      <c r="K61" s="33">
        <v>17620</v>
      </c>
      <c r="L61" s="33">
        <v>6719</v>
      </c>
      <c r="M61" s="34">
        <v>40</v>
      </c>
      <c r="N61" s="34">
        <v>28.9</v>
      </c>
      <c r="O61" s="35">
        <v>11.1</v>
      </c>
      <c r="Q61" s="4"/>
      <c r="R61" s="4">
        <f t="shared" si="1"/>
        <v>0</v>
      </c>
      <c r="S61" s="4">
        <f t="shared" si="2"/>
        <v>0</v>
      </c>
      <c r="T61" s="4">
        <f t="shared" si="3"/>
        <v>0</v>
      </c>
      <c r="U61" s="5">
        <f t="shared" si="4"/>
        <v>4.3170746554480388E-2</v>
      </c>
      <c r="V61" s="5">
        <f t="shared" si="5"/>
        <v>8.8893075076629913E-2</v>
      </c>
      <c r="W61" s="5">
        <f t="shared" si="6"/>
        <v>0</v>
      </c>
    </row>
    <row r="62" spans="1:23" x14ac:dyDescent="0.55000000000000004">
      <c r="A62" s="24" t="s">
        <v>19</v>
      </c>
      <c r="B62" s="25">
        <v>1889</v>
      </c>
      <c r="C62" s="26" t="s">
        <v>56</v>
      </c>
      <c r="D62" s="26" t="s">
        <v>56</v>
      </c>
      <c r="E62" s="27">
        <v>593941</v>
      </c>
      <c r="F62" s="27">
        <v>13790</v>
      </c>
      <c r="G62" s="27">
        <v>12419</v>
      </c>
      <c r="H62" s="27">
        <v>26209</v>
      </c>
      <c r="I62" s="27">
        <v>8932</v>
      </c>
      <c r="J62" s="27">
        <v>8431</v>
      </c>
      <c r="K62" s="27">
        <v>17363</v>
      </c>
      <c r="L62" s="27">
        <v>8846</v>
      </c>
      <c r="M62" s="28">
        <v>44.1</v>
      </c>
      <c r="N62" s="28">
        <v>29.2</v>
      </c>
      <c r="O62" s="29">
        <v>14.9</v>
      </c>
      <c r="Q62" s="4"/>
      <c r="R62" s="4">
        <f t="shared" si="1"/>
        <v>0</v>
      </c>
      <c r="S62" s="4">
        <f t="shared" si="2"/>
        <v>0</v>
      </c>
      <c r="T62" s="4">
        <f t="shared" si="3"/>
        <v>0</v>
      </c>
      <c r="U62" s="5">
        <f t="shared" si="4"/>
        <v>2.7278635420010744E-2</v>
      </c>
      <c r="V62" s="5">
        <f t="shared" si="5"/>
        <v>3.3543399091829684E-2</v>
      </c>
      <c r="W62" s="5">
        <f t="shared" si="6"/>
        <v>0</v>
      </c>
    </row>
    <row r="63" spans="1:23" x14ac:dyDescent="0.55000000000000004">
      <c r="A63" s="30" t="s">
        <v>19</v>
      </c>
      <c r="B63" s="31">
        <v>1890</v>
      </c>
      <c r="C63" s="33">
        <v>293298</v>
      </c>
      <c r="D63" s="33">
        <v>309489</v>
      </c>
      <c r="E63" s="33">
        <v>602787</v>
      </c>
      <c r="F63" s="33">
        <v>14136</v>
      </c>
      <c r="G63" s="33">
        <v>13167</v>
      </c>
      <c r="H63" s="33">
        <v>27303</v>
      </c>
      <c r="I63" s="33">
        <v>10060</v>
      </c>
      <c r="J63" s="33">
        <v>9711</v>
      </c>
      <c r="K63" s="33">
        <v>19771</v>
      </c>
      <c r="L63" s="33">
        <v>7532</v>
      </c>
      <c r="M63" s="34">
        <v>45.3</v>
      </c>
      <c r="N63" s="34">
        <v>32.799999999999997</v>
      </c>
      <c r="O63" s="35">
        <v>12.5</v>
      </c>
      <c r="Q63" s="4">
        <f t="shared" si="0"/>
        <v>0</v>
      </c>
      <c r="R63" s="4">
        <f t="shared" si="1"/>
        <v>0</v>
      </c>
      <c r="S63" s="4">
        <f t="shared" si="2"/>
        <v>0</v>
      </c>
      <c r="T63" s="4">
        <f t="shared" si="3"/>
        <v>0</v>
      </c>
      <c r="U63" s="5">
        <f t="shared" si="4"/>
        <v>-5.3934474366528207E-3</v>
      </c>
      <c r="V63" s="5">
        <f t="shared" si="5"/>
        <v>-6.8614618430018481E-4</v>
      </c>
      <c r="W63" s="5">
        <f t="shared" si="6"/>
        <v>0</v>
      </c>
    </row>
    <row r="64" spans="1:23" x14ac:dyDescent="0.55000000000000004">
      <c r="A64" s="24" t="s">
        <v>19</v>
      </c>
      <c r="B64" s="25">
        <v>1891</v>
      </c>
      <c r="C64" s="27">
        <v>297908</v>
      </c>
      <c r="D64" s="27">
        <v>314083</v>
      </c>
      <c r="E64" s="27">
        <v>611991</v>
      </c>
      <c r="F64" s="27">
        <v>14060</v>
      </c>
      <c r="G64" s="27">
        <v>12764</v>
      </c>
      <c r="H64" s="27">
        <v>26824</v>
      </c>
      <c r="I64" s="27">
        <v>8875</v>
      </c>
      <c r="J64" s="27">
        <v>8131</v>
      </c>
      <c r="K64" s="27">
        <v>17006</v>
      </c>
      <c r="L64" s="27">
        <v>9818</v>
      </c>
      <c r="M64" s="28">
        <v>43.8</v>
      </c>
      <c r="N64" s="28">
        <v>27.8</v>
      </c>
      <c r="O64" s="29">
        <v>16</v>
      </c>
      <c r="Q64" s="4">
        <f t="shared" si="0"/>
        <v>0</v>
      </c>
      <c r="R64" s="4">
        <f t="shared" si="1"/>
        <v>0</v>
      </c>
      <c r="S64" s="4">
        <f t="shared" si="2"/>
        <v>0</v>
      </c>
      <c r="T64" s="4">
        <f t="shared" si="3"/>
        <v>0</v>
      </c>
      <c r="U64" s="5">
        <f t="shared" si="4"/>
        <v>3.070992874078371E-2</v>
      </c>
      <c r="V64" s="5">
        <f t="shared" si="5"/>
        <v>-1.2009653736736681E-2</v>
      </c>
      <c r="W64" s="5">
        <f t="shared" si="6"/>
        <v>0</v>
      </c>
    </row>
    <row r="65" spans="1:23" x14ac:dyDescent="0.55000000000000004">
      <c r="A65" s="30" t="s">
        <v>19</v>
      </c>
      <c r="B65" s="31">
        <v>1892</v>
      </c>
      <c r="C65" s="33">
        <v>302518</v>
      </c>
      <c r="D65" s="33">
        <v>318677</v>
      </c>
      <c r="E65" s="33">
        <v>621195</v>
      </c>
      <c r="F65" s="33">
        <v>12849</v>
      </c>
      <c r="G65" s="33">
        <v>11458</v>
      </c>
      <c r="H65" s="33">
        <v>24307</v>
      </c>
      <c r="I65" s="33">
        <v>10844</v>
      </c>
      <c r="J65" s="33">
        <v>10216</v>
      </c>
      <c r="K65" s="33">
        <v>21060</v>
      </c>
      <c r="L65" s="33">
        <v>3247</v>
      </c>
      <c r="M65" s="34">
        <v>39.1</v>
      </c>
      <c r="N65" s="34">
        <v>33.9</v>
      </c>
      <c r="O65" s="35">
        <v>5.2</v>
      </c>
      <c r="Q65" s="4">
        <f t="shared" si="0"/>
        <v>0</v>
      </c>
      <c r="R65" s="4">
        <f t="shared" si="1"/>
        <v>0</v>
      </c>
      <c r="S65" s="4">
        <f t="shared" si="2"/>
        <v>0</v>
      </c>
      <c r="T65" s="4">
        <f t="shared" si="3"/>
        <v>0</v>
      </c>
      <c r="U65" s="5">
        <f t="shared" si="4"/>
        <v>2.9419908402353201E-2</v>
      </c>
      <c r="V65" s="5">
        <f t="shared" si="5"/>
        <v>2.3977977929661165E-3</v>
      </c>
      <c r="W65" s="5">
        <f t="shared" si="6"/>
        <v>0</v>
      </c>
    </row>
    <row r="66" spans="1:23" x14ac:dyDescent="0.55000000000000004">
      <c r="A66" s="24" t="s">
        <v>19</v>
      </c>
      <c r="B66" s="25">
        <v>1893</v>
      </c>
      <c r="C66" s="27">
        <v>307128</v>
      </c>
      <c r="D66" s="27">
        <v>323271</v>
      </c>
      <c r="E66" s="27">
        <v>630399</v>
      </c>
      <c r="F66" s="27">
        <v>14086</v>
      </c>
      <c r="G66" s="27">
        <v>13014</v>
      </c>
      <c r="H66" s="27">
        <v>27100</v>
      </c>
      <c r="I66" s="27">
        <v>9769</v>
      </c>
      <c r="J66" s="27">
        <v>9213</v>
      </c>
      <c r="K66" s="27">
        <v>18982</v>
      </c>
      <c r="L66" s="27">
        <v>8118</v>
      </c>
      <c r="M66" s="28">
        <v>43</v>
      </c>
      <c r="N66" s="28">
        <v>30.1</v>
      </c>
      <c r="O66" s="29">
        <v>12.9</v>
      </c>
      <c r="Q66" s="4">
        <f t="shared" si="0"/>
        <v>0</v>
      </c>
      <c r="R66" s="4">
        <f t="shared" si="1"/>
        <v>0</v>
      </c>
      <c r="S66" s="4">
        <f t="shared" si="2"/>
        <v>0</v>
      </c>
      <c r="T66" s="4">
        <f t="shared" si="3"/>
        <v>0</v>
      </c>
      <c r="U66" s="5">
        <f t="shared" si="4"/>
        <v>-1.1353127146456643E-2</v>
      </c>
      <c r="V66" s="5">
        <f t="shared" si="5"/>
        <v>1.108837418841091E-2</v>
      </c>
      <c r="W66" s="5">
        <f t="shared" si="6"/>
        <v>0</v>
      </c>
    </row>
    <row r="67" spans="1:23" x14ac:dyDescent="0.55000000000000004">
      <c r="A67" s="30" t="s">
        <v>20</v>
      </c>
      <c r="B67" s="31">
        <v>1881</v>
      </c>
      <c r="C67" s="33">
        <v>408846</v>
      </c>
      <c r="D67" s="33">
        <v>433676</v>
      </c>
      <c r="E67" s="33">
        <v>842522</v>
      </c>
      <c r="F67" s="33">
        <v>17292</v>
      </c>
      <c r="G67" s="33">
        <v>17228</v>
      </c>
      <c r="H67" s="33">
        <v>34520</v>
      </c>
      <c r="I67" s="33">
        <v>13063</v>
      </c>
      <c r="J67" s="33">
        <v>12519</v>
      </c>
      <c r="K67" s="33">
        <v>25582</v>
      </c>
      <c r="L67" s="33">
        <v>8938</v>
      </c>
      <c r="M67" s="34">
        <v>41</v>
      </c>
      <c r="N67" s="34">
        <v>30.4</v>
      </c>
      <c r="O67" s="35">
        <v>10.6</v>
      </c>
      <c r="Q67" s="4">
        <f t="shared" ref="Q67:Q130" si="7">E67-D67-C67</f>
        <v>0</v>
      </c>
      <c r="R67" s="4">
        <f t="shared" ref="R67:R130" si="8">H67-G67-F67</f>
        <v>0</v>
      </c>
      <c r="S67" s="4">
        <f t="shared" ref="S67:S130" si="9">K67-J67-I67</f>
        <v>0</v>
      </c>
      <c r="T67" s="4">
        <f t="shared" ref="T67:T130" si="10">H67-K67-L67</f>
        <v>0</v>
      </c>
      <c r="U67" s="5">
        <f t="shared" ref="U67:U130" si="11">H67/E67*1000-M67</f>
        <v>-2.7776129288014317E-2</v>
      </c>
      <c r="V67" s="5">
        <f t="shared" ref="V67:V130" si="12">K67/E67*1000-N67</f>
        <v>-3.6401185963097049E-2</v>
      </c>
      <c r="W67" s="5">
        <f t="shared" ref="W67:W130" si="13">M67-N67-O67</f>
        <v>0</v>
      </c>
    </row>
    <row r="68" spans="1:23" x14ac:dyDescent="0.55000000000000004">
      <c r="A68" s="24" t="s">
        <v>20</v>
      </c>
      <c r="B68" s="25">
        <v>1882</v>
      </c>
      <c r="C68" s="27">
        <v>418135</v>
      </c>
      <c r="D68" s="27">
        <v>442247</v>
      </c>
      <c r="E68" s="27">
        <v>860382</v>
      </c>
      <c r="F68" s="27">
        <v>16614</v>
      </c>
      <c r="G68" s="27">
        <v>16095</v>
      </c>
      <c r="H68" s="27">
        <v>32709</v>
      </c>
      <c r="I68" s="27">
        <v>11745</v>
      </c>
      <c r="J68" s="27">
        <v>11629</v>
      </c>
      <c r="K68" s="27">
        <v>23374</v>
      </c>
      <c r="L68" s="27">
        <v>9335</v>
      </c>
      <c r="M68" s="28">
        <v>38</v>
      </c>
      <c r="N68" s="28">
        <v>27.2</v>
      </c>
      <c r="O68" s="29">
        <v>10.8</v>
      </c>
      <c r="Q68" s="4">
        <f t="shared" si="7"/>
        <v>0</v>
      </c>
      <c r="R68" s="4">
        <f t="shared" si="8"/>
        <v>0</v>
      </c>
      <c r="S68" s="4">
        <f t="shared" si="9"/>
        <v>0</v>
      </c>
      <c r="T68" s="4">
        <f t="shared" si="10"/>
        <v>0</v>
      </c>
      <c r="U68" s="5">
        <f t="shared" si="11"/>
        <v>1.6834382867145337E-2</v>
      </c>
      <c r="V68" s="5">
        <f t="shared" si="12"/>
        <v>-3.2997436022604631E-2</v>
      </c>
      <c r="W68" s="5">
        <f t="shared" si="13"/>
        <v>0</v>
      </c>
    </row>
    <row r="69" spans="1:23" x14ac:dyDescent="0.55000000000000004">
      <c r="A69" s="30" t="s">
        <v>20</v>
      </c>
      <c r="B69" s="31">
        <v>1883</v>
      </c>
      <c r="C69" s="33">
        <v>422004</v>
      </c>
      <c r="D69" s="33">
        <v>446540</v>
      </c>
      <c r="E69" s="33">
        <v>868544</v>
      </c>
      <c r="F69" s="33">
        <v>17301</v>
      </c>
      <c r="G69" s="33">
        <v>17540</v>
      </c>
      <c r="H69" s="33">
        <v>34841</v>
      </c>
      <c r="I69" s="33">
        <v>10829</v>
      </c>
      <c r="J69" s="33">
        <v>11039</v>
      </c>
      <c r="K69" s="33">
        <v>21868</v>
      </c>
      <c r="L69" s="33">
        <v>12973</v>
      </c>
      <c r="M69" s="34">
        <v>40.1</v>
      </c>
      <c r="N69" s="34">
        <v>25.2</v>
      </c>
      <c r="O69" s="35">
        <v>14.9</v>
      </c>
      <c r="Q69" s="4">
        <f t="shared" si="7"/>
        <v>0</v>
      </c>
      <c r="R69" s="4">
        <f t="shared" si="8"/>
        <v>0</v>
      </c>
      <c r="S69" s="4">
        <f t="shared" si="9"/>
        <v>0</v>
      </c>
      <c r="T69" s="4">
        <f t="shared" si="10"/>
        <v>0</v>
      </c>
      <c r="U69" s="5">
        <f t="shared" si="11"/>
        <v>1.4260187163799287E-2</v>
      </c>
      <c r="V69" s="5">
        <f t="shared" si="12"/>
        <v>-2.2231228354577581E-2</v>
      </c>
      <c r="W69" s="5">
        <f t="shared" si="13"/>
        <v>0</v>
      </c>
    </row>
    <row r="70" spans="1:23" x14ac:dyDescent="0.55000000000000004">
      <c r="A70" s="24" t="s">
        <v>20</v>
      </c>
      <c r="B70" s="25">
        <v>1884</v>
      </c>
      <c r="C70" s="27">
        <v>429320</v>
      </c>
      <c r="D70" s="27">
        <v>453296</v>
      </c>
      <c r="E70" s="27">
        <v>882616</v>
      </c>
      <c r="F70" s="27">
        <v>18412</v>
      </c>
      <c r="G70" s="27">
        <v>18295</v>
      </c>
      <c r="H70" s="27">
        <v>36707</v>
      </c>
      <c r="I70" s="27">
        <v>10624</v>
      </c>
      <c r="J70" s="27">
        <v>11285</v>
      </c>
      <c r="K70" s="27">
        <v>21909</v>
      </c>
      <c r="L70" s="27">
        <v>14798</v>
      </c>
      <c r="M70" s="28">
        <v>41.6</v>
      </c>
      <c r="N70" s="28">
        <v>24.8</v>
      </c>
      <c r="O70" s="29">
        <v>16.8</v>
      </c>
      <c r="Q70" s="4">
        <f t="shared" si="7"/>
        <v>0</v>
      </c>
      <c r="R70" s="4">
        <f t="shared" si="8"/>
        <v>0</v>
      </c>
      <c r="S70" s="4">
        <f t="shared" si="9"/>
        <v>0</v>
      </c>
      <c r="T70" s="4">
        <f t="shared" si="10"/>
        <v>0</v>
      </c>
      <c r="U70" s="5">
        <f t="shared" si="11"/>
        <v>-1.1132361072085928E-2</v>
      </c>
      <c r="V70" s="5">
        <f t="shared" si="12"/>
        <v>2.2799496043578671E-2</v>
      </c>
      <c r="W70" s="5">
        <f t="shared" si="13"/>
        <v>0</v>
      </c>
    </row>
    <row r="71" spans="1:23" x14ac:dyDescent="0.55000000000000004">
      <c r="A71" s="30" t="s">
        <v>20</v>
      </c>
      <c r="B71" s="31">
        <v>1885</v>
      </c>
      <c r="C71" s="33">
        <v>439916</v>
      </c>
      <c r="D71" s="33">
        <v>463746</v>
      </c>
      <c r="E71" s="33">
        <v>903662</v>
      </c>
      <c r="F71" s="33">
        <v>20499</v>
      </c>
      <c r="G71" s="33">
        <v>20040</v>
      </c>
      <c r="H71" s="33">
        <v>40539</v>
      </c>
      <c r="I71" s="33">
        <v>11187</v>
      </c>
      <c r="J71" s="33">
        <v>11863</v>
      </c>
      <c r="K71" s="33">
        <v>23050</v>
      </c>
      <c r="L71" s="33">
        <v>17489</v>
      </c>
      <c r="M71" s="34">
        <v>44.9</v>
      </c>
      <c r="N71" s="34">
        <v>25.5</v>
      </c>
      <c r="O71" s="35">
        <v>19.399999999999999</v>
      </c>
      <c r="Q71" s="4">
        <f t="shared" si="7"/>
        <v>0</v>
      </c>
      <c r="R71" s="4">
        <f t="shared" si="8"/>
        <v>0</v>
      </c>
      <c r="S71" s="4">
        <f t="shared" si="9"/>
        <v>0</v>
      </c>
      <c r="T71" s="4">
        <f t="shared" si="10"/>
        <v>0</v>
      </c>
      <c r="U71" s="5">
        <f t="shared" si="11"/>
        <v>-3.9200276209463425E-2</v>
      </c>
      <c r="V71" s="5">
        <f t="shared" si="12"/>
        <v>7.3246412928753557E-3</v>
      </c>
      <c r="W71" s="5">
        <f t="shared" si="13"/>
        <v>0</v>
      </c>
    </row>
    <row r="72" spans="1:23" x14ac:dyDescent="0.55000000000000004">
      <c r="A72" s="24" t="s">
        <v>20</v>
      </c>
      <c r="B72" s="25">
        <v>1886</v>
      </c>
      <c r="C72" s="26" t="s">
        <v>56</v>
      </c>
      <c r="D72" s="26" t="s">
        <v>56</v>
      </c>
      <c r="E72" s="27">
        <v>925497</v>
      </c>
      <c r="F72" s="27">
        <v>19528</v>
      </c>
      <c r="G72" s="27">
        <v>19050</v>
      </c>
      <c r="H72" s="27">
        <v>38578</v>
      </c>
      <c r="I72" s="27">
        <v>11137</v>
      </c>
      <c r="J72" s="27">
        <v>11722</v>
      </c>
      <c r="K72" s="27">
        <v>22859</v>
      </c>
      <c r="L72" s="27">
        <v>15719</v>
      </c>
      <c r="M72" s="28">
        <v>41.7</v>
      </c>
      <c r="N72" s="28">
        <v>24.7</v>
      </c>
      <c r="O72" s="29">
        <v>17</v>
      </c>
      <c r="Q72" s="4"/>
      <c r="R72" s="4">
        <f t="shared" si="8"/>
        <v>0</v>
      </c>
      <c r="S72" s="4">
        <f t="shared" si="9"/>
        <v>0</v>
      </c>
      <c r="T72" s="4">
        <f t="shared" si="10"/>
        <v>0</v>
      </c>
      <c r="U72" s="5">
        <f t="shared" si="11"/>
        <v>-1.6450512535428174E-2</v>
      </c>
      <c r="V72" s="5">
        <f t="shared" si="12"/>
        <v>-8.3836036205298115E-4</v>
      </c>
      <c r="W72" s="5">
        <f t="shared" si="13"/>
        <v>0</v>
      </c>
    </row>
    <row r="73" spans="1:23" x14ac:dyDescent="0.55000000000000004">
      <c r="A73" s="30" t="s">
        <v>20</v>
      </c>
      <c r="B73" s="31">
        <v>1887</v>
      </c>
      <c r="C73" s="32" t="s">
        <v>56</v>
      </c>
      <c r="D73" s="32" t="s">
        <v>56</v>
      </c>
      <c r="E73" s="33">
        <v>945238</v>
      </c>
      <c r="F73" s="33">
        <v>20802</v>
      </c>
      <c r="G73" s="33">
        <v>20045</v>
      </c>
      <c r="H73" s="33">
        <v>40847</v>
      </c>
      <c r="I73" s="33">
        <v>11476</v>
      </c>
      <c r="J73" s="33">
        <v>12930</v>
      </c>
      <c r="K73" s="33">
        <v>24406</v>
      </c>
      <c r="L73" s="33">
        <v>16441</v>
      </c>
      <c r="M73" s="34">
        <v>43.2</v>
      </c>
      <c r="N73" s="34">
        <v>25.8</v>
      </c>
      <c r="O73" s="35">
        <v>17.399999999999999</v>
      </c>
      <c r="Q73" s="4"/>
      <c r="R73" s="4">
        <f t="shared" si="8"/>
        <v>0</v>
      </c>
      <c r="S73" s="4">
        <f t="shared" si="9"/>
        <v>0</v>
      </c>
      <c r="T73" s="4">
        <f t="shared" si="10"/>
        <v>0</v>
      </c>
      <c r="U73" s="5">
        <f t="shared" si="11"/>
        <v>1.3455235612617855E-2</v>
      </c>
      <c r="V73" s="5">
        <f t="shared" si="12"/>
        <v>1.9952223672767389E-2</v>
      </c>
      <c r="W73" s="5">
        <f t="shared" si="13"/>
        <v>0</v>
      </c>
    </row>
    <row r="74" spans="1:23" x14ac:dyDescent="0.55000000000000004">
      <c r="A74" s="24" t="s">
        <v>20</v>
      </c>
      <c r="B74" s="25">
        <v>1888</v>
      </c>
      <c r="C74" s="26" t="s">
        <v>56</v>
      </c>
      <c r="D74" s="26" t="s">
        <v>56</v>
      </c>
      <c r="E74" s="27">
        <v>979700</v>
      </c>
      <c r="F74" s="27">
        <v>20620</v>
      </c>
      <c r="G74" s="27">
        <v>20003</v>
      </c>
      <c r="H74" s="27">
        <v>40623</v>
      </c>
      <c r="I74" s="27">
        <v>12817</v>
      </c>
      <c r="J74" s="27">
        <v>13097</v>
      </c>
      <c r="K74" s="27">
        <v>25914</v>
      </c>
      <c r="L74" s="27">
        <v>14709</v>
      </c>
      <c r="M74" s="28">
        <v>41.5</v>
      </c>
      <c r="N74" s="28">
        <v>26.4</v>
      </c>
      <c r="O74" s="29">
        <v>15.1</v>
      </c>
      <c r="Q74" s="4"/>
      <c r="R74" s="4">
        <f t="shared" si="8"/>
        <v>0</v>
      </c>
      <c r="S74" s="4">
        <f t="shared" si="9"/>
        <v>0</v>
      </c>
      <c r="T74" s="4">
        <f t="shared" si="10"/>
        <v>0</v>
      </c>
      <c r="U74" s="5">
        <f t="shared" si="11"/>
        <v>-3.5265897723796513E-2</v>
      </c>
      <c r="V74" s="5">
        <f t="shared" si="12"/>
        <v>5.095437378789569E-2</v>
      </c>
      <c r="W74" s="5">
        <f t="shared" si="13"/>
        <v>0</v>
      </c>
    </row>
    <row r="75" spans="1:23" x14ac:dyDescent="0.55000000000000004">
      <c r="A75" s="30" t="s">
        <v>20</v>
      </c>
      <c r="B75" s="31">
        <v>1889</v>
      </c>
      <c r="C75" s="33">
        <v>476636</v>
      </c>
      <c r="D75" s="33">
        <v>505236</v>
      </c>
      <c r="E75" s="33">
        <v>981872</v>
      </c>
      <c r="F75" s="33">
        <v>22678</v>
      </c>
      <c r="G75" s="33">
        <v>21005</v>
      </c>
      <c r="H75" s="33">
        <v>43683</v>
      </c>
      <c r="I75" s="33">
        <v>14870</v>
      </c>
      <c r="J75" s="33">
        <v>14134</v>
      </c>
      <c r="K75" s="33">
        <v>29004</v>
      </c>
      <c r="L75" s="33">
        <v>14679</v>
      </c>
      <c r="M75" s="34">
        <v>44.5</v>
      </c>
      <c r="N75" s="34">
        <v>29.5</v>
      </c>
      <c r="O75" s="35">
        <v>15</v>
      </c>
      <c r="Q75" s="4">
        <f t="shared" si="7"/>
        <v>0</v>
      </c>
      <c r="R75" s="4">
        <f t="shared" si="8"/>
        <v>0</v>
      </c>
      <c r="S75" s="4">
        <f t="shared" si="9"/>
        <v>0</v>
      </c>
      <c r="T75" s="4">
        <f t="shared" si="10"/>
        <v>0</v>
      </c>
      <c r="U75" s="5">
        <f t="shared" si="11"/>
        <v>-1.0494239575017161E-2</v>
      </c>
      <c r="V75" s="5">
        <f t="shared" si="12"/>
        <v>3.9491909332376451E-2</v>
      </c>
      <c r="W75" s="5">
        <f t="shared" si="13"/>
        <v>0</v>
      </c>
    </row>
    <row r="76" spans="1:23" x14ac:dyDescent="0.55000000000000004">
      <c r="A76" s="24" t="s">
        <v>20</v>
      </c>
      <c r="B76" s="25">
        <v>1890</v>
      </c>
      <c r="C76" s="27">
        <v>484444</v>
      </c>
      <c r="D76" s="27">
        <v>512107</v>
      </c>
      <c r="E76" s="27">
        <v>996551</v>
      </c>
      <c r="F76" s="27">
        <v>22032</v>
      </c>
      <c r="G76" s="27">
        <v>21219</v>
      </c>
      <c r="H76" s="27">
        <v>43251</v>
      </c>
      <c r="I76" s="27">
        <v>13242</v>
      </c>
      <c r="J76" s="27">
        <v>13528</v>
      </c>
      <c r="K76" s="27">
        <v>26770</v>
      </c>
      <c r="L76" s="27">
        <v>16481</v>
      </c>
      <c r="M76" s="28">
        <v>43.4</v>
      </c>
      <c r="N76" s="28">
        <v>26.9</v>
      </c>
      <c r="O76" s="29">
        <v>16.5</v>
      </c>
      <c r="Q76" s="4">
        <f t="shared" si="7"/>
        <v>0</v>
      </c>
      <c r="R76" s="4">
        <f t="shared" si="8"/>
        <v>0</v>
      </c>
      <c r="S76" s="4">
        <f t="shared" si="9"/>
        <v>0</v>
      </c>
      <c r="T76" s="4">
        <f t="shared" si="10"/>
        <v>0</v>
      </c>
      <c r="U76" s="5">
        <f t="shared" si="11"/>
        <v>6.8897627919284332E-4</v>
      </c>
      <c r="V76" s="5">
        <f t="shared" si="12"/>
        <v>-3.7350722642390366E-2</v>
      </c>
      <c r="W76" s="5">
        <f t="shared" si="13"/>
        <v>0</v>
      </c>
    </row>
    <row r="77" spans="1:23" x14ac:dyDescent="0.55000000000000004">
      <c r="A77" s="30" t="s">
        <v>20</v>
      </c>
      <c r="B77" s="31">
        <v>1891</v>
      </c>
      <c r="C77" s="33">
        <v>497792</v>
      </c>
      <c r="D77" s="33">
        <v>522297</v>
      </c>
      <c r="E77" s="33">
        <v>1020089</v>
      </c>
      <c r="F77" s="33">
        <v>22371</v>
      </c>
      <c r="G77" s="33">
        <v>21437</v>
      </c>
      <c r="H77" s="33">
        <v>43808</v>
      </c>
      <c r="I77" s="33">
        <v>12628</v>
      </c>
      <c r="J77" s="33">
        <v>12975</v>
      </c>
      <c r="K77" s="33">
        <v>25603</v>
      </c>
      <c r="L77" s="33">
        <v>18202</v>
      </c>
      <c r="M77" s="34">
        <v>42.9</v>
      </c>
      <c r="N77" s="34">
        <v>25.1</v>
      </c>
      <c r="O77" s="35">
        <v>17.8</v>
      </c>
      <c r="Q77" s="4">
        <f t="shared" si="7"/>
        <v>0</v>
      </c>
      <c r="R77" s="4">
        <f t="shared" si="8"/>
        <v>0</v>
      </c>
      <c r="S77" s="4">
        <f t="shared" si="9"/>
        <v>0</v>
      </c>
      <c r="T77" s="4">
        <f t="shared" si="10"/>
        <v>3</v>
      </c>
      <c r="U77" s="5">
        <f t="shared" si="11"/>
        <v>4.5272422308251237E-2</v>
      </c>
      <c r="V77" s="5">
        <f t="shared" si="12"/>
        <v>-1.2096003387966903E-3</v>
      </c>
      <c r="W77" s="5">
        <f t="shared" si="13"/>
        <v>0</v>
      </c>
    </row>
    <row r="78" spans="1:23" x14ac:dyDescent="0.55000000000000004">
      <c r="A78" s="24" t="s">
        <v>20</v>
      </c>
      <c r="B78" s="25">
        <v>1892</v>
      </c>
      <c r="C78" s="27">
        <v>511140</v>
      </c>
      <c r="D78" s="27">
        <v>532487</v>
      </c>
      <c r="E78" s="27">
        <v>1043627</v>
      </c>
      <c r="F78" s="27">
        <v>21291</v>
      </c>
      <c r="G78" s="27">
        <v>20740</v>
      </c>
      <c r="H78" s="27">
        <v>42031</v>
      </c>
      <c r="I78" s="27">
        <v>14952</v>
      </c>
      <c r="J78" s="27">
        <v>14821</v>
      </c>
      <c r="K78" s="27">
        <v>29773</v>
      </c>
      <c r="L78" s="27">
        <v>12258</v>
      </c>
      <c r="M78" s="28">
        <v>40.299999999999997</v>
      </c>
      <c r="N78" s="28">
        <v>28.5</v>
      </c>
      <c r="O78" s="29">
        <v>11.8</v>
      </c>
      <c r="Q78" s="4">
        <f t="shared" si="7"/>
        <v>0</v>
      </c>
      <c r="R78" s="4">
        <f t="shared" si="8"/>
        <v>0</v>
      </c>
      <c r="S78" s="4">
        <f t="shared" si="9"/>
        <v>0</v>
      </c>
      <c r="T78" s="4">
        <f t="shared" si="10"/>
        <v>0</v>
      </c>
      <c r="U78" s="5">
        <f t="shared" si="11"/>
        <v>-2.6032385133767377E-2</v>
      </c>
      <c r="V78" s="5">
        <f t="shared" si="12"/>
        <v>2.8391848811885723E-2</v>
      </c>
      <c r="W78" s="5">
        <f t="shared" si="13"/>
        <v>0</v>
      </c>
    </row>
    <row r="79" spans="1:23" x14ac:dyDescent="0.55000000000000004">
      <c r="A79" s="30" t="s">
        <v>20</v>
      </c>
      <c r="B79" s="31">
        <v>1893</v>
      </c>
      <c r="C79" s="33">
        <v>524487</v>
      </c>
      <c r="D79" s="33">
        <v>542678</v>
      </c>
      <c r="E79" s="33">
        <v>1067165</v>
      </c>
      <c r="F79" s="33">
        <v>21582</v>
      </c>
      <c r="G79" s="33">
        <v>21115</v>
      </c>
      <c r="H79" s="33">
        <v>42697</v>
      </c>
      <c r="I79" s="33">
        <v>12864</v>
      </c>
      <c r="J79" s="33">
        <v>13182</v>
      </c>
      <c r="K79" s="33">
        <v>26046</v>
      </c>
      <c r="L79" s="33">
        <v>16651</v>
      </c>
      <c r="M79" s="34">
        <v>40</v>
      </c>
      <c r="N79" s="34">
        <v>24.4</v>
      </c>
      <c r="O79" s="35">
        <v>15.6</v>
      </c>
      <c r="Q79" s="4">
        <f t="shared" si="7"/>
        <v>0</v>
      </c>
      <c r="R79" s="4">
        <f t="shared" si="8"/>
        <v>0</v>
      </c>
      <c r="S79" s="4">
        <f t="shared" si="9"/>
        <v>0</v>
      </c>
      <c r="T79" s="4">
        <f t="shared" si="10"/>
        <v>0</v>
      </c>
      <c r="U79" s="5">
        <f t="shared" si="11"/>
        <v>9.7454470489566347E-3</v>
      </c>
      <c r="V79" s="5">
        <f t="shared" si="12"/>
        <v>6.7224843393489664E-3</v>
      </c>
      <c r="W79" s="5">
        <f t="shared" si="13"/>
        <v>0</v>
      </c>
    </row>
    <row r="80" spans="1:23" x14ac:dyDescent="0.55000000000000004">
      <c r="A80" s="24" t="s">
        <v>21</v>
      </c>
      <c r="B80" s="25">
        <v>1881</v>
      </c>
      <c r="C80" s="27">
        <v>408893</v>
      </c>
      <c r="D80" s="27">
        <v>420679</v>
      </c>
      <c r="E80" s="27">
        <v>829572</v>
      </c>
      <c r="F80" s="27">
        <v>16055</v>
      </c>
      <c r="G80" s="27">
        <v>16423</v>
      </c>
      <c r="H80" s="27">
        <v>32478</v>
      </c>
      <c r="I80" s="27">
        <v>10217</v>
      </c>
      <c r="J80" s="27">
        <v>10293</v>
      </c>
      <c r="K80" s="27">
        <v>20510</v>
      </c>
      <c r="L80" s="27">
        <v>11968</v>
      </c>
      <c r="M80" s="28">
        <v>39.4</v>
      </c>
      <c r="N80" s="28">
        <v>24.9</v>
      </c>
      <c r="O80" s="29">
        <v>14.5</v>
      </c>
      <c r="Q80" s="4">
        <f t="shared" si="7"/>
        <v>0</v>
      </c>
      <c r="R80" s="4">
        <f t="shared" si="8"/>
        <v>0</v>
      </c>
      <c r="S80" s="4">
        <f t="shared" si="9"/>
        <v>0</v>
      </c>
      <c r="T80" s="4">
        <f t="shared" si="10"/>
        <v>0</v>
      </c>
      <c r="U80" s="5">
        <f t="shared" si="11"/>
        <v>-0.24969116604707153</v>
      </c>
      <c r="V80" s="5">
        <f t="shared" si="12"/>
        <v>-0.17640759331317568</v>
      </c>
      <c r="W80" s="5">
        <f t="shared" si="13"/>
        <v>0</v>
      </c>
    </row>
    <row r="81" spans="1:23" x14ac:dyDescent="0.55000000000000004">
      <c r="A81" s="30" t="s">
        <v>21</v>
      </c>
      <c r="B81" s="31">
        <v>1882</v>
      </c>
      <c r="C81" s="33">
        <v>410786</v>
      </c>
      <c r="D81" s="33">
        <v>427142</v>
      </c>
      <c r="E81" s="33">
        <v>837928</v>
      </c>
      <c r="F81" s="33">
        <v>17568</v>
      </c>
      <c r="G81" s="33">
        <v>17767</v>
      </c>
      <c r="H81" s="33">
        <v>35335</v>
      </c>
      <c r="I81" s="33">
        <v>11854</v>
      </c>
      <c r="J81" s="33">
        <v>11909</v>
      </c>
      <c r="K81" s="33">
        <v>23763</v>
      </c>
      <c r="L81" s="33">
        <v>11572</v>
      </c>
      <c r="M81" s="34">
        <v>42.2</v>
      </c>
      <c r="N81" s="34">
        <v>28.4</v>
      </c>
      <c r="O81" s="35">
        <v>13.8</v>
      </c>
      <c r="Q81" s="4">
        <f t="shared" si="7"/>
        <v>0</v>
      </c>
      <c r="R81" s="4">
        <f t="shared" si="8"/>
        <v>0</v>
      </c>
      <c r="S81" s="4">
        <f t="shared" si="9"/>
        <v>0</v>
      </c>
      <c r="T81" s="4">
        <f t="shared" si="10"/>
        <v>0</v>
      </c>
      <c r="U81" s="5">
        <f t="shared" si="11"/>
        <v>-3.0505723642129112E-2</v>
      </c>
      <c r="V81" s="5">
        <f t="shared" si="12"/>
        <v>-4.0761497407888925E-2</v>
      </c>
      <c r="W81" s="5">
        <f t="shared" si="13"/>
        <v>0</v>
      </c>
    </row>
    <row r="82" spans="1:23" x14ac:dyDescent="0.55000000000000004">
      <c r="A82" s="24" t="s">
        <v>21</v>
      </c>
      <c r="B82" s="25">
        <v>1883</v>
      </c>
      <c r="C82" s="27">
        <v>417533</v>
      </c>
      <c r="D82" s="27">
        <v>432915</v>
      </c>
      <c r="E82" s="27">
        <v>850448</v>
      </c>
      <c r="F82" s="27">
        <v>17416</v>
      </c>
      <c r="G82" s="27">
        <v>17007</v>
      </c>
      <c r="H82" s="27">
        <v>34423</v>
      </c>
      <c r="I82" s="27">
        <v>10282</v>
      </c>
      <c r="J82" s="27">
        <v>10319</v>
      </c>
      <c r="K82" s="27">
        <v>20601</v>
      </c>
      <c r="L82" s="27">
        <v>13822</v>
      </c>
      <c r="M82" s="28">
        <v>40.5</v>
      </c>
      <c r="N82" s="28">
        <v>24.2</v>
      </c>
      <c r="O82" s="29">
        <v>16.3</v>
      </c>
      <c r="Q82" s="4">
        <f t="shared" si="7"/>
        <v>0</v>
      </c>
      <c r="R82" s="4">
        <f t="shared" si="8"/>
        <v>0</v>
      </c>
      <c r="S82" s="4">
        <f t="shared" si="9"/>
        <v>0</v>
      </c>
      <c r="T82" s="4">
        <f t="shared" si="10"/>
        <v>0</v>
      </c>
      <c r="U82" s="5">
        <f t="shared" si="11"/>
        <v>-2.3686339435215586E-2</v>
      </c>
      <c r="V82" s="5">
        <f t="shared" si="12"/>
        <v>2.37032716873955E-2</v>
      </c>
      <c r="W82" s="5">
        <f t="shared" si="13"/>
        <v>0</v>
      </c>
    </row>
    <row r="83" spans="1:23" x14ac:dyDescent="0.55000000000000004">
      <c r="A83" s="30" t="s">
        <v>21</v>
      </c>
      <c r="B83" s="31">
        <v>1884</v>
      </c>
      <c r="C83" s="33">
        <v>425212</v>
      </c>
      <c r="D83" s="33">
        <v>440565</v>
      </c>
      <c r="E83" s="33">
        <v>865777</v>
      </c>
      <c r="F83" s="33">
        <v>17133</v>
      </c>
      <c r="G83" s="33">
        <v>16881</v>
      </c>
      <c r="H83" s="33">
        <v>34014</v>
      </c>
      <c r="I83" s="33">
        <v>10113</v>
      </c>
      <c r="J83" s="33">
        <v>10135</v>
      </c>
      <c r="K83" s="33">
        <v>20248</v>
      </c>
      <c r="L83" s="33">
        <v>13766</v>
      </c>
      <c r="M83" s="34">
        <v>39.299999999999997</v>
      </c>
      <c r="N83" s="34">
        <v>23.4</v>
      </c>
      <c r="O83" s="35">
        <v>15.9</v>
      </c>
      <c r="Q83" s="4">
        <f t="shared" si="7"/>
        <v>0</v>
      </c>
      <c r="R83" s="4">
        <f t="shared" si="8"/>
        <v>0</v>
      </c>
      <c r="S83" s="4">
        <f t="shared" si="9"/>
        <v>0</v>
      </c>
      <c r="T83" s="4">
        <f t="shared" si="10"/>
        <v>0</v>
      </c>
      <c r="U83" s="5">
        <f t="shared" si="11"/>
        <v>-1.2747046872341627E-2</v>
      </c>
      <c r="V83" s="5">
        <f t="shared" si="12"/>
        <v>-1.2915335011211226E-2</v>
      </c>
      <c r="W83" s="5">
        <f t="shared" si="13"/>
        <v>0</v>
      </c>
    </row>
    <row r="84" spans="1:23" x14ac:dyDescent="0.55000000000000004">
      <c r="A84" s="24" t="s">
        <v>21</v>
      </c>
      <c r="B84" s="25">
        <v>1885</v>
      </c>
      <c r="C84" s="27">
        <v>440858</v>
      </c>
      <c r="D84" s="27">
        <v>466056</v>
      </c>
      <c r="E84" s="27">
        <v>906914</v>
      </c>
      <c r="F84" s="27">
        <v>17266</v>
      </c>
      <c r="G84" s="27">
        <v>16099</v>
      </c>
      <c r="H84" s="27">
        <v>33365</v>
      </c>
      <c r="I84" s="27">
        <v>11096</v>
      </c>
      <c r="J84" s="27">
        <v>10711</v>
      </c>
      <c r="K84" s="27">
        <v>21807</v>
      </c>
      <c r="L84" s="27">
        <v>11558</v>
      </c>
      <c r="M84" s="28">
        <v>36.700000000000003</v>
      </c>
      <c r="N84" s="28">
        <v>24</v>
      </c>
      <c r="O84" s="29">
        <v>12.7</v>
      </c>
      <c r="Q84" s="4">
        <f t="shared" si="7"/>
        <v>0</v>
      </c>
      <c r="R84" s="4">
        <f t="shared" si="8"/>
        <v>0</v>
      </c>
      <c r="S84" s="4">
        <f t="shared" si="9"/>
        <v>0</v>
      </c>
      <c r="T84" s="4">
        <f t="shared" si="10"/>
        <v>0</v>
      </c>
      <c r="U84" s="5">
        <f t="shared" si="11"/>
        <v>8.9596367461517445E-2</v>
      </c>
      <c r="V84" s="5">
        <f t="shared" si="12"/>
        <v>4.5278824673562923E-2</v>
      </c>
      <c r="W84" s="5">
        <f t="shared" si="13"/>
        <v>0</v>
      </c>
    </row>
    <row r="85" spans="1:23" x14ac:dyDescent="0.55000000000000004">
      <c r="A85" s="30" t="s">
        <v>21</v>
      </c>
      <c r="B85" s="31">
        <v>1886</v>
      </c>
      <c r="C85" s="33">
        <v>451183</v>
      </c>
      <c r="D85" s="33">
        <v>476578</v>
      </c>
      <c r="E85" s="33">
        <v>927761</v>
      </c>
      <c r="F85" s="33">
        <v>17632</v>
      </c>
      <c r="G85" s="33">
        <v>17180</v>
      </c>
      <c r="H85" s="33">
        <v>34812</v>
      </c>
      <c r="I85" s="33">
        <v>9575</v>
      </c>
      <c r="J85" s="33">
        <v>9619</v>
      </c>
      <c r="K85" s="33">
        <v>19194</v>
      </c>
      <c r="L85" s="33">
        <v>15618</v>
      </c>
      <c r="M85" s="34">
        <v>37.5</v>
      </c>
      <c r="N85" s="34">
        <v>20.7</v>
      </c>
      <c r="O85" s="35">
        <v>16.8</v>
      </c>
      <c r="Q85" s="4">
        <f t="shared" si="7"/>
        <v>0</v>
      </c>
      <c r="R85" s="4">
        <f t="shared" si="8"/>
        <v>0</v>
      </c>
      <c r="S85" s="4">
        <f t="shared" si="9"/>
        <v>0</v>
      </c>
      <c r="T85" s="4">
        <f t="shared" si="10"/>
        <v>0</v>
      </c>
      <c r="U85" s="5">
        <f t="shared" si="11"/>
        <v>2.2594719976375188E-2</v>
      </c>
      <c r="V85" s="5">
        <f t="shared" si="12"/>
        <v>-1.1482159737258968E-2</v>
      </c>
      <c r="W85" s="5">
        <f t="shared" si="13"/>
        <v>0</v>
      </c>
    </row>
    <row r="86" spans="1:23" x14ac:dyDescent="0.55000000000000004">
      <c r="A86" s="24" t="s">
        <v>21</v>
      </c>
      <c r="B86" s="25">
        <v>1887</v>
      </c>
      <c r="C86" s="27">
        <v>461159</v>
      </c>
      <c r="D86" s="27">
        <v>485675</v>
      </c>
      <c r="E86" s="27">
        <v>946834</v>
      </c>
      <c r="F86" s="27">
        <v>21708</v>
      </c>
      <c r="G86" s="27">
        <v>20695</v>
      </c>
      <c r="H86" s="27">
        <v>42403</v>
      </c>
      <c r="I86" s="27">
        <v>12088</v>
      </c>
      <c r="J86" s="27">
        <v>11692</v>
      </c>
      <c r="K86" s="27">
        <v>23780</v>
      </c>
      <c r="L86" s="27">
        <v>18623</v>
      </c>
      <c r="M86" s="28">
        <v>44.8</v>
      </c>
      <c r="N86" s="28">
        <v>25.1</v>
      </c>
      <c r="O86" s="29">
        <v>19.7</v>
      </c>
      <c r="Q86" s="4">
        <f t="shared" si="7"/>
        <v>0</v>
      </c>
      <c r="R86" s="4">
        <f t="shared" si="8"/>
        <v>0</v>
      </c>
      <c r="S86" s="4">
        <f t="shared" si="9"/>
        <v>0</v>
      </c>
      <c r="T86" s="4">
        <f t="shared" si="10"/>
        <v>0</v>
      </c>
      <c r="U86" s="5">
        <f t="shared" si="11"/>
        <v>-1.6014634032991637E-2</v>
      </c>
      <c r="V86" s="5">
        <f t="shared" si="12"/>
        <v>1.5278919007975844E-2</v>
      </c>
      <c r="W86" s="5">
        <f t="shared" si="13"/>
        <v>0</v>
      </c>
    </row>
    <row r="87" spans="1:23" x14ac:dyDescent="0.55000000000000004">
      <c r="A87" s="30" t="s">
        <v>21</v>
      </c>
      <c r="B87" s="31">
        <v>1888</v>
      </c>
      <c r="C87" s="33">
        <v>472553</v>
      </c>
      <c r="D87" s="33">
        <v>495882</v>
      </c>
      <c r="E87" s="33">
        <v>968435</v>
      </c>
      <c r="F87" s="33">
        <v>22621</v>
      </c>
      <c r="G87" s="33">
        <v>21725</v>
      </c>
      <c r="H87" s="33">
        <v>44346</v>
      </c>
      <c r="I87" s="33">
        <v>12800</v>
      </c>
      <c r="J87" s="33">
        <v>12486</v>
      </c>
      <c r="K87" s="33">
        <v>25286</v>
      </c>
      <c r="L87" s="33">
        <v>19060</v>
      </c>
      <c r="M87" s="34">
        <v>45.7</v>
      </c>
      <c r="N87" s="34">
        <v>26.1</v>
      </c>
      <c r="O87" s="35">
        <v>19.600000000000001</v>
      </c>
      <c r="Q87" s="4">
        <f t="shared" si="7"/>
        <v>0</v>
      </c>
      <c r="R87" s="4">
        <f t="shared" si="8"/>
        <v>0</v>
      </c>
      <c r="S87" s="4">
        <f t="shared" si="9"/>
        <v>0</v>
      </c>
      <c r="T87" s="4">
        <f t="shared" si="10"/>
        <v>0</v>
      </c>
      <c r="U87" s="5">
        <f t="shared" si="11"/>
        <v>9.140572160237781E-2</v>
      </c>
      <c r="V87" s="5">
        <f t="shared" si="12"/>
        <v>1.0167435088568766E-2</v>
      </c>
      <c r="W87" s="5">
        <f t="shared" si="13"/>
        <v>0</v>
      </c>
    </row>
    <row r="88" spans="1:23" x14ac:dyDescent="0.55000000000000004">
      <c r="A88" s="24" t="s">
        <v>21</v>
      </c>
      <c r="B88" s="25">
        <v>1889</v>
      </c>
      <c r="C88" s="27">
        <v>519668</v>
      </c>
      <c r="D88" s="27">
        <v>552595</v>
      </c>
      <c r="E88" s="27">
        <v>1072263</v>
      </c>
      <c r="F88" s="27">
        <v>24542</v>
      </c>
      <c r="G88" s="27">
        <v>23110</v>
      </c>
      <c r="H88" s="27">
        <v>47652</v>
      </c>
      <c r="I88" s="27">
        <v>14596</v>
      </c>
      <c r="J88" s="27">
        <v>14102</v>
      </c>
      <c r="K88" s="27">
        <v>28698</v>
      </c>
      <c r="L88" s="27">
        <v>18954</v>
      </c>
      <c r="M88" s="28">
        <v>44.4</v>
      </c>
      <c r="N88" s="28">
        <v>26.8</v>
      </c>
      <c r="O88" s="29">
        <v>17.600000000000001</v>
      </c>
      <c r="Q88" s="4">
        <f t="shared" si="7"/>
        <v>0</v>
      </c>
      <c r="R88" s="4">
        <f t="shared" si="8"/>
        <v>0</v>
      </c>
      <c r="S88" s="4">
        <f t="shared" si="9"/>
        <v>0</v>
      </c>
      <c r="T88" s="4">
        <f t="shared" si="10"/>
        <v>0</v>
      </c>
      <c r="U88" s="5">
        <f t="shared" si="11"/>
        <v>4.0589668765960596E-2</v>
      </c>
      <c r="V88" s="5">
        <f t="shared" si="12"/>
        <v>-3.604376911261653E-2</v>
      </c>
      <c r="W88" s="5">
        <f t="shared" si="13"/>
        <v>0</v>
      </c>
    </row>
    <row r="89" spans="1:23" x14ac:dyDescent="0.55000000000000004">
      <c r="A89" s="30" t="s">
        <v>21</v>
      </c>
      <c r="B89" s="31">
        <v>1890</v>
      </c>
      <c r="C89" s="33">
        <v>529614</v>
      </c>
      <c r="D89" s="33">
        <v>561603</v>
      </c>
      <c r="E89" s="33">
        <v>1091217</v>
      </c>
      <c r="F89" s="33">
        <v>24191</v>
      </c>
      <c r="G89" s="33">
        <v>23140</v>
      </c>
      <c r="H89" s="33">
        <v>47331</v>
      </c>
      <c r="I89" s="33">
        <v>14080</v>
      </c>
      <c r="J89" s="33">
        <v>13487</v>
      </c>
      <c r="K89" s="33">
        <v>27567</v>
      </c>
      <c r="L89" s="33">
        <v>19764</v>
      </c>
      <c r="M89" s="34">
        <v>43.4</v>
      </c>
      <c r="N89" s="34">
        <v>25.2</v>
      </c>
      <c r="O89" s="35">
        <v>18.2</v>
      </c>
      <c r="Q89" s="4">
        <f t="shared" si="7"/>
        <v>0</v>
      </c>
      <c r="R89" s="4">
        <f t="shared" si="8"/>
        <v>0</v>
      </c>
      <c r="S89" s="4">
        <f t="shared" si="9"/>
        <v>0</v>
      </c>
      <c r="T89" s="4">
        <f t="shared" si="10"/>
        <v>0</v>
      </c>
      <c r="U89" s="5">
        <f t="shared" si="11"/>
        <v>-2.5492454754640903E-2</v>
      </c>
      <c r="V89" s="5">
        <f t="shared" si="12"/>
        <v>6.2619625610672358E-2</v>
      </c>
      <c r="W89" s="5">
        <f t="shared" si="13"/>
        <v>0</v>
      </c>
    </row>
    <row r="90" spans="1:23" x14ac:dyDescent="0.55000000000000004">
      <c r="A90" s="24" t="s">
        <v>21</v>
      </c>
      <c r="B90" s="25">
        <v>1891</v>
      </c>
      <c r="C90" s="27">
        <v>550768</v>
      </c>
      <c r="D90" s="27">
        <v>579836</v>
      </c>
      <c r="E90" s="27">
        <v>1130604</v>
      </c>
      <c r="F90" s="27">
        <v>25786</v>
      </c>
      <c r="G90" s="27">
        <v>25605</v>
      </c>
      <c r="H90" s="27">
        <v>51391</v>
      </c>
      <c r="I90" s="27">
        <v>13455</v>
      </c>
      <c r="J90" s="27">
        <v>13141</v>
      </c>
      <c r="K90" s="27">
        <v>26596</v>
      </c>
      <c r="L90" s="27">
        <v>24795</v>
      </c>
      <c r="M90" s="28">
        <v>45.5</v>
      </c>
      <c r="N90" s="28">
        <v>23.5</v>
      </c>
      <c r="O90" s="29">
        <v>22</v>
      </c>
      <c r="Q90" s="4">
        <f t="shared" si="7"/>
        <v>0</v>
      </c>
      <c r="R90" s="4">
        <f t="shared" si="8"/>
        <v>0</v>
      </c>
      <c r="S90" s="4">
        <f t="shared" si="9"/>
        <v>0</v>
      </c>
      <c r="T90" s="4">
        <f t="shared" si="10"/>
        <v>0</v>
      </c>
      <c r="U90" s="5">
        <f t="shared" si="11"/>
        <v>-4.553495299857957E-2</v>
      </c>
      <c r="V90" s="5">
        <f t="shared" si="12"/>
        <v>2.3709450877586136E-2</v>
      </c>
      <c r="W90" s="5">
        <f t="shared" si="13"/>
        <v>0</v>
      </c>
    </row>
    <row r="91" spans="1:23" x14ac:dyDescent="0.55000000000000004">
      <c r="A91" s="30" t="s">
        <v>21</v>
      </c>
      <c r="B91" s="31">
        <v>1892</v>
      </c>
      <c r="C91" s="33">
        <v>571922</v>
      </c>
      <c r="D91" s="33">
        <v>598069</v>
      </c>
      <c r="E91" s="33">
        <v>1169991</v>
      </c>
      <c r="F91" s="33">
        <v>24999</v>
      </c>
      <c r="G91" s="33">
        <v>24494</v>
      </c>
      <c r="H91" s="33">
        <v>49493</v>
      </c>
      <c r="I91" s="33">
        <v>16523</v>
      </c>
      <c r="J91" s="33">
        <v>16035</v>
      </c>
      <c r="K91" s="33">
        <v>32558</v>
      </c>
      <c r="L91" s="33">
        <v>16935</v>
      </c>
      <c r="M91" s="34">
        <v>42.3</v>
      </c>
      <c r="N91" s="34">
        <v>27.8</v>
      </c>
      <c r="O91" s="35">
        <v>14.5</v>
      </c>
      <c r="Q91" s="4">
        <f t="shared" si="7"/>
        <v>0</v>
      </c>
      <c r="R91" s="4">
        <f t="shared" si="8"/>
        <v>0</v>
      </c>
      <c r="S91" s="4">
        <f t="shared" si="9"/>
        <v>0</v>
      </c>
      <c r="T91" s="4">
        <f t="shared" si="10"/>
        <v>0</v>
      </c>
      <c r="U91" s="5">
        <f t="shared" si="11"/>
        <v>2.0348019771176951E-3</v>
      </c>
      <c r="V91" s="5">
        <f t="shared" si="12"/>
        <v>2.7564485538778882E-2</v>
      </c>
      <c r="W91" s="5">
        <f t="shared" si="13"/>
        <v>0</v>
      </c>
    </row>
    <row r="92" spans="1:23" x14ac:dyDescent="0.55000000000000004">
      <c r="A92" s="24" t="s">
        <v>21</v>
      </c>
      <c r="B92" s="25">
        <v>1893</v>
      </c>
      <c r="C92" s="27">
        <v>593077</v>
      </c>
      <c r="D92" s="27">
        <v>616303</v>
      </c>
      <c r="E92" s="27">
        <v>1209380</v>
      </c>
      <c r="F92" s="27">
        <v>27131</v>
      </c>
      <c r="G92" s="27">
        <v>26029</v>
      </c>
      <c r="H92" s="27">
        <v>53160</v>
      </c>
      <c r="I92" s="27">
        <v>16445</v>
      </c>
      <c r="J92" s="27">
        <v>16242</v>
      </c>
      <c r="K92" s="27">
        <v>32687</v>
      </c>
      <c r="L92" s="27">
        <v>20473</v>
      </c>
      <c r="M92" s="28">
        <v>44</v>
      </c>
      <c r="N92" s="28">
        <v>27</v>
      </c>
      <c r="O92" s="29">
        <v>17</v>
      </c>
      <c r="Q92" s="4">
        <f t="shared" si="7"/>
        <v>0</v>
      </c>
      <c r="R92" s="4">
        <f t="shared" si="8"/>
        <v>0</v>
      </c>
      <c r="S92" s="4">
        <f t="shared" si="9"/>
        <v>0</v>
      </c>
      <c r="T92" s="4">
        <f t="shared" si="10"/>
        <v>0</v>
      </c>
      <c r="U92" s="5">
        <f t="shared" si="11"/>
        <v>-4.3592584630140152E-2</v>
      </c>
      <c r="V92" s="5">
        <f t="shared" si="12"/>
        <v>2.7898592667316535E-2</v>
      </c>
      <c r="W92" s="5">
        <f t="shared" si="13"/>
        <v>0</v>
      </c>
    </row>
    <row r="93" spans="1:23" x14ac:dyDescent="0.55000000000000004">
      <c r="A93" s="30" t="s">
        <v>22</v>
      </c>
      <c r="B93" s="31">
        <v>1881</v>
      </c>
      <c r="C93" s="33">
        <v>257027</v>
      </c>
      <c r="D93" s="33">
        <v>273072</v>
      </c>
      <c r="E93" s="33">
        <v>530099</v>
      </c>
      <c r="F93" s="33">
        <v>11034</v>
      </c>
      <c r="G93" s="33">
        <v>10800</v>
      </c>
      <c r="H93" s="33">
        <v>21834</v>
      </c>
      <c r="I93" s="33">
        <v>7782</v>
      </c>
      <c r="J93" s="33">
        <v>7606</v>
      </c>
      <c r="K93" s="33">
        <v>15388</v>
      </c>
      <c r="L93" s="33">
        <v>6446</v>
      </c>
      <c r="M93" s="34">
        <v>41.2</v>
      </c>
      <c r="N93" s="34">
        <v>29</v>
      </c>
      <c r="O93" s="35">
        <v>12.2</v>
      </c>
      <c r="Q93" s="4">
        <f t="shared" si="7"/>
        <v>0</v>
      </c>
      <c r="R93" s="4">
        <f t="shared" si="8"/>
        <v>0</v>
      </c>
      <c r="S93" s="4">
        <f t="shared" si="9"/>
        <v>0</v>
      </c>
      <c r="T93" s="4">
        <f t="shared" si="10"/>
        <v>0</v>
      </c>
      <c r="U93" s="5">
        <f t="shared" si="11"/>
        <v>-1.1467291958673798E-2</v>
      </c>
      <c r="V93" s="5">
        <f t="shared" si="12"/>
        <v>2.8539951971236377E-2</v>
      </c>
      <c r="W93" s="5">
        <f t="shared" si="13"/>
        <v>0</v>
      </c>
    </row>
    <row r="94" spans="1:23" x14ac:dyDescent="0.55000000000000004">
      <c r="A94" s="24" t="s">
        <v>22</v>
      </c>
      <c r="B94" s="25">
        <v>1882</v>
      </c>
      <c r="C94" s="27">
        <v>260411</v>
      </c>
      <c r="D94" s="27">
        <v>277730</v>
      </c>
      <c r="E94" s="27">
        <v>538141</v>
      </c>
      <c r="F94" s="27">
        <v>11722</v>
      </c>
      <c r="G94" s="27">
        <v>11457</v>
      </c>
      <c r="H94" s="27">
        <v>23179</v>
      </c>
      <c r="I94" s="27">
        <v>7232</v>
      </c>
      <c r="J94" s="27">
        <v>7165</v>
      </c>
      <c r="K94" s="27">
        <v>14397</v>
      </c>
      <c r="L94" s="27">
        <v>8782</v>
      </c>
      <c r="M94" s="28">
        <v>43.1</v>
      </c>
      <c r="N94" s="28">
        <v>26.8</v>
      </c>
      <c r="O94" s="29">
        <v>16.3</v>
      </c>
      <c r="Q94" s="4">
        <f t="shared" si="7"/>
        <v>0</v>
      </c>
      <c r="R94" s="4">
        <f t="shared" si="8"/>
        <v>0</v>
      </c>
      <c r="S94" s="4">
        <f t="shared" si="9"/>
        <v>0</v>
      </c>
      <c r="T94" s="4">
        <f t="shared" si="10"/>
        <v>0</v>
      </c>
      <c r="U94" s="5">
        <f t="shared" si="11"/>
        <v>-2.7645356886019101E-2</v>
      </c>
      <c r="V94" s="5">
        <f t="shared" si="12"/>
        <v>-4.678848108581235E-2</v>
      </c>
      <c r="W94" s="5">
        <f t="shared" si="13"/>
        <v>0</v>
      </c>
    </row>
    <row r="95" spans="1:23" x14ac:dyDescent="0.55000000000000004">
      <c r="A95" s="30" t="s">
        <v>22</v>
      </c>
      <c r="B95" s="31">
        <v>1883</v>
      </c>
      <c r="C95" s="33">
        <v>267353</v>
      </c>
      <c r="D95" s="33">
        <v>282038</v>
      </c>
      <c r="E95" s="33">
        <v>549391</v>
      </c>
      <c r="F95" s="33">
        <v>11861</v>
      </c>
      <c r="G95" s="33">
        <v>11586</v>
      </c>
      <c r="H95" s="33">
        <v>23447</v>
      </c>
      <c r="I95" s="33">
        <v>7395</v>
      </c>
      <c r="J95" s="33">
        <v>7255</v>
      </c>
      <c r="K95" s="33">
        <v>14650</v>
      </c>
      <c r="L95" s="33">
        <v>8797</v>
      </c>
      <c r="M95" s="34">
        <v>42.7</v>
      </c>
      <c r="N95" s="34">
        <v>26.7</v>
      </c>
      <c r="O95" s="35">
        <v>16</v>
      </c>
      <c r="Q95" s="4">
        <f t="shared" si="7"/>
        <v>0</v>
      </c>
      <c r="R95" s="4">
        <f t="shared" si="8"/>
        <v>0</v>
      </c>
      <c r="S95" s="4">
        <f t="shared" si="9"/>
        <v>0</v>
      </c>
      <c r="T95" s="4">
        <f t="shared" si="10"/>
        <v>0</v>
      </c>
      <c r="U95" s="5">
        <f t="shared" si="11"/>
        <v>-2.1834540427491334E-2</v>
      </c>
      <c r="V95" s="5">
        <f t="shared" si="12"/>
        <v>-3.4109950836469949E-2</v>
      </c>
      <c r="W95" s="5">
        <f t="shared" si="13"/>
        <v>0</v>
      </c>
    </row>
    <row r="96" spans="1:23" x14ac:dyDescent="0.55000000000000004">
      <c r="A96" s="24" t="s">
        <v>22</v>
      </c>
      <c r="B96" s="25">
        <v>1884</v>
      </c>
      <c r="C96" s="27">
        <v>271256</v>
      </c>
      <c r="D96" s="27">
        <v>285723</v>
      </c>
      <c r="E96" s="27">
        <v>556979</v>
      </c>
      <c r="F96" s="27">
        <v>11798</v>
      </c>
      <c r="G96" s="27">
        <v>11520</v>
      </c>
      <c r="H96" s="27">
        <v>23318</v>
      </c>
      <c r="I96" s="27">
        <v>7659</v>
      </c>
      <c r="J96" s="27">
        <v>7408</v>
      </c>
      <c r="K96" s="27">
        <v>15067</v>
      </c>
      <c r="L96" s="27">
        <v>8251</v>
      </c>
      <c r="M96" s="28">
        <v>41.8</v>
      </c>
      <c r="N96" s="28">
        <v>27.1</v>
      </c>
      <c r="O96" s="29">
        <v>14.7</v>
      </c>
      <c r="Q96" s="4">
        <f t="shared" si="7"/>
        <v>0</v>
      </c>
      <c r="R96" s="4">
        <f t="shared" si="8"/>
        <v>0</v>
      </c>
      <c r="S96" s="4">
        <f t="shared" si="9"/>
        <v>0</v>
      </c>
      <c r="T96" s="4">
        <f t="shared" si="10"/>
        <v>0</v>
      </c>
      <c r="U96" s="5">
        <f t="shared" si="11"/>
        <v>6.5133155828135614E-2</v>
      </c>
      <c r="V96" s="5">
        <f t="shared" si="12"/>
        <v>-4.8710813154535515E-2</v>
      </c>
      <c r="W96" s="5">
        <f t="shared" si="13"/>
        <v>0</v>
      </c>
    </row>
    <row r="97" spans="1:23" x14ac:dyDescent="0.55000000000000004">
      <c r="A97" s="30" t="s">
        <v>22</v>
      </c>
      <c r="B97" s="31">
        <v>1885</v>
      </c>
      <c r="C97" s="33">
        <v>273792</v>
      </c>
      <c r="D97" s="33">
        <v>288006</v>
      </c>
      <c r="E97" s="33">
        <v>561798</v>
      </c>
      <c r="F97" s="33">
        <v>12224</v>
      </c>
      <c r="G97" s="33">
        <v>12179</v>
      </c>
      <c r="H97" s="33">
        <v>24403</v>
      </c>
      <c r="I97" s="33">
        <v>8626</v>
      </c>
      <c r="J97" s="33">
        <v>8545</v>
      </c>
      <c r="K97" s="33">
        <v>17171</v>
      </c>
      <c r="L97" s="33">
        <v>7232</v>
      </c>
      <c r="M97" s="34">
        <v>43.4</v>
      </c>
      <c r="N97" s="34">
        <v>30.6</v>
      </c>
      <c r="O97" s="35">
        <v>12.8</v>
      </c>
      <c r="Q97" s="4">
        <f t="shared" si="7"/>
        <v>0</v>
      </c>
      <c r="R97" s="4">
        <f t="shared" si="8"/>
        <v>0</v>
      </c>
      <c r="S97" s="4">
        <f t="shared" si="9"/>
        <v>0</v>
      </c>
      <c r="T97" s="4">
        <f t="shared" si="10"/>
        <v>0</v>
      </c>
      <c r="U97" s="5">
        <f t="shared" si="11"/>
        <v>3.7320887578815132E-2</v>
      </c>
      <c r="V97" s="5">
        <f t="shared" si="12"/>
        <v>-3.5633448321284789E-2</v>
      </c>
      <c r="W97" s="5">
        <f t="shared" si="13"/>
        <v>0</v>
      </c>
    </row>
    <row r="98" spans="1:23" x14ac:dyDescent="0.55000000000000004">
      <c r="A98" s="24" t="s">
        <v>22</v>
      </c>
      <c r="B98" s="25">
        <v>1886</v>
      </c>
      <c r="C98" s="27">
        <v>279550</v>
      </c>
      <c r="D98" s="27">
        <v>294582</v>
      </c>
      <c r="E98" s="27">
        <v>574132</v>
      </c>
      <c r="F98" s="27">
        <v>13240</v>
      </c>
      <c r="G98" s="47">
        <v>12888</v>
      </c>
      <c r="H98" s="27">
        <v>26128</v>
      </c>
      <c r="I98" s="27">
        <v>8320</v>
      </c>
      <c r="J98" s="27">
        <v>8103</v>
      </c>
      <c r="K98" s="27">
        <v>16423</v>
      </c>
      <c r="L98" s="27">
        <v>9705</v>
      </c>
      <c r="M98" s="28">
        <v>45.5</v>
      </c>
      <c r="N98" s="28">
        <v>28.6</v>
      </c>
      <c r="O98" s="29">
        <v>16.899999999999999</v>
      </c>
      <c r="Q98" s="4">
        <f t="shared" si="7"/>
        <v>0</v>
      </c>
      <c r="R98" s="4">
        <f>H98-G98-F98</f>
        <v>0</v>
      </c>
      <c r="S98" s="4">
        <f t="shared" si="9"/>
        <v>0</v>
      </c>
      <c r="T98" s="4">
        <f t="shared" si="10"/>
        <v>0</v>
      </c>
      <c r="U98" s="5">
        <f t="shared" si="11"/>
        <v>8.6983481150681996E-3</v>
      </c>
      <c r="V98" s="5">
        <f t="shared" si="12"/>
        <v>4.9201228985644718E-3</v>
      </c>
      <c r="W98" s="5">
        <f t="shared" si="13"/>
        <v>0</v>
      </c>
    </row>
    <row r="99" spans="1:23" x14ac:dyDescent="0.55000000000000004">
      <c r="A99" s="30" t="s">
        <v>22</v>
      </c>
      <c r="B99" s="31">
        <v>1887</v>
      </c>
      <c r="C99" s="33">
        <v>284113</v>
      </c>
      <c r="D99" s="33">
        <v>299724</v>
      </c>
      <c r="E99" s="33">
        <v>583837</v>
      </c>
      <c r="F99" s="33">
        <v>12857</v>
      </c>
      <c r="G99" s="33">
        <v>12662</v>
      </c>
      <c r="H99" s="33">
        <v>25519</v>
      </c>
      <c r="I99" s="33">
        <v>7950</v>
      </c>
      <c r="J99" s="33">
        <v>7973</v>
      </c>
      <c r="K99" s="33">
        <v>15923</v>
      </c>
      <c r="L99" s="33">
        <v>9596</v>
      </c>
      <c r="M99" s="34">
        <v>43.7</v>
      </c>
      <c r="N99" s="34">
        <v>27.3</v>
      </c>
      <c r="O99" s="35">
        <v>16.399999999999999</v>
      </c>
      <c r="Q99" s="4">
        <f t="shared" si="7"/>
        <v>0</v>
      </c>
      <c r="R99" s="4">
        <f t="shared" si="8"/>
        <v>0</v>
      </c>
      <c r="S99" s="4">
        <f t="shared" si="9"/>
        <v>0</v>
      </c>
      <c r="T99" s="4">
        <f t="shared" si="10"/>
        <v>0</v>
      </c>
      <c r="U99" s="5">
        <f t="shared" si="11"/>
        <v>9.1174420257686961E-3</v>
      </c>
      <c r="V99" s="5">
        <f t="shared" si="12"/>
        <v>-2.6976878820629935E-2</v>
      </c>
      <c r="W99" s="5">
        <f t="shared" si="13"/>
        <v>0</v>
      </c>
    </row>
    <row r="100" spans="1:23" x14ac:dyDescent="0.55000000000000004">
      <c r="A100" s="24" t="s">
        <v>22</v>
      </c>
      <c r="B100" s="25">
        <v>1888</v>
      </c>
      <c r="C100" s="27">
        <v>295737</v>
      </c>
      <c r="D100" s="27">
        <v>309227</v>
      </c>
      <c r="E100" s="27">
        <v>604964</v>
      </c>
      <c r="F100" s="27">
        <v>12351</v>
      </c>
      <c r="G100" s="27">
        <v>12094</v>
      </c>
      <c r="H100" s="27">
        <v>24445</v>
      </c>
      <c r="I100" s="27">
        <v>7144</v>
      </c>
      <c r="J100" s="27">
        <v>7195</v>
      </c>
      <c r="K100" s="27">
        <v>14339</v>
      </c>
      <c r="L100" s="27">
        <v>10106</v>
      </c>
      <c r="M100" s="28">
        <v>40.4</v>
      </c>
      <c r="N100" s="28">
        <v>23.7</v>
      </c>
      <c r="O100" s="29">
        <v>16.7</v>
      </c>
      <c r="Q100" s="4">
        <f t="shared" si="7"/>
        <v>0</v>
      </c>
      <c r="R100" s="4">
        <f t="shared" si="8"/>
        <v>0</v>
      </c>
      <c r="S100" s="4">
        <f t="shared" si="9"/>
        <v>0</v>
      </c>
      <c r="T100" s="4">
        <f t="shared" si="10"/>
        <v>0</v>
      </c>
      <c r="U100" s="5">
        <f t="shared" si="11"/>
        <v>7.3630827619552974E-3</v>
      </c>
      <c r="V100" s="5">
        <f t="shared" si="12"/>
        <v>2.2368273153432483E-3</v>
      </c>
      <c r="W100" s="5">
        <f t="shared" si="13"/>
        <v>0</v>
      </c>
    </row>
    <row r="101" spans="1:23" x14ac:dyDescent="0.55000000000000004">
      <c r="A101" s="30" t="s">
        <v>22</v>
      </c>
      <c r="B101" s="31">
        <v>1889</v>
      </c>
      <c r="C101" s="33">
        <v>290010</v>
      </c>
      <c r="D101" s="33">
        <v>314565</v>
      </c>
      <c r="E101" s="33">
        <v>604575</v>
      </c>
      <c r="F101" s="33">
        <v>13224</v>
      </c>
      <c r="G101" s="33">
        <v>12402</v>
      </c>
      <c r="H101" s="33">
        <v>25626</v>
      </c>
      <c r="I101" s="33">
        <v>7810</v>
      </c>
      <c r="J101" s="33">
        <v>7553</v>
      </c>
      <c r="K101" s="33">
        <v>15363</v>
      </c>
      <c r="L101" s="33">
        <v>10263</v>
      </c>
      <c r="M101" s="34">
        <v>42.4</v>
      </c>
      <c r="N101" s="34">
        <v>25.4</v>
      </c>
      <c r="O101" s="35">
        <v>17</v>
      </c>
      <c r="Q101" s="4">
        <f t="shared" si="7"/>
        <v>0</v>
      </c>
      <c r="R101" s="4">
        <f t="shared" si="8"/>
        <v>0</v>
      </c>
      <c r="S101" s="4">
        <f t="shared" si="9"/>
        <v>0</v>
      </c>
      <c r="T101" s="4">
        <f t="shared" si="10"/>
        <v>0</v>
      </c>
      <c r="U101" s="5">
        <f t="shared" si="11"/>
        <v>-1.3199354918747019E-2</v>
      </c>
      <c r="V101" s="5">
        <f t="shared" si="12"/>
        <v>1.1239300334949576E-2</v>
      </c>
      <c r="W101" s="5">
        <f t="shared" si="13"/>
        <v>0</v>
      </c>
    </row>
    <row r="102" spans="1:23" x14ac:dyDescent="0.55000000000000004">
      <c r="A102" s="24" t="s">
        <v>22</v>
      </c>
      <c r="B102" s="25">
        <v>1890</v>
      </c>
      <c r="C102" s="27">
        <v>295424</v>
      </c>
      <c r="D102" s="27">
        <v>319414</v>
      </c>
      <c r="E102" s="27">
        <v>614838</v>
      </c>
      <c r="F102" s="27">
        <v>13942</v>
      </c>
      <c r="G102" s="27">
        <v>13091</v>
      </c>
      <c r="H102" s="27">
        <v>27033</v>
      </c>
      <c r="I102" s="27">
        <v>9796</v>
      </c>
      <c r="J102" s="27">
        <v>9606</v>
      </c>
      <c r="K102" s="27">
        <v>19402</v>
      </c>
      <c r="L102" s="27">
        <v>7631</v>
      </c>
      <c r="M102" s="28">
        <v>44</v>
      </c>
      <c r="N102" s="28">
        <v>31.6</v>
      </c>
      <c r="O102" s="29">
        <v>12.4</v>
      </c>
      <c r="Q102" s="4">
        <f t="shared" si="7"/>
        <v>0</v>
      </c>
      <c r="R102" s="4">
        <f t="shared" si="8"/>
        <v>0</v>
      </c>
      <c r="S102" s="4">
        <f t="shared" si="9"/>
        <v>0</v>
      </c>
      <c r="T102" s="4">
        <f t="shared" si="10"/>
        <v>0</v>
      </c>
      <c r="U102" s="5">
        <f t="shared" si="11"/>
        <v>-3.2320708869654879E-2</v>
      </c>
      <c r="V102" s="5">
        <f t="shared" si="12"/>
        <v>-4.3720134409387157E-2</v>
      </c>
      <c r="W102" s="5">
        <f t="shared" si="13"/>
        <v>0</v>
      </c>
    </row>
    <row r="103" spans="1:23" x14ac:dyDescent="0.55000000000000004">
      <c r="A103" s="30" t="s">
        <v>22</v>
      </c>
      <c r="B103" s="31">
        <v>1891</v>
      </c>
      <c r="C103" s="33">
        <v>298918</v>
      </c>
      <c r="D103" s="33">
        <v>322176</v>
      </c>
      <c r="E103" s="33">
        <v>621094</v>
      </c>
      <c r="F103" s="33">
        <v>13510</v>
      </c>
      <c r="G103" s="33">
        <v>12858</v>
      </c>
      <c r="H103" s="33">
        <v>26368</v>
      </c>
      <c r="I103" s="33">
        <v>9275</v>
      </c>
      <c r="J103" s="33">
        <v>9018</v>
      </c>
      <c r="K103" s="33">
        <v>18293</v>
      </c>
      <c r="L103" s="33">
        <v>8075</v>
      </c>
      <c r="M103" s="34">
        <v>42.5</v>
      </c>
      <c r="N103" s="34">
        <v>29.5</v>
      </c>
      <c r="O103" s="35">
        <v>13</v>
      </c>
      <c r="Q103" s="4">
        <f t="shared" si="7"/>
        <v>0</v>
      </c>
      <c r="R103" s="4">
        <f t="shared" si="8"/>
        <v>0</v>
      </c>
      <c r="S103" s="4">
        <f t="shared" si="9"/>
        <v>0</v>
      </c>
      <c r="T103" s="4">
        <f t="shared" si="10"/>
        <v>0</v>
      </c>
      <c r="U103" s="5">
        <f t="shared" si="11"/>
        <v>-4.5878723671457067E-2</v>
      </c>
      <c r="V103" s="5">
        <f t="shared" si="12"/>
        <v>-4.713135209807362E-2</v>
      </c>
      <c r="W103" s="5">
        <f t="shared" si="13"/>
        <v>0</v>
      </c>
    </row>
    <row r="104" spans="1:23" x14ac:dyDescent="0.55000000000000004">
      <c r="A104" s="24" t="s">
        <v>22</v>
      </c>
      <c r="B104" s="25">
        <v>1892</v>
      </c>
      <c r="C104" s="27">
        <v>302412</v>
      </c>
      <c r="D104" s="27">
        <v>324938</v>
      </c>
      <c r="E104" s="27">
        <v>627350</v>
      </c>
      <c r="F104" s="27">
        <v>12473</v>
      </c>
      <c r="G104" s="27">
        <v>11828</v>
      </c>
      <c r="H104" s="27">
        <v>24301</v>
      </c>
      <c r="I104" s="27">
        <v>9377</v>
      </c>
      <c r="J104" s="27">
        <v>9102</v>
      </c>
      <c r="K104" s="27">
        <v>18479</v>
      </c>
      <c r="L104" s="27">
        <v>5822</v>
      </c>
      <c r="M104" s="28">
        <v>38.700000000000003</v>
      </c>
      <c r="N104" s="28">
        <v>29.5</v>
      </c>
      <c r="O104" s="29">
        <v>9.1999999999999993</v>
      </c>
      <c r="Q104" s="4">
        <f t="shared" si="7"/>
        <v>0</v>
      </c>
      <c r="R104" s="4">
        <f t="shared" si="8"/>
        <v>0</v>
      </c>
      <c r="S104" s="4">
        <f t="shared" si="9"/>
        <v>0</v>
      </c>
      <c r="T104" s="4">
        <f t="shared" si="10"/>
        <v>0</v>
      </c>
      <c r="U104" s="5">
        <f t="shared" si="11"/>
        <v>3.5952817406545989E-2</v>
      </c>
      <c r="V104" s="5">
        <f t="shared" si="12"/>
        <v>-4.4353231848251795E-2</v>
      </c>
      <c r="W104" s="5">
        <f t="shared" si="13"/>
        <v>0</v>
      </c>
    </row>
    <row r="105" spans="1:23" x14ac:dyDescent="0.55000000000000004">
      <c r="A105" s="30" t="s">
        <v>22</v>
      </c>
      <c r="B105" s="31">
        <v>1893</v>
      </c>
      <c r="C105" s="33">
        <v>305907</v>
      </c>
      <c r="D105" s="33">
        <v>327700</v>
      </c>
      <c r="E105" s="33">
        <v>633607</v>
      </c>
      <c r="F105" s="33">
        <v>13397</v>
      </c>
      <c r="G105" s="33">
        <v>13329</v>
      </c>
      <c r="H105" s="33">
        <v>26726</v>
      </c>
      <c r="I105" s="33">
        <v>8810</v>
      </c>
      <c r="J105" s="33">
        <v>8766</v>
      </c>
      <c r="K105" s="33">
        <v>17576</v>
      </c>
      <c r="L105" s="33">
        <v>9150</v>
      </c>
      <c r="M105" s="34">
        <v>42.2</v>
      </c>
      <c r="N105" s="34">
        <v>27.7</v>
      </c>
      <c r="O105" s="35">
        <v>14.5</v>
      </c>
      <c r="Q105" s="4">
        <f t="shared" si="7"/>
        <v>0</v>
      </c>
      <c r="R105" s="4">
        <f t="shared" si="8"/>
        <v>0</v>
      </c>
      <c r="S105" s="4">
        <f t="shared" si="9"/>
        <v>0</v>
      </c>
      <c r="T105" s="4">
        <f t="shared" si="10"/>
        <v>0</v>
      </c>
      <c r="U105" s="5">
        <f t="shared" si="11"/>
        <v>-1.9279143065020321E-2</v>
      </c>
      <c r="V105" s="5">
        <f t="shared" si="12"/>
        <v>3.9592523441186245E-2</v>
      </c>
      <c r="W105" s="5">
        <f t="shared" si="13"/>
        <v>0</v>
      </c>
    </row>
    <row r="106" spans="1:23" x14ac:dyDescent="0.55000000000000004">
      <c r="A106" s="24" t="s">
        <v>23</v>
      </c>
      <c r="B106" s="25">
        <v>1881</v>
      </c>
      <c r="C106" s="27">
        <v>302804</v>
      </c>
      <c r="D106" s="27">
        <v>321266</v>
      </c>
      <c r="E106" s="27">
        <v>624070</v>
      </c>
      <c r="F106" s="27">
        <v>13633</v>
      </c>
      <c r="G106" s="27">
        <v>12962</v>
      </c>
      <c r="H106" s="27">
        <v>26595</v>
      </c>
      <c r="I106" s="27">
        <v>8718</v>
      </c>
      <c r="J106" s="27">
        <v>8419</v>
      </c>
      <c r="K106" s="27">
        <v>17137</v>
      </c>
      <c r="L106" s="27">
        <v>9458</v>
      </c>
      <c r="M106" s="28">
        <v>42.6</v>
      </c>
      <c r="N106" s="28">
        <v>27.5</v>
      </c>
      <c r="O106" s="29">
        <v>15.1</v>
      </c>
      <c r="Q106" s="4">
        <f t="shared" si="7"/>
        <v>0</v>
      </c>
      <c r="R106" s="4">
        <f t="shared" si="8"/>
        <v>0</v>
      </c>
      <c r="S106" s="4">
        <f t="shared" si="9"/>
        <v>0</v>
      </c>
      <c r="T106" s="4">
        <f t="shared" si="10"/>
        <v>0</v>
      </c>
      <c r="U106" s="5">
        <f t="shared" si="11"/>
        <v>1.5411732658193955E-2</v>
      </c>
      <c r="V106" s="5">
        <f t="shared" si="12"/>
        <v>-3.9939429871648002E-2</v>
      </c>
      <c r="W106" s="5">
        <f t="shared" si="13"/>
        <v>0</v>
      </c>
    </row>
    <row r="107" spans="1:23" x14ac:dyDescent="0.55000000000000004">
      <c r="A107" s="30" t="s">
        <v>23</v>
      </c>
      <c r="B107" s="31">
        <v>1882</v>
      </c>
      <c r="C107" s="33">
        <v>307810</v>
      </c>
      <c r="D107" s="33">
        <v>325915</v>
      </c>
      <c r="E107" s="33">
        <v>633725</v>
      </c>
      <c r="F107" s="33">
        <v>14563</v>
      </c>
      <c r="G107" s="33">
        <v>13894</v>
      </c>
      <c r="H107" s="33">
        <v>28457</v>
      </c>
      <c r="I107" s="33">
        <v>8903</v>
      </c>
      <c r="J107" s="33">
        <v>8661</v>
      </c>
      <c r="K107" s="33">
        <v>17564</v>
      </c>
      <c r="L107" s="33">
        <v>10893</v>
      </c>
      <c r="M107" s="34">
        <v>44.9</v>
      </c>
      <c r="N107" s="34">
        <v>27.7</v>
      </c>
      <c r="O107" s="35">
        <v>17.2</v>
      </c>
      <c r="Q107" s="4">
        <f t="shared" si="7"/>
        <v>0</v>
      </c>
      <c r="R107" s="4">
        <f t="shared" si="8"/>
        <v>0</v>
      </c>
      <c r="S107" s="4">
        <f t="shared" si="9"/>
        <v>0</v>
      </c>
      <c r="T107" s="4">
        <f t="shared" si="10"/>
        <v>0</v>
      </c>
      <c r="U107" s="5">
        <f t="shared" si="11"/>
        <v>4.3354767446501796E-3</v>
      </c>
      <c r="V107" s="5">
        <f t="shared" si="12"/>
        <v>1.5491735374176585E-2</v>
      </c>
      <c r="W107" s="5">
        <f t="shared" si="13"/>
        <v>0</v>
      </c>
    </row>
    <row r="108" spans="1:23" x14ac:dyDescent="0.55000000000000004">
      <c r="A108" s="24" t="s">
        <v>23</v>
      </c>
      <c r="B108" s="25">
        <v>1883</v>
      </c>
      <c r="C108" s="27">
        <v>316990</v>
      </c>
      <c r="D108" s="27">
        <v>327837</v>
      </c>
      <c r="E108" s="27">
        <v>644827</v>
      </c>
      <c r="F108" s="27">
        <v>14244</v>
      </c>
      <c r="G108" s="27">
        <v>13758</v>
      </c>
      <c r="H108" s="27">
        <v>28002</v>
      </c>
      <c r="I108" s="27">
        <v>8145</v>
      </c>
      <c r="J108" s="27">
        <v>8164</v>
      </c>
      <c r="K108" s="27">
        <v>16309</v>
      </c>
      <c r="L108" s="27">
        <v>11693</v>
      </c>
      <c r="M108" s="28">
        <v>43.4</v>
      </c>
      <c r="N108" s="28">
        <v>25.3</v>
      </c>
      <c r="O108" s="29">
        <v>18.100000000000001</v>
      </c>
      <c r="Q108" s="4">
        <f t="shared" si="7"/>
        <v>0</v>
      </c>
      <c r="R108" s="4">
        <f t="shared" si="8"/>
        <v>0</v>
      </c>
      <c r="S108" s="4">
        <f t="shared" si="9"/>
        <v>0</v>
      </c>
      <c r="T108" s="4">
        <f t="shared" si="10"/>
        <v>0</v>
      </c>
      <c r="U108" s="5">
        <f t="shared" si="11"/>
        <v>2.5600975145273708E-2</v>
      </c>
      <c r="V108" s="5">
        <f t="shared" si="12"/>
        <v>-7.9449216611600093E-3</v>
      </c>
      <c r="W108" s="5">
        <f t="shared" si="13"/>
        <v>0</v>
      </c>
    </row>
    <row r="109" spans="1:23" x14ac:dyDescent="0.55000000000000004">
      <c r="A109" s="30" t="s">
        <v>23</v>
      </c>
      <c r="B109" s="31">
        <v>1884</v>
      </c>
      <c r="C109" s="33">
        <v>323692</v>
      </c>
      <c r="D109" s="33">
        <v>334196</v>
      </c>
      <c r="E109" s="33">
        <v>657888</v>
      </c>
      <c r="F109" s="33">
        <v>13819</v>
      </c>
      <c r="G109" s="33">
        <v>13523</v>
      </c>
      <c r="H109" s="33">
        <v>27342</v>
      </c>
      <c r="I109" s="33">
        <v>8439</v>
      </c>
      <c r="J109" s="33">
        <v>8040</v>
      </c>
      <c r="K109" s="33">
        <v>16479</v>
      </c>
      <c r="L109" s="33">
        <v>10863</v>
      </c>
      <c r="M109" s="34">
        <v>41.6</v>
      </c>
      <c r="N109" s="34">
        <v>25</v>
      </c>
      <c r="O109" s="35">
        <v>16.600000000000001</v>
      </c>
      <c r="Q109" s="4">
        <f t="shared" si="7"/>
        <v>0</v>
      </c>
      <c r="R109" s="4">
        <f t="shared" si="8"/>
        <v>0</v>
      </c>
      <c r="S109" s="4">
        <f t="shared" si="9"/>
        <v>0</v>
      </c>
      <c r="T109" s="4">
        <f t="shared" si="10"/>
        <v>0</v>
      </c>
      <c r="U109" s="5">
        <f t="shared" si="11"/>
        <v>-3.9734422880492559E-2</v>
      </c>
      <c r="V109" s="5">
        <f t="shared" si="12"/>
        <v>4.8336494965706578E-2</v>
      </c>
      <c r="W109" s="5">
        <f t="shared" si="13"/>
        <v>0</v>
      </c>
    </row>
    <row r="110" spans="1:23" x14ac:dyDescent="0.55000000000000004">
      <c r="A110" s="24" t="s">
        <v>23</v>
      </c>
      <c r="B110" s="25">
        <v>1885</v>
      </c>
      <c r="C110" s="27">
        <v>329532</v>
      </c>
      <c r="D110" s="27">
        <v>340227</v>
      </c>
      <c r="E110" s="27">
        <v>669759</v>
      </c>
      <c r="F110" s="27">
        <v>14366</v>
      </c>
      <c r="G110" s="27">
        <v>13346</v>
      </c>
      <c r="H110" s="27">
        <v>27712</v>
      </c>
      <c r="I110" s="27">
        <v>10107</v>
      </c>
      <c r="J110" s="27">
        <v>9601</v>
      </c>
      <c r="K110" s="27">
        <v>19708</v>
      </c>
      <c r="L110" s="27">
        <v>8004</v>
      </c>
      <c r="M110" s="28">
        <v>41.4</v>
      </c>
      <c r="N110" s="28">
        <v>29.4</v>
      </c>
      <c r="O110" s="29">
        <v>12</v>
      </c>
      <c r="Q110" s="4">
        <f t="shared" si="7"/>
        <v>0</v>
      </c>
      <c r="R110" s="4">
        <f t="shared" si="8"/>
        <v>0</v>
      </c>
      <c r="S110" s="4">
        <f t="shared" si="9"/>
        <v>0</v>
      </c>
      <c r="T110" s="4">
        <f t="shared" si="10"/>
        <v>0</v>
      </c>
      <c r="U110" s="5">
        <f t="shared" si="11"/>
        <v>-2.3922933473087937E-2</v>
      </c>
      <c r="V110" s="5">
        <f t="shared" si="12"/>
        <v>2.5509772918319129E-2</v>
      </c>
      <c r="W110" s="5">
        <f t="shared" si="13"/>
        <v>0</v>
      </c>
    </row>
    <row r="111" spans="1:23" x14ac:dyDescent="0.55000000000000004">
      <c r="A111" s="30" t="s">
        <v>23</v>
      </c>
      <c r="B111" s="31">
        <v>1886</v>
      </c>
      <c r="C111" s="33">
        <v>334897</v>
      </c>
      <c r="D111" s="33">
        <v>345416</v>
      </c>
      <c r="E111" s="33">
        <v>680313</v>
      </c>
      <c r="F111" s="33">
        <v>15711</v>
      </c>
      <c r="G111" s="33">
        <v>14718</v>
      </c>
      <c r="H111" s="33">
        <v>30429</v>
      </c>
      <c r="I111" s="33">
        <v>8989</v>
      </c>
      <c r="J111" s="33">
        <v>8923</v>
      </c>
      <c r="K111" s="33">
        <v>17912</v>
      </c>
      <c r="L111" s="33">
        <v>12517</v>
      </c>
      <c r="M111" s="34">
        <v>44.7</v>
      </c>
      <c r="N111" s="34">
        <v>26.3</v>
      </c>
      <c r="O111" s="35">
        <v>18.399999999999999</v>
      </c>
      <c r="Q111" s="4">
        <f t="shared" si="7"/>
        <v>0</v>
      </c>
      <c r="R111" s="4">
        <f t="shared" si="8"/>
        <v>0</v>
      </c>
      <c r="S111" s="4">
        <f t="shared" si="9"/>
        <v>0</v>
      </c>
      <c r="T111" s="4">
        <f t="shared" si="10"/>
        <v>0</v>
      </c>
      <c r="U111" s="5">
        <f t="shared" si="11"/>
        <v>2.7941403442234503E-2</v>
      </c>
      <c r="V111" s="5">
        <f t="shared" si="12"/>
        <v>2.9057360362067186E-2</v>
      </c>
      <c r="W111" s="5">
        <f t="shared" si="13"/>
        <v>0</v>
      </c>
    </row>
    <row r="112" spans="1:23" x14ac:dyDescent="0.55000000000000004">
      <c r="A112" s="24" t="s">
        <v>23</v>
      </c>
      <c r="B112" s="25">
        <v>1887</v>
      </c>
      <c r="C112" s="27">
        <v>343089</v>
      </c>
      <c r="D112" s="27">
        <v>354184</v>
      </c>
      <c r="E112" s="27">
        <v>697273</v>
      </c>
      <c r="F112" s="27">
        <v>13718</v>
      </c>
      <c r="G112" s="27">
        <v>13007</v>
      </c>
      <c r="H112" s="27">
        <v>26725</v>
      </c>
      <c r="I112" s="47">
        <v>8240</v>
      </c>
      <c r="J112" s="27">
        <v>8052</v>
      </c>
      <c r="K112" s="27">
        <v>16292</v>
      </c>
      <c r="L112" s="27">
        <v>10483</v>
      </c>
      <c r="M112" s="28">
        <v>38.299999999999997</v>
      </c>
      <c r="N112" s="28">
        <v>23.4</v>
      </c>
      <c r="O112" s="29">
        <v>14.9</v>
      </c>
      <c r="Q112" s="4">
        <f t="shared" si="7"/>
        <v>0</v>
      </c>
      <c r="R112" s="4">
        <f t="shared" si="8"/>
        <v>0</v>
      </c>
      <c r="S112" s="4">
        <f t="shared" si="9"/>
        <v>0</v>
      </c>
      <c r="T112" s="4">
        <f t="shared" si="10"/>
        <v>-50</v>
      </c>
      <c r="U112" s="5">
        <f t="shared" si="11"/>
        <v>2.7885921296253002E-2</v>
      </c>
      <c r="V112" s="5">
        <f t="shared" si="12"/>
        <v>-3.4689712637661074E-2</v>
      </c>
      <c r="W112" s="5">
        <f t="shared" si="13"/>
        <v>0</v>
      </c>
    </row>
    <row r="113" spans="1:23" x14ac:dyDescent="0.55000000000000004">
      <c r="A113" s="30" t="s">
        <v>23</v>
      </c>
      <c r="B113" s="31">
        <v>1888</v>
      </c>
      <c r="C113" s="33">
        <v>351118</v>
      </c>
      <c r="D113" s="33">
        <v>360495</v>
      </c>
      <c r="E113" s="33">
        <v>711613</v>
      </c>
      <c r="F113" s="33">
        <v>15833</v>
      </c>
      <c r="G113" s="33">
        <v>16181</v>
      </c>
      <c r="H113" s="33">
        <v>32014</v>
      </c>
      <c r="I113" s="33">
        <v>7795</v>
      </c>
      <c r="J113" s="33">
        <v>7580</v>
      </c>
      <c r="K113" s="33">
        <v>15375</v>
      </c>
      <c r="L113" s="33">
        <v>16639</v>
      </c>
      <c r="M113" s="34">
        <v>44.9</v>
      </c>
      <c r="N113" s="34">
        <v>21.6</v>
      </c>
      <c r="O113" s="35">
        <v>23.3</v>
      </c>
      <c r="Q113" s="4">
        <f t="shared" si="7"/>
        <v>0</v>
      </c>
      <c r="R113" s="4">
        <f t="shared" si="8"/>
        <v>0</v>
      </c>
      <c r="S113" s="4">
        <f t="shared" si="9"/>
        <v>0</v>
      </c>
      <c r="T113" s="4">
        <f t="shared" si="10"/>
        <v>0</v>
      </c>
      <c r="U113" s="5">
        <f t="shared" si="11"/>
        <v>8.7935858394949662E-2</v>
      </c>
      <c r="V113" s="5">
        <f t="shared" si="12"/>
        <v>5.8447498851208479E-3</v>
      </c>
      <c r="W113" s="5">
        <f t="shared" si="13"/>
        <v>0</v>
      </c>
    </row>
    <row r="114" spans="1:23" x14ac:dyDescent="0.55000000000000004">
      <c r="A114" s="24" t="s">
        <v>23</v>
      </c>
      <c r="B114" s="25">
        <v>1889</v>
      </c>
      <c r="C114" s="27">
        <v>344644</v>
      </c>
      <c r="D114" s="27">
        <v>366649</v>
      </c>
      <c r="E114" s="27">
        <v>711293</v>
      </c>
      <c r="F114" s="27">
        <v>16068</v>
      </c>
      <c r="G114" s="27">
        <v>14916</v>
      </c>
      <c r="H114" s="27">
        <v>30984</v>
      </c>
      <c r="I114" s="27">
        <v>9372</v>
      </c>
      <c r="J114" s="27">
        <v>9180</v>
      </c>
      <c r="K114" s="27">
        <v>18552</v>
      </c>
      <c r="L114" s="27">
        <v>12432</v>
      </c>
      <c r="M114" s="28">
        <v>43.6</v>
      </c>
      <c r="N114" s="28">
        <v>26.1</v>
      </c>
      <c r="O114" s="29">
        <v>17.5</v>
      </c>
      <c r="Q114" s="4">
        <f t="shared" si="7"/>
        <v>0</v>
      </c>
      <c r="R114" s="4">
        <f t="shared" si="8"/>
        <v>0</v>
      </c>
      <c r="S114" s="4">
        <f t="shared" si="9"/>
        <v>0</v>
      </c>
      <c r="T114" s="4">
        <f t="shared" si="10"/>
        <v>0</v>
      </c>
      <c r="U114" s="5">
        <f t="shared" si="11"/>
        <v>-3.9891858910465317E-2</v>
      </c>
      <c r="V114" s="5">
        <f t="shared" si="12"/>
        <v>-1.792130669077352E-2</v>
      </c>
      <c r="W114" s="5">
        <f t="shared" si="13"/>
        <v>0</v>
      </c>
    </row>
    <row r="115" spans="1:23" x14ac:dyDescent="0.55000000000000004">
      <c r="A115" s="30" t="s">
        <v>23</v>
      </c>
      <c r="B115" s="31">
        <v>1890</v>
      </c>
      <c r="C115" s="33">
        <v>351340</v>
      </c>
      <c r="D115" s="33">
        <v>372385</v>
      </c>
      <c r="E115" s="33">
        <v>723725</v>
      </c>
      <c r="F115" s="33">
        <v>13343</v>
      </c>
      <c r="G115" s="33">
        <v>12851</v>
      </c>
      <c r="H115" s="33">
        <v>26194</v>
      </c>
      <c r="I115" s="33">
        <v>8660</v>
      </c>
      <c r="J115" s="33">
        <v>8183</v>
      </c>
      <c r="K115" s="33">
        <v>16843</v>
      </c>
      <c r="L115" s="33">
        <v>9351</v>
      </c>
      <c r="M115" s="34">
        <v>36.200000000000003</v>
      </c>
      <c r="N115" s="34">
        <v>23.3</v>
      </c>
      <c r="O115" s="35">
        <v>12.9</v>
      </c>
      <c r="Q115" s="4">
        <f t="shared" si="7"/>
        <v>0</v>
      </c>
      <c r="R115" s="4">
        <f t="shared" si="8"/>
        <v>0</v>
      </c>
      <c r="S115" s="4">
        <f t="shared" si="9"/>
        <v>0</v>
      </c>
      <c r="T115" s="4">
        <f t="shared" si="10"/>
        <v>0</v>
      </c>
      <c r="U115" s="5">
        <f t="shared" si="11"/>
        <v>-6.6945317627613576E-3</v>
      </c>
      <c r="V115" s="5">
        <f t="shared" si="12"/>
        <v>-2.7348094925560673E-2</v>
      </c>
      <c r="W115" s="5">
        <f t="shared" si="13"/>
        <v>0</v>
      </c>
    </row>
    <row r="116" spans="1:23" x14ac:dyDescent="0.55000000000000004">
      <c r="A116" s="24" t="s">
        <v>23</v>
      </c>
      <c r="B116" s="25">
        <v>1891</v>
      </c>
      <c r="C116" s="27">
        <v>362149</v>
      </c>
      <c r="D116" s="27">
        <v>379234</v>
      </c>
      <c r="E116" s="27">
        <v>741383</v>
      </c>
      <c r="F116" s="27">
        <v>14449</v>
      </c>
      <c r="G116" s="27">
        <v>14122</v>
      </c>
      <c r="H116" s="27">
        <v>28571</v>
      </c>
      <c r="I116" s="27">
        <v>7882</v>
      </c>
      <c r="J116" s="27">
        <v>7789</v>
      </c>
      <c r="K116" s="27">
        <v>15671</v>
      </c>
      <c r="L116" s="27">
        <v>12900</v>
      </c>
      <c r="M116" s="28">
        <v>38.5</v>
      </c>
      <c r="N116" s="28">
        <v>21.1</v>
      </c>
      <c r="O116" s="29">
        <v>17.399999999999999</v>
      </c>
      <c r="Q116" s="4">
        <f t="shared" si="7"/>
        <v>0</v>
      </c>
      <c r="R116" s="4">
        <f t="shared" si="8"/>
        <v>0</v>
      </c>
      <c r="S116" s="4">
        <f t="shared" si="9"/>
        <v>0</v>
      </c>
      <c r="T116" s="4">
        <f t="shared" si="10"/>
        <v>0</v>
      </c>
      <c r="U116" s="5">
        <f t="shared" si="11"/>
        <v>3.7436116015605592E-2</v>
      </c>
      <c r="V116" s="5">
        <f t="shared" si="12"/>
        <v>3.7522710933483694E-2</v>
      </c>
      <c r="W116" s="5">
        <f t="shared" si="13"/>
        <v>0</v>
      </c>
    </row>
    <row r="117" spans="1:23" x14ac:dyDescent="0.55000000000000004">
      <c r="A117" s="30" t="s">
        <v>23</v>
      </c>
      <c r="B117" s="31">
        <v>1892</v>
      </c>
      <c r="C117" s="33">
        <v>372958</v>
      </c>
      <c r="D117" s="33">
        <v>386083</v>
      </c>
      <c r="E117" s="33">
        <v>759041</v>
      </c>
      <c r="F117" s="33">
        <v>13140</v>
      </c>
      <c r="G117" s="33">
        <v>12809</v>
      </c>
      <c r="H117" s="33">
        <v>25949</v>
      </c>
      <c r="I117" s="33">
        <v>8533</v>
      </c>
      <c r="J117" s="33">
        <v>8377</v>
      </c>
      <c r="K117" s="33">
        <v>16910</v>
      </c>
      <c r="L117" s="33">
        <v>9039</v>
      </c>
      <c r="M117" s="34">
        <v>34.200000000000003</v>
      </c>
      <c r="N117" s="34">
        <v>22.3</v>
      </c>
      <c r="O117" s="35">
        <v>11.9</v>
      </c>
      <c r="Q117" s="4">
        <f t="shared" si="7"/>
        <v>0</v>
      </c>
      <c r="R117" s="4">
        <f t="shared" si="8"/>
        <v>0</v>
      </c>
      <c r="S117" s="4">
        <f t="shared" si="9"/>
        <v>0</v>
      </c>
      <c r="T117" s="4">
        <f t="shared" si="10"/>
        <v>0</v>
      </c>
      <c r="U117" s="5">
        <f t="shared" si="11"/>
        <v>-1.3440907671657953E-2</v>
      </c>
      <c r="V117" s="5">
        <f t="shared" si="12"/>
        <v>-2.1888540935208312E-2</v>
      </c>
      <c r="W117" s="5">
        <f t="shared" si="13"/>
        <v>0</v>
      </c>
    </row>
    <row r="118" spans="1:23" x14ac:dyDescent="0.55000000000000004">
      <c r="A118" s="24" t="s">
        <v>23</v>
      </c>
      <c r="B118" s="25">
        <v>1893</v>
      </c>
      <c r="C118" s="27">
        <v>383768</v>
      </c>
      <c r="D118" s="27">
        <v>392932</v>
      </c>
      <c r="E118" s="27">
        <v>776700</v>
      </c>
      <c r="F118" s="27">
        <v>16365</v>
      </c>
      <c r="G118" s="27">
        <v>14989</v>
      </c>
      <c r="H118" s="27">
        <v>31354</v>
      </c>
      <c r="I118" s="27">
        <v>9936</v>
      </c>
      <c r="J118" s="27">
        <v>9696</v>
      </c>
      <c r="K118" s="27">
        <v>19632</v>
      </c>
      <c r="L118" s="27">
        <v>11722</v>
      </c>
      <c r="M118" s="28">
        <v>40.4</v>
      </c>
      <c r="N118" s="28">
        <v>25.3</v>
      </c>
      <c r="O118" s="29">
        <v>15.1</v>
      </c>
      <c r="Q118" s="4">
        <f t="shared" si="7"/>
        <v>0</v>
      </c>
      <c r="R118" s="4">
        <f t="shared" si="8"/>
        <v>0</v>
      </c>
      <c r="S118" s="4">
        <f t="shared" si="9"/>
        <v>0</v>
      </c>
      <c r="T118" s="4">
        <f t="shared" si="10"/>
        <v>0</v>
      </c>
      <c r="U118" s="5">
        <f t="shared" si="11"/>
        <v>-3.1775460280670131E-2</v>
      </c>
      <c r="V118" s="5">
        <f t="shared" si="12"/>
        <v>-2.3831595210506151E-2</v>
      </c>
      <c r="W118" s="5">
        <f t="shared" si="13"/>
        <v>0</v>
      </c>
    </row>
    <row r="119" spans="1:23" x14ac:dyDescent="0.55000000000000004">
      <c r="A119" s="30" t="s">
        <v>24</v>
      </c>
      <c r="B119" s="31">
        <v>1881</v>
      </c>
      <c r="C119" s="33">
        <v>295526</v>
      </c>
      <c r="D119" s="33">
        <v>303264</v>
      </c>
      <c r="E119" s="33">
        <v>598790</v>
      </c>
      <c r="F119" s="33">
        <v>8787</v>
      </c>
      <c r="G119" s="33">
        <v>8725</v>
      </c>
      <c r="H119" s="33">
        <v>17512</v>
      </c>
      <c r="I119" s="33">
        <v>6482</v>
      </c>
      <c r="J119" s="33">
        <v>6646</v>
      </c>
      <c r="K119" s="33">
        <v>13128</v>
      </c>
      <c r="L119" s="33">
        <v>4384</v>
      </c>
      <c r="M119" s="34">
        <v>29.2</v>
      </c>
      <c r="N119" s="34">
        <v>21.9</v>
      </c>
      <c r="O119" s="35">
        <v>7.3</v>
      </c>
      <c r="Q119" s="4">
        <f t="shared" si="7"/>
        <v>0</v>
      </c>
      <c r="R119" s="4">
        <f t="shared" si="8"/>
        <v>0</v>
      </c>
      <c r="S119" s="4">
        <f t="shared" si="9"/>
        <v>0</v>
      </c>
      <c r="T119" s="4">
        <f t="shared" si="10"/>
        <v>0</v>
      </c>
      <c r="U119" s="5">
        <f t="shared" si="11"/>
        <v>4.5645384859469118E-2</v>
      </c>
      <c r="V119" s="5">
        <f t="shared" si="12"/>
        <v>2.4213831226308713E-2</v>
      </c>
      <c r="W119" s="5">
        <f t="shared" si="13"/>
        <v>0</v>
      </c>
    </row>
    <row r="120" spans="1:23" x14ac:dyDescent="0.55000000000000004">
      <c r="A120" s="24" t="s">
        <v>24</v>
      </c>
      <c r="B120" s="25">
        <v>1882</v>
      </c>
      <c r="C120" s="27">
        <v>297831</v>
      </c>
      <c r="D120" s="27">
        <v>305343</v>
      </c>
      <c r="E120" s="27">
        <v>603174</v>
      </c>
      <c r="F120" s="27">
        <v>9279</v>
      </c>
      <c r="G120" s="27">
        <v>9251</v>
      </c>
      <c r="H120" s="27">
        <v>18530</v>
      </c>
      <c r="I120" s="27">
        <v>7509</v>
      </c>
      <c r="J120" s="27">
        <v>7613</v>
      </c>
      <c r="K120" s="27">
        <v>15122</v>
      </c>
      <c r="L120" s="27">
        <v>3408</v>
      </c>
      <c r="M120" s="28">
        <v>30.7</v>
      </c>
      <c r="N120" s="28">
        <v>25.1</v>
      </c>
      <c r="O120" s="29">
        <v>5.6</v>
      </c>
      <c r="Q120" s="4">
        <f t="shared" si="7"/>
        <v>0</v>
      </c>
      <c r="R120" s="4">
        <f t="shared" si="8"/>
        <v>0</v>
      </c>
      <c r="S120" s="4">
        <f t="shared" si="9"/>
        <v>0</v>
      </c>
      <c r="T120" s="4">
        <f t="shared" si="10"/>
        <v>0</v>
      </c>
      <c r="U120" s="5">
        <f t="shared" si="11"/>
        <v>2.0820194504405976E-2</v>
      </c>
      <c r="V120" s="5">
        <f t="shared" si="12"/>
        <v>-2.9290718764404033E-2</v>
      </c>
      <c r="W120" s="5">
        <f t="shared" si="13"/>
        <v>0</v>
      </c>
    </row>
    <row r="121" spans="1:23" x14ac:dyDescent="0.55000000000000004">
      <c r="A121" s="30" t="s">
        <v>24</v>
      </c>
      <c r="B121" s="31">
        <v>1883</v>
      </c>
      <c r="C121" s="33">
        <v>299592</v>
      </c>
      <c r="D121" s="33">
        <v>306981</v>
      </c>
      <c r="E121" s="33">
        <v>606573</v>
      </c>
      <c r="F121" s="33">
        <v>10444</v>
      </c>
      <c r="G121" s="33">
        <v>10241</v>
      </c>
      <c r="H121" s="33">
        <v>20685</v>
      </c>
      <c r="I121" s="33">
        <v>6804</v>
      </c>
      <c r="J121" s="33">
        <v>6851</v>
      </c>
      <c r="K121" s="33">
        <v>13655</v>
      </c>
      <c r="L121" s="33">
        <v>7030</v>
      </c>
      <c r="M121" s="34">
        <v>34.1</v>
      </c>
      <c r="N121" s="34">
        <v>22.5</v>
      </c>
      <c r="O121" s="35">
        <v>11.6</v>
      </c>
      <c r="Q121" s="4">
        <f t="shared" si="7"/>
        <v>0</v>
      </c>
      <c r="R121" s="4">
        <f t="shared" si="8"/>
        <v>0</v>
      </c>
      <c r="S121" s="4">
        <f t="shared" si="9"/>
        <v>0</v>
      </c>
      <c r="T121" s="4">
        <f t="shared" si="10"/>
        <v>0</v>
      </c>
      <c r="U121" s="5">
        <f t="shared" si="11"/>
        <v>1.4189553441994462E-3</v>
      </c>
      <c r="V121" s="5">
        <f t="shared" si="12"/>
        <v>1.171746846628352E-2</v>
      </c>
      <c r="W121" s="5">
        <f t="shared" si="13"/>
        <v>0</v>
      </c>
    </row>
    <row r="122" spans="1:23" x14ac:dyDescent="0.55000000000000004">
      <c r="A122" s="24" t="s">
        <v>24</v>
      </c>
      <c r="B122" s="25">
        <v>1884</v>
      </c>
      <c r="C122" s="27">
        <v>303232</v>
      </c>
      <c r="D122" s="27">
        <v>310381</v>
      </c>
      <c r="E122" s="27">
        <v>613603</v>
      </c>
      <c r="F122" s="27">
        <v>9739</v>
      </c>
      <c r="G122" s="27">
        <v>9315</v>
      </c>
      <c r="H122" s="27">
        <v>19054</v>
      </c>
      <c r="I122" s="27">
        <v>6218</v>
      </c>
      <c r="J122" s="27">
        <v>6396</v>
      </c>
      <c r="K122" s="27">
        <v>12614</v>
      </c>
      <c r="L122" s="27">
        <v>6440</v>
      </c>
      <c r="M122" s="28">
        <v>31.1</v>
      </c>
      <c r="N122" s="28">
        <v>20.6</v>
      </c>
      <c r="O122" s="29">
        <v>10.5</v>
      </c>
      <c r="Q122" s="4">
        <f t="shared" si="7"/>
        <v>-10</v>
      </c>
      <c r="R122" s="4">
        <f t="shared" si="8"/>
        <v>0</v>
      </c>
      <c r="S122" s="4">
        <f t="shared" si="9"/>
        <v>0</v>
      </c>
      <c r="T122" s="4">
        <f t="shared" si="10"/>
        <v>0</v>
      </c>
      <c r="U122" s="5">
        <f t="shared" si="11"/>
        <v>-4.7348692884487065E-2</v>
      </c>
      <c r="V122" s="5">
        <f t="shared" si="12"/>
        <v>-4.2734145693550829E-2</v>
      </c>
      <c r="W122" s="5">
        <f t="shared" si="13"/>
        <v>0</v>
      </c>
    </row>
    <row r="123" spans="1:23" x14ac:dyDescent="0.55000000000000004">
      <c r="A123" s="30" t="s">
        <v>24</v>
      </c>
      <c r="B123" s="31">
        <v>1885</v>
      </c>
      <c r="C123" s="33">
        <v>306753</v>
      </c>
      <c r="D123" s="33">
        <v>313290</v>
      </c>
      <c r="E123" s="33">
        <v>620043</v>
      </c>
      <c r="F123" s="33">
        <v>10208</v>
      </c>
      <c r="G123" s="33">
        <v>9887</v>
      </c>
      <c r="H123" s="33">
        <v>20095</v>
      </c>
      <c r="I123" s="33">
        <v>7845</v>
      </c>
      <c r="J123" s="33">
        <v>7713</v>
      </c>
      <c r="K123" s="33">
        <v>15558</v>
      </c>
      <c r="L123" s="33">
        <v>4537</v>
      </c>
      <c r="M123" s="34">
        <v>32.4</v>
      </c>
      <c r="N123" s="34">
        <v>25.1</v>
      </c>
      <c r="O123" s="35">
        <v>7.3</v>
      </c>
      <c r="Q123" s="4">
        <f t="shared" si="7"/>
        <v>0</v>
      </c>
      <c r="R123" s="4">
        <f t="shared" si="8"/>
        <v>0</v>
      </c>
      <c r="S123" s="4">
        <f t="shared" si="9"/>
        <v>0</v>
      </c>
      <c r="T123" s="4">
        <f t="shared" si="10"/>
        <v>0</v>
      </c>
      <c r="U123" s="5">
        <f t="shared" si="11"/>
        <v>9.0425986584818929E-3</v>
      </c>
      <c r="V123" s="5">
        <f t="shared" si="12"/>
        <v>-8.1918512103200669E-3</v>
      </c>
      <c r="W123" s="5">
        <f t="shared" si="13"/>
        <v>0</v>
      </c>
    </row>
    <row r="124" spans="1:23" x14ac:dyDescent="0.55000000000000004">
      <c r="A124" s="24" t="s">
        <v>24</v>
      </c>
      <c r="B124" s="25">
        <v>1886</v>
      </c>
      <c r="C124" s="27">
        <v>309116</v>
      </c>
      <c r="D124" s="27">
        <v>315464</v>
      </c>
      <c r="E124" s="27">
        <v>624580</v>
      </c>
      <c r="F124" s="27">
        <v>10452</v>
      </c>
      <c r="G124" s="27">
        <v>10413</v>
      </c>
      <c r="H124" s="27">
        <v>20865</v>
      </c>
      <c r="I124" s="27">
        <v>6975</v>
      </c>
      <c r="J124" s="27">
        <v>7001</v>
      </c>
      <c r="K124" s="27">
        <v>13976</v>
      </c>
      <c r="L124" s="27">
        <v>6889</v>
      </c>
      <c r="M124" s="28">
        <v>33.4</v>
      </c>
      <c r="N124" s="28">
        <v>22.4</v>
      </c>
      <c r="O124" s="29">
        <v>11</v>
      </c>
      <c r="Q124" s="4">
        <f t="shared" si="7"/>
        <v>0</v>
      </c>
      <c r="R124" s="4">
        <f t="shared" si="8"/>
        <v>0</v>
      </c>
      <c r="S124" s="4">
        <f t="shared" si="9"/>
        <v>0</v>
      </c>
      <c r="T124" s="4">
        <f t="shared" si="10"/>
        <v>0</v>
      </c>
      <c r="U124" s="5">
        <f t="shared" si="11"/>
        <v>6.4491338179308855E-3</v>
      </c>
      <c r="V124" s="5">
        <f t="shared" si="12"/>
        <v>-2.3362899868711651E-2</v>
      </c>
      <c r="W124" s="5">
        <f t="shared" si="13"/>
        <v>0</v>
      </c>
    </row>
    <row r="125" spans="1:23" x14ac:dyDescent="0.55000000000000004">
      <c r="A125" s="30" t="s">
        <v>24</v>
      </c>
      <c r="B125" s="31">
        <v>1887</v>
      </c>
      <c r="C125" s="33">
        <v>312593</v>
      </c>
      <c r="D125" s="33">
        <v>318875</v>
      </c>
      <c r="E125" s="33">
        <v>631468</v>
      </c>
      <c r="F125" s="33">
        <v>11118</v>
      </c>
      <c r="G125" s="33">
        <v>11134</v>
      </c>
      <c r="H125" s="33">
        <v>22252</v>
      </c>
      <c r="I125" s="33">
        <v>7623</v>
      </c>
      <c r="J125" s="33">
        <v>7657</v>
      </c>
      <c r="K125" s="33">
        <v>15280</v>
      </c>
      <c r="L125" s="33">
        <v>6972</v>
      </c>
      <c r="M125" s="34">
        <v>35.200000000000003</v>
      </c>
      <c r="N125" s="34">
        <v>24.2</v>
      </c>
      <c r="O125" s="35">
        <v>11</v>
      </c>
      <c r="Q125" s="4">
        <f t="shared" si="7"/>
        <v>0</v>
      </c>
      <c r="R125" s="4">
        <f t="shared" si="8"/>
        <v>0</v>
      </c>
      <c r="S125" s="4">
        <f t="shared" si="9"/>
        <v>0</v>
      </c>
      <c r="T125" s="4">
        <f t="shared" si="10"/>
        <v>0</v>
      </c>
      <c r="U125" s="5">
        <f t="shared" si="11"/>
        <v>3.8523567306647521E-2</v>
      </c>
      <c r="V125" s="5">
        <f t="shared" si="12"/>
        <v>-2.4159577365772122E-3</v>
      </c>
      <c r="W125" s="5">
        <f t="shared" si="13"/>
        <v>0</v>
      </c>
    </row>
    <row r="126" spans="1:23" x14ac:dyDescent="0.55000000000000004">
      <c r="A126" s="24" t="s">
        <v>24</v>
      </c>
      <c r="B126" s="25">
        <v>1888</v>
      </c>
      <c r="C126" s="27">
        <v>316088</v>
      </c>
      <c r="D126" s="27">
        <v>322352</v>
      </c>
      <c r="E126" s="27">
        <v>638440</v>
      </c>
      <c r="F126" s="27">
        <v>11009</v>
      </c>
      <c r="G126" s="27">
        <v>10934</v>
      </c>
      <c r="H126" s="27">
        <v>21943</v>
      </c>
      <c r="I126" s="27">
        <v>7618</v>
      </c>
      <c r="J126" s="27">
        <v>7355</v>
      </c>
      <c r="K126" s="27">
        <v>14973</v>
      </c>
      <c r="L126" s="27">
        <v>6970</v>
      </c>
      <c r="M126" s="28">
        <v>34.4</v>
      </c>
      <c r="N126" s="28">
        <v>23.4</v>
      </c>
      <c r="O126" s="29">
        <v>11</v>
      </c>
      <c r="Q126" s="4">
        <f t="shared" si="7"/>
        <v>0</v>
      </c>
      <c r="R126" s="4">
        <f t="shared" si="8"/>
        <v>0</v>
      </c>
      <c r="S126" s="4">
        <f t="shared" si="9"/>
        <v>0</v>
      </c>
      <c r="T126" s="4">
        <f t="shared" si="10"/>
        <v>0</v>
      </c>
      <c r="U126" s="5">
        <f t="shared" si="11"/>
        <v>-3.0286322912097319E-2</v>
      </c>
      <c r="V126" s="5">
        <f t="shared" si="12"/>
        <v>5.2477914917613333E-2</v>
      </c>
      <c r="W126" s="5">
        <f t="shared" si="13"/>
        <v>0</v>
      </c>
    </row>
    <row r="127" spans="1:23" x14ac:dyDescent="0.55000000000000004">
      <c r="A127" s="30" t="s">
        <v>24</v>
      </c>
      <c r="B127" s="31">
        <v>1889</v>
      </c>
      <c r="C127" s="33">
        <v>281837</v>
      </c>
      <c r="D127" s="33">
        <v>311922</v>
      </c>
      <c r="E127" s="33">
        <v>593759</v>
      </c>
      <c r="F127" s="33">
        <v>11121</v>
      </c>
      <c r="G127" s="33">
        <v>10430</v>
      </c>
      <c r="H127" s="33">
        <v>21551</v>
      </c>
      <c r="I127" s="33">
        <v>8313</v>
      </c>
      <c r="J127" s="33">
        <v>8074</v>
      </c>
      <c r="K127" s="33">
        <v>16387</v>
      </c>
      <c r="L127" s="33">
        <v>5164</v>
      </c>
      <c r="M127" s="34">
        <v>36.299999999999997</v>
      </c>
      <c r="N127" s="34">
        <v>27.6</v>
      </c>
      <c r="O127" s="35">
        <v>8.6999999999999993</v>
      </c>
      <c r="Q127" s="4">
        <f t="shared" si="7"/>
        <v>0</v>
      </c>
      <c r="R127" s="4">
        <f t="shared" si="8"/>
        <v>0</v>
      </c>
      <c r="S127" s="4">
        <f t="shared" si="9"/>
        <v>0</v>
      </c>
      <c r="T127" s="4">
        <f t="shared" si="10"/>
        <v>0</v>
      </c>
      <c r="U127" s="5">
        <f t="shared" si="11"/>
        <v>-4.1291163586549828E-3</v>
      </c>
      <c r="V127" s="5">
        <f t="shared" si="12"/>
        <v>-1.2604440522174798E-3</v>
      </c>
      <c r="W127" s="5">
        <f t="shared" si="13"/>
        <v>0</v>
      </c>
    </row>
    <row r="128" spans="1:23" x14ac:dyDescent="0.55000000000000004">
      <c r="A128" s="24" t="s">
        <v>24</v>
      </c>
      <c r="B128" s="25">
        <v>1890</v>
      </c>
      <c r="C128" s="27">
        <v>284645</v>
      </c>
      <c r="D128" s="27">
        <v>314278</v>
      </c>
      <c r="E128" s="27">
        <v>598923</v>
      </c>
      <c r="F128" s="27">
        <v>9833</v>
      </c>
      <c r="G128" s="27">
        <v>9852</v>
      </c>
      <c r="H128" s="27">
        <v>19685</v>
      </c>
      <c r="I128" s="27">
        <v>6961</v>
      </c>
      <c r="J128" s="27">
        <v>6741</v>
      </c>
      <c r="K128" s="27">
        <v>13702</v>
      </c>
      <c r="L128" s="27">
        <v>5983</v>
      </c>
      <c r="M128" s="28">
        <v>32.9</v>
      </c>
      <c r="N128" s="28">
        <v>22.9</v>
      </c>
      <c r="O128" s="29">
        <v>10</v>
      </c>
      <c r="Q128" s="4">
        <f t="shared" si="7"/>
        <v>0</v>
      </c>
      <c r="R128" s="4">
        <f t="shared" si="8"/>
        <v>0</v>
      </c>
      <c r="S128" s="4">
        <f t="shared" si="9"/>
        <v>0</v>
      </c>
      <c r="T128" s="4">
        <f t="shared" si="10"/>
        <v>0</v>
      </c>
      <c r="U128" s="5">
        <f t="shared" si="11"/>
        <v>-3.2669808973778913E-2</v>
      </c>
      <c r="V128" s="5">
        <f t="shared" si="12"/>
        <v>-2.2267804041586459E-2</v>
      </c>
      <c r="W128" s="5">
        <f t="shared" si="13"/>
        <v>0</v>
      </c>
    </row>
    <row r="129" spans="1:23" x14ac:dyDescent="0.55000000000000004">
      <c r="A129" s="30" t="s">
        <v>24</v>
      </c>
      <c r="B129" s="31">
        <v>1891</v>
      </c>
      <c r="C129" s="33">
        <v>286560</v>
      </c>
      <c r="D129" s="33">
        <v>316375</v>
      </c>
      <c r="E129" s="33">
        <v>602935</v>
      </c>
      <c r="F129" s="33">
        <v>10717</v>
      </c>
      <c r="G129" s="33">
        <v>10454</v>
      </c>
      <c r="H129" s="33">
        <v>21171</v>
      </c>
      <c r="I129" s="33">
        <v>7700</v>
      </c>
      <c r="J129" s="33">
        <v>7636</v>
      </c>
      <c r="K129" s="33">
        <v>15336</v>
      </c>
      <c r="L129" s="33">
        <v>5835</v>
      </c>
      <c r="M129" s="34">
        <v>35.1</v>
      </c>
      <c r="N129" s="34">
        <v>25.4</v>
      </c>
      <c r="O129" s="35">
        <v>9.6999999999999993</v>
      </c>
      <c r="Q129" s="4">
        <f t="shared" si="7"/>
        <v>0</v>
      </c>
      <c r="R129" s="4">
        <f t="shared" si="8"/>
        <v>0</v>
      </c>
      <c r="S129" s="4">
        <f t="shared" si="9"/>
        <v>0</v>
      </c>
      <c r="T129" s="4">
        <f t="shared" si="10"/>
        <v>0</v>
      </c>
      <c r="U129" s="5">
        <f t="shared" si="11"/>
        <v>1.3237745362268072E-2</v>
      </c>
      <c r="V129" s="5">
        <f t="shared" si="12"/>
        <v>3.5577632746480958E-2</v>
      </c>
      <c r="W129" s="5">
        <f t="shared" si="13"/>
        <v>0</v>
      </c>
    </row>
    <row r="130" spans="1:23" x14ac:dyDescent="0.55000000000000004">
      <c r="A130" s="24" t="s">
        <v>24</v>
      </c>
      <c r="B130" s="25">
        <v>1892</v>
      </c>
      <c r="C130" s="27">
        <v>288475</v>
      </c>
      <c r="D130" s="27">
        <v>318472</v>
      </c>
      <c r="E130" s="27">
        <v>606947</v>
      </c>
      <c r="F130" s="27">
        <v>10648</v>
      </c>
      <c r="G130" s="27">
        <v>10835</v>
      </c>
      <c r="H130" s="27">
        <v>21483</v>
      </c>
      <c r="I130" s="27">
        <v>8542</v>
      </c>
      <c r="J130" s="27">
        <v>8223</v>
      </c>
      <c r="K130" s="27">
        <v>16765</v>
      </c>
      <c r="L130" s="27">
        <v>4718</v>
      </c>
      <c r="M130" s="28">
        <v>35.4</v>
      </c>
      <c r="N130" s="28">
        <v>27.6</v>
      </c>
      <c r="O130" s="29">
        <v>7.8</v>
      </c>
      <c r="Q130" s="4">
        <f t="shared" si="7"/>
        <v>0</v>
      </c>
      <c r="R130" s="4">
        <f t="shared" si="8"/>
        <v>0</v>
      </c>
      <c r="S130" s="4">
        <f t="shared" si="9"/>
        <v>0</v>
      </c>
      <c r="T130" s="4">
        <f t="shared" si="10"/>
        <v>0</v>
      </c>
      <c r="U130" s="5">
        <f t="shared" si="11"/>
        <v>-4.8172245682067683E-3</v>
      </c>
      <c r="V130" s="5">
        <f t="shared" si="12"/>
        <v>2.1851660853418053E-2</v>
      </c>
      <c r="W130" s="5">
        <f t="shared" si="13"/>
        <v>0</v>
      </c>
    </row>
    <row r="131" spans="1:23" x14ac:dyDescent="0.55000000000000004">
      <c r="A131" s="30" t="s">
        <v>24</v>
      </c>
      <c r="B131" s="31">
        <v>1893</v>
      </c>
      <c r="C131" s="33">
        <v>290389</v>
      </c>
      <c r="D131" s="33">
        <v>320569</v>
      </c>
      <c r="E131" s="33">
        <v>610958</v>
      </c>
      <c r="F131" s="33">
        <v>11040</v>
      </c>
      <c r="G131" s="33">
        <v>10567</v>
      </c>
      <c r="H131" s="33">
        <v>21607</v>
      </c>
      <c r="I131" s="33">
        <v>8020</v>
      </c>
      <c r="J131" s="33">
        <v>7968</v>
      </c>
      <c r="K131" s="33">
        <v>15988</v>
      </c>
      <c r="L131" s="33">
        <v>5619</v>
      </c>
      <c r="M131" s="34">
        <v>35.4</v>
      </c>
      <c r="N131" s="34">
        <v>26.2</v>
      </c>
      <c r="O131" s="35">
        <v>9.1999999999999993</v>
      </c>
      <c r="Q131" s="4">
        <f t="shared" ref="Q131:Q158" si="14">E131-D131-C131</f>
        <v>0</v>
      </c>
      <c r="R131" s="4">
        <f t="shared" ref="R131:R158" si="15">H131-G131-F131</f>
        <v>0</v>
      </c>
      <c r="S131" s="4">
        <f t="shared" ref="S131:S158" si="16">K131-J131-I131</f>
        <v>0</v>
      </c>
      <c r="T131" s="4">
        <f t="shared" ref="T131:T158" si="17">H131-K131-L131</f>
        <v>0</v>
      </c>
      <c r="U131" s="5">
        <f t="shared" ref="U131:U158" si="18">H131/E131*1000-M131</f>
        <v>-3.4230176215054087E-2</v>
      </c>
      <c r="V131" s="5">
        <f t="shared" ref="V131:V158" si="19">K131/E131*1000-N131</f>
        <v>-3.1261723391786234E-2</v>
      </c>
      <c r="W131" s="5">
        <f t="shared" ref="W131:W158" si="20">M131-N131-O131</f>
        <v>0</v>
      </c>
    </row>
    <row r="132" spans="1:23" x14ac:dyDescent="0.55000000000000004">
      <c r="A132" s="24" t="s">
        <v>25</v>
      </c>
      <c r="B132" s="25">
        <v>1881</v>
      </c>
      <c r="C132" s="26" t="s">
        <v>56</v>
      </c>
      <c r="D132" s="26" t="s">
        <v>56</v>
      </c>
      <c r="E132" s="27">
        <v>613203</v>
      </c>
      <c r="F132" s="27">
        <v>9940</v>
      </c>
      <c r="G132" s="27">
        <v>10290</v>
      </c>
      <c r="H132" s="27">
        <v>20230</v>
      </c>
      <c r="I132" s="27">
        <v>7383</v>
      </c>
      <c r="J132" s="27">
        <v>8253</v>
      </c>
      <c r="K132" s="27">
        <v>15636</v>
      </c>
      <c r="L132" s="27">
        <v>4594</v>
      </c>
      <c r="M132" s="28">
        <v>33.1</v>
      </c>
      <c r="N132" s="28">
        <v>25.6</v>
      </c>
      <c r="O132" s="29">
        <v>7.5</v>
      </c>
      <c r="Q132" s="4"/>
      <c r="R132" s="4">
        <f t="shared" si="15"/>
        <v>0</v>
      </c>
      <c r="S132" s="4">
        <f t="shared" si="16"/>
        <v>0</v>
      </c>
      <c r="T132" s="4">
        <f t="shared" si="17"/>
        <v>0</v>
      </c>
      <c r="U132" s="5">
        <f t="shared" si="18"/>
        <v>-0.10929382276342636</v>
      </c>
      <c r="V132" s="5">
        <f t="shared" si="19"/>
        <v>-0.10110322356544188</v>
      </c>
      <c r="W132" s="5">
        <f t="shared" si="20"/>
        <v>0</v>
      </c>
    </row>
    <row r="133" spans="1:23" x14ac:dyDescent="0.55000000000000004">
      <c r="A133" s="30" t="s">
        <v>25</v>
      </c>
      <c r="B133" s="31">
        <v>1882</v>
      </c>
      <c r="C133" s="32" t="s">
        <v>56</v>
      </c>
      <c r="D133" s="32" t="s">
        <v>56</v>
      </c>
      <c r="E133" s="33">
        <v>616649</v>
      </c>
      <c r="F133" s="33">
        <v>11284</v>
      </c>
      <c r="G133" s="33">
        <v>10913</v>
      </c>
      <c r="H133" s="33">
        <v>22197</v>
      </c>
      <c r="I133" s="33">
        <v>8130</v>
      </c>
      <c r="J133" s="33">
        <v>8695</v>
      </c>
      <c r="K133" s="33">
        <v>16825</v>
      </c>
      <c r="L133" s="33">
        <v>5372</v>
      </c>
      <c r="M133" s="34">
        <v>36</v>
      </c>
      <c r="N133" s="34">
        <v>27.3</v>
      </c>
      <c r="O133" s="35">
        <v>8.6999999999999993</v>
      </c>
      <c r="Q133" s="4"/>
      <c r="R133" s="4">
        <f t="shared" si="15"/>
        <v>0</v>
      </c>
      <c r="S133" s="4">
        <f t="shared" si="16"/>
        <v>0</v>
      </c>
      <c r="T133" s="4">
        <f t="shared" si="17"/>
        <v>0</v>
      </c>
      <c r="U133" s="5">
        <f t="shared" si="18"/>
        <v>-3.8336233416416121E-3</v>
      </c>
      <c r="V133" s="5">
        <f t="shared" si="19"/>
        <v>-1.543455028711449E-2</v>
      </c>
      <c r="W133" s="5">
        <f t="shared" si="20"/>
        <v>0</v>
      </c>
    </row>
    <row r="134" spans="1:23" x14ac:dyDescent="0.55000000000000004">
      <c r="A134" s="24" t="s">
        <v>25</v>
      </c>
      <c r="B134" s="25">
        <v>1883</v>
      </c>
      <c r="C134" s="26" t="s">
        <v>56</v>
      </c>
      <c r="D134" s="26" t="s">
        <v>56</v>
      </c>
      <c r="E134" s="27">
        <v>622465</v>
      </c>
      <c r="F134" s="27">
        <v>10738</v>
      </c>
      <c r="G134" s="27">
        <v>11266</v>
      </c>
      <c r="H134" s="27">
        <v>22004</v>
      </c>
      <c r="I134" s="27">
        <v>8088</v>
      </c>
      <c r="J134" s="27">
        <v>7702</v>
      </c>
      <c r="K134" s="27">
        <v>15790</v>
      </c>
      <c r="L134" s="27">
        <v>6214</v>
      </c>
      <c r="M134" s="28">
        <v>35.299999999999997</v>
      </c>
      <c r="N134" s="28">
        <v>25.3</v>
      </c>
      <c r="O134" s="29">
        <v>10</v>
      </c>
      <c r="Q134" s="4"/>
      <c r="R134" s="4">
        <f t="shared" si="15"/>
        <v>0</v>
      </c>
      <c r="S134" s="4">
        <f t="shared" si="16"/>
        <v>0</v>
      </c>
      <c r="T134" s="4">
        <f t="shared" si="17"/>
        <v>0</v>
      </c>
      <c r="U134" s="5">
        <f t="shared" si="18"/>
        <v>4.9778702417007992E-2</v>
      </c>
      <c r="V134" s="5">
        <f t="shared" si="19"/>
        <v>6.688809812599672E-2</v>
      </c>
      <c r="W134" s="5">
        <f t="shared" si="20"/>
        <v>0</v>
      </c>
    </row>
    <row r="135" spans="1:23" x14ac:dyDescent="0.55000000000000004">
      <c r="A135" s="30" t="s">
        <v>25</v>
      </c>
      <c r="B135" s="31">
        <v>1884</v>
      </c>
      <c r="C135" s="33">
        <v>308677</v>
      </c>
      <c r="D135" s="33">
        <v>321561</v>
      </c>
      <c r="E135" s="33">
        <v>630238</v>
      </c>
      <c r="F135" s="33">
        <v>11778</v>
      </c>
      <c r="G135" s="33">
        <v>12513</v>
      </c>
      <c r="H135" s="33">
        <v>24291</v>
      </c>
      <c r="I135" s="33">
        <v>8035</v>
      </c>
      <c r="J135" s="33">
        <v>8152</v>
      </c>
      <c r="K135" s="33">
        <v>16187</v>
      </c>
      <c r="L135" s="33">
        <v>8104</v>
      </c>
      <c r="M135" s="34">
        <v>38.5</v>
      </c>
      <c r="N135" s="34">
        <v>25.7</v>
      </c>
      <c r="O135" s="35">
        <v>12.8</v>
      </c>
      <c r="Q135" s="4">
        <f t="shared" si="14"/>
        <v>0</v>
      </c>
      <c r="R135" s="4">
        <f t="shared" si="15"/>
        <v>0</v>
      </c>
      <c r="S135" s="4">
        <f t="shared" si="16"/>
        <v>0</v>
      </c>
      <c r="T135" s="4">
        <f t="shared" si="17"/>
        <v>0</v>
      </c>
      <c r="U135" s="5">
        <f t="shared" si="18"/>
        <v>4.2582326041909369E-2</v>
      </c>
      <c r="V135" s="5">
        <f t="shared" si="19"/>
        <v>-1.6052031137441247E-2</v>
      </c>
      <c r="W135" s="5">
        <f t="shared" si="20"/>
        <v>0</v>
      </c>
    </row>
    <row r="136" spans="1:23" x14ac:dyDescent="0.55000000000000004">
      <c r="A136" s="24" t="s">
        <v>25</v>
      </c>
      <c r="B136" s="25">
        <v>1885</v>
      </c>
      <c r="C136" s="27">
        <v>312659</v>
      </c>
      <c r="D136" s="27">
        <v>326161</v>
      </c>
      <c r="E136" s="27">
        <v>638820</v>
      </c>
      <c r="F136" s="27">
        <v>13235</v>
      </c>
      <c r="G136" s="27">
        <v>13956</v>
      </c>
      <c r="H136" s="27">
        <v>27191</v>
      </c>
      <c r="I136" s="27">
        <v>7576</v>
      </c>
      <c r="J136" s="27">
        <v>8233</v>
      </c>
      <c r="K136" s="27">
        <v>15809</v>
      </c>
      <c r="L136" s="27">
        <v>11382</v>
      </c>
      <c r="M136" s="28">
        <v>42.4</v>
      </c>
      <c r="N136" s="28">
        <v>24.6</v>
      </c>
      <c r="O136" s="29">
        <v>17.8</v>
      </c>
      <c r="Q136" s="4">
        <f t="shared" si="14"/>
        <v>0</v>
      </c>
      <c r="R136" s="4">
        <f t="shared" si="15"/>
        <v>0</v>
      </c>
      <c r="S136" s="4">
        <f t="shared" si="16"/>
        <v>0</v>
      </c>
      <c r="T136" s="4">
        <f t="shared" si="17"/>
        <v>0</v>
      </c>
      <c r="U136" s="5">
        <f t="shared" si="18"/>
        <v>0.16441564133872077</v>
      </c>
      <c r="V136" s="5">
        <f t="shared" si="19"/>
        <v>0.14719013180551599</v>
      </c>
      <c r="W136" s="5">
        <f t="shared" si="20"/>
        <v>0</v>
      </c>
    </row>
    <row r="137" spans="1:23" x14ac:dyDescent="0.55000000000000004">
      <c r="A137" s="30" t="s">
        <v>25</v>
      </c>
      <c r="B137" s="31">
        <v>1886</v>
      </c>
      <c r="C137" s="33">
        <v>318833</v>
      </c>
      <c r="D137" s="33">
        <v>334153</v>
      </c>
      <c r="E137" s="33">
        <v>652986</v>
      </c>
      <c r="F137" s="33">
        <v>11908</v>
      </c>
      <c r="G137" s="33">
        <v>12696</v>
      </c>
      <c r="H137" s="33">
        <v>24604</v>
      </c>
      <c r="I137" s="33">
        <v>8236</v>
      </c>
      <c r="J137" s="33">
        <v>8580</v>
      </c>
      <c r="K137" s="33">
        <v>16816</v>
      </c>
      <c r="L137" s="33">
        <v>7788</v>
      </c>
      <c r="M137" s="34">
        <v>37.700000000000003</v>
      </c>
      <c r="N137" s="34">
        <v>25.7</v>
      </c>
      <c r="O137" s="35">
        <v>12</v>
      </c>
      <c r="Q137" s="4">
        <f t="shared" si="14"/>
        <v>0</v>
      </c>
      <c r="R137" s="4">
        <f t="shared" si="15"/>
        <v>0</v>
      </c>
      <c r="S137" s="4">
        <f t="shared" si="16"/>
        <v>0</v>
      </c>
      <c r="T137" s="4">
        <f t="shared" si="17"/>
        <v>0</v>
      </c>
      <c r="U137" s="5">
        <f t="shared" si="18"/>
        <v>-2.0784825402081708E-2</v>
      </c>
      <c r="V137" s="5">
        <f t="shared" si="19"/>
        <v>5.2466362219096396E-2</v>
      </c>
      <c r="W137" s="5">
        <f t="shared" si="20"/>
        <v>0</v>
      </c>
    </row>
    <row r="138" spans="1:23" x14ac:dyDescent="0.55000000000000004">
      <c r="A138" s="24" t="s">
        <v>25</v>
      </c>
      <c r="B138" s="25">
        <v>1887</v>
      </c>
      <c r="C138" s="27">
        <v>322884</v>
      </c>
      <c r="D138" s="27">
        <v>338572</v>
      </c>
      <c r="E138" s="27">
        <v>661456</v>
      </c>
      <c r="F138" s="27">
        <v>12487</v>
      </c>
      <c r="G138" s="27">
        <v>12512</v>
      </c>
      <c r="H138" s="27">
        <v>24999</v>
      </c>
      <c r="I138" s="27">
        <v>8683</v>
      </c>
      <c r="J138" s="27">
        <v>9050</v>
      </c>
      <c r="K138" s="27">
        <v>17733</v>
      </c>
      <c r="L138" s="27">
        <v>7266</v>
      </c>
      <c r="M138" s="28">
        <v>37.700000000000003</v>
      </c>
      <c r="N138" s="28">
        <v>26.8</v>
      </c>
      <c r="O138" s="29">
        <v>10.9</v>
      </c>
      <c r="Q138" s="4">
        <f t="shared" si="14"/>
        <v>0</v>
      </c>
      <c r="R138" s="4">
        <f t="shared" si="15"/>
        <v>0</v>
      </c>
      <c r="S138" s="4">
        <f t="shared" si="16"/>
        <v>0</v>
      </c>
      <c r="T138" s="4">
        <f t="shared" si="17"/>
        <v>0</v>
      </c>
      <c r="U138" s="5">
        <f t="shared" si="18"/>
        <v>9.3897099731499623E-2</v>
      </c>
      <c r="V138" s="5">
        <f t="shared" si="19"/>
        <v>9.039452359640876E-3</v>
      </c>
      <c r="W138" s="5">
        <f t="shared" si="20"/>
        <v>0</v>
      </c>
    </row>
    <row r="139" spans="1:23" x14ac:dyDescent="0.55000000000000004">
      <c r="A139" s="30" t="s">
        <v>25</v>
      </c>
      <c r="B139" s="31">
        <v>1888</v>
      </c>
      <c r="C139" s="33">
        <v>328450</v>
      </c>
      <c r="D139" s="33">
        <v>343396</v>
      </c>
      <c r="E139" s="33">
        <v>671846</v>
      </c>
      <c r="F139" s="33">
        <v>12470</v>
      </c>
      <c r="G139" s="33">
        <v>12828</v>
      </c>
      <c r="H139" s="33">
        <v>25298</v>
      </c>
      <c r="I139" s="33">
        <v>8182</v>
      </c>
      <c r="J139" s="33">
        <v>8631</v>
      </c>
      <c r="K139" s="33">
        <v>16813</v>
      </c>
      <c r="L139" s="33">
        <v>8485</v>
      </c>
      <c r="M139" s="34">
        <v>37.6</v>
      </c>
      <c r="N139" s="34">
        <v>24.9</v>
      </c>
      <c r="O139" s="35">
        <v>12.7</v>
      </c>
      <c r="Q139" s="4">
        <f t="shared" si="14"/>
        <v>0</v>
      </c>
      <c r="R139" s="4">
        <f t="shared" si="15"/>
        <v>0</v>
      </c>
      <c r="S139" s="4">
        <f t="shared" si="16"/>
        <v>0</v>
      </c>
      <c r="T139" s="4">
        <f t="shared" si="17"/>
        <v>0</v>
      </c>
      <c r="U139" s="5">
        <f t="shared" si="18"/>
        <v>5.4462480985222328E-2</v>
      </c>
      <c r="V139" s="5">
        <f t="shared" si="19"/>
        <v>0.1250801522968068</v>
      </c>
      <c r="W139" s="5">
        <f t="shared" si="20"/>
        <v>0</v>
      </c>
    </row>
    <row r="140" spans="1:23" x14ac:dyDescent="0.55000000000000004">
      <c r="A140" s="24" t="s">
        <v>25</v>
      </c>
      <c r="B140" s="25">
        <v>1889</v>
      </c>
      <c r="C140" s="27">
        <v>323035</v>
      </c>
      <c r="D140" s="27">
        <v>343825</v>
      </c>
      <c r="E140" s="27">
        <v>666860</v>
      </c>
      <c r="F140" s="27">
        <v>13376</v>
      </c>
      <c r="G140" s="27">
        <v>12567</v>
      </c>
      <c r="H140" s="27">
        <v>25943</v>
      </c>
      <c r="I140" s="27">
        <v>9012</v>
      </c>
      <c r="J140" s="27">
        <v>8615</v>
      </c>
      <c r="K140" s="27">
        <v>17627</v>
      </c>
      <c r="L140" s="27">
        <v>8316</v>
      </c>
      <c r="M140" s="28">
        <v>38.9</v>
      </c>
      <c r="N140" s="28">
        <v>26.4</v>
      </c>
      <c r="O140" s="29">
        <v>12.5</v>
      </c>
      <c r="Q140" s="4">
        <f t="shared" si="14"/>
        <v>0</v>
      </c>
      <c r="R140" s="4">
        <f t="shared" si="15"/>
        <v>0</v>
      </c>
      <c r="S140" s="4">
        <f t="shared" si="16"/>
        <v>0</v>
      </c>
      <c r="T140" s="4">
        <f t="shared" si="17"/>
        <v>0</v>
      </c>
      <c r="U140" s="5">
        <f t="shared" si="18"/>
        <v>3.2180667606453994E-3</v>
      </c>
      <c r="V140" s="5">
        <f t="shared" si="19"/>
        <v>3.2834478001380063E-2</v>
      </c>
      <c r="W140" s="5">
        <f t="shared" si="20"/>
        <v>0</v>
      </c>
    </row>
    <row r="141" spans="1:23" x14ac:dyDescent="0.55000000000000004">
      <c r="A141" s="30" t="s">
        <v>25</v>
      </c>
      <c r="B141" s="31">
        <v>1890</v>
      </c>
      <c r="C141" s="33">
        <v>327399</v>
      </c>
      <c r="D141" s="33">
        <v>347777</v>
      </c>
      <c r="E141" s="33">
        <v>675176</v>
      </c>
      <c r="F141" s="33">
        <v>15834</v>
      </c>
      <c r="G141" s="33">
        <v>15243</v>
      </c>
      <c r="H141" s="33">
        <v>31077</v>
      </c>
      <c r="I141" s="33">
        <v>8441</v>
      </c>
      <c r="J141" s="33">
        <v>8397</v>
      </c>
      <c r="K141" s="33">
        <v>16838</v>
      </c>
      <c r="L141" s="33">
        <v>14239</v>
      </c>
      <c r="M141" s="34">
        <v>46</v>
      </c>
      <c r="N141" s="34">
        <v>25</v>
      </c>
      <c r="O141" s="35">
        <v>21</v>
      </c>
      <c r="Q141" s="4">
        <f t="shared" si="14"/>
        <v>0</v>
      </c>
      <c r="R141" s="4">
        <f t="shared" si="15"/>
        <v>0</v>
      </c>
      <c r="S141" s="4">
        <f t="shared" si="16"/>
        <v>0</v>
      </c>
      <c r="T141" s="4">
        <f t="shared" si="17"/>
        <v>0</v>
      </c>
      <c r="U141" s="5">
        <f t="shared" si="18"/>
        <v>2.7998625543560252E-2</v>
      </c>
      <c r="V141" s="5">
        <f t="shared" si="19"/>
        <v>-6.1317345403271162E-2</v>
      </c>
      <c r="W141" s="5">
        <f t="shared" si="20"/>
        <v>0</v>
      </c>
    </row>
    <row r="142" spans="1:23" x14ac:dyDescent="0.55000000000000004">
      <c r="A142" s="24" t="s">
        <v>25</v>
      </c>
      <c r="B142" s="25">
        <v>1891</v>
      </c>
      <c r="C142" s="27">
        <v>337183</v>
      </c>
      <c r="D142" s="27">
        <v>353143</v>
      </c>
      <c r="E142" s="27">
        <v>690326</v>
      </c>
      <c r="F142" s="27">
        <v>14787</v>
      </c>
      <c r="G142" s="27">
        <v>14457</v>
      </c>
      <c r="H142" s="27">
        <v>29244</v>
      </c>
      <c r="I142" s="27">
        <v>8929</v>
      </c>
      <c r="J142" s="27">
        <v>8929</v>
      </c>
      <c r="K142" s="27">
        <v>17858</v>
      </c>
      <c r="L142" s="27">
        <v>11386</v>
      </c>
      <c r="M142" s="28">
        <v>42.4</v>
      </c>
      <c r="N142" s="28">
        <v>25.9</v>
      </c>
      <c r="O142" s="29">
        <v>16.5</v>
      </c>
      <c r="Q142" s="4">
        <f t="shared" si="14"/>
        <v>0</v>
      </c>
      <c r="R142" s="4">
        <f t="shared" si="15"/>
        <v>0</v>
      </c>
      <c r="S142" s="4">
        <f t="shared" si="16"/>
        <v>0</v>
      </c>
      <c r="T142" s="4">
        <f t="shared" si="17"/>
        <v>0</v>
      </c>
      <c r="U142" s="5">
        <f t="shared" si="18"/>
        <v>-3.7406095091306213E-2</v>
      </c>
      <c r="V142" s="5">
        <f t="shared" si="19"/>
        <v>-3.1062715296830135E-2</v>
      </c>
      <c r="W142" s="5">
        <f t="shared" si="20"/>
        <v>0</v>
      </c>
    </row>
    <row r="143" spans="1:23" x14ac:dyDescent="0.55000000000000004">
      <c r="A143" s="30" t="s">
        <v>25</v>
      </c>
      <c r="B143" s="31">
        <v>1892</v>
      </c>
      <c r="C143" s="33">
        <v>346967</v>
      </c>
      <c r="D143" s="33">
        <v>358509</v>
      </c>
      <c r="E143" s="33">
        <v>705476</v>
      </c>
      <c r="F143" s="33">
        <v>13868</v>
      </c>
      <c r="G143" s="33">
        <v>13539</v>
      </c>
      <c r="H143" s="33">
        <v>27407</v>
      </c>
      <c r="I143" s="33">
        <v>9501</v>
      </c>
      <c r="J143" s="33">
        <v>9616</v>
      </c>
      <c r="K143" s="33">
        <v>19117</v>
      </c>
      <c r="L143" s="33">
        <v>8290</v>
      </c>
      <c r="M143" s="34">
        <v>38.799999999999997</v>
      </c>
      <c r="N143" s="34">
        <v>27.1</v>
      </c>
      <c r="O143" s="35">
        <v>11.7</v>
      </c>
      <c r="Q143" s="4">
        <f t="shared" si="14"/>
        <v>0</v>
      </c>
      <c r="R143" s="4">
        <f t="shared" si="15"/>
        <v>0</v>
      </c>
      <c r="S143" s="4">
        <f t="shared" si="16"/>
        <v>0</v>
      </c>
      <c r="T143" s="4">
        <f t="shared" si="17"/>
        <v>0</v>
      </c>
      <c r="U143" s="5">
        <f t="shared" si="18"/>
        <v>4.8947377373572465E-2</v>
      </c>
      <c r="V143" s="5">
        <f t="shared" si="19"/>
        <v>-1.983908736796991E-3</v>
      </c>
      <c r="W143" s="5">
        <f t="shared" si="20"/>
        <v>0</v>
      </c>
    </row>
    <row r="144" spans="1:23" x14ac:dyDescent="0.55000000000000004">
      <c r="A144" s="24" t="s">
        <v>25</v>
      </c>
      <c r="B144" s="25">
        <v>1893</v>
      </c>
      <c r="C144" s="27">
        <v>356751</v>
      </c>
      <c r="D144" s="27">
        <v>363875</v>
      </c>
      <c r="E144" s="27">
        <v>720626</v>
      </c>
      <c r="F144" s="27">
        <v>15652</v>
      </c>
      <c r="G144" s="27">
        <v>14789</v>
      </c>
      <c r="H144" s="27">
        <v>30441</v>
      </c>
      <c r="I144" s="27">
        <v>8976</v>
      </c>
      <c r="J144" s="27">
        <v>8938</v>
      </c>
      <c r="K144" s="27">
        <v>17914</v>
      </c>
      <c r="L144" s="27">
        <v>12527</v>
      </c>
      <c r="M144" s="28">
        <v>42.2</v>
      </c>
      <c r="N144" s="28">
        <v>24.9</v>
      </c>
      <c r="O144" s="29">
        <v>17.3</v>
      </c>
      <c r="Q144" s="4">
        <f t="shared" si="14"/>
        <v>0</v>
      </c>
      <c r="R144" s="4">
        <f t="shared" si="15"/>
        <v>0</v>
      </c>
      <c r="S144" s="4">
        <f t="shared" si="16"/>
        <v>0</v>
      </c>
      <c r="T144" s="4">
        <f t="shared" si="17"/>
        <v>0</v>
      </c>
      <c r="U144" s="5">
        <f t="shared" si="18"/>
        <v>4.2439212573512464E-2</v>
      </c>
      <c r="V144" s="5">
        <f t="shared" si="19"/>
        <v>-4.1057913536285184E-2</v>
      </c>
      <c r="W144" s="5">
        <f t="shared" si="20"/>
        <v>0</v>
      </c>
    </row>
    <row r="145" spans="1:23" x14ac:dyDescent="0.55000000000000004">
      <c r="A145" s="42"/>
      <c r="B145" s="43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5"/>
      <c r="N145" s="45"/>
      <c r="O145" s="46"/>
      <c r="Q145" s="4"/>
      <c r="R145" s="4"/>
      <c r="S145" s="4"/>
      <c r="T145" s="4"/>
      <c r="U145" s="5"/>
      <c r="V145" s="5"/>
      <c r="W145" s="5"/>
    </row>
    <row r="146" spans="1:23" x14ac:dyDescent="0.55000000000000004">
      <c r="A146" s="30" t="s">
        <v>26</v>
      </c>
      <c r="B146" s="31">
        <v>1881</v>
      </c>
      <c r="C146" s="33">
        <v>3527947</v>
      </c>
      <c r="D146" s="33">
        <v>3704345</v>
      </c>
      <c r="E146" s="33">
        <v>7232292</v>
      </c>
      <c r="F146" s="33">
        <v>139462</v>
      </c>
      <c r="G146" s="33">
        <v>137086</v>
      </c>
      <c r="H146" s="33">
        <v>276548</v>
      </c>
      <c r="I146" s="33">
        <v>97774</v>
      </c>
      <c r="J146" s="33">
        <v>96568</v>
      </c>
      <c r="K146" s="33">
        <v>194342</v>
      </c>
      <c r="L146" s="33">
        <v>82206</v>
      </c>
      <c r="M146" s="34">
        <v>38.1</v>
      </c>
      <c r="N146" s="34">
        <v>26.4</v>
      </c>
      <c r="O146" s="35">
        <v>11.7</v>
      </c>
      <c r="Q146" s="4">
        <f t="shared" si="14"/>
        <v>0</v>
      </c>
      <c r="R146" s="4">
        <f t="shared" si="15"/>
        <v>0</v>
      </c>
      <c r="S146" s="4">
        <f t="shared" si="16"/>
        <v>0</v>
      </c>
      <c r="T146" s="4">
        <f t="shared" si="17"/>
        <v>0</v>
      </c>
      <c r="U146" s="5">
        <f t="shared" si="18"/>
        <v>0.13794725102360417</v>
      </c>
      <c r="V146" s="5">
        <f t="shared" si="19"/>
        <v>0.47142609839315242</v>
      </c>
      <c r="W146" s="5">
        <f t="shared" si="20"/>
        <v>0</v>
      </c>
    </row>
    <row r="147" spans="1:23" x14ac:dyDescent="0.55000000000000004">
      <c r="A147" s="24" t="s">
        <v>26</v>
      </c>
      <c r="B147" s="25">
        <v>1882</v>
      </c>
      <c r="C147" s="27">
        <v>3576735</v>
      </c>
      <c r="D147" s="27">
        <v>3751996</v>
      </c>
      <c r="E147" s="27">
        <v>7328731</v>
      </c>
      <c r="F147" s="27">
        <v>146727</v>
      </c>
      <c r="G147" s="27">
        <v>143560</v>
      </c>
      <c r="H147" s="27">
        <v>290287</v>
      </c>
      <c r="I147" s="27">
        <v>108035</v>
      </c>
      <c r="J147" s="27">
        <v>103027</v>
      </c>
      <c r="K147" s="27">
        <v>206062</v>
      </c>
      <c r="L147" s="27">
        <v>84225</v>
      </c>
      <c r="M147" s="28">
        <v>39.5</v>
      </c>
      <c r="N147" s="28">
        <v>28</v>
      </c>
      <c r="O147" s="29">
        <v>11.5</v>
      </c>
      <c r="Q147" s="4">
        <f t="shared" si="14"/>
        <v>0</v>
      </c>
      <c r="R147" s="4">
        <f t="shared" si="15"/>
        <v>0</v>
      </c>
      <c r="S147" s="4">
        <f t="shared" si="16"/>
        <v>-5000</v>
      </c>
      <c r="T147" s="4">
        <f t="shared" si="17"/>
        <v>0</v>
      </c>
      <c r="U147" s="5">
        <f t="shared" si="18"/>
        <v>0.10944943947321661</v>
      </c>
      <c r="V147" s="5">
        <f t="shared" si="19"/>
        <v>0.1170096159894527</v>
      </c>
      <c r="W147" s="5">
        <f t="shared" si="20"/>
        <v>0</v>
      </c>
    </row>
    <row r="148" spans="1:23" x14ac:dyDescent="0.55000000000000004">
      <c r="A148" s="30" t="s">
        <v>26</v>
      </c>
      <c r="B148" s="31">
        <v>1883</v>
      </c>
      <c r="C148" s="33">
        <v>3633052</v>
      </c>
      <c r="D148" s="33">
        <v>3789273</v>
      </c>
      <c r="E148" s="33">
        <v>7422325</v>
      </c>
      <c r="F148" s="33">
        <v>146848</v>
      </c>
      <c r="G148" s="33">
        <v>143871</v>
      </c>
      <c r="H148" s="33">
        <v>290769</v>
      </c>
      <c r="I148" s="33">
        <v>93277</v>
      </c>
      <c r="J148" s="33">
        <v>92432</v>
      </c>
      <c r="K148" s="33">
        <v>185709</v>
      </c>
      <c r="L148" s="33">
        <v>105060</v>
      </c>
      <c r="M148" s="34">
        <v>39.1</v>
      </c>
      <c r="N148" s="34">
        <v>25</v>
      </c>
      <c r="O148" s="35">
        <v>14.1</v>
      </c>
      <c r="Q148" s="4">
        <f t="shared" si="14"/>
        <v>0</v>
      </c>
      <c r="R148" s="4">
        <f t="shared" si="15"/>
        <v>50</v>
      </c>
      <c r="S148" s="4">
        <f t="shared" si="16"/>
        <v>0</v>
      </c>
      <c r="T148" s="4">
        <f t="shared" si="17"/>
        <v>0</v>
      </c>
      <c r="U148" s="5">
        <f t="shared" si="18"/>
        <v>7.4921604753228621E-2</v>
      </c>
      <c r="V148" s="5">
        <f t="shared" si="19"/>
        <v>2.0327188583092237E-2</v>
      </c>
      <c r="W148" s="5">
        <f t="shared" si="20"/>
        <v>0</v>
      </c>
    </row>
    <row r="149" spans="1:23" x14ac:dyDescent="0.55000000000000004">
      <c r="A149" s="24" t="s">
        <v>26</v>
      </c>
      <c r="B149" s="25">
        <v>1884</v>
      </c>
      <c r="C149" s="27">
        <v>3689556</v>
      </c>
      <c r="D149" s="27">
        <v>3855586</v>
      </c>
      <c r="E149" s="27">
        <v>7545142</v>
      </c>
      <c r="F149" s="27">
        <v>147151</v>
      </c>
      <c r="G149" s="27">
        <v>145156</v>
      </c>
      <c r="H149" s="27">
        <v>292307</v>
      </c>
      <c r="I149" s="27">
        <v>91881</v>
      </c>
      <c r="J149" s="27">
        <v>92035</v>
      </c>
      <c r="K149" s="27">
        <v>183916</v>
      </c>
      <c r="L149" s="27">
        <v>108391</v>
      </c>
      <c r="M149" s="28">
        <v>38.700000000000003</v>
      </c>
      <c r="N149" s="28">
        <v>24.3</v>
      </c>
      <c r="O149" s="29">
        <v>14.4</v>
      </c>
      <c r="Q149" s="4">
        <f t="shared" si="14"/>
        <v>0</v>
      </c>
      <c r="R149" s="4">
        <f t="shared" si="15"/>
        <v>0</v>
      </c>
      <c r="S149" s="4">
        <f t="shared" si="16"/>
        <v>0</v>
      </c>
      <c r="T149" s="4">
        <f t="shared" si="17"/>
        <v>0</v>
      </c>
      <c r="U149" s="5">
        <f t="shared" si="18"/>
        <v>4.1086648866247799E-2</v>
      </c>
      <c r="V149" s="5">
        <f t="shared" si="19"/>
        <v>7.5419309537181789E-2</v>
      </c>
      <c r="W149" s="5">
        <f t="shared" si="20"/>
        <v>0</v>
      </c>
    </row>
    <row r="150" spans="1:23" x14ac:dyDescent="0.55000000000000004">
      <c r="A150" s="30" t="s">
        <v>26</v>
      </c>
      <c r="B150" s="31">
        <v>1885</v>
      </c>
      <c r="C150" s="33">
        <v>3764884</v>
      </c>
      <c r="D150" s="33">
        <v>3923009</v>
      </c>
      <c r="E150" s="33">
        <v>7687893</v>
      </c>
      <c r="F150" s="33">
        <v>155802</v>
      </c>
      <c r="G150" s="33">
        <v>151496</v>
      </c>
      <c r="H150" s="33">
        <v>307298</v>
      </c>
      <c r="I150" s="33">
        <v>102854</v>
      </c>
      <c r="J150" s="33">
        <v>102452</v>
      </c>
      <c r="K150" s="33">
        <v>205306</v>
      </c>
      <c r="L150" s="33">
        <v>101992</v>
      </c>
      <c r="M150" s="34">
        <v>39.799999999999997</v>
      </c>
      <c r="N150" s="34">
        <v>26.6</v>
      </c>
      <c r="O150" s="35">
        <v>13.2</v>
      </c>
      <c r="Q150" s="4">
        <f t="shared" si="14"/>
        <v>0</v>
      </c>
      <c r="R150" s="4">
        <f t="shared" si="15"/>
        <v>0</v>
      </c>
      <c r="S150" s="4">
        <f t="shared" si="16"/>
        <v>0</v>
      </c>
      <c r="T150" s="4">
        <f t="shared" si="17"/>
        <v>0</v>
      </c>
      <c r="U150" s="5">
        <f t="shared" si="18"/>
        <v>0.17168014695314326</v>
      </c>
      <c r="V150" s="5">
        <f t="shared" si="19"/>
        <v>0.1051063275724573</v>
      </c>
      <c r="W150" s="5">
        <f t="shared" si="20"/>
        <v>0</v>
      </c>
    </row>
    <row r="151" spans="1:23" x14ac:dyDescent="0.55000000000000004">
      <c r="A151" s="24" t="s">
        <v>26</v>
      </c>
      <c r="B151" s="25">
        <v>1886</v>
      </c>
      <c r="C151" s="27">
        <v>3841340</v>
      </c>
      <c r="D151" s="27">
        <v>4010360</v>
      </c>
      <c r="E151" s="27">
        <v>7851700</v>
      </c>
      <c r="F151" s="27">
        <v>158816</v>
      </c>
      <c r="G151" s="27">
        <v>155426</v>
      </c>
      <c r="H151" s="27">
        <v>314242</v>
      </c>
      <c r="I151" s="27">
        <v>97914</v>
      </c>
      <c r="J151" s="27">
        <v>96859</v>
      </c>
      <c r="K151" s="27">
        <v>194773</v>
      </c>
      <c r="L151" s="27">
        <v>119469</v>
      </c>
      <c r="M151" s="28">
        <v>40</v>
      </c>
      <c r="N151" s="28">
        <v>24.8</v>
      </c>
      <c r="O151" s="29">
        <v>15.2</v>
      </c>
      <c r="Q151" s="4">
        <f t="shared" si="14"/>
        <v>0</v>
      </c>
      <c r="R151" s="4">
        <f t="shared" si="15"/>
        <v>0</v>
      </c>
      <c r="S151" s="4">
        <f t="shared" si="16"/>
        <v>0</v>
      </c>
      <c r="T151" s="4">
        <f t="shared" si="17"/>
        <v>0</v>
      </c>
      <c r="U151" s="5">
        <f t="shared" si="18"/>
        <v>2.2160805940117712E-2</v>
      </c>
      <c r="V151" s="5">
        <f t="shared" si="19"/>
        <v>6.4750308850314298E-3</v>
      </c>
      <c r="W151" s="5">
        <f t="shared" si="20"/>
        <v>0</v>
      </c>
    </row>
    <row r="152" spans="1:23" x14ac:dyDescent="0.55000000000000004">
      <c r="A152" s="30" t="s">
        <v>26</v>
      </c>
      <c r="B152" s="31">
        <v>1887</v>
      </c>
      <c r="C152" s="33">
        <v>3909370</v>
      </c>
      <c r="D152" s="33">
        <v>4081382</v>
      </c>
      <c r="E152" s="33">
        <v>7990752</v>
      </c>
      <c r="F152" s="33">
        <v>165056</v>
      </c>
      <c r="G152" s="33">
        <v>160506</v>
      </c>
      <c r="H152" s="33">
        <v>325562</v>
      </c>
      <c r="I152" s="33">
        <v>99146</v>
      </c>
      <c r="J152" s="33">
        <v>100368</v>
      </c>
      <c r="K152" s="33">
        <v>199514</v>
      </c>
      <c r="L152" s="33">
        <v>126048</v>
      </c>
      <c r="M152" s="34">
        <v>40.700000000000003</v>
      </c>
      <c r="N152" s="34">
        <v>24.9</v>
      </c>
      <c r="O152" s="35">
        <v>15.8</v>
      </c>
      <c r="Q152" s="4">
        <f t="shared" si="14"/>
        <v>0</v>
      </c>
      <c r="R152" s="4">
        <f t="shared" si="15"/>
        <v>0</v>
      </c>
      <c r="S152" s="4">
        <f t="shared" si="16"/>
        <v>0</v>
      </c>
      <c r="T152" s="4">
        <f t="shared" si="17"/>
        <v>0</v>
      </c>
      <c r="U152" s="5">
        <f t="shared" si="18"/>
        <v>4.2348154466559151E-2</v>
      </c>
      <c r="V152" s="5">
        <f t="shared" si="19"/>
        <v>6.8113138788440608E-2</v>
      </c>
      <c r="W152" s="5">
        <f t="shared" si="20"/>
        <v>0</v>
      </c>
    </row>
    <row r="153" spans="1:23" x14ac:dyDescent="0.55000000000000004">
      <c r="A153" s="24" t="s">
        <v>26</v>
      </c>
      <c r="B153" s="25">
        <v>1888</v>
      </c>
      <c r="C153" s="27">
        <v>3999367</v>
      </c>
      <c r="D153" s="27">
        <v>4167341</v>
      </c>
      <c r="E153" s="27">
        <v>8166708</v>
      </c>
      <c r="F153" s="27">
        <v>172053</v>
      </c>
      <c r="G153" s="27">
        <v>162534</v>
      </c>
      <c r="H153" s="27">
        <v>334587</v>
      </c>
      <c r="I153" s="27">
        <v>102181</v>
      </c>
      <c r="J153" s="27">
        <v>101850</v>
      </c>
      <c r="K153" s="27">
        <v>204031</v>
      </c>
      <c r="L153" s="27">
        <v>130556</v>
      </c>
      <c r="M153" s="28">
        <v>41</v>
      </c>
      <c r="N153" s="28">
        <v>25</v>
      </c>
      <c r="O153" s="29">
        <v>16</v>
      </c>
      <c r="Q153" s="4">
        <f t="shared" si="14"/>
        <v>0</v>
      </c>
      <c r="R153" s="4">
        <f t="shared" si="15"/>
        <v>0</v>
      </c>
      <c r="S153" s="4">
        <f t="shared" si="16"/>
        <v>0</v>
      </c>
      <c r="T153" s="4">
        <f t="shared" si="17"/>
        <v>0</v>
      </c>
      <c r="U153" s="5">
        <f t="shared" si="18"/>
        <v>-3.037062179767247E-2</v>
      </c>
      <c r="V153" s="5">
        <f t="shared" si="19"/>
        <v>-1.6738690791932243E-2</v>
      </c>
      <c r="W153" s="5">
        <f t="shared" si="20"/>
        <v>0</v>
      </c>
    </row>
    <row r="154" spans="1:23" x14ac:dyDescent="0.55000000000000004">
      <c r="A154" s="30" t="s">
        <v>26</v>
      </c>
      <c r="B154" s="31">
        <v>1889</v>
      </c>
      <c r="C154" s="33">
        <v>3908399</v>
      </c>
      <c r="D154" s="33">
        <v>4216479</v>
      </c>
      <c r="E154" s="33">
        <v>8124878</v>
      </c>
      <c r="F154" s="33">
        <v>181338</v>
      </c>
      <c r="G154" s="33">
        <v>171067</v>
      </c>
      <c r="H154" s="33">
        <v>352405</v>
      </c>
      <c r="I154" s="33">
        <v>112331</v>
      </c>
      <c r="J154" s="33">
        <v>108390</v>
      </c>
      <c r="K154" s="33">
        <v>220721</v>
      </c>
      <c r="L154" s="33">
        <v>131684</v>
      </c>
      <c r="M154" s="34">
        <v>43.4</v>
      </c>
      <c r="N154" s="34">
        <v>27.2</v>
      </c>
      <c r="O154" s="35">
        <v>16.2</v>
      </c>
      <c r="Q154" s="4">
        <f t="shared" si="14"/>
        <v>0</v>
      </c>
      <c r="R154" s="4">
        <f t="shared" si="15"/>
        <v>0</v>
      </c>
      <c r="S154" s="4">
        <f t="shared" si="16"/>
        <v>0</v>
      </c>
      <c r="T154" s="4">
        <f t="shared" si="17"/>
        <v>0</v>
      </c>
      <c r="U154" s="5">
        <f t="shared" si="18"/>
        <v>-2.6425652175944947E-2</v>
      </c>
      <c r="V154" s="5">
        <f t="shared" si="19"/>
        <v>-3.3930552557215776E-2</v>
      </c>
      <c r="W154" s="5">
        <f t="shared" si="20"/>
        <v>0</v>
      </c>
    </row>
    <row r="155" spans="1:23" x14ac:dyDescent="0.55000000000000004">
      <c r="A155" s="24" t="s">
        <v>26</v>
      </c>
      <c r="B155" s="25">
        <v>1890</v>
      </c>
      <c r="C155" s="27">
        <v>3977406</v>
      </c>
      <c r="D155" s="27">
        <v>4279156</v>
      </c>
      <c r="E155" s="27">
        <v>8256562</v>
      </c>
      <c r="F155" s="27">
        <v>177655</v>
      </c>
      <c r="G155" s="27">
        <v>172152</v>
      </c>
      <c r="H155" s="27">
        <v>349807</v>
      </c>
      <c r="I155" s="27">
        <v>109954</v>
      </c>
      <c r="J155" s="27">
        <v>107555</v>
      </c>
      <c r="K155" s="27">
        <v>217509</v>
      </c>
      <c r="L155" s="27">
        <v>132298</v>
      </c>
      <c r="M155" s="28">
        <v>42.4</v>
      </c>
      <c r="N155" s="28">
        <v>26.3</v>
      </c>
      <c r="O155" s="29">
        <v>16.100000000000001</v>
      </c>
      <c r="Q155" s="4">
        <f t="shared" si="14"/>
        <v>0</v>
      </c>
      <c r="R155" s="4">
        <f t="shared" si="15"/>
        <v>0</v>
      </c>
      <c r="S155" s="4">
        <f t="shared" si="16"/>
        <v>0</v>
      </c>
      <c r="T155" s="4">
        <f t="shared" si="17"/>
        <v>0</v>
      </c>
      <c r="U155" s="5">
        <f t="shared" si="18"/>
        <v>-3.2850089419781625E-2</v>
      </c>
      <c r="V155" s="5">
        <f t="shared" si="19"/>
        <v>4.3773594869147558E-2</v>
      </c>
      <c r="W155" s="5">
        <f t="shared" si="20"/>
        <v>0</v>
      </c>
    </row>
    <row r="156" spans="1:23" x14ac:dyDescent="0.55000000000000004">
      <c r="A156" s="30" t="s">
        <v>26</v>
      </c>
      <c r="B156" s="31">
        <v>1891</v>
      </c>
      <c r="C156" s="33">
        <v>4079670</v>
      </c>
      <c r="D156" s="33">
        <v>4361028</v>
      </c>
      <c r="E156" s="33">
        <v>8440698</v>
      </c>
      <c r="F156" s="33">
        <v>181715</v>
      </c>
      <c r="G156" s="33">
        <v>176246</v>
      </c>
      <c r="H156" s="33">
        <v>357961</v>
      </c>
      <c r="I156" s="33">
        <v>104663</v>
      </c>
      <c r="J156" s="33">
        <v>103112</v>
      </c>
      <c r="K156" s="33">
        <v>207775</v>
      </c>
      <c r="L156" s="33">
        <v>150186</v>
      </c>
      <c r="M156" s="34">
        <v>42.4</v>
      </c>
      <c r="N156" s="34">
        <v>24.6</v>
      </c>
      <c r="O156" s="35">
        <v>17.8</v>
      </c>
      <c r="Q156" s="4">
        <f t="shared" si="14"/>
        <v>0</v>
      </c>
      <c r="R156" s="4">
        <f t="shared" si="15"/>
        <v>0</v>
      </c>
      <c r="S156" s="4">
        <f t="shared" si="16"/>
        <v>0</v>
      </c>
      <c r="T156" s="4">
        <f t="shared" si="17"/>
        <v>0</v>
      </c>
      <c r="U156" s="5">
        <f t="shared" si="18"/>
        <v>8.9334791980490991E-3</v>
      </c>
      <c r="V156" s="5">
        <f t="shared" si="19"/>
        <v>1.585522903437564E-2</v>
      </c>
      <c r="W156" s="5">
        <f t="shared" si="20"/>
        <v>0</v>
      </c>
    </row>
    <row r="157" spans="1:23" x14ac:dyDescent="0.55000000000000004">
      <c r="A157" s="24" t="s">
        <v>26</v>
      </c>
      <c r="B157" s="25">
        <v>1892</v>
      </c>
      <c r="C157" s="27">
        <v>4181934</v>
      </c>
      <c r="D157" s="27">
        <v>4442900</v>
      </c>
      <c r="E157" s="27">
        <v>8624834</v>
      </c>
      <c r="F157" s="27">
        <v>172763</v>
      </c>
      <c r="G157" s="27">
        <v>167915</v>
      </c>
      <c r="H157" s="27">
        <v>340678</v>
      </c>
      <c r="I157" s="27">
        <v>121856</v>
      </c>
      <c r="J157" s="27">
        <v>118805</v>
      </c>
      <c r="K157" s="27">
        <v>240661</v>
      </c>
      <c r="L157" s="27">
        <v>100017</v>
      </c>
      <c r="M157" s="28">
        <v>39.5</v>
      </c>
      <c r="N157" s="28">
        <v>27.9</v>
      </c>
      <c r="O157" s="29">
        <v>11.6</v>
      </c>
      <c r="Q157" s="4">
        <f t="shared" si="14"/>
        <v>0</v>
      </c>
      <c r="R157" s="4">
        <f t="shared" si="15"/>
        <v>0</v>
      </c>
      <c r="S157" s="4">
        <f t="shared" si="16"/>
        <v>0</v>
      </c>
      <c r="T157" s="4">
        <f t="shared" si="17"/>
        <v>0</v>
      </c>
      <c r="U157" s="5">
        <f t="shared" si="18"/>
        <v>-3.4122395862823396E-4</v>
      </c>
      <c r="V157" s="5">
        <f t="shared" si="19"/>
        <v>3.2616743696181061E-3</v>
      </c>
      <c r="W157" s="5">
        <f t="shared" si="20"/>
        <v>0</v>
      </c>
    </row>
    <row r="158" spans="1:23" x14ac:dyDescent="0.55000000000000004">
      <c r="A158" s="36" t="s">
        <v>26</v>
      </c>
      <c r="B158" s="37">
        <v>1893</v>
      </c>
      <c r="C158" s="38">
        <v>4284197</v>
      </c>
      <c r="D158" s="38">
        <v>4524772</v>
      </c>
      <c r="E158" s="38">
        <v>8808969</v>
      </c>
      <c r="F158" s="38">
        <v>188598</v>
      </c>
      <c r="G158" s="38">
        <v>181391</v>
      </c>
      <c r="H158" s="38">
        <v>369989</v>
      </c>
      <c r="I158" s="38">
        <v>115276</v>
      </c>
      <c r="J158" s="38">
        <v>114447</v>
      </c>
      <c r="K158" s="38">
        <v>229723</v>
      </c>
      <c r="L158" s="38">
        <v>140266</v>
      </c>
      <c r="M158" s="39">
        <v>42</v>
      </c>
      <c r="N158" s="39">
        <v>26.1</v>
      </c>
      <c r="O158" s="40">
        <v>15.9</v>
      </c>
      <c r="Q158" s="4">
        <f t="shared" si="14"/>
        <v>0</v>
      </c>
      <c r="R158" s="4">
        <f t="shared" si="15"/>
        <v>0</v>
      </c>
      <c r="S158" s="4">
        <f t="shared" si="16"/>
        <v>0</v>
      </c>
      <c r="T158" s="4">
        <f t="shared" si="17"/>
        <v>0</v>
      </c>
      <c r="U158" s="5">
        <f t="shared" si="18"/>
        <v>1.39653119451566E-3</v>
      </c>
      <c r="V158" s="5">
        <f t="shared" si="19"/>
        <v>-2.1692765634664823E-2</v>
      </c>
      <c r="W158" s="5">
        <f t="shared" si="20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2026-08-27T19:36:16Z</dcterms:modified>
</cp:coreProperties>
</file>