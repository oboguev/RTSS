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0AB5AC58-0FA3-4303-8FFF-2BFA14D72C0D}" xr6:coauthVersionLast="47" xr6:coauthVersionMax="47" xr10:uidLastSave="{00000000-0000-0000-0000-000000000000}"/>
  <bookViews>
    <workbookView xWindow="57480" yWindow="-120" windowWidth="51840" windowHeight="21120" activeTab="1" xr2:uid="{34D5ADD9-A677-4CD6-816A-82F2314A7FCB}"/>
  </bookViews>
  <sheets>
    <sheet name="Note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1" l="1"/>
  <c r="I102" i="1" s="1"/>
  <c r="O102" i="1" s="1"/>
  <c r="P101" i="1"/>
  <c r="O101" i="1"/>
  <c r="N101" i="1"/>
  <c r="P91" i="1"/>
  <c r="O91" i="1"/>
  <c r="N91" i="1"/>
  <c r="P82" i="1"/>
  <c r="O82" i="1"/>
  <c r="N82" i="1"/>
  <c r="P70" i="1"/>
  <c r="O70" i="1"/>
  <c r="N70" i="1"/>
  <c r="P69" i="1"/>
  <c r="O69" i="1"/>
  <c r="P30" i="1"/>
  <c r="O30" i="1"/>
  <c r="N30" i="1"/>
  <c r="P15" i="1"/>
  <c r="O15" i="1"/>
  <c r="N15" i="1"/>
  <c r="R102" i="1"/>
  <c r="Q102" i="1"/>
  <c r="Q101" i="1"/>
  <c r="R95" i="1"/>
  <c r="Q95" i="1"/>
  <c r="R92" i="1"/>
  <c r="Q92" i="1"/>
  <c r="R91" i="1"/>
  <c r="Q91" i="1"/>
  <c r="R90" i="1"/>
  <c r="Q90" i="1"/>
  <c r="R89" i="1"/>
  <c r="Q89" i="1"/>
  <c r="R88" i="1"/>
  <c r="Q88" i="1"/>
  <c r="R86" i="1"/>
  <c r="Q86" i="1"/>
  <c r="R84" i="1"/>
  <c r="Q84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2" i="1"/>
  <c r="Q72" i="1"/>
  <c r="R71" i="1"/>
  <c r="Q71" i="1"/>
  <c r="R70" i="1"/>
  <c r="Q70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L102" i="1"/>
  <c r="K102" i="1"/>
  <c r="L101" i="1"/>
  <c r="R101" i="1" s="1"/>
  <c r="K101" i="1"/>
  <c r="L99" i="1"/>
  <c r="K99" i="1"/>
  <c r="L98" i="1"/>
  <c r="K98" i="1"/>
  <c r="L96" i="1"/>
  <c r="K96" i="1"/>
  <c r="L95" i="1"/>
  <c r="K95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4" i="1"/>
  <c r="K84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4" i="1"/>
  <c r="K74" i="1"/>
  <c r="L73" i="1"/>
  <c r="K73" i="1"/>
  <c r="L72" i="1"/>
  <c r="K72" i="1"/>
  <c r="L71" i="1"/>
  <c r="K71" i="1"/>
  <c r="L70" i="1"/>
  <c r="K70" i="1"/>
  <c r="L69" i="1"/>
  <c r="R69" i="1" s="1"/>
  <c r="K69" i="1"/>
  <c r="Q69" i="1" s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Q51" i="1" s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R42" i="1" s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J101" i="1"/>
  <c r="I101" i="1"/>
  <c r="H101" i="1"/>
  <c r="J91" i="1"/>
  <c r="I91" i="1"/>
  <c r="H91" i="1"/>
  <c r="J82" i="1"/>
  <c r="I82" i="1"/>
  <c r="H82" i="1"/>
  <c r="J70" i="1"/>
  <c r="I70" i="1"/>
  <c r="H70" i="1"/>
  <c r="J69" i="1"/>
  <c r="J71" i="1" s="1"/>
  <c r="I69" i="1"/>
  <c r="H69" i="1"/>
  <c r="H71" i="1" s="1"/>
  <c r="J30" i="1"/>
  <c r="I30" i="1"/>
  <c r="H30" i="1"/>
  <c r="J15" i="1"/>
  <c r="I15" i="1"/>
  <c r="H15" i="1"/>
  <c r="P71" i="1" l="1"/>
  <c r="J102" i="1"/>
  <c r="P102" i="1" s="1"/>
  <c r="O71" i="1"/>
  <c r="H102" i="1"/>
  <c r="N102" i="1" s="1"/>
  <c r="N71" i="1"/>
  <c r="N69" i="1"/>
</calcChain>
</file>

<file path=xl/sharedStrings.xml><?xml version="1.0" encoding="utf-8"?>
<sst xmlns="http://schemas.openxmlformats.org/spreadsheetml/2006/main" count="178" uniqueCount="141">
  <si>
    <t xml:space="preserve">Архангельская </t>
  </si>
  <si>
    <t xml:space="preserve">Астраханская  </t>
  </si>
  <si>
    <t xml:space="preserve">Виленская   </t>
  </si>
  <si>
    <t xml:space="preserve">Витебская   </t>
  </si>
  <si>
    <t xml:space="preserve">Волынская   </t>
  </si>
  <si>
    <t xml:space="preserve">Гродненская  </t>
  </si>
  <si>
    <t xml:space="preserve">Кіевская </t>
  </si>
  <si>
    <t xml:space="preserve">Ковенская   </t>
  </si>
  <si>
    <t xml:space="preserve">Минская </t>
  </si>
  <si>
    <t xml:space="preserve">Могилевская  </t>
  </si>
  <si>
    <t xml:space="preserve">Оренбургская  </t>
  </si>
  <si>
    <t xml:space="preserve">Подольская   </t>
  </si>
  <si>
    <t xml:space="preserve">Варшавская </t>
  </si>
  <si>
    <t xml:space="preserve">Г Варшава </t>
  </si>
  <si>
    <t xml:space="preserve">Калишская  </t>
  </si>
  <si>
    <t xml:space="preserve">Кѣлецкая  </t>
  </si>
  <si>
    <t xml:space="preserve">Ломжинская </t>
  </si>
  <si>
    <t xml:space="preserve">Люблинская </t>
  </si>
  <si>
    <t xml:space="preserve">Петроковская </t>
  </si>
  <si>
    <t xml:space="preserve">Плоцкая </t>
  </si>
  <si>
    <t xml:space="preserve">Радомская  </t>
  </si>
  <si>
    <t xml:space="preserve">Сувалкская  </t>
  </si>
  <si>
    <t xml:space="preserve">Сѣдлецкая  </t>
  </si>
  <si>
    <t xml:space="preserve">Курляндская </t>
  </si>
  <si>
    <t xml:space="preserve">Лифляндская </t>
  </si>
  <si>
    <t xml:space="preserve">Эстляндская </t>
  </si>
  <si>
    <t xml:space="preserve">Бессарабская </t>
  </si>
  <si>
    <t xml:space="preserve">Владимірская </t>
  </si>
  <si>
    <t xml:space="preserve">Вологодская </t>
  </si>
  <si>
    <t xml:space="preserve">Воронежская </t>
  </si>
  <si>
    <t xml:space="preserve">Вятская </t>
  </si>
  <si>
    <t>Екатеринославская</t>
  </si>
  <si>
    <t xml:space="preserve">Казанская  </t>
  </si>
  <si>
    <t xml:space="preserve">Калужская  </t>
  </si>
  <si>
    <t xml:space="preserve">Костромская </t>
  </si>
  <si>
    <t xml:space="preserve">Курская </t>
  </si>
  <si>
    <t xml:space="preserve">Московская  </t>
  </si>
  <si>
    <t xml:space="preserve">Г Москва  </t>
  </si>
  <si>
    <t>Нижегородская</t>
  </si>
  <si>
    <t xml:space="preserve">Новгородская </t>
  </si>
  <si>
    <t xml:space="preserve">Олонецкая  </t>
  </si>
  <si>
    <t xml:space="preserve">Орловская  </t>
  </si>
  <si>
    <t xml:space="preserve">Пензенская  </t>
  </si>
  <si>
    <t xml:space="preserve">Пермская  </t>
  </si>
  <si>
    <t xml:space="preserve">Полтавская  </t>
  </si>
  <si>
    <t xml:space="preserve">Псковская  </t>
  </si>
  <si>
    <t xml:space="preserve">Рязанская  </t>
  </si>
  <si>
    <t xml:space="preserve">Самарская  </t>
  </si>
  <si>
    <t>С-Петербургская</t>
  </si>
  <si>
    <t>Г С-Петербургъ</t>
  </si>
  <si>
    <t xml:space="preserve">Саратовская </t>
  </si>
  <si>
    <t xml:space="preserve">Симбирская  </t>
  </si>
  <si>
    <t xml:space="preserve">Смоленская  </t>
  </si>
  <si>
    <t xml:space="preserve">Таврическая </t>
  </si>
  <si>
    <t xml:space="preserve">Тамбовская  </t>
  </si>
  <si>
    <t xml:space="preserve">Тверская  </t>
  </si>
  <si>
    <t>Тульская</t>
  </si>
  <si>
    <t xml:space="preserve">Уфимская  </t>
  </si>
  <si>
    <t xml:space="preserve">Харьковская </t>
  </si>
  <si>
    <t xml:space="preserve">Херсонская  </t>
  </si>
  <si>
    <t xml:space="preserve">Г Одесса  </t>
  </si>
  <si>
    <t xml:space="preserve">Г Николаевъ </t>
  </si>
  <si>
    <t xml:space="preserve">Черниговская </t>
  </si>
  <si>
    <t xml:space="preserve">Ярославская </t>
  </si>
  <si>
    <t>Земля войска Донскаго</t>
  </si>
  <si>
    <t xml:space="preserve">Итого въ Европейской Россіи </t>
  </si>
  <si>
    <t>Бакинская губ</t>
  </si>
  <si>
    <t>Дагестанская обл</t>
  </si>
  <si>
    <t xml:space="preserve">Кутаисская  </t>
  </si>
  <si>
    <t>Ставропольская губ</t>
  </si>
  <si>
    <t xml:space="preserve">Терская обл </t>
  </si>
  <si>
    <t>Тифлисская губ</t>
  </si>
  <si>
    <t>Эриванская губ</t>
  </si>
  <si>
    <t>Амурская обл</t>
  </si>
  <si>
    <t>Енисейская губ</t>
  </si>
  <si>
    <t>Забайкальская обл</t>
  </si>
  <si>
    <t>Иркутская губ</t>
  </si>
  <si>
    <t>Приморская обл</t>
  </si>
  <si>
    <t>Тобольская губ</t>
  </si>
  <si>
    <t xml:space="preserve">Томская губ </t>
  </si>
  <si>
    <t xml:space="preserve">Якутская обл </t>
  </si>
  <si>
    <t xml:space="preserve">Акмолинская </t>
  </si>
  <si>
    <t>Аму-Дарьинская</t>
  </si>
  <si>
    <t>Закаспійская (съ Заряваш окр)</t>
  </si>
  <si>
    <t>Семипалатинская</t>
  </si>
  <si>
    <t>Семирѣченская</t>
  </si>
  <si>
    <t>Сыръ-Дарьинская</t>
  </si>
  <si>
    <t xml:space="preserve">Тургайская  </t>
  </si>
  <si>
    <t xml:space="preserve">Уральская  </t>
  </si>
  <si>
    <t xml:space="preserve">Ферганская  </t>
  </si>
  <si>
    <t xml:space="preserve">Итого во всей Имперіи </t>
  </si>
  <si>
    <t>губ</t>
  </si>
  <si>
    <t>чж YNN</t>
  </si>
  <si>
    <t>чр YY</t>
  </si>
  <si>
    <t>чу YY</t>
  </si>
  <si>
    <t>р YY</t>
  </si>
  <si>
    <t>с YY</t>
  </si>
  <si>
    <t>Итого привисл + остзейск</t>
  </si>
  <si>
    <t>Итого земские</t>
  </si>
  <si>
    <t>Итого Кавказ</t>
  </si>
  <si>
    <t>—</t>
  </si>
  <si>
    <t>Итого Сибирь</t>
  </si>
  <si>
    <t>Итого Средняя Азия</t>
  </si>
  <si>
    <t>нѣ</t>
  </si>
  <si>
    <t>дѣ</t>
  </si>
  <si>
    <t>v-чж YNN</t>
  </si>
  <si>
    <t>v-чр YY</t>
  </si>
  <si>
    <t>v-чу YY</t>
  </si>
  <si>
    <t>v-р YY</t>
  </si>
  <si>
    <t>v-с YY</t>
  </si>
  <si>
    <t>v-diff-чж YNN</t>
  </si>
  <si>
    <t>v-diff-чр YY</t>
  </si>
  <si>
    <t>v-diff-чу YY</t>
  </si>
  <si>
    <t>v-diff-р YY</t>
  </si>
  <si>
    <t>v-diff-с YY</t>
  </si>
  <si>
    <t>Итого  неземские</t>
  </si>
  <si>
    <t>Сведения о численности (чж) в</t>
  </si>
  <si>
    <t>Дагестанской</t>
  </si>
  <si>
    <t>Карсской</t>
  </si>
  <si>
    <t>Кубанской областях</t>
  </si>
  <si>
    <t>Терской обл</t>
  </si>
  <si>
    <t>Ставропольской</t>
  </si>
  <si>
    <t>Эвриванской губ</t>
  </si>
  <si>
    <t>Аму-Дарьинской</t>
  </si>
  <si>
    <t>Закаскпийской</t>
  </si>
  <si>
    <t>Сыр-Дарьинской</t>
  </si>
  <si>
    <t>Ферганской обл.</t>
  </si>
  <si>
    <t>за 1885 год</t>
  </si>
  <si>
    <t>Данные о числе смертей и рождений неполны для</t>
  </si>
  <si>
    <t>Дагестанской обл</t>
  </si>
  <si>
    <t>Елизаветпольской губ</t>
  </si>
  <si>
    <t>Семиреченской</t>
  </si>
  <si>
    <t>Тургайской</t>
  </si>
  <si>
    <t>Уральской обл</t>
  </si>
  <si>
    <t>Для остальных неясно, на какой момент года</t>
  </si>
  <si>
    <t>Елисаветпольская губ</t>
  </si>
  <si>
    <t>note</t>
  </si>
  <si>
    <t>Карсская область -- с Закатальским округом</t>
  </si>
  <si>
    <t>Кубанская область -- с Черноморским округом</t>
  </si>
  <si>
    <t>Карсская область</t>
  </si>
  <si>
    <t>Кубанская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</si>
</sst>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FD8E-1C7C-4361-80ED-F08675C24C0B}">
  <dimension ref="A4:B25"/>
  <sheetViews>
    <sheetView workbookViewId="0">
      <selection activeCell="A18" sqref="A18"/>
    </sheetView>
  </sheetViews>
  <sheetFormatPr defaultRowHeight="14.4" x14ac:dyDescent="0.55000000000000004"/>
  <sheetData>
    <row r="4" spans="1:2" x14ac:dyDescent="0.55000000000000004">
      <c r="A4" t="s">
        <v>116</v>
      </c>
    </row>
    <row r="5" spans="1:2" x14ac:dyDescent="0.55000000000000004">
      <c r="B5" t="s">
        <v>117</v>
      </c>
    </row>
    <row r="6" spans="1:2" x14ac:dyDescent="0.55000000000000004">
      <c r="B6" t="s">
        <v>118</v>
      </c>
    </row>
    <row r="7" spans="1:2" x14ac:dyDescent="0.55000000000000004">
      <c r="B7" t="s">
        <v>119</v>
      </c>
    </row>
    <row r="8" spans="1:2" x14ac:dyDescent="0.55000000000000004">
      <c r="B8" t="s">
        <v>120</v>
      </c>
    </row>
    <row r="9" spans="1:2" x14ac:dyDescent="0.55000000000000004">
      <c r="B9" t="s">
        <v>121</v>
      </c>
    </row>
    <row r="10" spans="1:2" x14ac:dyDescent="0.55000000000000004">
      <c r="B10" t="s">
        <v>122</v>
      </c>
    </row>
    <row r="11" spans="1:2" x14ac:dyDescent="0.55000000000000004">
      <c r="B11" t="s">
        <v>123</v>
      </c>
    </row>
    <row r="12" spans="1:2" x14ac:dyDescent="0.55000000000000004">
      <c r="B12" t="s">
        <v>124</v>
      </c>
    </row>
    <row r="13" spans="1:2" x14ac:dyDescent="0.55000000000000004">
      <c r="B13" t="s">
        <v>125</v>
      </c>
    </row>
    <row r="14" spans="1:2" x14ac:dyDescent="0.55000000000000004">
      <c r="B14" t="s">
        <v>126</v>
      </c>
    </row>
    <row r="15" spans="1:2" x14ac:dyDescent="0.55000000000000004">
      <c r="A15" t="s">
        <v>127</v>
      </c>
    </row>
    <row r="17" spans="1:2" x14ac:dyDescent="0.55000000000000004">
      <c r="A17" t="s">
        <v>134</v>
      </c>
    </row>
    <row r="20" spans="1:2" x14ac:dyDescent="0.55000000000000004">
      <c r="A20" t="s">
        <v>128</v>
      </c>
    </row>
    <row r="21" spans="1:2" x14ac:dyDescent="0.55000000000000004">
      <c r="B21" t="s">
        <v>129</v>
      </c>
    </row>
    <row r="22" spans="1:2" x14ac:dyDescent="0.55000000000000004">
      <c r="B22" t="s">
        <v>130</v>
      </c>
    </row>
    <row r="23" spans="1:2" x14ac:dyDescent="0.55000000000000004">
      <c r="B23" t="s">
        <v>131</v>
      </c>
    </row>
    <row r="24" spans="1:2" x14ac:dyDescent="0.55000000000000004">
      <c r="B24" t="s">
        <v>132</v>
      </c>
    </row>
    <row r="25" spans="1:2" x14ac:dyDescent="0.55000000000000004">
      <c r="B25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6F30-DC5D-4D01-B3FC-9FF356014978}">
  <dimension ref="A1:R108"/>
  <sheetViews>
    <sheetView tabSelected="1" workbookViewId="0">
      <pane ySplit="1" topLeftCell="A62" activePane="bottomLeft" state="frozen"/>
      <selection pane="bottomLeft" activeCell="A77" sqref="A77"/>
    </sheetView>
  </sheetViews>
  <sheetFormatPr defaultRowHeight="14.4" x14ac:dyDescent="0.55000000000000004"/>
  <cols>
    <col min="1" max="1" width="31.578125" customWidth="1"/>
    <col min="2" max="2" width="16.26171875" style="1" customWidth="1"/>
    <col min="3" max="4" width="8.83984375" style="1"/>
    <col min="5" max="6" width="8.83984375" style="3"/>
    <col min="8" max="8" width="13.15625" customWidth="1"/>
    <col min="11" max="12" width="8.83984375" style="3"/>
    <col min="14" max="14" width="12.68359375" bestFit="1" customWidth="1"/>
    <col min="15" max="15" width="10.578125" bestFit="1" customWidth="1"/>
    <col min="16" max="16" width="10.41796875" bestFit="1" customWidth="1"/>
    <col min="17" max="17" width="9.578125" bestFit="1" customWidth="1"/>
    <col min="18" max="18" width="9.41796875" bestFit="1" customWidth="1"/>
  </cols>
  <sheetData>
    <row r="1" spans="1:18" x14ac:dyDescent="0.55000000000000004">
      <c r="A1" s="5" t="s">
        <v>91</v>
      </c>
      <c r="B1" s="6" t="s">
        <v>92</v>
      </c>
      <c r="C1" s="6" t="s">
        <v>93</v>
      </c>
      <c r="D1" s="6" t="s">
        <v>94</v>
      </c>
      <c r="E1" s="7" t="s">
        <v>95</v>
      </c>
      <c r="F1" s="7" t="s">
        <v>96</v>
      </c>
      <c r="H1" s="6" t="s">
        <v>105</v>
      </c>
      <c r="I1" s="6" t="s">
        <v>106</v>
      </c>
      <c r="J1" s="6" t="s">
        <v>107</v>
      </c>
      <c r="K1" s="7" t="s">
        <v>108</v>
      </c>
      <c r="L1" s="7" t="s">
        <v>109</v>
      </c>
      <c r="N1" s="6" t="s">
        <v>110</v>
      </c>
      <c r="O1" s="6" t="s">
        <v>111</v>
      </c>
      <c r="P1" s="6" t="s">
        <v>112</v>
      </c>
      <c r="Q1" s="7" t="s">
        <v>113</v>
      </c>
      <c r="R1" s="7" t="s">
        <v>114</v>
      </c>
    </row>
    <row r="3" spans="1:18" x14ac:dyDescent="0.55000000000000004">
      <c r="A3" t="s">
        <v>0</v>
      </c>
      <c r="B3" s="1">
        <v>334416</v>
      </c>
      <c r="C3" s="1">
        <v>13821</v>
      </c>
      <c r="D3" s="1">
        <v>8777</v>
      </c>
      <c r="E3" s="3">
        <v>41.4</v>
      </c>
      <c r="F3" s="3">
        <v>26.3</v>
      </c>
      <c r="K3" s="3">
        <f>C3/B3*1000</f>
        <v>41.328764173962966</v>
      </c>
      <c r="L3" s="3">
        <f>D3/B3*1000</f>
        <v>26.245753791684606</v>
      </c>
      <c r="P3" s="3"/>
      <c r="Q3" s="3">
        <f>K3-E3</f>
        <v>-7.1235826037032268E-2</v>
      </c>
      <c r="R3" s="3">
        <f>L3-F3</f>
        <v>-5.4246208315394284E-2</v>
      </c>
    </row>
    <row r="4" spans="1:18" x14ac:dyDescent="0.55000000000000004">
      <c r="A4" t="s">
        <v>1</v>
      </c>
      <c r="B4" s="1">
        <v>912984</v>
      </c>
      <c r="C4" s="1">
        <v>27977</v>
      </c>
      <c r="D4" s="1">
        <v>18889</v>
      </c>
      <c r="E4" s="3">
        <v>30.5</v>
      </c>
      <c r="F4" s="3">
        <v>20.7</v>
      </c>
      <c r="K4" s="3">
        <f t="shared" ref="K4:K67" si="0">C4/B4*1000</f>
        <v>30.643472393820701</v>
      </c>
      <c r="L4" s="3">
        <f t="shared" ref="L4:L67" si="1">D4/B4*1000</f>
        <v>20.689300141075858</v>
      </c>
      <c r="Q4" s="3">
        <f t="shared" ref="Q4:Q67" si="2">K4-E4</f>
        <v>0.14347239382070143</v>
      </c>
      <c r="R4" s="3">
        <f t="shared" ref="R4:R67" si="3">L4-F4</f>
        <v>-1.0699858924141381E-2</v>
      </c>
    </row>
    <row r="5" spans="1:18" x14ac:dyDescent="0.55000000000000004">
      <c r="A5" t="s">
        <v>2</v>
      </c>
      <c r="B5" s="1">
        <v>1287772</v>
      </c>
      <c r="C5" s="1">
        <v>53794</v>
      </c>
      <c r="D5" s="1">
        <v>31117</v>
      </c>
      <c r="E5" s="3">
        <v>41.8</v>
      </c>
      <c r="F5" s="3">
        <v>24.2</v>
      </c>
      <c r="K5" s="3">
        <f t="shared" si="0"/>
        <v>41.772922535976861</v>
      </c>
      <c r="L5" s="3">
        <f t="shared" si="1"/>
        <v>24.163438869613564</v>
      </c>
      <c r="Q5" s="3">
        <f t="shared" si="2"/>
        <v>-2.7077464023136599E-2</v>
      </c>
      <c r="R5" s="3">
        <f t="shared" si="3"/>
        <v>-3.6561130386434826E-2</v>
      </c>
    </row>
    <row r="6" spans="1:18" x14ac:dyDescent="0.55000000000000004">
      <c r="A6" t="s">
        <v>3</v>
      </c>
      <c r="B6" s="1">
        <v>1252538</v>
      </c>
      <c r="C6" s="1">
        <v>51401</v>
      </c>
      <c r="D6" s="1">
        <v>28549</v>
      </c>
      <c r="E6" s="3">
        <v>41</v>
      </c>
      <c r="F6" s="3">
        <v>22.8</v>
      </c>
      <c r="K6" s="3">
        <f t="shared" si="0"/>
        <v>41.037477505672484</v>
      </c>
      <c r="L6" s="3">
        <f t="shared" si="1"/>
        <v>22.79292125268854</v>
      </c>
      <c r="Q6" s="3">
        <f t="shared" si="2"/>
        <v>3.7477505672484313E-2</v>
      </c>
      <c r="R6" s="3">
        <f t="shared" si="3"/>
        <v>-7.0787473114606314E-3</v>
      </c>
    </row>
    <row r="7" spans="1:18" x14ac:dyDescent="0.55000000000000004">
      <c r="A7" t="s">
        <v>4</v>
      </c>
      <c r="B7" s="1">
        <v>2221644</v>
      </c>
      <c r="C7" s="1">
        <v>112848</v>
      </c>
      <c r="D7" s="1">
        <v>67768</v>
      </c>
      <c r="E7" s="3">
        <v>50.8</v>
      </c>
      <c r="F7" s="3">
        <v>30.5</v>
      </c>
      <c r="K7" s="3">
        <f t="shared" si="0"/>
        <v>50.794816811334314</v>
      </c>
      <c r="L7" s="3">
        <f t="shared" si="1"/>
        <v>30.50353702033269</v>
      </c>
      <c r="Q7" s="3">
        <f t="shared" si="2"/>
        <v>-5.1831886656827919E-3</v>
      </c>
      <c r="R7" s="3">
        <f t="shared" si="3"/>
        <v>3.5370203326898775E-3</v>
      </c>
    </row>
    <row r="8" spans="1:18" x14ac:dyDescent="0.55000000000000004">
      <c r="A8" t="s">
        <v>5</v>
      </c>
      <c r="B8" s="1">
        <v>1333291</v>
      </c>
      <c r="C8" s="1">
        <v>53473</v>
      </c>
      <c r="D8" s="1">
        <v>42017</v>
      </c>
      <c r="E8" s="3">
        <v>40.1</v>
      </c>
      <c r="F8" s="3">
        <v>31.5</v>
      </c>
      <c r="K8" s="3">
        <f t="shared" si="0"/>
        <v>40.106023366241878</v>
      </c>
      <c r="L8" s="3">
        <f t="shared" si="1"/>
        <v>31.513750561580331</v>
      </c>
      <c r="Q8" s="3">
        <f t="shared" si="2"/>
        <v>6.0233662418767153E-3</v>
      </c>
      <c r="R8" s="3">
        <f t="shared" si="3"/>
        <v>1.3750561580330611E-2</v>
      </c>
    </row>
    <row r="9" spans="1:18" x14ac:dyDescent="0.55000000000000004">
      <c r="A9" t="s">
        <v>6</v>
      </c>
      <c r="B9" s="1">
        <v>2874736</v>
      </c>
      <c r="C9" s="1">
        <v>151935</v>
      </c>
      <c r="D9" s="1">
        <v>94648</v>
      </c>
      <c r="E9" s="3">
        <v>52.9</v>
      </c>
      <c r="F9" s="3">
        <v>32.9</v>
      </c>
      <c r="K9" s="3">
        <f t="shared" si="0"/>
        <v>52.851809696612143</v>
      </c>
      <c r="L9" s="3">
        <f t="shared" si="1"/>
        <v>32.924066766478731</v>
      </c>
      <c r="Q9" s="3">
        <f t="shared" si="2"/>
        <v>-4.8190303387855238E-2</v>
      </c>
      <c r="R9" s="3">
        <f t="shared" si="3"/>
        <v>2.4066766478732404E-2</v>
      </c>
    </row>
    <row r="10" spans="1:18" x14ac:dyDescent="0.55000000000000004">
      <c r="A10" t="s">
        <v>7</v>
      </c>
      <c r="B10" s="1">
        <v>1517312</v>
      </c>
      <c r="C10" s="1">
        <v>51915</v>
      </c>
      <c r="D10" s="1">
        <v>33027</v>
      </c>
      <c r="E10" s="3">
        <v>34.200000000000003</v>
      </c>
      <c r="F10" s="3">
        <v>21.8</v>
      </c>
      <c r="K10" s="3">
        <f t="shared" si="0"/>
        <v>34.215111987514767</v>
      </c>
      <c r="L10" s="3">
        <f t="shared" si="1"/>
        <v>21.766782309768853</v>
      </c>
      <c r="Q10" s="3">
        <f t="shared" si="2"/>
        <v>1.511198751476428E-2</v>
      </c>
      <c r="R10" s="3">
        <f t="shared" si="3"/>
        <v>-3.3217690231147401E-2</v>
      </c>
    </row>
    <row r="11" spans="1:18" x14ac:dyDescent="0.55000000000000004">
      <c r="A11" t="s">
        <v>8</v>
      </c>
      <c r="B11" s="1">
        <v>1676615</v>
      </c>
      <c r="C11" s="1">
        <v>74054</v>
      </c>
      <c r="D11" s="1">
        <v>39136</v>
      </c>
      <c r="E11" s="3">
        <v>44.2</v>
      </c>
      <c r="F11" s="3">
        <v>23.3</v>
      </c>
      <c r="K11" s="3">
        <f t="shared" si="0"/>
        <v>44.168756691309575</v>
      </c>
      <c r="L11" s="3">
        <f t="shared" si="1"/>
        <v>23.342269990427141</v>
      </c>
      <c r="Q11" s="3">
        <f t="shared" si="2"/>
        <v>-3.1243308690427796E-2</v>
      </c>
      <c r="R11" s="3">
        <f t="shared" si="3"/>
        <v>4.2269990427140414E-2</v>
      </c>
    </row>
    <row r="12" spans="1:18" x14ac:dyDescent="0.55000000000000004">
      <c r="A12" t="s">
        <v>9</v>
      </c>
      <c r="B12" s="1">
        <v>1263335</v>
      </c>
      <c r="C12" s="1">
        <v>63889</v>
      </c>
      <c r="D12" s="1">
        <v>33118</v>
      </c>
      <c r="E12" s="3">
        <v>50.6</v>
      </c>
      <c r="F12" s="3">
        <v>26.2</v>
      </c>
      <c r="K12" s="3">
        <f t="shared" si="0"/>
        <v>50.571701092742622</v>
      </c>
      <c r="L12" s="3">
        <f t="shared" si="1"/>
        <v>26.214741141502451</v>
      </c>
      <c r="Q12" s="3">
        <f t="shared" si="2"/>
        <v>-2.8298907257379824E-2</v>
      </c>
      <c r="R12" s="3">
        <f t="shared" si="3"/>
        <v>1.4741141502451427E-2</v>
      </c>
    </row>
    <row r="13" spans="1:18" x14ac:dyDescent="0.55000000000000004">
      <c r="A13" t="s">
        <v>10</v>
      </c>
      <c r="B13" s="1">
        <v>1247116</v>
      </c>
      <c r="C13" s="1">
        <v>82286</v>
      </c>
      <c r="D13" s="1">
        <v>58804</v>
      </c>
      <c r="E13" s="3">
        <v>66</v>
      </c>
      <c r="F13" s="3">
        <v>47.2</v>
      </c>
      <c r="K13" s="3">
        <f t="shared" si="0"/>
        <v>65.981031435728525</v>
      </c>
      <c r="L13" s="3">
        <f t="shared" si="1"/>
        <v>47.151989069180409</v>
      </c>
      <c r="Q13" s="3">
        <f t="shared" si="2"/>
        <v>-1.8968564271474975E-2</v>
      </c>
      <c r="R13" s="3">
        <f t="shared" si="3"/>
        <v>-4.8010930819593511E-2</v>
      </c>
    </row>
    <row r="14" spans="1:18" x14ac:dyDescent="0.55000000000000004">
      <c r="A14" t="s">
        <v>11</v>
      </c>
      <c r="B14" s="1">
        <v>2412688</v>
      </c>
      <c r="C14" s="1">
        <v>118019</v>
      </c>
      <c r="D14" s="1">
        <v>67237</v>
      </c>
      <c r="E14" s="3">
        <v>48.9</v>
      </c>
      <c r="F14" s="3">
        <v>27.9</v>
      </c>
      <c r="K14" s="3">
        <f t="shared" si="0"/>
        <v>48.915980847917346</v>
      </c>
      <c r="L14" s="3">
        <f t="shared" si="1"/>
        <v>27.868087378061315</v>
      </c>
      <c r="Q14" s="3">
        <f t="shared" si="2"/>
        <v>1.5980847917347774E-2</v>
      </c>
      <c r="R14" s="3">
        <f t="shared" si="3"/>
        <v>-3.1912621938683827E-2</v>
      </c>
    </row>
    <row r="15" spans="1:18" x14ac:dyDescent="0.55000000000000004">
      <c r="A15" s="9" t="s">
        <v>115</v>
      </c>
      <c r="B15" s="10">
        <v>18334447</v>
      </c>
      <c r="C15" s="10">
        <v>855412</v>
      </c>
      <c r="D15" s="10">
        <v>523087</v>
      </c>
      <c r="E15" s="11">
        <v>46.6</v>
      </c>
      <c r="F15" s="11">
        <v>28.5</v>
      </c>
      <c r="G15" s="9"/>
      <c r="H15" s="10">
        <f>SUM(B3:B14)</f>
        <v>18334447</v>
      </c>
      <c r="I15" s="10">
        <f>SUM(C3:C14)</f>
        <v>855412</v>
      </c>
      <c r="J15" s="10">
        <f>SUM(D3:D14)</f>
        <v>523087</v>
      </c>
      <c r="K15" s="11">
        <f t="shared" si="0"/>
        <v>46.656002223574013</v>
      </c>
      <c r="L15" s="11">
        <f t="shared" si="1"/>
        <v>28.530285096681673</v>
      </c>
      <c r="M15" s="9"/>
      <c r="N15" s="10">
        <f>H15-B15</f>
        <v>0</v>
      </c>
      <c r="O15" s="10">
        <f>I15-C15</f>
        <v>0</v>
      </c>
      <c r="P15" s="10">
        <f>J15-D15</f>
        <v>0</v>
      </c>
      <c r="Q15" s="11">
        <f t="shared" si="2"/>
        <v>5.6002223574012078E-2</v>
      </c>
      <c r="R15" s="11">
        <f t="shared" si="3"/>
        <v>3.0285096681673451E-2</v>
      </c>
    </row>
    <row r="16" spans="1:18" x14ac:dyDescent="0.55000000000000004">
      <c r="A16" t="s">
        <v>12</v>
      </c>
      <c r="B16" s="1">
        <v>996957</v>
      </c>
      <c r="C16" s="1">
        <v>41275</v>
      </c>
      <c r="D16" s="1">
        <v>22498</v>
      </c>
      <c r="E16" s="3">
        <v>41.4</v>
      </c>
      <c r="F16" s="3">
        <v>22.6</v>
      </c>
      <c r="K16" s="3">
        <f t="shared" si="0"/>
        <v>41.400983191852809</v>
      </c>
      <c r="L16" s="3">
        <f t="shared" si="1"/>
        <v>22.566670377960133</v>
      </c>
      <c r="Q16" s="3">
        <f t="shared" si="2"/>
        <v>9.8319185281070531E-4</v>
      </c>
      <c r="R16" s="3">
        <f t="shared" si="3"/>
        <v>-3.3329622039868667E-2</v>
      </c>
    </row>
    <row r="17" spans="1:18" x14ac:dyDescent="0.55000000000000004">
      <c r="A17" t="s">
        <v>13</v>
      </c>
      <c r="B17" s="1">
        <v>454298</v>
      </c>
      <c r="C17" s="1">
        <v>16979</v>
      </c>
      <c r="D17" s="1">
        <v>12035</v>
      </c>
      <c r="E17" s="3">
        <v>37.4</v>
      </c>
      <c r="F17" s="3">
        <v>26.5</v>
      </c>
      <c r="K17" s="3">
        <f t="shared" si="0"/>
        <v>37.374146485346621</v>
      </c>
      <c r="L17" s="3">
        <f t="shared" si="1"/>
        <v>26.491421930098745</v>
      </c>
      <c r="Q17" s="3">
        <f t="shared" si="2"/>
        <v>-2.5853514653377374E-2</v>
      </c>
      <c r="R17" s="3">
        <f t="shared" si="3"/>
        <v>-8.5780699012545369E-3</v>
      </c>
    </row>
    <row r="18" spans="1:18" x14ac:dyDescent="0.55000000000000004">
      <c r="A18" t="s">
        <v>14</v>
      </c>
      <c r="B18" s="1">
        <v>820526</v>
      </c>
      <c r="C18" s="1">
        <v>29217</v>
      </c>
      <c r="D18" s="1">
        <v>16438</v>
      </c>
      <c r="E18" s="3">
        <v>35.6</v>
      </c>
      <c r="F18" s="3">
        <v>20</v>
      </c>
      <c r="K18" s="3">
        <f t="shared" si="0"/>
        <v>35.607646802173235</v>
      </c>
      <c r="L18" s="3">
        <f t="shared" si="1"/>
        <v>20.033490712055436</v>
      </c>
      <c r="Q18" s="3">
        <f t="shared" si="2"/>
        <v>7.6468021732338798E-3</v>
      </c>
      <c r="R18" s="3">
        <f t="shared" si="3"/>
        <v>3.3490712055435523E-2</v>
      </c>
    </row>
    <row r="19" spans="1:18" x14ac:dyDescent="0.55000000000000004">
      <c r="A19" t="s">
        <v>15</v>
      </c>
      <c r="B19" s="1">
        <v>669316</v>
      </c>
      <c r="C19" s="1">
        <v>28208</v>
      </c>
      <c r="D19" s="1">
        <v>19726</v>
      </c>
      <c r="E19" s="3">
        <v>42.2</v>
      </c>
      <c r="F19" s="3">
        <v>29.5</v>
      </c>
      <c r="K19" s="3">
        <f t="shared" si="0"/>
        <v>42.144517686713009</v>
      </c>
      <c r="L19" s="3">
        <f t="shared" si="1"/>
        <v>29.471878753832272</v>
      </c>
      <c r="Q19" s="3">
        <f t="shared" si="2"/>
        <v>-5.5482313286994156E-2</v>
      </c>
      <c r="R19" s="3">
        <f t="shared" si="3"/>
        <v>-2.8121246167728486E-2</v>
      </c>
    </row>
    <row r="20" spans="1:18" x14ac:dyDescent="0.55000000000000004">
      <c r="A20" t="s">
        <v>16</v>
      </c>
      <c r="B20" s="1">
        <v>598711</v>
      </c>
      <c r="C20" s="1">
        <v>23543</v>
      </c>
      <c r="D20" s="1">
        <v>14794</v>
      </c>
      <c r="E20" s="3">
        <v>39.299999999999997</v>
      </c>
      <c r="F20" s="3">
        <v>24.7</v>
      </c>
      <c r="K20" s="3">
        <f t="shared" si="0"/>
        <v>39.322811840771259</v>
      </c>
      <c r="L20" s="3">
        <f t="shared" si="1"/>
        <v>24.709751449363715</v>
      </c>
      <c r="Q20" s="3">
        <f t="shared" si="2"/>
        <v>2.2811840771261416E-2</v>
      </c>
      <c r="R20" s="3">
        <f t="shared" si="3"/>
        <v>9.7514493637156363E-3</v>
      </c>
    </row>
    <row r="21" spans="1:18" x14ac:dyDescent="0.55000000000000004">
      <c r="A21" t="s">
        <v>17</v>
      </c>
      <c r="B21" s="1">
        <v>949086</v>
      </c>
      <c r="C21" s="1">
        <v>38578</v>
      </c>
      <c r="D21" s="1">
        <v>22859</v>
      </c>
      <c r="E21" s="3">
        <v>40.6</v>
      </c>
      <c r="F21" s="3">
        <v>24.1</v>
      </c>
      <c r="K21" s="3">
        <f t="shared" si="0"/>
        <v>40.647528253498628</v>
      </c>
      <c r="L21" s="3">
        <f t="shared" si="1"/>
        <v>24.08527783572827</v>
      </c>
      <c r="Q21" s="3">
        <f t="shared" si="2"/>
        <v>4.7528253498626327E-2</v>
      </c>
      <c r="R21" s="3">
        <f t="shared" si="3"/>
        <v>-1.4722164271731231E-2</v>
      </c>
    </row>
    <row r="22" spans="1:18" x14ac:dyDescent="0.55000000000000004">
      <c r="A22" t="s">
        <v>18</v>
      </c>
      <c r="B22" s="1">
        <v>1072659</v>
      </c>
      <c r="C22" s="1">
        <v>34812</v>
      </c>
      <c r="D22" s="1">
        <v>19194</v>
      </c>
      <c r="E22" s="3">
        <v>32.5</v>
      </c>
      <c r="F22" s="3">
        <v>17.100000000000001</v>
      </c>
      <c r="K22" s="3">
        <f t="shared" si="0"/>
        <v>32.453929906894921</v>
      </c>
      <c r="L22" s="3">
        <f t="shared" si="1"/>
        <v>17.893850701853992</v>
      </c>
      <c r="Q22" s="3">
        <f t="shared" si="2"/>
        <v>-4.6070093105079479E-2</v>
      </c>
      <c r="R22" s="3">
        <f t="shared" si="3"/>
        <v>0.79385070185399087</v>
      </c>
    </row>
    <row r="23" spans="1:18" x14ac:dyDescent="0.55000000000000004">
      <c r="A23" t="s">
        <v>19</v>
      </c>
      <c r="B23" s="1">
        <v>591066</v>
      </c>
      <c r="C23" s="1">
        <v>26033</v>
      </c>
      <c r="D23" s="1">
        <v>16423</v>
      </c>
      <c r="E23" s="3">
        <v>44.1</v>
      </c>
      <c r="F23" s="3">
        <v>27.8</v>
      </c>
      <c r="K23" s="3">
        <f t="shared" si="0"/>
        <v>44.044150737819464</v>
      </c>
      <c r="L23" s="3">
        <f t="shared" si="1"/>
        <v>27.785391140752473</v>
      </c>
      <c r="Q23" s="3">
        <f t="shared" si="2"/>
        <v>-5.5849262180537096E-2</v>
      </c>
      <c r="R23" s="3">
        <f t="shared" si="3"/>
        <v>-1.4608859247527306E-2</v>
      </c>
    </row>
    <row r="24" spans="1:18" x14ac:dyDescent="0.55000000000000004">
      <c r="A24" t="s">
        <v>20</v>
      </c>
      <c r="B24" s="1">
        <v>697273</v>
      </c>
      <c r="C24" s="1">
        <v>30429</v>
      </c>
      <c r="D24" s="1">
        <v>17912</v>
      </c>
      <c r="E24" s="3">
        <v>43.7</v>
      </c>
      <c r="F24" s="3">
        <v>25.7</v>
      </c>
      <c r="K24" s="3">
        <f t="shared" si="0"/>
        <v>43.640009006515378</v>
      </c>
      <c r="L24" s="3">
        <f t="shared" si="1"/>
        <v>25.688647057895544</v>
      </c>
      <c r="Q24" s="3">
        <f t="shared" si="2"/>
        <v>-5.9990993484625221E-2</v>
      </c>
      <c r="R24" s="3">
        <f t="shared" si="3"/>
        <v>-1.1352942104455366E-2</v>
      </c>
    </row>
    <row r="25" spans="1:18" x14ac:dyDescent="0.55000000000000004">
      <c r="A25" t="s">
        <v>21</v>
      </c>
      <c r="B25" s="1">
        <v>651490</v>
      </c>
      <c r="C25" s="1">
        <v>22309</v>
      </c>
      <c r="D25" s="1">
        <v>14613</v>
      </c>
      <c r="E25" s="3">
        <v>34.299999999999997</v>
      </c>
      <c r="F25" s="3">
        <v>22.5</v>
      </c>
      <c r="K25" s="3">
        <f t="shared" si="0"/>
        <v>34.243042870957339</v>
      </c>
      <c r="L25" s="3">
        <f t="shared" si="1"/>
        <v>22.430121720978065</v>
      </c>
      <c r="Q25" s="3">
        <f t="shared" si="2"/>
        <v>-5.6957129042658039E-2</v>
      </c>
      <c r="R25" s="3">
        <f t="shared" si="3"/>
        <v>-6.9878279021935441E-2</v>
      </c>
    </row>
    <row r="26" spans="1:18" x14ac:dyDescent="0.55000000000000004">
      <c r="A26" t="s">
        <v>22</v>
      </c>
      <c r="B26" s="1">
        <v>664368</v>
      </c>
      <c r="C26" s="1">
        <v>24199</v>
      </c>
      <c r="D26" s="1">
        <v>15419</v>
      </c>
      <c r="E26" s="3">
        <v>36.4</v>
      </c>
      <c r="F26" s="3">
        <v>23.2</v>
      </c>
      <c r="K26" s="3">
        <f t="shared" si="0"/>
        <v>36.424090263227605</v>
      </c>
      <c r="L26" s="3">
        <f t="shared" si="1"/>
        <v>23.208522987260071</v>
      </c>
      <c r="Q26" s="3">
        <f t="shared" si="2"/>
        <v>2.4090263227606101E-2</v>
      </c>
      <c r="R26" s="3">
        <f t="shared" si="3"/>
        <v>8.5229872600720569E-3</v>
      </c>
    </row>
    <row r="27" spans="1:18" x14ac:dyDescent="0.55000000000000004">
      <c r="A27" t="s">
        <v>23</v>
      </c>
      <c r="B27" s="1">
        <v>669190</v>
      </c>
      <c r="C27" s="1">
        <v>19307</v>
      </c>
      <c r="D27" s="1">
        <v>12364</v>
      </c>
      <c r="E27" s="3">
        <v>28.8</v>
      </c>
      <c r="F27" s="3">
        <v>18.5</v>
      </c>
      <c r="K27" s="3">
        <f t="shared" si="0"/>
        <v>28.851297837684363</v>
      </c>
      <c r="L27" s="3">
        <f t="shared" si="1"/>
        <v>18.476068082308466</v>
      </c>
      <c r="Q27" s="3">
        <f t="shared" si="2"/>
        <v>5.129783768436269E-2</v>
      </c>
      <c r="R27" s="3">
        <f t="shared" si="3"/>
        <v>-2.3931917691534466E-2</v>
      </c>
    </row>
    <row r="28" spans="1:18" x14ac:dyDescent="0.55000000000000004">
      <c r="A28" t="s">
        <v>24</v>
      </c>
      <c r="B28" s="1">
        <v>1219007</v>
      </c>
      <c r="C28" s="1">
        <v>36602</v>
      </c>
      <c r="D28" s="1">
        <v>25418</v>
      </c>
      <c r="E28" s="3">
        <v>30</v>
      </c>
      <c r="F28" s="3">
        <v>20.8</v>
      </c>
      <c r="K28" s="3">
        <f t="shared" si="0"/>
        <v>30.026078603322212</v>
      </c>
      <c r="L28" s="3">
        <f t="shared" si="1"/>
        <v>20.851397900094092</v>
      </c>
      <c r="Q28" s="3">
        <f t="shared" si="2"/>
        <v>2.6078603322211791E-2</v>
      </c>
      <c r="R28" s="3">
        <f t="shared" si="3"/>
        <v>5.1397900094091398E-2</v>
      </c>
    </row>
    <row r="29" spans="1:18" x14ac:dyDescent="0.55000000000000004">
      <c r="A29" t="s">
        <v>25</v>
      </c>
      <c r="B29" s="1">
        <v>389061</v>
      </c>
      <c r="C29" s="1">
        <v>11672</v>
      </c>
      <c r="D29" s="1">
        <v>8438</v>
      </c>
      <c r="E29" s="3">
        <v>30.1</v>
      </c>
      <c r="F29" s="3">
        <v>21.7</v>
      </c>
      <c r="K29" s="3">
        <f t="shared" si="0"/>
        <v>30.000436949475787</v>
      </c>
      <c r="L29" s="3">
        <f t="shared" si="1"/>
        <v>21.688115745345844</v>
      </c>
      <c r="Q29" s="3">
        <f t="shared" si="2"/>
        <v>-9.9563050524213992E-2</v>
      </c>
      <c r="R29" s="3">
        <f t="shared" si="3"/>
        <v>-1.1884254654155768E-2</v>
      </c>
    </row>
    <row r="30" spans="1:18" x14ac:dyDescent="0.55000000000000004">
      <c r="A30" s="9" t="s">
        <v>97</v>
      </c>
      <c r="B30" s="10">
        <v>10443008</v>
      </c>
      <c r="C30" s="10">
        <v>383163</v>
      </c>
      <c r="D30" s="10">
        <v>238131</v>
      </c>
      <c r="E30" s="11">
        <v>36.700000000000003</v>
      </c>
      <c r="F30" s="11">
        <v>22.8</v>
      </c>
      <c r="G30" s="9"/>
      <c r="H30" s="10">
        <f>SUM(B16:B29)</f>
        <v>10443008</v>
      </c>
      <c r="I30" s="10">
        <f>SUM(C16:C29)</f>
        <v>383163</v>
      </c>
      <c r="J30" s="10">
        <f>SUM(D16:D29)</f>
        <v>238131</v>
      </c>
      <c r="K30" s="11">
        <f t="shared" si="0"/>
        <v>36.690865313901895</v>
      </c>
      <c r="L30" s="11">
        <f t="shared" si="1"/>
        <v>22.802912723996762</v>
      </c>
      <c r="M30" s="9"/>
      <c r="N30" s="10">
        <f>H30-B30</f>
        <v>0</v>
      </c>
      <c r="O30" s="10">
        <f>I30-C30</f>
        <v>0</v>
      </c>
      <c r="P30" s="10">
        <f>J30-D30</f>
        <v>0</v>
      </c>
      <c r="Q30" s="11">
        <f t="shared" si="2"/>
        <v>-9.1346860981076361E-3</v>
      </c>
      <c r="R30" s="11">
        <f t="shared" si="3"/>
        <v>2.9127239967614571E-3</v>
      </c>
    </row>
    <row r="31" spans="1:18" x14ac:dyDescent="0.55000000000000004">
      <c r="A31" t="s">
        <v>26</v>
      </c>
      <c r="B31" s="1">
        <v>1555052</v>
      </c>
      <c r="C31" s="1">
        <v>63403</v>
      </c>
      <c r="D31" s="1">
        <v>35411</v>
      </c>
      <c r="E31" s="3">
        <v>40.799999999999997</v>
      </c>
      <c r="F31" s="3">
        <v>22.8</v>
      </c>
      <c r="K31" s="3">
        <f t="shared" si="0"/>
        <v>40.772269994829756</v>
      </c>
      <c r="L31" s="3">
        <f t="shared" si="1"/>
        <v>22.771585773337485</v>
      </c>
      <c r="Q31" s="3">
        <f t="shared" si="2"/>
        <v>-2.7730005170241157E-2</v>
      </c>
      <c r="R31" s="3">
        <f t="shared" si="3"/>
        <v>-2.8414226662516029E-2</v>
      </c>
    </row>
    <row r="32" spans="1:18" x14ac:dyDescent="0.55000000000000004">
      <c r="A32" t="s">
        <v>27</v>
      </c>
      <c r="B32" s="1">
        <v>1383940</v>
      </c>
      <c r="C32" s="1">
        <v>72151</v>
      </c>
      <c r="D32" s="1">
        <v>53903</v>
      </c>
      <c r="E32" s="3">
        <v>52.1</v>
      </c>
      <c r="F32" s="3">
        <v>38.9</v>
      </c>
      <c r="K32" s="3">
        <f t="shared" si="0"/>
        <v>52.134485599086666</v>
      </c>
      <c r="L32" s="3">
        <f t="shared" si="1"/>
        <v>38.948942873245947</v>
      </c>
      <c r="Q32" s="3">
        <f t="shared" si="2"/>
        <v>3.448559908666482E-2</v>
      </c>
      <c r="R32" s="3">
        <f t="shared" si="3"/>
        <v>4.8942873245948704E-2</v>
      </c>
    </row>
    <row r="33" spans="1:18" x14ac:dyDescent="0.55000000000000004">
      <c r="A33" t="s">
        <v>28</v>
      </c>
      <c r="B33" s="1">
        <v>1219178</v>
      </c>
      <c r="C33" s="1">
        <v>57899</v>
      </c>
      <c r="D33" s="1">
        <v>37323</v>
      </c>
      <c r="E33" s="3">
        <v>47.5</v>
      </c>
      <c r="F33" s="3">
        <v>30.6</v>
      </c>
      <c r="K33" s="3">
        <f t="shared" si="0"/>
        <v>47.490194212822075</v>
      </c>
      <c r="L33" s="3">
        <f t="shared" si="1"/>
        <v>30.613249254825792</v>
      </c>
      <c r="Q33" s="3">
        <f t="shared" si="2"/>
        <v>-9.8057871779246852E-3</v>
      </c>
      <c r="R33" s="3">
        <f t="shared" si="3"/>
        <v>1.3249254825790757E-2</v>
      </c>
    </row>
    <row r="34" spans="1:18" x14ac:dyDescent="0.55000000000000004">
      <c r="A34" t="s">
        <v>29</v>
      </c>
      <c r="B34" s="1">
        <v>2565862</v>
      </c>
      <c r="C34" s="1">
        <v>129470</v>
      </c>
      <c r="D34" s="1">
        <v>85745</v>
      </c>
      <c r="E34" s="3">
        <v>50.4</v>
      </c>
      <c r="F34" s="3">
        <v>33.4</v>
      </c>
      <c r="K34" s="3">
        <f t="shared" si="0"/>
        <v>50.458676265520126</v>
      </c>
      <c r="L34" s="3">
        <f t="shared" si="1"/>
        <v>33.417619497852961</v>
      </c>
      <c r="Q34" s="3">
        <f t="shared" si="2"/>
        <v>5.8676265520126947E-2</v>
      </c>
      <c r="R34" s="3">
        <f t="shared" si="3"/>
        <v>1.761949785296224E-2</v>
      </c>
    </row>
    <row r="35" spans="1:18" x14ac:dyDescent="0.55000000000000004">
      <c r="A35" t="s">
        <v>30</v>
      </c>
      <c r="B35" s="1">
        <v>2888951</v>
      </c>
      <c r="C35" s="1">
        <v>141131</v>
      </c>
      <c r="D35" s="1">
        <v>111579</v>
      </c>
      <c r="E35" s="3">
        <v>48.9</v>
      </c>
      <c r="F35" s="3">
        <v>38.6</v>
      </c>
      <c r="K35" s="3">
        <f t="shared" si="0"/>
        <v>48.851988143793371</v>
      </c>
      <c r="L35" s="3">
        <f t="shared" si="1"/>
        <v>38.622669612603325</v>
      </c>
      <c r="Q35" s="3">
        <f t="shared" si="2"/>
        <v>-4.8011856206628067E-2</v>
      </c>
      <c r="R35" s="3">
        <f t="shared" si="3"/>
        <v>2.266961260332323E-2</v>
      </c>
    </row>
    <row r="36" spans="1:18" x14ac:dyDescent="0.55000000000000004">
      <c r="A36" t="s">
        <v>31</v>
      </c>
      <c r="B36" s="1">
        <v>1837404</v>
      </c>
      <c r="C36" s="1">
        <v>87963</v>
      </c>
      <c r="D36" s="1">
        <v>59188</v>
      </c>
      <c r="E36" s="3">
        <v>47.9</v>
      </c>
      <c r="F36" s="3">
        <v>32.200000000000003</v>
      </c>
      <c r="K36" s="3">
        <f t="shared" si="0"/>
        <v>47.87352155541187</v>
      </c>
      <c r="L36" s="3">
        <f t="shared" si="1"/>
        <v>32.212839419093463</v>
      </c>
      <c r="Q36" s="3">
        <f t="shared" si="2"/>
        <v>-2.647844458812898E-2</v>
      </c>
      <c r="R36" s="3">
        <f t="shared" si="3"/>
        <v>1.2839419093459981E-2</v>
      </c>
    </row>
    <row r="37" spans="1:18" x14ac:dyDescent="0.55000000000000004">
      <c r="A37" t="s">
        <v>32</v>
      </c>
      <c r="B37" s="1">
        <v>2096700</v>
      </c>
      <c r="C37" s="1">
        <v>95558</v>
      </c>
      <c r="D37" s="1">
        <v>63008</v>
      </c>
      <c r="E37" s="3">
        <v>45.6</v>
      </c>
      <c r="F37" s="3">
        <v>30.1</v>
      </c>
      <c r="K37" s="3">
        <f t="shared" si="0"/>
        <v>45.57542805360805</v>
      </c>
      <c r="L37" s="3">
        <f t="shared" si="1"/>
        <v>30.051032574998807</v>
      </c>
      <c r="Q37" s="3">
        <f t="shared" si="2"/>
        <v>-2.4571946391951371E-2</v>
      </c>
      <c r="R37" s="3">
        <f t="shared" si="3"/>
        <v>-4.8967425001194442E-2</v>
      </c>
    </row>
    <row r="38" spans="1:18" x14ac:dyDescent="0.55000000000000004">
      <c r="A38" t="s">
        <v>33</v>
      </c>
      <c r="B38" s="1">
        <v>1187432</v>
      </c>
      <c r="C38" s="1">
        <v>54396</v>
      </c>
      <c r="D38" s="1">
        <v>39833</v>
      </c>
      <c r="E38" s="3">
        <v>45.8</v>
      </c>
      <c r="F38" s="3">
        <v>33.6</v>
      </c>
      <c r="K38" s="3">
        <f t="shared" si="0"/>
        <v>45.809781107465525</v>
      </c>
      <c r="L38" s="3">
        <f t="shared" si="1"/>
        <v>33.545499868624056</v>
      </c>
      <c r="Q38" s="3">
        <f t="shared" si="2"/>
        <v>9.7811074655282937E-3</v>
      </c>
      <c r="R38" s="3">
        <f t="shared" si="3"/>
        <v>-5.4500131375945671E-2</v>
      </c>
    </row>
    <row r="39" spans="1:18" x14ac:dyDescent="0.55000000000000004">
      <c r="A39" t="s">
        <v>34</v>
      </c>
      <c r="B39" s="1">
        <v>1336173</v>
      </c>
      <c r="C39" s="1">
        <v>62867</v>
      </c>
      <c r="D39" s="1">
        <v>42178</v>
      </c>
      <c r="E39" s="3">
        <v>47.1</v>
      </c>
      <c r="F39" s="3">
        <v>31.6</v>
      </c>
      <c r="K39" s="3">
        <f t="shared" si="0"/>
        <v>47.050045166307058</v>
      </c>
      <c r="L39" s="3">
        <f t="shared" si="1"/>
        <v>31.566271732777118</v>
      </c>
      <c r="Q39" s="3">
        <f t="shared" si="2"/>
        <v>-4.9954833692943623E-2</v>
      </c>
      <c r="R39" s="3">
        <f t="shared" si="3"/>
        <v>-3.3728267222883801E-2</v>
      </c>
    </row>
    <row r="40" spans="1:18" x14ac:dyDescent="0.55000000000000004">
      <c r="A40" t="s">
        <v>35</v>
      </c>
      <c r="B40" s="1">
        <v>2362988</v>
      </c>
      <c r="C40" s="1">
        <v>113412</v>
      </c>
      <c r="D40" s="1">
        <v>72189</v>
      </c>
      <c r="E40" s="3">
        <v>48</v>
      </c>
      <c r="F40" s="3">
        <v>30.6</v>
      </c>
      <c r="K40" s="3">
        <f t="shared" si="0"/>
        <v>47.995165443074619</v>
      </c>
      <c r="L40" s="3">
        <f t="shared" si="1"/>
        <v>30.549880067101483</v>
      </c>
      <c r="Q40" s="3">
        <f t="shared" si="2"/>
        <v>-4.8345569253811504E-3</v>
      </c>
      <c r="R40" s="3">
        <f t="shared" si="3"/>
        <v>-5.0119932898518016E-2</v>
      </c>
    </row>
    <row r="41" spans="1:18" x14ac:dyDescent="0.55000000000000004">
      <c r="A41" t="s">
        <v>36</v>
      </c>
      <c r="B41" s="1">
        <v>1444603</v>
      </c>
      <c r="C41" s="1">
        <v>65550</v>
      </c>
      <c r="D41" s="1">
        <v>60115</v>
      </c>
      <c r="E41" s="3">
        <v>45.4</v>
      </c>
      <c r="F41" s="3">
        <v>41.1</v>
      </c>
      <c r="K41" s="3">
        <f t="shared" si="0"/>
        <v>45.375788365384814</v>
      </c>
      <c r="L41" s="3">
        <f t="shared" si="1"/>
        <v>41.613509040199972</v>
      </c>
      <c r="Q41" s="3">
        <f t="shared" si="2"/>
        <v>-2.4211634615184607E-2</v>
      </c>
      <c r="R41" s="3">
        <f t="shared" si="3"/>
        <v>0.51350904019997046</v>
      </c>
    </row>
    <row r="42" spans="1:18" x14ac:dyDescent="0.55000000000000004">
      <c r="A42" t="s">
        <v>37</v>
      </c>
      <c r="B42" s="1">
        <v>753469</v>
      </c>
      <c r="C42" s="1">
        <v>30872</v>
      </c>
      <c r="D42" s="1">
        <v>28643</v>
      </c>
      <c r="E42" s="3">
        <v>40</v>
      </c>
      <c r="F42" s="3">
        <v>38</v>
      </c>
      <c r="K42" s="3">
        <f t="shared" si="0"/>
        <v>40.97315218011623</v>
      </c>
      <c r="L42" s="3">
        <f t="shared" si="1"/>
        <v>38.014835381415828</v>
      </c>
      <c r="Q42" s="3">
        <f t="shared" si="2"/>
        <v>0.97315218011623017</v>
      </c>
      <c r="R42" s="3">
        <f t="shared" si="3"/>
        <v>1.4835381415828408E-2</v>
      </c>
    </row>
    <row r="43" spans="1:18" x14ac:dyDescent="0.55000000000000004">
      <c r="A43" t="s">
        <v>38</v>
      </c>
      <c r="B43" s="1">
        <v>1478871</v>
      </c>
      <c r="C43" s="1">
        <v>81925</v>
      </c>
      <c r="D43" s="1">
        <v>56263</v>
      </c>
      <c r="E43" s="3">
        <v>55.4</v>
      </c>
      <c r="F43" s="3">
        <v>38</v>
      </c>
      <c r="K43" s="3">
        <f t="shared" si="0"/>
        <v>55.396988648773288</v>
      </c>
      <c r="L43" s="3">
        <f t="shared" si="1"/>
        <v>38.044562372242069</v>
      </c>
      <c r="Q43" s="3">
        <f t="shared" si="2"/>
        <v>-3.0113512267107012E-3</v>
      </c>
      <c r="R43" s="3">
        <f t="shared" si="3"/>
        <v>4.4562372242069159E-2</v>
      </c>
    </row>
    <row r="44" spans="1:18" x14ac:dyDescent="0.55000000000000004">
      <c r="A44" t="s">
        <v>39</v>
      </c>
      <c r="B44" s="1">
        <v>1199648</v>
      </c>
      <c r="C44" s="1">
        <v>52752</v>
      </c>
      <c r="D44" s="1">
        <v>38504</v>
      </c>
      <c r="E44" s="3">
        <v>43.1</v>
      </c>
      <c r="F44" s="3">
        <v>32</v>
      </c>
      <c r="K44" s="3">
        <f t="shared" si="0"/>
        <v>43.972898716956976</v>
      </c>
      <c r="L44" s="3">
        <f t="shared" si="1"/>
        <v>32.096081517245061</v>
      </c>
      <c r="Q44" s="3">
        <f t="shared" si="2"/>
        <v>0.87289871695697485</v>
      </c>
      <c r="R44" s="3">
        <f t="shared" si="3"/>
        <v>9.6081517245060866E-2</v>
      </c>
    </row>
    <row r="45" spans="1:18" x14ac:dyDescent="0.55000000000000004">
      <c r="A45" t="s">
        <v>40</v>
      </c>
      <c r="B45" s="8">
        <v>336204</v>
      </c>
      <c r="C45" s="1">
        <v>16492</v>
      </c>
      <c r="D45" s="1">
        <v>11962</v>
      </c>
      <c r="E45" s="3">
        <v>49.1</v>
      </c>
      <c r="F45" s="3">
        <v>35.6</v>
      </c>
      <c r="K45" s="3">
        <f t="shared" si="0"/>
        <v>49.053550820335275</v>
      </c>
      <c r="L45" s="3">
        <f t="shared" si="1"/>
        <v>35.579588583122153</v>
      </c>
      <c r="Q45" s="3">
        <f t="shared" si="2"/>
        <v>-4.6449179664726614E-2</v>
      </c>
      <c r="R45" s="3">
        <f t="shared" si="3"/>
        <v>-2.0411416877848865E-2</v>
      </c>
    </row>
    <row r="46" spans="1:18" x14ac:dyDescent="0.55000000000000004">
      <c r="A46" t="s">
        <v>41</v>
      </c>
      <c r="B46" s="1">
        <v>1986824</v>
      </c>
      <c r="C46" s="1">
        <v>102376</v>
      </c>
      <c r="D46" s="1">
        <v>69920</v>
      </c>
      <c r="E46" s="3">
        <v>51.5</v>
      </c>
      <c r="F46" s="3">
        <v>30.5</v>
      </c>
      <c r="K46" s="3">
        <f t="shared" si="0"/>
        <v>51.527462925754868</v>
      </c>
      <c r="L46" s="3">
        <f t="shared" si="1"/>
        <v>35.191843867398418</v>
      </c>
      <c r="Q46" s="3">
        <f t="shared" si="2"/>
        <v>2.7462925754868195E-2</v>
      </c>
      <c r="R46" s="3">
        <f t="shared" si="3"/>
        <v>4.6918438673984184</v>
      </c>
    </row>
    <row r="47" spans="1:18" x14ac:dyDescent="0.55000000000000004">
      <c r="A47" t="s">
        <v>42</v>
      </c>
      <c r="B47" s="1">
        <v>1508745</v>
      </c>
      <c r="C47" s="1">
        <v>76256</v>
      </c>
      <c r="D47" s="1">
        <v>47228</v>
      </c>
      <c r="E47" s="3">
        <v>43.9</v>
      </c>
      <c r="F47" s="3">
        <v>31.3</v>
      </c>
      <c r="K47" s="3">
        <f t="shared" si="0"/>
        <v>50.54266956974174</v>
      </c>
      <c r="L47" s="3">
        <f t="shared" si="1"/>
        <v>31.302837789023325</v>
      </c>
      <c r="Q47" s="3">
        <f t="shared" si="2"/>
        <v>6.6426695697417415</v>
      </c>
      <c r="R47" s="3">
        <f t="shared" si="3"/>
        <v>2.8377890233244329E-3</v>
      </c>
    </row>
    <row r="48" spans="1:18" x14ac:dyDescent="0.55000000000000004">
      <c r="A48" t="s">
        <v>43</v>
      </c>
      <c r="B48" s="1">
        <v>2695029</v>
      </c>
      <c r="C48" s="1">
        <v>147702</v>
      </c>
      <c r="D48" s="1">
        <v>120973</v>
      </c>
      <c r="E48" s="3">
        <v>54.8</v>
      </c>
      <c r="F48" s="3">
        <v>44.9</v>
      </c>
      <c r="K48" s="3">
        <f t="shared" si="0"/>
        <v>54.805347178082314</v>
      </c>
      <c r="L48" s="3">
        <f t="shared" si="1"/>
        <v>44.887457611773378</v>
      </c>
      <c r="Q48" s="3">
        <f t="shared" si="2"/>
        <v>5.3471780823173276E-3</v>
      </c>
      <c r="R48" s="3">
        <f t="shared" si="3"/>
        <v>-1.254238822662046E-2</v>
      </c>
    </row>
    <row r="49" spans="1:18" x14ac:dyDescent="0.55000000000000004">
      <c r="A49" t="s">
        <v>44</v>
      </c>
      <c r="B49" s="1">
        <v>2749144</v>
      </c>
      <c r="C49" s="1">
        <v>115360</v>
      </c>
      <c r="D49" s="1">
        <v>78228</v>
      </c>
      <c r="E49" s="3">
        <v>41.9</v>
      </c>
      <c r="F49" s="3">
        <v>28.5</v>
      </c>
      <c r="K49" s="3">
        <f t="shared" si="0"/>
        <v>41.96215258276758</v>
      </c>
      <c r="L49" s="3">
        <f t="shared" si="1"/>
        <v>28.455402845394783</v>
      </c>
      <c r="Q49" s="3">
        <f t="shared" si="2"/>
        <v>6.2152582767581066E-2</v>
      </c>
      <c r="R49" s="3">
        <f t="shared" si="3"/>
        <v>-4.4597154605217071E-2</v>
      </c>
    </row>
    <row r="50" spans="1:18" x14ac:dyDescent="0.55000000000000004">
      <c r="A50" t="s">
        <v>45</v>
      </c>
      <c r="B50" s="1">
        <v>959022</v>
      </c>
      <c r="C50" s="1">
        <v>48274</v>
      </c>
      <c r="D50" s="1">
        <v>30999</v>
      </c>
      <c r="E50" s="3">
        <v>50.3</v>
      </c>
      <c r="F50" s="3">
        <v>32.299999999999997</v>
      </c>
      <c r="K50" s="3">
        <f t="shared" si="0"/>
        <v>50.336697176915649</v>
      </c>
      <c r="L50" s="3">
        <f t="shared" si="1"/>
        <v>32.323554621270418</v>
      </c>
      <c r="Q50" s="3">
        <f t="shared" si="2"/>
        <v>3.6697176915652108E-2</v>
      </c>
      <c r="R50" s="3">
        <f t="shared" si="3"/>
        <v>2.3554621270420739E-2</v>
      </c>
    </row>
    <row r="51" spans="1:18" x14ac:dyDescent="0.55000000000000004">
      <c r="A51" t="s">
        <v>46</v>
      </c>
      <c r="B51" s="1">
        <v>1810798</v>
      </c>
      <c r="C51" s="1">
        <v>84359</v>
      </c>
      <c r="D51" s="1">
        <v>57519</v>
      </c>
      <c r="E51" s="3">
        <v>46.6</v>
      </c>
      <c r="F51" s="3">
        <v>31.7</v>
      </c>
      <c r="K51" s="3">
        <f t="shared" si="0"/>
        <v>46.586643015952085</v>
      </c>
      <c r="L51" s="3">
        <f t="shared" si="1"/>
        <v>31.764448602218469</v>
      </c>
      <c r="Q51" s="3">
        <f t="shared" si="2"/>
        <v>-1.3356984047916853E-2</v>
      </c>
      <c r="R51" s="3">
        <f t="shared" si="3"/>
        <v>6.4448602218469375E-2</v>
      </c>
    </row>
    <row r="52" spans="1:18" x14ac:dyDescent="0.55000000000000004">
      <c r="A52" t="s">
        <v>47</v>
      </c>
      <c r="B52" s="1">
        <v>2463387</v>
      </c>
      <c r="C52" s="1">
        <v>142562</v>
      </c>
      <c r="D52" s="1">
        <v>92484</v>
      </c>
      <c r="E52" s="3">
        <v>57.9</v>
      </c>
      <c r="F52" s="3">
        <v>37.6</v>
      </c>
      <c r="K52" s="3">
        <f t="shared" si="0"/>
        <v>57.872352172029807</v>
      </c>
      <c r="L52" s="3">
        <f t="shared" si="1"/>
        <v>37.543431056508787</v>
      </c>
      <c r="Q52" s="3">
        <f t="shared" si="2"/>
        <v>-2.764782797019194E-2</v>
      </c>
      <c r="R52" s="3">
        <f t="shared" si="3"/>
        <v>-5.6568943491214441E-2</v>
      </c>
    </row>
    <row r="53" spans="1:18" x14ac:dyDescent="0.55000000000000004">
      <c r="A53" t="s">
        <v>48</v>
      </c>
      <c r="B53" s="1">
        <v>811021</v>
      </c>
      <c r="C53" s="1">
        <v>31239</v>
      </c>
      <c r="D53" s="1">
        <v>26175</v>
      </c>
      <c r="E53" s="3">
        <v>38.5</v>
      </c>
      <c r="F53" s="3">
        <v>32.299999999999997</v>
      </c>
      <c r="K53" s="3">
        <f t="shared" si="0"/>
        <v>38.518114820701314</v>
      </c>
      <c r="L53" s="3">
        <f t="shared" si="1"/>
        <v>32.274133468800443</v>
      </c>
      <c r="Q53" s="3">
        <f t="shared" si="2"/>
        <v>1.8114820701313761E-2</v>
      </c>
      <c r="R53" s="3">
        <f t="shared" si="3"/>
        <v>-2.5866531199554288E-2</v>
      </c>
    </row>
    <row r="54" spans="1:18" x14ac:dyDescent="0.55000000000000004">
      <c r="A54" t="s">
        <v>49</v>
      </c>
      <c r="B54" s="1">
        <v>861303</v>
      </c>
      <c r="C54" s="1">
        <v>27820</v>
      </c>
      <c r="D54" s="1">
        <v>25902</v>
      </c>
      <c r="E54" s="3">
        <v>32.299999999999997</v>
      </c>
      <c r="F54" s="3">
        <v>30.8</v>
      </c>
      <c r="K54" s="3">
        <f t="shared" si="0"/>
        <v>32.299899106353976</v>
      </c>
      <c r="L54" s="3">
        <f t="shared" si="1"/>
        <v>30.073040497943236</v>
      </c>
      <c r="Q54" s="3">
        <f t="shared" si="2"/>
        <v>-1.0089364602094975E-4</v>
      </c>
      <c r="R54" s="3">
        <f t="shared" si="3"/>
        <v>-0.72695950205676496</v>
      </c>
    </row>
    <row r="55" spans="1:18" x14ac:dyDescent="0.55000000000000004">
      <c r="A55" t="s">
        <v>50</v>
      </c>
      <c r="B55" s="1">
        <v>2275332</v>
      </c>
      <c r="C55" s="1">
        <v>115814</v>
      </c>
      <c r="D55" s="1">
        <v>71757</v>
      </c>
      <c r="E55" s="3">
        <v>50.9</v>
      </c>
      <c r="F55" s="3">
        <v>31.5</v>
      </c>
      <c r="K55" s="3">
        <f t="shared" si="0"/>
        <v>50.899824728874734</v>
      </c>
      <c r="L55" s="3">
        <f t="shared" si="1"/>
        <v>31.536936148219251</v>
      </c>
      <c r="Q55" s="3">
        <f t="shared" si="2"/>
        <v>-1.7527112526494193E-4</v>
      </c>
      <c r="R55" s="3">
        <f t="shared" si="3"/>
        <v>3.6936148219250953E-2</v>
      </c>
    </row>
    <row r="56" spans="1:18" x14ac:dyDescent="0.55000000000000004">
      <c r="A56" t="s">
        <v>51</v>
      </c>
      <c r="B56" s="1">
        <v>1554664</v>
      </c>
      <c r="C56" s="1">
        <v>73653</v>
      </c>
      <c r="D56" s="1">
        <v>49981</v>
      </c>
      <c r="E56" s="3">
        <v>47.3</v>
      </c>
      <c r="F56" s="3">
        <v>32.1</v>
      </c>
      <c r="K56" s="3">
        <f t="shared" si="0"/>
        <v>47.375510078061886</v>
      </c>
      <c r="L56" s="3">
        <f t="shared" si="1"/>
        <v>32.14906886632739</v>
      </c>
      <c r="Q56" s="3">
        <f t="shared" si="2"/>
        <v>7.5510078061888919E-2</v>
      </c>
      <c r="R56" s="3">
        <f t="shared" si="3"/>
        <v>4.9068866327388605E-2</v>
      </c>
    </row>
    <row r="57" spans="1:18" x14ac:dyDescent="0.55000000000000004">
      <c r="A57" t="s">
        <v>52</v>
      </c>
      <c r="B57" s="1">
        <v>1308986</v>
      </c>
      <c r="C57" s="1">
        <v>72867</v>
      </c>
      <c r="D57" s="1">
        <v>47545</v>
      </c>
      <c r="E57" s="3">
        <v>55.6</v>
      </c>
      <c r="F57" s="3">
        <v>36.299999999999997</v>
      </c>
      <c r="K57" s="3">
        <f t="shared" si="0"/>
        <v>55.666752738379174</v>
      </c>
      <c r="L57" s="3">
        <f t="shared" si="1"/>
        <v>36.322008027587771</v>
      </c>
      <c r="Q57" s="3">
        <f t="shared" si="2"/>
        <v>6.6752738379172172E-2</v>
      </c>
      <c r="R57" s="3">
        <f t="shared" si="3"/>
        <v>2.2008027587773427E-2</v>
      </c>
    </row>
    <row r="58" spans="1:18" x14ac:dyDescent="0.55000000000000004">
      <c r="A58" t="s">
        <v>53</v>
      </c>
      <c r="B58" s="1">
        <v>1080770</v>
      </c>
      <c r="C58" s="1">
        <v>47573</v>
      </c>
      <c r="D58" s="1">
        <v>31673</v>
      </c>
      <c r="E58" s="3">
        <v>44</v>
      </c>
      <c r="F58" s="3">
        <v>29.3</v>
      </c>
      <c r="K58" s="3">
        <f t="shared" si="0"/>
        <v>44.017691090611322</v>
      </c>
      <c r="L58" s="3">
        <f t="shared" si="1"/>
        <v>29.305957789353887</v>
      </c>
      <c r="Q58" s="3">
        <f t="shared" si="2"/>
        <v>1.7691090611322124E-2</v>
      </c>
      <c r="R58" s="3">
        <f t="shared" si="3"/>
        <v>5.9577893538858007E-3</v>
      </c>
    </row>
    <row r="59" spans="1:18" x14ac:dyDescent="0.55000000000000004">
      <c r="A59" t="s">
        <v>54</v>
      </c>
      <c r="B59" s="1">
        <v>2656847</v>
      </c>
      <c r="C59" s="1">
        <v>132396</v>
      </c>
      <c r="D59" s="1">
        <v>80205</v>
      </c>
      <c r="E59" s="3">
        <v>49.9</v>
      </c>
      <c r="F59" s="3">
        <v>30.2</v>
      </c>
      <c r="K59" s="3">
        <f t="shared" si="0"/>
        <v>49.83200011141026</v>
      </c>
      <c r="L59" s="3">
        <f t="shared" si="1"/>
        <v>30.188038678930326</v>
      </c>
      <c r="Q59" s="3">
        <f t="shared" si="2"/>
        <v>-6.7999888589739044E-2</v>
      </c>
      <c r="R59" s="3">
        <f t="shared" si="3"/>
        <v>-1.1961321069673403E-2</v>
      </c>
    </row>
    <row r="60" spans="1:18" x14ac:dyDescent="0.55000000000000004">
      <c r="A60" t="s">
        <v>55</v>
      </c>
      <c r="B60" s="1">
        <v>1734042</v>
      </c>
      <c r="C60" s="1">
        <v>80567</v>
      </c>
      <c r="D60" s="1">
        <v>57684</v>
      </c>
      <c r="E60" s="3">
        <v>46.4</v>
      </c>
      <c r="F60" s="3">
        <v>33.299999999999997</v>
      </c>
      <c r="K60" s="3">
        <f t="shared" si="0"/>
        <v>46.461965742467605</v>
      </c>
      <c r="L60" s="3">
        <f t="shared" si="1"/>
        <v>33.26563024425014</v>
      </c>
      <c r="Q60" s="3">
        <f t="shared" si="2"/>
        <v>6.1965742467606333E-2</v>
      </c>
      <c r="R60" s="3">
        <f t="shared" si="3"/>
        <v>-3.4369755749857234E-2</v>
      </c>
    </row>
    <row r="61" spans="1:18" x14ac:dyDescent="0.55000000000000004">
      <c r="A61" t="s">
        <v>56</v>
      </c>
      <c r="B61" s="1">
        <v>1422346</v>
      </c>
      <c r="C61" s="1">
        <v>67417</v>
      </c>
      <c r="D61" s="1">
        <v>52430</v>
      </c>
      <c r="E61" s="3">
        <v>47.4</v>
      </c>
      <c r="F61" s="3">
        <v>36.9</v>
      </c>
      <c r="K61" s="3">
        <f t="shared" si="0"/>
        <v>47.398452978389223</v>
      </c>
      <c r="L61" s="3">
        <f t="shared" si="1"/>
        <v>36.861635635773574</v>
      </c>
      <c r="Q61" s="3">
        <f t="shared" si="2"/>
        <v>-1.5470216107758006E-3</v>
      </c>
      <c r="R61" s="3">
        <f t="shared" si="3"/>
        <v>-3.8364364226424641E-2</v>
      </c>
    </row>
    <row r="62" spans="1:18" x14ac:dyDescent="0.55000000000000004">
      <c r="A62" t="s">
        <v>57</v>
      </c>
      <c r="B62" s="1">
        <v>1914197</v>
      </c>
      <c r="C62" s="1">
        <v>95184</v>
      </c>
      <c r="D62" s="1">
        <v>57130</v>
      </c>
      <c r="E62" s="3">
        <v>49.7</v>
      </c>
      <c r="F62" s="3">
        <v>29.8</v>
      </c>
      <c r="K62" s="3">
        <f t="shared" si="0"/>
        <v>49.725289507819731</v>
      </c>
      <c r="L62" s="3">
        <f t="shared" si="1"/>
        <v>29.845412985183867</v>
      </c>
      <c r="Q62" s="3">
        <f t="shared" si="2"/>
        <v>2.5289507819728385E-2</v>
      </c>
      <c r="R62" s="3">
        <f t="shared" si="3"/>
        <v>4.5412985183865828E-2</v>
      </c>
    </row>
    <row r="63" spans="1:18" x14ac:dyDescent="0.55000000000000004">
      <c r="A63" t="s">
        <v>58</v>
      </c>
      <c r="B63" s="1">
        <v>2287129</v>
      </c>
      <c r="C63" s="1">
        <v>105551</v>
      </c>
      <c r="D63" s="1">
        <v>77995</v>
      </c>
      <c r="E63" s="3">
        <v>46.1</v>
      </c>
      <c r="F63" s="3">
        <v>34.1</v>
      </c>
      <c r="K63" s="3">
        <f t="shared" si="0"/>
        <v>46.149998535281568</v>
      </c>
      <c r="L63" s="3">
        <f t="shared" si="1"/>
        <v>34.101705675543442</v>
      </c>
      <c r="Q63" s="3">
        <f t="shared" si="2"/>
        <v>4.9998535281567058E-2</v>
      </c>
      <c r="R63" s="3">
        <f t="shared" si="3"/>
        <v>1.705675543441032E-3</v>
      </c>
    </row>
    <row r="64" spans="1:18" x14ac:dyDescent="0.55000000000000004">
      <c r="A64" t="s">
        <v>59</v>
      </c>
      <c r="B64" s="1">
        <v>1686992</v>
      </c>
      <c r="C64" s="1">
        <v>90168</v>
      </c>
      <c r="D64" s="1">
        <v>56911</v>
      </c>
      <c r="E64" s="3">
        <v>53.4</v>
      </c>
      <c r="F64" s="3">
        <v>33.1</v>
      </c>
      <c r="K64" s="3">
        <f t="shared" si="0"/>
        <v>53.448979011163061</v>
      </c>
      <c r="L64" s="3">
        <f t="shared" si="1"/>
        <v>33.735192579455031</v>
      </c>
      <c r="Q64" s="3">
        <f t="shared" si="2"/>
        <v>4.897901116306258E-2</v>
      </c>
      <c r="R64" s="3">
        <f t="shared" si="3"/>
        <v>0.63519257945502972</v>
      </c>
    </row>
    <row r="65" spans="1:18" x14ac:dyDescent="0.55000000000000004">
      <c r="A65" t="s">
        <v>60</v>
      </c>
      <c r="B65" s="1">
        <v>258530</v>
      </c>
      <c r="C65" s="1">
        <v>13000</v>
      </c>
      <c r="D65" s="1">
        <v>8002</v>
      </c>
      <c r="E65" s="3">
        <v>50.2</v>
      </c>
      <c r="F65" s="3">
        <v>30.9</v>
      </c>
      <c r="K65" s="3">
        <f t="shared" si="0"/>
        <v>50.284299694426181</v>
      </c>
      <c r="L65" s="3">
        <f t="shared" si="1"/>
        <v>30.951920473446023</v>
      </c>
      <c r="Q65" s="3">
        <f t="shared" si="2"/>
        <v>8.4299694426178462E-2</v>
      </c>
      <c r="R65" s="3">
        <f t="shared" si="3"/>
        <v>5.1920473446024573E-2</v>
      </c>
    </row>
    <row r="66" spans="1:18" x14ac:dyDescent="0.55000000000000004">
      <c r="A66" t="s">
        <v>61</v>
      </c>
      <c r="B66" s="1">
        <v>75000</v>
      </c>
      <c r="C66" s="1">
        <v>2825</v>
      </c>
      <c r="D66" s="1">
        <v>3030</v>
      </c>
      <c r="E66" s="3">
        <v>37.700000000000003</v>
      </c>
      <c r="F66" s="3">
        <v>40.4</v>
      </c>
      <c r="K66" s="3">
        <f t="shared" si="0"/>
        <v>37.666666666666664</v>
      </c>
      <c r="L66" s="3">
        <f t="shared" si="1"/>
        <v>40.4</v>
      </c>
      <c r="Q66" s="3">
        <f t="shared" si="2"/>
        <v>-3.3333333333338544E-2</v>
      </c>
      <c r="R66" s="3">
        <f t="shared" si="3"/>
        <v>0</v>
      </c>
    </row>
    <row r="67" spans="1:18" x14ac:dyDescent="0.55000000000000004">
      <c r="A67" t="s">
        <v>62</v>
      </c>
      <c r="B67" s="1">
        <v>2100397</v>
      </c>
      <c r="C67" s="1">
        <v>101059</v>
      </c>
      <c r="D67" s="1">
        <v>64256</v>
      </c>
      <c r="E67" s="3">
        <v>48.1</v>
      </c>
      <c r="F67" s="3">
        <v>30.6</v>
      </c>
      <c r="K67" s="3">
        <f t="shared" si="0"/>
        <v>48.114237451300873</v>
      </c>
      <c r="L67" s="3">
        <f t="shared" si="1"/>
        <v>30.592311834381785</v>
      </c>
      <c r="Q67" s="3">
        <f t="shared" si="2"/>
        <v>1.423745130087184E-2</v>
      </c>
      <c r="R67" s="3">
        <f t="shared" si="3"/>
        <v>-7.6881656182159475E-3</v>
      </c>
    </row>
    <row r="68" spans="1:18" x14ac:dyDescent="0.55000000000000004">
      <c r="A68" t="s">
        <v>63</v>
      </c>
      <c r="B68" s="1">
        <v>1048226</v>
      </c>
      <c r="C68" s="1">
        <v>45189</v>
      </c>
      <c r="D68" s="1">
        <v>34095</v>
      </c>
      <c r="E68" s="3">
        <v>43.1</v>
      </c>
      <c r="F68" s="3">
        <v>32.5</v>
      </c>
      <c r="K68" s="3">
        <f t="shared" ref="K68:K102" si="4">C68/B68*1000</f>
        <v>43.10997819172583</v>
      </c>
      <c r="L68" s="3">
        <f t="shared" ref="L68:L102" si="5">D68/B68*1000</f>
        <v>32.526382669386187</v>
      </c>
      <c r="Q68" s="3">
        <f t="shared" ref="Q68:Q102" si="6">K68-E68</f>
        <v>9.978191725828367E-3</v>
      </c>
      <c r="R68" s="3">
        <f t="shared" ref="R68:R102" si="7">L68-F68</f>
        <v>2.6382669386187274E-2</v>
      </c>
    </row>
    <row r="69" spans="1:18" x14ac:dyDescent="0.55000000000000004">
      <c r="A69" s="9" t="s">
        <v>98</v>
      </c>
      <c r="B69" s="10">
        <v>60895206</v>
      </c>
      <c r="C69" s="10">
        <v>2945052</v>
      </c>
      <c r="D69" s="10">
        <v>2037966</v>
      </c>
      <c r="E69" s="11">
        <v>48.4</v>
      </c>
      <c r="F69" s="11">
        <v>33.5</v>
      </c>
      <c r="G69" s="9"/>
      <c r="H69" s="10">
        <f>SUM(B31:B68)</f>
        <v>60895206</v>
      </c>
      <c r="I69" s="10">
        <f>SUM(C31:C68)</f>
        <v>2945052</v>
      </c>
      <c r="J69" s="10">
        <f>SUM(D31:D68)</f>
        <v>2037966</v>
      </c>
      <c r="K69" s="11">
        <f t="shared" si="4"/>
        <v>48.362624801696207</v>
      </c>
      <c r="L69" s="11">
        <f t="shared" si="5"/>
        <v>33.466772408980766</v>
      </c>
      <c r="M69" s="9"/>
      <c r="N69" s="10">
        <f t="shared" ref="N69:P71" si="8">H69-B69</f>
        <v>0</v>
      </c>
      <c r="O69" s="10">
        <f t="shared" si="8"/>
        <v>0</v>
      </c>
      <c r="P69" s="10">
        <f t="shared" si="8"/>
        <v>0</v>
      </c>
      <c r="Q69" s="11">
        <f t="shared" si="6"/>
        <v>-3.737519830379199E-2</v>
      </c>
      <c r="R69" s="11">
        <f t="shared" si="7"/>
        <v>-3.3227591019233671E-2</v>
      </c>
    </row>
    <row r="70" spans="1:18" x14ac:dyDescent="0.55000000000000004">
      <c r="A70" t="s">
        <v>64</v>
      </c>
      <c r="B70" s="1">
        <v>1603350</v>
      </c>
      <c r="C70" s="1">
        <v>89444</v>
      </c>
      <c r="D70" s="1">
        <v>58423</v>
      </c>
      <c r="E70" s="3">
        <v>55.8</v>
      </c>
      <c r="F70" s="3">
        <v>36.4</v>
      </c>
      <c r="H70" s="1">
        <f>B70</f>
        <v>1603350</v>
      </c>
      <c r="I70" s="1">
        <f>C70</f>
        <v>89444</v>
      </c>
      <c r="J70" s="1">
        <f>D70</f>
        <v>58423</v>
      </c>
      <c r="K70" s="3">
        <f t="shared" si="4"/>
        <v>55.785698693360771</v>
      </c>
      <c r="L70" s="3">
        <f t="shared" si="5"/>
        <v>36.438082764212432</v>
      </c>
      <c r="N70" s="1">
        <f t="shared" si="8"/>
        <v>0</v>
      </c>
      <c r="O70" s="1">
        <f t="shared" si="8"/>
        <v>0</v>
      </c>
      <c r="P70" s="1">
        <f t="shared" si="8"/>
        <v>0</v>
      </c>
      <c r="Q70" s="3">
        <f t="shared" si="6"/>
        <v>-1.4301306639225686E-2</v>
      </c>
      <c r="R70" s="3">
        <f t="shared" si="7"/>
        <v>3.8082764212433062E-2</v>
      </c>
    </row>
    <row r="71" spans="1:18" x14ac:dyDescent="0.55000000000000004">
      <c r="A71" s="9" t="s">
        <v>65</v>
      </c>
      <c r="B71" s="10">
        <v>91276011</v>
      </c>
      <c r="C71" s="10">
        <v>4273071</v>
      </c>
      <c r="D71" s="10">
        <v>2857607</v>
      </c>
      <c r="E71" s="11">
        <v>46.8</v>
      </c>
      <c r="F71" s="11">
        <v>31.3</v>
      </c>
      <c r="G71" s="9"/>
      <c r="H71" s="10">
        <f>SUM(H15:H70)</f>
        <v>91276011</v>
      </c>
      <c r="I71" s="10">
        <f>SUM(I15:I70)</f>
        <v>4273071</v>
      </c>
      <c r="J71" s="10">
        <f>SUM(J15:J70)</f>
        <v>2857607</v>
      </c>
      <c r="K71" s="11">
        <f t="shared" si="4"/>
        <v>46.81483067878591</v>
      </c>
      <c r="L71" s="11">
        <f t="shared" si="5"/>
        <v>31.307316880883409</v>
      </c>
      <c r="M71" s="9"/>
      <c r="N71" s="10">
        <f t="shared" si="8"/>
        <v>0</v>
      </c>
      <c r="O71" s="10">
        <f t="shared" si="8"/>
        <v>0</v>
      </c>
      <c r="P71" s="10">
        <f t="shared" si="8"/>
        <v>0</v>
      </c>
      <c r="Q71" s="11">
        <f t="shared" si="6"/>
        <v>1.483067878591271E-2</v>
      </c>
      <c r="R71" s="11">
        <f t="shared" si="7"/>
        <v>7.3168808834083165E-3</v>
      </c>
    </row>
    <row r="72" spans="1:18" x14ac:dyDescent="0.55000000000000004">
      <c r="A72" t="s">
        <v>66</v>
      </c>
      <c r="B72" s="1">
        <v>739471</v>
      </c>
      <c r="C72" s="1">
        <v>20416</v>
      </c>
      <c r="D72" s="1">
        <v>18215</v>
      </c>
      <c r="E72" s="3">
        <v>27.6</v>
      </c>
      <c r="F72" s="3">
        <v>24.6</v>
      </c>
      <c r="K72" s="3">
        <f t="shared" si="4"/>
        <v>27.608925840229027</v>
      </c>
      <c r="L72" s="3">
        <f t="shared" si="5"/>
        <v>24.632473754886938</v>
      </c>
      <c r="Q72" s="3">
        <f t="shared" si="6"/>
        <v>8.925840229025539E-3</v>
      </c>
      <c r="R72" s="3">
        <f t="shared" si="7"/>
        <v>3.247375488693649E-2</v>
      </c>
    </row>
    <row r="73" spans="1:18" x14ac:dyDescent="0.55000000000000004">
      <c r="A73" t="s">
        <v>67</v>
      </c>
      <c r="B73" s="1">
        <v>592533</v>
      </c>
      <c r="C73" s="1">
        <v>2333</v>
      </c>
      <c r="D73" s="1">
        <v>2521</v>
      </c>
      <c r="E73" s="4" t="s">
        <v>100</v>
      </c>
      <c r="F73" s="4" t="s">
        <v>100</v>
      </c>
      <c r="K73" s="3">
        <f t="shared" si="4"/>
        <v>3.9373334480948738</v>
      </c>
      <c r="L73" s="3">
        <f t="shared" si="5"/>
        <v>4.2546153547566128</v>
      </c>
      <c r="Q73" s="3"/>
      <c r="R73" s="3"/>
    </row>
    <row r="74" spans="1:18" x14ac:dyDescent="0.55000000000000004">
      <c r="A74" t="s">
        <v>135</v>
      </c>
      <c r="B74" s="1">
        <v>737400</v>
      </c>
      <c r="C74" s="1">
        <v>8203</v>
      </c>
      <c r="D74" s="1">
        <v>7947</v>
      </c>
      <c r="E74" s="4" t="s">
        <v>100</v>
      </c>
      <c r="F74" s="4" t="s">
        <v>100</v>
      </c>
      <c r="K74" s="3">
        <f t="shared" si="4"/>
        <v>11.124220233251966</v>
      </c>
      <c r="L74" s="3">
        <f t="shared" si="5"/>
        <v>10.77705451586656</v>
      </c>
      <c r="Q74" s="3"/>
      <c r="R74" s="3"/>
    </row>
    <row r="75" spans="1:18" x14ac:dyDescent="0.55000000000000004">
      <c r="A75" t="s">
        <v>139</v>
      </c>
      <c r="B75" s="1">
        <v>237114</v>
      </c>
      <c r="C75" s="2" t="s">
        <v>100</v>
      </c>
      <c r="D75" s="2" t="s">
        <v>100</v>
      </c>
      <c r="E75" s="4" t="s">
        <v>100</v>
      </c>
      <c r="F75" s="4" t="s">
        <v>100</v>
      </c>
      <c r="Q75" s="3"/>
      <c r="R75" s="3"/>
    </row>
    <row r="76" spans="1:18" x14ac:dyDescent="0.55000000000000004">
      <c r="A76" t="s">
        <v>140</v>
      </c>
      <c r="B76" s="1">
        <v>1264295</v>
      </c>
      <c r="C76" s="1">
        <v>74512</v>
      </c>
      <c r="D76" s="1">
        <v>53082</v>
      </c>
      <c r="E76" s="3">
        <v>59</v>
      </c>
      <c r="F76" s="3">
        <v>42</v>
      </c>
      <c r="K76" s="3">
        <f t="shared" si="4"/>
        <v>58.935612337310516</v>
      </c>
      <c r="L76" s="3">
        <f t="shared" si="5"/>
        <v>41.985454344120633</v>
      </c>
      <c r="Q76" s="3">
        <f t="shared" si="6"/>
        <v>-6.4387662689483705E-2</v>
      </c>
      <c r="R76" s="3">
        <f t="shared" si="7"/>
        <v>-1.4545655879366848E-2</v>
      </c>
    </row>
    <row r="77" spans="1:18" x14ac:dyDescent="0.55000000000000004">
      <c r="A77" t="s">
        <v>68</v>
      </c>
      <c r="B77" s="1">
        <v>940526</v>
      </c>
      <c r="C77" s="1">
        <v>26829</v>
      </c>
      <c r="D77" s="1">
        <v>10346</v>
      </c>
      <c r="E77" s="3">
        <v>28.5</v>
      </c>
      <c r="F77" s="3">
        <v>11</v>
      </c>
      <c r="K77" s="3">
        <f t="shared" si="4"/>
        <v>28.525527204989547</v>
      </c>
      <c r="L77" s="3">
        <f t="shared" si="5"/>
        <v>11.000227532253229</v>
      </c>
      <c r="Q77" s="3">
        <f t="shared" si="6"/>
        <v>2.5527204989547414E-2</v>
      </c>
      <c r="R77" s="3">
        <f t="shared" si="7"/>
        <v>2.2753225322880155E-4</v>
      </c>
    </row>
    <row r="78" spans="1:18" x14ac:dyDescent="0.55000000000000004">
      <c r="A78" t="s">
        <v>69</v>
      </c>
      <c r="B78" s="1">
        <v>657554</v>
      </c>
      <c r="C78" s="1">
        <v>36807</v>
      </c>
      <c r="D78" s="1">
        <v>27992</v>
      </c>
      <c r="E78" s="3">
        <v>56</v>
      </c>
      <c r="F78" s="3">
        <v>42.6</v>
      </c>
      <c r="K78" s="3">
        <f t="shared" si="4"/>
        <v>55.975630898755085</v>
      </c>
      <c r="L78" s="3">
        <f t="shared" si="5"/>
        <v>42.569887796287453</v>
      </c>
      <c r="Q78" s="3">
        <f t="shared" si="6"/>
        <v>-2.4369101244914759E-2</v>
      </c>
      <c r="R78" s="3">
        <f t="shared" si="7"/>
        <v>-3.011220371254808E-2</v>
      </c>
    </row>
    <row r="79" spans="1:18" x14ac:dyDescent="0.55000000000000004">
      <c r="A79" t="s">
        <v>70</v>
      </c>
      <c r="B79" s="1">
        <v>692494</v>
      </c>
      <c r="C79" s="1">
        <v>21518</v>
      </c>
      <c r="D79" s="1">
        <v>17590</v>
      </c>
      <c r="E79" s="3">
        <v>31.1</v>
      </c>
      <c r="F79" s="3">
        <v>25</v>
      </c>
      <c r="K79" s="3">
        <f t="shared" si="4"/>
        <v>31.073193413950158</v>
      </c>
      <c r="L79" s="3">
        <f t="shared" si="5"/>
        <v>25.400942102025432</v>
      </c>
      <c r="Q79" s="3">
        <f t="shared" si="6"/>
        <v>-2.6806586049843872E-2</v>
      </c>
      <c r="R79" s="3">
        <f t="shared" si="7"/>
        <v>0.40094210202543223</v>
      </c>
    </row>
    <row r="80" spans="1:18" x14ac:dyDescent="0.55000000000000004">
      <c r="A80" t="s">
        <v>71</v>
      </c>
      <c r="B80" s="1">
        <v>805343</v>
      </c>
      <c r="C80" s="1">
        <v>28344</v>
      </c>
      <c r="D80" s="1">
        <v>17919</v>
      </c>
      <c r="E80" s="3">
        <v>35.200000000000003</v>
      </c>
      <c r="F80" s="3">
        <v>22.3</v>
      </c>
      <c r="K80" s="3">
        <f t="shared" si="4"/>
        <v>35.194941782569664</v>
      </c>
      <c r="L80" s="3">
        <f t="shared" si="5"/>
        <v>22.250146831846802</v>
      </c>
      <c r="Q80" s="3">
        <f t="shared" si="6"/>
        <v>-5.0582174303386296E-3</v>
      </c>
      <c r="R80" s="3">
        <f t="shared" si="7"/>
        <v>-4.9853168153198624E-2</v>
      </c>
    </row>
    <row r="81" spans="1:18" x14ac:dyDescent="0.55000000000000004">
      <c r="A81" t="s">
        <v>72</v>
      </c>
      <c r="B81" s="1">
        <v>667464</v>
      </c>
      <c r="C81" s="1">
        <v>23607</v>
      </c>
      <c r="D81" s="1">
        <v>13598</v>
      </c>
      <c r="E81" s="3">
        <v>35.4</v>
      </c>
      <c r="F81" s="3">
        <v>20.5</v>
      </c>
      <c r="K81" s="3">
        <f t="shared" si="4"/>
        <v>35.368199633238646</v>
      </c>
      <c r="L81" s="3">
        <f t="shared" si="5"/>
        <v>20.372634329342105</v>
      </c>
      <c r="Q81" s="3">
        <f t="shared" si="6"/>
        <v>-3.180036676135245E-2</v>
      </c>
      <c r="R81" s="3">
        <f t="shared" si="7"/>
        <v>-0.12736567065789473</v>
      </c>
    </row>
    <row r="82" spans="1:18" x14ac:dyDescent="0.55000000000000004">
      <c r="A82" s="9" t="s">
        <v>99</v>
      </c>
      <c r="B82" s="10">
        <v>7334194</v>
      </c>
      <c r="C82" s="10">
        <v>242569</v>
      </c>
      <c r="D82" s="10">
        <v>169210</v>
      </c>
      <c r="E82" s="11">
        <v>40.200000000000003</v>
      </c>
      <c r="F82" s="11">
        <v>27.5</v>
      </c>
      <c r="G82" s="9"/>
      <c r="H82" s="10">
        <f>SUM(B72:B81)</f>
        <v>7334194</v>
      </c>
      <c r="I82" s="10">
        <f>SUM(C72:C81)</f>
        <v>242569</v>
      </c>
      <c r="J82" s="10">
        <f>SUM(D72:D81)</f>
        <v>169210</v>
      </c>
      <c r="K82" s="11">
        <f t="shared" si="4"/>
        <v>33.073709258304319</v>
      </c>
      <c r="L82" s="11">
        <f t="shared" si="5"/>
        <v>23.071383167666411</v>
      </c>
      <c r="M82" s="9"/>
      <c r="N82" s="10">
        <f>H82-B82</f>
        <v>0</v>
      </c>
      <c r="O82" s="10">
        <f>I82-C82</f>
        <v>0</v>
      </c>
      <c r="P82" s="10">
        <f>J82-D82</f>
        <v>0</v>
      </c>
      <c r="Q82" s="11">
        <f t="shared" si="6"/>
        <v>-7.1262907416956836</v>
      </c>
      <c r="R82" s="11">
        <f t="shared" si="7"/>
        <v>-4.4286168323335886</v>
      </c>
    </row>
    <row r="83" spans="1:18" x14ac:dyDescent="0.55000000000000004">
      <c r="A83" t="s">
        <v>73</v>
      </c>
      <c r="B83" s="1">
        <v>63221</v>
      </c>
      <c r="C83" s="2" t="s">
        <v>100</v>
      </c>
      <c r="D83" s="2" t="s">
        <v>100</v>
      </c>
      <c r="E83" s="4" t="s">
        <v>100</v>
      </c>
      <c r="F83" s="4" t="s">
        <v>100</v>
      </c>
      <c r="Q83" s="3"/>
      <c r="R83" s="3"/>
    </row>
    <row r="84" spans="1:18" x14ac:dyDescent="0.55000000000000004">
      <c r="A84" t="s">
        <v>74</v>
      </c>
      <c r="B84" s="1">
        <v>454656</v>
      </c>
      <c r="C84" s="1">
        <v>22809</v>
      </c>
      <c r="D84" s="1">
        <v>19375</v>
      </c>
      <c r="E84" s="3">
        <v>50.1</v>
      </c>
      <c r="F84" s="3">
        <v>42.6</v>
      </c>
      <c r="K84" s="3">
        <f t="shared" si="4"/>
        <v>50.167599239864863</v>
      </c>
      <c r="L84" s="3">
        <f t="shared" si="5"/>
        <v>42.61463612049549</v>
      </c>
      <c r="Q84" s="3">
        <f t="shared" si="6"/>
        <v>6.7599239864861715E-2</v>
      </c>
      <c r="R84" s="3">
        <f t="shared" si="7"/>
        <v>1.4636120495488569E-2</v>
      </c>
    </row>
    <row r="85" spans="1:18" x14ac:dyDescent="0.55000000000000004">
      <c r="A85" t="s">
        <v>75</v>
      </c>
      <c r="B85" s="1">
        <v>537508</v>
      </c>
      <c r="C85" s="2" t="s">
        <v>100</v>
      </c>
      <c r="D85" s="2" t="s">
        <v>100</v>
      </c>
      <c r="E85" s="4" t="s">
        <v>100</v>
      </c>
      <c r="F85" s="4" t="s">
        <v>100</v>
      </c>
      <c r="Q85" s="3"/>
      <c r="R85" s="3"/>
    </row>
    <row r="86" spans="1:18" x14ac:dyDescent="0.55000000000000004">
      <c r="A86" t="s">
        <v>76</v>
      </c>
      <c r="B86" s="1">
        <v>416439</v>
      </c>
      <c r="C86" s="1">
        <v>19539</v>
      </c>
      <c r="D86" s="1">
        <v>16067</v>
      </c>
      <c r="E86" s="3">
        <v>47</v>
      </c>
      <c r="F86" s="3">
        <v>38.6</v>
      </c>
      <c r="K86" s="3">
        <f t="shared" si="4"/>
        <v>46.919236670916995</v>
      </c>
      <c r="L86" s="3">
        <f t="shared" si="5"/>
        <v>38.581881139854815</v>
      </c>
      <c r="Q86" s="3">
        <f t="shared" si="6"/>
        <v>-8.0763329083005431E-2</v>
      </c>
      <c r="R86" s="3">
        <f t="shared" si="7"/>
        <v>-1.8118860145186488E-2</v>
      </c>
    </row>
    <row r="87" spans="1:18" x14ac:dyDescent="0.55000000000000004">
      <c r="A87" t="s">
        <v>77</v>
      </c>
      <c r="B87" s="1">
        <v>101811</v>
      </c>
      <c r="C87" s="1">
        <v>1084</v>
      </c>
      <c r="D87" s="1">
        <v>811</v>
      </c>
      <c r="E87" s="4" t="s">
        <v>100</v>
      </c>
      <c r="F87" s="4" t="s">
        <v>100</v>
      </c>
      <c r="K87" s="3">
        <f t="shared" si="4"/>
        <v>10.647179577845222</v>
      </c>
      <c r="L87" s="3">
        <f t="shared" si="5"/>
        <v>7.9657404406203653</v>
      </c>
      <c r="Q87" s="3"/>
      <c r="R87" s="3"/>
    </row>
    <row r="88" spans="1:18" x14ac:dyDescent="0.55000000000000004">
      <c r="A88" t="s">
        <v>78</v>
      </c>
      <c r="B88" s="1">
        <v>1364929</v>
      </c>
      <c r="C88" s="1">
        <v>70483</v>
      </c>
      <c r="D88" s="1">
        <v>62239</v>
      </c>
      <c r="E88" s="3">
        <v>51.6</v>
      </c>
      <c r="F88" s="3">
        <v>45.6</v>
      </c>
      <c r="K88" s="3">
        <f t="shared" si="4"/>
        <v>51.638583398843451</v>
      </c>
      <c r="L88" s="3">
        <f t="shared" si="5"/>
        <v>45.598708797307403</v>
      </c>
      <c r="Q88" s="3">
        <f t="shared" si="6"/>
        <v>3.8583398843449856E-2</v>
      </c>
      <c r="R88" s="3">
        <f t="shared" si="7"/>
        <v>-1.2912026925988584E-3</v>
      </c>
    </row>
    <row r="89" spans="1:18" x14ac:dyDescent="0.55000000000000004">
      <c r="A89" t="s">
        <v>79</v>
      </c>
      <c r="B89" s="1">
        <v>1224060</v>
      </c>
      <c r="C89" s="1">
        <v>57307</v>
      </c>
      <c r="D89" s="1">
        <v>31511</v>
      </c>
      <c r="E89" s="3">
        <v>46.8</v>
      </c>
      <c r="F89" s="3">
        <v>25.7</v>
      </c>
      <c r="K89" s="3">
        <f t="shared" si="4"/>
        <v>46.817149486136302</v>
      </c>
      <c r="L89" s="3">
        <f t="shared" si="5"/>
        <v>25.743019133049032</v>
      </c>
      <c r="Q89" s="3">
        <f t="shared" si="6"/>
        <v>1.7149486136304404E-2</v>
      </c>
      <c r="R89" s="3">
        <f t="shared" si="7"/>
        <v>4.3019133049032376E-2</v>
      </c>
    </row>
    <row r="90" spans="1:18" x14ac:dyDescent="0.55000000000000004">
      <c r="A90" t="s">
        <v>80</v>
      </c>
      <c r="B90" s="1">
        <v>255300</v>
      </c>
      <c r="C90" s="1">
        <v>6549</v>
      </c>
      <c r="D90" s="1">
        <v>4774</v>
      </c>
      <c r="E90" s="3">
        <v>25.7</v>
      </c>
      <c r="F90" s="3">
        <v>18.7</v>
      </c>
      <c r="K90" s="3">
        <f t="shared" si="4"/>
        <v>25.652173913043477</v>
      </c>
      <c r="L90" s="3">
        <f t="shared" si="5"/>
        <v>18.699569134351744</v>
      </c>
      <c r="Q90" s="3">
        <f t="shared" si="6"/>
        <v>-4.7826086956522573E-2</v>
      </c>
      <c r="R90" s="3">
        <f t="shared" si="7"/>
        <v>-4.3086564825500773E-4</v>
      </c>
    </row>
    <row r="91" spans="1:18" x14ac:dyDescent="0.55000000000000004">
      <c r="A91" s="9" t="s">
        <v>101</v>
      </c>
      <c r="B91" s="10">
        <v>4417924</v>
      </c>
      <c r="C91" s="10">
        <v>177771</v>
      </c>
      <c r="D91" s="10">
        <v>134777</v>
      </c>
      <c r="E91" s="11">
        <v>47.5</v>
      </c>
      <c r="F91" s="11">
        <v>36.1</v>
      </c>
      <c r="G91" s="9"/>
      <c r="H91" s="10">
        <f>SUM(B83:B90)</f>
        <v>4417924</v>
      </c>
      <c r="I91" s="10">
        <f>SUM(C83:C90)</f>
        <v>177771</v>
      </c>
      <c r="J91" s="10">
        <f>SUM(D83:D90)</f>
        <v>134777</v>
      </c>
      <c r="K91" s="11">
        <f t="shared" si="4"/>
        <v>40.23858264650999</v>
      </c>
      <c r="L91" s="11">
        <f t="shared" si="5"/>
        <v>30.506862499219089</v>
      </c>
      <c r="M91" s="9"/>
      <c r="N91" s="10">
        <f>H91-B91</f>
        <v>0</v>
      </c>
      <c r="O91" s="10">
        <f>I91-C91</f>
        <v>0</v>
      </c>
      <c r="P91" s="10">
        <f>J91-D91</f>
        <v>0</v>
      </c>
      <c r="Q91" s="11">
        <f t="shared" si="6"/>
        <v>-7.2614173534900104</v>
      </c>
      <c r="R91" s="11">
        <f t="shared" si="7"/>
        <v>-5.5931375007809123</v>
      </c>
    </row>
    <row r="92" spans="1:18" x14ac:dyDescent="0.55000000000000004">
      <c r="A92" t="s">
        <v>81</v>
      </c>
      <c r="B92" s="1">
        <v>469673</v>
      </c>
      <c r="C92" s="1">
        <v>12273</v>
      </c>
      <c r="D92" s="1">
        <v>8654</v>
      </c>
      <c r="E92" s="3">
        <v>26.1</v>
      </c>
      <c r="F92" s="3">
        <v>18.399999999999999</v>
      </c>
      <c r="K92" s="3">
        <f t="shared" si="4"/>
        <v>26.130946424427208</v>
      </c>
      <c r="L92" s="3">
        <f t="shared" si="5"/>
        <v>18.425585460522534</v>
      </c>
      <c r="Q92" s="3">
        <f t="shared" si="6"/>
        <v>3.0946424427206409E-2</v>
      </c>
      <c r="R92" s="3">
        <f t="shared" si="7"/>
        <v>2.5585460522535186E-2</v>
      </c>
    </row>
    <row r="93" spans="1:18" x14ac:dyDescent="0.55000000000000004">
      <c r="A93" t="s">
        <v>82</v>
      </c>
      <c r="B93" s="1">
        <v>133630</v>
      </c>
      <c r="C93" s="2" t="s">
        <v>100</v>
      </c>
      <c r="D93" s="2" t="s">
        <v>100</v>
      </c>
      <c r="E93" s="4" t="s">
        <v>100</v>
      </c>
      <c r="F93" s="4" t="s">
        <v>100</v>
      </c>
      <c r="Q93" s="3"/>
      <c r="R93" s="3"/>
    </row>
    <row r="94" spans="1:18" x14ac:dyDescent="0.55000000000000004">
      <c r="A94" t="s">
        <v>83</v>
      </c>
      <c r="B94" s="1">
        <v>695922</v>
      </c>
      <c r="C94" s="2" t="s">
        <v>100</v>
      </c>
      <c r="D94" s="2" t="s">
        <v>100</v>
      </c>
      <c r="E94" s="4" t="s">
        <v>100</v>
      </c>
      <c r="F94" s="4" t="s">
        <v>100</v>
      </c>
      <c r="Q94" s="3"/>
      <c r="R94" s="3"/>
    </row>
    <row r="95" spans="1:18" x14ac:dyDescent="0.55000000000000004">
      <c r="A95" t="s">
        <v>84</v>
      </c>
      <c r="B95" s="1">
        <v>575155</v>
      </c>
      <c r="C95" s="1">
        <v>9252</v>
      </c>
      <c r="D95" s="1">
        <v>8646</v>
      </c>
      <c r="E95" s="3">
        <v>16.100000000000001</v>
      </c>
      <c r="F95" s="3">
        <v>15</v>
      </c>
      <c r="K95" s="3">
        <f t="shared" si="4"/>
        <v>16.08609852996149</v>
      </c>
      <c r="L95" s="3">
        <f t="shared" si="5"/>
        <v>15.032469508219524</v>
      </c>
      <c r="Q95" s="3">
        <f t="shared" si="6"/>
        <v>-1.3901470038511832E-2</v>
      </c>
      <c r="R95" s="3">
        <f t="shared" si="7"/>
        <v>3.2469508219524101E-2</v>
      </c>
    </row>
    <row r="96" spans="1:18" x14ac:dyDescent="0.55000000000000004">
      <c r="A96" t="s">
        <v>85</v>
      </c>
      <c r="B96" s="1">
        <v>672878</v>
      </c>
      <c r="C96" s="1">
        <v>4099</v>
      </c>
      <c r="D96" s="1">
        <v>2178</v>
      </c>
      <c r="E96" s="4" t="s">
        <v>100</v>
      </c>
      <c r="F96" s="4" t="s">
        <v>100</v>
      </c>
      <c r="K96" s="3">
        <f t="shared" si="4"/>
        <v>6.0917432283415422</v>
      </c>
      <c r="L96" s="3">
        <f t="shared" si="5"/>
        <v>3.236842339918975</v>
      </c>
      <c r="Q96" s="3"/>
      <c r="R96" s="3"/>
    </row>
    <row r="97" spans="1:18" x14ac:dyDescent="0.55000000000000004">
      <c r="A97" t="s">
        <v>86</v>
      </c>
      <c r="B97" s="1">
        <v>1214300</v>
      </c>
      <c r="C97" s="2" t="s">
        <v>100</v>
      </c>
      <c r="D97" s="2" t="s">
        <v>100</v>
      </c>
      <c r="E97" s="3" t="s">
        <v>104</v>
      </c>
      <c r="F97" s="3" t="s">
        <v>103</v>
      </c>
      <c r="Q97" s="3"/>
      <c r="R97" s="3"/>
    </row>
    <row r="98" spans="1:18" x14ac:dyDescent="0.55000000000000004">
      <c r="A98" t="s">
        <v>87</v>
      </c>
      <c r="B98" s="1">
        <v>336700</v>
      </c>
      <c r="C98" s="1">
        <v>945</v>
      </c>
      <c r="D98" s="1">
        <v>577</v>
      </c>
      <c r="E98" s="4" t="s">
        <v>100</v>
      </c>
      <c r="F98" s="4" t="s">
        <v>100</v>
      </c>
      <c r="K98" s="3">
        <f t="shared" si="4"/>
        <v>2.8066528066528069</v>
      </c>
      <c r="L98" s="3">
        <f t="shared" si="5"/>
        <v>1.7136917136917136</v>
      </c>
      <c r="Q98" s="3"/>
      <c r="R98" s="3"/>
    </row>
    <row r="99" spans="1:18" x14ac:dyDescent="0.55000000000000004">
      <c r="A99" t="s">
        <v>88</v>
      </c>
      <c r="B99" s="1">
        <v>545774</v>
      </c>
      <c r="C99" s="1">
        <v>4278</v>
      </c>
      <c r="D99" s="1">
        <v>2890</v>
      </c>
      <c r="E99" s="4" t="s">
        <v>100</v>
      </c>
      <c r="F99" s="4" t="s">
        <v>100</v>
      </c>
      <c r="K99" s="3">
        <f t="shared" si="4"/>
        <v>7.8384093049504013</v>
      </c>
      <c r="L99" s="3">
        <f t="shared" si="5"/>
        <v>5.2952320924045484</v>
      </c>
      <c r="Q99" s="3"/>
      <c r="R99" s="3"/>
    </row>
    <row r="100" spans="1:18" x14ac:dyDescent="0.55000000000000004">
      <c r="A100" t="s">
        <v>89</v>
      </c>
      <c r="B100" s="1">
        <v>716133</v>
      </c>
      <c r="C100" s="2" t="s">
        <v>100</v>
      </c>
      <c r="D100" s="2" t="s">
        <v>100</v>
      </c>
      <c r="E100" s="4" t="s">
        <v>100</v>
      </c>
      <c r="F100" s="4" t="s">
        <v>100</v>
      </c>
      <c r="Q100" s="3"/>
      <c r="R100" s="3"/>
    </row>
    <row r="101" spans="1:18" x14ac:dyDescent="0.55000000000000004">
      <c r="A101" s="9" t="s">
        <v>102</v>
      </c>
      <c r="B101" s="10">
        <v>5360165</v>
      </c>
      <c r="C101" s="10">
        <v>30847</v>
      </c>
      <c r="D101" s="10">
        <v>22945</v>
      </c>
      <c r="E101" s="11">
        <v>20.6</v>
      </c>
      <c r="F101" s="11">
        <v>16.600000000000001</v>
      </c>
      <c r="G101" s="9"/>
      <c r="H101" s="10">
        <f>SUM(B92:B100)</f>
        <v>5360165</v>
      </c>
      <c r="I101" s="10">
        <f>SUM(C92:C100)</f>
        <v>30847</v>
      </c>
      <c r="J101" s="10">
        <f>SUM(D92:D100)</f>
        <v>22945</v>
      </c>
      <c r="K101" s="11">
        <f t="shared" si="4"/>
        <v>5.7548601582227406</v>
      </c>
      <c r="L101" s="11">
        <f t="shared" si="5"/>
        <v>4.2806518082932152</v>
      </c>
      <c r="M101" s="9"/>
      <c r="N101" s="10">
        <f t="shared" ref="N101:P102" si="9">H101-B101</f>
        <v>0</v>
      </c>
      <c r="O101" s="10">
        <f t="shared" si="9"/>
        <v>0</v>
      </c>
      <c r="P101" s="10">
        <f t="shared" si="9"/>
        <v>0</v>
      </c>
      <c r="Q101" s="11">
        <f t="shared" si="6"/>
        <v>-14.845139841777261</v>
      </c>
      <c r="R101" s="11">
        <f t="shared" si="7"/>
        <v>-12.319348191706787</v>
      </c>
    </row>
    <row r="102" spans="1:18" x14ac:dyDescent="0.55000000000000004">
      <c r="A102" s="9" t="s">
        <v>90</v>
      </c>
      <c r="B102" s="10">
        <v>108388294</v>
      </c>
      <c r="C102" s="10">
        <v>4724258</v>
      </c>
      <c r="D102" s="10">
        <v>3184539</v>
      </c>
      <c r="E102" s="11">
        <v>46.2</v>
      </c>
      <c r="F102" s="11">
        <v>31.1</v>
      </c>
      <c r="G102" s="9"/>
      <c r="H102" s="10">
        <f>SUM(H71:H101)</f>
        <v>108388294</v>
      </c>
      <c r="I102" s="10">
        <f>SUM(I71:I101)</f>
        <v>4724258</v>
      </c>
      <c r="J102" s="10">
        <f>SUM(J71:J101)</f>
        <v>3184539</v>
      </c>
      <c r="K102" s="11">
        <f t="shared" si="4"/>
        <v>43.586422718305727</v>
      </c>
      <c r="L102" s="11">
        <f t="shared" si="5"/>
        <v>29.380838857007937</v>
      </c>
      <c r="M102" s="9"/>
      <c r="N102" s="10">
        <f t="shared" si="9"/>
        <v>0</v>
      </c>
      <c r="O102" s="10">
        <f t="shared" si="9"/>
        <v>0</v>
      </c>
      <c r="P102" s="10">
        <f t="shared" si="9"/>
        <v>0</v>
      </c>
      <c r="Q102" s="11">
        <f t="shared" si="6"/>
        <v>-2.6135772816942762</v>
      </c>
      <c r="R102" s="11">
        <f t="shared" si="7"/>
        <v>-1.7191611429920641</v>
      </c>
    </row>
    <row r="105" spans="1:18" x14ac:dyDescent="0.55000000000000004">
      <c r="A105" s="12" t="s">
        <v>136</v>
      </c>
    </row>
    <row r="107" spans="1:18" x14ac:dyDescent="0.55000000000000004">
      <c r="A107" t="s">
        <v>137</v>
      </c>
    </row>
    <row r="108" spans="1:18" x14ac:dyDescent="0.55000000000000004">
      <c r="A108" t="s">
        <v>138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2026-05-09T01:20:13Z</dcterms:created>
  <dcterms:modified xsi:type="dcterms:W3CDTF">2026-07-18T21:37:48Z</dcterms:modified>
</cp:coreProperties>
</file>