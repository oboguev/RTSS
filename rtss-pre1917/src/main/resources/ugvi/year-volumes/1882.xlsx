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RTSS\rtss-pre1917\src\main\resources\ugvi\year-volumes\"/>
    </mc:Choice>
  </mc:AlternateContent>
  <xr:revisionPtr revIDLastSave="0" documentId="13_ncr:1_{8DF9EFB6-12BA-4FD5-A0EF-B4606C114A00}" xr6:coauthVersionLast="47" xr6:coauthVersionMax="47" xr10:uidLastSave="{00000000-0000-0000-0000-000000000000}"/>
  <bookViews>
    <workbookView xWindow="57480" yWindow="-120" windowWidth="51840" windowHeight="21120" xr2:uid="{96713208-84A4-4F83-A9AB-E0D50EED5BBE}"/>
  </bookViews>
  <sheets>
    <sheet name="Notes" sheetId="2" r:id="rId1"/>
    <sheet name="Data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4" i="1" l="1"/>
  <c r="C34" i="1"/>
  <c r="B34" i="1"/>
  <c r="D52" i="1"/>
  <c r="C52" i="1"/>
  <c r="B52" i="1"/>
  <c r="L54" i="1"/>
  <c r="M83" i="1"/>
  <c r="S83" i="1" s="1"/>
  <c r="L83" i="1"/>
  <c r="R83" i="1" s="1"/>
  <c r="M82" i="1"/>
  <c r="S82" i="1" s="1"/>
  <c r="L82" i="1"/>
  <c r="R82" i="1" s="1"/>
  <c r="M79" i="1"/>
  <c r="S79" i="1" s="1"/>
  <c r="L79" i="1"/>
  <c r="R79" i="1" s="1"/>
  <c r="M78" i="1"/>
  <c r="S78" i="1" s="1"/>
  <c r="L78" i="1"/>
  <c r="R78" i="1" s="1"/>
  <c r="M76" i="1"/>
  <c r="S76" i="1" s="1"/>
  <c r="L76" i="1"/>
  <c r="R76" i="1" s="1"/>
  <c r="M75" i="1"/>
  <c r="S75" i="1" s="1"/>
  <c r="L75" i="1"/>
  <c r="R75" i="1" s="1"/>
  <c r="M74" i="1"/>
  <c r="S74" i="1" s="1"/>
  <c r="L74" i="1"/>
  <c r="R74" i="1" s="1"/>
  <c r="M72" i="1"/>
  <c r="S72" i="1" s="1"/>
  <c r="L72" i="1"/>
  <c r="R72" i="1" s="1"/>
  <c r="M71" i="1"/>
  <c r="S71" i="1" s="1"/>
  <c r="L71" i="1"/>
  <c r="R71" i="1" s="1"/>
  <c r="M70" i="1"/>
  <c r="S70" i="1" s="1"/>
  <c r="L70" i="1"/>
  <c r="R70" i="1" s="1"/>
  <c r="M69" i="1"/>
  <c r="S69" i="1" s="1"/>
  <c r="L69" i="1"/>
  <c r="R69" i="1" s="1"/>
  <c r="M68" i="1"/>
  <c r="S68" i="1" s="1"/>
  <c r="L68" i="1"/>
  <c r="R68" i="1" s="1"/>
  <c r="M67" i="1"/>
  <c r="S67" i="1" s="1"/>
  <c r="L67" i="1"/>
  <c r="R67" i="1" s="1"/>
  <c r="M66" i="1"/>
  <c r="S66" i="1" s="1"/>
  <c r="L66" i="1"/>
  <c r="R66" i="1" s="1"/>
  <c r="M65" i="1"/>
  <c r="S65" i="1" s="1"/>
  <c r="L65" i="1"/>
  <c r="R65" i="1" s="1"/>
  <c r="M64" i="1"/>
  <c r="L64" i="1"/>
  <c r="M63" i="1"/>
  <c r="S63" i="1" s="1"/>
  <c r="L63" i="1"/>
  <c r="R63" i="1" s="1"/>
  <c r="M62" i="1"/>
  <c r="S62" i="1" s="1"/>
  <c r="L62" i="1"/>
  <c r="R62" i="1" s="1"/>
  <c r="M61" i="1"/>
  <c r="S61" i="1" s="1"/>
  <c r="L61" i="1"/>
  <c r="R61" i="1" s="1"/>
  <c r="M60" i="1"/>
  <c r="S60" i="1" s="1"/>
  <c r="L60" i="1"/>
  <c r="R60" i="1" s="1"/>
  <c r="M59" i="1"/>
  <c r="S59" i="1" s="1"/>
  <c r="L59" i="1"/>
  <c r="R59" i="1" s="1"/>
  <c r="M58" i="1"/>
  <c r="S58" i="1" s="1"/>
  <c r="L58" i="1"/>
  <c r="R58" i="1" s="1"/>
  <c r="M57" i="1"/>
  <c r="S57" i="1" s="1"/>
  <c r="L57" i="1"/>
  <c r="R57" i="1" s="1"/>
  <c r="M56" i="1"/>
  <c r="S56" i="1" s="1"/>
  <c r="L56" i="1"/>
  <c r="R56" i="1" s="1"/>
  <c r="M55" i="1"/>
  <c r="S55" i="1" s="1"/>
  <c r="L55" i="1"/>
  <c r="R55" i="1" s="1"/>
  <c r="M53" i="1"/>
  <c r="S53" i="1" s="1"/>
  <c r="L53" i="1"/>
  <c r="R53" i="1" s="1"/>
  <c r="M51" i="1"/>
  <c r="S51" i="1" s="1"/>
  <c r="L51" i="1"/>
  <c r="R51" i="1" s="1"/>
  <c r="M50" i="1"/>
  <c r="S50" i="1" s="1"/>
  <c r="L50" i="1"/>
  <c r="R50" i="1" s="1"/>
  <c r="M49" i="1"/>
  <c r="S49" i="1" s="1"/>
  <c r="L49" i="1"/>
  <c r="R49" i="1" s="1"/>
  <c r="M48" i="1"/>
  <c r="S48" i="1" s="1"/>
  <c r="L48" i="1"/>
  <c r="R48" i="1" s="1"/>
  <c r="M47" i="1"/>
  <c r="S47" i="1" s="1"/>
  <c r="L47" i="1"/>
  <c r="R47" i="1" s="1"/>
  <c r="M46" i="1"/>
  <c r="S46" i="1" s="1"/>
  <c r="L46" i="1"/>
  <c r="R46" i="1" s="1"/>
  <c r="M45" i="1"/>
  <c r="S45" i="1" s="1"/>
  <c r="L45" i="1"/>
  <c r="R45" i="1" s="1"/>
  <c r="M44" i="1"/>
  <c r="S44" i="1" s="1"/>
  <c r="L44" i="1"/>
  <c r="R44" i="1" s="1"/>
  <c r="M43" i="1"/>
  <c r="S43" i="1" s="1"/>
  <c r="L43" i="1"/>
  <c r="R43" i="1" s="1"/>
  <c r="M42" i="1"/>
  <c r="S42" i="1" s="1"/>
  <c r="L42" i="1"/>
  <c r="R42" i="1" s="1"/>
  <c r="M41" i="1"/>
  <c r="S41" i="1" s="1"/>
  <c r="L41" i="1"/>
  <c r="R41" i="1" s="1"/>
  <c r="M40" i="1"/>
  <c r="S40" i="1" s="1"/>
  <c r="L40" i="1"/>
  <c r="R40" i="1" s="1"/>
  <c r="M39" i="1"/>
  <c r="S39" i="1" s="1"/>
  <c r="L39" i="1"/>
  <c r="R39" i="1" s="1"/>
  <c r="M38" i="1"/>
  <c r="S38" i="1" s="1"/>
  <c r="L38" i="1"/>
  <c r="R38" i="1" s="1"/>
  <c r="M37" i="1"/>
  <c r="S37" i="1" s="1"/>
  <c r="L37" i="1"/>
  <c r="R37" i="1" s="1"/>
  <c r="M36" i="1"/>
  <c r="S36" i="1" s="1"/>
  <c r="L36" i="1"/>
  <c r="R36" i="1" s="1"/>
  <c r="M35" i="1"/>
  <c r="S35" i="1" s="1"/>
  <c r="L35" i="1"/>
  <c r="R35" i="1" s="1"/>
  <c r="M33" i="1"/>
  <c r="S33" i="1" s="1"/>
  <c r="L33" i="1"/>
  <c r="R33" i="1" s="1"/>
  <c r="M32" i="1"/>
  <c r="S32" i="1" s="1"/>
  <c r="L32" i="1"/>
  <c r="R32" i="1" s="1"/>
  <c r="M31" i="1"/>
  <c r="S31" i="1" s="1"/>
  <c r="L31" i="1"/>
  <c r="R31" i="1" s="1"/>
  <c r="M30" i="1"/>
  <c r="S30" i="1" s="1"/>
  <c r="L30" i="1"/>
  <c r="R30" i="1" s="1"/>
  <c r="M29" i="1"/>
  <c r="S29" i="1" s="1"/>
  <c r="L29" i="1"/>
  <c r="R29" i="1" s="1"/>
  <c r="M28" i="1"/>
  <c r="S28" i="1" s="1"/>
  <c r="L28" i="1"/>
  <c r="R28" i="1" s="1"/>
  <c r="M27" i="1"/>
  <c r="S27" i="1" s="1"/>
  <c r="L27" i="1"/>
  <c r="R27" i="1" s="1"/>
  <c r="M26" i="1"/>
  <c r="S26" i="1" s="1"/>
  <c r="L26" i="1"/>
  <c r="R26" i="1" s="1"/>
  <c r="M25" i="1"/>
  <c r="S25" i="1" s="1"/>
  <c r="L25" i="1"/>
  <c r="R25" i="1" s="1"/>
  <c r="M24" i="1"/>
  <c r="S24" i="1" s="1"/>
  <c r="L24" i="1"/>
  <c r="R24" i="1" s="1"/>
  <c r="M23" i="1"/>
  <c r="S23" i="1" s="1"/>
  <c r="L23" i="1"/>
  <c r="R23" i="1" s="1"/>
  <c r="M22" i="1"/>
  <c r="S22" i="1" s="1"/>
  <c r="L22" i="1"/>
  <c r="R22" i="1" s="1"/>
  <c r="M21" i="1"/>
  <c r="S21" i="1" s="1"/>
  <c r="L21" i="1"/>
  <c r="R21" i="1" s="1"/>
  <c r="M20" i="1"/>
  <c r="S20" i="1" s="1"/>
  <c r="L20" i="1"/>
  <c r="R20" i="1" s="1"/>
  <c r="M19" i="1"/>
  <c r="S19" i="1" s="1"/>
  <c r="L19" i="1"/>
  <c r="R19" i="1" s="1"/>
  <c r="M18" i="1"/>
  <c r="S18" i="1" s="1"/>
  <c r="L18" i="1"/>
  <c r="R18" i="1" s="1"/>
  <c r="M17" i="1"/>
  <c r="S17" i="1" s="1"/>
  <c r="L17" i="1"/>
  <c r="R17" i="1" s="1"/>
  <c r="M16" i="1"/>
  <c r="S16" i="1" s="1"/>
  <c r="L16" i="1"/>
  <c r="R16" i="1" s="1"/>
  <c r="M15" i="1"/>
  <c r="S15" i="1" s="1"/>
  <c r="L15" i="1"/>
  <c r="R15" i="1" s="1"/>
  <c r="M14" i="1"/>
  <c r="S14" i="1" s="1"/>
  <c r="L14" i="1"/>
  <c r="R14" i="1" s="1"/>
  <c r="M13" i="1"/>
  <c r="S13" i="1" s="1"/>
  <c r="L13" i="1"/>
  <c r="R13" i="1" s="1"/>
  <c r="M12" i="1"/>
  <c r="S12" i="1" s="1"/>
  <c r="L12" i="1"/>
  <c r="R12" i="1" s="1"/>
  <c r="M11" i="1"/>
  <c r="S11" i="1" s="1"/>
  <c r="L11" i="1"/>
  <c r="R11" i="1" s="1"/>
  <c r="M10" i="1"/>
  <c r="S10" i="1" s="1"/>
  <c r="L10" i="1"/>
  <c r="R10" i="1" s="1"/>
  <c r="M9" i="1"/>
  <c r="S9" i="1" s="1"/>
  <c r="L9" i="1"/>
  <c r="R9" i="1" s="1"/>
  <c r="M8" i="1"/>
  <c r="S8" i="1" s="1"/>
  <c r="L8" i="1"/>
  <c r="R8" i="1" s="1"/>
  <c r="M7" i="1"/>
  <c r="L7" i="1"/>
  <c r="M6" i="1"/>
  <c r="S6" i="1" s="1"/>
  <c r="L6" i="1"/>
  <c r="R6" i="1" s="1"/>
  <c r="M5" i="1"/>
  <c r="S5" i="1" s="1"/>
  <c r="L5" i="1"/>
  <c r="R5" i="1" s="1"/>
  <c r="M4" i="1"/>
  <c r="S4" i="1" s="1"/>
  <c r="L4" i="1"/>
  <c r="R4" i="1" s="1"/>
  <c r="M3" i="1"/>
  <c r="S3" i="1" s="1"/>
  <c r="L3" i="1"/>
  <c r="R3" i="1" s="1"/>
  <c r="D91" i="1"/>
  <c r="K91" i="1" s="1"/>
  <c r="C91" i="1"/>
  <c r="J91" i="1" s="1"/>
  <c r="B91" i="1"/>
  <c r="I91" i="1" s="1"/>
  <c r="K85" i="1"/>
  <c r="Q85" i="1" s="1"/>
  <c r="J85" i="1"/>
  <c r="P85" i="1" s="1"/>
  <c r="I85" i="1"/>
  <c r="O85" i="1" s="1"/>
  <c r="K72" i="1"/>
  <c r="Q72" i="1" s="1"/>
  <c r="J72" i="1"/>
  <c r="P72" i="1" s="1"/>
  <c r="I72" i="1"/>
  <c r="O72" i="1" s="1"/>
  <c r="J93" i="1" l="1"/>
  <c r="P93" i="1" s="1"/>
  <c r="I93" i="1"/>
  <c r="O93" i="1" s="1"/>
  <c r="K93" i="1"/>
  <c r="Q93" i="1" s="1"/>
</calcChain>
</file>

<file path=xl/sharedStrings.xml><?xml version="1.0" encoding="utf-8"?>
<sst xmlns="http://schemas.openxmlformats.org/spreadsheetml/2006/main" count="167" uniqueCount="134">
  <si>
    <t>Архангельская</t>
  </si>
  <si>
    <t>Астраханская</t>
  </si>
  <si>
    <t>Бессарабская</t>
  </si>
  <si>
    <t>Варшавская</t>
  </si>
  <si>
    <t>Г Варшава</t>
  </si>
  <si>
    <t>Виленская</t>
  </si>
  <si>
    <t>Витебская</t>
  </si>
  <si>
    <t xml:space="preserve">Владимірская </t>
  </si>
  <si>
    <t>Вологодская</t>
  </si>
  <si>
    <t>Волынская</t>
  </si>
  <si>
    <t>Воронежская</t>
  </si>
  <si>
    <t xml:space="preserve">Вятская </t>
  </si>
  <si>
    <t xml:space="preserve">Гродненская </t>
  </si>
  <si>
    <t>Екатеринославская</t>
  </si>
  <si>
    <t>Енисейская</t>
  </si>
  <si>
    <t>Иркутская</t>
  </si>
  <si>
    <t>Казанская</t>
  </si>
  <si>
    <t>Калишская</t>
  </si>
  <si>
    <t>Калужская</t>
  </si>
  <si>
    <t>Кіевская</t>
  </si>
  <si>
    <t>Ковенская</t>
  </si>
  <si>
    <t>Костромская</t>
  </si>
  <si>
    <t>Курляндская</t>
  </si>
  <si>
    <t>Курская</t>
  </si>
  <si>
    <t>Кѣлецкая</t>
  </si>
  <si>
    <t>Ломжинская</t>
  </si>
  <si>
    <t>Люблинская</t>
  </si>
  <si>
    <t>Минская</t>
  </si>
  <si>
    <t>Могилевская</t>
  </si>
  <si>
    <t>Московская</t>
  </si>
  <si>
    <t>Г Москва</t>
  </si>
  <si>
    <t>Нижегородская</t>
  </si>
  <si>
    <t xml:space="preserve">Новгородская </t>
  </si>
  <si>
    <t xml:space="preserve">Олонецкая </t>
  </si>
  <si>
    <t>Оренбургская</t>
  </si>
  <si>
    <t xml:space="preserve">Орловская </t>
  </si>
  <si>
    <t>Пензенская</t>
  </si>
  <si>
    <t>Пермская</t>
  </si>
  <si>
    <t>Петроковская</t>
  </si>
  <si>
    <t>Плоцкая</t>
  </si>
  <si>
    <t xml:space="preserve">Подольская </t>
  </si>
  <si>
    <t>Полтавская</t>
  </si>
  <si>
    <t>Псковская</t>
  </si>
  <si>
    <t>Радомская</t>
  </si>
  <si>
    <t>Рязанская</t>
  </si>
  <si>
    <t xml:space="preserve">Самарская </t>
  </si>
  <si>
    <t>С-Петербургская</t>
  </si>
  <si>
    <t>Г С-Петербург</t>
  </si>
  <si>
    <t xml:space="preserve">Саратовская </t>
  </si>
  <si>
    <t xml:space="preserve">Симбирская </t>
  </si>
  <si>
    <t xml:space="preserve">Смоленская </t>
  </si>
  <si>
    <t>Сувалкская</t>
  </si>
  <si>
    <t>Сѣдлецкая</t>
  </si>
  <si>
    <t>Таврическая</t>
  </si>
  <si>
    <t>Тамбовская</t>
  </si>
  <si>
    <t xml:space="preserve">Тверская </t>
  </si>
  <si>
    <t xml:space="preserve">Тобольская </t>
  </si>
  <si>
    <t>Томская</t>
  </si>
  <si>
    <t>Тульская</t>
  </si>
  <si>
    <t xml:space="preserve">Уфимская </t>
  </si>
  <si>
    <t>Харьковская</t>
  </si>
  <si>
    <t>Херсонская</t>
  </si>
  <si>
    <t>Черниговская</t>
  </si>
  <si>
    <t xml:space="preserve">Эстляндская </t>
  </si>
  <si>
    <t>Ярославская</t>
  </si>
  <si>
    <t>Итого в губерниях</t>
  </si>
  <si>
    <t>Акмолинская</t>
  </si>
  <si>
    <t xml:space="preserve">Амурская </t>
  </si>
  <si>
    <t>Войска Донскаго</t>
  </si>
  <si>
    <t>Прим. Вост. Сиб.</t>
  </si>
  <si>
    <t>Семипалатинская</t>
  </si>
  <si>
    <t>Семирѣчинская</t>
  </si>
  <si>
    <t>Сыръ-Дарьинская</t>
  </si>
  <si>
    <t>Тургайская</t>
  </si>
  <si>
    <t>Уральская</t>
  </si>
  <si>
    <t>Ферганская</t>
  </si>
  <si>
    <t>Якутская</t>
  </si>
  <si>
    <t>Итого в областях</t>
  </si>
  <si>
    <t>Керчь-Еникольское град.</t>
  </si>
  <si>
    <t>Одесса</t>
  </si>
  <si>
    <t>Севастополь</t>
  </si>
  <si>
    <t>Таганрог</t>
  </si>
  <si>
    <t>губ</t>
  </si>
  <si>
    <t>чж NYY</t>
  </si>
  <si>
    <t>чр YY</t>
  </si>
  <si>
    <t>чу YY</t>
  </si>
  <si>
    <t>Всего в Империи</t>
  </si>
  <si>
    <t>—</t>
  </si>
  <si>
    <t>итого в градоначалиях</t>
  </si>
  <si>
    <t>р YY</t>
  </si>
  <si>
    <t>с YY</t>
  </si>
  <si>
    <t>v-чж NYY</t>
  </si>
  <si>
    <t>v-чр YY</t>
  </si>
  <si>
    <t>v-чу YY</t>
  </si>
  <si>
    <t>v-р YY</t>
  </si>
  <si>
    <t>v-с YY</t>
  </si>
  <si>
    <t>v-diff-чж NYY</t>
  </si>
  <si>
    <t>v-diff-чр YY</t>
  </si>
  <si>
    <t>v-diff-чу YY</t>
  </si>
  <si>
    <t>v-diff-р YY</t>
  </si>
  <si>
    <t>v-diff-с YY</t>
  </si>
  <si>
    <t>В численности Семипалатниской области опечатка на 200,000 (нужно 5 а не 3).</t>
  </si>
  <si>
    <t>Выверено по 1881 и 1883 годам.</t>
  </si>
  <si>
    <t>пригороды Петербурга</t>
  </si>
  <si>
    <t xml:space="preserve">Сведения о </t>
  </si>
  <si>
    <t xml:space="preserve">Варшавской губернии </t>
  </si>
  <si>
    <t>Варшаве</t>
  </si>
  <si>
    <t>Енисесйкой</t>
  </si>
  <si>
    <t>Иркутской</t>
  </si>
  <si>
    <t>Келецкой</t>
  </si>
  <si>
    <t>Плоцкой</t>
  </si>
  <si>
    <t>Томской  губерниях</t>
  </si>
  <si>
    <t>Прим Вост Сиб</t>
  </si>
  <si>
    <t>Тургайской</t>
  </si>
  <si>
    <t>Якутской областях</t>
  </si>
  <si>
    <t>за 1881 год, т.к. за 1882 сведений не имеется</t>
  </si>
  <si>
    <t>Лифляндская</t>
  </si>
  <si>
    <t>чж</t>
  </si>
  <si>
    <t>чр</t>
  </si>
  <si>
    <t>чс</t>
  </si>
  <si>
    <t>Вот данные за последовательные годы</t>
  </si>
  <si>
    <t>Чтобы рождаемость и смертность резко скакали, это невероятно.</t>
  </si>
  <si>
    <t>Низкое число рождений в 1881 -- скорее результат недоучёта.</t>
  </si>
  <si>
    <t>Напечатанное число смертей для Томской губернии в 1882 явно завышено</t>
  </si>
  <si>
    <t>Число смертей в 1882 явно завышено.</t>
  </si>
  <si>
    <t>к данным по губерниям нужно прибавить:</t>
  </si>
  <si>
    <t>только в 1887 году Таганрогское градоначалие было передано в Область Войска Донского</t>
  </si>
  <si>
    <t>было выделено из губернского управления в 1873 году, но территториально относилось к таврической губернии</t>
  </si>
  <si>
    <t>управлялась особым градоначальником, но статистически относилась к Херсонской губернии</t>
  </si>
  <si>
    <t>добавить к</t>
  </si>
  <si>
    <t xml:space="preserve">С-Петербургская </t>
  </si>
  <si>
    <t>[С-Петербургская с Петербургом]</t>
  </si>
  <si>
    <t>[Московская c Москвой]</t>
  </si>
  <si>
    <t>Сравнение с соседними годами и ЦСК показывает, что данные Москвы и Петербурга уже включены в объёмлющие губернии.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</si>
</sst>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3" fontId="0" fillId="0" borderId="0" xfId="0" applyNumberFormat="1"/>
    <xf numFmtId="0" fontId="1" fillId="0" borderId="0" xfId="0" applyFont="1" applyAlignment="1">
      <alignment horizontal="center"/>
    </xf>
    <xf numFmtId="3" fontId="1" fillId="0" borderId="0" xfId="0" applyNumberFormat="1" applyFont="1" applyAlignment="1">
      <alignment horizontal="center"/>
    </xf>
    <xf numFmtId="3" fontId="0" fillId="0" borderId="0" xfId="0" applyNumberFormat="1" applyAlignment="1">
      <alignment horizontal="center"/>
    </xf>
    <xf numFmtId="164" fontId="0" fillId="0" borderId="0" xfId="0" applyNumberFormat="1"/>
    <xf numFmtId="164" fontId="0" fillId="0" borderId="0" xfId="0" applyNumberFormat="1" applyAlignment="1">
      <alignment horizontal="center"/>
    </xf>
    <xf numFmtId="2" fontId="0" fillId="0" borderId="0" xfId="0" applyNumberFormat="1"/>
    <xf numFmtId="3" fontId="0" fillId="2" borderId="0" xfId="0" applyNumberFormat="1" applyFill="1"/>
    <xf numFmtId="3" fontId="0" fillId="3" borderId="0" xfId="0" applyNumberFormat="1" applyFill="1"/>
    <xf numFmtId="3" fontId="0" fillId="4" borderId="0" xfId="0" applyNumberFormat="1" applyFill="1"/>
    <xf numFmtId="3" fontId="1" fillId="4" borderId="0" xfId="0" applyNumberFormat="1" applyFont="1" applyFill="1" applyAlignment="1">
      <alignment horizontal="center"/>
    </xf>
    <xf numFmtId="164" fontId="1" fillId="4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58270-E26C-442A-91EB-C2E9BD9E1C3E}">
  <dimension ref="A3:H44"/>
  <sheetViews>
    <sheetView tabSelected="1" workbookViewId="0">
      <selection activeCell="A45" sqref="A45"/>
    </sheetView>
  </sheetViews>
  <sheetFormatPr defaultRowHeight="14.4" x14ac:dyDescent="0.55000000000000004"/>
  <sheetData>
    <row r="3" spans="1:2" x14ac:dyDescent="0.55000000000000004">
      <c r="A3" t="s">
        <v>101</v>
      </c>
    </row>
    <row r="4" spans="1:2" x14ac:dyDescent="0.55000000000000004">
      <c r="A4" t="s">
        <v>102</v>
      </c>
    </row>
    <row r="7" spans="1:2" x14ac:dyDescent="0.55000000000000004">
      <c r="A7" t="s">
        <v>104</v>
      </c>
    </row>
    <row r="8" spans="1:2" x14ac:dyDescent="0.55000000000000004">
      <c r="B8" t="s">
        <v>105</v>
      </c>
    </row>
    <row r="9" spans="1:2" x14ac:dyDescent="0.55000000000000004">
      <c r="B9" t="s">
        <v>106</v>
      </c>
    </row>
    <row r="10" spans="1:2" x14ac:dyDescent="0.55000000000000004">
      <c r="B10" t="s">
        <v>107</v>
      </c>
    </row>
    <row r="11" spans="1:2" x14ac:dyDescent="0.55000000000000004">
      <c r="B11" t="s">
        <v>108</v>
      </c>
    </row>
    <row r="12" spans="1:2" x14ac:dyDescent="0.55000000000000004">
      <c r="B12" t="s">
        <v>109</v>
      </c>
    </row>
    <row r="13" spans="1:2" x14ac:dyDescent="0.55000000000000004">
      <c r="B13" t="s">
        <v>110</v>
      </c>
    </row>
    <row r="14" spans="1:2" x14ac:dyDescent="0.55000000000000004">
      <c r="B14" t="s">
        <v>111</v>
      </c>
    </row>
    <row r="15" spans="1:2" x14ac:dyDescent="0.55000000000000004">
      <c r="B15" t="s">
        <v>112</v>
      </c>
    </row>
    <row r="16" spans="1:2" x14ac:dyDescent="0.55000000000000004">
      <c r="B16" t="s">
        <v>113</v>
      </c>
    </row>
    <row r="17" spans="1:5" x14ac:dyDescent="0.55000000000000004">
      <c r="B17" t="s">
        <v>114</v>
      </c>
    </row>
    <row r="18" spans="1:5" x14ac:dyDescent="0.55000000000000004">
      <c r="A18" t="s">
        <v>115</v>
      </c>
    </row>
    <row r="22" spans="1:5" x14ac:dyDescent="0.55000000000000004">
      <c r="A22" t="s">
        <v>123</v>
      </c>
    </row>
    <row r="23" spans="1:5" x14ac:dyDescent="0.55000000000000004">
      <c r="A23" t="s">
        <v>120</v>
      </c>
    </row>
    <row r="24" spans="1:5" x14ac:dyDescent="0.55000000000000004">
      <c r="C24" t="s">
        <v>117</v>
      </c>
      <c r="D24" t="s">
        <v>118</v>
      </c>
      <c r="E24" t="s">
        <v>119</v>
      </c>
    </row>
    <row r="25" spans="1:5" x14ac:dyDescent="0.55000000000000004">
      <c r="B25">
        <v>1881</v>
      </c>
      <c r="C25" s="1">
        <v>1078080</v>
      </c>
      <c r="D25" s="1">
        <v>46003</v>
      </c>
      <c r="E25" s="1">
        <v>27051</v>
      </c>
    </row>
    <row r="26" spans="1:5" x14ac:dyDescent="0.55000000000000004">
      <c r="B26">
        <v>1882</v>
      </c>
      <c r="C26" s="1">
        <v>1078080</v>
      </c>
      <c r="D26" s="1">
        <v>57466</v>
      </c>
      <c r="E26" s="8">
        <v>53842</v>
      </c>
    </row>
    <row r="27" spans="1:5" x14ac:dyDescent="0.55000000000000004">
      <c r="B27">
        <v>1883</v>
      </c>
      <c r="C27" s="1">
        <v>1078605</v>
      </c>
      <c r="D27" s="1">
        <v>57466</v>
      </c>
      <c r="E27" s="1">
        <v>35470</v>
      </c>
    </row>
    <row r="28" spans="1:5" x14ac:dyDescent="0.55000000000000004">
      <c r="B28">
        <v>1884</v>
      </c>
      <c r="C28" s="1">
        <v>1163857</v>
      </c>
      <c r="D28" s="1">
        <v>60417</v>
      </c>
      <c r="E28" s="1">
        <v>24746</v>
      </c>
    </row>
    <row r="29" spans="1:5" x14ac:dyDescent="0.55000000000000004">
      <c r="B29">
        <v>1885</v>
      </c>
      <c r="C29" s="1">
        <v>1196065</v>
      </c>
      <c r="D29" s="1">
        <v>60706</v>
      </c>
      <c r="E29" s="1">
        <v>34982</v>
      </c>
    </row>
    <row r="30" spans="1:5" x14ac:dyDescent="0.55000000000000004">
      <c r="B30">
        <v>1886</v>
      </c>
      <c r="C30" s="1">
        <v>1224060</v>
      </c>
      <c r="D30" s="1">
        <v>57307</v>
      </c>
      <c r="E30" s="1">
        <v>31511</v>
      </c>
    </row>
    <row r="32" spans="1:5" x14ac:dyDescent="0.55000000000000004">
      <c r="A32" t="s">
        <v>121</v>
      </c>
    </row>
    <row r="33" spans="1:8" x14ac:dyDescent="0.55000000000000004">
      <c r="A33" t="s">
        <v>122</v>
      </c>
    </row>
    <row r="34" spans="1:8" x14ac:dyDescent="0.55000000000000004">
      <c r="A34" t="s">
        <v>124</v>
      </c>
    </row>
    <row r="36" spans="1:8" x14ac:dyDescent="0.55000000000000004">
      <c r="A36" t="s">
        <v>125</v>
      </c>
    </row>
    <row r="38" spans="1:8" x14ac:dyDescent="0.55000000000000004">
      <c r="B38" t="s">
        <v>78</v>
      </c>
      <c r="E38" t="s">
        <v>53</v>
      </c>
    </row>
    <row r="39" spans="1:8" x14ac:dyDescent="0.55000000000000004">
      <c r="B39" t="s">
        <v>79</v>
      </c>
      <c r="E39" t="s">
        <v>61</v>
      </c>
      <c r="H39" t="s">
        <v>128</v>
      </c>
    </row>
    <row r="40" spans="1:8" x14ac:dyDescent="0.55000000000000004">
      <c r="B40" t="s">
        <v>80</v>
      </c>
      <c r="E40" t="s">
        <v>53</v>
      </c>
      <c r="H40" t="s">
        <v>127</v>
      </c>
    </row>
    <row r="41" spans="1:8" x14ac:dyDescent="0.55000000000000004">
      <c r="B41" t="s">
        <v>81</v>
      </c>
      <c r="E41" t="s">
        <v>13</v>
      </c>
      <c r="H41" t="s">
        <v>126</v>
      </c>
    </row>
    <row r="44" spans="1:8" x14ac:dyDescent="0.55000000000000004">
      <c r="A44" t="s">
        <v>133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7F64C-0960-4F11-BD14-CF97C87FD008}">
  <dimension ref="A1:V93"/>
  <sheetViews>
    <sheetView workbookViewId="0">
      <pane ySplit="1" topLeftCell="A38" activePane="bottomLeft" state="frozen"/>
      <selection pane="bottomLeft" activeCell="B34" sqref="B34"/>
    </sheetView>
  </sheetViews>
  <sheetFormatPr defaultRowHeight="14.4" x14ac:dyDescent="0.55000000000000004"/>
  <cols>
    <col min="1" max="1" width="28.3671875" customWidth="1"/>
    <col min="2" max="2" width="10.7890625" style="1" customWidth="1"/>
    <col min="3" max="6" width="8.83984375" style="1"/>
    <col min="7" max="7" width="17.5234375" style="1" customWidth="1"/>
    <col min="9" max="9" width="10.734375" bestFit="1" customWidth="1"/>
    <col min="15" max="15" width="12.41796875" style="5" bestFit="1" customWidth="1"/>
    <col min="16" max="16" width="10.578125" bestFit="1" customWidth="1"/>
    <col min="17" max="17" width="10.47265625" bestFit="1" customWidth="1"/>
    <col min="18" max="18" width="9.5234375" bestFit="1" customWidth="1"/>
    <col min="19" max="19" width="9.41796875" bestFit="1" customWidth="1"/>
    <col min="20" max="20" width="9.5234375" bestFit="1" customWidth="1"/>
    <col min="21" max="21" width="9.41796875" bestFit="1" customWidth="1"/>
    <col min="22" max="22" width="9.68359375" bestFit="1" customWidth="1"/>
  </cols>
  <sheetData>
    <row r="1" spans="1:19" x14ac:dyDescent="0.55000000000000004">
      <c r="A1" s="2" t="s">
        <v>82</v>
      </c>
      <c r="B1" s="3" t="s">
        <v>83</v>
      </c>
      <c r="C1" s="3" t="s">
        <v>84</v>
      </c>
      <c r="D1" s="3" t="s">
        <v>85</v>
      </c>
      <c r="E1" s="3" t="s">
        <v>89</v>
      </c>
      <c r="F1" s="3" t="s">
        <v>90</v>
      </c>
      <c r="G1" s="3" t="s">
        <v>129</v>
      </c>
      <c r="I1" s="11" t="s">
        <v>91</v>
      </c>
      <c r="J1" s="11" t="s">
        <v>92</v>
      </c>
      <c r="K1" s="11" t="s">
        <v>93</v>
      </c>
      <c r="L1" s="12" t="s">
        <v>94</v>
      </c>
      <c r="M1" s="12" t="s">
        <v>95</v>
      </c>
      <c r="N1" s="3"/>
      <c r="O1" s="11" t="s">
        <v>96</v>
      </c>
      <c r="P1" s="11" t="s">
        <v>97</v>
      </c>
      <c r="Q1" s="11" t="s">
        <v>98</v>
      </c>
      <c r="R1" s="11" t="s">
        <v>99</v>
      </c>
      <c r="S1" s="11" t="s">
        <v>100</v>
      </c>
    </row>
    <row r="2" spans="1:19" x14ac:dyDescent="0.55000000000000004">
      <c r="E2"/>
      <c r="F2"/>
      <c r="G2"/>
      <c r="L2" s="5"/>
      <c r="M2" s="5"/>
    </row>
    <row r="3" spans="1:19" x14ac:dyDescent="0.55000000000000004">
      <c r="A3" t="s">
        <v>0</v>
      </c>
      <c r="B3" s="1">
        <v>315367</v>
      </c>
      <c r="C3" s="1">
        <v>12243</v>
      </c>
      <c r="D3" s="1">
        <v>8319</v>
      </c>
      <c r="E3" s="5">
        <v>3.8</v>
      </c>
      <c r="F3" s="5">
        <v>2.6</v>
      </c>
      <c r="G3" s="5"/>
      <c r="L3" s="5">
        <f>100*C3/B3</f>
        <v>3.8821436611947351</v>
      </c>
      <c r="M3" s="5">
        <f>100*D3/B3</f>
        <v>2.6378790425123744</v>
      </c>
      <c r="R3" s="5">
        <f>E3-L3</f>
        <v>-8.2143661194735262E-2</v>
      </c>
      <c r="S3" s="5">
        <f>F3-M3</f>
        <v>-3.7879042512374284E-2</v>
      </c>
    </row>
    <row r="4" spans="1:19" x14ac:dyDescent="0.55000000000000004">
      <c r="A4" t="s">
        <v>1</v>
      </c>
      <c r="B4" s="1">
        <v>790338</v>
      </c>
      <c r="C4" s="1">
        <v>25684</v>
      </c>
      <c r="D4" s="1">
        <v>17155</v>
      </c>
      <c r="E4" s="5">
        <v>3.2</v>
      </c>
      <c r="F4" s="5">
        <v>2.1</v>
      </c>
      <c r="G4" s="5"/>
      <c r="L4" s="5">
        <f t="shared" ref="L4:L70" si="0">100*C4/B4</f>
        <v>3.2497488416348448</v>
      </c>
      <c r="M4" s="5">
        <f t="shared" ref="M4:M70" si="1">100*D4/B4</f>
        <v>2.1705903044014079</v>
      </c>
      <c r="R4" s="5">
        <f t="shared" ref="R4:R70" si="2">E4-L4</f>
        <v>-4.9748841634844609E-2</v>
      </c>
      <c r="S4" s="5">
        <f t="shared" ref="S4:S70" si="3">F4-M4</f>
        <v>-7.0590304401407789E-2</v>
      </c>
    </row>
    <row r="5" spans="1:19" x14ac:dyDescent="0.55000000000000004">
      <c r="A5" t="s">
        <v>2</v>
      </c>
      <c r="B5" s="1">
        <v>1419762</v>
      </c>
      <c r="C5" s="1">
        <v>66107</v>
      </c>
      <c r="D5" s="1">
        <v>44437</v>
      </c>
      <c r="E5" s="5">
        <v>4.5999999999999996</v>
      </c>
      <c r="F5" s="5">
        <v>3.1</v>
      </c>
      <c r="G5" s="5"/>
      <c r="L5" s="5">
        <f t="shared" si="0"/>
        <v>4.6562029410563177</v>
      </c>
      <c r="M5" s="5">
        <f t="shared" si="1"/>
        <v>3.1298907845117703</v>
      </c>
      <c r="R5" s="5">
        <f t="shared" si="2"/>
        <v>-5.6202941056318068E-2</v>
      </c>
      <c r="S5" s="5">
        <f t="shared" si="3"/>
        <v>-2.9890784511770185E-2</v>
      </c>
    </row>
    <row r="6" spans="1:19" x14ac:dyDescent="0.55000000000000004">
      <c r="A6" t="s">
        <v>3</v>
      </c>
      <c r="B6" s="1">
        <v>906039</v>
      </c>
      <c r="C6" s="1">
        <v>34032</v>
      </c>
      <c r="D6" s="1">
        <v>24096</v>
      </c>
      <c r="E6" s="5">
        <v>3.7</v>
      </c>
      <c r="F6" s="5">
        <v>2.6</v>
      </c>
      <c r="G6" s="5"/>
      <c r="L6" s="5">
        <f t="shared" si="0"/>
        <v>3.7561297030260286</v>
      </c>
      <c r="M6" s="5">
        <f t="shared" si="1"/>
        <v>2.6594881677278792</v>
      </c>
      <c r="R6" s="5">
        <f t="shared" si="2"/>
        <v>-5.6129703026028377E-2</v>
      </c>
      <c r="S6" s="5">
        <f t="shared" si="3"/>
        <v>-5.9488167727879127E-2</v>
      </c>
    </row>
    <row r="7" spans="1:19" x14ac:dyDescent="0.55000000000000004">
      <c r="A7" t="s">
        <v>4</v>
      </c>
      <c r="B7" s="1">
        <v>406261</v>
      </c>
      <c r="C7" s="1">
        <v>13044</v>
      </c>
      <c r="D7" s="1">
        <v>11483</v>
      </c>
      <c r="E7" s="6" t="s">
        <v>87</v>
      </c>
      <c r="F7" s="6" t="s">
        <v>87</v>
      </c>
      <c r="G7" s="6"/>
      <c r="L7" s="5">
        <f t="shared" si="0"/>
        <v>3.2107438321670059</v>
      </c>
      <c r="M7" s="5">
        <f t="shared" si="1"/>
        <v>2.8265080822426962</v>
      </c>
      <c r="R7" s="5"/>
      <c r="S7" s="5"/>
    </row>
    <row r="8" spans="1:19" x14ac:dyDescent="0.55000000000000004">
      <c r="A8" t="s">
        <v>5</v>
      </c>
      <c r="B8" s="1">
        <v>1204746</v>
      </c>
      <c r="C8" s="1">
        <v>50504</v>
      </c>
      <c r="D8" s="1">
        <v>34822</v>
      </c>
      <c r="E8" s="5">
        <v>4.0999999999999996</v>
      </c>
      <c r="F8" s="5">
        <v>2.8</v>
      </c>
      <c r="G8" s="5"/>
      <c r="L8" s="5">
        <f t="shared" si="0"/>
        <v>4.1920869627290731</v>
      </c>
      <c r="M8" s="5">
        <f t="shared" si="1"/>
        <v>2.8904017942371256</v>
      </c>
      <c r="R8" s="5">
        <f t="shared" si="2"/>
        <v>-9.2086962729073463E-2</v>
      </c>
      <c r="S8" s="5">
        <f t="shared" si="3"/>
        <v>-9.0401794237125799E-2</v>
      </c>
    </row>
    <row r="9" spans="1:19" x14ac:dyDescent="0.55000000000000004">
      <c r="A9" t="s">
        <v>6</v>
      </c>
      <c r="B9" s="1">
        <v>1170987</v>
      </c>
      <c r="C9" s="1">
        <v>48777</v>
      </c>
      <c r="D9" s="1">
        <v>34584</v>
      </c>
      <c r="E9" s="5">
        <v>4.0999999999999996</v>
      </c>
      <c r="F9" s="5">
        <v>2.8</v>
      </c>
      <c r="G9" s="5"/>
      <c r="L9" s="5">
        <f t="shared" si="0"/>
        <v>4.165460419287319</v>
      </c>
      <c r="M9" s="5">
        <f t="shared" si="1"/>
        <v>2.9534059729100322</v>
      </c>
      <c r="R9" s="5">
        <f t="shared" si="2"/>
        <v>-6.5460419287319382E-2</v>
      </c>
      <c r="S9" s="5">
        <f t="shared" si="3"/>
        <v>-0.15340597291003233</v>
      </c>
    </row>
    <row r="10" spans="1:19" x14ac:dyDescent="0.55000000000000004">
      <c r="A10" t="s">
        <v>7</v>
      </c>
      <c r="B10" s="1">
        <v>1352140</v>
      </c>
      <c r="C10" s="1">
        <v>72164</v>
      </c>
      <c r="D10" s="1">
        <v>65493</v>
      </c>
      <c r="E10" s="5">
        <v>5.3</v>
      </c>
      <c r="F10" s="5">
        <v>4.8</v>
      </c>
      <c r="G10" s="5"/>
      <c r="L10" s="5">
        <f t="shared" si="0"/>
        <v>5.3370213143609391</v>
      </c>
      <c r="M10" s="5">
        <f t="shared" si="1"/>
        <v>4.8436552428003017</v>
      </c>
      <c r="R10" s="5">
        <f t="shared" si="2"/>
        <v>-3.702131436093925E-2</v>
      </c>
      <c r="S10" s="5">
        <f t="shared" si="3"/>
        <v>-4.3655242800301863E-2</v>
      </c>
    </row>
    <row r="11" spans="1:19" x14ac:dyDescent="0.55000000000000004">
      <c r="A11" t="s">
        <v>8</v>
      </c>
      <c r="B11" s="1">
        <v>1161551</v>
      </c>
      <c r="C11" s="1">
        <v>55868</v>
      </c>
      <c r="D11" s="1">
        <v>38031</v>
      </c>
      <c r="E11" s="5">
        <v>4.7</v>
      </c>
      <c r="F11" s="5">
        <v>3.2</v>
      </c>
      <c r="G11" s="5"/>
      <c r="L11" s="5">
        <f t="shared" si="0"/>
        <v>4.8097758944721329</v>
      </c>
      <c r="M11" s="5">
        <f t="shared" si="1"/>
        <v>3.2741567094341963</v>
      </c>
      <c r="R11" s="5">
        <f t="shared" si="2"/>
        <v>-0.10977589447213276</v>
      </c>
      <c r="S11" s="5">
        <f t="shared" si="3"/>
        <v>-7.4156709434196166E-2</v>
      </c>
    </row>
    <row r="12" spans="1:19" x14ac:dyDescent="0.55000000000000004">
      <c r="A12" t="s">
        <v>9</v>
      </c>
      <c r="B12" s="1">
        <v>2062270</v>
      </c>
      <c r="C12" s="1">
        <v>106793</v>
      </c>
      <c r="D12" s="1">
        <v>79452</v>
      </c>
      <c r="E12" s="5">
        <v>5.0999999999999996</v>
      </c>
      <c r="F12" s="5">
        <v>3.8</v>
      </c>
      <c r="G12" s="5"/>
      <c r="L12" s="5">
        <f t="shared" si="0"/>
        <v>5.1784198965217936</v>
      </c>
      <c r="M12" s="5">
        <f t="shared" si="1"/>
        <v>3.8526478104224955</v>
      </c>
      <c r="R12" s="5">
        <f t="shared" si="2"/>
        <v>-7.841989652179393E-2</v>
      </c>
      <c r="S12" s="5">
        <f t="shared" si="3"/>
        <v>-5.2647810422495667E-2</v>
      </c>
    </row>
    <row r="13" spans="1:19" x14ac:dyDescent="0.55000000000000004">
      <c r="A13" t="s">
        <v>10</v>
      </c>
      <c r="B13" s="1">
        <v>2433657</v>
      </c>
      <c r="C13" s="1">
        <v>127594</v>
      </c>
      <c r="D13" s="1">
        <v>120861</v>
      </c>
      <c r="E13" s="5">
        <v>5.3</v>
      </c>
      <c r="F13" s="5">
        <v>4.9000000000000004</v>
      </c>
      <c r="G13" s="5"/>
      <c r="L13" s="5">
        <f t="shared" si="0"/>
        <v>5.2428916646840538</v>
      </c>
      <c r="M13" s="5">
        <f t="shared" si="1"/>
        <v>4.9662298343603881</v>
      </c>
      <c r="R13" s="5">
        <f t="shared" si="2"/>
        <v>5.7108335315946057E-2</v>
      </c>
      <c r="S13" s="5">
        <f t="shared" si="3"/>
        <v>-6.6229834360387763E-2</v>
      </c>
    </row>
    <row r="14" spans="1:19" x14ac:dyDescent="0.55000000000000004">
      <c r="A14" t="s">
        <v>11</v>
      </c>
      <c r="B14" s="1">
        <v>2740953</v>
      </c>
      <c r="C14" s="1">
        <v>158184</v>
      </c>
      <c r="D14" s="1">
        <v>114340</v>
      </c>
      <c r="E14" s="5">
        <v>5.7</v>
      </c>
      <c r="F14" s="5">
        <v>4.2</v>
      </c>
      <c r="G14" s="5"/>
      <c r="L14" s="5">
        <f t="shared" si="0"/>
        <v>5.7711314276457859</v>
      </c>
      <c r="M14" s="5">
        <f t="shared" si="1"/>
        <v>4.1715417958644307</v>
      </c>
      <c r="R14" s="5">
        <f t="shared" si="2"/>
        <v>-7.1131427645785728E-2</v>
      </c>
      <c r="S14" s="5">
        <f t="shared" si="3"/>
        <v>2.8458204135569432E-2</v>
      </c>
    </row>
    <row r="15" spans="1:19" x14ac:dyDescent="0.55000000000000004">
      <c r="A15" t="s">
        <v>12</v>
      </c>
      <c r="B15" s="1">
        <v>1226946</v>
      </c>
      <c r="C15" s="1">
        <v>54210</v>
      </c>
      <c r="D15" s="1">
        <v>44372</v>
      </c>
      <c r="E15" s="5">
        <v>4.3</v>
      </c>
      <c r="F15" s="5">
        <v>3.5</v>
      </c>
      <c r="G15" s="5"/>
      <c r="L15" s="5">
        <f t="shared" si="0"/>
        <v>4.4182873573898114</v>
      </c>
      <c r="M15" s="5">
        <f t="shared" si="1"/>
        <v>3.6164590780686354</v>
      </c>
      <c r="R15" s="5">
        <f t="shared" si="2"/>
        <v>-0.11828735738981155</v>
      </c>
      <c r="S15" s="5">
        <f t="shared" si="3"/>
        <v>-0.11645907806863542</v>
      </c>
    </row>
    <row r="16" spans="1:19" x14ac:dyDescent="0.55000000000000004">
      <c r="A16" t="s">
        <v>13</v>
      </c>
      <c r="B16" s="1">
        <v>1697061</v>
      </c>
      <c r="C16" s="1">
        <v>92706</v>
      </c>
      <c r="D16" s="1">
        <v>64639</v>
      </c>
      <c r="E16" s="5">
        <v>5.4</v>
      </c>
      <c r="F16" s="5">
        <v>3.8</v>
      </c>
      <c r="G16" s="5"/>
      <c r="L16" s="5">
        <f t="shared" si="0"/>
        <v>5.4627382280306955</v>
      </c>
      <c r="M16" s="5">
        <f t="shared" si="1"/>
        <v>3.8088789972782355</v>
      </c>
      <c r="R16" s="5">
        <f t="shared" si="2"/>
        <v>-6.2738228030695176E-2</v>
      </c>
      <c r="S16" s="5">
        <f t="shared" si="3"/>
        <v>-8.8789972782357118E-3</v>
      </c>
    </row>
    <row r="17" spans="1:19" x14ac:dyDescent="0.55000000000000004">
      <c r="A17" t="s">
        <v>14</v>
      </c>
      <c r="B17" s="1">
        <v>428517</v>
      </c>
      <c r="C17" s="1">
        <v>21022</v>
      </c>
      <c r="D17" s="1">
        <v>19718</v>
      </c>
      <c r="E17" s="5">
        <v>4.9000000000000004</v>
      </c>
      <c r="F17" s="5">
        <v>4.5999999999999996</v>
      </c>
      <c r="G17" s="5"/>
      <c r="L17" s="5">
        <f t="shared" si="0"/>
        <v>4.9057563643916113</v>
      </c>
      <c r="M17" s="5">
        <f t="shared" si="1"/>
        <v>4.6014510509501374</v>
      </c>
      <c r="R17" s="5">
        <f t="shared" si="2"/>
        <v>-5.7563643916109797E-3</v>
      </c>
      <c r="S17" s="5">
        <f t="shared" si="3"/>
        <v>-1.4510509501377555E-3</v>
      </c>
    </row>
    <row r="18" spans="1:19" x14ac:dyDescent="0.55000000000000004">
      <c r="A18" t="s">
        <v>15</v>
      </c>
      <c r="B18" s="1">
        <v>391065</v>
      </c>
      <c r="C18" s="1">
        <v>20340</v>
      </c>
      <c r="D18" s="1">
        <v>15918</v>
      </c>
      <c r="E18" s="5">
        <v>5.2</v>
      </c>
      <c r="F18" s="5">
        <v>4</v>
      </c>
      <c r="G18" s="5"/>
      <c r="L18" s="5">
        <f t="shared" si="0"/>
        <v>5.2011813892831116</v>
      </c>
      <c r="M18" s="5">
        <f t="shared" si="1"/>
        <v>4.0704230754478159</v>
      </c>
      <c r="R18" s="5">
        <f t="shared" si="2"/>
        <v>-1.1813892831114003E-3</v>
      </c>
      <c r="S18" s="5">
        <f t="shared" si="3"/>
        <v>-7.0423075447815897E-2</v>
      </c>
    </row>
    <row r="19" spans="1:19" x14ac:dyDescent="0.55000000000000004">
      <c r="A19" t="s">
        <v>16</v>
      </c>
      <c r="B19" s="1">
        <v>1955590</v>
      </c>
      <c r="C19" s="1">
        <v>96799</v>
      </c>
      <c r="D19" s="1">
        <v>74897</v>
      </c>
      <c r="E19" s="5">
        <v>4.9000000000000004</v>
      </c>
      <c r="F19" s="5">
        <v>3.8</v>
      </c>
      <c r="G19" s="5"/>
      <c r="L19" s="5">
        <f t="shared" si="0"/>
        <v>4.9498616785727068</v>
      </c>
      <c r="M19" s="5">
        <f t="shared" si="1"/>
        <v>3.8298927689341835</v>
      </c>
      <c r="R19" s="5">
        <f t="shared" si="2"/>
        <v>-4.9861678572706403E-2</v>
      </c>
      <c r="S19" s="5">
        <f t="shared" si="3"/>
        <v>-2.9892768934183689E-2</v>
      </c>
    </row>
    <row r="20" spans="1:19" x14ac:dyDescent="0.55000000000000004">
      <c r="A20" t="s">
        <v>17</v>
      </c>
      <c r="B20" s="1">
        <v>774759</v>
      </c>
      <c r="C20" s="1">
        <v>27967</v>
      </c>
      <c r="D20" s="1">
        <v>18611</v>
      </c>
      <c r="E20" s="5">
        <v>3.6</v>
      </c>
      <c r="F20" s="5">
        <v>2.4</v>
      </c>
      <c r="G20" s="5"/>
      <c r="L20" s="5">
        <f t="shared" si="0"/>
        <v>3.609767682595491</v>
      </c>
      <c r="M20" s="5">
        <f t="shared" si="1"/>
        <v>2.4021663510846598</v>
      </c>
      <c r="R20" s="5">
        <f t="shared" si="2"/>
        <v>-9.7676825954908786E-3</v>
      </c>
      <c r="S20" s="5">
        <f t="shared" si="3"/>
        <v>-2.166351084659901E-3</v>
      </c>
    </row>
    <row r="21" spans="1:19" x14ac:dyDescent="0.55000000000000004">
      <c r="A21" t="s">
        <v>18</v>
      </c>
      <c r="B21" s="1">
        <v>1140337</v>
      </c>
      <c r="C21" s="1">
        <v>53476</v>
      </c>
      <c r="D21" s="1">
        <v>45208</v>
      </c>
      <c r="E21" s="5">
        <v>4.5999999999999996</v>
      </c>
      <c r="F21" s="5">
        <v>3.8</v>
      </c>
      <c r="G21" s="5"/>
      <c r="L21" s="5">
        <f t="shared" si="0"/>
        <v>4.6894909136509648</v>
      </c>
      <c r="M21" s="5">
        <f t="shared" si="1"/>
        <v>3.964442090364515</v>
      </c>
      <c r="R21" s="5">
        <f t="shared" si="2"/>
        <v>-8.9490913650965176E-2</v>
      </c>
      <c r="S21" s="5">
        <f t="shared" si="3"/>
        <v>-0.16444209036451518</v>
      </c>
    </row>
    <row r="22" spans="1:19" x14ac:dyDescent="0.55000000000000004">
      <c r="A22" t="s">
        <v>19</v>
      </c>
      <c r="B22" s="1">
        <v>2507231</v>
      </c>
      <c r="C22" s="1">
        <v>148929</v>
      </c>
      <c r="D22" s="1">
        <v>108567</v>
      </c>
      <c r="E22" s="5">
        <v>5.9</v>
      </c>
      <c r="F22" s="5">
        <v>4.3</v>
      </c>
      <c r="G22" s="5"/>
      <c r="L22" s="5">
        <f t="shared" si="0"/>
        <v>5.9399792041499166</v>
      </c>
      <c r="M22" s="5">
        <f t="shared" si="1"/>
        <v>4.3301554583522623</v>
      </c>
      <c r="R22" s="5">
        <f t="shared" si="2"/>
        <v>-3.9979204149916292E-2</v>
      </c>
      <c r="S22" s="5">
        <f t="shared" si="3"/>
        <v>-3.0155458352262521E-2</v>
      </c>
    </row>
    <row r="23" spans="1:19" x14ac:dyDescent="0.55000000000000004">
      <c r="A23" t="s">
        <v>20</v>
      </c>
      <c r="B23" s="1">
        <v>1444614</v>
      </c>
      <c r="C23" s="1">
        <v>49005</v>
      </c>
      <c r="D23" s="1">
        <v>40297</v>
      </c>
      <c r="E23" s="5">
        <v>4.8</v>
      </c>
      <c r="F23" s="5">
        <v>2.9</v>
      </c>
      <c r="G23" s="5"/>
      <c r="L23" s="5">
        <f t="shared" si="0"/>
        <v>3.3922556475293746</v>
      </c>
      <c r="M23" s="5">
        <f t="shared" si="1"/>
        <v>2.7894648674317155</v>
      </c>
      <c r="R23" s="5">
        <f t="shared" si="2"/>
        <v>1.4077443524706252</v>
      </c>
      <c r="S23" s="5">
        <f t="shared" si="3"/>
        <v>0.1105351325682844</v>
      </c>
    </row>
    <row r="24" spans="1:19" x14ac:dyDescent="0.55000000000000004">
      <c r="A24" t="s">
        <v>21</v>
      </c>
      <c r="B24" s="1">
        <v>1278856</v>
      </c>
      <c r="C24" s="1">
        <v>60484</v>
      </c>
      <c r="D24" s="1">
        <v>47751</v>
      </c>
      <c r="E24" s="5">
        <v>4.9000000000000004</v>
      </c>
      <c r="F24" s="5">
        <v>3.7</v>
      </c>
      <c r="G24" s="5"/>
      <c r="L24" s="5">
        <f t="shared" si="0"/>
        <v>4.7295395259513189</v>
      </c>
      <c r="M24" s="5">
        <f t="shared" si="1"/>
        <v>3.7338840338552584</v>
      </c>
      <c r="R24" s="5">
        <f t="shared" si="2"/>
        <v>0.17046047404868148</v>
      </c>
      <c r="S24" s="5">
        <f t="shared" si="3"/>
        <v>-3.3884033855258178E-2</v>
      </c>
    </row>
    <row r="25" spans="1:19" x14ac:dyDescent="0.55000000000000004">
      <c r="A25" t="s">
        <v>22</v>
      </c>
      <c r="B25" s="1">
        <v>642570</v>
      </c>
      <c r="C25" s="1">
        <v>18656</v>
      </c>
      <c r="D25" s="1">
        <v>13626</v>
      </c>
      <c r="E25" s="5">
        <v>2.9</v>
      </c>
      <c r="F25" s="5">
        <v>2.1</v>
      </c>
      <c r="G25" s="5"/>
      <c r="L25" s="5">
        <f t="shared" si="0"/>
        <v>2.9033412702118055</v>
      </c>
      <c r="M25" s="5">
        <f t="shared" si="1"/>
        <v>2.1205471777393901</v>
      </c>
      <c r="R25" s="5">
        <f t="shared" si="2"/>
        <v>-3.3412702118056359E-3</v>
      </c>
      <c r="S25" s="5">
        <f t="shared" si="3"/>
        <v>-2.0547177739389966E-2</v>
      </c>
    </row>
    <row r="26" spans="1:19" x14ac:dyDescent="0.55000000000000004">
      <c r="A26" t="s">
        <v>23</v>
      </c>
      <c r="B26" s="1">
        <v>2314179</v>
      </c>
      <c r="C26" s="1">
        <v>117917</v>
      </c>
      <c r="D26" s="1">
        <v>111831</v>
      </c>
      <c r="E26" s="5">
        <v>5</v>
      </c>
      <c r="F26" s="5">
        <v>4.8</v>
      </c>
      <c r="G26" s="5"/>
      <c r="L26" s="5">
        <f t="shared" si="0"/>
        <v>5.0954139675452934</v>
      </c>
      <c r="M26" s="5">
        <f t="shared" si="1"/>
        <v>4.8324265322604694</v>
      </c>
      <c r="R26" s="5">
        <f t="shared" si="2"/>
        <v>-9.541396754529341E-2</v>
      </c>
      <c r="S26" s="5">
        <f t="shared" si="3"/>
        <v>-3.2426532260469543E-2</v>
      </c>
    </row>
    <row r="27" spans="1:19" x14ac:dyDescent="0.55000000000000004">
      <c r="A27" t="s">
        <v>24</v>
      </c>
      <c r="B27" s="1">
        <v>614711</v>
      </c>
      <c r="C27" s="1">
        <v>26518</v>
      </c>
      <c r="D27" s="1">
        <v>18388</v>
      </c>
      <c r="E27" s="5">
        <v>4.3</v>
      </c>
      <c r="F27" s="5">
        <v>2.9</v>
      </c>
      <c r="G27" s="5"/>
      <c r="L27" s="5">
        <f t="shared" si="0"/>
        <v>4.3138970996126638</v>
      </c>
      <c r="M27" s="5">
        <f t="shared" si="1"/>
        <v>2.9913243784477586</v>
      </c>
      <c r="R27" s="5">
        <f t="shared" si="2"/>
        <v>-1.3897099612663943E-2</v>
      </c>
      <c r="S27" s="5">
        <f t="shared" si="3"/>
        <v>-9.1324378447758647E-2</v>
      </c>
    </row>
    <row r="28" spans="1:19" x14ac:dyDescent="0.55000000000000004">
      <c r="A28" t="s">
        <v>116</v>
      </c>
      <c r="B28" s="1">
        <v>1173951</v>
      </c>
      <c r="C28" s="1">
        <v>37916</v>
      </c>
      <c r="D28" s="1">
        <v>27459</v>
      </c>
      <c r="E28" s="5">
        <v>3.2</v>
      </c>
      <c r="F28" s="5">
        <v>2.4</v>
      </c>
      <c r="G28" s="5"/>
      <c r="L28" s="5">
        <f t="shared" si="0"/>
        <v>3.2297770520234659</v>
      </c>
      <c r="M28" s="5">
        <f t="shared" si="1"/>
        <v>2.3390243715453201</v>
      </c>
      <c r="R28" s="5">
        <f t="shared" si="2"/>
        <v>-2.97770520234657E-2</v>
      </c>
      <c r="S28" s="5">
        <f t="shared" si="3"/>
        <v>6.0975628454679853E-2</v>
      </c>
    </row>
    <row r="29" spans="1:19" x14ac:dyDescent="0.55000000000000004">
      <c r="A29" t="s">
        <v>25</v>
      </c>
      <c r="B29" s="1">
        <v>546785</v>
      </c>
      <c r="C29" s="1">
        <v>21139</v>
      </c>
      <c r="D29" s="1">
        <v>18975</v>
      </c>
      <c r="E29" s="5">
        <v>3.8</v>
      </c>
      <c r="F29" s="5">
        <v>3.4</v>
      </c>
      <c r="G29" s="5"/>
      <c r="L29" s="5">
        <f t="shared" si="0"/>
        <v>3.8660533847856104</v>
      </c>
      <c r="M29" s="5">
        <f t="shared" si="1"/>
        <v>3.47028539553938</v>
      </c>
      <c r="R29" s="5">
        <f t="shared" si="2"/>
        <v>-6.6053384785610625E-2</v>
      </c>
      <c r="S29" s="5">
        <f t="shared" si="3"/>
        <v>-7.0285395539380069E-2</v>
      </c>
    </row>
    <row r="30" spans="1:19" x14ac:dyDescent="0.55000000000000004">
      <c r="A30" t="s">
        <v>26</v>
      </c>
      <c r="B30" s="1">
        <v>847907</v>
      </c>
      <c r="C30" s="1">
        <v>32709</v>
      </c>
      <c r="D30" s="1">
        <v>21208</v>
      </c>
      <c r="E30" s="5">
        <v>3.9</v>
      </c>
      <c r="F30" s="5">
        <v>2.7</v>
      </c>
      <c r="G30" s="5"/>
      <c r="L30" s="5">
        <f t="shared" si="0"/>
        <v>3.8576164602957634</v>
      </c>
      <c r="M30" s="5">
        <f t="shared" si="1"/>
        <v>2.5012177043001178</v>
      </c>
      <c r="R30" s="5">
        <f t="shared" si="2"/>
        <v>4.2383539704236473E-2</v>
      </c>
      <c r="S30" s="5">
        <f t="shared" si="3"/>
        <v>0.19878229569988237</v>
      </c>
    </row>
    <row r="31" spans="1:19" x14ac:dyDescent="0.55000000000000004">
      <c r="A31" t="s">
        <v>27</v>
      </c>
      <c r="B31" s="1">
        <v>1569342</v>
      </c>
      <c r="C31" s="1">
        <v>72649</v>
      </c>
      <c r="D31" s="1">
        <v>46828</v>
      </c>
      <c r="E31" s="5">
        <v>4.8</v>
      </c>
      <c r="F31" s="5">
        <v>2.7</v>
      </c>
      <c r="G31" s="5"/>
      <c r="L31" s="5">
        <f t="shared" si="0"/>
        <v>4.6292650040590262</v>
      </c>
      <c r="M31" s="5">
        <f t="shared" si="1"/>
        <v>2.9839257472239957</v>
      </c>
      <c r="R31" s="5">
        <f t="shared" si="2"/>
        <v>0.17073499594097363</v>
      </c>
      <c r="S31" s="5">
        <f t="shared" si="3"/>
        <v>-0.28392574722399555</v>
      </c>
    </row>
    <row r="32" spans="1:19" x14ac:dyDescent="0.55000000000000004">
      <c r="A32" t="s">
        <v>28</v>
      </c>
      <c r="B32" s="1">
        <v>1119752</v>
      </c>
      <c r="C32" s="1">
        <v>59846</v>
      </c>
      <c r="D32" s="1">
        <v>34239</v>
      </c>
      <c r="E32" s="5">
        <v>5.3</v>
      </c>
      <c r="F32" s="5">
        <v>3</v>
      </c>
      <c r="G32" s="5"/>
      <c r="L32" s="5">
        <f t="shared" si="0"/>
        <v>5.3445762990376444</v>
      </c>
      <c r="M32" s="5">
        <f t="shared" si="1"/>
        <v>3.0577306403560787</v>
      </c>
      <c r="R32" s="5">
        <f t="shared" si="2"/>
        <v>-4.4576299037644596E-2</v>
      </c>
      <c r="S32" s="5">
        <f t="shared" si="3"/>
        <v>-5.7730640356078666E-2</v>
      </c>
    </row>
    <row r="33" spans="1:19" x14ac:dyDescent="0.55000000000000004">
      <c r="A33" t="s">
        <v>132</v>
      </c>
      <c r="B33" s="1">
        <v>2137179</v>
      </c>
      <c r="C33" s="1">
        <v>93025</v>
      </c>
      <c r="D33" s="1">
        <v>98369</v>
      </c>
      <c r="E33" s="5">
        <v>2.2999999999999998</v>
      </c>
      <c r="F33" s="5">
        <v>2.4</v>
      </c>
      <c r="G33" s="5"/>
      <c r="L33" s="5">
        <f t="shared" si="0"/>
        <v>4.3527004523252382</v>
      </c>
      <c r="M33" s="5">
        <f t="shared" si="1"/>
        <v>4.6027496994870338</v>
      </c>
      <c r="R33" s="5">
        <f t="shared" si="2"/>
        <v>-2.0527004523252383</v>
      </c>
      <c r="S33" s="5">
        <f t="shared" si="3"/>
        <v>-2.2027496994870339</v>
      </c>
    </row>
    <row r="34" spans="1:19" x14ac:dyDescent="0.55000000000000004">
      <c r="A34" t="s">
        <v>29</v>
      </c>
      <c r="B34" s="1">
        <f>B33-B35</f>
        <v>1383016</v>
      </c>
      <c r="C34" s="1">
        <f>C33-C35</f>
        <v>60880</v>
      </c>
      <c r="D34" s="1">
        <f>D33-D35</f>
        <v>69054</v>
      </c>
      <c r="E34" s="5"/>
      <c r="F34" s="5"/>
      <c r="G34" s="5"/>
      <c r="L34" s="5"/>
      <c r="M34" s="5"/>
      <c r="R34" s="5"/>
      <c r="S34" s="5"/>
    </row>
    <row r="35" spans="1:19" x14ac:dyDescent="0.55000000000000004">
      <c r="A35" t="s">
        <v>30</v>
      </c>
      <c r="B35" s="1">
        <v>754163</v>
      </c>
      <c r="C35" s="1">
        <v>32145</v>
      </c>
      <c r="D35" s="1">
        <v>29315</v>
      </c>
      <c r="E35" s="5">
        <v>4.2</v>
      </c>
      <c r="F35" s="5">
        <v>3.7</v>
      </c>
      <c r="G35" s="5"/>
      <c r="L35" s="5">
        <f t="shared" si="0"/>
        <v>4.2623411649736198</v>
      </c>
      <c r="M35" s="5">
        <f t="shared" si="1"/>
        <v>3.887090721767045</v>
      </c>
      <c r="R35" s="5">
        <f t="shared" si="2"/>
        <v>-6.2341164973619634E-2</v>
      </c>
      <c r="S35" s="5">
        <f t="shared" si="3"/>
        <v>-0.18709072176704478</v>
      </c>
    </row>
    <row r="36" spans="1:19" x14ac:dyDescent="0.55000000000000004">
      <c r="A36" t="s">
        <v>31</v>
      </c>
      <c r="B36" s="1">
        <v>1427893</v>
      </c>
      <c r="C36" s="1">
        <v>82096</v>
      </c>
      <c r="D36" s="1">
        <v>66223</v>
      </c>
      <c r="E36" s="5">
        <v>5.7</v>
      </c>
      <c r="F36" s="5">
        <v>4.2</v>
      </c>
      <c r="G36" s="5"/>
      <c r="L36" s="5">
        <f t="shared" si="0"/>
        <v>5.7494504140016094</v>
      </c>
      <c r="M36" s="5">
        <f t="shared" si="1"/>
        <v>4.6378124971548988</v>
      </c>
      <c r="R36" s="5">
        <f t="shared" si="2"/>
        <v>-4.9450414001609211E-2</v>
      </c>
      <c r="S36" s="5">
        <f t="shared" si="3"/>
        <v>-0.43781249715489867</v>
      </c>
    </row>
    <row r="37" spans="1:19" x14ac:dyDescent="0.55000000000000004">
      <c r="A37" t="s">
        <v>32</v>
      </c>
      <c r="B37" s="1">
        <v>1127881</v>
      </c>
      <c r="C37" s="1">
        <v>46910</v>
      </c>
      <c r="D37" s="1">
        <v>38313</v>
      </c>
      <c r="E37" s="5">
        <v>4.0999999999999996</v>
      </c>
      <c r="F37" s="5">
        <v>3.4</v>
      </c>
      <c r="G37" s="5"/>
      <c r="L37" s="5">
        <f t="shared" si="0"/>
        <v>4.1591267163823131</v>
      </c>
      <c r="M37" s="5">
        <f t="shared" si="1"/>
        <v>3.3969009141921886</v>
      </c>
      <c r="R37" s="5">
        <f t="shared" si="2"/>
        <v>-5.9126716382313482E-2</v>
      </c>
      <c r="S37" s="5">
        <f t="shared" si="3"/>
        <v>3.0990858078112637E-3</v>
      </c>
    </row>
    <row r="38" spans="1:19" x14ac:dyDescent="0.55000000000000004">
      <c r="A38" t="s">
        <v>33</v>
      </c>
      <c r="B38" s="1">
        <v>327323</v>
      </c>
      <c r="C38" s="1">
        <v>15478</v>
      </c>
      <c r="D38" s="1">
        <v>12417</v>
      </c>
      <c r="E38" s="5">
        <v>4.5999999999999996</v>
      </c>
      <c r="F38" s="5">
        <v>3.7</v>
      </c>
      <c r="G38" s="5"/>
      <c r="L38" s="5">
        <f t="shared" si="0"/>
        <v>4.7286625137860767</v>
      </c>
      <c r="M38" s="5">
        <f t="shared" si="1"/>
        <v>3.7935006094897088</v>
      </c>
      <c r="R38" s="5">
        <f t="shared" si="2"/>
        <v>-0.12866251378607707</v>
      </c>
      <c r="S38" s="5">
        <f t="shared" si="3"/>
        <v>-9.3500609489708619E-2</v>
      </c>
    </row>
    <row r="39" spans="1:19" x14ac:dyDescent="0.55000000000000004">
      <c r="A39" t="s">
        <v>34</v>
      </c>
      <c r="B39" s="1">
        <v>1196133</v>
      </c>
      <c r="C39" s="1">
        <v>76393</v>
      </c>
      <c r="D39" s="1">
        <v>55766</v>
      </c>
      <c r="E39" s="5">
        <v>6.3</v>
      </c>
      <c r="F39" s="5">
        <v>4.7</v>
      </c>
      <c r="G39" s="5"/>
      <c r="L39" s="5">
        <f t="shared" si="0"/>
        <v>6.3866643592309549</v>
      </c>
      <c r="M39" s="5">
        <f t="shared" si="1"/>
        <v>4.6621905757971733</v>
      </c>
      <c r="R39" s="5">
        <f t="shared" si="2"/>
        <v>-8.6664359230955057E-2</v>
      </c>
      <c r="S39" s="5">
        <f t="shared" si="3"/>
        <v>3.7809424202826847E-2</v>
      </c>
    </row>
    <row r="40" spans="1:19" x14ac:dyDescent="0.55000000000000004">
      <c r="A40" t="s">
        <v>35</v>
      </c>
      <c r="B40" s="1">
        <v>1892932</v>
      </c>
      <c r="C40" s="1">
        <v>101030</v>
      </c>
      <c r="D40" s="1">
        <v>88124</v>
      </c>
      <c r="E40" s="5">
        <v>5.3</v>
      </c>
      <c r="F40" s="5">
        <v>4.0999999999999996</v>
      </c>
      <c r="G40" s="5"/>
      <c r="L40" s="5">
        <f t="shared" si="0"/>
        <v>5.3372228902041909</v>
      </c>
      <c r="M40" s="5">
        <f t="shared" si="1"/>
        <v>4.6554234383485511</v>
      </c>
      <c r="R40" s="5">
        <f t="shared" si="2"/>
        <v>-3.7222890204191117E-2</v>
      </c>
      <c r="S40" s="5">
        <f t="shared" si="3"/>
        <v>-0.55542343834855146</v>
      </c>
    </row>
    <row r="41" spans="1:19" x14ac:dyDescent="0.55000000000000004">
      <c r="A41" t="s">
        <v>36</v>
      </c>
      <c r="B41" s="1">
        <v>1382732</v>
      </c>
      <c r="C41" s="1">
        <v>79393</v>
      </c>
      <c r="D41" s="1">
        <v>64877</v>
      </c>
      <c r="E41" s="5">
        <v>5.7</v>
      </c>
      <c r="F41" s="5">
        <v>4.7</v>
      </c>
      <c r="G41" s="5"/>
      <c r="L41" s="5">
        <f t="shared" si="0"/>
        <v>5.7417489433961171</v>
      </c>
      <c r="M41" s="5">
        <f t="shared" si="1"/>
        <v>4.6919431965124119</v>
      </c>
      <c r="R41" s="5">
        <f t="shared" si="2"/>
        <v>-4.17489433961169E-2</v>
      </c>
      <c r="S41" s="5">
        <f t="shared" si="3"/>
        <v>8.0568034875883043E-3</v>
      </c>
    </row>
    <row r="42" spans="1:19" x14ac:dyDescent="0.55000000000000004">
      <c r="A42" t="s">
        <v>37</v>
      </c>
      <c r="B42" s="1">
        <v>2539874</v>
      </c>
      <c r="C42" s="1">
        <v>148538</v>
      </c>
      <c r="D42" s="1">
        <v>113033</v>
      </c>
      <c r="E42" s="5">
        <v>5.8</v>
      </c>
      <c r="F42" s="5">
        <v>4.4000000000000004</v>
      </c>
      <c r="G42" s="5"/>
      <c r="L42" s="5">
        <f t="shared" si="0"/>
        <v>5.8482428655909704</v>
      </c>
      <c r="M42" s="5">
        <f t="shared" si="1"/>
        <v>4.4503388750780548</v>
      </c>
      <c r="R42" s="5">
        <f t="shared" si="2"/>
        <v>-4.8242865590970574E-2</v>
      </c>
      <c r="S42" s="5">
        <f t="shared" si="3"/>
        <v>-5.0338875078054457E-2</v>
      </c>
    </row>
    <row r="43" spans="1:19" x14ac:dyDescent="0.55000000000000004">
      <c r="A43" t="s">
        <v>38</v>
      </c>
      <c r="B43" s="1">
        <v>850448</v>
      </c>
      <c r="C43" s="1">
        <v>35345</v>
      </c>
      <c r="D43" s="1">
        <v>23763</v>
      </c>
      <c r="E43" s="5">
        <v>4.3</v>
      </c>
      <c r="F43" s="5">
        <v>2.8</v>
      </c>
      <c r="G43" s="5"/>
      <c r="L43" s="5">
        <f t="shared" si="0"/>
        <v>4.15604481402743</v>
      </c>
      <c r="M43" s="5">
        <f t="shared" si="1"/>
        <v>2.7941743645702029</v>
      </c>
      <c r="R43" s="5">
        <f t="shared" si="2"/>
        <v>0.14395518597256984</v>
      </c>
      <c r="S43" s="5">
        <f t="shared" si="3"/>
        <v>5.8256354297969715E-3</v>
      </c>
    </row>
    <row r="44" spans="1:19" x14ac:dyDescent="0.55000000000000004">
      <c r="A44" t="s">
        <v>39</v>
      </c>
      <c r="B44" s="1">
        <v>530099</v>
      </c>
      <c r="C44" s="1">
        <v>22718</v>
      </c>
      <c r="D44" s="1">
        <v>14890</v>
      </c>
      <c r="E44" s="5">
        <v>4.2</v>
      </c>
      <c r="F44" s="5">
        <v>2.7</v>
      </c>
      <c r="G44" s="5"/>
      <c r="L44" s="5">
        <f t="shared" si="0"/>
        <v>4.2856145738814826</v>
      </c>
      <c r="M44" s="5">
        <f t="shared" si="1"/>
        <v>2.80890927921011</v>
      </c>
      <c r="R44" s="5">
        <f t="shared" si="2"/>
        <v>-8.5614573881482414E-2</v>
      </c>
      <c r="S44" s="5">
        <f t="shared" si="3"/>
        <v>-0.10890927921010984</v>
      </c>
    </row>
    <row r="45" spans="1:19" x14ac:dyDescent="0.55000000000000004">
      <c r="A45" t="s">
        <v>40</v>
      </c>
      <c r="B45" s="1">
        <v>2276518</v>
      </c>
      <c r="C45" s="1">
        <v>119826</v>
      </c>
      <c r="D45" s="1">
        <v>85050</v>
      </c>
      <c r="E45" s="5">
        <v>5.2</v>
      </c>
      <c r="F45" s="5">
        <v>3.8</v>
      </c>
      <c r="G45" s="5"/>
      <c r="L45" s="5">
        <f t="shared" si="0"/>
        <v>5.2635647950071114</v>
      </c>
      <c r="M45" s="5">
        <f t="shared" si="1"/>
        <v>3.7359687030807573</v>
      </c>
      <c r="R45" s="5">
        <f t="shared" si="2"/>
        <v>-6.3564795007111208E-2</v>
      </c>
      <c r="S45" s="5">
        <f t="shared" si="3"/>
        <v>6.4031296919242475E-2</v>
      </c>
    </row>
    <row r="46" spans="1:19" x14ac:dyDescent="0.55000000000000004">
      <c r="A46" t="s">
        <v>41</v>
      </c>
      <c r="B46" s="1">
        <v>2473958</v>
      </c>
      <c r="C46" s="1">
        <v>125247</v>
      </c>
      <c r="D46" s="1">
        <v>88318</v>
      </c>
      <c r="E46" s="5">
        <v>5</v>
      </c>
      <c r="F46" s="5">
        <v>3.6</v>
      </c>
      <c r="G46" s="5"/>
      <c r="L46" s="5">
        <f t="shared" si="0"/>
        <v>5.0626162610682961</v>
      </c>
      <c r="M46" s="5">
        <f t="shared" si="1"/>
        <v>3.5699070073137862</v>
      </c>
      <c r="R46" s="5">
        <f t="shared" si="2"/>
        <v>-6.2616261068296097E-2</v>
      </c>
      <c r="S46" s="5">
        <f t="shared" si="3"/>
        <v>3.0092992686213904E-2</v>
      </c>
    </row>
    <row r="47" spans="1:19" x14ac:dyDescent="0.55000000000000004">
      <c r="A47" t="s">
        <v>42</v>
      </c>
      <c r="B47" s="1">
        <v>894712</v>
      </c>
      <c r="C47" s="1">
        <v>43794</v>
      </c>
      <c r="D47" s="1">
        <v>33916</v>
      </c>
      <c r="E47" s="5">
        <v>4.9000000000000004</v>
      </c>
      <c r="F47" s="5">
        <v>3.8</v>
      </c>
      <c r="G47" s="5"/>
      <c r="L47" s="5">
        <f t="shared" si="0"/>
        <v>4.8947594309677305</v>
      </c>
      <c r="M47" s="5">
        <f t="shared" si="1"/>
        <v>3.7907170128488272</v>
      </c>
      <c r="R47" s="5">
        <f t="shared" si="2"/>
        <v>5.2405690322698817E-3</v>
      </c>
      <c r="S47" s="5">
        <f t="shared" si="3"/>
        <v>9.2829871511725948E-3</v>
      </c>
    </row>
    <row r="48" spans="1:19" x14ac:dyDescent="0.55000000000000004">
      <c r="A48" t="s">
        <v>43</v>
      </c>
      <c r="B48" s="1">
        <v>644827</v>
      </c>
      <c r="C48" s="1">
        <v>27723</v>
      </c>
      <c r="D48" s="1">
        <v>16142</v>
      </c>
      <c r="E48" s="5">
        <v>4.3</v>
      </c>
      <c r="F48" s="5">
        <v>2.5</v>
      </c>
      <c r="G48" s="5"/>
      <c r="L48" s="5">
        <f t="shared" si="0"/>
        <v>4.2992926785013656</v>
      </c>
      <c r="M48" s="5">
        <f t="shared" si="1"/>
        <v>2.5033070885679414</v>
      </c>
      <c r="R48" s="5">
        <f t="shared" si="2"/>
        <v>7.0732149863417249E-4</v>
      </c>
      <c r="S48" s="5">
        <f t="shared" si="3"/>
        <v>-3.3070885679413742E-3</v>
      </c>
    </row>
    <row r="49" spans="1:19" x14ac:dyDescent="0.55000000000000004">
      <c r="A49" t="s">
        <v>44</v>
      </c>
      <c r="B49" s="1">
        <v>1713581</v>
      </c>
      <c r="C49" s="1">
        <v>86484</v>
      </c>
      <c r="D49" s="1">
        <v>66430</v>
      </c>
      <c r="E49" s="5">
        <v>5.0999999999999996</v>
      </c>
      <c r="F49" s="5">
        <v>3.8</v>
      </c>
      <c r="G49" s="5"/>
      <c r="L49" s="5">
        <f t="shared" si="0"/>
        <v>5.0469747271941037</v>
      </c>
      <c r="M49" s="5">
        <f t="shared" si="1"/>
        <v>3.8766769706246742</v>
      </c>
      <c r="R49" s="5">
        <f t="shared" si="2"/>
        <v>5.3025272805895973E-2</v>
      </c>
      <c r="S49" s="5">
        <f t="shared" si="3"/>
        <v>-7.6676970624674379E-2</v>
      </c>
    </row>
    <row r="50" spans="1:19" x14ac:dyDescent="0.55000000000000004">
      <c r="A50" t="s">
        <v>45</v>
      </c>
      <c r="B50" s="1">
        <v>2224093</v>
      </c>
      <c r="C50" s="1">
        <v>139393</v>
      </c>
      <c r="D50" s="1">
        <v>103318</v>
      </c>
      <c r="E50" s="5">
        <v>5.8</v>
      </c>
      <c r="F50" s="5">
        <v>4.5999999999999996</v>
      </c>
      <c r="G50" s="5"/>
      <c r="L50" s="5">
        <f t="shared" si="0"/>
        <v>6.2674087819169433</v>
      </c>
      <c r="M50" s="5">
        <f t="shared" si="1"/>
        <v>4.6453992706240248</v>
      </c>
      <c r="R50" s="5">
        <f t="shared" si="2"/>
        <v>-0.46740878191694346</v>
      </c>
      <c r="S50" s="5">
        <f t="shared" si="3"/>
        <v>-4.5399270624025156E-2</v>
      </c>
    </row>
    <row r="51" spans="1:19" x14ac:dyDescent="0.55000000000000004">
      <c r="A51" t="s">
        <v>131</v>
      </c>
      <c r="B51" s="1">
        <v>1622768</v>
      </c>
      <c r="C51" s="1">
        <v>58253</v>
      </c>
      <c r="D51" s="1">
        <v>65067</v>
      </c>
      <c r="E51" s="5">
        <v>3.5</v>
      </c>
      <c r="F51" s="5">
        <v>4</v>
      </c>
      <c r="G51" s="5"/>
      <c r="L51" s="5">
        <f t="shared" si="0"/>
        <v>3.5897306330911136</v>
      </c>
      <c r="M51" s="5">
        <f t="shared" si="1"/>
        <v>4.0096304585744846</v>
      </c>
      <c r="R51" s="5">
        <f t="shared" si="2"/>
        <v>-8.9730633091113621E-2</v>
      </c>
      <c r="S51" s="5">
        <f t="shared" si="3"/>
        <v>-9.6304585744846349E-3</v>
      </c>
    </row>
    <row r="52" spans="1:19" x14ac:dyDescent="0.55000000000000004">
      <c r="A52" t="s">
        <v>46</v>
      </c>
      <c r="B52" s="1">
        <f>B51-B53</f>
        <v>761465</v>
      </c>
      <c r="C52" s="1">
        <f>C51-C53</f>
        <v>30711</v>
      </c>
      <c r="D52" s="1">
        <f>D51-D53</f>
        <v>34247</v>
      </c>
      <c r="E52" s="5"/>
      <c r="F52" s="5"/>
      <c r="G52" s="5"/>
      <c r="L52" s="5"/>
      <c r="M52" s="5"/>
      <c r="R52" s="5"/>
      <c r="S52" s="5"/>
    </row>
    <row r="53" spans="1:19" x14ac:dyDescent="0.55000000000000004">
      <c r="A53" t="s">
        <v>47</v>
      </c>
      <c r="B53" s="1">
        <v>861303</v>
      </c>
      <c r="C53" s="1">
        <v>27542</v>
      </c>
      <c r="D53" s="1">
        <v>30820</v>
      </c>
      <c r="E53" s="5">
        <v>3.2</v>
      </c>
      <c r="F53" s="5">
        <v>3.6</v>
      </c>
      <c r="G53" s="5"/>
      <c r="L53" s="5">
        <f t="shared" si="0"/>
        <v>3.1977132321610395</v>
      </c>
      <c r="M53" s="5">
        <f t="shared" si="1"/>
        <v>3.5782993905745131</v>
      </c>
      <c r="R53" s="5">
        <f t="shared" si="2"/>
        <v>2.2867678389606461E-3</v>
      </c>
      <c r="S53" s="5">
        <f t="shared" si="3"/>
        <v>2.1700609425487016E-2</v>
      </c>
    </row>
    <row r="54" spans="1:19" x14ac:dyDescent="0.55000000000000004">
      <c r="A54" t="s">
        <v>103</v>
      </c>
      <c r="B54" s="1">
        <v>66713</v>
      </c>
      <c r="D54" s="1">
        <v>2132</v>
      </c>
      <c r="E54" s="5"/>
      <c r="F54" s="5"/>
      <c r="G54" s="5" t="s">
        <v>130</v>
      </c>
      <c r="L54" s="5">
        <f>100*D54/B54</f>
        <v>3.1957789336411193</v>
      </c>
      <c r="M54" s="5"/>
      <c r="R54" s="5"/>
      <c r="S54" s="5"/>
    </row>
    <row r="55" spans="1:19" x14ac:dyDescent="0.55000000000000004">
      <c r="A55" t="s">
        <v>48</v>
      </c>
      <c r="B55" s="1">
        <v>2113077</v>
      </c>
      <c r="C55" s="1">
        <v>109336</v>
      </c>
      <c r="D55" s="1">
        <v>89531</v>
      </c>
      <c r="E55" s="5">
        <v>5.2</v>
      </c>
      <c r="F55" s="5">
        <v>4.0999999999999996</v>
      </c>
      <c r="G55" s="5"/>
      <c r="L55" s="5">
        <f t="shared" si="0"/>
        <v>5.1742553631505146</v>
      </c>
      <c r="M55" s="5">
        <f t="shared" si="1"/>
        <v>4.2369965694577152</v>
      </c>
      <c r="R55" s="5">
        <f t="shared" si="2"/>
        <v>2.574463684948558E-2</v>
      </c>
      <c r="S55" s="5">
        <f t="shared" si="3"/>
        <v>-0.13699656945771554</v>
      </c>
    </row>
    <row r="56" spans="1:19" x14ac:dyDescent="0.55000000000000004">
      <c r="A56" t="s">
        <v>49</v>
      </c>
      <c r="B56" s="1">
        <v>1471164</v>
      </c>
      <c r="C56" s="1">
        <v>72513</v>
      </c>
      <c r="D56" s="1">
        <v>61648</v>
      </c>
      <c r="E56" s="5">
        <v>4.9000000000000004</v>
      </c>
      <c r="F56" s="5">
        <v>4.0999999999999996</v>
      </c>
      <c r="G56" s="5"/>
      <c r="L56" s="5">
        <f t="shared" si="0"/>
        <v>4.9289542158454118</v>
      </c>
      <c r="M56" s="5">
        <f t="shared" si="1"/>
        <v>4.1904233654439613</v>
      </c>
      <c r="R56" s="5">
        <f t="shared" si="2"/>
        <v>-2.8954215845411468E-2</v>
      </c>
      <c r="S56" s="5">
        <f t="shared" si="3"/>
        <v>-9.0423365443961679E-2</v>
      </c>
    </row>
    <row r="57" spans="1:19" x14ac:dyDescent="0.55000000000000004">
      <c r="A57" t="s">
        <v>50</v>
      </c>
      <c r="B57" s="1">
        <v>1941172</v>
      </c>
      <c r="C57" s="1">
        <v>68952</v>
      </c>
      <c r="D57" s="1">
        <v>54221</v>
      </c>
      <c r="E57" s="5">
        <v>3.8</v>
      </c>
      <c r="F57" s="5">
        <v>2.9</v>
      </c>
      <c r="G57" s="5"/>
      <c r="L57" s="5">
        <f t="shared" si="0"/>
        <v>3.5520809078226967</v>
      </c>
      <c r="M57" s="5">
        <f t="shared" si="1"/>
        <v>2.7932094631490667</v>
      </c>
      <c r="R57" s="5">
        <f t="shared" si="2"/>
        <v>0.24791909217730312</v>
      </c>
      <c r="S57" s="5">
        <f t="shared" si="3"/>
        <v>0.1067905368509332</v>
      </c>
    </row>
    <row r="58" spans="1:19" x14ac:dyDescent="0.55000000000000004">
      <c r="A58" t="s">
        <v>51</v>
      </c>
      <c r="B58" s="1">
        <v>607100</v>
      </c>
      <c r="C58" s="1">
        <v>17692</v>
      </c>
      <c r="D58" s="1">
        <v>13248</v>
      </c>
      <c r="E58" s="5">
        <v>2.9</v>
      </c>
      <c r="F58" s="5">
        <v>2.1</v>
      </c>
      <c r="G58" s="5"/>
      <c r="L58" s="5">
        <f t="shared" si="0"/>
        <v>2.914182177565475</v>
      </c>
      <c r="M58" s="5">
        <f t="shared" si="1"/>
        <v>2.18217756547521</v>
      </c>
      <c r="R58" s="5">
        <f t="shared" si="2"/>
        <v>-1.4182177565475129E-2</v>
      </c>
      <c r="S58" s="5">
        <f t="shared" si="3"/>
        <v>-8.2177565475209935E-2</v>
      </c>
    </row>
    <row r="59" spans="1:19" x14ac:dyDescent="0.55000000000000004">
      <c r="A59" t="s">
        <v>52</v>
      </c>
      <c r="B59" s="1">
        <v>616649</v>
      </c>
      <c r="C59" s="1">
        <v>20149</v>
      </c>
      <c r="D59" s="1">
        <v>15485</v>
      </c>
      <c r="E59" s="5">
        <v>3.2</v>
      </c>
      <c r="F59" s="5">
        <v>2.4</v>
      </c>
      <c r="G59" s="5"/>
      <c r="L59" s="5">
        <f t="shared" si="0"/>
        <v>3.2674990148366412</v>
      </c>
      <c r="M59" s="5">
        <f t="shared" si="1"/>
        <v>2.5111530222217175</v>
      </c>
      <c r="R59" s="5">
        <f t="shared" si="2"/>
        <v>-6.7499014836641003E-2</v>
      </c>
      <c r="S59" s="5">
        <f t="shared" si="3"/>
        <v>-0.11115302222171763</v>
      </c>
    </row>
    <row r="60" spans="1:19" x14ac:dyDescent="0.55000000000000004">
      <c r="A60" t="s">
        <v>53</v>
      </c>
      <c r="B60" s="1">
        <v>881779</v>
      </c>
      <c r="C60" s="1">
        <v>45789</v>
      </c>
      <c r="D60" s="1">
        <v>23444</v>
      </c>
      <c r="E60" s="5">
        <v>5.0999999999999996</v>
      </c>
      <c r="F60" s="5">
        <v>2.6</v>
      </c>
      <c r="G60" s="5"/>
      <c r="L60" s="5">
        <f t="shared" si="0"/>
        <v>5.1927977418378077</v>
      </c>
      <c r="M60" s="5">
        <f t="shared" si="1"/>
        <v>2.6587160728481853</v>
      </c>
      <c r="R60" s="5">
        <f t="shared" si="2"/>
        <v>-9.279774183780809E-2</v>
      </c>
      <c r="S60" s="5">
        <f t="shared" si="3"/>
        <v>-5.8716072848185252E-2</v>
      </c>
    </row>
    <row r="61" spans="1:19" x14ac:dyDescent="0.55000000000000004">
      <c r="A61" t="s">
        <v>54</v>
      </c>
      <c r="B61" s="1">
        <v>2490313</v>
      </c>
      <c r="C61" s="1">
        <v>126161</v>
      </c>
      <c r="D61" s="1">
        <v>102526</v>
      </c>
      <c r="E61" s="5">
        <v>5</v>
      </c>
      <c r="F61" s="5">
        <v>4.0999999999999996</v>
      </c>
      <c r="G61" s="5"/>
      <c r="L61" s="5">
        <f t="shared" si="0"/>
        <v>5.0660700080672587</v>
      </c>
      <c r="M61" s="5">
        <f t="shared" si="1"/>
        <v>4.1169925226266741</v>
      </c>
      <c r="R61" s="5">
        <f t="shared" si="2"/>
        <v>-6.6070008067258712E-2</v>
      </c>
      <c r="S61" s="5">
        <f t="shared" si="3"/>
        <v>-1.69925226266745E-2</v>
      </c>
    </row>
    <row r="62" spans="1:19" x14ac:dyDescent="0.55000000000000004">
      <c r="A62" t="s">
        <v>55</v>
      </c>
      <c r="B62" s="1">
        <v>1617685</v>
      </c>
      <c r="C62" s="1">
        <v>79477</v>
      </c>
      <c r="D62" s="1">
        <v>64292</v>
      </c>
      <c r="E62" s="5">
        <v>4.9000000000000004</v>
      </c>
      <c r="F62" s="5">
        <v>3.9</v>
      </c>
      <c r="G62" s="5"/>
      <c r="L62" s="5">
        <f t="shared" si="0"/>
        <v>4.9130084039847066</v>
      </c>
      <c r="M62" s="5">
        <f t="shared" si="1"/>
        <v>3.9743213295542703</v>
      </c>
      <c r="R62" s="5">
        <f t="shared" si="2"/>
        <v>-1.3008403984706263E-2</v>
      </c>
      <c r="S62" s="5">
        <f t="shared" si="3"/>
        <v>-7.4321329554270399E-2</v>
      </c>
    </row>
    <row r="63" spans="1:19" x14ac:dyDescent="0.55000000000000004">
      <c r="A63" t="s">
        <v>56</v>
      </c>
      <c r="B63" s="1">
        <v>1248755</v>
      </c>
      <c r="C63" s="1">
        <v>69542</v>
      </c>
      <c r="D63" s="1">
        <v>50718</v>
      </c>
      <c r="E63" s="5">
        <v>5.5</v>
      </c>
      <c r="F63" s="5">
        <v>4.0999999999999996</v>
      </c>
      <c r="G63" s="5"/>
      <c r="L63" s="5">
        <f t="shared" si="0"/>
        <v>5.5689066310044808</v>
      </c>
      <c r="M63" s="5">
        <f t="shared" si="1"/>
        <v>4.0614852392983414</v>
      </c>
      <c r="R63" s="5">
        <f t="shared" si="2"/>
        <v>-6.8906631004480801E-2</v>
      </c>
      <c r="S63" s="5">
        <f t="shared" si="3"/>
        <v>3.8514760701658268E-2</v>
      </c>
    </row>
    <row r="64" spans="1:19" x14ac:dyDescent="0.55000000000000004">
      <c r="A64" t="s">
        <v>57</v>
      </c>
      <c r="B64" s="1">
        <v>1078080</v>
      </c>
      <c r="C64" s="1">
        <v>57466</v>
      </c>
      <c r="D64" s="9">
        <v>33842</v>
      </c>
      <c r="E64" s="6" t="s">
        <v>87</v>
      </c>
      <c r="F64" s="6" t="s">
        <v>87</v>
      </c>
      <c r="G64" s="6"/>
      <c r="L64" s="5">
        <f t="shared" si="0"/>
        <v>5.3304021964974773</v>
      </c>
      <c r="M64" s="5">
        <f t="shared" si="1"/>
        <v>3.1390991392104484</v>
      </c>
      <c r="R64" s="5"/>
      <c r="S64" s="5"/>
    </row>
    <row r="65" spans="1:22" x14ac:dyDescent="0.55000000000000004">
      <c r="A65" t="s">
        <v>58</v>
      </c>
      <c r="B65" s="1">
        <v>1340866</v>
      </c>
      <c r="C65" s="1">
        <v>74348</v>
      </c>
      <c r="D65" s="1">
        <v>64701</v>
      </c>
      <c r="E65" s="5">
        <v>5.5</v>
      </c>
      <c r="F65" s="5">
        <v>4.8</v>
      </c>
      <c r="G65" s="5"/>
      <c r="L65" s="5">
        <f t="shared" si="0"/>
        <v>5.5447747947967958</v>
      </c>
      <c r="M65" s="5">
        <f t="shared" si="1"/>
        <v>4.8253143863741794</v>
      </c>
      <c r="R65" s="5">
        <f t="shared" si="2"/>
        <v>-4.4774794796795803E-2</v>
      </c>
      <c r="S65" s="5">
        <f t="shared" si="3"/>
        <v>-2.5314386374179598E-2</v>
      </c>
    </row>
    <row r="66" spans="1:22" x14ac:dyDescent="0.55000000000000004">
      <c r="A66" t="s">
        <v>59</v>
      </c>
      <c r="B66" s="1">
        <v>1771988</v>
      </c>
      <c r="C66" s="1">
        <v>90205</v>
      </c>
      <c r="D66" s="1">
        <v>54983</v>
      </c>
      <c r="E66" s="5">
        <v>5</v>
      </c>
      <c r="F66" s="5">
        <v>3.1</v>
      </c>
      <c r="G66" s="5"/>
      <c r="L66" s="5">
        <f t="shared" si="0"/>
        <v>5.0906100944250188</v>
      </c>
      <c r="M66" s="5">
        <f t="shared" si="1"/>
        <v>3.1028991166983073</v>
      </c>
      <c r="R66" s="5">
        <f t="shared" si="2"/>
        <v>-9.0610094425018772E-2</v>
      </c>
      <c r="S66" s="5">
        <f t="shared" si="3"/>
        <v>-2.8991166983072247E-3</v>
      </c>
    </row>
    <row r="67" spans="1:22" x14ac:dyDescent="0.55000000000000004">
      <c r="A67" t="s">
        <v>60</v>
      </c>
      <c r="B67" s="1">
        <v>2160263</v>
      </c>
      <c r="C67" s="1">
        <v>100230</v>
      </c>
      <c r="D67" s="1">
        <v>64226</v>
      </c>
      <c r="E67" s="5">
        <v>4.5999999999999996</v>
      </c>
      <c r="F67" s="5">
        <v>3</v>
      </c>
      <c r="G67" s="5"/>
      <c r="L67" s="5">
        <f t="shared" si="0"/>
        <v>4.6397128497780136</v>
      </c>
      <c r="M67" s="5">
        <f t="shared" si="1"/>
        <v>2.9730639278643389</v>
      </c>
      <c r="R67" s="5">
        <f t="shared" si="2"/>
        <v>-3.9712849778013926E-2</v>
      </c>
      <c r="S67" s="5">
        <f t="shared" si="3"/>
        <v>2.6936072135661071E-2</v>
      </c>
    </row>
    <row r="68" spans="1:22" x14ac:dyDescent="0.55000000000000004">
      <c r="A68" t="s">
        <v>61</v>
      </c>
      <c r="B68" s="1">
        <v>1865164</v>
      </c>
      <c r="C68" s="1">
        <v>97198</v>
      </c>
      <c r="D68" s="1">
        <v>73082</v>
      </c>
      <c r="E68" s="5">
        <v>5.2</v>
      </c>
      <c r="F68" s="5">
        <v>3.9</v>
      </c>
      <c r="G68" s="5"/>
      <c r="L68" s="5">
        <f t="shared" si="0"/>
        <v>5.2112307550435242</v>
      </c>
      <c r="M68" s="5">
        <f t="shared" si="1"/>
        <v>3.9182613432384499</v>
      </c>
      <c r="R68" s="5">
        <f t="shared" si="2"/>
        <v>-1.1230755043523999E-2</v>
      </c>
      <c r="S68" s="5">
        <f t="shared" si="3"/>
        <v>-1.8261343238449967E-2</v>
      </c>
    </row>
    <row r="69" spans="1:22" x14ac:dyDescent="0.55000000000000004">
      <c r="A69" t="s">
        <v>62</v>
      </c>
      <c r="B69" s="1">
        <v>1970094</v>
      </c>
      <c r="C69" s="1">
        <v>94429</v>
      </c>
      <c r="D69" s="1">
        <v>70260</v>
      </c>
      <c r="E69" s="5">
        <v>4.7</v>
      </c>
      <c r="F69" s="5">
        <v>3.5</v>
      </c>
      <c r="G69" s="5"/>
      <c r="L69" s="5">
        <f t="shared" si="0"/>
        <v>4.793121546484584</v>
      </c>
      <c r="M69" s="5">
        <f t="shared" si="1"/>
        <v>3.5663272919972346</v>
      </c>
      <c r="R69" s="5">
        <f t="shared" si="2"/>
        <v>-9.3121546484583817E-2</v>
      </c>
      <c r="S69" s="5">
        <f t="shared" si="3"/>
        <v>-6.6327291997234639E-2</v>
      </c>
    </row>
    <row r="70" spans="1:22" x14ac:dyDescent="0.55000000000000004">
      <c r="A70" t="s">
        <v>63</v>
      </c>
      <c r="B70" s="1">
        <v>379875</v>
      </c>
      <c r="C70" s="1">
        <v>11558</v>
      </c>
      <c r="D70" s="1">
        <v>8855</v>
      </c>
      <c r="E70" s="5">
        <v>3</v>
      </c>
      <c r="F70" s="5">
        <v>2.2999999999999998</v>
      </c>
      <c r="G70" s="5"/>
      <c r="L70" s="5">
        <f t="shared" si="0"/>
        <v>3.0425797959855214</v>
      </c>
      <c r="M70" s="5">
        <f t="shared" si="1"/>
        <v>2.3310299440605462</v>
      </c>
      <c r="R70" s="5">
        <f t="shared" si="2"/>
        <v>-4.2579795985521418E-2</v>
      </c>
      <c r="S70" s="5">
        <f t="shared" si="3"/>
        <v>-3.1029944060546377E-2</v>
      </c>
    </row>
    <row r="71" spans="1:22" x14ac:dyDescent="0.55000000000000004">
      <c r="A71" t="s">
        <v>64</v>
      </c>
      <c r="B71" s="1">
        <v>1082782</v>
      </c>
      <c r="C71" s="1">
        <v>42877</v>
      </c>
      <c r="D71" s="1">
        <v>38213</v>
      </c>
      <c r="E71" s="5">
        <v>3.9</v>
      </c>
      <c r="F71" s="5">
        <v>3.5</v>
      </c>
      <c r="G71" s="5"/>
      <c r="L71" s="5">
        <f t="shared" ref="L71" si="4">100*C71/B71</f>
        <v>3.9598922036014637</v>
      </c>
      <c r="M71" s="5">
        <f t="shared" ref="M71" si="5">100*D71/B71</f>
        <v>3.5291499119859768</v>
      </c>
      <c r="R71" s="5">
        <f>E71-L71</f>
        <v>-5.9892203601463745E-2</v>
      </c>
      <c r="S71" s="5">
        <f>F71-M71</f>
        <v>-2.9149911985976829E-2</v>
      </c>
    </row>
    <row r="72" spans="1:22" x14ac:dyDescent="0.55000000000000004">
      <c r="A72" t="s">
        <v>65</v>
      </c>
      <c r="B72" s="1">
        <v>89221250</v>
      </c>
      <c r="C72" s="1">
        <v>4318346</v>
      </c>
      <c r="D72" s="1">
        <v>3340619</v>
      </c>
      <c r="E72" s="7">
        <v>4.79</v>
      </c>
      <c r="F72" s="7">
        <v>3.68</v>
      </c>
      <c r="G72" s="7"/>
      <c r="I72" s="10">
        <f>SUM(B3:B71)</f>
        <v>91364661</v>
      </c>
      <c r="J72" s="10">
        <f>SUM(C3:C71)</f>
        <v>4414128</v>
      </c>
      <c r="K72" s="10">
        <f>SUM(D3:D71)</f>
        <v>3448464</v>
      </c>
      <c r="L72" s="5">
        <f t="shared" ref="L72" si="6">100*C72/B72</f>
        <v>4.8400420303459102</v>
      </c>
      <c r="M72" s="5">
        <f t="shared" ref="M72" si="7">100*D72/B72</f>
        <v>3.744196589937935</v>
      </c>
      <c r="N72" s="1"/>
      <c r="O72" s="10">
        <f>B72-I72</f>
        <v>-2143411</v>
      </c>
      <c r="P72" s="10">
        <f>C72-J72</f>
        <v>-95782</v>
      </c>
      <c r="Q72" s="10">
        <f>D72-K72</f>
        <v>-107845</v>
      </c>
      <c r="R72" s="5">
        <f t="shared" ref="R72" si="8">E72-L72</f>
        <v>-5.0042030345910149E-2</v>
      </c>
      <c r="S72" s="5">
        <f t="shared" ref="S72" si="9">F72-M72</f>
        <v>-6.4196589937934867E-2</v>
      </c>
      <c r="V72" s="1"/>
    </row>
    <row r="74" spans="1:22" x14ac:dyDescent="0.55000000000000004">
      <c r="A74" t="s">
        <v>66</v>
      </c>
      <c r="B74" s="1">
        <v>472530</v>
      </c>
      <c r="C74" s="1">
        <v>13478</v>
      </c>
      <c r="D74" s="1">
        <v>11825</v>
      </c>
      <c r="E74" s="5">
        <v>2.9</v>
      </c>
      <c r="F74" s="5">
        <v>2.4</v>
      </c>
      <c r="G74" s="5"/>
      <c r="L74" s="5">
        <f t="shared" ref="L74:L83" si="10">100*C74/B74</f>
        <v>2.8523056737138384</v>
      </c>
      <c r="M74" s="5">
        <f t="shared" ref="M74:M83" si="11">100*D74/B74</f>
        <v>2.5024866146064801</v>
      </c>
      <c r="R74" s="5">
        <f t="shared" ref="R74:R83" si="12">E74-L74</f>
        <v>4.7694326286161548E-2</v>
      </c>
      <c r="S74" s="5">
        <f t="shared" ref="S74:S83" si="13">F74-M74</f>
        <v>-0.10248661460648023</v>
      </c>
    </row>
    <row r="75" spans="1:22" x14ac:dyDescent="0.55000000000000004">
      <c r="A75" t="s">
        <v>67</v>
      </c>
      <c r="B75" s="1">
        <v>42132</v>
      </c>
      <c r="C75" s="1">
        <v>2109</v>
      </c>
      <c r="D75" s="1">
        <v>1305</v>
      </c>
      <c r="E75" s="5">
        <v>4</v>
      </c>
      <c r="F75" s="5">
        <v>3</v>
      </c>
      <c r="G75" s="5"/>
      <c r="L75" s="5">
        <f t="shared" si="10"/>
        <v>5.0056963827969243</v>
      </c>
      <c r="M75" s="5">
        <f t="shared" si="11"/>
        <v>3.0974081458273997</v>
      </c>
      <c r="R75" s="5">
        <f t="shared" si="12"/>
        <v>-1.0056963827969243</v>
      </c>
      <c r="S75" s="5">
        <f t="shared" si="13"/>
        <v>-9.740814582739965E-2</v>
      </c>
    </row>
    <row r="76" spans="1:22" x14ac:dyDescent="0.55000000000000004">
      <c r="A76" t="s">
        <v>68</v>
      </c>
      <c r="B76" s="1">
        <v>1474133</v>
      </c>
      <c r="C76" s="1">
        <v>85159</v>
      </c>
      <c r="D76" s="1">
        <v>55955</v>
      </c>
      <c r="E76" s="5">
        <v>5.9</v>
      </c>
      <c r="F76" s="5">
        <v>3.8</v>
      </c>
      <c r="G76" s="5"/>
      <c r="L76" s="5">
        <f t="shared" si="10"/>
        <v>5.776887160113775</v>
      </c>
      <c r="M76" s="5">
        <f t="shared" si="11"/>
        <v>3.7957904748079039</v>
      </c>
      <c r="R76" s="5">
        <f t="shared" si="12"/>
        <v>0.12311283988622534</v>
      </c>
      <c r="S76" s="5">
        <f t="shared" si="13"/>
        <v>4.209525192095942E-3</v>
      </c>
    </row>
    <row r="77" spans="1:22" x14ac:dyDescent="0.55000000000000004">
      <c r="A77" t="s">
        <v>69</v>
      </c>
      <c r="B77" s="1">
        <v>74000</v>
      </c>
      <c r="C77" s="4" t="s">
        <v>87</v>
      </c>
      <c r="D77" s="4" t="s">
        <v>87</v>
      </c>
      <c r="E77" s="6" t="s">
        <v>87</v>
      </c>
      <c r="F77" s="6" t="s">
        <v>87</v>
      </c>
      <c r="G77" s="6"/>
      <c r="L77" s="5"/>
      <c r="M77" s="5"/>
      <c r="R77" s="5"/>
      <c r="S77" s="5"/>
    </row>
    <row r="78" spans="1:22" x14ac:dyDescent="0.55000000000000004">
      <c r="A78" t="s">
        <v>70</v>
      </c>
      <c r="B78" s="9">
        <v>534636</v>
      </c>
      <c r="C78" s="1">
        <v>10542</v>
      </c>
      <c r="D78" s="1">
        <v>8561</v>
      </c>
      <c r="E78" s="5">
        <v>1.9</v>
      </c>
      <c r="F78" s="5">
        <v>1.6</v>
      </c>
      <c r="G78" s="5"/>
      <c r="L78" s="5">
        <f t="shared" si="10"/>
        <v>1.9718088568671022</v>
      </c>
      <c r="M78" s="5">
        <f t="shared" si="11"/>
        <v>1.6012763824359002</v>
      </c>
      <c r="R78" s="5">
        <f t="shared" si="12"/>
        <v>-7.1808856867102255E-2</v>
      </c>
      <c r="S78" s="5">
        <f t="shared" si="13"/>
        <v>-1.2763824359001141E-3</v>
      </c>
    </row>
    <row r="79" spans="1:22" x14ac:dyDescent="0.55000000000000004">
      <c r="A79" t="s">
        <v>71</v>
      </c>
      <c r="B79" s="1">
        <v>684840</v>
      </c>
      <c r="C79" s="1">
        <v>19148</v>
      </c>
      <c r="D79" s="1">
        <v>12343</v>
      </c>
      <c r="E79" s="5">
        <v>2.8</v>
      </c>
      <c r="F79" s="5">
        <v>1.8</v>
      </c>
      <c r="G79" s="5"/>
      <c r="L79" s="5">
        <f t="shared" si="10"/>
        <v>2.7959815431341628</v>
      </c>
      <c r="M79" s="5">
        <f t="shared" si="11"/>
        <v>1.8023187897903159</v>
      </c>
      <c r="R79" s="5">
        <f t="shared" si="12"/>
        <v>4.0184568658370168E-3</v>
      </c>
      <c r="S79" s="5">
        <f t="shared" si="13"/>
        <v>-2.3187897903158561E-3</v>
      </c>
    </row>
    <row r="80" spans="1:22" x14ac:dyDescent="0.55000000000000004">
      <c r="A80" t="s">
        <v>72</v>
      </c>
      <c r="B80" s="1">
        <v>1109542</v>
      </c>
      <c r="C80" s="4" t="s">
        <v>87</v>
      </c>
      <c r="D80" s="4" t="s">
        <v>87</v>
      </c>
      <c r="E80" s="6" t="s">
        <v>87</v>
      </c>
      <c r="F80" s="6" t="s">
        <v>87</v>
      </c>
      <c r="G80" s="6"/>
      <c r="L80" s="5"/>
      <c r="M80" s="5"/>
      <c r="R80" s="5"/>
      <c r="S80" s="5"/>
    </row>
    <row r="81" spans="1:19" x14ac:dyDescent="0.55000000000000004">
      <c r="A81" t="s">
        <v>73</v>
      </c>
      <c r="B81" s="1">
        <v>320075</v>
      </c>
      <c r="C81" s="4" t="s">
        <v>87</v>
      </c>
      <c r="D81" s="4" t="s">
        <v>87</v>
      </c>
      <c r="E81" s="6" t="s">
        <v>87</v>
      </c>
      <c r="F81" s="6" t="s">
        <v>87</v>
      </c>
      <c r="G81" s="6"/>
      <c r="L81" s="5"/>
      <c r="M81" s="5"/>
      <c r="R81" s="5"/>
      <c r="S81" s="5"/>
    </row>
    <row r="82" spans="1:19" x14ac:dyDescent="0.55000000000000004">
      <c r="A82" t="s">
        <v>74</v>
      </c>
      <c r="B82" s="1">
        <v>532640</v>
      </c>
      <c r="C82" s="1">
        <v>4423</v>
      </c>
      <c r="D82" s="1">
        <v>3641</v>
      </c>
      <c r="E82" s="5">
        <v>0.8</v>
      </c>
      <c r="F82" s="5">
        <v>0.6</v>
      </c>
      <c r="G82" s="5"/>
      <c r="L82" s="5">
        <f t="shared" si="10"/>
        <v>0.83039200961249626</v>
      </c>
      <c r="M82" s="5">
        <f t="shared" si="11"/>
        <v>0.68357614899369179</v>
      </c>
      <c r="R82" s="5">
        <f t="shared" si="12"/>
        <v>-3.0392009612496218E-2</v>
      </c>
      <c r="S82" s="5">
        <f t="shared" si="13"/>
        <v>-8.3576148993691812E-2</v>
      </c>
    </row>
    <row r="83" spans="1:19" x14ac:dyDescent="0.55000000000000004">
      <c r="A83" t="s">
        <v>75</v>
      </c>
      <c r="B83" s="1">
        <v>800304</v>
      </c>
      <c r="C83" s="1">
        <v>26437</v>
      </c>
      <c r="D83" s="1">
        <v>18341</v>
      </c>
      <c r="E83" s="5">
        <v>3.3</v>
      </c>
      <c r="F83" s="5">
        <v>2.2000000000000002</v>
      </c>
      <c r="G83" s="5"/>
      <c r="L83" s="5">
        <f t="shared" si="10"/>
        <v>3.3033697195065876</v>
      </c>
      <c r="M83" s="5">
        <f t="shared" si="11"/>
        <v>2.291754133429297</v>
      </c>
      <c r="R83" s="5">
        <f t="shared" si="12"/>
        <v>-3.3697195065878205E-3</v>
      </c>
      <c r="S83" s="5">
        <f t="shared" si="13"/>
        <v>-9.1754133429296836E-2</v>
      </c>
    </row>
    <row r="84" spans="1:19" x14ac:dyDescent="0.55000000000000004">
      <c r="A84" t="s">
        <v>76</v>
      </c>
      <c r="B84" s="1">
        <v>247174</v>
      </c>
      <c r="C84" s="4" t="s">
        <v>87</v>
      </c>
      <c r="D84" s="4" t="s">
        <v>87</v>
      </c>
      <c r="E84" s="6" t="s">
        <v>87</v>
      </c>
      <c r="F84" s="6" t="s">
        <v>87</v>
      </c>
      <c r="G84" s="6"/>
      <c r="L84" s="5"/>
      <c r="M84" s="5"/>
      <c r="R84" s="5"/>
      <c r="S84" s="5"/>
    </row>
    <row r="85" spans="1:19" x14ac:dyDescent="0.55000000000000004">
      <c r="A85" t="s">
        <v>77</v>
      </c>
      <c r="B85" s="1">
        <v>6292006</v>
      </c>
      <c r="C85" s="1">
        <v>161296</v>
      </c>
      <c r="D85" s="1">
        <v>111971</v>
      </c>
      <c r="I85" s="10">
        <f>SUM(B74:B84)</f>
        <v>6292006</v>
      </c>
      <c r="J85" s="10">
        <f>SUM(C74:C84)</f>
        <v>161296</v>
      </c>
      <c r="K85" s="10">
        <f>SUM(D74:D84)</f>
        <v>111971</v>
      </c>
      <c r="L85" s="5"/>
      <c r="M85" s="5"/>
      <c r="N85" s="1"/>
      <c r="O85" s="1">
        <f>B85-I85</f>
        <v>0</v>
      </c>
      <c r="P85" s="1">
        <f>C85-J85</f>
        <v>0</v>
      </c>
      <c r="Q85" s="1">
        <f>D85-K85</f>
        <v>0</v>
      </c>
      <c r="R85" s="5"/>
      <c r="S85" s="5"/>
    </row>
    <row r="87" spans="1:19" x14ac:dyDescent="0.55000000000000004">
      <c r="A87" t="s">
        <v>78</v>
      </c>
      <c r="B87" s="1">
        <v>28622</v>
      </c>
      <c r="C87" s="1">
        <v>1332</v>
      </c>
      <c r="D87" s="1">
        <v>939</v>
      </c>
      <c r="G87" t="s">
        <v>53</v>
      </c>
    </row>
    <row r="88" spans="1:19" x14ac:dyDescent="0.55000000000000004">
      <c r="A88" t="s">
        <v>79</v>
      </c>
      <c r="B88" s="4" t="s">
        <v>87</v>
      </c>
      <c r="C88" s="1">
        <v>8868</v>
      </c>
      <c r="D88" s="1">
        <v>7733</v>
      </c>
      <c r="G88" t="s">
        <v>61</v>
      </c>
    </row>
    <row r="89" spans="1:19" x14ac:dyDescent="0.55000000000000004">
      <c r="A89" t="s">
        <v>80</v>
      </c>
      <c r="B89" s="1">
        <v>23194</v>
      </c>
      <c r="C89" s="1">
        <v>1007</v>
      </c>
      <c r="D89" s="1">
        <v>846</v>
      </c>
      <c r="G89" t="s">
        <v>53</v>
      </c>
    </row>
    <row r="90" spans="1:19" x14ac:dyDescent="0.55000000000000004">
      <c r="A90" t="s">
        <v>81</v>
      </c>
      <c r="B90" s="4" t="s">
        <v>87</v>
      </c>
      <c r="C90" s="1">
        <v>3259</v>
      </c>
      <c r="D90" s="1">
        <v>2256</v>
      </c>
      <c r="G90" t="s">
        <v>13</v>
      </c>
    </row>
    <row r="91" spans="1:19" x14ac:dyDescent="0.55000000000000004">
      <c r="A91" t="s">
        <v>88</v>
      </c>
      <c r="B91" s="1">
        <f>SUM(B87:B90)</f>
        <v>51816</v>
      </c>
      <c r="C91" s="1">
        <f>SUM(C87:C90)</f>
        <v>14466</v>
      </c>
      <c r="D91" s="1">
        <f>SUM(D87:D90)</f>
        <v>11774</v>
      </c>
      <c r="I91" s="10">
        <f>B91</f>
        <v>51816</v>
      </c>
      <c r="J91" s="10">
        <f>C91</f>
        <v>14466</v>
      </c>
      <c r="K91" s="10">
        <f>D91</f>
        <v>11774</v>
      </c>
      <c r="L91" s="1"/>
      <c r="M91" s="1"/>
      <c r="N91" s="1"/>
    </row>
    <row r="93" spans="1:19" x14ac:dyDescent="0.55000000000000004">
      <c r="A93" t="s">
        <v>86</v>
      </c>
      <c r="B93" s="1">
        <v>95565072</v>
      </c>
      <c r="C93" s="1">
        <v>4494158</v>
      </c>
      <c r="D93" s="1">
        <v>3464404</v>
      </c>
      <c r="I93" s="10">
        <f>SUM(I72:I92)</f>
        <v>97708483</v>
      </c>
      <c r="J93" s="10">
        <f>SUM(J72:J92)</f>
        <v>4589890</v>
      </c>
      <c r="K93" s="10">
        <f>SUM(K72:K92)</f>
        <v>3572209</v>
      </c>
      <c r="L93" s="1"/>
      <c r="M93" s="1"/>
      <c r="N93" s="1"/>
      <c r="O93" s="10">
        <f>B93-I93</f>
        <v>-2143411</v>
      </c>
      <c r="P93" s="10">
        <f>C93-J93</f>
        <v>-95732</v>
      </c>
      <c r="Q93" s="10">
        <f>D93-K93</f>
        <v>-107805</v>
      </c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Notes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Oboguev, Sergey</dc:creator>
  <cp:lastModifiedBy>Oboguev, Sergey</cp:lastModifiedBy>
  <dcterms:created xsi:type="dcterms:W3CDTF">2026-05-05T19:52:42Z</dcterms:created>
  <dcterms:modified xsi:type="dcterms:W3CDTF">2026-09-08T02:36:41Z</dcterms:modified>
</cp:coreProperties>
</file>