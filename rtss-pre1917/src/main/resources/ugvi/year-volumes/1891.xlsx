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98F6C00C-8560-4871-AF03-AFD3277311DF}" xr6:coauthVersionLast="47" xr6:coauthVersionMax="47" xr10:uidLastSave="{00000000-0000-0000-0000-000000000000}"/>
  <bookViews>
    <workbookView xWindow="57480" yWindow="-120" windowWidth="51840" windowHeight="21120" activeTab="2" xr2:uid="{00000000-000D-0000-FFFF-FFFF00000000}"/>
  </bookViews>
  <sheets>
    <sheet name="Notes" sheetId="3" r:id="rId1"/>
    <sheet name="More Notes" sheetId="2" r:id="rId2"/>
    <sheet name="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AF8" i="1"/>
  <c r="AE8" i="1"/>
  <c r="AD8" i="1"/>
  <c r="B8" i="1"/>
  <c r="B5" i="1" s="1"/>
  <c r="AM253" i="1"/>
  <c r="AL253" i="1"/>
  <c r="AM275" i="1"/>
  <c r="AP275" i="1" s="1"/>
  <c r="AL275" i="1"/>
  <c r="AO275" i="1" s="1"/>
  <c r="AM274" i="1"/>
  <c r="AP274" i="1" s="1"/>
  <c r="AL274" i="1"/>
  <c r="AO274" i="1" s="1"/>
  <c r="AM250" i="1"/>
  <c r="AP250" i="1" s="1"/>
  <c r="AL250" i="1"/>
  <c r="AO250" i="1" s="1"/>
  <c r="AM224" i="1"/>
  <c r="AP224" i="1" s="1"/>
  <c r="AL224" i="1"/>
  <c r="AO224" i="1" s="1"/>
  <c r="AM195" i="1"/>
  <c r="AP195" i="1" s="1"/>
  <c r="AL195" i="1"/>
  <c r="AO195" i="1" s="1"/>
  <c r="AM191" i="1"/>
  <c r="AP191" i="1" s="1"/>
  <c r="AL191" i="1"/>
  <c r="AO191" i="1" s="1"/>
  <c r="AM84" i="1"/>
  <c r="AP84" i="1" s="1"/>
  <c r="AL84" i="1"/>
  <c r="AO84" i="1" s="1"/>
  <c r="AM74" i="1"/>
  <c r="AP74" i="1" s="1"/>
  <c r="AL74" i="1"/>
  <c r="AO74" i="1" s="1"/>
  <c r="AM42" i="1"/>
  <c r="AP42" i="1" s="1"/>
  <c r="AL42" i="1"/>
  <c r="AO42" i="1" s="1"/>
  <c r="AR271" i="1"/>
  <c r="AM271" i="1"/>
  <c r="AP271" i="1" s="1"/>
  <c r="AL271" i="1"/>
  <c r="AO271" i="1" s="1"/>
  <c r="AT268" i="1"/>
  <c r="AS268" i="1"/>
  <c r="AR268" i="1"/>
  <c r="AM268" i="1"/>
  <c r="AL268" i="1"/>
  <c r="AR265" i="1"/>
  <c r="AM265" i="1"/>
  <c r="AL265" i="1"/>
  <c r="AR262" i="1"/>
  <c r="AM262" i="1"/>
  <c r="AL262" i="1"/>
  <c r="AT259" i="1"/>
  <c r="AS259" i="1"/>
  <c r="AR259" i="1"/>
  <c r="AM259" i="1"/>
  <c r="AL259" i="1"/>
  <c r="AR256" i="1"/>
  <c r="AM256" i="1"/>
  <c r="AL256" i="1"/>
  <c r="AT251" i="1"/>
  <c r="AS251" i="1"/>
  <c r="AR251" i="1"/>
  <c r="AM251" i="1"/>
  <c r="AP251" i="1" s="1"/>
  <c r="AL251" i="1"/>
  <c r="AO251" i="1" s="1"/>
  <c r="AT247" i="1"/>
  <c r="AS247" i="1"/>
  <c r="AR247" i="1"/>
  <c r="AM247" i="1"/>
  <c r="AP247" i="1" s="1"/>
  <c r="AL247" i="1"/>
  <c r="AO247" i="1" s="1"/>
  <c r="AT244" i="1"/>
  <c r="AS244" i="1"/>
  <c r="AR244" i="1"/>
  <c r="AM244" i="1"/>
  <c r="AP244" i="1" s="1"/>
  <c r="AL244" i="1"/>
  <c r="AO244" i="1" s="1"/>
  <c r="AT241" i="1"/>
  <c r="AS241" i="1"/>
  <c r="AR241" i="1"/>
  <c r="AM241" i="1"/>
  <c r="AP241" i="1" s="1"/>
  <c r="AL241" i="1"/>
  <c r="AO241" i="1" s="1"/>
  <c r="AT238" i="1"/>
  <c r="AS238" i="1"/>
  <c r="AR238" i="1"/>
  <c r="AM238" i="1"/>
  <c r="AP238" i="1" s="1"/>
  <c r="AL238" i="1"/>
  <c r="AO238" i="1" s="1"/>
  <c r="AT235" i="1"/>
  <c r="AS235" i="1"/>
  <c r="AR235" i="1"/>
  <c r="AM235" i="1"/>
  <c r="AL235" i="1"/>
  <c r="AT232" i="1"/>
  <c r="AS232" i="1"/>
  <c r="AR232" i="1"/>
  <c r="AM232" i="1"/>
  <c r="AP232" i="1" s="1"/>
  <c r="AL232" i="1"/>
  <c r="AO232" i="1" s="1"/>
  <c r="AT229" i="1"/>
  <c r="AS229" i="1"/>
  <c r="AR229" i="1"/>
  <c r="AM229" i="1"/>
  <c r="AP229" i="1" s="1"/>
  <c r="AL229" i="1"/>
  <c r="AO229" i="1" s="1"/>
  <c r="AT226" i="1"/>
  <c r="AS226" i="1"/>
  <c r="AR226" i="1"/>
  <c r="AM226" i="1"/>
  <c r="AP226" i="1" s="1"/>
  <c r="AL226" i="1"/>
  <c r="AO226" i="1" s="1"/>
  <c r="AT221" i="1"/>
  <c r="AS221" i="1"/>
  <c r="AR221" i="1"/>
  <c r="AM221" i="1"/>
  <c r="AP221" i="1" s="1"/>
  <c r="AL221" i="1"/>
  <c r="AO221" i="1" s="1"/>
  <c r="AT218" i="1"/>
  <c r="AS218" i="1"/>
  <c r="AR218" i="1"/>
  <c r="AM218" i="1"/>
  <c r="AP218" i="1" s="1"/>
  <c r="AL218" i="1"/>
  <c r="AO218" i="1" s="1"/>
  <c r="AT215" i="1"/>
  <c r="AS215" i="1"/>
  <c r="AR215" i="1"/>
  <c r="AM215" i="1"/>
  <c r="AP215" i="1" s="1"/>
  <c r="AL215" i="1"/>
  <c r="AO215" i="1" s="1"/>
  <c r="AT212" i="1"/>
  <c r="AS212" i="1"/>
  <c r="AR212" i="1"/>
  <c r="AM212" i="1"/>
  <c r="AP212" i="1" s="1"/>
  <c r="AL212" i="1"/>
  <c r="AO212" i="1" s="1"/>
  <c r="AT209" i="1"/>
  <c r="AS209" i="1"/>
  <c r="AR209" i="1"/>
  <c r="AM209" i="1"/>
  <c r="AP209" i="1" s="1"/>
  <c r="AL209" i="1"/>
  <c r="AO209" i="1" s="1"/>
  <c r="AT206" i="1"/>
  <c r="AS206" i="1"/>
  <c r="AR206" i="1"/>
  <c r="AM206" i="1"/>
  <c r="AP206" i="1" s="1"/>
  <c r="AL206" i="1"/>
  <c r="AO206" i="1" s="1"/>
  <c r="AM205" i="1"/>
  <c r="AL205" i="1"/>
  <c r="AT202" i="1"/>
  <c r="AS202" i="1"/>
  <c r="AR202" i="1"/>
  <c r="AM202" i="1"/>
  <c r="AP202" i="1" s="1"/>
  <c r="AL202" i="1"/>
  <c r="AO202" i="1" s="1"/>
  <c r="AT199" i="1"/>
  <c r="AS199" i="1"/>
  <c r="AR199" i="1"/>
  <c r="AM199" i="1"/>
  <c r="AL199" i="1"/>
  <c r="AT196" i="1"/>
  <c r="AS196" i="1"/>
  <c r="AR196" i="1"/>
  <c r="AM196" i="1"/>
  <c r="AP196" i="1" s="1"/>
  <c r="AL196" i="1"/>
  <c r="AO196" i="1" s="1"/>
  <c r="AT192" i="1"/>
  <c r="AS192" i="1"/>
  <c r="AR192" i="1"/>
  <c r="AM192" i="1"/>
  <c r="AP192" i="1" s="1"/>
  <c r="AL192" i="1"/>
  <c r="AO192" i="1" s="1"/>
  <c r="AT188" i="1"/>
  <c r="AS188" i="1"/>
  <c r="AR188" i="1"/>
  <c r="AM188" i="1"/>
  <c r="AP188" i="1" s="1"/>
  <c r="AL188" i="1"/>
  <c r="AO188" i="1" s="1"/>
  <c r="AT185" i="1"/>
  <c r="AS185" i="1"/>
  <c r="AR185" i="1"/>
  <c r="AM185" i="1"/>
  <c r="AP185" i="1" s="1"/>
  <c r="AL185" i="1"/>
  <c r="AO185" i="1" s="1"/>
  <c r="AT184" i="1"/>
  <c r="AS184" i="1"/>
  <c r="AR184" i="1"/>
  <c r="AM184" i="1"/>
  <c r="AP184" i="1" s="1"/>
  <c r="AL184" i="1"/>
  <c r="AO184" i="1" s="1"/>
  <c r="AT183" i="1"/>
  <c r="AS183" i="1"/>
  <c r="AR183" i="1"/>
  <c r="AM183" i="1"/>
  <c r="AP183" i="1" s="1"/>
  <c r="AL183" i="1"/>
  <c r="AO183" i="1" s="1"/>
  <c r="AT180" i="1"/>
  <c r="AS180" i="1"/>
  <c r="AR180" i="1"/>
  <c r="AM180" i="1"/>
  <c r="AP180" i="1" s="1"/>
  <c r="AL180" i="1"/>
  <c r="AO180" i="1" s="1"/>
  <c r="AT177" i="1"/>
  <c r="AS177" i="1"/>
  <c r="AR177" i="1"/>
  <c r="AM177" i="1"/>
  <c r="AP177" i="1" s="1"/>
  <c r="AL177" i="1"/>
  <c r="AO177" i="1" s="1"/>
  <c r="AT174" i="1"/>
  <c r="AS174" i="1"/>
  <c r="AR174" i="1"/>
  <c r="AM174" i="1"/>
  <c r="AP174" i="1" s="1"/>
  <c r="AL174" i="1"/>
  <c r="AO174" i="1" s="1"/>
  <c r="AT171" i="1"/>
  <c r="AS171" i="1"/>
  <c r="AR171" i="1"/>
  <c r="AM171" i="1"/>
  <c r="AP171" i="1" s="1"/>
  <c r="AL171" i="1"/>
  <c r="AO171" i="1" s="1"/>
  <c r="AT168" i="1"/>
  <c r="AS168" i="1"/>
  <c r="AR168" i="1"/>
  <c r="AM168" i="1"/>
  <c r="AP168" i="1" s="1"/>
  <c r="AL168" i="1"/>
  <c r="AO168" i="1" s="1"/>
  <c r="AT165" i="1"/>
  <c r="AS165" i="1"/>
  <c r="AR165" i="1"/>
  <c r="AM165" i="1"/>
  <c r="AP165" i="1" s="1"/>
  <c r="AL165" i="1"/>
  <c r="AO165" i="1" s="1"/>
  <c r="AT162" i="1"/>
  <c r="AS162" i="1"/>
  <c r="AR162" i="1"/>
  <c r="AM162" i="1"/>
  <c r="AP162" i="1" s="1"/>
  <c r="AL162" i="1"/>
  <c r="AO162" i="1" s="1"/>
  <c r="AT159" i="1"/>
  <c r="AS159" i="1"/>
  <c r="AR159" i="1"/>
  <c r="AM159" i="1"/>
  <c r="AP159" i="1" s="1"/>
  <c r="AL159" i="1"/>
  <c r="AO159" i="1" s="1"/>
  <c r="AT156" i="1"/>
  <c r="AS156" i="1"/>
  <c r="AR156" i="1"/>
  <c r="AM156" i="1"/>
  <c r="AP156" i="1" s="1"/>
  <c r="AL156" i="1"/>
  <c r="AO156" i="1" s="1"/>
  <c r="AT153" i="1"/>
  <c r="AS153" i="1"/>
  <c r="AR153" i="1"/>
  <c r="AM153" i="1"/>
  <c r="AP153" i="1" s="1"/>
  <c r="AL153" i="1"/>
  <c r="AO153" i="1" s="1"/>
  <c r="AT150" i="1"/>
  <c r="AS150" i="1"/>
  <c r="AR150" i="1"/>
  <c r="AM150" i="1"/>
  <c r="AP150" i="1" s="1"/>
  <c r="AL150" i="1"/>
  <c r="AO150" i="1" s="1"/>
  <c r="AT149" i="1"/>
  <c r="AS149" i="1"/>
  <c r="AR149" i="1"/>
  <c r="AM149" i="1"/>
  <c r="AP149" i="1" s="1"/>
  <c r="AL149" i="1"/>
  <c r="AO149" i="1" s="1"/>
  <c r="AT148" i="1"/>
  <c r="AS148" i="1"/>
  <c r="AR148" i="1"/>
  <c r="AM148" i="1"/>
  <c r="AP148" i="1" s="1"/>
  <c r="AL148" i="1"/>
  <c r="AO148" i="1" s="1"/>
  <c r="AT145" i="1"/>
  <c r="AS145" i="1"/>
  <c r="AR145" i="1"/>
  <c r="AM145" i="1"/>
  <c r="AP145" i="1" s="1"/>
  <c r="AL145" i="1"/>
  <c r="AO145" i="1" s="1"/>
  <c r="AT142" i="1"/>
  <c r="AS142" i="1"/>
  <c r="AR142" i="1"/>
  <c r="AM142" i="1"/>
  <c r="AP142" i="1" s="1"/>
  <c r="AL142" i="1"/>
  <c r="AO142" i="1" s="1"/>
  <c r="AT139" i="1"/>
  <c r="AS139" i="1"/>
  <c r="AR139" i="1"/>
  <c r="AM139" i="1"/>
  <c r="AP139" i="1" s="1"/>
  <c r="AL139" i="1"/>
  <c r="AO139" i="1" s="1"/>
  <c r="AT136" i="1"/>
  <c r="AS136" i="1"/>
  <c r="AR136" i="1"/>
  <c r="AM136" i="1"/>
  <c r="AP136" i="1" s="1"/>
  <c r="AL136" i="1"/>
  <c r="AO136" i="1" s="1"/>
  <c r="AT133" i="1"/>
  <c r="AS133" i="1"/>
  <c r="AR133" i="1"/>
  <c r="AM133" i="1"/>
  <c r="AP133" i="1" s="1"/>
  <c r="AL133" i="1"/>
  <c r="AO133" i="1" s="1"/>
  <c r="AT130" i="1"/>
  <c r="AS130" i="1"/>
  <c r="AR130" i="1"/>
  <c r="AM130" i="1"/>
  <c r="AP130" i="1" s="1"/>
  <c r="AL130" i="1"/>
  <c r="AO130" i="1" s="1"/>
  <c r="AT127" i="1"/>
  <c r="AS127" i="1"/>
  <c r="AR127" i="1"/>
  <c r="AM127" i="1"/>
  <c r="AP127" i="1" s="1"/>
  <c r="AL127" i="1"/>
  <c r="AO127" i="1" s="1"/>
  <c r="AT124" i="1"/>
  <c r="AS124" i="1"/>
  <c r="AR124" i="1"/>
  <c r="AM124" i="1"/>
  <c r="AP124" i="1" s="1"/>
  <c r="AL124" i="1"/>
  <c r="AO124" i="1" s="1"/>
  <c r="AT121" i="1"/>
  <c r="AS121" i="1"/>
  <c r="AR121" i="1"/>
  <c r="AM121" i="1"/>
  <c r="AP121" i="1" s="1"/>
  <c r="AL121" i="1"/>
  <c r="AO121" i="1" s="1"/>
  <c r="AT118" i="1"/>
  <c r="AS118" i="1"/>
  <c r="AR118" i="1"/>
  <c r="AM118" i="1"/>
  <c r="AP118" i="1" s="1"/>
  <c r="AL118" i="1"/>
  <c r="AO118" i="1" s="1"/>
  <c r="AT115" i="1"/>
  <c r="AS115" i="1"/>
  <c r="AR115" i="1"/>
  <c r="AM115" i="1"/>
  <c r="AP115" i="1" s="1"/>
  <c r="AL115" i="1"/>
  <c r="AO115" i="1" s="1"/>
  <c r="AT112" i="1"/>
  <c r="AS112" i="1"/>
  <c r="AR112" i="1"/>
  <c r="AM112" i="1"/>
  <c r="AP112" i="1" s="1"/>
  <c r="AL112" i="1"/>
  <c r="AO112" i="1" s="1"/>
  <c r="AT109" i="1"/>
  <c r="AS109" i="1"/>
  <c r="AR109" i="1"/>
  <c r="AM109" i="1"/>
  <c r="AP109" i="1" s="1"/>
  <c r="AL109" i="1"/>
  <c r="AO109" i="1" s="1"/>
  <c r="AT106" i="1"/>
  <c r="AS106" i="1"/>
  <c r="AR106" i="1"/>
  <c r="AM106" i="1"/>
  <c r="AP106" i="1" s="1"/>
  <c r="AL106" i="1"/>
  <c r="AO106" i="1" s="1"/>
  <c r="AT103" i="1"/>
  <c r="AS103" i="1"/>
  <c r="AR103" i="1"/>
  <c r="AM103" i="1"/>
  <c r="AP103" i="1" s="1"/>
  <c r="AL103" i="1"/>
  <c r="AO103" i="1" s="1"/>
  <c r="AT100" i="1"/>
  <c r="AS100" i="1"/>
  <c r="AR100" i="1"/>
  <c r="AM100" i="1"/>
  <c r="AP100" i="1" s="1"/>
  <c r="AL100" i="1"/>
  <c r="AO100" i="1" s="1"/>
  <c r="AT97" i="1"/>
  <c r="AS97" i="1"/>
  <c r="AR97" i="1"/>
  <c r="AM97" i="1"/>
  <c r="AP97" i="1" s="1"/>
  <c r="AL97" i="1"/>
  <c r="AO97" i="1" s="1"/>
  <c r="AT94" i="1"/>
  <c r="AS94" i="1"/>
  <c r="AR94" i="1"/>
  <c r="AM94" i="1"/>
  <c r="AP94" i="1" s="1"/>
  <c r="AL94" i="1"/>
  <c r="AO94" i="1" s="1"/>
  <c r="AT91" i="1"/>
  <c r="AS91" i="1"/>
  <c r="AR91" i="1"/>
  <c r="AM91" i="1"/>
  <c r="AP91" i="1" s="1"/>
  <c r="AL91" i="1"/>
  <c r="AO91" i="1" s="1"/>
  <c r="AT88" i="1"/>
  <c r="AS88" i="1"/>
  <c r="AR88" i="1"/>
  <c r="AM88" i="1"/>
  <c r="AP88" i="1" s="1"/>
  <c r="AL88" i="1"/>
  <c r="AO88" i="1" s="1"/>
  <c r="AT85" i="1"/>
  <c r="AS85" i="1"/>
  <c r="AR85" i="1"/>
  <c r="AM85" i="1"/>
  <c r="AP85" i="1" s="1"/>
  <c r="AL85" i="1"/>
  <c r="AO85" i="1" s="1"/>
  <c r="AT78" i="1"/>
  <c r="AS78" i="1"/>
  <c r="AR78" i="1"/>
  <c r="AM78" i="1"/>
  <c r="AP78" i="1" s="1"/>
  <c r="AL78" i="1"/>
  <c r="AO78" i="1" s="1"/>
  <c r="AT75" i="1"/>
  <c r="AS75" i="1"/>
  <c r="AR75" i="1"/>
  <c r="AM75" i="1"/>
  <c r="AP75" i="1" s="1"/>
  <c r="AL75" i="1"/>
  <c r="AO75" i="1" s="1"/>
  <c r="AT71" i="1"/>
  <c r="AS71" i="1"/>
  <c r="AR71" i="1"/>
  <c r="AM71" i="1"/>
  <c r="AP71" i="1" s="1"/>
  <c r="AL71" i="1"/>
  <c r="AO71" i="1" s="1"/>
  <c r="AT68" i="1"/>
  <c r="AS68" i="1"/>
  <c r="AR68" i="1"/>
  <c r="AM68" i="1"/>
  <c r="AP68" i="1" s="1"/>
  <c r="AL68" i="1"/>
  <c r="AO68" i="1" s="1"/>
  <c r="AT65" i="1"/>
  <c r="AS65" i="1"/>
  <c r="AR65" i="1"/>
  <c r="AM65" i="1"/>
  <c r="AP65" i="1" s="1"/>
  <c r="AL65" i="1"/>
  <c r="AO65" i="1" s="1"/>
  <c r="AT62" i="1"/>
  <c r="AS62" i="1"/>
  <c r="AR62" i="1"/>
  <c r="AM62" i="1"/>
  <c r="AP62" i="1" s="1"/>
  <c r="AL62" i="1"/>
  <c r="AO62" i="1" s="1"/>
  <c r="AT59" i="1"/>
  <c r="AS59" i="1"/>
  <c r="AR59" i="1"/>
  <c r="AM59" i="1"/>
  <c r="AP59" i="1" s="1"/>
  <c r="AL59" i="1"/>
  <c r="AO59" i="1" s="1"/>
  <c r="AT56" i="1"/>
  <c r="AS56" i="1"/>
  <c r="AR56" i="1"/>
  <c r="AM56" i="1"/>
  <c r="AP56" i="1" s="1"/>
  <c r="AL56" i="1"/>
  <c r="AO56" i="1" s="1"/>
  <c r="AT53" i="1"/>
  <c r="AS53" i="1"/>
  <c r="AR53" i="1"/>
  <c r="AM53" i="1"/>
  <c r="AP53" i="1" s="1"/>
  <c r="AL53" i="1"/>
  <c r="AO53" i="1" s="1"/>
  <c r="AT50" i="1"/>
  <c r="AS50" i="1"/>
  <c r="AR50" i="1"/>
  <c r="AM50" i="1"/>
  <c r="AP50" i="1" s="1"/>
  <c r="AL50" i="1"/>
  <c r="AO50" i="1" s="1"/>
  <c r="AT47" i="1"/>
  <c r="AS47" i="1"/>
  <c r="AR47" i="1"/>
  <c r="AM47" i="1"/>
  <c r="AP47" i="1" s="1"/>
  <c r="AL47" i="1"/>
  <c r="AO47" i="1" s="1"/>
  <c r="AT44" i="1"/>
  <c r="AS44" i="1"/>
  <c r="AR44" i="1"/>
  <c r="AM44" i="1"/>
  <c r="AP44" i="1" s="1"/>
  <c r="AL44" i="1"/>
  <c r="AO44" i="1" s="1"/>
  <c r="AT43" i="1"/>
  <c r="AS43" i="1"/>
  <c r="AR43" i="1"/>
  <c r="AM43" i="1"/>
  <c r="AP43" i="1" s="1"/>
  <c r="AL43" i="1"/>
  <c r="AO43" i="1" s="1"/>
  <c r="AT39" i="1"/>
  <c r="AS39" i="1"/>
  <c r="AR39" i="1"/>
  <c r="AM39" i="1"/>
  <c r="AP39" i="1" s="1"/>
  <c r="AL39" i="1"/>
  <c r="AO39" i="1" s="1"/>
  <c r="AT36" i="1"/>
  <c r="AS36" i="1"/>
  <c r="AR36" i="1"/>
  <c r="AM36" i="1"/>
  <c r="AP36" i="1" s="1"/>
  <c r="AL36" i="1"/>
  <c r="AO36" i="1" s="1"/>
  <c r="AT33" i="1"/>
  <c r="AS33" i="1"/>
  <c r="AR33" i="1"/>
  <c r="AM33" i="1"/>
  <c r="AP33" i="1" s="1"/>
  <c r="AL33" i="1"/>
  <c r="AO33" i="1" s="1"/>
  <c r="AT30" i="1"/>
  <c r="AS30" i="1"/>
  <c r="AR30" i="1"/>
  <c r="AM30" i="1"/>
  <c r="AP30" i="1" s="1"/>
  <c r="AL30" i="1"/>
  <c r="AO30" i="1" s="1"/>
  <c r="AT27" i="1"/>
  <c r="AS27" i="1"/>
  <c r="AR27" i="1"/>
  <c r="AM27" i="1"/>
  <c r="AP27" i="1" s="1"/>
  <c r="AL27" i="1"/>
  <c r="AO27" i="1" s="1"/>
  <c r="AT24" i="1"/>
  <c r="AS24" i="1"/>
  <c r="AR24" i="1"/>
  <c r="AM24" i="1"/>
  <c r="AP24" i="1" s="1"/>
  <c r="AL24" i="1"/>
  <c r="AO24" i="1" s="1"/>
  <c r="AT21" i="1"/>
  <c r="AS21" i="1"/>
  <c r="AR21" i="1"/>
  <c r="AM21" i="1"/>
  <c r="AP21" i="1" s="1"/>
  <c r="AL21" i="1"/>
  <c r="AO21" i="1" s="1"/>
  <c r="AT18" i="1"/>
  <c r="AS18" i="1"/>
  <c r="AR18" i="1"/>
  <c r="AM18" i="1"/>
  <c r="AP18" i="1" s="1"/>
  <c r="AL18" i="1"/>
  <c r="AO18" i="1" s="1"/>
  <c r="AT15" i="1"/>
  <c r="AS15" i="1"/>
  <c r="AR15" i="1"/>
  <c r="AM15" i="1"/>
  <c r="AP15" i="1" s="1"/>
  <c r="AL15" i="1"/>
  <c r="AO15" i="1" s="1"/>
  <c r="AT12" i="1"/>
  <c r="AS12" i="1"/>
  <c r="AR12" i="1"/>
  <c r="AM12" i="1"/>
  <c r="AP12" i="1" s="1"/>
  <c r="AL12" i="1"/>
  <c r="AO12" i="1" s="1"/>
  <c r="AT5" i="1"/>
  <c r="AS5" i="1"/>
  <c r="AR5" i="1"/>
  <c r="XEW274" i="1"/>
  <c r="AF252" i="1"/>
  <c r="AE252" i="1"/>
  <c r="AD252" i="1"/>
  <c r="AF251" i="1"/>
  <c r="AE251" i="1"/>
  <c r="AD251" i="1"/>
  <c r="AF225" i="1"/>
  <c r="AE225" i="1"/>
  <c r="AD225" i="1"/>
  <c r="AF205" i="1"/>
  <c r="AE205" i="1"/>
  <c r="AD205" i="1"/>
  <c r="AF184" i="1"/>
  <c r="AE184" i="1"/>
  <c r="AD184" i="1"/>
  <c r="AF183" i="1"/>
  <c r="AE183" i="1"/>
  <c r="AD183" i="1"/>
  <c r="AF149" i="1"/>
  <c r="AE149" i="1"/>
  <c r="AD149" i="1"/>
  <c r="AF148" i="1"/>
  <c r="AE148" i="1"/>
  <c r="AD148" i="1"/>
  <c r="AF43" i="1"/>
  <c r="AE43" i="1"/>
  <c r="AD43" i="1"/>
  <c r="AT2" i="1"/>
  <c r="AS2" i="1"/>
  <c r="AR2" i="1"/>
  <c r="AM5" i="1" l="1"/>
  <c r="AP5" i="1" s="1"/>
  <c r="AL5" i="1"/>
  <c r="AO5" i="1" s="1"/>
  <c r="AT274" i="1"/>
  <c r="AS274" i="1"/>
  <c r="AR84" i="1"/>
  <c r="AV84" i="1" s="1"/>
  <c r="AT84" i="1"/>
  <c r="AX84" i="1" s="1"/>
  <c r="AS191" i="1"/>
  <c r="AW191" i="1" s="1"/>
  <c r="AT224" i="1"/>
  <c r="AX224" i="1" s="1"/>
  <c r="AS84" i="1"/>
  <c r="AW84" i="1" s="1"/>
  <c r="AT250" i="1"/>
  <c r="AX250" i="1" s="1"/>
  <c r="AS42" i="1"/>
  <c r="AW42" i="1" s="1"/>
  <c r="AR42" i="1"/>
  <c r="AT42" i="1"/>
  <c r="AR224" i="1"/>
  <c r="AV224" i="1" s="1"/>
  <c r="AR74" i="1"/>
  <c r="AV74" i="1" s="1"/>
  <c r="AS224" i="1"/>
  <c r="AW224" i="1" s="1"/>
  <c r="AS74" i="1"/>
  <c r="AW74" i="1" s="1"/>
  <c r="AT74" i="1"/>
  <c r="AX74" i="1" s="1"/>
  <c r="AR191" i="1"/>
  <c r="AV191" i="1" s="1"/>
  <c r="AS250" i="1"/>
  <c r="AW250" i="1" s="1"/>
  <c r="AR250" i="1"/>
  <c r="AV250" i="1" s="1"/>
  <c r="AT191" i="1"/>
  <c r="AX191" i="1" s="1"/>
  <c r="AR274" i="1"/>
  <c r="AV274" i="1" s="1"/>
  <c r="AM2" i="1"/>
  <c r="AP2" i="1" s="1"/>
  <c r="AL2" i="1"/>
  <c r="AO2" i="1" s="1"/>
  <c r="AF247" i="1"/>
  <c r="AJ247" i="1" s="1"/>
  <c r="AE247" i="1"/>
  <c r="AI247" i="1" s="1"/>
  <c r="AD247" i="1"/>
  <c r="AH247" i="1" s="1"/>
  <c r="AF244" i="1"/>
  <c r="AJ244" i="1" s="1"/>
  <c r="AE244" i="1"/>
  <c r="AI244" i="1" s="1"/>
  <c r="AD244" i="1"/>
  <c r="AH244" i="1" s="1"/>
  <c r="AF241" i="1"/>
  <c r="AJ241" i="1" s="1"/>
  <c r="AE241" i="1"/>
  <c r="AI241" i="1" s="1"/>
  <c r="AD241" i="1"/>
  <c r="AH241" i="1" s="1"/>
  <c r="AF238" i="1"/>
  <c r="AJ238" i="1" s="1"/>
  <c r="AE238" i="1"/>
  <c r="AI238" i="1" s="1"/>
  <c r="AD238" i="1"/>
  <c r="AH238" i="1" s="1"/>
  <c r="AF271" i="1"/>
  <c r="AJ271" i="1" s="1"/>
  <c r="AE271" i="1"/>
  <c r="AI271" i="1" s="1"/>
  <c r="AD271" i="1"/>
  <c r="AH271" i="1" s="1"/>
  <c r="AF268" i="1"/>
  <c r="AJ268" i="1" s="1"/>
  <c r="AE268" i="1"/>
  <c r="AI268" i="1" s="1"/>
  <c r="AD268" i="1"/>
  <c r="AH268" i="1" s="1"/>
  <c r="AF265" i="1"/>
  <c r="AJ265" i="1" s="1"/>
  <c r="AE265" i="1"/>
  <c r="AI265" i="1" s="1"/>
  <c r="AD265" i="1"/>
  <c r="AH265" i="1" s="1"/>
  <c r="AF262" i="1"/>
  <c r="AJ262" i="1" s="1"/>
  <c r="AE262" i="1"/>
  <c r="AI262" i="1" s="1"/>
  <c r="AD262" i="1"/>
  <c r="AH262" i="1" s="1"/>
  <c r="AF259" i="1"/>
  <c r="AJ259" i="1" s="1"/>
  <c r="AE259" i="1"/>
  <c r="AI259" i="1" s="1"/>
  <c r="AD259" i="1"/>
  <c r="AH259" i="1" s="1"/>
  <c r="AF256" i="1"/>
  <c r="AJ256" i="1" s="1"/>
  <c r="AE256" i="1"/>
  <c r="AI256" i="1" s="1"/>
  <c r="AD256" i="1"/>
  <c r="AH256" i="1" s="1"/>
  <c r="AF253" i="1"/>
  <c r="AJ253" i="1" s="1"/>
  <c r="AE253" i="1"/>
  <c r="AI253" i="1" s="1"/>
  <c r="AD253" i="1"/>
  <c r="AH253" i="1" s="1"/>
  <c r="AF235" i="1"/>
  <c r="AJ235" i="1" s="1"/>
  <c r="AE235" i="1"/>
  <c r="AI235" i="1" s="1"/>
  <c r="AD235" i="1"/>
  <c r="AH235" i="1" s="1"/>
  <c r="AF232" i="1"/>
  <c r="AJ232" i="1" s="1"/>
  <c r="AE232" i="1"/>
  <c r="AI232" i="1" s="1"/>
  <c r="AD232" i="1"/>
  <c r="AH232" i="1" s="1"/>
  <c r="AF229" i="1"/>
  <c r="AJ229" i="1" s="1"/>
  <c r="AE229" i="1"/>
  <c r="AI229" i="1" s="1"/>
  <c r="AD229" i="1"/>
  <c r="AH229" i="1" s="1"/>
  <c r="AF226" i="1"/>
  <c r="AE226" i="1"/>
  <c r="AD226" i="1"/>
  <c r="AF221" i="1"/>
  <c r="AE221" i="1"/>
  <c r="AD221" i="1"/>
  <c r="AH221" i="1" s="1"/>
  <c r="AF218" i="1"/>
  <c r="AJ218" i="1" s="1"/>
  <c r="AE218" i="1"/>
  <c r="AI218" i="1" s="1"/>
  <c r="AD218" i="1"/>
  <c r="AH218" i="1" s="1"/>
  <c r="AF215" i="1"/>
  <c r="AJ215" i="1" s="1"/>
  <c r="AE215" i="1"/>
  <c r="AI215" i="1" s="1"/>
  <c r="AD215" i="1"/>
  <c r="AH215" i="1" s="1"/>
  <c r="AF212" i="1"/>
  <c r="AJ212" i="1" s="1"/>
  <c r="AE212" i="1"/>
  <c r="AI212" i="1" s="1"/>
  <c r="AD212" i="1"/>
  <c r="AH212" i="1" s="1"/>
  <c r="AF209" i="1"/>
  <c r="AJ209" i="1" s="1"/>
  <c r="AE209" i="1"/>
  <c r="AI209" i="1" s="1"/>
  <c r="AD209" i="1"/>
  <c r="AH209" i="1" s="1"/>
  <c r="AF206" i="1"/>
  <c r="AJ206" i="1" s="1"/>
  <c r="AE206" i="1"/>
  <c r="AI206" i="1" s="1"/>
  <c r="AD206" i="1"/>
  <c r="AH206" i="1" s="1"/>
  <c r="AF202" i="1"/>
  <c r="AJ202" i="1" s="1"/>
  <c r="AE202" i="1"/>
  <c r="AI202" i="1" s="1"/>
  <c r="AD202" i="1"/>
  <c r="AH202" i="1" s="1"/>
  <c r="AF199" i="1"/>
  <c r="AJ199" i="1" s="1"/>
  <c r="AE199" i="1"/>
  <c r="AI199" i="1" s="1"/>
  <c r="AD199" i="1"/>
  <c r="AH199" i="1" s="1"/>
  <c r="AF196" i="1"/>
  <c r="AE196" i="1"/>
  <c r="AD196" i="1"/>
  <c r="AF192" i="1"/>
  <c r="AJ192" i="1" s="1"/>
  <c r="AE192" i="1"/>
  <c r="AI192" i="1" s="1"/>
  <c r="AD192" i="1"/>
  <c r="AH192" i="1" s="1"/>
  <c r="AF188" i="1"/>
  <c r="AJ188" i="1" s="1"/>
  <c r="AE188" i="1"/>
  <c r="AI188" i="1" s="1"/>
  <c r="AD188" i="1"/>
  <c r="AH188" i="1" s="1"/>
  <c r="AF185" i="1"/>
  <c r="AJ185" i="1" s="1"/>
  <c r="AE185" i="1"/>
  <c r="AI185" i="1" s="1"/>
  <c r="AD185" i="1"/>
  <c r="AH185" i="1" s="1"/>
  <c r="AF180" i="1"/>
  <c r="AJ180" i="1" s="1"/>
  <c r="AE180" i="1"/>
  <c r="AI180" i="1" s="1"/>
  <c r="AD180" i="1"/>
  <c r="AH180" i="1" s="1"/>
  <c r="AF177" i="1"/>
  <c r="AJ177" i="1" s="1"/>
  <c r="AE177" i="1"/>
  <c r="AI177" i="1" s="1"/>
  <c r="AD177" i="1"/>
  <c r="AH177" i="1" s="1"/>
  <c r="AF174" i="1"/>
  <c r="AJ174" i="1" s="1"/>
  <c r="AE174" i="1"/>
  <c r="AI174" i="1" s="1"/>
  <c r="AD174" i="1"/>
  <c r="AH174" i="1" s="1"/>
  <c r="AF171" i="1"/>
  <c r="AJ171" i="1" s="1"/>
  <c r="AE171" i="1"/>
  <c r="AI171" i="1" s="1"/>
  <c r="AD171" i="1"/>
  <c r="AH171" i="1" s="1"/>
  <c r="AF168" i="1"/>
  <c r="AJ168" i="1" s="1"/>
  <c r="AE168" i="1"/>
  <c r="AI168" i="1" s="1"/>
  <c r="AD168" i="1"/>
  <c r="AH168" i="1" s="1"/>
  <c r="AF165" i="1"/>
  <c r="AJ165" i="1" s="1"/>
  <c r="AE165" i="1"/>
  <c r="AI165" i="1" s="1"/>
  <c r="AD165" i="1"/>
  <c r="AH165" i="1" s="1"/>
  <c r="AF162" i="1"/>
  <c r="AJ162" i="1" s="1"/>
  <c r="AE162" i="1"/>
  <c r="AI162" i="1" s="1"/>
  <c r="AD162" i="1"/>
  <c r="AH162" i="1" s="1"/>
  <c r="AF159" i="1"/>
  <c r="AJ159" i="1" s="1"/>
  <c r="AE159" i="1"/>
  <c r="AI159" i="1" s="1"/>
  <c r="AD159" i="1"/>
  <c r="AH159" i="1" s="1"/>
  <c r="AF156" i="1"/>
  <c r="AJ156" i="1" s="1"/>
  <c r="AE156" i="1"/>
  <c r="AI156" i="1" s="1"/>
  <c r="AD156" i="1"/>
  <c r="AH156" i="1" s="1"/>
  <c r="AF153" i="1"/>
  <c r="AJ153" i="1" s="1"/>
  <c r="AE153" i="1"/>
  <c r="AI153" i="1" s="1"/>
  <c r="AD153" i="1"/>
  <c r="AH153" i="1" s="1"/>
  <c r="AF150" i="1"/>
  <c r="AJ150" i="1" s="1"/>
  <c r="AE150" i="1"/>
  <c r="AI150" i="1" s="1"/>
  <c r="AD150" i="1"/>
  <c r="AH150" i="1" s="1"/>
  <c r="AF145" i="1"/>
  <c r="AJ145" i="1" s="1"/>
  <c r="AE145" i="1"/>
  <c r="AI145" i="1" s="1"/>
  <c r="AD145" i="1"/>
  <c r="AH145" i="1" s="1"/>
  <c r="AF142" i="1"/>
  <c r="AJ142" i="1" s="1"/>
  <c r="AE142" i="1"/>
  <c r="AI142" i="1" s="1"/>
  <c r="AD142" i="1"/>
  <c r="AH142" i="1" s="1"/>
  <c r="AF139" i="1"/>
  <c r="AJ139" i="1" s="1"/>
  <c r="AE139" i="1"/>
  <c r="AI139" i="1" s="1"/>
  <c r="AD139" i="1"/>
  <c r="AH139" i="1" s="1"/>
  <c r="AF136" i="1"/>
  <c r="AJ136" i="1" s="1"/>
  <c r="AE136" i="1"/>
  <c r="AI136" i="1" s="1"/>
  <c r="AD136" i="1"/>
  <c r="AH136" i="1" s="1"/>
  <c r="AF133" i="1"/>
  <c r="AJ133" i="1" s="1"/>
  <c r="AE133" i="1"/>
  <c r="AI133" i="1" s="1"/>
  <c r="AD133" i="1"/>
  <c r="AH133" i="1" s="1"/>
  <c r="AF130" i="1"/>
  <c r="AJ130" i="1" s="1"/>
  <c r="AE130" i="1"/>
  <c r="AI130" i="1" s="1"/>
  <c r="AD130" i="1"/>
  <c r="AH130" i="1" s="1"/>
  <c r="AF127" i="1"/>
  <c r="AJ127" i="1" s="1"/>
  <c r="AE127" i="1"/>
  <c r="AI127" i="1" s="1"/>
  <c r="AD127" i="1"/>
  <c r="AH127" i="1" s="1"/>
  <c r="AF124" i="1"/>
  <c r="AJ124" i="1" s="1"/>
  <c r="AE124" i="1"/>
  <c r="AI124" i="1" s="1"/>
  <c r="AD124" i="1"/>
  <c r="AH124" i="1" s="1"/>
  <c r="AF121" i="1"/>
  <c r="AJ121" i="1" s="1"/>
  <c r="AE121" i="1"/>
  <c r="AI121" i="1" s="1"/>
  <c r="AD121" i="1"/>
  <c r="AH121" i="1" s="1"/>
  <c r="AF118" i="1"/>
  <c r="AJ118" i="1" s="1"/>
  <c r="AE118" i="1"/>
  <c r="AI118" i="1" s="1"/>
  <c r="AD118" i="1"/>
  <c r="AH118" i="1" s="1"/>
  <c r="AF115" i="1"/>
  <c r="AJ115" i="1" s="1"/>
  <c r="AE115" i="1"/>
  <c r="AI115" i="1" s="1"/>
  <c r="AD115" i="1"/>
  <c r="AH115" i="1" s="1"/>
  <c r="AF112" i="1"/>
  <c r="AJ112" i="1" s="1"/>
  <c r="AE112" i="1"/>
  <c r="AI112" i="1" s="1"/>
  <c r="AD112" i="1"/>
  <c r="AH112" i="1" s="1"/>
  <c r="AF109" i="1"/>
  <c r="AJ109" i="1" s="1"/>
  <c r="AE109" i="1"/>
  <c r="AI109" i="1" s="1"/>
  <c r="AD109" i="1"/>
  <c r="AH109" i="1" s="1"/>
  <c r="AF106" i="1"/>
  <c r="AJ106" i="1" s="1"/>
  <c r="AE106" i="1"/>
  <c r="AI106" i="1" s="1"/>
  <c r="AD106" i="1"/>
  <c r="AH106" i="1" s="1"/>
  <c r="AF103" i="1"/>
  <c r="AJ103" i="1" s="1"/>
  <c r="AE103" i="1"/>
  <c r="AI103" i="1" s="1"/>
  <c r="AD103" i="1"/>
  <c r="AH103" i="1" s="1"/>
  <c r="AF100" i="1"/>
  <c r="AJ100" i="1" s="1"/>
  <c r="AE100" i="1"/>
  <c r="AI100" i="1" s="1"/>
  <c r="AD100" i="1"/>
  <c r="AH100" i="1" s="1"/>
  <c r="AF97" i="1"/>
  <c r="AJ97" i="1" s="1"/>
  <c r="AE97" i="1"/>
  <c r="AI97" i="1" s="1"/>
  <c r="AD97" i="1"/>
  <c r="AH97" i="1" s="1"/>
  <c r="AF94" i="1"/>
  <c r="AJ94" i="1" s="1"/>
  <c r="AE94" i="1"/>
  <c r="AI94" i="1" s="1"/>
  <c r="AD94" i="1"/>
  <c r="AH94" i="1" s="1"/>
  <c r="AF91" i="1"/>
  <c r="AJ91" i="1" s="1"/>
  <c r="AE91" i="1"/>
  <c r="AI91" i="1" s="1"/>
  <c r="AD91" i="1"/>
  <c r="AH91" i="1" s="1"/>
  <c r="AF88" i="1"/>
  <c r="AJ88" i="1" s="1"/>
  <c r="AE88" i="1"/>
  <c r="AI88" i="1" s="1"/>
  <c r="AD88" i="1"/>
  <c r="AH88" i="1" s="1"/>
  <c r="AF85" i="1"/>
  <c r="AE85" i="1"/>
  <c r="AD85" i="1"/>
  <c r="AF81" i="1"/>
  <c r="AJ81" i="1" s="1"/>
  <c r="AE81" i="1"/>
  <c r="AI81" i="1" s="1"/>
  <c r="AD81" i="1"/>
  <c r="AH81" i="1" s="1"/>
  <c r="AF78" i="1"/>
  <c r="AJ78" i="1" s="1"/>
  <c r="AE78" i="1"/>
  <c r="AI78" i="1" s="1"/>
  <c r="AD78" i="1"/>
  <c r="AH78" i="1" s="1"/>
  <c r="AF75" i="1"/>
  <c r="AE75" i="1"/>
  <c r="AD75" i="1"/>
  <c r="AF71" i="1"/>
  <c r="AJ71" i="1" s="1"/>
  <c r="AE71" i="1"/>
  <c r="AI71" i="1" s="1"/>
  <c r="AD71" i="1"/>
  <c r="AH71" i="1" s="1"/>
  <c r="AF68" i="1"/>
  <c r="AJ68" i="1" s="1"/>
  <c r="AE68" i="1"/>
  <c r="AI68" i="1" s="1"/>
  <c r="AD68" i="1"/>
  <c r="AH68" i="1" s="1"/>
  <c r="AF65" i="1"/>
  <c r="AJ65" i="1" s="1"/>
  <c r="AE65" i="1"/>
  <c r="AI65" i="1" s="1"/>
  <c r="AD65" i="1"/>
  <c r="AH65" i="1" s="1"/>
  <c r="AF62" i="1"/>
  <c r="AJ62" i="1" s="1"/>
  <c r="AE62" i="1"/>
  <c r="AI62" i="1" s="1"/>
  <c r="AD62" i="1"/>
  <c r="AH62" i="1" s="1"/>
  <c r="AF59" i="1"/>
  <c r="AJ59" i="1" s="1"/>
  <c r="AE59" i="1"/>
  <c r="AI59" i="1" s="1"/>
  <c r="AD59" i="1"/>
  <c r="AH59" i="1" s="1"/>
  <c r="AF56" i="1"/>
  <c r="AJ56" i="1" s="1"/>
  <c r="AE56" i="1"/>
  <c r="AI56" i="1" s="1"/>
  <c r="AD56" i="1"/>
  <c r="AH56" i="1" s="1"/>
  <c r="AF53" i="1"/>
  <c r="AJ53" i="1" s="1"/>
  <c r="AE53" i="1"/>
  <c r="AI53" i="1" s="1"/>
  <c r="AD53" i="1"/>
  <c r="AH53" i="1" s="1"/>
  <c r="AF50" i="1"/>
  <c r="AJ50" i="1" s="1"/>
  <c r="AE50" i="1"/>
  <c r="AI50" i="1" s="1"/>
  <c r="AD50" i="1"/>
  <c r="AH50" i="1" s="1"/>
  <c r="AF47" i="1"/>
  <c r="AJ47" i="1" s="1"/>
  <c r="AE47" i="1"/>
  <c r="AI47" i="1" s="1"/>
  <c r="AD47" i="1"/>
  <c r="AH47" i="1" s="1"/>
  <c r="AF44" i="1"/>
  <c r="AE44" i="1"/>
  <c r="AD44" i="1"/>
  <c r="AF39" i="1"/>
  <c r="AJ39" i="1" s="1"/>
  <c r="AE39" i="1"/>
  <c r="AI39" i="1" s="1"/>
  <c r="AD39" i="1"/>
  <c r="AH39" i="1" s="1"/>
  <c r="AF36" i="1"/>
  <c r="AJ36" i="1" s="1"/>
  <c r="AE36" i="1"/>
  <c r="AI36" i="1" s="1"/>
  <c r="AD36" i="1"/>
  <c r="AH36" i="1" s="1"/>
  <c r="AF33" i="1"/>
  <c r="AJ33" i="1" s="1"/>
  <c r="AE33" i="1"/>
  <c r="AI33" i="1" s="1"/>
  <c r="AD33" i="1"/>
  <c r="AH33" i="1" s="1"/>
  <c r="AF30" i="1"/>
  <c r="AJ30" i="1" s="1"/>
  <c r="AE30" i="1"/>
  <c r="AI30" i="1" s="1"/>
  <c r="AD30" i="1"/>
  <c r="AH30" i="1" s="1"/>
  <c r="AF27" i="1"/>
  <c r="AJ27" i="1" s="1"/>
  <c r="AE27" i="1"/>
  <c r="AI27" i="1" s="1"/>
  <c r="AD27" i="1"/>
  <c r="AH27" i="1" s="1"/>
  <c r="AF24" i="1"/>
  <c r="AJ24" i="1" s="1"/>
  <c r="AE24" i="1"/>
  <c r="AI24" i="1" s="1"/>
  <c r="AD24" i="1"/>
  <c r="AH24" i="1" s="1"/>
  <c r="AF21" i="1"/>
  <c r="AJ21" i="1" s="1"/>
  <c r="AE21" i="1"/>
  <c r="AI21" i="1" s="1"/>
  <c r="AD21" i="1"/>
  <c r="AH21" i="1" s="1"/>
  <c r="AF18" i="1"/>
  <c r="AJ18" i="1" s="1"/>
  <c r="AE18" i="1"/>
  <c r="AI18" i="1" s="1"/>
  <c r="AD18" i="1"/>
  <c r="AH18" i="1" s="1"/>
  <c r="AF15" i="1"/>
  <c r="AJ15" i="1" s="1"/>
  <c r="AE15" i="1"/>
  <c r="AI15" i="1" s="1"/>
  <c r="AD15" i="1"/>
  <c r="AH15" i="1" s="1"/>
  <c r="AF12" i="1"/>
  <c r="AJ12" i="1" s="1"/>
  <c r="AE12" i="1"/>
  <c r="AI12" i="1" s="1"/>
  <c r="AD12" i="1"/>
  <c r="AH12" i="1" s="1"/>
  <c r="AF5" i="1"/>
  <c r="AJ5" i="1" s="1"/>
  <c r="AE5" i="1"/>
  <c r="AI5" i="1" s="1"/>
  <c r="AD5" i="1"/>
  <c r="AH5" i="1" s="1"/>
  <c r="AF2" i="1"/>
  <c r="AE2" i="1"/>
  <c r="AD2" i="1"/>
  <c r="AR195" i="1" l="1"/>
  <c r="AV195" i="1" s="1"/>
  <c r="AT195" i="1"/>
  <c r="AX195" i="1" s="1"/>
  <c r="AX42" i="1"/>
  <c r="AV42" i="1"/>
  <c r="AF274" i="1"/>
  <c r="AJ274" i="1" s="1"/>
  <c r="AS195" i="1"/>
  <c r="AW195" i="1" s="1"/>
  <c r="AH2" i="1"/>
  <c r="AD42" i="1"/>
  <c r="AI2" i="1"/>
  <c r="AE42" i="1"/>
  <c r="AJ2" i="1"/>
  <c r="AF42" i="1"/>
  <c r="AH75" i="1"/>
  <c r="AD84" i="1"/>
  <c r="AH84" i="1" s="1"/>
  <c r="AI226" i="1"/>
  <c r="AE250" i="1"/>
  <c r="AI250" i="1" s="1"/>
  <c r="AH226" i="1"/>
  <c r="AD250" i="1"/>
  <c r="AH250" i="1" s="1"/>
  <c r="AI75" i="1"/>
  <c r="AE84" i="1"/>
  <c r="AI84" i="1" s="1"/>
  <c r="AJ226" i="1"/>
  <c r="AF250" i="1"/>
  <c r="AJ250" i="1" s="1"/>
  <c r="AI85" i="1"/>
  <c r="AE191" i="1"/>
  <c r="AI191" i="1" s="1"/>
  <c r="AH44" i="1"/>
  <c r="AD74" i="1"/>
  <c r="AH74" i="1" s="1"/>
  <c r="AI44" i="1"/>
  <c r="AE74" i="1"/>
  <c r="AI74" i="1" s="1"/>
  <c r="AJ85" i="1"/>
  <c r="AF191" i="1"/>
  <c r="AJ191" i="1" s="1"/>
  <c r="AJ44" i="1"/>
  <c r="AF74" i="1"/>
  <c r="AJ74" i="1" s="1"/>
  <c r="AH196" i="1"/>
  <c r="AD224" i="1"/>
  <c r="AH224" i="1" s="1"/>
  <c r="AI196" i="1"/>
  <c r="AE224" i="1"/>
  <c r="AI224" i="1" s="1"/>
  <c r="AE274" i="1"/>
  <c r="AI274" i="1" s="1"/>
  <c r="AJ196" i="1"/>
  <c r="AF224" i="1"/>
  <c r="AJ224" i="1" s="1"/>
  <c r="AJ75" i="1"/>
  <c r="AF84" i="1"/>
  <c r="AJ84" i="1" s="1"/>
  <c r="AH85" i="1"/>
  <c r="AD191" i="1"/>
  <c r="AH191" i="1" s="1"/>
  <c r="AD274" i="1"/>
  <c r="AH274" i="1" s="1"/>
  <c r="AS275" i="1" l="1"/>
  <c r="AW275" i="1" s="1"/>
  <c r="AR275" i="1"/>
  <c r="AV275" i="1" s="1"/>
  <c r="AT275" i="1"/>
  <c r="AX275" i="1" s="1"/>
  <c r="AJ42" i="1"/>
  <c r="AF195" i="1"/>
  <c r="AE195" i="1"/>
  <c r="AI42" i="1"/>
  <c r="AH42" i="1"/>
  <c r="AD195" i="1"/>
  <c r="AF275" i="1" l="1"/>
  <c r="AJ275" i="1" s="1"/>
  <c r="AJ195" i="1"/>
  <c r="AE275" i="1"/>
  <c r="AI275" i="1" s="1"/>
  <c r="AI195" i="1"/>
  <c r="AD275" i="1"/>
  <c r="AH275" i="1" s="1"/>
  <c r="AH195" i="1"/>
</calcChain>
</file>

<file path=xl/sharedStrings.xml><?xml version="1.0" encoding="utf-8"?>
<sst xmlns="http://schemas.openxmlformats.org/spreadsheetml/2006/main" count="660" uniqueCount="394">
  <si>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</si>
  <si>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</si>
  <si>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</si>
  <si>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</si>
  <si>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</si>
  <si>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</si>
  <si>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</si>
  <si>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1887-1890</t>
  </si>
  <si>
    <t>ср-чр 1887-1890</t>
  </si>
  <si>
    <t>ср-чу 1887-1890</t>
  </si>
  <si>
    <t>уезды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</si>
  <si>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</si>
  <si>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</si>
  <si>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</si>
  <si>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</si>
  <si>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</si>
  <si>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</si>
  <si>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</si>
  <si>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</si>
  <si>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</si>
  <si>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</si>
  <si>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</si>
  <si>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</si>
  <si>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</si>
  <si>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</si>
  <si>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</si>
  <si>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</si>
  <si>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</si>
  <si>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</si>
  <si>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</si>
  <si>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</si>
  <si>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</si>
  <si>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</si>
  <si>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</si>
  <si>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</si>
  <si>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</si>
  <si>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</si>
  <si>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</si>
  <si>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</si>
  <si>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</si>
  <si>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</si>
  <si>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</si>
  <si>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</si>
  <si>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</si>
  <si>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</si>
  <si>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</si>
  <si>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</si>
  <si>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</si>
  <si>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</si>
  <si>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</si>
  <si>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</si>
  <si>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</si>
  <si>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</si>
  <si>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</si>
  <si>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</si>
  <si>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</si>
  <si>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</si>
  <si>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</si>
  <si>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</si>
  <si>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</si>
  <si>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</si>
  <si>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</si>
  <si>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</si>
  <si>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</si>
  <si>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</si>
  <si>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</si>
  <si>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</si>
  <si>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</si>
  <si>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</si>
  <si>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</si>
  <si>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</si>
  <si>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</si>
  <si>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</si>
  <si>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</si>
  <si>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</si>
  <si>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</si>
  <si>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</si>
  <si>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</si>
  <si>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</si>
  <si>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</si>
  <si>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</si>
  <si>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</si>
  <si>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</si>
  <si>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</si>
  <si>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</si>
  <si>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</si>
  <si>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</si>
  <si>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</si>
  <si>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</si>
  <si>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</si>
  <si>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</si>
  <si>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</si>
  <si>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</si>
  <si>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</si>
  <si>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</si>
  <si>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</si>
  <si>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</si>
  <si>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</si>
  <si>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</si>
  <si>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</si>
  <si>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</si>
  <si>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</si>
  <si>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</si>
  <si>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</si>
  <si>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</si>
  <si>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</si>
  <si>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</si>
  <si>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</si>
  <si>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</si>
  <si>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</si>
  <si>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</si>
  <si>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</si>
  <si>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</si>
  <si>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</si>
  <si>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</si>
  <si>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</si>
  <si>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</si>
  <si>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</si>
  <si>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</si>
  <si>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</si>
  <si>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</si>
  <si>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</si>
  <si>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</si>
  <si>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</si>
  <si>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</si>
  <si>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</si>
  <si>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</si>
  <si>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</si>
  <si>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</si>
  <si>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</si>
  <si>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</si>
  <si>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</si>
  <si>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</si>
  <si>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</si>
  <si>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</si>
  <si>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</si>
  <si>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</si>
  <si>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</si>
  <si>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</si>
  <si>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</si>
  <si>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</si>
  <si>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</si>
  <si>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</si>
  <si>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</si>
  <si>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</si>
  <si>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</si>
  <si>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</si>
  <si>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</si>
  <si>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</si>
  <si>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</si>
  <si>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</si>
  <si>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</si>
  <si>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</si>
  <si>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</si>
  <si>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</si>
  <si>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</si>
  <si>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</si>
  <si>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</si>
  <si>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</si>
  <si>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</si>
  <si>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</si>
  <si>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</si>
  <si>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</si>
  <si>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</si>
  <si>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</si>
  <si>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</si>
  <si>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</si>
  <si>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</si>
  <si>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</si>
  <si>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</si>
  <si>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</si>
  <si>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</si>
  <si>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</si>
  <si>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</si>
  <si>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</si>
  <si>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</si>
  <si>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</si>
  <si>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</si>
  <si>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</si>
  <si>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</si>
  <si>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</si>
  <si>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</si>
  <si>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</si>
  <si>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</si>
  <si>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</si>
  <si>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</si>
  <si>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</si>
  <si>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</si>
  <si>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</si>
  <si>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</si>
  <si>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</si>
  <si>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</si>
  <si>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</si>
  <si>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</si>
  <si>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</si>
  <si>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</si>
  <si>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</si>
  <si>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</si>
  <si>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</si>
  <si>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</si>
  <si>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</si>
  <si>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</si>
  <si>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</si>
  <si>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</si>
  <si>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</si>
  <si>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</si>
  <si>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</si>
  <si>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</si>
  <si>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</si>
  <si>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</si>
  <si>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</si>
  <si>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</si>
  <si>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</si>
  <si>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</si>
  <si>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</si>
  <si>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</si>
  <si>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</si>
  <si>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</si>
  <si>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</si>
  <si>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</si>
  <si>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</si>
  <si>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</si>
  <si>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</si>
  <si>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</si>
  <si>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</si>
  <si>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</si>
  <si>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</si>
  <si>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</si>
  <si>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</si>
  <si>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</si>
  <si>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</si>
  <si>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</si>
  <si>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</si>
  <si>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</si>
  <si>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</si>
  <si>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</si>
  <si>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</si>
  <si>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</si>
  <si>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</si>
  <si>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</si>
  <si>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</si>
  <si>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</si>
  <si>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</si>
  <si>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</si>
  <si>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</si>
  <si>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</si>
  <si>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</si>
  <si>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</si>
  <si>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</si>
  <si>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</si>
  <si>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</si>
  <si>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</si>
  <si>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</si>
  <si>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</si>
  <si>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</si>
  <si>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</si>
  <si>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</si>
  <si>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</si>
  <si>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</si>
  <si>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</si>
  <si>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</si>
  <si>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</si>
  <si>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</si>
  <si>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</si>
  <si>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</si>
  <si>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</si>
  <si>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</si>
  <si>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</si>
  <si>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</si>
  <si>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</si>
  <si>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</si>
  <si>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</si>
  <si>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</si>
  <si>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</si>
  <si>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</si>
  <si>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</si>
  <si>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</si>
  <si>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</si>
  <si>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</si>
  <si>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v-чж</t>
  </si>
  <si>
    <t>v-чр</t>
  </si>
  <si>
    <t>р YY</t>
  </si>
  <si>
    <t>с YY</t>
  </si>
  <si>
    <t>v-р</t>
  </si>
  <si>
    <t>v-с</t>
  </si>
  <si>
    <t>vd-чж</t>
  </si>
  <si>
    <t>vd-чр</t>
  </si>
  <si>
    <t>vd-р</t>
  </si>
  <si>
    <t>vd-c</t>
  </si>
  <si>
    <t>v-ср-чж 1887-1890</t>
  </si>
  <si>
    <t>v-ср-чр 1887-1890</t>
  </si>
  <si>
    <t>v-ср-чу 1887-1890</t>
  </si>
  <si>
    <t>vd-ср-чж 1887-1890</t>
  </si>
  <si>
    <t>vd-ср-чр 1887-1890</t>
  </si>
  <si>
    <t>vd-ср-чу 1887-1890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</si>
  <si>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</si>
  <si>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</si>
  <si>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</si>
  <si>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</si>
  <si>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</si>
  <si>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</si>
  <si>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</si>
  <si>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р 1891</t>
  </si>
  <si>
    <t>р 1890</t>
  </si>
  <si>
    <t>р 1889</t>
  </si>
  <si>
    <t>с 1891</t>
  </si>
  <si>
    <t>с 1890</t>
  </si>
  <si>
    <t>с 1889</t>
  </si>
  <si>
    <t xml:space="preserve">Архангельская </t>
  </si>
  <si>
    <t xml:space="preserve">Астраханская </t>
  </si>
  <si>
    <t xml:space="preserve">Виленская   </t>
  </si>
  <si>
    <t xml:space="preserve">Витебская   </t>
  </si>
  <si>
    <t xml:space="preserve">Волынская   </t>
  </si>
  <si>
    <t xml:space="preserve">Гродненская </t>
  </si>
  <si>
    <t xml:space="preserve">Кіевская  </t>
  </si>
  <si>
    <t xml:space="preserve">Минская  </t>
  </si>
  <si>
    <t>Могилевская _x000D_</t>
  </si>
  <si>
    <t xml:space="preserve">Подольская </t>
  </si>
  <si>
    <t xml:space="preserve">Среднее для неземскихъ губерній </t>
  </si>
  <si>
    <t xml:space="preserve">Варшавская </t>
  </si>
  <si>
    <t xml:space="preserve">Г Варшава </t>
  </si>
  <si>
    <t xml:space="preserve">Калишcкая </t>
  </si>
  <si>
    <t>Кѣлецкая</t>
  </si>
  <si>
    <t xml:space="preserve">Ломжинская </t>
  </si>
  <si>
    <t xml:space="preserve">Плоцкая </t>
  </si>
  <si>
    <t xml:space="preserve">Сѣдлецкая </t>
  </si>
  <si>
    <t xml:space="preserve">Среднее для привислинскихъ губерній </t>
  </si>
  <si>
    <t xml:space="preserve">Курляндская </t>
  </si>
  <si>
    <t xml:space="preserve">Эстляндская </t>
  </si>
  <si>
    <t xml:space="preserve">Среднее для остзейскихъ губерній </t>
  </si>
  <si>
    <t xml:space="preserve">Бессарабская </t>
  </si>
  <si>
    <t xml:space="preserve">Владимірская </t>
  </si>
  <si>
    <t xml:space="preserve">Вологодская </t>
  </si>
  <si>
    <t xml:space="preserve">Воронежская </t>
  </si>
  <si>
    <t xml:space="preserve">Екатеринославская </t>
  </si>
  <si>
    <t xml:space="preserve">Казанская </t>
  </si>
  <si>
    <t xml:space="preserve">Калужская </t>
  </si>
  <si>
    <t xml:space="preserve">Костромская </t>
  </si>
  <si>
    <t xml:space="preserve">Курская </t>
  </si>
  <si>
    <t xml:space="preserve">Московская </t>
  </si>
  <si>
    <t xml:space="preserve">Г Москва </t>
  </si>
  <si>
    <t xml:space="preserve">Нижегородская </t>
  </si>
  <si>
    <t xml:space="preserve">Новгородская </t>
  </si>
  <si>
    <t xml:space="preserve">Олонецкая </t>
  </si>
  <si>
    <t xml:space="preserve">Полтавская </t>
  </si>
  <si>
    <t xml:space="preserve">Псковская </t>
  </si>
  <si>
    <t xml:space="preserve">Рязанская </t>
  </si>
  <si>
    <t xml:space="preserve">Самарская </t>
  </si>
  <si>
    <t xml:space="preserve">С-Петербургская   </t>
  </si>
  <si>
    <t xml:space="preserve">Г С-Петербургъ  </t>
  </si>
  <si>
    <t xml:space="preserve">Тверская </t>
  </si>
  <si>
    <t xml:space="preserve">Херсонская </t>
  </si>
  <si>
    <t xml:space="preserve">Г Николаевъ </t>
  </si>
  <si>
    <t>Г Одесса</t>
  </si>
  <si>
    <t xml:space="preserve">Черниговская </t>
  </si>
  <si>
    <t>Среднее для земскихъ губерній</t>
  </si>
  <si>
    <t xml:space="preserve">Обл войска Донскаго </t>
  </si>
  <si>
    <t>Среднее для Европейской Россіи</t>
  </si>
  <si>
    <t xml:space="preserve">Бакинская губ   </t>
  </si>
  <si>
    <t xml:space="preserve">Дагестанская обл  </t>
  </si>
  <si>
    <t>-</t>
  </si>
  <si>
    <t xml:space="preserve">Елисаветпольская губ </t>
  </si>
  <si>
    <t xml:space="preserve">Карсская обл  </t>
  </si>
  <si>
    <t xml:space="preserve">Кубанская обл   </t>
  </si>
  <si>
    <t xml:space="preserve">Кутаисская губ   </t>
  </si>
  <si>
    <t xml:space="preserve">Ставропольская губ </t>
  </si>
  <si>
    <t>Терская обл</t>
  </si>
  <si>
    <t xml:space="preserve">Тифлисская губ   </t>
  </si>
  <si>
    <t xml:space="preserve">Эриванская губ   </t>
  </si>
  <si>
    <t>Среднее для Кавказа</t>
  </si>
  <si>
    <t xml:space="preserve">Амурская обл </t>
  </si>
  <si>
    <t xml:space="preserve">Енисейская губ </t>
  </si>
  <si>
    <t xml:space="preserve">Забайкальская обл </t>
  </si>
  <si>
    <t xml:space="preserve">Иркутская губ </t>
  </si>
  <si>
    <t>Приморская обл</t>
  </si>
  <si>
    <t xml:space="preserve">Тобольская губ </t>
  </si>
  <si>
    <t xml:space="preserve">Томская губ </t>
  </si>
  <si>
    <t xml:space="preserve">Якутская обл </t>
  </si>
  <si>
    <t xml:space="preserve">Остр Сахалинъ </t>
  </si>
  <si>
    <t xml:space="preserve">Среднее для Сибири </t>
  </si>
  <si>
    <t xml:space="preserve">Акмолинская обл </t>
  </si>
  <si>
    <t xml:space="preserve">Закаспійская  </t>
  </si>
  <si>
    <t xml:space="preserve">Семипалатинская </t>
  </si>
  <si>
    <t xml:space="preserve">Семирѣченская  </t>
  </si>
  <si>
    <t xml:space="preserve">Сыръ-Дарьинская </t>
  </si>
  <si>
    <t xml:space="preserve">Тургайская   </t>
  </si>
  <si>
    <t xml:space="preserve">Уральская   </t>
  </si>
  <si>
    <t xml:space="preserve">Ферганская   </t>
  </si>
  <si>
    <t xml:space="preserve">Среднее для 2 Среднеазіатскихъ областей </t>
  </si>
  <si>
    <t>Среднее для всей Имперіи</t>
  </si>
  <si>
    <t>Число рождений "в земских губерний" напечатано 3,212,059, правильное число = 3,212,509</t>
  </si>
  <si>
    <t>Число рождений "для Европейской России" напечатано 4,702,629, с учётом предыдущей поправки = 4,703,088</t>
  </si>
  <si>
    <t>vd-чу</t>
  </si>
  <si>
    <t>v-чу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</si>
</sst>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6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0" fillId="3" borderId="0" xfId="0" applyNumberFormat="1" applyFill="1" applyBorder="1" applyAlignment="1">
      <alignment horizontal="right" vertical="center"/>
    </xf>
    <xf numFmtId="3" fontId="0" fillId="0" borderId="1" xfId="0" applyNumberFormat="1" applyAlignment="1">
      <alignment horizontal="right" vertical="center"/>
    </xf>
    <xf numFmtId="3" fontId="0" fillId="3" borderId="1" xfId="0" applyNumberFormat="1" applyFill="1" applyAlignment="1">
      <alignment horizontal="right" vertical="center"/>
    </xf>
    <xf numFmtId="3" fontId="0" fillId="0" borderId="0" xfId="0" applyNumberFormat="1" applyBorder="1" applyAlignment="1">
      <alignment horizontal="right"/>
    </xf>
    <xf numFmtId="3" fontId="0" fillId="0" borderId="1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3" fontId="0" fillId="4" borderId="0" xfId="0" applyNumberFormat="1" applyFill="1" applyBorder="1" applyAlignment="1">
      <alignment horizontal="right" vertical="center"/>
    </xf>
    <xf numFmtId="3" fontId="2" fillId="4" borderId="0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0" fillId="4" borderId="0" xfId="0" applyNumberFormat="1" applyFill="1" applyBorder="1" applyAlignment="1">
      <alignment horizontal="right"/>
    </xf>
    <xf numFmtId="0" fontId="0" fillId="4" borderId="0" xfId="0" applyFill="1" applyBorder="1" applyAlignment="1">
      <alignment horizontal="left"/>
    </xf>
    <xf numFmtId="3" fontId="0" fillId="4" borderId="1" xfId="0" applyNumberFormat="1" applyFill="1" applyAlignment="1">
      <alignment horizontal="right"/>
    </xf>
    <xf numFmtId="0" fontId="0" fillId="4" borderId="1" xfId="0" applyFill="1" applyAlignment="1">
      <alignment horizontal="left"/>
    </xf>
    <xf numFmtId="3" fontId="0" fillId="4" borderId="1" xfId="0" applyNumberFormat="1" applyFill="1" applyAlignment="1">
      <alignment horizontal="right" vertical="center"/>
    </xf>
    <xf numFmtId="0" fontId="0" fillId="4" borderId="1" xfId="0" applyFill="1" applyAlignment="1">
      <alignment horizontal="left" vertical="center"/>
    </xf>
    <xf numFmtId="0" fontId="0" fillId="5" borderId="0" xfId="0" applyFill="1" applyBorder="1"/>
    <xf numFmtId="3" fontId="0" fillId="5" borderId="0" xfId="0" applyNumberFormat="1" applyFill="1" applyBorder="1" applyAlignment="1">
      <alignment horizontal="right"/>
    </xf>
    <xf numFmtId="3" fontId="0" fillId="5" borderId="0" xfId="0" applyNumberFormat="1" applyFill="1" applyBorder="1" applyAlignment="1">
      <alignment horizontal="right" vertical="center"/>
    </xf>
    <xf numFmtId="3" fontId="0" fillId="5" borderId="1" xfId="0" applyNumberFormat="1" applyFill="1" applyAlignment="1">
      <alignment horizontal="right" vertical="center"/>
    </xf>
    <xf numFmtId="3" fontId="0" fillId="5" borderId="1" xfId="0" applyNumberFormat="1" applyFill="1" applyAlignment="1">
      <alignment horizontal="right"/>
    </xf>
    <xf numFmtId="3" fontId="1" fillId="0" borderId="1" xfId="0" applyNumberFormat="1" applyFont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3" fontId="1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Alignment="1">
      <alignment horizontal="center" vertical="center"/>
    </xf>
    <xf numFmtId="164" fontId="0" fillId="4" borderId="1" xfId="0" applyNumberFormat="1" applyFill="1" applyAlignment="1">
      <alignment horizontal="right" vertical="center"/>
    </xf>
    <xf numFmtId="3" fontId="0" fillId="0" borderId="1" xfId="0" applyNumberFormat="1" applyAlignment="1">
      <alignment horizontal="center" vertical="center"/>
    </xf>
    <xf numFmtId="164" fontId="0" fillId="5" borderId="1" xfId="0" applyNumberFormat="1" applyFill="1" applyAlignment="1">
      <alignment horizontal="right" vertical="center"/>
    </xf>
    <xf numFmtId="3" fontId="0" fillId="4" borderId="1" xfId="0" applyNumberFormat="1" applyFill="1" applyAlignment="1">
      <alignment horizontal="center" vertical="center"/>
    </xf>
    <xf numFmtId="0" fontId="0" fillId="0" borderId="1" xfId="0" applyAlignment="1">
      <alignment horizontal="center" vertical="center"/>
    </xf>
    <xf numFmtId="0" fontId="0" fillId="0" borderId="1" xfId="0"/>
    <xf numFmtId="0" fontId="3" fillId="0" borderId="0" xfId="0" applyFont="1" applyBorder="1" applyAlignment="1">
      <alignment horizontal="center" vertical="center"/>
    </xf>
    <xf numFmtId="3" fontId="3" fillId="6" borderId="0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left"/>
    </xf>
    <xf numFmtId="0" fontId="0" fillId="3" borderId="1" xfId="0" applyFill="1" applyAlignment="1">
      <alignment horizontal="left" vertical="center"/>
    </xf>
    <xf numFmtId="3" fontId="0" fillId="4" borderId="0" xfId="0" applyNumberFormat="1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164" fontId="0" fillId="5" borderId="0" xfId="0" applyNumberFormat="1" applyFill="1" applyBorder="1" applyAlignment="1">
      <alignment horizontal="right" vertical="center"/>
    </xf>
    <xf numFmtId="0" fontId="0" fillId="0" borderId="1" xfId="0" applyAlignment="1">
      <alignment horizontal="left" vertical="center"/>
    </xf>
    <xf numFmtId="0" fontId="0" fillId="0" borderId="1" xfId="0" applyAlignment="1">
      <alignment horizontal="right" vertical="center"/>
    </xf>
    <xf numFmtId="0" fontId="0" fillId="4" borderId="1" xfId="0" applyFill="1" applyAlignment="1">
      <alignment horizontal="right" vertical="center"/>
    </xf>
    <xf numFmtId="0" fontId="4" fillId="0" borderId="1" xfId="0" applyFont="1"/>
    <xf numFmtId="164" fontId="0" fillId="0" borderId="1" xfId="0" applyNumberFormat="1"/>
    <xf numFmtId="0" fontId="0" fillId="0" borderId="1" xfId="0" applyAlignment="1">
      <alignment wrapText="1"/>
    </xf>
    <xf numFmtId="164" fontId="0" fillId="0" borderId="1" xfId="0" applyNumberFormat="1" applyAlignment="1">
      <alignment horizontal="center"/>
    </xf>
    <xf numFmtId="3" fontId="0" fillId="7" borderId="1" xfId="0" applyNumberFormat="1" applyFill="1" applyAlignment="1">
      <alignment horizontal="right"/>
    </xf>
    <xf numFmtId="3" fontId="0" fillId="7" borderId="0" xfId="0" applyNumberFormat="1" applyFill="1" applyBorder="1" applyAlignment="1">
      <alignment horizontal="right" vertical="center"/>
    </xf>
    <xf numFmtId="3" fontId="0" fillId="7" borderId="0" xfId="0" applyNumberFormat="1" applyFill="1" applyBorder="1" applyAlignment="1">
      <alignment horizontal="right"/>
    </xf>
    <xf numFmtId="3" fontId="0" fillId="7" borderId="1" xfId="0" applyNumberFormat="1" applyFill="1" applyAlignment="1">
      <alignment horizontal="right" vertical="center"/>
    </xf>
    <xf numFmtId="3" fontId="0" fillId="4" borderId="1" xfId="0" applyNumberFormat="1" applyFill="1" applyAlignment="1">
      <alignment horizontal="center"/>
    </xf>
    <xf numFmtId="3" fontId="0" fillId="7" borderId="1" xfId="0" applyNumberFormat="1" applyFill="1" applyAlignment="1">
      <alignment horizontal="center"/>
    </xf>
    <xf numFmtId="3" fontId="0" fillId="7" borderId="0" xfId="0" applyNumberFormat="1" applyFill="1" applyBorder="1" applyAlignment="1">
      <alignment horizontal="center"/>
    </xf>
    <xf numFmtId="3" fontId="1" fillId="6" borderId="0" xfId="0" applyNumberFormat="1" applyFont="1" applyFill="1" applyBorder="1" applyAlignment="1">
      <alignment horizontal="center" vertical="center"/>
    </xf>
    <xf numFmtId="3" fontId="0" fillId="8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8D20-6275-41B8-982F-8FFD4E68F4B1}">
  <dimension ref="A1:A3"/>
  <sheetViews>
    <sheetView workbookViewId="0">
      <selection activeCell="E32" sqref="E32"/>
    </sheetView>
  </sheetViews>
  <sheetFormatPr defaultRowHeight="14.4" x14ac:dyDescent="0.55000000000000004"/>
  <sheetData>
    <row r="1" spans="1:1" x14ac:dyDescent="0.55000000000000004">
      <c r="A1" s="41" t="s">
        <v>390</v>
      </c>
    </row>
    <row r="2" spans="1:1" x14ac:dyDescent="0.55000000000000004">
      <c r="A2" s="41"/>
    </row>
    <row r="3" spans="1:1" x14ac:dyDescent="0.55000000000000004">
      <c r="A3" s="41" t="s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5BB2-12A9-42A6-B34F-FED52308A84D}">
  <dimension ref="A1:I410"/>
  <sheetViews>
    <sheetView workbookViewId="0">
      <pane ySplit="1" topLeftCell="A51" activePane="bottomLeft" state="frozen"/>
      <selection pane="bottomLeft" activeCell="C89" sqref="C89"/>
    </sheetView>
  </sheetViews>
  <sheetFormatPr defaultRowHeight="14.4" x14ac:dyDescent="0.55000000000000004"/>
  <cols>
    <col min="1" max="1" width="37.83984375" bestFit="1" customWidth="1"/>
    <col min="3" max="5" width="6.15625" bestFit="1" customWidth="1"/>
    <col min="7" max="9" width="5.83984375" bestFit="1" customWidth="1"/>
  </cols>
  <sheetData>
    <row r="1" spans="1:9" x14ac:dyDescent="0.55000000000000004">
      <c r="A1" s="53" t="s">
        <v>0</v>
      </c>
      <c r="B1" s="53"/>
      <c r="C1" s="53" t="s">
        <v>302</v>
      </c>
      <c r="D1" s="53" t="s">
        <v>303</v>
      </c>
      <c r="E1" s="53" t="s">
        <v>304</v>
      </c>
      <c r="F1" s="53"/>
      <c r="G1" s="53" t="s">
        <v>305</v>
      </c>
      <c r="H1" s="53" t="s">
        <v>306</v>
      </c>
      <c r="I1" s="53" t="s">
        <v>307</v>
      </c>
    </row>
    <row r="2" spans="1:9" x14ac:dyDescent="0.55000000000000004">
      <c r="A2" s="41" t="s">
        <v>308</v>
      </c>
      <c r="B2" s="41"/>
      <c r="C2" s="54">
        <v>40.1</v>
      </c>
      <c r="D2" s="54">
        <v>38.700000000000003</v>
      </c>
      <c r="E2" s="54">
        <v>39</v>
      </c>
      <c r="F2" s="54"/>
      <c r="G2" s="54">
        <v>25.1</v>
      </c>
      <c r="H2" s="54">
        <v>29.1</v>
      </c>
      <c r="I2" s="54">
        <v>25.8</v>
      </c>
    </row>
    <row r="3" spans="1:9" x14ac:dyDescent="0.55000000000000004">
      <c r="A3" s="41" t="s">
        <v>309</v>
      </c>
      <c r="B3" s="41"/>
      <c r="C3" s="54">
        <v>58.3</v>
      </c>
      <c r="D3" s="54">
        <v>56.9</v>
      </c>
      <c r="E3" s="54">
        <v>61.4</v>
      </c>
      <c r="F3" s="54"/>
      <c r="G3" s="54">
        <v>45.5</v>
      </c>
      <c r="H3" s="54">
        <v>41.7</v>
      </c>
      <c r="I3" s="54">
        <v>43.3</v>
      </c>
    </row>
    <row r="4" spans="1:9" x14ac:dyDescent="0.55000000000000004">
      <c r="A4" s="41" t="s">
        <v>310</v>
      </c>
      <c r="B4" s="41"/>
      <c r="C4" s="54">
        <v>43.1</v>
      </c>
      <c r="D4" s="54">
        <v>43.1</v>
      </c>
      <c r="E4" s="54">
        <v>41.5</v>
      </c>
      <c r="F4" s="54"/>
      <c r="G4" s="54">
        <v>24.4</v>
      </c>
      <c r="H4" s="54">
        <v>23.9</v>
      </c>
      <c r="I4" s="54">
        <v>25.6</v>
      </c>
    </row>
    <row r="5" spans="1:9" x14ac:dyDescent="0.55000000000000004">
      <c r="A5" s="41" t="s">
        <v>311</v>
      </c>
      <c r="B5" s="41"/>
      <c r="C5" s="54">
        <v>42.8</v>
      </c>
      <c r="D5" s="54">
        <v>42.5</v>
      </c>
      <c r="E5" s="54">
        <v>48.6</v>
      </c>
      <c r="F5" s="54"/>
      <c r="G5" s="54">
        <v>23.1</v>
      </c>
      <c r="H5" s="54">
        <v>25.2</v>
      </c>
      <c r="I5" s="54">
        <v>25.8</v>
      </c>
    </row>
    <row r="6" spans="1:9" x14ac:dyDescent="0.55000000000000004">
      <c r="A6" s="41" t="s">
        <v>312</v>
      </c>
      <c r="B6" s="41"/>
      <c r="C6" s="54">
        <v>51.4</v>
      </c>
      <c r="D6" s="54">
        <v>50.5</v>
      </c>
      <c r="E6" s="54">
        <v>52.7</v>
      </c>
      <c r="F6" s="54"/>
      <c r="G6" s="54">
        <v>29.2</v>
      </c>
      <c r="H6" s="54">
        <v>31.7</v>
      </c>
      <c r="I6" s="54">
        <v>32.5</v>
      </c>
    </row>
    <row r="7" spans="1:9" x14ac:dyDescent="0.55000000000000004">
      <c r="A7" s="41" t="s">
        <v>313</v>
      </c>
      <c r="B7" s="41"/>
      <c r="C7" s="54">
        <v>40.9</v>
      </c>
      <c r="D7" s="54">
        <v>41.1</v>
      </c>
      <c r="E7" s="54">
        <v>41.9</v>
      </c>
      <c r="F7" s="54"/>
      <c r="G7" s="54">
        <v>25.5</v>
      </c>
      <c r="H7" s="54">
        <v>28.3</v>
      </c>
      <c r="I7" s="54">
        <v>28</v>
      </c>
    </row>
    <row r="8" spans="1:9" x14ac:dyDescent="0.55000000000000004">
      <c r="A8" s="41" t="s">
        <v>314</v>
      </c>
      <c r="B8" s="41"/>
      <c r="C8" s="54">
        <v>50.7</v>
      </c>
      <c r="D8" s="54">
        <v>50</v>
      </c>
      <c r="E8" s="54">
        <v>52.3</v>
      </c>
      <c r="F8" s="54"/>
      <c r="G8" s="54">
        <v>31.1</v>
      </c>
      <c r="H8" s="54">
        <v>33.700000000000003</v>
      </c>
      <c r="I8" s="54">
        <v>35.5</v>
      </c>
    </row>
    <row r="9" spans="1:9" x14ac:dyDescent="0.55000000000000004">
      <c r="A9" s="41" t="s">
        <v>30</v>
      </c>
      <c r="B9" s="41"/>
      <c r="C9" s="54">
        <v>35.299999999999997</v>
      </c>
      <c r="D9" s="54">
        <v>35.200000000000003</v>
      </c>
      <c r="E9" s="54">
        <v>34.200000000000003</v>
      </c>
      <c r="F9" s="54"/>
      <c r="G9" s="54">
        <v>24.6</v>
      </c>
      <c r="H9" s="54">
        <v>22.6</v>
      </c>
      <c r="I9" s="54">
        <v>23.5</v>
      </c>
    </row>
    <row r="10" spans="1:9" x14ac:dyDescent="0.55000000000000004">
      <c r="A10" s="41" t="s">
        <v>315</v>
      </c>
      <c r="B10" s="41"/>
      <c r="C10" s="54">
        <v>46.1</v>
      </c>
      <c r="D10" s="54">
        <v>47.2</v>
      </c>
      <c r="E10" s="54">
        <v>47.9</v>
      </c>
      <c r="F10" s="54"/>
      <c r="G10" s="54">
        <v>26.5</v>
      </c>
      <c r="H10" s="54">
        <v>27.4</v>
      </c>
      <c r="I10" s="54">
        <v>26.1</v>
      </c>
    </row>
    <row r="11" spans="1:9" x14ac:dyDescent="0.55000000000000004">
      <c r="A11" s="55" t="s">
        <v>316</v>
      </c>
      <c r="B11" s="41"/>
      <c r="C11" s="54">
        <v>50.7</v>
      </c>
      <c r="D11" s="54">
        <v>49.1</v>
      </c>
      <c r="E11" s="54">
        <v>50.1</v>
      </c>
      <c r="F11" s="54"/>
      <c r="G11" s="54">
        <v>30.2</v>
      </c>
      <c r="H11" s="54">
        <v>28.6</v>
      </c>
      <c r="I11" s="54">
        <v>27</v>
      </c>
    </row>
    <row r="12" spans="1:9" x14ac:dyDescent="0.55000000000000004">
      <c r="A12" s="55" t="s">
        <v>39</v>
      </c>
      <c r="B12" s="41"/>
      <c r="C12" s="54">
        <v>59.6</v>
      </c>
      <c r="D12" s="54">
        <v>58.8</v>
      </c>
      <c r="E12" s="54">
        <v>61.1</v>
      </c>
      <c r="F12" s="54"/>
      <c r="G12" s="54">
        <v>42.2</v>
      </c>
      <c r="H12" s="54">
        <v>43.7</v>
      </c>
      <c r="I12" s="54">
        <v>39</v>
      </c>
    </row>
    <row r="13" spans="1:9" x14ac:dyDescent="0.55000000000000004">
      <c r="A13" s="41" t="s">
        <v>317</v>
      </c>
      <c r="B13" s="41"/>
      <c r="C13" s="54">
        <v>48.7</v>
      </c>
      <c r="D13" s="54">
        <v>46</v>
      </c>
      <c r="E13" s="54">
        <v>50</v>
      </c>
      <c r="F13" s="54"/>
      <c r="G13" s="54">
        <v>29.4</v>
      </c>
      <c r="H13" s="54">
        <v>30.2</v>
      </c>
      <c r="I13" s="54">
        <v>32.200000000000003</v>
      </c>
    </row>
    <row r="14" spans="1:9" x14ac:dyDescent="0.55000000000000004">
      <c r="A14" s="41" t="s">
        <v>318</v>
      </c>
      <c r="B14" s="41"/>
      <c r="C14" s="54">
        <v>47.7</v>
      </c>
      <c r="D14" s="54">
        <v>46.9</v>
      </c>
      <c r="E14" s="54">
        <v>48.7</v>
      </c>
      <c r="F14" s="54"/>
      <c r="G14" s="54">
        <v>29.2</v>
      </c>
      <c r="H14" s="54">
        <v>30.3</v>
      </c>
      <c r="I14" s="54">
        <v>30.6</v>
      </c>
    </row>
    <row r="15" spans="1:9" x14ac:dyDescent="0.55000000000000004">
      <c r="A15" s="41" t="s">
        <v>319</v>
      </c>
      <c r="B15" s="41"/>
      <c r="C15" s="54">
        <v>43</v>
      </c>
      <c r="D15" s="54">
        <v>39.1</v>
      </c>
      <c r="E15" s="54">
        <v>42.9</v>
      </c>
      <c r="F15" s="54"/>
      <c r="G15" s="54">
        <v>24.6</v>
      </c>
      <c r="H15" s="54">
        <v>25.2</v>
      </c>
      <c r="I15" s="54">
        <v>27.2</v>
      </c>
    </row>
    <row r="16" spans="1:9" x14ac:dyDescent="0.55000000000000004">
      <c r="A16" s="41" t="s">
        <v>320</v>
      </c>
      <c r="B16" s="41"/>
      <c r="C16" s="54">
        <v>41.7</v>
      </c>
      <c r="D16" s="54">
        <v>45.5</v>
      </c>
      <c r="E16" s="54">
        <v>49.6</v>
      </c>
      <c r="F16" s="54"/>
      <c r="G16" s="54">
        <v>25.4</v>
      </c>
      <c r="H16" s="54">
        <v>29.2</v>
      </c>
      <c r="I16" s="54">
        <v>29.3</v>
      </c>
    </row>
    <row r="17" spans="1:9" x14ac:dyDescent="0.55000000000000004">
      <c r="A17" s="41" t="s">
        <v>321</v>
      </c>
      <c r="B17" s="41"/>
      <c r="C17" s="54">
        <v>37.5</v>
      </c>
      <c r="D17" s="54">
        <v>40.700000000000003</v>
      </c>
      <c r="E17" s="54">
        <v>41.5</v>
      </c>
      <c r="F17" s="54"/>
      <c r="G17" s="54">
        <v>20.3</v>
      </c>
      <c r="H17" s="54">
        <v>23.3</v>
      </c>
      <c r="I17" s="54">
        <v>22.9</v>
      </c>
    </row>
    <row r="18" spans="1:9" x14ac:dyDescent="0.55000000000000004">
      <c r="A18" s="41" t="s">
        <v>322</v>
      </c>
      <c r="B18" s="41"/>
      <c r="C18" s="54">
        <v>41.5</v>
      </c>
      <c r="D18" s="54">
        <v>37.700000000000003</v>
      </c>
      <c r="E18" s="54">
        <v>39.5</v>
      </c>
      <c r="F18" s="54"/>
      <c r="G18" s="54">
        <v>22.5</v>
      </c>
      <c r="H18" s="54">
        <v>24.3</v>
      </c>
      <c r="I18" s="54">
        <v>20.7</v>
      </c>
    </row>
    <row r="19" spans="1:9" x14ac:dyDescent="0.55000000000000004">
      <c r="A19" s="41" t="s">
        <v>323</v>
      </c>
      <c r="B19" s="41"/>
      <c r="C19" s="54">
        <v>39.200000000000003</v>
      </c>
      <c r="D19" s="54">
        <v>40.200000000000003</v>
      </c>
      <c r="E19" s="54">
        <v>41.6</v>
      </c>
      <c r="F19" s="54"/>
      <c r="G19" s="54">
        <v>24.6</v>
      </c>
      <c r="H19" s="54">
        <v>28.4</v>
      </c>
      <c r="I19" s="54">
        <v>28.9</v>
      </c>
    </row>
    <row r="20" spans="1:9" x14ac:dyDescent="0.55000000000000004">
      <c r="A20" s="41" t="s">
        <v>59</v>
      </c>
      <c r="B20" s="41"/>
      <c r="C20" s="54">
        <v>39.4</v>
      </c>
      <c r="D20" s="54">
        <v>41.3</v>
      </c>
      <c r="E20" s="54">
        <v>39.299999999999997</v>
      </c>
      <c r="F20" s="54"/>
      <c r="G20" s="54">
        <v>23.7</v>
      </c>
      <c r="H20" s="54">
        <v>24.7</v>
      </c>
      <c r="I20" s="54">
        <v>24.7</v>
      </c>
    </row>
    <row r="21" spans="1:9" x14ac:dyDescent="0.55000000000000004">
      <c r="A21" s="41" t="s">
        <v>62</v>
      </c>
      <c r="B21" s="41"/>
      <c r="C21" s="54">
        <v>41.2</v>
      </c>
      <c r="D21" s="54">
        <v>39.4</v>
      </c>
      <c r="E21" s="54">
        <v>30.3</v>
      </c>
      <c r="F21" s="54"/>
      <c r="G21" s="54">
        <v>21.4</v>
      </c>
      <c r="H21" s="54">
        <v>22.9</v>
      </c>
      <c r="I21" s="54">
        <v>17.600000000000001</v>
      </c>
    </row>
    <row r="22" spans="1:9" x14ac:dyDescent="0.55000000000000004">
      <c r="A22" s="41" t="s">
        <v>324</v>
      </c>
      <c r="B22" s="41"/>
      <c r="C22" s="54">
        <v>37.6</v>
      </c>
      <c r="D22" s="54">
        <v>39.799999999999997</v>
      </c>
      <c r="E22" s="54">
        <v>37.1</v>
      </c>
      <c r="F22" s="54"/>
      <c r="G22" s="54">
        <v>25.7</v>
      </c>
      <c r="H22" s="54">
        <v>27.1</v>
      </c>
      <c r="I22" s="54">
        <v>23</v>
      </c>
    </row>
    <row r="23" spans="1:9" x14ac:dyDescent="0.55000000000000004">
      <c r="A23" s="41" t="s">
        <v>68</v>
      </c>
      <c r="B23" s="41"/>
      <c r="C23" s="54">
        <v>39.4</v>
      </c>
      <c r="D23" s="54">
        <v>37.799999999999997</v>
      </c>
      <c r="E23" s="54">
        <v>42.8</v>
      </c>
      <c r="F23" s="54"/>
      <c r="G23" s="54">
        <v>21.3</v>
      </c>
      <c r="H23" s="54">
        <v>23.7</v>
      </c>
      <c r="I23" s="54">
        <v>21.4</v>
      </c>
    </row>
    <row r="24" spans="1:9" x14ac:dyDescent="0.55000000000000004">
      <c r="A24" s="41" t="s">
        <v>71</v>
      </c>
      <c r="B24" s="41"/>
      <c r="C24" s="54">
        <v>29.2</v>
      </c>
      <c r="D24" s="54">
        <v>28.6</v>
      </c>
      <c r="E24" s="54">
        <v>30.7</v>
      </c>
      <c r="F24" s="54"/>
      <c r="G24" s="54">
        <v>21.5</v>
      </c>
      <c r="H24" s="54">
        <v>20</v>
      </c>
      <c r="I24" s="54">
        <v>23.4</v>
      </c>
    </row>
    <row r="25" spans="1:9" x14ac:dyDescent="0.55000000000000004">
      <c r="A25" s="41" t="s">
        <v>325</v>
      </c>
      <c r="B25" s="41"/>
      <c r="C25" s="54">
        <v>38.299999999999997</v>
      </c>
      <c r="D25" s="54">
        <v>41.1</v>
      </c>
      <c r="E25" s="54">
        <v>38.200000000000003</v>
      </c>
      <c r="F25" s="54"/>
      <c r="G25" s="54">
        <v>24.3</v>
      </c>
      <c r="H25" s="54">
        <v>21.2</v>
      </c>
      <c r="I25" s="54">
        <v>23.7</v>
      </c>
    </row>
    <row r="26" spans="1:9" x14ac:dyDescent="0.55000000000000004">
      <c r="A26" s="41" t="s">
        <v>326</v>
      </c>
      <c r="B26" s="41"/>
      <c r="C26" s="54">
        <v>39.200000000000003</v>
      </c>
      <c r="D26" s="54">
        <v>39.200000000000003</v>
      </c>
      <c r="E26" s="54">
        <v>38.799999999999997</v>
      </c>
      <c r="F26" s="54"/>
      <c r="G26" s="54">
        <v>22.9</v>
      </c>
      <c r="H26" s="54">
        <v>24.3</v>
      </c>
      <c r="I26" s="54">
        <v>23.4</v>
      </c>
    </row>
    <row r="27" spans="1:9" x14ac:dyDescent="0.55000000000000004">
      <c r="A27" s="41" t="s">
        <v>327</v>
      </c>
      <c r="B27" s="41"/>
      <c r="C27" s="54">
        <v>26.6</v>
      </c>
      <c r="D27" s="54">
        <v>27.8</v>
      </c>
      <c r="E27" s="54">
        <v>27.9</v>
      </c>
      <c r="F27" s="54"/>
      <c r="G27" s="54">
        <v>16.899999999999999</v>
      </c>
      <c r="H27" s="54">
        <v>17</v>
      </c>
      <c r="I27" s="54">
        <v>17.100000000000001</v>
      </c>
    </row>
    <row r="28" spans="1:9" x14ac:dyDescent="0.55000000000000004">
      <c r="A28" s="41" t="s">
        <v>81</v>
      </c>
      <c r="B28" s="41"/>
      <c r="C28" s="54">
        <v>28.9</v>
      </c>
      <c r="D28" s="54">
        <v>28.8</v>
      </c>
      <c r="E28" s="54">
        <v>30.1</v>
      </c>
      <c r="F28" s="54"/>
      <c r="G28" s="54">
        <v>20</v>
      </c>
      <c r="H28" s="54">
        <v>19.8</v>
      </c>
      <c r="I28" s="54">
        <v>22.9</v>
      </c>
    </row>
    <row r="29" spans="1:9" x14ac:dyDescent="0.55000000000000004">
      <c r="A29" s="41" t="s">
        <v>328</v>
      </c>
      <c r="B29" s="41"/>
      <c r="C29" s="54">
        <v>29.3</v>
      </c>
      <c r="D29" s="54">
        <v>29.3</v>
      </c>
      <c r="E29" s="54">
        <v>27.7</v>
      </c>
      <c r="F29" s="54"/>
      <c r="G29" s="54">
        <v>19.899999999999999</v>
      </c>
      <c r="H29" s="54">
        <v>18</v>
      </c>
      <c r="I29" s="54">
        <v>21.1</v>
      </c>
    </row>
    <row r="30" spans="1:9" x14ac:dyDescent="0.55000000000000004">
      <c r="A30" s="41" t="s">
        <v>329</v>
      </c>
      <c r="B30" s="41"/>
      <c r="C30" s="54">
        <v>28.3</v>
      </c>
      <c r="D30" s="54">
        <v>28.6</v>
      </c>
      <c r="E30" s="54">
        <v>26.6</v>
      </c>
      <c r="F30" s="54"/>
      <c r="G30" s="54">
        <v>19.100000000000001</v>
      </c>
      <c r="H30" s="54">
        <v>18.600000000000001</v>
      </c>
      <c r="I30" s="54">
        <v>20.9</v>
      </c>
    </row>
    <row r="31" spans="1:9" x14ac:dyDescent="0.55000000000000004">
      <c r="A31" s="41" t="s">
        <v>330</v>
      </c>
      <c r="B31" s="41"/>
      <c r="C31" s="54">
        <v>49.4</v>
      </c>
      <c r="D31" s="54">
        <v>47.2</v>
      </c>
      <c r="E31" s="54">
        <v>46.3</v>
      </c>
      <c r="F31" s="54"/>
      <c r="G31" s="54">
        <v>32.799999999999997</v>
      </c>
      <c r="H31" s="54">
        <v>32.200000000000003</v>
      </c>
      <c r="I31" s="54">
        <v>26.9</v>
      </c>
    </row>
    <row r="32" spans="1:9" x14ac:dyDescent="0.55000000000000004">
      <c r="A32" s="41" t="s">
        <v>331</v>
      </c>
      <c r="B32" s="41"/>
      <c r="C32" s="54">
        <v>51.1</v>
      </c>
      <c r="D32" s="54">
        <v>52.1</v>
      </c>
      <c r="E32" s="54">
        <v>50</v>
      </c>
      <c r="F32" s="54"/>
      <c r="G32" s="54">
        <v>38.200000000000003</v>
      </c>
      <c r="H32" s="54">
        <v>43.3</v>
      </c>
      <c r="I32" s="54">
        <v>42</v>
      </c>
    </row>
    <row r="33" spans="1:9" x14ac:dyDescent="0.55000000000000004">
      <c r="A33" s="41" t="s">
        <v>332</v>
      </c>
      <c r="B33" s="41"/>
      <c r="C33" s="54">
        <v>47.1</v>
      </c>
      <c r="D33" s="54">
        <v>44.1</v>
      </c>
      <c r="E33" s="54">
        <v>41.6</v>
      </c>
      <c r="F33" s="54"/>
      <c r="G33" s="54">
        <v>28.8</v>
      </c>
      <c r="H33" s="54">
        <v>33.5</v>
      </c>
      <c r="I33" s="54">
        <v>34</v>
      </c>
    </row>
    <row r="34" spans="1:9" x14ac:dyDescent="0.55000000000000004">
      <c r="A34" s="41" t="s">
        <v>333</v>
      </c>
      <c r="B34" s="41"/>
      <c r="C34" s="54">
        <v>55.1</v>
      </c>
      <c r="D34" s="54">
        <v>50.1</v>
      </c>
      <c r="E34" s="54">
        <v>52.9</v>
      </c>
      <c r="F34" s="54"/>
      <c r="G34" s="54">
        <v>43.1</v>
      </c>
      <c r="H34" s="54">
        <v>40.1</v>
      </c>
      <c r="I34" s="54">
        <v>39.4</v>
      </c>
    </row>
    <row r="35" spans="1:9" x14ac:dyDescent="0.55000000000000004">
      <c r="A35" s="41" t="s">
        <v>100</v>
      </c>
      <c r="B35" s="41"/>
      <c r="C35" s="54">
        <v>54.8</v>
      </c>
      <c r="D35" s="54">
        <v>52.2</v>
      </c>
      <c r="E35" s="54">
        <v>52</v>
      </c>
      <c r="F35" s="54"/>
      <c r="G35" s="54">
        <v>37.1</v>
      </c>
      <c r="H35" s="54">
        <v>46.8</v>
      </c>
      <c r="I35" s="54">
        <v>41.6</v>
      </c>
    </row>
    <row r="36" spans="1:9" x14ac:dyDescent="0.55000000000000004">
      <c r="A36" s="41" t="s">
        <v>334</v>
      </c>
      <c r="B36" s="41"/>
      <c r="C36" s="54">
        <v>54.8</v>
      </c>
      <c r="D36" s="54">
        <v>55</v>
      </c>
      <c r="E36" s="54">
        <v>58.2</v>
      </c>
      <c r="F36" s="54"/>
      <c r="G36" s="54">
        <v>38.799999999999997</v>
      </c>
      <c r="H36" s="54">
        <v>39.200000000000003</v>
      </c>
      <c r="I36" s="54">
        <v>37.700000000000003</v>
      </c>
    </row>
    <row r="37" spans="1:9" x14ac:dyDescent="0.55000000000000004">
      <c r="A37" s="41" t="s">
        <v>335</v>
      </c>
      <c r="B37" s="41"/>
      <c r="C37" s="54">
        <v>45.7</v>
      </c>
      <c r="D37" s="54">
        <v>46.7</v>
      </c>
      <c r="E37" s="54">
        <v>47.4</v>
      </c>
      <c r="F37" s="54"/>
      <c r="G37" s="54">
        <v>34.799999999999997</v>
      </c>
      <c r="H37" s="54">
        <v>34.799999999999997</v>
      </c>
      <c r="I37" s="54">
        <v>35.6</v>
      </c>
    </row>
    <row r="38" spans="1:9" x14ac:dyDescent="0.55000000000000004">
      <c r="A38" s="41" t="s">
        <v>336</v>
      </c>
      <c r="B38" s="41"/>
      <c r="C38" s="54">
        <v>45.9</v>
      </c>
      <c r="D38" s="54">
        <v>49.1</v>
      </c>
      <c r="E38" s="54">
        <v>47.4</v>
      </c>
      <c r="F38" s="54"/>
      <c r="G38" s="54">
        <v>38.9</v>
      </c>
      <c r="H38" s="54">
        <v>40.700000000000003</v>
      </c>
      <c r="I38" s="54">
        <v>37.6</v>
      </c>
    </row>
    <row r="39" spans="1:9" x14ac:dyDescent="0.55000000000000004">
      <c r="A39" s="41" t="s">
        <v>337</v>
      </c>
      <c r="B39" s="41"/>
      <c r="C39" s="54">
        <v>47.2</v>
      </c>
      <c r="D39" s="54">
        <v>47.9</v>
      </c>
      <c r="E39" s="54">
        <v>45.4</v>
      </c>
      <c r="F39" s="54"/>
      <c r="G39" s="54">
        <v>29.1</v>
      </c>
      <c r="H39" s="54">
        <v>38.6</v>
      </c>
      <c r="I39" s="54">
        <v>40.700000000000003</v>
      </c>
    </row>
    <row r="40" spans="1:9" x14ac:dyDescent="0.55000000000000004">
      <c r="A40" s="41" t="s">
        <v>338</v>
      </c>
      <c r="B40" s="41"/>
      <c r="C40" s="54">
        <v>47.4</v>
      </c>
      <c r="D40" s="54">
        <v>44.4</v>
      </c>
      <c r="E40" s="54">
        <v>47.1</v>
      </c>
      <c r="F40" s="54"/>
      <c r="G40" s="54">
        <v>34.9</v>
      </c>
      <c r="H40" s="54">
        <v>34.799999999999997</v>
      </c>
      <c r="I40" s="54">
        <v>31.4</v>
      </c>
    </row>
    <row r="41" spans="1:9" x14ac:dyDescent="0.55000000000000004">
      <c r="A41" s="41" t="s">
        <v>339</v>
      </c>
      <c r="B41" s="41"/>
      <c r="C41" s="54">
        <v>47.7</v>
      </c>
      <c r="D41" s="54">
        <v>45.8</v>
      </c>
      <c r="E41" s="54">
        <v>45</v>
      </c>
      <c r="F41" s="54"/>
      <c r="G41" s="54">
        <v>39.200000000000003</v>
      </c>
      <c r="H41" s="54">
        <v>41.8</v>
      </c>
      <c r="I41" s="54">
        <v>39.5</v>
      </c>
    </row>
    <row r="42" spans="1:9" x14ac:dyDescent="0.55000000000000004">
      <c r="A42" s="41" t="s">
        <v>340</v>
      </c>
      <c r="B42" s="41"/>
      <c r="C42" s="54">
        <v>37.4</v>
      </c>
      <c r="D42" s="54">
        <v>40.6</v>
      </c>
      <c r="E42" s="54">
        <v>41.4</v>
      </c>
      <c r="F42" s="54"/>
      <c r="G42" s="54">
        <v>33.299999999999997</v>
      </c>
      <c r="H42" s="54">
        <v>36.9</v>
      </c>
      <c r="I42" s="54">
        <v>37.4</v>
      </c>
    </row>
    <row r="43" spans="1:9" x14ac:dyDescent="0.55000000000000004">
      <c r="A43" s="41" t="s">
        <v>341</v>
      </c>
      <c r="B43" s="41"/>
      <c r="C43" s="54">
        <v>51.4</v>
      </c>
      <c r="D43" s="54">
        <v>53</v>
      </c>
      <c r="E43" s="54">
        <v>52.6</v>
      </c>
      <c r="F43" s="54"/>
      <c r="G43" s="54">
        <v>43.1</v>
      </c>
      <c r="H43" s="54">
        <v>44.6</v>
      </c>
      <c r="I43" s="54">
        <v>43.5</v>
      </c>
    </row>
    <row r="44" spans="1:9" x14ac:dyDescent="0.55000000000000004">
      <c r="A44" s="41" t="s">
        <v>342</v>
      </c>
      <c r="B44" s="41"/>
      <c r="C44" s="54">
        <v>45.1</v>
      </c>
      <c r="D44" s="54">
        <v>43.1</v>
      </c>
      <c r="E44" s="54">
        <v>42</v>
      </c>
      <c r="F44" s="54"/>
      <c r="G44" s="54">
        <v>29.4</v>
      </c>
      <c r="H44" s="54">
        <v>31.9</v>
      </c>
      <c r="I44" s="54">
        <v>35.4</v>
      </c>
    </row>
    <row r="45" spans="1:9" x14ac:dyDescent="0.55000000000000004">
      <c r="A45" s="41" t="s">
        <v>343</v>
      </c>
      <c r="B45" s="41"/>
      <c r="C45" s="54">
        <v>47.9</v>
      </c>
      <c r="D45" s="54">
        <v>47.9</v>
      </c>
      <c r="E45" s="54">
        <v>46.3</v>
      </c>
      <c r="F45" s="54"/>
      <c r="G45" s="54">
        <v>35.200000000000003</v>
      </c>
      <c r="H45" s="54">
        <v>38.9</v>
      </c>
      <c r="I45" s="54">
        <v>38.799999999999997</v>
      </c>
    </row>
    <row r="46" spans="1:9" x14ac:dyDescent="0.55000000000000004">
      <c r="A46" s="41" t="s">
        <v>130</v>
      </c>
      <c r="B46" s="41"/>
      <c r="C46" s="54">
        <v>51.6</v>
      </c>
      <c r="D46" s="54">
        <v>50.6</v>
      </c>
      <c r="E46" s="54">
        <v>52.8</v>
      </c>
      <c r="F46" s="54"/>
      <c r="G46" s="54">
        <v>42.2</v>
      </c>
      <c r="H46" s="54">
        <v>40.6</v>
      </c>
      <c r="I46" s="54">
        <v>39.9</v>
      </c>
    </row>
    <row r="47" spans="1:9" x14ac:dyDescent="0.55000000000000004">
      <c r="A47" s="41" t="s">
        <v>133</v>
      </c>
      <c r="B47" s="41"/>
      <c r="C47" s="54">
        <v>49.1</v>
      </c>
      <c r="D47" s="54">
        <v>50</v>
      </c>
      <c r="E47" s="54">
        <v>52.5</v>
      </c>
      <c r="F47" s="54"/>
      <c r="G47" s="54">
        <v>46.2</v>
      </c>
      <c r="H47" s="54">
        <v>40</v>
      </c>
      <c r="I47" s="54">
        <v>39.6</v>
      </c>
    </row>
    <row r="48" spans="1:9" x14ac:dyDescent="0.55000000000000004">
      <c r="A48" s="41" t="s">
        <v>136</v>
      </c>
      <c r="B48" s="41"/>
      <c r="C48" s="54">
        <v>55.8</v>
      </c>
      <c r="D48" s="54">
        <v>54.5</v>
      </c>
      <c r="E48" s="54">
        <v>53.9</v>
      </c>
      <c r="F48" s="54"/>
      <c r="G48" s="54">
        <v>41.7</v>
      </c>
      <c r="H48" s="54">
        <v>48.7</v>
      </c>
      <c r="I48" s="54">
        <v>42.5</v>
      </c>
    </row>
    <row r="49" spans="1:9" x14ac:dyDescent="0.55000000000000004">
      <c r="A49" s="41" t="s">
        <v>344</v>
      </c>
      <c r="B49" s="41"/>
      <c r="C49" s="54">
        <v>45.7</v>
      </c>
      <c r="D49" s="54">
        <v>44.1</v>
      </c>
      <c r="E49" s="54">
        <v>48.5</v>
      </c>
      <c r="F49" s="54"/>
      <c r="G49" s="54">
        <v>28.3</v>
      </c>
      <c r="H49" s="54">
        <v>32.4</v>
      </c>
      <c r="I49" s="54">
        <v>28</v>
      </c>
    </row>
    <row r="50" spans="1:9" x14ac:dyDescent="0.55000000000000004">
      <c r="A50" s="41" t="s">
        <v>345</v>
      </c>
      <c r="B50" s="41"/>
      <c r="C50" s="54">
        <v>50.9</v>
      </c>
      <c r="D50" s="54">
        <v>48.9</v>
      </c>
      <c r="E50" s="54">
        <v>47.8</v>
      </c>
      <c r="F50" s="54"/>
      <c r="G50" s="54">
        <v>28.7</v>
      </c>
      <c r="H50" s="54">
        <v>31.5</v>
      </c>
      <c r="I50" s="54">
        <v>34.700000000000003</v>
      </c>
    </row>
    <row r="51" spans="1:9" x14ac:dyDescent="0.55000000000000004">
      <c r="A51" s="41" t="s">
        <v>346</v>
      </c>
      <c r="B51" s="41"/>
      <c r="C51" s="54">
        <v>47.2</v>
      </c>
      <c r="D51" s="54">
        <v>48.9</v>
      </c>
      <c r="E51" s="54">
        <v>47.3</v>
      </c>
      <c r="F51" s="54"/>
      <c r="G51" s="54">
        <v>33.799999999999997</v>
      </c>
      <c r="H51" s="54">
        <v>36.5</v>
      </c>
      <c r="I51" s="54">
        <v>32.4</v>
      </c>
    </row>
    <row r="52" spans="1:9" x14ac:dyDescent="0.55000000000000004">
      <c r="A52" s="41" t="s">
        <v>347</v>
      </c>
      <c r="B52" s="41"/>
      <c r="C52" s="54">
        <v>55.4</v>
      </c>
      <c r="D52" s="54">
        <v>56.4</v>
      </c>
      <c r="E52" s="54">
        <v>56.9</v>
      </c>
      <c r="F52" s="54"/>
      <c r="G52" s="54">
        <v>39.5</v>
      </c>
      <c r="H52" s="54">
        <v>40.200000000000003</v>
      </c>
      <c r="I52" s="54">
        <v>40.700000000000003</v>
      </c>
    </row>
    <row r="53" spans="1:9" x14ac:dyDescent="0.55000000000000004">
      <c r="A53" s="41" t="s">
        <v>348</v>
      </c>
      <c r="B53" s="41"/>
      <c r="C53" s="54">
        <v>49.4</v>
      </c>
      <c r="D53" s="54">
        <v>44.8</v>
      </c>
      <c r="E53" s="54">
        <v>40.4</v>
      </c>
      <c r="F53" s="54"/>
      <c r="G53" s="54">
        <v>38</v>
      </c>
      <c r="H53" s="54">
        <v>36.799999999999997</v>
      </c>
      <c r="I53" s="54">
        <v>33.700000000000003</v>
      </c>
    </row>
    <row r="54" spans="1:9" x14ac:dyDescent="0.55000000000000004">
      <c r="A54" s="41" t="s">
        <v>349</v>
      </c>
      <c r="B54" s="41"/>
      <c r="C54" s="54">
        <v>30.2</v>
      </c>
      <c r="D54" s="54">
        <v>29.9</v>
      </c>
      <c r="E54" s="54">
        <v>28.5</v>
      </c>
      <c r="F54" s="54"/>
      <c r="G54" s="54">
        <v>26.6</v>
      </c>
      <c r="H54" s="54">
        <v>25.6</v>
      </c>
      <c r="I54" s="54">
        <v>27.8</v>
      </c>
    </row>
    <row r="55" spans="1:9" x14ac:dyDescent="0.55000000000000004">
      <c r="A55" s="41" t="s">
        <v>156</v>
      </c>
      <c r="B55" s="41"/>
      <c r="C55" s="54">
        <v>51.8</v>
      </c>
      <c r="D55" s="54">
        <v>51.1</v>
      </c>
      <c r="E55" s="54">
        <v>52.3</v>
      </c>
      <c r="F55" s="54"/>
      <c r="G55" s="54">
        <v>43</v>
      </c>
      <c r="H55" s="54">
        <v>39.299999999999997</v>
      </c>
      <c r="I55" s="54">
        <v>36.6</v>
      </c>
    </row>
    <row r="56" spans="1:9" x14ac:dyDescent="0.55000000000000004">
      <c r="A56" s="41" t="s">
        <v>159</v>
      </c>
      <c r="B56" s="41"/>
      <c r="C56" s="54">
        <v>46.2</v>
      </c>
      <c r="D56" s="54">
        <v>46.7</v>
      </c>
      <c r="E56" s="54">
        <v>48.8</v>
      </c>
      <c r="F56" s="54"/>
      <c r="G56" s="54">
        <v>38</v>
      </c>
      <c r="H56" s="54">
        <v>39.4</v>
      </c>
      <c r="I56" s="54">
        <v>34.799999999999997</v>
      </c>
    </row>
    <row r="57" spans="1:9" x14ac:dyDescent="0.55000000000000004">
      <c r="A57" s="41" t="s">
        <v>162</v>
      </c>
      <c r="B57" s="41"/>
      <c r="C57" s="54">
        <v>54.7</v>
      </c>
      <c r="D57" s="54">
        <v>54</v>
      </c>
      <c r="E57" s="54">
        <v>52.6</v>
      </c>
      <c r="F57" s="54"/>
      <c r="G57" s="54">
        <v>39.299999999999997</v>
      </c>
      <c r="H57" s="54">
        <v>39.9</v>
      </c>
      <c r="I57" s="54">
        <v>39.700000000000003</v>
      </c>
    </row>
    <row r="58" spans="1:9" x14ac:dyDescent="0.55000000000000004">
      <c r="A58" s="41" t="s">
        <v>165</v>
      </c>
      <c r="B58" s="41"/>
      <c r="C58" s="54">
        <v>49</v>
      </c>
      <c r="D58" s="54">
        <v>52.1</v>
      </c>
      <c r="E58" s="54">
        <v>53.1</v>
      </c>
      <c r="F58" s="54"/>
      <c r="G58" s="54">
        <v>30</v>
      </c>
      <c r="H58" s="54">
        <v>30.6</v>
      </c>
      <c r="I58" s="54">
        <v>30.1</v>
      </c>
    </row>
    <row r="59" spans="1:9" x14ac:dyDescent="0.55000000000000004">
      <c r="A59" s="41" t="s">
        <v>168</v>
      </c>
      <c r="B59" s="41"/>
      <c r="C59" s="54">
        <v>47.9</v>
      </c>
      <c r="D59" s="54">
        <v>46.5</v>
      </c>
      <c r="E59" s="54">
        <v>49.8</v>
      </c>
      <c r="F59" s="54"/>
      <c r="G59" s="54">
        <v>39.4</v>
      </c>
      <c r="H59" s="54">
        <v>36.4</v>
      </c>
      <c r="I59" s="54">
        <v>35.700000000000003</v>
      </c>
    </row>
    <row r="60" spans="1:9" x14ac:dyDescent="0.55000000000000004">
      <c r="A60" s="41" t="s">
        <v>350</v>
      </c>
      <c r="B60" s="41"/>
      <c r="C60" s="54">
        <v>45.7</v>
      </c>
      <c r="D60" s="54">
        <v>46</v>
      </c>
      <c r="E60" s="54">
        <v>44</v>
      </c>
      <c r="F60" s="54"/>
      <c r="G60" s="54">
        <v>30.3</v>
      </c>
      <c r="H60" s="54">
        <v>34.1</v>
      </c>
      <c r="I60" s="54">
        <v>36.1</v>
      </c>
    </row>
    <row r="61" spans="1:9" x14ac:dyDescent="0.55000000000000004">
      <c r="A61" s="41" t="s">
        <v>174</v>
      </c>
      <c r="B61" s="41"/>
      <c r="C61" s="54">
        <v>50.3</v>
      </c>
      <c r="D61" s="54">
        <v>52.3</v>
      </c>
      <c r="E61" s="54">
        <v>49.7</v>
      </c>
      <c r="F61" s="54"/>
      <c r="G61" s="54">
        <v>44.2</v>
      </c>
      <c r="H61" s="54">
        <v>39.799999999999997</v>
      </c>
      <c r="I61" s="54">
        <v>46.7</v>
      </c>
    </row>
    <row r="62" spans="1:9" x14ac:dyDescent="0.55000000000000004">
      <c r="A62" s="41" t="s">
        <v>177</v>
      </c>
      <c r="B62" s="41"/>
      <c r="C62" s="54">
        <v>49.3</v>
      </c>
      <c r="D62" s="54">
        <v>47.4</v>
      </c>
      <c r="E62" s="54">
        <v>47.5</v>
      </c>
      <c r="F62" s="54"/>
      <c r="G62" s="54">
        <v>32.4</v>
      </c>
      <c r="H62" s="54">
        <v>32.6</v>
      </c>
      <c r="I62" s="54">
        <v>29.5</v>
      </c>
    </row>
    <row r="63" spans="1:9" x14ac:dyDescent="0.55000000000000004">
      <c r="A63" s="41" t="s">
        <v>180</v>
      </c>
      <c r="B63" s="41"/>
      <c r="C63" s="54">
        <v>45.2</v>
      </c>
      <c r="D63" s="54">
        <v>48.1</v>
      </c>
      <c r="E63" s="54">
        <v>51.3</v>
      </c>
      <c r="F63" s="54"/>
      <c r="G63" s="54">
        <v>35.299999999999997</v>
      </c>
      <c r="H63" s="54">
        <v>37.700000000000003</v>
      </c>
      <c r="I63" s="54">
        <v>36.799999999999997</v>
      </c>
    </row>
    <row r="64" spans="1:9" x14ac:dyDescent="0.55000000000000004">
      <c r="A64" s="41" t="s">
        <v>351</v>
      </c>
      <c r="B64" s="41"/>
      <c r="C64" s="54">
        <v>57.8</v>
      </c>
      <c r="D64" s="54">
        <v>52.7</v>
      </c>
      <c r="E64" s="54">
        <v>58.3</v>
      </c>
      <c r="F64" s="54"/>
      <c r="G64" s="54">
        <v>32.6</v>
      </c>
      <c r="H64" s="54">
        <v>32.5</v>
      </c>
      <c r="I64" s="54">
        <v>30.7</v>
      </c>
    </row>
    <row r="65" spans="1:9" x14ac:dyDescent="0.55000000000000004">
      <c r="A65" s="41" t="s">
        <v>352</v>
      </c>
      <c r="B65" s="41"/>
      <c r="C65" s="54">
        <v>41.9</v>
      </c>
      <c r="D65" s="54">
        <v>40.9</v>
      </c>
      <c r="E65" s="54">
        <v>34.799999999999997</v>
      </c>
      <c r="F65" s="54"/>
      <c r="G65" s="54">
        <v>34.1</v>
      </c>
      <c r="H65" s="54">
        <v>31.6</v>
      </c>
      <c r="I65" s="54">
        <v>28.8</v>
      </c>
    </row>
    <row r="66" spans="1:9" x14ac:dyDescent="0.55000000000000004">
      <c r="A66" s="41" t="s">
        <v>353</v>
      </c>
      <c r="B66" s="41"/>
      <c r="C66" s="54">
        <v>37.9</v>
      </c>
      <c r="D66" s="54">
        <v>37.1</v>
      </c>
      <c r="E66" s="54">
        <v>39.1</v>
      </c>
      <c r="F66" s="54"/>
      <c r="G66" s="54">
        <v>27.4</v>
      </c>
      <c r="H66" s="54">
        <v>28.4</v>
      </c>
      <c r="I66" s="54">
        <v>27.2</v>
      </c>
    </row>
    <row r="67" spans="1:9" x14ac:dyDescent="0.55000000000000004">
      <c r="A67" s="41" t="s">
        <v>354</v>
      </c>
      <c r="B67" s="41"/>
      <c r="C67" s="54">
        <v>48.4</v>
      </c>
      <c r="D67" s="54">
        <v>46.9</v>
      </c>
      <c r="E67" s="54">
        <v>48.7</v>
      </c>
      <c r="F67" s="54"/>
      <c r="G67" s="54">
        <v>34.4</v>
      </c>
      <c r="H67" s="54">
        <v>34.4</v>
      </c>
      <c r="I67" s="54">
        <v>31.4</v>
      </c>
    </row>
    <row r="68" spans="1:9" x14ac:dyDescent="0.55000000000000004">
      <c r="A68" s="41" t="s">
        <v>191</v>
      </c>
      <c r="B68" s="41"/>
      <c r="C68" s="54">
        <v>39.1</v>
      </c>
      <c r="D68" s="54">
        <v>36.9</v>
      </c>
      <c r="E68" s="54">
        <v>34.700000000000003</v>
      </c>
      <c r="F68" s="54"/>
      <c r="G68" s="54">
        <v>27.7</v>
      </c>
      <c r="H68" s="54">
        <v>32.6</v>
      </c>
      <c r="I68" s="54">
        <v>34.5</v>
      </c>
    </row>
    <row r="69" spans="1:9" x14ac:dyDescent="0.55000000000000004">
      <c r="A69" s="41" t="s">
        <v>355</v>
      </c>
      <c r="B69" s="41"/>
      <c r="C69" s="54">
        <v>49.3</v>
      </c>
      <c r="D69" s="54">
        <v>48.5</v>
      </c>
      <c r="E69" s="54">
        <v>49.2</v>
      </c>
      <c r="F69" s="54"/>
      <c r="G69" s="54">
        <v>36.4</v>
      </c>
      <c r="H69" s="54">
        <v>37.6</v>
      </c>
      <c r="I69" s="54">
        <v>36.1</v>
      </c>
    </row>
    <row r="70" spans="1:9" x14ac:dyDescent="0.55000000000000004">
      <c r="A70" s="41" t="s">
        <v>356</v>
      </c>
      <c r="B70" s="41"/>
      <c r="C70" s="54">
        <v>58.1</v>
      </c>
      <c r="D70" s="54">
        <v>56.1</v>
      </c>
      <c r="E70" s="54">
        <v>58.5</v>
      </c>
      <c r="F70" s="54"/>
      <c r="G70" s="54">
        <v>39.1</v>
      </c>
      <c r="H70" s="54">
        <v>33.200000000000003</v>
      </c>
      <c r="I70" s="54">
        <v>36.9</v>
      </c>
    </row>
    <row r="71" spans="1:9" x14ac:dyDescent="0.55000000000000004">
      <c r="A71" s="41" t="s">
        <v>357</v>
      </c>
      <c r="B71" s="41"/>
      <c r="C71" s="54">
        <v>47.7</v>
      </c>
      <c r="D71" s="54">
        <v>46.8</v>
      </c>
      <c r="E71" s="54">
        <v>47.7</v>
      </c>
      <c r="F71" s="54"/>
      <c r="G71" s="54">
        <v>33.299999999999997</v>
      </c>
      <c r="H71" s="54">
        <v>34.200000000000003</v>
      </c>
      <c r="I71" s="54">
        <v>33.4</v>
      </c>
    </row>
    <row r="72" spans="1:9" x14ac:dyDescent="0.55000000000000004">
      <c r="A72" s="41" t="s">
        <v>358</v>
      </c>
      <c r="B72" s="41"/>
      <c r="C72" s="54">
        <v>24.4</v>
      </c>
      <c r="D72" s="54">
        <v>28</v>
      </c>
      <c r="E72" s="54">
        <v>21.1</v>
      </c>
      <c r="F72" s="54"/>
      <c r="G72" s="54">
        <v>22.5</v>
      </c>
      <c r="H72" s="54">
        <v>23.7</v>
      </c>
      <c r="I72" s="54">
        <v>18.600000000000001</v>
      </c>
    </row>
    <row r="73" spans="1:9" x14ac:dyDescent="0.55000000000000004">
      <c r="A73" s="41" t="s">
        <v>359</v>
      </c>
      <c r="B73" s="41"/>
      <c r="C73" s="56" t="s">
        <v>360</v>
      </c>
      <c r="D73" s="56" t="s">
        <v>360</v>
      </c>
      <c r="E73" s="56" t="s">
        <v>360</v>
      </c>
      <c r="F73" s="56"/>
      <c r="G73" s="56" t="s">
        <v>360</v>
      </c>
      <c r="H73" s="56" t="s">
        <v>360</v>
      </c>
      <c r="I73" s="56" t="s">
        <v>360</v>
      </c>
    </row>
    <row r="74" spans="1:9" x14ac:dyDescent="0.55000000000000004">
      <c r="A74" s="41" t="s">
        <v>361</v>
      </c>
      <c r="B74" s="41"/>
      <c r="C74" s="54">
        <v>28.4</v>
      </c>
      <c r="D74" s="54">
        <v>25.1</v>
      </c>
      <c r="E74" s="54">
        <v>27.2</v>
      </c>
      <c r="F74" s="54"/>
      <c r="G74" s="54">
        <v>20.399999999999999</v>
      </c>
      <c r="H74" s="54">
        <v>18.5</v>
      </c>
      <c r="I74" s="54">
        <v>16.7</v>
      </c>
    </row>
    <row r="75" spans="1:9" x14ac:dyDescent="0.55000000000000004">
      <c r="A75" s="41" t="s">
        <v>362</v>
      </c>
      <c r="B75" s="41"/>
      <c r="C75" s="56" t="s">
        <v>360</v>
      </c>
      <c r="D75" s="56" t="s">
        <v>360</v>
      </c>
      <c r="E75" s="56" t="s">
        <v>360</v>
      </c>
      <c r="F75" s="56"/>
      <c r="G75" s="56" t="s">
        <v>360</v>
      </c>
      <c r="H75" s="56" t="s">
        <v>360</v>
      </c>
      <c r="I75" s="56" t="s">
        <v>360</v>
      </c>
    </row>
    <row r="76" spans="1:9" x14ac:dyDescent="0.55000000000000004">
      <c r="A76" s="41" t="s">
        <v>363</v>
      </c>
      <c r="B76" s="41"/>
      <c r="C76" s="54">
        <v>59.1</v>
      </c>
      <c r="D76" s="54">
        <v>60.8</v>
      </c>
      <c r="E76" s="54">
        <v>60.8</v>
      </c>
      <c r="F76" s="54"/>
      <c r="G76" s="54">
        <v>43.1</v>
      </c>
      <c r="H76" s="54">
        <v>42.6</v>
      </c>
      <c r="I76" s="54">
        <v>40.299999999999997</v>
      </c>
    </row>
    <row r="77" spans="1:9" x14ac:dyDescent="0.55000000000000004">
      <c r="A77" s="41" t="s">
        <v>364</v>
      </c>
      <c r="B77" s="41"/>
      <c r="C77" s="54">
        <v>32.4</v>
      </c>
      <c r="D77" s="54">
        <v>31.5</v>
      </c>
      <c r="E77" s="54">
        <v>30</v>
      </c>
      <c r="F77" s="54"/>
      <c r="G77" s="54">
        <v>17.899999999999999</v>
      </c>
      <c r="H77" s="54">
        <v>19.8</v>
      </c>
      <c r="I77" s="54">
        <v>17.600000000000001</v>
      </c>
    </row>
    <row r="78" spans="1:9" x14ac:dyDescent="0.55000000000000004">
      <c r="A78" s="41" t="s">
        <v>365</v>
      </c>
      <c r="B78" s="41"/>
      <c r="C78" s="54">
        <v>62.5</v>
      </c>
      <c r="D78" s="54">
        <v>66.2</v>
      </c>
      <c r="E78" s="54">
        <v>61.1</v>
      </c>
      <c r="F78" s="54"/>
      <c r="G78" s="54">
        <v>52.3</v>
      </c>
      <c r="H78" s="54">
        <v>45.8</v>
      </c>
      <c r="I78" s="54">
        <v>44.9</v>
      </c>
    </row>
    <row r="79" spans="1:9" x14ac:dyDescent="0.55000000000000004">
      <c r="A79" s="41" t="s">
        <v>366</v>
      </c>
      <c r="B79" s="41"/>
      <c r="C79" s="54">
        <v>35.4</v>
      </c>
      <c r="D79" s="54">
        <v>34.799999999999997</v>
      </c>
      <c r="E79" s="54">
        <v>29.1</v>
      </c>
      <c r="F79" s="54"/>
      <c r="G79" s="54">
        <v>21.9</v>
      </c>
      <c r="H79" s="54">
        <v>23.3</v>
      </c>
      <c r="I79" s="54">
        <v>20.6</v>
      </c>
    </row>
    <row r="80" spans="1:9" x14ac:dyDescent="0.55000000000000004">
      <c r="A80" s="41" t="s">
        <v>367</v>
      </c>
      <c r="B80" s="41"/>
      <c r="C80" s="54">
        <v>36.700000000000003</v>
      </c>
      <c r="D80" s="54">
        <v>33.700000000000003</v>
      </c>
      <c r="E80" s="54">
        <v>35.700000000000003</v>
      </c>
      <c r="F80" s="54"/>
      <c r="G80" s="54">
        <v>24.3</v>
      </c>
      <c r="H80" s="54">
        <v>23.9</v>
      </c>
      <c r="I80" s="54">
        <v>23.1</v>
      </c>
    </row>
    <row r="81" spans="1:9" x14ac:dyDescent="0.55000000000000004">
      <c r="A81" s="41" t="s">
        <v>368</v>
      </c>
      <c r="B81" s="41"/>
      <c r="C81" s="54">
        <v>31.4</v>
      </c>
      <c r="D81" s="54">
        <v>33.1</v>
      </c>
      <c r="E81" s="54">
        <v>34.5</v>
      </c>
      <c r="F81" s="54"/>
      <c r="G81" s="54">
        <v>19.3</v>
      </c>
      <c r="H81" s="54">
        <v>19.7</v>
      </c>
      <c r="I81" s="54">
        <v>24.7</v>
      </c>
    </row>
    <row r="82" spans="1:9" x14ac:dyDescent="0.55000000000000004">
      <c r="A82" s="41" t="s">
        <v>369</v>
      </c>
      <c r="B82" s="41"/>
      <c r="C82" s="54">
        <v>40.4</v>
      </c>
      <c r="D82" s="54">
        <v>38.799999999999997</v>
      </c>
      <c r="E82" s="54">
        <v>36</v>
      </c>
      <c r="F82" s="54"/>
      <c r="G82" s="54">
        <v>28.8</v>
      </c>
      <c r="H82" s="54">
        <v>27.2</v>
      </c>
      <c r="I82" s="54">
        <v>25.7</v>
      </c>
    </row>
    <row r="83" spans="1:9" x14ac:dyDescent="0.55000000000000004">
      <c r="A83" s="41" t="s">
        <v>370</v>
      </c>
      <c r="B83" s="41"/>
      <c r="C83" s="56" t="s">
        <v>360</v>
      </c>
      <c r="D83" s="56" t="s">
        <v>360</v>
      </c>
      <c r="E83" s="56" t="s">
        <v>360</v>
      </c>
      <c r="F83" s="56"/>
      <c r="G83" s="56" t="s">
        <v>360</v>
      </c>
      <c r="H83" s="56" t="s">
        <v>360</v>
      </c>
      <c r="I83" s="56" t="s">
        <v>360</v>
      </c>
    </row>
    <row r="84" spans="1:9" x14ac:dyDescent="0.55000000000000004">
      <c r="A84" s="41" t="s">
        <v>371</v>
      </c>
      <c r="B84" s="41"/>
      <c r="C84" s="54">
        <v>52.1</v>
      </c>
      <c r="D84" s="54">
        <v>47.5</v>
      </c>
      <c r="E84" s="54">
        <v>49.1</v>
      </c>
      <c r="F84" s="54"/>
      <c r="G84" s="54">
        <v>33</v>
      </c>
      <c r="H84" s="54">
        <v>35.700000000000003</v>
      </c>
      <c r="I84" s="54">
        <v>35.700000000000003</v>
      </c>
    </row>
    <row r="85" spans="1:9" x14ac:dyDescent="0.55000000000000004">
      <c r="A85" s="41" t="s">
        <v>372</v>
      </c>
      <c r="B85" s="41"/>
      <c r="C85" s="54">
        <v>36.299999999999997</v>
      </c>
      <c r="D85" s="54">
        <v>29</v>
      </c>
      <c r="E85" s="54">
        <v>36.6</v>
      </c>
      <c r="F85" s="54"/>
      <c r="G85" s="54">
        <v>21.1</v>
      </c>
      <c r="H85" s="54">
        <v>16.600000000000001</v>
      </c>
      <c r="I85" s="54">
        <v>28.2</v>
      </c>
    </row>
    <row r="86" spans="1:9" x14ac:dyDescent="0.55000000000000004">
      <c r="A86" s="41" t="s">
        <v>373</v>
      </c>
      <c r="B86" s="41"/>
      <c r="C86" s="54">
        <v>46</v>
      </c>
      <c r="D86" s="54">
        <v>45.2</v>
      </c>
      <c r="E86" s="54">
        <v>48.6</v>
      </c>
      <c r="F86" s="54"/>
      <c r="G86" s="54">
        <v>32.6</v>
      </c>
      <c r="H86" s="54">
        <v>31.4</v>
      </c>
      <c r="I86" s="54">
        <v>37.4</v>
      </c>
    </row>
    <row r="87" spans="1:9" x14ac:dyDescent="0.55000000000000004">
      <c r="A87" s="41" t="s">
        <v>374</v>
      </c>
      <c r="B87" s="41"/>
      <c r="C87" s="56" t="s">
        <v>360</v>
      </c>
      <c r="D87" s="56" t="s">
        <v>360</v>
      </c>
      <c r="E87" s="54">
        <v>34.1</v>
      </c>
      <c r="F87" s="54"/>
      <c r="G87" s="56" t="s">
        <v>360</v>
      </c>
      <c r="H87" s="56" t="s">
        <v>360</v>
      </c>
      <c r="I87" s="54">
        <v>21.8</v>
      </c>
    </row>
    <row r="88" spans="1:9" x14ac:dyDescent="0.55000000000000004">
      <c r="A88" s="41" t="s">
        <v>375</v>
      </c>
      <c r="B88" s="41"/>
      <c r="C88" s="54">
        <v>51.8</v>
      </c>
      <c r="D88" s="54">
        <v>52.3</v>
      </c>
      <c r="E88" s="54">
        <v>51.1</v>
      </c>
      <c r="F88" s="54"/>
      <c r="G88" s="54">
        <v>43</v>
      </c>
      <c r="H88" s="54">
        <v>41.3</v>
      </c>
      <c r="I88" s="54">
        <v>42</v>
      </c>
    </row>
    <row r="89" spans="1:9" x14ac:dyDescent="0.55000000000000004">
      <c r="A89" s="41" t="s">
        <v>376</v>
      </c>
      <c r="B89" s="41"/>
      <c r="C89" s="54">
        <v>44</v>
      </c>
      <c r="D89" s="54">
        <v>47.5</v>
      </c>
      <c r="E89" s="54">
        <v>44.7</v>
      </c>
      <c r="F89" s="54"/>
      <c r="G89" s="54">
        <v>24.5</v>
      </c>
      <c r="H89" s="54">
        <v>27</v>
      </c>
      <c r="I89" s="54">
        <v>25.7</v>
      </c>
    </row>
    <row r="90" spans="1:9" x14ac:dyDescent="0.55000000000000004">
      <c r="A90" s="41" t="s">
        <v>377</v>
      </c>
      <c r="B90" s="41"/>
      <c r="C90" s="54">
        <v>30.9</v>
      </c>
      <c r="D90" s="54">
        <v>31.8</v>
      </c>
      <c r="E90" s="54">
        <v>30.8</v>
      </c>
      <c r="F90" s="54"/>
      <c r="G90" s="54">
        <v>18.5</v>
      </c>
      <c r="H90" s="54">
        <v>20</v>
      </c>
      <c r="I90" s="54">
        <v>33.9</v>
      </c>
    </row>
    <row r="91" spans="1:9" x14ac:dyDescent="0.55000000000000004">
      <c r="A91" s="41" t="s">
        <v>378</v>
      </c>
      <c r="B91" s="41"/>
      <c r="C91" s="54">
        <v>19.7</v>
      </c>
      <c r="D91" s="54">
        <v>20.100000000000001</v>
      </c>
      <c r="E91" s="54">
        <v>21</v>
      </c>
      <c r="F91" s="54"/>
      <c r="G91" s="54">
        <v>19.7</v>
      </c>
      <c r="H91" s="54">
        <v>19.7</v>
      </c>
      <c r="I91" s="54">
        <v>19.3</v>
      </c>
    </row>
    <row r="92" spans="1:9" x14ac:dyDescent="0.55000000000000004">
      <c r="A92" s="41" t="s">
        <v>379</v>
      </c>
      <c r="B92" s="41"/>
      <c r="C92" s="54">
        <v>45.6</v>
      </c>
      <c r="D92" s="54">
        <v>45.5</v>
      </c>
      <c r="E92" s="54">
        <v>45.6</v>
      </c>
      <c r="F92" s="54"/>
      <c r="G92" s="54">
        <v>32.1</v>
      </c>
      <c r="H92" s="54">
        <v>31</v>
      </c>
      <c r="I92" s="54">
        <v>33.5</v>
      </c>
    </row>
    <row r="93" spans="1:9" x14ac:dyDescent="0.55000000000000004">
      <c r="A93" s="41" t="s">
        <v>380</v>
      </c>
      <c r="B93" s="41"/>
      <c r="C93" s="54">
        <v>30.2</v>
      </c>
      <c r="D93" s="54">
        <v>29.5</v>
      </c>
      <c r="E93" s="54">
        <v>31.7</v>
      </c>
      <c r="F93" s="54"/>
      <c r="G93" s="54">
        <v>26.8</v>
      </c>
      <c r="H93" s="54">
        <v>19.899999999999999</v>
      </c>
      <c r="I93" s="54">
        <v>22.5</v>
      </c>
    </row>
    <row r="94" spans="1:9" x14ac:dyDescent="0.55000000000000004">
      <c r="A94" s="41" t="s">
        <v>381</v>
      </c>
      <c r="B94" s="41"/>
      <c r="C94" s="56" t="s">
        <v>360</v>
      </c>
      <c r="D94" s="56" t="s">
        <v>360</v>
      </c>
      <c r="E94" s="56" t="s">
        <v>360</v>
      </c>
      <c r="F94" s="56"/>
      <c r="G94" s="56" t="s">
        <v>360</v>
      </c>
      <c r="H94" s="56" t="s">
        <v>360</v>
      </c>
      <c r="I94" s="56" t="s">
        <v>360</v>
      </c>
    </row>
    <row r="95" spans="1:9" x14ac:dyDescent="0.55000000000000004">
      <c r="A95" s="41" t="s">
        <v>256</v>
      </c>
      <c r="B95" s="41"/>
      <c r="C95" s="56" t="s">
        <v>360</v>
      </c>
      <c r="D95" s="56" t="s">
        <v>360</v>
      </c>
      <c r="E95" s="56" t="s">
        <v>360</v>
      </c>
      <c r="F95" s="56"/>
      <c r="G95" s="56"/>
      <c r="H95" s="56"/>
      <c r="I95" s="56"/>
    </row>
    <row r="96" spans="1:9" x14ac:dyDescent="0.55000000000000004">
      <c r="A96" s="41" t="s">
        <v>382</v>
      </c>
      <c r="B96" s="41"/>
      <c r="C96" s="56" t="s">
        <v>360</v>
      </c>
      <c r="D96" s="56" t="s">
        <v>360</v>
      </c>
      <c r="E96" s="56" t="s">
        <v>360</v>
      </c>
      <c r="F96" s="56"/>
      <c r="G96" s="56" t="s">
        <v>360</v>
      </c>
      <c r="H96" s="56" t="s">
        <v>360</v>
      </c>
      <c r="I96" s="56" t="s">
        <v>360</v>
      </c>
    </row>
    <row r="97" spans="1:9" x14ac:dyDescent="0.55000000000000004">
      <c r="A97" s="41" t="s">
        <v>383</v>
      </c>
      <c r="B97" s="41"/>
      <c r="C97" s="56" t="s">
        <v>360</v>
      </c>
      <c r="D97" s="56" t="s">
        <v>360</v>
      </c>
      <c r="E97" s="56" t="s">
        <v>360</v>
      </c>
      <c r="F97" s="56"/>
      <c r="G97" s="56" t="s">
        <v>360</v>
      </c>
      <c r="H97" s="56" t="s">
        <v>360</v>
      </c>
      <c r="I97" s="56" t="s">
        <v>360</v>
      </c>
    </row>
    <row r="98" spans="1:9" x14ac:dyDescent="0.55000000000000004">
      <c r="A98" s="41" t="s">
        <v>384</v>
      </c>
      <c r="B98" s="41"/>
      <c r="C98" s="56" t="s">
        <v>360</v>
      </c>
      <c r="D98" s="56" t="s">
        <v>360</v>
      </c>
      <c r="E98" s="56" t="s">
        <v>360</v>
      </c>
      <c r="F98" s="56"/>
      <c r="G98" s="56" t="s">
        <v>360</v>
      </c>
      <c r="H98" s="56" t="s">
        <v>360</v>
      </c>
      <c r="I98" s="56" t="s">
        <v>360</v>
      </c>
    </row>
    <row r="99" spans="1:9" x14ac:dyDescent="0.55000000000000004">
      <c r="A99" s="41" t="s">
        <v>385</v>
      </c>
      <c r="B99" s="41"/>
      <c r="C99" s="56" t="s">
        <v>360</v>
      </c>
      <c r="D99" s="56" t="s">
        <v>360</v>
      </c>
      <c r="E99" s="56" t="s">
        <v>360</v>
      </c>
      <c r="F99" s="56"/>
      <c r="G99" s="56" t="s">
        <v>360</v>
      </c>
      <c r="H99" s="56" t="s">
        <v>360</v>
      </c>
      <c r="I99" s="56" t="s">
        <v>360</v>
      </c>
    </row>
    <row r="100" spans="1:9" x14ac:dyDescent="0.55000000000000004">
      <c r="A100" s="41" t="s">
        <v>386</v>
      </c>
      <c r="B100" s="41"/>
      <c r="C100" s="56" t="s">
        <v>360</v>
      </c>
      <c r="D100" s="56" t="s">
        <v>360</v>
      </c>
      <c r="E100" s="56" t="s">
        <v>360</v>
      </c>
      <c r="F100" s="56"/>
      <c r="G100" s="56" t="s">
        <v>360</v>
      </c>
      <c r="H100" s="56" t="s">
        <v>360</v>
      </c>
      <c r="I100" s="56" t="s">
        <v>360</v>
      </c>
    </row>
    <row r="101" spans="1:9" x14ac:dyDescent="0.55000000000000004">
      <c r="A101" s="41" t="s">
        <v>387</v>
      </c>
      <c r="B101" s="41"/>
      <c r="C101" s="54">
        <v>63.9</v>
      </c>
      <c r="D101" s="54">
        <v>59.8</v>
      </c>
      <c r="E101" s="54" t="s">
        <v>360</v>
      </c>
      <c r="F101" s="54"/>
      <c r="G101" s="54">
        <v>41</v>
      </c>
      <c r="H101" s="54">
        <v>48.8</v>
      </c>
      <c r="I101" s="56" t="s">
        <v>360</v>
      </c>
    </row>
    <row r="102" spans="1:9" x14ac:dyDescent="0.55000000000000004">
      <c r="A102" s="41" t="s">
        <v>388</v>
      </c>
      <c r="B102" s="41"/>
      <c r="C102" s="54">
        <v>49.8</v>
      </c>
      <c r="D102" s="54">
        <v>47.9</v>
      </c>
      <c r="E102" s="54" t="s">
        <v>360</v>
      </c>
      <c r="F102" s="54"/>
      <c r="G102" s="54">
        <v>35</v>
      </c>
      <c r="H102" s="54">
        <v>35</v>
      </c>
      <c r="I102" s="56" t="s">
        <v>360</v>
      </c>
    </row>
    <row r="103" spans="1:9" x14ac:dyDescent="0.55000000000000004">
      <c r="A103" s="41" t="s">
        <v>389</v>
      </c>
      <c r="B103" s="41"/>
      <c r="C103" s="54">
        <v>47.2</v>
      </c>
      <c r="D103" s="54">
        <v>46.1</v>
      </c>
      <c r="E103" s="54">
        <v>46.7</v>
      </c>
      <c r="F103" s="54"/>
      <c r="G103" s="54">
        <v>33</v>
      </c>
      <c r="H103" s="54">
        <v>33.5</v>
      </c>
      <c r="I103" s="54">
        <v>32.700000000000003</v>
      </c>
    </row>
    <row r="104" spans="1:9" x14ac:dyDescent="0.55000000000000004">
      <c r="A104" s="41"/>
      <c r="B104" s="41"/>
      <c r="C104" s="54"/>
      <c r="D104" s="54"/>
      <c r="E104" s="54"/>
      <c r="F104" s="54"/>
      <c r="G104" s="54"/>
      <c r="H104" s="54"/>
      <c r="I104" s="54"/>
    </row>
    <row r="105" spans="1:9" x14ac:dyDescent="0.55000000000000004">
      <c r="A105" s="41"/>
      <c r="B105" s="41"/>
      <c r="C105" s="54"/>
      <c r="D105" s="54"/>
      <c r="E105" s="54"/>
      <c r="F105" s="54"/>
      <c r="G105" s="54"/>
      <c r="H105" s="54"/>
      <c r="I105" s="54"/>
    </row>
    <row r="106" spans="1:9" x14ac:dyDescent="0.55000000000000004">
      <c r="A106" s="41"/>
      <c r="B106" s="41"/>
      <c r="C106" s="54"/>
      <c r="D106" s="54"/>
      <c r="E106" s="54"/>
      <c r="F106" s="54"/>
      <c r="G106" s="54"/>
      <c r="H106" s="54"/>
      <c r="I106" s="54"/>
    </row>
    <row r="107" spans="1:9" x14ac:dyDescent="0.55000000000000004">
      <c r="A107" s="41"/>
      <c r="B107" s="41"/>
      <c r="C107" s="54"/>
      <c r="D107" s="54"/>
      <c r="E107" s="54"/>
      <c r="F107" s="54"/>
      <c r="G107" s="54"/>
      <c r="H107" s="54"/>
      <c r="I107" s="54"/>
    </row>
    <row r="108" spans="1:9" x14ac:dyDescent="0.55000000000000004">
      <c r="A108" s="41"/>
      <c r="B108" s="41"/>
      <c r="C108" s="54"/>
      <c r="D108" s="54"/>
      <c r="E108" s="54"/>
      <c r="F108" s="54"/>
      <c r="G108" s="54"/>
      <c r="H108" s="54"/>
      <c r="I108" s="54"/>
    </row>
    <row r="109" spans="1:9" x14ac:dyDescent="0.55000000000000004">
      <c r="A109" s="41"/>
      <c r="B109" s="41"/>
      <c r="C109" s="54"/>
      <c r="D109" s="54"/>
      <c r="E109" s="54"/>
      <c r="F109" s="54"/>
      <c r="G109" s="54"/>
      <c r="H109" s="54"/>
      <c r="I109" s="54"/>
    </row>
    <row r="110" spans="1:9" x14ac:dyDescent="0.55000000000000004">
      <c r="A110" s="41"/>
      <c r="B110" s="41"/>
      <c r="C110" s="54"/>
      <c r="D110" s="54"/>
      <c r="E110" s="54"/>
      <c r="F110" s="54"/>
      <c r="G110" s="54"/>
      <c r="H110" s="54"/>
      <c r="I110" s="54"/>
    </row>
    <row r="111" spans="1:9" x14ac:dyDescent="0.55000000000000004">
      <c r="A111" s="41"/>
      <c r="B111" s="41"/>
      <c r="C111" s="54"/>
      <c r="D111" s="54"/>
      <c r="E111" s="54"/>
      <c r="F111" s="54"/>
      <c r="G111" s="54"/>
      <c r="H111" s="54"/>
      <c r="I111" s="54"/>
    </row>
    <row r="112" spans="1:9" x14ac:dyDescent="0.55000000000000004">
      <c r="A112" s="41"/>
      <c r="B112" s="41"/>
      <c r="C112" s="54"/>
      <c r="D112" s="54"/>
      <c r="E112" s="54"/>
      <c r="F112" s="54"/>
      <c r="G112" s="54"/>
      <c r="H112" s="54"/>
      <c r="I112" s="54"/>
    </row>
    <row r="113" spans="1:9" x14ac:dyDescent="0.55000000000000004">
      <c r="A113" s="41"/>
      <c r="B113" s="41"/>
      <c r="C113" s="54"/>
      <c r="D113" s="54"/>
      <c r="E113" s="54"/>
      <c r="F113" s="54"/>
      <c r="G113" s="54"/>
      <c r="H113" s="54"/>
      <c r="I113" s="54"/>
    </row>
    <row r="114" spans="1:9" x14ac:dyDescent="0.55000000000000004">
      <c r="A114" s="41"/>
      <c r="B114" s="41"/>
      <c r="C114" s="54"/>
      <c r="D114" s="54"/>
      <c r="E114" s="54"/>
      <c r="F114" s="54"/>
      <c r="G114" s="54"/>
      <c r="H114" s="54"/>
      <c r="I114" s="54"/>
    </row>
    <row r="115" spans="1:9" x14ac:dyDescent="0.55000000000000004">
      <c r="A115" s="41"/>
      <c r="B115" s="41"/>
      <c r="C115" s="54"/>
      <c r="D115" s="54"/>
      <c r="E115" s="54"/>
      <c r="F115" s="54"/>
      <c r="G115" s="54"/>
      <c r="H115" s="54"/>
      <c r="I115" s="54"/>
    </row>
    <row r="116" spans="1:9" x14ac:dyDescent="0.55000000000000004">
      <c r="A116" s="41"/>
      <c r="B116" s="41"/>
      <c r="C116" s="54"/>
      <c r="D116" s="54"/>
      <c r="E116" s="54"/>
      <c r="F116" s="54"/>
      <c r="G116" s="54"/>
      <c r="H116" s="54"/>
      <c r="I116" s="54"/>
    </row>
    <row r="117" spans="1:9" x14ac:dyDescent="0.55000000000000004">
      <c r="A117" s="41"/>
      <c r="B117" s="41"/>
      <c r="C117" s="54"/>
      <c r="D117" s="54"/>
      <c r="E117" s="54"/>
      <c r="F117" s="54"/>
      <c r="G117" s="54"/>
      <c r="H117" s="54"/>
      <c r="I117" s="54"/>
    </row>
    <row r="118" spans="1:9" x14ac:dyDescent="0.55000000000000004">
      <c r="A118" s="41"/>
      <c r="B118" s="41"/>
      <c r="C118" s="54"/>
      <c r="D118" s="54"/>
      <c r="E118" s="54"/>
      <c r="F118" s="54"/>
      <c r="G118" s="54"/>
      <c r="H118" s="54"/>
      <c r="I118" s="54"/>
    </row>
    <row r="119" spans="1:9" x14ac:dyDescent="0.55000000000000004">
      <c r="A119" s="41"/>
      <c r="B119" s="41"/>
      <c r="C119" s="54"/>
      <c r="D119" s="54"/>
      <c r="E119" s="54"/>
      <c r="F119" s="54"/>
      <c r="G119" s="54"/>
      <c r="H119" s="54"/>
      <c r="I119" s="54"/>
    </row>
    <row r="120" spans="1:9" x14ac:dyDescent="0.55000000000000004">
      <c r="A120" s="41"/>
      <c r="B120" s="41"/>
      <c r="C120" s="54"/>
      <c r="D120" s="54"/>
      <c r="E120" s="54"/>
      <c r="F120" s="54"/>
      <c r="G120" s="54"/>
      <c r="H120" s="54"/>
      <c r="I120" s="54"/>
    </row>
    <row r="121" spans="1:9" x14ac:dyDescent="0.55000000000000004">
      <c r="A121" s="41"/>
      <c r="B121" s="41"/>
      <c r="C121" s="54"/>
      <c r="D121" s="54"/>
      <c r="E121" s="54"/>
      <c r="F121" s="54"/>
      <c r="G121" s="54"/>
      <c r="H121" s="54"/>
      <c r="I121" s="54"/>
    </row>
    <row r="122" spans="1:9" x14ac:dyDescent="0.55000000000000004">
      <c r="A122" s="41"/>
      <c r="B122" s="41"/>
      <c r="C122" s="54"/>
      <c r="D122" s="54"/>
      <c r="E122" s="54"/>
      <c r="F122" s="54"/>
      <c r="G122" s="54"/>
      <c r="H122" s="54"/>
      <c r="I122" s="54"/>
    </row>
    <row r="123" spans="1:9" x14ac:dyDescent="0.55000000000000004">
      <c r="A123" s="41"/>
      <c r="B123" s="41"/>
      <c r="C123" s="54"/>
      <c r="D123" s="54"/>
      <c r="E123" s="54"/>
      <c r="F123" s="54"/>
      <c r="G123" s="54"/>
      <c r="H123" s="54"/>
      <c r="I123" s="54"/>
    </row>
    <row r="124" spans="1:9" x14ac:dyDescent="0.55000000000000004">
      <c r="A124" s="41"/>
      <c r="B124" s="41"/>
      <c r="C124" s="54"/>
      <c r="D124" s="54"/>
      <c r="E124" s="54"/>
      <c r="F124" s="54"/>
      <c r="G124" s="54"/>
      <c r="H124" s="54"/>
      <c r="I124" s="54"/>
    </row>
    <row r="125" spans="1:9" x14ac:dyDescent="0.55000000000000004">
      <c r="A125" s="41"/>
      <c r="B125" s="41"/>
      <c r="C125" s="54"/>
      <c r="D125" s="54"/>
      <c r="E125" s="54"/>
      <c r="F125" s="54"/>
      <c r="G125" s="54"/>
      <c r="H125" s="54"/>
      <c r="I125" s="54"/>
    </row>
    <row r="126" spans="1:9" x14ac:dyDescent="0.55000000000000004">
      <c r="A126" s="41"/>
      <c r="B126" s="41"/>
      <c r="C126" s="54"/>
      <c r="D126" s="54"/>
      <c r="E126" s="54"/>
      <c r="F126" s="54"/>
      <c r="G126" s="54"/>
      <c r="H126" s="54"/>
      <c r="I126" s="54"/>
    </row>
    <row r="127" spans="1:9" x14ac:dyDescent="0.55000000000000004">
      <c r="A127" s="41"/>
      <c r="B127" s="41"/>
      <c r="C127" s="54"/>
      <c r="D127" s="54"/>
      <c r="E127" s="54"/>
      <c r="F127" s="54"/>
      <c r="G127" s="54"/>
      <c r="H127" s="54"/>
      <c r="I127" s="54"/>
    </row>
    <row r="128" spans="1:9" x14ac:dyDescent="0.55000000000000004">
      <c r="A128" s="41"/>
      <c r="B128" s="41"/>
      <c r="C128" s="54"/>
      <c r="D128" s="54"/>
      <c r="E128" s="54"/>
      <c r="F128" s="54"/>
      <c r="G128" s="54"/>
      <c r="H128" s="54"/>
      <c r="I128" s="54"/>
    </row>
    <row r="129" spans="1:9" x14ac:dyDescent="0.55000000000000004">
      <c r="A129" s="41"/>
      <c r="B129" s="41"/>
      <c r="C129" s="54"/>
      <c r="D129" s="54"/>
      <c r="E129" s="54"/>
      <c r="F129" s="54"/>
      <c r="G129" s="54"/>
      <c r="H129" s="54"/>
      <c r="I129" s="54"/>
    </row>
    <row r="130" spans="1:9" x14ac:dyDescent="0.55000000000000004">
      <c r="A130" s="41"/>
      <c r="B130" s="41"/>
      <c r="C130" s="54"/>
      <c r="D130" s="54"/>
      <c r="E130" s="54"/>
      <c r="F130" s="54"/>
      <c r="G130" s="54"/>
      <c r="H130" s="54"/>
      <c r="I130" s="54"/>
    </row>
    <row r="131" spans="1:9" x14ac:dyDescent="0.55000000000000004">
      <c r="A131" s="41"/>
      <c r="B131" s="41"/>
      <c r="C131" s="54"/>
      <c r="D131" s="54"/>
      <c r="E131" s="54"/>
      <c r="F131" s="54"/>
      <c r="G131" s="54"/>
      <c r="H131" s="54"/>
      <c r="I131" s="54"/>
    </row>
    <row r="132" spans="1:9" x14ac:dyDescent="0.55000000000000004">
      <c r="A132" s="41"/>
      <c r="B132" s="41"/>
      <c r="C132" s="54"/>
      <c r="D132" s="54"/>
      <c r="E132" s="54"/>
      <c r="F132" s="54"/>
      <c r="G132" s="54"/>
      <c r="H132" s="54"/>
      <c r="I132" s="54"/>
    </row>
    <row r="133" spans="1:9" x14ac:dyDescent="0.55000000000000004">
      <c r="A133" s="41"/>
      <c r="B133" s="41"/>
      <c r="C133" s="54"/>
      <c r="D133" s="54"/>
      <c r="E133" s="54"/>
      <c r="F133" s="54"/>
      <c r="G133" s="54"/>
      <c r="H133" s="54"/>
      <c r="I133" s="54"/>
    </row>
    <row r="134" spans="1:9" x14ac:dyDescent="0.55000000000000004">
      <c r="A134" s="41"/>
      <c r="B134" s="41"/>
      <c r="C134" s="54"/>
      <c r="D134" s="54"/>
      <c r="E134" s="54"/>
      <c r="F134" s="54"/>
      <c r="G134" s="54"/>
      <c r="H134" s="54"/>
      <c r="I134" s="54"/>
    </row>
    <row r="135" spans="1:9" x14ac:dyDescent="0.55000000000000004">
      <c r="A135" s="41"/>
      <c r="B135" s="41"/>
      <c r="C135" s="54"/>
      <c r="D135" s="54"/>
      <c r="E135" s="54"/>
      <c r="F135" s="54"/>
      <c r="G135" s="54"/>
      <c r="H135" s="54"/>
      <c r="I135" s="54"/>
    </row>
    <row r="136" spans="1:9" x14ac:dyDescent="0.55000000000000004">
      <c r="A136" s="41"/>
      <c r="B136" s="41"/>
      <c r="C136" s="54"/>
      <c r="D136" s="54"/>
      <c r="E136" s="54"/>
      <c r="F136" s="54"/>
      <c r="G136" s="54"/>
      <c r="H136" s="54"/>
      <c r="I136" s="54"/>
    </row>
    <row r="137" spans="1:9" x14ac:dyDescent="0.55000000000000004">
      <c r="A137" s="41"/>
      <c r="B137" s="41"/>
      <c r="C137" s="54"/>
      <c r="D137" s="54"/>
      <c r="E137" s="54"/>
      <c r="F137" s="54"/>
      <c r="G137" s="54"/>
      <c r="H137" s="54"/>
      <c r="I137" s="54"/>
    </row>
    <row r="138" spans="1:9" x14ac:dyDescent="0.55000000000000004">
      <c r="A138" s="41"/>
      <c r="B138" s="41"/>
      <c r="C138" s="54"/>
      <c r="D138" s="54"/>
      <c r="E138" s="54"/>
      <c r="F138" s="54"/>
      <c r="G138" s="54"/>
      <c r="H138" s="54"/>
      <c r="I138" s="54"/>
    </row>
    <row r="139" spans="1:9" x14ac:dyDescent="0.55000000000000004">
      <c r="A139" s="41"/>
      <c r="B139" s="41"/>
      <c r="C139" s="54"/>
      <c r="D139" s="54"/>
      <c r="E139" s="54"/>
      <c r="F139" s="54"/>
      <c r="G139" s="54"/>
      <c r="H139" s="54"/>
      <c r="I139" s="54"/>
    </row>
    <row r="140" spans="1:9" x14ac:dyDescent="0.55000000000000004">
      <c r="A140" s="41"/>
      <c r="B140" s="41"/>
      <c r="C140" s="54"/>
      <c r="D140" s="54"/>
      <c r="E140" s="54"/>
      <c r="F140" s="54"/>
      <c r="G140" s="54"/>
      <c r="H140" s="54"/>
      <c r="I140" s="54"/>
    </row>
    <row r="141" spans="1:9" x14ac:dyDescent="0.55000000000000004">
      <c r="A141" s="41"/>
      <c r="B141" s="41"/>
      <c r="C141" s="54"/>
      <c r="D141" s="54"/>
      <c r="E141" s="54"/>
      <c r="F141" s="54"/>
      <c r="G141" s="54"/>
      <c r="H141" s="54"/>
      <c r="I141" s="54"/>
    </row>
    <row r="142" spans="1:9" x14ac:dyDescent="0.55000000000000004">
      <c r="A142" s="41"/>
      <c r="B142" s="41"/>
      <c r="C142" s="54"/>
      <c r="D142" s="54"/>
      <c r="E142" s="54"/>
      <c r="F142" s="54"/>
      <c r="G142" s="54"/>
      <c r="H142" s="54"/>
      <c r="I142" s="54"/>
    </row>
    <row r="143" spans="1:9" x14ac:dyDescent="0.55000000000000004">
      <c r="A143" s="41"/>
      <c r="B143" s="41"/>
      <c r="C143" s="54"/>
      <c r="D143" s="54"/>
      <c r="E143" s="54"/>
      <c r="F143" s="54"/>
      <c r="G143" s="54"/>
      <c r="H143" s="54"/>
      <c r="I143" s="54"/>
    </row>
    <row r="144" spans="1:9" x14ac:dyDescent="0.55000000000000004">
      <c r="A144" s="41"/>
      <c r="B144" s="41"/>
      <c r="C144" s="54"/>
      <c r="D144" s="54"/>
      <c r="E144" s="54"/>
      <c r="F144" s="54"/>
      <c r="G144" s="54"/>
      <c r="H144" s="54"/>
      <c r="I144" s="54"/>
    </row>
    <row r="145" spans="1:9" x14ac:dyDescent="0.55000000000000004">
      <c r="A145" s="41"/>
      <c r="B145" s="41"/>
      <c r="C145" s="54"/>
      <c r="D145" s="54"/>
      <c r="E145" s="54"/>
      <c r="F145" s="54"/>
      <c r="G145" s="54"/>
      <c r="H145" s="54"/>
      <c r="I145" s="54"/>
    </row>
    <row r="146" spans="1:9" x14ac:dyDescent="0.55000000000000004">
      <c r="A146" s="41"/>
      <c r="B146" s="41"/>
      <c r="C146" s="54"/>
      <c r="D146" s="54"/>
      <c r="E146" s="54"/>
      <c r="F146" s="54"/>
      <c r="G146" s="54"/>
      <c r="H146" s="54"/>
      <c r="I146" s="54"/>
    </row>
    <row r="147" spans="1:9" x14ac:dyDescent="0.55000000000000004">
      <c r="A147" s="41"/>
      <c r="B147" s="41"/>
      <c r="C147" s="54"/>
      <c r="D147" s="54"/>
      <c r="E147" s="54"/>
      <c r="F147" s="54"/>
      <c r="G147" s="54"/>
      <c r="H147" s="54"/>
      <c r="I147" s="54"/>
    </row>
    <row r="148" spans="1:9" x14ac:dyDescent="0.55000000000000004">
      <c r="A148" s="41"/>
      <c r="B148" s="41"/>
      <c r="C148" s="54"/>
      <c r="D148" s="54"/>
      <c r="E148" s="54"/>
      <c r="F148" s="54"/>
      <c r="G148" s="54"/>
      <c r="H148" s="54"/>
      <c r="I148" s="54"/>
    </row>
    <row r="149" spans="1:9" x14ac:dyDescent="0.55000000000000004">
      <c r="A149" s="41"/>
      <c r="B149" s="41"/>
      <c r="C149" s="54"/>
      <c r="D149" s="54"/>
      <c r="E149" s="54"/>
      <c r="F149" s="54"/>
      <c r="G149" s="54"/>
      <c r="H149" s="54"/>
      <c r="I149" s="54"/>
    </row>
    <row r="150" spans="1:9" x14ac:dyDescent="0.55000000000000004">
      <c r="A150" s="41"/>
      <c r="B150" s="41"/>
      <c r="C150" s="54"/>
      <c r="D150" s="54"/>
      <c r="E150" s="54"/>
      <c r="F150" s="54"/>
      <c r="G150" s="54"/>
      <c r="H150" s="54"/>
      <c r="I150" s="54"/>
    </row>
    <row r="151" spans="1:9" x14ac:dyDescent="0.55000000000000004">
      <c r="A151" s="41"/>
      <c r="B151" s="41"/>
      <c r="C151" s="54"/>
      <c r="D151" s="54"/>
      <c r="E151" s="54"/>
      <c r="F151" s="54"/>
      <c r="G151" s="54"/>
      <c r="H151" s="54"/>
      <c r="I151" s="54"/>
    </row>
    <row r="152" spans="1:9" x14ac:dyDescent="0.55000000000000004">
      <c r="A152" s="41"/>
      <c r="B152" s="41"/>
      <c r="C152" s="54"/>
      <c r="D152" s="54"/>
      <c r="E152" s="54"/>
      <c r="F152" s="54"/>
      <c r="G152" s="54"/>
      <c r="H152" s="54"/>
      <c r="I152" s="54"/>
    </row>
    <row r="153" spans="1:9" x14ac:dyDescent="0.55000000000000004">
      <c r="A153" s="41"/>
      <c r="B153" s="41"/>
      <c r="C153" s="54"/>
      <c r="D153" s="54"/>
      <c r="E153" s="54"/>
      <c r="F153" s="54"/>
      <c r="G153" s="54"/>
      <c r="H153" s="54"/>
      <c r="I153" s="54"/>
    </row>
    <row r="154" spans="1:9" x14ac:dyDescent="0.55000000000000004">
      <c r="A154" s="41"/>
      <c r="B154" s="41"/>
      <c r="C154" s="54"/>
      <c r="D154" s="54"/>
      <c r="E154" s="54"/>
      <c r="F154" s="54"/>
      <c r="G154" s="54"/>
      <c r="H154" s="54"/>
      <c r="I154" s="54"/>
    </row>
    <row r="155" spans="1:9" x14ac:dyDescent="0.55000000000000004">
      <c r="A155" s="41"/>
      <c r="B155" s="41"/>
      <c r="C155" s="54"/>
      <c r="D155" s="54"/>
      <c r="E155" s="54"/>
      <c r="F155" s="54"/>
      <c r="G155" s="54"/>
      <c r="H155" s="54"/>
      <c r="I155" s="54"/>
    </row>
    <row r="156" spans="1:9" x14ac:dyDescent="0.55000000000000004">
      <c r="A156" s="41"/>
      <c r="B156" s="41"/>
      <c r="C156" s="54"/>
      <c r="D156" s="54"/>
      <c r="E156" s="54"/>
      <c r="F156" s="54"/>
      <c r="G156" s="54"/>
      <c r="H156" s="54"/>
      <c r="I156" s="54"/>
    </row>
    <row r="157" spans="1:9" x14ac:dyDescent="0.55000000000000004">
      <c r="A157" s="41"/>
      <c r="B157" s="41"/>
      <c r="C157" s="54"/>
      <c r="D157" s="54"/>
      <c r="E157" s="54"/>
      <c r="F157" s="54"/>
      <c r="G157" s="54"/>
      <c r="H157" s="54"/>
      <c r="I157" s="54"/>
    </row>
    <row r="158" spans="1:9" x14ac:dyDescent="0.55000000000000004">
      <c r="A158" s="41"/>
      <c r="B158" s="41"/>
      <c r="C158" s="54"/>
      <c r="D158" s="54"/>
      <c r="E158" s="54"/>
      <c r="F158" s="54"/>
      <c r="G158" s="54"/>
      <c r="H158" s="54"/>
      <c r="I158" s="54"/>
    </row>
    <row r="159" spans="1:9" x14ac:dyDescent="0.55000000000000004">
      <c r="A159" s="41"/>
      <c r="B159" s="41"/>
      <c r="C159" s="54"/>
      <c r="D159" s="54"/>
      <c r="E159" s="54"/>
      <c r="F159" s="54"/>
      <c r="G159" s="54"/>
      <c r="H159" s="54"/>
      <c r="I159" s="54"/>
    </row>
    <row r="160" spans="1:9" x14ac:dyDescent="0.55000000000000004">
      <c r="A160" s="41"/>
      <c r="B160" s="41"/>
      <c r="C160" s="54"/>
      <c r="D160" s="54"/>
      <c r="E160" s="54"/>
      <c r="F160" s="54"/>
      <c r="G160" s="54"/>
      <c r="H160" s="54"/>
      <c r="I160" s="54"/>
    </row>
    <row r="161" spans="1:9" x14ac:dyDescent="0.55000000000000004">
      <c r="A161" s="41"/>
      <c r="B161" s="41"/>
      <c r="C161" s="54"/>
      <c r="D161" s="54"/>
      <c r="E161" s="54"/>
      <c r="F161" s="54"/>
      <c r="G161" s="54"/>
      <c r="H161" s="54"/>
      <c r="I161" s="54"/>
    </row>
    <row r="162" spans="1:9" x14ac:dyDescent="0.55000000000000004">
      <c r="A162" s="41"/>
      <c r="B162" s="41"/>
      <c r="C162" s="54"/>
      <c r="D162" s="54"/>
      <c r="E162" s="54"/>
      <c r="F162" s="54"/>
      <c r="G162" s="54"/>
      <c r="H162" s="54"/>
      <c r="I162" s="54"/>
    </row>
    <row r="163" spans="1:9" x14ac:dyDescent="0.55000000000000004">
      <c r="A163" s="41"/>
      <c r="B163" s="41"/>
      <c r="C163" s="54"/>
      <c r="D163" s="54"/>
      <c r="E163" s="54"/>
      <c r="F163" s="54"/>
      <c r="G163" s="54"/>
      <c r="H163" s="54"/>
      <c r="I163" s="54"/>
    </row>
    <row r="164" spans="1:9" x14ac:dyDescent="0.55000000000000004">
      <c r="A164" s="41"/>
      <c r="B164" s="41"/>
      <c r="C164" s="54"/>
      <c r="D164" s="54"/>
      <c r="E164" s="54"/>
      <c r="F164" s="54"/>
      <c r="G164" s="54"/>
      <c r="H164" s="54"/>
      <c r="I164" s="54"/>
    </row>
    <row r="165" spans="1:9" x14ac:dyDescent="0.55000000000000004">
      <c r="A165" s="41"/>
      <c r="B165" s="41"/>
      <c r="C165" s="54"/>
      <c r="D165" s="54"/>
      <c r="E165" s="54"/>
      <c r="F165" s="54"/>
      <c r="G165" s="54"/>
      <c r="H165" s="54"/>
      <c r="I165" s="54"/>
    </row>
    <row r="166" spans="1:9" x14ac:dyDescent="0.55000000000000004">
      <c r="A166" s="41"/>
      <c r="B166" s="41"/>
      <c r="C166" s="54"/>
      <c r="D166" s="54"/>
      <c r="E166" s="54"/>
      <c r="F166" s="54"/>
      <c r="G166" s="54"/>
      <c r="H166" s="54"/>
      <c r="I166" s="54"/>
    </row>
    <row r="167" spans="1:9" x14ac:dyDescent="0.55000000000000004">
      <c r="A167" s="41"/>
      <c r="B167" s="41"/>
      <c r="C167" s="54"/>
      <c r="D167" s="54"/>
      <c r="E167" s="54"/>
      <c r="F167" s="54"/>
      <c r="G167" s="54"/>
      <c r="H167" s="54"/>
      <c r="I167" s="54"/>
    </row>
    <row r="168" spans="1:9" x14ac:dyDescent="0.55000000000000004">
      <c r="A168" s="41"/>
      <c r="B168" s="41"/>
      <c r="C168" s="54"/>
      <c r="D168" s="54"/>
      <c r="E168" s="54"/>
      <c r="F168" s="54"/>
      <c r="G168" s="54"/>
      <c r="H168" s="54"/>
      <c r="I168" s="54"/>
    </row>
    <row r="169" spans="1:9" x14ac:dyDescent="0.55000000000000004">
      <c r="A169" s="41"/>
      <c r="B169" s="41"/>
      <c r="C169" s="54"/>
      <c r="D169" s="54"/>
      <c r="E169" s="54"/>
      <c r="F169" s="54"/>
      <c r="G169" s="54"/>
      <c r="H169" s="54"/>
      <c r="I169" s="54"/>
    </row>
    <row r="170" spans="1:9" x14ac:dyDescent="0.55000000000000004">
      <c r="A170" s="41"/>
      <c r="B170" s="41"/>
      <c r="C170" s="54"/>
      <c r="D170" s="54"/>
      <c r="E170" s="54"/>
      <c r="F170" s="54"/>
      <c r="G170" s="54"/>
      <c r="H170" s="54"/>
      <c r="I170" s="54"/>
    </row>
    <row r="171" spans="1:9" x14ac:dyDescent="0.55000000000000004">
      <c r="A171" s="41"/>
      <c r="B171" s="41"/>
      <c r="C171" s="54"/>
      <c r="D171" s="54"/>
      <c r="E171" s="54"/>
      <c r="F171" s="54"/>
      <c r="G171" s="54"/>
      <c r="H171" s="54"/>
      <c r="I171" s="54"/>
    </row>
    <row r="172" spans="1:9" x14ac:dyDescent="0.55000000000000004">
      <c r="A172" s="41"/>
      <c r="B172" s="41"/>
      <c r="C172" s="54"/>
      <c r="D172" s="54"/>
      <c r="E172" s="54"/>
      <c r="F172" s="54"/>
      <c r="G172" s="54"/>
      <c r="H172" s="54"/>
      <c r="I172" s="54"/>
    </row>
    <row r="173" spans="1:9" x14ac:dyDescent="0.55000000000000004">
      <c r="A173" s="41"/>
      <c r="B173" s="41"/>
      <c r="C173" s="54"/>
      <c r="D173" s="54"/>
      <c r="E173" s="54"/>
      <c r="F173" s="54"/>
      <c r="G173" s="54"/>
      <c r="H173" s="54"/>
      <c r="I173" s="54"/>
    </row>
    <row r="174" spans="1:9" x14ac:dyDescent="0.55000000000000004">
      <c r="A174" s="41"/>
      <c r="B174" s="41"/>
      <c r="C174" s="54"/>
      <c r="D174" s="54"/>
      <c r="E174" s="54"/>
      <c r="F174" s="54"/>
      <c r="G174" s="54"/>
      <c r="H174" s="54"/>
      <c r="I174" s="54"/>
    </row>
    <row r="175" spans="1:9" x14ac:dyDescent="0.55000000000000004">
      <c r="A175" s="41"/>
      <c r="B175" s="41"/>
      <c r="C175" s="54"/>
      <c r="D175" s="54"/>
      <c r="E175" s="54"/>
      <c r="F175" s="54"/>
      <c r="G175" s="54"/>
      <c r="H175" s="54"/>
      <c r="I175" s="54"/>
    </row>
    <row r="176" spans="1:9" x14ac:dyDescent="0.55000000000000004">
      <c r="A176" s="41"/>
      <c r="B176" s="41"/>
      <c r="C176" s="54"/>
      <c r="D176" s="54"/>
      <c r="E176" s="54"/>
      <c r="F176" s="54"/>
      <c r="G176" s="54"/>
      <c r="H176" s="54"/>
      <c r="I176" s="54"/>
    </row>
    <row r="177" spans="1:9" x14ac:dyDescent="0.55000000000000004">
      <c r="A177" s="41"/>
      <c r="B177" s="41"/>
      <c r="C177" s="54"/>
      <c r="D177" s="54"/>
      <c r="E177" s="54"/>
      <c r="F177" s="54"/>
      <c r="G177" s="54"/>
      <c r="H177" s="54"/>
      <c r="I177" s="54"/>
    </row>
    <row r="178" spans="1:9" x14ac:dyDescent="0.55000000000000004">
      <c r="A178" s="41"/>
      <c r="B178" s="41"/>
      <c r="C178" s="54"/>
      <c r="D178" s="54"/>
      <c r="E178" s="54"/>
      <c r="F178" s="54"/>
      <c r="G178" s="54"/>
      <c r="H178" s="54"/>
      <c r="I178" s="54"/>
    </row>
    <row r="179" spans="1:9" x14ac:dyDescent="0.55000000000000004">
      <c r="A179" s="41"/>
      <c r="B179" s="41"/>
      <c r="C179" s="54"/>
      <c r="D179" s="54"/>
      <c r="E179" s="54"/>
      <c r="F179" s="54"/>
      <c r="G179" s="54"/>
      <c r="H179" s="54"/>
      <c r="I179" s="54"/>
    </row>
    <row r="180" spans="1:9" x14ac:dyDescent="0.55000000000000004">
      <c r="A180" s="41"/>
      <c r="B180" s="41"/>
      <c r="C180" s="54"/>
      <c r="D180" s="54"/>
      <c r="E180" s="54"/>
      <c r="F180" s="54"/>
      <c r="G180" s="54"/>
      <c r="H180" s="54"/>
      <c r="I180" s="54"/>
    </row>
    <row r="181" spans="1:9" x14ac:dyDescent="0.55000000000000004">
      <c r="A181" s="41"/>
      <c r="B181" s="41"/>
      <c r="C181" s="54"/>
      <c r="D181" s="54"/>
      <c r="E181" s="54"/>
      <c r="F181" s="54"/>
      <c r="G181" s="54"/>
      <c r="H181" s="54"/>
      <c r="I181" s="54"/>
    </row>
    <row r="182" spans="1:9" x14ac:dyDescent="0.55000000000000004">
      <c r="A182" s="41"/>
      <c r="B182" s="41"/>
      <c r="C182" s="54"/>
      <c r="D182" s="54"/>
      <c r="E182" s="54"/>
      <c r="F182" s="54"/>
      <c r="G182" s="54"/>
      <c r="H182" s="54"/>
      <c r="I182" s="54"/>
    </row>
    <row r="183" spans="1:9" x14ac:dyDescent="0.55000000000000004">
      <c r="A183" s="41"/>
      <c r="B183" s="41"/>
      <c r="C183" s="54"/>
      <c r="D183" s="54"/>
      <c r="E183" s="54"/>
      <c r="F183" s="54"/>
      <c r="G183" s="54"/>
      <c r="H183" s="54"/>
      <c r="I183" s="54"/>
    </row>
    <row r="184" spans="1:9" x14ac:dyDescent="0.55000000000000004">
      <c r="A184" s="41"/>
      <c r="B184" s="41"/>
      <c r="C184" s="54"/>
      <c r="D184" s="54"/>
      <c r="E184" s="54"/>
      <c r="F184" s="54"/>
      <c r="G184" s="54"/>
      <c r="H184" s="54"/>
      <c r="I184" s="54"/>
    </row>
    <row r="185" spans="1:9" x14ac:dyDescent="0.55000000000000004">
      <c r="A185" s="41"/>
      <c r="B185" s="41"/>
      <c r="C185" s="54"/>
      <c r="D185" s="54"/>
      <c r="E185" s="54"/>
      <c r="F185" s="54"/>
      <c r="G185" s="54"/>
      <c r="H185" s="54"/>
      <c r="I185" s="54"/>
    </row>
    <row r="186" spans="1:9" x14ac:dyDescent="0.55000000000000004">
      <c r="A186" s="41"/>
      <c r="B186" s="41"/>
      <c r="C186" s="54"/>
      <c r="D186" s="54"/>
      <c r="E186" s="54"/>
      <c r="F186" s="54"/>
      <c r="G186" s="54"/>
      <c r="H186" s="54"/>
      <c r="I186" s="54"/>
    </row>
    <row r="187" spans="1:9" x14ac:dyDescent="0.55000000000000004">
      <c r="A187" s="41"/>
      <c r="B187" s="41"/>
      <c r="C187" s="54"/>
      <c r="D187" s="54"/>
      <c r="E187" s="54"/>
      <c r="F187" s="54"/>
      <c r="G187" s="54"/>
      <c r="H187" s="54"/>
      <c r="I187" s="54"/>
    </row>
    <row r="188" spans="1:9" x14ac:dyDescent="0.55000000000000004">
      <c r="A188" s="41"/>
      <c r="B188" s="41"/>
      <c r="C188" s="54"/>
      <c r="D188" s="54"/>
      <c r="E188" s="54"/>
      <c r="F188" s="54"/>
      <c r="G188" s="54"/>
      <c r="H188" s="54"/>
      <c r="I188" s="54"/>
    </row>
    <row r="189" spans="1:9" x14ac:dyDescent="0.55000000000000004">
      <c r="A189" s="41"/>
      <c r="B189" s="41"/>
      <c r="C189" s="54"/>
      <c r="D189" s="54"/>
      <c r="E189" s="54"/>
      <c r="F189" s="54"/>
      <c r="G189" s="54"/>
      <c r="H189" s="54"/>
      <c r="I189" s="54"/>
    </row>
    <row r="190" spans="1:9" x14ac:dyDescent="0.55000000000000004">
      <c r="A190" s="41"/>
      <c r="B190" s="41"/>
      <c r="C190" s="54"/>
      <c r="D190" s="54"/>
      <c r="E190" s="54"/>
      <c r="F190" s="54"/>
      <c r="G190" s="54"/>
      <c r="H190" s="54"/>
      <c r="I190" s="54"/>
    </row>
    <row r="191" spans="1:9" x14ac:dyDescent="0.55000000000000004">
      <c r="A191" s="41"/>
      <c r="B191" s="41"/>
      <c r="C191" s="54"/>
      <c r="D191" s="54"/>
      <c r="E191" s="54"/>
      <c r="F191" s="54"/>
      <c r="G191" s="54"/>
      <c r="H191" s="54"/>
      <c r="I191" s="54"/>
    </row>
    <row r="192" spans="1:9" x14ac:dyDescent="0.55000000000000004">
      <c r="A192" s="41"/>
      <c r="B192" s="41"/>
      <c r="C192" s="54"/>
      <c r="D192" s="54"/>
      <c r="E192" s="54"/>
      <c r="F192" s="54"/>
      <c r="G192" s="54"/>
      <c r="H192" s="54"/>
      <c r="I192" s="54"/>
    </row>
    <row r="193" spans="1:9" x14ac:dyDescent="0.55000000000000004">
      <c r="A193" s="41"/>
      <c r="B193" s="41"/>
      <c r="C193" s="54"/>
      <c r="D193" s="54"/>
      <c r="E193" s="54"/>
      <c r="F193" s="54"/>
      <c r="G193" s="54"/>
      <c r="H193" s="54"/>
      <c r="I193" s="54"/>
    </row>
    <row r="194" spans="1:9" x14ac:dyDescent="0.55000000000000004">
      <c r="A194" s="41"/>
      <c r="B194" s="41"/>
      <c r="C194" s="54"/>
      <c r="D194" s="54"/>
      <c r="E194" s="54"/>
      <c r="F194" s="54"/>
      <c r="G194" s="54"/>
      <c r="H194" s="54"/>
      <c r="I194" s="54"/>
    </row>
    <row r="195" spans="1:9" x14ac:dyDescent="0.55000000000000004">
      <c r="A195" s="41"/>
      <c r="B195" s="41"/>
      <c r="C195" s="54"/>
      <c r="D195" s="54"/>
      <c r="E195" s="54"/>
      <c r="F195" s="54"/>
      <c r="G195" s="54"/>
      <c r="H195" s="54"/>
      <c r="I195" s="54"/>
    </row>
    <row r="196" spans="1:9" x14ac:dyDescent="0.55000000000000004">
      <c r="A196" s="41"/>
      <c r="B196" s="41"/>
      <c r="C196" s="54"/>
      <c r="D196" s="54"/>
      <c r="E196" s="54"/>
      <c r="F196" s="54"/>
      <c r="G196" s="54"/>
      <c r="H196" s="54"/>
      <c r="I196" s="54"/>
    </row>
    <row r="197" spans="1:9" x14ac:dyDescent="0.55000000000000004">
      <c r="A197" s="41"/>
      <c r="B197" s="41"/>
      <c r="C197" s="54"/>
      <c r="D197" s="54"/>
      <c r="E197" s="54"/>
      <c r="F197" s="54"/>
      <c r="G197" s="54"/>
      <c r="H197" s="54"/>
      <c r="I197" s="54"/>
    </row>
    <row r="198" spans="1:9" x14ac:dyDescent="0.55000000000000004">
      <c r="A198" s="41"/>
      <c r="B198" s="41"/>
      <c r="C198" s="54"/>
      <c r="D198" s="54"/>
      <c r="E198" s="54"/>
      <c r="F198" s="54"/>
      <c r="G198" s="54"/>
      <c r="H198" s="54"/>
      <c r="I198" s="54"/>
    </row>
    <row r="199" spans="1:9" x14ac:dyDescent="0.55000000000000004">
      <c r="A199" s="41"/>
      <c r="B199" s="41"/>
      <c r="C199" s="54"/>
      <c r="D199" s="54"/>
      <c r="E199" s="54"/>
      <c r="F199" s="54"/>
      <c r="G199" s="54"/>
      <c r="H199" s="54"/>
      <c r="I199" s="54"/>
    </row>
    <row r="200" spans="1:9" x14ac:dyDescent="0.55000000000000004">
      <c r="A200" s="41"/>
      <c r="B200" s="41"/>
      <c r="C200" s="54"/>
      <c r="D200" s="54"/>
      <c r="E200" s="54"/>
      <c r="F200" s="54"/>
      <c r="G200" s="54"/>
      <c r="H200" s="54"/>
      <c r="I200" s="54"/>
    </row>
    <row r="201" spans="1:9" x14ac:dyDescent="0.55000000000000004">
      <c r="A201" s="41"/>
      <c r="B201" s="41"/>
      <c r="C201" s="54"/>
      <c r="D201" s="54"/>
      <c r="E201" s="54"/>
      <c r="F201" s="54"/>
      <c r="G201" s="54"/>
      <c r="H201" s="54"/>
      <c r="I201" s="54"/>
    </row>
    <row r="202" spans="1:9" x14ac:dyDescent="0.55000000000000004">
      <c r="A202" s="41"/>
      <c r="B202" s="41"/>
      <c r="C202" s="54"/>
      <c r="D202" s="54"/>
      <c r="E202" s="54"/>
      <c r="F202" s="54"/>
      <c r="G202" s="54"/>
      <c r="H202" s="54"/>
      <c r="I202" s="54"/>
    </row>
    <row r="203" spans="1:9" x14ac:dyDescent="0.55000000000000004">
      <c r="A203" s="41"/>
      <c r="B203" s="41"/>
      <c r="C203" s="54"/>
      <c r="D203" s="54"/>
      <c r="E203" s="54"/>
      <c r="F203" s="54"/>
      <c r="G203" s="54"/>
      <c r="H203" s="54"/>
      <c r="I203" s="54"/>
    </row>
    <row r="204" spans="1:9" x14ac:dyDescent="0.55000000000000004">
      <c r="A204" s="41"/>
      <c r="B204" s="41"/>
      <c r="C204" s="54"/>
      <c r="D204" s="54"/>
      <c r="E204" s="54"/>
      <c r="F204" s="54"/>
      <c r="G204" s="54"/>
      <c r="H204" s="54"/>
      <c r="I204" s="54"/>
    </row>
    <row r="205" spans="1:9" x14ac:dyDescent="0.55000000000000004">
      <c r="A205" s="41"/>
      <c r="B205" s="41"/>
      <c r="C205" s="54"/>
      <c r="D205" s="54"/>
      <c r="E205" s="54"/>
      <c r="F205" s="54"/>
      <c r="G205" s="54"/>
      <c r="H205" s="54"/>
      <c r="I205" s="54"/>
    </row>
    <row r="206" spans="1:9" x14ac:dyDescent="0.55000000000000004">
      <c r="A206" s="41"/>
      <c r="B206" s="41"/>
      <c r="C206" s="54"/>
      <c r="D206" s="54"/>
      <c r="E206" s="54"/>
      <c r="F206" s="54"/>
      <c r="G206" s="54"/>
      <c r="H206" s="54"/>
      <c r="I206" s="54"/>
    </row>
    <row r="207" spans="1:9" x14ac:dyDescent="0.55000000000000004">
      <c r="A207" s="41"/>
      <c r="B207" s="41"/>
      <c r="C207" s="54"/>
      <c r="D207" s="54"/>
      <c r="E207" s="54"/>
      <c r="F207" s="54"/>
      <c r="G207" s="54"/>
      <c r="H207" s="54"/>
      <c r="I207" s="54"/>
    </row>
    <row r="208" spans="1:9" x14ac:dyDescent="0.55000000000000004">
      <c r="A208" s="41"/>
      <c r="B208" s="41"/>
      <c r="C208" s="54"/>
      <c r="D208" s="54"/>
      <c r="E208" s="54"/>
      <c r="F208" s="54"/>
      <c r="G208" s="54"/>
      <c r="H208" s="54"/>
      <c r="I208" s="54"/>
    </row>
    <row r="209" spans="1:9" x14ac:dyDescent="0.55000000000000004">
      <c r="A209" s="41"/>
      <c r="B209" s="41"/>
      <c r="C209" s="54"/>
      <c r="D209" s="54"/>
      <c r="E209" s="54"/>
      <c r="F209" s="54"/>
      <c r="G209" s="54"/>
      <c r="H209" s="54"/>
      <c r="I209" s="54"/>
    </row>
    <row r="210" spans="1:9" x14ac:dyDescent="0.55000000000000004">
      <c r="A210" s="41"/>
      <c r="B210" s="41"/>
      <c r="C210" s="54"/>
      <c r="D210" s="54"/>
      <c r="E210" s="54"/>
      <c r="F210" s="54"/>
      <c r="G210" s="54"/>
      <c r="H210" s="54"/>
      <c r="I210" s="54"/>
    </row>
    <row r="211" spans="1:9" x14ac:dyDescent="0.55000000000000004">
      <c r="A211" s="41"/>
      <c r="B211" s="41"/>
      <c r="C211" s="54"/>
      <c r="D211" s="54"/>
      <c r="E211" s="54"/>
      <c r="F211" s="54"/>
      <c r="G211" s="54"/>
      <c r="H211" s="54"/>
      <c r="I211" s="54"/>
    </row>
    <row r="212" spans="1:9" x14ac:dyDescent="0.55000000000000004">
      <c r="A212" s="41"/>
      <c r="B212" s="41"/>
      <c r="C212" s="54"/>
      <c r="D212" s="54"/>
      <c r="E212" s="54"/>
      <c r="F212" s="54"/>
      <c r="G212" s="54"/>
      <c r="H212" s="54"/>
      <c r="I212" s="54"/>
    </row>
    <row r="213" spans="1:9" x14ac:dyDescent="0.55000000000000004">
      <c r="A213" s="41"/>
      <c r="B213" s="41"/>
      <c r="C213" s="54"/>
      <c r="D213" s="54"/>
      <c r="E213" s="54"/>
      <c r="F213" s="54"/>
      <c r="G213" s="54"/>
      <c r="H213" s="54"/>
      <c r="I213" s="54"/>
    </row>
    <row r="214" spans="1:9" x14ac:dyDescent="0.55000000000000004">
      <c r="A214" s="41"/>
      <c r="B214" s="41"/>
      <c r="C214" s="54"/>
      <c r="D214" s="54"/>
      <c r="E214" s="54"/>
      <c r="F214" s="54"/>
      <c r="G214" s="54"/>
      <c r="H214" s="54"/>
      <c r="I214" s="54"/>
    </row>
    <row r="215" spans="1:9" x14ac:dyDescent="0.55000000000000004">
      <c r="A215" s="41"/>
      <c r="B215" s="41"/>
      <c r="C215" s="54"/>
      <c r="D215" s="54"/>
      <c r="E215" s="54"/>
      <c r="F215" s="54"/>
      <c r="G215" s="54"/>
      <c r="H215" s="54"/>
      <c r="I215" s="54"/>
    </row>
    <row r="216" spans="1:9" x14ac:dyDescent="0.55000000000000004">
      <c r="A216" s="41"/>
      <c r="B216" s="41"/>
      <c r="C216" s="54"/>
      <c r="D216" s="54"/>
      <c r="E216" s="54"/>
      <c r="F216" s="54"/>
      <c r="G216" s="54"/>
      <c r="H216" s="54"/>
      <c r="I216" s="54"/>
    </row>
    <row r="217" spans="1:9" x14ac:dyDescent="0.55000000000000004">
      <c r="A217" s="41"/>
      <c r="B217" s="41"/>
      <c r="C217" s="54"/>
      <c r="D217" s="54"/>
      <c r="E217" s="54"/>
      <c r="F217" s="54"/>
      <c r="G217" s="54"/>
      <c r="H217" s="54"/>
      <c r="I217" s="54"/>
    </row>
    <row r="218" spans="1:9" x14ac:dyDescent="0.55000000000000004">
      <c r="A218" s="41"/>
      <c r="B218" s="41"/>
      <c r="C218" s="54"/>
      <c r="D218" s="54"/>
      <c r="E218" s="54"/>
      <c r="F218" s="54"/>
      <c r="G218" s="54"/>
      <c r="H218" s="54"/>
      <c r="I218" s="54"/>
    </row>
    <row r="219" spans="1:9" x14ac:dyDescent="0.55000000000000004">
      <c r="A219" s="41"/>
      <c r="B219" s="41"/>
      <c r="C219" s="54"/>
      <c r="D219" s="54"/>
      <c r="E219" s="54"/>
      <c r="F219" s="54"/>
      <c r="G219" s="54"/>
      <c r="H219" s="54"/>
      <c r="I219" s="54"/>
    </row>
    <row r="220" spans="1:9" x14ac:dyDescent="0.55000000000000004">
      <c r="A220" s="41"/>
      <c r="B220" s="41"/>
      <c r="C220" s="54"/>
      <c r="D220" s="54"/>
      <c r="E220" s="54"/>
      <c r="F220" s="54"/>
      <c r="G220" s="54"/>
      <c r="H220" s="54"/>
      <c r="I220" s="54"/>
    </row>
    <row r="221" spans="1:9" x14ac:dyDescent="0.55000000000000004">
      <c r="A221" s="41"/>
      <c r="B221" s="41"/>
      <c r="C221" s="54"/>
      <c r="D221" s="54"/>
      <c r="E221" s="54"/>
      <c r="F221" s="54"/>
      <c r="G221" s="54"/>
      <c r="H221" s="54"/>
      <c r="I221" s="54"/>
    </row>
    <row r="222" spans="1:9" x14ac:dyDescent="0.55000000000000004">
      <c r="A222" s="41"/>
      <c r="B222" s="41"/>
      <c r="C222" s="54"/>
      <c r="D222" s="54"/>
      <c r="E222" s="54"/>
      <c r="F222" s="54"/>
      <c r="G222" s="54"/>
      <c r="H222" s="54"/>
      <c r="I222" s="54"/>
    </row>
    <row r="223" spans="1:9" x14ac:dyDescent="0.55000000000000004">
      <c r="A223" s="41"/>
      <c r="B223" s="41"/>
      <c r="C223" s="54"/>
      <c r="D223" s="54"/>
      <c r="E223" s="54"/>
      <c r="F223" s="54"/>
      <c r="G223" s="54"/>
      <c r="H223" s="54"/>
      <c r="I223" s="54"/>
    </row>
    <row r="224" spans="1:9" x14ac:dyDescent="0.55000000000000004">
      <c r="A224" s="41"/>
      <c r="B224" s="41"/>
      <c r="C224" s="54"/>
      <c r="D224" s="54"/>
      <c r="E224" s="54"/>
      <c r="F224" s="54"/>
      <c r="G224" s="54"/>
      <c r="H224" s="54"/>
      <c r="I224" s="54"/>
    </row>
    <row r="225" spans="1:9" x14ac:dyDescent="0.55000000000000004">
      <c r="A225" s="41"/>
      <c r="B225" s="41"/>
      <c r="C225" s="54"/>
      <c r="D225" s="54"/>
      <c r="E225" s="54"/>
      <c r="F225" s="54"/>
      <c r="G225" s="54"/>
      <c r="H225" s="54"/>
      <c r="I225" s="54"/>
    </row>
    <row r="226" spans="1:9" x14ac:dyDescent="0.55000000000000004">
      <c r="A226" s="41"/>
      <c r="B226" s="41"/>
      <c r="C226" s="54"/>
      <c r="D226" s="54"/>
      <c r="E226" s="54"/>
      <c r="F226" s="54"/>
      <c r="G226" s="54"/>
      <c r="H226" s="54"/>
      <c r="I226" s="54"/>
    </row>
    <row r="227" spans="1:9" x14ac:dyDescent="0.55000000000000004">
      <c r="A227" s="41"/>
      <c r="B227" s="41"/>
      <c r="C227" s="54"/>
      <c r="D227" s="54"/>
      <c r="E227" s="54"/>
      <c r="F227" s="54"/>
      <c r="G227" s="54"/>
      <c r="H227" s="54"/>
      <c r="I227" s="54"/>
    </row>
    <row r="228" spans="1:9" x14ac:dyDescent="0.55000000000000004">
      <c r="A228" s="41"/>
      <c r="B228" s="41"/>
      <c r="C228" s="54"/>
      <c r="D228" s="54"/>
      <c r="E228" s="54"/>
      <c r="F228" s="54"/>
      <c r="G228" s="54"/>
      <c r="H228" s="54"/>
      <c r="I228" s="54"/>
    </row>
    <row r="229" spans="1:9" x14ac:dyDescent="0.55000000000000004">
      <c r="A229" s="41"/>
      <c r="B229" s="41"/>
      <c r="C229" s="54"/>
      <c r="D229" s="54"/>
      <c r="E229" s="54"/>
      <c r="F229" s="54"/>
      <c r="G229" s="54"/>
      <c r="H229" s="54"/>
      <c r="I229" s="54"/>
    </row>
    <row r="230" spans="1:9" x14ac:dyDescent="0.55000000000000004">
      <c r="A230" s="41"/>
      <c r="B230" s="41"/>
      <c r="C230" s="54"/>
      <c r="D230" s="54"/>
      <c r="E230" s="54"/>
      <c r="F230" s="54"/>
      <c r="G230" s="54"/>
      <c r="H230" s="54"/>
      <c r="I230" s="54"/>
    </row>
    <row r="231" spans="1:9" x14ac:dyDescent="0.55000000000000004">
      <c r="A231" s="41"/>
      <c r="B231" s="41"/>
      <c r="C231" s="54"/>
      <c r="D231" s="54"/>
      <c r="E231" s="54"/>
      <c r="F231" s="54"/>
      <c r="G231" s="54"/>
      <c r="H231" s="54"/>
      <c r="I231" s="54"/>
    </row>
    <row r="232" spans="1:9" x14ac:dyDescent="0.55000000000000004">
      <c r="A232" s="41"/>
      <c r="B232" s="41"/>
      <c r="C232" s="54"/>
      <c r="D232" s="54"/>
      <c r="E232" s="54"/>
      <c r="F232" s="54"/>
      <c r="G232" s="54"/>
      <c r="H232" s="54"/>
      <c r="I232" s="54"/>
    </row>
    <row r="233" spans="1:9" x14ac:dyDescent="0.55000000000000004">
      <c r="A233" s="41"/>
      <c r="B233" s="41"/>
      <c r="C233" s="54"/>
      <c r="D233" s="54"/>
      <c r="E233" s="54"/>
      <c r="F233" s="54"/>
      <c r="G233" s="54"/>
      <c r="H233" s="54"/>
      <c r="I233" s="54"/>
    </row>
    <row r="234" spans="1:9" x14ac:dyDescent="0.55000000000000004">
      <c r="A234" s="41"/>
      <c r="B234" s="41"/>
      <c r="C234" s="54"/>
      <c r="D234" s="54"/>
      <c r="E234" s="54"/>
      <c r="F234" s="54"/>
      <c r="G234" s="54"/>
      <c r="H234" s="54"/>
      <c r="I234" s="54"/>
    </row>
    <row r="235" spans="1:9" x14ac:dyDescent="0.55000000000000004">
      <c r="A235" s="41"/>
      <c r="B235" s="41"/>
      <c r="C235" s="54"/>
      <c r="D235" s="54"/>
      <c r="E235" s="54"/>
      <c r="F235" s="54"/>
      <c r="G235" s="54"/>
      <c r="H235" s="54"/>
      <c r="I235" s="54"/>
    </row>
    <row r="236" spans="1:9" x14ac:dyDescent="0.55000000000000004">
      <c r="A236" s="41"/>
      <c r="B236" s="41"/>
      <c r="C236" s="54"/>
      <c r="D236" s="54"/>
      <c r="E236" s="54"/>
      <c r="F236" s="54"/>
      <c r="G236" s="54"/>
      <c r="H236" s="54"/>
      <c r="I236" s="54"/>
    </row>
    <row r="237" spans="1:9" x14ac:dyDescent="0.55000000000000004">
      <c r="A237" s="41"/>
      <c r="B237" s="41"/>
      <c r="C237" s="54"/>
      <c r="D237" s="54"/>
      <c r="E237" s="54"/>
      <c r="F237" s="54"/>
      <c r="G237" s="54"/>
      <c r="H237" s="54"/>
      <c r="I237" s="54"/>
    </row>
    <row r="238" spans="1:9" x14ac:dyDescent="0.55000000000000004">
      <c r="A238" s="41"/>
      <c r="B238" s="41"/>
      <c r="C238" s="54"/>
      <c r="D238" s="54"/>
      <c r="E238" s="54"/>
      <c r="F238" s="54"/>
      <c r="G238" s="54"/>
      <c r="H238" s="54"/>
      <c r="I238" s="54"/>
    </row>
    <row r="239" spans="1:9" x14ac:dyDescent="0.55000000000000004">
      <c r="A239" s="41"/>
      <c r="B239" s="41"/>
      <c r="C239" s="54"/>
      <c r="D239" s="54"/>
      <c r="E239" s="54"/>
      <c r="F239" s="54"/>
      <c r="G239" s="54"/>
      <c r="H239" s="54"/>
      <c r="I239" s="54"/>
    </row>
    <row r="240" spans="1:9" x14ac:dyDescent="0.55000000000000004">
      <c r="A240" s="41"/>
      <c r="B240" s="41"/>
      <c r="C240" s="54"/>
      <c r="D240" s="54"/>
      <c r="E240" s="54"/>
      <c r="F240" s="54"/>
      <c r="G240" s="54"/>
      <c r="H240" s="54"/>
      <c r="I240" s="54"/>
    </row>
    <row r="241" spans="1:9" x14ac:dyDescent="0.55000000000000004">
      <c r="A241" s="41"/>
      <c r="B241" s="41"/>
      <c r="C241" s="54"/>
      <c r="D241" s="54"/>
      <c r="E241" s="54"/>
      <c r="F241" s="54"/>
      <c r="G241" s="54"/>
      <c r="H241" s="54"/>
      <c r="I241" s="54"/>
    </row>
    <row r="242" spans="1:9" x14ac:dyDescent="0.55000000000000004">
      <c r="A242" s="41"/>
      <c r="B242" s="41"/>
      <c r="C242" s="54"/>
      <c r="D242" s="54"/>
      <c r="E242" s="54"/>
      <c r="F242" s="54"/>
      <c r="G242" s="54"/>
      <c r="H242" s="54"/>
      <c r="I242" s="54"/>
    </row>
    <row r="243" spans="1:9" x14ac:dyDescent="0.55000000000000004">
      <c r="A243" s="41"/>
      <c r="B243" s="41"/>
      <c r="C243" s="54"/>
      <c r="D243" s="54"/>
      <c r="E243" s="54"/>
      <c r="F243" s="54"/>
      <c r="G243" s="54"/>
      <c r="H243" s="54"/>
      <c r="I243" s="54"/>
    </row>
    <row r="244" spans="1:9" x14ac:dyDescent="0.55000000000000004">
      <c r="A244" s="41"/>
      <c r="B244" s="41"/>
      <c r="C244" s="54"/>
      <c r="D244" s="54"/>
      <c r="E244" s="54"/>
      <c r="F244" s="54"/>
      <c r="G244" s="54"/>
      <c r="H244" s="54"/>
      <c r="I244" s="54"/>
    </row>
    <row r="245" spans="1:9" x14ac:dyDescent="0.55000000000000004">
      <c r="A245" s="41"/>
      <c r="B245" s="41"/>
      <c r="C245" s="54"/>
      <c r="D245" s="54"/>
      <c r="E245" s="54"/>
      <c r="F245" s="54"/>
      <c r="G245" s="54"/>
      <c r="H245" s="54"/>
      <c r="I245" s="54"/>
    </row>
    <row r="246" spans="1:9" x14ac:dyDescent="0.55000000000000004">
      <c r="A246" s="41"/>
      <c r="B246" s="41"/>
      <c r="C246" s="54"/>
      <c r="D246" s="54"/>
      <c r="E246" s="54"/>
      <c r="F246" s="54"/>
      <c r="G246" s="54"/>
      <c r="H246" s="54"/>
      <c r="I246" s="54"/>
    </row>
    <row r="247" spans="1:9" x14ac:dyDescent="0.55000000000000004">
      <c r="A247" s="41"/>
      <c r="B247" s="41"/>
      <c r="C247" s="54"/>
      <c r="D247" s="54"/>
      <c r="E247" s="54"/>
      <c r="F247" s="54"/>
      <c r="G247" s="54"/>
      <c r="H247" s="54"/>
      <c r="I247" s="54"/>
    </row>
    <row r="248" spans="1:9" x14ac:dyDescent="0.55000000000000004">
      <c r="A248" s="41"/>
      <c r="B248" s="41"/>
      <c r="C248" s="54"/>
      <c r="D248" s="54"/>
      <c r="E248" s="54"/>
      <c r="F248" s="54"/>
      <c r="G248" s="54"/>
      <c r="H248" s="54"/>
      <c r="I248" s="54"/>
    </row>
    <row r="249" spans="1:9" x14ac:dyDescent="0.55000000000000004">
      <c r="A249" s="41"/>
      <c r="B249" s="41"/>
      <c r="C249" s="54"/>
      <c r="D249" s="54"/>
      <c r="E249" s="54"/>
      <c r="F249" s="54"/>
      <c r="G249" s="54"/>
      <c r="H249" s="54"/>
      <c r="I249" s="54"/>
    </row>
    <row r="250" spans="1:9" x14ac:dyDescent="0.55000000000000004">
      <c r="A250" s="41"/>
      <c r="B250" s="41"/>
      <c r="C250" s="54"/>
      <c r="D250" s="54"/>
      <c r="E250" s="54"/>
      <c r="F250" s="54"/>
      <c r="G250" s="54"/>
      <c r="H250" s="54"/>
      <c r="I250" s="54"/>
    </row>
    <row r="251" spans="1:9" x14ac:dyDescent="0.55000000000000004">
      <c r="A251" s="41"/>
      <c r="B251" s="41"/>
      <c r="C251" s="54"/>
      <c r="D251" s="54"/>
      <c r="E251" s="54"/>
      <c r="F251" s="54"/>
      <c r="G251" s="54"/>
      <c r="H251" s="54"/>
      <c r="I251" s="54"/>
    </row>
    <row r="252" spans="1:9" x14ac:dyDescent="0.55000000000000004">
      <c r="A252" s="41"/>
      <c r="B252" s="41"/>
      <c r="C252" s="54"/>
      <c r="D252" s="54"/>
      <c r="E252" s="54"/>
      <c r="F252" s="54"/>
      <c r="G252" s="54"/>
      <c r="H252" s="54"/>
      <c r="I252" s="54"/>
    </row>
    <row r="253" spans="1:9" x14ac:dyDescent="0.55000000000000004">
      <c r="A253" s="41"/>
      <c r="B253" s="41"/>
      <c r="C253" s="54"/>
      <c r="D253" s="54"/>
      <c r="E253" s="54"/>
      <c r="F253" s="54"/>
      <c r="G253" s="54"/>
      <c r="H253" s="54"/>
      <c r="I253" s="54"/>
    </row>
    <row r="254" spans="1:9" x14ac:dyDescent="0.55000000000000004">
      <c r="A254" s="41"/>
      <c r="B254" s="41"/>
      <c r="C254" s="54"/>
      <c r="D254" s="54"/>
      <c r="E254" s="54"/>
      <c r="F254" s="54"/>
      <c r="G254" s="54"/>
      <c r="H254" s="54"/>
      <c r="I254" s="54"/>
    </row>
    <row r="255" spans="1:9" x14ac:dyDescent="0.55000000000000004">
      <c r="A255" s="41"/>
      <c r="B255" s="41"/>
      <c r="C255" s="54"/>
      <c r="D255" s="54"/>
      <c r="E255" s="54"/>
      <c r="F255" s="54"/>
      <c r="G255" s="54"/>
      <c r="H255" s="54"/>
      <c r="I255" s="54"/>
    </row>
    <row r="256" spans="1:9" x14ac:dyDescent="0.55000000000000004">
      <c r="A256" s="41"/>
      <c r="B256" s="41"/>
      <c r="C256" s="54"/>
      <c r="D256" s="54"/>
      <c r="E256" s="54"/>
      <c r="F256" s="54"/>
      <c r="G256" s="54"/>
      <c r="H256" s="54"/>
      <c r="I256" s="54"/>
    </row>
    <row r="257" spans="1:9" x14ac:dyDescent="0.55000000000000004">
      <c r="A257" s="41"/>
      <c r="B257" s="41"/>
      <c r="C257" s="54"/>
      <c r="D257" s="54"/>
      <c r="E257" s="54"/>
      <c r="F257" s="54"/>
      <c r="G257" s="54"/>
      <c r="H257" s="54"/>
      <c r="I257" s="54"/>
    </row>
    <row r="258" spans="1:9" x14ac:dyDescent="0.55000000000000004">
      <c r="A258" s="41"/>
      <c r="B258" s="41"/>
      <c r="C258" s="54"/>
      <c r="D258" s="54"/>
      <c r="E258" s="54"/>
      <c r="F258" s="54"/>
      <c r="G258" s="54"/>
      <c r="H258" s="54"/>
      <c r="I258" s="54"/>
    </row>
    <row r="259" spans="1:9" x14ac:dyDescent="0.55000000000000004">
      <c r="A259" s="41"/>
      <c r="B259" s="41"/>
      <c r="C259" s="54"/>
      <c r="D259" s="54"/>
      <c r="E259" s="54"/>
      <c r="F259" s="54"/>
      <c r="G259" s="54"/>
      <c r="H259" s="54"/>
      <c r="I259" s="54"/>
    </row>
    <row r="260" spans="1:9" x14ac:dyDescent="0.55000000000000004">
      <c r="A260" s="41"/>
      <c r="B260" s="41"/>
      <c r="C260" s="54"/>
      <c r="D260" s="54"/>
      <c r="E260" s="54"/>
      <c r="F260" s="54"/>
      <c r="G260" s="54"/>
      <c r="H260" s="54"/>
      <c r="I260" s="54"/>
    </row>
    <row r="261" spans="1:9" x14ac:dyDescent="0.55000000000000004">
      <c r="A261" s="41"/>
      <c r="B261" s="41"/>
      <c r="C261" s="54"/>
      <c r="D261" s="54"/>
      <c r="E261" s="54"/>
      <c r="F261" s="54"/>
      <c r="G261" s="54"/>
      <c r="H261" s="54"/>
      <c r="I261" s="54"/>
    </row>
    <row r="262" spans="1:9" x14ac:dyDescent="0.55000000000000004">
      <c r="A262" s="41"/>
      <c r="B262" s="41"/>
      <c r="C262" s="54"/>
      <c r="D262" s="54"/>
      <c r="E262" s="54"/>
      <c r="F262" s="54"/>
      <c r="G262" s="54"/>
      <c r="H262" s="54"/>
      <c r="I262" s="54"/>
    </row>
    <row r="263" spans="1:9" x14ac:dyDescent="0.55000000000000004">
      <c r="A263" s="41"/>
      <c r="B263" s="41"/>
      <c r="C263" s="54"/>
      <c r="D263" s="54"/>
      <c r="E263" s="54"/>
      <c r="F263" s="54"/>
      <c r="G263" s="54"/>
      <c r="H263" s="54"/>
      <c r="I263" s="54"/>
    </row>
    <row r="264" spans="1:9" x14ac:dyDescent="0.55000000000000004">
      <c r="A264" s="41"/>
      <c r="B264" s="41"/>
      <c r="C264" s="54"/>
      <c r="D264" s="54"/>
      <c r="E264" s="54"/>
      <c r="F264" s="54"/>
      <c r="G264" s="54"/>
      <c r="H264" s="54"/>
      <c r="I264" s="54"/>
    </row>
    <row r="265" spans="1:9" x14ac:dyDescent="0.55000000000000004">
      <c r="A265" s="41"/>
      <c r="B265" s="41"/>
      <c r="C265" s="54"/>
      <c r="D265" s="54"/>
      <c r="E265" s="54"/>
      <c r="F265" s="54"/>
      <c r="G265" s="54"/>
      <c r="H265" s="54"/>
      <c r="I265" s="54"/>
    </row>
    <row r="266" spans="1:9" x14ac:dyDescent="0.55000000000000004">
      <c r="A266" s="41"/>
      <c r="B266" s="41"/>
      <c r="C266" s="54"/>
      <c r="D266" s="54"/>
      <c r="E266" s="54"/>
      <c r="F266" s="54"/>
      <c r="G266" s="54"/>
      <c r="H266" s="54"/>
      <c r="I266" s="54"/>
    </row>
    <row r="267" spans="1:9" x14ac:dyDescent="0.55000000000000004">
      <c r="A267" s="41"/>
      <c r="B267" s="41"/>
      <c r="C267" s="54"/>
      <c r="D267" s="54"/>
      <c r="E267" s="54"/>
      <c r="F267" s="54"/>
      <c r="G267" s="54"/>
      <c r="H267" s="54"/>
      <c r="I267" s="54"/>
    </row>
    <row r="268" spans="1:9" x14ac:dyDescent="0.55000000000000004">
      <c r="A268" s="41"/>
      <c r="B268" s="41"/>
      <c r="C268" s="54"/>
      <c r="D268" s="54"/>
      <c r="E268" s="54"/>
      <c r="F268" s="54"/>
      <c r="G268" s="54"/>
      <c r="H268" s="54"/>
      <c r="I268" s="54"/>
    </row>
    <row r="269" spans="1:9" x14ac:dyDescent="0.55000000000000004">
      <c r="A269" s="41"/>
      <c r="B269" s="41"/>
      <c r="C269" s="54"/>
      <c r="D269" s="54"/>
      <c r="E269" s="54"/>
      <c r="F269" s="54"/>
      <c r="G269" s="54"/>
      <c r="H269" s="54"/>
      <c r="I269" s="54"/>
    </row>
    <row r="270" spans="1:9" x14ac:dyDescent="0.55000000000000004">
      <c r="A270" s="41"/>
      <c r="B270" s="41"/>
      <c r="C270" s="54"/>
      <c r="D270" s="54"/>
      <c r="E270" s="54"/>
      <c r="F270" s="54"/>
      <c r="G270" s="54"/>
      <c r="H270" s="54"/>
      <c r="I270" s="54"/>
    </row>
    <row r="271" spans="1:9" x14ac:dyDescent="0.55000000000000004">
      <c r="A271" s="41"/>
      <c r="B271" s="41"/>
      <c r="C271" s="54"/>
      <c r="D271" s="54"/>
      <c r="E271" s="54"/>
      <c r="F271" s="54"/>
      <c r="G271" s="54"/>
      <c r="H271" s="54"/>
      <c r="I271" s="54"/>
    </row>
    <row r="272" spans="1:9" x14ac:dyDescent="0.55000000000000004">
      <c r="A272" s="41"/>
      <c r="B272" s="41"/>
      <c r="C272" s="54"/>
      <c r="D272" s="54"/>
      <c r="E272" s="54"/>
      <c r="F272" s="54"/>
      <c r="G272" s="54"/>
      <c r="H272" s="54"/>
      <c r="I272" s="54"/>
    </row>
    <row r="273" spans="1:9" x14ac:dyDescent="0.55000000000000004">
      <c r="A273" s="41"/>
      <c r="B273" s="41"/>
      <c r="C273" s="54"/>
      <c r="D273" s="54"/>
      <c r="E273" s="54"/>
      <c r="F273" s="54"/>
      <c r="G273" s="54"/>
      <c r="H273" s="54"/>
      <c r="I273" s="54"/>
    </row>
    <row r="274" spans="1:9" x14ac:dyDescent="0.55000000000000004">
      <c r="A274" s="41"/>
      <c r="B274" s="41"/>
      <c r="C274" s="54"/>
      <c r="D274" s="54"/>
      <c r="E274" s="54"/>
      <c r="F274" s="54"/>
      <c r="G274" s="54"/>
      <c r="H274" s="54"/>
      <c r="I274" s="54"/>
    </row>
    <row r="275" spans="1:9" x14ac:dyDescent="0.55000000000000004">
      <c r="A275" s="41"/>
      <c r="B275" s="41"/>
      <c r="C275" s="54"/>
      <c r="D275" s="54"/>
      <c r="E275" s="54"/>
      <c r="F275" s="54"/>
      <c r="G275" s="54"/>
      <c r="H275" s="54"/>
      <c r="I275" s="54"/>
    </row>
    <row r="276" spans="1:9" x14ac:dyDescent="0.55000000000000004">
      <c r="A276" s="41"/>
      <c r="B276" s="41"/>
      <c r="C276" s="54"/>
      <c r="D276" s="54"/>
      <c r="E276" s="54"/>
      <c r="F276" s="54"/>
      <c r="G276" s="54"/>
      <c r="H276" s="54"/>
      <c r="I276" s="54"/>
    </row>
    <row r="277" spans="1:9" x14ac:dyDescent="0.55000000000000004">
      <c r="A277" s="41"/>
      <c r="B277" s="41"/>
      <c r="C277" s="54"/>
      <c r="D277" s="54"/>
      <c r="E277" s="54"/>
      <c r="F277" s="54"/>
      <c r="G277" s="54"/>
      <c r="H277" s="54"/>
      <c r="I277" s="54"/>
    </row>
    <row r="278" spans="1:9" x14ac:dyDescent="0.55000000000000004">
      <c r="A278" s="41"/>
      <c r="B278" s="41"/>
      <c r="C278" s="54"/>
      <c r="D278" s="54"/>
      <c r="E278" s="54"/>
      <c r="F278" s="54"/>
      <c r="G278" s="54"/>
      <c r="H278" s="54"/>
      <c r="I278" s="54"/>
    </row>
    <row r="279" spans="1:9" x14ac:dyDescent="0.55000000000000004">
      <c r="A279" s="41"/>
      <c r="B279" s="41"/>
      <c r="C279" s="54"/>
      <c r="D279" s="54"/>
      <c r="E279" s="54"/>
      <c r="F279" s="54"/>
      <c r="G279" s="54"/>
      <c r="H279" s="54"/>
      <c r="I279" s="54"/>
    </row>
    <row r="280" spans="1:9" x14ac:dyDescent="0.55000000000000004">
      <c r="A280" s="41"/>
      <c r="B280" s="41"/>
      <c r="C280" s="54"/>
      <c r="D280" s="54"/>
      <c r="E280" s="54"/>
      <c r="F280" s="54"/>
      <c r="G280" s="54"/>
      <c r="H280" s="54"/>
      <c r="I280" s="54"/>
    </row>
    <row r="281" spans="1:9" x14ac:dyDescent="0.55000000000000004">
      <c r="A281" s="41"/>
      <c r="B281" s="41"/>
      <c r="C281" s="54"/>
      <c r="D281" s="54"/>
      <c r="E281" s="54"/>
      <c r="F281" s="54"/>
      <c r="G281" s="54"/>
      <c r="H281" s="54"/>
      <c r="I281" s="54"/>
    </row>
    <row r="282" spans="1:9" x14ac:dyDescent="0.55000000000000004">
      <c r="A282" s="41"/>
      <c r="B282" s="41"/>
      <c r="C282" s="54"/>
      <c r="D282" s="54"/>
      <c r="E282" s="54"/>
      <c r="F282" s="54"/>
      <c r="G282" s="54"/>
      <c r="H282" s="54"/>
      <c r="I282" s="54"/>
    </row>
    <row r="283" spans="1:9" x14ac:dyDescent="0.55000000000000004">
      <c r="A283" s="41"/>
      <c r="B283" s="41"/>
      <c r="C283" s="54"/>
      <c r="D283" s="54"/>
      <c r="E283" s="54"/>
      <c r="F283" s="54"/>
      <c r="G283" s="54"/>
      <c r="H283" s="54"/>
      <c r="I283" s="54"/>
    </row>
    <row r="284" spans="1:9" x14ac:dyDescent="0.55000000000000004">
      <c r="A284" s="41"/>
      <c r="B284" s="41"/>
      <c r="C284" s="54"/>
      <c r="D284" s="54"/>
      <c r="E284" s="54"/>
      <c r="F284" s="54"/>
      <c r="G284" s="54"/>
      <c r="H284" s="54"/>
      <c r="I284" s="54"/>
    </row>
    <row r="285" spans="1:9" x14ac:dyDescent="0.55000000000000004">
      <c r="A285" s="41"/>
      <c r="B285" s="41"/>
      <c r="C285" s="54"/>
      <c r="D285" s="54"/>
      <c r="E285" s="54"/>
      <c r="F285" s="54"/>
      <c r="G285" s="54"/>
      <c r="H285" s="54"/>
      <c r="I285" s="54"/>
    </row>
    <row r="286" spans="1:9" x14ac:dyDescent="0.55000000000000004">
      <c r="A286" s="41"/>
      <c r="B286" s="41"/>
      <c r="C286" s="54"/>
      <c r="D286" s="54"/>
      <c r="E286" s="54"/>
      <c r="F286" s="54"/>
      <c r="G286" s="54"/>
      <c r="H286" s="54"/>
      <c r="I286" s="54"/>
    </row>
    <row r="287" spans="1:9" x14ac:dyDescent="0.55000000000000004">
      <c r="A287" s="41"/>
      <c r="B287" s="41"/>
      <c r="C287" s="54"/>
      <c r="D287" s="54"/>
      <c r="E287" s="54"/>
      <c r="F287" s="54"/>
      <c r="G287" s="54"/>
      <c r="H287" s="54"/>
      <c r="I287" s="54"/>
    </row>
    <row r="288" spans="1:9" x14ac:dyDescent="0.55000000000000004">
      <c r="A288" s="41"/>
      <c r="B288" s="41"/>
      <c r="C288" s="54"/>
      <c r="D288" s="54"/>
      <c r="E288" s="54"/>
      <c r="F288" s="54"/>
      <c r="G288" s="54"/>
      <c r="H288" s="54"/>
      <c r="I288" s="54"/>
    </row>
    <row r="289" spans="1:9" x14ac:dyDescent="0.55000000000000004">
      <c r="A289" s="41"/>
      <c r="B289" s="41"/>
      <c r="C289" s="54"/>
      <c r="D289" s="54"/>
      <c r="E289" s="54"/>
      <c r="F289" s="54"/>
      <c r="G289" s="54"/>
      <c r="H289" s="54"/>
      <c r="I289" s="54"/>
    </row>
    <row r="290" spans="1:9" x14ac:dyDescent="0.55000000000000004">
      <c r="A290" s="41"/>
      <c r="B290" s="41"/>
      <c r="C290" s="54"/>
      <c r="D290" s="54"/>
      <c r="E290" s="54"/>
      <c r="F290" s="54"/>
      <c r="G290" s="54"/>
      <c r="H290" s="54"/>
      <c r="I290" s="54"/>
    </row>
    <row r="291" spans="1:9" x14ac:dyDescent="0.55000000000000004">
      <c r="A291" s="41"/>
      <c r="B291" s="41"/>
      <c r="C291" s="54"/>
      <c r="D291" s="54"/>
      <c r="E291" s="54"/>
      <c r="F291" s="54"/>
      <c r="G291" s="54"/>
      <c r="H291" s="54"/>
      <c r="I291" s="54"/>
    </row>
    <row r="292" spans="1:9" x14ac:dyDescent="0.55000000000000004">
      <c r="A292" s="41"/>
      <c r="B292" s="41"/>
      <c r="C292" s="54"/>
      <c r="D292" s="54"/>
      <c r="E292" s="54"/>
      <c r="F292" s="54"/>
      <c r="G292" s="54"/>
      <c r="H292" s="54"/>
      <c r="I292" s="54"/>
    </row>
    <row r="293" spans="1:9" x14ac:dyDescent="0.55000000000000004">
      <c r="A293" s="41"/>
      <c r="B293" s="41"/>
      <c r="C293" s="54"/>
      <c r="D293" s="54"/>
      <c r="E293" s="54"/>
      <c r="F293" s="54"/>
      <c r="G293" s="54"/>
      <c r="H293" s="54"/>
      <c r="I293" s="54"/>
    </row>
    <row r="294" spans="1:9" x14ac:dyDescent="0.55000000000000004">
      <c r="A294" s="41"/>
      <c r="B294" s="41"/>
      <c r="C294" s="54"/>
      <c r="D294" s="54"/>
      <c r="E294" s="54"/>
      <c r="F294" s="54"/>
      <c r="G294" s="54"/>
      <c r="H294" s="54"/>
      <c r="I294" s="54"/>
    </row>
    <row r="295" spans="1:9" x14ac:dyDescent="0.55000000000000004">
      <c r="A295" s="41"/>
      <c r="B295" s="41"/>
      <c r="C295" s="54"/>
      <c r="D295" s="54"/>
      <c r="E295" s="54"/>
      <c r="F295" s="54"/>
      <c r="G295" s="54"/>
      <c r="H295" s="54"/>
      <c r="I295" s="54"/>
    </row>
    <row r="296" spans="1:9" x14ac:dyDescent="0.55000000000000004">
      <c r="A296" s="41"/>
      <c r="B296" s="41"/>
      <c r="C296" s="54"/>
      <c r="D296" s="54"/>
      <c r="E296" s="54"/>
      <c r="F296" s="54"/>
      <c r="G296" s="54"/>
      <c r="H296" s="54"/>
      <c r="I296" s="54"/>
    </row>
    <row r="297" spans="1:9" x14ac:dyDescent="0.55000000000000004">
      <c r="A297" s="41"/>
      <c r="B297" s="41"/>
      <c r="C297" s="54"/>
      <c r="D297" s="54"/>
      <c r="E297" s="54"/>
      <c r="F297" s="54"/>
      <c r="G297" s="54"/>
      <c r="H297" s="54"/>
      <c r="I297" s="54"/>
    </row>
    <row r="298" spans="1:9" x14ac:dyDescent="0.55000000000000004">
      <c r="A298" s="41"/>
      <c r="B298" s="41"/>
      <c r="C298" s="54"/>
      <c r="D298" s="54"/>
      <c r="E298" s="54"/>
      <c r="F298" s="54"/>
      <c r="G298" s="54"/>
      <c r="H298" s="54"/>
      <c r="I298" s="54"/>
    </row>
    <row r="299" spans="1:9" x14ac:dyDescent="0.55000000000000004">
      <c r="A299" s="41"/>
      <c r="B299" s="41"/>
      <c r="C299" s="54"/>
      <c r="D299" s="54"/>
      <c r="E299" s="54"/>
      <c r="F299" s="54"/>
      <c r="G299" s="54"/>
      <c r="H299" s="54"/>
      <c r="I299" s="54"/>
    </row>
    <row r="300" spans="1:9" x14ac:dyDescent="0.55000000000000004">
      <c r="A300" s="41"/>
      <c r="B300" s="41"/>
      <c r="C300" s="54"/>
      <c r="D300" s="54"/>
      <c r="E300" s="54"/>
      <c r="F300" s="54"/>
      <c r="G300" s="54"/>
      <c r="H300" s="54"/>
      <c r="I300" s="54"/>
    </row>
    <row r="301" spans="1:9" x14ac:dyDescent="0.55000000000000004">
      <c r="A301" s="41"/>
      <c r="B301" s="41"/>
      <c r="C301" s="54"/>
      <c r="D301" s="54"/>
      <c r="E301" s="54"/>
      <c r="F301" s="54"/>
      <c r="G301" s="54"/>
      <c r="H301" s="54"/>
      <c r="I301" s="54"/>
    </row>
    <row r="302" spans="1:9" x14ac:dyDescent="0.55000000000000004">
      <c r="A302" s="41"/>
      <c r="B302" s="41"/>
      <c r="C302" s="54"/>
      <c r="D302" s="54"/>
      <c r="E302" s="54"/>
      <c r="F302" s="54"/>
      <c r="G302" s="54"/>
      <c r="H302" s="54"/>
      <c r="I302" s="54"/>
    </row>
    <row r="303" spans="1:9" x14ac:dyDescent="0.55000000000000004">
      <c r="A303" s="41"/>
      <c r="B303" s="41"/>
      <c r="C303" s="54"/>
      <c r="D303" s="54"/>
      <c r="E303" s="54"/>
      <c r="F303" s="54"/>
      <c r="G303" s="54"/>
      <c r="H303" s="54"/>
      <c r="I303" s="54"/>
    </row>
    <row r="304" spans="1:9" x14ac:dyDescent="0.55000000000000004">
      <c r="A304" s="41"/>
      <c r="B304" s="41"/>
      <c r="C304" s="54"/>
      <c r="D304" s="54"/>
      <c r="E304" s="54"/>
      <c r="F304" s="54"/>
      <c r="G304" s="54"/>
      <c r="H304" s="54"/>
      <c r="I304" s="54"/>
    </row>
    <row r="305" spans="1:9" x14ac:dyDescent="0.55000000000000004">
      <c r="A305" s="41"/>
      <c r="B305" s="41"/>
      <c r="C305" s="54"/>
      <c r="D305" s="54"/>
      <c r="E305" s="54"/>
      <c r="F305" s="54"/>
      <c r="G305" s="54"/>
      <c r="H305" s="54"/>
      <c r="I305" s="54"/>
    </row>
    <row r="306" spans="1:9" x14ac:dyDescent="0.55000000000000004">
      <c r="A306" s="41"/>
      <c r="B306" s="41"/>
      <c r="C306" s="54"/>
      <c r="D306" s="54"/>
      <c r="E306" s="54"/>
      <c r="F306" s="54"/>
      <c r="G306" s="54"/>
      <c r="H306" s="54"/>
      <c r="I306" s="54"/>
    </row>
    <row r="307" spans="1:9" x14ac:dyDescent="0.55000000000000004">
      <c r="A307" s="41"/>
      <c r="B307" s="41"/>
      <c r="C307" s="54"/>
      <c r="D307" s="54"/>
      <c r="E307" s="54"/>
      <c r="F307" s="54"/>
      <c r="G307" s="54"/>
      <c r="H307" s="54"/>
      <c r="I307" s="54"/>
    </row>
    <row r="308" spans="1:9" x14ac:dyDescent="0.55000000000000004">
      <c r="A308" s="41"/>
      <c r="B308" s="41"/>
      <c r="C308" s="54"/>
      <c r="D308" s="54"/>
      <c r="E308" s="54"/>
      <c r="F308" s="54"/>
      <c r="G308" s="54"/>
      <c r="H308" s="54"/>
      <c r="I308" s="54"/>
    </row>
    <row r="309" spans="1:9" x14ac:dyDescent="0.55000000000000004">
      <c r="A309" s="41"/>
      <c r="B309" s="41"/>
      <c r="C309" s="54"/>
      <c r="D309" s="54"/>
      <c r="E309" s="54"/>
      <c r="F309" s="54"/>
      <c r="G309" s="54"/>
      <c r="H309" s="54"/>
      <c r="I309" s="54"/>
    </row>
    <row r="310" spans="1:9" x14ac:dyDescent="0.55000000000000004">
      <c r="A310" s="41"/>
      <c r="B310" s="41"/>
      <c r="C310" s="54"/>
      <c r="D310" s="54"/>
      <c r="E310" s="54"/>
      <c r="F310" s="54"/>
      <c r="G310" s="54"/>
      <c r="H310" s="54"/>
      <c r="I310" s="54"/>
    </row>
    <row r="311" spans="1:9" x14ac:dyDescent="0.55000000000000004">
      <c r="A311" s="41"/>
      <c r="B311" s="41"/>
      <c r="C311" s="54"/>
      <c r="D311" s="54"/>
      <c r="E311" s="54"/>
      <c r="F311" s="54"/>
      <c r="G311" s="54"/>
      <c r="H311" s="54"/>
      <c r="I311" s="54"/>
    </row>
    <row r="312" spans="1:9" x14ac:dyDescent="0.55000000000000004">
      <c r="A312" s="41"/>
      <c r="B312" s="41"/>
      <c r="C312" s="54"/>
      <c r="D312" s="54"/>
      <c r="E312" s="54"/>
      <c r="F312" s="54"/>
      <c r="G312" s="54"/>
      <c r="H312" s="54"/>
      <c r="I312" s="54"/>
    </row>
    <row r="313" spans="1:9" x14ac:dyDescent="0.55000000000000004">
      <c r="A313" s="41"/>
      <c r="B313" s="41"/>
      <c r="C313" s="54"/>
      <c r="D313" s="54"/>
      <c r="E313" s="54"/>
      <c r="F313" s="54"/>
      <c r="G313" s="54"/>
      <c r="H313" s="54"/>
      <c r="I313" s="54"/>
    </row>
    <row r="314" spans="1:9" x14ac:dyDescent="0.55000000000000004">
      <c r="A314" s="41"/>
      <c r="B314" s="41"/>
      <c r="C314" s="54"/>
      <c r="D314" s="54"/>
      <c r="E314" s="54"/>
      <c r="F314" s="54"/>
      <c r="G314" s="54"/>
      <c r="H314" s="54"/>
      <c r="I314" s="54"/>
    </row>
    <row r="315" spans="1:9" x14ac:dyDescent="0.55000000000000004">
      <c r="A315" s="41"/>
      <c r="B315" s="41"/>
      <c r="C315" s="54"/>
      <c r="D315" s="54"/>
      <c r="E315" s="54"/>
      <c r="F315" s="54"/>
      <c r="G315" s="54"/>
      <c r="H315" s="54"/>
      <c r="I315" s="54"/>
    </row>
    <row r="316" spans="1:9" x14ac:dyDescent="0.55000000000000004">
      <c r="A316" s="41"/>
      <c r="B316" s="41"/>
      <c r="C316" s="54"/>
      <c r="D316" s="54"/>
      <c r="E316" s="54"/>
      <c r="F316" s="54"/>
      <c r="G316" s="54"/>
      <c r="H316" s="54"/>
      <c r="I316" s="54"/>
    </row>
    <row r="317" spans="1:9" x14ac:dyDescent="0.55000000000000004">
      <c r="A317" s="41"/>
      <c r="B317" s="41"/>
      <c r="C317" s="54"/>
      <c r="D317" s="54"/>
      <c r="E317" s="54"/>
      <c r="F317" s="54"/>
      <c r="G317" s="54"/>
      <c r="H317" s="54"/>
      <c r="I317" s="54"/>
    </row>
    <row r="318" spans="1:9" x14ac:dyDescent="0.55000000000000004">
      <c r="A318" s="41"/>
      <c r="B318" s="41"/>
      <c r="C318" s="54"/>
      <c r="D318" s="54"/>
      <c r="E318" s="54"/>
      <c r="F318" s="54"/>
      <c r="G318" s="54"/>
      <c r="H318" s="54"/>
      <c r="I318" s="54"/>
    </row>
    <row r="319" spans="1:9" x14ac:dyDescent="0.55000000000000004">
      <c r="A319" s="41"/>
      <c r="B319" s="41"/>
      <c r="C319" s="54"/>
      <c r="D319" s="54"/>
      <c r="E319" s="54"/>
      <c r="F319" s="54"/>
      <c r="G319" s="54"/>
      <c r="H319" s="54"/>
      <c r="I319" s="54"/>
    </row>
    <row r="320" spans="1:9" x14ac:dyDescent="0.55000000000000004">
      <c r="A320" s="41"/>
      <c r="B320" s="41"/>
      <c r="C320" s="54"/>
      <c r="D320" s="54"/>
      <c r="E320" s="54"/>
      <c r="F320" s="54"/>
      <c r="G320" s="54"/>
      <c r="H320" s="54"/>
      <c r="I320" s="54"/>
    </row>
    <row r="321" spans="1:9" x14ac:dyDescent="0.55000000000000004">
      <c r="A321" s="41"/>
      <c r="B321" s="41"/>
      <c r="C321" s="54"/>
      <c r="D321" s="54"/>
      <c r="E321" s="54"/>
      <c r="F321" s="54"/>
      <c r="G321" s="54"/>
      <c r="H321" s="54"/>
      <c r="I321" s="54"/>
    </row>
    <row r="322" spans="1:9" x14ac:dyDescent="0.55000000000000004">
      <c r="A322" s="41"/>
      <c r="B322" s="41"/>
      <c r="C322" s="54"/>
      <c r="D322" s="54"/>
      <c r="E322" s="54"/>
      <c r="F322" s="54"/>
      <c r="G322" s="54"/>
      <c r="H322" s="54"/>
      <c r="I322" s="54"/>
    </row>
    <row r="323" spans="1:9" x14ac:dyDescent="0.55000000000000004">
      <c r="A323" s="41"/>
      <c r="B323" s="41"/>
      <c r="C323" s="54"/>
      <c r="D323" s="54"/>
      <c r="E323" s="54"/>
      <c r="F323" s="54"/>
      <c r="G323" s="54"/>
      <c r="H323" s="54"/>
      <c r="I323" s="54"/>
    </row>
    <row r="324" spans="1:9" x14ac:dyDescent="0.55000000000000004">
      <c r="A324" s="41"/>
      <c r="B324" s="41"/>
      <c r="C324" s="54"/>
      <c r="D324" s="54"/>
      <c r="E324" s="54"/>
      <c r="F324" s="54"/>
      <c r="G324" s="54"/>
      <c r="H324" s="54"/>
      <c r="I324" s="54"/>
    </row>
    <row r="325" spans="1:9" x14ac:dyDescent="0.55000000000000004">
      <c r="A325" s="41"/>
      <c r="B325" s="41"/>
      <c r="C325" s="54"/>
      <c r="D325" s="54"/>
      <c r="E325" s="54"/>
      <c r="F325" s="54"/>
      <c r="G325" s="54"/>
      <c r="H325" s="54"/>
      <c r="I325" s="54"/>
    </row>
    <row r="326" spans="1:9" x14ac:dyDescent="0.55000000000000004">
      <c r="A326" s="41"/>
      <c r="B326" s="41"/>
      <c r="C326" s="54"/>
      <c r="D326" s="54"/>
      <c r="E326" s="54"/>
      <c r="F326" s="54"/>
      <c r="G326" s="54"/>
      <c r="H326" s="54"/>
      <c r="I326" s="54"/>
    </row>
    <row r="327" spans="1:9" x14ac:dyDescent="0.55000000000000004">
      <c r="A327" s="41"/>
      <c r="B327" s="41"/>
      <c r="C327" s="54"/>
      <c r="D327" s="54"/>
      <c r="E327" s="54"/>
      <c r="F327" s="54"/>
      <c r="G327" s="54"/>
      <c r="H327" s="54"/>
      <c r="I327" s="54"/>
    </row>
    <row r="328" spans="1:9" x14ac:dyDescent="0.55000000000000004">
      <c r="A328" s="41"/>
      <c r="B328" s="41"/>
      <c r="C328" s="54"/>
      <c r="D328" s="54"/>
      <c r="E328" s="54"/>
      <c r="F328" s="54"/>
      <c r="G328" s="54"/>
      <c r="H328" s="54"/>
      <c r="I328" s="54"/>
    </row>
    <row r="329" spans="1:9" x14ac:dyDescent="0.55000000000000004">
      <c r="A329" s="41"/>
      <c r="B329" s="41"/>
      <c r="C329" s="54"/>
      <c r="D329" s="54"/>
      <c r="E329" s="54"/>
      <c r="F329" s="54"/>
      <c r="G329" s="54"/>
      <c r="H329" s="54"/>
      <c r="I329" s="54"/>
    </row>
    <row r="330" spans="1:9" x14ac:dyDescent="0.55000000000000004">
      <c r="A330" s="41"/>
      <c r="B330" s="41"/>
      <c r="C330" s="54"/>
      <c r="D330" s="54"/>
      <c r="E330" s="54"/>
      <c r="F330" s="54"/>
      <c r="G330" s="54"/>
      <c r="H330" s="54"/>
      <c r="I330" s="54"/>
    </row>
    <row r="331" spans="1:9" x14ac:dyDescent="0.55000000000000004">
      <c r="A331" s="41"/>
      <c r="B331" s="41"/>
      <c r="C331" s="54"/>
      <c r="D331" s="54"/>
      <c r="E331" s="54"/>
      <c r="F331" s="54"/>
      <c r="G331" s="54"/>
      <c r="H331" s="54"/>
      <c r="I331" s="54"/>
    </row>
    <row r="332" spans="1:9" x14ac:dyDescent="0.55000000000000004">
      <c r="A332" s="41"/>
      <c r="B332" s="41"/>
      <c r="C332" s="54"/>
      <c r="D332" s="54"/>
      <c r="E332" s="54"/>
      <c r="F332" s="54"/>
      <c r="G332" s="54"/>
      <c r="H332" s="54"/>
      <c r="I332" s="54"/>
    </row>
    <row r="333" spans="1:9" x14ac:dyDescent="0.55000000000000004">
      <c r="A333" s="41"/>
      <c r="B333" s="41"/>
      <c r="C333" s="54"/>
      <c r="D333" s="54"/>
      <c r="E333" s="54"/>
      <c r="F333" s="54"/>
      <c r="G333" s="54"/>
      <c r="H333" s="54"/>
      <c r="I333" s="54"/>
    </row>
    <row r="334" spans="1:9" x14ac:dyDescent="0.55000000000000004">
      <c r="A334" s="41"/>
      <c r="B334" s="41"/>
      <c r="C334" s="54"/>
      <c r="D334" s="54"/>
      <c r="E334" s="54"/>
      <c r="F334" s="54"/>
      <c r="G334" s="54"/>
      <c r="H334" s="54"/>
      <c r="I334" s="54"/>
    </row>
    <row r="335" spans="1:9" x14ac:dyDescent="0.55000000000000004">
      <c r="A335" s="41"/>
      <c r="B335" s="41"/>
      <c r="C335" s="54"/>
      <c r="D335" s="54"/>
      <c r="E335" s="54"/>
      <c r="F335" s="54"/>
      <c r="G335" s="54"/>
      <c r="H335" s="54"/>
      <c r="I335" s="54"/>
    </row>
    <row r="336" spans="1:9" x14ac:dyDescent="0.55000000000000004">
      <c r="A336" s="41"/>
      <c r="B336" s="41"/>
      <c r="C336" s="54"/>
      <c r="D336" s="54"/>
      <c r="E336" s="54"/>
      <c r="F336" s="54"/>
      <c r="G336" s="54"/>
      <c r="H336" s="54"/>
      <c r="I336" s="54"/>
    </row>
    <row r="337" spans="1:9" x14ac:dyDescent="0.55000000000000004">
      <c r="A337" s="41"/>
      <c r="B337" s="41"/>
      <c r="C337" s="54"/>
      <c r="D337" s="54"/>
      <c r="E337" s="54"/>
      <c r="F337" s="54"/>
      <c r="G337" s="54"/>
      <c r="H337" s="54"/>
      <c r="I337" s="54"/>
    </row>
    <row r="338" spans="1:9" x14ac:dyDescent="0.55000000000000004">
      <c r="A338" s="41"/>
      <c r="B338" s="41"/>
      <c r="C338" s="54"/>
      <c r="D338" s="54"/>
      <c r="E338" s="54"/>
      <c r="F338" s="54"/>
      <c r="G338" s="54"/>
      <c r="H338" s="54"/>
      <c r="I338" s="54"/>
    </row>
    <row r="339" spans="1:9" x14ac:dyDescent="0.55000000000000004">
      <c r="A339" s="41"/>
      <c r="B339" s="41"/>
      <c r="C339" s="54"/>
      <c r="D339" s="54"/>
      <c r="E339" s="54"/>
      <c r="F339" s="54"/>
      <c r="G339" s="54"/>
      <c r="H339" s="54"/>
      <c r="I339" s="54"/>
    </row>
    <row r="340" spans="1:9" x14ac:dyDescent="0.55000000000000004">
      <c r="A340" s="41"/>
      <c r="B340" s="41"/>
      <c r="C340" s="54"/>
      <c r="D340" s="54"/>
      <c r="E340" s="54"/>
      <c r="F340" s="54"/>
      <c r="G340" s="54"/>
      <c r="H340" s="54"/>
      <c r="I340" s="54"/>
    </row>
    <row r="341" spans="1:9" x14ac:dyDescent="0.55000000000000004">
      <c r="A341" s="41"/>
      <c r="B341" s="41"/>
      <c r="C341" s="54"/>
      <c r="D341" s="54"/>
      <c r="E341" s="54"/>
      <c r="F341" s="54"/>
      <c r="G341" s="54"/>
      <c r="H341" s="54"/>
      <c r="I341" s="54"/>
    </row>
    <row r="342" spans="1:9" x14ac:dyDescent="0.55000000000000004">
      <c r="A342" s="41"/>
      <c r="B342" s="41"/>
      <c r="C342" s="54"/>
      <c r="D342" s="54"/>
      <c r="E342" s="54"/>
      <c r="F342" s="54"/>
      <c r="G342" s="54"/>
      <c r="H342" s="54"/>
      <c r="I342" s="54"/>
    </row>
    <row r="343" spans="1:9" x14ac:dyDescent="0.55000000000000004">
      <c r="A343" s="41"/>
      <c r="B343" s="41"/>
      <c r="C343" s="54"/>
      <c r="D343" s="54"/>
      <c r="E343" s="54"/>
      <c r="F343" s="54"/>
      <c r="G343" s="54"/>
      <c r="H343" s="54"/>
      <c r="I343" s="54"/>
    </row>
    <row r="344" spans="1:9" x14ac:dyDescent="0.55000000000000004">
      <c r="A344" s="41"/>
      <c r="B344" s="41"/>
      <c r="C344" s="54"/>
      <c r="D344" s="54"/>
      <c r="E344" s="54"/>
      <c r="F344" s="54"/>
      <c r="G344" s="54"/>
      <c r="H344" s="54"/>
      <c r="I344" s="54"/>
    </row>
    <row r="345" spans="1:9" x14ac:dyDescent="0.55000000000000004">
      <c r="A345" s="41"/>
      <c r="B345" s="41"/>
      <c r="C345" s="54"/>
      <c r="D345" s="54"/>
      <c r="E345" s="54"/>
      <c r="F345" s="54"/>
      <c r="G345" s="54"/>
      <c r="H345" s="54"/>
      <c r="I345" s="54"/>
    </row>
    <row r="346" spans="1:9" x14ac:dyDescent="0.55000000000000004">
      <c r="A346" s="41"/>
      <c r="B346" s="41"/>
      <c r="C346" s="54"/>
      <c r="D346" s="54"/>
      <c r="E346" s="54"/>
      <c r="F346" s="54"/>
      <c r="G346" s="54"/>
      <c r="H346" s="54"/>
      <c r="I346" s="54"/>
    </row>
    <row r="347" spans="1:9" x14ac:dyDescent="0.55000000000000004">
      <c r="A347" s="41"/>
      <c r="B347" s="41"/>
      <c r="C347" s="54"/>
      <c r="D347" s="54"/>
      <c r="E347" s="54"/>
      <c r="F347" s="54"/>
      <c r="G347" s="54"/>
      <c r="H347" s="54"/>
      <c r="I347" s="54"/>
    </row>
    <row r="348" spans="1:9" x14ac:dyDescent="0.55000000000000004">
      <c r="A348" s="41"/>
      <c r="B348" s="41"/>
      <c r="C348" s="54"/>
      <c r="D348" s="54"/>
      <c r="E348" s="54"/>
      <c r="F348" s="54"/>
      <c r="G348" s="54"/>
      <c r="H348" s="54"/>
      <c r="I348" s="54"/>
    </row>
    <row r="349" spans="1:9" x14ac:dyDescent="0.55000000000000004">
      <c r="A349" s="41"/>
      <c r="B349" s="41"/>
      <c r="C349" s="54"/>
      <c r="D349" s="54"/>
      <c r="E349" s="54"/>
      <c r="F349" s="54"/>
      <c r="G349" s="54"/>
      <c r="H349" s="54"/>
      <c r="I349" s="54"/>
    </row>
    <row r="350" spans="1:9" x14ac:dyDescent="0.55000000000000004">
      <c r="A350" s="41"/>
      <c r="B350" s="41"/>
      <c r="C350" s="54"/>
      <c r="D350" s="54"/>
      <c r="E350" s="54"/>
      <c r="F350" s="54"/>
      <c r="G350" s="54"/>
      <c r="H350" s="54"/>
      <c r="I350" s="54"/>
    </row>
    <row r="351" spans="1:9" x14ac:dyDescent="0.55000000000000004">
      <c r="A351" s="41"/>
      <c r="B351" s="41"/>
      <c r="C351" s="54"/>
      <c r="D351" s="54"/>
      <c r="E351" s="54"/>
      <c r="F351" s="54"/>
      <c r="G351" s="54"/>
      <c r="H351" s="54"/>
      <c r="I351" s="54"/>
    </row>
    <row r="352" spans="1:9" x14ac:dyDescent="0.55000000000000004">
      <c r="A352" s="41"/>
      <c r="B352" s="41"/>
      <c r="C352" s="54"/>
      <c r="D352" s="54"/>
      <c r="E352" s="54"/>
      <c r="F352" s="54"/>
      <c r="G352" s="54"/>
      <c r="H352" s="54"/>
      <c r="I352" s="54"/>
    </row>
    <row r="353" spans="1:9" x14ac:dyDescent="0.55000000000000004">
      <c r="A353" s="41"/>
      <c r="B353" s="41"/>
      <c r="C353" s="54"/>
      <c r="D353" s="54"/>
      <c r="E353" s="54"/>
      <c r="F353" s="54"/>
      <c r="G353" s="54"/>
      <c r="H353" s="54"/>
      <c r="I353" s="54"/>
    </row>
    <row r="354" spans="1:9" x14ac:dyDescent="0.55000000000000004">
      <c r="A354" s="41"/>
      <c r="B354" s="41"/>
      <c r="C354" s="54"/>
      <c r="D354" s="54"/>
      <c r="E354" s="54"/>
      <c r="F354" s="54"/>
      <c r="G354" s="54"/>
      <c r="H354" s="54"/>
      <c r="I354" s="54"/>
    </row>
    <row r="355" spans="1:9" x14ac:dyDescent="0.55000000000000004">
      <c r="A355" s="41"/>
      <c r="B355" s="41"/>
      <c r="C355" s="54"/>
      <c r="D355" s="54"/>
      <c r="E355" s="54"/>
      <c r="F355" s="54"/>
      <c r="G355" s="54"/>
      <c r="H355" s="54"/>
      <c r="I355" s="54"/>
    </row>
    <row r="356" spans="1:9" x14ac:dyDescent="0.55000000000000004">
      <c r="A356" s="41"/>
      <c r="B356" s="41"/>
      <c r="C356" s="54"/>
      <c r="D356" s="54"/>
      <c r="E356" s="54"/>
      <c r="F356" s="54"/>
      <c r="G356" s="54"/>
      <c r="H356" s="54"/>
      <c r="I356" s="54"/>
    </row>
    <row r="357" spans="1:9" x14ac:dyDescent="0.55000000000000004">
      <c r="A357" s="41"/>
      <c r="B357" s="41"/>
      <c r="C357" s="54"/>
      <c r="D357" s="54"/>
      <c r="E357" s="54"/>
      <c r="F357" s="54"/>
      <c r="G357" s="54"/>
      <c r="H357" s="54"/>
      <c r="I357" s="54"/>
    </row>
    <row r="358" spans="1:9" x14ac:dyDescent="0.55000000000000004">
      <c r="A358" s="41"/>
      <c r="B358" s="41"/>
      <c r="C358" s="54"/>
      <c r="D358" s="54"/>
      <c r="E358" s="54"/>
      <c r="F358" s="54"/>
      <c r="G358" s="54"/>
      <c r="H358" s="54"/>
      <c r="I358" s="54"/>
    </row>
    <row r="359" spans="1:9" x14ac:dyDescent="0.55000000000000004">
      <c r="A359" s="41"/>
      <c r="B359" s="41"/>
      <c r="C359" s="54"/>
      <c r="D359" s="54"/>
      <c r="E359" s="54"/>
      <c r="F359" s="54"/>
      <c r="G359" s="54"/>
      <c r="H359" s="54"/>
      <c r="I359" s="54"/>
    </row>
    <row r="360" spans="1:9" x14ac:dyDescent="0.55000000000000004">
      <c r="A360" s="41"/>
      <c r="B360" s="41"/>
      <c r="C360" s="54"/>
      <c r="D360" s="54"/>
      <c r="E360" s="54"/>
      <c r="F360" s="54"/>
      <c r="G360" s="54"/>
      <c r="H360" s="54"/>
      <c r="I360" s="54"/>
    </row>
    <row r="361" spans="1:9" x14ac:dyDescent="0.55000000000000004">
      <c r="A361" s="41"/>
      <c r="B361" s="41"/>
      <c r="C361" s="54"/>
      <c r="D361" s="54"/>
      <c r="E361" s="54"/>
      <c r="F361" s="54"/>
      <c r="G361" s="54"/>
      <c r="H361" s="54"/>
      <c r="I361" s="54"/>
    </row>
    <row r="362" spans="1:9" x14ac:dyDescent="0.55000000000000004">
      <c r="A362" s="41"/>
      <c r="B362" s="41"/>
      <c r="C362" s="54"/>
      <c r="D362" s="54"/>
      <c r="E362" s="54"/>
      <c r="F362" s="54"/>
      <c r="G362" s="54"/>
      <c r="H362" s="54"/>
      <c r="I362" s="54"/>
    </row>
    <row r="363" spans="1:9" x14ac:dyDescent="0.55000000000000004">
      <c r="A363" s="41"/>
      <c r="B363" s="41"/>
      <c r="C363" s="54"/>
      <c r="D363" s="54"/>
      <c r="E363" s="54"/>
      <c r="F363" s="54"/>
      <c r="G363" s="54"/>
      <c r="H363" s="54"/>
      <c r="I363" s="54"/>
    </row>
    <row r="364" spans="1:9" x14ac:dyDescent="0.55000000000000004">
      <c r="A364" s="41"/>
      <c r="B364" s="41"/>
      <c r="C364" s="54"/>
      <c r="D364" s="54"/>
      <c r="E364" s="54"/>
      <c r="F364" s="54"/>
      <c r="G364" s="54"/>
      <c r="H364" s="54"/>
      <c r="I364" s="54"/>
    </row>
    <row r="365" spans="1:9" x14ac:dyDescent="0.55000000000000004">
      <c r="A365" s="41"/>
      <c r="B365" s="41"/>
      <c r="C365" s="54"/>
      <c r="D365" s="54"/>
      <c r="E365" s="54"/>
      <c r="F365" s="54"/>
      <c r="G365" s="54"/>
      <c r="H365" s="54"/>
      <c r="I365" s="54"/>
    </row>
    <row r="366" spans="1:9" x14ac:dyDescent="0.55000000000000004">
      <c r="A366" s="41"/>
      <c r="B366" s="41"/>
      <c r="C366" s="54"/>
      <c r="D366" s="54"/>
      <c r="E366" s="54"/>
      <c r="F366" s="54"/>
      <c r="G366" s="54"/>
      <c r="H366" s="54"/>
      <c r="I366" s="54"/>
    </row>
    <row r="367" spans="1:9" x14ac:dyDescent="0.55000000000000004">
      <c r="A367" s="41"/>
      <c r="B367" s="41"/>
      <c r="C367" s="54"/>
      <c r="D367" s="54"/>
      <c r="E367" s="54"/>
      <c r="F367" s="54"/>
      <c r="G367" s="54"/>
      <c r="H367" s="54"/>
      <c r="I367" s="54"/>
    </row>
    <row r="368" spans="1:9" x14ac:dyDescent="0.55000000000000004">
      <c r="A368" s="41"/>
      <c r="B368" s="41"/>
      <c r="C368" s="54"/>
      <c r="D368" s="54"/>
      <c r="E368" s="54"/>
      <c r="F368" s="54"/>
      <c r="G368" s="54"/>
      <c r="H368" s="54"/>
      <c r="I368" s="54"/>
    </row>
    <row r="369" spans="1:9" x14ac:dyDescent="0.55000000000000004">
      <c r="A369" s="41"/>
      <c r="B369" s="41"/>
      <c r="C369" s="54"/>
      <c r="D369" s="54"/>
      <c r="E369" s="54"/>
      <c r="F369" s="54"/>
      <c r="G369" s="54"/>
      <c r="H369" s="54"/>
      <c r="I369" s="54"/>
    </row>
    <row r="370" spans="1:9" x14ac:dyDescent="0.55000000000000004">
      <c r="A370" s="41"/>
      <c r="B370" s="41"/>
      <c r="C370" s="54"/>
      <c r="D370" s="54"/>
      <c r="E370" s="54"/>
      <c r="F370" s="54"/>
      <c r="G370" s="54"/>
      <c r="H370" s="54"/>
      <c r="I370" s="54"/>
    </row>
    <row r="371" spans="1:9" x14ac:dyDescent="0.55000000000000004">
      <c r="A371" s="41"/>
      <c r="B371" s="41"/>
      <c r="C371" s="54"/>
      <c r="D371" s="54"/>
      <c r="E371" s="54"/>
      <c r="F371" s="54"/>
      <c r="G371" s="54"/>
      <c r="H371" s="54"/>
      <c r="I371" s="54"/>
    </row>
    <row r="372" spans="1:9" x14ac:dyDescent="0.55000000000000004">
      <c r="A372" s="41"/>
      <c r="B372" s="41"/>
      <c r="C372" s="54"/>
      <c r="D372" s="54"/>
      <c r="E372" s="54"/>
      <c r="F372" s="54"/>
      <c r="G372" s="54"/>
      <c r="H372" s="54"/>
      <c r="I372" s="54"/>
    </row>
    <row r="373" spans="1:9" x14ac:dyDescent="0.55000000000000004">
      <c r="A373" s="41"/>
      <c r="B373" s="41"/>
      <c r="C373" s="54"/>
      <c r="D373" s="54"/>
      <c r="E373" s="54"/>
      <c r="F373" s="54"/>
      <c r="G373" s="54"/>
      <c r="H373" s="54"/>
      <c r="I373" s="54"/>
    </row>
    <row r="374" spans="1:9" x14ac:dyDescent="0.55000000000000004">
      <c r="A374" s="41"/>
      <c r="B374" s="41"/>
      <c r="C374" s="54"/>
      <c r="D374" s="54"/>
      <c r="E374" s="54"/>
      <c r="F374" s="54"/>
      <c r="G374" s="54"/>
      <c r="H374" s="54"/>
      <c r="I374" s="54"/>
    </row>
    <row r="375" spans="1:9" x14ac:dyDescent="0.55000000000000004">
      <c r="A375" s="41"/>
      <c r="B375" s="41"/>
      <c r="C375" s="54"/>
      <c r="D375" s="54"/>
      <c r="E375" s="54"/>
      <c r="F375" s="54"/>
      <c r="G375" s="54"/>
      <c r="H375" s="54"/>
      <c r="I375" s="54"/>
    </row>
    <row r="376" spans="1:9" x14ac:dyDescent="0.55000000000000004">
      <c r="A376" s="41"/>
      <c r="B376" s="41"/>
      <c r="C376" s="54"/>
      <c r="D376" s="54"/>
      <c r="E376" s="54"/>
      <c r="F376" s="54"/>
      <c r="G376" s="54"/>
      <c r="H376" s="54"/>
      <c r="I376" s="54"/>
    </row>
    <row r="377" spans="1:9" x14ac:dyDescent="0.55000000000000004">
      <c r="A377" s="41"/>
      <c r="B377" s="41"/>
      <c r="C377" s="54"/>
      <c r="D377" s="54"/>
      <c r="E377" s="54"/>
      <c r="F377" s="54"/>
      <c r="G377" s="54"/>
      <c r="H377" s="54"/>
      <c r="I377" s="54"/>
    </row>
    <row r="378" spans="1:9" x14ac:dyDescent="0.55000000000000004">
      <c r="A378" s="41"/>
      <c r="B378" s="41"/>
      <c r="C378" s="54"/>
      <c r="D378" s="54"/>
      <c r="E378" s="54"/>
      <c r="F378" s="54"/>
      <c r="G378" s="54"/>
      <c r="H378" s="54"/>
      <c r="I378" s="54"/>
    </row>
    <row r="379" spans="1:9" x14ac:dyDescent="0.55000000000000004">
      <c r="A379" s="41"/>
      <c r="B379" s="41"/>
      <c r="C379" s="54"/>
      <c r="D379" s="54"/>
      <c r="E379" s="54"/>
      <c r="F379" s="54"/>
      <c r="G379" s="54"/>
      <c r="H379" s="54"/>
      <c r="I379" s="54"/>
    </row>
    <row r="380" spans="1:9" x14ac:dyDescent="0.55000000000000004">
      <c r="A380" s="41"/>
      <c r="B380" s="41"/>
      <c r="C380" s="54"/>
      <c r="D380" s="54"/>
      <c r="E380" s="54"/>
      <c r="F380" s="54"/>
      <c r="G380" s="54"/>
      <c r="H380" s="54"/>
      <c r="I380" s="54"/>
    </row>
    <row r="381" spans="1:9" x14ac:dyDescent="0.55000000000000004">
      <c r="A381" s="41"/>
      <c r="B381" s="41"/>
      <c r="C381" s="54"/>
      <c r="D381" s="54"/>
      <c r="E381" s="54"/>
      <c r="F381" s="54"/>
      <c r="G381" s="54"/>
      <c r="H381" s="54"/>
      <c r="I381" s="54"/>
    </row>
    <row r="382" spans="1:9" x14ac:dyDescent="0.55000000000000004">
      <c r="A382" s="41"/>
      <c r="B382" s="41"/>
      <c r="C382" s="54"/>
      <c r="D382" s="54"/>
      <c r="E382" s="54"/>
      <c r="F382" s="54"/>
      <c r="G382" s="54"/>
      <c r="H382" s="54"/>
      <c r="I382" s="54"/>
    </row>
    <row r="383" spans="1:9" x14ac:dyDescent="0.55000000000000004">
      <c r="A383" s="41"/>
      <c r="B383" s="41"/>
      <c r="C383" s="54"/>
      <c r="D383" s="54"/>
      <c r="E383" s="54"/>
      <c r="F383" s="54"/>
      <c r="G383" s="54"/>
      <c r="H383" s="54"/>
      <c r="I383" s="54"/>
    </row>
    <row r="384" spans="1:9" x14ac:dyDescent="0.55000000000000004">
      <c r="A384" s="41"/>
      <c r="B384" s="41"/>
      <c r="C384" s="54"/>
      <c r="D384" s="54"/>
      <c r="E384" s="54"/>
      <c r="F384" s="54"/>
      <c r="G384" s="54"/>
      <c r="H384" s="54"/>
      <c r="I384" s="54"/>
    </row>
    <row r="385" spans="1:9" x14ac:dyDescent="0.55000000000000004">
      <c r="A385" s="41"/>
      <c r="B385" s="41"/>
      <c r="C385" s="54"/>
      <c r="D385" s="54"/>
      <c r="E385" s="54"/>
      <c r="F385" s="54"/>
      <c r="G385" s="54"/>
      <c r="H385" s="54"/>
      <c r="I385" s="54"/>
    </row>
    <row r="386" spans="1:9" x14ac:dyDescent="0.55000000000000004">
      <c r="A386" s="41"/>
      <c r="B386" s="41"/>
      <c r="C386" s="54"/>
      <c r="D386" s="54"/>
      <c r="E386" s="54"/>
      <c r="F386" s="54"/>
      <c r="G386" s="54"/>
      <c r="H386" s="54"/>
      <c r="I386" s="54"/>
    </row>
    <row r="387" spans="1:9" x14ac:dyDescent="0.55000000000000004">
      <c r="A387" s="41"/>
      <c r="B387" s="41"/>
      <c r="C387" s="54"/>
      <c r="D387" s="54"/>
      <c r="E387" s="54"/>
      <c r="F387" s="54"/>
      <c r="G387" s="54"/>
      <c r="H387" s="54"/>
      <c r="I387" s="54"/>
    </row>
    <row r="388" spans="1:9" x14ac:dyDescent="0.55000000000000004">
      <c r="A388" s="41"/>
      <c r="B388" s="41"/>
      <c r="C388" s="54"/>
      <c r="D388" s="54"/>
      <c r="E388" s="54"/>
      <c r="F388" s="54"/>
      <c r="G388" s="54"/>
      <c r="H388" s="54"/>
      <c r="I388" s="54"/>
    </row>
    <row r="389" spans="1:9" x14ac:dyDescent="0.55000000000000004">
      <c r="A389" s="41"/>
      <c r="B389" s="41"/>
      <c r="C389" s="54"/>
      <c r="D389" s="54"/>
      <c r="E389" s="54"/>
      <c r="F389" s="54"/>
      <c r="G389" s="54"/>
      <c r="H389" s="54"/>
      <c r="I389" s="54"/>
    </row>
    <row r="390" spans="1:9" x14ac:dyDescent="0.55000000000000004">
      <c r="A390" s="41"/>
      <c r="B390" s="41"/>
      <c r="C390" s="54"/>
      <c r="D390" s="54"/>
      <c r="E390" s="54"/>
      <c r="F390" s="54"/>
      <c r="G390" s="54"/>
      <c r="H390" s="54"/>
      <c r="I390" s="54"/>
    </row>
    <row r="391" spans="1:9" x14ac:dyDescent="0.55000000000000004">
      <c r="A391" s="41"/>
      <c r="B391" s="41"/>
      <c r="C391" s="54"/>
      <c r="D391" s="54"/>
      <c r="E391" s="54"/>
      <c r="F391" s="54"/>
      <c r="G391" s="54"/>
      <c r="H391" s="54"/>
      <c r="I391" s="54"/>
    </row>
    <row r="392" spans="1:9" x14ac:dyDescent="0.55000000000000004">
      <c r="A392" s="41"/>
      <c r="B392" s="41"/>
      <c r="C392" s="54"/>
      <c r="D392" s="54"/>
      <c r="E392" s="54"/>
      <c r="F392" s="54"/>
      <c r="G392" s="54"/>
      <c r="H392" s="54"/>
      <c r="I392" s="54"/>
    </row>
    <row r="393" spans="1:9" x14ac:dyDescent="0.55000000000000004">
      <c r="A393" s="41"/>
      <c r="B393" s="41"/>
      <c r="C393" s="54"/>
      <c r="D393" s="54"/>
      <c r="E393" s="54"/>
      <c r="F393" s="54"/>
      <c r="G393" s="54"/>
      <c r="H393" s="54"/>
      <c r="I393" s="54"/>
    </row>
    <row r="394" spans="1:9" x14ac:dyDescent="0.55000000000000004">
      <c r="A394" s="41"/>
      <c r="B394" s="41"/>
      <c r="C394" s="54"/>
      <c r="D394" s="54"/>
      <c r="E394" s="54"/>
      <c r="F394" s="54"/>
      <c r="G394" s="54"/>
      <c r="H394" s="54"/>
      <c r="I394" s="54"/>
    </row>
    <row r="395" spans="1:9" x14ac:dyDescent="0.55000000000000004">
      <c r="A395" s="41"/>
      <c r="B395" s="41"/>
      <c r="C395" s="54"/>
      <c r="D395" s="54"/>
      <c r="E395" s="54"/>
      <c r="F395" s="54"/>
      <c r="G395" s="54"/>
      <c r="H395" s="54"/>
      <c r="I395" s="54"/>
    </row>
    <row r="396" spans="1:9" x14ac:dyDescent="0.55000000000000004">
      <c r="A396" s="41"/>
      <c r="B396" s="41"/>
      <c r="C396" s="54"/>
      <c r="D396" s="54"/>
      <c r="E396" s="54"/>
      <c r="F396" s="54"/>
      <c r="G396" s="54"/>
      <c r="H396" s="54"/>
      <c r="I396" s="54"/>
    </row>
    <row r="397" spans="1:9" x14ac:dyDescent="0.55000000000000004">
      <c r="A397" s="41"/>
      <c r="B397" s="41"/>
      <c r="C397" s="54"/>
      <c r="D397" s="54"/>
      <c r="E397" s="54"/>
      <c r="F397" s="54"/>
      <c r="G397" s="54"/>
      <c r="H397" s="54"/>
      <c r="I397" s="54"/>
    </row>
    <row r="398" spans="1:9" x14ac:dyDescent="0.55000000000000004">
      <c r="A398" s="41"/>
      <c r="B398" s="41"/>
      <c r="C398" s="54"/>
      <c r="D398" s="54"/>
      <c r="E398" s="54"/>
      <c r="F398" s="54"/>
      <c r="G398" s="54"/>
      <c r="H398" s="54"/>
      <c r="I398" s="54"/>
    </row>
    <row r="399" spans="1:9" x14ac:dyDescent="0.55000000000000004">
      <c r="A399" s="41"/>
      <c r="B399" s="41"/>
      <c r="C399" s="54"/>
      <c r="D399" s="54"/>
      <c r="E399" s="54"/>
      <c r="F399" s="54"/>
      <c r="G399" s="54"/>
      <c r="H399" s="54"/>
      <c r="I399" s="54"/>
    </row>
    <row r="400" spans="1:9" x14ac:dyDescent="0.55000000000000004">
      <c r="A400" s="41"/>
      <c r="B400" s="41"/>
      <c r="C400" s="54"/>
      <c r="D400" s="54"/>
      <c r="E400" s="54"/>
      <c r="F400" s="54"/>
      <c r="G400" s="54"/>
      <c r="H400" s="54"/>
      <c r="I400" s="54"/>
    </row>
    <row r="401" spans="1:9" x14ac:dyDescent="0.55000000000000004">
      <c r="A401" s="41"/>
      <c r="B401" s="41"/>
      <c r="C401" s="54"/>
      <c r="D401" s="54"/>
      <c r="E401" s="54"/>
      <c r="F401" s="54"/>
      <c r="G401" s="54"/>
      <c r="H401" s="54"/>
      <c r="I401" s="54"/>
    </row>
    <row r="402" spans="1:9" x14ac:dyDescent="0.55000000000000004">
      <c r="A402" s="41"/>
      <c r="B402" s="41"/>
      <c r="C402" s="54"/>
      <c r="D402" s="54"/>
      <c r="E402" s="54"/>
      <c r="F402" s="54"/>
      <c r="G402" s="54"/>
      <c r="H402" s="54"/>
      <c r="I402" s="54"/>
    </row>
    <row r="403" spans="1:9" x14ac:dyDescent="0.55000000000000004">
      <c r="A403" s="41"/>
      <c r="B403" s="41"/>
      <c r="C403" s="54"/>
      <c r="D403" s="54"/>
      <c r="E403" s="54"/>
      <c r="F403" s="54"/>
      <c r="G403" s="54"/>
      <c r="H403" s="54"/>
      <c r="I403" s="54"/>
    </row>
    <row r="404" spans="1:9" x14ac:dyDescent="0.55000000000000004">
      <c r="A404" s="41"/>
      <c r="B404" s="41"/>
      <c r="C404" s="54"/>
      <c r="D404" s="54"/>
      <c r="E404" s="54"/>
      <c r="F404" s="54"/>
      <c r="G404" s="54"/>
      <c r="H404" s="54"/>
      <c r="I404" s="54"/>
    </row>
    <row r="405" spans="1:9" x14ac:dyDescent="0.55000000000000004">
      <c r="A405" s="41"/>
      <c r="B405" s="41"/>
      <c r="C405" s="54"/>
      <c r="D405" s="54"/>
      <c r="E405" s="54"/>
      <c r="F405" s="54"/>
      <c r="G405" s="54"/>
      <c r="H405" s="54"/>
      <c r="I405" s="54"/>
    </row>
    <row r="406" spans="1:9" x14ac:dyDescent="0.55000000000000004">
      <c r="A406" s="41"/>
      <c r="B406" s="41"/>
      <c r="C406" s="54"/>
      <c r="D406" s="54"/>
      <c r="E406" s="54"/>
      <c r="F406" s="54"/>
      <c r="G406" s="54"/>
      <c r="H406" s="54"/>
      <c r="I406" s="54"/>
    </row>
    <row r="407" spans="1:9" x14ac:dyDescent="0.55000000000000004">
      <c r="A407" s="41"/>
      <c r="B407" s="41"/>
      <c r="C407" s="54"/>
      <c r="D407" s="54"/>
      <c r="E407" s="54"/>
      <c r="F407" s="54"/>
      <c r="G407" s="54"/>
      <c r="H407" s="54"/>
      <c r="I407" s="54"/>
    </row>
    <row r="408" spans="1:9" x14ac:dyDescent="0.55000000000000004">
      <c r="A408" s="41"/>
      <c r="B408" s="41"/>
      <c r="C408" s="54"/>
      <c r="D408" s="54"/>
      <c r="E408" s="54"/>
      <c r="F408" s="54"/>
      <c r="G408" s="54"/>
      <c r="H408" s="54"/>
      <c r="I408" s="54"/>
    </row>
    <row r="409" spans="1:9" x14ac:dyDescent="0.55000000000000004">
      <c r="A409" s="41"/>
      <c r="B409" s="41"/>
      <c r="C409" s="54"/>
      <c r="D409" s="54"/>
      <c r="E409" s="54"/>
      <c r="F409" s="54"/>
      <c r="G409" s="54"/>
      <c r="H409" s="54"/>
      <c r="I409" s="54"/>
    </row>
    <row r="410" spans="1:9" x14ac:dyDescent="0.55000000000000004">
      <c r="A410" s="41"/>
      <c r="B410" s="41"/>
      <c r="C410" s="54"/>
      <c r="D410" s="54"/>
      <c r="E410" s="54"/>
      <c r="F410" s="54"/>
      <c r="G410" s="54"/>
      <c r="H410" s="54"/>
      <c r="I410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275"/>
  <sheetViews>
    <sheetView tabSelected="1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D78" sqref="D78"/>
    </sheetView>
  </sheetViews>
  <sheetFormatPr defaultColWidth="12" defaultRowHeight="14.4" x14ac:dyDescent="0.55000000000000004"/>
  <cols>
    <col min="1" max="1" width="33.578125" style="1" bestFit="1" customWidth="1"/>
    <col min="2" max="2" width="11.15625" style="2" bestFit="1" customWidth="1"/>
    <col min="3" max="4" width="9.15625" style="2" bestFit="1" customWidth="1"/>
    <col min="5" max="5" width="11.41796875" style="2" bestFit="1" customWidth="1"/>
    <col min="6" max="6" width="9.578125" style="2" bestFit="1" customWidth="1"/>
    <col min="7" max="7" width="9.41796875" style="2" bestFit="1" customWidth="1"/>
    <col min="8" max="8" width="15.578125" style="2" bestFit="1" customWidth="1"/>
    <col min="9" max="9" width="15.15625" style="2" bestFit="1" customWidth="1"/>
    <col min="10" max="10" width="15" style="2" bestFit="1" customWidth="1"/>
    <col min="11" max="11" width="4.83984375" style="41" bestFit="1" customWidth="1"/>
    <col min="12" max="12" width="4.578125" style="41" bestFit="1" customWidth="1"/>
    <col min="13" max="13" width="2.578125" style="6" customWidth="1"/>
    <col min="14" max="15" width="7.578125" style="2" bestFit="1" customWidth="1"/>
    <col min="16" max="17" width="7.578125" bestFit="1" customWidth="1"/>
    <col min="18" max="18" width="8.578125" style="2" bestFit="1" customWidth="1"/>
    <col min="19" max="20" width="7.578125" bestFit="1" customWidth="1"/>
    <col min="21" max="22" width="7.578125" style="2" bestFit="1" customWidth="1"/>
    <col min="23" max="26" width="7.578125" bestFit="1" customWidth="1"/>
    <col min="27" max="27" width="7.578125" style="1" bestFit="1" customWidth="1"/>
    <col min="28" max="28" width="7.578125" bestFit="1" customWidth="1"/>
    <col min="29" max="29" width="3.68359375" style="1" customWidth="1"/>
    <col min="30" max="30" width="11.15625" style="1" bestFit="1" customWidth="1"/>
    <col min="31" max="32" width="9.15625" style="1" bestFit="1" customWidth="1"/>
    <col min="33" max="33" width="3.26171875" style="1" customWidth="1"/>
    <col min="34" max="34" width="8.26171875" style="1" bestFit="1" customWidth="1"/>
    <col min="35" max="36" width="7.26171875" style="1" bestFit="1" customWidth="1"/>
    <col min="37" max="37" width="2.578125" style="1" customWidth="1"/>
    <col min="38" max="39" width="4.578125" style="1" bestFit="1" customWidth="1"/>
    <col min="40" max="40" width="2.578125" style="1" customWidth="1"/>
    <col min="41" max="42" width="5.26171875" style="1" bestFit="1" customWidth="1"/>
    <col min="43" max="43" width="3.15625" style="1" customWidth="1"/>
    <col min="44" max="44" width="17.41796875" style="1" bestFit="1" customWidth="1"/>
    <col min="45" max="45" width="16.83984375" style="1" bestFit="1" customWidth="1"/>
    <col min="46" max="46" width="16.68359375" style="1" bestFit="1" customWidth="1"/>
    <col min="47" max="47" width="5" style="1" customWidth="1"/>
    <col min="48" max="48" width="18.578125" style="1" bestFit="1" customWidth="1"/>
    <col min="49" max="49" width="18.15625" style="1" bestFit="1" customWidth="1"/>
    <col min="50" max="50" width="18" style="1" bestFit="1" customWidth="1"/>
    <col min="51" max="16376" width="12" style="1"/>
    <col min="16377" max="16377" width="2" style="1" bestFit="1" customWidth="1"/>
    <col min="16378" max="16384" width="1.83984375" style="1" customWidth="1"/>
  </cols>
  <sheetData>
    <row r="1" spans="1:50" x14ac:dyDescent="0.55000000000000004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5" t="s">
        <v>281</v>
      </c>
      <c r="L1" s="35" t="s">
        <v>282</v>
      </c>
      <c r="M1" s="26"/>
      <c r="N1" s="64" t="s">
        <v>10</v>
      </c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D1" s="33" t="s">
        <v>279</v>
      </c>
      <c r="AE1" s="34" t="s">
        <v>280</v>
      </c>
      <c r="AF1" s="33" t="s">
        <v>393</v>
      </c>
      <c r="AH1" s="33" t="s">
        <v>285</v>
      </c>
      <c r="AI1" s="34" t="s">
        <v>286</v>
      </c>
      <c r="AJ1" s="33" t="s">
        <v>392</v>
      </c>
      <c r="AL1" s="33" t="s">
        <v>283</v>
      </c>
      <c r="AM1" s="33" t="s">
        <v>284</v>
      </c>
      <c r="AN1" s="42"/>
      <c r="AO1" s="33" t="s">
        <v>287</v>
      </c>
      <c r="AP1" s="33" t="s">
        <v>288</v>
      </c>
      <c r="AR1" s="43" t="s">
        <v>289</v>
      </c>
      <c r="AS1" s="43" t="s">
        <v>290</v>
      </c>
      <c r="AT1" s="43" t="s">
        <v>291</v>
      </c>
      <c r="AV1" s="43" t="s">
        <v>292</v>
      </c>
      <c r="AW1" s="43" t="s">
        <v>293</v>
      </c>
      <c r="AX1" s="43" t="s">
        <v>294</v>
      </c>
    </row>
    <row r="2" spans="1:50" x14ac:dyDescent="0.55000000000000004">
      <c r="A2" s="27" t="s">
        <v>11</v>
      </c>
      <c r="B2" s="12">
        <v>359802</v>
      </c>
      <c r="C2" s="12">
        <v>14433</v>
      </c>
      <c r="D2" s="12">
        <v>9042</v>
      </c>
      <c r="E2" s="13">
        <v>28768</v>
      </c>
      <c r="F2" s="12">
        <v>969</v>
      </c>
      <c r="G2" s="12">
        <v>918</v>
      </c>
      <c r="H2" s="13">
        <v>348008</v>
      </c>
      <c r="I2" s="12">
        <v>13439</v>
      </c>
      <c r="J2" s="12">
        <v>8792</v>
      </c>
      <c r="K2" s="36">
        <v>40.1</v>
      </c>
      <c r="L2" s="36">
        <v>25.1</v>
      </c>
      <c r="N2" s="12">
        <v>53711</v>
      </c>
      <c r="O2" s="12">
        <v>60347</v>
      </c>
      <c r="P2" s="12">
        <v>52760</v>
      </c>
      <c r="Q2" s="12">
        <v>40052</v>
      </c>
      <c r="R2" s="12">
        <v>29401</v>
      </c>
      <c r="S2" s="12">
        <v>40180</v>
      </c>
      <c r="T2" s="12">
        <v>83351</v>
      </c>
      <c r="U2" s="12"/>
      <c r="V2" s="12"/>
      <c r="W2" s="15"/>
      <c r="X2" s="15"/>
      <c r="Y2" s="15"/>
      <c r="Z2" s="15"/>
      <c r="AA2" s="12"/>
      <c r="AB2" s="15"/>
      <c r="AC2" s="2"/>
      <c r="AD2" s="12">
        <f>SUM(N2:AB2)</f>
        <v>359802</v>
      </c>
      <c r="AE2" s="12">
        <f>SUM(N3:AB3)</f>
        <v>14433</v>
      </c>
      <c r="AF2" s="12">
        <f>SUM(N4:AB4)</f>
        <v>9042</v>
      </c>
      <c r="AG2" s="2"/>
      <c r="AH2" s="12">
        <f>AD2-B2</f>
        <v>0</v>
      </c>
      <c r="AI2" s="12">
        <f>AE2-C2</f>
        <v>0</v>
      </c>
      <c r="AJ2" s="12">
        <f>AF2-D2</f>
        <v>0</v>
      </c>
      <c r="AL2" s="47">
        <f>C2/B2*1000</f>
        <v>40.11372921773642</v>
      </c>
      <c r="AM2" s="47">
        <f>D2/B2*1000</f>
        <v>25.130488435306084</v>
      </c>
      <c r="AO2" s="47">
        <f>AL2-K2</f>
        <v>1.3729217736418775E-2</v>
      </c>
      <c r="AP2" s="47">
        <f>AM2-L2</f>
        <v>3.0488435306082806E-2</v>
      </c>
      <c r="AR2" s="12">
        <f>H2</f>
        <v>348008</v>
      </c>
      <c r="AS2" s="12">
        <f>I2</f>
        <v>13439</v>
      </c>
      <c r="AT2" s="12">
        <f>J2</f>
        <v>8792</v>
      </c>
    </row>
    <row r="3" spans="1:50" x14ac:dyDescent="0.55000000000000004">
      <c r="A3" s="28" t="s">
        <v>12</v>
      </c>
      <c r="K3" s="37"/>
      <c r="L3" s="37"/>
      <c r="N3" s="2">
        <v>2065</v>
      </c>
      <c r="O3" s="2">
        <v>1522</v>
      </c>
      <c r="P3" s="2">
        <v>2728</v>
      </c>
      <c r="Q3" s="2">
        <v>1644</v>
      </c>
      <c r="R3" s="2">
        <v>1306</v>
      </c>
      <c r="S3" s="2">
        <v>1672</v>
      </c>
      <c r="T3" s="2">
        <v>3496</v>
      </c>
      <c r="W3" s="8"/>
      <c r="X3" s="8"/>
      <c r="Y3" s="8"/>
      <c r="Z3" s="8"/>
      <c r="AA3" s="2"/>
      <c r="AB3" s="8"/>
      <c r="AC3" s="2"/>
      <c r="AD3" s="2"/>
      <c r="AE3" s="2"/>
      <c r="AF3" s="2"/>
      <c r="AG3" s="2"/>
      <c r="AH3" s="2"/>
      <c r="AI3" s="2"/>
      <c r="AJ3" s="2"/>
    </row>
    <row r="4" spans="1:50" x14ac:dyDescent="0.55000000000000004">
      <c r="A4" s="28" t="s">
        <v>13</v>
      </c>
      <c r="K4" s="37"/>
      <c r="L4" s="37"/>
      <c r="N4" s="2">
        <v>1786</v>
      </c>
      <c r="O4" s="2">
        <v>975</v>
      </c>
      <c r="P4" s="2">
        <v>1620</v>
      </c>
      <c r="Q4" s="2">
        <v>1267</v>
      </c>
      <c r="R4" s="2">
        <v>728</v>
      </c>
      <c r="S4" s="2">
        <v>872</v>
      </c>
      <c r="T4" s="2">
        <v>1794</v>
      </c>
      <c r="W4" s="8"/>
      <c r="X4" s="8"/>
      <c r="Y4" s="8"/>
      <c r="Z4" s="8"/>
      <c r="AA4" s="2"/>
      <c r="AB4" s="8"/>
      <c r="AC4" s="2"/>
      <c r="AD4" s="2"/>
      <c r="AE4" s="2"/>
      <c r="AF4" s="2"/>
      <c r="AG4" s="2"/>
      <c r="AH4" s="2"/>
      <c r="AI4" s="2"/>
      <c r="AJ4" s="2"/>
    </row>
    <row r="5" spans="1:50" x14ac:dyDescent="0.55000000000000004">
      <c r="A5" s="27" t="s">
        <v>295</v>
      </c>
      <c r="B5" s="12">
        <f>885846-B8</f>
        <v>534256</v>
      </c>
      <c r="C5" s="12">
        <v>31185</v>
      </c>
      <c r="D5" s="12">
        <v>24330</v>
      </c>
      <c r="E5" s="12">
        <v>121762</v>
      </c>
      <c r="F5" s="12">
        <v>5518</v>
      </c>
      <c r="G5" s="12">
        <v>5681</v>
      </c>
      <c r="H5" s="12">
        <v>870197</v>
      </c>
      <c r="I5" s="12">
        <v>28204</v>
      </c>
      <c r="J5" s="12">
        <v>19821</v>
      </c>
      <c r="K5" s="36">
        <v>58.3</v>
      </c>
      <c r="L5" s="36">
        <v>45.5</v>
      </c>
      <c r="N5" s="12">
        <v>164562</v>
      </c>
      <c r="O5" s="12">
        <v>66325</v>
      </c>
      <c r="P5" s="12">
        <v>33083</v>
      </c>
      <c r="Q5" s="12">
        <v>89613</v>
      </c>
      <c r="R5" s="12">
        <v>180673</v>
      </c>
      <c r="S5" s="12"/>
      <c r="T5" s="12"/>
      <c r="U5" s="12"/>
      <c r="V5" s="12"/>
      <c r="W5" s="15"/>
      <c r="X5" s="15"/>
      <c r="Y5" s="15"/>
      <c r="Z5" s="15"/>
      <c r="AA5" s="12"/>
      <c r="AB5" s="15"/>
      <c r="AC5" s="2"/>
      <c r="AD5" s="12">
        <f>SUM(N5:AB5)</f>
        <v>534256</v>
      </c>
      <c r="AE5" s="12">
        <f>SUM(N6:AB6)</f>
        <v>31185</v>
      </c>
      <c r="AF5" s="12">
        <f>SUM(N7:AB7)</f>
        <v>24330</v>
      </c>
      <c r="AG5" s="2"/>
      <c r="AH5" s="12">
        <f>AD5-B5</f>
        <v>0</v>
      </c>
      <c r="AI5" s="12">
        <f>AE5-C5</f>
        <v>0</v>
      </c>
      <c r="AJ5" s="12">
        <f>AF5-D5</f>
        <v>0</v>
      </c>
      <c r="AL5" s="47">
        <f>C5/B5*1000</f>
        <v>58.370893354496722</v>
      </c>
      <c r="AM5" s="47">
        <f>D5/B5*1000</f>
        <v>45.53996585906382</v>
      </c>
      <c r="AO5" s="47">
        <f>AL5-K5</f>
        <v>7.0893354496725181E-2</v>
      </c>
      <c r="AP5" s="47">
        <f>AM5-L5</f>
        <v>3.9965859063819664E-2</v>
      </c>
      <c r="AR5" s="12">
        <f t="shared" ref="AR5" si="0">H5</f>
        <v>870197</v>
      </c>
      <c r="AS5" s="12">
        <f t="shared" ref="AS5" si="1">I5</f>
        <v>28204</v>
      </c>
      <c r="AT5" s="12">
        <f t="shared" ref="AT5" si="2">J5</f>
        <v>19821</v>
      </c>
    </row>
    <row r="6" spans="1:50" x14ac:dyDescent="0.55000000000000004">
      <c r="A6" s="28" t="s">
        <v>296</v>
      </c>
      <c r="K6" s="37"/>
      <c r="L6" s="37"/>
      <c r="N6" s="2">
        <v>8797</v>
      </c>
      <c r="O6" s="2">
        <v>3820</v>
      </c>
      <c r="P6" s="2">
        <v>2192</v>
      </c>
      <c r="Q6" s="2">
        <v>5571</v>
      </c>
      <c r="R6" s="2">
        <v>10805</v>
      </c>
      <c r="S6" s="2"/>
      <c r="T6" s="2"/>
      <c r="W6" s="8"/>
      <c r="X6" s="8"/>
      <c r="Y6" s="8"/>
      <c r="Z6" s="8"/>
      <c r="AA6" s="2"/>
      <c r="AB6" s="8"/>
      <c r="AC6" s="2"/>
      <c r="AD6" s="2"/>
      <c r="AE6" s="2"/>
      <c r="AF6" s="2"/>
      <c r="AG6" s="2"/>
      <c r="AH6" s="2"/>
      <c r="AI6" s="2"/>
      <c r="AJ6" s="2"/>
    </row>
    <row r="7" spans="1:50" x14ac:dyDescent="0.55000000000000004">
      <c r="A7" s="28" t="s">
        <v>297</v>
      </c>
      <c r="K7" s="37"/>
      <c r="L7" s="37"/>
      <c r="N7" s="2">
        <v>7270</v>
      </c>
      <c r="O7" s="2">
        <v>3121</v>
      </c>
      <c r="P7" s="2">
        <v>1697</v>
      </c>
      <c r="Q7" s="2">
        <v>3476</v>
      </c>
      <c r="R7" s="2">
        <v>8766</v>
      </c>
      <c r="S7" s="2"/>
      <c r="T7" s="2"/>
      <c r="W7" s="8"/>
      <c r="X7" s="8"/>
      <c r="Y7" s="8"/>
      <c r="Z7" s="8"/>
      <c r="AA7" s="2"/>
      <c r="AB7" s="8"/>
      <c r="AC7" s="2"/>
      <c r="AD7" s="2"/>
      <c r="AE7" s="2"/>
      <c r="AF7" s="2"/>
      <c r="AG7" s="2"/>
      <c r="AH7" s="2"/>
      <c r="AI7" s="2"/>
      <c r="AJ7" s="2"/>
    </row>
    <row r="8" spans="1:50" s="51" customFormat="1" x14ac:dyDescent="0.55000000000000004">
      <c r="A8" s="20" t="s">
        <v>298</v>
      </c>
      <c r="B8" s="19">
        <f>SUM(N8:O8)</f>
        <v>351590</v>
      </c>
      <c r="C8" s="46" t="s">
        <v>14</v>
      </c>
      <c r="D8" s="46" t="s">
        <v>14</v>
      </c>
      <c r="E8" s="19"/>
      <c r="F8" s="19"/>
      <c r="G8" s="19"/>
      <c r="H8" s="19"/>
      <c r="I8" s="19"/>
      <c r="J8" s="19"/>
      <c r="K8" s="46" t="s">
        <v>14</v>
      </c>
      <c r="L8" s="46" t="s">
        <v>14</v>
      </c>
      <c r="M8" s="6"/>
      <c r="N8" s="12">
        <v>141696</v>
      </c>
      <c r="O8" s="12">
        <v>209894</v>
      </c>
      <c r="P8" s="19"/>
      <c r="Q8" s="19"/>
      <c r="R8" s="19"/>
      <c r="S8" s="19"/>
      <c r="T8" s="19"/>
      <c r="U8" s="19"/>
      <c r="V8" s="19"/>
      <c r="W8" s="17"/>
      <c r="X8" s="17"/>
      <c r="Y8" s="17"/>
      <c r="Z8" s="17"/>
      <c r="AA8" s="19"/>
      <c r="AB8" s="17"/>
      <c r="AC8" s="6"/>
      <c r="AD8" s="19">
        <f>B8</f>
        <v>351590</v>
      </c>
      <c r="AE8" s="39" t="str">
        <f>C8</f>
        <v>—</v>
      </c>
      <c r="AF8" s="39" t="str">
        <f>D8</f>
        <v>—</v>
      </c>
      <c r="AG8" s="6"/>
      <c r="AH8" s="19"/>
      <c r="AI8" s="19"/>
      <c r="AJ8" s="19"/>
      <c r="AL8" s="52"/>
      <c r="AM8" s="52"/>
      <c r="AO8" s="52"/>
      <c r="AP8" s="52"/>
      <c r="AR8" s="52"/>
      <c r="AS8" s="52"/>
      <c r="AT8" s="52"/>
    </row>
    <row r="9" spans="1:50" s="51" customFormat="1" x14ac:dyDescent="0.55000000000000004">
      <c r="A9" s="50" t="s">
        <v>299</v>
      </c>
      <c r="B9" s="6"/>
      <c r="C9" s="6"/>
      <c r="D9" s="6"/>
      <c r="E9" s="6"/>
      <c r="F9" s="6"/>
      <c r="G9" s="6"/>
      <c r="H9" s="6"/>
      <c r="I9" s="6"/>
      <c r="J9" s="6"/>
      <c r="K9" s="37"/>
      <c r="L9" s="37"/>
      <c r="M9" s="6"/>
      <c r="N9" s="2" t="s">
        <v>14</v>
      </c>
      <c r="O9" s="2" t="s">
        <v>14</v>
      </c>
      <c r="P9" s="6"/>
      <c r="Q9" s="6"/>
      <c r="R9" s="6"/>
      <c r="S9" s="6"/>
      <c r="T9" s="6"/>
      <c r="U9" s="6"/>
      <c r="V9" s="6"/>
      <c r="W9" s="9"/>
      <c r="X9" s="9"/>
      <c r="Y9" s="9"/>
      <c r="Z9" s="9"/>
      <c r="AA9" s="6"/>
      <c r="AB9" s="9"/>
      <c r="AC9" s="6"/>
      <c r="AD9" s="6"/>
      <c r="AE9" s="6"/>
      <c r="AF9" s="6"/>
      <c r="AG9" s="6"/>
      <c r="AH9" s="6"/>
      <c r="AI9" s="6"/>
      <c r="AJ9" s="6"/>
    </row>
    <row r="10" spans="1:50" s="51" customFormat="1" x14ac:dyDescent="0.55000000000000004">
      <c r="A10" s="50" t="s">
        <v>300</v>
      </c>
      <c r="B10" s="6"/>
      <c r="C10" s="6"/>
      <c r="D10" s="6"/>
      <c r="E10" s="6"/>
      <c r="F10" s="6"/>
      <c r="G10" s="6"/>
      <c r="H10" s="6"/>
      <c r="I10" s="6"/>
      <c r="J10" s="6"/>
      <c r="K10" s="37"/>
      <c r="L10" s="37"/>
      <c r="M10" s="6"/>
      <c r="N10" s="2" t="s">
        <v>14</v>
      </c>
      <c r="O10" s="2" t="s">
        <v>14</v>
      </c>
      <c r="P10" s="6"/>
      <c r="Q10" s="6"/>
      <c r="R10" s="6"/>
      <c r="S10" s="6"/>
      <c r="T10" s="6"/>
      <c r="U10" s="6"/>
      <c r="V10" s="6"/>
      <c r="W10" s="9"/>
      <c r="X10" s="9"/>
      <c r="Y10" s="9"/>
      <c r="Z10" s="9"/>
      <c r="AA10" s="6"/>
      <c r="AB10" s="9"/>
      <c r="AC10" s="6"/>
      <c r="AD10" s="6"/>
      <c r="AE10" s="6"/>
      <c r="AF10" s="6"/>
      <c r="AG10" s="6"/>
      <c r="AH10" s="6"/>
      <c r="AI10" s="6"/>
      <c r="AJ10" s="6"/>
    </row>
    <row r="11" spans="1:50" s="51" customFormat="1" x14ac:dyDescent="0.55000000000000004">
      <c r="A11" s="50" t="s">
        <v>301</v>
      </c>
      <c r="B11" s="6">
        <f>SUM(B5:B10)</f>
        <v>885846</v>
      </c>
      <c r="C11" s="6">
        <f>SUM(C5:C10)</f>
        <v>31185</v>
      </c>
      <c r="D11" s="6">
        <f>SUM(D5:D10)</f>
        <v>24330</v>
      </c>
      <c r="E11" s="6"/>
      <c r="F11" s="6"/>
      <c r="G11" s="6"/>
      <c r="H11" s="6"/>
      <c r="I11" s="6"/>
      <c r="J11" s="6"/>
      <c r="K11" s="37"/>
      <c r="L11" s="37"/>
      <c r="M11" s="6"/>
      <c r="N11" s="6"/>
      <c r="O11" s="6"/>
      <c r="P11" s="6"/>
      <c r="Q11" s="6"/>
      <c r="R11" s="6"/>
      <c r="S11" s="6"/>
      <c r="T11" s="6"/>
      <c r="U11" s="6"/>
      <c r="V11" s="6"/>
      <c r="W11" s="9"/>
      <c r="X11" s="9"/>
      <c r="Y11" s="9"/>
      <c r="Z11" s="9"/>
      <c r="AA11" s="6"/>
      <c r="AB11" s="9"/>
      <c r="AC11" s="6"/>
      <c r="AD11" s="6"/>
      <c r="AE11" s="6"/>
      <c r="AF11" s="6"/>
      <c r="AG11" s="6"/>
      <c r="AH11" s="6"/>
      <c r="AI11" s="6"/>
      <c r="AJ11" s="6"/>
    </row>
    <row r="12" spans="1:50" x14ac:dyDescent="0.55000000000000004">
      <c r="A12" s="27" t="s">
        <v>15</v>
      </c>
      <c r="B12" s="12">
        <v>1387742</v>
      </c>
      <c r="C12" s="12">
        <v>59742</v>
      </c>
      <c r="D12" s="12">
        <v>33850</v>
      </c>
      <c r="E12" s="13">
        <v>144909</v>
      </c>
      <c r="F12" s="12">
        <v>4716</v>
      </c>
      <c r="G12" s="12">
        <v>4554</v>
      </c>
      <c r="H12" s="13">
        <v>1327891</v>
      </c>
      <c r="I12" s="12">
        <v>55516</v>
      </c>
      <c r="J12" s="12">
        <v>44088</v>
      </c>
      <c r="K12" s="36">
        <v>43.1</v>
      </c>
      <c r="L12" s="36">
        <v>24.4</v>
      </c>
      <c r="N12" s="12">
        <v>306478</v>
      </c>
      <c r="O12" s="12">
        <v>199659</v>
      </c>
      <c r="P12" s="12">
        <v>184195</v>
      </c>
      <c r="Q12" s="12">
        <v>178982</v>
      </c>
      <c r="R12" s="12">
        <v>212335</v>
      </c>
      <c r="S12" s="12">
        <v>162466</v>
      </c>
      <c r="T12" s="12">
        <v>143627</v>
      </c>
      <c r="U12" s="12"/>
      <c r="V12" s="12"/>
      <c r="W12" s="15"/>
      <c r="X12" s="15"/>
      <c r="Y12" s="15"/>
      <c r="Z12" s="15"/>
      <c r="AA12" s="12"/>
      <c r="AB12" s="15"/>
      <c r="AC12" s="2"/>
      <c r="AD12" s="12">
        <f>SUM(N12:AB12)</f>
        <v>1387742</v>
      </c>
      <c r="AE12" s="12">
        <f>SUM(N13:AB13)</f>
        <v>59744</v>
      </c>
      <c r="AF12" s="12">
        <f>SUM(N14:AB14)</f>
        <v>33850</v>
      </c>
      <c r="AG12" s="2"/>
      <c r="AH12" s="12">
        <f>AD12-B12</f>
        <v>0</v>
      </c>
      <c r="AI12" s="12">
        <f>AE12-C12</f>
        <v>2</v>
      </c>
      <c r="AJ12" s="12">
        <f>AF12-D12</f>
        <v>0</v>
      </c>
      <c r="AL12" s="47">
        <f>C12/B12*1000</f>
        <v>43.049788793594196</v>
      </c>
      <c r="AM12" s="47">
        <f>D12/B12*1000</f>
        <v>24.392142055223523</v>
      </c>
      <c r="AO12" s="47">
        <f>AL12-K12</f>
        <v>-5.0211206405805342E-2</v>
      </c>
      <c r="AP12" s="47">
        <f>AM12-L12</f>
        <v>-7.8579447764752786E-3</v>
      </c>
      <c r="AR12" s="12">
        <f t="shared" ref="AR12" si="3">H12</f>
        <v>1327891</v>
      </c>
      <c r="AS12" s="12">
        <f t="shared" ref="AS12" si="4">I12</f>
        <v>55516</v>
      </c>
      <c r="AT12" s="12">
        <f t="shared" ref="AT12" si="5">J12</f>
        <v>44088</v>
      </c>
    </row>
    <row r="13" spans="1:50" x14ac:dyDescent="0.55000000000000004">
      <c r="A13" s="28" t="s">
        <v>16</v>
      </c>
      <c r="K13" s="37"/>
      <c r="L13" s="37"/>
      <c r="N13" s="2">
        <v>11217</v>
      </c>
      <c r="O13" s="2">
        <v>8627</v>
      </c>
      <c r="P13" s="2">
        <v>7972</v>
      </c>
      <c r="Q13" s="2">
        <v>8161</v>
      </c>
      <c r="R13" s="2">
        <v>8911</v>
      </c>
      <c r="S13" s="2">
        <v>6762</v>
      </c>
      <c r="T13" s="2">
        <v>8094</v>
      </c>
      <c r="W13" s="8"/>
      <c r="X13" s="8"/>
      <c r="Y13" s="8"/>
      <c r="Z13" s="8"/>
      <c r="AA13" s="2"/>
      <c r="AB13" s="8"/>
      <c r="AC13" s="2"/>
      <c r="AD13" s="2"/>
      <c r="AE13" s="2"/>
      <c r="AF13" s="2"/>
      <c r="AG13" s="2"/>
      <c r="AH13" s="2"/>
      <c r="AI13" s="2"/>
      <c r="AJ13" s="2"/>
    </row>
    <row r="14" spans="1:50" x14ac:dyDescent="0.55000000000000004">
      <c r="A14" s="28" t="s">
        <v>17</v>
      </c>
      <c r="K14" s="37"/>
      <c r="L14" s="37"/>
      <c r="N14" s="2">
        <v>8535</v>
      </c>
      <c r="O14" s="2">
        <v>4044</v>
      </c>
      <c r="P14" s="2">
        <v>3911</v>
      </c>
      <c r="Q14" s="2">
        <v>4482</v>
      </c>
      <c r="R14" s="2">
        <v>4452</v>
      </c>
      <c r="S14" s="2">
        <v>3888</v>
      </c>
      <c r="T14" s="2">
        <v>4538</v>
      </c>
      <c r="W14" s="8"/>
      <c r="X14" s="8"/>
      <c r="Y14" s="8"/>
      <c r="Z14" s="8"/>
      <c r="AA14" s="2"/>
      <c r="AB14" s="8"/>
      <c r="AC14" s="2"/>
      <c r="AD14" s="2"/>
      <c r="AE14" s="2"/>
      <c r="AF14" s="2"/>
      <c r="AG14" s="2"/>
      <c r="AH14" s="2"/>
      <c r="AI14" s="2"/>
      <c r="AJ14" s="2"/>
    </row>
    <row r="15" spans="1:50" x14ac:dyDescent="0.55000000000000004">
      <c r="A15" s="27" t="s">
        <v>18</v>
      </c>
      <c r="B15" s="12">
        <v>1397062</v>
      </c>
      <c r="C15" s="12">
        <v>59877</v>
      </c>
      <c r="D15" s="12">
        <v>32288</v>
      </c>
      <c r="E15" s="13">
        <v>214462</v>
      </c>
      <c r="F15" s="12">
        <v>6262</v>
      </c>
      <c r="G15" s="12">
        <v>4074</v>
      </c>
      <c r="H15" s="13">
        <v>1322671</v>
      </c>
      <c r="I15" s="12">
        <v>57262</v>
      </c>
      <c r="J15" s="12">
        <v>33167</v>
      </c>
      <c r="K15" s="36">
        <v>42.8</v>
      </c>
      <c r="L15" s="36">
        <v>23.1</v>
      </c>
      <c r="N15" s="12">
        <v>152745</v>
      </c>
      <c r="O15" s="12">
        <v>90672</v>
      </c>
      <c r="P15" s="12">
        <v>101308</v>
      </c>
      <c r="Q15" s="12">
        <v>235361</v>
      </c>
      <c r="R15" s="12">
        <v>83839</v>
      </c>
      <c r="S15" s="12">
        <v>141893</v>
      </c>
      <c r="T15" s="12">
        <v>121673</v>
      </c>
      <c r="U15" s="12">
        <v>115323</v>
      </c>
      <c r="V15" s="12">
        <v>121625</v>
      </c>
      <c r="W15" s="12">
        <v>137876</v>
      </c>
      <c r="X15" s="12">
        <v>94747</v>
      </c>
      <c r="Y15" s="15"/>
      <c r="Z15" s="15"/>
      <c r="AA15" s="12"/>
      <c r="AB15" s="15"/>
      <c r="AC15" s="2"/>
      <c r="AD15" s="12">
        <f>SUM(N15:AB15)</f>
        <v>1397062</v>
      </c>
      <c r="AE15" s="12">
        <f>SUM(N16:AB16)</f>
        <v>59877</v>
      </c>
      <c r="AF15" s="12">
        <f>SUM(N17:AB17)</f>
        <v>32294</v>
      </c>
      <c r="AG15" s="2"/>
      <c r="AH15" s="12">
        <f>AD15-B15</f>
        <v>0</v>
      </c>
      <c r="AI15" s="12">
        <f>AE15-C15</f>
        <v>0</v>
      </c>
      <c r="AJ15" s="12">
        <f>AF15-D15</f>
        <v>6</v>
      </c>
      <c r="AL15" s="47">
        <f>C15/B15*1000</f>
        <v>42.859228867437523</v>
      </c>
      <c r="AM15" s="47">
        <f>D15/B15*1000</f>
        <v>23.111357978386071</v>
      </c>
      <c r="AO15" s="47">
        <f>AL15-K15</f>
        <v>5.9228867437525423E-2</v>
      </c>
      <c r="AP15" s="47">
        <f>AM15-L15</f>
        <v>1.1357978386069334E-2</v>
      </c>
      <c r="AR15" s="12">
        <f t="shared" ref="AR15" si="6">H15</f>
        <v>1322671</v>
      </c>
      <c r="AS15" s="12">
        <f t="shared" ref="AS15" si="7">I15</f>
        <v>57262</v>
      </c>
      <c r="AT15" s="12">
        <f t="shared" ref="AT15" si="8">J15</f>
        <v>33167</v>
      </c>
    </row>
    <row r="16" spans="1:50" x14ac:dyDescent="0.55000000000000004">
      <c r="A16" s="28" t="s">
        <v>19</v>
      </c>
      <c r="K16" s="37"/>
      <c r="L16" s="37"/>
      <c r="N16" s="58">
        <v>6612</v>
      </c>
      <c r="O16" s="2">
        <v>5229</v>
      </c>
      <c r="P16" s="2">
        <v>5136</v>
      </c>
      <c r="Q16" s="2">
        <v>6883</v>
      </c>
      <c r="R16" s="2">
        <v>4444</v>
      </c>
      <c r="S16" s="2">
        <v>7005</v>
      </c>
      <c r="T16" s="2">
        <v>4932</v>
      </c>
      <c r="U16" s="2">
        <v>5154</v>
      </c>
      <c r="V16" s="2">
        <v>6013</v>
      </c>
      <c r="W16" s="2">
        <v>4037</v>
      </c>
      <c r="X16" s="2">
        <v>4432</v>
      </c>
      <c r="Y16" s="8"/>
      <c r="Z16" s="8"/>
      <c r="AA16" s="2"/>
      <c r="AB16" s="8"/>
      <c r="AC16" s="2"/>
      <c r="AD16" s="2"/>
      <c r="AE16" s="2"/>
      <c r="AF16" s="2"/>
      <c r="AG16" s="2"/>
      <c r="AH16" s="2"/>
      <c r="AI16" s="2"/>
      <c r="AJ16" s="2"/>
    </row>
    <row r="17" spans="1:46" x14ac:dyDescent="0.55000000000000004">
      <c r="A17" s="28" t="s">
        <v>20</v>
      </c>
      <c r="K17" s="37"/>
      <c r="L17" s="37"/>
      <c r="N17" s="2">
        <v>3755</v>
      </c>
      <c r="O17" s="2">
        <v>2769</v>
      </c>
      <c r="P17" s="2">
        <v>2464</v>
      </c>
      <c r="Q17" s="2">
        <v>4468</v>
      </c>
      <c r="R17" s="2">
        <v>2635</v>
      </c>
      <c r="S17" s="2">
        <v>3277</v>
      </c>
      <c r="T17" s="2">
        <v>2471</v>
      </c>
      <c r="U17" s="2">
        <v>2680</v>
      </c>
      <c r="V17" s="2">
        <v>3308</v>
      </c>
      <c r="W17" s="2">
        <v>2228</v>
      </c>
      <c r="X17" s="2">
        <v>2239</v>
      </c>
      <c r="Y17" s="8"/>
      <c r="Z17" s="8"/>
      <c r="AA17" s="2"/>
      <c r="AB17" s="8"/>
      <c r="AC17" s="2"/>
      <c r="AD17" s="2"/>
      <c r="AE17" s="2"/>
      <c r="AF17" s="2"/>
      <c r="AG17" s="2"/>
      <c r="AH17" s="2"/>
      <c r="AI17" s="2"/>
      <c r="AJ17" s="2"/>
    </row>
    <row r="18" spans="1:46" x14ac:dyDescent="0.55000000000000004">
      <c r="A18" s="27" t="s">
        <v>21</v>
      </c>
      <c r="B18" s="12">
        <v>2449786</v>
      </c>
      <c r="C18" s="12">
        <v>125798</v>
      </c>
      <c r="D18" s="12">
        <v>71620</v>
      </c>
      <c r="E18" s="13">
        <v>193102</v>
      </c>
      <c r="F18" s="12">
        <v>6659</v>
      </c>
      <c r="G18" s="12">
        <v>4400</v>
      </c>
      <c r="H18" s="13">
        <v>2328532</v>
      </c>
      <c r="I18" s="12">
        <v>120418</v>
      </c>
      <c r="J18" s="12">
        <v>76684</v>
      </c>
      <c r="K18" s="36">
        <v>51.4</v>
      </c>
      <c r="L18" s="36">
        <v>29.2</v>
      </c>
      <c r="N18" s="12">
        <v>337723</v>
      </c>
      <c r="O18" s="12">
        <v>216169</v>
      </c>
      <c r="P18" s="12">
        <v>166438</v>
      </c>
      <c r="Q18" s="12">
        <v>175973</v>
      </c>
      <c r="R18" s="12">
        <v>187850</v>
      </c>
      <c r="S18" s="12">
        <v>185877</v>
      </c>
      <c r="T18" s="12">
        <v>190637</v>
      </c>
      <c r="U18" s="12">
        <v>262897</v>
      </c>
      <c r="V18" s="12">
        <v>178744</v>
      </c>
      <c r="W18" s="12">
        <v>155837</v>
      </c>
      <c r="X18" s="12">
        <v>216072</v>
      </c>
      <c r="Y18" s="12">
        <v>175569</v>
      </c>
      <c r="Z18" s="15"/>
      <c r="AA18" s="12"/>
      <c r="AB18" s="15"/>
      <c r="AC18" s="2"/>
      <c r="AD18" s="12">
        <f>SUM(N18:AB18)</f>
        <v>2449786</v>
      </c>
      <c r="AE18" s="12">
        <f>SUM(N19:AB19)</f>
        <v>125900</v>
      </c>
      <c r="AF18" s="12">
        <f>SUM(N20:AB20)</f>
        <v>71611</v>
      </c>
      <c r="AG18" s="2"/>
      <c r="AH18" s="12">
        <f>AD18-B18</f>
        <v>0</v>
      </c>
      <c r="AI18" s="12">
        <f>AE18-C18</f>
        <v>102</v>
      </c>
      <c r="AJ18" s="12">
        <f>AF18-D18</f>
        <v>-9</v>
      </c>
      <c r="AL18" s="47">
        <f>C18/B18*1000</f>
        <v>51.350607767372331</v>
      </c>
      <c r="AM18" s="47">
        <f>D18/B18*1000</f>
        <v>29.235206667031324</v>
      </c>
      <c r="AO18" s="47">
        <f>AL18-K18</f>
        <v>-4.9392232627667454E-2</v>
      </c>
      <c r="AP18" s="47">
        <f>AM18-L18</f>
        <v>3.5206667031324912E-2</v>
      </c>
      <c r="AR18" s="12">
        <f t="shared" ref="AR18" si="9">H18</f>
        <v>2328532</v>
      </c>
      <c r="AS18" s="12">
        <f t="shared" ref="AS18" si="10">I18</f>
        <v>120418</v>
      </c>
      <c r="AT18" s="12">
        <f t="shared" ref="AT18" si="11">J18</f>
        <v>76684</v>
      </c>
    </row>
    <row r="19" spans="1:46" x14ac:dyDescent="0.55000000000000004">
      <c r="A19" s="28" t="s">
        <v>22</v>
      </c>
      <c r="K19" s="37"/>
      <c r="L19" s="37"/>
      <c r="N19" s="2">
        <v>17469</v>
      </c>
      <c r="O19" s="2">
        <v>11803</v>
      </c>
      <c r="P19" s="2">
        <v>8679</v>
      </c>
      <c r="Q19" s="2">
        <v>9004</v>
      </c>
      <c r="R19" s="2">
        <v>8689</v>
      </c>
      <c r="S19" s="2">
        <v>9483</v>
      </c>
      <c r="T19" s="2">
        <v>10216</v>
      </c>
      <c r="U19" s="2">
        <v>14647</v>
      </c>
      <c r="V19" s="2">
        <v>9265</v>
      </c>
      <c r="W19" s="2">
        <v>7099</v>
      </c>
      <c r="X19" s="2">
        <v>11278</v>
      </c>
      <c r="Y19" s="2">
        <v>8268</v>
      </c>
      <c r="Z19" s="8"/>
      <c r="AA19" s="2"/>
      <c r="AB19" s="8"/>
      <c r="AC19" s="2"/>
      <c r="AD19" s="2"/>
      <c r="AE19" s="2"/>
      <c r="AF19" s="2"/>
      <c r="AG19" s="2"/>
      <c r="AH19" s="2"/>
      <c r="AI19" s="2"/>
      <c r="AJ19" s="2"/>
    </row>
    <row r="20" spans="1:46" x14ac:dyDescent="0.55000000000000004">
      <c r="A20" s="28" t="s">
        <v>23</v>
      </c>
      <c r="K20" s="37"/>
      <c r="L20" s="37"/>
      <c r="N20" s="2">
        <v>10169</v>
      </c>
      <c r="O20" s="2">
        <v>6827</v>
      </c>
      <c r="P20" s="2">
        <v>4155</v>
      </c>
      <c r="Q20" s="2">
        <v>6190</v>
      </c>
      <c r="R20" s="2">
        <v>5307</v>
      </c>
      <c r="S20" s="2">
        <v>5490</v>
      </c>
      <c r="T20" s="2">
        <v>5271</v>
      </c>
      <c r="U20" s="2">
        <v>8191</v>
      </c>
      <c r="V20" s="2">
        <v>5037</v>
      </c>
      <c r="W20" s="2">
        <v>4200</v>
      </c>
      <c r="X20" s="2">
        <v>6048</v>
      </c>
      <c r="Y20" s="2">
        <v>4726</v>
      </c>
      <c r="Z20" s="8"/>
      <c r="AA20" s="2"/>
      <c r="AB20" s="8"/>
      <c r="AC20" s="2"/>
      <c r="AD20" s="2"/>
      <c r="AE20" s="2"/>
      <c r="AF20" s="2"/>
      <c r="AG20" s="2"/>
      <c r="AH20" s="2"/>
      <c r="AI20" s="2"/>
      <c r="AJ20" s="2"/>
    </row>
    <row r="21" spans="1:46" x14ac:dyDescent="0.55000000000000004">
      <c r="A21" s="29" t="s">
        <v>24</v>
      </c>
      <c r="B21" s="3">
        <v>1510028</v>
      </c>
      <c r="C21" s="3">
        <v>61716</v>
      </c>
      <c r="D21" s="3">
        <v>38489</v>
      </c>
      <c r="E21" s="4">
        <v>216219</v>
      </c>
      <c r="F21" s="3">
        <v>5804</v>
      </c>
      <c r="G21" s="3">
        <v>4193</v>
      </c>
      <c r="H21" s="4">
        <v>1388679</v>
      </c>
      <c r="I21" s="3">
        <v>57760</v>
      </c>
      <c r="J21" s="3">
        <v>38321</v>
      </c>
      <c r="K21" s="36">
        <v>40.9</v>
      </c>
      <c r="L21" s="36">
        <v>25.5</v>
      </c>
      <c r="N21" s="3">
        <v>187731</v>
      </c>
      <c r="O21" s="3">
        <v>198344</v>
      </c>
      <c r="P21" s="3">
        <v>189213</v>
      </c>
      <c r="Q21" s="3">
        <v>186987</v>
      </c>
      <c r="R21" s="3">
        <v>137159</v>
      </c>
      <c r="S21" s="12">
        <v>154283</v>
      </c>
      <c r="T21" s="12">
        <v>134076</v>
      </c>
      <c r="U21" s="12">
        <v>208407</v>
      </c>
      <c r="V21" s="12">
        <v>113828</v>
      </c>
      <c r="W21" s="15"/>
      <c r="X21" s="15"/>
      <c r="Y21" s="15"/>
      <c r="Z21" s="15"/>
      <c r="AA21" s="12"/>
      <c r="AB21" s="15"/>
      <c r="AC21" s="2"/>
      <c r="AD21" s="12">
        <f>SUM(N21:AB21)</f>
        <v>1510028</v>
      </c>
      <c r="AE21" s="12">
        <f>SUM(N22:AB22)</f>
        <v>61716</v>
      </c>
      <c r="AF21" s="12">
        <f>SUM(N23:AB23)</f>
        <v>38489</v>
      </c>
      <c r="AG21" s="2"/>
      <c r="AH21" s="12">
        <f>AD21-B21</f>
        <v>0</v>
      </c>
      <c r="AI21" s="12">
        <f>AE21-C21</f>
        <v>0</v>
      </c>
      <c r="AJ21" s="12">
        <f>AF21-D21</f>
        <v>0</v>
      </c>
      <c r="AL21" s="47">
        <f>C21/B21*1000</f>
        <v>40.870765310312123</v>
      </c>
      <c r="AM21" s="47">
        <f>D21/B21*1000</f>
        <v>25.488931331074657</v>
      </c>
      <c r="AO21" s="47">
        <f>AL21-K21</f>
        <v>-2.9234689687875459E-2</v>
      </c>
      <c r="AP21" s="47">
        <f>AM21-L21</f>
        <v>-1.1068668925343417E-2</v>
      </c>
      <c r="AR21" s="12">
        <f t="shared" ref="AR21" si="12">H21</f>
        <v>1388679</v>
      </c>
      <c r="AS21" s="12">
        <f t="shared" ref="AS21" si="13">I21</f>
        <v>57760</v>
      </c>
      <c r="AT21" s="12">
        <f t="shared" ref="AT21" si="14">J21</f>
        <v>38321</v>
      </c>
    </row>
    <row r="22" spans="1:46" x14ac:dyDescent="0.55000000000000004">
      <c r="A22" s="28" t="s">
        <v>25</v>
      </c>
      <c r="K22" s="37"/>
      <c r="L22" s="37"/>
      <c r="N22" s="2">
        <v>6576</v>
      </c>
      <c r="O22" s="2">
        <v>8732</v>
      </c>
      <c r="P22" s="2">
        <v>6623</v>
      </c>
      <c r="Q22" s="2">
        <v>6360</v>
      </c>
      <c r="R22" s="2">
        <v>6605</v>
      </c>
      <c r="S22" s="2">
        <v>6054</v>
      </c>
      <c r="T22" s="2">
        <v>7460</v>
      </c>
      <c r="U22" s="2">
        <v>9292</v>
      </c>
      <c r="V22" s="2">
        <v>4014</v>
      </c>
      <c r="W22" s="8"/>
      <c r="X22" s="8"/>
      <c r="Y22" s="8"/>
      <c r="Z22" s="8"/>
      <c r="AA22" s="2"/>
      <c r="AB22" s="8"/>
      <c r="AC22" s="2"/>
      <c r="AD22" s="2"/>
      <c r="AE22" s="2"/>
      <c r="AF22" s="2"/>
      <c r="AG22" s="2"/>
      <c r="AH22" s="2"/>
      <c r="AI22" s="2"/>
      <c r="AJ22" s="2"/>
    </row>
    <row r="23" spans="1:46" x14ac:dyDescent="0.55000000000000004">
      <c r="A23" s="28" t="s">
        <v>26</v>
      </c>
      <c r="K23" s="37"/>
      <c r="L23" s="37"/>
      <c r="N23" s="2">
        <v>4031</v>
      </c>
      <c r="O23" s="2">
        <v>5412</v>
      </c>
      <c r="P23" s="2">
        <v>4175</v>
      </c>
      <c r="Q23" s="2">
        <v>4308</v>
      </c>
      <c r="R23" s="2">
        <v>3769</v>
      </c>
      <c r="S23" s="2">
        <v>4179</v>
      </c>
      <c r="T23" s="2">
        <v>4939</v>
      </c>
      <c r="U23" s="2">
        <v>5088</v>
      </c>
      <c r="V23" s="2">
        <v>2588</v>
      </c>
      <c r="W23" s="8"/>
      <c r="X23" s="8"/>
      <c r="Y23" s="8"/>
      <c r="Z23" s="8"/>
      <c r="AA23" s="2"/>
      <c r="AB23" s="8"/>
      <c r="AC23" s="2"/>
      <c r="AD23" s="2"/>
      <c r="AE23" s="2"/>
      <c r="AF23" s="2"/>
      <c r="AG23" s="2"/>
      <c r="AH23" s="2"/>
      <c r="AI23" s="2"/>
      <c r="AJ23" s="2"/>
    </row>
    <row r="24" spans="1:46" x14ac:dyDescent="0.55000000000000004">
      <c r="A24" s="29" t="s">
        <v>27</v>
      </c>
      <c r="B24" s="3">
        <v>3193296</v>
      </c>
      <c r="C24" s="3">
        <v>161859</v>
      </c>
      <c r="D24" s="3">
        <v>99290</v>
      </c>
      <c r="E24" s="4">
        <v>415006</v>
      </c>
      <c r="F24" s="3">
        <v>15621</v>
      </c>
      <c r="G24" s="3">
        <v>10996</v>
      </c>
      <c r="H24" s="4">
        <v>3015196</v>
      </c>
      <c r="I24" s="3">
        <v>156587</v>
      </c>
      <c r="J24" s="3">
        <v>99899</v>
      </c>
      <c r="K24" s="36">
        <v>50.7</v>
      </c>
      <c r="L24" s="36">
        <v>31.1</v>
      </c>
      <c r="N24" s="3">
        <v>441568</v>
      </c>
      <c r="O24" s="3">
        <v>264580</v>
      </c>
      <c r="P24" s="3">
        <v>289380</v>
      </c>
      <c r="Q24" s="3">
        <v>238662</v>
      </c>
      <c r="R24" s="3">
        <v>249819</v>
      </c>
      <c r="S24" s="3">
        <v>215931</v>
      </c>
      <c r="T24" s="12">
        <v>259871</v>
      </c>
      <c r="U24" s="12">
        <v>222359</v>
      </c>
      <c r="V24" s="12">
        <v>223779</v>
      </c>
      <c r="W24" s="12">
        <v>285092</v>
      </c>
      <c r="X24" s="12">
        <v>279034</v>
      </c>
      <c r="Y24" s="12">
        <v>223221</v>
      </c>
      <c r="Z24" s="15"/>
      <c r="AA24" s="12"/>
      <c r="AB24" s="15"/>
      <c r="AC24" s="2"/>
      <c r="AD24" s="12">
        <f>SUM(N24:AB24)</f>
        <v>3193296</v>
      </c>
      <c r="AE24" s="12">
        <f>SUM(N25:AB25)</f>
        <v>161850</v>
      </c>
      <c r="AF24" s="12">
        <f>SUM(N26:AB26)</f>
        <v>99290</v>
      </c>
      <c r="AG24" s="2"/>
      <c r="AH24" s="12">
        <f>AD24-B24</f>
        <v>0</v>
      </c>
      <c r="AI24" s="12">
        <f>AE24-C24</f>
        <v>-9</v>
      </c>
      <c r="AJ24" s="12">
        <f>AF24-D24</f>
        <v>0</v>
      </c>
      <c r="AL24" s="47">
        <f>C24/B24*1000</f>
        <v>50.687127031130217</v>
      </c>
      <c r="AM24" s="47">
        <f>D24/B24*1000</f>
        <v>31.09326539099413</v>
      </c>
      <c r="AO24" s="47">
        <f>AL24-K24</f>
        <v>-1.287296886978595E-2</v>
      </c>
      <c r="AP24" s="47">
        <f>AM24-L24</f>
        <v>-6.734609005871306E-3</v>
      </c>
      <c r="AR24" s="12">
        <f t="shared" ref="AR24" si="15">H24</f>
        <v>3015196</v>
      </c>
      <c r="AS24" s="12">
        <f t="shared" ref="AS24" si="16">I24</f>
        <v>156587</v>
      </c>
      <c r="AT24" s="12">
        <f t="shared" ref="AT24" si="17">J24</f>
        <v>99899</v>
      </c>
    </row>
    <row r="25" spans="1:46" x14ac:dyDescent="0.55000000000000004">
      <c r="A25" s="28" t="s">
        <v>28</v>
      </c>
      <c r="K25" s="37"/>
      <c r="L25" s="37"/>
      <c r="N25" s="2">
        <v>21092</v>
      </c>
      <c r="O25" s="2">
        <v>12256</v>
      </c>
      <c r="P25" s="2">
        <v>14736</v>
      </c>
      <c r="Q25" s="2">
        <v>13066</v>
      </c>
      <c r="R25" s="2">
        <v>13020</v>
      </c>
      <c r="S25" s="2">
        <v>9769</v>
      </c>
      <c r="T25" s="2">
        <v>13476</v>
      </c>
      <c r="U25" s="2">
        <v>11229</v>
      </c>
      <c r="V25" s="2">
        <v>11296</v>
      </c>
      <c r="W25" s="2">
        <v>14933</v>
      </c>
      <c r="X25" s="2">
        <v>15367</v>
      </c>
      <c r="Y25" s="2">
        <v>11610</v>
      </c>
      <c r="Z25" s="8"/>
      <c r="AA25" s="2"/>
      <c r="AB25" s="8"/>
      <c r="AC25" s="2"/>
      <c r="AD25" s="2"/>
      <c r="AE25" s="2"/>
      <c r="AF25" s="2"/>
      <c r="AG25" s="2"/>
      <c r="AH25" s="2"/>
      <c r="AI25" s="2"/>
      <c r="AJ25" s="2"/>
    </row>
    <row r="26" spans="1:46" x14ac:dyDescent="0.55000000000000004">
      <c r="A26" s="28" t="s">
        <v>29</v>
      </c>
      <c r="K26" s="37"/>
      <c r="L26" s="37"/>
      <c r="N26" s="2">
        <v>14105</v>
      </c>
      <c r="O26" s="2">
        <v>7681</v>
      </c>
      <c r="P26" s="2">
        <v>9017</v>
      </c>
      <c r="Q26" s="2">
        <v>7984</v>
      </c>
      <c r="R26" s="2">
        <v>7568</v>
      </c>
      <c r="S26" s="2">
        <v>6176</v>
      </c>
      <c r="T26" s="2">
        <v>7991</v>
      </c>
      <c r="U26" s="2">
        <v>7854</v>
      </c>
      <c r="V26" s="2">
        <v>6366</v>
      </c>
      <c r="W26" s="2">
        <v>8586</v>
      </c>
      <c r="X26" s="2">
        <v>9531</v>
      </c>
      <c r="Y26" s="2">
        <v>6431</v>
      </c>
      <c r="Z26" s="8"/>
      <c r="AA26" s="2"/>
      <c r="AB26" s="8"/>
      <c r="AC26" s="2"/>
      <c r="AD26" s="2"/>
      <c r="AE26" s="2"/>
      <c r="AF26" s="2"/>
      <c r="AG26" s="2"/>
      <c r="AH26" s="2"/>
      <c r="AI26" s="2"/>
      <c r="AJ26" s="2"/>
    </row>
    <row r="27" spans="1:46" x14ac:dyDescent="0.55000000000000004">
      <c r="A27" s="29" t="s">
        <v>30</v>
      </c>
      <c r="B27" s="3">
        <v>1612779</v>
      </c>
      <c r="C27" s="3">
        <v>57019</v>
      </c>
      <c r="D27" s="3">
        <v>39699</v>
      </c>
      <c r="E27" s="4">
        <v>147815</v>
      </c>
      <c r="F27" s="3">
        <v>3965</v>
      </c>
      <c r="G27" s="3">
        <v>2915</v>
      </c>
      <c r="H27" s="4">
        <v>1560676</v>
      </c>
      <c r="I27" s="3">
        <v>54581</v>
      </c>
      <c r="J27" s="3">
        <v>36336</v>
      </c>
      <c r="K27" s="36">
        <v>35.299999999999997</v>
      </c>
      <c r="L27" s="36">
        <v>24.6</v>
      </c>
      <c r="N27" s="3">
        <v>233999</v>
      </c>
      <c r="O27" s="3">
        <v>239620</v>
      </c>
      <c r="P27" s="3">
        <v>213263</v>
      </c>
      <c r="Q27" s="3">
        <v>224736</v>
      </c>
      <c r="R27" s="3">
        <v>248006</v>
      </c>
      <c r="S27" s="12">
        <v>197395</v>
      </c>
      <c r="T27" s="12">
        <v>255760</v>
      </c>
      <c r="U27" s="12"/>
      <c r="V27" s="12"/>
      <c r="W27" s="15"/>
      <c r="X27" s="15"/>
      <c r="Y27" s="15"/>
      <c r="Z27" s="15"/>
      <c r="AA27" s="12"/>
      <c r="AB27" s="15"/>
      <c r="AC27" s="2"/>
      <c r="AD27" s="12">
        <f>SUM(N27:AB27)</f>
        <v>1612779</v>
      </c>
      <c r="AE27" s="12">
        <f>SUM(N28:AB28)</f>
        <v>57019</v>
      </c>
      <c r="AF27" s="12">
        <f>SUM(N29:AB29)</f>
        <v>39699</v>
      </c>
      <c r="AG27" s="2"/>
      <c r="AH27" s="12">
        <f>AD27-B27</f>
        <v>0</v>
      </c>
      <c r="AI27" s="12">
        <f>AE27-C27</f>
        <v>0</v>
      </c>
      <c r="AJ27" s="12">
        <f>AF27-D27</f>
        <v>0</v>
      </c>
      <c r="AL27" s="47">
        <f>C27/B27*1000</f>
        <v>35.354503003821357</v>
      </c>
      <c r="AM27" s="47">
        <f>D27/B27*1000</f>
        <v>24.615275868547396</v>
      </c>
      <c r="AO27" s="47">
        <f>AL27-K27</f>
        <v>5.4503003821359641E-2</v>
      </c>
      <c r="AP27" s="47">
        <f>AM27-L27</f>
        <v>1.5275868547394822E-2</v>
      </c>
      <c r="AR27" s="12">
        <f t="shared" ref="AR27" si="18">H27</f>
        <v>1560676</v>
      </c>
      <c r="AS27" s="12">
        <f t="shared" ref="AS27" si="19">I27</f>
        <v>54581</v>
      </c>
      <c r="AT27" s="12">
        <f t="shared" ref="AT27" si="20">J27</f>
        <v>36336</v>
      </c>
    </row>
    <row r="28" spans="1:46" x14ac:dyDescent="0.55000000000000004">
      <c r="A28" s="28" t="s">
        <v>31</v>
      </c>
      <c r="K28" s="37"/>
      <c r="L28" s="37"/>
      <c r="N28" s="2">
        <v>8077</v>
      </c>
      <c r="O28" s="2">
        <v>8825</v>
      </c>
      <c r="P28" s="2">
        <v>7534</v>
      </c>
      <c r="Q28" s="2">
        <v>8012</v>
      </c>
      <c r="R28" s="2">
        <v>8960</v>
      </c>
      <c r="S28" s="2">
        <v>7003</v>
      </c>
      <c r="T28" s="2">
        <v>8608</v>
      </c>
      <c r="W28" s="8"/>
      <c r="X28" s="8"/>
      <c r="Y28" s="8"/>
      <c r="Z28" s="8"/>
      <c r="AA28" s="2"/>
      <c r="AB28" s="8"/>
      <c r="AC28" s="2"/>
      <c r="AD28" s="2"/>
      <c r="AE28" s="2"/>
      <c r="AF28" s="2"/>
      <c r="AG28" s="2"/>
      <c r="AH28" s="2"/>
      <c r="AI28" s="2"/>
      <c r="AJ28" s="2"/>
    </row>
    <row r="29" spans="1:46" x14ac:dyDescent="0.55000000000000004">
      <c r="A29" s="28" t="s">
        <v>32</v>
      </c>
      <c r="K29" s="37"/>
      <c r="L29" s="37"/>
      <c r="N29" s="2">
        <v>5685</v>
      </c>
      <c r="O29" s="2">
        <v>5517</v>
      </c>
      <c r="P29" s="2">
        <v>4862</v>
      </c>
      <c r="Q29" s="2">
        <v>5292</v>
      </c>
      <c r="R29" s="2">
        <v>6686</v>
      </c>
      <c r="S29" s="2">
        <v>5713</v>
      </c>
      <c r="T29" s="2">
        <v>5944</v>
      </c>
      <c r="W29" s="8"/>
      <c r="X29" s="8"/>
      <c r="Y29" s="8"/>
      <c r="Z29" s="8"/>
      <c r="AA29" s="2"/>
      <c r="AB29" s="8"/>
      <c r="AC29" s="2"/>
      <c r="AD29" s="2"/>
      <c r="AE29" s="2"/>
      <c r="AF29" s="2"/>
      <c r="AG29" s="2"/>
      <c r="AH29" s="2"/>
      <c r="AI29" s="2"/>
      <c r="AJ29" s="2"/>
    </row>
    <row r="30" spans="1:46" x14ac:dyDescent="0.55000000000000004">
      <c r="A30" s="29" t="s">
        <v>33</v>
      </c>
      <c r="B30" s="3">
        <v>1830445</v>
      </c>
      <c r="C30" s="3">
        <v>85520</v>
      </c>
      <c r="D30" s="3">
        <v>48516</v>
      </c>
      <c r="E30" s="4">
        <v>256856</v>
      </c>
      <c r="F30" s="3">
        <v>6064</v>
      </c>
      <c r="G30" s="3">
        <v>4558</v>
      </c>
      <c r="H30" s="4">
        <v>1734707</v>
      </c>
      <c r="I30" s="3">
        <v>79661</v>
      </c>
      <c r="J30" s="3">
        <v>44830</v>
      </c>
      <c r="K30" s="36">
        <v>46.1</v>
      </c>
      <c r="L30" s="36">
        <v>26.5</v>
      </c>
      <c r="N30" s="3">
        <v>229617</v>
      </c>
      <c r="O30" s="3">
        <v>231961</v>
      </c>
      <c r="P30" s="3">
        <v>189368</v>
      </c>
      <c r="Q30" s="3">
        <v>195543</v>
      </c>
      <c r="R30" s="3">
        <v>139246</v>
      </c>
      <c r="S30" s="3">
        <v>236694</v>
      </c>
      <c r="T30" s="12">
        <v>214264</v>
      </c>
      <c r="U30" s="12">
        <v>171856</v>
      </c>
      <c r="V30" s="12">
        <v>221941</v>
      </c>
      <c r="W30" s="15"/>
      <c r="X30" s="15"/>
      <c r="Y30" s="15"/>
      <c r="Z30" s="15"/>
      <c r="AA30" s="12"/>
      <c r="AB30" s="15"/>
      <c r="AC30" s="2"/>
      <c r="AD30" s="12">
        <f>SUM(N30:AB30)</f>
        <v>1830490</v>
      </c>
      <c r="AE30" s="12">
        <f>SUM(N31:AB31)</f>
        <v>85544</v>
      </c>
      <c r="AF30" s="12">
        <f>SUM(N32:AB32)</f>
        <v>48516</v>
      </c>
      <c r="AG30" s="2"/>
      <c r="AH30" s="12">
        <f>AD30-B30</f>
        <v>45</v>
      </c>
      <c r="AI30" s="12">
        <f>AE30-C30</f>
        <v>24</v>
      </c>
      <c r="AJ30" s="12">
        <f>AF30-D30</f>
        <v>0</v>
      </c>
      <c r="AL30" s="47">
        <f>C30/B30*1000</f>
        <v>46.720879349010758</v>
      </c>
      <c r="AM30" s="47">
        <f>D30/B30*1000</f>
        <v>26.505030197574907</v>
      </c>
      <c r="AO30" s="47">
        <f>AL30-K30</f>
        <v>0.6208793490107567</v>
      </c>
      <c r="AP30" s="47">
        <f>AM30-L30</f>
        <v>5.0301975749071914E-3</v>
      </c>
      <c r="AR30" s="12">
        <f t="shared" ref="AR30" si="21">H30</f>
        <v>1734707</v>
      </c>
      <c r="AS30" s="12">
        <f t="shared" ref="AS30" si="22">I30</f>
        <v>79661</v>
      </c>
      <c r="AT30" s="12">
        <f t="shared" ref="AT30" si="23">J30</f>
        <v>44830</v>
      </c>
    </row>
    <row r="31" spans="1:46" x14ac:dyDescent="0.55000000000000004">
      <c r="A31" s="28" t="s">
        <v>34</v>
      </c>
      <c r="K31" s="37"/>
      <c r="L31" s="37"/>
      <c r="N31" s="2">
        <v>9600</v>
      </c>
      <c r="O31" s="2">
        <v>10375</v>
      </c>
      <c r="P31" s="2">
        <v>9775</v>
      </c>
      <c r="Q31" s="2">
        <v>9569</v>
      </c>
      <c r="R31" s="2">
        <v>7750</v>
      </c>
      <c r="S31" s="2">
        <v>9521</v>
      </c>
      <c r="T31" s="2">
        <v>9271</v>
      </c>
      <c r="U31" s="2">
        <v>9563</v>
      </c>
      <c r="V31" s="2">
        <v>10120</v>
      </c>
      <c r="W31" s="8"/>
      <c r="X31" s="8"/>
      <c r="Y31" s="8"/>
      <c r="Z31" s="8"/>
      <c r="AA31" s="2"/>
      <c r="AB31" s="8"/>
      <c r="AC31" s="2"/>
      <c r="AD31" s="2"/>
      <c r="AE31" s="2"/>
      <c r="AF31" s="2"/>
      <c r="AG31" s="2"/>
      <c r="AH31" s="2"/>
      <c r="AI31" s="2"/>
      <c r="AJ31" s="2"/>
    </row>
    <row r="32" spans="1:46" x14ac:dyDescent="0.55000000000000004">
      <c r="A32" s="28" t="s">
        <v>35</v>
      </c>
      <c r="K32" s="37"/>
      <c r="L32" s="37"/>
      <c r="N32" s="2">
        <v>5990</v>
      </c>
      <c r="O32" s="2">
        <v>5434</v>
      </c>
      <c r="P32" s="2">
        <v>5219</v>
      </c>
      <c r="Q32" s="2">
        <v>5710</v>
      </c>
      <c r="R32" s="2">
        <v>4344</v>
      </c>
      <c r="S32" s="2">
        <v>5075</v>
      </c>
      <c r="T32" s="2">
        <v>5863</v>
      </c>
      <c r="U32" s="2">
        <v>5322</v>
      </c>
      <c r="V32" s="2">
        <v>5559</v>
      </c>
      <c r="W32" s="8"/>
      <c r="X32" s="8"/>
      <c r="Y32" s="8"/>
      <c r="Z32" s="8"/>
      <c r="AA32" s="2"/>
      <c r="AB32" s="8"/>
      <c r="AC32" s="2"/>
      <c r="AD32" s="2"/>
      <c r="AE32" s="2"/>
      <c r="AF32" s="2"/>
      <c r="AG32" s="2"/>
      <c r="AH32" s="2"/>
      <c r="AI32" s="2"/>
      <c r="AJ32" s="2"/>
    </row>
    <row r="33" spans="1:50" x14ac:dyDescent="0.55000000000000004">
      <c r="A33" s="29" t="s">
        <v>36</v>
      </c>
      <c r="B33" s="58">
        <v>1418690</v>
      </c>
      <c r="C33" s="3">
        <v>73348</v>
      </c>
      <c r="D33" s="3">
        <v>43587</v>
      </c>
      <c r="E33" s="4">
        <v>132140</v>
      </c>
      <c r="F33" s="3">
        <v>4077</v>
      </c>
      <c r="G33" s="3">
        <v>3143</v>
      </c>
      <c r="H33" s="4">
        <v>1347990</v>
      </c>
      <c r="I33" s="3">
        <v>67493</v>
      </c>
      <c r="J33" s="3">
        <v>36280</v>
      </c>
      <c r="K33" s="36">
        <v>50.7</v>
      </c>
      <c r="L33" s="36">
        <v>30.2</v>
      </c>
      <c r="N33" s="3">
        <v>150698</v>
      </c>
      <c r="O33" s="3">
        <v>100804</v>
      </c>
      <c r="P33" s="3">
        <v>201371</v>
      </c>
      <c r="Q33" s="3">
        <v>105361</v>
      </c>
      <c r="R33" s="3">
        <v>124101</v>
      </c>
      <c r="S33" s="3">
        <v>83551</v>
      </c>
      <c r="T33" s="12">
        <v>129696</v>
      </c>
      <c r="U33" s="12">
        <v>177953</v>
      </c>
      <c r="V33" s="12">
        <v>135224</v>
      </c>
      <c r="W33" s="12">
        <v>77268</v>
      </c>
      <c r="X33" s="12">
        <v>132663</v>
      </c>
      <c r="Y33" s="15"/>
      <c r="Z33" s="15"/>
      <c r="AA33" s="12"/>
      <c r="AB33" s="15"/>
      <c r="AC33" s="2"/>
      <c r="AD33" s="12">
        <f>SUM(N33:AB33)</f>
        <v>1418690</v>
      </c>
      <c r="AE33" s="12">
        <f>SUM(N34:AB34)</f>
        <v>73412</v>
      </c>
      <c r="AF33" s="12">
        <f>SUM(N35:AB35)</f>
        <v>43587</v>
      </c>
      <c r="AG33" s="2"/>
      <c r="AH33" s="12">
        <f>AD33-B33</f>
        <v>0</v>
      </c>
      <c r="AI33" s="12">
        <f>AE33-C33</f>
        <v>64</v>
      </c>
      <c r="AJ33" s="12">
        <f>AF33-D33</f>
        <v>0</v>
      </c>
      <c r="AL33" s="47">
        <f>C33/B33*1000</f>
        <v>51.701217320203853</v>
      </c>
      <c r="AM33" s="47">
        <f>D33/B33*1000</f>
        <v>30.72341385362553</v>
      </c>
      <c r="AO33" s="47">
        <f>AL33-K33</f>
        <v>1.0012173202038497</v>
      </c>
      <c r="AP33" s="47">
        <f>AM33-L33</f>
        <v>0.52341385362553083</v>
      </c>
      <c r="AR33" s="12">
        <f t="shared" ref="AR33" si="24">H33</f>
        <v>1347990</v>
      </c>
      <c r="AS33" s="12">
        <f t="shared" ref="AS33" si="25">I33</f>
        <v>67493</v>
      </c>
      <c r="AT33" s="12">
        <f t="shared" ref="AT33" si="26">J33</f>
        <v>36280</v>
      </c>
    </row>
    <row r="34" spans="1:50" x14ac:dyDescent="0.55000000000000004">
      <c r="A34" s="28" t="s">
        <v>37</v>
      </c>
      <c r="K34" s="37"/>
      <c r="L34" s="37"/>
      <c r="N34" s="2">
        <v>6057</v>
      </c>
      <c r="O34" s="2">
        <v>5720</v>
      </c>
      <c r="P34" s="2">
        <v>10193</v>
      </c>
      <c r="Q34" s="2">
        <v>5085</v>
      </c>
      <c r="R34" s="2">
        <v>6381</v>
      </c>
      <c r="S34" s="2">
        <v>4414</v>
      </c>
      <c r="T34" s="2">
        <v>7908</v>
      </c>
      <c r="U34" s="2">
        <v>10253</v>
      </c>
      <c r="V34" s="2">
        <v>6812</v>
      </c>
      <c r="W34" s="2">
        <v>3895</v>
      </c>
      <c r="X34" s="2">
        <v>6694</v>
      </c>
      <c r="Y34" s="8"/>
      <c r="Z34" s="8"/>
      <c r="AA34" s="2"/>
      <c r="AB34" s="8"/>
      <c r="AC34" s="2"/>
      <c r="AD34" s="2"/>
      <c r="AE34" s="2"/>
      <c r="AF34" s="2"/>
      <c r="AG34" s="2"/>
      <c r="AH34" s="2"/>
      <c r="AI34" s="2"/>
      <c r="AJ34" s="2"/>
    </row>
    <row r="35" spans="1:50" x14ac:dyDescent="0.55000000000000004">
      <c r="A35" s="28" t="s">
        <v>38</v>
      </c>
      <c r="K35" s="37"/>
      <c r="L35" s="37"/>
      <c r="N35" s="2">
        <v>3690</v>
      </c>
      <c r="O35" s="58">
        <v>3213</v>
      </c>
      <c r="P35" s="2">
        <v>7775</v>
      </c>
      <c r="Q35" s="2">
        <v>2437</v>
      </c>
      <c r="R35" s="2">
        <v>4053</v>
      </c>
      <c r="S35" s="2">
        <v>2580</v>
      </c>
      <c r="T35" s="2">
        <v>4239</v>
      </c>
      <c r="U35" s="2">
        <v>5631</v>
      </c>
      <c r="V35" s="2">
        <v>3594</v>
      </c>
      <c r="W35" s="2">
        <v>2279</v>
      </c>
      <c r="X35" s="2">
        <v>4096</v>
      </c>
      <c r="Y35" s="8"/>
      <c r="Z35" s="8"/>
      <c r="AA35" s="2"/>
      <c r="AB35" s="8"/>
      <c r="AC35" s="2"/>
      <c r="AD35" s="2"/>
      <c r="AE35" s="2"/>
      <c r="AF35" s="2"/>
      <c r="AG35" s="2"/>
      <c r="AH35" s="2"/>
      <c r="AI35" s="2"/>
      <c r="AJ35" s="2"/>
    </row>
    <row r="36" spans="1:50" x14ac:dyDescent="0.55000000000000004">
      <c r="A36" s="29" t="s">
        <v>39</v>
      </c>
      <c r="B36" s="3">
        <v>1380944</v>
      </c>
      <c r="C36" s="3">
        <v>83695</v>
      </c>
      <c r="D36" s="3">
        <v>59416</v>
      </c>
      <c r="E36" s="4">
        <v>110000</v>
      </c>
      <c r="F36" s="3">
        <v>6562</v>
      </c>
      <c r="G36" s="3">
        <v>6144</v>
      </c>
      <c r="H36" s="4">
        <v>1348671</v>
      </c>
      <c r="I36" s="3">
        <v>80667</v>
      </c>
      <c r="J36" s="3">
        <v>55174</v>
      </c>
      <c r="K36" s="36">
        <v>59.6</v>
      </c>
      <c r="L36" s="36">
        <v>42.2</v>
      </c>
      <c r="N36" s="3">
        <v>400969</v>
      </c>
      <c r="O36" s="3">
        <v>204216</v>
      </c>
      <c r="P36" s="3">
        <v>199301</v>
      </c>
      <c r="Q36" s="3">
        <v>179824</v>
      </c>
      <c r="R36" s="12">
        <v>396634</v>
      </c>
      <c r="S36" s="15"/>
      <c r="T36" s="15"/>
      <c r="U36" s="12"/>
      <c r="V36" s="12"/>
      <c r="W36" s="15"/>
      <c r="X36" s="15"/>
      <c r="Y36" s="15"/>
      <c r="Z36" s="15"/>
      <c r="AA36" s="12"/>
      <c r="AB36" s="15"/>
      <c r="AC36" s="2"/>
      <c r="AD36" s="12">
        <f>SUM(N36:AB36)</f>
        <v>1380944</v>
      </c>
      <c r="AE36" s="12">
        <f>SUM(N37:AB37)</f>
        <v>83695</v>
      </c>
      <c r="AF36" s="12">
        <f>SUM(N38:AB38)</f>
        <v>59416</v>
      </c>
      <c r="AG36" s="2"/>
      <c r="AH36" s="12">
        <f>AD36-B36</f>
        <v>0</v>
      </c>
      <c r="AI36" s="12">
        <f>AE36-C36</f>
        <v>0</v>
      </c>
      <c r="AJ36" s="12">
        <f>AF36-D36</f>
        <v>0</v>
      </c>
      <c r="AL36" s="47">
        <f>C36/B36*1000</f>
        <v>60.607091960282247</v>
      </c>
      <c r="AM36" s="47">
        <f>D36/B36*1000</f>
        <v>43.025640431472965</v>
      </c>
      <c r="AO36" s="47">
        <f>AL36-K36</f>
        <v>1.0070919602822457</v>
      </c>
      <c r="AP36" s="47">
        <f>AM36-L36</f>
        <v>0.82564043147296218</v>
      </c>
      <c r="AR36" s="12">
        <f t="shared" ref="AR36" si="27">H36</f>
        <v>1348671</v>
      </c>
      <c r="AS36" s="12">
        <f t="shared" ref="AS36" si="28">I36</f>
        <v>80667</v>
      </c>
      <c r="AT36" s="12">
        <f t="shared" ref="AT36" si="29">J36</f>
        <v>55174</v>
      </c>
    </row>
    <row r="37" spans="1:50" x14ac:dyDescent="0.55000000000000004">
      <c r="A37" s="28" t="s">
        <v>40</v>
      </c>
      <c r="K37" s="37"/>
      <c r="L37" s="37"/>
      <c r="N37" s="2">
        <v>28782</v>
      </c>
      <c r="O37" s="2">
        <v>11109</v>
      </c>
      <c r="P37" s="2">
        <v>9291</v>
      </c>
      <c r="Q37" s="2">
        <v>10672</v>
      </c>
      <c r="R37" s="2">
        <v>23841</v>
      </c>
      <c r="S37" s="8"/>
      <c r="T37" s="8"/>
      <c r="W37" s="8"/>
      <c r="X37" s="8"/>
      <c r="Y37" s="8"/>
      <c r="Z37" s="8"/>
      <c r="AA37" s="2"/>
      <c r="AB37" s="8"/>
      <c r="AC37" s="2"/>
      <c r="AD37" s="2"/>
      <c r="AE37" s="2"/>
      <c r="AF37" s="2"/>
      <c r="AG37" s="2"/>
      <c r="AH37" s="2"/>
      <c r="AI37" s="2"/>
      <c r="AJ37" s="2"/>
    </row>
    <row r="38" spans="1:50" x14ac:dyDescent="0.55000000000000004">
      <c r="A38" s="28" t="s">
        <v>41</v>
      </c>
      <c r="K38" s="37"/>
      <c r="L38" s="37"/>
      <c r="N38" s="2">
        <v>21153</v>
      </c>
      <c r="O38" s="2">
        <v>6502</v>
      </c>
      <c r="P38" s="2">
        <v>5999</v>
      </c>
      <c r="Q38" s="2">
        <v>7568</v>
      </c>
      <c r="R38" s="2">
        <v>18194</v>
      </c>
      <c r="S38" s="8"/>
      <c r="T38" s="8"/>
      <c r="W38" s="8"/>
      <c r="X38" s="8"/>
      <c r="Y38" s="8"/>
      <c r="Z38" s="8"/>
      <c r="AA38" s="2"/>
      <c r="AB38" s="8"/>
      <c r="AC38" s="2"/>
      <c r="AD38" s="2"/>
      <c r="AE38" s="2"/>
      <c r="AF38" s="2"/>
      <c r="AG38" s="2"/>
      <c r="AH38" s="2"/>
      <c r="AI38" s="2"/>
      <c r="AJ38" s="2"/>
    </row>
    <row r="39" spans="1:50" x14ac:dyDescent="0.55000000000000004">
      <c r="A39" s="29" t="s">
        <v>42</v>
      </c>
      <c r="B39" s="3">
        <v>2661613</v>
      </c>
      <c r="C39" s="3">
        <v>129754</v>
      </c>
      <c r="D39" s="3">
        <v>78185</v>
      </c>
      <c r="E39" s="4">
        <v>201146</v>
      </c>
      <c r="F39" s="3">
        <v>6829</v>
      </c>
      <c r="G39" s="3">
        <v>4164</v>
      </c>
      <c r="H39" s="4">
        <v>2524839</v>
      </c>
      <c r="I39" s="3">
        <v>123131</v>
      </c>
      <c r="J39" s="3">
        <v>77982</v>
      </c>
      <c r="K39" s="36">
        <v>48.7</v>
      </c>
      <c r="L39" s="36">
        <v>29.4</v>
      </c>
      <c r="N39" s="3">
        <v>231219</v>
      </c>
      <c r="O39" s="3">
        <v>324887</v>
      </c>
      <c r="P39" s="3">
        <v>213731</v>
      </c>
      <c r="Q39" s="3">
        <v>212413</v>
      </c>
      <c r="R39" s="3">
        <v>225445</v>
      </c>
      <c r="S39" s="3">
        <v>148064</v>
      </c>
      <c r="T39" s="12">
        <v>183934</v>
      </c>
      <c r="U39" s="12">
        <v>203098</v>
      </c>
      <c r="V39" s="12">
        <v>257419</v>
      </c>
      <c r="W39" s="12">
        <v>251900</v>
      </c>
      <c r="X39" s="12">
        <v>179308</v>
      </c>
      <c r="Y39" s="12">
        <v>230195</v>
      </c>
      <c r="Z39" s="15"/>
      <c r="AA39" s="12"/>
      <c r="AB39" s="15"/>
      <c r="AC39" s="2"/>
      <c r="AD39" s="12">
        <f>SUM(N39:AB39)</f>
        <v>2661613</v>
      </c>
      <c r="AE39" s="12">
        <f>SUM(N40:AB40)</f>
        <v>129654</v>
      </c>
      <c r="AF39" s="12">
        <f>SUM(N41:AB41)</f>
        <v>78185</v>
      </c>
      <c r="AG39" s="2"/>
      <c r="AH39" s="12">
        <f>AD39-B39</f>
        <v>0</v>
      </c>
      <c r="AI39" s="12">
        <f>AE39-C39</f>
        <v>-100</v>
      </c>
      <c r="AJ39" s="12">
        <f>AF39-D39</f>
        <v>0</v>
      </c>
      <c r="AL39" s="47">
        <f>C39/B39*1000</f>
        <v>48.750137604527779</v>
      </c>
      <c r="AM39" s="47">
        <f>D39/B39*1000</f>
        <v>29.375044380982509</v>
      </c>
      <c r="AO39" s="47">
        <f>AL39-K39</f>
        <v>5.0137604527776602E-2</v>
      </c>
      <c r="AP39" s="47">
        <f>AM39-L39</f>
        <v>-2.4955619017489994E-2</v>
      </c>
      <c r="AR39" s="12">
        <f t="shared" ref="AR39" si="30">H39</f>
        <v>2524839</v>
      </c>
      <c r="AS39" s="12">
        <f t="shared" ref="AS39" si="31">I39</f>
        <v>123131</v>
      </c>
      <c r="AT39" s="12">
        <f t="shared" ref="AT39" si="32">J39</f>
        <v>77982</v>
      </c>
    </row>
    <row r="40" spans="1:50" x14ac:dyDescent="0.55000000000000004">
      <c r="A40" s="28" t="s">
        <v>43</v>
      </c>
      <c r="K40" s="37"/>
      <c r="L40" s="37"/>
      <c r="N40" s="2">
        <v>10923</v>
      </c>
      <c r="O40" s="2">
        <v>17934</v>
      </c>
      <c r="P40" s="2">
        <v>10203</v>
      </c>
      <c r="Q40" s="2">
        <v>10877</v>
      </c>
      <c r="R40" s="2">
        <v>10941</v>
      </c>
      <c r="S40" s="2">
        <v>7512</v>
      </c>
      <c r="T40" s="2">
        <v>9551</v>
      </c>
      <c r="U40" s="2">
        <v>9925</v>
      </c>
      <c r="V40" s="2">
        <v>9454</v>
      </c>
      <c r="W40" s="2">
        <v>11593</v>
      </c>
      <c r="X40" s="2">
        <v>9373</v>
      </c>
      <c r="Y40" s="2">
        <v>11368</v>
      </c>
      <c r="Z40" s="8"/>
      <c r="AA40" s="2"/>
      <c r="AB40" s="8"/>
      <c r="AC40" s="2"/>
      <c r="AD40" s="2"/>
      <c r="AE40" s="2"/>
      <c r="AF40" s="2"/>
      <c r="AG40" s="2"/>
      <c r="AH40" s="2"/>
      <c r="AI40" s="2"/>
      <c r="AJ40" s="2"/>
    </row>
    <row r="41" spans="1:50" x14ac:dyDescent="0.55000000000000004">
      <c r="A41" s="28" t="s">
        <v>44</v>
      </c>
      <c r="K41" s="37"/>
      <c r="L41" s="37"/>
      <c r="N41" s="2">
        <v>7213</v>
      </c>
      <c r="O41" s="2">
        <v>11492</v>
      </c>
      <c r="P41" s="2">
        <v>5940</v>
      </c>
      <c r="Q41" s="2">
        <v>5748</v>
      </c>
      <c r="R41" s="2">
        <v>6837</v>
      </c>
      <c r="S41" s="2">
        <v>3928</v>
      </c>
      <c r="T41" s="2">
        <v>4846</v>
      </c>
      <c r="U41" s="2">
        <v>6119</v>
      </c>
      <c r="V41" s="2">
        <v>6660</v>
      </c>
      <c r="W41" s="2">
        <v>7785</v>
      </c>
      <c r="X41" s="2">
        <v>5003</v>
      </c>
      <c r="Y41" s="2">
        <v>6614</v>
      </c>
      <c r="Z41" s="8"/>
      <c r="AA41" s="2"/>
      <c r="AB41" s="8"/>
      <c r="AC41" s="2"/>
      <c r="AD41" s="2"/>
      <c r="AE41" s="2"/>
      <c r="AF41" s="2"/>
      <c r="AG41" s="2"/>
      <c r="AH41" s="2"/>
      <c r="AI41" s="2"/>
      <c r="AJ41" s="2"/>
    </row>
    <row r="42" spans="1:50" x14ac:dyDescent="0.55000000000000004">
      <c r="A42" s="30" t="s">
        <v>45</v>
      </c>
      <c r="B42" s="5">
        <v>20128644</v>
      </c>
      <c r="C42" s="5">
        <v>943937</v>
      </c>
      <c r="D42" s="5">
        <v>578312</v>
      </c>
      <c r="E42" s="5"/>
      <c r="F42" s="5"/>
      <c r="G42" s="5"/>
      <c r="H42" s="5">
        <v>19134055</v>
      </c>
      <c r="I42" s="5">
        <v>894718</v>
      </c>
      <c r="J42" s="5">
        <v>561871</v>
      </c>
      <c r="K42" s="38">
        <v>47.7</v>
      </c>
      <c r="L42" s="38">
        <v>29.2</v>
      </c>
      <c r="N42" s="5"/>
      <c r="O42" s="5"/>
      <c r="P42" s="5"/>
      <c r="Q42" s="5"/>
      <c r="R42" s="5"/>
      <c r="S42" s="5"/>
      <c r="T42" s="23"/>
      <c r="U42" s="23"/>
      <c r="V42" s="23"/>
      <c r="W42" s="22"/>
      <c r="X42" s="22"/>
      <c r="Y42" s="22"/>
      <c r="Z42" s="22"/>
      <c r="AA42" s="23"/>
      <c r="AB42" s="22"/>
      <c r="AC42" s="2"/>
      <c r="AD42" s="23">
        <f>SUM(AD2:AD40)</f>
        <v>20088078</v>
      </c>
      <c r="AE42" s="23">
        <f>SUM(AE2:AE40)</f>
        <v>944029</v>
      </c>
      <c r="AF42" s="23">
        <f>SUM(AF2:AF40)</f>
        <v>578309</v>
      </c>
      <c r="AG42" s="2"/>
      <c r="AH42" s="23">
        <f>AD42-B42</f>
        <v>-40566</v>
      </c>
      <c r="AI42" s="23">
        <f>AE42-C42</f>
        <v>92</v>
      </c>
      <c r="AJ42" s="23">
        <f>AF42-D42</f>
        <v>-3</v>
      </c>
      <c r="AL42" s="49">
        <f>C42/B42*1000</f>
        <v>46.895210626210087</v>
      </c>
      <c r="AM42" s="49">
        <f>D42/B42*1000</f>
        <v>28.730797762631205</v>
      </c>
      <c r="AN42" s="48"/>
      <c r="AO42" s="49">
        <f t="shared" ref="AO42:AP44" si="33">AL42-K42</f>
        <v>-0.80478937378991589</v>
      </c>
      <c r="AP42" s="49">
        <f t="shared" si="33"/>
        <v>-0.46920223736879407</v>
      </c>
      <c r="AR42" s="23">
        <f t="shared" ref="AR42:AT42" si="34">SUM(AR2:AR40)</f>
        <v>19118057</v>
      </c>
      <c r="AS42" s="23">
        <f t="shared" si="34"/>
        <v>894719</v>
      </c>
      <c r="AT42" s="23">
        <f t="shared" si="34"/>
        <v>571374</v>
      </c>
      <c r="AV42" s="23">
        <f>H42-AR42</f>
        <v>15998</v>
      </c>
      <c r="AW42" s="23">
        <f>I42-AS42</f>
        <v>-1</v>
      </c>
      <c r="AX42" s="23">
        <f>J42-AT42</f>
        <v>-9503</v>
      </c>
    </row>
    <row r="43" spans="1:50" x14ac:dyDescent="0.55000000000000004">
      <c r="A43" s="29" t="s">
        <v>46</v>
      </c>
      <c r="B43" s="3">
        <v>465272</v>
      </c>
      <c r="C43" s="3">
        <v>19401</v>
      </c>
      <c r="D43" s="3">
        <v>11824</v>
      </c>
      <c r="E43" s="3"/>
      <c r="F43" s="3"/>
      <c r="G43" s="3"/>
      <c r="H43" s="3">
        <v>451403</v>
      </c>
      <c r="I43" s="3">
        <v>19524</v>
      </c>
      <c r="J43" s="3">
        <v>12531</v>
      </c>
      <c r="K43" s="36">
        <v>41.7</v>
      </c>
      <c r="L43" s="36">
        <v>25.4</v>
      </c>
      <c r="N43" s="3"/>
      <c r="O43" s="3"/>
      <c r="P43" s="3"/>
      <c r="Q43" s="3"/>
      <c r="R43" s="3"/>
      <c r="S43" s="3"/>
      <c r="T43" s="12"/>
      <c r="U43" s="12"/>
      <c r="V43" s="12"/>
      <c r="W43" s="15"/>
      <c r="X43" s="15"/>
      <c r="Y43" s="15"/>
      <c r="Z43" s="15"/>
      <c r="AA43" s="12"/>
      <c r="AB43" s="15"/>
      <c r="AC43" s="2"/>
      <c r="AD43" s="12">
        <f>B43</f>
        <v>465272</v>
      </c>
      <c r="AE43" s="12">
        <f>C43</f>
        <v>19401</v>
      </c>
      <c r="AF43" s="12">
        <f>D43</f>
        <v>11824</v>
      </c>
      <c r="AG43" s="2"/>
      <c r="AH43" s="12"/>
      <c r="AI43" s="12"/>
      <c r="AJ43" s="12"/>
      <c r="AL43" s="47">
        <f>C43/B43*1000</f>
        <v>41.698189446173423</v>
      </c>
      <c r="AM43" s="47">
        <f>D43/B43*1000</f>
        <v>25.413091696899876</v>
      </c>
      <c r="AO43" s="47">
        <f t="shared" si="33"/>
        <v>-1.8105538265800192E-3</v>
      </c>
      <c r="AP43" s="47">
        <f t="shared" si="33"/>
        <v>1.3091696899877547E-2</v>
      </c>
      <c r="AR43" s="12">
        <f t="shared" ref="AR43:AR44" si="35">H43</f>
        <v>451403</v>
      </c>
      <c r="AS43" s="12">
        <f t="shared" ref="AS43:AS44" si="36">I43</f>
        <v>19524</v>
      </c>
      <c r="AT43" s="12">
        <f t="shared" ref="AT43:AT44" si="37">J43</f>
        <v>12531</v>
      </c>
    </row>
    <row r="44" spans="1:50" x14ac:dyDescent="0.55000000000000004">
      <c r="A44" s="29" t="s">
        <v>47</v>
      </c>
      <c r="B44" s="3">
        <v>1063010</v>
      </c>
      <c r="C44" s="3">
        <v>45719</v>
      </c>
      <c r="D44" s="3">
        <v>26121</v>
      </c>
      <c r="E44" s="4">
        <v>59634</v>
      </c>
      <c r="F44" s="3">
        <v>2087</v>
      </c>
      <c r="G44" s="3">
        <v>1376</v>
      </c>
      <c r="H44" s="4">
        <v>1019876</v>
      </c>
      <c r="I44" s="3">
        <v>42443</v>
      </c>
      <c r="J44" s="3">
        <v>25499</v>
      </c>
      <c r="K44" s="36">
        <v>43</v>
      </c>
      <c r="L44" s="36">
        <v>24.6</v>
      </c>
      <c r="N44" s="3">
        <v>124357</v>
      </c>
      <c r="O44" s="3">
        <v>85876</v>
      </c>
      <c r="P44" s="3">
        <v>96420</v>
      </c>
      <c r="Q44" s="3">
        <v>92426</v>
      </c>
      <c r="R44" s="3">
        <v>86809</v>
      </c>
      <c r="S44" s="3">
        <v>81729</v>
      </c>
      <c r="T44" s="12">
        <v>86842</v>
      </c>
      <c r="U44" s="12">
        <v>91418</v>
      </c>
      <c r="V44" s="12">
        <v>89923</v>
      </c>
      <c r="W44" s="12">
        <v>66896</v>
      </c>
      <c r="X44" s="12">
        <v>49684</v>
      </c>
      <c r="Y44" s="12">
        <v>75169</v>
      </c>
      <c r="Z44" s="15"/>
      <c r="AA44" s="12"/>
      <c r="AB44" s="15"/>
      <c r="AC44" s="2"/>
      <c r="AD44" s="12">
        <f>SUM(N44:AB44)</f>
        <v>1027549</v>
      </c>
      <c r="AE44" s="12">
        <f>SUM(N45:AB45)</f>
        <v>45719</v>
      </c>
      <c r="AF44" s="12">
        <f>SUM(N46:AB46)</f>
        <v>26121</v>
      </c>
      <c r="AG44" s="2"/>
      <c r="AH44" s="12">
        <f>AD44-B44</f>
        <v>-35461</v>
      </c>
      <c r="AI44" s="12">
        <f>AE44-C44</f>
        <v>0</v>
      </c>
      <c r="AJ44" s="12">
        <f>AF44-D44</f>
        <v>0</v>
      </c>
      <c r="AL44" s="47">
        <f>C44/B44*1000</f>
        <v>43.009002737509526</v>
      </c>
      <c r="AM44" s="47">
        <f>D44/B44*1000</f>
        <v>24.572675703897421</v>
      </c>
      <c r="AO44" s="47">
        <f t="shared" si="33"/>
        <v>9.0027375095260709E-3</v>
      </c>
      <c r="AP44" s="47">
        <f t="shared" si="33"/>
        <v>-2.7324296102580803E-2</v>
      </c>
      <c r="AR44" s="12">
        <f t="shared" si="35"/>
        <v>1019876</v>
      </c>
      <c r="AS44" s="12">
        <f t="shared" si="36"/>
        <v>42443</v>
      </c>
      <c r="AT44" s="12">
        <f t="shared" si="37"/>
        <v>25499</v>
      </c>
    </row>
    <row r="45" spans="1:50" x14ac:dyDescent="0.55000000000000004">
      <c r="A45" s="28" t="s">
        <v>48</v>
      </c>
      <c r="K45" s="37"/>
      <c r="L45" s="37"/>
      <c r="N45" s="2">
        <v>6899</v>
      </c>
      <c r="O45" s="2">
        <v>4468</v>
      </c>
      <c r="P45" s="2">
        <v>4002</v>
      </c>
      <c r="Q45" s="2">
        <v>5050</v>
      </c>
      <c r="R45" s="2">
        <v>2855</v>
      </c>
      <c r="S45" s="2">
        <v>3681</v>
      </c>
      <c r="T45" s="2">
        <v>3304</v>
      </c>
      <c r="U45" s="2">
        <v>4537</v>
      </c>
      <c r="V45" s="2">
        <v>2944</v>
      </c>
      <c r="W45" s="2">
        <v>2903</v>
      </c>
      <c r="X45" s="2">
        <v>1940</v>
      </c>
      <c r="Y45" s="2">
        <v>3136</v>
      </c>
      <c r="Z45" s="8"/>
      <c r="AA45" s="2"/>
      <c r="AB45" s="8"/>
      <c r="AC45" s="2"/>
      <c r="AD45" s="2"/>
      <c r="AE45" s="2"/>
      <c r="AF45" s="2"/>
      <c r="AG45" s="2"/>
      <c r="AH45" s="2"/>
      <c r="AI45" s="2"/>
      <c r="AJ45" s="2"/>
    </row>
    <row r="46" spans="1:50" x14ac:dyDescent="0.55000000000000004">
      <c r="A46" s="28" t="s">
        <v>49</v>
      </c>
      <c r="K46" s="37"/>
      <c r="L46" s="37"/>
      <c r="N46" s="2">
        <v>4141</v>
      </c>
      <c r="O46" s="2">
        <v>2523</v>
      </c>
      <c r="P46" s="2">
        <v>2629</v>
      </c>
      <c r="Q46" s="2">
        <v>2551</v>
      </c>
      <c r="R46" s="58">
        <v>1713</v>
      </c>
      <c r="S46" s="2">
        <v>2146</v>
      </c>
      <c r="T46" s="2">
        <v>1725</v>
      </c>
      <c r="U46" s="2">
        <v>2731</v>
      </c>
      <c r="V46" s="2">
        <v>1843</v>
      </c>
      <c r="W46" s="2">
        <v>1813</v>
      </c>
      <c r="X46" s="2">
        <v>983</v>
      </c>
      <c r="Y46" s="2">
        <v>1323</v>
      </c>
      <c r="Z46" s="8"/>
      <c r="AA46" s="2"/>
      <c r="AB46" s="8"/>
      <c r="AC46" s="2"/>
      <c r="AD46" s="2"/>
      <c r="AE46" s="2"/>
      <c r="AF46" s="2"/>
      <c r="AG46" s="2"/>
      <c r="AH46" s="2"/>
      <c r="AI46" s="2"/>
      <c r="AJ46" s="2"/>
    </row>
    <row r="47" spans="1:50" x14ac:dyDescent="0.55000000000000004">
      <c r="A47" s="29" t="s">
        <v>50</v>
      </c>
      <c r="B47" s="3">
        <v>896509</v>
      </c>
      <c r="C47" s="3">
        <v>33679</v>
      </c>
      <c r="D47" s="3">
        <v>18135</v>
      </c>
      <c r="E47" s="4">
        <v>66647</v>
      </c>
      <c r="F47" s="3">
        <v>1873</v>
      </c>
      <c r="G47" s="3">
        <v>1172</v>
      </c>
      <c r="H47" s="4">
        <v>856825</v>
      </c>
      <c r="I47" s="3">
        <v>34318</v>
      </c>
      <c r="J47" s="3">
        <v>20432</v>
      </c>
      <c r="K47" s="36">
        <v>37.5</v>
      </c>
      <c r="L47" s="36">
        <v>20.3</v>
      </c>
      <c r="N47" s="3">
        <v>119406</v>
      </c>
      <c r="O47" s="3">
        <v>138680</v>
      </c>
      <c r="P47" s="3">
        <v>107996</v>
      </c>
      <c r="Q47" s="3">
        <v>90662</v>
      </c>
      <c r="R47" s="58">
        <v>117238</v>
      </c>
      <c r="S47" s="3">
        <v>86950</v>
      </c>
      <c r="T47" s="12">
        <v>130673</v>
      </c>
      <c r="U47" s="12">
        <v>104904</v>
      </c>
      <c r="V47" s="12"/>
      <c r="W47" s="12"/>
      <c r="X47" s="12"/>
      <c r="Y47" s="12"/>
      <c r="Z47" s="15"/>
      <c r="AA47" s="12"/>
      <c r="AB47" s="15"/>
      <c r="AC47" s="2"/>
      <c r="AD47" s="12">
        <f>SUM(N47:AB47)</f>
        <v>896509</v>
      </c>
      <c r="AE47" s="12">
        <f>SUM(N48:AB48)</f>
        <v>33679</v>
      </c>
      <c r="AF47" s="12">
        <f>SUM(N49:AB49)</f>
        <v>18135</v>
      </c>
      <c r="AG47" s="2"/>
      <c r="AH47" s="12">
        <f>AD47-B47</f>
        <v>0</v>
      </c>
      <c r="AI47" s="12">
        <f>AE47-C47</f>
        <v>0</v>
      </c>
      <c r="AJ47" s="12">
        <f>AF47-D47</f>
        <v>0</v>
      </c>
      <c r="AL47" s="47">
        <f>C47/B47*1000</f>
        <v>37.566828665412174</v>
      </c>
      <c r="AM47" s="47">
        <f>D47/B47*1000</f>
        <v>20.228463964109672</v>
      </c>
      <c r="AO47" s="47">
        <f>AL47-K47</f>
        <v>6.682866541217436E-2</v>
      </c>
      <c r="AP47" s="47">
        <f>AM47-L47</f>
        <v>-7.1536035890328975E-2</v>
      </c>
      <c r="AR47" s="12">
        <f t="shared" ref="AR47" si="38">H47</f>
        <v>856825</v>
      </c>
      <c r="AS47" s="12">
        <f t="shared" ref="AS47" si="39">I47</f>
        <v>34318</v>
      </c>
      <c r="AT47" s="12">
        <f t="shared" ref="AT47" si="40">J47</f>
        <v>20432</v>
      </c>
    </row>
    <row r="48" spans="1:50" x14ac:dyDescent="0.55000000000000004">
      <c r="A48" s="28" t="s">
        <v>51</v>
      </c>
      <c r="K48" s="37"/>
      <c r="L48" s="37"/>
      <c r="N48" s="2">
        <v>3923</v>
      </c>
      <c r="O48" s="2">
        <v>5973</v>
      </c>
      <c r="P48" s="2">
        <v>4507</v>
      </c>
      <c r="Q48" s="2">
        <v>3434</v>
      </c>
      <c r="R48" s="2">
        <v>4609</v>
      </c>
      <c r="S48" s="2">
        <v>3004</v>
      </c>
      <c r="T48" s="2">
        <v>4154</v>
      </c>
      <c r="U48" s="2">
        <v>4075</v>
      </c>
      <c r="W48" s="2"/>
      <c r="X48" s="2"/>
      <c r="Y48" s="2"/>
      <c r="Z48" s="8"/>
      <c r="AA48" s="2"/>
      <c r="AB48" s="8"/>
      <c r="AC48" s="2"/>
      <c r="AD48" s="2"/>
      <c r="AE48" s="2"/>
      <c r="AF48" s="2"/>
      <c r="AG48" s="2"/>
      <c r="AH48" s="2"/>
      <c r="AI48" s="2"/>
      <c r="AJ48" s="2"/>
    </row>
    <row r="49" spans="1:46" x14ac:dyDescent="0.55000000000000004">
      <c r="A49" s="28" t="s">
        <v>52</v>
      </c>
      <c r="K49" s="37"/>
      <c r="L49" s="37"/>
      <c r="N49" s="2">
        <v>2381</v>
      </c>
      <c r="O49" s="2">
        <v>3065</v>
      </c>
      <c r="P49" s="2">
        <v>2031</v>
      </c>
      <c r="Q49" s="2">
        <v>2885</v>
      </c>
      <c r="R49" s="2">
        <v>2424</v>
      </c>
      <c r="S49" s="2">
        <v>1922</v>
      </c>
      <c r="T49" s="2">
        <v>1385</v>
      </c>
      <c r="U49" s="2">
        <v>2042</v>
      </c>
      <c r="W49" s="2"/>
      <c r="X49" s="2"/>
      <c r="Y49" s="2"/>
      <c r="Z49" s="8"/>
      <c r="AA49" s="2"/>
      <c r="AB49" s="8"/>
      <c r="AC49" s="2"/>
      <c r="AD49" s="2"/>
      <c r="AE49" s="2"/>
      <c r="AF49" s="2"/>
      <c r="AG49" s="2"/>
      <c r="AH49" s="2"/>
      <c r="AI49" s="2"/>
      <c r="AJ49" s="2"/>
    </row>
    <row r="50" spans="1:46" x14ac:dyDescent="0.55000000000000004">
      <c r="A50" s="29" t="s">
        <v>53</v>
      </c>
      <c r="B50" s="3">
        <v>751959</v>
      </c>
      <c r="C50" s="3">
        <v>31180</v>
      </c>
      <c r="D50" s="3">
        <v>16884</v>
      </c>
      <c r="E50" s="4">
        <v>32037</v>
      </c>
      <c r="F50" s="3">
        <v>1003</v>
      </c>
      <c r="G50" s="3">
        <v>654</v>
      </c>
      <c r="H50" s="4">
        <v>714004</v>
      </c>
      <c r="I50" s="3">
        <v>25757</v>
      </c>
      <c r="J50" s="3">
        <v>15551</v>
      </c>
      <c r="K50" s="36">
        <v>41.5</v>
      </c>
      <c r="L50" s="36">
        <v>22.5</v>
      </c>
      <c r="N50" s="3">
        <v>128282</v>
      </c>
      <c r="O50" s="3">
        <v>77020</v>
      </c>
      <c r="P50" s="58">
        <v>86270</v>
      </c>
      <c r="Q50" s="58">
        <v>111407</v>
      </c>
      <c r="R50" s="3">
        <v>113785</v>
      </c>
      <c r="S50" s="58">
        <v>109447</v>
      </c>
      <c r="T50" s="12">
        <v>125748</v>
      </c>
      <c r="U50" s="12"/>
      <c r="V50" s="12"/>
      <c r="W50" s="12"/>
      <c r="X50" s="12"/>
      <c r="Y50" s="12"/>
      <c r="Z50" s="15"/>
      <c r="AA50" s="12"/>
      <c r="AB50" s="15"/>
      <c r="AC50" s="2"/>
      <c r="AD50" s="12">
        <f>SUM(N50:AB50)</f>
        <v>751959</v>
      </c>
      <c r="AE50" s="12">
        <f>SUM(N51:AB51)</f>
        <v>31181</v>
      </c>
      <c r="AF50" s="12">
        <f>SUM(N52:AB52)</f>
        <v>16884</v>
      </c>
      <c r="AG50" s="2"/>
      <c r="AH50" s="12">
        <f>AD50-B50</f>
        <v>0</v>
      </c>
      <c r="AI50" s="12">
        <f>AE50-C50</f>
        <v>1</v>
      </c>
      <c r="AJ50" s="12">
        <f>AF50-D50</f>
        <v>0</v>
      </c>
      <c r="AL50" s="47">
        <f>C50/B50*1000</f>
        <v>41.465026683635678</v>
      </c>
      <c r="AM50" s="47">
        <f>D50/B50*1000</f>
        <v>22.453351844980912</v>
      </c>
      <c r="AO50" s="47">
        <f>AL50-K50</f>
        <v>-3.4973316364322216E-2</v>
      </c>
      <c r="AP50" s="47">
        <f>AM50-L50</f>
        <v>-4.6648155019088478E-2</v>
      </c>
      <c r="AR50" s="12">
        <f t="shared" ref="AR50" si="41">H50</f>
        <v>714004</v>
      </c>
      <c r="AS50" s="12">
        <f t="shared" ref="AS50" si="42">I50</f>
        <v>25757</v>
      </c>
      <c r="AT50" s="12">
        <f t="shared" ref="AT50" si="43">J50</f>
        <v>15551</v>
      </c>
    </row>
    <row r="51" spans="1:46" x14ac:dyDescent="0.55000000000000004">
      <c r="A51" s="28" t="s">
        <v>54</v>
      </c>
      <c r="K51" s="37"/>
      <c r="L51" s="37"/>
      <c r="N51" s="2">
        <v>5131</v>
      </c>
      <c r="O51" s="2">
        <v>3127</v>
      </c>
      <c r="P51" s="2">
        <v>3105</v>
      </c>
      <c r="Q51" s="2">
        <v>4987</v>
      </c>
      <c r="R51" s="2">
        <v>5039</v>
      </c>
      <c r="S51" s="2">
        <v>4431</v>
      </c>
      <c r="T51" s="2">
        <v>5361</v>
      </c>
      <c r="W51" s="2"/>
      <c r="X51" s="2"/>
      <c r="Y51" s="2"/>
      <c r="Z51" s="8"/>
      <c r="AA51" s="2"/>
      <c r="AB51" s="8"/>
      <c r="AC51" s="2"/>
      <c r="AD51" s="2"/>
      <c r="AE51" s="2"/>
      <c r="AF51" s="2"/>
      <c r="AG51" s="2"/>
      <c r="AH51" s="2"/>
      <c r="AI51" s="2"/>
      <c r="AJ51" s="2"/>
    </row>
    <row r="52" spans="1:46" x14ac:dyDescent="0.55000000000000004">
      <c r="A52" s="28" t="s">
        <v>55</v>
      </c>
      <c r="K52" s="37"/>
      <c r="L52" s="37"/>
      <c r="N52" s="2">
        <v>2887</v>
      </c>
      <c r="O52" s="2">
        <v>1742</v>
      </c>
      <c r="P52" s="2">
        <v>1606</v>
      </c>
      <c r="Q52" s="2">
        <v>2677</v>
      </c>
      <c r="R52" s="2">
        <v>2448</v>
      </c>
      <c r="S52" s="2">
        <v>2678</v>
      </c>
      <c r="T52" s="2">
        <v>2846</v>
      </c>
      <c r="W52" s="2"/>
      <c r="X52" s="2"/>
      <c r="Y52" s="2"/>
      <c r="Z52" s="8"/>
      <c r="AA52" s="2"/>
      <c r="AB52" s="8"/>
      <c r="AC52" s="2"/>
      <c r="AD52" s="2"/>
      <c r="AE52" s="2"/>
      <c r="AF52" s="2"/>
      <c r="AG52" s="2"/>
      <c r="AH52" s="2"/>
      <c r="AI52" s="2"/>
      <c r="AJ52" s="2"/>
    </row>
    <row r="53" spans="1:46" x14ac:dyDescent="0.55000000000000004">
      <c r="A53" s="29" t="s">
        <v>56</v>
      </c>
      <c r="B53" s="3">
        <v>665763</v>
      </c>
      <c r="C53" s="3">
        <v>26121</v>
      </c>
      <c r="D53" s="3">
        <v>16374</v>
      </c>
      <c r="E53" s="4">
        <v>65126</v>
      </c>
      <c r="F53" s="3">
        <v>2190</v>
      </c>
      <c r="G53" s="3">
        <v>1559</v>
      </c>
      <c r="H53" s="4">
        <v>625281</v>
      </c>
      <c r="I53" s="3">
        <v>25213</v>
      </c>
      <c r="J53" s="3">
        <v>17783</v>
      </c>
      <c r="K53" s="36">
        <v>39.200000000000003</v>
      </c>
      <c r="L53" s="36">
        <v>24.6</v>
      </c>
      <c r="N53" s="3">
        <v>104438</v>
      </c>
      <c r="O53" s="3">
        <v>77330</v>
      </c>
      <c r="P53" s="3">
        <v>76936</v>
      </c>
      <c r="Q53" s="3">
        <v>60562</v>
      </c>
      <c r="R53" s="3">
        <v>94120</v>
      </c>
      <c r="S53" s="3">
        <v>77374</v>
      </c>
      <c r="T53" s="12">
        <v>106494</v>
      </c>
      <c r="U53" s="12">
        <v>68509</v>
      </c>
      <c r="V53" s="12"/>
      <c r="W53" s="12"/>
      <c r="X53" s="12"/>
      <c r="Y53" s="12"/>
      <c r="Z53" s="15"/>
      <c r="AA53" s="12"/>
      <c r="AB53" s="15"/>
      <c r="AC53" s="2"/>
      <c r="AD53" s="12">
        <f>SUM(N53:AB53)</f>
        <v>665763</v>
      </c>
      <c r="AE53" s="12">
        <f>SUM(N54:AB54)</f>
        <v>26121</v>
      </c>
      <c r="AF53" s="12">
        <f>SUM(N55:AB55)</f>
        <v>16374</v>
      </c>
      <c r="AG53" s="2"/>
      <c r="AH53" s="12">
        <f>AD53-B53</f>
        <v>0</v>
      </c>
      <c r="AI53" s="12">
        <f>AE53-C53</f>
        <v>0</v>
      </c>
      <c r="AJ53" s="12">
        <f>AF53-D53</f>
        <v>0</v>
      </c>
      <c r="AL53" s="47">
        <f>C53/B53*1000</f>
        <v>39.234682612280949</v>
      </c>
      <c r="AM53" s="47">
        <f>D53/B53*1000</f>
        <v>24.594337624650215</v>
      </c>
      <c r="AO53" s="47">
        <f>AL53-K53</f>
        <v>3.4682612280946046E-2</v>
      </c>
      <c r="AP53" s="47">
        <f>AM53-L53</f>
        <v>-5.6623753497859752E-3</v>
      </c>
      <c r="AR53" s="12">
        <f t="shared" ref="AR53" si="44">H53</f>
        <v>625281</v>
      </c>
      <c r="AS53" s="12">
        <f t="shared" ref="AS53" si="45">I53</f>
        <v>25213</v>
      </c>
      <c r="AT53" s="12">
        <f t="shared" ref="AT53" si="46">J53</f>
        <v>17783</v>
      </c>
    </row>
    <row r="54" spans="1:46" x14ac:dyDescent="0.55000000000000004">
      <c r="A54" s="28" t="s">
        <v>57</v>
      </c>
      <c r="K54" s="37"/>
      <c r="L54" s="37"/>
      <c r="N54" s="2">
        <v>4144</v>
      </c>
      <c r="O54" s="2">
        <v>3586</v>
      </c>
      <c r="P54" s="2">
        <v>2370</v>
      </c>
      <c r="Q54" s="2">
        <v>2433</v>
      </c>
      <c r="R54" s="2">
        <v>3387</v>
      </c>
      <c r="S54" s="2">
        <v>3513</v>
      </c>
      <c r="T54" s="2">
        <v>4052</v>
      </c>
      <c r="U54" s="2">
        <v>2636</v>
      </c>
      <c r="W54" s="2"/>
      <c r="X54" s="2"/>
      <c r="Y54" s="2"/>
      <c r="Z54" s="8"/>
      <c r="AA54" s="2"/>
      <c r="AB54" s="8"/>
      <c r="AC54" s="2"/>
      <c r="AD54" s="2"/>
      <c r="AE54" s="2"/>
      <c r="AF54" s="2"/>
      <c r="AG54" s="2"/>
      <c r="AH54" s="2"/>
      <c r="AI54" s="2"/>
      <c r="AJ54" s="2"/>
    </row>
    <row r="55" spans="1:46" x14ac:dyDescent="0.55000000000000004">
      <c r="A55" s="28" t="s">
        <v>58</v>
      </c>
      <c r="K55" s="37"/>
      <c r="L55" s="37"/>
      <c r="N55" s="2">
        <v>2667</v>
      </c>
      <c r="O55" s="2">
        <v>2653</v>
      </c>
      <c r="P55" s="2">
        <v>1734</v>
      </c>
      <c r="Q55" s="2">
        <v>1259</v>
      </c>
      <c r="R55" s="2">
        <v>1934</v>
      </c>
      <c r="S55" s="2">
        <v>2246</v>
      </c>
      <c r="T55" s="2">
        <v>2318</v>
      </c>
      <c r="U55" s="2">
        <v>1563</v>
      </c>
      <c r="W55" s="2"/>
      <c r="X55" s="2"/>
      <c r="Y55" s="2"/>
      <c r="Z55" s="8"/>
      <c r="AA55" s="2"/>
      <c r="AB55" s="8"/>
      <c r="AC55" s="2"/>
      <c r="AD55" s="2"/>
      <c r="AE55" s="2"/>
      <c r="AF55" s="2"/>
      <c r="AG55" s="2"/>
      <c r="AH55" s="2"/>
      <c r="AI55" s="2"/>
      <c r="AJ55" s="2"/>
    </row>
    <row r="56" spans="1:46" x14ac:dyDescent="0.55000000000000004">
      <c r="A56" s="29" t="s">
        <v>59</v>
      </c>
      <c r="B56" s="3">
        <v>1091829</v>
      </c>
      <c r="C56" s="3">
        <v>42981</v>
      </c>
      <c r="D56" s="3">
        <v>25884</v>
      </c>
      <c r="E56" s="4">
        <v>125251</v>
      </c>
      <c r="F56" s="3">
        <v>4089</v>
      </c>
      <c r="G56" s="3">
        <v>2337</v>
      </c>
      <c r="H56" s="4">
        <v>1051457</v>
      </c>
      <c r="I56" s="3">
        <v>42044</v>
      </c>
      <c r="J56" s="3">
        <v>25432</v>
      </c>
      <c r="K56" s="36">
        <v>39.4</v>
      </c>
      <c r="L56" s="36">
        <v>23.7</v>
      </c>
      <c r="N56" s="3">
        <v>152985</v>
      </c>
      <c r="O56" s="3">
        <v>107632</v>
      </c>
      <c r="P56" s="3">
        <v>103053</v>
      </c>
      <c r="Q56" s="3">
        <v>106937</v>
      </c>
      <c r="R56" s="3">
        <v>95894</v>
      </c>
      <c r="S56" s="12">
        <v>89103</v>
      </c>
      <c r="T56" s="12">
        <v>121793</v>
      </c>
      <c r="U56" s="12">
        <v>88719</v>
      </c>
      <c r="V56" s="12">
        <v>121247</v>
      </c>
      <c r="W56" s="12">
        <v>104349</v>
      </c>
      <c r="X56" s="12"/>
      <c r="Y56" s="12"/>
      <c r="Z56" s="15"/>
      <c r="AA56" s="12"/>
      <c r="AB56" s="15"/>
      <c r="AC56" s="2"/>
      <c r="AD56" s="12">
        <f>SUM(N56:AB56)</f>
        <v>1091712</v>
      </c>
      <c r="AE56" s="12">
        <f>SUM(N57:AB57)</f>
        <v>42981</v>
      </c>
      <c r="AF56" s="12">
        <f>SUM(N58:AB58)</f>
        <v>25884</v>
      </c>
      <c r="AG56" s="2"/>
      <c r="AH56" s="12">
        <f>AD56-B56</f>
        <v>-117</v>
      </c>
      <c r="AI56" s="12">
        <f>AE56-C56</f>
        <v>0</v>
      </c>
      <c r="AJ56" s="12">
        <f>AF56-D56</f>
        <v>0</v>
      </c>
      <c r="AL56" s="47">
        <f>C56/B56*1000</f>
        <v>39.366054574480074</v>
      </c>
      <c r="AM56" s="47">
        <f>D56/B56*1000</f>
        <v>23.707009064606268</v>
      </c>
      <c r="AO56" s="47">
        <f>AL56-K56</f>
        <v>-3.3945425519924299E-2</v>
      </c>
      <c r="AP56" s="47">
        <f>AM56-L56</f>
        <v>7.0090646062688222E-3</v>
      </c>
      <c r="AR56" s="12">
        <f t="shared" ref="AR56" si="47">H56</f>
        <v>1051457</v>
      </c>
      <c r="AS56" s="12">
        <f t="shared" ref="AS56" si="48">I56</f>
        <v>42044</v>
      </c>
      <c r="AT56" s="12">
        <f t="shared" ref="AT56" si="49">J56</f>
        <v>25432</v>
      </c>
    </row>
    <row r="57" spans="1:46" x14ac:dyDescent="0.55000000000000004">
      <c r="A57" s="28" t="s">
        <v>60</v>
      </c>
      <c r="K57" s="37"/>
      <c r="L57" s="37"/>
      <c r="N57" s="2">
        <v>5274</v>
      </c>
      <c r="O57" s="2">
        <v>3790</v>
      </c>
      <c r="P57" s="2">
        <v>4542</v>
      </c>
      <c r="Q57" s="2">
        <v>4621</v>
      </c>
      <c r="R57" s="2">
        <v>3989</v>
      </c>
      <c r="S57" s="2">
        <v>3605</v>
      </c>
      <c r="T57" s="2">
        <v>4876</v>
      </c>
      <c r="U57" s="2">
        <v>3908</v>
      </c>
      <c r="V57" s="2">
        <v>4891</v>
      </c>
      <c r="W57" s="2">
        <v>3485</v>
      </c>
      <c r="X57" s="2"/>
      <c r="Y57" s="2"/>
      <c r="Z57" s="8"/>
      <c r="AA57" s="2"/>
      <c r="AB57" s="8"/>
      <c r="AC57" s="2"/>
      <c r="AD57" s="2"/>
      <c r="AE57" s="2"/>
      <c r="AF57" s="2"/>
      <c r="AG57" s="2"/>
      <c r="AH57" s="2"/>
      <c r="AI57" s="2"/>
      <c r="AJ57" s="2"/>
    </row>
    <row r="58" spans="1:46" x14ac:dyDescent="0.55000000000000004">
      <c r="A58" s="28" t="s">
        <v>61</v>
      </c>
      <c r="K58" s="37"/>
      <c r="L58" s="37"/>
      <c r="N58" s="2">
        <v>3161</v>
      </c>
      <c r="O58" s="2">
        <v>2327</v>
      </c>
      <c r="P58" s="2">
        <v>3284</v>
      </c>
      <c r="Q58" s="2">
        <v>3135</v>
      </c>
      <c r="R58" s="2">
        <v>1854</v>
      </c>
      <c r="S58" s="2">
        <v>1759</v>
      </c>
      <c r="T58" s="2">
        <v>2782</v>
      </c>
      <c r="U58" s="58">
        <v>2683</v>
      </c>
      <c r="V58" s="2">
        <v>2796</v>
      </c>
      <c r="W58" s="2">
        <v>2103</v>
      </c>
      <c r="X58" s="2"/>
      <c r="Y58" s="2"/>
      <c r="Z58" s="8"/>
      <c r="AA58" s="2"/>
      <c r="AB58" s="8"/>
      <c r="AC58" s="2"/>
      <c r="AD58" s="2"/>
      <c r="AE58" s="2"/>
      <c r="AF58" s="2"/>
      <c r="AG58" s="2"/>
      <c r="AH58" s="2"/>
      <c r="AI58" s="2"/>
      <c r="AJ58" s="2"/>
    </row>
    <row r="59" spans="1:46" x14ac:dyDescent="0.55000000000000004">
      <c r="A59" s="29" t="s">
        <v>62</v>
      </c>
      <c r="B59" s="3">
        <v>1246054</v>
      </c>
      <c r="C59" s="3">
        <v>51391</v>
      </c>
      <c r="D59" s="58">
        <v>26596</v>
      </c>
      <c r="E59" s="4">
        <v>248086</v>
      </c>
      <c r="F59" s="3">
        <v>10074</v>
      </c>
      <c r="G59" s="3">
        <v>6682</v>
      </c>
      <c r="H59" s="4">
        <v>1155206</v>
      </c>
      <c r="I59" s="3">
        <v>42466</v>
      </c>
      <c r="J59" s="3">
        <v>24399</v>
      </c>
      <c r="K59" s="36">
        <v>41.2</v>
      </c>
      <c r="L59" s="36">
        <v>21.4</v>
      </c>
      <c r="N59" s="3">
        <v>172873</v>
      </c>
      <c r="O59" s="3">
        <v>185916</v>
      </c>
      <c r="P59" s="3">
        <v>109730</v>
      </c>
      <c r="Q59" s="3">
        <v>123983</v>
      </c>
      <c r="R59" s="3">
        <v>277807</v>
      </c>
      <c r="S59" s="12">
        <v>142268</v>
      </c>
      <c r="T59" s="12">
        <v>81588</v>
      </c>
      <c r="U59" s="12">
        <v>151919</v>
      </c>
      <c r="V59" s="12"/>
      <c r="W59" s="12"/>
      <c r="X59" s="12"/>
      <c r="Y59" s="12"/>
      <c r="Z59" s="15"/>
      <c r="AA59" s="12"/>
      <c r="AB59" s="15"/>
      <c r="AC59" s="2"/>
      <c r="AD59" s="12">
        <f>SUM(N59:AB59)</f>
        <v>1246084</v>
      </c>
      <c r="AE59" s="12">
        <f>SUM(N60:AB60)</f>
        <v>51391</v>
      </c>
      <c r="AF59" s="12">
        <f>SUM(N61:AB61)</f>
        <v>26596</v>
      </c>
      <c r="AG59" s="2"/>
      <c r="AH59" s="12">
        <f>AD59-B59</f>
        <v>30</v>
      </c>
      <c r="AI59" s="12">
        <f>AE59-C59</f>
        <v>0</v>
      </c>
      <c r="AJ59" s="12">
        <f>AF59-D59</f>
        <v>0</v>
      </c>
      <c r="AL59" s="47">
        <f>C59/B59*1000</f>
        <v>41.242995889423732</v>
      </c>
      <c r="AM59" s="47">
        <f>D59/B59*1000</f>
        <v>21.344179305230753</v>
      </c>
      <c r="AO59" s="47">
        <f>AL59-K59</f>
        <v>4.2995889423728784E-2</v>
      </c>
      <c r="AP59" s="47">
        <f>AM59-L59</f>
        <v>-5.5820694769245449E-2</v>
      </c>
      <c r="AR59" s="12">
        <f t="shared" ref="AR59" si="50">H59</f>
        <v>1155206</v>
      </c>
      <c r="AS59" s="12">
        <f t="shared" ref="AS59" si="51">I59</f>
        <v>42466</v>
      </c>
      <c r="AT59" s="12">
        <f t="shared" ref="AT59" si="52">J59</f>
        <v>24399</v>
      </c>
    </row>
    <row r="60" spans="1:46" x14ac:dyDescent="0.55000000000000004">
      <c r="A60" s="28" t="s">
        <v>63</v>
      </c>
      <c r="K60" s="37"/>
      <c r="L60" s="37"/>
      <c r="N60" s="2">
        <v>6315</v>
      </c>
      <c r="O60" s="2">
        <v>7350</v>
      </c>
      <c r="P60" s="2">
        <v>4219</v>
      </c>
      <c r="Q60" s="2">
        <v>4623</v>
      </c>
      <c r="R60" s="2">
        <v>11997</v>
      </c>
      <c r="S60" s="2">
        <v>5597</v>
      </c>
      <c r="T60" s="2">
        <v>4691</v>
      </c>
      <c r="U60" s="2">
        <v>6599</v>
      </c>
      <c r="W60" s="2"/>
      <c r="X60" s="2"/>
      <c r="Y60" s="2"/>
      <c r="Z60" s="8"/>
      <c r="AA60" s="2"/>
      <c r="AB60" s="8"/>
      <c r="AC60" s="2"/>
      <c r="AD60" s="2"/>
      <c r="AE60" s="2"/>
      <c r="AF60" s="2"/>
      <c r="AG60" s="2"/>
      <c r="AH60" s="2"/>
      <c r="AI60" s="2"/>
      <c r="AJ60" s="2"/>
    </row>
    <row r="61" spans="1:46" x14ac:dyDescent="0.55000000000000004">
      <c r="A61" s="28" t="s">
        <v>64</v>
      </c>
      <c r="K61" s="37"/>
      <c r="L61" s="37"/>
      <c r="N61" s="2">
        <v>3319</v>
      </c>
      <c r="O61" s="2">
        <v>3544</v>
      </c>
      <c r="P61" s="2">
        <v>2192</v>
      </c>
      <c r="Q61" s="2">
        <v>2516</v>
      </c>
      <c r="R61" s="2">
        <v>6775</v>
      </c>
      <c r="S61" s="2">
        <v>2800</v>
      </c>
      <c r="T61" s="2">
        <v>1972</v>
      </c>
      <c r="U61" s="2">
        <v>3478</v>
      </c>
      <c r="W61" s="2"/>
      <c r="X61" s="2"/>
      <c r="Y61" s="2"/>
      <c r="Z61" s="8"/>
      <c r="AA61" s="2"/>
      <c r="AB61" s="8"/>
      <c r="AC61" s="2"/>
      <c r="AD61" s="2"/>
      <c r="AE61" s="2"/>
      <c r="AF61" s="2"/>
      <c r="AG61" s="2"/>
      <c r="AH61" s="2"/>
      <c r="AI61" s="2"/>
      <c r="AJ61" s="2"/>
    </row>
    <row r="62" spans="1:46" x14ac:dyDescent="0.55000000000000004">
      <c r="A62" s="29" t="s">
        <v>65</v>
      </c>
      <c r="B62" s="3">
        <v>653988</v>
      </c>
      <c r="C62" s="3">
        <v>25107</v>
      </c>
      <c r="D62" s="3">
        <v>17161</v>
      </c>
      <c r="E62" s="4"/>
      <c r="F62" s="3"/>
      <c r="G62" s="3"/>
      <c r="H62" s="4">
        <v>631327</v>
      </c>
      <c r="I62" s="3">
        <v>25164</v>
      </c>
      <c r="J62" s="3">
        <v>15757</v>
      </c>
      <c r="K62" s="36">
        <v>37.6</v>
      </c>
      <c r="L62" s="36">
        <v>25.7</v>
      </c>
      <c r="N62" s="3">
        <v>105389</v>
      </c>
      <c r="O62" s="3">
        <v>92871</v>
      </c>
      <c r="P62" s="58">
        <v>88665</v>
      </c>
      <c r="Q62" s="3">
        <v>86428</v>
      </c>
      <c r="R62" s="12">
        <v>66314</v>
      </c>
      <c r="S62" s="12">
        <v>75958</v>
      </c>
      <c r="T62" s="12">
        <v>65292</v>
      </c>
      <c r="U62" s="12">
        <v>73071</v>
      </c>
      <c r="V62" s="12"/>
      <c r="W62" s="12"/>
      <c r="X62" s="12"/>
      <c r="Y62" s="12"/>
      <c r="Z62" s="15"/>
      <c r="AA62" s="12"/>
      <c r="AB62" s="15"/>
      <c r="AC62" s="2"/>
      <c r="AD62" s="12">
        <f>SUM(N62:AB62)</f>
        <v>653988</v>
      </c>
      <c r="AE62" s="12">
        <f>SUM(N63:AB63)</f>
        <v>25107</v>
      </c>
      <c r="AF62" s="12">
        <f>SUM(N64:AB64)</f>
        <v>17161</v>
      </c>
      <c r="AG62" s="2"/>
      <c r="AH62" s="12">
        <f>AD62-B62</f>
        <v>0</v>
      </c>
      <c r="AI62" s="12">
        <f>AE62-C62</f>
        <v>0</v>
      </c>
      <c r="AJ62" s="12">
        <f>AF62-D62</f>
        <v>0</v>
      </c>
      <c r="AL62" s="47">
        <f>C62/B62*1000</f>
        <v>38.390612671792141</v>
      </c>
      <c r="AM62" s="47">
        <f>D62/B62*1000</f>
        <v>26.240542639926115</v>
      </c>
      <c r="AO62" s="47">
        <f>AL62-K62</f>
        <v>0.79061267179213957</v>
      </c>
      <c r="AP62" s="47">
        <f>AM62-L62</f>
        <v>0.54054263992611595</v>
      </c>
      <c r="AR62" s="12">
        <f t="shared" ref="AR62" si="53">H62</f>
        <v>631327</v>
      </c>
      <c r="AS62" s="12">
        <f t="shared" ref="AS62" si="54">I62</f>
        <v>25164</v>
      </c>
      <c r="AT62" s="12">
        <f t="shared" ref="AT62" si="55">J62</f>
        <v>15757</v>
      </c>
    </row>
    <row r="63" spans="1:46" x14ac:dyDescent="0.55000000000000004">
      <c r="A63" s="28" t="s">
        <v>66</v>
      </c>
      <c r="K63" s="37"/>
      <c r="L63" s="37"/>
      <c r="N63" s="58">
        <v>4536</v>
      </c>
      <c r="O63" s="2">
        <v>3658</v>
      </c>
      <c r="P63" s="2">
        <v>2896</v>
      </c>
      <c r="Q63" s="2">
        <v>3124</v>
      </c>
      <c r="R63" s="2">
        <v>2519</v>
      </c>
      <c r="S63" s="2">
        <v>2811</v>
      </c>
      <c r="T63" s="2">
        <v>2567</v>
      </c>
      <c r="U63" s="2">
        <v>2996</v>
      </c>
      <c r="W63" s="2"/>
      <c r="X63" s="2"/>
      <c r="Y63" s="2"/>
      <c r="Z63" s="8"/>
      <c r="AA63" s="2"/>
      <c r="AB63" s="8"/>
      <c r="AC63" s="2"/>
      <c r="AD63" s="2"/>
      <c r="AE63" s="2"/>
      <c r="AF63" s="2"/>
      <c r="AG63" s="2"/>
      <c r="AH63" s="2"/>
      <c r="AI63" s="2"/>
      <c r="AJ63" s="2"/>
    </row>
    <row r="64" spans="1:46" x14ac:dyDescent="0.55000000000000004">
      <c r="A64" s="28" t="s">
        <v>67</v>
      </c>
      <c r="K64" s="37"/>
      <c r="L64" s="37"/>
      <c r="N64" s="2">
        <v>2659</v>
      </c>
      <c r="O64" s="2">
        <v>2584</v>
      </c>
      <c r="P64" s="2">
        <v>2315</v>
      </c>
      <c r="Q64" s="2">
        <v>1835</v>
      </c>
      <c r="R64" s="2">
        <v>1653</v>
      </c>
      <c r="S64" s="2">
        <v>2572</v>
      </c>
      <c r="T64" s="2">
        <v>1889</v>
      </c>
      <c r="U64" s="2">
        <v>1654</v>
      </c>
      <c r="W64" s="2"/>
      <c r="X64" s="2"/>
      <c r="Y64" s="2"/>
      <c r="Z64" s="8"/>
      <c r="AA64" s="2"/>
      <c r="AB64" s="8"/>
      <c r="AC64" s="2"/>
      <c r="AD64" s="2"/>
      <c r="AE64" s="2"/>
      <c r="AF64" s="2"/>
      <c r="AG64" s="2"/>
      <c r="AH64" s="2"/>
      <c r="AI64" s="2"/>
      <c r="AJ64" s="2"/>
    </row>
    <row r="65" spans="1:50" x14ac:dyDescent="0.55000000000000004">
      <c r="A65" s="29" t="s">
        <v>68</v>
      </c>
      <c r="B65" s="3">
        <v>793650</v>
      </c>
      <c r="C65" s="3">
        <v>31305</v>
      </c>
      <c r="D65" s="3">
        <v>16967</v>
      </c>
      <c r="E65" s="4">
        <v>53880</v>
      </c>
      <c r="F65" s="3">
        <v>1470</v>
      </c>
      <c r="G65" s="3">
        <v>912</v>
      </c>
      <c r="H65" s="4">
        <v>745014</v>
      </c>
      <c r="I65" s="3">
        <v>30261</v>
      </c>
      <c r="J65" s="3">
        <v>17247</v>
      </c>
      <c r="K65" s="36">
        <v>39.4</v>
      </c>
      <c r="L65" s="36">
        <v>21.3</v>
      </c>
      <c r="N65" s="3">
        <v>130787</v>
      </c>
      <c r="O65" s="3">
        <v>104287</v>
      </c>
      <c r="P65" s="3">
        <v>107545</v>
      </c>
      <c r="Q65" s="3">
        <v>111352</v>
      </c>
      <c r="R65" s="3">
        <v>117673</v>
      </c>
      <c r="S65" s="12">
        <v>108576</v>
      </c>
      <c r="T65" s="12">
        <v>103420</v>
      </c>
      <c r="U65" s="12"/>
      <c r="V65" s="12"/>
      <c r="W65" s="12"/>
      <c r="X65" s="12"/>
      <c r="Y65" s="12"/>
      <c r="Z65" s="15"/>
      <c r="AA65" s="12"/>
      <c r="AB65" s="15"/>
      <c r="AC65" s="2"/>
      <c r="AD65" s="12">
        <f>SUM(N65:AB65)</f>
        <v>783640</v>
      </c>
      <c r="AE65" s="12">
        <f>SUM(N66:AB66)</f>
        <v>31305</v>
      </c>
      <c r="AF65" s="12">
        <f>SUM(N67:AB67)</f>
        <v>16967</v>
      </c>
      <c r="AG65" s="2"/>
      <c r="AH65" s="12">
        <f>AD65-B65</f>
        <v>-10010</v>
      </c>
      <c r="AI65" s="12">
        <f>AE65-C65</f>
        <v>0</v>
      </c>
      <c r="AJ65" s="12">
        <f>AF65-D65</f>
        <v>0</v>
      </c>
      <c r="AL65" s="47">
        <f>C65/B65*1000</f>
        <v>39.444339444339441</v>
      </c>
      <c r="AM65" s="47">
        <f>D65/B65*1000</f>
        <v>21.378441378441376</v>
      </c>
      <c r="AO65" s="47">
        <f>AL65-K65</f>
        <v>4.433944433944248E-2</v>
      </c>
      <c r="AP65" s="47">
        <f>AM65-L65</f>
        <v>7.8441378441375775E-2</v>
      </c>
      <c r="AR65" s="12">
        <f t="shared" ref="AR65" si="56">H65</f>
        <v>745014</v>
      </c>
      <c r="AS65" s="12">
        <f t="shared" ref="AS65" si="57">I65</f>
        <v>30261</v>
      </c>
      <c r="AT65" s="12">
        <f t="shared" ref="AT65" si="58">J65</f>
        <v>17247</v>
      </c>
    </row>
    <row r="66" spans="1:50" x14ac:dyDescent="0.55000000000000004">
      <c r="A66" s="28" t="s">
        <v>69</v>
      </c>
      <c r="K66" s="37"/>
      <c r="L66" s="37"/>
      <c r="N66" s="2">
        <v>5051</v>
      </c>
      <c r="O66" s="2">
        <v>4870</v>
      </c>
      <c r="P66" s="2">
        <v>4480</v>
      </c>
      <c r="Q66" s="2">
        <v>4324</v>
      </c>
      <c r="R66" s="2">
        <v>5040</v>
      </c>
      <c r="S66" s="2">
        <v>4189</v>
      </c>
      <c r="T66" s="2">
        <v>3351</v>
      </c>
      <c r="W66" s="2"/>
      <c r="X66" s="2"/>
      <c r="Y66" s="2"/>
      <c r="Z66" s="8"/>
      <c r="AA66" s="2"/>
      <c r="AB66" s="8"/>
      <c r="AC66" s="2"/>
      <c r="AD66" s="2"/>
      <c r="AE66" s="2"/>
      <c r="AF66" s="2"/>
      <c r="AG66" s="2"/>
      <c r="AH66" s="2"/>
      <c r="AI66" s="2"/>
      <c r="AJ66" s="2"/>
    </row>
    <row r="67" spans="1:50" x14ac:dyDescent="0.55000000000000004">
      <c r="A67" s="28" t="s">
        <v>70</v>
      </c>
      <c r="K67" s="37"/>
      <c r="L67" s="37"/>
      <c r="N67" s="2">
        <v>2388</v>
      </c>
      <c r="O67" s="2">
        <v>2120</v>
      </c>
      <c r="P67" s="2">
        <v>2890</v>
      </c>
      <c r="Q67" s="2">
        <v>2414</v>
      </c>
      <c r="R67" s="2">
        <v>2670</v>
      </c>
      <c r="S67" s="2">
        <v>2232</v>
      </c>
      <c r="T67" s="2">
        <v>2253</v>
      </c>
      <c r="W67" s="2"/>
      <c r="X67" s="2"/>
      <c r="Y67" s="2"/>
      <c r="Z67" s="8"/>
      <c r="AA67" s="2"/>
      <c r="AB67" s="8"/>
      <c r="AC67" s="2"/>
      <c r="AD67" s="2"/>
      <c r="AE67" s="2"/>
      <c r="AF67" s="2"/>
      <c r="AG67" s="2"/>
      <c r="AH67" s="2"/>
      <c r="AI67" s="2"/>
      <c r="AJ67" s="2"/>
    </row>
    <row r="68" spans="1:50" x14ac:dyDescent="0.55000000000000004">
      <c r="A68" s="29" t="s">
        <v>71</v>
      </c>
      <c r="B68" s="3">
        <v>708453</v>
      </c>
      <c r="C68" s="3">
        <v>20718</v>
      </c>
      <c r="D68" s="3">
        <v>15199</v>
      </c>
      <c r="E68" s="4">
        <v>73096</v>
      </c>
      <c r="F68" s="3">
        <v>1212</v>
      </c>
      <c r="G68" s="3">
        <v>1021</v>
      </c>
      <c r="H68" s="4">
        <v>682730</v>
      </c>
      <c r="I68" s="3">
        <v>20873</v>
      </c>
      <c r="J68" s="3">
        <v>15416</v>
      </c>
      <c r="K68" s="36">
        <v>29.2</v>
      </c>
      <c r="L68" s="36">
        <v>21.5</v>
      </c>
      <c r="N68" s="3">
        <v>107785</v>
      </c>
      <c r="O68" s="58">
        <v>96721</v>
      </c>
      <c r="P68" s="3">
        <v>85886</v>
      </c>
      <c r="Q68" s="3">
        <v>96098</v>
      </c>
      <c r="R68" s="58">
        <v>91094</v>
      </c>
      <c r="S68" s="3">
        <v>124767</v>
      </c>
      <c r="T68" s="12">
        <v>104102</v>
      </c>
      <c r="U68" s="12"/>
      <c r="V68" s="12"/>
      <c r="W68" s="12"/>
      <c r="X68" s="12"/>
      <c r="Y68" s="12"/>
      <c r="Z68" s="15"/>
      <c r="AA68" s="12"/>
      <c r="AB68" s="15"/>
      <c r="AC68" s="2"/>
      <c r="AD68" s="12">
        <f>SUM(N68:AB68)</f>
        <v>706453</v>
      </c>
      <c r="AE68" s="12">
        <f>SUM(N69:AB69)</f>
        <v>20718</v>
      </c>
      <c r="AF68" s="12">
        <f>SUM(N70:AB70)</f>
        <v>15199</v>
      </c>
      <c r="AG68" s="2"/>
      <c r="AH68" s="12">
        <f>AD68-B68</f>
        <v>-2000</v>
      </c>
      <c r="AI68" s="12">
        <f>AE68-C68</f>
        <v>0</v>
      </c>
      <c r="AJ68" s="12">
        <f>AF68-D68</f>
        <v>0</v>
      </c>
      <c r="AL68" s="47">
        <f>C68/B68*1000</f>
        <v>29.244000660594281</v>
      </c>
      <c r="AM68" s="47">
        <f>D68/B68*1000</f>
        <v>21.453787336633479</v>
      </c>
      <c r="AO68" s="47">
        <f>AL68-K68</f>
        <v>4.4000660594281982E-2</v>
      </c>
      <c r="AP68" s="47">
        <f>AM68-L68</f>
        <v>-4.6212663366521411E-2</v>
      </c>
      <c r="AR68" s="12">
        <f t="shared" ref="AR68" si="59">H68</f>
        <v>682730</v>
      </c>
      <c r="AS68" s="12">
        <f t="shared" ref="AS68" si="60">I68</f>
        <v>20873</v>
      </c>
      <c r="AT68" s="12">
        <f t="shared" ref="AT68" si="61">J68</f>
        <v>15416</v>
      </c>
    </row>
    <row r="69" spans="1:50" x14ac:dyDescent="0.55000000000000004">
      <c r="A69" s="28" t="s">
        <v>72</v>
      </c>
      <c r="K69" s="37"/>
      <c r="L69" s="37"/>
      <c r="N69" s="2">
        <v>3276</v>
      </c>
      <c r="O69" s="2">
        <v>2588</v>
      </c>
      <c r="P69" s="2">
        <v>2350</v>
      </c>
      <c r="Q69" s="2">
        <v>2774</v>
      </c>
      <c r="R69" s="2">
        <v>2774</v>
      </c>
      <c r="S69" s="2">
        <v>3469</v>
      </c>
      <c r="T69" s="2">
        <v>3487</v>
      </c>
      <c r="W69" s="2"/>
      <c r="X69" s="2"/>
      <c r="Y69" s="2"/>
      <c r="Z69" s="8"/>
      <c r="AA69" s="2"/>
      <c r="AB69" s="8"/>
      <c r="AC69" s="2"/>
      <c r="AD69" s="2"/>
      <c r="AE69" s="2"/>
      <c r="AF69" s="2"/>
      <c r="AG69" s="2"/>
      <c r="AH69" s="2"/>
      <c r="AI69" s="2"/>
      <c r="AJ69" s="2"/>
    </row>
    <row r="70" spans="1:50" x14ac:dyDescent="0.55000000000000004">
      <c r="A70" s="28" t="s">
        <v>73</v>
      </c>
      <c r="K70" s="37"/>
      <c r="L70" s="37"/>
      <c r="N70" s="2">
        <v>2091</v>
      </c>
      <c r="O70" s="2">
        <v>1794</v>
      </c>
      <c r="P70" s="2">
        <v>1946</v>
      </c>
      <c r="Q70" s="2">
        <v>2178</v>
      </c>
      <c r="R70" s="2">
        <v>2254</v>
      </c>
      <c r="S70" s="2">
        <v>2418</v>
      </c>
      <c r="T70" s="2">
        <v>2518</v>
      </c>
      <c r="W70" s="2"/>
      <c r="X70" s="2"/>
      <c r="Y70" s="2"/>
      <c r="Z70" s="8"/>
      <c r="AA70" s="2"/>
      <c r="AB70" s="8"/>
      <c r="AC70" s="2"/>
      <c r="AD70" s="2"/>
      <c r="AE70" s="2"/>
      <c r="AF70" s="2"/>
      <c r="AG70" s="2"/>
      <c r="AH70" s="2"/>
      <c r="AI70" s="2"/>
      <c r="AJ70" s="2"/>
    </row>
    <row r="71" spans="1:50" x14ac:dyDescent="0.55000000000000004">
      <c r="A71" s="29" t="s">
        <v>74</v>
      </c>
      <c r="B71" s="3">
        <v>763581</v>
      </c>
      <c r="C71" s="3">
        <v>29244</v>
      </c>
      <c r="D71" s="3">
        <v>17815</v>
      </c>
      <c r="E71" s="4">
        <v>72342</v>
      </c>
      <c r="F71" s="3">
        <v>2212</v>
      </c>
      <c r="G71" s="3">
        <v>1397</v>
      </c>
      <c r="H71" s="4">
        <v>710434</v>
      </c>
      <c r="I71" s="3">
        <v>27295</v>
      </c>
      <c r="J71" s="3">
        <v>17010</v>
      </c>
      <c r="K71" s="36">
        <v>38.299999999999997</v>
      </c>
      <c r="L71" s="36">
        <v>24.3</v>
      </c>
      <c r="N71" s="3">
        <v>77441</v>
      </c>
      <c r="O71" s="3">
        <v>77632</v>
      </c>
      <c r="P71" s="3">
        <v>72553</v>
      </c>
      <c r="Q71" s="3">
        <v>88515</v>
      </c>
      <c r="R71" s="3">
        <v>115629</v>
      </c>
      <c r="S71" s="3">
        <v>62752</v>
      </c>
      <c r="T71" s="12">
        <v>94744</v>
      </c>
      <c r="U71" s="12">
        <v>78926</v>
      </c>
      <c r="V71" s="12">
        <v>68991</v>
      </c>
      <c r="W71" s="12"/>
      <c r="X71" s="12"/>
      <c r="Y71" s="12"/>
      <c r="Z71" s="15"/>
      <c r="AA71" s="12"/>
      <c r="AB71" s="15"/>
      <c r="AC71" s="2"/>
      <c r="AD71" s="12">
        <f>SUM(N71:AB71)</f>
        <v>737183</v>
      </c>
      <c r="AE71" s="12">
        <f>SUM(N72:AB72)</f>
        <v>29244</v>
      </c>
      <c r="AF71" s="12">
        <f>SUM(N73:AB73)</f>
        <v>17815</v>
      </c>
      <c r="AG71" s="2"/>
      <c r="AH71" s="12">
        <f>AD71-B71</f>
        <v>-26398</v>
      </c>
      <c r="AI71" s="12">
        <f>AE71-C71</f>
        <v>0</v>
      </c>
      <c r="AJ71" s="12">
        <f>AF71-D71</f>
        <v>0</v>
      </c>
      <c r="AL71" s="47">
        <f>C71/B71*1000</f>
        <v>38.298490926306442</v>
      </c>
      <c r="AM71" s="47">
        <f>D71/B71*1000</f>
        <v>23.330858153882822</v>
      </c>
      <c r="AO71" s="47">
        <f>AL71-K71</f>
        <v>-1.5090736935547966E-3</v>
      </c>
      <c r="AP71" s="47">
        <f>AM71-L71</f>
        <v>-0.96914184611717857</v>
      </c>
      <c r="AR71" s="12">
        <f t="shared" ref="AR71" si="62">H71</f>
        <v>710434</v>
      </c>
      <c r="AS71" s="12">
        <f t="shared" ref="AS71" si="63">I71</f>
        <v>27295</v>
      </c>
      <c r="AT71" s="12">
        <f t="shared" ref="AT71" si="64">J71</f>
        <v>17010</v>
      </c>
    </row>
    <row r="72" spans="1:50" x14ac:dyDescent="0.55000000000000004">
      <c r="A72" s="28" t="s">
        <v>75</v>
      </c>
      <c r="K72" s="37"/>
      <c r="L72" s="37"/>
      <c r="N72" s="2">
        <v>2578</v>
      </c>
      <c r="O72" s="2">
        <v>2531</v>
      </c>
      <c r="P72" s="2">
        <v>3008</v>
      </c>
      <c r="Q72" s="2">
        <v>3961</v>
      </c>
      <c r="R72" s="2">
        <v>5247</v>
      </c>
      <c r="S72" s="2">
        <v>2588</v>
      </c>
      <c r="T72" s="2">
        <v>4528</v>
      </c>
      <c r="U72" s="2">
        <v>2378</v>
      </c>
      <c r="V72" s="2">
        <v>2425</v>
      </c>
      <c r="W72" s="2"/>
      <c r="X72" s="2"/>
      <c r="Y72" s="2"/>
      <c r="Z72" s="8"/>
      <c r="AA72" s="2"/>
      <c r="AB72" s="8"/>
      <c r="AC72" s="2"/>
      <c r="AD72" s="2"/>
      <c r="AE72" s="2"/>
      <c r="AF72" s="2"/>
      <c r="AG72" s="2"/>
      <c r="AH72" s="2"/>
      <c r="AI72" s="2"/>
      <c r="AJ72" s="2"/>
    </row>
    <row r="73" spans="1:50" x14ac:dyDescent="0.55000000000000004">
      <c r="A73" s="28" t="s">
        <v>76</v>
      </c>
      <c r="K73" s="37"/>
      <c r="L73" s="37"/>
      <c r="N73" s="2">
        <v>1688</v>
      </c>
      <c r="O73" s="2">
        <v>1666</v>
      </c>
      <c r="P73" s="2">
        <v>1802</v>
      </c>
      <c r="Q73" s="2">
        <v>2227</v>
      </c>
      <c r="R73" s="2">
        <v>2981</v>
      </c>
      <c r="S73" s="2">
        <v>1810</v>
      </c>
      <c r="T73" s="2">
        <v>2488</v>
      </c>
      <c r="U73" s="2">
        <v>1582</v>
      </c>
      <c r="V73" s="2">
        <v>1571</v>
      </c>
      <c r="W73" s="2"/>
      <c r="X73" s="2"/>
      <c r="Y73" s="2"/>
      <c r="Z73" s="8"/>
      <c r="AA73" s="2"/>
      <c r="AB73" s="8"/>
      <c r="AC73" s="2"/>
      <c r="AD73" s="2"/>
      <c r="AE73" s="2"/>
      <c r="AF73" s="2"/>
      <c r="AG73" s="2"/>
      <c r="AH73" s="2"/>
      <c r="AI73" s="2"/>
      <c r="AJ73" s="2"/>
    </row>
    <row r="74" spans="1:50" x14ac:dyDescent="0.55000000000000004">
      <c r="A74" s="30" t="s">
        <v>77</v>
      </c>
      <c r="B74" s="5">
        <v>9114483</v>
      </c>
      <c r="C74" s="5">
        <v>356846</v>
      </c>
      <c r="D74" s="5">
        <v>208960</v>
      </c>
      <c r="E74" s="5"/>
      <c r="F74" s="5"/>
      <c r="G74" s="5"/>
      <c r="H74" s="5">
        <v>8613484</v>
      </c>
      <c r="I74" s="5">
        <v>337417</v>
      </c>
      <c r="J74" s="5">
        <v>207560</v>
      </c>
      <c r="K74" s="38">
        <v>39.200000000000003</v>
      </c>
      <c r="L74" s="38">
        <v>22.9</v>
      </c>
      <c r="N74" s="5"/>
      <c r="O74" s="5"/>
      <c r="P74" s="5"/>
      <c r="Q74" s="5"/>
      <c r="R74" s="5"/>
      <c r="S74" s="5"/>
      <c r="T74" s="23"/>
      <c r="U74" s="23"/>
      <c r="V74" s="23"/>
      <c r="W74" s="22"/>
      <c r="X74" s="22"/>
      <c r="Y74" s="22"/>
      <c r="Z74" s="22"/>
      <c r="AA74" s="23"/>
      <c r="AB74" s="22"/>
      <c r="AC74" s="2"/>
      <c r="AD74" s="23">
        <f>SUM(AD43:AD73)</f>
        <v>9026112</v>
      </c>
      <c r="AE74" s="23">
        <f>SUM(AE43:AE73)</f>
        <v>356847</v>
      </c>
      <c r="AF74" s="23">
        <f>SUM(AF43:AF73)</f>
        <v>208960</v>
      </c>
      <c r="AG74" s="2"/>
      <c r="AH74" s="23">
        <f t="shared" ref="AH74:AJ75" si="65">AD74-B74</f>
        <v>-88371</v>
      </c>
      <c r="AI74" s="23">
        <f t="shared" si="65"/>
        <v>1</v>
      </c>
      <c r="AJ74" s="23">
        <f t="shared" si="65"/>
        <v>0</v>
      </c>
      <c r="AL74" s="49">
        <f>C74/B74*1000</f>
        <v>39.151534980097061</v>
      </c>
      <c r="AM74" s="49">
        <f>D74/B74*1000</f>
        <v>22.926149513910993</v>
      </c>
      <c r="AN74" s="48"/>
      <c r="AO74" s="49">
        <f>AL74-K74</f>
        <v>-4.8465019902941719E-2</v>
      </c>
      <c r="AP74" s="49">
        <f>AM74-L74</f>
        <v>2.614951391099396E-2</v>
      </c>
      <c r="AR74" s="23">
        <f t="shared" ref="AR74:AT74" si="66">SUM(AR43:AR73)</f>
        <v>8643557</v>
      </c>
      <c r="AS74" s="23">
        <f t="shared" si="66"/>
        <v>335358</v>
      </c>
      <c r="AT74" s="23">
        <f t="shared" si="66"/>
        <v>207057</v>
      </c>
      <c r="AV74" s="23">
        <f>H74-AR74</f>
        <v>-30073</v>
      </c>
      <c r="AW74" s="23">
        <f>I74-AS74</f>
        <v>2059</v>
      </c>
      <c r="AX74" s="23">
        <f>J74-AT74</f>
        <v>503</v>
      </c>
    </row>
    <row r="75" spans="1:50" x14ac:dyDescent="0.55000000000000004">
      <c r="A75" s="16" t="s">
        <v>78</v>
      </c>
      <c r="B75" s="15">
        <v>711900</v>
      </c>
      <c r="C75" s="15">
        <v>19147</v>
      </c>
      <c r="D75" s="15">
        <v>12208</v>
      </c>
      <c r="E75" s="15">
        <v>78951</v>
      </c>
      <c r="F75" s="15">
        <v>2236</v>
      </c>
      <c r="G75" s="15">
        <v>1386</v>
      </c>
      <c r="H75" s="15">
        <v>694578</v>
      </c>
      <c r="I75" s="15">
        <v>19187</v>
      </c>
      <c r="J75" s="15">
        <v>12183</v>
      </c>
      <c r="K75" s="36">
        <v>26.6</v>
      </c>
      <c r="L75" s="36">
        <v>16.899999999999999</v>
      </c>
      <c r="M75" s="9"/>
      <c r="N75" s="15">
        <v>106000</v>
      </c>
      <c r="O75" s="15">
        <v>59000</v>
      </c>
      <c r="P75" s="15">
        <v>50700</v>
      </c>
      <c r="Q75" s="15">
        <v>60000</v>
      </c>
      <c r="R75" s="15">
        <v>73500</v>
      </c>
      <c r="S75" s="15">
        <v>92700</v>
      </c>
      <c r="T75" s="15">
        <v>77000</v>
      </c>
      <c r="U75" s="15">
        <v>70000</v>
      </c>
      <c r="V75" s="15">
        <v>53000</v>
      </c>
      <c r="W75" s="59">
        <v>70000</v>
      </c>
      <c r="X75" s="15"/>
      <c r="Y75" s="15"/>
      <c r="Z75" s="15"/>
      <c r="AA75" s="12"/>
      <c r="AB75" s="15"/>
      <c r="AC75" s="2"/>
      <c r="AD75" s="12">
        <f>SUM(N75:AB75)</f>
        <v>711900</v>
      </c>
      <c r="AE75" s="12">
        <f>SUM(N76:AB76)</f>
        <v>19179</v>
      </c>
      <c r="AF75" s="12">
        <f>SUM(N77:AB77)</f>
        <v>12182</v>
      </c>
      <c r="AG75" s="2"/>
      <c r="AH75" s="12">
        <f t="shared" si="65"/>
        <v>0</v>
      </c>
      <c r="AI75" s="12">
        <f t="shared" si="65"/>
        <v>32</v>
      </c>
      <c r="AJ75" s="12">
        <f t="shared" si="65"/>
        <v>-26</v>
      </c>
      <c r="AL75" s="47">
        <f>C75/B75*1000</f>
        <v>26.895631408905746</v>
      </c>
      <c r="AM75" s="47">
        <f>D75/B75*1000</f>
        <v>17.148475909537858</v>
      </c>
      <c r="AO75" s="47">
        <f>AL75-K75</f>
        <v>0.29563140890574502</v>
      </c>
      <c r="AP75" s="47">
        <f>AM75-L75</f>
        <v>0.24847590953785925</v>
      </c>
      <c r="AR75" s="12">
        <f t="shared" ref="AR75" si="67">H75</f>
        <v>694578</v>
      </c>
      <c r="AS75" s="12">
        <f t="shared" ref="AS75" si="68">I75</f>
        <v>19187</v>
      </c>
      <c r="AT75" s="12">
        <f t="shared" ref="AT75" si="69">J75</f>
        <v>12183</v>
      </c>
    </row>
    <row r="76" spans="1:50" x14ac:dyDescent="0.55000000000000004">
      <c r="A76" s="10" t="s">
        <v>79</v>
      </c>
      <c r="B76" s="8"/>
      <c r="C76" s="8"/>
      <c r="D76" s="8"/>
      <c r="E76" s="8"/>
      <c r="F76" s="8"/>
      <c r="G76" s="8"/>
      <c r="H76" s="8"/>
      <c r="I76" s="8"/>
      <c r="J76" s="8"/>
      <c r="K76" s="37"/>
      <c r="L76" s="37"/>
      <c r="M76" s="9"/>
      <c r="N76" s="8">
        <v>2639</v>
      </c>
      <c r="O76" s="8">
        <v>1392</v>
      </c>
      <c r="P76" s="8">
        <v>1311</v>
      </c>
      <c r="Q76" s="8">
        <v>1539</v>
      </c>
      <c r="R76" s="8">
        <v>2040</v>
      </c>
      <c r="S76" s="8">
        <v>3224</v>
      </c>
      <c r="T76" s="8">
        <v>2179</v>
      </c>
      <c r="U76" s="8">
        <v>1733</v>
      </c>
      <c r="V76" s="8">
        <v>1381</v>
      </c>
      <c r="W76" s="8">
        <v>1741</v>
      </c>
      <c r="X76" s="8"/>
      <c r="Y76" s="8"/>
      <c r="Z76" s="8"/>
      <c r="AA76" s="2"/>
      <c r="AB76" s="8"/>
      <c r="AC76" s="2"/>
      <c r="AD76" s="2"/>
      <c r="AE76" s="2"/>
      <c r="AF76" s="2"/>
      <c r="AG76" s="2"/>
      <c r="AH76" s="2"/>
      <c r="AI76" s="2"/>
      <c r="AJ76" s="2"/>
    </row>
    <row r="77" spans="1:50" x14ac:dyDescent="0.55000000000000004">
      <c r="A77" s="10" t="s">
        <v>80</v>
      </c>
      <c r="B77" s="8"/>
      <c r="C77" s="8"/>
      <c r="D77" s="8"/>
      <c r="E77" s="8"/>
      <c r="F77" s="8"/>
      <c r="G77" s="8"/>
      <c r="H77" s="8"/>
      <c r="I77" s="8"/>
      <c r="J77" s="8"/>
      <c r="K77" s="37"/>
      <c r="L77" s="37"/>
      <c r="M77" s="9"/>
      <c r="N77" s="8">
        <v>1742</v>
      </c>
      <c r="O77" s="8">
        <v>898</v>
      </c>
      <c r="P77" s="8">
        <v>771</v>
      </c>
      <c r="Q77" s="8">
        <v>1133</v>
      </c>
      <c r="R77" s="8">
        <v>1221</v>
      </c>
      <c r="S77" s="8">
        <v>1906</v>
      </c>
      <c r="T77" s="8">
        <v>1410</v>
      </c>
      <c r="U77" s="8">
        <v>1016</v>
      </c>
      <c r="V77" s="8">
        <v>768</v>
      </c>
      <c r="W77" s="8">
        <v>1317</v>
      </c>
      <c r="X77" s="8"/>
      <c r="Y77" s="8"/>
      <c r="Z77" s="8"/>
      <c r="AA77" s="2"/>
      <c r="AB77" s="8"/>
      <c r="AC77" s="2"/>
      <c r="AD77" s="2"/>
      <c r="AE77" s="2"/>
      <c r="AF77" s="2"/>
      <c r="AG77" s="2"/>
      <c r="AH77" s="2"/>
      <c r="AI77" s="2"/>
      <c r="AJ77" s="2"/>
    </row>
    <row r="78" spans="1:50" x14ac:dyDescent="0.55000000000000004">
      <c r="A78" s="16" t="s">
        <v>81</v>
      </c>
      <c r="B78" s="15">
        <v>1282199</v>
      </c>
      <c r="C78" s="15">
        <v>37124</v>
      </c>
      <c r="D78" s="65">
        <v>25662</v>
      </c>
      <c r="E78" s="15">
        <v>254115</v>
      </c>
      <c r="F78" s="15">
        <v>8275</v>
      </c>
      <c r="G78" s="15">
        <v>6613</v>
      </c>
      <c r="H78" s="15">
        <v>1244615</v>
      </c>
      <c r="I78" s="15">
        <v>36676</v>
      </c>
      <c r="J78" s="15">
        <v>26309</v>
      </c>
      <c r="K78" s="36">
        <v>28.9</v>
      </c>
      <c r="L78" s="36">
        <v>20</v>
      </c>
      <c r="M78" s="9"/>
      <c r="N78" s="15">
        <v>331103</v>
      </c>
      <c r="O78" s="15">
        <v>123049</v>
      </c>
      <c r="P78" s="15">
        <v>135812</v>
      </c>
      <c r="Q78" s="15">
        <v>102277</v>
      </c>
      <c r="R78" s="15">
        <v>123763</v>
      </c>
      <c r="S78" s="15">
        <v>198103</v>
      </c>
      <c r="T78" s="15">
        <v>103764</v>
      </c>
      <c r="U78" s="15">
        <v>103115</v>
      </c>
      <c r="V78" s="15">
        <v>61213</v>
      </c>
      <c r="W78" s="15"/>
      <c r="X78" s="15"/>
      <c r="Y78" s="15"/>
      <c r="Z78" s="15"/>
      <c r="AA78" s="12"/>
      <c r="AB78" s="15"/>
      <c r="AC78" s="2"/>
      <c r="AD78" s="12">
        <f>SUM(N78:AB78)</f>
        <v>1282199</v>
      </c>
      <c r="AE78" s="12">
        <f>SUM(N79:AB79)</f>
        <v>37124</v>
      </c>
      <c r="AF78" s="12">
        <f>SUM(N80:AB80)</f>
        <v>5150</v>
      </c>
      <c r="AG78" s="2"/>
      <c r="AH78" s="12">
        <f>AD78-B78</f>
        <v>0</v>
      </c>
      <c r="AI78" s="12">
        <f>AE78-C78</f>
        <v>0</v>
      </c>
      <c r="AJ78" s="12">
        <f>AF78-D78</f>
        <v>-20512</v>
      </c>
      <c r="AL78" s="47">
        <f>C78/B78*1000</f>
        <v>28.953383991096544</v>
      </c>
      <c r="AM78" s="47">
        <f>D78/B78*1000</f>
        <v>20.014053980700343</v>
      </c>
      <c r="AO78" s="47">
        <f>AL78-K78</f>
        <v>5.3383991096545458E-2</v>
      </c>
      <c r="AP78" s="47">
        <f>AM78-L78</f>
        <v>1.4053980700342805E-2</v>
      </c>
      <c r="AR78" s="12">
        <f t="shared" ref="AR78" si="70">H78</f>
        <v>1244615</v>
      </c>
      <c r="AS78" s="12">
        <f t="shared" ref="AS78" si="71">I78</f>
        <v>36676</v>
      </c>
      <c r="AT78" s="12">
        <f t="shared" ref="AT78" si="72">J78</f>
        <v>26309</v>
      </c>
    </row>
    <row r="79" spans="1:50" x14ac:dyDescent="0.55000000000000004">
      <c r="A79" s="10" t="s">
        <v>82</v>
      </c>
      <c r="B79" s="8"/>
      <c r="C79" s="8"/>
      <c r="D79" s="8"/>
      <c r="E79" s="8"/>
      <c r="F79" s="8"/>
      <c r="G79" s="8"/>
      <c r="H79" s="8"/>
      <c r="I79" s="8"/>
      <c r="J79" s="8"/>
      <c r="K79" s="37"/>
      <c r="L79" s="37"/>
      <c r="M79" s="9"/>
      <c r="N79" s="8">
        <v>9989</v>
      </c>
      <c r="O79" s="8">
        <v>3731</v>
      </c>
      <c r="P79" s="8">
        <v>3038</v>
      </c>
      <c r="Q79" s="8">
        <v>3386</v>
      </c>
      <c r="R79" s="8">
        <v>3595</v>
      </c>
      <c r="S79" s="8">
        <v>5760</v>
      </c>
      <c r="T79" s="8">
        <v>2974</v>
      </c>
      <c r="U79" s="8">
        <v>2791</v>
      </c>
      <c r="V79" s="8">
        <v>1860</v>
      </c>
      <c r="W79" s="8"/>
      <c r="X79" s="8"/>
      <c r="Y79" s="8"/>
      <c r="Z79" s="8"/>
      <c r="AA79" s="2"/>
      <c r="AB79" s="8"/>
      <c r="AC79" s="2"/>
      <c r="AD79" s="2"/>
      <c r="AE79" s="2"/>
      <c r="AF79" s="2"/>
      <c r="AG79" s="2"/>
      <c r="AH79" s="2"/>
      <c r="AI79" s="2"/>
      <c r="AJ79" s="2"/>
    </row>
    <row r="80" spans="1:50" x14ac:dyDescent="0.55000000000000004">
      <c r="A80" s="10" t="s">
        <v>83</v>
      </c>
      <c r="B80" s="8"/>
      <c r="C80" s="8"/>
      <c r="D80" s="8"/>
      <c r="E80" s="8"/>
      <c r="F80" s="8"/>
      <c r="G80" s="8"/>
      <c r="H80" s="8"/>
      <c r="I80" s="8"/>
      <c r="J80" s="8"/>
      <c r="K80" s="37"/>
      <c r="L80" s="37"/>
      <c r="M80" s="9"/>
      <c r="N80" s="8">
        <v>2473</v>
      </c>
      <c r="O80" s="8">
        <v>287</v>
      </c>
      <c r="P80" s="8">
        <v>523</v>
      </c>
      <c r="Q80" s="8">
        <v>138</v>
      </c>
      <c r="R80" s="8">
        <v>585</v>
      </c>
      <c r="S80" s="8">
        <v>680</v>
      </c>
      <c r="T80" s="8">
        <v>98</v>
      </c>
      <c r="U80" s="8">
        <v>334</v>
      </c>
      <c r="V80" s="8">
        <v>32</v>
      </c>
      <c r="W80" s="8"/>
      <c r="X80" s="8"/>
      <c r="Y80" s="8"/>
      <c r="Z80" s="8"/>
      <c r="AA80" s="2"/>
      <c r="AB80" s="8"/>
      <c r="AC80" s="2"/>
      <c r="AD80" s="2"/>
      <c r="AE80" s="2"/>
      <c r="AF80" s="2"/>
      <c r="AG80" s="2"/>
      <c r="AH80" s="2"/>
      <c r="AI80" s="2"/>
      <c r="AJ80" s="2"/>
    </row>
    <row r="81" spans="1:50" x14ac:dyDescent="0.55000000000000004">
      <c r="A81" s="16" t="s">
        <v>84</v>
      </c>
      <c r="B81" s="15">
        <v>408563</v>
      </c>
      <c r="C81" s="15">
        <v>11983</v>
      </c>
      <c r="D81" s="15">
        <v>8122</v>
      </c>
      <c r="E81" s="15">
        <v>61421</v>
      </c>
      <c r="F81" s="15">
        <v>1847</v>
      </c>
      <c r="G81" s="15">
        <v>1511</v>
      </c>
      <c r="H81" s="15">
        <v>398579</v>
      </c>
      <c r="I81" s="15">
        <v>11857</v>
      </c>
      <c r="J81" s="15">
        <v>8258</v>
      </c>
      <c r="K81" s="36">
        <v>29.3</v>
      </c>
      <c r="L81" s="36">
        <v>19.899999999999999</v>
      </c>
      <c r="M81" s="9"/>
      <c r="N81" s="15">
        <v>148051</v>
      </c>
      <c r="O81" s="15">
        <v>121510</v>
      </c>
      <c r="P81" s="15">
        <v>54165</v>
      </c>
      <c r="Q81" s="15">
        <v>84873</v>
      </c>
      <c r="R81" s="15"/>
      <c r="S81" s="15"/>
      <c r="T81" s="15"/>
      <c r="U81" s="15"/>
      <c r="V81" s="15"/>
      <c r="W81" s="15"/>
      <c r="X81" s="15"/>
      <c r="Y81" s="15"/>
      <c r="Z81" s="15"/>
      <c r="AA81" s="12"/>
      <c r="AB81" s="15"/>
      <c r="AC81" s="2"/>
      <c r="AD81" s="12">
        <f>SUM(N81:AB81)</f>
        <v>408599</v>
      </c>
      <c r="AE81" s="12">
        <f>SUM(N82:AB82)</f>
        <v>11983</v>
      </c>
      <c r="AF81" s="12">
        <f>SUM(N83:AB83)</f>
        <v>8122</v>
      </c>
      <c r="AG81" s="2"/>
      <c r="AH81" s="12">
        <f>AD81-B81</f>
        <v>36</v>
      </c>
      <c r="AI81" s="12">
        <f>AE81-C81</f>
        <v>0</v>
      </c>
      <c r="AJ81" s="12">
        <f>AF81-D81</f>
        <v>0</v>
      </c>
    </row>
    <row r="82" spans="1:50" x14ac:dyDescent="0.55000000000000004">
      <c r="A82" s="10" t="s">
        <v>85</v>
      </c>
      <c r="B82" s="8"/>
      <c r="C82" s="8"/>
      <c r="D82" s="8"/>
      <c r="E82" s="8"/>
      <c r="F82" s="8"/>
      <c r="G82" s="8"/>
      <c r="H82" s="8"/>
      <c r="I82" s="8"/>
      <c r="J82" s="8"/>
      <c r="K82" s="37"/>
      <c r="L82" s="37"/>
      <c r="M82" s="9"/>
      <c r="N82" s="8">
        <v>4268</v>
      </c>
      <c r="O82" s="8">
        <v>3810</v>
      </c>
      <c r="P82" s="8">
        <v>1521</v>
      </c>
      <c r="Q82" s="8">
        <v>2384</v>
      </c>
      <c r="R82" s="8"/>
      <c r="S82" s="8"/>
      <c r="T82" s="8"/>
      <c r="U82" s="8"/>
      <c r="V82" s="8"/>
      <c r="W82" s="8"/>
      <c r="X82" s="8"/>
      <c r="Y82" s="8"/>
      <c r="Z82" s="8"/>
      <c r="AA82" s="2"/>
      <c r="AB82" s="8"/>
      <c r="AC82" s="2"/>
      <c r="AD82" s="2"/>
      <c r="AE82" s="2"/>
      <c r="AF82" s="2"/>
      <c r="AG82" s="2"/>
      <c r="AH82" s="2"/>
      <c r="AI82" s="2"/>
      <c r="AJ82" s="2"/>
    </row>
    <row r="83" spans="1:50" x14ac:dyDescent="0.55000000000000004">
      <c r="A83" s="10" t="s">
        <v>86</v>
      </c>
      <c r="B83" s="8"/>
      <c r="C83" s="8"/>
      <c r="D83" s="8"/>
      <c r="E83" s="8"/>
      <c r="F83" s="8"/>
      <c r="G83" s="8"/>
      <c r="H83" s="8"/>
      <c r="I83" s="8"/>
      <c r="J83" s="8"/>
      <c r="K83" s="37"/>
      <c r="L83" s="37"/>
      <c r="M83" s="9"/>
      <c r="N83" s="8">
        <v>3156</v>
      </c>
      <c r="O83" s="8">
        <v>2467</v>
      </c>
      <c r="P83" s="8">
        <v>1011</v>
      </c>
      <c r="Q83" s="8">
        <v>1488</v>
      </c>
      <c r="R83" s="8"/>
      <c r="S83" s="8"/>
      <c r="T83" s="8"/>
      <c r="U83" s="8"/>
      <c r="V83" s="8"/>
      <c r="W83" s="8"/>
      <c r="X83" s="8"/>
      <c r="Y83" s="8"/>
      <c r="Z83" s="8"/>
      <c r="AA83" s="2"/>
      <c r="AB83" s="8"/>
      <c r="AC83" s="2"/>
      <c r="AD83" s="2"/>
      <c r="AE83" s="2"/>
      <c r="AF83" s="2"/>
      <c r="AG83" s="2"/>
      <c r="AH83" s="2"/>
      <c r="AI83" s="2"/>
      <c r="AJ83" s="2"/>
    </row>
    <row r="84" spans="1:50" x14ac:dyDescent="0.55000000000000004">
      <c r="A84" s="44" t="s">
        <v>87</v>
      </c>
      <c r="B84" s="22">
        <v>2410662</v>
      </c>
      <c r="C84" s="22">
        <v>68254</v>
      </c>
      <c r="D84" s="22">
        <v>45992</v>
      </c>
      <c r="E84" s="22"/>
      <c r="F84" s="22"/>
      <c r="G84" s="22"/>
      <c r="H84" s="22">
        <v>2338982</v>
      </c>
      <c r="I84" s="22">
        <v>67720</v>
      </c>
      <c r="J84" s="22">
        <v>46749</v>
      </c>
      <c r="K84" s="38">
        <v>28.3</v>
      </c>
      <c r="L84" s="38">
        <v>19.100000000000001</v>
      </c>
      <c r="M84" s="9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3"/>
      <c r="AB84" s="22"/>
      <c r="AC84" s="2"/>
      <c r="AD84" s="23">
        <f>SUM(AD75:AD83)</f>
        <v>2402698</v>
      </c>
      <c r="AE84" s="23">
        <f>SUM(AE75:AE83)</f>
        <v>68286</v>
      </c>
      <c r="AF84" s="23">
        <f>SUM(AF75:AF83)</f>
        <v>25454</v>
      </c>
      <c r="AG84" s="23"/>
      <c r="AH84" s="23">
        <f t="shared" ref="AH84:AJ85" si="73">AD84-B84</f>
        <v>-7964</v>
      </c>
      <c r="AI84" s="23">
        <f t="shared" si="73"/>
        <v>32</v>
      </c>
      <c r="AJ84" s="23">
        <f t="shared" si="73"/>
        <v>-20538</v>
      </c>
      <c r="AL84" s="49">
        <f>C84/B84*1000</f>
        <v>28.313384456219911</v>
      </c>
      <c r="AM84" s="49">
        <f>D84/B84*1000</f>
        <v>19.078576756094385</v>
      </c>
      <c r="AN84" s="48"/>
      <c r="AO84" s="49">
        <f>AL84-K84</f>
        <v>1.3384456219910135E-2</v>
      </c>
      <c r="AP84" s="49">
        <f>AM84-L84</f>
        <v>-2.1423243905616118E-2</v>
      </c>
      <c r="AR84" s="23">
        <f t="shared" ref="AR84:AT84" si="74">SUM(AR75:AR83)</f>
        <v>1939193</v>
      </c>
      <c r="AS84" s="23">
        <f t="shared" si="74"/>
        <v>55863</v>
      </c>
      <c r="AT84" s="23">
        <f t="shared" si="74"/>
        <v>38492</v>
      </c>
      <c r="AV84" s="23">
        <f>H84-AR84</f>
        <v>399789</v>
      </c>
      <c r="AW84" s="23">
        <f>I84-AS84</f>
        <v>11857</v>
      </c>
      <c r="AX84" s="23">
        <f>J84-AT84</f>
        <v>8257</v>
      </c>
    </row>
    <row r="85" spans="1:50" x14ac:dyDescent="0.55000000000000004">
      <c r="A85" s="16" t="s">
        <v>88</v>
      </c>
      <c r="B85" s="15">
        <v>1606309</v>
      </c>
      <c r="C85" s="15">
        <v>79325</v>
      </c>
      <c r="D85" s="15">
        <v>52782</v>
      </c>
      <c r="E85" s="15">
        <v>276474</v>
      </c>
      <c r="F85" s="15">
        <v>8938</v>
      </c>
      <c r="G85" s="15">
        <v>6379</v>
      </c>
      <c r="H85" s="15">
        <v>1562466</v>
      </c>
      <c r="I85" s="15">
        <v>73850</v>
      </c>
      <c r="J85" s="15">
        <v>44683</v>
      </c>
      <c r="K85" s="36">
        <v>49.4</v>
      </c>
      <c r="L85" s="36">
        <v>32.799999999999997</v>
      </c>
      <c r="M85" s="9"/>
      <c r="N85" s="15">
        <v>258185</v>
      </c>
      <c r="O85" s="15">
        <v>276569</v>
      </c>
      <c r="P85" s="15">
        <v>163711</v>
      </c>
      <c r="Q85" s="15">
        <v>185350</v>
      </c>
      <c r="R85" s="15">
        <v>165527</v>
      </c>
      <c r="S85" s="15">
        <v>174979</v>
      </c>
      <c r="T85" s="15">
        <v>202354</v>
      </c>
      <c r="U85" s="15">
        <v>153091</v>
      </c>
      <c r="V85" s="15"/>
      <c r="W85" s="15"/>
      <c r="X85" s="15"/>
      <c r="Y85" s="15"/>
      <c r="Z85" s="15"/>
      <c r="AA85" s="12"/>
      <c r="AB85" s="15"/>
      <c r="AC85" s="2"/>
      <c r="AD85" s="12">
        <f>SUM(N85:AB85)</f>
        <v>1579766</v>
      </c>
      <c r="AE85" s="12">
        <f>SUM(N86:AB86)</f>
        <v>79325</v>
      </c>
      <c r="AF85" s="12">
        <f>SUM(N87:AB87)</f>
        <v>52782</v>
      </c>
      <c r="AG85" s="2"/>
      <c r="AH85" s="12">
        <f t="shared" si="73"/>
        <v>-26543</v>
      </c>
      <c r="AI85" s="12">
        <f t="shared" si="73"/>
        <v>0</v>
      </c>
      <c r="AJ85" s="12">
        <f t="shared" si="73"/>
        <v>0</v>
      </c>
      <c r="AL85" s="47">
        <f>C85/B85*1000</f>
        <v>49.383400080557351</v>
      </c>
      <c r="AM85" s="47">
        <f>D85/B85*1000</f>
        <v>32.859182137434331</v>
      </c>
      <c r="AO85" s="47">
        <f>AL85-K85</f>
        <v>-1.6599919442647604E-2</v>
      </c>
      <c r="AP85" s="47">
        <f>AM85-L85</f>
        <v>5.9182137434333981E-2</v>
      </c>
      <c r="AR85" s="12">
        <f t="shared" ref="AR85" si="75">H85</f>
        <v>1562466</v>
      </c>
      <c r="AS85" s="12">
        <f t="shared" ref="AS85" si="76">I85</f>
        <v>73850</v>
      </c>
      <c r="AT85" s="12">
        <f t="shared" ref="AT85" si="77">J85</f>
        <v>44683</v>
      </c>
    </row>
    <row r="86" spans="1:50" x14ac:dyDescent="0.55000000000000004">
      <c r="A86" s="10" t="s">
        <v>89</v>
      </c>
      <c r="B86" s="8"/>
      <c r="C86" s="8"/>
      <c r="D86" s="8"/>
      <c r="E86" s="8"/>
      <c r="F86" s="8"/>
      <c r="G86" s="8"/>
      <c r="H86" s="8"/>
      <c r="I86" s="8"/>
      <c r="J86" s="8"/>
      <c r="K86" s="37"/>
      <c r="L86" s="37"/>
      <c r="M86" s="9"/>
      <c r="N86" s="8">
        <v>11837</v>
      </c>
      <c r="O86" s="8">
        <v>12575</v>
      </c>
      <c r="P86" s="8">
        <v>7691</v>
      </c>
      <c r="Q86" s="8">
        <v>9371</v>
      </c>
      <c r="R86" s="8">
        <v>8346</v>
      </c>
      <c r="S86" s="8">
        <v>8444</v>
      </c>
      <c r="T86" s="8">
        <v>12793</v>
      </c>
      <c r="U86" s="8">
        <v>8268</v>
      </c>
      <c r="V86" s="8"/>
      <c r="W86" s="8"/>
      <c r="X86" s="8"/>
      <c r="Y86" s="8"/>
      <c r="Z86" s="8"/>
      <c r="AA86" s="2"/>
      <c r="AB86" s="8"/>
      <c r="AC86" s="2"/>
      <c r="AD86" s="2"/>
      <c r="AE86" s="2"/>
      <c r="AF86" s="2"/>
      <c r="AG86" s="2"/>
      <c r="AH86" s="2"/>
      <c r="AI86" s="2"/>
      <c r="AJ86" s="2"/>
    </row>
    <row r="87" spans="1:50" x14ac:dyDescent="0.55000000000000004">
      <c r="A87" s="10" t="s">
        <v>90</v>
      </c>
      <c r="B87" s="8"/>
      <c r="C87" s="8"/>
      <c r="D87" s="8"/>
      <c r="E87" s="8"/>
      <c r="F87" s="8"/>
      <c r="G87" s="8"/>
      <c r="H87" s="8"/>
      <c r="I87" s="8"/>
      <c r="J87" s="8"/>
      <c r="K87" s="37"/>
      <c r="L87" s="37"/>
      <c r="M87" s="9"/>
      <c r="N87" s="8">
        <v>8546</v>
      </c>
      <c r="O87" s="8">
        <v>6652</v>
      </c>
      <c r="P87" s="8">
        <v>4867</v>
      </c>
      <c r="Q87" s="8">
        <v>5795</v>
      </c>
      <c r="R87" s="8">
        <v>6008</v>
      </c>
      <c r="S87" s="8">
        <v>5199</v>
      </c>
      <c r="T87" s="8">
        <v>8880</v>
      </c>
      <c r="U87" s="8">
        <v>6835</v>
      </c>
      <c r="V87" s="8"/>
      <c r="W87" s="8"/>
      <c r="X87" s="8"/>
      <c r="Y87" s="8"/>
      <c r="Z87" s="8"/>
      <c r="AA87" s="2"/>
      <c r="AB87" s="8"/>
      <c r="AC87" s="2"/>
      <c r="AD87" s="2"/>
      <c r="AE87" s="2"/>
      <c r="AF87" s="2"/>
      <c r="AG87" s="2"/>
      <c r="AH87" s="2"/>
      <c r="AI87" s="2"/>
      <c r="AJ87" s="2"/>
    </row>
    <row r="88" spans="1:50" x14ac:dyDescent="0.55000000000000004">
      <c r="A88" s="16" t="s">
        <v>91</v>
      </c>
      <c r="B88" s="15">
        <v>1525100</v>
      </c>
      <c r="C88" s="15">
        <v>77940</v>
      </c>
      <c r="D88" s="15">
        <v>58306</v>
      </c>
      <c r="E88" s="15">
        <v>108894</v>
      </c>
      <c r="F88" s="15">
        <v>5343</v>
      </c>
      <c r="G88" s="15">
        <v>4928</v>
      </c>
      <c r="H88" s="15">
        <v>1459030</v>
      </c>
      <c r="I88" s="15">
        <v>76619</v>
      </c>
      <c r="J88" s="15">
        <v>60082</v>
      </c>
      <c r="K88" s="36">
        <v>51.1</v>
      </c>
      <c r="L88" s="36">
        <v>38.200000000000003</v>
      </c>
      <c r="M88" s="9"/>
      <c r="N88" s="15">
        <v>165742</v>
      </c>
      <c r="O88" s="15">
        <v>103591</v>
      </c>
      <c r="P88" s="15">
        <v>91642</v>
      </c>
      <c r="Q88" s="15">
        <v>107880</v>
      </c>
      <c r="R88" s="15">
        <v>121603</v>
      </c>
      <c r="S88" s="15">
        <v>135762</v>
      </c>
      <c r="T88" s="15">
        <v>120548</v>
      </c>
      <c r="U88" s="15">
        <v>94256</v>
      </c>
      <c r="V88" s="15">
        <v>118014</v>
      </c>
      <c r="W88" s="15">
        <v>88665</v>
      </c>
      <c r="X88" s="15">
        <v>116836</v>
      </c>
      <c r="Y88" s="15">
        <v>127810</v>
      </c>
      <c r="Z88" s="15">
        <v>107686</v>
      </c>
      <c r="AA88" s="58">
        <v>25065</v>
      </c>
      <c r="AB88" s="15"/>
      <c r="AC88" s="2"/>
      <c r="AD88" s="12">
        <f>SUM(N88:AB88)</f>
        <v>1525100</v>
      </c>
      <c r="AE88" s="12">
        <f>SUM(N89:AB89)</f>
        <v>77940</v>
      </c>
      <c r="AF88" s="12">
        <f>SUM(N90:AB90)</f>
        <v>58306</v>
      </c>
      <c r="AG88" s="2"/>
      <c r="AH88" s="12">
        <f>AD88-B88</f>
        <v>0</v>
      </c>
      <c r="AI88" s="12">
        <f>AE88-C88</f>
        <v>0</v>
      </c>
      <c r="AJ88" s="12">
        <f>AF88-D88</f>
        <v>0</v>
      </c>
      <c r="AL88" s="47">
        <f>C88/B88*1000</f>
        <v>51.104845583896136</v>
      </c>
      <c r="AM88" s="47">
        <f>D88/B88*1000</f>
        <v>38.230935676349091</v>
      </c>
      <c r="AO88" s="47">
        <f>AL88-K88</f>
        <v>4.8455838961345421E-3</v>
      </c>
      <c r="AP88" s="47">
        <f>AM88-L88</f>
        <v>3.0935676349088226E-2</v>
      </c>
      <c r="AR88" s="12">
        <f t="shared" ref="AR88" si="78">H88</f>
        <v>1459030</v>
      </c>
      <c r="AS88" s="12">
        <f t="shared" ref="AS88" si="79">I88</f>
        <v>76619</v>
      </c>
      <c r="AT88" s="12">
        <f t="shared" ref="AT88" si="80">J88</f>
        <v>60082</v>
      </c>
    </row>
    <row r="89" spans="1:50" x14ac:dyDescent="0.55000000000000004">
      <c r="A89" s="10" t="s">
        <v>92</v>
      </c>
      <c r="B89" s="8"/>
      <c r="C89" s="8"/>
      <c r="D89" s="8"/>
      <c r="E89" s="8"/>
      <c r="F89" s="8"/>
      <c r="G89" s="8"/>
      <c r="H89" s="8"/>
      <c r="I89" s="8"/>
      <c r="J89" s="8"/>
      <c r="K89" s="37"/>
      <c r="L89" s="37"/>
      <c r="M89" s="9"/>
      <c r="N89" s="8">
        <v>7913</v>
      </c>
      <c r="O89" s="8">
        <v>5743</v>
      </c>
      <c r="P89" s="8">
        <v>4524</v>
      </c>
      <c r="Q89" s="8">
        <v>4460</v>
      </c>
      <c r="R89" s="8">
        <v>5810</v>
      </c>
      <c r="S89" s="8">
        <v>7815</v>
      </c>
      <c r="T89" s="8">
        <v>6827</v>
      </c>
      <c r="U89" s="8">
        <v>5457</v>
      </c>
      <c r="V89" s="8">
        <v>7386</v>
      </c>
      <c r="W89" s="8">
        <v>2729</v>
      </c>
      <c r="X89" s="8">
        <v>6218</v>
      </c>
      <c r="Y89" s="8">
        <v>5311</v>
      </c>
      <c r="Z89" s="8">
        <v>5718</v>
      </c>
      <c r="AA89" s="58">
        <v>2029</v>
      </c>
      <c r="AB89" s="8"/>
      <c r="AC89" s="2"/>
      <c r="AD89" s="2"/>
      <c r="AE89" s="2"/>
      <c r="AF89" s="2"/>
      <c r="AG89" s="2"/>
      <c r="AH89" s="2"/>
      <c r="AI89" s="2"/>
      <c r="AJ89" s="2"/>
    </row>
    <row r="90" spans="1:50" x14ac:dyDescent="0.55000000000000004">
      <c r="A90" s="10" t="s">
        <v>93</v>
      </c>
      <c r="B90" s="8"/>
      <c r="C90" s="8"/>
      <c r="D90" s="8"/>
      <c r="E90" s="8"/>
      <c r="F90" s="8"/>
      <c r="G90" s="8"/>
      <c r="H90" s="8"/>
      <c r="I90" s="8"/>
      <c r="J90" s="8"/>
      <c r="K90" s="37"/>
      <c r="L90" s="37"/>
      <c r="M90" s="9"/>
      <c r="N90" s="8">
        <v>5775</v>
      </c>
      <c r="O90" s="8">
        <v>4213</v>
      </c>
      <c r="P90" s="8">
        <v>3105</v>
      </c>
      <c r="Q90" s="8">
        <v>3509</v>
      </c>
      <c r="R90" s="8">
        <v>4430</v>
      </c>
      <c r="S90" s="8">
        <v>5279</v>
      </c>
      <c r="T90" s="8">
        <v>4735</v>
      </c>
      <c r="U90" s="8">
        <v>4001</v>
      </c>
      <c r="V90" s="8">
        <v>6300</v>
      </c>
      <c r="W90" s="8">
        <v>1925</v>
      </c>
      <c r="X90" s="8">
        <v>4423</v>
      </c>
      <c r="Y90" s="8">
        <v>4349</v>
      </c>
      <c r="Z90" s="8">
        <v>4449</v>
      </c>
      <c r="AA90" s="58">
        <v>1813</v>
      </c>
      <c r="AB90" s="8"/>
      <c r="AC90" s="2"/>
      <c r="AD90" s="2"/>
      <c r="AE90" s="2"/>
      <c r="AF90" s="2"/>
      <c r="AG90" s="2"/>
      <c r="AH90" s="2"/>
      <c r="AI90" s="2"/>
      <c r="AJ90" s="2"/>
    </row>
    <row r="91" spans="1:50" x14ac:dyDescent="0.55000000000000004">
      <c r="A91" s="16" t="s">
        <v>94</v>
      </c>
      <c r="B91" s="15">
        <v>1306858</v>
      </c>
      <c r="C91" s="15">
        <v>61622</v>
      </c>
      <c r="D91" s="15">
        <v>37660</v>
      </c>
      <c r="E91" s="15"/>
      <c r="F91" s="15"/>
      <c r="G91" s="15"/>
      <c r="H91" s="15">
        <v>1264931</v>
      </c>
      <c r="I91" s="15">
        <v>55506</v>
      </c>
      <c r="J91" s="15">
        <v>40347</v>
      </c>
      <c r="K91" s="36">
        <v>47.1</v>
      </c>
      <c r="L91" s="36">
        <v>28.8</v>
      </c>
      <c r="M91" s="9"/>
      <c r="N91" s="15">
        <v>164795</v>
      </c>
      <c r="O91" s="15">
        <v>104735</v>
      </c>
      <c r="P91" s="15">
        <v>105693</v>
      </c>
      <c r="Q91" s="15">
        <v>184325</v>
      </c>
      <c r="R91" s="15">
        <v>186872</v>
      </c>
      <c r="S91" s="15">
        <v>121382</v>
      </c>
      <c r="T91" s="15">
        <v>149918</v>
      </c>
      <c r="U91" s="15">
        <v>102214</v>
      </c>
      <c r="V91" s="15">
        <v>137822</v>
      </c>
      <c r="W91" s="15">
        <v>49102</v>
      </c>
      <c r="X91" s="15"/>
      <c r="Y91" s="15"/>
      <c r="Z91" s="15"/>
      <c r="AA91" s="12"/>
      <c r="AB91" s="15"/>
      <c r="AC91" s="2"/>
      <c r="AD91" s="12">
        <f>SUM(N91:AB91)</f>
        <v>1306858</v>
      </c>
      <c r="AE91" s="12">
        <f>SUM(N92:AB92)</f>
        <v>61622</v>
      </c>
      <c r="AF91" s="12">
        <f>SUM(N93:AB93)</f>
        <v>37660</v>
      </c>
      <c r="AG91" s="2"/>
      <c r="AH91" s="12">
        <f>AD91-B91</f>
        <v>0</v>
      </c>
      <c r="AI91" s="12">
        <f>AE91-C91</f>
        <v>0</v>
      </c>
      <c r="AJ91" s="12">
        <f>AF91-D91</f>
        <v>0</v>
      </c>
      <c r="AL91" s="47">
        <f>C91/B91*1000</f>
        <v>47.152789361965873</v>
      </c>
      <c r="AM91" s="47">
        <f>D91/B91*1000</f>
        <v>28.817208908695513</v>
      </c>
      <c r="AO91" s="47">
        <f>AL91-K91</f>
        <v>5.2789361965871251E-2</v>
      </c>
      <c r="AP91" s="47">
        <f>AM91-L91</f>
        <v>1.7208908695511838E-2</v>
      </c>
      <c r="AR91" s="12">
        <f t="shared" ref="AR91" si="81">H91</f>
        <v>1264931</v>
      </c>
      <c r="AS91" s="12">
        <f t="shared" ref="AS91" si="82">I91</f>
        <v>55506</v>
      </c>
      <c r="AT91" s="12">
        <f t="shared" ref="AT91" si="83">J91</f>
        <v>40347</v>
      </c>
    </row>
    <row r="92" spans="1:50" x14ac:dyDescent="0.55000000000000004">
      <c r="A92" s="10" t="s">
        <v>95</v>
      </c>
      <c r="B92" s="8"/>
      <c r="C92" s="8"/>
      <c r="D92" s="8"/>
      <c r="E92" s="8"/>
      <c r="F92" s="8"/>
      <c r="G92" s="8"/>
      <c r="H92" s="8"/>
      <c r="I92" s="8"/>
      <c r="J92" s="8"/>
      <c r="K92" s="37"/>
      <c r="L92" s="37"/>
      <c r="M92" s="9"/>
      <c r="N92" s="8">
        <v>6587</v>
      </c>
      <c r="O92" s="8">
        <v>4753</v>
      </c>
      <c r="P92" s="8">
        <v>4994</v>
      </c>
      <c r="Q92" s="8">
        <v>8575</v>
      </c>
      <c r="R92" s="8">
        <v>10106</v>
      </c>
      <c r="S92" s="8">
        <v>5733</v>
      </c>
      <c r="T92" s="8">
        <v>7341</v>
      </c>
      <c r="U92" s="8">
        <v>4457</v>
      </c>
      <c r="V92" s="8">
        <v>6795</v>
      </c>
      <c r="W92" s="8">
        <v>2281</v>
      </c>
      <c r="X92" s="8"/>
      <c r="Y92" s="8"/>
      <c r="Z92" s="8"/>
      <c r="AA92" s="2"/>
      <c r="AB92" s="8"/>
      <c r="AC92" s="2"/>
      <c r="AD92" s="2"/>
      <c r="AE92" s="2"/>
      <c r="AF92" s="2"/>
      <c r="AG92" s="2"/>
      <c r="AH92" s="2"/>
      <c r="AI92" s="2"/>
      <c r="AJ92" s="2"/>
    </row>
    <row r="93" spans="1:50" x14ac:dyDescent="0.55000000000000004">
      <c r="A93" s="10" t="s">
        <v>96</v>
      </c>
      <c r="B93" s="8"/>
      <c r="C93" s="8"/>
      <c r="D93" s="8"/>
      <c r="E93" s="8"/>
      <c r="F93" s="8"/>
      <c r="G93" s="8"/>
      <c r="H93" s="8"/>
      <c r="I93" s="8"/>
      <c r="J93" s="8"/>
      <c r="K93" s="37"/>
      <c r="L93" s="37"/>
      <c r="M93" s="9"/>
      <c r="N93" s="8">
        <v>5331</v>
      </c>
      <c r="O93" s="8">
        <v>2436</v>
      </c>
      <c r="P93" s="8">
        <v>3270</v>
      </c>
      <c r="Q93" s="8">
        <v>5939</v>
      </c>
      <c r="R93" s="8">
        <v>5172</v>
      </c>
      <c r="S93" s="8">
        <v>3502</v>
      </c>
      <c r="T93" s="8">
        <v>4485</v>
      </c>
      <c r="U93" s="8">
        <v>2397</v>
      </c>
      <c r="V93" s="8">
        <v>3966</v>
      </c>
      <c r="W93" s="8">
        <v>1162</v>
      </c>
      <c r="X93" s="8"/>
      <c r="Y93" s="8"/>
      <c r="Z93" s="8"/>
      <c r="AA93" s="2"/>
      <c r="AB93" s="8"/>
      <c r="AC93" s="2"/>
      <c r="AD93" s="2"/>
      <c r="AE93" s="2"/>
      <c r="AF93" s="2"/>
      <c r="AG93" s="2"/>
      <c r="AH93" s="2"/>
      <c r="AI93" s="2"/>
      <c r="AJ93" s="2"/>
    </row>
    <row r="94" spans="1:50" x14ac:dyDescent="0.55000000000000004">
      <c r="A94" s="16" t="s">
        <v>97</v>
      </c>
      <c r="B94" s="15">
        <v>2712268</v>
      </c>
      <c r="C94" s="15">
        <v>149416</v>
      </c>
      <c r="D94" s="15">
        <v>118774</v>
      </c>
      <c r="E94" s="15">
        <v>106246</v>
      </c>
      <c r="F94" s="15">
        <v>4622</v>
      </c>
      <c r="G94" s="15">
        <v>4255</v>
      </c>
      <c r="H94" s="15">
        <v>2661904</v>
      </c>
      <c r="I94" s="15">
        <v>137850</v>
      </c>
      <c r="J94" s="15">
        <v>98935</v>
      </c>
      <c r="K94" s="36">
        <v>55.1</v>
      </c>
      <c r="L94" s="36">
        <v>43.1</v>
      </c>
      <c r="M94" s="9"/>
      <c r="N94" s="15">
        <v>251662</v>
      </c>
      <c r="O94" s="15">
        <v>264997</v>
      </c>
      <c r="P94" s="15">
        <v>282779</v>
      </c>
      <c r="Q94" s="15">
        <v>355178</v>
      </c>
      <c r="R94" s="15">
        <v>203656</v>
      </c>
      <c r="S94" s="15">
        <v>131562</v>
      </c>
      <c r="T94" s="15">
        <v>212087</v>
      </c>
      <c r="U94" s="15">
        <v>172993</v>
      </c>
      <c r="V94" s="15">
        <v>178573</v>
      </c>
      <c r="W94" s="59">
        <v>190198</v>
      </c>
      <c r="X94" s="15">
        <v>280961</v>
      </c>
      <c r="Y94" s="15">
        <v>187622</v>
      </c>
      <c r="Z94" s="15"/>
      <c r="AA94" s="12"/>
      <c r="AB94" s="15"/>
      <c r="AC94" s="2"/>
      <c r="AD94" s="12">
        <f>SUM(N94:AB94)</f>
        <v>2712268</v>
      </c>
      <c r="AE94" s="12">
        <f>SUM(N95:AB95)</f>
        <v>149415</v>
      </c>
      <c r="AF94" s="12">
        <f>SUM(N96:AB96)</f>
        <v>118774</v>
      </c>
      <c r="AG94" s="2"/>
      <c r="AH94" s="12">
        <f>AD94-B94</f>
        <v>0</v>
      </c>
      <c r="AI94" s="12">
        <f>AE94-C94</f>
        <v>-1</v>
      </c>
      <c r="AJ94" s="12">
        <f>AF94-D94</f>
        <v>0</v>
      </c>
      <c r="AL94" s="47">
        <f>C94/B94*1000</f>
        <v>55.08895138680986</v>
      </c>
      <c r="AM94" s="47">
        <f>D94/B94*1000</f>
        <v>43.791395245602573</v>
      </c>
      <c r="AO94" s="47">
        <f>AL94-K94</f>
        <v>-1.1048613190141054E-2</v>
      </c>
      <c r="AP94" s="47">
        <f>AM94-L94</f>
        <v>0.69139524560257115</v>
      </c>
      <c r="AR94" s="12">
        <f t="shared" ref="AR94" si="84">H94</f>
        <v>2661904</v>
      </c>
      <c r="AS94" s="12">
        <f t="shared" ref="AS94" si="85">I94</f>
        <v>137850</v>
      </c>
      <c r="AT94" s="12">
        <f t="shared" ref="AT94" si="86">J94</f>
        <v>98935</v>
      </c>
    </row>
    <row r="95" spans="1:50" x14ac:dyDescent="0.55000000000000004">
      <c r="A95" s="10" t="s">
        <v>98</v>
      </c>
      <c r="B95" s="8"/>
      <c r="C95" s="8"/>
      <c r="D95" s="8"/>
      <c r="E95" s="8"/>
      <c r="F95" s="8"/>
      <c r="G95" s="8"/>
      <c r="H95" s="8"/>
      <c r="I95" s="8"/>
      <c r="J95" s="8"/>
      <c r="K95" s="37"/>
      <c r="L95" s="37"/>
      <c r="M95" s="9"/>
      <c r="N95" s="8">
        <v>14263</v>
      </c>
      <c r="O95" s="8">
        <v>12725</v>
      </c>
      <c r="P95" s="8">
        <v>17313</v>
      </c>
      <c r="Q95" s="8">
        <v>19224</v>
      </c>
      <c r="R95" s="8">
        <v>10896</v>
      </c>
      <c r="S95" s="8">
        <v>6707</v>
      </c>
      <c r="T95" s="8">
        <v>12046</v>
      </c>
      <c r="U95" s="8">
        <v>9118</v>
      </c>
      <c r="V95" s="8">
        <v>9545</v>
      </c>
      <c r="W95" s="8">
        <v>11316</v>
      </c>
      <c r="X95" s="8">
        <v>15884</v>
      </c>
      <c r="Y95" s="8">
        <v>10378</v>
      </c>
      <c r="Z95" s="8"/>
      <c r="AA95" s="2"/>
      <c r="AB95" s="8"/>
      <c r="AC95" s="2"/>
      <c r="AD95" s="2"/>
      <c r="AE95" s="2"/>
      <c r="AF95" s="2"/>
      <c r="AG95" s="2"/>
      <c r="AH95" s="2"/>
      <c r="AI95" s="2"/>
      <c r="AJ95" s="2"/>
    </row>
    <row r="96" spans="1:50" x14ac:dyDescent="0.55000000000000004">
      <c r="A96" s="10" t="s">
        <v>99</v>
      </c>
      <c r="B96" s="8"/>
      <c r="C96" s="8"/>
      <c r="D96" s="8"/>
      <c r="E96" s="8"/>
      <c r="F96" s="8"/>
      <c r="G96" s="8"/>
      <c r="H96" s="8"/>
      <c r="I96" s="8"/>
      <c r="J96" s="8"/>
      <c r="K96" s="37"/>
      <c r="L96" s="37"/>
      <c r="M96" s="9"/>
      <c r="N96" s="8">
        <v>11586</v>
      </c>
      <c r="O96" s="8">
        <v>8921</v>
      </c>
      <c r="P96" s="59">
        <v>13785</v>
      </c>
      <c r="Q96" s="8">
        <v>16040</v>
      </c>
      <c r="R96" s="8">
        <v>7961</v>
      </c>
      <c r="S96" s="8">
        <v>6266</v>
      </c>
      <c r="T96" s="8">
        <v>11026</v>
      </c>
      <c r="U96" s="8">
        <v>8087</v>
      </c>
      <c r="V96" s="8">
        <v>7958</v>
      </c>
      <c r="W96" s="8">
        <v>7213</v>
      </c>
      <c r="X96" s="8">
        <v>11938</v>
      </c>
      <c r="Y96" s="8">
        <v>7993</v>
      </c>
      <c r="Z96" s="8"/>
      <c r="AA96" s="2"/>
      <c r="AB96" s="8"/>
      <c r="AC96" s="2"/>
      <c r="AD96" s="2"/>
      <c r="AE96" s="2"/>
      <c r="AF96" s="2"/>
      <c r="AG96" s="2"/>
      <c r="AH96" s="2"/>
      <c r="AI96" s="2"/>
      <c r="AJ96" s="2"/>
    </row>
    <row r="97" spans="1:46" x14ac:dyDescent="0.55000000000000004">
      <c r="A97" s="16" t="s">
        <v>100</v>
      </c>
      <c r="B97" s="15">
        <v>3017038</v>
      </c>
      <c r="C97" s="15">
        <v>165490</v>
      </c>
      <c r="D97" s="15">
        <v>111953</v>
      </c>
      <c r="E97" s="15">
        <v>88494</v>
      </c>
      <c r="F97" s="15">
        <v>2581</v>
      </c>
      <c r="G97" s="15">
        <v>2451</v>
      </c>
      <c r="H97" s="15">
        <v>2958909</v>
      </c>
      <c r="I97" s="15">
        <v>153824</v>
      </c>
      <c r="J97" s="15">
        <v>120135</v>
      </c>
      <c r="K97" s="36">
        <v>54.8</v>
      </c>
      <c r="L97" s="36">
        <v>37.1</v>
      </c>
      <c r="M97" s="17"/>
      <c r="N97" s="15">
        <v>207935</v>
      </c>
      <c r="O97" s="15">
        <v>368176</v>
      </c>
      <c r="P97" s="15">
        <v>218577</v>
      </c>
      <c r="Q97" s="15">
        <v>281332</v>
      </c>
      <c r="R97" s="15">
        <v>267994</v>
      </c>
      <c r="S97" s="15">
        <v>220507</v>
      </c>
      <c r="T97" s="15">
        <v>220602</v>
      </c>
      <c r="U97" s="15">
        <v>367217</v>
      </c>
      <c r="V97" s="15">
        <v>210767</v>
      </c>
      <c r="W97" s="15">
        <v>288691</v>
      </c>
      <c r="X97" s="15">
        <v>365240</v>
      </c>
      <c r="Y97" s="15"/>
      <c r="Z97" s="15"/>
      <c r="AA97" s="12"/>
      <c r="AB97" s="15"/>
      <c r="AC97" s="2"/>
      <c r="AD97" s="12">
        <f>SUM(N97:AB97)</f>
        <v>3017038</v>
      </c>
      <c r="AE97" s="12">
        <f>SUM(N98:AB98)</f>
        <v>165490</v>
      </c>
      <c r="AF97" s="12">
        <f>SUM(N99:AB99)</f>
        <v>111953</v>
      </c>
      <c r="AG97" s="2"/>
      <c r="AH97" s="12">
        <f>AD97-B97</f>
        <v>0</v>
      </c>
      <c r="AI97" s="12">
        <f>AE97-C97</f>
        <v>0</v>
      </c>
      <c r="AJ97" s="12">
        <f>AF97-D97</f>
        <v>0</v>
      </c>
      <c r="AL97" s="47">
        <f>C97/B97*1000</f>
        <v>54.851811611255812</v>
      </c>
      <c r="AM97" s="47">
        <f>D97/B97*1000</f>
        <v>37.106924075865138</v>
      </c>
      <c r="AO97" s="47">
        <f>AL97-K97</f>
        <v>5.1811611255814682E-2</v>
      </c>
      <c r="AP97" s="47">
        <f>AM97-L97</f>
        <v>6.9240758651361034E-3</v>
      </c>
      <c r="AR97" s="12">
        <f t="shared" ref="AR97" si="87">H97</f>
        <v>2958909</v>
      </c>
      <c r="AS97" s="12">
        <f t="shared" ref="AS97" si="88">I97</f>
        <v>153824</v>
      </c>
      <c r="AT97" s="12">
        <f t="shared" ref="AT97" si="89">J97</f>
        <v>120135</v>
      </c>
    </row>
    <row r="98" spans="1:46" x14ac:dyDescent="0.55000000000000004">
      <c r="A98" s="10" t="s">
        <v>101</v>
      </c>
      <c r="B98" s="8"/>
      <c r="C98" s="8"/>
      <c r="D98" s="8"/>
      <c r="E98" s="8"/>
      <c r="F98" s="8"/>
      <c r="G98" s="8"/>
      <c r="H98" s="8"/>
      <c r="I98" s="8"/>
      <c r="J98" s="8"/>
      <c r="K98" s="37"/>
      <c r="L98" s="37"/>
      <c r="M98" s="9"/>
      <c r="N98" s="8">
        <v>10496</v>
      </c>
      <c r="O98" s="8">
        <v>20669</v>
      </c>
      <c r="P98" s="8">
        <v>12242</v>
      </c>
      <c r="Q98" s="8">
        <v>14725</v>
      </c>
      <c r="R98" s="8">
        <v>14668</v>
      </c>
      <c r="S98" s="8">
        <v>11630</v>
      </c>
      <c r="T98" s="8">
        <v>11420</v>
      </c>
      <c r="U98" s="8">
        <v>21208</v>
      </c>
      <c r="V98" s="8">
        <v>11487</v>
      </c>
      <c r="W98" s="8">
        <v>15958</v>
      </c>
      <c r="X98" s="8">
        <v>20987</v>
      </c>
      <c r="Y98" s="8"/>
      <c r="Z98" s="8"/>
      <c r="AA98" s="2"/>
      <c r="AB98" s="8"/>
      <c r="AC98" s="2"/>
      <c r="AD98" s="2"/>
      <c r="AE98" s="2"/>
      <c r="AF98" s="2"/>
      <c r="AG98" s="2"/>
      <c r="AH98" s="2"/>
      <c r="AI98" s="2"/>
      <c r="AJ98" s="2"/>
    </row>
    <row r="99" spans="1:46" x14ac:dyDescent="0.55000000000000004">
      <c r="A99" s="10" t="s">
        <v>102</v>
      </c>
      <c r="B99" s="8"/>
      <c r="C99" s="8"/>
      <c r="D99" s="8"/>
      <c r="E99" s="8"/>
      <c r="F99" s="8"/>
      <c r="G99" s="8"/>
      <c r="H99" s="8"/>
      <c r="I99" s="8"/>
      <c r="J99" s="8"/>
      <c r="K99" s="37"/>
      <c r="L99" s="37"/>
      <c r="M99" s="9"/>
      <c r="N99" s="8">
        <v>8219</v>
      </c>
      <c r="O99" s="8">
        <v>12571</v>
      </c>
      <c r="P99" s="8">
        <v>7616</v>
      </c>
      <c r="Q99" s="8">
        <v>9007</v>
      </c>
      <c r="R99" s="8">
        <v>10368</v>
      </c>
      <c r="S99" s="8">
        <v>8473</v>
      </c>
      <c r="T99" s="8">
        <v>8115</v>
      </c>
      <c r="U99" s="8">
        <v>15126</v>
      </c>
      <c r="V99" s="8">
        <v>8034</v>
      </c>
      <c r="W99" s="8">
        <v>11228</v>
      </c>
      <c r="X99" s="8">
        <v>13196</v>
      </c>
      <c r="Y99" s="8"/>
      <c r="Z99" s="8"/>
      <c r="AA99" s="2"/>
      <c r="AB99" s="8"/>
      <c r="AC99" s="2"/>
      <c r="AD99" s="2"/>
      <c r="AE99" s="2"/>
      <c r="AF99" s="2"/>
      <c r="AG99" s="2"/>
      <c r="AH99" s="2"/>
      <c r="AI99" s="2"/>
      <c r="AJ99" s="2"/>
    </row>
    <row r="100" spans="1:46" x14ac:dyDescent="0.55000000000000004">
      <c r="A100" s="16" t="s">
        <v>103</v>
      </c>
      <c r="B100" s="15">
        <v>1680636</v>
      </c>
      <c r="C100" s="15">
        <v>92173</v>
      </c>
      <c r="D100" s="15">
        <v>65272</v>
      </c>
      <c r="E100" s="15">
        <v>162088</v>
      </c>
      <c r="F100" s="15">
        <v>8320</v>
      </c>
      <c r="G100" s="15">
        <v>5478</v>
      </c>
      <c r="H100" s="15">
        <v>1685508</v>
      </c>
      <c r="I100" s="15">
        <v>93713</v>
      </c>
      <c r="J100" s="15">
        <v>59074</v>
      </c>
      <c r="K100" s="36">
        <v>54.8</v>
      </c>
      <c r="L100" s="36">
        <v>38.799999999999997</v>
      </c>
      <c r="M100" s="9"/>
      <c r="N100" s="15">
        <v>239483</v>
      </c>
      <c r="O100" s="15">
        <v>236094</v>
      </c>
      <c r="P100" s="15">
        <v>234976</v>
      </c>
      <c r="Q100" s="15">
        <v>171984</v>
      </c>
      <c r="R100" s="15">
        <v>214939</v>
      </c>
      <c r="S100" s="15">
        <v>224426</v>
      </c>
      <c r="T100" s="15">
        <v>203250</v>
      </c>
      <c r="U100" s="15">
        <v>155484</v>
      </c>
      <c r="V100" s="15"/>
      <c r="W100" s="15"/>
      <c r="X100" s="15"/>
      <c r="Y100" s="15"/>
      <c r="Z100" s="15"/>
      <c r="AA100" s="12"/>
      <c r="AB100" s="15"/>
      <c r="AC100" s="2"/>
      <c r="AD100" s="12">
        <f>SUM(N100:AB100)</f>
        <v>1680636</v>
      </c>
      <c r="AE100" s="12">
        <f>SUM(N101:AB101)</f>
        <v>92173</v>
      </c>
      <c r="AF100" s="12">
        <f>SUM(N102:AB102)</f>
        <v>65272</v>
      </c>
      <c r="AG100" s="2"/>
      <c r="AH100" s="12">
        <f>AD100-B100</f>
        <v>0</v>
      </c>
      <c r="AI100" s="12">
        <f>AE100-C100</f>
        <v>0</v>
      </c>
      <c r="AJ100" s="12">
        <f>AF100-D100</f>
        <v>0</v>
      </c>
      <c r="AL100" s="47">
        <f>C100/B100*1000</f>
        <v>54.844118536078007</v>
      </c>
      <c r="AM100" s="47">
        <f>D100/B100*1000</f>
        <v>38.837678117093766</v>
      </c>
      <c r="AO100" s="47">
        <f>AL100-K100</f>
        <v>4.411853607800964E-2</v>
      </c>
      <c r="AP100" s="47">
        <f>AM100-L100</f>
        <v>3.7678117093769004E-2</v>
      </c>
      <c r="AR100" s="12">
        <f t="shared" ref="AR100" si="90">H100</f>
        <v>1685508</v>
      </c>
      <c r="AS100" s="12">
        <f t="shared" ref="AS100" si="91">I100</f>
        <v>93713</v>
      </c>
      <c r="AT100" s="12">
        <f t="shared" ref="AT100" si="92">J100</f>
        <v>59074</v>
      </c>
    </row>
    <row r="101" spans="1:46" x14ac:dyDescent="0.55000000000000004">
      <c r="A101" s="10" t="s">
        <v>104</v>
      </c>
      <c r="B101" s="8"/>
      <c r="C101" s="8"/>
      <c r="D101" s="8"/>
      <c r="E101" s="8"/>
      <c r="F101" s="8"/>
      <c r="G101" s="8"/>
      <c r="H101" s="8"/>
      <c r="I101" s="8"/>
      <c r="J101" s="8"/>
      <c r="K101" s="37"/>
      <c r="L101" s="37"/>
      <c r="M101" s="9"/>
      <c r="N101" s="8">
        <v>13562</v>
      </c>
      <c r="O101" s="8">
        <v>12242</v>
      </c>
      <c r="P101" s="8">
        <v>13257</v>
      </c>
      <c r="Q101" s="8">
        <v>9715</v>
      </c>
      <c r="R101" s="8">
        <v>11878</v>
      </c>
      <c r="S101" s="8">
        <v>11708</v>
      </c>
      <c r="T101" s="8">
        <v>11508</v>
      </c>
      <c r="U101" s="8">
        <v>8303</v>
      </c>
      <c r="V101" s="8"/>
      <c r="W101" s="8"/>
      <c r="X101" s="8"/>
      <c r="Y101" s="8"/>
      <c r="Z101" s="8"/>
      <c r="AA101" s="2"/>
      <c r="AB101" s="8"/>
      <c r="AC101" s="2"/>
      <c r="AD101" s="2"/>
      <c r="AE101" s="2"/>
      <c r="AF101" s="2"/>
      <c r="AG101" s="2"/>
      <c r="AH101" s="2"/>
      <c r="AI101" s="2"/>
      <c r="AJ101" s="2"/>
    </row>
    <row r="102" spans="1:46" x14ac:dyDescent="0.55000000000000004">
      <c r="A102" s="10" t="s">
        <v>105</v>
      </c>
      <c r="B102" s="8"/>
      <c r="C102" s="8"/>
      <c r="D102" s="8"/>
      <c r="E102" s="8"/>
      <c r="F102" s="8"/>
      <c r="G102" s="8"/>
      <c r="H102" s="8"/>
      <c r="I102" s="8"/>
      <c r="J102" s="8"/>
      <c r="K102" s="37"/>
      <c r="L102" s="37"/>
      <c r="M102" s="9"/>
      <c r="N102" s="8">
        <v>8183</v>
      </c>
      <c r="O102" s="8">
        <v>8104</v>
      </c>
      <c r="P102" s="8">
        <v>10194</v>
      </c>
      <c r="Q102" s="8">
        <v>5993</v>
      </c>
      <c r="R102" s="8">
        <v>10191</v>
      </c>
      <c r="S102" s="8">
        <v>8018</v>
      </c>
      <c r="T102" s="8">
        <v>7845</v>
      </c>
      <c r="U102" s="8">
        <v>6744</v>
      </c>
      <c r="V102" s="8"/>
      <c r="W102" s="8"/>
      <c r="X102" s="8"/>
      <c r="Y102" s="8"/>
      <c r="Z102" s="8"/>
      <c r="AA102" s="2"/>
      <c r="AB102" s="8"/>
      <c r="AC102" s="2"/>
      <c r="AD102" s="2"/>
      <c r="AE102" s="2"/>
      <c r="AF102" s="2"/>
      <c r="AG102" s="2"/>
      <c r="AH102" s="2"/>
      <c r="AI102" s="2"/>
      <c r="AJ102" s="2"/>
    </row>
    <row r="103" spans="1:46" x14ac:dyDescent="0.55000000000000004">
      <c r="A103" s="18" t="s">
        <v>106</v>
      </c>
      <c r="B103" s="17">
        <v>2219686</v>
      </c>
      <c r="C103" s="17">
        <v>101539</v>
      </c>
      <c r="D103" s="17">
        <v>77267</v>
      </c>
      <c r="E103" s="17">
        <v>186798</v>
      </c>
      <c r="F103" s="17">
        <v>14901</v>
      </c>
      <c r="G103" s="17">
        <v>1046</v>
      </c>
      <c r="H103" s="17">
        <v>2180827</v>
      </c>
      <c r="I103" s="17">
        <v>105177</v>
      </c>
      <c r="J103" s="17">
        <v>72188</v>
      </c>
      <c r="K103" s="36">
        <v>45.7</v>
      </c>
      <c r="L103" s="36">
        <v>34.799999999999997</v>
      </c>
      <c r="M103" s="9"/>
      <c r="N103" s="17">
        <v>374840</v>
      </c>
      <c r="O103" s="17">
        <v>98005</v>
      </c>
      <c r="P103" s="17">
        <v>197990</v>
      </c>
      <c r="Q103" s="17">
        <v>200406</v>
      </c>
      <c r="R103" s="17">
        <v>128679</v>
      </c>
      <c r="S103" s="17">
        <v>179284</v>
      </c>
      <c r="T103" s="17">
        <v>197735</v>
      </c>
      <c r="U103" s="17">
        <v>111440</v>
      </c>
      <c r="V103" s="17">
        <v>161097</v>
      </c>
      <c r="W103" s="17">
        <v>118247</v>
      </c>
      <c r="X103" s="17">
        <v>314139</v>
      </c>
      <c r="Y103" s="17">
        <v>137934</v>
      </c>
      <c r="Z103" s="17"/>
      <c r="AA103" s="12"/>
      <c r="AB103" s="15"/>
      <c r="AC103" s="2"/>
      <c r="AD103" s="12">
        <f>SUM(N103:AB103)</f>
        <v>2219796</v>
      </c>
      <c r="AE103" s="12">
        <f>SUM(N104:AB104)</f>
        <v>101539</v>
      </c>
      <c r="AF103" s="12">
        <f>SUM(N105:AB105)</f>
        <v>77157</v>
      </c>
      <c r="AG103" s="2"/>
      <c r="AH103" s="12">
        <f>AD103-B103</f>
        <v>110</v>
      </c>
      <c r="AI103" s="12">
        <f>AE103-C103</f>
        <v>0</v>
      </c>
      <c r="AJ103" s="12">
        <f>AF103-D103</f>
        <v>-110</v>
      </c>
      <c r="AL103" s="47">
        <f>C103/B103*1000</f>
        <v>45.744758492867909</v>
      </c>
      <c r="AM103" s="47">
        <f>D103/B103*1000</f>
        <v>34.809878514348426</v>
      </c>
      <c r="AO103" s="47">
        <f>AL103-K103</f>
        <v>4.4758492867906341E-2</v>
      </c>
      <c r="AP103" s="47">
        <f>AM103-L103</f>
        <v>9.8785143484292348E-3</v>
      </c>
      <c r="AR103" s="12">
        <f t="shared" ref="AR103" si="93">H103</f>
        <v>2180827</v>
      </c>
      <c r="AS103" s="12">
        <f t="shared" ref="AS103" si="94">I103</f>
        <v>105177</v>
      </c>
      <c r="AT103" s="12">
        <f t="shared" ref="AT103" si="95">J103</f>
        <v>72188</v>
      </c>
    </row>
    <row r="104" spans="1:46" x14ac:dyDescent="0.55000000000000004">
      <c r="A104" s="11" t="s">
        <v>107</v>
      </c>
      <c r="B104" s="9"/>
      <c r="C104" s="9"/>
      <c r="D104" s="9"/>
      <c r="E104" s="9"/>
      <c r="F104" s="9"/>
      <c r="G104" s="9"/>
      <c r="H104" s="9"/>
      <c r="I104" s="9"/>
      <c r="J104" s="9"/>
      <c r="K104" s="37"/>
      <c r="L104" s="37"/>
      <c r="M104" s="9"/>
      <c r="N104" s="9">
        <v>15119</v>
      </c>
      <c r="O104" s="9">
        <v>4238</v>
      </c>
      <c r="P104" s="9">
        <v>8552</v>
      </c>
      <c r="Q104" s="9">
        <v>8833</v>
      </c>
      <c r="R104" s="9">
        <v>6326</v>
      </c>
      <c r="S104" s="9">
        <v>9415</v>
      </c>
      <c r="T104" s="9">
        <v>9182</v>
      </c>
      <c r="U104" s="9">
        <v>5424</v>
      </c>
      <c r="V104" s="9">
        <v>6997</v>
      </c>
      <c r="W104" s="9">
        <v>5105</v>
      </c>
      <c r="X104" s="9">
        <v>15663</v>
      </c>
      <c r="Y104" s="9">
        <v>6685</v>
      </c>
      <c r="Z104" s="9"/>
      <c r="AA104" s="9"/>
      <c r="AB104" s="9"/>
      <c r="AC104" s="2"/>
      <c r="AD104" s="2"/>
      <c r="AE104" s="2"/>
      <c r="AF104" s="2"/>
      <c r="AG104" s="2"/>
      <c r="AH104" s="2"/>
      <c r="AI104" s="2"/>
      <c r="AJ104" s="2"/>
    </row>
    <row r="105" spans="1:46" x14ac:dyDescent="0.55000000000000004">
      <c r="A105" s="11" t="s">
        <v>108</v>
      </c>
      <c r="B105" s="9"/>
      <c r="C105" s="9"/>
      <c r="D105" s="9"/>
      <c r="E105" s="9"/>
      <c r="F105" s="9"/>
      <c r="G105" s="9"/>
      <c r="H105" s="9"/>
      <c r="I105" s="9"/>
      <c r="J105" s="9"/>
      <c r="K105" s="37"/>
      <c r="L105" s="37"/>
      <c r="M105" s="9"/>
      <c r="N105" s="9">
        <v>12061</v>
      </c>
      <c r="O105" s="9">
        <v>3633</v>
      </c>
      <c r="P105" s="9">
        <v>6999</v>
      </c>
      <c r="Q105" s="9">
        <v>6012</v>
      </c>
      <c r="R105" s="9">
        <v>5361</v>
      </c>
      <c r="S105" s="9">
        <v>6155</v>
      </c>
      <c r="T105" s="9">
        <v>6871</v>
      </c>
      <c r="U105" s="9">
        <v>3459</v>
      </c>
      <c r="V105" s="9">
        <v>6156</v>
      </c>
      <c r="W105" s="9">
        <v>4339</v>
      </c>
      <c r="X105" s="9">
        <v>10037</v>
      </c>
      <c r="Y105" s="9">
        <v>6074</v>
      </c>
      <c r="Z105" s="9"/>
      <c r="AA105" s="9"/>
      <c r="AB105" s="9"/>
      <c r="AC105" s="2"/>
      <c r="AD105" s="2"/>
      <c r="AE105" s="2"/>
      <c r="AF105" s="2"/>
      <c r="AG105" s="2"/>
      <c r="AH105" s="2"/>
      <c r="AI105" s="2"/>
      <c r="AJ105" s="2"/>
    </row>
    <row r="106" spans="1:46" x14ac:dyDescent="0.55000000000000004">
      <c r="A106" s="18" t="s">
        <v>109</v>
      </c>
      <c r="B106" s="17">
        <v>1252935</v>
      </c>
      <c r="C106" s="17">
        <v>57604</v>
      </c>
      <c r="D106" s="57">
        <v>51846</v>
      </c>
      <c r="E106" s="17">
        <v>97057</v>
      </c>
      <c r="F106" s="17">
        <v>2912</v>
      </c>
      <c r="G106" s="17">
        <v>2850</v>
      </c>
      <c r="H106" s="17">
        <v>1224700</v>
      </c>
      <c r="I106" s="17">
        <v>58471</v>
      </c>
      <c r="J106" s="17">
        <v>44326</v>
      </c>
      <c r="K106" s="36">
        <v>45.9</v>
      </c>
      <c r="L106" s="36">
        <v>38.9</v>
      </c>
      <c r="M106" s="9"/>
      <c r="N106" s="17">
        <v>112539</v>
      </c>
      <c r="O106" s="17">
        <v>77052</v>
      </c>
      <c r="P106" s="17">
        <v>234878</v>
      </c>
      <c r="Q106" s="17">
        <v>132488</v>
      </c>
      <c r="R106" s="17">
        <v>93292</v>
      </c>
      <c r="S106" s="17">
        <v>50658</v>
      </c>
      <c r="T106" s="17">
        <v>125859</v>
      </c>
      <c r="U106" s="17">
        <v>120289</v>
      </c>
      <c r="V106" s="17">
        <v>163642</v>
      </c>
      <c r="W106" s="17">
        <v>71119</v>
      </c>
      <c r="X106" s="17">
        <v>71142</v>
      </c>
      <c r="Y106" s="17"/>
      <c r="Z106" s="17"/>
      <c r="AA106" s="17"/>
      <c r="AB106" s="17"/>
      <c r="AC106" s="2"/>
      <c r="AD106" s="12">
        <f>SUM(N106:AB106)</f>
        <v>1252958</v>
      </c>
      <c r="AE106" s="12">
        <f>SUM(N107:AB107)</f>
        <v>60785</v>
      </c>
      <c r="AF106" s="12">
        <f>SUM(N108:AB108)</f>
        <v>51846</v>
      </c>
      <c r="AG106" s="2"/>
      <c r="AH106" s="12">
        <f>AD106-B106</f>
        <v>23</v>
      </c>
      <c r="AI106" s="12">
        <f>AE106-C106</f>
        <v>3181</v>
      </c>
      <c r="AJ106" s="12">
        <f>AF106-D106</f>
        <v>0</v>
      </c>
      <c r="AL106" s="47">
        <f>C106/B106*1000</f>
        <v>45.975250112735296</v>
      </c>
      <c r="AM106" s="47">
        <f>D106/B106*1000</f>
        <v>41.379640603862129</v>
      </c>
      <c r="AO106" s="47">
        <f>AL106-K106</f>
        <v>7.5250112735297137E-2</v>
      </c>
      <c r="AP106" s="47">
        <f>AM106-L106</f>
        <v>2.4796406038621299</v>
      </c>
      <c r="AR106" s="12">
        <f t="shared" ref="AR106" si="96">H106</f>
        <v>1224700</v>
      </c>
      <c r="AS106" s="12">
        <f t="shared" ref="AS106" si="97">I106</f>
        <v>58471</v>
      </c>
      <c r="AT106" s="12">
        <f t="shared" ref="AT106" si="98">J106</f>
        <v>44326</v>
      </c>
    </row>
    <row r="107" spans="1:46" x14ac:dyDescent="0.55000000000000004">
      <c r="A107" s="11" t="s">
        <v>110</v>
      </c>
      <c r="B107" s="9"/>
      <c r="C107" s="9"/>
      <c r="D107" s="9"/>
      <c r="E107" s="9"/>
      <c r="F107" s="9"/>
      <c r="G107" s="9"/>
      <c r="H107" s="9"/>
      <c r="I107" s="9"/>
      <c r="J107" s="9"/>
      <c r="K107" s="37"/>
      <c r="L107" s="37"/>
      <c r="M107" s="9"/>
      <c r="N107" s="9">
        <v>4945</v>
      </c>
      <c r="O107" s="9">
        <v>3010</v>
      </c>
      <c r="P107" s="9">
        <v>13034</v>
      </c>
      <c r="Q107" s="9">
        <v>6616</v>
      </c>
      <c r="R107" s="9">
        <v>5025</v>
      </c>
      <c r="S107" s="9">
        <v>2037</v>
      </c>
      <c r="T107" s="9">
        <v>6580</v>
      </c>
      <c r="U107" s="9">
        <v>4468</v>
      </c>
      <c r="V107" s="9">
        <v>8826</v>
      </c>
      <c r="W107" s="9">
        <v>3238</v>
      </c>
      <c r="X107" s="9">
        <v>3006</v>
      </c>
      <c r="Y107" s="9"/>
      <c r="Z107" s="9"/>
      <c r="AA107" s="9"/>
      <c r="AB107" s="9"/>
      <c r="AC107" s="2"/>
      <c r="AD107" s="2"/>
      <c r="AE107" s="2"/>
      <c r="AF107" s="2"/>
      <c r="AG107" s="2"/>
      <c r="AH107" s="2"/>
      <c r="AI107" s="2"/>
      <c r="AJ107" s="2"/>
    </row>
    <row r="108" spans="1:46" x14ac:dyDescent="0.55000000000000004">
      <c r="A108" s="11" t="s">
        <v>111</v>
      </c>
      <c r="B108" s="9"/>
      <c r="C108" s="9"/>
      <c r="D108" s="9"/>
      <c r="E108" s="9"/>
      <c r="F108" s="9"/>
      <c r="G108" s="9"/>
      <c r="H108" s="9"/>
      <c r="I108" s="9"/>
      <c r="J108" s="9"/>
      <c r="K108" s="37"/>
      <c r="L108" s="37"/>
      <c r="M108" s="9"/>
      <c r="N108" s="9">
        <v>3816</v>
      </c>
      <c r="O108" s="9">
        <v>3184</v>
      </c>
      <c r="P108" s="9">
        <v>11870</v>
      </c>
      <c r="Q108" s="9">
        <v>4972</v>
      </c>
      <c r="R108" s="9">
        <v>3291</v>
      </c>
      <c r="S108" s="9">
        <v>2324</v>
      </c>
      <c r="T108" s="9">
        <v>6035</v>
      </c>
      <c r="U108" s="9">
        <v>3913</v>
      </c>
      <c r="V108" s="9">
        <v>7226</v>
      </c>
      <c r="W108" s="9">
        <v>2444</v>
      </c>
      <c r="X108" s="9">
        <v>2771</v>
      </c>
      <c r="Y108" s="9"/>
      <c r="Z108" s="9"/>
      <c r="AA108" s="9"/>
      <c r="AB108" s="9"/>
      <c r="AC108" s="2"/>
      <c r="AD108" s="2"/>
      <c r="AE108" s="2"/>
      <c r="AF108" s="2"/>
      <c r="AG108" s="2"/>
      <c r="AH108" s="2"/>
      <c r="AI108" s="2"/>
      <c r="AJ108" s="2"/>
    </row>
    <row r="109" spans="1:46" x14ac:dyDescent="0.55000000000000004">
      <c r="A109" s="18" t="s">
        <v>112</v>
      </c>
      <c r="B109" s="17">
        <v>1416077</v>
      </c>
      <c r="C109" s="17">
        <v>66764</v>
      </c>
      <c r="D109" s="17">
        <v>41238</v>
      </c>
      <c r="E109" s="17">
        <v>69785</v>
      </c>
      <c r="F109" s="17">
        <v>3812</v>
      </c>
      <c r="G109" s="17">
        <v>2927</v>
      </c>
      <c r="H109" s="17">
        <v>1374608</v>
      </c>
      <c r="I109" s="17">
        <v>63891</v>
      </c>
      <c r="J109" s="17">
        <v>51040</v>
      </c>
      <c r="K109" s="36">
        <v>47.2</v>
      </c>
      <c r="L109" s="36">
        <v>29.1</v>
      </c>
      <c r="M109" s="9"/>
      <c r="N109" s="17">
        <v>176405</v>
      </c>
      <c r="O109" s="17">
        <v>75356</v>
      </c>
      <c r="P109" s="17">
        <v>117470</v>
      </c>
      <c r="Q109" s="17">
        <v>111340</v>
      </c>
      <c r="R109" s="17">
        <v>115600</v>
      </c>
      <c r="S109" s="17">
        <v>137128</v>
      </c>
      <c r="T109" s="17">
        <v>110573</v>
      </c>
      <c r="U109" s="17">
        <v>146238</v>
      </c>
      <c r="V109" s="17">
        <v>167374</v>
      </c>
      <c r="W109" s="17">
        <v>65658</v>
      </c>
      <c r="X109" s="17">
        <v>57973</v>
      </c>
      <c r="Y109" s="17">
        <v>134962</v>
      </c>
      <c r="Z109" s="17"/>
      <c r="AA109" s="17"/>
      <c r="AB109" s="17"/>
      <c r="AC109" s="2"/>
      <c r="AD109" s="12">
        <f>SUM(N109:AB109)</f>
        <v>1416077</v>
      </c>
      <c r="AE109" s="12">
        <f>SUM(N110:AB110)</f>
        <v>66664</v>
      </c>
      <c r="AF109" s="12">
        <f>SUM(N111:AB111)</f>
        <v>41238</v>
      </c>
      <c r="AG109" s="2"/>
      <c r="AH109" s="12">
        <f>AD109-B109</f>
        <v>0</v>
      </c>
      <c r="AI109" s="12">
        <f>AE109-C109</f>
        <v>-100</v>
      </c>
      <c r="AJ109" s="12">
        <f>AF109-D109</f>
        <v>0</v>
      </c>
      <c r="AL109" s="47">
        <f>C109/B109*1000</f>
        <v>47.147153721160642</v>
      </c>
      <c r="AM109" s="47">
        <f>D109/B109*1000</f>
        <v>29.121297782535837</v>
      </c>
      <c r="AO109" s="47">
        <f>AL109-K109</f>
        <v>-5.2846278839361105E-2</v>
      </c>
      <c r="AP109" s="47">
        <f>AM109-L109</f>
        <v>2.1297782535835807E-2</v>
      </c>
      <c r="AR109" s="12">
        <f t="shared" ref="AR109" si="99">H109</f>
        <v>1374608</v>
      </c>
      <c r="AS109" s="12">
        <f t="shared" ref="AS109" si="100">I109</f>
        <v>63891</v>
      </c>
      <c r="AT109" s="12">
        <f t="shared" ref="AT109" si="101">J109</f>
        <v>51040</v>
      </c>
    </row>
    <row r="110" spans="1:46" x14ac:dyDescent="0.55000000000000004">
      <c r="A110" s="11" t="s">
        <v>113</v>
      </c>
      <c r="B110" s="9"/>
      <c r="C110" s="9"/>
      <c r="D110" s="9"/>
      <c r="E110" s="9"/>
      <c r="F110" s="9"/>
      <c r="G110" s="9"/>
      <c r="H110" s="9"/>
      <c r="I110" s="9"/>
      <c r="J110" s="9"/>
      <c r="K110" s="37"/>
      <c r="L110" s="37"/>
      <c r="M110" s="9"/>
      <c r="N110" s="9">
        <v>8352</v>
      </c>
      <c r="O110" s="9">
        <v>3537</v>
      </c>
      <c r="P110" s="9">
        <v>4724</v>
      </c>
      <c r="Q110" s="9">
        <v>6850</v>
      </c>
      <c r="R110" s="9">
        <v>4940</v>
      </c>
      <c r="S110" s="9">
        <v>6028</v>
      </c>
      <c r="T110" s="9">
        <v>5384</v>
      </c>
      <c r="U110" s="9">
        <v>7177</v>
      </c>
      <c r="V110" s="9">
        <v>8199</v>
      </c>
      <c r="W110" s="9">
        <v>2686</v>
      </c>
      <c r="X110" s="9">
        <v>2445</v>
      </c>
      <c r="Y110" s="9">
        <v>6342</v>
      </c>
      <c r="Z110" s="9"/>
      <c r="AA110" s="9"/>
      <c r="AB110" s="9"/>
      <c r="AC110" s="2"/>
      <c r="AD110" s="2"/>
      <c r="AE110" s="2"/>
      <c r="AF110" s="2"/>
      <c r="AG110" s="2"/>
      <c r="AH110" s="2"/>
      <c r="AI110" s="2"/>
      <c r="AJ110" s="2"/>
    </row>
    <row r="111" spans="1:46" x14ac:dyDescent="0.55000000000000004">
      <c r="A111" s="11" t="s">
        <v>114</v>
      </c>
      <c r="B111" s="9"/>
      <c r="C111" s="9"/>
      <c r="D111" s="9"/>
      <c r="E111" s="9"/>
      <c r="F111" s="9"/>
      <c r="G111" s="9"/>
      <c r="H111" s="9"/>
      <c r="I111" s="9"/>
      <c r="J111" s="9"/>
      <c r="K111" s="37"/>
      <c r="L111" s="37"/>
      <c r="M111" s="9"/>
      <c r="N111" s="9">
        <v>5139</v>
      </c>
      <c r="O111" s="9">
        <v>2013</v>
      </c>
      <c r="P111" s="9">
        <v>2477</v>
      </c>
      <c r="Q111" s="9">
        <v>3835</v>
      </c>
      <c r="R111" s="9">
        <v>2767</v>
      </c>
      <c r="S111" s="9">
        <v>4042</v>
      </c>
      <c r="T111" s="9">
        <v>3218</v>
      </c>
      <c r="U111" s="9">
        <v>4389</v>
      </c>
      <c r="V111" s="9">
        <v>5629</v>
      </c>
      <c r="W111" s="9">
        <v>1548</v>
      </c>
      <c r="X111" s="9">
        <v>1645</v>
      </c>
      <c r="Y111" s="9">
        <v>4536</v>
      </c>
      <c r="Z111" s="9"/>
      <c r="AA111" s="9"/>
      <c r="AB111" s="9"/>
      <c r="AC111" s="2"/>
      <c r="AD111" s="2"/>
      <c r="AE111" s="2"/>
      <c r="AF111" s="2"/>
      <c r="AG111" s="2"/>
      <c r="AH111" s="2"/>
      <c r="AI111" s="2"/>
      <c r="AJ111" s="2"/>
    </row>
    <row r="112" spans="1:46" x14ac:dyDescent="0.55000000000000004">
      <c r="A112" s="18" t="s">
        <v>115</v>
      </c>
      <c r="B112" s="17">
        <v>2584201</v>
      </c>
      <c r="C112" s="17">
        <v>122565</v>
      </c>
      <c r="D112" s="17">
        <v>90306</v>
      </c>
      <c r="E112" s="17">
        <v>173701</v>
      </c>
      <c r="F112" s="17">
        <v>9447</v>
      </c>
      <c r="G112" s="17">
        <v>7804</v>
      </c>
      <c r="H112" s="17">
        <v>2513738</v>
      </c>
      <c r="I112" s="17">
        <v>118263</v>
      </c>
      <c r="J112" s="17">
        <v>78783</v>
      </c>
      <c r="K112" s="36">
        <v>47.4</v>
      </c>
      <c r="L112" s="36">
        <v>34.9</v>
      </c>
      <c r="M112" s="9"/>
      <c r="N112" s="17">
        <v>240390</v>
      </c>
      <c r="O112" s="17">
        <v>186625</v>
      </c>
      <c r="P112" s="17">
        <v>199366</v>
      </c>
      <c r="Q112" s="57">
        <v>123019</v>
      </c>
      <c r="R112" s="17">
        <v>188494</v>
      </c>
      <c r="S112" s="57">
        <v>131426</v>
      </c>
      <c r="T112" s="17">
        <v>185448</v>
      </c>
      <c r="U112" s="17">
        <v>195111</v>
      </c>
      <c r="V112" s="17">
        <v>171251</v>
      </c>
      <c r="W112" s="17">
        <v>164343</v>
      </c>
      <c r="X112" s="17">
        <v>170205</v>
      </c>
      <c r="Y112" s="17">
        <v>158293</v>
      </c>
      <c r="Z112" s="17">
        <v>173637</v>
      </c>
      <c r="AA112" s="17">
        <v>140392</v>
      </c>
      <c r="AB112" s="17">
        <v>156201</v>
      </c>
      <c r="AC112" s="2"/>
      <c r="AD112" s="12">
        <f>SUM(N112:AB112)</f>
        <v>2584201</v>
      </c>
      <c r="AE112" s="12">
        <f>SUM(N113:AB113)</f>
        <v>122565</v>
      </c>
      <c r="AF112" s="12">
        <f>SUM(N114:AB114)</f>
        <v>90306</v>
      </c>
      <c r="AG112" s="2"/>
      <c r="AH112" s="12">
        <f>AD112-B112</f>
        <v>0</v>
      </c>
      <c r="AI112" s="12">
        <f>AE112-C112</f>
        <v>0</v>
      </c>
      <c r="AJ112" s="12">
        <f>AF112-D112</f>
        <v>0</v>
      </c>
      <c r="AL112" s="47">
        <f>C112/B112*1000</f>
        <v>47.428586243871898</v>
      </c>
      <c r="AM112" s="47">
        <f>D112/B112*1000</f>
        <v>34.945424136899568</v>
      </c>
      <c r="AO112" s="47">
        <f>AL112-K112</f>
        <v>2.8586243871899342E-2</v>
      </c>
      <c r="AP112" s="47">
        <f>AM112-L112</f>
        <v>4.5424136899569589E-2</v>
      </c>
      <c r="AR112" s="12">
        <f t="shared" ref="AR112" si="102">H112</f>
        <v>2513738</v>
      </c>
      <c r="AS112" s="12">
        <f t="shared" ref="AS112" si="103">I112</f>
        <v>118263</v>
      </c>
      <c r="AT112" s="12">
        <f t="shared" ref="AT112" si="104">J112</f>
        <v>78783</v>
      </c>
    </row>
    <row r="113" spans="1:46" x14ac:dyDescent="0.55000000000000004">
      <c r="A113" s="11" t="s">
        <v>116</v>
      </c>
      <c r="B113" s="9"/>
      <c r="C113" s="9"/>
      <c r="D113" s="9"/>
      <c r="E113" s="9"/>
      <c r="F113" s="9"/>
      <c r="G113" s="9"/>
      <c r="H113" s="9"/>
      <c r="I113" s="9"/>
      <c r="J113" s="9"/>
      <c r="K113" s="37"/>
      <c r="L113" s="37"/>
      <c r="M113" s="9"/>
      <c r="N113" s="9">
        <v>11397</v>
      </c>
      <c r="O113" s="9">
        <v>8856</v>
      </c>
      <c r="P113" s="9">
        <v>8751</v>
      </c>
      <c r="Q113" s="9">
        <v>6698</v>
      </c>
      <c r="R113" s="9">
        <v>8875</v>
      </c>
      <c r="S113" s="9">
        <v>6770</v>
      </c>
      <c r="T113" s="9">
        <v>8471</v>
      </c>
      <c r="U113" s="9">
        <v>10064</v>
      </c>
      <c r="V113" s="9">
        <v>7996</v>
      </c>
      <c r="W113" s="9">
        <v>8154</v>
      </c>
      <c r="X113" s="9">
        <v>7855</v>
      </c>
      <c r="Y113" s="9">
        <v>7334</v>
      </c>
      <c r="Z113" s="9">
        <v>7207</v>
      </c>
      <c r="AA113" s="9">
        <v>6050</v>
      </c>
      <c r="AB113" s="9">
        <v>8087</v>
      </c>
      <c r="AC113" s="2"/>
      <c r="AD113" s="2"/>
      <c r="AE113" s="2"/>
      <c r="AF113" s="2"/>
      <c r="AG113" s="2"/>
      <c r="AH113" s="2"/>
      <c r="AI113" s="2"/>
      <c r="AJ113" s="2"/>
    </row>
    <row r="114" spans="1:46" x14ac:dyDescent="0.55000000000000004">
      <c r="A114" s="11" t="s">
        <v>117</v>
      </c>
      <c r="B114" s="9"/>
      <c r="C114" s="9"/>
      <c r="D114" s="9"/>
      <c r="E114" s="9"/>
      <c r="F114" s="9"/>
      <c r="G114" s="9"/>
      <c r="H114" s="9"/>
      <c r="I114" s="9"/>
      <c r="J114" s="9"/>
      <c r="K114" s="37"/>
      <c r="L114" s="37"/>
      <c r="M114" s="9"/>
      <c r="N114" s="9">
        <v>8874</v>
      </c>
      <c r="O114" s="9">
        <v>6702</v>
      </c>
      <c r="P114" s="9">
        <v>6741</v>
      </c>
      <c r="Q114" s="57">
        <v>5084</v>
      </c>
      <c r="R114" s="9">
        <v>6375</v>
      </c>
      <c r="S114" s="9">
        <v>5922</v>
      </c>
      <c r="T114" s="9">
        <v>5915</v>
      </c>
      <c r="U114" s="9">
        <v>7113</v>
      </c>
      <c r="V114" s="9">
        <v>4960</v>
      </c>
      <c r="W114" s="9">
        <v>4744</v>
      </c>
      <c r="X114" s="9">
        <v>5509</v>
      </c>
      <c r="Y114" s="9">
        <v>6285</v>
      </c>
      <c r="Z114" s="9">
        <v>5484</v>
      </c>
      <c r="AA114" s="9">
        <v>4519</v>
      </c>
      <c r="AB114" s="9">
        <v>6079</v>
      </c>
      <c r="AC114" s="2"/>
      <c r="AD114" s="2"/>
      <c r="AE114" s="2"/>
      <c r="AF114" s="2"/>
      <c r="AG114" s="2"/>
      <c r="AH114" s="2"/>
      <c r="AI114" s="2"/>
      <c r="AJ114" s="2"/>
    </row>
    <row r="115" spans="1:46" x14ac:dyDescent="0.55000000000000004">
      <c r="A115" s="18" t="s">
        <v>118</v>
      </c>
      <c r="B115" s="17">
        <v>1519125</v>
      </c>
      <c r="C115" s="17">
        <v>72581</v>
      </c>
      <c r="D115" s="17">
        <v>59480</v>
      </c>
      <c r="E115" s="17">
        <v>151551</v>
      </c>
      <c r="F115" s="17">
        <v>3878</v>
      </c>
      <c r="G115" s="17">
        <v>3411</v>
      </c>
      <c r="H115" s="17">
        <v>1485853</v>
      </c>
      <c r="I115" s="17">
        <v>67977</v>
      </c>
      <c r="J115" s="17">
        <v>58051</v>
      </c>
      <c r="K115" s="36">
        <v>47.7</v>
      </c>
      <c r="L115" s="36">
        <v>39.200000000000003</v>
      </c>
      <c r="M115" s="9"/>
      <c r="N115" s="17">
        <v>146701</v>
      </c>
      <c r="O115" s="17">
        <v>184023</v>
      </c>
      <c r="P115" s="57">
        <v>151715</v>
      </c>
      <c r="Q115" s="17">
        <v>59413</v>
      </c>
      <c r="R115" s="17">
        <v>96758</v>
      </c>
      <c r="S115" s="17">
        <v>153829</v>
      </c>
      <c r="T115" s="17">
        <v>92928</v>
      </c>
      <c r="U115" s="17">
        <v>122750</v>
      </c>
      <c r="V115" s="17">
        <v>130728</v>
      </c>
      <c r="W115" s="17">
        <v>73716</v>
      </c>
      <c r="X115" s="17">
        <v>100649</v>
      </c>
      <c r="Y115" s="17">
        <v>70459</v>
      </c>
      <c r="Z115" s="17">
        <v>135456</v>
      </c>
      <c r="AA115" s="17"/>
      <c r="AB115" s="17"/>
      <c r="AC115" s="2"/>
      <c r="AD115" s="12">
        <f>SUM(N115:AB115)</f>
        <v>1519125</v>
      </c>
      <c r="AE115" s="12">
        <f>SUM(N116:AB116)</f>
        <v>72581</v>
      </c>
      <c r="AF115" s="12">
        <f>SUM(N117:AB117)</f>
        <v>59480</v>
      </c>
      <c r="AG115" s="2"/>
      <c r="AH115" s="12">
        <f>AD115-B115</f>
        <v>0</v>
      </c>
      <c r="AI115" s="12">
        <f>AE115-C115</f>
        <v>0</v>
      </c>
      <c r="AJ115" s="12">
        <f>AF115-D115</f>
        <v>0</v>
      </c>
      <c r="AL115" s="47">
        <f>C115/B115*1000</f>
        <v>47.778161770756192</v>
      </c>
      <c r="AM115" s="47">
        <f>D115/B115*1000</f>
        <v>39.154118324693492</v>
      </c>
      <c r="AO115" s="47">
        <f>AL115-K115</f>
        <v>7.8161770756189242E-2</v>
      </c>
      <c r="AP115" s="47">
        <f>AM115-L115</f>
        <v>-4.5881675306510772E-2</v>
      </c>
      <c r="AR115" s="12">
        <f t="shared" ref="AR115" si="105">H115</f>
        <v>1485853</v>
      </c>
      <c r="AS115" s="12">
        <f t="shared" ref="AS115" si="106">I115</f>
        <v>67977</v>
      </c>
      <c r="AT115" s="12">
        <f t="shared" ref="AT115" si="107">J115</f>
        <v>58051</v>
      </c>
    </row>
    <row r="116" spans="1:46" x14ac:dyDescent="0.55000000000000004">
      <c r="A116" s="11" t="s">
        <v>119</v>
      </c>
      <c r="B116" s="9"/>
      <c r="C116" s="9"/>
      <c r="D116" s="9"/>
      <c r="E116" s="9"/>
      <c r="F116" s="9"/>
      <c r="G116" s="9"/>
      <c r="H116" s="9"/>
      <c r="I116" s="9"/>
      <c r="J116" s="9"/>
      <c r="K116" s="37"/>
      <c r="L116" s="37"/>
      <c r="M116" s="9"/>
      <c r="N116" s="9">
        <v>9566</v>
      </c>
      <c r="O116" s="57">
        <v>10633</v>
      </c>
      <c r="P116" s="9">
        <v>7077</v>
      </c>
      <c r="Q116" s="9">
        <v>2915</v>
      </c>
      <c r="R116" s="9">
        <v>4384</v>
      </c>
      <c r="S116" s="9">
        <v>6092</v>
      </c>
      <c r="T116" s="9">
        <v>4480</v>
      </c>
      <c r="U116" s="9">
        <v>6187</v>
      </c>
      <c r="V116" s="9">
        <v>5063</v>
      </c>
      <c r="W116" s="9">
        <v>3206</v>
      </c>
      <c r="X116" s="9">
        <v>4411</v>
      </c>
      <c r="Y116" s="9">
        <v>3333</v>
      </c>
      <c r="Z116" s="9">
        <v>5234</v>
      </c>
      <c r="AA116" s="9"/>
      <c r="AB116" s="9"/>
      <c r="AC116" s="2"/>
      <c r="AD116" s="2"/>
      <c r="AE116" s="2"/>
      <c r="AF116" s="2"/>
      <c r="AG116" s="2"/>
      <c r="AH116" s="2"/>
      <c r="AI116" s="2"/>
      <c r="AJ116" s="2"/>
    </row>
    <row r="117" spans="1:46" x14ac:dyDescent="0.55000000000000004">
      <c r="A117" s="11" t="s">
        <v>120</v>
      </c>
      <c r="B117" s="9"/>
      <c r="C117" s="9"/>
      <c r="D117" s="9"/>
      <c r="E117" s="9"/>
      <c r="F117" s="9"/>
      <c r="G117" s="9"/>
      <c r="H117" s="9"/>
      <c r="I117" s="9"/>
      <c r="J117" s="9"/>
      <c r="K117" s="37"/>
      <c r="L117" s="37"/>
      <c r="M117" s="9"/>
      <c r="N117" s="9">
        <v>7775</v>
      </c>
      <c r="O117" s="9">
        <v>7686</v>
      </c>
      <c r="P117" s="9">
        <v>5405</v>
      </c>
      <c r="Q117" s="9">
        <v>2967</v>
      </c>
      <c r="R117" s="9">
        <v>3781</v>
      </c>
      <c r="S117" s="9">
        <v>5122</v>
      </c>
      <c r="T117" s="9">
        <v>3839</v>
      </c>
      <c r="U117" s="9">
        <v>4906</v>
      </c>
      <c r="V117" s="9">
        <v>3910</v>
      </c>
      <c r="W117" s="9">
        <v>3066</v>
      </c>
      <c r="X117" s="9">
        <v>3674</v>
      </c>
      <c r="Y117" s="9">
        <v>3326</v>
      </c>
      <c r="Z117" s="9">
        <v>4023</v>
      </c>
      <c r="AA117" s="9"/>
      <c r="AB117" s="9"/>
      <c r="AC117" s="2"/>
      <c r="AD117" s="2"/>
      <c r="AE117" s="2"/>
      <c r="AF117" s="2"/>
      <c r="AG117" s="2"/>
      <c r="AH117" s="2"/>
      <c r="AI117" s="2"/>
      <c r="AJ117" s="2"/>
    </row>
    <row r="118" spans="1:46" x14ac:dyDescent="0.55000000000000004">
      <c r="A118" s="18" t="s">
        <v>121</v>
      </c>
      <c r="B118" s="17">
        <v>1569462</v>
      </c>
      <c r="C118" s="17">
        <v>80631</v>
      </c>
      <c r="D118" s="17">
        <v>67714</v>
      </c>
      <c r="E118" s="17">
        <v>109801</v>
      </c>
      <c r="F118" s="17">
        <v>4832</v>
      </c>
      <c r="G118" s="17">
        <v>4429</v>
      </c>
      <c r="H118" s="17">
        <v>1534884</v>
      </c>
      <c r="I118" s="17">
        <v>82959</v>
      </c>
      <c r="J118" s="17">
        <v>65761</v>
      </c>
      <c r="K118" s="36">
        <v>51.4</v>
      </c>
      <c r="L118" s="36">
        <v>43.1</v>
      </c>
      <c r="M118" s="9"/>
      <c r="N118" s="17">
        <v>210309</v>
      </c>
      <c r="O118" s="17">
        <v>140659</v>
      </c>
      <c r="P118" s="17">
        <v>146685</v>
      </c>
      <c r="Q118" s="17">
        <v>114443</v>
      </c>
      <c r="R118" s="17">
        <v>130531</v>
      </c>
      <c r="S118" s="17">
        <v>132224</v>
      </c>
      <c r="T118" s="17">
        <v>118787</v>
      </c>
      <c r="U118" s="17">
        <v>192181</v>
      </c>
      <c r="V118" s="17">
        <v>106823</v>
      </c>
      <c r="W118" s="17">
        <v>110443</v>
      </c>
      <c r="X118" s="17">
        <v>166477</v>
      </c>
      <c r="Y118" s="17"/>
      <c r="Z118" s="17"/>
      <c r="AA118" s="17"/>
      <c r="AB118" s="17"/>
      <c r="AC118" s="2"/>
      <c r="AD118" s="12">
        <f>SUM(N118:AB118)</f>
        <v>1569562</v>
      </c>
      <c r="AE118" s="12">
        <f>SUM(N119:AB119)</f>
        <v>80631</v>
      </c>
      <c r="AF118" s="12">
        <f>SUM(N120:AB120)</f>
        <v>67714</v>
      </c>
      <c r="AG118" s="2"/>
      <c r="AH118" s="12">
        <f>AD118-B118</f>
        <v>100</v>
      </c>
      <c r="AI118" s="12">
        <f>AE118-C118</f>
        <v>0</v>
      </c>
      <c r="AJ118" s="12">
        <f>AF118-D118</f>
        <v>0</v>
      </c>
      <c r="AL118" s="47">
        <f>C118/B118*1000</f>
        <v>51.374929752998163</v>
      </c>
      <c r="AM118" s="47">
        <f>D118/B118*1000</f>
        <v>43.144720929847303</v>
      </c>
      <c r="AO118" s="47">
        <f>AL118-K118</f>
        <v>-2.5070247001835355E-2</v>
      </c>
      <c r="AP118" s="47">
        <f>AM118-L118</f>
        <v>4.472092984730125E-2</v>
      </c>
      <c r="AR118" s="12">
        <f t="shared" ref="AR118" si="108">H118</f>
        <v>1534884</v>
      </c>
      <c r="AS118" s="12">
        <f t="shared" ref="AS118" si="109">I118</f>
        <v>82959</v>
      </c>
      <c r="AT118" s="12">
        <f t="shared" ref="AT118" si="110">J118</f>
        <v>65761</v>
      </c>
    </row>
    <row r="119" spans="1:46" x14ac:dyDescent="0.55000000000000004">
      <c r="A119" s="11" t="s">
        <v>122</v>
      </c>
      <c r="B119" s="9"/>
      <c r="C119" s="9"/>
      <c r="D119" s="9"/>
      <c r="E119" s="9"/>
      <c r="F119" s="9"/>
      <c r="G119" s="9"/>
      <c r="H119" s="9"/>
      <c r="I119" s="9"/>
      <c r="J119" s="9"/>
      <c r="K119" s="37"/>
      <c r="L119" s="37"/>
      <c r="M119" s="9"/>
      <c r="N119" s="9">
        <v>10534</v>
      </c>
      <c r="O119" s="9">
        <v>8387</v>
      </c>
      <c r="P119" s="9">
        <v>8264</v>
      </c>
      <c r="Q119" s="9">
        <v>6031</v>
      </c>
      <c r="R119" s="9">
        <v>6565</v>
      </c>
      <c r="S119" s="9">
        <v>6671</v>
      </c>
      <c r="T119" s="9">
        <v>5951</v>
      </c>
      <c r="U119" s="9">
        <v>9567</v>
      </c>
      <c r="V119" s="9">
        <v>5785</v>
      </c>
      <c r="W119" s="9">
        <v>5022</v>
      </c>
      <c r="X119" s="9">
        <v>7854</v>
      </c>
      <c r="Y119" s="9"/>
      <c r="Z119" s="9"/>
      <c r="AA119" s="9"/>
      <c r="AB119" s="9"/>
      <c r="AC119" s="2"/>
      <c r="AD119" s="2"/>
      <c r="AE119" s="2"/>
      <c r="AF119" s="2"/>
      <c r="AG119" s="2"/>
      <c r="AH119" s="2"/>
      <c r="AI119" s="2"/>
      <c r="AJ119" s="2"/>
    </row>
    <row r="120" spans="1:46" x14ac:dyDescent="0.55000000000000004">
      <c r="A120" s="11" t="s">
        <v>123</v>
      </c>
      <c r="B120" s="9"/>
      <c r="C120" s="9"/>
      <c r="D120" s="9"/>
      <c r="E120" s="9"/>
      <c r="F120" s="9"/>
      <c r="G120" s="9"/>
      <c r="H120" s="9"/>
      <c r="I120" s="9"/>
      <c r="J120" s="9"/>
      <c r="K120" s="37"/>
      <c r="L120" s="37"/>
      <c r="M120" s="9"/>
      <c r="N120" s="9">
        <v>8329</v>
      </c>
      <c r="O120" s="9">
        <v>6095</v>
      </c>
      <c r="P120" s="9">
        <v>6983</v>
      </c>
      <c r="Q120" s="9">
        <v>5149</v>
      </c>
      <c r="R120" s="9">
        <v>5443</v>
      </c>
      <c r="S120" s="9">
        <v>5381</v>
      </c>
      <c r="T120" s="9">
        <v>5309</v>
      </c>
      <c r="U120" s="57">
        <v>10053</v>
      </c>
      <c r="V120" s="9">
        <v>4008</v>
      </c>
      <c r="W120" s="9">
        <v>3987</v>
      </c>
      <c r="X120" s="9">
        <v>6977</v>
      </c>
      <c r="Y120" s="9"/>
      <c r="Z120" s="9"/>
      <c r="AA120" s="9"/>
      <c r="AB120" s="9"/>
      <c r="AC120" s="2"/>
      <c r="AD120" s="2"/>
      <c r="AE120" s="2"/>
      <c r="AF120" s="2"/>
      <c r="AG120" s="2"/>
      <c r="AH120" s="2"/>
      <c r="AI120" s="2"/>
      <c r="AJ120" s="2"/>
    </row>
    <row r="121" spans="1:46" x14ac:dyDescent="0.55000000000000004">
      <c r="A121" s="18" t="s">
        <v>124</v>
      </c>
      <c r="B121" s="17">
        <v>1311129</v>
      </c>
      <c r="C121" s="17">
        <v>59179</v>
      </c>
      <c r="D121" s="17">
        <v>38557</v>
      </c>
      <c r="E121" s="17">
        <v>89000</v>
      </c>
      <c r="F121" s="17">
        <v>2643</v>
      </c>
      <c r="G121" s="17">
        <v>2309</v>
      </c>
      <c r="H121" s="17">
        <v>1250725</v>
      </c>
      <c r="I121" s="17">
        <v>54223</v>
      </c>
      <c r="J121" s="17">
        <v>39804</v>
      </c>
      <c r="K121" s="36">
        <v>45.1</v>
      </c>
      <c r="L121" s="36">
        <v>29.4</v>
      </c>
      <c r="M121" s="9"/>
      <c r="N121" s="17">
        <v>171821</v>
      </c>
      <c r="O121" s="17">
        <v>147652</v>
      </c>
      <c r="P121" s="17">
        <v>78747</v>
      </c>
      <c r="Q121" s="17">
        <v>92934</v>
      </c>
      <c r="R121" s="17">
        <v>70595</v>
      </c>
      <c r="S121" s="17">
        <v>115988</v>
      </c>
      <c r="T121" s="17">
        <v>89587</v>
      </c>
      <c r="U121" s="17">
        <v>186833</v>
      </c>
      <c r="V121" s="17">
        <v>95259</v>
      </c>
      <c r="W121" s="17">
        <v>92006</v>
      </c>
      <c r="X121" s="17">
        <v>146413</v>
      </c>
      <c r="Y121" s="57">
        <v>23294</v>
      </c>
      <c r="Z121" s="17"/>
      <c r="AA121" s="17"/>
      <c r="AB121" s="17"/>
      <c r="AC121" s="2"/>
      <c r="AD121" s="12">
        <f>SUM(N121:AB121)</f>
        <v>1311129</v>
      </c>
      <c r="AE121" s="12">
        <f>SUM(N122:AB122)</f>
        <v>59179</v>
      </c>
      <c r="AF121" s="12">
        <f>SUM(N123:AB123)</f>
        <v>38557</v>
      </c>
      <c r="AG121" s="2"/>
      <c r="AH121" s="12">
        <f>AD121-B121</f>
        <v>0</v>
      </c>
      <c r="AI121" s="12">
        <f>AE121-C121</f>
        <v>0</v>
      </c>
      <c r="AJ121" s="12">
        <f>AF121-D121</f>
        <v>0</v>
      </c>
      <c r="AL121" s="47">
        <f>C121/B121*1000</f>
        <v>45.135909586318355</v>
      </c>
      <c r="AM121" s="47">
        <f>D121/B121*1000</f>
        <v>29.407480118279743</v>
      </c>
      <c r="AO121" s="47">
        <f>AL121-K121</f>
        <v>3.5909586318354059E-2</v>
      </c>
      <c r="AP121" s="47">
        <f>AM121-L121</f>
        <v>7.4801182797443744E-3</v>
      </c>
      <c r="AR121" s="12">
        <f t="shared" ref="AR121" si="111">H121</f>
        <v>1250725</v>
      </c>
      <c r="AS121" s="12">
        <f t="shared" ref="AS121" si="112">I121</f>
        <v>54223</v>
      </c>
      <c r="AT121" s="12">
        <f t="shared" ref="AT121" si="113">J121</f>
        <v>39804</v>
      </c>
    </row>
    <row r="122" spans="1:46" x14ac:dyDescent="0.55000000000000004">
      <c r="A122" s="11" t="s">
        <v>125</v>
      </c>
      <c r="B122" s="9"/>
      <c r="C122" s="9"/>
      <c r="D122" s="9"/>
      <c r="E122" s="9"/>
      <c r="F122" s="9"/>
      <c r="G122" s="9"/>
      <c r="H122" s="9"/>
      <c r="I122" s="9"/>
      <c r="J122" s="9"/>
      <c r="K122" s="37"/>
      <c r="L122" s="37"/>
      <c r="M122" s="9"/>
      <c r="N122" s="9">
        <v>7023</v>
      </c>
      <c r="O122" s="9">
        <v>6269</v>
      </c>
      <c r="P122" s="9">
        <v>3741</v>
      </c>
      <c r="Q122" s="9">
        <v>4121</v>
      </c>
      <c r="R122" s="9">
        <v>4235</v>
      </c>
      <c r="S122" s="9">
        <v>5711</v>
      </c>
      <c r="T122" s="9">
        <v>3690</v>
      </c>
      <c r="U122" s="9">
        <v>8179</v>
      </c>
      <c r="V122" s="9">
        <v>4559</v>
      </c>
      <c r="W122" s="9">
        <v>4496</v>
      </c>
      <c r="X122" s="9">
        <v>7155</v>
      </c>
      <c r="Y122" s="62" t="s">
        <v>14</v>
      </c>
      <c r="Z122" s="9"/>
      <c r="AA122" s="9"/>
      <c r="AB122" s="9"/>
      <c r="AC122" s="2"/>
      <c r="AD122" s="2"/>
      <c r="AE122" s="2"/>
      <c r="AF122" s="2"/>
      <c r="AG122" s="2"/>
      <c r="AH122" s="2"/>
      <c r="AI122" s="2"/>
      <c r="AJ122" s="2"/>
    </row>
    <row r="123" spans="1:46" x14ac:dyDescent="0.55000000000000004">
      <c r="A123" s="11" t="s">
        <v>126</v>
      </c>
      <c r="B123" s="9"/>
      <c r="C123" s="9"/>
      <c r="D123" s="9"/>
      <c r="E123" s="9"/>
      <c r="F123" s="9"/>
      <c r="G123" s="9"/>
      <c r="H123" s="9"/>
      <c r="I123" s="9"/>
      <c r="J123" s="9"/>
      <c r="K123" s="37"/>
      <c r="L123" s="37"/>
      <c r="M123" s="9"/>
      <c r="N123" s="9">
        <v>4732</v>
      </c>
      <c r="O123" s="9">
        <v>4121</v>
      </c>
      <c r="P123" s="9">
        <v>2566</v>
      </c>
      <c r="Q123" s="9">
        <v>2848</v>
      </c>
      <c r="R123" s="9">
        <v>2416</v>
      </c>
      <c r="S123" s="9">
        <v>3597</v>
      </c>
      <c r="T123" s="9">
        <v>2907</v>
      </c>
      <c r="U123" s="9">
        <v>4920</v>
      </c>
      <c r="V123" s="9">
        <v>2752</v>
      </c>
      <c r="W123" s="9">
        <v>2503</v>
      </c>
      <c r="X123" s="9">
        <v>5195</v>
      </c>
      <c r="Y123" s="62" t="s">
        <v>14</v>
      </c>
      <c r="Z123" s="9"/>
      <c r="AA123" s="9"/>
      <c r="AB123" s="9"/>
      <c r="AC123" s="2"/>
      <c r="AD123" s="2"/>
      <c r="AE123" s="2"/>
      <c r="AF123" s="2"/>
      <c r="AG123" s="2"/>
      <c r="AH123" s="2"/>
      <c r="AI123" s="2"/>
      <c r="AJ123" s="2"/>
    </row>
    <row r="124" spans="1:46" x14ac:dyDescent="0.55000000000000004">
      <c r="A124" s="18" t="s">
        <v>127</v>
      </c>
      <c r="B124" s="17">
        <v>363955</v>
      </c>
      <c r="C124" s="17">
        <v>17441</v>
      </c>
      <c r="D124" s="17">
        <v>12810</v>
      </c>
      <c r="E124" s="17">
        <v>23765</v>
      </c>
      <c r="F124" s="17">
        <v>889</v>
      </c>
      <c r="G124" s="17">
        <v>882</v>
      </c>
      <c r="H124" s="17">
        <v>350138</v>
      </c>
      <c r="I124" s="17">
        <v>16905</v>
      </c>
      <c r="J124" s="17">
        <v>12122</v>
      </c>
      <c r="K124" s="36">
        <v>47.9</v>
      </c>
      <c r="L124" s="36">
        <v>35.200000000000003</v>
      </c>
      <c r="M124" s="9"/>
      <c r="N124" s="17">
        <v>84302</v>
      </c>
      <c r="O124" s="17">
        <v>52752</v>
      </c>
      <c r="P124" s="17">
        <v>78496</v>
      </c>
      <c r="Q124" s="17">
        <v>45587</v>
      </c>
      <c r="R124" s="17">
        <v>28144</v>
      </c>
      <c r="S124" s="17">
        <v>40387</v>
      </c>
      <c r="T124" s="17">
        <v>34287</v>
      </c>
      <c r="U124" s="17"/>
      <c r="V124" s="17"/>
      <c r="W124" s="17"/>
      <c r="X124" s="17"/>
      <c r="Y124" s="17"/>
      <c r="Z124" s="17"/>
      <c r="AA124" s="17"/>
      <c r="AB124" s="17"/>
      <c r="AC124" s="2"/>
      <c r="AD124" s="12">
        <f>SUM(N124:AB124)</f>
        <v>363955</v>
      </c>
      <c r="AE124" s="12">
        <f>SUM(N125:AB125)</f>
        <v>17451</v>
      </c>
      <c r="AF124" s="12">
        <f>SUM(N126:AB126)</f>
        <v>12810</v>
      </c>
      <c r="AG124" s="2"/>
      <c r="AH124" s="12">
        <f>AD124-B124</f>
        <v>0</v>
      </c>
      <c r="AI124" s="12">
        <f>AE124-C124</f>
        <v>10</v>
      </c>
      <c r="AJ124" s="12">
        <f>AF124-D124</f>
        <v>0</v>
      </c>
      <c r="AL124" s="47">
        <f>C124/B124*1000</f>
        <v>47.920759434545474</v>
      </c>
      <c r="AM124" s="47">
        <f>D124/B124*1000</f>
        <v>35.196658927614678</v>
      </c>
      <c r="AO124" s="47">
        <f>AL124-K124</f>
        <v>2.0759434545475131E-2</v>
      </c>
      <c r="AP124" s="47">
        <f>AM124-L124</f>
        <v>-3.3410723853251056E-3</v>
      </c>
      <c r="AR124" s="12">
        <f t="shared" ref="AR124" si="114">H124</f>
        <v>350138</v>
      </c>
      <c r="AS124" s="12">
        <f t="shared" ref="AS124" si="115">I124</f>
        <v>16905</v>
      </c>
      <c r="AT124" s="12">
        <f t="shared" ref="AT124" si="116">J124</f>
        <v>12122</v>
      </c>
    </row>
    <row r="125" spans="1:46" x14ac:dyDescent="0.55000000000000004">
      <c r="A125" s="11" t="s">
        <v>128</v>
      </c>
      <c r="B125" s="9"/>
      <c r="C125" s="9"/>
      <c r="D125" s="9"/>
      <c r="E125" s="9"/>
      <c r="F125" s="9"/>
      <c r="G125" s="9"/>
      <c r="H125" s="9"/>
      <c r="I125" s="9"/>
      <c r="J125" s="9"/>
      <c r="K125" s="37"/>
      <c r="L125" s="37"/>
      <c r="M125" s="9"/>
      <c r="N125" s="9">
        <v>3844</v>
      </c>
      <c r="O125" s="9">
        <v>2447</v>
      </c>
      <c r="P125" s="9">
        <v>4048</v>
      </c>
      <c r="Q125" s="9">
        <v>2174</v>
      </c>
      <c r="R125" s="9">
        <v>1155</v>
      </c>
      <c r="S125" s="9">
        <v>1892</v>
      </c>
      <c r="T125" s="9">
        <v>1891</v>
      </c>
      <c r="U125" s="9"/>
      <c r="V125" s="9"/>
      <c r="W125" s="9"/>
      <c r="X125" s="9"/>
      <c r="Y125" s="9"/>
      <c r="Z125" s="9"/>
      <c r="AA125" s="9"/>
      <c r="AB125" s="9"/>
      <c r="AC125" s="2"/>
      <c r="AD125" s="2"/>
      <c r="AE125" s="2"/>
      <c r="AF125" s="2"/>
      <c r="AG125" s="2"/>
      <c r="AH125" s="2"/>
      <c r="AI125" s="2"/>
      <c r="AJ125" s="2"/>
    </row>
    <row r="126" spans="1:46" x14ac:dyDescent="0.55000000000000004">
      <c r="A126" s="11" t="s">
        <v>129</v>
      </c>
      <c r="B126" s="9"/>
      <c r="C126" s="9"/>
      <c r="D126" s="9"/>
      <c r="E126" s="9"/>
      <c r="F126" s="9"/>
      <c r="G126" s="9"/>
      <c r="H126" s="9"/>
      <c r="I126" s="9"/>
      <c r="J126" s="9"/>
      <c r="K126" s="37"/>
      <c r="L126" s="37"/>
      <c r="M126" s="9"/>
      <c r="N126" s="9">
        <v>3137</v>
      </c>
      <c r="O126" s="9">
        <v>1838</v>
      </c>
      <c r="P126" s="9">
        <v>2606</v>
      </c>
      <c r="Q126" s="9">
        <v>1691</v>
      </c>
      <c r="R126" s="9">
        <v>867</v>
      </c>
      <c r="S126" s="9">
        <v>1365</v>
      </c>
      <c r="T126" s="9">
        <v>1306</v>
      </c>
      <c r="U126" s="9"/>
      <c r="V126" s="9"/>
      <c r="W126" s="9"/>
      <c r="X126" s="9"/>
      <c r="Y126" s="9"/>
      <c r="Z126" s="9"/>
      <c r="AA126" s="9"/>
      <c r="AB126" s="9"/>
      <c r="AC126" s="2"/>
      <c r="AD126" s="2"/>
      <c r="AE126" s="2"/>
      <c r="AF126" s="2"/>
      <c r="AG126" s="2"/>
      <c r="AH126" s="2"/>
      <c r="AI126" s="2"/>
      <c r="AJ126" s="2"/>
    </row>
    <row r="127" spans="1:46" x14ac:dyDescent="0.55000000000000004">
      <c r="A127" s="18" t="s">
        <v>130</v>
      </c>
      <c r="B127" s="17">
        <v>2127397</v>
      </c>
      <c r="C127" s="17">
        <v>109667</v>
      </c>
      <c r="D127" s="17">
        <v>89808</v>
      </c>
      <c r="E127" s="17" t="s">
        <v>14</v>
      </c>
      <c r="F127" s="17" t="s">
        <v>14</v>
      </c>
      <c r="G127" s="17" t="s">
        <v>14</v>
      </c>
      <c r="H127" s="17">
        <v>2048969</v>
      </c>
      <c r="I127" s="17">
        <v>105815</v>
      </c>
      <c r="J127" s="17">
        <v>75183</v>
      </c>
      <c r="K127" s="36">
        <v>51.6</v>
      </c>
      <c r="L127" s="36">
        <v>42.2</v>
      </c>
      <c r="M127" s="9"/>
      <c r="N127" s="17">
        <v>226582</v>
      </c>
      <c r="O127" s="17">
        <v>153690</v>
      </c>
      <c r="P127" s="17">
        <v>166266</v>
      </c>
      <c r="Q127" s="17">
        <v>105555</v>
      </c>
      <c r="R127" s="17">
        <v>293436</v>
      </c>
      <c r="S127" s="17">
        <v>132690</v>
      </c>
      <c r="T127" s="17">
        <v>117294</v>
      </c>
      <c r="U127" s="17">
        <v>353483</v>
      </c>
      <c r="V127" s="17">
        <v>191395</v>
      </c>
      <c r="W127" s="17">
        <v>109489</v>
      </c>
      <c r="X127" s="17">
        <v>145665</v>
      </c>
      <c r="Y127" s="17">
        <v>131762</v>
      </c>
      <c r="Z127" s="17"/>
      <c r="AA127" s="17"/>
      <c r="AB127" s="17"/>
      <c r="AC127" s="2"/>
      <c r="AD127" s="12">
        <f>SUM(N127:AB127)</f>
        <v>2127307</v>
      </c>
      <c r="AE127" s="12">
        <f>SUM(N128:AB128)</f>
        <v>109667</v>
      </c>
      <c r="AF127" s="12">
        <f>SUM(N129:AB129)</f>
        <v>89808</v>
      </c>
      <c r="AG127" s="2"/>
      <c r="AH127" s="12">
        <f>AD127-B127</f>
        <v>-90</v>
      </c>
      <c r="AI127" s="12">
        <f>AE127-C127</f>
        <v>0</v>
      </c>
      <c r="AJ127" s="12">
        <f>AF127-D127</f>
        <v>0</v>
      </c>
      <c r="AL127" s="47">
        <f>C127/B127*1000</f>
        <v>51.54985176720659</v>
      </c>
      <c r="AM127" s="47">
        <f>D127/B127*1000</f>
        <v>42.214969749416774</v>
      </c>
      <c r="AO127" s="47">
        <f>AL127-K127</f>
        <v>-5.0148232793411296E-2</v>
      </c>
      <c r="AP127" s="47">
        <f>AM127-L127</f>
        <v>1.4969749416771094E-2</v>
      </c>
      <c r="AR127" s="12">
        <f t="shared" ref="AR127" si="117">H127</f>
        <v>2048969</v>
      </c>
      <c r="AS127" s="12">
        <f t="shared" ref="AS127" si="118">I127</f>
        <v>105815</v>
      </c>
      <c r="AT127" s="12">
        <f t="shared" ref="AT127" si="119">J127</f>
        <v>75183</v>
      </c>
    </row>
    <row r="128" spans="1:46" x14ac:dyDescent="0.55000000000000004">
      <c r="A128" s="11" t="s">
        <v>131</v>
      </c>
      <c r="B128" s="9"/>
      <c r="C128" s="9"/>
      <c r="D128" s="9"/>
      <c r="E128" s="9"/>
      <c r="F128" s="9"/>
      <c r="G128" s="9"/>
      <c r="H128" s="9"/>
      <c r="I128" s="9"/>
      <c r="J128" s="9"/>
      <c r="K128" s="37"/>
      <c r="L128" s="37"/>
      <c r="M128" s="9"/>
      <c r="N128" s="9">
        <v>10732</v>
      </c>
      <c r="O128" s="9">
        <v>7716</v>
      </c>
      <c r="P128" s="9">
        <v>9515</v>
      </c>
      <c r="Q128" s="9">
        <v>5565</v>
      </c>
      <c r="R128" s="9">
        <v>15548</v>
      </c>
      <c r="S128" s="9">
        <v>7452</v>
      </c>
      <c r="T128" s="9">
        <v>6083</v>
      </c>
      <c r="U128" s="9">
        <v>16688</v>
      </c>
      <c r="V128" s="9">
        <v>10040</v>
      </c>
      <c r="W128" s="9">
        <v>5827</v>
      </c>
      <c r="X128" s="9">
        <v>7629</v>
      </c>
      <c r="Y128" s="9">
        <v>6872</v>
      </c>
      <c r="Z128" s="9"/>
      <c r="AA128" s="9"/>
      <c r="AB128" s="9"/>
      <c r="AC128" s="2"/>
      <c r="AD128" s="2"/>
      <c r="AE128" s="2"/>
      <c r="AF128" s="2"/>
      <c r="AG128" s="2"/>
      <c r="AH128" s="2"/>
      <c r="AI128" s="2"/>
      <c r="AJ128" s="2"/>
    </row>
    <row r="129" spans="1:46" x14ac:dyDescent="0.55000000000000004">
      <c r="A129" s="11" t="s">
        <v>132</v>
      </c>
      <c r="B129" s="9"/>
      <c r="C129" s="9"/>
      <c r="D129" s="9"/>
      <c r="E129" s="9"/>
      <c r="F129" s="9"/>
      <c r="G129" s="9"/>
      <c r="H129" s="9"/>
      <c r="I129" s="9"/>
      <c r="J129" s="9"/>
      <c r="K129" s="37"/>
      <c r="L129" s="37"/>
      <c r="M129" s="9"/>
      <c r="N129" s="9">
        <v>8785</v>
      </c>
      <c r="O129" s="9">
        <v>5858</v>
      </c>
      <c r="P129" s="9">
        <v>6412</v>
      </c>
      <c r="Q129" s="9">
        <v>4571</v>
      </c>
      <c r="R129" s="9">
        <v>13957</v>
      </c>
      <c r="S129" s="9">
        <v>6151</v>
      </c>
      <c r="T129" s="9">
        <v>4982</v>
      </c>
      <c r="U129" s="9">
        <v>15440</v>
      </c>
      <c r="V129" s="9">
        <v>8335</v>
      </c>
      <c r="W129" s="9">
        <v>4551</v>
      </c>
      <c r="X129" s="9">
        <v>5450</v>
      </c>
      <c r="Y129" s="9">
        <v>5316</v>
      </c>
      <c r="Z129" s="9"/>
      <c r="AA129" s="9"/>
      <c r="AB129" s="9"/>
      <c r="AC129" s="2"/>
      <c r="AD129" s="2"/>
      <c r="AE129" s="2"/>
      <c r="AF129" s="2"/>
      <c r="AG129" s="2"/>
      <c r="AH129" s="2"/>
      <c r="AI129" s="2"/>
      <c r="AJ129" s="2"/>
    </row>
    <row r="130" spans="1:46" x14ac:dyDescent="0.55000000000000004">
      <c r="A130" s="18" t="s">
        <v>133</v>
      </c>
      <c r="B130" s="17">
        <v>1606013</v>
      </c>
      <c r="C130" s="17">
        <v>78785</v>
      </c>
      <c r="D130" s="17">
        <v>74230</v>
      </c>
      <c r="E130" s="17">
        <v>142166</v>
      </c>
      <c r="F130" s="17">
        <v>6626</v>
      </c>
      <c r="G130" s="17">
        <v>6656</v>
      </c>
      <c r="H130" s="17">
        <v>1562917</v>
      </c>
      <c r="I130" s="17">
        <v>81527</v>
      </c>
      <c r="J130" s="17">
        <v>60505</v>
      </c>
      <c r="K130" s="36">
        <v>49.1</v>
      </c>
      <c r="L130" s="36">
        <v>46.2</v>
      </c>
      <c r="M130" s="9"/>
      <c r="N130" s="17">
        <v>165067</v>
      </c>
      <c r="O130" s="17">
        <v>173007</v>
      </c>
      <c r="P130" s="17">
        <v>210406</v>
      </c>
      <c r="Q130" s="17">
        <v>137124</v>
      </c>
      <c r="R130" s="17">
        <v>182453</v>
      </c>
      <c r="S130" s="17">
        <v>115285</v>
      </c>
      <c r="T130" s="17">
        <v>131337</v>
      </c>
      <c r="U130" s="17">
        <v>154725</v>
      </c>
      <c r="V130" s="17">
        <v>165113</v>
      </c>
      <c r="W130" s="17">
        <v>156990</v>
      </c>
      <c r="X130" s="57">
        <v>14506</v>
      </c>
      <c r="Y130" s="17"/>
      <c r="Z130" s="17"/>
      <c r="AA130" s="17"/>
      <c r="AB130" s="17"/>
      <c r="AC130" s="2"/>
      <c r="AD130" s="12">
        <f>SUM(N130:AB130)</f>
        <v>1606013</v>
      </c>
      <c r="AE130" s="12">
        <f>SUM(N131:AB131)</f>
        <v>78785</v>
      </c>
      <c r="AF130" s="12">
        <f>SUM(N132:AB132)</f>
        <v>74230</v>
      </c>
      <c r="AG130" s="2"/>
      <c r="AH130" s="12">
        <f>AD130-B130</f>
        <v>0</v>
      </c>
      <c r="AI130" s="12">
        <f>AE130-C130</f>
        <v>0</v>
      </c>
      <c r="AJ130" s="12">
        <f>AF130-D130</f>
        <v>0</v>
      </c>
      <c r="AL130" s="47">
        <f>C130/B130*1000</f>
        <v>49.056265422509036</v>
      </c>
      <c r="AM130" s="47">
        <f>D130/B130*1000</f>
        <v>46.220049277309712</v>
      </c>
      <c r="AO130" s="47">
        <f>AL130-K130</f>
        <v>-4.3734577490965876E-2</v>
      </c>
      <c r="AP130" s="47">
        <f>AM130-L130</f>
        <v>2.0049277309709623E-2</v>
      </c>
      <c r="AR130" s="12">
        <f t="shared" ref="AR130" si="120">H130</f>
        <v>1562917</v>
      </c>
      <c r="AS130" s="12">
        <f t="shared" ref="AS130" si="121">I130</f>
        <v>81527</v>
      </c>
      <c r="AT130" s="12">
        <f t="shared" ref="AT130" si="122">J130</f>
        <v>60505</v>
      </c>
    </row>
    <row r="131" spans="1:46" x14ac:dyDescent="0.55000000000000004">
      <c r="A131" s="11" t="s">
        <v>134</v>
      </c>
      <c r="B131" s="9"/>
      <c r="C131" s="9"/>
      <c r="D131" s="9"/>
      <c r="E131" s="9"/>
      <c r="F131" s="9"/>
      <c r="G131" s="9"/>
      <c r="H131" s="9"/>
      <c r="I131" s="9"/>
      <c r="J131" s="9"/>
      <c r="K131" s="37"/>
      <c r="L131" s="37"/>
      <c r="M131" s="9"/>
      <c r="N131" s="9">
        <v>8964</v>
      </c>
      <c r="O131" s="9">
        <v>9741</v>
      </c>
      <c r="P131" s="9">
        <v>9118</v>
      </c>
      <c r="Q131" s="9">
        <v>5676</v>
      </c>
      <c r="R131" s="9">
        <v>8777</v>
      </c>
      <c r="S131" s="9">
        <v>6962</v>
      </c>
      <c r="T131" s="9">
        <v>6362</v>
      </c>
      <c r="U131" s="9">
        <v>7651</v>
      </c>
      <c r="V131" s="9">
        <v>7041</v>
      </c>
      <c r="W131" s="9">
        <v>8493</v>
      </c>
      <c r="X131" s="62" t="s">
        <v>14</v>
      </c>
      <c r="Y131" s="9"/>
      <c r="Z131" s="9"/>
      <c r="AA131" s="9"/>
      <c r="AB131" s="9"/>
      <c r="AC131" s="2"/>
      <c r="AD131" s="2"/>
      <c r="AE131" s="2"/>
      <c r="AF131" s="2"/>
      <c r="AG131" s="2"/>
      <c r="AH131" s="2"/>
      <c r="AI131" s="2"/>
      <c r="AJ131" s="2"/>
    </row>
    <row r="132" spans="1:46" x14ac:dyDescent="0.55000000000000004">
      <c r="A132" s="11" t="s">
        <v>135</v>
      </c>
      <c r="B132" s="9"/>
      <c r="C132" s="9"/>
      <c r="D132" s="9"/>
      <c r="E132" s="9"/>
      <c r="F132" s="9"/>
      <c r="G132" s="9"/>
      <c r="H132" s="9"/>
      <c r="I132" s="9"/>
      <c r="J132" s="9"/>
      <c r="K132" s="37"/>
      <c r="L132" s="37"/>
      <c r="M132" s="9"/>
      <c r="N132" s="9">
        <v>8896</v>
      </c>
      <c r="O132" s="9">
        <v>6829</v>
      </c>
      <c r="P132" s="9">
        <v>10831</v>
      </c>
      <c r="Q132" s="9">
        <v>5171</v>
      </c>
      <c r="R132" s="9">
        <v>6593</v>
      </c>
      <c r="S132" s="9">
        <v>6330</v>
      </c>
      <c r="T132" s="9">
        <v>6688</v>
      </c>
      <c r="U132" s="9">
        <v>7669</v>
      </c>
      <c r="V132" s="9">
        <v>7332</v>
      </c>
      <c r="W132" s="9">
        <v>7891</v>
      </c>
      <c r="X132" s="62" t="s">
        <v>14</v>
      </c>
      <c r="Y132" s="9"/>
      <c r="Z132" s="9"/>
      <c r="AA132" s="9"/>
      <c r="AB132" s="9"/>
      <c r="AC132" s="2"/>
      <c r="AD132" s="2"/>
      <c r="AE132" s="2"/>
      <c r="AF132" s="2"/>
      <c r="AG132" s="2"/>
      <c r="AH132" s="2"/>
      <c r="AI132" s="2"/>
      <c r="AJ132" s="2"/>
    </row>
    <row r="133" spans="1:46" x14ac:dyDescent="0.55000000000000004">
      <c r="A133" s="18" t="s">
        <v>136</v>
      </c>
      <c r="B133" s="57">
        <v>2805285</v>
      </c>
      <c r="C133" s="57">
        <v>156022</v>
      </c>
      <c r="D133" s="17">
        <v>117028</v>
      </c>
      <c r="E133" s="17">
        <v>151634</v>
      </c>
      <c r="F133" s="17">
        <v>5651</v>
      </c>
      <c r="G133" s="17">
        <v>5909</v>
      </c>
      <c r="H133" s="17">
        <v>2755065</v>
      </c>
      <c r="I133" s="17">
        <v>152361</v>
      </c>
      <c r="J133" s="17">
        <v>121495</v>
      </c>
      <c r="K133" s="36">
        <v>55.8</v>
      </c>
      <c r="L133" s="36">
        <v>41.7</v>
      </c>
      <c r="M133" s="9"/>
      <c r="N133" s="17">
        <v>233657</v>
      </c>
      <c r="O133" s="17">
        <v>225594</v>
      </c>
      <c r="P133" s="17">
        <v>391716</v>
      </c>
      <c r="Q133" s="17">
        <v>145157</v>
      </c>
      <c r="R133" s="17">
        <v>257842</v>
      </c>
      <c r="S133" s="17">
        <v>238765</v>
      </c>
      <c r="T133" s="17">
        <v>124177</v>
      </c>
      <c r="U133" s="17">
        <v>283174</v>
      </c>
      <c r="V133" s="17">
        <v>261235</v>
      </c>
      <c r="W133" s="17">
        <v>215282</v>
      </c>
      <c r="X133" s="17">
        <v>91303</v>
      </c>
      <c r="Y133" s="17">
        <v>337383</v>
      </c>
      <c r="Z133" s="17"/>
      <c r="AA133" s="17"/>
      <c r="AB133" s="17"/>
      <c r="AC133" s="2"/>
      <c r="AD133" s="12">
        <f>SUM(N133:AB133)</f>
        <v>2805285</v>
      </c>
      <c r="AE133" s="12">
        <f>SUM(N134:AB134)</f>
        <v>156022</v>
      </c>
      <c r="AF133" s="12">
        <f>SUM(N135:AB135)</f>
        <v>117008</v>
      </c>
      <c r="AG133" s="2"/>
      <c r="AH133" s="12">
        <f>AD133-B133</f>
        <v>0</v>
      </c>
      <c r="AI133" s="12">
        <f>AE133-C133</f>
        <v>0</v>
      </c>
      <c r="AJ133" s="12">
        <f>AF133-D133</f>
        <v>-20</v>
      </c>
      <c r="AL133" s="47">
        <f>C133/B133*1000</f>
        <v>55.617165457342125</v>
      </c>
      <c r="AM133" s="47">
        <f>D133/B133*1000</f>
        <v>41.716973498236364</v>
      </c>
      <c r="AO133" s="47">
        <f>AL133-K133</f>
        <v>-0.18283454265787213</v>
      </c>
      <c r="AP133" s="47">
        <f>AM133-L133</f>
        <v>1.697349823636074E-2</v>
      </c>
      <c r="AR133" s="12">
        <f t="shared" ref="AR133" si="123">H133</f>
        <v>2755065</v>
      </c>
      <c r="AS133" s="12">
        <f t="shared" ref="AS133" si="124">I133</f>
        <v>152361</v>
      </c>
      <c r="AT133" s="12">
        <f t="shared" ref="AT133" si="125">J133</f>
        <v>121495</v>
      </c>
    </row>
    <row r="134" spans="1:46" x14ac:dyDescent="0.55000000000000004">
      <c r="A134" s="11" t="s">
        <v>137</v>
      </c>
      <c r="B134" s="9"/>
      <c r="C134" s="9"/>
      <c r="D134" s="9"/>
      <c r="E134" s="9"/>
      <c r="F134" s="9"/>
      <c r="G134" s="9"/>
      <c r="H134" s="9"/>
      <c r="I134" s="9"/>
      <c r="J134" s="9"/>
      <c r="K134" s="37"/>
      <c r="L134" s="37"/>
      <c r="M134" s="9"/>
      <c r="N134" s="9">
        <v>13181</v>
      </c>
      <c r="O134" s="9">
        <v>12177</v>
      </c>
      <c r="P134" s="9">
        <v>21218</v>
      </c>
      <c r="Q134" s="9">
        <v>8602</v>
      </c>
      <c r="R134" s="9">
        <v>13230</v>
      </c>
      <c r="S134" s="9">
        <v>13580</v>
      </c>
      <c r="T134" s="9">
        <v>7944</v>
      </c>
      <c r="U134" s="9">
        <v>16856</v>
      </c>
      <c r="V134" s="9">
        <v>13416</v>
      </c>
      <c r="W134" s="9">
        <v>12659</v>
      </c>
      <c r="X134" s="9">
        <v>5500</v>
      </c>
      <c r="Y134" s="9">
        <v>17659</v>
      </c>
      <c r="Z134" s="9"/>
      <c r="AA134" s="9"/>
      <c r="AB134" s="9"/>
      <c r="AC134" s="2"/>
      <c r="AD134" s="2"/>
      <c r="AE134" s="2"/>
      <c r="AF134" s="2"/>
      <c r="AG134" s="2"/>
      <c r="AH134" s="2"/>
      <c r="AI134" s="2"/>
      <c r="AJ134" s="2"/>
    </row>
    <row r="135" spans="1:46" x14ac:dyDescent="0.55000000000000004">
      <c r="A135" s="11" t="s">
        <v>138</v>
      </c>
      <c r="B135" s="9"/>
      <c r="C135" s="9"/>
      <c r="D135" s="9"/>
      <c r="E135" s="9"/>
      <c r="F135" s="9"/>
      <c r="G135" s="9"/>
      <c r="H135" s="9"/>
      <c r="I135" s="9"/>
      <c r="J135" s="9"/>
      <c r="K135" s="37"/>
      <c r="L135" s="37"/>
      <c r="M135" s="9"/>
      <c r="N135" s="9">
        <v>9780</v>
      </c>
      <c r="O135" s="9">
        <v>8941</v>
      </c>
      <c r="P135" s="9">
        <v>17474</v>
      </c>
      <c r="Q135" s="9">
        <v>6497</v>
      </c>
      <c r="R135" s="9">
        <v>10676</v>
      </c>
      <c r="S135" s="9">
        <v>10695</v>
      </c>
      <c r="T135" s="9">
        <v>5839</v>
      </c>
      <c r="U135" s="9">
        <v>12101</v>
      </c>
      <c r="V135" s="9">
        <v>8782</v>
      </c>
      <c r="W135" s="9">
        <v>8819</v>
      </c>
      <c r="X135" s="9">
        <v>2957</v>
      </c>
      <c r="Y135" s="9">
        <v>14447</v>
      </c>
      <c r="Z135" s="9"/>
      <c r="AA135" s="9"/>
      <c r="AB135" s="9"/>
      <c r="AC135" s="2"/>
      <c r="AD135" s="2"/>
      <c r="AE135" s="2"/>
      <c r="AF135" s="2"/>
      <c r="AG135" s="2"/>
      <c r="AH135" s="2"/>
      <c r="AI135" s="2"/>
      <c r="AJ135" s="2"/>
    </row>
    <row r="136" spans="1:46" x14ac:dyDescent="0.55000000000000004">
      <c r="A136" s="18" t="s">
        <v>139</v>
      </c>
      <c r="B136" s="17">
        <v>2945338</v>
      </c>
      <c r="C136" s="17">
        <v>134529</v>
      </c>
      <c r="D136" s="17">
        <v>83286</v>
      </c>
      <c r="E136" s="17">
        <v>251382</v>
      </c>
      <c r="F136" s="17">
        <v>10838</v>
      </c>
      <c r="G136" s="17">
        <v>7495</v>
      </c>
      <c r="H136" s="17">
        <v>2849416</v>
      </c>
      <c r="I136" s="17">
        <v>130294</v>
      </c>
      <c r="J136" s="17">
        <v>82146</v>
      </c>
      <c r="K136" s="36">
        <v>45.7</v>
      </c>
      <c r="L136" s="36">
        <v>28.3</v>
      </c>
      <c r="M136" s="9"/>
      <c r="N136" s="17">
        <v>235578</v>
      </c>
      <c r="O136" s="17">
        <v>173543</v>
      </c>
      <c r="P136" s="17">
        <v>237609</v>
      </c>
      <c r="Q136" s="17">
        <v>152409</v>
      </c>
      <c r="R136" s="17">
        <v>252169</v>
      </c>
      <c r="S136" s="17">
        <v>205882</v>
      </c>
      <c r="T136" s="17">
        <v>247023</v>
      </c>
      <c r="U136" s="17">
        <v>153935</v>
      </c>
      <c r="V136" s="17">
        <v>136829</v>
      </c>
      <c r="W136" s="17">
        <v>166732</v>
      </c>
      <c r="X136" s="17">
        <v>204261</v>
      </c>
      <c r="Y136" s="17">
        <v>173325</v>
      </c>
      <c r="Z136" s="17">
        <v>218679</v>
      </c>
      <c r="AA136" s="17">
        <v>212588</v>
      </c>
      <c r="AB136" s="57">
        <v>174776</v>
      </c>
      <c r="AC136" s="2"/>
      <c r="AD136" s="12">
        <f>SUM(N136:AB136)</f>
        <v>2945338</v>
      </c>
      <c r="AE136" s="12">
        <f>SUM(N137:AB137)</f>
        <v>134539</v>
      </c>
      <c r="AF136" s="12">
        <f>SUM(N138:AB138)</f>
        <v>83386</v>
      </c>
      <c r="AG136" s="2"/>
      <c r="AH136" s="12">
        <f>AD136-B136</f>
        <v>0</v>
      </c>
      <c r="AI136" s="12">
        <f>AE136-C136</f>
        <v>10</v>
      </c>
      <c r="AJ136" s="12">
        <f>AF136-D136</f>
        <v>100</v>
      </c>
      <c r="AL136" s="47">
        <f>C136/B136*1000</f>
        <v>45.675233199042012</v>
      </c>
      <c r="AM136" s="47">
        <f>D136/B136*1000</f>
        <v>28.277229981754218</v>
      </c>
      <c r="AO136" s="47">
        <f>AL136-K136</f>
        <v>-2.4766800957991109E-2</v>
      </c>
      <c r="AP136" s="47">
        <f>AM136-L136</f>
        <v>-2.2770018245783064E-2</v>
      </c>
      <c r="AR136" s="12">
        <f t="shared" ref="AR136" si="126">H136</f>
        <v>2849416</v>
      </c>
      <c r="AS136" s="12">
        <f t="shared" ref="AS136" si="127">I136</f>
        <v>130294</v>
      </c>
      <c r="AT136" s="12">
        <f t="shared" ref="AT136" si="128">J136</f>
        <v>82146</v>
      </c>
    </row>
    <row r="137" spans="1:46" x14ac:dyDescent="0.55000000000000004">
      <c r="A137" s="11" t="s">
        <v>140</v>
      </c>
      <c r="B137" s="9"/>
      <c r="C137" s="9"/>
      <c r="D137" s="9"/>
      <c r="E137" s="9"/>
      <c r="F137" s="9"/>
      <c r="G137" s="9"/>
      <c r="H137" s="9"/>
      <c r="I137" s="9"/>
      <c r="J137" s="9"/>
      <c r="K137" s="37"/>
      <c r="L137" s="37"/>
      <c r="M137" s="9"/>
      <c r="N137" s="9">
        <v>10540</v>
      </c>
      <c r="O137" s="9">
        <v>7666</v>
      </c>
      <c r="P137" s="9">
        <v>11594</v>
      </c>
      <c r="Q137" s="9">
        <v>6859</v>
      </c>
      <c r="R137" s="9">
        <v>9769</v>
      </c>
      <c r="S137" s="9">
        <v>11029</v>
      </c>
      <c r="T137" s="9">
        <v>10491</v>
      </c>
      <c r="U137" s="9">
        <v>7582</v>
      </c>
      <c r="V137" s="9">
        <v>6973</v>
      </c>
      <c r="W137" s="9">
        <v>7592</v>
      </c>
      <c r="X137" s="9">
        <v>9445</v>
      </c>
      <c r="Y137" s="9">
        <v>8250</v>
      </c>
      <c r="Z137" s="9">
        <v>9249</v>
      </c>
      <c r="AA137" s="9">
        <v>8549</v>
      </c>
      <c r="AB137" s="9">
        <v>8951</v>
      </c>
      <c r="AC137" s="2"/>
      <c r="AD137" s="2"/>
      <c r="AE137" s="2"/>
      <c r="AF137" s="2"/>
      <c r="AG137" s="2"/>
      <c r="AH137" s="2"/>
      <c r="AI137" s="2"/>
      <c r="AJ137" s="2"/>
    </row>
    <row r="138" spans="1:46" x14ac:dyDescent="0.55000000000000004">
      <c r="A138" s="11" t="s">
        <v>141</v>
      </c>
      <c r="B138" s="9"/>
      <c r="C138" s="9"/>
      <c r="D138" s="9"/>
      <c r="E138" s="9"/>
      <c r="F138" s="9"/>
      <c r="G138" s="9"/>
      <c r="H138" s="9"/>
      <c r="I138" s="9"/>
      <c r="J138" s="9"/>
      <c r="K138" s="37"/>
      <c r="L138" s="37"/>
      <c r="M138" s="9"/>
      <c r="N138" s="9">
        <v>7157</v>
      </c>
      <c r="O138" s="9">
        <v>4747</v>
      </c>
      <c r="P138" s="9">
        <v>6768</v>
      </c>
      <c r="Q138" s="9">
        <v>3848</v>
      </c>
      <c r="R138" s="9">
        <v>5771</v>
      </c>
      <c r="S138" s="9">
        <v>8726</v>
      </c>
      <c r="T138" s="9">
        <v>6242</v>
      </c>
      <c r="U138" s="9">
        <v>4264</v>
      </c>
      <c r="V138" s="9">
        <v>4619</v>
      </c>
      <c r="W138" s="9">
        <v>4496</v>
      </c>
      <c r="X138" s="9">
        <v>5695</v>
      </c>
      <c r="Y138" s="9">
        <v>4952</v>
      </c>
      <c r="Z138" s="9">
        <v>6411</v>
      </c>
      <c r="AA138" s="9">
        <v>4947</v>
      </c>
      <c r="AB138" s="9">
        <v>4743</v>
      </c>
      <c r="AC138" s="2"/>
      <c r="AD138" s="2"/>
      <c r="AE138" s="2"/>
      <c r="AF138" s="2"/>
      <c r="AG138" s="2"/>
      <c r="AH138" s="2"/>
      <c r="AI138" s="2"/>
      <c r="AJ138" s="2"/>
    </row>
    <row r="139" spans="1:46" x14ac:dyDescent="0.55000000000000004">
      <c r="A139" s="18" t="s">
        <v>142</v>
      </c>
      <c r="B139" s="17">
        <v>1034125</v>
      </c>
      <c r="C139" s="17">
        <v>52632</v>
      </c>
      <c r="D139" s="17">
        <v>29690</v>
      </c>
      <c r="E139" s="61" t="s">
        <v>14</v>
      </c>
      <c r="F139" s="61" t="s">
        <v>14</v>
      </c>
      <c r="G139" s="61" t="s">
        <v>14</v>
      </c>
      <c r="H139" s="17">
        <v>999043</v>
      </c>
      <c r="I139" s="17">
        <v>49159</v>
      </c>
      <c r="J139" s="17">
        <v>34066</v>
      </c>
      <c r="K139" s="36">
        <v>50.9</v>
      </c>
      <c r="L139" s="36">
        <v>28.7</v>
      </c>
      <c r="M139" s="9"/>
      <c r="N139" s="17">
        <v>217969</v>
      </c>
      <c r="O139" s="17">
        <v>111378</v>
      </c>
      <c r="P139" s="17">
        <v>103357</v>
      </c>
      <c r="Q139" s="17">
        <v>126975</v>
      </c>
      <c r="R139" s="17">
        <v>158319</v>
      </c>
      <c r="S139" s="17">
        <v>165560</v>
      </c>
      <c r="T139" s="17">
        <v>76480</v>
      </c>
      <c r="U139" s="17">
        <v>74099</v>
      </c>
      <c r="V139" s="17"/>
      <c r="W139" s="17"/>
      <c r="X139" s="17"/>
      <c r="Y139" s="17"/>
      <c r="Z139" s="17"/>
      <c r="AA139" s="17"/>
      <c r="AB139" s="17"/>
      <c r="AC139" s="2"/>
      <c r="AD139" s="12">
        <f>SUM(N139:AB139)</f>
        <v>1034137</v>
      </c>
      <c r="AE139" s="12">
        <f>SUM(N140:AB140)</f>
        <v>52632</v>
      </c>
      <c r="AF139" s="12">
        <f>SUM(N141:AB141)</f>
        <v>29690</v>
      </c>
      <c r="AG139" s="2"/>
      <c r="AH139" s="12">
        <f>AD139-B139</f>
        <v>12</v>
      </c>
      <c r="AI139" s="12">
        <f>AE139-C139</f>
        <v>0</v>
      </c>
      <c r="AJ139" s="12">
        <f>AF139-D139</f>
        <v>0</v>
      </c>
      <c r="AL139" s="47">
        <f>C139/B139*1000</f>
        <v>50.895201257101419</v>
      </c>
      <c r="AM139" s="47">
        <f>D139/B139*1000</f>
        <v>28.710262299045088</v>
      </c>
      <c r="AO139" s="47">
        <f>AL139-K139</f>
        <v>-4.798742898579178E-3</v>
      </c>
      <c r="AP139" s="47">
        <f>AM139-L139</f>
        <v>1.0262299045088241E-2</v>
      </c>
      <c r="AR139" s="12">
        <f t="shared" ref="AR139" si="129">H139</f>
        <v>999043</v>
      </c>
      <c r="AS139" s="12">
        <f t="shared" ref="AS139" si="130">I139</f>
        <v>49159</v>
      </c>
      <c r="AT139" s="12">
        <f t="shared" ref="AT139" si="131">J139</f>
        <v>34066</v>
      </c>
    </row>
    <row r="140" spans="1:46" x14ac:dyDescent="0.55000000000000004">
      <c r="A140" s="11" t="s">
        <v>143</v>
      </c>
      <c r="B140" s="9"/>
      <c r="C140" s="9"/>
      <c r="D140" s="9"/>
      <c r="E140" s="9"/>
      <c r="F140" s="9"/>
      <c r="G140" s="9"/>
      <c r="H140" s="9"/>
      <c r="I140" s="9"/>
      <c r="J140" s="9"/>
      <c r="K140" s="37"/>
      <c r="L140" s="37"/>
      <c r="M140" s="9"/>
      <c r="N140" s="9">
        <v>9919</v>
      </c>
      <c r="O140" s="9">
        <v>6379</v>
      </c>
      <c r="P140" s="9">
        <v>5434</v>
      </c>
      <c r="Q140" s="9">
        <v>6350</v>
      </c>
      <c r="R140" s="9">
        <v>7761</v>
      </c>
      <c r="S140" s="9">
        <v>7741</v>
      </c>
      <c r="T140" s="9">
        <v>4767</v>
      </c>
      <c r="U140" s="9">
        <v>4281</v>
      </c>
      <c r="V140" s="9"/>
      <c r="W140" s="9"/>
      <c r="X140" s="9"/>
      <c r="Y140" s="9"/>
      <c r="Z140" s="9"/>
      <c r="AA140" s="9"/>
      <c r="AB140" s="9"/>
      <c r="AC140" s="2"/>
      <c r="AD140" s="2"/>
      <c r="AE140" s="2"/>
      <c r="AF140" s="2"/>
      <c r="AG140" s="2"/>
      <c r="AH140" s="2"/>
      <c r="AI140" s="2"/>
      <c r="AJ140" s="2"/>
    </row>
    <row r="141" spans="1:46" x14ac:dyDescent="0.55000000000000004">
      <c r="A141" s="11" t="s">
        <v>144</v>
      </c>
      <c r="B141" s="9"/>
      <c r="C141" s="9"/>
      <c r="D141" s="9"/>
      <c r="E141" s="9"/>
      <c r="F141" s="9"/>
      <c r="G141" s="9"/>
      <c r="H141" s="9"/>
      <c r="I141" s="9"/>
      <c r="J141" s="9"/>
      <c r="K141" s="37"/>
      <c r="L141" s="37"/>
      <c r="M141" s="9"/>
      <c r="N141" s="9">
        <v>6221</v>
      </c>
      <c r="O141" s="9">
        <v>3678</v>
      </c>
      <c r="P141" s="9">
        <v>2706</v>
      </c>
      <c r="Q141" s="9">
        <v>3357</v>
      </c>
      <c r="R141" s="9">
        <v>4110</v>
      </c>
      <c r="S141" s="9">
        <v>4369</v>
      </c>
      <c r="T141" s="9">
        <v>2801</v>
      </c>
      <c r="U141" s="9">
        <v>2448</v>
      </c>
      <c r="V141" s="9"/>
      <c r="W141" s="9"/>
      <c r="X141" s="9"/>
      <c r="Y141" s="9"/>
      <c r="Z141" s="9"/>
      <c r="AA141" s="9"/>
      <c r="AB141" s="9"/>
      <c r="AC141" s="2"/>
      <c r="AD141" s="2"/>
      <c r="AE141" s="2"/>
      <c r="AF141" s="2"/>
      <c r="AG141" s="2"/>
      <c r="AH141" s="2"/>
      <c r="AI141" s="2"/>
      <c r="AJ141" s="2"/>
    </row>
    <row r="142" spans="1:46" x14ac:dyDescent="0.55000000000000004">
      <c r="A142" s="18" t="s">
        <v>145</v>
      </c>
      <c r="B142" s="17">
        <v>1954920</v>
      </c>
      <c r="C142" s="17">
        <v>92266</v>
      </c>
      <c r="D142" s="57">
        <v>75420</v>
      </c>
      <c r="E142" s="17">
        <v>96679</v>
      </c>
      <c r="F142" s="17">
        <v>5454</v>
      </c>
      <c r="G142" s="17">
        <v>4914</v>
      </c>
      <c r="H142" s="17">
        <v>1888401</v>
      </c>
      <c r="I142" s="17">
        <v>92410</v>
      </c>
      <c r="J142" s="17">
        <v>62602</v>
      </c>
      <c r="K142" s="36">
        <v>47.2</v>
      </c>
      <c r="L142" s="36">
        <v>33.799999999999997</v>
      </c>
      <c r="M142" s="9"/>
      <c r="N142" s="17">
        <v>221060</v>
      </c>
      <c r="O142" s="17">
        <v>122077</v>
      </c>
      <c r="P142" s="17">
        <v>150607</v>
      </c>
      <c r="Q142" s="17">
        <v>138252</v>
      </c>
      <c r="R142" s="17">
        <v>188278</v>
      </c>
      <c r="S142" s="17">
        <v>167777</v>
      </c>
      <c r="T142" s="17">
        <v>125253</v>
      </c>
      <c r="U142" s="17">
        <v>159884</v>
      </c>
      <c r="V142" s="17">
        <v>147938</v>
      </c>
      <c r="W142" s="17">
        <v>173487</v>
      </c>
      <c r="X142" s="17">
        <v>187113</v>
      </c>
      <c r="Y142" s="17">
        <v>168976</v>
      </c>
      <c r="Z142" s="57">
        <v>4218</v>
      </c>
      <c r="AA142" s="17"/>
      <c r="AB142" s="17"/>
      <c r="AC142" s="2"/>
      <c r="AD142" s="12">
        <f>SUM(N142:AB142)</f>
        <v>1954920</v>
      </c>
      <c r="AE142" s="12">
        <f>SUM(N143:AB143)</f>
        <v>92266</v>
      </c>
      <c r="AF142" s="12">
        <f>SUM(N144:AB144)</f>
        <v>75420</v>
      </c>
      <c r="AG142" s="2"/>
      <c r="AH142" s="12">
        <f>AD142-B142</f>
        <v>0</v>
      </c>
      <c r="AI142" s="12">
        <f>AE142-C142</f>
        <v>0</v>
      </c>
      <c r="AJ142" s="12">
        <f>AF142-D142</f>
        <v>0</v>
      </c>
      <c r="AL142" s="47">
        <f>C142/B142*1000</f>
        <v>47.196816238004622</v>
      </c>
      <c r="AM142" s="47">
        <f>D142/B142*1000</f>
        <v>38.579583819286725</v>
      </c>
      <c r="AO142" s="47">
        <f>AL142-K142</f>
        <v>-3.1837619953805074E-3</v>
      </c>
      <c r="AP142" s="47">
        <f>AM142-L142</f>
        <v>4.7795838192867279</v>
      </c>
      <c r="AR142" s="12">
        <f t="shared" ref="AR142" si="132">H142</f>
        <v>1888401</v>
      </c>
      <c r="AS142" s="12">
        <f t="shared" ref="AS142" si="133">I142</f>
        <v>92410</v>
      </c>
      <c r="AT142" s="12">
        <f t="shared" ref="AT142" si="134">J142</f>
        <v>62602</v>
      </c>
    </row>
    <row r="143" spans="1:46" x14ac:dyDescent="0.55000000000000004">
      <c r="A143" s="11" t="s">
        <v>146</v>
      </c>
      <c r="B143" s="9"/>
      <c r="C143" s="9"/>
      <c r="D143" s="9"/>
      <c r="E143" s="9"/>
      <c r="F143" s="9"/>
      <c r="G143" s="9"/>
      <c r="H143" s="9"/>
      <c r="I143" s="9"/>
      <c r="J143" s="9"/>
      <c r="K143" s="37"/>
      <c r="L143" s="37"/>
      <c r="M143" s="9"/>
      <c r="N143" s="9">
        <v>10336</v>
      </c>
      <c r="O143" s="9">
        <v>5385</v>
      </c>
      <c r="P143" s="9">
        <v>8056</v>
      </c>
      <c r="Q143" s="9">
        <v>5764</v>
      </c>
      <c r="R143" s="9">
        <v>8455</v>
      </c>
      <c r="S143" s="9">
        <v>7897</v>
      </c>
      <c r="T143" s="9">
        <v>5453</v>
      </c>
      <c r="U143" s="9">
        <v>8872</v>
      </c>
      <c r="V143" s="9">
        <v>7646</v>
      </c>
      <c r="W143" s="9">
        <v>8193</v>
      </c>
      <c r="X143" s="9">
        <v>9054</v>
      </c>
      <c r="Y143" s="57">
        <v>7155</v>
      </c>
      <c r="Z143" s="62" t="s">
        <v>14</v>
      </c>
      <c r="AA143" s="9"/>
      <c r="AB143" s="9"/>
      <c r="AC143" s="2"/>
      <c r="AD143" s="2"/>
      <c r="AE143" s="2"/>
      <c r="AF143" s="2"/>
      <c r="AG143" s="2"/>
      <c r="AH143" s="2"/>
      <c r="AI143" s="2"/>
      <c r="AJ143" s="2"/>
    </row>
    <row r="144" spans="1:46" x14ac:dyDescent="0.55000000000000004">
      <c r="A144" s="11" t="s">
        <v>147</v>
      </c>
      <c r="B144" s="9"/>
      <c r="C144" s="9"/>
      <c r="D144" s="9"/>
      <c r="E144" s="9"/>
      <c r="F144" s="9"/>
      <c r="G144" s="9"/>
      <c r="H144" s="9"/>
      <c r="I144" s="9"/>
      <c r="J144" s="9"/>
      <c r="K144" s="37"/>
      <c r="L144" s="37"/>
      <c r="M144" s="9"/>
      <c r="N144" s="9">
        <v>7367</v>
      </c>
      <c r="O144" s="9">
        <v>4912</v>
      </c>
      <c r="P144" s="9">
        <v>5306</v>
      </c>
      <c r="Q144" s="9">
        <v>4060</v>
      </c>
      <c r="R144" s="9">
        <v>6011</v>
      </c>
      <c r="S144" s="9">
        <v>6533</v>
      </c>
      <c r="T144" s="9">
        <v>4269</v>
      </c>
      <c r="U144" s="9">
        <v>7522</v>
      </c>
      <c r="V144" s="9">
        <v>7389</v>
      </c>
      <c r="W144" s="9">
        <v>7099</v>
      </c>
      <c r="X144" s="9">
        <v>8565</v>
      </c>
      <c r="Y144" s="57">
        <v>6387</v>
      </c>
      <c r="Z144" s="62" t="s">
        <v>14</v>
      </c>
      <c r="AA144" s="9"/>
      <c r="AB144" s="9"/>
      <c r="AC144" s="2"/>
      <c r="AD144" s="2"/>
      <c r="AE144" s="2"/>
      <c r="AF144" s="2"/>
      <c r="AG144" s="2"/>
      <c r="AH144" s="2"/>
      <c r="AI144" s="2"/>
      <c r="AJ144" s="2"/>
    </row>
    <row r="145" spans="1:46" x14ac:dyDescent="0.55000000000000004">
      <c r="A145" s="18" t="s">
        <v>148</v>
      </c>
      <c r="B145" s="17">
        <v>2700494</v>
      </c>
      <c r="C145" s="17">
        <v>149458</v>
      </c>
      <c r="D145" s="17">
        <v>106837</v>
      </c>
      <c r="E145" s="17">
        <v>172679</v>
      </c>
      <c r="F145" s="17">
        <v>7800</v>
      </c>
      <c r="G145" s="17">
        <v>7114</v>
      </c>
      <c r="H145" s="17">
        <v>2590156</v>
      </c>
      <c r="I145" s="17">
        <v>150713</v>
      </c>
      <c r="J145" s="17">
        <v>102581</v>
      </c>
      <c r="K145" s="36">
        <v>55.4</v>
      </c>
      <c r="L145" s="36">
        <v>39.5</v>
      </c>
      <c r="M145" s="9"/>
      <c r="N145" s="17">
        <v>351951</v>
      </c>
      <c r="O145" s="17">
        <v>295652</v>
      </c>
      <c r="P145" s="17">
        <v>392358</v>
      </c>
      <c r="Q145" s="17">
        <v>456837</v>
      </c>
      <c r="R145" s="17">
        <v>516262</v>
      </c>
      <c r="S145" s="17">
        <v>406350</v>
      </c>
      <c r="T145" s="17">
        <v>281084</v>
      </c>
      <c r="U145" s="17"/>
      <c r="V145" s="17"/>
      <c r="W145" s="17"/>
      <c r="X145" s="17"/>
      <c r="Y145" s="17"/>
      <c r="Z145" s="17"/>
      <c r="AA145" s="17"/>
      <c r="AB145" s="17"/>
      <c r="AC145" s="2"/>
      <c r="AD145" s="12">
        <f>SUM(N145:AB145)</f>
        <v>2700494</v>
      </c>
      <c r="AE145" s="12">
        <f>SUM(N146:AB146)</f>
        <v>149458</v>
      </c>
      <c r="AF145" s="12">
        <f>SUM(N147:AB147)</f>
        <v>106838</v>
      </c>
      <c r="AG145" s="2"/>
      <c r="AH145" s="12">
        <f>AD145-B145</f>
        <v>0</v>
      </c>
      <c r="AI145" s="12">
        <f>AE145-C145</f>
        <v>0</v>
      </c>
      <c r="AJ145" s="12">
        <f>AF145-D145</f>
        <v>1</v>
      </c>
      <c r="AL145" s="47">
        <f>C145/B145*1000</f>
        <v>55.34468878657016</v>
      </c>
      <c r="AM145" s="47">
        <f>D145/B145*1000</f>
        <v>39.562020874699222</v>
      </c>
      <c r="AO145" s="47">
        <f>AL145-K145</f>
        <v>-5.5311213429838801E-2</v>
      </c>
      <c r="AP145" s="47">
        <f>AM145-L145</f>
        <v>6.2020874699221906E-2</v>
      </c>
      <c r="AR145" s="12">
        <f t="shared" ref="AR145" si="135">H145</f>
        <v>2590156</v>
      </c>
      <c r="AS145" s="12">
        <f t="shared" ref="AS145" si="136">I145</f>
        <v>150713</v>
      </c>
      <c r="AT145" s="12">
        <f t="shared" ref="AT145" si="137">J145</f>
        <v>102581</v>
      </c>
    </row>
    <row r="146" spans="1:46" x14ac:dyDescent="0.55000000000000004">
      <c r="A146" s="11" t="s">
        <v>149</v>
      </c>
      <c r="B146" s="9"/>
      <c r="C146" s="9"/>
      <c r="D146" s="9"/>
      <c r="E146" s="9"/>
      <c r="F146" s="9"/>
      <c r="G146" s="9"/>
      <c r="H146" s="9"/>
      <c r="I146" s="9"/>
      <c r="J146" s="9"/>
      <c r="K146" s="37"/>
      <c r="L146" s="37"/>
      <c r="M146" s="9"/>
      <c r="N146" s="9">
        <v>18674</v>
      </c>
      <c r="O146" s="9">
        <v>14741</v>
      </c>
      <c r="P146" s="9">
        <v>22351</v>
      </c>
      <c r="Q146" s="9">
        <v>28867</v>
      </c>
      <c r="R146" s="9">
        <v>28374</v>
      </c>
      <c r="S146" s="9">
        <v>20014</v>
      </c>
      <c r="T146" s="9">
        <v>16437</v>
      </c>
      <c r="U146" s="9"/>
      <c r="V146" s="9"/>
      <c r="W146" s="9"/>
      <c r="X146" s="9"/>
      <c r="Y146" s="9"/>
      <c r="Z146" s="9"/>
      <c r="AA146" s="9"/>
      <c r="AB146" s="9"/>
      <c r="AC146" s="2"/>
      <c r="AD146" s="2"/>
      <c r="AE146" s="2"/>
      <c r="AF146" s="2"/>
      <c r="AG146" s="2"/>
      <c r="AH146" s="2"/>
      <c r="AI146" s="2"/>
      <c r="AJ146" s="2"/>
    </row>
    <row r="147" spans="1:46" x14ac:dyDescent="0.55000000000000004">
      <c r="A147" s="11" t="s">
        <v>150</v>
      </c>
      <c r="B147" s="9"/>
      <c r="C147" s="9"/>
      <c r="D147" s="9"/>
      <c r="E147" s="9"/>
      <c r="F147" s="9"/>
      <c r="G147" s="9"/>
      <c r="H147" s="9"/>
      <c r="I147" s="9"/>
      <c r="J147" s="9"/>
      <c r="K147" s="37"/>
      <c r="L147" s="37"/>
      <c r="M147" s="9"/>
      <c r="N147" s="9">
        <v>14073</v>
      </c>
      <c r="O147" s="9">
        <v>10056</v>
      </c>
      <c r="P147" s="9">
        <v>13243</v>
      </c>
      <c r="Q147" s="9">
        <v>20449</v>
      </c>
      <c r="R147" s="9">
        <v>20148</v>
      </c>
      <c r="S147" s="9">
        <v>16551</v>
      </c>
      <c r="T147" s="9">
        <v>12318</v>
      </c>
      <c r="U147" s="9"/>
      <c r="V147" s="9"/>
      <c r="W147" s="9"/>
      <c r="X147" s="9"/>
      <c r="Y147" s="9"/>
      <c r="Z147" s="9"/>
      <c r="AA147" s="9"/>
      <c r="AB147" s="9"/>
      <c r="AC147" s="2"/>
      <c r="AD147" s="2"/>
      <c r="AE147" s="2"/>
      <c r="AF147" s="2"/>
      <c r="AG147" s="2"/>
      <c r="AH147" s="2"/>
      <c r="AI147" s="2"/>
      <c r="AJ147" s="2"/>
    </row>
    <row r="148" spans="1:46" x14ac:dyDescent="0.55000000000000004">
      <c r="A148" s="20" t="s">
        <v>151</v>
      </c>
      <c r="B148" s="19">
        <v>839339</v>
      </c>
      <c r="C148" s="19">
        <v>31355</v>
      </c>
      <c r="D148" s="19">
        <v>27915</v>
      </c>
      <c r="E148" s="19"/>
      <c r="F148" s="19"/>
      <c r="G148" s="19"/>
      <c r="H148" s="19">
        <v>788505</v>
      </c>
      <c r="I148" s="19">
        <v>33072</v>
      </c>
      <c r="J148" s="19">
        <v>28401</v>
      </c>
      <c r="K148" s="36">
        <v>37.4</v>
      </c>
      <c r="L148" s="36">
        <v>33.299999999999997</v>
      </c>
      <c r="N148" s="19"/>
      <c r="O148" s="19"/>
      <c r="P148" s="19"/>
      <c r="Q148" s="19"/>
      <c r="R148" s="19"/>
      <c r="S148" s="19"/>
      <c r="T148" s="19"/>
      <c r="U148" s="17"/>
      <c r="V148" s="17"/>
      <c r="W148" s="17"/>
      <c r="X148" s="17"/>
      <c r="Y148" s="17"/>
      <c r="Z148" s="17"/>
      <c r="AA148" s="17"/>
      <c r="AB148" s="17"/>
      <c r="AC148" s="2"/>
      <c r="AD148" s="12">
        <f t="shared" ref="AD148:AF149" si="138">B148</f>
        <v>839339</v>
      </c>
      <c r="AE148" s="12">
        <f t="shared" si="138"/>
        <v>31355</v>
      </c>
      <c r="AF148" s="12">
        <f t="shared" si="138"/>
        <v>27915</v>
      </c>
      <c r="AG148" s="2"/>
      <c r="AH148" s="12"/>
      <c r="AI148" s="12"/>
      <c r="AJ148" s="12"/>
      <c r="AL148" s="47">
        <f>C148/B148*1000</f>
        <v>37.356777178231916</v>
      </c>
      <c r="AM148" s="47">
        <f>D148/B148*1000</f>
        <v>33.258313982788835</v>
      </c>
      <c r="AO148" s="47">
        <f t="shared" ref="AO148:AP150" si="139">AL148-K148</f>
        <v>-4.3222821768083008E-2</v>
      </c>
      <c r="AP148" s="47">
        <f t="shared" si="139"/>
        <v>-4.1686017211162607E-2</v>
      </c>
      <c r="AR148" s="12">
        <f t="shared" ref="AR148:AR150" si="140">H148</f>
        <v>788505</v>
      </c>
      <c r="AS148" s="12">
        <f t="shared" ref="AS148:AS150" si="141">I148</f>
        <v>33072</v>
      </c>
      <c r="AT148" s="12">
        <f t="shared" ref="AT148:AT150" si="142">J148</f>
        <v>28401</v>
      </c>
    </row>
    <row r="149" spans="1:46" x14ac:dyDescent="0.55000000000000004">
      <c r="A149" s="20" t="s">
        <v>152</v>
      </c>
      <c r="B149" s="19">
        <v>1035439</v>
      </c>
      <c r="C149" s="19">
        <v>31223</v>
      </c>
      <c r="D149" s="19">
        <v>27592</v>
      </c>
      <c r="E149" s="19"/>
      <c r="F149" s="19"/>
      <c r="G149" s="19"/>
      <c r="H149" s="19">
        <v>942007</v>
      </c>
      <c r="I149" s="19">
        <v>28762</v>
      </c>
      <c r="J149" s="19">
        <v>26234</v>
      </c>
      <c r="K149" s="36">
        <v>30.2</v>
      </c>
      <c r="L149" s="36">
        <v>26.6</v>
      </c>
      <c r="N149" s="19"/>
      <c r="O149" s="19"/>
      <c r="P149" s="19"/>
      <c r="Q149" s="19"/>
      <c r="R149" s="19"/>
      <c r="S149" s="19"/>
      <c r="T149" s="19"/>
      <c r="U149" s="17"/>
      <c r="V149" s="17"/>
      <c r="W149" s="17"/>
      <c r="X149" s="17"/>
      <c r="Y149" s="17"/>
      <c r="Z149" s="17"/>
      <c r="AA149" s="17"/>
      <c r="AB149" s="17"/>
      <c r="AC149" s="2"/>
      <c r="AD149" s="12">
        <f t="shared" si="138"/>
        <v>1035439</v>
      </c>
      <c r="AE149" s="12">
        <f t="shared" si="138"/>
        <v>31223</v>
      </c>
      <c r="AF149" s="12">
        <f t="shared" si="138"/>
        <v>27592</v>
      </c>
      <c r="AG149" s="2"/>
      <c r="AH149" s="12"/>
      <c r="AI149" s="12"/>
      <c r="AJ149" s="12"/>
      <c r="AL149" s="47">
        <f>C149/B149*1000</f>
        <v>30.154359648419657</v>
      </c>
      <c r="AM149" s="47">
        <f>D149/B149*1000</f>
        <v>26.647634481606353</v>
      </c>
      <c r="AO149" s="47">
        <f t="shared" si="139"/>
        <v>-4.5640351580342298E-2</v>
      </c>
      <c r="AP149" s="47">
        <f t="shared" si="139"/>
        <v>4.7634481606351642E-2</v>
      </c>
      <c r="AR149" s="12">
        <f t="shared" si="140"/>
        <v>942007</v>
      </c>
      <c r="AS149" s="12">
        <f t="shared" si="141"/>
        <v>28762</v>
      </c>
      <c r="AT149" s="12">
        <f t="shared" si="142"/>
        <v>26234</v>
      </c>
    </row>
    <row r="150" spans="1:46" x14ac:dyDescent="0.55000000000000004">
      <c r="A150" s="18" t="s">
        <v>153</v>
      </c>
      <c r="B150" s="17">
        <v>841317</v>
      </c>
      <c r="C150" s="17">
        <v>30156</v>
      </c>
      <c r="D150" s="17">
        <v>23152</v>
      </c>
      <c r="E150" s="61" t="s">
        <v>14</v>
      </c>
      <c r="F150" s="61" t="s">
        <v>14</v>
      </c>
      <c r="G150" s="61" t="s">
        <v>14</v>
      </c>
      <c r="H150" s="17">
        <v>826659</v>
      </c>
      <c r="I150" s="17">
        <v>30781</v>
      </c>
      <c r="J150" s="17">
        <v>25550</v>
      </c>
      <c r="K150" s="36">
        <v>49.4</v>
      </c>
      <c r="L150" s="36">
        <v>38</v>
      </c>
      <c r="M150" s="9"/>
      <c r="N150" s="17">
        <v>130758</v>
      </c>
      <c r="O150" s="17">
        <v>136695</v>
      </c>
      <c r="P150" s="17">
        <v>112386</v>
      </c>
      <c r="Q150" s="17">
        <v>89066</v>
      </c>
      <c r="R150" s="17">
        <v>60302</v>
      </c>
      <c r="S150" s="17">
        <v>87656</v>
      </c>
      <c r="T150" s="17">
        <v>46069</v>
      </c>
      <c r="U150" s="17">
        <v>92575</v>
      </c>
      <c r="V150" s="57">
        <v>85810</v>
      </c>
      <c r="W150" s="17"/>
      <c r="X150" s="17"/>
      <c r="Y150" s="17"/>
      <c r="Z150" s="17"/>
      <c r="AA150" s="17"/>
      <c r="AB150" s="17"/>
      <c r="AC150" s="2"/>
      <c r="AD150" s="12">
        <f>SUM(N150:AB150)</f>
        <v>841317</v>
      </c>
      <c r="AE150" s="12">
        <f>SUM(N151:AB151)</f>
        <v>30146</v>
      </c>
      <c r="AF150" s="12">
        <f>SUM(N152:AB152)</f>
        <v>23152</v>
      </c>
      <c r="AG150" s="2"/>
      <c r="AH150" s="12">
        <f>AD150-B150</f>
        <v>0</v>
      </c>
      <c r="AI150" s="12">
        <f>AE150-C150</f>
        <v>-10</v>
      </c>
      <c r="AJ150" s="12">
        <f>AF150-D150</f>
        <v>0</v>
      </c>
      <c r="AL150" s="47">
        <f>C150/B150*1000</f>
        <v>35.84380203894608</v>
      </c>
      <c r="AM150" s="47">
        <f>D150/B150*1000</f>
        <v>27.518759278607231</v>
      </c>
      <c r="AO150" s="47">
        <f t="shared" si="139"/>
        <v>-13.556197961053918</v>
      </c>
      <c r="AP150" s="47">
        <f t="shared" si="139"/>
        <v>-10.481240721392769</v>
      </c>
      <c r="AR150" s="12">
        <f t="shared" si="140"/>
        <v>826659</v>
      </c>
      <c r="AS150" s="12">
        <f t="shared" si="141"/>
        <v>30781</v>
      </c>
      <c r="AT150" s="12">
        <f t="shared" si="142"/>
        <v>25550</v>
      </c>
    </row>
    <row r="151" spans="1:46" x14ac:dyDescent="0.55000000000000004">
      <c r="A151" s="11" t="s">
        <v>154</v>
      </c>
      <c r="B151" s="9"/>
      <c r="C151" s="9"/>
      <c r="D151" s="9"/>
      <c r="E151" s="9"/>
      <c r="F151" s="9"/>
      <c r="G151" s="9"/>
      <c r="H151" s="9"/>
      <c r="I151" s="9"/>
      <c r="J151" s="9"/>
      <c r="K151" s="37"/>
      <c r="L151" s="37"/>
      <c r="M151" s="9"/>
      <c r="N151" s="9">
        <v>4299</v>
      </c>
      <c r="O151" s="9">
        <v>5667</v>
      </c>
      <c r="P151" s="9">
        <v>4939</v>
      </c>
      <c r="Q151" s="9">
        <v>3640</v>
      </c>
      <c r="R151" s="9">
        <v>2816</v>
      </c>
      <c r="S151" s="9">
        <v>3613</v>
      </c>
      <c r="T151" s="9">
        <v>2126</v>
      </c>
      <c r="U151" s="9">
        <v>3046</v>
      </c>
      <c r="V151" s="62" t="s">
        <v>14</v>
      </c>
      <c r="W151" s="9"/>
      <c r="X151" s="9"/>
      <c r="Y151" s="9"/>
      <c r="Z151" s="9"/>
      <c r="AA151" s="9"/>
      <c r="AB151" s="9"/>
      <c r="AC151" s="2"/>
      <c r="AD151" s="2"/>
      <c r="AE151" s="2"/>
      <c r="AF151" s="2"/>
      <c r="AG151" s="2"/>
      <c r="AH151" s="2"/>
      <c r="AI151" s="2"/>
      <c r="AJ151" s="2"/>
    </row>
    <row r="152" spans="1:46" x14ac:dyDescent="0.55000000000000004">
      <c r="A152" s="11" t="s">
        <v>155</v>
      </c>
      <c r="B152" s="9"/>
      <c r="C152" s="9"/>
      <c r="D152" s="9"/>
      <c r="E152" s="9"/>
      <c r="F152" s="9"/>
      <c r="G152" s="9"/>
      <c r="H152" s="9"/>
      <c r="I152" s="9"/>
      <c r="J152" s="9"/>
      <c r="K152" s="37"/>
      <c r="L152" s="37"/>
      <c r="M152" s="9"/>
      <c r="N152" s="9">
        <v>3412</v>
      </c>
      <c r="O152" s="9">
        <v>3385</v>
      </c>
      <c r="P152" s="9">
        <v>3959</v>
      </c>
      <c r="Q152" s="9">
        <v>2753</v>
      </c>
      <c r="R152" s="9">
        <v>2261</v>
      </c>
      <c r="S152" s="9">
        <v>2823</v>
      </c>
      <c r="T152" s="9">
        <v>1879</v>
      </c>
      <c r="U152" s="9">
        <v>2680</v>
      </c>
      <c r="V152" s="62" t="s">
        <v>14</v>
      </c>
      <c r="W152" s="9"/>
      <c r="X152" s="9"/>
      <c r="Y152" s="9"/>
      <c r="Z152" s="9"/>
      <c r="AA152" s="9"/>
      <c r="AB152" s="9"/>
      <c r="AC152" s="2"/>
      <c r="AD152" s="2"/>
      <c r="AE152" s="2"/>
      <c r="AF152" s="2"/>
      <c r="AG152" s="2"/>
      <c r="AH152" s="2"/>
      <c r="AI152" s="2"/>
      <c r="AJ152" s="2"/>
    </row>
    <row r="153" spans="1:46" x14ac:dyDescent="0.55000000000000004">
      <c r="A153" s="18" t="s">
        <v>156</v>
      </c>
      <c r="B153" s="17">
        <v>2438571</v>
      </c>
      <c r="C153" s="17">
        <v>126373</v>
      </c>
      <c r="D153" s="17">
        <v>104926</v>
      </c>
      <c r="E153" s="17">
        <v>304160</v>
      </c>
      <c r="F153" s="17">
        <v>12657</v>
      </c>
      <c r="G153" s="17">
        <v>14412</v>
      </c>
      <c r="H153" s="17">
        <v>2376451</v>
      </c>
      <c r="I153" s="17">
        <v>124872</v>
      </c>
      <c r="J153" s="17">
        <v>86961</v>
      </c>
      <c r="K153" s="36">
        <v>51.8</v>
      </c>
      <c r="L153" s="36">
        <v>43</v>
      </c>
      <c r="M153" s="9"/>
      <c r="N153" s="17">
        <v>315403</v>
      </c>
      <c r="O153" s="17">
        <v>288153</v>
      </c>
      <c r="P153" s="17">
        <v>290326</v>
      </c>
      <c r="Q153" s="17">
        <v>202760</v>
      </c>
      <c r="R153" s="17">
        <v>350156</v>
      </c>
      <c r="S153" s="17">
        <v>197615</v>
      </c>
      <c r="T153" s="17">
        <v>222870</v>
      </c>
      <c r="U153" s="17">
        <v>217588</v>
      </c>
      <c r="V153" s="17">
        <v>214957</v>
      </c>
      <c r="W153" s="57">
        <v>138743</v>
      </c>
      <c r="X153" s="17"/>
      <c r="Y153" s="17"/>
      <c r="Z153" s="17"/>
      <c r="AA153" s="17"/>
      <c r="AB153" s="17"/>
      <c r="AC153" s="2"/>
      <c r="AD153" s="12">
        <f>SUM(N153:AB153)</f>
        <v>2438571</v>
      </c>
      <c r="AE153" s="12">
        <f>SUM(N154:AB154)</f>
        <v>126373</v>
      </c>
      <c r="AF153" s="12">
        <f>SUM(N155:AB155)</f>
        <v>104926</v>
      </c>
      <c r="AG153" s="2"/>
      <c r="AH153" s="12">
        <f>AD153-B153</f>
        <v>0</v>
      </c>
      <c r="AI153" s="12">
        <f>AE153-C153</f>
        <v>0</v>
      </c>
      <c r="AJ153" s="12">
        <f>AF153-D153</f>
        <v>0</v>
      </c>
      <c r="AL153" s="47">
        <f>C153/B153*1000</f>
        <v>51.822563296291143</v>
      </c>
      <c r="AM153" s="47">
        <f>D153/B153*1000</f>
        <v>43.027658411422102</v>
      </c>
      <c r="AO153" s="47">
        <f>AL153-K153</f>
        <v>2.2563296291146173E-2</v>
      </c>
      <c r="AP153" s="47">
        <f>AM153-L153</f>
        <v>2.7658411422102347E-2</v>
      </c>
      <c r="AR153" s="12">
        <f t="shared" ref="AR153" si="143">H153</f>
        <v>2376451</v>
      </c>
      <c r="AS153" s="12">
        <f t="shared" ref="AS153" si="144">I153</f>
        <v>124872</v>
      </c>
      <c r="AT153" s="12">
        <f t="shared" ref="AT153" si="145">J153</f>
        <v>86961</v>
      </c>
    </row>
    <row r="154" spans="1:46" x14ac:dyDescent="0.55000000000000004">
      <c r="A154" s="11" t="s">
        <v>157</v>
      </c>
      <c r="B154" s="9"/>
      <c r="C154" s="9"/>
      <c r="D154" s="9"/>
      <c r="E154" s="9"/>
      <c r="F154" s="9"/>
      <c r="G154" s="9"/>
      <c r="H154" s="9"/>
      <c r="I154" s="9"/>
      <c r="J154" s="9"/>
      <c r="K154" s="37"/>
      <c r="L154" s="37"/>
      <c r="M154" s="9"/>
      <c r="N154" s="9">
        <v>15822</v>
      </c>
      <c r="O154" s="9">
        <v>16356</v>
      </c>
      <c r="P154" s="9">
        <v>16382</v>
      </c>
      <c r="Q154" s="9">
        <v>9519</v>
      </c>
      <c r="R154" s="9">
        <v>16751</v>
      </c>
      <c r="S154" s="9">
        <v>9064</v>
      </c>
      <c r="T154" s="9">
        <v>12316</v>
      </c>
      <c r="U154" s="9">
        <v>12969</v>
      </c>
      <c r="V154" s="9">
        <v>9261</v>
      </c>
      <c r="W154" s="57">
        <v>7933</v>
      </c>
      <c r="X154" s="9"/>
      <c r="Y154" s="9"/>
      <c r="Z154" s="9"/>
      <c r="AA154" s="9"/>
      <c r="AB154" s="9"/>
      <c r="AC154" s="2"/>
      <c r="AD154" s="2"/>
      <c r="AE154" s="2"/>
      <c r="AF154" s="2"/>
      <c r="AG154" s="2"/>
      <c r="AH154" s="2"/>
      <c r="AI154" s="2"/>
      <c r="AJ154" s="2"/>
    </row>
    <row r="155" spans="1:46" x14ac:dyDescent="0.55000000000000004">
      <c r="A155" s="11" t="s">
        <v>158</v>
      </c>
      <c r="B155" s="9"/>
      <c r="C155" s="9"/>
      <c r="D155" s="9"/>
      <c r="E155" s="9"/>
      <c r="F155" s="9"/>
      <c r="G155" s="9"/>
      <c r="H155" s="9"/>
      <c r="I155" s="9"/>
      <c r="J155" s="9"/>
      <c r="K155" s="37"/>
      <c r="L155" s="37"/>
      <c r="M155" s="9"/>
      <c r="N155" s="9">
        <v>13905</v>
      </c>
      <c r="O155" s="57">
        <v>15300</v>
      </c>
      <c r="P155" s="9">
        <v>13571</v>
      </c>
      <c r="Q155" s="9">
        <v>7315</v>
      </c>
      <c r="R155" s="9">
        <v>12425</v>
      </c>
      <c r="S155" s="9">
        <v>7262</v>
      </c>
      <c r="T155" s="9">
        <v>10914</v>
      </c>
      <c r="U155" s="9">
        <v>11757</v>
      </c>
      <c r="V155" s="9">
        <v>6898</v>
      </c>
      <c r="W155" s="9">
        <v>5579</v>
      </c>
      <c r="X155" s="9"/>
      <c r="Y155" s="9"/>
      <c r="Z155" s="9"/>
      <c r="AA155" s="9"/>
      <c r="AB155" s="9"/>
      <c r="AC155" s="2"/>
      <c r="AD155" s="2"/>
      <c r="AE155" s="2"/>
      <c r="AF155" s="2"/>
      <c r="AG155" s="2"/>
      <c r="AH155" s="2"/>
      <c r="AI155" s="2"/>
      <c r="AJ155" s="2"/>
    </row>
    <row r="156" spans="1:46" x14ac:dyDescent="0.55000000000000004">
      <c r="A156" s="18" t="s">
        <v>159</v>
      </c>
      <c r="B156" s="17">
        <v>1651736</v>
      </c>
      <c r="C156" s="17">
        <v>76289</v>
      </c>
      <c r="D156" s="17">
        <v>62764</v>
      </c>
      <c r="E156" s="61" t="s">
        <v>14</v>
      </c>
      <c r="F156" s="61" t="s">
        <v>14</v>
      </c>
      <c r="G156" s="61" t="s">
        <v>14</v>
      </c>
      <c r="H156" s="17">
        <v>1612375</v>
      </c>
      <c r="I156" s="17">
        <v>78770</v>
      </c>
      <c r="J156" s="17">
        <v>56268</v>
      </c>
      <c r="K156" s="36">
        <v>46.2</v>
      </c>
      <c r="L156" s="36">
        <v>38</v>
      </c>
      <c r="M156" s="9"/>
      <c r="N156" s="17">
        <v>223550</v>
      </c>
      <c r="O156" s="17">
        <v>165701</v>
      </c>
      <c r="P156" s="17">
        <v>196664</v>
      </c>
      <c r="Q156" s="17">
        <v>184417</v>
      </c>
      <c r="R156" s="17">
        <v>219339</v>
      </c>
      <c r="S156" s="17">
        <v>157234</v>
      </c>
      <c r="T156" s="17">
        <v>154264</v>
      </c>
      <c r="U156" s="17">
        <v>228580</v>
      </c>
      <c r="V156" s="57">
        <v>121987</v>
      </c>
      <c r="W156" s="17"/>
      <c r="X156" s="17"/>
      <c r="Y156" s="17"/>
      <c r="Z156" s="17"/>
      <c r="AA156" s="17"/>
      <c r="AB156" s="17"/>
      <c r="AC156" s="2"/>
      <c r="AD156" s="12">
        <f>SUM(N156:AB156)</f>
        <v>1651736</v>
      </c>
      <c r="AE156" s="12">
        <f>SUM(N157:AB157)</f>
        <v>76289</v>
      </c>
      <c r="AF156" s="12">
        <f>SUM(N158:AB158)</f>
        <v>62784</v>
      </c>
      <c r="AG156" s="2"/>
      <c r="AH156" s="12">
        <f>AD156-B156</f>
        <v>0</v>
      </c>
      <c r="AI156" s="12">
        <f>AE156-C156</f>
        <v>0</v>
      </c>
      <c r="AJ156" s="12">
        <f>AF156-D156</f>
        <v>20</v>
      </c>
      <c r="AL156" s="47">
        <f>C156/B156*1000</f>
        <v>46.187163081751564</v>
      </c>
      <c r="AM156" s="47">
        <f>D156/B156*1000</f>
        <v>37.998808526302028</v>
      </c>
      <c r="AO156" s="47">
        <f>AL156-K156</f>
        <v>-1.2836918248439133E-2</v>
      </c>
      <c r="AP156" s="47">
        <f>AM156-L156</f>
        <v>-1.1914736979719009E-3</v>
      </c>
      <c r="AR156" s="12">
        <f t="shared" ref="AR156" si="146">H156</f>
        <v>1612375</v>
      </c>
      <c r="AS156" s="12">
        <f t="shared" ref="AS156" si="147">I156</f>
        <v>78770</v>
      </c>
      <c r="AT156" s="12">
        <f t="shared" ref="AT156" si="148">J156</f>
        <v>56268</v>
      </c>
    </row>
    <row r="157" spans="1:46" x14ac:dyDescent="0.55000000000000004">
      <c r="A157" s="11" t="s">
        <v>160</v>
      </c>
      <c r="B157" s="9"/>
      <c r="C157" s="9"/>
      <c r="D157" s="9"/>
      <c r="E157" s="9"/>
      <c r="F157" s="9"/>
      <c r="G157" s="9"/>
      <c r="H157" s="9"/>
      <c r="I157" s="9"/>
      <c r="J157" s="9"/>
      <c r="K157" s="37"/>
      <c r="L157" s="37"/>
      <c r="M157" s="9"/>
      <c r="N157" s="9">
        <v>11416</v>
      </c>
      <c r="O157" s="9">
        <v>7171</v>
      </c>
      <c r="P157" s="9">
        <v>9134</v>
      </c>
      <c r="Q157" s="9">
        <v>8634</v>
      </c>
      <c r="R157" s="9">
        <v>10999</v>
      </c>
      <c r="S157" s="9">
        <v>7420</v>
      </c>
      <c r="T157" s="9">
        <v>8590</v>
      </c>
      <c r="U157" s="9">
        <v>12925</v>
      </c>
      <c r="V157" s="62" t="s">
        <v>14</v>
      </c>
      <c r="W157" s="9"/>
      <c r="X157" s="9"/>
      <c r="Y157" s="9"/>
      <c r="Z157" s="9"/>
      <c r="AA157" s="9"/>
      <c r="AB157" s="9"/>
      <c r="AC157" s="2"/>
      <c r="AD157" s="2"/>
      <c r="AE157" s="2"/>
      <c r="AF157" s="2"/>
      <c r="AG157" s="2"/>
      <c r="AH157" s="2"/>
      <c r="AI157" s="2"/>
      <c r="AJ157" s="2"/>
    </row>
    <row r="158" spans="1:46" x14ac:dyDescent="0.55000000000000004">
      <c r="A158" s="11" t="s">
        <v>161</v>
      </c>
      <c r="B158" s="9"/>
      <c r="C158" s="9"/>
      <c r="D158" s="9"/>
      <c r="E158" s="9"/>
      <c r="F158" s="9"/>
      <c r="G158" s="9"/>
      <c r="H158" s="9"/>
      <c r="I158" s="9"/>
      <c r="J158" s="9"/>
      <c r="K158" s="37"/>
      <c r="L158" s="37"/>
      <c r="M158" s="9"/>
      <c r="N158" s="9">
        <v>9765</v>
      </c>
      <c r="O158" s="9">
        <v>6282</v>
      </c>
      <c r="P158" s="9">
        <v>9405</v>
      </c>
      <c r="Q158" s="9">
        <v>6211</v>
      </c>
      <c r="R158" s="9">
        <v>9219</v>
      </c>
      <c r="S158" s="9">
        <v>5355</v>
      </c>
      <c r="T158" s="9">
        <v>6848</v>
      </c>
      <c r="U158" s="9">
        <v>9699</v>
      </c>
      <c r="V158" s="62" t="s">
        <v>14</v>
      </c>
      <c r="W158" s="9"/>
      <c r="X158" s="9"/>
      <c r="Y158" s="9"/>
      <c r="Z158" s="9"/>
      <c r="AA158" s="9"/>
      <c r="AB158" s="9"/>
      <c r="AC158" s="2"/>
      <c r="AD158" s="2"/>
      <c r="AE158" s="2"/>
      <c r="AF158" s="2"/>
      <c r="AG158" s="2"/>
      <c r="AH158" s="2"/>
      <c r="AI158" s="2"/>
      <c r="AJ158" s="2"/>
    </row>
    <row r="159" spans="1:46" x14ac:dyDescent="0.55000000000000004">
      <c r="A159" s="18" t="s">
        <v>162</v>
      </c>
      <c r="B159" s="17">
        <v>1454787</v>
      </c>
      <c r="C159" s="17">
        <v>79589</v>
      </c>
      <c r="D159" s="17">
        <v>57173</v>
      </c>
      <c r="E159" s="17">
        <v>119553</v>
      </c>
      <c r="F159" s="17">
        <v>3452</v>
      </c>
      <c r="G159" s="17">
        <v>2588</v>
      </c>
      <c r="H159" s="17">
        <v>1382550</v>
      </c>
      <c r="I159" s="17">
        <v>71836</v>
      </c>
      <c r="J159" s="17">
        <v>53594</v>
      </c>
      <c r="K159" s="36">
        <v>54.7</v>
      </c>
      <c r="L159" s="36">
        <v>39.299999999999997</v>
      </c>
      <c r="M159" s="9"/>
      <c r="N159" s="17">
        <v>124646</v>
      </c>
      <c r="O159" s="17">
        <v>122114</v>
      </c>
      <c r="P159" s="17">
        <v>100787</v>
      </c>
      <c r="Q159" s="17">
        <v>138523</v>
      </c>
      <c r="R159" s="17">
        <v>101017</v>
      </c>
      <c r="S159" s="17">
        <v>100298</v>
      </c>
      <c r="T159" s="17">
        <v>122024</v>
      </c>
      <c r="U159" s="17">
        <v>95896</v>
      </c>
      <c r="V159" s="17">
        <v>111095</v>
      </c>
      <c r="W159" s="17">
        <v>166718</v>
      </c>
      <c r="X159" s="17">
        <v>113162</v>
      </c>
      <c r="Y159" s="17">
        <v>115885</v>
      </c>
      <c r="Z159" s="57">
        <v>42622</v>
      </c>
      <c r="AA159" s="17"/>
      <c r="AB159" s="17"/>
      <c r="AC159" s="2"/>
      <c r="AD159" s="12">
        <f>SUM(N159:AB159)</f>
        <v>1454787</v>
      </c>
      <c r="AE159" s="12">
        <f>SUM(N160:AB160)</f>
        <v>79589</v>
      </c>
      <c r="AF159" s="12">
        <f>SUM(N161:AB161)</f>
        <v>57173</v>
      </c>
      <c r="AG159" s="2"/>
      <c r="AH159" s="12">
        <f>AD159-B159</f>
        <v>0</v>
      </c>
      <c r="AI159" s="12">
        <f>AE159-C159</f>
        <v>0</v>
      </c>
      <c r="AJ159" s="12">
        <f>AF159-D159</f>
        <v>0</v>
      </c>
      <c r="AL159" s="47">
        <f>C159/B159*1000</f>
        <v>54.708352494213926</v>
      </c>
      <c r="AM159" s="47">
        <f>D159/B159*1000</f>
        <v>39.299911258486638</v>
      </c>
      <c r="AO159" s="47">
        <f>AL159-K159</f>
        <v>8.3524942139234781E-3</v>
      </c>
      <c r="AP159" s="47">
        <f>AM159-L159</f>
        <v>-8.8741513359025248E-5</v>
      </c>
      <c r="AR159" s="12">
        <f t="shared" ref="AR159" si="149">H159</f>
        <v>1382550</v>
      </c>
      <c r="AS159" s="12">
        <f t="shared" ref="AS159" si="150">I159</f>
        <v>71836</v>
      </c>
      <c r="AT159" s="12">
        <f t="shared" ref="AT159" si="151">J159</f>
        <v>53594</v>
      </c>
    </row>
    <row r="160" spans="1:46" x14ac:dyDescent="0.55000000000000004">
      <c r="A160" s="11" t="s">
        <v>163</v>
      </c>
      <c r="B160" s="9"/>
      <c r="C160" s="9"/>
      <c r="D160" s="9"/>
      <c r="E160" s="9"/>
      <c r="F160" s="9"/>
      <c r="G160" s="9"/>
      <c r="H160" s="9"/>
      <c r="I160" s="9"/>
      <c r="J160" s="9"/>
      <c r="K160" s="37"/>
      <c r="L160" s="37"/>
      <c r="M160" s="9"/>
      <c r="N160" s="9">
        <v>6386</v>
      </c>
      <c r="O160" s="9">
        <v>8657</v>
      </c>
      <c r="P160" s="9">
        <v>5624</v>
      </c>
      <c r="Q160" s="9">
        <v>5104</v>
      </c>
      <c r="R160" s="9">
        <v>5915</v>
      </c>
      <c r="S160" s="9">
        <v>6864</v>
      </c>
      <c r="T160" s="9">
        <v>7731</v>
      </c>
      <c r="U160" s="9">
        <v>5075</v>
      </c>
      <c r="V160" s="9">
        <v>6855</v>
      </c>
      <c r="W160" s="9">
        <v>9609</v>
      </c>
      <c r="X160" s="9">
        <v>5092</v>
      </c>
      <c r="Y160" s="9">
        <v>6677</v>
      </c>
      <c r="Z160" s="62" t="s">
        <v>14</v>
      </c>
      <c r="AA160" s="9"/>
      <c r="AB160" s="9"/>
      <c r="AC160" s="2"/>
      <c r="AD160" s="2"/>
      <c r="AE160" s="2"/>
      <c r="AF160" s="2"/>
      <c r="AG160" s="2"/>
      <c r="AH160" s="2"/>
      <c r="AI160" s="2"/>
      <c r="AJ160" s="2"/>
    </row>
    <row r="161" spans="1:46" x14ac:dyDescent="0.55000000000000004">
      <c r="A161" s="11" t="s">
        <v>164</v>
      </c>
      <c r="B161" s="9"/>
      <c r="C161" s="9"/>
      <c r="D161" s="9"/>
      <c r="E161" s="9"/>
      <c r="F161" s="9"/>
      <c r="G161" s="9"/>
      <c r="H161" s="9"/>
      <c r="I161" s="9"/>
      <c r="J161" s="9"/>
      <c r="K161" s="37"/>
      <c r="L161" s="37"/>
      <c r="M161" s="9"/>
      <c r="N161" s="9">
        <v>4660</v>
      </c>
      <c r="O161" s="9">
        <v>6208</v>
      </c>
      <c r="P161" s="9">
        <v>3844</v>
      </c>
      <c r="Q161" s="9">
        <v>4595</v>
      </c>
      <c r="R161" s="9">
        <v>4275</v>
      </c>
      <c r="S161" s="9">
        <v>5198</v>
      </c>
      <c r="T161" s="9">
        <v>5918</v>
      </c>
      <c r="U161" s="9">
        <v>3344</v>
      </c>
      <c r="V161" s="9">
        <v>4473</v>
      </c>
      <c r="W161" s="9">
        <v>6158</v>
      </c>
      <c r="X161" s="9">
        <v>3450</v>
      </c>
      <c r="Y161" s="9">
        <v>5050</v>
      </c>
      <c r="Z161" s="62" t="s">
        <v>14</v>
      </c>
      <c r="AA161" s="9"/>
      <c r="AB161" s="9"/>
      <c r="AC161" s="2"/>
      <c r="AD161" s="2"/>
      <c r="AE161" s="2"/>
      <c r="AF161" s="2"/>
      <c r="AG161" s="2"/>
      <c r="AH161" s="2"/>
      <c r="AI161" s="2"/>
      <c r="AJ161" s="2"/>
    </row>
    <row r="162" spans="1:46" x14ac:dyDescent="0.55000000000000004">
      <c r="A162" s="18" t="s">
        <v>165</v>
      </c>
      <c r="B162" s="17">
        <v>1181169</v>
      </c>
      <c r="C162" s="17">
        <v>57887</v>
      </c>
      <c r="D162" s="17">
        <v>35405</v>
      </c>
      <c r="E162" s="17">
        <v>207934</v>
      </c>
      <c r="F162" s="17">
        <v>9882</v>
      </c>
      <c r="G162" s="17">
        <v>6891</v>
      </c>
      <c r="H162" s="17">
        <v>1105665</v>
      </c>
      <c r="I162" s="17">
        <v>56095</v>
      </c>
      <c r="J162" s="17">
        <v>34141</v>
      </c>
      <c r="K162" s="36">
        <v>49</v>
      </c>
      <c r="L162" s="36">
        <v>30</v>
      </c>
      <c r="M162" s="9"/>
      <c r="N162" s="57">
        <v>123457</v>
      </c>
      <c r="O162" s="17">
        <v>294690</v>
      </c>
      <c r="P162" s="17">
        <v>187087</v>
      </c>
      <c r="Q162" s="17">
        <v>47682</v>
      </c>
      <c r="R162" s="17">
        <v>328475</v>
      </c>
      <c r="S162" s="17">
        <v>37602</v>
      </c>
      <c r="T162" s="17">
        <v>82831</v>
      </c>
      <c r="U162" s="17">
        <v>47178</v>
      </c>
      <c r="V162" s="17">
        <v>32167</v>
      </c>
      <c r="W162" s="17"/>
      <c r="X162" s="17"/>
      <c r="Y162" s="17"/>
      <c r="Z162" s="17"/>
      <c r="AA162" s="17"/>
      <c r="AB162" s="17"/>
      <c r="AC162" s="2"/>
      <c r="AD162" s="12">
        <f>SUM(N162:AB162)</f>
        <v>1181169</v>
      </c>
      <c r="AE162" s="12">
        <f>SUM(N163:AB163)</f>
        <v>57887</v>
      </c>
      <c r="AF162" s="12">
        <f>SUM(N164:AB164)</f>
        <v>35405</v>
      </c>
      <c r="AG162" s="2"/>
      <c r="AH162" s="12">
        <f>AD162-B162</f>
        <v>0</v>
      </c>
      <c r="AI162" s="12">
        <f>AE162-C162</f>
        <v>0</v>
      </c>
      <c r="AJ162" s="12">
        <f>AF162-D162</f>
        <v>0</v>
      </c>
      <c r="AL162" s="47">
        <f>C162/B162*1000</f>
        <v>49.008228289093267</v>
      </c>
      <c r="AM162" s="47">
        <f>D162/B162*1000</f>
        <v>29.974542169664119</v>
      </c>
      <c r="AO162" s="47">
        <f>AL162-K162</f>
        <v>8.2282890932674491E-3</v>
      </c>
      <c r="AP162" s="47">
        <f>AM162-L162</f>
        <v>-2.5457830335881226E-2</v>
      </c>
      <c r="AR162" s="12">
        <f t="shared" ref="AR162" si="152">H162</f>
        <v>1105665</v>
      </c>
      <c r="AS162" s="12">
        <f t="shared" ref="AS162" si="153">I162</f>
        <v>56095</v>
      </c>
      <c r="AT162" s="12">
        <f t="shared" ref="AT162" si="154">J162</f>
        <v>34141</v>
      </c>
    </row>
    <row r="163" spans="1:46" x14ac:dyDescent="0.55000000000000004">
      <c r="A163" s="11" t="s">
        <v>166</v>
      </c>
      <c r="B163" s="9"/>
      <c r="C163" s="9"/>
      <c r="D163" s="9"/>
      <c r="E163" s="9"/>
      <c r="F163" s="9"/>
      <c r="G163" s="9"/>
      <c r="H163" s="9"/>
      <c r="I163" s="9"/>
      <c r="J163" s="9"/>
      <c r="K163" s="37"/>
      <c r="L163" s="37"/>
      <c r="M163" s="9"/>
      <c r="N163" s="9">
        <v>5649</v>
      </c>
      <c r="O163" s="9">
        <v>14886</v>
      </c>
      <c r="P163" s="9">
        <v>9061</v>
      </c>
      <c r="Q163" s="9">
        <v>2336</v>
      </c>
      <c r="R163" s="9">
        <v>17589</v>
      </c>
      <c r="S163" s="9">
        <v>823</v>
      </c>
      <c r="T163" s="57">
        <v>3376</v>
      </c>
      <c r="U163" s="9">
        <v>2200</v>
      </c>
      <c r="V163" s="9">
        <v>1967</v>
      </c>
      <c r="W163" s="9"/>
      <c r="X163" s="9"/>
      <c r="Y163" s="9"/>
      <c r="Z163" s="9"/>
      <c r="AA163" s="9"/>
      <c r="AB163" s="9"/>
      <c r="AC163" s="2"/>
      <c r="AD163" s="2"/>
      <c r="AE163" s="2"/>
      <c r="AF163" s="2"/>
      <c r="AG163" s="2"/>
      <c r="AH163" s="2"/>
      <c r="AI163" s="2"/>
      <c r="AJ163" s="2"/>
    </row>
    <row r="164" spans="1:46" x14ac:dyDescent="0.55000000000000004">
      <c r="A164" s="11" t="s">
        <v>167</v>
      </c>
      <c r="B164" s="9"/>
      <c r="C164" s="9"/>
      <c r="D164" s="9"/>
      <c r="E164" s="9"/>
      <c r="F164" s="9"/>
      <c r="G164" s="9"/>
      <c r="H164" s="9"/>
      <c r="I164" s="9"/>
      <c r="J164" s="9"/>
      <c r="K164" s="37"/>
      <c r="L164" s="37"/>
      <c r="M164" s="9"/>
      <c r="N164" s="9">
        <v>4559</v>
      </c>
      <c r="O164" s="9">
        <v>8253</v>
      </c>
      <c r="P164" s="9">
        <v>5264</v>
      </c>
      <c r="Q164" s="9">
        <v>1261</v>
      </c>
      <c r="R164" s="9">
        <v>10613</v>
      </c>
      <c r="S164" s="9">
        <v>425</v>
      </c>
      <c r="T164" s="9">
        <v>2356</v>
      </c>
      <c r="U164" s="9">
        <v>1455</v>
      </c>
      <c r="V164" s="9">
        <v>1219</v>
      </c>
      <c r="W164" s="9"/>
      <c r="X164" s="9"/>
      <c r="Y164" s="9"/>
      <c r="Z164" s="9"/>
      <c r="AA164" s="9"/>
      <c r="AB164" s="9"/>
      <c r="AC164" s="2"/>
      <c r="AD164" s="2"/>
      <c r="AE164" s="2"/>
      <c r="AF164" s="2"/>
      <c r="AG164" s="2"/>
      <c r="AH164" s="2"/>
      <c r="AI164" s="2"/>
      <c r="AJ164" s="2"/>
    </row>
    <row r="165" spans="1:46" x14ac:dyDescent="0.55000000000000004">
      <c r="A165" s="18" t="s">
        <v>168</v>
      </c>
      <c r="B165" s="19">
        <v>2907014</v>
      </c>
      <c r="C165" s="60">
        <v>139346</v>
      </c>
      <c r="D165" s="19">
        <v>114659</v>
      </c>
      <c r="E165" s="19">
        <v>200110</v>
      </c>
      <c r="F165" s="19">
        <v>6550</v>
      </c>
      <c r="G165" s="19">
        <v>6241</v>
      </c>
      <c r="H165" s="19">
        <v>2810259</v>
      </c>
      <c r="I165" s="19">
        <v>138538</v>
      </c>
      <c r="J165" s="19">
        <v>94346</v>
      </c>
      <c r="K165" s="36">
        <v>47.9</v>
      </c>
      <c r="L165" s="36">
        <v>39.4</v>
      </c>
      <c r="N165" s="19">
        <v>406697</v>
      </c>
      <c r="O165" s="19">
        <v>322097</v>
      </c>
      <c r="P165" s="19">
        <v>188251</v>
      </c>
      <c r="Q165" s="19">
        <v>287430</v>
      </c>
      <c r="R165" s="19">
        <v>392021</v>
      </c>
      <c r="S165" s="19">
        <v>159652</v>
      </c>
      <c r="T165" s="19">
        <v>187856</v>
      </c>
      <c r="U165" s="19">
        <v>278967</v>
      </c>
      <c r="V165" s="19">
        <v>138657</v>
      </c>
      <c r="W165" s="19">
        <v>156993</v>
      </c>
      <c r="X165" s="19">
        <v>214385</v>
      </c>
      <c r="Y165" s="19">
        <v>174002</v>
      </c>
      <c r="Z165" s="17"/>
      <c r="AA165" s="17"/>
      <c r="AB165" s="17"/>
      <c r="AC165" s="2"/>
      <c r="AD165" s="12">
        <f>SUM(N165:AB165)</f>
        <v>2907008</v>
      </c>
      <c r="AE165" s="12">
        <f>SUM(N166:AB166)</f>
        <v>139346</v>
      </c>
      <c r="AF165" s="12">
        <f>SUM(N167:AB167)</f>
        <v>114659</v>
      </c>
      <c r="AG165" s="2"/>
      <c r="AH165" s="12">
        <f>AD165-B165</f>
        <v>-6</v>
      </c>
      <c r="AI165" s="12">
        <f>AE165-C165</f>
        <v>0</v>
      </c>
      <c r="AJ165" s="12">
        <f>AF165-D165</f>
        <v>0</v>
      </c>
      <c r="AL165" s="47">
        <f>C165/B165*1000</f>
        <v>47.934409672605632</v>
      </c>
      <c r="AM165" s="47">
        <f>D165/B165*1000</f>
        <v>39.442190508886434</v>
      </c>
      <c r="AO165" s="47">
        <f>AL165-K165</f>
        <v>3.4409672605633546E-2</v>
      </c>
      <c r="AP165" s="47">
        <f>AM165-L165</f>
        <v>4.2190508886434941E-2</v>
      </c>
      <c r="AR165" s="12">
        <f t="shared" ref="AR165" si="155">H165</f>
        <v>2810259</v>
      </c>
      <c r="AS165" s="12">
        <f t="shared" ref="AS165" si="156">I165</f>
        <v>138538</v>
      </c>
      <c r="AT165" s="12">
        <f t="shared" ref="AT165" si="157">J165</f>
        <v>94346</v>
      </c>
    </row>
    <row r="166" spans="1:46" x14ac:dyDescent="0.55000000000000004">
      <c r="A166" s="11" t="s">
        <v>169</v>
      </c>
      <c r="B166" s="9"/>
      <c r="C166" s="9"/>
      <c r="D166" s="9"/>
      <c r="E166" s="9"/>
      <c r="F166" s="9"/>
      <c r="G166" s="9"/>
      <c r="H166" s="9"/>
      <c r="I166" s="9"/>
      <c r="J166" s="9"/>
      <c r="K166" s="37"/>
      <c r="L166" s="37"/>
      <c r="M166" s="9"/>
      <c r="N166" s="6">
        <v>20911</v>
      </c>
      <c r="O166" s="6">
        <v>16563</v>
      </c>
      <c r="P166" s="6">
        <v>7513</v>
      </c>
      <c r="Q166" s="6">
        <v>14099</v>
      </c>
      <c r="R166" s="6">
        <v>17891</v>
      </c>
      <c r="S166" s="6">
        <v>7673</v>
      </c>
      <c r="T166" s="6">
        <v>9096</v>
      </c>
      <c r="U166" s="6">
        <v>12704</v>
      </c>
      <c r="V166" s="6">
        <v>6234</v>
      </c>
      <c r="W166" s="6">
        <v>6815</v>
      </c>
      <c r="X166" s="6">
        <v>11784</v>
      </c>
      <c r="Y166" s="6">
        <v>8063</v>
      </c>
      <c r="Z166" s="9"/>
      <c r="AA166" s="9"/>
      <c r="AB166" s="9"/>
      <c r="AC166" s="2"/>
      <c r="AD166" s="2"/>
      <c r="AE166" s="2"/>
      <c r="AF166" s="2"/>
      <c r="AG166" s="2"/>
      <c r="AH166" s="2"/>
      <c r="AI166" s="2"/>
      <c r="AJ166" s="2"/>
    </row>
    <row r="167" spans="1:46" x14ac:dyDescent="0.55000000000000004">
      <c r="A167" s="11" t="s">
        <v>170</v>
      </c>
      <c r="B167" s="9"/>
      <c r="C167" s="9"/>
      <c r="D167" s="9"/>
      <c r="E167" s="9"/>
      <c r="F167" s="9"/>
      <c r="G167" s="9"/>
      <c r="H167" s="9"/>
      <c r="I167" s="9"/>
      <c r="J167" s="9"/>
      <c r="K167" s="37"/>
      <c r="L167" s="37"/>
      <c r="M167" s="9"/>
      <c r="N167" s="6">
        <v>17191</v>
      </c>
      <c r="O167" s="6">
        <v>12215</v>
      </c>
      <c r="P167" s="60">
        <v>5528</v>
      </c>
      <c r="Q167" s="6">
        <v>13075</v>
      </c>
      <c r="R167" s="6">
        <v>15012</v>
      </c>
      <c r="S167" s="6">
        <v>6525</v>
      </c>
      <c r="T167" s="6">
        <v>6475</v>
      </c>
      <c r="U167" s="6">
        <v>12160</v>
      </c>
      <c r="V167" s="6">
        <v>5770</v>
      </c>
      <c r="W167" s="6">
        <v>5310</v>
      </c>
      <c r="X167" s="6">
        <v>9047</v>
      </c>
      <c r="Y167" s="6">
        <v>6351</v>
      </c>
      <c r="Z167" s="9"/>
      <c r="AA167" s="9"/>
      <c r="AB167" s="9"/>
      <c r="AC167" s="2"/>
      <c r="AD167" s="2"/>
      <c r="AE167" s="2"/>
      <c r="AF167" s="2"/>
      <c r="AG167" s="2"/>
      <c r="AH167" s="2"/>
      <c r="AI167" s="2"/>
      <c r="AJ167" s="2"/>
    </row>
    <row r="168" spans="1:46" x14ac:dyDescent="0.55000000000000004">
      <c r="A168" s="18" t="s">
        <v>171</v>
      </c>
      <c r="B168" s="19">
        <v>1882218</v>
      </c>
      <c r="C168" s="19">
        <v>88071</v>
      </c>
      <c r="D168" s="19">
        <v>57003</v>
      </c>
      <c r="E168" s="19">
        <v>158414</v>
      </c>
      <c r="F168" s="19">
        <v>5754</v>
      </c>
      <c r="G168" s="19">
        <v>4262</v>
      </c>
      <c r="H168" s="19">
        <v>1818410</v>
      </c>
      <c r="I168" s="19">
        <v>83500</v>
      </c>
      <c r="J168" s="19">
        <v>59944</v>
      </c>
      <c r="K168" s="36">
        <v>45.7</v>
      </c>
      <c r="L168" s="36">
        <v>30.3</v>
      </c>
      <c r="N168" s="19">
        <v>169143</v>
      </c>
      <c r="O168" s="19">
        <v>249570</v>
      </c>
      <c r="P168" s="19">
        <v>153656</v>
      </c>
      <c r="Q168" s="19">
        <v>177879</v>
      </c>
      <c r="R168" s="19">
        <v>116110</v>
      </c>
      <c r="S168" s="19">
        <v>138406</v>
      </c>
      <c r="T168" s="19">
        <v>141718</v>
      </c>
      <c r="U168" s="19">
        <v>131444</v>
      </c>
      <c r="V168" s="19">
        <v>125298</v>
      </c>
      <c r="W168" s="19">
        <v>143806</v>
      </c>
      <c r="X168" s="19">
        <v>160408</v>
      </c>
      <c r="Y168" s="60">
        <v>168864</v>
      </c>
      <c r="Z168" s="57">
        <v>5916</v>
      </c>
      <c r="AA168" s="17"/>
      <c r="AB168" s="17"/>
      <c r="AC168" s="2"/>
      <c r="AD168" s="12">
        <f>SUM(N168:AB168)</f>
        <v>1882218</v>
      </c>
      <c r="AE168" s="12">
        <f>SUM(N169:AB169)</f>
        <v>88071</v>
      </c>
      <c r="AF168" s="12">
        <f>SUM(N170:AB170)</f>
        <v>57003</v>
      </c>
      <c r="AG168" s="2"/>
      <c r="AH168" s="12">
        <f>AD168-B168</f>
        <v>0</v>
      </c>
      <c r="AI168" s="12">
        <f>AE168-C168</f>
        <v>0</v>
      </c>
      <c r="AJ168" s="12">
        <f>AF168-D168</f>
        <v>0</v>
      </c>
      <c r="AL168" s="47">
        <f>C168/B168*1000</f>
        <v>46.791073085051785</v>
      </c>
      <c r="AM168" s="47">
        <f>D168/B168*1000</f>
        <v>30.285014806998976</v>
      </c>
      <c r="AO168" s="47">
        <f>AL168-K168</f>
        <v>1.0910730850517822</v>
      </c>
      <c r="AP168" s="47">
        <f>AM168-L168</f>
        <v>-1.49851930010243E-2</v>
      </c>
      <c r="AR168" s="12">
        <f t="shared" ref="AR168" si="158">H168</f>
        <v>1818410</v>
      </c>
      <c r="AS168" s="12">
        <f t="shared" ref="AS168" si="159">I168</f>
        <v>83500</v>
      </c>
      <c r="AT168" s="12">
        <f t="shared" ref="AT168" si="160">J168</f>
        <v>59944</v>
      </c>
    </row>
    <row r="169" spans="1:46" x14ac:dyDescent="0.55000000000000004">
      <c r="A169" s="11" t="s">
        <v>172</v>
      </c>
      <c r="B169" s="9"/>
      <c r="C169" s="9"/>
      <c r="D169" s="9"/>
      <c r="E169" s="9"/>
      <c r="F169" s="9"/>
      <c r="G169" s="9"/>
      <c r="H169" s="9"/>
      <c r="I169" s="9"/>
      <c r="J169" s="9"/>
      <c r="K169" s="37"/>
      <c r="L169" s="37"/>
      <c r="M169" s="9"/>
      <c r="N169" s="6">
        <v>8476</v>
      </c>
      <c r="O169" s="6">
        <v>12699</v>
      </c>
      <c r="P169" s="6">
        <v>7219</v>
      </c>
      <c r="Q169" s="6">
        <v>7887</v>
      </c>
      <c r="R169" s="6">
        <v>5339</v>
      </c>
      <c r="S169" s="6">
        <v>5908</v>
      </c>
      <c r="T169" s="6">
        <v>6028</v>
      </c>
      <c r="U169" s="6">
        <v>6043</v>
      </c>
      <c r="V169" s="6">
        <v>6577</v>
      </c>
      <c r="W169" s="6">
        <v>7683</v>
      </c>
      <c r="X169" s="6">
        <v>7235</v>
      </c>
      <c r="Y169" s="6">
        <v>6728</v>
      </c>
      <c r="Z169" s="57">
        <v>249</v>
      </c>
      <c r="AA169" s="9"/>
      <c r="AB169" s="9"/>
      <c r="AC169" s="2"/>
      <c r="AD169" s="2"/>
      <c r="AE169" s="2"/>
      <c r="AF169" s="2"/>
      <c r="AG169" s="2"/>
      <c r="AH169" s="2"/>
      <c r="AI169" s="2"/>
      <c r="AJ169" s="2"/>
    </row>
    <row r="170" spans="1:46" x14ac:dyDescent="0.55000000000000004">
      <c r="A170" s="11" t="s">
        <v>173</v>
      </c>
      <c r="B170" s="9"/>
      <c r="C170" s="9"/>
      <c r="D170" s="9"/>
      <c r="E170" s="9"/>
      <c r="F170" s="9"/>
      <c r="G170" s="9"/>
      <c r="H170" s="9"/>
      <c r="I170" s="9"/>
      <c r="J170" s="9"/>
      <c r="K170" s="37"/>
      <c r="L170" s="37"/>
      <c r="M170" s="9"/>
      <c r="N170" s="6">
        <v>5318</v>
      </c>
      <c r="O170" s="6">
        <v>7928</v>
      </c>
      <c r="P170" s="6">
        <v>4799</v>
      </c>
      <c r="Q170" s="6">
        <v>4737</v>
      </c>
      <c r="R170" s="6">
        <v>3424</v>
      </c>
      <c r="S170" s="6">
        <v>4316</v>
      </c>
      <c r="T170" s="6">
        <v>4261</v>
      </c>
      <c r="U170" s="6">
        <v>4404</v>
      </c>
      <c r="V170" s="6">
        <v>3691</v>
      </c>
      <c r="W170" s="6">
        <v>4698</v>
      </c>
      <c r="X170" s="6">
        <v>4831</v>
      </c>
      <c r="Y170" s="6">
        <v>4429</v>
      </c>
      <c r="Z170" s="57">
        <v>167</v>
      </c>
      <c r="AA170" s="9"/>
      <c r="AB170" s="9"/>
      <c r="AC170" s="2"/>
      <c r="AD170" s="2"/>
      <c r="AE170" s="2"/>
      <c r="AF170" s="2"/>
      <c r="AG170" s="2"/>
      <c r="AH170" s="2"/>
      <c r="AI170" s="2"/>
      <c r="AJ170" s="2"/>
    </row>
    <row r="171" spans="1:46" x14ac:dyDescent="0.55000000000000004">
      <c r="A171" s="18" t="s">
        <v>174</v>
      </c>
      <c r="B171" s="19">
        <v>1544786</v>
      </c>
      <c r="C171" s="19">
        <v>77644</v>
      </c>
      <c r="D171" s="19">
        <v>68307</v>
      </c>
      <c r="E171" s="19">
        <v>148180</v>
      </c>
      <c r="F171" s="19">
        <v>5274</v>
      </c>
      <c r="G171" s="19">
        <v>4836</v>
      </c>
      <c r="H171" s="19">
        <v>1480715</v>
      </c>
      <c r="I171" s="19">
        <v>75714</v>
      </c>
      <c r="J171" s="19">
        <v>56895</v>
      </c>
      <c r="K171" s="36">
        <v>50.3</v>
      </c>
      <c r="L171" s="36">
        <v>44.2</v>
      </c>
      <c r="N171" s="19">
        <v>184341</v>
      </c>
      <c r="O171" s="19">
        <v>92550</v>
      </c>
      <c r="P171" s="19">
        <v>174272</v>
      </c>
      <c r="Q171" s="19">
        <v>88308</v>
      </c>
      <c r="R171" s="19">
        <v>127536</v>
      </c>
      <c r="S171" s="19">
        <v>139973</v>
      </c>
      <c r="T171" s="19">
        <v>175273</v>
      </c>
      <c r="U171" s="19">
        <v>80958</v>
      </c>
      <c r="V171" s="19">
        <v>109606</v>
      </c>
      <c r="W171" s="19">
        <v>152762</v>
      </c>
      <c r="X171" s="19">
        <v>103852</v>
      </c>
      <c r="Y171" s="19">
        <v>115355</v>
      </c>
      <c r="Z171" s="17"/>
      <c r="AA171" s="17"/>
      <c r="AB171" s="17"/>
      <c r="AC171" s="2"/>
      <c r="AD171" s="12">
        <f>SUM(N171:AB171)</f>
        <v>1544786</v>
      </c>
      <c r="AE171" s="12">
        <f>SUM(N172:AB172)</f>
        <v>77641</v>
      </c>
      <c r="AF171" s="12">
        <f>SUM(N173:AB173)</f>
        <v>68207</v>
      </c>
      <c r="AG171" s="2"/>
      <c r="AH171" s="12">
        <f>AD171-B171</f>
        <v>0</v>
      </c>
      <c r="AI171" s="12">
        <f>AE171-C171</f>
        <v>-3</v>
      </c>
      <c r="AJ171" s="12">
        <f>AF171-D171</f>
        <v>-100</v>
      </c>
      <c r="AL171" s="47">
        <f>C171/B171*1000</f>
        <v>50.261978034497979</v>
      </c>
      <c r="AM171" s="47">
        <f>D171/B171*1000</f>
        <v>44.217775148143495</v>
      </c>
      <c r="AO171" s="47">
        <f>AL171-K171</f>
        <v>-3.8021965502018418E-2</v>
      </c>
      <c r="AP171" s="47">
        <f>AM171-L171</f>
        <v>1.7775148143492459E-2</v>
      </c>
      <c r="AR171" s="12">
        <f t="shared" ref="AR171" si="161">H171</f>
        <v>1480715</v>
      </c>
      <c r="AS171" s="12">
        <f t="shared" ref="AS171" si="162">I171</f>
        <v>75714</v>
      </c>
      <c r="AT171" s="12">
        <f t="shared" ref="AT171" si="163">J171</f>
        <v>56895</v>
      </c>
    </row>
    <row r="172" spans="1:46" x14ac:dyDescent="0.55000000000000004">
      <c r="A172" s="11" t="s">
        <v>175</v>
      </c>
      <c r="B172" s="9"/>
      <c r="C172" s="9"/>
      <c r="D172" s="9"/>
      <c r="E172" s="9"/>
      <c r="F172" s="9"/>
      <c r="G172" s="9"/>
      <c r="H172" s="9"/>
      <c r="I172" s="9"/>
      <c r="J172" s="9"/>
      <c r="K172" s="37"/>
      <c r="L172" s="37"/>
      <c r="M172" s="9"/>
      <c r="N172" s="6">
        <v>8974</v>
      </c>
      <c r="O172" s="6">
        <v>4027</v>
      </c>
      <c r="P172" s="6">
        <v>9719</v>
      </c>
      <c r="Q172" s="6">
        <v>3905</v>
      </c>
      <c r="R172" s="6">
        <v>6101</v>
      </c>
      <c r="S172" s="6">
        <v>6467</v>
      </c>
      <c r="T172" s="6">
        <v>9272</v>
      </c>
      <c r="U172" s="6">
        <v>3821</v>
      </c>
      <c r="V172" s="6">
        <v>6002</v>
      </c>
      <c r="W172" s="6">
        <v>8115</v>
      </c>
      <c r="X172" s="6">
        <v>5087</v>
      </c>
      <c r="Y172" s="6">
        <v>6151</v>
      </c>
      <c r="Z172" s="9"/>
      <c r="AA172" s="9"/>
      <c r="AB172" s="9"/>
      <c r="AC172" s="2"/>
      <c r="AD172" s="2"/>
      <c r="AE172" s="2"/>
      <c r="AF172" s="2"/>
      <c r="AG172" s="2"/>
      <c r="AH172" s="2"/>
      <c r="AI172" s="2"/>
      <c r="AJ172" s="2"/>
    </row>
    <row r="173" spans="1:46" x14ac:dyDescent="0.55000000000000004">
      <c r="A173" s="11" t="s">
        <v>176</v>
      </c>
      <c r="B173" s="9"/>
      <c r="C173" s="9"/>
      <c r="D173" s="9"/>
      <c r="E173" s="9"/>
      <c r="F173" s="9"/>
      <c r="G173" s="9"/>
      <c r="H173" s="9"/>
      <c r="I173" s="9"/>
      <c r="J173" s="9"/>
      <c r="K173" s="37"/>
      <c r="L173" s="37"/>
      <c r="M173" s="9"/>
      <c r="N173" s="6">
        <v>8196</v>
      </c>
      <c r="O173" s="6">
        <v>3249</v>
      </c>
      <c r="P173" s="6">
        <v>9032</v>
      </c>
      <c r="Q173" s="6">
        <v>2940</v>
      </c>
      <c r="R173" s="6">
        <v>4836</v>
      </c>
      <c r="S173" s="6">
        <v>5658</v>
      </c>
      <c r="T173" s="6">
        <v>8538</v>
      </c>
      <c r="U173" s="6">
        <v>4357</v>
      </c>
      <c r="V173" s="6">
        <v>4940</v>
      </c>
      <c r="W173" s="6">
        <v>7416</v>
      </c>
      <c r="X173" s="6">
        <v>3589</v>
      </c>
      <c r="Y173" s="6">
        <v>5456</v>
      </c>
      <c r="Z173" s="9"/>
      <c r="AA173" s="9"/>
      <c r="AB173" s="9"/>
      <c r="AC173" s="2"/>
      <c r="AD173" s="2"/>
      <c r="AE173" s="2"/>
      <c r="AF173" s="2"/>
      <c r="AG173" s="2"/>
      <c r="AH173" s="2"/>
      <c r="AI173" s="2"/>
      <c r="AJ173" s="2"/>
    </row>
    <row r="174" spans="1:46" x14ac:dyDescent="0.55000000000000004">
      <c r="A174" s="18" t="s">
        <v>177</v>
      </c>
      <c r="B174" s="19">
        <v>2088602</v>
      </c>
      <c r="C174" s="19">
        <v>102867</v>
      </c>
      <c r="D174" s="19">
        <v>67708</v>
      </c>
      <c r="E174" s="19" t="s">
        <v>14</v>
      </c>
      <c r="F174" s="19" t="s">
        <v>14</v>
      </c>
      <c r="G174" s="19" t="s">
        <v>14</v>
      </c>
      <c r="H174" s="19">
        <v>2005536</v>
      </c>
      <c r="I174" s="19">
        <v>94883</v>
      </c>
      <c r="J174" s="19">
        <v>63824</v>
      </c>
      <c r="K174" s="36">
        <v>49.3</v>
      </c>
      <c r="L174" s="36">
        <v>32.4</v>
      </c>
      <c r="N174" s="19">
        <v>338794</v>
      </c>
      <c r="O174" s="19">
        <v>400848</v>
      </c>
      <c r="P174" s="19">
        <v>470199</v>
      </c>
      <c r="Q174" s="19">
        <v>177210</v>
      </c>
      <c r="R174" s="19">
        <v>380370</v>
      </c>
      <c r="S174" s="19">
        <v>321181</v>
      </c>
      <c r="T174" s="17"/>
      <c r="U174" s="17"/>
      <c r="V174" s="17"/>
      <c r="W174" s="17"/>
      <c r="X174" s="17"/>
      <c r="Y174" s="17"/>
      <c r="Z174" s="17"/>
      <c r="AA174" s="17"/>
      <c r="AB174" s="17"/>
      <c r="AC174" s="2"/>
      <c r="AD174" s="12">
        <f>SUM(N174:AB174)</f>
        <v>2088602</v>
      </c>
      <c r="AE174" s="12">
        <f>SUM(N175:AB175)</f>
        <v>102867</v>
      </c>
      <c r="AF174" s="12">
        <f>SUM(N176:AB176)</f>
        <v>67708</v>
      </c>
      <c r="AG174" s="2"/>
      <c r="AH174" s="12">
        <f>AD174-B174</f>
        <v>0</v>
      </c>
      <c r="AI174" s="12">
        <f>AE174-C174</f>
        <v>0</v>
      </c>
      <c r="AJ174" s="12">
        <f>AF174-D174</f>
        <v>0</v>
      </c>
      <c r="AL174" s="47">
        <f>C174/B174*1000</f>
        <v>49.25160466187431</v>
      </c>
      <c r="AM174" s="47">
        <f>D174/B174*1000</f>
        <v>32.417856537530845</v>
      </c>
      <c r="AO174" s="47">
        <f>AL174-K174</f>
        <v>-4.8395338125686749E-2</v>
      </c>
      <c r="AP174" s="47">
        <f>AM174-L174</f>
        <v>1.7856537530846595E-2</v>
      </c>
      <c r="AR174" s="12">
        <f t="shared" ref="AR174" si="164">H174</f>
        <v>2005536</v>
      </c>
      <c r="AS174" s="12">
        <f t="shared" ref="AS174" si="165">I174</f>
        <v>94883</v>
      </c>
      <c r="AT174" s="12">
        <f t="shared" ref="AT174" si="166">J174</f>
        <v>63824</v>
      </c>
    </row>
    <row r="175" spans="1:46" x14ac:dyDescent="0.55000000000000004">
      <c r="A175" s="11" t="s">
        <v>178</v>
      </c>
      <c r="B175" s="9"/>
      <c r="C175" s="9"/>
      <c r="D175" s="9"/>
      <c r="E175" s="9"/>
      <c r="F175" s="9"/>
      <c r="G175" s="9"/>
      <c r="H175" s="9"/>
      <c r="I175" s="9"/>
      <c r="J175" s="9"/>
      <c r="K175" s="37"/>
      <c r="L175" s="37"/>
      <c r="M175" s="9"/>
      <c r="N175" s="6">
        <v>17135</v>
      </c>
      <c r="O175" s="6">
        <v>19203</v>
      </c>
      <c r="P175" s="6">
        <v>22659</v>
      </c>
      <c r="Q175" s="6">
        <v>9961</v>
      </c>
      <c r="R175" s="6">
        <v>18378</v>
      </c>
      <c r="S175" s="6">
        <v>15531</v>
      </c>
      <c r="T175" s="9"/>
      <c r="U175" s="9"/>
      <c r="V175" s="9"/>
      <c r="W175" s="9"/>
      <c r="X175" s="9"/>
      <c r="Y175" s="9"/>
      <c r="Z175" s="9"/>
      <c r="AA175" s="9"/>
      <c r="AB175" s="9"/>
      <c r="AC175" s="2"/>
      <c r="AD175" s="2"/>
      <c r="AE175" s="2"/>
      <c r="AF175" s="2"/>
      <c r="AG175" s="2"/>
      <c r="AH175" s="2"/>
      <c r="AI175" s="2"/>
      <c r="AJ175" s="2"/>
    </row>
    <row r="176" spans="1:46" x14ac:dyDescent="0.55000000000000004">
      <c r="A176" s="11" t="s">
        <v>179</v>
      </c>
      <c r="B176" s="9"/>
      <c r="C176" s="9"/>
      <c r="D176" s="9"/>
      <c r="E176" s="9"/>
      <c r="F176" s="9"/>
      <c r="G176" s="9"/>
      <c r="H176" s="9"/>
      <c r="I176" s="9"/>
      <c r="J176" s="9"/>
      <c r="K176" s="37"/>
      <c r="L176" s="37"/>
      <c r="M176" s="9"/>
      <c r="N176" s="6">
        <v>11283</v>
      </c>
      <c r="O176" s="6">
        <v>11899</v>
      </c>
      <c r="P176" s="6">
        <v>15944</v>
      </c>
      <c r="Q176" s="60">
        <v>6439</v>
      </c>
      <c r="R176" s="6">
        <v>12245</v>
      </c>
      <c r="S176" s="6">
        <v>9898</v>
      </c>
      <c r="T176" s="9"/>
      <c r="U176" s="9"/>
      <c r="V176" s="9"/>
      <c r="W176" s="9"/>
      <c r="X176" s="9"/>
      <c r="Y176" s="9"/>
      <c r="Z176" s="9"/>
      <c r="AA176" s="9"/>
      <c r="AB176" s="9"/>
      <c r="AC176" s="2"/>
      <c r="AD176" s="2"/>
      <c r="AE176" s="2"/>
      <c r="AF176" s="2"/>
      <c r="AG176" s="2"/>
      <c r="AH176" s="2"/>
      <c r="AI176" s="2"/>
      <c r="AJ176" s="2"/>
    </row>
    <row r="177" spans="1:50" x14ac:dyDescent="0.55000000000000004">
      <c r="A177" s="18" t="s">
        <v>180</v>
      </c>
      <c r="B177" s="19">
        <v>2537339</v>
      </c>
      <c r="C177" s="19">
        <v>114682</v>
      </c>
      <c r="D177" s="19">
        <v>91992</v>
      </c>
      <c r="E177" s="19">
        <v>325767</v>
      </c>
      <c r="F177" s="19">
        <v>10553</v>
      </c>
      <c r="G177" s="19">
        <v>8396</v>
      </c>
      <c r="H177" s="19">
        <v>2391170</v>
      </c>
      <c r="I177" s="19">
        <v>118233</v>
      </c>
      <c r="J177" s="19">
        <v>85859</v>
      </c>
      <c r="K177" s="36">
        <v>45.2</v>
      </c>
      <c r="L177" s="36">
        <v>35.299999999999997</v>
      </c>
      <c r="N177" s="19">
        <v>369618</v>
      </c>
      <c r="O177" s="19">
        <v>143431</v>
      </c>
      <c r="P177" s="19">
        <v>162514</v>
      </c>
      <c r="Q177" s="19">
        <v>135853</v>
      </c>
      <c r="R177" s="19">
        <v>160701</v>
      </c>
      <c r="S177" s="19">
        <v>223077</v>
      </c>
      <c r="T177" s="19">
        <v>333378</v>
      </c>
      <c r="U177" s="19">
        <v>228571</v>
      </c>
      <c r="V177" s="19">
        <v>168770</v>
      </c>
      <c r="W177" s="19">
        <v>387253</v>
      </c>
      <c r="X177" s="19">
        <v>224173</v>
      </c>
      <c r="Y177" s="17"/>
      <c r="Z177" s="17"/>
      <c r="AA177" s="17"/>
      <c r="AB177" s="17"/>
      <c r="AC177" s="2"/>
      <c r="AD177" s="12">
        <f>SUM(N177:AB177)</f>
        <v>2537339</v>
      </c>
      <c r="AE177" s="12">
        <f>SUM(N178:AB178)</f>
        <v>114682</v>
      </c>
      <c r="AF177" s="12">
        <f>SUM(N179:AB179)</f>
        <v>91992</v>
      </c>
      <c r="AG177" s="2"/>
      <c r="AH177" s="12">
        <f>AD177-B177</f>
        <v>0</v>
      </c>
      <c r="AI177" s="12">
        <f>AE177-C177</f>
        <v>0</v>
      </c>
      <c r="AJ177" s="12">
        <f>AF177-D177</f>
        <v>0</v>
      </c>
      <c r="AL177" s="47">
        <f>C177/B177*1000</f>
        <v>45.197744566256219</v>
      </c>
      <c r="AM177" s="47">
        <f>D177/B177*1000</f>
        <v>36.255305262718146</v>
      </c>
      <c r="AO177" s="47">
        <f>AL177-K177</f>
        <v>-2.2554337437838967E-3</v>
      </c>
      <c r="AP177" s="47">
        <f>AM177-L177</f>
        <v>0.95530526271814864</v>
      </c>
      <c r="AR177" s="12">
        <f t="shared" ref="AR177" si="167">H177</f>
        <v>2391170</v>
      </c>
      <c r="AS177" s="12">
        <f t="shared" ref="AS177" si="168">I177</f>
        <v>118233</v>
      </c>
      <c r="AT177" s="12">
        <f t="shared" ref="AT177" si="169">J177</f>
        <v>85859</v>
      </c>
    </row>
    <row r="178" spans="1:50" x14ac:dyDescent="0.55000000000000004">
      <c r="A178" s="11" t="s">
        <v>181</v>
      </c>
      <c r="B178" s="9"/>
      <c r="C178" s="9"/>
      <c r="D178" s="9"/>
      <c r="E178" s="9"/>
      <c r="F178" s="9"/>
      <c r="G178" s="9"/>
      <c r="H178" s="9"/>
      <c r="I178" s="9"/>
      <c r="J178" s="9"/>
      <c r="K178" s="37"/>
      <c r="L178" s="37"/>
      <c r="M178" s="9"/>
      <c r="N178" s="6">
        <v>14057</v>
      </c>
      <c r="O178" s="6">
        <v>7822</v>
      </c>
      <c r="P178" s="6">
        <v>7175</v>
      </c>
      <c r="Q178" s="6">
        <v>6058</v>
      </c>
      <c r="R178" s="6">
        <v>9099</v>
      </c>
      <c r="S178" s="6">
        <v>10569</v>
      </c>
      <c r="T178" s="6">
        <v>12911</v>
      </c>
      <c r="U178" s="6">
        <v>10833</v>
      </c>
      <c r="V178" s="6">
        <v>8699</v>
      </c>
      <c r="W178" s="6">
        <v>16487</v>
      </c>
      <c r="X178" s="6">
        <v>10972</v>
      </c>
      <c r="Y178" s="9"/>
      <c r="Z178" s="9"/>
      <c r="AA178" s="9"/>
      <c r="AB178" s="9"/>
      <c r="AC178" s="2"/>
      <c r="AD178" s="2"/>
      <c r="AE178" s="2"/>
      <c r="AF178" s="2"/>
      <c r="AG178" s="2"/>
      <c r="AH178" s="2"/>
      <c r="AI178" s="2"/>
      <c r="AJ178" s="2"/>
    </row>
    <row r="179" spans="1:50" x14ac:dyDescent="0.55000000000000004">
      <c r="A179" s="11" t="s">
        <v>182</v>
      </c>
      <c r="B179" s="9"/>
      <c r="C179" s="9"/>
      <c r="D179" s="9"/>
      <c r="E179" s="9"/>
      <c r="F179" s="9"/>
      <c r="G179" s="9"/>
      <c r="H179" s="9"/>
      <c r="I179" s="9"/>
      <c r="J179" s="9"/>
      <c r="K179" s="37"/>
      <c r="L179" s="37"/>
      <c r="M179" s="9"/>
      <c r="N179" s="6">
        <v>10871</v>
      </c>
      <c r="O179" s="6">
        <v>4598</v>
      </c>
      <c r="P179" s="6">
        <v>4889</v>
      </c>
      <c r="Q179" s="6">
        <v>4370</v>
      </c>
      <c r="R179" s="6">
        <v>7517</v>
      </c>
      <c r="S179" s="6">
        <v>9191</v>
      </c>
      <c r="T179" s="6">
        <v>12325</v>
      </c>
      <c r="U179" s="6">
        <v>9511</v>
      </c>
      <c r="V179" s="6">
        <v>5733</v>
      </c>
      <c r="W179" s="6">
        <v>16348</v>
      </c>
      <c r="X179" s="6">
        <v>6639</v>
      </c>
      <c r="Y179" s="9"/>
      <c r="Z179" s="9"/>
      <c r="AA179" s="9"/>
      <c r="AB179" s="9"/>
      <c r="AC179" s="2"/>
      <c r="AD179" s="2"/>
      <c r="AE179" s="2"/>
      <c r="AF179" s="2"/>
      <c r="AG179" s="2"/>
      <c r="AH179" s="2"/>
      <c r="AI179" s="2"/>
      <c r="AJ179" s="2"/>
    </row>
    <row r="180" spans="1:50" x14ac:dyDescent="0.55000000000000004">
      <c r="A180" s="18" t="s">
        <v>183</v>
      </c>
      <c r="B180" s="19">
        <v>1859034</v>
      </c>
      <c r="C180" s="19">
        <v>107428</v>
      </c>
      <c r="D180" s="19">
        <v>60764</v>
      </c>
      <c r="E180" s="19">
        <v>168766</v>
      </c>
      <c r="F180" s="19">
        <v>7453</v>
      </c>
      <c r="G180" s="19">
        <v>5307</v>
      </c>
      <c r="H180" s="19">
        <v>1803655</v>
      </c>
      <c r="I180" s="19">
        <v>98602</v>
      </c>
      <c r="J180" s="19">
        <v>57290</v>
      </c>
      <c r="K180" s="36">
        <v>57.8</v>
      </c>
      <c r="L180" s="36">
        <v>32.6</v>
      </c>
      <c r="N180" s="19">
        <v>425817</v>
      </c>
      <c r="O180" s="60">
        <v>362976</v>
      </c>
      <c r="P180" s="19">
        <v>501681</v>
      </c>
      <c r="Q180" s="19">
        <v>195781</v>
      </c>
      <c r="R180" s="60">
        <v>166483</v>
      </c>
      <c r="S180" s="60">
        <v>206296</v>
      </c>
      <c r="T180" s="17"/>
      <c r="U180" s="17"/>
      <c r="V180" s="17"/>
      <c r="W180" s="17"/>
      <c r="X180" s="17"/>
      <c r="Y180" s="17"/>
      <c r="Z180" s="17"/>
      <c r="AA180" s="17"/>
      <c r="AB180" s="17"/>
      <c r="AC180" s="2"/>
      <c r="AD180" s="12">
        <f>SUM(N180:AB180)</f>
        <v>1859034</v>
      </c>
      <c r="AE180" s="12">
        <f>SUM(N181:AB181)</f>
        <v>107428</v>
      </c>
      <c r="AF180" s="12">
        <f>SUM(N182:AB182)</f>
        <v>60764</v>
      </c>
      <c r="AG180" s="2"/>
      <c r="AH180" s="12">
        <f>AD180-B180</f>
        <v>0</v>
      </c>
      <c r="AI180" s="12">
        <f>AE180-C180</f>
        <v>0</v>
      </c>
      <c r="AJ180" s="12">
        <f>AF180-D180</f>
        <v>0</v>
      </c>
      <c r="AL180" s="47">
        <f>C180/B180*1000</f>
        <v>57.787001206002685</v>
      </c>
      <c r="AM180" s="47">
        <f>D180/B180*1000</f>
        <v>32.685792728911892</v>
      </c>
      <c r="AO180" s="47">
        <f>AL180-K180</f>
        <v>-1.2998793997311964E-2</v>
      </c>
      <c r="AP180" s="47">
        <f>AM180-L180</f>
        <v>8.5792728911890492E-2</v>
      </c>
      <c r="AR180" s="12">
        <f t="shared" ref="AR180" si="170">H180</f>
        <v>1803655</v>
      </c>
      <c r="AS180" s="12">
        <f t="shared" ref="AS180" si="171">I180</f>
        <v>98602</v>
      </c>
      <c r="AT180" s="12">
        <f t="shared" ref="AT180" si="172">J180</f>
        <v>57290</v>
      </c>
    </row>
    <row r="181" spans="1:50" x14ac:dyDescent="0.55000000000000004">
      <c r="A181" s="11" t="s">
        <v>184</v>
      </c>
      <c r="B181" s="9"/>
      <c r="C181" s="9"/>
      <c r="D181" s="9"/>
      <c r="E181" s="9"/>
      <c r="F181" s="9"/>
      <c r="G181" s="9"/>
      <c r="H181" s="9"/>
      <c r="I181" s="9"/>
      <c r="J181" s="9"/>
      <c r="K181" s="37"/>
      <c r="L181" s="37"/>
      <c r="M181" s="9"/>
      <c r="N181" s="6">
        <v>22432</v>
      </c>
      <c r="O181" s="6">
        <v>20978</v>
      </c>
      <c r="P181" s="6">
        <v>28549</v>
      </c>
      <c r="Q181" s="6">
        <v>12175</v>
      </c>
      <c r="R181" s="6">
        <v>11985</v>
      </c>
      <c r="S181" s="6">
        <v>11309</v>
      </c>
      <c r="T181" s="9"/>
      <c r="U181" s="9"/>
      <c r="V181" s="9"/>
      <c r="W181" s="9"/>
      <c r="X181" s="9"/>
      <c r="Y181" s="9"/>
      <c r="Z181" s="9"/>
      <c r="AA181" s="9"/>
      <c r="AB181" s="9"/>
      <c r="AC181" s="2"/>
      <c r="AD181" s="2"/>
      <c r="AE181" s="2"/>
      <c r="AF181" s="2"/>
      <c r="AG181" s="2"/>
      <c r="AH181" s="2"/>
      <c r="AI181" s="2"/>
      <c r="AJ181" s="2"/>
    </row>
    <row r="182" spans="1:50" x14ac:dyDescent="0.55000000000000004">
      <c r="A182" s="11" t="s">
        <v>185</v>
      </c>
      <c r="B182" s="9"/>
      <c r="C182" s="9"/>
      <c r="D182" s="9"/>
      <c r="E182" s="9"/>
      <c r="F182" s="9"/>
      <c r="G182" s="9"/>
      <c r="H182" s="9"/>
      <c r="I182" s="9"/>
      <c r="J182" s="9"/>
      <c r="K182" s="37"/>
      <c r="L182" s="37"/>
      <c r="M182" s="9"/>
      <c r="N182" s="6">
        <v>13712</v>
      </c>
      <c r="O182" s="6">
        <v>11551</v>
      </c>
      <c r="P182" s="6">
        <v>16447</v>
      </c>
      <c r="Q182" s="6">
        <v>6248</v>
      </c>
      <c r="R182" s="6">
        <v>7121</v>
      </c>
      <c r="S182" s="6">
        <v>5685</v>
      </c>
      <c r="T182" s="9"/>
      <c r="U182" s="9"/>
      <c r="V182" s="9"/>
      <c r="W182" s="9"/>
      <c r="X182" s="9"/>
      <c r="Y182" s="9"/>
      <c r="Z182" s="9"/>
      <c r="AA182" s="9"/>
      <c r="AB182" s="9"/>
      <c r="AC182" s="2"/>
      <c r="AD182" s="2"/>
      <c r="AE182" s="2"/>
      <c r="AF182" s="2"/>
      <c r="AG182" s="2"/>
      <c r="AH182" s="2"/>
      <c r="AI182" s="2"/>
      <c r="AJ182" s="2"/>
    </row>
    <row r="183" spans="1:50" x14ac:dyDescent="0.55000000000000004">
      <c r="A183" s="20" t="s">
        <v>186</v>
      </c>
      <c r="B183" s="19">
        <v>77211</v>
      </c>
      <c r="C183" s="19">
        <v>3224</v>
      </c>
      <c r="D183" s="19">
        <v>2627</v>
      </c>
      <c r="E183" s="19"/>
      <c r="F183" s="19"/>
      <c r="G183" s="19"/>
      <c r="H183" s="19">
        <v>76528</v>
      </c>
      <c r="I183" s="19">
        <v>3210</v>
      </c>
      <c r="J183" s="19">
        <v>2470</v>
      </c>
      <c r="K183" s="36">
        <v>41.9</v>
      </c>
      <c r="L183" s="36">
        <v>34.1</v>
      </c>
      <c r="N183" s="19"/>
      <c r="O183" s="19"/>
      <c r="P183" s="19"/>
      <c r="Q183" s="19"/>
      <c r="R183" s="19"/>
      <c r="S183" s="19"/>
      <c r="T183" s="19"/>
      <c r="U183" s="17"/>
      <c r="V183" s="17"/>
      <c r="W183" s="17"/>
      <c r="X183" s="17"/>
      <c r="Y183" s="17"/>
      <c r="Z183" s="17"/>
      <c r="AA183" s="17"/>
      <c r="AB183" s="17"/>
      <c r="AC183" s="2"/>
      <c r="AD183" s="12">
        <f t="shared" ref="AD183:AF184" si="173">B183</f>
        <v>77211</v>
      </c>
      <c r="AE183" s="12">
        <f t="shared" si="173"/>
        <v>3224</v>
      </c>
      <c r="AF183" s="12">
        <f t="shared" si="173"/>
        <v>2627</v>
      </c>
      <c r="AG183" s="2"/>
      <c r="AH183" s="12"/>
      <c r="AI183" s="12"/>
      <c r="AJ183" s="12"/>
      <c r="AL183" s="47">
        <f>C183/B183*1000</f>
        <v>41.755708383520485</v>
      </c>
      <c r="AM183" s="47">
        <f>D183/B183*1000</f>
        <v>34.023649479996372</v>
      </c>
      <c r="AO183" s="47">
        <f t="shared" ref="AO183:AP185" si="174">AL183-K183</f>
        <v>-0.14429161647951361</v>
      </c>
      <c r="AP183" s="47">
        <f t="shared" si="174"/>
        <v>-7.6350520003629185E-2</v>
      </c>
      <c r="AR183" s="12">
        <f t="shared" ref="AR183:AR185" si="175">H183</f>
        <v>76528</v>
      </c>
      <c r="AS183" s="12">
        <f t="shared" ref="AS183:AS185" si="176">I183</f>
        <v>3210</v>
      </c>
      <c r="AT183" s="12">
        <f t="shared" ref="AT183:AT185" si="177">J183</f>
        <v>2470</v>
      </c>
    </row>
    <row r="184" spans="1:50" x14ac:dyDescent="0.55000000000000004">
      <c r="A184" s="20" t="s">
        <v>187</v>
      </c>
      <c r="B184" s="19">
        <v>300000</v>
      </c>
      <c r="C184" s="19">
        <v>11381</v>
      </c>
      <c r="D184" s="19">
        <v>8205</v>
      </c>
      <c r="E184" s="19"/>
      <c r="F184" s="19"/>
      <c r="G184" s="19"/>
      <c r="H184" s="19">
        <v>285262</v>
      </c>
      <c r="I184" s="19">
        <v>10514</v>
      </c>
      <c r="J184" s="19">
        <v>7737</v>
      </c>
      <c r="K184" s="36">
        <v>37.9</v>
      </c>
      <c r="L184" s="36">
        <v>27.4</v>
      </c>
      <c r="N184" s="19"/>
      <c r="O184" s="19"/>
      <c r="P184" s="19"/>
      <c r="Q184" s="19"/>
      <c r="R184" s="19"/>
      <c r="S184" s="19"/>
      <c r="T184" s="19"/>
      <c r="U184" s="17"/>
      <c r="V184" s="17"/>
      <c r="W184" s="17"/>
      <c r="X184" s="17"/>
      <c r="Y184" s="17"/>
      <c r="Z184" s="17"/>
      <c r="AA184" s="17"/>
      <c r="AB184" s="17"/>
      <c r="AC184" s="2"/>
      <c r="AD184" s="12">
        <f t="shared" si="173"/>
        <v>300000</v>
      </c>
      <c r="AE184" s="12">
        <f t="shared" si="173"/>
        <v>11381</v>
      </c>
      <c r="AF184" s="12">
        <f t="shared" si="173"/>
        <v>8205</v>
      </c>
      <c r="AG184" s="2"/>
      <c r="AH184" s="12"/>
      <c r="AI184" s="12"/>
      <c r="AJ184" s="12"/>
      <c r="AL184" s="47">
        <f>C184/B184*1000</f>
        <v>37.936666666666667</v>
      </c>
      <c r="AM184" s="47">
        <f>D184/B184*1000</f>
        <v>27.349999999999998</v>
      </c>
      <c r="AO184" s="47">
        <f t="shared" si="174"/>
        <v>3.6666666666668846E-2</v>
      </c>
      <c r="AP184" s="47">
        <f t="shared" si="174"/>
        <v>-5.0000000000000711E-2</v>
      </c>
      <c r="AR184" s="12">
        <f t="shared" si="175"/>
        <v>285262</v>
      </c>
      <c r="AS184" s="12">
        <f t="shared" si="176"/>
        <v>10514</v>
      </c>
      <c r="AT184" s="12">
        <f t="shared" si="177"/>
        <v>7737</v>
      </c>
    </row>
    <row r="185" spans="1:50" x14ac:dyDescent="0.55000000000000004">
      <c r="A185" s="18" t="s">
        <v>188</v>
      </c>
      <c r="B185" s="19">
        <v>2248716</v>
      </c>
      <c r="C185" s="19">
        <v>108812</v>
      </c>
      <c r="D185" s="19">
        <v>77233</v>
      </c>
      <c r="E185" s="19" t="s">
        <v>14</v>
      </c>
      <c r="F185" s="19" t="s">
        <v>14</v>
      </c>
      <c r="G185" s="19" t="s">
        <v>14</v>
      </c>
      <c r="H185" s="19">
        <v>2182743</v>
      </c>
      <c r="I185" s="19">
        <v>106284</v>
      </c>
      <c r="J185" s="19">
        <v>69619</v>
      </c>
      <c r="K185" s="36">
        <v>48.4</v>
      </c>
      <c r="L185" s="36">
        <v>34.4</v>
      </c>
      <c r="N185" s="19">
        <v>162611</v>
      </c>
      <c r="O185" s="19">
        <v>142227</v>
      </c>
      <c r="P185" s="19">
        <v>135587</v>
      </c>
      <c r="Q185" s="19">
        <v>135891</v>
      </c>
      <c r="R185" s="19">
        <v>131555</v>
      </c>
      <c r="S185" s="19">
        <v>153022</v>
      </c>
      <c r="T185" s="19">
        <v>127507</v>
      </c>
      <c r="U185" s="19">
        <v>137846</v>
      </c>
      <c r="V185" s="19">
        <v>136554</v>
      </c>
      <c r="W185" s="19">
        <v>174817</v>
      </c>
      <c r="X185" s="19">
        <v>170714</v>
      </c>
      <c r="Y185" s="19">
        <v>139000</v>
      </c>
      <c r="Z185" s="19">
        <v>153223</v>
      </c>
      <c r="AA185" s="19">
        <v>169238</v>
      </c>
      <c r="AB185" s="19">
        <v>178924</v>
      </c>
      <c r="AC185" s="2"/>
      <c r="AD185" s="12">
        <f>SUM(N185:AB185)</f>
        <v>2248716</v>
      </c>
      <c r="AE185" s="12">
        <f>SUM(N186:AB186)</f>
        <v>108812</v>
      </c>
      <c r="AF185" s="12">
        <f>SUM(N187:AB187)</f>
        <v>77233</v>
      </c>
      <c r="AG185" s="2"/>
      <c r="AH185" s="12">
        <f>AD185-B185</f>
        <v>0</v>
      </c>
      <c r="AI185" s="12">
        <f>AE185-C185</f>
        <v>0</v>
      </c>
      <c r="AJ185" s="12">
        <f>AF185-D185</f>
        <v>0</v>
      </c>
      <c r="AL185" s="47">
        <f>C185/B185*1000</f>
        <v>48.388502594369406</v>
      </c>
      <c r="AM185" s="47">
        <f>D185/B185*1000</f>
        <v>34.345377539893875</v>
      </c>
      <c r="AO185" s="47">
        <f t="shared" si="174"/>
        <v>-1.1497405630592539E-2</v>
      </c>
      <c r="AP185" s="47">
        <f t="shared" si="174"/>
        <v>-5.4622460106124038E-2</v>
      </c>
      <c r="AR185" s="12">
        <f t="shared" si="175"/>
        <v>2182743</v>
      </c>
      <c r="AS185" s="12">
        <f t="shared" si="176"/>
        <v>106284</v>
      </c>
      <c r="AT185" s="12">
        <f t="shared" si="177"/>
        <v>69619</v>
      </c>
    </row>
    <row r="186" spans="1:50" x14ac:dyDescent="0.55000000000000004">
      <c r="A186" s="11" t="s">
        <v>189</v>
      </c>
      <c r="B186" s="9"/>
      <c r="C186" s="9"/>
      <c r="D186" s="9"/>
      <c r="E186" s="9"/>
      <c r="F186" s="9"/>
      <c r="G186" s="9"/>
      <c r="H186" s="9"/>
      <c r="I186" s="9"/>
      <c r="J186" s="9"/>
      <c r="K186" s="37"/>
      <c r="L186" s="37"/>
      <c r="M186" s="9"/>
      <c r="N186" s="6">
        <v>7310</v>
      </c>
      <c r="O186" s="6">
        <v>7169</v>
      </c>
      <c r="P186" s="6">
        <v>6139</v>
      </c>
      <c r="Q186" s="6">
        <v>7389</v>
      </c>
      <c r="R186" s="6">
        <v>6285</v>
      </c>
      <c r="S186" s="6">
        <v>7486</v>
      </c>
      <c r="T186" s="6">
        <v>5998</v>
      </c>
      <c r="U186" s="6">
        <v>5969</v>
      </c>
      <c r="V186" s="6">
        <v>6996</v>
      </c>
      <c r="W186" s="6">
        <v>8069</v>
      </c>
      <c r="X186" s="6">
        <v>7683</v>
      </c>
      <c r="Y186" s="6">
        <v>7526</v>
      </c>
      <c r="Z186" s="6">
        <v>7636</v>
      </c>
      <c r="AA186" s="6">
        <v>7151</v>
      </c>
      <c r="AB186" s="6">
        <v>10006</v>
      </c>
      <c r="AC186" s="2"/>
      <c r="AD186" s="2"/>
      <c r="AE186" s="2"/>
      <c r="AF186" s="2"/>
      <c r="AG186" s="2"/>
      <c r="AH186" s="2"/>
      <c r="AI186" s="2"/>
      <c r="AJ186" s="2"/>
    </row>
    <row r="187" spans="1:50" x14ac:dyDescent="0.55000000000000004">
      <c r="A187" s="11" t="s">
        <v>190</v>
      </c>
      <c r="B187" s="9"/>
      <c r="C187" s="9"/>
      <c r="D187" s="9"/>
      <c r="E187" s="9"/>
      <c r="F187" s="9"/>
      <c r="G187" s="9"/>
      <c r="H187" s="9"/>
      <c r="I187" s="9"/>
      <c r="J187" s="9"/>
      <c r="K187" s="37"/>
      <c r="L187" s="37"/>
      <c r="M187" s="9"/>
      <c r="N187" s="6">
        <v>5441</v>
      </c>
      <c r="O187" s="6">
        <v>5351</v>
      </c>
      <c r="P187" s="6">
        <v>4726</v>
      </c>
      <c r="Q187" s="6">
        <v>5450</v>
      </c>
      <c r="R187" s="6">
        <v>4060</v>
      </c>
      <c r="S187" s="6">
        <v>4736</v>
      </c>
      <c r="T187" s="6">
        <v>4505</v>
      </c>
      <c r="U187" s="6">
        <v>3820</v>
      </c>
      <c r="V187" s="6">
        <v>5171</v>
      </c>
      <c r="W187" s="6">
        <v>6150</v>
      </c>
      <c r="X187" s="6">
        <v>6019</v>
      </c>
      <c r="Y187" s="6">
        <v>4397</v>
      </c>
      <c r="Z187" s="6">
        <v>5080</v>
      </c>
      <c r="AA187" s="6">
        <v>4682</v>
      </c>
      <c r="AB187" s="6">
        <v>7645</v>
      </c>
      <c r="AC187" s="2"/>
      <c r="AD187" s="2"/>
      <c r="AE187" s="2"/>
      <c r="AF187" s="2"/>
      <c r="AG187" s="2"/>
      <c r="AH187" s="2"/>
      <c r="AI187" s="2"/>
      <c r="AJ187" s="2"/>
    </row>
    <row r="188" spans="1:50" x14ac:dyDescent="0.55000000000000004">
      <c r="A188" s="18" t="s">
        <v>191</v>
      </c>
      <c r="B188" s="19">
        <v>1212216</v>
      </c>
      <c r="C188" s="19">
        <v>47413</v>
      </c>
      <c r="D188" s="19">
        <v>33522</v>
      </c>
      <c r="E188" s="19">
        <v>169182</v>
      </c>
      <c r="F188" s="19">
        <v>5204</v>
      </c>
      <c r="G188" s="19">
        <v>4596</v>
      </c>
      <c r="H188" s="19">
        <v>1166919</v>
      </c>
      <c r="I188" s="19">
        <v>44201</v>
      </c>
      <c r="J188" s="19">
        <v>36205</v>
      </c>
      <c r="K188" s="36">
        <v>39.1</v>
      </c>
      <c r="L188" s="36">
        <v>27.7</v>
      </c>
      <c r="N188" s="19">
        <v>221967</v>
      </c>
      <c r="O188" s="19">
        <v>76966</v>
      </c>
      <c r="P188" s="19">
        <v>70942</v>
      </c>
      <c r="Q188" s="19">
        <v>124472</v>
      </c>
      <c r="R188" s="19">
        <v>90056</v>
      </c>
      <c r="S188" s="19">
        <v>111658</v>
      </c>
      <c r="T188" s="19">
        <v>78807</v>
      </c>
      <c r="U188" s="19">
        <v>170291</v>
      </c>
      <c r="V188" s="19">
        <v>116709</v>
      </c>
      <c r="W188" s="19">
        <v>110903</v>
      </c>
      <c r="X188" s="57">
        <v>39445</v>
      </c>
      <c r="Y188" s="17"/>
      <c r="Z188" s="17"/>
      <c r="AA188" s="17"/>
      <c r="AB188" s="17"/>
      <c r="AC188" s="2"/>
      <c r="AD188" s="12">
        <f>SUM(N188:AB188)</f>
        <v>1212216</v>
      </c>
      <c r="AE188" s="12">
        <f>SUM(N189:AB189)</f>
        <v>47413</v>
      </c>
      <c r="AF188" s="12">
        <f>SUM(N190:AB190)</f>
        <v>33522</v>
      </c>
      <c r="AG188" s="2"/>
      <c r="AH188" s="12">
        <f>AD188-B188</f>
        <v>0</v>
      </c>
      <c r="AI188" s="12">
        <f>AE188-C188</f>
        <v>0</v>
      </c>
      <c r="AJ188" s="12">
        <f>AF188-D188</f>
        <v>0</v>
      </c>
      <c r="AL188" s="47">
        <f>C188/B188*1000</f>
        <v>39.112666389488339</v>
      </c>
      <c r="AM188" s="47">
        <f>D188/B188*1000</f>
        <v>27.653487497277712</v>
      </c>
      <c r="AO188" s="47">
        <f>AL188-K188</f>
        <v>1.266638948833787E-2</v>
      </c>
      <c r="AP188" s="47">
        <f>AM188-L188</f>
        <v>-4.6512502722286797E-2</v>
      </c>
      <c r="AR188" s="12">
        <f t="shared" ref="AR188" si="178">H188</f>
        <v>1166919</v>
      </c>
      <c r="AS188" s="12">
        <f t="shared" ref="AS188" si="179">I188</f>
        <v>44201</v>
      </c>
      <c r="AT188" s="12">
        <f t="shared" ref="AT188" si="180">J188</f>
        <v>36205</v>
      </c>
    </row>
    <row r="189" spans="1:50" x14ac:dyDescent="0.55000000000000004">
      <c r="A189" s="11" t="s">
        <v>192</v>
      </c>
      <c r="B189" s="9"/>
      <c r="C189" s="9"/>
      <c r="D189" s="9"/>
      <c r="E189" s="9"/>
      <c r="F189" s="9"/>
      <c r="G189" s="9"/>
      <c r="H189" s="9"/>
      <c r="I189" s="9"/>
      <c r="J189" s="9"/>
      <c r="K189" s="37"/>
      <c r="L189" s="37"/>
      <c r="M189" s="9"/>
      <c r="N189" s="6">
        <v>9257</v>
      </c>
      <c r="O189" s="6">
        <v>2824</v>
      </c>
      <c r="P189" s="6">
        <v>2544</v>
      </c>
      <c r="Q189" s="6">
        <v>5738</v>
      </c>
      <c r="R189" s="6">
        <v>4108</v>
      </c>
      <c r="S189" s="6">
        <v>4651</v>
      </c>
      <c r="T189" s="6">
        <v>3333</v>
      </c>
      <c r="U189" s="6">
        <v>7165</v>
      </c>
      <c r="V189" s="6">
        <v>3663</v>
      </c>
      <c r="W189" s="6">
        <v>4130</v>
      </c>
      <c r="X189" s="62" t="s">
        <v>14</v>
      </c>
      <c r="Y189" s="9"/>
      <c r="Z189" s="9"/>
      <c r="AA189" s="9"/>
      <c r="AB189" s="9"/>
      <c r="AC189" s="2"/>
      <c r="AD189" s="2"/>
      <c r="AE189" s="2"/>
      <c r="AF189" s="2"/>
      <c r="AG189" s="2"/>
      <c r="AH189" s="2"/>
      <c r="AI189" s="2"/>
      <c r="AJ189" s="2"/>
    </row>
    <row r="190" spans="1:50" x14ac:dyDescent="0.55000000000000004">
      <c r="A190" s="11" t="s">
        <v>193</v>
      </c>
      <c r="B190" s="9"/>
      <c r="C190" s="9"/>
      <c r="D190" s="9"/>
      <c r="E190" s="9"/>
      <c r="F190" s="9"/>
      <c r="G190" s="9"/>
      <c r="H190" s="9"/>
      <c r="I190" s="9"/>
      <c r="J190" s="9"/>
      <c r="K190" s="37"/>
      <c r="L190" s="37"/>
      <c r="M190" s="9"/>
      <c r="N190" s="6">
        <v>6741</v>
      </c>
      <c r="O190" s="6">
        <v>2054</v>
      </c>
      <c r="P190" s="6">
        <v>1896</v>
      </c>
      <c r="Q190" s="6">
        <v>3607</v>
      </c>
      <c r="R190" s="6">
        <v>2812</v>
      </c>
      <c r="S190" s="6">
        <v>3529</v>
      </c>
      <c r="T190" s="6">
        <v>2671</v>
      </c>
      <c r="U190" s="6">
        <v>4705</v>
      </c>
      <c r="V190" s="6">
        <v>2658</v>
      </c>
      <c r="W190" s="6">
        <v>2849</v>
      </c>
      <c r="X190" s="62" t="s">
        <v>14</v>
      </c>
      <c r="Y190" s="9"/>
      <c r="Z190" s="9"/>
      <c r="AA190" s="9"/>
      <c r="AB190" s="9"/>
      <c r="AC190" s="2"/>
      <c r="AD190" s="2"/>
      <c r="AE190" s="2"/>
      <c r="AF190" s="2"/>
      <c r="AG190" s="2"/>
      <c r="AH190" s="2"/>
      <c r="AI190" s="2"/>
      <c r="AJ190" s="2"/>
    </row>
    <row r="191" spans="1:50" x14ac:dyDescent="0.55000000000000004">
      <c r="A191" s="45" t="s">
        <v>194</v>
      </c>
      <c r="B191" s="7">
        <v>65359347</v>
      </c>
      <c r="C191" s="7">
        <v>3212059</v>
      </c>
      <c r="D191" s="7">
        <v>2368755</v>
      </c>
      <c r="E191" s="7"/>
      <c r="F191" s="7"/>
      <c r="G191" s="7"/>
      <c r="H191" s="7">
        <v>63230360</v>
      </c>
      <c r="I191" s="7">
        <v>3117694</v>
      </c>
      <c r="J191" s="7">
        <v>2229321</v>
      </c>
      <c r="K191" s="38">
        <v>49.3</v>
      </c>
      <c r="L191" s="38">
        <v>36.4</v>
      </c>
      <c r="N191" s="7"/>
      <c r="O191" s="7"/>
      <c r="P191" s="7"/>
      <c r="Q191" s="7"/>
      <c r="R191" s="7"/>
      <c r="S191" s="7"/>
      <c r="T191" s="24"/>
      <c r="U191" s="25"/>
      <c r="V191" s="25"/>
      <c r="W191" s="25"/>
      <c r="X191" s="25"/>
      <c r="Y191" s="25"/>
      <c r="Z191" s="25"/>
      <c r="AA191" s="25"/>
      <c r="AB191" s="25"/>
      <c r="AC191" s="2"/>
      <c r="AD191" s="23">
        <f>SUM(AD85:AD190)</f>
        <v>65331451</v>
      </c>
      <c r="AE191" s="23">
        <f>SUM(AE85:AE190)</f>
        <v>3214456</v>
      </c>
      <c r="AF191" s="23">
        <f>SUM(AF85:AF190)</f>
        <v>2381102</v>
      </c>
      <c r="AG191" s="2"/>
      <c r="AH191" s="23">
        <f t="shared" ref="AH191:AJ192" si="181">AD191-B191</f>
        <v>-27896</v>
      </c>
      <c r="AI191" s="23">
        <f t="shared" si="181"/>
        <v>2397</v>
      </c>
      <c r="AJ191" s="23">
        <f t="shared" si="181"/>
        <v>12347</v>
      </c>
      <c r="AL191" s="49">
        <f>C191/B191*1000</f>
        <v>49.14460054198522</v>
      </c>
      <c r="AM191" s="49">
        <f>D191/B191*1000</f>
        <v>36.242023654244889</v>
      </c>
      <c r="AN191" s="48"/>
      <c r="AO191" s="49">
        <f>AL191-K191</f>
        <v>-0.15539945801477728</v>
      </c>
      <c r="AP191" s="49">
        <f>AM191-L191</f>
        <v>-0.15797634575510955</v>
      </c>
      <c r="AR191" s="23">
        <f t="shared" ref="AR191:AT191" si="182">SUM(AR85:AR190)</f>
        <v>63257597</v>
      </c>
      <c r="AS191" s="23">
        <f t="shared" si="182"/>
        <v>3119374</v>
      </c>
      <c r="AT191" s="23">
        <f t="shared" si="182"/>
        <v>2229247</v>
      </c>
      <c r="AV191" s="23">
        <f>H191-AR191</f>
        <v>-27237</v>
      </c>
      <c r="AW191" s="23">
        <f>I191-AS191</f>
        <v>-1680</v>
      </c>
      <c r="AX191" s="23">
        <f>J191-AT191</f>
        <v>74</v>
      </c>
    </row>
    <row r="192" spans="1:50" x14ac:dyDescent="0.55000000000000004">
      <c r="A192" s="18" t="s">
        <v>195</v>
      </c>
      <c r="B192" s="19">
        <v>2090219</v>
      </c>
      <c r="C192" s="19">
        <v>121533</v>
      </c>
      <c r="D192" s="19">
        <v>81789</v>
      </c>
      <c r="E192" s="19" t="s">
        <v>14</v>
      </c>
      <c r="F192" s="19" t="s">
        <v>14</v>
      </c>
      <c r="G192" s="19" t="s">
        <v>14</v>
      </c>
      <c r="H192" s="19">
        <v>1915192</v>
      </c>
      <c r="I192" s="19">
        <v>115919</v>
      </c>
      <c r="J192" s="19">
        <v>68890</v>
      </c>
      <c r="K192" s="36">
        <v>58.1</v>
      </c>
      <c r="L192" s="36">
        <v>39.1</v>
      </c>
      <c r="N192" s="19">
        <v>140734</v>
      </c>
      <c r="O192" s="19">
        <v>219866</v>
      </c>
      <c r="P192" s="19">
        <v>196346</v>
      </c>
      <c r="Q192" s="19">
        <v>405055</v>
      </c>
      <c r="R192" s="19">
        <v>296934</v>
      </c>
      <c r="S192" s="19">
        <v>55536</v>
      </c>
      <c r="T192" s="19">
        <v>360824</v>
      </c>
      <c r="U192" s="19">
        <v>204487</v>
      </c>
      <c r="V192" s="19">
        <v>210437</v>
      </c>
      <c r="W192" s="17"/>
      <c r="X192" s="17"/>
      <c r="Y192" s="17"/>
      <c r="Z192" s="17"/>
      <c r="AA192" s="17"/>
      <c r="AB192" s="17"/>
      <c r="AC192" s="2"/>
      <c r="AD192" s="12">
        <f>SUM(N192:AB192)</f>
        <v>2090219</v>
      </c>
      <c r="AE192" s="12">
        <f>SUM(N193:AB193)</f>
        <v>121533</v>
      </c>
      <c r="AF192" s="12">
        <f>SUM(N194:AB194)</f>
        <v>81789</v>
      </c>
      <c r="AG192" s="2"/>
      <c r="AH192" s="12">
        <f t="shared" si="181"/>
        <v>0</v>
      </c>
      <c r="AI192" s="12">
        <f t="shared" si="181"/>
        <v>0</v>
      </c>
      <c r="AJ192" s="12">
        <f t="shared" si="181"/>
        <v>0</v>
      </c>
      <c r="AL192" s="47">
        <f>C192/B192*1000</f>
        <v>58.143668199360924</v>
      </c>
      <c r="AM192" s="47">
        <f>D192/B192*1000</f>
        <v>39.129392661725873</v>
      </c>
      <c r="AO192" s="47">
        <f>AL192-K192</f>
        <v>4.3668199360922699E-2</v>
      </c>
      <c r="AP192" s="47">
        <f>AM192-L192</f>
        <v>2.939266172587196E-2</v>
      </c>
      <c r="AR192" s="12">
        <f t="shared" ref="AR192" si="183">H192</f>
        <v>1915192</v>
      </c>
      <c r="AS192" s="12">
        <f t="shared" ref="AS192" si="184">I192</f>
        <v>115919</v>
      </c>
      <c r="AT192" s="12">
        <f t="shared" ref="AT192" si="185">J192</f>
        <v>68890</v>
      </c>
    </row>
    <row r="193" spans="1:50" x14ac:dyDescent="0.55000000000000004">
      <c r="A193" s="11" t="s">
        <v>196</v>
      </c>
      <c r="B193" s="9"/>
      <c r="C193" s="9"/>
      <c r="D193" s="9"/>
      <c r="E193" s="9"/>
      <c r="F193" s="9"/>
      <c r="G193" s="9"/>
      <c r="H193" s="9"/>
      <c r="I193" s="9"/>
      <c r="J193" s="9"/>
      <c r="K193" s="37"/>
      <c r="L193" s="37"/>
      <c r="M193" s="9"/>
      <c r="N193" s="6">
        <v>11418</v>
      </c>
      <c r="O193" s="6">
        <v>13630</v>
      </c>
      <c r="P193" s="6">
        <v>9318</v>
      </c>
      <c r="Q193" s="6">
        <v>25027</v>
      </c>
      <c r="R193" s="6">
        <v>16275</v>
      </c>
      <c r="S193" s="6">
        <v>2393</v>
      </c>
      <c r="T193" s="6">
        <v>19073</v>
      </c>
      <c r="U193" s="6">
        <v>11196</v>
      </c>
      <c r="V193" s="6">
        <v>13203</v>
      </c>
      <c r="W193" s="9"/>
      <c r="X193" s="9"/>
      <c r="Y193" s="9"/>
      <c r="Z193" s="9"/>
      <c r="AA193" s="9"/>
      <c r="AB193" s="9"/>
      <c r="AC193" s="2"/>
      <c r="AD193" s="2"/>
      <c r="AE193" s="2"/>
      <c r="AF193" s="2"/>
      <c r="AG193" s="2"/>
      <c r="AH193" s="2"/>
      <c r="AI193" s="2"/>
      <c r="AJ193" s="2"/>
    </row>
    <row r="194" spans="1:50" x14ac:dyDescent="0.55000000000000004">
      <c r="A194" s="11" t="s">
        <v>197</v>
      </c>
      <c r="B194" s="9"/>
      <c r="C194" s="9"/>
      <c r="D194" s="9"/>
      <c r="E194" s="9"/>
      <c r="F194" s="9"/>
      <c r="G194" s="9"/>
      <c r="H194" s="9"/>
      <c r="I194" s="9"/>
      <c r="J194" s="9"/>
      <c r="K194" s="37"/>
      <c r="L194" s="37"/>
      <c r="M194" s="9"/>
      <c r="N194" s="6">
        <v>8422</v>
      </c>
      <c r="O194" s="6">
        <v>7297</v>
      </c>
      <c r="P194" s="6">
        <v>5669</v>
      </c>
      <c r="Q194" s="6">
        <v>15276</v>
      </c>
      <c r="R194" s="6">
        <v>11727</v>
      </c>
      <c r="S194" s="6">
        <v>1682</v>
      </c>
      <c r="T194" s="6">
        <v>17193</v>
      </c>
      <c r="U194" s="6">
        <v>6062</v>
      </c>
      <c r="V194" s="6">
        <v>8461</v>
      </c>
      <c r="W194" s="9"/>
      <c r="X194" s="9"/>
      <c r="Y194" s="9"/>
      <c r="Z194" s="9"/>
      <c r="AA194" s="9"/>
      <c r="AB194" s="9"/>
      <c r="AC194" s="2"/>
      <c r="AD194" s="2"/>
      <c r="AE194" s="2"/>
      <c r="AF194" s="2"/>
      <c r="AG194" s="2"/>
      <c r="AH194" s="2"/>
      <c r="AI194" s="2"/>
      <c r="AJ194" s="2"/>
    </row>
    <row r="195" spans="1:50" x14ac:dyDescent="0.55000000000000004">
      <c r="A195" s="45" t="s">
        <v>198</v>
      </c>
      <c r="B195" s="7">
        <v>99103355</v>
      </c>
      <c r="C195" s="7">
        <v>4702629</v>
      </c>
      <c r="D195" s="7">
        <v>3283808</v>
      </c>
      <c r="E195" s="7"/>
      <c r="F195" s="7"/>
      <c r="G195" s="7"/>
      <c r="H195" s="7">
        <v>95232073</v>
      </c>
      <c r="I195" s="7">
        <v>4527992</v>
      </c>
      <c r="J195" s="7">
        <v>2862871</v>
      </c>
      <c r="K195" s="38">
        <v>47.7</v>
      </c>
      <c r="L195" s="38">
        <v>33.299999999999997</v>
      </c>
      <c r="N195" s="7"/>
      <c r="O195" s="7"/>
      <c r="P195" s="7"/>
      <c r="Q195" s="7"/>
      <c r="R195" s="7"/>
      <c r="S195" s="24"/>
      <c r="T195" s="24"/>
      <c r="U195" s="25"/>
      <c r="V195" s="25"/>
      <c r="W195" s="25"/>
      <c r="X195" s="25"/>
      <c r="Y195" s="25"/>
      <c r="Z195" s="25"/>
      <c r="AA195" s="25"/>
      <c r="AB195" s="25"/>
      <c r="AC195" s="2"/>
      <c r="AD195" s="23">
        <f>SUM(AD42, AD74, AD84, AD191, AD192)</f>
        <v>98938558</v>
      </c>
      <c r="AE195" s="23">
        <f>SUM(AE42, AE74, AE84, AE191, AE192)</f>
        <v>4705151</v>
      </c>
      <c r="AF195" s="23">
        <f>SUM(AF42, AF74, AF84, AF191, AF192)</f>
        <v>3275614</v>
      </c>
      <c r="AG195" s="2"/>
      <c r="AH195" s="23">
        <f t="shared" ref="AH195:AJ196" si="186">AD195-B195</f>
        <v>-164797</v>
      </c>
      <c r="AI195" s="23">
        <f t="shared" si="186"/>
        <v>2522</v>
      </c>
      <c r="AJ195" s="23">
        <f t="shared" si="186"/>
        <v>-8194</v>
      </c>
      <c r="AL195" s="49">
        <f>C195/B195*1000</f>
        <v>47.451763868135444</v>
      </c>
      <c r="AM195" s="49">
        <f>D195/B195*1000</f>
        <v>33.135184979358172</v>
      </c>
      <c r="AN195" s="48"/>
      <c r="AO195" s="49">
        <f>AL195-K195</f>
        <v>-0.24823613186455873</v>
      </c>
      <c r="AP195" s="49">
        <f>AM195-L195</f>
        <v>-0.16481502064182507</v>
      </c>
      <c r="AR195" s="23">
        <f t="shared" ref="AR195:AT195" si="187">SUM(AR42, AR74, AR84, AR191, AR192)</f>
        <v>94873596</v>
      </c>
      <c r="AS195" s="23">
        <f t="shared" si="187"/>
        <v>4521233</v>
      </c>
      <c r="AT195" s="23">
        <f t="shared" si="187"/>
        <v>3115060</v>
      </c>
      <c r="AV195" s="23">
        <f>H195-AR195</f>
        <v>358477</v>
      </c>
      <c r="AW195" s="23">
        <f>I195-AS195</f>
        <v>6759</v>
      </c>
      <c r="AX195" s="23">
        <f>J195-AT195</f>
        <v>-252189</v>
      </c>
    </row>
    <row r="196" spans="1:50" x14ac:dyDescent="0.55000000000000004">
      <c r="A196" s="18" t="s">
        <v>199</v>
      </c>
      <c r="B196" s="19">
        <v>881926</v>
      </c>
      <c r="C196" s="19">
        <v>21497</v>
      </c>
      <c r="D196" s="19">
        <v>19879</v>
      </c>
      <c r="E196" s="19">
        <v>169360</v>
      </c>
      <c r="F196" s="19">
        <v>4941</v>
      </c>
      <c r="G196" s="19">
        <v>4479</v>
      </c>
      <c r="H196" s="19">
        <v>777932</v>
      </c>
      <c r="I196" s="19">
        <v>19070</v>
      </c>
      <c r="J196" s="19">
        <v>15719</v>
      </c>
      <c r="K196" s="36">
        <v>24.4</v>
      </c>
      <c r="L196" s="36">
        <v>22.5</v>
      </c>
      <c r="N196" s="19">
        <v>174759</v>
      </c>
      <c r="O196" s="19">
        <v>78573</v>
      </c>
      <c r="P196" s="19">
        <v>98932</v>
      </c>
      <c r="Q196" s="19">
        <v>162931</v>
      </c>
      <c r="R196" s="19">
        <v>128777</v>
      </c>
      <c r="S196" s="19">
        <v>121841</v>
      </c>
      <c r="T196" s="19">
        <v>14682</v>
      </c>
      <c r="U196" s="60">
        <v>101431</v>
      </c>
      <c r="V196" s="19"/>
      <c r="W196" s="19"/>
      <c r="X196" s="19"/>
      <c r="Y196" s="19"/>
      <c r="Z196" s="17"/>
      <c r="AA196" s="17"/>
      <c r="AB196" s="17"/>
      <c r="AC196" s="2"/>
      <c r="AD196" s="12">
        <f>SUM(N196:AB196)</f>
        <v>881926</v>
      </c>
      <c r="AE196" s="12">
        <f>SUM(N197:AB197)</f>
        <v>21497</v>
      </c>
      <c r="AF196" s="12">
        <f>SUM(N198:AB198)</f>
        <v>19871</v>
      </c>
      <c r="AG196" s="2"/>
      <c r="AH196" s="12">
        <f t="shared" si="186"/>
        <v>0</v>
      </c>
      <c r="AI196" s="12">
        <f t="shared" si="186"/>
        <v>0</v>
      </c>
      <c r="AJ196" s="12">
        <f t="shared" si="186"/>
        <v>-8</v>
      </c>
      <c r="AL196" s="47">
        <f>C196/B196*1000</f>
        <v>24.375060946156481</v>
      </c>
      <c r="AM196" s="47">
        <f>D196/B196*1000</f>
        <v>22.540439900853361</v>
      </c>
      <c r="AO196" s="47">
        <f>AL196-K196</f>
        <v>-2.4939053843517911E-2</v>
      </c>
      <c r="AP196" s="47">
        <f>AM196-L196</f>
        <v>4.0439900853360911E-2</v>
      </c>
      <c r="AR196" s="12">
        <f t="shared" ref="AR196" si="188">H196</f>
        <v>777932</v>
      </c>
      <c r="AS196" s="12">
        <f t="shared" ref="AS196" si="189">I196</f>
        <v>19070</v>
      </c>
      <c r="AT196" s="12">
        <f t="shared" ref="AT196" si="190">J196</f>
        <v>15719</v>
      </c>
    </row>
    <row r="197" spans="1:50" x14ac:dyDescent="0.55000000000000004">
      <c r="A197" s="11" t="s">
        <v>200</v>
      </c>
      <c r="B197" s="9"/>
      <c r="C197" s="9"/>
      <c r="D197" s="9"/>
      <c r="E197" s="9"/>
      <c r="F197" s="9"/>
      <c r="G197" s="9"/>
      <c r="H197" s="9"/>
      <c r="I197" s="9"/>
      <c r="J197" s="9"/>
      <c r="K197" s="37"/>
      <c r="L197" s="37"/>
      <c r="M197" s="9"/>
      <c r="N197" s="6">
        <v>4015</v>
      </c>
      <c r="O197" s="6">
        <v>2402</v>
      </c>
      <c r="P197" s="6">
        <v>1831</v>
      </c>
      <c r="Q197" s="6">
        <v>6333</v>
      </c>
      <c r="R197" s="6">
        <v>4514</v>
      </c>
      <c r="S197" s="6">
        <v>2063</v>
      </c>
      <c r="T197" s="6">
        <v>339</v>
      </c>
      <c r="U197" s="37" t="s">
        <v>14</v>
      </c>
      <c r="V197" s="6"/>
      <c r="W197" s="6"/>
      <c r="X197" s="6"/>
      <c r="Y197" s="6"/>
      <c r="Z197" s="9"/>
      <c r="AA197" s="9"/>
      <c r="AB197" s="9"/>
      <c r="AC197" s="2"/>
      <c r="AD197" s="2"/>
      <c r="AE197" s="2"/>
      <c r="AF197" s="2"/>
      <c r="AG197" s="2"/>
      <c r="AH197" s="2"/>
      <c r="AI197" s="2"/>
      <c r="AJ197" s="2"/>
    </row>
    <row r="198" spans="1:50" x14ac:dyDescent="0.55000000000000004">
      <c r="A198" s="11" t="s">
        <v>201</v>
      </c>
      <c r="B198" s="9"/>
      <c r="C198" s="9"/>
      <c r="D198" s="9"/>
      <c r="E198" s="9"/>
      <c r="F198" s="9"/>
      <c r="G198" s="9"/>
      <c r="H198" s="9"/>
      <c r="I198" s="9"/>
      <c r="J198" s="9"/>
      <c r="K198" s="37"/>
      <c r="L198" s="37"/>
      <c r="M198" s="9"/>
      <c r="N198" s="6">
        <v>3850</v>
      </c>
      <c r="O198" s="6">
        <v>2328</v>
      </c>
      <c r="P198" s="6">
        <v>1801</v>
      </c>
      <c r="Q198" s="6">
        <v>5848</v>
      </c>
      <c r="R198" s="6">
        <v>4455</v>
      </c>
      <c r="S198" s="6">
        <v>1317</v>
      </c>
      <c r="T198" s="6">
        <v>272</v>
      </c>
      <c r="U198" s="37" t="s">
        <v>14</v>
      </c>
      <c r="V198" s="6"/>
      <c r="W198" s="6"/>
      <c r="X198" s="6"/>
      <c r="Y198" s="6"/>
      <c r="Z198" s="9"/>
      <c r="AA198" s="9"/>
      <c r="AB198" s="9"/>
      <c r="AC198" s="2"/>
      <c r="AD198" s="2"/>
      <c r="AE198" s="2"/>
      <c r="AF198" s="2"/>
      <c r="AG198" s="2"/>
      <c r="AH198" s="2"/>
      <c r="AI198" s="2"/>
      <c r="AJ198" s="2"/>
    </row>
    <row r="199" spans="1:50" x14ac:dyDescent="0.55000000000000004">
      <c r="A199" s="18" t="s">
        <v>202</v>
      </c>
      <c r="B199" s="19">
        <v>661444</v>
      </c>
      <c r="C199" s="19">
        <v>10321</v>
      </c>
      <c r="D199" s="19">
        <v>11554</v>
      </c>
      <c r="E199" s="19" t="s">
        <v>14</v>
      </c>
      <c r="F199" s="19" t="s">
        <v>14</v>
      </c>
      <c r="G199" s="19" t="s">
        <v>14</v>
      </c>
      <c r="H199" s="19">
        <v>626981</v>
      </c>
      <c r="I199" s="19">
        <v>13908</v>
      </c>
      <c r="J199" s="19">
        <v>12320</v>
      </c>
      <c r="K199" s="39" t="s">
        <v>14</v>
      </c>
      <c r="L199" s="39" t="s">
        <v>14</v>
      </c>
      <c r="N199" s="19">
        <v>35362</v>
      </c>
      <c r="O199" s="19">
        <v>49508</v>
      </c>
      <c r="P199" s="19">
        <v>60541</v>
      </c>
      <c r="Q199" s="19">
        <v>80667</v>
      </c>
      <c r="R199" s="19">
        <v>73218</v>
      </c>
      <c r="S199" s="19">
        <v>79597</v>
      </c>
      <c r="T199" s="19">
        <v>52168</v>
      </c>
      <c r="U199" s="19">
        <v>79998</v>
      </c>
      <c r="V199" s="19">
        <v>70160</v>
      </c>
      <c r="W199" s="19">
        <v>80225</v>
      </c>
      <c r="X199" s="19"/>
      <c r="Y199" s="19"/>
      <c r="Z199" s="17"/>
      <c r="AA199" s="17"/>
      <c r="AB199" s="17"/>
      <c r="AC199" s="2"/>
      <c r="AD199" s="12">
        <f>SUM(N199:AB199)</f>
        <v>661444</v>
      </c>
      <c r="AE199" s="12">
        <f>SUM(N200:AB200)</f>
        <v>10322</v>
      </c>
      <c r="AF199" s="12">
        <f>SUM(N201:AB201)</f>
        <v>11554</v>
      </c>
      <c r="AG199" s="2"/>
      <c r="AH199" s="12">
        <f>AD199-B199</f>
        <v>0</v>
      </c>
      <c r="AI199" s="12">
        <f>AE199-C199</f>
        <v>1</v>
      </c>
      <c r="AJ199" s="12">
        <f>AF199-D199</f>
        <v>0</v>
      </c>
      <c r="AL199" s="47">
        <f>C199/B199*1000</f>
        <v>15.603739696784611</v>
      </c>
      <c r="AM199" s="47">
        <f>D199/B199*1000</f>
        <v>17.467843082709951</v>
      </c>
      <c r="AO199" s="47"/>
      <c r="AP199" s="47"/>
      <c r="AR199" s="12">
        <f t="shared" ref="AR199" si="191">H199</f>
        <v>626981</v>
      </c>
      <c r="AS199" s="12">
        <f t="shared" ref="AS199" si="192">I199</f>
        <v>13908</v>
      </c>
      <c r="AT199" s="12">
        <f t="shared" ref="AT199" si="193">J199</f>
        <v>12320</v>
      </c>
    </row>
    <row r="200" spans="1:50" x14ac:dyDescent="0.55000000000000004">
      <c r="A200" s="11" t="s">
        <v>203</v>
      </c>
      <c r="B200" s="9"/>
      <c r="C200" s="9"/>
      <c r="D200" s="9"/>
      <c r="E200" s="9"/>
      <c r="F200" s="9"/>
      <c r="G200" s="9"/>
      <c r="H200" s="9"/>
      <c r="I200" s="9"/>
      <c r="J200" s="9"/>
      <c r="K200" s="37"/>
      <c r="L200" s="37"/>
      <c r="M200" s="9"/>
      <c r="N200" s="6" t="s">
        <v>14</v>
      </c>
      <c r="O200" s="6">
        <v>1104</v>
      </c>
      <c r="P200" s="6">
        <v>1250</v>
      </c>
      <c r="Q200" s="6">
        <v>1849</v>
      </c>
      <c r="R200" s="6">
        <v>1344</v>
      </c>
      <c r="S200" s="6">
        <v>1600</v>
      </c>
      <c r="T200" s="6">
        <v>1583</v>
      </c>
      <c r="U200" s="6" t="s">
        <v>14</v>
      </c>
      <c r="V200" s="6" t="s">
        <v>14</v>
      </c>
      <c r="W200" s="6">
        <v>1592</v>
      </c>
      <c r="X200" s="6"/>
      <c r="Y200" s="6"/>
      <c r="Z200" s="9"/>
      <c r="AA200" s="9"/>
      <c r="AB200" s="9"/>
      <c r="AC200" s="2"/>
      <c r="AD200" s="2"/>
      <c r="AE200" s="2"/>
      <c r="AF200" s="2"/>
      <c r="AG200" s="2"/>
      <c r="AH200" s="2"/>
      <c r="AI200" s="2"/>
      <c r="AJ200" s="2"/>
    </row>
    <row r="201" spans="1:50" x14ac:dyDescent="0.55000000000000004">
      <c r="A201" s="11" t="s">
        <v>204</v>
      </c>
      <c r="B201" s="9"/>
      <c r="C201" s="9"/>
      <c r="D201" s="9"/>
      <c r="E201" s="9"/>
      <c r="F201" s="9"/>
      <c r="G201" s="9"/>
      <c r="H201" s="9"/>
      <c r="I201" s="9"/>
      <c r="J201" s="9"/>
      <c r="K201" s="37"/>
      <c r="L201" s="37"/>
      <c r="M201" s="9"/>
      <c r="N201" s="6" t="s">
        <v>14</v>
      </c>
      <c r="O201" s="6">
        <v>1100</v>
      </c>
      <c r="P201" s="6">
        <v>848</v>
      </c>
      <c r="Q201" s="6">
        <v>1566</v>
      </c>
      <c r="R201" s="6">
        <v>3372</v>
      </c>
      <c r="S201" s="6">
        <v>1732</v>
      </c>
      <c r="T201" s="6">
        <v>919</v>
      </c>
      <c r="U201" s="6" t="s">
        <v>14</v>
      </c>
      <c r="V201" s="6" t="s">
        <v>14</v>
      </c>
      <c r="W201" s="6">
        <v>2017</v>
      </c>
      <c r="X201" s="6"/>
      <c r="Y201" s="6"/>
      <c r="Z201" s="9"/>
      <c r="AA201" s="9"/>
      <c r="AB201" s="9"/>
      <c r="AC201" s="2"/>
      <c r="AD201" s="2"/>
      <c r="AE201" s="2"/>
      <c r="AF201" s="2"/>
      <c r="AG201" s="2"/>
      <c r="AH201" s="2"/>
      <c r="AI201" s="2"/>
      <c r="AJ201" s="2"/>
    </row>
    <row r="202" spans="1:50" x14ac:dyDescent="0.55000000000000004">
      <c r="A202" s="18" t="s">
        <v>205</v>
      </c>
      <c r="B202" s="19">
        <v>793969</v>
      </c>
      <c r="C202" s="19">
        <v>22575</v>
      </c>
      <c r="D202" s="19">
        <v>16174</v>
      </c>
      <c r="E202" s="19">
        <v>85984</v>
      </c>
      <c r="F202" s="19">
        <v>2324</v>
      </c>
      <c r="G202" s="19">
        <v>1995</v>
      </c>
      <c r="H202" s="19">
        <v>780820</v>
      </c>
      <c r="I202" s="19">
        <v>20320</v>
      </c>
      <c r="J202" s="19">
        <v>13860</v>
      </c>
      <c r="K202" s="36">
        <v>28.4</v>
      </c>
      <c r="L202" s="36">
        <v>20.399999999999999</v>
      </c>
      <c r="N202" s="19">
        <v>137990</v>
      </c>
      <c r="O202" s="19">
        <v>57480</v>
      </c>
      <c r="P202" s="19">
        <v>51837</v>
      </c>
      <c r="Q202" s="19">
        <v>58725</v>
      </c>
      <c r="R202" s="19">
        <v>132671</v>
      </c>
      <c r="S202" s="19">
        <v>92823</v>
      </c>
      <c r="T202" s="19">
        <v>120499</v>
      </c>
      <c r="U202" s="19">
        <v>141944</v>
      </c>
      <c r="V202" s="19"/>
      <c r="W202" s="19"/>
      <c r="X202" s="19"/>
      <c r="Y202" s="19"/>
      <c r="Z202" s="17"/>
      <c r="AA202" s="17"/>
      <c r="AB202" s="17"/>
      <c r="AC202" s="2"/>
      <c r="AD202" s="12">
        <f>SUM(N202:AB202)</f>
        <v>793969</v>
      </c>
      <c r="AE202" s="12">
        <f>SUM(N203:AB203)</f>
        <v>22665</v>
      </c>
      <c r="AF202" s="12">
        <f>SUM(N204:AB204)</f>
        <v>16174</v>
      </c>
      <c r="AG202" s="2"/>
      <c r="AH202" s="12">
        <f>AD202-B202</f>
        <v>0</v>
      </c>
      <c r="AI202" s="12">
        <f>AE202-C202</f>
        <v>90</v>
      </c>
      <c r="AJ202" s="12">
        <f>AF202-D202</f>
        <v>0</v>
      </c>
      <c r="AL202" s="47">
        <f>C202/B202*1000</f>
        <v>28.433100032872819</v>
      </c>
      <c r="AM202" s="47">
        <f>D202/B202*1000</f>
        <v>20.371072422223033</v>
      </c>
      <c r="AO202" s="47">
        <f>AL202-K202</f>
        <v>3.3100032872820151E-2</v>
      </c>
      <c r="AP202" s="47">
        <f>AM202-L202</f>
        <v>-2.8927577776965308E-2</v>
      </c>
      <c r="AR202" s="12">
        <f t="shared" ref="AR202" si="194">H202</f>
        <v>780820</v>
      </c>
      <c r="AS202" s="12">
        <f t="shared" ref="AS202" si="195">I202</f>
        <v>20320</v>
      </c>
      <c r="AT202" s="12">
        <f t="shared" ref="AT202" si="196">J202</f>
        <v>13860</v>
      </c>
    </row>
    <row r="203" spans="1:50" x14ac:dyDescent="0.55000000000000004">
      <c r="A203" s="11" t="s">
        <v>206</v>
      </c>
      <c r="B203" s="9"/>
      <c r="C203" s="9"/>
      <c r="D203" s="9"/>
      <c r="E203" s="9"/>
      <c r="F203" s="9"/>
      <c r="G203" s="9"/>
      <c r="H203" s="9"/>
      <c r="I203" s="9"/>
      <c r="J203" s="9"/>
      <c r="K203" s="37"/>
      <c r="L203" s="37"/>
      <c r="M203" s="9"/>
      <c r="N203" s="6">
        <v>3099</v>
      </c>
      <c r="O203" s="6">
        <v>2462</v>
      </c>
      <c r="P203" s="6">
        <v>849</v>
      </c>
      <c r="Q203" s="6">
        <v>2622</v>
      </c>
      <c r="R203" s="6">
        <v>2711</v>
      </c>
      <c r="S203" s="6">
        <v>3097</v>
      </c>
      <c r="T203" s="6">
        <v>4040</v>
      </c>
      <c r="U203" s="6">
        <v>3785</v>
      </c>
      <c r="V203" s="6"/>
      <c r="W203" s="6"/>
      <c r="X203" s="6"/>
      <c r="Y203" s="6"/>
      <c r="Z203" s="9"/>
      <c r="AA203" s="9"/>
      <c r="AB203" s="9"/>
      <c r="AC203" s="2"/>
      <c r="AD203" s="2"/>
      <c r="AE203" s="2"/>
      <c r="AF203" s="2"/>
      <c r="AG203" s="2"/>
      <c r="AH203" s="2"/>
      <c r="AI203" s="2"/>
      <c r="AJ203" s="2"/>
    </row>
    <row r="204" spans="1:50" x14ac:dyDescent="0.55000000000000004">
      <c r="A204" s="11" t="s">
        <v>207</v>
      </c>
      <c r="B204" s="9"/>
      <c r="C204" s="9"/>
      <c r="D204" s="9"/>
      <c r="E204" s="9"/>
      <c r="F204" s="9"/>
      <c r="G204" s="9"/>
      <c r="H204" s="9"/>
      <c r="I204" s="9"/>
      <c r="J204" s="9"/>
      <c r="K204" s="37"/>
      <c r="L204" s="37"/>
      <c r="M204" s="9"/>
      <c r="N204" s="6">
        <v>1804</v>
      </c>
      <c r="O204" s="6">
        <v>1570</v>
      </c>
      <c r="P204" s="6">
        <v>460</v>
      </c>
      <c r="Q204" s="6">
        <v>1674</v>
      </c>
      <c r="R204" s="6">
        <v>1784</v>
      </c>
      <c r="S204" s="6">
        <v>2328</v>
      </c>
      <c r="T204" s="6">
        <v>4169</v>
      </c>
      <c r="U204" s="6">
        <v>2385</v>
      </c>
      <c r="V204" s="6"/>
      <c r="W204" s="6"/>
      <c r="X204" s="6"/>
      <c r="Y204" s="6"/>
      <c r="Z204" s="9"/>
      <c r="AA204" s="9"/>
      <c r="AB204" s="9"/>
      <c r="AC204" s="2"/>
      <c r="AD204" s="2"/>
      <c r="AE204" s="2"/>
      <c r="AF204" s="2"/>
      <c r="AG204" s="2"/>
      <c r="AH204" s="2"/>
      <c r="AI204" s="2"/>
      <c r="AJ204" s="2"/>
    </row>
    <row r="205" spans="1:50" x14ac:dyDescent="0.55000000000000004">
      <c r="A205" s="20" t="s">
        <v>208</v>
      </c>
      <c r="B205" s="19">
        <v>237114</v>
      </c>
      <c r="C205" s="19">
        <v>3894</v>
      </c>
      <c r="D205" s="19">
        <v>1552</v>
      </c>
      <c r="E205" s="19" t="s">
        <v>14</v>
      </c>
      <c r="F205" s="19" t="s">
        <v>14</v>
      </c>
      <c r="G205" s="19" t="s">
        <v>14</v>
      </c>
      <c r="H205" s="19" t="s">
        <v>14</v>
      </c>
      <c r="I205" s="19" t="s">
        <v>14</v>
      </c>
      <c r="J205" s="19" t="s">
        <v>14</v>
      </c>
      <c r="K205" s="39" t="s">
        <v>14</v>
      </c>
      <c r="L205" s="39" t="s">
        <v>14</v>
      </c>
      <c r="N205" s="19"/>
      <c r="O205" s="19"/>
      <c r="P205" s="19"/>
      <c r="Q205" s="19"/>
      <c r="R205" s="19"/>
      <c r="S205" s="19"/>
      <c r="T205" s="19"/>
      <c r="U205" s="17"/>
      <c r="V205" s="17"/>
      <c r="W205" s="17"/>
      <c r="X205" s="17"/>
      <c r="Y205" s="17"/>
      <c r="Z205" s="17"/>
      <c r="AA205" s="17"/>
      <c r="AB205" s="17"/>
      <c r="AC205" s="2"/>
      <c r="AD205" s="12">
        <f>B205</f>
        <v>237114</v>
      </c>
      <c r="AE205" s="12">
        <f>C205</f>
        <v>3894</v>
      </c>
      <c r="AF205" s="12">
        <f>D205</f>
        <v>1552</v>
      </c>
      <c r="AG205" s="2"/>
      <c r="AH205" s="12"/>
      <c r="AI205" s="12"/>
      <c r="AJ205" s="12"/>
      <c r="AL205" s="47">
        <f>C205/B205*1000</f>
        <v>16.422480325919178</v>
      </c>
      <c r="AM205" s="47">
        <f>D205/B205*1000</f>
        <v>6.545374798620073</v>
      </c>
      <c r="AO205" s="47"/>
      <c r="AP205" s="47"/>
      <c r="AR205" s="12"/>
      <c r="AS205" s="12"/>
      <c r="AT205" s="12"/>
    </row>
    <row r="206" spans="1:50" x14ac:dyDescent="0.55000000000000004">
      <c r="A206" s="18" t="s">
        <v>209</v>
      </c>
      <c r="B206" s="19">
        <v>1544358</v>
      </c>
      <c r="C206" s="19">
        <v>91303</v>
      </c>
      <c r="D206" s="19">
        <v>66594</v>
      </c>
      <c r="E206" s="19">
        <v>178697</v>
      </c>
      <c r="F206" s="19">
        <v>7752</v>
      </c>
      <c r="G206" s="19">
        <v>5338</v>
      </c>
      <c r="H206" s="19">
        <v>1385525</v>
      </c>
      <c r="I206" s="19">
        <v>85159</v>
      </c>
      <c r="J206" s="19">
        <v>57139</v>
      </c>
      <c r="K206" s="36">
        <v>59.1</v>
      </c>
      <c r="L206" s="36">
        <v>43.1</v>
      </c>
      <c r="N206" s="19">
        <v>204721</v>
      </c>
      <c r="O206" s="19">
        <v>187344</v>
      </c>
      <c r="P206" s="19">
        <v>215596</v>
      </c>
      <c r="Q206" s="19">
        <v>198030</v>
      </c>
      <c r="R206" s="19">
        <v>250716</v>
      </c>
      <c r="S206" s="19">
        <v>214380</v>
      </c>
      <c r="T206" s="19">
        <v>237509</v>
      </c>
      <c r="U206" s="19">
        <v>36102</v>
      </c>
      <c r="V206" s="19"/>
      <c r="W206" s="19"/>
      <c r="X206" s="19"/>
      <c r="Y206" s="19"/>
      <c r="Z206" s="17"/>
      <c r="AA206" s="17"/>
      <c r="AB206" s="17"/>
      <c r="AC206" s="2"/>
      <c r="AD206" s="12">
        <f>SUM(N206:AB206)</f>
        <v>1544398</v>
      </c>
      <c r="AE206" s="12">
        <f>SUM(N207:AB207)</f>
        <v>91303</v>
      </c>
      <c r="AF206" s="12">
        <f>SUM(N208:AB208)</f>
        <v>65550</v>
      </c>
      <c r="AG206" s="2"/>
      <c r="AH206" s="12">
        <f>AD206-B206</f>
        <v>40</v>
      </c>
      <c r="AI206" s="12">
        <f>AE206-C206</f>
        <v>0</v>
      </c>
      <c r="AJ206" s="12">
        <f>AF206-D206</f>
        <v>-1044</v>
      </c>
      <c r="AL206" s="47">
        <f>C206/B206*1000</f>
        <v>59.120359398533239</v>
      </c>
      <c r="AM206" s="47">
        <f>D206/B206*1000</f>
        <v>43.120830791824176</v>
      </c>
      <c r="AO206" s="47">
        <f>AL206-K206</f>
        <v>2.0359398533237538E-2</v>
      </c>
      <c r="AP206" s="47">
        <f>AM206-L206</f>
        <v>2.0830791824174355E-2</v>
      </c>
      <c r="AR206" s="12">
        <f>H206</f>
        <v>1385525</v>
      </c>
      <c r="AS206" s="12">
        <f>I206</f>
        <v>85159</v>
      </c>
      <c r="AT206" s="12">
        <f>J206</f>
        <v>57139</v>
      </c>
    </row>
    <row r="207" spans="1:50" x14ac:dyDescent="0.55000000000000004">
      <c r="A207" s="11" t="s">
        <v>210</v>
      </c>
      <c r="B207" s="9"/>
      <c r="C207" s="9"/>
      <c r="D207" s="9"/>
      <c r="E207" s="9"/>
      <c r="F207" s="9"/>
      <c r="G207" s="9"/>
      <c r="H207" s="9"/>
      <c r="I207" s="9"/>
      <c r="J207" s="9"/>
      <c r="K207" s="37"/>
      <c r="L207" s="37"/>
      <c r="M207" s="9"/>
      <c r="N207" s="6">
        <v>11212</v>
      </c>
      <c r="O207" s="6">
        <v>10984</v>
      </c>
      <c r="P207" s="6">
        <v>13715</v>
      </c>
      <c r="Q207" s="6">
        <v>13259</v>
      </c>
      <c r="R207" s="6">
        <v>15797</v>
      </c>
      <c r="S207" s="6">
        <v>10343</v>
      </c>
      <c r="T207" s="6">
        <v>14820</v>
      </c>
      <c r="U207" s="6">
        <v>1173</v>
      </c>
      <c r="V207" s="6"/>
      <c r="W207" s="6"/>
      <c r="X207" s="6"/>
      <c r="Y207" s="6"/>
      <c r="Z207" s="9"/>
      <c r="AA207" s="9"/>
      <c r="AB207" s="9"/>
      <c r="AC207" s="2"/>
      <c r="AD207" s="2"/>
      <c r="AE207" s="2"/>
      <c r="AF207" s="2"/>
      <c r="AG207" s="2"/>
      <c r="AH207" s="2"/>
      <c r="AI207" s="2"/>
      <c r="AJ207" s="2"/>
    </row>
    <row r="208" spans="1:50" x14ac:dyDescent="0.55000000000000004">
      <c r="A208" s="11" t="s">
        <v>211</v>
      </c>
      <c r="B208" s="9"/>
      <c r="C208" s="9"/>
      <c r="D208" s="9"/>
      <c r="E208" s="9"/>
      <c r="F208" s="9"/>
      <c r="G208" s="9"/>
      <c r="H208" s="9"/>
      <c r="I208" s="9"/>
      <c r="J208" s="9"/>
      <c r="K208" s="37"/>
      <c r="L208" s="37"/>
      <c r="M208" s="9"/>
      <c r="N208" s="6">
        <v>6801</v>
      </c>
      <c r="O208" s="6">
        <v>7893</v>
      </c>
      <c r="P208" s="6">
        <v>9696</v>
      </c>
      <c r="Q208" s="6">
        <v>9756</v>
      </c>
      <c r="R208" s="6">
        <v>13538</v>
      </c>
      <c r="S208" s="6">
        <v>8107</v>
      </c>
      <c r="T208" s="6">
        <v>8778</v>
      </c>
      <c r="U208" s="6">
        <v>981</v>
      </c>
      <c r="V208" s="6"/>
      <c r="W208" s="6"/>
      <c r="X208" s="6"/>
      <c r="Y208" s="6"/>
      <c r="Z208" s="9"/>
      <c r="AA208" s="9"/>
      <c r="AB208" s="9"/>
      <c r="AC208" s="2"/>
      <c r="AD208" s="2"/>
      <c r="AE208" s="2"/>
      <c r="AF208" s="2"/>
      <c r="AG208" s="2"/>
      <c r="AH208" s="2"/>
      <c r="AI208" s="2"/>
      <c r="AJ208" s="2"/>
    </row>
    <row r="209" spans="1:50" x14ac:dyDescent="0.55000000000000004">
      <c r="A209" s="18" t="s">
        <v>212</v>
      </c>
      <c r="B209" s="19">
        <v>965511</v>
      </c>
      <c r="C209" s="19">
        <v>31290</v>
      </c>
      <c r="D209" s="19">
        <v>17245</v>
      </c>
      <c r="E209" s="19" t="s">
        <v>14</v>
      </c>
      <c r="F209" s="19" t="s">
        <v>14</v>
      </c>
      <c r="G209" s="19" t="s">
        <v>14</v>
      </c>
      <c r="H209" s="19">
        <v>956660</v>
      </c>
      <c r="I209" s="19">
        <v>27377</v>
      </c>
      <c r="J209" s="19">
        <v>14579</v>
      </c>
      <c r="K209" s="36">
        <v>32.4</v>
      </c>
      <c r="L209" s="36">
        <v>17.899999999999999</v>
      </c>
      <c r="N209" s="19">
        <v>195488</v>
      </c>
      <c r="O209" s="19">
        <v>53999</v>
      </c>
      <c r="P209" s="19">
        <v>70106</v>
      </c>
      <c r="Q209" s="19">
        <v>105793</v>
      </c>
      <c r="R209" s="19">
        <v>49282</v>
      </c>
      <c r="S209" s="19">
        <v>80331</v>
      </c>
      <c r="T209" s="19">
        <v>77837</v>
      </c>
      <c r="U209" s="19">
        <v>103000</v>
      </c>
      <c r="V209" s="19">
        <v>79028</v>
      </c>
      <c r="W209" s="19">
        <v>150647</v>
      </c>
      <c r="X209" s="19"/>
      <c r="Y209" s="19"/>
      <c r="Z209" s="17"/>
      <c r="AA209" s="17"/>
      <c r="AB209" s="17"/>
      <c r="AC209" s="2"/>
      <c r="AD209" s="12">
        <f>SUM(N209:AB209)</f>
        <v>965511</v>
      </c>
      <c r="AE209" s="12">
        <f>SUM(N210:AB210)</f>
        <v>31230</v>
      </c>
      <c r="AF209" s="12">
        <f>SUM(N211:AB211)</f>
        <v>17245</v>
      </c>
      <c r="AG209" s="2"/>
      <c r="AH209" s="12">
        <f>AD209-B209</f>
        <v>0</v>
      </c>
      <c r="AI209" s="12">
        <f>AE209-C209</f>
        <v>-60</v>
      </c>
      <c r="AJ209" s="12">
        <f>AF209-D209</f>
        <v>0</v>
      </c>
      <c r="AL209" s="47">
        <f>C209/B209*1000</f>
        <v>32.407709492693506</v>
      </c>
      <c r="AM209" s="47">
        <f>D209/B209*1000</f>
        <v>17.861008315803755</v>
      </c>
      <c r="AO209" s="47">
        <f>AL209-K209</f>
        <v>7.7094926935075136E-3</v>
      </c>
      <c r="AP209" s="47">
        <f>AM209-L209</f>
        <v>-3.8991684196243881E-2</v>
      </c>
      <c r="AR209" s="12">
        <f t="shared" ref="AR209" si="197">H209</f>
        <v>956660</v>
      </c>
      <c r="AS209" s="12">
        <f t="shared" ref="AS209" si="198">I209</f>
        <v>27377</v>
      </c>
      <c r="AT209" s="12">
        <f t="shared" ref="AT209" si="199">J209</f>
        <v>14579</v>
      </c>
    </row>
    <row r="210" spans="1:50" x14ac:dyDescent="0.55000000000000004">
      <c r="A210" s="11" t="s">
        <v>213</v>
      </c>
      <c r="B210" s="9"/>
      <c r="C210" s="9"/>
      <c r="D210" s="9"/>
      <c r="E210" s="9"/>
      <c r="F210" s="9"/>
      <c r="G210" s="9"/>
      <c r="H210" s="9"/>
      <c r="I210" s="9"/>
      <c r="J210" s="9"/>
      <c r="K210" s="37"/>
      <c r="L210" s="37"/>
      <c r="M210" s="9"/>
      <c r="N210" s="6">
        <v>7653</v>
      </c>
      <c r="O210" s="6">
        <v>1718</v>
      </c>
      <c r="P210" s="6">
        <v>1619</v>
      </c>
      <c r="Q210" s="6">
        <v>2780</v>
      </c>
      <c r="R210" s="6">
        <v>1383</v>
      </c>
      <c r="S210" s="6">
        <v>2744</v>
      </c>
      <c r="T210" s="6">
        <v>2368</v>
      </c>
      <c r="U210" s="6">
        <v>3554</v>
      </c>
      <c r="V210" s="6">
        <v>1801</v>
      </c>
      <c r="W210" s="6">
        <v>5610</v>
      </c>
      <c r="X210" s="6"/>
      <c r="Y210" s="6"/>
      <c r="Z210" s="9"/>
      <c r="AA210" s="9"/>
      <c r="AB210" s="9"/>
      <c r="AC210" s="2"/>
      <c r="AD210" s="2"/>
      <c r="AE210" s="2"/>
      <c r="AF210" s="2"/>
      <c r="AG210" s="2"/>
      <c r="AH210" s="2"/>
      <c r="AI210" s="2"/>
      <c r="AJ210" s="2"/>
    </row>
    <row r="211" spans="1:50" x14ac:dyDescent="0.55000000000000004">
      <c r="A211" s="11" t="s">
        <v>214</v>
      </c>
      <c r="B211" s="9"/>
      <c r="C211" s="9"/>
      <c r="D211" s="9"/>
      <c r="E211" s="9"/>
      <c r="F211" s="9"/>
      <c r="G211" s="9"/>
      <c r="H211" s="9"/>
      <c r="I211" s="9"/>
      <c r="J211" s="9"/>
      <c r="K211" s="37"/>
      <c r="L211" s="37"/>
      <c r="M211" s="9"/>
      <c r="N211" s="6">
        <v>3881</v>
      </c>
      <c r="O211" s="6">
        <v>1293</v>
      </c>
      <c r="P211" s="6">
        <v>796</v>
      </c>
      <c r="Q211" s="6">
        <v>1872</v>
      </c>
      <c r="R211" s="6">
        <v>762</v>
      </c>
      <c r="S211" s="6">
        <v>1241</v>
      </c>
      <c r="T211" s="6">
        <v>1321</v>
      </c>
      <c r="U211" s="6">
        <v>1742</v>
      </c>
      <c r="V211" s="6">
        <v>1684</v>
      </c>
      <c r="W211" s="6">
        <v>2653</v>
      </c>
      <c r="X211" s="6"/>
      <c r="Y211" s="6"/>
      <c r="Z211" s="9"/>
      <c r="AA211" s="9"/>
      <c r="AB211" s="9"/>
      <c r="AC211" s="2"/>
      <c r="AD211" s="2"/>
      <c r="AE211" s="2"/>
      <c r="AF211" s="2"/>
      <c r="AG211" s="2"/>
      <c r="AH211" s="2"/>
      <c r="AI211" s="2"/>
      <c r="AJ211" s="2"/>
    </row>
    <row r="212" spans="1:50" x14ac:dyDescent="0.55000000000000004">
      <c r="A212" s="18" t="s">
        <v>215</v>
      </c>
      <c r="B212" s="19">
        <v>695577</v>
      </c>
      <c r="C212" s="19">
        <v>43549</v>
      </c>
      <c r="D212" s="19">
        <v>36430</v>
      </c>
      <c r="E212" s="19" t="s">
        <v>14</v>
      </c>
      <c r="F212" s="19" t="s">
        <v>14</v>
      </c>
      <c r="G212" s="19" t="s">
        <v>14</v>
      </c>
      <c r="H212" s="19">
        <v>674237</v>
      </c>
      <c r="I212" s="19">
        <v>41989</v>
      </c>
      <c r="J212" s="19">
        <v>28752</v>
      </c>
      <c r="K212" s="36">
        <v>62.5</v>
      </c>
      <c r="L212" s="36">
        <v>52.3</v>
      </c>
      <c r="N212" s="19">
        <v>136235</v>
      </c>
      <c r="O212" s="19">
        <v>143548</v>
      </c>
      <c r="P212" s="19">
        <v>170246</v>
      </c>
      <c r="Q212" s="19">
        <v>197096</v>
      </c>
      <c r="R212" s="19">
        <v>48452</v>
      </c>
      <c r="S212" s="19"/>
      <c r="T212" s="19"/>
      <c r="U212" s="19"/>
      <c r="V212" s="19"/>
      <c r="W212" s="19"/>
      <c r="X212" s="19"/>
      <c r="Y212" s="19"/>
      <c r="Z212" s="17"/>
      <c r="AA212" s="17"/>
      <c r="AB212" s="17"/>
      <c r="AC212" s="2"/>
      <c r="AD212" s="12">
        <f>SUM(N212:AB212)</f>
        <v>695577</v>
      </c>
      <c r="AE212" s="12">
        <f>SUM(N213:AB213)</f>
        <v>43549</v>
      </c>
      <c r="AF212" s="12">
        <f>SUM(N214:AB214)</f>
        <v>36430</v>
      </c>
      <c r="AG212" s="2"/>
      <c r="AH212" s="12">
        <f>AD212-B212</f>
        <v>0</v>
      </c>
      <c r="AI212" s="12">
        <f>AE212-C212</f>
        <v>0</v>
      </c>
      <c r="AJ212" s="12">
        <f>AF212-D212</f>
        <v>0</v>
      </c>
      <c r="AL212" s="47">
        <f>C212/B212*1000</f>
        <v>62.60845312596593</v>
      </c>
      <c r="AM212" s="47">
        <f>D212/B212*1000</f>
        <v>52.373784642102883</v>
      </c>
      <c r="AO212" s="47">
        <f>AL212-K212</f>
        <v>0.10845312596593004</v>
      </c>
      <c r="AP212" s="47">
        <f>AM212-L212</f>
        <v>7.3784642102886266E-2</v>
      </c>
      <c r="AR212" s="12">
        <f t="shared" ref="AR212" si="200">H212</f>
        <v>674237</v>
      </c>
      <c r="AS212" s="12">
        <f t="shared" ref="AS212" si="201">I212</f>
        <v>41989</v>
      </c>
      <c r="AT212" s="12">
        <f t="shared" ref="AT212" si="202">J212</f>
        <v>28752</v>
      </c>
    </row>
    <row r="213" spans="1:50" x14ac:dyDescent="0.55000000000000004">
      <c r="A213" s="11" t="s">
        <v>216</v>
      </c>
      <c r="B213" s="9"/>
      <c r="C213" s="9"/>
      <c r="D213" s="9"/>
      <c r="E213" s="9"/>
      <c r="F213" s="9"/>
      <c r="G213" s="9"/>
      <c r="H213" s="9"/>
      <c r="I213" s="9"/>
      <c r="J213" s="9"/>
      <c r="K213" s="37"/>
      <c r="L213" s="37"/>
      <c r="M213" s="9"/>
      <c r="N213" s="6">
        <v>8111</v>
      </c>
      <c r="O213" s="6">
        <v>9258</v>
      </c>
      <c r="P213" s="6">
        <v>12404</v>
      </c>
      <c r="Q213" s="6">
        <v>12551</v>
      </c>
      <c r="R213" s="6">
        <v>1225</v>
      </c>
      <c r="S213" s="6"/>
      <c r="T213" s="6"/>
      <c r="U213" s="6"/>
      <c r="V213" s="6"/>
      <c r="W213" s="6"/>
      <c r="X213" s="6"/>
      <c r="Y213" s="6"/>
      <c r="Z213" s="9"/>
      <c r="AA213" s="9"/>
      <c r="AB213" s="9"/>
      <c r="AC213" s="2"/>
      <c r="AD213" s="2"/>
      <c r="AE213" s="2"/>
      <c r="AF213" s="2"/>
      <c r="AG213" s="2"/>
      <c r="AH213" s="2"/>
      <c r="AI213" s="2"/>
      <c r="AJ213" s="2"/>
    </row>
    <row r="214" spans="1:50" x14ac:dyDescent="0.55000000000000004">
      <c r="A214" s="11" t="s">
        <v>217</v>
      </c>
      <c r="B214" s="9"/>
      <c r="C214" s="9"/>
      <c r="D214" s="9"/>
      <c r="E214" s="9"/>
      <c r="F214" s="9"/>
      <c r="G214" s="9"/>
      <c r="H214" s="9"/>
      <c r="I214" s="9"/>
      <c r="J214" s="9"/>
      <c r="K214" s="37"/>
      <c r="L214" s="37"/>
      <c r="M214" s="9"/>
      <c r="N214" s="6">
        <v>8146</v>
      </c>
      <c r="O214" s="6">
        <v>6078</v>
      </c>
      <c r="P214" s="6">
        <v>12347</v>
      </c>
      <c r="Q214" s="6">
        <v>8793</v>
      </c>
      <c r="R214" s="6">
        <v>1066</v>
      </c>
      <c r="S214" s="6"/>
      <c r="T214" s="6"/>
      <c r="U214" s="6"/>
      <c r="V214" s="6"/>
      <c r="W214" s="6"/>
      <c r="X214" s="6"/>
      <c r="Y214" s="6"/>
      <c r="Z214" s="9"/>
      <c r="AA214" s="9"/>
      <c r="AB214" s="9"/>
      <c r="AC214" s="2"/>
      <c r="AD214" s="2"/>
      <c r="AE214" s="2"/>
      <c r="AF214" s="2"/>
      <c r="AG214" s="2"/>
      <c r="AH214" s="2"/>
      <c r="AI214" s="2"/>
      <c r="AJ214" s="2"/>
    </row>
    <row r="215" spans="1:50" x14ac:dyDescent="0.55000000000000004">
      <c r="A215" s="18" t="s">
        <v>218</v>
      </c>
      <c r="B215" s="19">
        <v>782596</v>
      </c>
      <c r="C215" s="19">
        <v>27658</v>
      </c>
      <c r="D215" s="19">
        <v>17084</v>
      </c>
      <c r="E215" s="19">
        <v>97964</v>
      </c>
      <c r="F215" s="19">
        <v>4138</v>
      </c>
      <c r="G215" s="19">
        <v>2212</v>
      </c>
      <c r="H215" s="19">
        <v>729790</v>
      </c>
      <c r="I215" s="19">
        <v>23751</v>
      </c>
      <c r="J215" s="19">
        <v>16626</v>
      </c>
      <c r="K215" s="36">
        <v>35.4</v>
      </c>
      <c r="L215" s="36">
        <v>21.9</v>
      </c>
      <c r="N215" s="19">
        <v>134271</v>
      </c>
      <c r="O215" s="19">
        <v>177132</v>
      </c>
      <c r="P215" s="19">
        <v>78181</v>
      </c>
      <c r="Q215" s="19">
        <v>111398</v>
      </c>
      <c r="R215" s="19">
        <v>119439</v>
      </c>
      <c r="S215" s="19">
        <v>102567</v>
      </c>
      <c r="T215" s="19">
        <v>59608</v>
      </c>
      <c r="U215" s="19"/>
      <c r="V215" s="19"/>
      <c r="W215" s="19"/>
      <c r="X215" s="19"/>
      <c r="Y215" s="19"/>
      <c r="Z215" s="17"/>
      <c r="AA215" s="17"/>
      <c r="AB215" s="17"/>
      <c r="AC215" s="2"/>
      <c r="AD215" s="12">
        <f>SUM(N215:AB215)</f>
        <v>782596</v>
      </c>
      <c r="AE215" s="12">
        <f>SUM(N216:AB216)</f>
        <v>27658</v>
      </c>
      <c r="AF215" s="12">
        <f>SUM(N217:AB217)</f>
        <v>17084</v>
      </c>
      <c r="AG215" s="2"/>
      <c r="AH215" s="12">
        <f>AD215-B215</f>
        <v>0</v>
      </c>
      <c r="AI215" s="12">
        <f>AE215-C215</f>
        <v>0</v>
      </c>
      <c r="AJ215" s="12">
        <f>AF215-D215</f>
        <v>0</v>
      </c>
      <c r="AL215" s="47">
        <f>C215/B215*1000</f>
        <v>35.341351093028841</v>
      </c>
      <c r="AM215" s="47">
        <f>D215/B215*1000</f>
        <v>21.82990968520156</v>
      </c>
      <c r="AO215" s="47">
        <f>AL215-K215</f>
        <v>-5.8648906971157544E-2</v>
      </c>
      <c r="AP215" s="47">
        <f>AM215-L215</f>
        <v>-7.0090314798438413E-2</v>
      </c>
      <c r="AR215" s="12">
        <f t="shared" ref="AR215" si="203">H215</f>
        <v>729790</v>
      </c>
      <c r="AS215" s="12">
        <f t="shared" ref="AS215" si="204">I215</f>
        <v>23751</v>
      </c>
      <c r="AT215" s="12">
        <f t="shared" ref="AT215" si="205">J215</f>
        <v>16626</v>
      </c>
    </row>
    <row r="216" spans="1:50" x14ac:dyDescent="0.55000000000000004">
      <c r="A216" s="11" t="s">
        <v>219</v>
      </c>
      <c r="B216" s="9"/>
      <c r="C216" s="9"/>
      <c r="D216" s="9"/>
      <c r="E216" s="9"/>
      <c r="F216" s="9"/>
      <c r="G216" s="9"/>
      <c r="H216" s="9"/>
      <c r="I216" s="9"/>
      <c r="J216" s="9"/>
      <c r="K216" s="37"/>
      <c r="L216" s="37"/>
      <c r="M216" s="9"/>
      <c r="N216" s="6">
        <v>4586</v>
      </c>
      <c r="O216" s="6">
        <v>3680</v>
      </c>
      <c r="P216" s="6">
        <v>3364</v>
      </c>
      <c r="Q216" s="6">
        <v>3718</v>
      </c>
      <c r="R216" s="6">
        <v>6961</v>
      </c>
      <c r="S216" s="6">
        <v>3672</v>
      </c>
      <c r="T216" s="6">
        <v>1677</v>
      </c>
      <c r="U216" s="6"/>
      <c r="V216" s="6"/>
      <c r="W216" s="6"/>
      <c r="X216" s="6"/>
      <c r="Y216" s="6"/>
      <c r="Z216" s="9"/>
      <c r="AA216" s="9"/>
      <c r="AB216" s="9"/>
      <c r="AC216" s="2"/>
      <c r="AD216" s="2"/>
      <c r="AE216" s="2"/>
      <c r="AF216" s="2"/>
      <c r="AG216" s="2"/>
      <c r="AH216" s="2"/>
      <c r="AI216" s="2"/>
      <c r="AJ216" s="2"/>
    </row>
    <row r="217" spans="1:50" x14ac:dyDescent="0.55000000000000004">
      <c r="A217" s="11" t="s">
        <v>220</v>
      </c>
      <c r="B217" s="9"/>
      <c r="C217" s="9"/>
      <c r="D217" s="9"/>
      <c r="E217" s="9"/>
      <c r="F217" s="9"/>
      <c r="G217" s="9"/>
      <c r="H217" s="9"/>
      <c r="I217" s="9"/>
      <c r="J217" s="9"/>
      <c r="K217" s="37"/>
      <c r="L217" s="37"/>
      <c r="M217" s="9"/>
      <c r="N217" s="6">
        <v>1861</v>
      </c>
      <c r="O217" s="6">
        <v>1541</v>
      </c>
      <c r="P217" s="6">
        <v>2183</v>
      </c>
      <c r="Q217" s="6">
        <v>1878</v>
      </c>
      <c r="R217" s="6">
        <v>5534</v>
      </c>
      <c r="S217" s="6">
        <v>2439</v>
      </c>
      <c r="T217" s="6">
        <v>1648</v>
      </c>
      <c r="U217" s="6"/>
      <c r="V217" s="6"/>
      <c r="W217" s="6"/>
      <c r="X217" s="6"/>
      <c r="Y217" s="6"/>
      <c r="Z217" s="9"/>
      <c r="AA217" s="9"/>
      <c r="AB217" s="9"/>
      <c r="AC217" s="2"/>
      <c r="AD217" s="2"/>
      <c r="AE217" s="2"/>
      <c r="AF217" s="2"/>
      <c r="AG217" s="2"/>
      <c r="AH217" s="2"/>
      <c r="AI217" s="2"/>
      <c r="AJ217" s="2"/>
    </row>
    <row r="218" spans="1:50" x14ac:dyDescent="0.55000000000000004">
      <c r="A218" s="18" t="s">
        <v>221</v>
      </c>
      <c r="B218" s="19">
        <v>832384</v>
      </c>
      <c r="C218" s="19">
        <v>30534</v>
      </c>
      <c r="D218" s="19">
        <v>20196</v>
      </c>
      <c r="E218" s="19" t="s">
        <v>14</v>
      </c>
      <c r="F218" s="19" t="s">
        <v>14</v>
      </c>
      <c r="G218" s="19" t="s">
        <v>14</v>
      </c>
      <c r="H218" s="19">
        <v>818949</v>
      </c>
      <c r="I218" s="19">
        <v>28791</v>
      </c>
      <c r="J218" s="19">
        <v>17424</v>
      </c>
      <c r="K218" s="36">
        <v>36.700000000000003</v>
      </c>
      <c r="L218" s="36">
        <v>24.3</v>
      </c>
      <c r="N218" s="19">
        <v>170299</v>
      </c>
      <c r="O218" s="19">
        <v>63799</v>
      </c>
      <c r="P218" s="19">
        <v>58791</v>
      </c>
      <c r="Q218" s="19">
        <v>101482</v>
      </c>
      <c r="R218" s="19">
        <v>177656</v>
      </c>
      <c r="S218" s="19">
        <v>70017</v>
      </c>
      <c r="T218" s="19">
        <v>89881</v>
      </c>
      <c r="U218" s="19">
        <v>65119</v>
      </c>
      <c r="V218" s="19">
        <v>35340</v>
      </c>
      <c r="W218" s="19"/>
      <c r="X218" s="19"/>
      <c r="Y218" s="19"/>
      <c r="Z218" s="17"/>
      <c r="AA218" s="17"/>
      <c r="AB218" s="17"/>
      <c r="AC218" s="2"/>
      <c r="AD218" s="12">
        <f>SUM(N218:AB218)</f>
        <v>832384</v>
      </c>
      <c r="AE218" s="12">
        <f>SUM(N219:AB219)</f>
        <v>30534</v>
      </c>
      <c r="AF218" s="12">
        <f>SUM(N220:AB220)</f>
        <v>20196</v>
      </c>
      <c r="AG218" s="2"/>
      <c r="AH218" s="12">
        <f>AD218-B218</f>
        <v>0</v>
      </c>
      <c r="AI218" s="12">
        <f>AE218-C218</f>
        <v>0</v>
      </c>
      <c r="AJ218" s="12">
        <f>AF218-D218</f>
        <v>0</v>
      </c>
      <c r="AL218" s="47">
        <f>C218/B218*1000</f>
        <v>36.682588805166844</v>
      </c>
      <c r="AM218" s="47">
        <f>D218/B218*1000</f>
        <v>24.262840227587265</v>
      </c>
      <c r="AO218" s="47">
        <f>AL218-K218</f>
        <v>-1.7411194833158561E-2</v>
      </c>
      <c r="AP218" s="47">
        <f>AM218-L218</f>
        <v>-3.7159772412735492E-2</v>
      </c>
      <c r="AR218" s="12">
        <f t="shared" ref="AR218" si="206">H218</f>
        <v>818949</v>
      </c>
      <c r="AS218" s="12">
        <f t="shared" ref="AS218" si="207">I218</f>
        <v>28791</v>
      </c>
      <c r="AT218" s="12">
        <f t="shared" ref="AT218" si="208">J218</f>
        <v>17424</v>
      </c>
    </row>
    <row r="219" spans="1:50" x14ac:dyDescent="0.55000000000000004">
      <c r="A219" s="11" t="s">
        <v>222</v>
      </c>
      <c r="B219" s="9"/>
      <c r="C219" s="9"/>
      <c r="D219" s="9"/>
      <c r="E219" s="9"/>
      <c r="F219" s="9"/>
      <c r="G219" s="9"/>
      <c r="H219" s="9"/>
      <c r="I219" s="9"/>
      <c r="J219" s="9"/>
      <c r="K219" s="37"/>
      <c r="L219" s="37"/>
      <c r="M219" s="9"/>
      <c r="N219" s="6">
        <v>6124</v>
      </c>
      <c r="O219" s="6">
        <v>3663</v>
      </c>
      <c r="P219" s="6">
        <v>2203</v>
      </c>
      <c r="Q219" s="6">
        <v>2886</v>
      </c>
      <c r="R219" s="60">
        <v>5698</v>
      </c>
      <c r="S219" s="6">
        <v>2312</v>
      </c>
      <c r="T219" s="6">
        <v>3830</v>
      </c>
      <c r="U219" s="6">
        <v>2640</v>
      </c>
      <c r="V219" s="6">
        <v>1178</v>
      </c>
      <c r="W219" s="6"/>
      <c r="X219" s="6"/>
      <c r="Y219" s="6"/>
      <c r="Z219" s="9"/>
      <c r="AA219" s="9"/>
      <c r="AB219" s="9"/>
      <c r="AC219" s="2"/>
      <c r="AD219" s="2"/>
      <c r="AE219" s="2"/>
      <c r="AF219" s="2"/>
      <c r="AG219" s="2"/>
      <c r="AH219" s="2"/>
      <c r="AI219" s="2"/>
      <c r="AJ219" s="2"/>
    </row>
    <row r="220" spans="1:50" x14ac:dyDescent="0.55000000000000004">
      <c r="A220" s="11" t="s">
        <v>223</v>
      </c>
      <c r="B220" s="9"/>
      <c r="C220" s="9"/>
      <c r="D220" s="9"/>
      <c r="E220" s="9"/>
      <c r="F220" s="9"/>
      <c r="G220" s="9"/>
      <c r="H220" s="9"/>
      <c r="I220" s="9"/>
      <c r="J220" s="9"/>
      <c r="K220" s="37"/>
      <c r="L220" s="37"/>
      <c r="M220" s="9"/>
      <c r="N220" s="6">
        <v>4293</v>
      </c>
      <c r="O220" s="6">
        <v>1469</v>
      </c>
      <c r="P220" s="6">
        <v>1008</v>
      </c>
      <c r="Q220" s="6">
        <v>1807</v>
      </c>
      <c r="R220" s="6">
        <v>3573</v>
      </c>
      <c r="S220" s="6">
        <v>1487</v>
      </c>
      <c r="T220" s="6">
        <v>2711</v>
      </c>
      <c r="U220" s="6">
        <v>2984</v>
      </c>
      <c r="V220" s="6">
        <v>864</v>
      </c>
      <c r="W220" s="6"/>
      <c r="X220" s="6"/>
      <c r="Y220" s="6"/>
      <c r="Z220" s="9"/>
      <c r="AA220" s="9"/>
      <c r="AB220" s="9"/>
      <c r="AC220" s="2"/>
      <c r="AD220" s="2"/>
      <c r="AE220" s="2"/>
      <c r="AF220" s="2"/>
      <c r="AG220" s="2"/>
      <c r="AH220" s="2"/>
      <c r="AI220" s="2"/>
      <c r="AJ220" s="2"/>
    </row>
    <row r="221" spans="1:50" x14ac:dyDescent="0.55000000000000004">
      <c r="A221" s="18" t="s">
        <v>224</v>
      </c>
      <c r="B221" s="19">
        <v>690528</v>
      </c>
      <c r="C221" s="19">
        <v>21700</v>
      </c>
      <c r="D221" s="19">
        <v>13300</v>
      </c>
      <c r="E221" s="19">
        <v>54354</v>
      </c>
      <c r="F221" s="19" t="s">
        <v>14</v>
      </c>
      <c r="G221" s="19" t="s">
        <v>14</v>
      </c>
      <c r="H221" s="19">
        <v>679663</v>
      </c>
      <c r="I221" s="19">
        <v>23022</v>
      </c>
      <c r="J221" s="19">
        <v>14815</v>
      </c>
      <c r="K221" s="36">
        <v>31.4</v>
      </c>
      <c r="L221" s="36">
        <v>19.3</v>
      </c>
      <c r="N221" s="19">
        <v>113450</v>
      </c>
      <c r="O221" s="19">
        <v>144933</v>
      </c>
      <c r="P221" s="19">
        <v>82183</v>
      </c>
      <c r="Q221" s="19">
        <v>109902</v>
      </c>
      <c r="R221" s="19">
        <v>73833</v>
      </c>
      <c r="S221" s="19">
        <v>63346</v>
      </c>
      <c r="T221" s="19">
        <v>98853</v>
      </c>
      <c r="U221" s="39">
        <v>4028</v>
      </c>
      <c r="V221" s="19"/>
      <c r="W221" s="19"/>
      <c r="X221" s="19"/>
      <c r="Y221" s="19"/>
      <c r="Z221" s="17"/>
      <c r="AA221" s="17"/>
      <c r="AB221" s="17"/>
      <c r="AC221" s="2"/>
      <c r="AD221" s="12">
        <f>SUM(N221:AB221)</f>
        <v>690528</v>
      </c>
      <c r="AE221" s="12">
        <f>SUM(N222:AB222)</f>
        <v>0</v>
      </c>
      <c r="AF221" s="12">
        <f>SUM(N223:AB223)</f>
        <v>0</v>
      </c>
      <c r="AG221" s="2"/>
      <c r="AH221" s="12">
        <f>AD221-B221</f>
        <v>0</v>
      </c>
      <c r="AI221" s="12"/>
      <c r="AJ221" s="12"/>
      <c r="AL221" s="47">
        <f>C221/B221*1000</f>
        <v>31.425228231150655</v>
      </c>
      <c r="AM221" s="47">
        <f>D221/B221*1000</f>
        <v>19.260623754576208</v>
      </c>
      <c r="AO221" s="47">
        <f>AL221-K221</f>
        <v>2.52282311506562E-2</v>
      </c>
      <c r="AP221" s="47">
        <f>AM221-L221</f>
        <v>-3.9376245423792255E-2</v>
      </c>
      <c r="AR221" s="12">
        <f t="shared" ref="AR221" si="209">H221</f>
        <v>679663</v>
      </c>
      <c r="AS221" s="12">
        <f t="shared" ref="AS221" si="210">I221</f>
        <v>23022</v>
      </c>
      <c r="AT221" s="12">
        <f t="shared" ref="AT221" si="211">J221</f>
        <v>14815</v>
      </c>
    </row>
    <row r="222" spans="1:50" x14ac:dyDescent="0.55000000000000004">
      <c r="A222" s="11" t="s">
        <v>225</v>
      </c>
      <c r="B222" s="9"/>
      <c r="C222" s="9"/>
      <c r="D222" s="9"/>
      <c r="E222" s="9"/>
      <c r="F222" s="9"/>
      <c r="G222" s="9"/>
      <c r="H222" s="9"/>
      <c r="I222" s="9"/>
      <c r="J222" s="9"/>
      <c r="K222" s="37"/>
      <c r="L222" s="37"/>
      <c r="M222" s="9"/>
      <c r="N222" s="37" t="s">
        <v>14</v>
      </c>
      <c r="O222" s="37" t="s">
        <v>14</v>
      </c>
      <c r="P222" s="37" t="s">
        <v>14</v>
      </c>
      <c r="Q222" s="37" t="s">
        <v>14</v>
      </c>
      <c r="R222" s="37" t="s">
        <v>14</v>
      </c>
      <c r="S222" s="37" t="s">
        <v>14</v>
      </c>
      <c r="T222" s="37" t="s">
        <v>14</v>
      </c>
      <c r="U222" s="37" t="s">
        <v>14</v>
      </c>
      <c r="V222" s="6"/>
      <c r="W222" s="6"/>
      <c r="X222" s="6"/>
      <c r="Y222" s="6"/>
      <c r="Z222" s="9"/>
      <c r="AA222" s="9"/>
      <c r="AB222" s="9"/>
      <c r="AC222" s="2"/>
      <c r="AD222" s="2"/>
      <c r="AE222" s="2"/>
      <c r="AF222" s="2"/>
      <c r="AG222" s="2"/>
      <c r="AH222" s="2"/>
      <c r="AI222" s="2"/>
      <c r="AJ222" s="2"/>
    </row>
    <row r="223" spans="1:50" x14ac:dyDescent="0.55000000000000004">
      <c r="A223" s="11" t="s">
        <v>226</v>
      </c>
      <c r="B223" s="9"/>
      <c r="C223" s="9"/>
      <c r="D223" s="9"/>
      <c r="E223" s="9"/>
      <c r="F223" s="9"/>
      <c r="G223" s="9"/>
      <c r="H223" s="9"/>
      <c r="I223" s="9"/>
      <c r="J223" s="9"/>
      <c r="K223" s="37"/>
      <c r="L223" s="37"/>
      <c r="M223" s="9"/>
      <c r="N223" s="37" t="s">
        <v>14</v>
      </c>
      <c r="O223" s="37" t="s">
        <v>14</v>
      </c>
      <c r="P223" s="37" t="s">
        <v>14</v>
      </c>
      <c r="Q223" s="37" t="s">
        <v>14</v>
      </c>
      <c r="R223" s="37" t="s">
        <v>14</v>
      </c>
      <c r="S223" s="37" t="s">
        <v>14</v>
      </c>
      <c r="T223" s="37" t="s">
        <v>14</v>
      </c>
      <c r="U223" s="37" t="s">
        <v>14</v>
      </c>
      <c r="V223" s="6"/>
      <c r="W223" s="6"/>
      <c r="X223" s="6"/>
      <c r="Y223" s="6"/>
      <c r="Z223" s="9"/>
      <c r="AA223" s="9"/>
      <c r="AB223" s="9"/>
      <c r="AC223" s="2"/>
      <c r="AD223" s="2"/>
      <c r="AE223" s="2"/>
      <c r="AF223" s="2"/>
      <c r="AG223" s="2"/>
      <c r="AH223" s="2"/>
      <c r="AI223" s="2"/>
      <c r="AJ223" s="2"/>
    </row>
    <row r="224" spans="1:50" x14ac:dyDescent="0.55000000000000004">
      <c r="A224" s="45" t="s">
        <v>227</v>
      </c>
      <c r="B224" s="7">
        <v>8085407</v>
      </c>
      <c r="C224" s="7">
        <v>304321</v>
      </c>
      <c r="D224" s="7">
        <v>220008</v>
      </c>
      <c r="E224" s="7"/>
      <c r="F224" s="7"/>
      <c r="G224" s="7"/>
      <c r="H224" s="7">
        <v>7692269</v>
      </c>
      <c r="I224" s="7">
        <v>352849</v>
      </c>
      <c r="J224" s="7">
        <v>188555</v>
      </c>
      <c r="K224" s="38">
        <v>40.4</v>
      </c>
      <c r="L224" s="38">
        <v>28.8</v>
      </c>
      <c r="N224" s="7"/>
      <c r="O224" s="7"/>
      <c r="P224" s="7"/>
      <c r="Q224" s="7"/>
      <c r="R224" s="7"/>
      <c r="S224" s="24"/>
      <c r="T224" s="24"/>
      <c r="U224" s="25"/>
      <c r="V224" s="25"/>
      <c r="W224" s="25"/>
      <c r="X224" s="25"/>
      <c r="Y224" s="25"/>
      <c r="Z224" s="25"/>
      <c r="AA224" s="25"/>
      <c r="AB224" s="25"/>
      <c r="AC224" s="2"/>
      <c r="AD224" s="23">
        <f>SUM(AD196:AD223)</f>
        <v>8085447</v>
      </c>
      <c r="AE224" s="23">
        <f>SUM(AE196:AE223)</f>
        <v>282652</v>
      </c>
      <c r="AF224" s="23">
        <f>SUM(AF196:AF223)</f>
        <v>205656</v>
      </c>
      <c r="AG224" s="2"/>
      <c r="AH224" s="23">
        <f>AD224-B224</f>
        <v>40</v>
      </c>
      <c r="AI224" s="23">
        <f>AE224-C224</f>
        <v>-21669</v>
      </c>
      <c r="AJ224" s="23">
        <f>AF224-D224</f>
        <v>-14352</v>
      </c>
      <c r="AL224" s="49">
        <f>C224/B224*1000</f>
        <v>37.638303180037816</v>
      </c>
      <c r="AM224" s="49">
        <f>D224/B224*1000</f>
        <v>27.21050405996878</v>
      </c>
      <c r="AN224" s="48"/>
      <c r="AO224" s="49">
        <f>AL224-K224</f>
        <v>-2.7616968199621823</v>
      </c>
      <c r="AP224" s="49">
        <f>AM224-L224</f>
        <v>-1.5894959400312203</v>
      </c>
      <c r="AR224" s="23">
        <f t="shared" ref="AR224:AT224" si="212">SUM(AR196:AR223)</f>
        <v>7430557</v>
      </c>
      <c r="AS224" s="23">
        <f t="shared" si="212"/>
        <v>283387</v>
      </c>
      <c r="AT224" s="23">
        <f t="shared" si="212"/>
        <v>191234</v>
      </c>
      <c r="AV224" s="23">
        <f>H224-AR224</f>
        <v>261712</v>
      </c>
      <c r="AW224" s="23">
        <f>I224-AS224</f>
        <v>69462</v>
      </c>
      <c r="AX224" s="23">
        <f>J224-AT224</f>
        <v>-2679</v>
      </c>
    </row>
    <row r="225" spans="1:46" x14ac:dyDescent="0.55000000000000004">
      <c r="A225" s="18" t="s">
        <v>228</v>
      </c>
      <c r="B225" s="19">
        <v>63221</v>
      </c>
      <c r="C225" s="19" t="s">
        <v>14</v>
      </c>
      <c r="D225" s="19" t="s">
        <v>14</v>
      </c>
      <c r="E225" s="19" t="s">
        <v>14</v>
      </c>
      <c r="F225" s="19" t="s">
        <v>14</v>
      </c>
      <c r="G225" s="19" t="s">
        <v>14</v>
      </c>
      <c r="H225" s="19" t="s">
        <v>14</v>
      </c>
      <c r="I225" s="19" t="s">
        <v>14</v>
      </c>
      <c r="J225" s="19" t="s">
        <v>14</v>
      </c>
      <c r="K225" s="39" t="s">
        <v>14</v>
      </c>
      <c r="L225" s="39" t="s">
        <v>14</v>
      </c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7"/>
      <c r="AA225" s="17"/>
      <c r="AB225" s="17"/>
      <c r="AC225" s="2"/>
      <c r="AD225" s="12">
        <f>B225</f>
        <v>63221</v>
      </c>
      <c r="AE225" s="46" t="str">
        <f>C225</f>
        <v>—</v>
      </c>
      <c r="AF225" s="46" t="str">
        <f>D225</f>
        <v>—</v>
      </c>
      <c r="AG225" s="2"/>
      <c r="AH225" s="12"/>
      <c r="AI225" s="12"/>
      <c r="AJ225" s="12"/>
      <c r="AL225" s="47"/>
      <c r="AM225" s="47"/>
      <c r="AO225" s="47"/>
      <c r="AP225" s="47"/>
      <c r="AR225" s="12"/>
      <c r="AS225" s="12"/>
      <c r="AT225" s="12"/>
    </row>
    <row r="226" spans="1:46" x14ac:dyDescent="0.55000000000000004">
      <c r="A226" s="18" t="s">
        <v>229</v>
      </c>
      <c r="B226" s="19">
        <v>459105</v>
      </c>
      <c r="C226" s="19">
        <v>23946</v>
      </c>
      <c r="D226" s="19">
        <v>19733</v>
      </c>
      <c r="E226" s="19">
        <v>39827</v>
      </c>
      <c r="F226" s="19">
        <v>1997</v>
      </c>
      <c r="G226" s="19">
        <v>2302</v>
      </c>
      <c r="H226" s="19">
        <v>471810</v>
      </c>
      <c r="I226" s="19">
        <v>24012</v>
      </c>
      <c r="J226" s="19">
        <v>17487</v>
      </c>
      <c r="K226" s="36">
        <v>52.1</v>
      </c>
      <c r="L226" s="36">
        <v>33</v>
      </c>
      <c r="N226" s="19">
        <v>86548</v>
      </c>
      <c r="O226" s="19">
        <v>85994</v>
      </c>
      <c r="P226" s="19">
        <v>64305</v>
      </c>
      <c r="Q226" s="19">
        <v>79041</v>
      </c>
      <c r="R226" s="19">
        <v>134187</v>
      </c>
      <c r="S226" s="19">
        <v>9030</v>
      </c>
      <c r="T226" s="19"/>
      <c r="U226" s="19"/>
      <c r="V226" s="19"/>
      <c r="W226" s="19"/>
      <c r="X226" s="19"/>
      <c r="Y226" s="19"/>
      <c r="Z226" s="17"/>
      <c r="AA226" s="17"/>
      <c r="AB226" s="17"/>
      <c r="AC226" s="2"/>
      <c r="AD226" s="12">
        <f>SUM(N226:AB226)</f>
        <v>459105</v>
      </c>
      <c r="AE226" s="12">
        <f>SUM(N227:AB227)</f>
        <v>23946</v>
      </c>
      <c r="AF226" s="12">
        <f>SUM(N228:AB228)</f>
        <v>19833</v>
      </c>
      <c r="AG226" s="2"/>
      <c r="AH226" s="12">
        <f>AD226-B226</f>
        <v>0</v>
      </c>
      <c r="AI226" s="12">
        <f>AE226-C226</f>
        <v>0</v>
      </c>
      <c r="AJ226" s="12">
        <f>AF226-D226</f>
        <v>100</v>
      </c>
      <c r="AL226" s="47">
        <f>C226/B226*1000</f>
        <v>52.158003071192866</v>
      </c>
      <c r="AM226" s="47">
        <f>D226/B226*1000</f>
        <v>42.981453044510516</v>
      </c>
      <c r="AO226" s="47">
        <f>AL226-K226</f>
        <v>5.8003071192864297E-2</v>
      </c>
      <c r="AP226" s="47">
        <f>AM226-L226</f>
        <v>9.9814530445105163</v>
      </c>
      <c r="AR226" s="12">
        <f>H226</f>
        <v>471810</v>
      </c>
      <c r="AS226" s="12">
        <f>I226</f>
        <v>24012</v>
      </c>
      <c r="AT226" s="12">
        <f>J226</f>
        <v>17487</v>
      </c>
    </row>
    <row r="227" spans="1:46" x14ac:dyDescent="0.55000000000000004">
      <c r="A227" s="11" t="s">
        <v>230</v>
      </c>
      <c r="B227" s="9"/>
      <c r="C227" s="9"/>
      <c r="D227" s="9"/>
      <c r="E227" s="9"/>
      <c r="F227" s="9"/>
      <c r="G227" s="9"/>
      <c r="H227" s="9"/>
      <c r="I227" s="9"/>
      <c r="J227" s="9"/>
      <c r="K227" s="37"/>
      <c r="L227" s="37"/>
      <c r="M227" s="9"/>
      <c r="N227" s="6">
        <v>3886</v>
      </c>
      <c r="O227" s="6">
        <v>4812</v>
      </c>
      <c r="P227" s="6">
        <v>2977</v>
      </c>
      <c r="Q227" s="6">
        <v>3678</v>
      </c>
      <c r="R227" s="6">
        <v>8361</v>
      </c>
      <c r="S227" s="6">
        <v>232</v>
      </c>
      <c r="T227" s="6"/>
      <c r="U227" s="6"/>
      <c r="V227" s="6"/>
      <c r="W227" s="6"/>
      <c r="X227" s="6"/>
      <c r="Y227" s="6"/>
      <c r="Z227" s="9"/>
      <c r="AA227" s="9"/>
      <c r="AB227" s="9"/>
      <c r="AC227" s="2"/>
      <c r="AD227" s="2"/>
      <c r="AE227" s="2"/>
      <c r="AF227" s="2"/>
      <c r="AG227" s="2"/>
      <c r="AH227" s="2"/>
      <c r="AI227" s="2"/>
      <c r="AJ227" s="2"/>
    </row>
    <row r="228" spans="1:46" x14ac:dyDescent="0.55000000000000004">
      <c r="A228" s="11" t="s">
        <v>231</v>
      </c>
      <c r="B228" s="9"/>
      <c r="C228" s="9"/>
      <c r="D228" s="9"/>
      <c r="E228" s="9"/>
      <c r="F228" s="9"/>
      <c r="G228" s="9"/>
      <c r="H228" s="9"/>
      <c r="I228" s="9"/>
      <c r="J228" s="9"/>
      <c r="K228" s="37"/>
      <c r="L228" s="37"/>
      <c r="M228" s="9"/>
      <c r="N228" s="6">
        <v>3995</v>
      </c>
      <c r="O228" s="6">
        <v>3912</v>
      </c>
      <c r="P228" s="6">
        <v>2400</v>
      </c>
      <c r="Q228" s="6">
        <v>3255</v>
      </c>
      <c r="R228" s="6">
        <v>6139</v>
      </c>
      <c r="S228" s="6">
        <v>132</v>
      </c>
      <c r="T228" s="6"/>
      <c r="U228" s="6"/>
      <c r="V228" s="6"/>
      <c r="W228" s="6"/>
      <c r="X228" s="6"/>
      <c r="Y228" s="6"/>
      <c r="Z228" s="9"/>
      <c r="AA228" s="9"/>
      <c r="AB228" s="9"/>
      <c r="AC228" s="2"/>
      <c r="AD228" s="2"/>
      <c r="AE228" s="2"/>
      <c r="AF228" s="2"/>
      <c r="AG228" s="2"/>
      <c r="AH228" s="2"/>
      <c r="AI228" s="2"/>
      <c r="AJ228" s="2"/>
    </row>
    <row r="229" spans="1:46" x14ac:dyDescent="0.55000000000000004">
      <c r="A229" s="18" t="s">
        <v>232</v>
      </c>
      <c r="B229" s="19">
        <v>576002</v>
      </c>
      <c r="C229" s="19">
        <v>20933</v>
      </c>
      <c r="D229" s="19">
        <v>12119</v>
      </c>
      <c r="E229" s="19" t="s">
        <v>14</v>
      </c>
      <c r="F229" s="19" t="s">
        <v>14</v>
      </c>
      <c r="G229" s="19" t="s">
        <v>14</v>
      </c>
      <c r="H229" s="19">
        <v>525915</v>
      </c>
      <c r="I229" s="19">
        <v>18454</v>
      </c>
      <c r="J229" s="19">
        <v>12724</v>
      </c>
      <c r="K229" s="36">
        <v>36.299999999999997</v>
      </c>
      <c r="L229" s="36">
        <v>21.1</v>
      </c>
      <c r="N229" s="19">
        <v>118387</v>
      </c>
      <c r="O229" s="19">
        <v>29370</v>
      </c>
      <c r="P229" s="19">
        <v>21237</v>
      </c>
      <c r="Q229" s="19">
        <v>146998</v>
      </c>
      <c r="R229" s="19">
        <v>71773</v>
      </c>
      <c r="S229" s="19">
        <v>63112</v>
      </c>
      <c r="T229" s="19">
        <v>96468</v>
      </c>
      <c r="U229" s="19">
        <v>28657</v>
      </c>
      <c r="V229" s="19"/>
      <c r="W229" s="19"/>
      <c r="X229" s="19"/>
      <c r="Y229" s="19"/>
      <c r="Z229" s="17"/>
      <c r="AA229" s="17"/>
      <c r="AB229" s="17"/>
      <c r="AC229" s="2"/>
      <c r="AD229" s="12">
        <f>SUM(N229:AB229)</f>
        <v>576002</v>
      </c>
      <c r="AE229" s="12">
        <f>SUM(N230:AB230)</f>
        <v>20933</v>
      </c>
      <c r="AF229" s="12">
        <f>SUM(N231:AB231)</f>
        <v>12119</v>
      </c>
      <c r="AG229" s="2"/>
      <c r="AH229" s="12">
        <f>AD229-B229</f>
        <v>0</v>
      </c>
      <c r="AI229" s="12">
        <f>AE229-C229</f>
        <v>0</v>
      </c>
      <c r="AJ229" s="12">
        <f>AF229-D229</f>
        <v>0</v>
      </c>
      <c r="AL229" s="47">
        <f>C229/B229*1000</f>
        <v>36.341887701778809</v>
      </c>
      <c r="AM229" s="47">
        <f>D229/B229*1000</f>
        <v>21.03985750049479</v>
      </c>
      <c r="AO229" s="47">
        <f>AL229-K229</f>
        <v>4.1887701778811959E-2</v>
      </c>
      <c r="AP229" s="47">
        <f>AM229-L229</f>
        <v>-6.0142499505211333E-2</v>
      </c>
      <c r="AR229" s="12">
        <f t="shared" ref="AR229" si="213">H229</f>
        <v>525915</v>
      </c>
      <c r="AS229" s="12">
        <f t="shared" ref="AS229" si="214">I229</f>
        <v>18454</v>
      </c>
      <c r="AT229" s="12">
        <f t="shared" ref="AT229" si="215">J229</f>
        <v>12724</v>
      </c>
    </row>
    <row r="230" spans="1:46" x14ac:dyDescent="0.55000000000000004">
      <c r="A230" s="11" t="s">
        <v>233</v>
      </c>
      <c r="B230" s="9"/>
      <c r="C230" s="9"/>
      <c r="D230" s="9"/>
      <c r="E230" s="9"/>
      <c r="F230" s="9"/>
      <c r="G230" s="9"/>
      <c r="H230" s="9"/>
      <c r="I230" s="9"/>
      <c r="J230" s="9"/>
      <c r="K230" s="37"/>
      <c r="L230" s="37"/>
      <c r="M230" s="9"/>
      <c r="N230" s="6">
        <v>4470</v>
      </c>
      <c r="O230" s="6">
        <v>1025</v>
      </c>
      <c r="P230" s="6">
        <v>658</v>
      </c>
      <c r="Q230" s="6">
        <v>5724</v>
      </c>
      <c r="R230" s="6">
        <v>3726</v>
      </c>
      <c r="S230" s="6">
        <v>839</v>
      </c>
      <c r="T230" s="6">
        <v>3367</v>
      </c>
      <c r="U230" s="6">
        <v>1124</v>
      </c>
      <c r="V230" s="6"/>
      <c r="W230" s="6"/>
      <c r="X230" s="6"/>
      <c r="Y230" s="6"/>
      <c r="Z230" s="9"/>
      <c r="AA230" s="9"/>
      <c r="AB230" s="9"/>
      <c r="AC230" s="2"/>
      <c r="AD230" s="2"/>
      <c r="AE230" s="2"/>
      <c r="AF230" s="2"/>
      <c r="AG230" s="2"/>
      <c r="AH230" s="2"/>
      <c r="AI230" s="2"/>
      <c r="AJ230" s="2"/>
    </row>
    <row r="231" spans="1:46" x14ac:dyDescent="0.55000000000000004">
      <c r="A231" s="11" t="s">
        <v>234</v>
      </c>
      <c r="B231" s="9"/>
      <c r="C231" s="9"/>
      <c r="D231" s="9"/>
      <c r="E231" s="9"/>
      <c r="F231" s="9"/>
      <c r="G231" s="9"/>
      <c r="H231" s="9"/>
      <c r="I231" s="9"/>
      <c r="J231" s="9"/>
      <c r="K231" s="37"/>
      <c r="L231" s="37"/>
      <c r="M231" s="9"/>
      <c r="N231" s="6">
        <v>2396</v>
      </c>
      <c r="O231" s="6">
        <v>573</v>
      </c>
      <c r="P231" s="6">
        <v>354</v>
      </c>
      <c r="Q231" s="6">
        <v>3294</v>
      </c>
      <c r="R231" s="6">
        <v>2310</v>
      </c>
      <c r="S231" s="6">
        <v>559</v>
      </c>
      <c r="T231" s="6">
        <v>1961</v>
      </c>
      <c r="U231" s="6">
        <v>672</v>
      </c>
      <c r="V231" s="6"/>
      <c r="W231" s="6"/>
      <c r="X231" s="6"/>
      <c r="Y231" s="6"/>
      <c r="Z231" s="9"/>
      <c r="AA231" s="9"/>
      <c r="AB231" s="9"/>
      <c r="AC231" s="2"/>
      <c r="AD231" s="2"/>
      <c r="AE231" s="2"/>
      <c r="AF231" s="2"/>
      <c r="AG231" s="2"/>
      <c r="AH231" s="2"/>
      <c r="AI231" s="2"/>
      <c r="AJ231" s="2"/>
    </row>
    <row r="232" spans="1:46" x14ac:dyDescent="0.55000000000000004">
      <c r="A232" s="18" t="s">
        <v>235</v>
      </c>
      <c r="B232" s="19">
        <v>456617</v>
      </c>
      <c r="C232" s="19">
        <v>20985</v>
      </c>
      <c r="D232" s="19">
        <v>14919</v>
      </c>
      <c r="E232" s="19">
        <v>58660</v>
      </c>
      <c r="F232" s="19">
        <v>2404</v>
      </c>
      <c r="G232" s="19">
        <v>2015</v>
      </c>
      <c r="H232" s="19">
        <v>457085</v>
      </c>
      <c r="I232" s="19">
        <v>20316</v>
      </c>
      <c r="J232" s="19">
        <v>16324</v>
      </c>
      <c r="K232" s="36">
        <v>46</v>
      </c>
      <c r="L232" s="36">
        <v>32.6</v>
      </c>
      <c r="N232" s="19">
        <v>149807</v>
      </c>
      <c r="O232" s="19">
        <v>131855</v>
      </c>
      <c r="P232" s="19">
        <v>66931</v>
      </c>
      <c r="Q232" s="19">
        <v>50737</v>
      </c>
      <c r="R232" s="19">
        <v>57287</v>
      </c>
      <c r="S232" s="19"/>
      <c r="T232" s="19"/>
      <c r="U232" s="19"/>
      <c r="V232" s="19"/>
      <c r="W232" s="19"/>
      <c r="X232" s="19"/>
      <c r="Y232" s="19"/>
      <c r="Z232" s="17"/>
      <c r="AA232" s="17"/>
      <c r="AB232" s="17"/>
      <c r="AC232" s="2"/>
      <c r="AD232" s="12">
        <f>SUM(N232:AB232)</f>
        <v>456617</v>
      </c>
      <c r="AE232" s="12">
        <f>SUM(N233:AB233)</f>
        <v>20985</v>
      </c>
      <c r="AF232" s="12">
        <f>SUM(N234:AB234)</f>
        <v>14908</v>
      </c>
      <c r="AG232" s="2"/>
      <c r="AH232" s="12">
        <f>AD232-B232</f>
        <v>0</v>
      </c>
      <c r="AI232" s="12">
        <f>AE232-C232</f>
        <v>0</v>
      </c>
      <c r="AJ232" s="12">
        <f>AF232-D232</f>
        <v>-11</v>
      </c>
      <c r="AL232" s="47">
        <f>C232/B232*1000</f>
        <v>45.957553047740227</v>
      </c>
      <c r="AM232" s="47">
        <f>D232/B232*1000</f>
        <v>32.67289654130267</v>
      </c>
      <c r="AO232" s="47">
        <f>AL232-K232</f>
        <v>-4.2446952259773241E-2</v>
      </c>
      <c r="AP232" s="47">
        <f>AM232-L232</f>
        <v>7.2896541302668538E-2</v>
      </c>
      <c r="AR232" s="12">
        <f t="shared" ref="AR232" si="216">H232</f>
        <v>457085</v>
      </c>
      <c r="AS232" s="12">
        <f t="shared" ref="AS232" si="217">I232</f>
        <v>20316</v>
      </c>
      <c r="AT232" s="12">
        <f t="shared" ref="AT232" si="218">J232</f>
        <v>16324</v>
      </c>
    </row>
    <row r="233" spans="1:46" x14ac:dyDescent="0.55000000000000004">
      <c r="A233" s="11" t="s">
        <v>236</v>
      </c>
      <c r="B233" s="9"/>
      <c r="C233" s="9"/>
      <c r="D233" s="9"/>
      <c r="E233" s="9"/>
      <c r="F233" s="9"/>
      <c r="G233" s="9"/>
      <c r="H233" s="9"/>
      <c r="I233" s="9"/>
      <c r="J233" s="9"/>
      <c r="K233" s="37"/>
      <c r="L233" s="37"/>
      <c r="M233" s="9"/>
      <c r="N233" s="6">
        <v>6376</v>
      </c>
      <c r="O233" s="6">
        <v>5728</v>
      </c>
      <c r="P233" s="6">
        <v>3094</v>
      </c>
      <c r="Q233" s="6">
        <v>2646</v>
      </c>
      <c r="R233" s="6">
        <v>3141</v>
      </c>
      <c r="S233" s="6"/>
      <c r="T233" s="6"/>
      <c r="U233" s="6"/>
      <c r="V233" s="6"/>
      <c r="W233" s="6"/>
      <c r="X233" s="6"/>
      <c r="Y233" s="6"/>
      <c r="Z233" s="9"/>
      <c r="AA233" s="9"/>
      <c r="AB233" s="9"/>
      <c r="AC233" s="2"/>
      <c r="AD233" s="2"/>
      <c r="AE233" s="2"/>
      <c r="AF233" s="2"/>
      <c r="AG233" s="2"/>
      <c r="AH233" s="2"/>
      <c r="AI233" s="2"/>
      <c r="AJ233" s="2"/>
    </row>
    <row r="234" spans="1:46" x14ac:dyDescent="0.55000000000000004">
      <c r="A234" s="11" t="s">
        <v>237</v>
      </c>
      <c r="B234" s="9"/>
      <c r="C234" s="9"/>
      <c r="D234" s="9"/>
      <c r="E234" s="9"/>
      <c r="F234" s="9"/>
      <c r="G234" s="9"/>
      <c r="H234" s="9"/>
      <c r="I234" s="9"/>
      <c r="J234" s="9"/>
      <c r="K234" s="37"/>
      <c r="L234" s="37"/>
      <c r="M234" s="9"/>
      <c r="N234" s="6">
        <v>4722</v>
      </c>
      <c r="O234" s="6">
        <v>4254</v>
      </c>
      <c r="P234" s="6">
        <v>1887</v>
      </c>
      <c r="Q234" s="6">
        <v>1554</v>
      </c>
      <c r="R234" s="6">
        <v>2491</v>
      </c>
      <c r="S234" s="6"/>
      <c r="T234" s="6"/>
      <c r="U234" s="6"/>
      <c r="V234" s="6"/>
      <c r="W234" s="6"/>
      <c r="X234" s="6"/>
      <c r="Y234" s="6"/>
      <c r="Z234" s="9"/>
      <c r="AA234" s="9"/>
      <c r="AB234" s="9"/>
      <c r="AC234" s="2"/>
      <c r="AD234" s="2"/>
      <c r="AE234" s="2"/>
      <c r="AF234" s="2"/>
      <c r="AG234" s="2"/>
      <c r="AH234" s="2"/>
      <c r="AI234" s="2"/>
      <c r="AJ234" s="2"/>
    </row>
    <row r="235" spans="1:46" x14ac:dyDescent="0.55000000000000004">
      <c r="A235" s="18" t="s">
        <v>238</v>
      </c>
      <c r="B235" s="19">
        <v>132842</v>
      </c>
      <c r="C235" s="19">
        <v>4380</v>
      </c>
      <c r="D235" s="19">
        <v>2032</v>
      </c>
      <c r="E235" s="19">
        <v>26929</v>
      </c>
      <c r="F235" s="19">
        <v>1065</v>
      </c>
      <c r="G235" s="19">
        <v>606</v>
      </c>
      <c r="H235" s="19">
        <v>107079</v>
      </c>
      <c r="I235" s="19">
        <v>4443</v>
      </c>
      <c r="J235" s="19">
        <v>2760</v>
      </c>
      <c r="K235" s="39" t="s">
        <v>14</v>
      </c>
      <c r="L235" s="39" t="s">
        <v>14</v>
      </c>
      <c r="N235" s="19">
        <v>15706</v>
      </c>
      <c r="O235" s="19">
        <v>10350</v>
      </c>
      <c r="P235" s="19">
        <v>5441</v>
      </c>
      <c r="Q235" s="19">
        <v>675</v>
      </c>
      <c r="R235" s="19">
        <v>10539</v>
      </c>
      <c r="S235" s="19">
        <v>3921</v>
      </c>
      <c r="T235" s="19">
        <v>7370</v>
      </c>
      <c r="U235" s="19">
        <v>7506</v>
      </c>
      <c r="V235" s="19">
        <v>71334</v>
      </c>
      <c r="W235" s="19"/>
      <c r="X235" s="19"/>
      <c r="Y235" s="19"/>
      <c r="Z235" s="17"/>
      <c r="AA235" s="17"/>
      <c r="AB235" s="17"/>
      <c r="AC235" s="2"/>
      <c r="AD235" s="12">
        <f>SUM(N235:AB235)</f>
        <v>132842</v>
      </c>
      <c r="AE235" s="12">
        <f>SUM(N236:AB236)</f>
        <v>4380</v>
      </c>
      <c r="AF235" s="12">
        <f>SUM(N237:AB237)</f>
        <v>2032</v>
      </c>
      <c r="AG235" s="2"/>
      <c r="AH235" s="12">
        <f>AD235-B235</f>
        <v>0</v>
      </c>
      <c r="AI235" s="12">
        <f>AE235-C235</f>
        <v>0</v>
      </c>
      <c r="AJ235" s="12">
        <f>AF235-D235</f>
        <v>0</v>
      </c>
      <c r="AL235" s="47">
        <f>C235/B235*1000</f>
        <v>32.971499977416784</v>
      </c>
      <c r="AM235" s="47">
        <f>D235/B235*1000</f>
        <v>15.296367112810707</v>
      </c>
      <c r="AO235" s="47"/>
      <c r="AP235" s="47"/>
      <c r="AR235" s="12">
        <f t="shared" ref="AR235" si="219">H235</f>
        <v>107079</v>
      </c>
      <c r="AS235" s="12">
        <f t="shared" ref="AS235" si="220">I235</f>
        <v>4443</v>
      </c>
      <c r="AT235" s="12">
        <f t="shared" ref="AT235" si="221">J235</f>
        <v>2760</v>
      </c>
    </row>
    <row r="236" spans="1:46" x14ac:dyDescent="0.55000000000000004">
      <c r="A236" s="11" t="s">
        <v>239</v>
      </c>
      <c r="B236" s="9"/>
      <c r="C236" s="9"/>
      <c r="D236" s="9"/>
      <c r="E236" s="9"/>
      <c r="F236" s="9"/>
      <c r="G236" s="9"/>
      <c r="H236" s="9"/>
      <c r="I236" s="9"/>
      <c r="J236" s="9"/>
      <c r="K236" s="37"/>
      <c r="L236" s="37"/>
      <c r="M236" s="9"/>
      <c r="N236" s="6">
        <v>684</v>
      </c>
      <c r="O236" s="6" t="s">
        <v>14</v>
      </c>
      <c r="P236" s="6">
        <v>73</v>
      </c>
      <c r="Q236" s="6">
        <v>26</v>
      </c>
      <c r="R236" s="6">
        <v>257</v>
      </c>
      <c r="S236" s="6">
        <v>112</v>
      </c>
      <c r="T236" s="6">
        <v>347</v>
      </c>
      <c r="U236" s="6">
        <v>321</v>
      </c>
      <c r="V236" s="6">
        <v>2560</v>
      </c>
      <c r="W236" s="6"/>
      <c r="X236" s="6"/>
      <c r="Y236" s="6"/>
      <c r="Z236" s="9"/>
      <c r="AA236" s="9"/>
      <c r="AB236" s="9"/>
      <c r="AC236" s="2"/>
      <c r="AD236" s="2"/>
      <c r="AE236" s="2"/>
      <c r="AF236" s="2"/>
      <c r="AG236" s="2"/>
      <c r="AH236" s="2"/>
      <c r="AI236" s="2"/>
      <c r="AJ236" s="2"/>
    </row>
    <row r="237" spans="1:46" x14ac:dyDescent="0.55000000000000004">
      <c r="A237" s="11" t="s">
        <v>240</v>
      </c>
      <c r="B237" s="9"/>
      <c r="C237" s="9"/>
      <c r="D237" s="9"/>
      <c r="E237" s="9"/>
      <c r="F237" s="9"/>
      <c r="G237" s="9"/>
      <c r="H237" s="9"/>
      <c r="I237" s="9"/>
      <c r="J237" s="9"/>
      <c r="K237" s="37"/>
      <c r="L237" s="37"/>
      <c r="M237" s="9"/>
      <c r="N237" s="6">
        <v>261</v>
      </c>
      <c r="O237" s="6" t="s">
        <v>14</v>
      </c>
      <c r="P237" s="6">
        <v>23</v>
      </c>
      <c r="Q237" s="6">
        <v>14</v>
      </c>
      <c r="R237" s="6">
        <v>211</v>
      </c>
      <c r="S237" s="6">
        <v>88</v>
      </c>
      <c r="T237" s="6">
        <v>174</v>
      </c>
      <c r="U237" s="6">
        <v>133</v>
      </c>
      <c r="V237" s="6">
        <v>1128</v>
      </c>
      <c r="W237" s="6"/>
      <c r="X237" s="6"/>
      <c r="Y237" s="6"/>
      <c r="Z237" s="9"/>
      <c r="AA237" s="9"/>
      <c r="AB237" s="9"/>
      <c r="AC237" s="2"/>
      <c r="AD237" s="2"/>
      <c r="AE237" s="2"/>
      <c r="AF237" s="2"/>
      <c r="AG237" s="2"/>
      <c r="AH237" s="2"/>
      <c r="AI237" s="2"/>
      <c r="AJ237" s="2"/>
    </row>
    <row r="238" spans="1:46" x14ac:dyDescent="0.55000000000000004">
      <c r="A238" s="18" t="s">
        <v>241</v>
      </c>
      <c r="B238" s="19">
        <v>1424767</v>
      </c>
      <c r="C238" s="19">
        <v>73710</v>
      </c>
      <c r="D238" s="19">
        <v>61275</v>
      </c>
      <c r="E238" s="19">
        <v>100657</v>
      </c>
      <c r="F238" s="19">
        <v>2276</v>
      </c>
      <c r="G238" s="19">
        <v>2406</v>
      </c>
      <c r="H238" s="19">
        <v>1397943</v>
      </c>
      <c r="I238" s="19">
        <v>73067</v>
      </c>
      <c r="J238" s="19">
        <v>60357</v>
      </c>
      <c r="K238" s="36">
        <v>51.8</v>
      </c>
      <c r="L238" s="36">
        <v>43</v>
      </c>
      <c r="N238" s="19">
        <v>130139</v>
      </c>
      <c r="O238" s="19">
        <v>31258</v>
      </c>
      <c r="P238" s="19">
        <v>279628</v>
      </c>
      <c r="Q238" s="19">
        <v>270109</v>
      </c>
      <c r="R238" s="19">
        <v>8464</v>
      </c>
      <c r="S238" s="19">
        <v>151955</v>
      </c>
      <c r="T238" s="19">
        <v>71970</v>
      </c>
      <c r="U238" s="19">
        <v>160213</v>
      </c>
      <c r="V238" s="19">
        <v>123713</v>
      </c>
      <c r="W238" s="19">
        <v>197318</v>
      </c>
      <c r="X238" s="19"/>
      <c r="Y238" s="19"/>
      <c r="Z238" s="17"/>
      <c r="AA238" s="17"/>
      <c r="AB238" s="17"/>
      <c r="AC238" s="2"/>
      <c r="AD238" s="12">
        <f>SUM(N238:AB238)</f>
        <v>1424767</v>
      </c>
      <c r="AE238" s="12">
        <f>SUM(N239:AB239)</f>
        <v>73710</v>
      </c>
      <c r="AF238" s="12">
        <f>SUM(N240:AB240)</f>
        <v>61275</v>
      </c>
      <c r="AG238" s="2"/>
      <c r="AH238" s="12">
        <f>AD238-B238</f>
        <v>0</v>
      </c>
      <c r="AI238" s="12">
        <f>AE238-C238</f>
        <v>0</v>
      </c>
      <c r="AJ238" s="12">
        <f>AF238-D238</f>
        <v>0</v>
      </c>
      <c r="AL238" s="47">
        <f>C238/B238*1000</f>
        <v>51.734774878980211</v>
      </c>
      <c r="AM238" s="47">
        <f>D238/B238*1000</f>
        <v>43.007032026991077</v>
      </c>
      <c r="AO238" s="47">
        <f>AL238-K238</f>
        <v>-6.5225121019786059E-2</v>
      </c>
      <c r="AP238" s="47">
        <f>AM238-L238</f>
        <v>7.0320269910766342E-3</v>
      </c>
      <c r="AR238" s="12">
        <f t="shared" ref="AR238" si="222">H238</f>
        <v>1397943</v>
      </c>
      <c r="AS238" s="12">
        <f t="shared" ref="AS238" si="223">I238</f>
        <v>73067</v>
      </c>
      <c r="AT238" s="12">
        <f t="shared" ref="AT238" si="224">J238</f>
        <v>60357</v>
      </c>
    </row>
    <row r="239" spans="1:46" x14ac:dyDescent="0.55000000000000004">
      <c r="A239" s="11" t="s">
        <v>242</v>
      </c>
      <c r="B239" s="9"/>
      <c r="C239" s="9"/>
      <c r="D239" s="9"/>
      <c r="E239" s="9"/>
      <c r="F239" s="9"/>
      <c r="G239" s="9"/>
      <c r="H239" s="9"/>
      <c r="I239" s="9"/>
      <c r="J239" s="9"/>
      <c r="K239" s="40"/>
      <c r="L239" s="40"/>
      <c r="M239" s="9"/>
      <c r="N239" s="6">
        <v>6256</v>
      </c>
      <c r="O239" s="6">
        <v>1355</v>
      </c>
      <c r="P239" s="6">
        <v>15434</v>
      </c>
      <c r="Q239" s="6">
        <v>14308</v>
      </c>
      <c r="R239" s="6">
        <v>331</v>
      </c>
      <c r="S239" s="6">
        <v>7849</v>
      </c>
      <c r="T239" s="6">
        <v>3860</v>
      </c>
      <c r="U239" s="6">
        <v>9547</v>
      </c>
      <c r="V239" s="6">
        <v>4881</v>
      </c>
      <c r="W239" s="6">
        <v>9889</v>
      </c>
      <c r="X239" s="6"/>
      <c r="Y239" s="6"/>
      <c r="Z239" s="9"/>
      <c r="AA239" s="9"/>
      <c r="AB239" s="9"/>
      <c r="AC239" s="2"/>
    </row>
    <row r="240" spans="1:46" x14ac:dyDescent="0.55000000000000004">
      <c r="A240" s="11" t="s">
        <v>243</v>
      </c>
      <c r="B240" s="9"/>
      <c r="C240" s="9"/>
      <c r="D240" s="9"/>
      <c r="E240" s="9"/>
      <c r="F240" s="9"/>
      <c r="G240" s="9"/>
      <c r="H240" s="9"/>
      <c r="I240" s="9"/>
      <c r="J240" s="9"/>
      <c r="K240" s="37"/>
      <c r="L240" s="37"/>
      <c r="M240" s="9"/>
      <c r="N240" s="6">
        <v>4377</v>
      </c>
      <c r="O240" s="6">
        <v>1037</v>
      </c>
      <c r="P240" s="6">
        <v>14649</v>
      </c>
      <c r="Q240" s="6">
        <v>10542</v>
      </c>
      <c r="R240" s="60">
        <v>424</v>
      </c>
      <c r="S240" s="6">
        <v>5698</v>
      </c>
      <c r="T240" s="6">
        <v>2967</v>
      </c>
      <c r="U240" s="6">
        <v>8539</v>
      </c>
      <c r="V240" s="6">
        <v>4398</v>
      </c>
      <c r="W240" s="6">
        <v>8644</v>
      </c>
      <c r="X240" s="6"/>
      <c r="Y240" s="6"/>
      <c r="Z240" s="9"/>
      <c r="AA240" s="9"/>
      <c r="AB240" s="9"/>
      <c r="AC240" s="2"/>
      <c r="AD240" s="2"/>
      <c r="AE240" s="2"/>
      <c r="AF240" s="2"/>
      <c r="AG240" s="2"/>
      <c r="AH240" s="2"/>
      <c r="AI240" s="2"/>
      <c r="AJ240" s="2"/>
    </row>
    <row r="241" spans="1:50" x14ac:dyDescent="0.55000000000000004">
      <c r="A241" s="18" t="s">
        <v>244</v>
      </c>
      <c r="B241" s="19">
        <v>1423100</v>
      </c>
      <c r="C241" s="19">
        <v>62629</v>
      </c>
      <c r="D241" s="19">
        <v>34862</v>
      </c>
      <c r="E241" s="19" t="s">
        <v>14</v>
      </c>
      <c r="F241" s="19" t="s">
        <v>14</v>
      </c>
      <c r="G241" s="19" t="s">
        <v>14</v>
      </c>
      <c r="H241" s="19">
        <v>1352876</v>
      </c>
      <c r="I241" s="19">
        <v>64491</v>
      </c>
      <c r="J241" s="19">
        <v>36016</v>
      </c>
      <c r="K241" s="36">
        <v>44</v>
      </c>
      <c r="L241" s="36">
        <v>24.5</v>
      </c>
      <c r="N241" s="19">
        <v>217000</v>
      </c>
      <c r="O241" s="19">
        <v>328500</v>
      </c>
      <c r="P241" s="19">
        <v>387600</v>
      </c>
      <c r="Q241" s="19">
        <v>185000</v>
      </c>
      <c r="R241" s="19">
        <v>178000</v>
      </c>
      <c r="S241" s="19">
        <v>126500</v>
      </c>
      <c r="T241" s="19"/>
      <c r="U241" s="19"/>
      <c r="V241" s="19"/>
      <c r="W241" s="19"/>
      <c r="X241" s="19"/>
      <c r="Y241" s="19"/>
      <c r="Z241" s="17"/>
      <c r="AA241" s="17"/>
      <c r="AB241" s="17"/>
      <c r="AC241" s="2"/>
      <c r="AD241" s="12">
        <f>SUM(N241:AB241)</f>
        <v>1422600</v>
      </c>
      <c r="AE241" s="12">
        <f>SUM(N242:AB242)</f>
        <v>62629</v>
      </c>
      <c r="AF241" s="12">
        <f>SUM(N243:AB243)</f>
        <v>34863</v>
      </c>
      <c r="AG241" s="2"/>
      <c r="AH241" s="12">
        <f>AD241-B241</f>
        <v>-500</v>
      </c>
      <c r="AI241" s="12">
        <f>AE241-C241</f>
        <v>0</v>
      </c>
      <c r="AJ241" s="12">
        <f>AF241-D241</f>
        <v>1</v>
      </c>
      <c r="AL241" s="47">
        <f>C241/B241*1000</f>
        <v>44.008853910477121</v>
      </c>
      <c r="AM241" s="47">
        <f>D241/B241*1000</f>
        <v>24.49722436933455</v>
      </c>
      <c r="AO241" s="47">
        <f>AL241-K241</f>
        <v>8.8539104771214738E-3</v>
      </c>
      <c r="AP241" s="47">
        <f>AM241-L241</f>
        <v>-2.7756306654502794E-3</v>
      </c>
      <c r="AR241" s="12">
        <f t="shared" ref="AR241" si="225">H241</f>
        <v>1352876</v>
      </c>
      <c r="AS241" s="12">
        <f t="shared" ref="AS241" si="226">I241</f>
        <v>64491</v>
      </c>
      <c r="AT241" s="12">
        <f t="shared" ref="AT241" si="227">J241</f>
        <v>36016</v>
      </c>
    </row>
    <row r="242" spans="1:50" x14ac:dyDescent="0.55000000000000004">
      <c r="A242" s="11" t="s">
        <v>245</v>
      </c>
      <c r="B242" s="9"/>
      <c r="C242" s="9"/>
      <c r="D242" s="9"/>
      <c r="E242" s="9"/>
      <c r="F242" s="9"/>
      <c r="G242" s="9"/>
      <c r="H242" s="9"/>
      <c r="I242" s="9"/>
      <c r="J242" s="9"/>
      <c r="K242" s="37"/>
      <c r="L242" s="37"/>
      <c r="M242" s="9"/>
      <c r="N242" s="6">
        <v>8296</v>
      </c>
      <c r="O242" s="6">
        <v>19092</v>
      </c>
      <c r="P242" s="6">
        <v>16936</v>
      </c>
      <c r="Q242" s="6">
        <v>7642</v>
      </c>
      <c r="R242" s="6">
        <v>4612</v>
      </c>
      <c r="S242" s="6">
        <v>6051</v>
      </c>
      <c r="T242" s="6"/>
      <c r="U242" s="6"/>
      <c r="V242" s="6"/>
      <c r="W242" s="6"/>
      <c r="X242" s="6"/>
      <c r="Y242" s="6"/>
      <c r="Z242" s="9"/>
      <c r="AA242" s="9"/>
      <c r="AB242" s="9"/>
      <c r="AC242" s="2"/>
      <c r="AD242" s="2"/>
      <c r="AE242" s="2"/>
      <c r="AF242" s="2"/>
      <c r="AG242" s="2"/>
      <c r="AH242" s="2"/>
      <c r="AI242" s="2"/>
      <c r="AJ242" s="2"/>
    </row>
    <row r="243" spans="1:50" x14ac:dyDescent="0.55000000000000004">
      <c r="A243" s="11" t="s">
        <v>246</v>
      </c>
      <c r="B243" s="9"/>
      <c r="C243" s="9"/>
      <c r="D243" s="9"/>
      <c r="E243" s="9"/>
      <c r="F243" s="9"/>
      <c r="G243" s="9"/>
      <c r="H243" s="9"/>
      <c r="I243" s="9"/>
      <c r="J243" s="9"/>
      <c r="K243" s="37"/>
      <c r="L243" s="37"/>
      <c r="M243" s="9"/>
      <c r="N243" s="6">
        <v>6462</v>
      </c>
      <c r="O243" s="6">
        <v>8386</v>
      </c>
      <c r="P243" s="6">
        <v>9042</v>
      </c>
      <c r="Q243" s="6">
        <v>4026</v>
      </c>
      <c r="R243" s="6">
        <v>2492</v>
      </c>
      <c r="S243" s="6">
        <v>4455</v>
      </c>
      <c r="T243" s="6"/>
      <c r="U243" s="6"/>
      <c r="V243" s="6"/>
      <c r="W243" s="6"/>
      <c r="X243" s="6"/>
      <c r="Y243" s="6"/>
      <c r="Z243" s="9"/>
      <c r="AA243" s="9"/>
      <c r="AB243" s="9"/>
      <c r="AC243" s="2"/>
      <c r="AD243" s="2"/>
      <c r="AE243" s="2"/>
      <c r="AF243" s="2"/>
      <c r="AG243" s="2"/>
      <c r="AH243" s="2"/>
      <c r="AI243" s="2"/>
      <c r="AJ243" s="2"/>
    </row>
    <row r="244" spans="1:50" x14ac:dyDescent="0.55000000000000004">
      <c r="A244" s="18" t="s">
        <v>247</v>
      </c>
      <c r="B244" s="19">
        <v>261142</v>
      </c>
      <c r="C244" s="19">
        <v>8064</v>
      </c>
      <c r="D244" s="19">
        <v>4839</v>
      </c>
      <c r="E244" s="19">
        <v>8428</v>
      </c>
      <c r="F244" s="19">
        <v>163</v>
      </c>
      <c r="G244" s="19">
        <v>110</v>
      </c>
      <c r="H244" s="19">
        <v>256184</v>
      </c>
      <c r="I244" s="19">
        <v>7244</v>
      </c>
      <c r="J244" s="19">
        <v>6128</v>
      </c>
      <c r="K244" s="36">
        <v>30.9</v>
      </c>
      <c r="L244" s="36">
        <v>18.5</v>
      </c>
      <c r="N244" s="19">
        <v>152701</v>
      </c>
      <c r="O244" s="19">
        <v>13026</v>
      </c>
      <c r="P244" s="19">
        <v>74077</v>
      </c>
      <c r="Q244" s="19">
        <v>6194</v>
      </c>
      <c r="R244" s="19">
        <v>15144</v>
      </c>
      <c r="S244" s="19"/>
      <c r="T244" s="19"/>
      <c r="U244" s="19"/>
      <c r="V244" s="19"/>
      <c r="W244" s="19"/>
      <c r="X244" s="19"/>
      <c r="Y244" s="19"/>
      <c r="Z244" s="17"/>
      <c r="AA244" s="17"/>
      <c r="AB244" s="17"/>
      <c r="AC244" s="2"/>
      <c r="AD244" s="12">
        <f>SUM(N244:AB244)</f>
        <v>261142</v>
      </c>
      <c r="AE244" s="12">
        <f>SUM(N245:AB245)</f>
        <v>8064</v>
      </c>
      <c r="AF244" s="12">
        <f>SUM(N246:AB246)</f>
        <v>4841</v>
      </c>
      <c r="AG244" s="2"/>
      <c r="AH244" s="12">
        <f>AD244-B244</f>
        <v>0</v>
      </c>
      <c r="AI244" s="12">
        <f>AE244-C244</f>
        <v>0</v>
      </c>
      <c r="AJ244" s="12">
        <f>AF244-D244</f>
        <v>2</v>
      </c>
      <c r="AL244" s="47">
        <f>C244/B244*1000</f>
        <v>30.879751246448294</v>
      </c>
      <c r="AM244" s="47">
        <f>D244/B244*1000</f>
        <v>18.530148348408147</v>
      </c>
      <c r="AO244" s="47">
        <f>AL244-K244</f>
        <v>-2.0248753551705079E-2</v>
      </c>
      <c r="AP244" s="47">
        <f>AM244-L244</f>
        <v>3.0148348408147285E-2</v>
      </c>
      <c r="AR244" s="12">
        <f t="shared" ref="AR244" si="228">H244</f>
        <v>256184</v>
      </c>
      <c r="AS244" s="12">
        <f t="shared" ref="AS244" si="229">I244</f>
        <v>7244</v>
      </c>
      <c r="AT244" s="12">
        <f t="shared" ref="AT244" si="230">J244</f>
        <v>6128</v>
      </c>
    </row>
    <row r="245" spans="1:50" x14ac:dyDescent="0.55000000000000004">
      <c r="A245" s="11" t="s">
        <v>248</v>
      </c>
      <c r="B245" s="9"/>
      <c r="C245" s="9"/>
      <c r="D245" s="9"/>
      <c r="E245" s="9"/>
      <c r="F245" s="9"/>
      <c r="G245" s="9"/>
      <c r="H245" s="9"/>
      <c r="I245" s="9"/>
      <c r="J245" s="9"/>
      <c r="K245" s="37"/>
      <c r="L245" s="37"/>
      <c r="M245" s="9"/>
      <c r="N245" s="6">
        <v>4838</v>
      </c>
      <c r="O245" s="6">
        <v>176</v>
      </c>
      <c r="P245" s="6">
        <v>2445</v>
      </c>
      <c r="Q245" s="6">
        <v>127</v>
      </c>
      <c r="R245" s="6">
        <v>478</v>
      </c>
      <c r="S245" s="6"/>
      <c r="T245" s="6"/>
      <c r="U245" s="6"/>
      <c r="V245" s="6"/>
      <c r="W245" s="6"/>
      <c r="X245" s="6"/>
      <c r="Y245" s="6"/>
      <c r="Z245" s="9"/>
      <c r="AA245" s="9"/>
      <c r="AB245" s="9"/>
      <c r="AC245" s="2"/>
      <c r="AD245" s="2"/>
      <c r="AE245" s="2"/>
      <c r="AF245" s="2"/>
      <c r="AG245" s="2"/>
      <c r="AH245" s="2"/>
      <c r="AI245" s="2"/>
      <c r="AJ245" s="2"/>
    </row>
    <row r="246" spans="1:50" x14ac:dyDescent="0.55000000000000004">
      <c r="A246" s="11" t="s">
        <v>249</v>
      </c>
      <c r="B246" s="9"/>
      <c r="C246" s="9"/>
      <c r="D246" s="9"/>
      <c r="E246" s="9"/>
      <c r="F246" s="9"/>
      <c r="G246" s="9"/>
      <c r="H246" s="9"/>
      <c r="I246" s="9"/>
      <c r="J246" s="9"/>
      <c r="K246" s="37"/>
      <c r="L246" s="37"/>
      <c r="M246" s="9"/>
      <c r="N246" s="6">
        <v>3161</v>
      </c>
      <c r="O246" s="6">
        <v>140</v>
      </c>
      <c r="P246" s="6">
        <v>1225</v>
      </c>
      <c r="Q246" s="6">
        <v>101</v>
      </c>
      <c r="R246" s="6">
        <v>214</v>
      </c>
      <c r="S246" s="6"/>
      <c r="T246" s="6"/>
      <c r="U246" s="6"/>
      <c r="V246" s="6"/>
      <c r="W246" s="6"/>
      <c r="X246" s="6"/>
      <c r="Y246" s="6"/>
      <c r="Z246" s="9"/>
      <c r="AA246" s="9"/>
      <c r="AB246" s="9"/>
      <c r="AC246" s="2"/>
      <c r="AD246" s="2"/>
      <c r="AE246" s="2"/>
      <c r="AF246" s="2"/>
      <c r="AG246" s="2"/>
      <c r="AH246" s="2"/>
      <c r="AI246" s="2"/>
      <c r="AJ246" s="2"/>
    </row>
    <row r="247" spans="1:50" x14ac:dyDescent="0.55000000000000004">
      <c r="A247" s="18" t="s">
        <v>250</v>
      </c>
      <c r="B247" s="19">
        <v>20302</v>
      </c>
      <c r="C247" s="19">
        <v>395</v>
      </c>
      <c r="D247" s="19">
        <v>395</v>
      </c>
      <c r="E247" s="19" t="s">
        <v>14</v>
      </c>
      <c r="F247" s="19" t="s">
        <v>14</v>
      </c>
      <c r="G247" s="19" t="s">
        <v>14</v>
      </c>
      <c r="H247" s="19">
        <v>15696</v>
      </c>
      <c r="I247" s="19">
        <v>353</v>
      </c>
      <c r="J247" s="19">
        <v>265</v>
      </c>
      <c r="K247" s="36">
        <v>19.7</v>
      </c>
      <c r="L247" s="36">
        <v>19.7</v>
      </c>
      <c r="N247" s="19">
        <v>8068</v>
      </c>
      <c r="O247" s="19">
        <v>5025</v>
      </c>
      <c r="P247" s="19">
        <v>7209</v>
      </c>
      <c r="Q247" s="19"/>
      <c r="R247" s="19"/>
      <c r="S247" s="19"/>
      <c r="T247" s="19"/>
      <c r="U247" s="19"/>
      <c r="V247" s="19"/>
      <c r="W247" s="19"/>
      <c r="X247" s="19"/>
      <c r="Y247" s="19"/>
      <c r="Z247" s="17"/>
      <c r="AA247" s="17"/>
      <c r="AB247" s="17"/>
      <c r="AC247" s="2"/>
      <c r="AD247" s="12">
        <f>SUM(N247:AB247)</f>
        <v>20302</v>
      </c>
      <c r="AE247" s="12">
        <f>SUM(N248:AB248)</f>
        <v>395</v>
      </c>
      <c r="AF247" s="12">
        <f>SUM(N249:AB249)</f>
        <v>215</v>
      </c>
      <c r="AG247" s="2"/>
      <c r="AH247" s="12">
        <f>AD247-B247</f>
        <v>0</v>
      </c>
      <c r="AI247" s="12">
        <f>AE247-C247</f>
        <v>0</v>
      </c>
      <c r="AJ247" s="12">
        <f>AF247-D247</f>
        <v>-180</v>
      </c>
      <c r="AL247" s="47">
        <f>C247/B247*1000</f>
        <v>19.456211210718156</v>
      </c>
      <c r="AM247" s="47">
        <f>D247/B247*1000</f>
        <v>19.456211210718156</v>
      </c>
      <c r="AO247" s="47">
        <f>AL247-K247</f>
        <v>-0.24378878928184378</v>
      </c>
      <c r="AP247" s="47">
        <f>AM247-L247</f>
        <v>-0.24378878928184378</v>
      </c>
      <c r="AR247" s="12">
        <f t="shared" ref="AR247" si="231">H247</f>
        <v>15696</v>
      </c>
      <c r="AS247" s="12">
        <f t="shared" ref="AS247" si="232">I247</f>
        <v>353</v>
      </c>
      <c r="AT247" s="12">
        <f t="shared" ref="AT247" si="233">J247</f>
        <v>265</v>
      </c>
    </row>
    <row r="248" spans="1:50" x14ac:dyDescent="0.55000000000000004">
      <c r="A248" s="11" t="s">
        <v>251</v>
      </c>
      <c r="B248" s="9"/>
      <c r="C248" s="9"/>
      <c r="D248" s="9"/>
      <c r="E248" s="9"/>
      <c r="F248" s="9"/>
      <c r="G248" s="9"/>
      <c r="H248" s="9"/>
      <c r="I248" s="9"/>
      <c r="J248" s="9"/>
      <c r="K248" s="37"/>
      <c r="L248" s="37"/>
      <c r="M248" s="9"/>
      <c r="N248" s="6">
        <v>168</v>
      </c>
      <c r="O248" s="6">
        <v>63</v>
      </c>
      <c r="P248" s="6">
        <v>164</v>
      </c>
      <c r="Q248" s="6"/>
      <c r="R248" s="6"/>
      <c r="S248" s="6"/>
      <c r="T248" s="6"/>
      <c r="U248" s="6"/>
      <c r="V248" s="6"/>
      <c r="W248" s="6"/>
      <c r="X248" s="6"/>
      <c r="Y248" s="6"/>
      <c r="Z248" s="9"/>
      <c r="AA248" s="9"/>
      <c r="AB248" s="9"/>
      <c r="AC248" s="2"/>
      <c r="AD248" s="2"/>
      <c r="AE248" s="2"/>
      <c r="AF248" s="2"/>
      <c r="AG248" s="2"/>
      <c r="AH248" s="2"/>
      <c r="AI248" s="2"/>
      <c r="AJ248" s="2"/>
    </row>
    <row r="249" spans="1:50" x14ac:dyDescent="0.55000000000000004">
      <c r="A249" s="11" t="s">
        <v>252</v>
      </c>
      <c r="B249" s="9"/>
      <c r="C249" s="9"/>
      <c r="D249" s="9"/>
      <c r="E249" s="9"/>
      <c r="F249" s="9"/>
      <c r="G249" s="9"/>
      <c r="H249" s="9"/>
      <c r="I249" s="9"/>
      <c r="J249" s="9"/>
      <c r="K249" s="37"/>
      <c r="L249" s="37"/>
      <c r="M249" s="9"/>
      <c r="N249" s="6">
        <v>111</v>
      </c>
      <c r="O249" s="6">
        <v>39</v>
      </c>
      <c r="P249" s="6">
        <v>65</v>
      </c>
      <c r="Q249" s="6"/>
      <c r="R249" s="6"/>
      <c r="S249" s="6"/>
      <c r="T249" s="6"/>
      <c r="U249" s="6"/>
      <c r="V249" s="6"/>
      <c r="W249" s="6"/>
      <c r="X249" s="6"/>
      <c r="Y249" s="6"/>
      <c r="Z249" s="9"/>
      <c r="AA249" s="9"/>
      <c r="AB249" s="9"/>
      <c r="AC249" s="2"/>
      <c r="AD249" s="2"/>
      <c r="AE249" s="2"/>
      <c r="AF249" s="2"/>
      <c r="AG249" s="2"/>
      <c r="AH249" s="2"/>
      <c r="AI249" s="2"/>
      <c r="AJ249" s="2"/>
    </row>
    <row r="250" spans="1:50" x14ac:dyDescent="0.55000000000000004">
      <c r="A250" s="45" t="s">
        <v>253</v>
      </c>
      <c r="B250" s="7">
        <v>4817098</v>
      </c>
      <c r="C250" s="7">
        <v>215042</v>
      </c>
      <c r="D250" s="7">
        <v>150174</v>
      </c>
      <c r="E250" s="7"/>
      <c r="F250" s="7"/>
      <c r="G250" s="7"/>
      <c r="H250" s="7">
        <v>4536518</v>
      </c>
      <c r="I250" s="7">
        <v>203902</v>
      </c>
      <c r="J250" s="7">
        <v>146737</v>
      </c>
      <c r="K250" s="38">
        <v>45.6</v>
      </c>
      <c r="L250" s="38">
        <v>32.1</v>
      </c>
      <c r="N250" s="7"/>
      <c r="O250" s="24"/>
      <c r="P250" s="24"/>
      <c r="Q250" s="24"/>
      <c r="R250" s="24"/>
      <c r="S250" s="24"/>
      <c r="T250" s="24"/>
      <c r="U250" s="25"/>
      <c r="V250" s="25"/>
      <c r="W250" s="25"/>
      <c r="X250" s="25"/>
      <c r="Y250" s="25"/>
      <c r="Z250" s="25"/>
      <c r="AA250" s="25"/>
      <c r="AB250" s="25"/>
      <c r="AC250" s="2"/>
      <c r="AD250" s="23">
        <f>SUM(AD225:AD249)</f>
        <v>4816598</v>
      </c>
      <c r="AE250" s="23">
        <f>SUM(AE225:AE249)</f>
        <v>215042</v>
      </c>
      <c r="AF250" s="23">
        <f>SUM(AF225:AF249)</f>
        <v>150086</v>
      </c>
      <c r="AG250" s="2"/>
      <c r="AH250" s="23">
        <f>AD250-B250</f>
        <v>-500</v>
      </c>
      <c r="AI250" s="23">
        <f>AE250-C250</f>
        <v>0</v>
      </c>
      <c r="AJ250" s="23">
        <f>AF250-D250</f>
        <v>-88</v>
      </c>
      <c r="AL250" s="49">
        <f>C250/B250*1000</f>
        <v>44.64140027875704</v>
      </c>
      <c r="AM250" s="49">
        <f>D250/B250*1000</f>
        <v>31.175201334911602</v>
      </c>
      <c r="AN250" s="48"/>
      <c r="AO250" s="49">
        <f>AL250-K250</f>
        <v>-0.95859972124296178</v>
      </c>
      <c r="AP250" s="49">
        <f>AM250-L250</f>
        <v>-0.92479866508839947</v>
      </c>
      <c r="AR250" s="23">
        <f t="shared" ref="AR250:AT250" si="234">SUM(AR225:AR249)</f>
        <v>4584588</v>
      </c>
      <c r="AS250" s="23">
        <f t="shared" si="234"/>
        <v>212380</v>
      </c>
      <c r="AT250" s="23">
        <f t="shared" si="234"/>
        <v>152061</v>
      </c>
      <c r="AV250" s="23">
        <f>H250-AR250</f>
        <v>-48070</v>
      </c>
      <c r="AW250" s="23">
        <f>I250-AS250</f>
        <v>-8478</v>
      </c>
      <c r="AX250" s="23">
        <f>J250-AT250</f>
        <v>-5324</v>
      </c>
    </row>
    <row r="251" spans="1:50" x14ac:dyDescent="0.55000000000000004">
      <c r="A251" s="14" t="s">
        <v>254</v>
      </c>
      <c r="B251" s="15">
        <v>602654</v>
      </c>
      <c r="C251" s="15">
        <v>18237</v>
      </c>
      <c r="D251" s="15">
        <v>16174</v>
      </c>
      <c r="E251" s="15" t="s">
        <v>14</v>
      </c>
      <c r="F251" s="15" t="s">
        <v>14</v>
      </c>
      <c r="G251" s="15" t="s">
        <v>14</v>
      </c>
      <c r="H251" s="15">
        <v>496665</v>
      </c>
      <c r="I251" s="15">
        <v>14910</v>
      </c>
      <c r="J251" s="15">
        <v>10239</v>
      </c>
      <c r="K251" s="36">
        <v>30.2</v>
      </c>
      <c r="L251" s="36">
        <v>26.8</v>
      </c>
      <c r="M251" s="9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2"/>
      <c r="AD251" s="12">
        <f t="shared" ref="AD251:AF252" si="235">B251</f>
        <v>602654</v>
      </c>
      <c r="AE251" s="12">
        <f t="shared" si="235"/>
        <v>18237</v>
      </c>
      <c r="AF251" s="12">
        <f t="shared" si="235"/>
        <v>16174</v>
      </c>
      <c r="AG251" s="2"/>
      <c r="AH251" s="12"/>
      <c r="AI251" s="12"/>
      <c r="AJ251" s="12"/>
      <c r="AL251" s="47">
        <f>C251/B251*1000</f>
        <v>30.26114486919526</v>
      </c>
      <c r="AM251" s="47">
        <f>D251/B251*1000</f>
        <v>26.837953452561504</v>
      </c>
      <c r="AO251" s="47">
        <f>AL251-K251</f>
        <v>6.1144869195260299E-2</v>
      </c>
      <c r="AP251" s="47">
        <f>AM251-L251</f>
        <v>3.7953452561502843E-2</v>
      </c>
      <c r="AR251" s="12">
        <f>H251</f>
        <v>496665</v>
      </c>
      <c r="AS251" s="12">
        <f>I251</f>
        <v>14910</v>
      </c>
      <c r="AT251" s="12">
        <f>J251</f>
        <v>10239</v>
      </c>
    </row>
    <row r="252" spans="1:50" x14ac:dyDescent="0.55000000000000004">
      <c r="A252" s="14" t="s">
        <v>255</v>
      </c>
      <c r="B252" s="15">
        <v>700000</v>
      </c>
      <c r="C252" s="15" t="s">
        <v>14</v>
      </c>
      <c r="D252" s="15" t="s">
        <v>14</v>
      </c>
      <c r="E252" s="15" t="s">
        <v>14</v>
      </c>
      <c r="F252" s="15" t="s">
        <v>14</v>
      </c>
      <c r="G252" s="15" t="s">
        <v>14</v>
      </c>
      <c r="H252" s="15" t="s">
        <v>14</v>
      </c>
      <c r="I252" s="15" t="s">
        <v>14</v>
      </c>
      <c r="J252" s="15" t="s">
        <v>14</v>
      </c>
      <c r="K252" s="39" t="s">
        <v>14</v>
      </c>
      <c r="L252" s="39" t="s">
        <v>14</v>
      </c>
      <c r="M252" s="9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2"/>
      <c r="AD252" s="12">
        <f t="shared" si="235"/>
        <v>700000</v>
      </c>
      <c r="AE252" s="46" t="str">
        <f t="shared" si="235"/>
        <v>—</v>
      </c>
      <c r="AF252" s="46" t="str">
        <f t="shared" si="235"/>
        <v>—</v>
      </c>
      <c r="AG252" s="2"/>
      <c r="AH252" s="12"/>
      <c r="AI252" s="12"/>
      <c r="AJ252" s="12"/>
      <c r="AL252" s="47"/>
      <c r="AM252" s="47"/>
      <c r="AO252" s="47"/>
      <c r="AP252" s="47"/>
      <c r="AR252" s="12"/>
      <c r="AS252" s="12"/>
      <c r="AT252" s="12"/>
    </row>
    <row r="253" spans="1:50" x14ac:dyDescent="0.55000000000000004">
      <c r="A253" s="14" t="s">
        <v>256</v>
      </c>
      <c r="B253" s="15">
        <v>810714</v>
      </c>
      <c r="C253" s="15">
        <v>16772</v>
      </c>
      <c r="D253" s="15">
        <v>14630</v>
      </c>
      <c r="E253" s="15">
        <v>97094</v>
      </c>
      <c r="F253" s="15" t="s">
        <v>14</v>
      </c>
      <c r="G253" s="15" t="s">
        <v>14</v>
      </c>
      <c r="H253" s="15">
        <v>705125</v>
      </c>
      <c r="I253" s="15" t="s">
        <v>14</v>
      </c>
      <c r="J253" s="15" t="s">
        <v>14</v>
      </c>
      <c r="K253" s="39" t="s">
        <v>14</v>
      </c>
      <c r="L253" s="39" t="s">
        <v>14</v>
      </c>
      <c r="M253" s="9"/>
      <c r="N253" s="15">
        <v>300289</v>
      </c>
      <c r="O253" s="15">
        <v>171076</v>
      </c>
      <c r="P253" s="15">
        <v>180688</v>
      </c>
      <c r="Q253" s="15">
        <v>158661</v>
      </c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2"/>
      <c r="AD253" s="12">
        <f>SUM(N253:AB253)</f>
        <v>810714</v>
      </c>
      <c r="AE253" s="12">
        <f>SUM(N254:AB254)</f>
        <v>16772</v>
      </c>
      <c r="AF253" s="12">
        <f>SUM(N255:AB255)</f>
        <v>14630</v>
      </c>
      <c r="AG253" s="2"/>
      <c r="AH253" s="12">
        <f>AD253-B253</f>
        <v>0</v>
      </c>
      <c r="AI253" s="12">
        <f>AE253-C253</f>
        <v>0</v>
      </c>
      <c r="AJ253" s="12">
        <f>AF253-D253</f>
        <v>0</v>
      </c>
      <c r="AL253" s="47">
        <f>C253/B253*1000</f>
        <v>20.687936806321339</v>
      </c>
      <c r="AM253" s="47">
        <f>D253/B253*1000</f>
        <v>18.045821337734392</v>
      </c>
    </row>
    <row r="254" spans="1:50" x14ac:dyDescent="0.55000000000000004">
      <c r="A254" t="s">
        <v>257</v>
      </c>
      <c r="B254" s="8"/>
      <c r="C254" s="8"/>
      <c r="D254" s="8"/>
      <c r="E254" s="8"/>
      <c r="F254" s="8"/>
      <c r="G254" s="8"/>
      <c r="H254" s="8"/>
      <c r="I254" s="8"/>
      <c r="J254" s="8"/>
      <c r="K254" s="37"/>
      <c r="L254" s="37"/>
      <c r="M254" s="9"/>
      <c r="N254" s="8">
        <v>16138</v>
      </c>
      <c r="O254" s="8" t="s">
        <v>14</v>
      </c>
      <c r="P254" s="8" t="s">
        <v>14</v>
      </c>
      <c r="Q254" s="8">
        <v>634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2"/>
      <c r="AD254" s="2"/>
      <c r="AE254" s="2"/>
      <c r="AF254" s="2"/>
      <c r="AG254" s="2"/>
      <c r="AH254" s="2"/>
      <c r="AI254" s="2"/>
      <c r="AJ254" s="2"/>
    </row>
    <row r="255" spans="1:50" x14ac:dyDescent="0.55000000000000004">
      <c r="A255" t="s">
        <v>258</v>
      </c>
      <c r="B255" s="8"/>
      <c r="C255" s="8"/>
      <c r="D255" s="8"/>
      <c r="E255" s="8"/>
      <c r="F255" s="8"/>
      <c r="G255" s="8"/>
      <c r="H255" s="8"/>
      <c r="I255" s="8"/>
      <c r="J255" s="8"/>
      <c r="K255" s="37"/>
      <c r="L255" s="37"/>
      <c r="M255" s="9"/>
      <c r="N255" s="8">
        <v>13941</v>
      </c>
      <c r="O255" s="8" t="s">
        <v>14</v>
      </c>
      <c r="P255" s="8" t="s">
        <v>14</v>
      </c>
      <c r="Q255" s="8">
        <v>689</v>
      </c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2"/>
      <c r="AD255" s="2"/>
      <c r="AE255" s="2"/>
      <c r="AF255" s="2"/>
      <c r="AG255" s="2"/>
      <c r="AH255" s="2"/>
      <c r="AI255" s="2"/>
      <c r="AJ255" s="2"/>
    </row>
    <row r="256" spans="1:50" x14ac:dyDescent="0.55000000000000004">
      <c r="A256" s="14" t="s">
        <v>259</v>
      </c>
      <c r="B256" s="15">
        <v>595254</v>
      </c>
      <c r="C256" s="15">
        <v>10055</v>
      </c>
      <c r="D256" s="15">
        <v>8496</v>
      </c>
      <c r="E256" s="15">
        <v>37935</v>
      </c>
      <c r="F256" s="15">
        <v>1849</v>
      </c>
      <c r="G256" s="15">
        <v>1535</v>
      </c>
      <c r="H256" s="15">
        <v>579015</v>
      </c>
      <c r="I256" s="15" t="s">
        <v>14</v>
      </c>
      <c r="J256" s="15" t="s">
        <v>14</v>
      </c>
      <c r="K256" s="39" t="s">
        <v>14</v>
      </c>
      <c r="L256" s="39" t="s">
        <v>14</v>
      </c>
      <c r="M256" s="9"/>
      <c r="N256" s="15">
        <v>162725</v>
      </c>
      <c r="O256" s="15">
        <v>72820</v>
      </c>
      <c r="P256" s="15">
        <v>116164</v>
      </c>
      <c r="Q256" s="15">
        <v>126158</v>
      </c>
      <c r="R256" s="15">
        <v>94474</v>
      </c>
      <c r="S256" s="59">
        <v>22913</v>
      </c>
      <c r="T256" s="15"/>
      <c r="U256" s="15"/>
      <c r="V256" s="15"/>
      <c r="W256" s="15"/>
      <c r="X256" s="15"/>
      <c r="Y256" s="15"/>
      <c r="Z256" s="15"/>
      <c r="AA256" s="15"/>
      <c r="AB256" s="15"/>
      <c r="AC256" s="2"/>
      <c r="AD256" s="12">
        <f>SUM(N256:AB256)</f>
        <v>595254</v>
      </c>
      <c r="AE256" s="12">
        <f>SUM(N257:AB257)</f>
        <v>10055</v>
      </c>
      <c r="AF256" s="12">
        <f>SUM(N258:AB258)</f>
        <v>8427</v>
      </c>
      <c r="AG256" s="2"/>
      <c r="AH256" s="12">
        <f>AD256-B256</f>
        <v>0</v>
      </c>
      <c r="AI256" s="12">
        <f>AE256-C256</f>
        <v>0</v>
      </c>
      <c r="AJ256" s="12">
        <f>AF256-D256</f>
        <v>-69</v>
      </c>
      <c r="AL256" s="47">
        <f>C256/B256*1000</f>
        <v>16.89194864713215</v>
      </c>
      <c r="AM256" s="47">
        <f>D256/B256*1000</f>
        <v>14.272898628148656</v>
      </c>
      <c r="AO256" s="47"/>
      <c r="AP256" s="47"/>
      <c r="AR256" s="12">
        <f t="shared" ref="AR256" si="236">H256</f>
        <v>579015</v>
      </c>
      <c r="AS256" s="12"/>
      <c r="AT256" s="12"/>
    </row>
    <row r="257" spans="1:46" x14ac:dyDescent="0.55000000000000004">
      <c r="A257" t="s">
        <v>260</v>
      </c>
      <c r="B257" s="8"/>
      <c r="C257" s="8"/>
      <c r="D257" s="8"/>
      <c r="E257" s="8"/>
      <c r="F257" s="8"/>
      <c r="G257" s="8"/>
      <c r="H257" s="8"/>
      <c r="I257" s="8"/>
      <c r="J257" s="8"/>
      <c r="K257" s="37"/>
      <c r="L257" s="37"/>
      <c r="M257" s="9"/>
      <c r="N257" s="8">
        <v>3100</v>
      </c>
      <c r="O257" s="8">
        <v>1291</v>
      </c>
      <c r="P257" s="8">
        <v>1374</v>
      </c>
      <c r="Q257" s="8">
        <v>1538</v>
      </c>
      <c r="R257" s="8">
        <v>2302</v>
      </c>
      <c r="S257" s="59">
        <v>450</v>
      </c>
      <c r="T257" s="8"/>
      <c r="U257" s="8"/>
      <c r="V257" s="8"/>
      <c r="W257" s="8"/>
      <c r="X257" s="8"/>
      <c r="Y257" s="8"/>
      <c r="Z257" s="8"/>
      <c r="AA257" s="8"/>
      <c r="AB257" s="8"/>
      <c r="AC257" s="2"/>
      <c r="AD257" s="2"/>
      <c r="AE257" s="2"/>
      <c r="AF257" s="2"/>
      <c r="AG257" s="2"/>
      <c r="AH257" s="2"/>
      <c r="AI257" s="2"/>
      <c r="AJ257" s="2"/>
    </row>
    <row r="258" spans="1:46" x14ac:dyDescent="0.55000000000000004">
      <c r="A258" t="s">
        <v>261</v>
      </c>
      <c r="B258" s="8"/>
      <c r="C258" s="8"/>
      <c r="D258" s="8"/>
      <c r="E258" s="8"/>
      <c r="F258" s="8"/>
      <c r="G258" s="8"/>
      <c r="H258" s="8"/>
      <c r="I258" s="8"/>
      <c r="J258" s="8"/>
      <c r="K258" s="37"/>
      <c r="L258" s="37"/>
      <c r="M258" s="9"/>
      <c r="N258" s="8">
        <v>2769</v>
      </c>
      <c r="O258" s="8">
        <v>1096</v>
      </c>
      <c r="P258" s="8">
        <v>1008</v>
      </c>
      <c r="Q258" s="8">
        <v>1552</v>
      </c>
      <c r="R258" s="8">
        <v>2002</v>
      </c>
      <c r="S258" s="59" t="s">
        <v>14</v>
      </c>
      <c r="T258" s="8"/>
      <c r="U258" s="8"/>
      <c r="V258" s="8"/>
      <c r="W258" s="8"/>
      <c r="X258" s="8"/>
      <c r="Y258" s="8"/>
      <c r="Z258" s="8"/>
      <c r="AA258" s="8"/>
      <c r="AB258" s="8"/>
      <c r="AC258" s="2"/>
      <c r="AD258" s="2"/>
      <c r="AE258" s="2"/>
      <c r="AF258" s="2"/>
      <c r="AG258" s="2"/>
      <c r="AH258" s="2"/>
      <c r="AI258" s="2"/>
      <c r="AJ258" s="2"/>
    </row>
    <row r="259" spans="1:46" x14ac:dyDescent="0.55000000000000004">
      <c r="A259" s="14" t="s">
        <v>262</v>
      </c>
      <c r="B259" s="15">
        <v>681434</v>
      </c>
      <c r="C259" s="15">
        <v>15108</v>
      </c>
      <c r="D259" s="15">
        <v>10001</v>
      </c>
      <c r="E259" s="15" t="s">
        <v>14</v>
      </c>
      <c r="F259" s="15" t="s">
        <v>14</v>
      </c>
      <c r="G259" s="15" t="s">
        <v>14</v>
      </c>
      <c r="H259" s="15">
        <v>644257</v>
      </c>
      <c r="I259" s="15">
        <v>13101</v>
      </c>
      <c r="J259" s="15">
        <v>9335</v>
      </c>
      <c r="K259" s="39" t="s">
        <v>14</v>
      </c>
      <c r="L259" s="39" t="s">
        <v>14</v>
      </c>
      <c r="M259" s="9"/>
      <c r="N259" s="59">
        <v>203138</v>
      </c>
      <c r="O259" s="15">
        <v>79531</v>
      </c>
      <c r="P259" s="15">
        <v>77020</v>
      </c>
      <c r="Q259" s="15">
        <v>112396</v>
      </c>
      <c r="R259" s="15">
        <v>109720</v>
      </c>
      <c r="S259" s="15">
        <v>99629</v>
      </c>
      <c r="T259" s="15"/>
      <c r="U259" s="15"/>
      <c r="V259" s="15"/>
      <c r="W259" s="15"/>
      <c r="X259" s="15"/>
      <c r="Y259" s="15"/>
      <c r="Z259" s="15"/>
      <c r="AA259" s="15"/>
      <c r="AB259" s="15"/>
      <c r="AC259" s="2"/>
      <c r="AD259" s="12">
        <f>SUM(N259:AB259)</f>
        <v>681434</v>
      </c>
      <c r="AE259" s="12">
        <f>SUM(N260:AB260)</f>
        <v>15486</v>
      </c>
      <c r="AF259" s="12">
        <f>SUM(N261:AB261)</f>
        <v>10001</v>
      </c>
      <c r="AG259" s="2"/>
      <c r="AH259" s="12">
        <f>AD259-B259</f>
        <v>0</v>
      </c>
      <c r="AI259" s="12">
        <f>AE259-C259</f>
        <v>378</v>
      </c>
      <c r="AJ259" s="12">
        <f>AF259-D259</f>
        <v>0</v>
      </c>
      <c r="AL259" s="47">
        <f>C259/B259*1000</f>
        <v>22.170892558927203</v>
      </c>
      <c r="AM259" s="47">
        <f>D259/B259*1000</f>
        <v>14.676402997208827</v>
      </c>
      <c r="AO259" s="47"/>
      <c r="AP259" s="47"/>
      <c r="AR259" s="12">
        <f t="shared" ref="AR259" si="237">H259</f>
        <v>644257</v>
      </c>
      <c r="AS259" s="12">
        <f t="shared" ref="AS259" si="238">I259</f>
        <v>13101</v>
      </c>
      <c r="AT259" s="12">
        <f t="shared" ref="AT259" si="239">J259</f>
        <v>9335</v>
      </c>
    </row>
    <row r="260" spans="1:46" x14ac:dyDescent="0.55000000000000004">
      <c r="A260" t="s">
        <v>263</v>
      </c>
      <c r="B260" s="8"/>
      <c r="C260" s="8"/>
      <c r="D260" s="8"/>
      <c r="E260" s="8"/>
      <c r="F260" s="8"/>
      <c r="G260" s="8"/>
      <c r="H260" s="8"/>
      <c r="I260" s="8"/>
      <c r="J260" s="8"/>
      <c r="K260" s="37"/>
      <c r="L260" s="37"/>
      <c r="M260" s="9"/>
      <c r="N260" s="8">
        <v>5716</v>
      </c>
      <c r="O260" s="8">
        <v>258</v>
      </c>
      <c r="P260" s="8">
        <v>532</v>
      </c>
      <c r="Q260" s="8">
        <v>2639</v>
      </c>
      <c r="R260" s="8">
        <v>3300</v>
      </c>
      <c r="S260" s="8">
        <v>3041</v>
      </c>
      <c r="T260" s="8"/>
      <c r="U260" s="8"/>
      <c r="V260" s="8"/>
      <c r="W260" s="8"/>
      <c r="X260" s="8"/>
      <c r="Y260" s="8"/>
      <c r="Z260" s="8"/>
      <c r="AA260" s="8"/>
      <c r="AB260" s="8"/>
      <c r="AC260" s="2"/>
      <c r="AD260" s="2"/>
      <c r="AE260" s="2"/>
      <c r="AF260" s="2"/>
      <c r="AG260" s="2"/>
      <c r="AH260" s="2"/>
      <c r="AI260" s="2"/>
      <c r="AJ260" s="2"/>
    </row>
    <row r="261" spans="1:46" x14ac:dyDescent="0.55000000000000004">
      <c r="A261" t="s">
        <v>264</v>
      </c>
      <c r="B261" s="8"/>
      <c r="C261" s="8"/>
      <c r="D261" s="8"/>
      <c r="E261" s="8"/>
      <c r="F261" s="8"/>
      <c r="G261" s="8"/>
      <c r="H261" s="8"/>
      <c r="I261" s="8"/>
      <c r="J261" s="8"/>
      <c r="K261" s="37"/>
      <c r="L261" s="37"/>
      <c r="M261" s="9"/>
      <c r="N261" s="8">
        <v>3139</v>
      </c>
      <c r="O261" s="8">
        <v>99</v>
      </c>
      <c r="P261" s="8">
        <v>154</v>
      </c>
      <c r="Q261" s="8">
        <v>2228</v>
      </c>
      <c r="R261" s="8">
        <v>2882</v>
      </c>
      <c r="S261" s="8">
        <v>1499</v>
      </c>
      <c r="T261" s="8"/>
      <c r="U261" s="8"/>
      <c r="V261" s="8"/>
      <c r="W261" s="8"/>
      <c r="X261" s="8"/>
      <c r="Y261" s="8"/>
      <c r="Z261" s="8"/>
      <c r="AA261" s="8"/>
      <c r="AB261" s="8"/>
      <c r="AC261" s="2"/>
      <c r="AD261" s="2"/>
      <c r="AE261" s="2"/>
      <c r="AF261" s="2"/>
      <c r="AG261" s="2"/>
      <c r="AH261" s="2"/>
      <c r="AI261" s="2"/>
      <c r="AJ261" s="2"/>
    </row>
    <row r="262" spans="1:46" x14ac:dyDescent="0.55000000000000004">
      <c r="A262" s="14" t="s">
        <v>265</v>
      </c>
      <c r="B262" s="15">
        <v>1164507</v>
      </c>
      <c r="C262" s="15">
        <v>15688</v>
      </c>
      <c r="D262" s="15">
        <v>7598</v>
      </c>
      <c r="E262" s="15">
        <v>133263</v>
      </c>
      <c r="F262" s="15" t="s">
        <v>14</v>
      </c>
      <c r="G262" s="15" t="s">
        <v>14</v>
      </c>
      <c r="H262" s="15">
        <v>1121628</v>
      </c>
      <c r="I262" s="15" t="s">
        <v>14</v>
      </c>
      <c r="J262" s="15" t="s">
        <v>14</v>
      </c>
      <c r="K262" s="39" t="s">
        <v>14</v>
      </c>
      <c r="L262" s="39" t="s">
        <v>14</v>
      </c>
      <c r="M262" s="9"/>
      <c r="N262" s="59">
        <v>370430</v>
      </c>
      <c r="O262" s="15">
        <v>186999</v>
      </c>
      <c r="P262" s="15">
        <v>128375</v>
      </c>
      <c r="Q262" s="15">
        <v>105253</v>
      </c>
      <c r="R262" s="15">
        <v>199340</v>
      </c>
      <c r="S262" s="15">
        <v>174110</v>
      </c>
      <c r="T262" s="15"/>
      <c r="U262" s="15"/>
      <c r="V262" s="15"/>
      <c r="W262" s="15"/>
      <c r="X262" s="15"/>
      <c r="Y262" s="15"/>
      <c r="Z262" s="15"/>
      <c r="AA262" s="15"/>
      <c r="AB262" s="15"/>
      <c r="AC262" s="2"/>
      <c r="AD262" s="12">
        <f>SUM(N262:AB262)</f>
        <v>1164507</v>
      </c>
      <c r="AE262" s="12">
        <f>SUM(N263:AB263)</f>
        <v>15688</v>
      </c>
      <c r="AF262" s="12">
        <f>SUM(N264:AB264)</f>
        <v>7598</v>
      </c>
      <c r="AG262" s="2"/>
      <c r="AH262" s="12">
        <f>AD262-B262</f>
        <v>0</v>
      </c>
      <c r="AI262" s="12">
        <f>AE262-C262</f>
        <v>0</v>
      </c>
      <c r="AJ262" s="12">
        <f>AF262-D262</f>
        <v>0</v>
      </c>
      <c r="AL262" s="47">
        <f>C262/B262*1000</f>
        <v>13.47179536061183</v>
      </c>
      <c r="AM262" s="47">
        <f>D262/B262*1000</f>
        <v>6.5246494868643978</v>
      </c>
      <c r="AO262" s="47"/>
      <c r="AP262" s="47"/>
      <c r="AR262" s="12">
        <f t="shared" ref="AR262" si="240">H262</f>
        <v>1121628</v>
      </c>
      <c r="AS262" s="12"/>
      <c r="AT262" s="12"/>
    </row>
    <row r="263" spans="1:46" x14ac:dyDescent="0.55000000000000004">
      <c r="A263" t="s">
        <v>266</v>
      </c>
      <c r="B263" s="8"/>
      <c r="C263" s="8"/>
      <c r="D263" s="8"/>
      <c r="E263" s="8"/>
      <c r="F263" s="8"/>
      <c r="G263" s="8"/>
      <c r="H263" s="8"/>
      <c r="I263" s="8"/>
      <c r="J263" s="8"/>
      <c r="K263" s="37"/>
      <c r="L263" s="37"/>
      <c r="M263" s="9"/>
      <c r="N263" s="8">
        <v>288</v>
      </c>
      <c r="O263" s="8">
        <v>15400</v>
      </c>
      <c r="P263" s="8" t="s">
        <v>14</v>
      </c>
      <c r="Q263" s="8" t="s">
        <v>14</v>
      </c>
      <c r="R263" s="8" t="s">
        <v>14</v>
      </c>
      <c r="S263" s="8" t="s">
        <v>14</v>
      </c>
      <c r="T263" s="8"/>
      <c r="U263" s="8"/>
      <c r="V263" s="8"/>
      <c r="W263" s="8"/>
      <c r="X263" s="8"/>
      <c r="Y263" s="8"/>
      <c r="Z263" s="8"/>
      <c r="AA263" s="8"/>
      <c r="AB263" s="8"/>
      <c r="AC263" s="2"/>
      <c r="AD263" s="2"/>
      <c r="AE263" s="2"/>
      <c r="AF263" s="2"/>
      <c r="AG263" s="2"/>
      <c r="AH263" s="2"/>
      <c r="AI263" s="2"/>
      <c r="AJ263" s="2"/>
    </row>
    <row r="264" spans="1:46" x14ac:dyDescent="0.55000000000000004">
      <c r="A264" t="s">
        <v>267</v>
      </c>
      <c r="B264" s="8"/>
      <c r="C264" s="8"/>
      <c r="D264" s="8"/>
      <c r="E264" s="8"/>
      <c r="F264" s="8"/>
      <c r="G264" s="8"/>
      <c r="H264" s="8"/>
      <c r="I264" s="8"/>
      <c r="J264" s="8"/>
      <c r="K264" s="37"/>
      <c r="L264" s="37"/>
      <c r="M264" s="9"/>
      <c r="N264" s="8">
        <v>187</v>
      </c>
      <c r="O264" s="8">
        <v>7411</v>
      </c>
      <c r="P264" s="8" t="s">
        <v>14</v>
      </c>
      <c r="Q264" s="8" t="s">
        <v>14</v>
      </c>
      <c r="R264" s="8" t="s">
        <v>14</v>
      </c>
      <c r="S264" s="8" t="s">
        <v>14</v>
      </c>
      <c r="T264" s="8"/>
      <c r="U264" s="8"/>
      <c r="V264" s="8"/>
      <c r="W264" s="8"/>
      <c r="X264" s="8"/>
      <c r="Y264" s="8"/>
      <c r="Z264" s="8"/>
      <c r="AA264" s="8"/>
      <c r="AB264" s="8"/>
      <c r="AC264" s="2"/>
      <c r="AD264" s="2"/>
      <c r="AE264" s="2"/>
      <c r="AF264" s="2"/>
      <c r="AG264" s="2"/>
      <c r="AH264" s="2"/>
      <c r="AI264" s="2"/>
      <c r="AJ264" s="2"/>
    </row>
    <row r="265" spans="1:46" x14ac:dyDescent="0.55000000000000004">
      <c r="A265" s="14" t="s">
        <v>268</v>
      </c>
      <c r="B265" s="59">
        <v>387959</v>
      </c>
      <c r="C265" s="15">
        <v>10456</v>
      </c>
      <c r="D265" s="15">
        <v>6631</v>
      </c>
      <c r="E265" s="15" t="s">
        <v>14</v>
      </c>
      <c r="F265" s="15" t="s">
        <v>14</v>
      </c>
      <c r="G265" s="15" t="s">
        <v>14</v>
      </c>
      <c r="H265" s="15">
        <v>385714</v>
      </c>
      <c r="I265" s="15" t="s">
        <v>14</v>
      </c>
      <c r="J265" s="15" t="s">
        <v>14</v>
      </c>
      <c r="K265" s="39" t="s">
        <v>14</v>
      </c>
      <c r="L265" s="39" t="s">
        <v>14</v>
      </c>
      <c r="M265" s="9"/>
      <c r="N265" s="15">
        <v>71339</v>
      </c>
      <c r="O265" s="59">
        <v>86394</v>
      </c>
      <c r="P265" s="15">
        <v>84625</v>
      </c>
      <c r="Q265" s="15">
        <v>138286</v>
      </c>
      <c r="R265" s="59">
        <v>7315</v>
      </c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2"/>
      <c r="AD265" s="12">
        <f>SUM(N265:AB265)</f>
        <v>387959</v>
      </c>
      <c r="AE265" s="12">
        <f>SUM(N266:AB266)</f>
        <v>10486</v>
      </c>
      <c r="AF265" s="12">
        <f>SUM(N267:AB267)</f>
        <v>6631</v>
      </c>
      <c r="AG265" s="2"/>
      <c r="AH265" s="12">
        <f>AD265-B265</f>
        <v>0</v>
      </c>
      <c r="AI265" s="12">
        <f>AE265-C265</f>
        <v>30</v>
      </c>
      <c r="AJ265" s="12">
        <f>AF265-D265</f>
        <v>0</v>
      </c>
      <c r="AL265" s="47">
        <f>C265/B265*1000</f>
        <v>26.951301555061232</v>
      </c>
      <c r="AM265" s="47">
        <f>D265/B265*1000</f>
        <v>17.092012300268841</v>
      </c>
      <c r="AO265" s="47"/>
      <c r="AP265" s="47"/>
      <c r="AR265" s="12">
        <f t="shared" ref="AR265" si="241">H265</f>
        <v>385714</v>
      </c>
      <c r="AS265" s="12"/>
      <c r="AT265" s="12"/>
    </row>
    <row r="266" spans="1:46" x14ac:dyDescent="0.55000000000000004">
      <c r="A266" t="s">
        <v>269</v>
      </c>
      <c r="B266" s="8"/>
      <c r="C266" s="8"/>
      <c r="D266" s="8"/>
      <c r="E266" s="8"/>
      <c r="F266" s="8"/>
      <c r="G266" s="8"/>
      <c r="H266" s="8"/>
      <c r="I266" s="8"/>
      <c r="J266" s="8"/>
      <c r="K266" s="37"/>
      <c r="L266" s="37"/>
      <c r="M266" s="9"/>
      <c r="N266" s="8">
        <v>1600</v>
      </c>
      <c r="O266" s="8">
        <v>149</v>
      </c>
      <c r="P266" s="8">
        <v>2672</v>
      </c>
      <c r="Q266" s="8">
        <v>6065</v>
      </c>
      <c r="R266" s="63" t="s">
        <v>14</v>
      </c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2"/>
      <c r="AD266" s="2"/>
      <c r="AE266" s="2"/>
      <c r="AF266" s="2"/>
      <c r="AG266" s="2"/>
      <c r="AH266" s="2"/>
      <c r="AI266" s="2"/>
      <c r="AJ266" s="2"/>
    </row>
    <row r="267" spans="1:46" x14ac:dyDescent="0.55000000000000004">
      <c r="A267" t="s">
        <v>270</v>
      </c>
      <c r="B267" s="8"/>
      <c r="C267" s="8"/>
      <c r="D267" s="8"/>
      <c r="E267" s="8"/>
      <c r="F267" s="8"/>
      <c r="G267" s="8"/>
      <c r="H267" s="8"/>
      <c r="I267" s="8"/>
      <c r="J267" s="8"/>
      <c r="K267" s="37"/>
      <c r="L267" s="37"/>
      <c r="M267" s="9"/>
      <c r="N267" s="8">
        <v>1295</v>
      </c>
      <c r="O267" s="8">
        <v>90</v>
      </c>
      <c r="P267" s="8">
        <v>1974</v>
      </c>
      <c r="Q267" s="8">
        <v>3272</v>
      </c>
      <c r="R267" s="63" t="s">
        <v>14</v>
      </c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2"/>
      <c r="AD267" s="2"/>
      <c r="AE267" s="2"/>
      <c r="AF267" s="2"/>
      <c r="AG267" s="2"/>
      <c r="AH267" s="2"/>
      <c r="AI267" s="2"/>
      <c r="AJ267" s="2"/>
    </row>
    <row r="268" spans="1:46" x14ac:dyDescent="0.55000000000000004">
      <c r="A268" s="14" t="s">
        <v>271</v>
      </c>
      <c r="B268" s="15">
        <v>584903</v>
      </c>
      <c r="C268" s="15">
        <v>7527</v>
      </c>
      <c r="D268" s="15">
        <v>5682</v>
      </c>
      <c r="E268" s="15" t="s">
        <v>14</v>
      </c>
      <c r="F268" s="15" t="s">
        <v>14</v>
      </c>
      <c r="G268" s="15" t="s">
        <v>14</v>
      </c>
      <c r="H268" s="15">
        <v>554048</v>
      </c>
      <c r="I268" s="15">
        <v>6760</v>
      </c>
      <c r="J268" s="15">
        <v>4397</v>
      </c>
      <c r="K268" s="39" t="s">
        <v>14</v>
      </c>
      <c r="L268" s="39" t="s">
        <v>14</v>
      </c>
      <c r="M268" s="9"/>
      <c r="N268" s="15">
        <v>223996</v>
      </c>
      <c r="O268" s="15">
        <v>102536</v>
      </c>
      <c r="P268" s="15">
        <v>136977</v>
      </c>
      <c r="Q268" s="15">
        <v>91394</v>
      </c>
      <c r="R268" s="59">
        <v>30000</v>
      </c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2"/>
      <c r="AD268" s="12">
        <f>SUM(N268:AB268)</f>
        <v>584903</v>
      </c>
      <c r="AE268" s="12">
        <f>SUM(N269:AB269)</f>
        <v>7532</v>
      </c>
      <c r="AF268" s="12">
        <f>SUM(N270:AB270)</f>
        <v>5682</v>
      </c>
      <c r="AG268" s="2"/>
      <c r="AH268" s="12">
        <f>AD268-B268</f>
        <v>0</v>
      </c>
      <c r="AI268" s="12">
        <f>AE268-C268</f>
        <v>5</v>
      </c>
      <c r="AJ268" s="12">
        <f>AF268-D268</f>
        <v>0</v>
      </c>
      <c r="AL268" s="47">
        <f>C268/B268*1000</f>
        <v>12.868800467769869</v>
      </c>
      <c r="AM268" s="47">
        <f>D268/B268*1000</f>
        <v>9.7144312817680891</v>
      </c>
      <c r="AO268" s="47"/>
      <c r="AP268" s="47"/>
      <c r="AR268" s="12">
        <f t="shared" ref="AR268" si="242">H268</f>
        <v>554048</v>
      </c>
      <c r="AS268" s="12">
        <f t="shared" ref="AS268" si="243">I268</f>
        <v>6760</v>
      </c>
      <c r="AT268" s="12">
        <f t="shared" ref="AT268" si="244">J268</f>
        <v>4397</v>
      </c>
    </row>
    <row r="269" spans="1:46" x14ac:dyDescent="0.55000000000000004">
      <c r="A269" t="s">
        <v>272</v>
      </c>
      <c r="B269" s="8"/>
      <c r="C269" s="8"/>
      <c r="D269" s="8"/>
      <c r="E269" s="8"/>
      <c r="F269" s="8"/>
      <c r="G269" s="8"/>
      <c r="H269" s="8"/>
      <c r="I269" s="8"/>
      <c r="J269" s="8"/>
      <c r="K269" s="37"/>
      <c r="L269" s="37"/>
      <c r="M269" s="9"/>
      <c r="N269" s="8">
        <v>5442</v>
      </c>
      <c r="O269" s="8">
        <v>786</v>
      </c>
      <c r="P269" s="8">
        <v>1267</v>
      </c>
      <c r="Q269" s="8">
        <v>37</v>
      </c>
      <c r="R269" s="63" t="s">
        <v>14</v>
      </c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2"/>
      <c r="AD269" s="2"/>
      <c r="AE269" s="2"/>
      <c r="AF269" s="2"/>
      <c r="AG269" s="2"/>
      <c r="AH269" s="2"/>
      <c r="AI269" s="2"/>
      <c r="AJ269" s="2"/>
    </row>
    <row r="270" spans="1:46" x14ac:dyDescent="0.55000000000000004">
      <c r="A270" t="s">
        <v>273</v>
      </c>
      <c r="B270" s="8"/>
      <c r="C270" s="8"/>
      <c r="D270" s="8"/>
      <c r="E270" s="8"/>
      <c r="F270" s="8"/>
      <c r="G270" s="8"/>
      <c r="H270" s="8"/>
      <c r="I270" s="8"/>
      <c r="J270" s="8"/>
      <c r="K270" s="37"/>
      <c r="L270" s="37"/>
      <c r="M270" s="9"/>
      <c r="N270" s="8">
        <v>4549</v>
      </c>
      <c r="O270" s="8">
        <v>466</v>
      </c>
      <c r="P270" s="8">
        <v>647</v>
      </c>
      <c r="Q270" s="8">
        <v>20</v>
      </c>
      <c r="R270" s="63" t="s">
        <v>14</v>
      </c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2"/>
      <c r="AD270" s="2"/>
      <c r="AE270" s="2"/>
      <c r="AF270" s="2"/>
      <c r="AG270" s="2"/>
      <c r="AH270" s="2"/>
      <c r="AI270" s="2"/>
      <c r="AJ270" s="2"/>
    </row>
    <row r="271" spans="1:46" x14ac:dyDescent="0.55000000000000004">
      <c r="A271" s="14" t="s">
        <v>274</v>
      </c>
      <c r="B271" s="15">
        <v>834965</v>
      </c>
      <c r="C271" s="15">
        <v>53374</v>
      </c>
      <c r="D271" s="15">
        <v>34218</v>
      </c>
      <c r="E271" s="15">
        <v>145375</v>
      </c>
      <c r="F271" s="15">
        <v>5275</v>
      </c>
      <c r="G271" s="15">
        <v>2546</v>
      </c>
      <c r="H271" s="15">
        <v>788205</v>
      </c>
      <c r="I271" s="15" t="s">
        <v>14</v>
      </c>
      <c r="J271" s="15" t="s">
        <v>14</v>
      </c>
      <c r="K271" s="36">
        <v>63.9</v>
      </c>
      <c r="L271" s="36">
        <v>41</v>
      </c>
      <c r="M271" s="9"/>
      <c r="N271" s="15">
        <v>193192</v>
      </c>
      <c r="O271" s="15">
        <v>145168</v>
      </c>
      <c r="P271" s="15">
        <v>254000</v>
      </c>
      <c r="Q271" s="15">
        <v>197209</v>
      </c>
      <c r="R271" s="15">
        <v>45416</v>
      </c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2"/>
      <c r="AD271" s="12">
        <f>SUM(N271:AB271)</f>
        <v>834985</v>
      </c>
      <c r="AE271" s="12">
        <f>SUM(N272:AB272)</f>
        <v>53374</v>
      </c>
      <c r="AF271" s="12">
        <f>SUM(N273:AB273)</f>
        <v>34218</v>
      </c>
      <c r="AG271" s="2"/>
      <c r="AH271" s="12">
        <f>AD271-B271</f>
        <v>20</v>
      </c>
      <c r="AI271" s="12">
        <f>AE271-C271</f>
        <v>0</v>
      </c>
      <c r="AJ271" s="12">
        <f>AF271-D271</f>
        <v>0</v>
      </c>
      <c r="AL271" s="47">
        <f>C271/B271*1000</f>
        <v>63.923637517740261</v>
      </c>
      <c r="AM271" s="47">
        <f>D271/B271*1000</f>
        <v>40.981358500056885</v>
      </c>
      <c r="AO271" s="47">
        <f>AL271-K271</f>
        <v>2.3637517740262126E-2</v>
      </c>
      <c r="AP271" s="47">
        <f>AM271-L271</f>
        <v>-1.8641499943115036E-2</v>
      </c>
      <c r="AR271" s="12">
        <f t="shared" ref="AR271" si="245">H271</f>
        <v>788205</v>
      </c>
      <c r="AS271" s="12"/>
      <c r="AT271" s="12"/>
    </row>
    <row r="272" spans="1:46" x14ac:dyDescent="0.55000000000000004">
      <c r="A272" t="s">
        <v>275</v>
      </c>
      <c r="B272" s="8"/>
      <c r="C272" s="8"/>
      <c r="D272" s="8"/>
      <c r="E272" s="8"/>
      <c r="F272" s="8"/>
      <c r="G272" s="8"/>
      <c r="H272" s="8"/>
      <c r="I272" s="8"/>
      <c r="J272" s="8"/>
      <c r="K272" s="37"/>
      <c r="L272" s="37"/>
      <c r="M272" s="9"/>
      <c r="N272" s="8">
        <v>25096</v>
      </c>
      <c r="O272" s="8">
        <v>12665</v>
      </c>
      <c r="P272" s="8">
        <v>6814</v>
      </c>
      <c r="Q272" s="8">
        <v>7168</v>
      </c>
      <c r="R272" s="8">
        <v>1631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2"/>
      <c r="AD272" s="2"/>
      <c r="AE272" s="2"/>
      <c r="AF272" s="2"/>
      <c r="AG272" s="2"/>
      <c r="AH272" s="2"/>
      <c r="AI272" s="2"/>
      <c r="AJ272" s="2"/>
    </row>
    <row r="273" spans="1:50 16377:16377" x14ac:dyDescent="0.55000000000000004">
      <c r="A273" t="s">
        <v>276</v>
      </c>
      <c r="B273" s="8"/>
      <c r="C273" s="8"/>
      <c r="D273" s="8"/>
      <c r="E273" s="8"/>
      <c r="F273" s="8"/>
      <c r="G273" s="8"/>
      <c r="H273" s="8"/>
      <c r="I273" s="8"/>
      <c r="J273" s="8"/>
      <c r="K273" s="37"/>
      <c r="L273" s="37"/>
      <c r="M273" s="9"/>
      <c r="N273" s="8">
        <v>20151</v>
      </c>
      <c r="O273" s="8">
        <v>3158</v>
      </c>
      <c r="P273" s="8">
        <v>4919</v>
      </c>
      <c r="Q273" s="8">
        <v>5241</v>
      </c>
      <c r="R273" s="8">
        <v>749</v>
      </c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2"/>
      <c r="AD273" s="2"/>
      <c r="AE273" s="2"/>
      <c r="AF273" s="2"/>
      <c r="AG273" s="2"/>
      <c r="AH273" s="2"/>
      <c r="AI273" s="2"/>
      <c r="AJ273" s="2"/>
    </row>
    <row r="274" spans="1:50 16377:16377" x14ac:dyDescent="0.55000000000000004">
      <c r="A274" s="21" t="s">
        <v>277</v>
      </c>
      <c r="B274" s="22">
        <v>6372290</v>
      </c>
      <c r="C274" s="22">
        <v>147217</v>
      </c>
      <c r="D274" s="22">
        <v>103430</v>
      </c>
      <c r="E274" s="22"/>
      <c r="F274" s="22"/>
      <c r="G274" s="22"/>
      <c r="H274" s="22">
        <v>5952621</v>
      </c>
      <c r="I274" s="22" t="s">
        <v>14</v>
      </c>
      <c r="J274" s="22" t="s">
        <v>14</v>
      </c>
      <c r="K274" s="38">
        <v>49.8</v>
      </c>
      <c r="L274" s="38">
        <v>35</v>
      </c>
      <c r="M274" s="9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"/>
      <c r="AD274" s="23">
        <f>SUM(AD251:AD273)</f>
        <v>6362410</v>
      </c>
      <c r="AE274" s="23">
        <f>SUM(AE251:AE273)</f>
        <v>147630</v>
      </c>
      <c r="AF274" s="23">
        <f>SUM(AF251:AF273)</f>
        <v>103361</v>
      </c>
      <c r="AG274" s="2"/>
      <c r="AH274" s="23">
        <f t="shared" ref="AH274:AJ275" si="246">AD274-B274</f>
        <v>-9880</v>
      </c>
      <c r="AI274" s="23">
        <f t="shared" si="246"/>
        <v>413</v>
      </c>
      <c r="AJ274" s="23">
        <f t="shared" si="246"/>
        <v>-69</v>
      </c>
      <c r="AL274" s="49">
        <f>C274/B274*1000</f>
        <v>23.102683650618538</v>
      </c>
      <c r="AM274" s="49">
        <f>D274/B274*1000</f>
        <v>16.231213582558233</v>
      </c>
      <c r="AN274" s="48"/>
      <c r="AO274" s="49">
        <f>AL274-K274</f>
        <v>-26.69731634938146</v>
      </c>
      <c r="AP274" s="49">
        <f>AM274-L274</f>
        <v>-18.768786417441767</v>
      </c>
      <c r="AR274" s="23">
        <f t="shared" ref="AR274:AT274" si="247">SUM(AR251:AR273)</f>
        <v>4569532</v>
      </c>
      <c r="AS274" s="23">
        <f t="shared" si="247"/>
        <v>34771</v>
      </c>
      <c r="AT274" s="23">
        <f t="shared" si="247"/>
        <v>23971</v>
      </c>
      <c r="AV274" s="23">
        <f>H274-AR274</f>
        <v>1383089</v>
      </c>
      <c r="AW274" s="23"/>
      <c r="AX274" s="23"/>
      <c r="XEW274" s="23">
        <f>SUM(XEW251:XFD273)</f>
        <v>0</v>
      </c>
    </row>
    <row r="275" spans="1:50 16377:16377" x14ac:dyDescent="0.55000000000000004">
      <c r="A275" s="21" t="s">
        <v>278</v>
      </c>
      <c r="B275" s="22">
        <v>118378150</v>
      </c>
      <c r="C275" s="22">
        <v>5369209</v>
      </c>
      <c r="D275" s="22">
        <v>3757420</v>
      </c>
      <c r="E275" s="22"/>
      <c r="F275" s="22"/>
      <c r="G275" s="22"/>
      <c r="H275" s="22">
        <v>113464127</v>
      </c>
      <c r="I275" s="22">
        <v>5088526</v>
      </c>
      <c r="J275" s="22">
        <v>3502395</v>
      </c>
      <c r="K275" s="38">
        <v>47.2</v>
      </c>
      <c r="L275" s="38">
        <v>33</v>
      </c>
      <c r="M275" s="9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"/>
      <c r="AD275" s="23">
        <f>SUM(AD195, AD224, AD250, AD274)</f>
        <v>118203013</v>
      </c>
      <c r="AE275" s="23">
        <f>SUM(AE195, AE224, AE250, AE274)</f>
        <v>5350475</v>
      </c>
      <c r="AF275" s="23">
        <f>SUM(AF195, AF224, AF250, AF274)</f>
        <v>3734717</v>
      </c>
      <c r="AG275" s="2"/>
      <c r="AH275" s="23">
        <f t="shared" si="246"/>
        <v>-175137</v>
      </c>
      <c r="AI275" s="23">
        <f t="shared" si="246"/>
        <v>-18734</v>
      </c>
      <c r="AJ275" s="23">
        <f t="shared" si="246"/>
        <v>-22703</v>
      </c>
      <c r="AL275" s="49">
        <f>C275/B275*1000</f>
        <v>45.356419237840768</v>
      </c>
      <c r="AM275" s="49">
        <f>D275/B275*1000</f>
        <v>31.740823792228547</v>
      </c>
      <c r="AN275" s="48"/>
      <c r="AO275" s="49">
        <f>AL275-K275</f>
        <v>-1.8435807621592346</v>
      </c>
      <c r="AP275" s="49">
        <f>AM275-L275</f>
        <v>-1.2591762077714534</v>
      </c>
      <c r="AR275" s="23">
        <f t="shared" ref="AR275:AT275" si="248">SUM(AR195, AR224, AR250, AR274)</f>
        <v>111458273</v>
      </c>
      <c r="AS275" s="23">
        <f t="shared" si="248"/>
        <v>5051771</v>
      </c>
      <c r="AT275" s="23">
        <f t="shared" si="248"/>
        <v>3482326</v>
      </c>
      <c r="AV275" s="23">
        <f>H275-AR275</f>
        <v>2005854</v>
      </c>
      <c r="AW275" s="23">
        <f>I275-AS275</f>
        <v>36755</v>
      </c>
      <c r="AX275" s="23">
        <f>J275-AT275</f>
        <v>20069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More 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2026-08-18T00:31:34Z</dcterms:modified>
</cp:coreProperties>
</file>