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34D6CA16-755A-4A18-AE30-8C13CBF67D2F}" xr6:coauthVersionLast="47" xr6:coauthVersionMax="47" xr10:uidLastSave="{00000000-0000-0000-0000-000000000000}"/>
  <bookViews>
    <workbookView xWindow="-120" yWindow="-120" windowWidth="38640" windowHeight="23520" activeTab="1" xr2:uid="{00000000-000D-0000-FFFF-FFFF00000000}"/>
  </bookViews>
  <sheets>
    <sheet name="Notes" sheetId="3" r:id="rId1"/>
    <sheet name="Data" sheetId="1" r:id="rId2"/>
    <sheet name="Mor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I15" i="1" s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<sst xmlns="http://schemas.openxmlformats.org/spreadsheetml/2006/main" count="637" uniqueCount="394">
  <si>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</si>
  <si>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</si>
  <si>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</si>
  <si>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</si>
  <si>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</si>
  <si>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</si>
  <si>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</si>
  <si>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</si>
  <si>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</si>
  <si>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</si>
  <si>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</si>
  <si>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</si>
  <si>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</si>
  <si>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</si>
  <si>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</si>
  <si>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</si>
  <si>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</si>
  <si>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</si>
  <si>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</si>
  <si>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</si>
  <si>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</si>
  <si>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</si>
  <si>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</si>
  <si>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</si>
  <si>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</si>
  <si>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</si>
  <si>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</si>
  <si>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</si>
  <si>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</si>
  <si>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</si>
  <si>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</si>
  <si>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</si>
  <si>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</si>
  <si>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</si>
  <si>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</si>
  <si>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</si>
  <si>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</si>
  <si>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</si>
  <si>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</si>
  <si>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</si>
  <si>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</si>
  <si>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</si>
  <si>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</si>
  <si>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</si>
  <si>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</si>
  <si>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</si>
  <si>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</si>
  <si>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</si>
  <si>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</si>
  <si>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</si>
  <si>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</si>
  <si>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</si>
  <si>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</si>
  <si>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</si>
  <si>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</si>
  <si>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</si>
  <si>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</si>
  <si>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</si>
  <si>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</si>
  <si>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</si>
  <si>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</si>
  <si>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</si>
  <si>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</si>
  <si>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</si>
  <si>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</si>
  <si>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</si>
  <si>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</si>
  <si>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</si>
  <si>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</si>
  <si>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</si>
  <si>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</si>
  <si>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</si>
  <si>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</si>
  <si>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</si>
  <si>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</si>
  <si>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</si>
  <si>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</si>
  <si>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</si>
  <si>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</si>
  <si>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</si>
  <si>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</si>
  <si>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</si>
  <si>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</si>
  <si>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</si>
  <si>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</si>
  <si>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</si>
  <si>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</si>
  <si>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</si>
  <si>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</si>
  <si>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</si>
  <si>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</si>
  <si>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</si>
  <si>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</si>
  <si>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</si>
  <si>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</si>
  <si>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</si>
  <si>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</si>
  <si>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</si>
  <si>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</si>
  <si>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</si>
  <si>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</si>
  <si>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</si>
  <si>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</si>
  <si>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</si>
  <si>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</si>
  <si>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</si>
  <si>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</si>
  <si>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</si>
  <si>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</si>
  <si>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</si>
  <si>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</si>
  <si>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</si>
  <si>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</si>
  <si>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</si>
  <si>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</si>
  <si>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</si>
  <si>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</si>
  <si>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</si>
  <si>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</si>
  <si>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</si>
  <si>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</si>
  <si>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</si>
  <si>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</si>
  <si>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</si>
  <si>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</si>
  <si>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</si>
  <si>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</si>
  <si>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</si>
  <si>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</si>
  <si>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</si>
  <si>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</si>
  <si>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</si>
  <si>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</si>
  <si>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</si>
  <si>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</si>
  <si>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</si>
  <si>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</si>
  <si>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</si>
  <si>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</si>
  <si>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</si>
  <si>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</si>
  <si>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</si>
  <si>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</si>
  <si>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</si>
  <si>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</si>
  <si>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</si>
  <si>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</si>
  <si>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</si>
  <si>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</si>
  <si>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</si>
  <si>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</si>
  <si>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</si>
  <si>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</si>
  <si>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</si>
  <si>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</si>
  <si>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</si>
  <si>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</si>
  <si>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</si>
  <si>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</si>
  <si>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</si>
  <si>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</si>
  <si>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</si>
  <si>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</si>
  <si>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</si>
  <si>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</si>
  <si>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</si>
  <si>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</si>
  <si>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</si>
  <si>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</si>
  <si>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</si>
  <si>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</si>
  <si>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</si>
  <si>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</si>
  <si>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</si>
  <si>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</si>
  <si>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</si>
  <si>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</si>
  <si>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</si>
  <si>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</si>
  <si>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</si>
  <si>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</si>
  <si>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</si>
  <si>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</si>
  <si>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</si>
  <si>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</si>
  <si>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</si>
  <si>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</si>
  <si>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</si>
  <si>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</si>
  <si>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</si>
  <si>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</si>
  <si>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</si>
  <si>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</si>
  <si>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</si>
  <si>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</si>
  <si>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</si>
  <si>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</si>
  <si>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</si>
  <si>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</si>
  <si>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</si>
  <si>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</si>
  <si>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</si>
  <si>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</si>
  <si>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</si>
  <si>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</si>
  <si>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</si>
  <si>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</si>
  <si>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</si>
  <si>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</si>
  <si>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</si>
  <si>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</si>
  <si>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</si>
  <si>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</si>
  <si>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</si>
  <si>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</si>
  <si>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</si>
  <si>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</si>
  <si>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</si>
  <si>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</si>
  <si>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</si>
  <si>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</si>
  <si>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</si>
  <si>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</si>
  <si>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</si>
  <si>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</si>
  <si>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</si>
  <si>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</si>
  <si>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</si>
  <si>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</si>
  <si>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</si>
  <si>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</si>
  <si>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</si>
  <si>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</si>
  <si>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</si>
  <si>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</si>
  <si>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</si>
  <si>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</si>
  <si>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</si>
  <si>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</si>
  <si>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</si>
  <si>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</si>
  <si>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</si>
  <si>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</si>
  <si>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</si>
  <si>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</si>
  <si>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</si>
  <si>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</si>
  <si>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</si>
  <si>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</si>
  <si>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</si>
  <si>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</si>
  <si>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</si>
  <si>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</si>
  <si>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</si>
  <si>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</si>
  <si>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</si>
  <si>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</si>
  <si>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</si>
  <si>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</si>
  <si>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</si>
  <si>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</si>
  <si>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</si>
  <si>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</si>
  <si>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</si>
  <si>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</si>
  <si>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</si>
  <si>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</si>
  <si>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</si>
  <si>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</si>
  <si>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</si>
  <si>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</si>
  <si>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</si>
  <si>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</si>
  <si>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</si>
  <si>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</si>
  <si>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</si>
  <si>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</si>
  <si>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</si>
  <si>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</si>
  <si>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</si>
  <si>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</si>
  <si>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р YY</t>
  </si>
  <si>
    <t>с YY</t>
  </si>
  <si>
    <t>v-р</t>
  </si>
  <si>
    <t>v-с</t>
  </si>
  <si>
    <t>vd-чж</t>
  </si>
  <si>
    <t>vd-чр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</si>
  <si>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</si>
  <si>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</si>
  <si>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</si>
  <si>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</si>
  <si>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</si>
  <si>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</si>
  <si>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</si>
  <si>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</si>
  <si>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</si>
  <si>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</si>
  <si>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</si>
  <si>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</si>
  <si>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</si>
  <si>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</si>
  <si>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</si>
  <si>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р 1891</t>
  </si>
  <si>
    <t>р 1890</t>
  </si>
  <si>
    <t>р 1889</t>
  </si>
  <si>
    <t>с 1891</t>
  </si>
  <si>
    <t>с 1890</t>
  </si>
  <si>
    <t>с 1889</t>
  </si>
  <si>
    <t xml:space="preserve">Архангельская </t>
  </si>
  <si>
    <t xml:space="preserve">Астраханская </t>
  </si>
  <si>
    <t xml:space="preserve">Виленская   </t>
  </si>
  <si>
    <t xml:space="preserve">Витебская   </t>
  </si>
  <si>
    <t xml:space="preserve">Волынская   </t>
  </si>
  <si>
    <t xml:space="preserve">Гродненская </t>
  </si>
  <si>
    <t xml:space="preserve">Кіевская  </t>
  </si>
  <si>
    <t xml:space="preserve">Минская  </t>
  </si>
  <si>
    <t>Могилевская _x000D_</t>
  </si>
  <si>
    <t xml:space="preserve">Подольская </t>
  </si>
  <si>
    <t xml:space="preserve">Среднее для неземскихъ губерній </t>
  </si>
  <si>
    <t xml:space="preserve">Варшавская </t>
  </si>
  <si>
    <t xml:space="preserve">Г Варшава </t>
  </si>
  <si>
    <t xml:space="preserve">Калишcкая </t>
  </si>
  <si>
    <t>Кѣлецкая</t>
  </si>
  <si>
    <t xml:space="preserve">Ломжинская </t>
  </si>
  <si>
    <t xml:space="preserve">Плоцкая </t>
  </si>
  <si>
    <t xml:space="preserve">Сѣдлецкая </t>
  </si>
  <si>
    <t xml:space="preserve">Среднее для привислинскихъ губерній </t>
  </si>
  <si>
    <t xml:space="preserve">Курляндская </t>
  </si>
  <si>
    <t xml:space="preserve">Эстляндская </t>
  </si>
  <si>
    <t xml:space="preserve">Среднее для остзейскихъ губерній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</si>
  <si>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</si>
  <si>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</si>
  <si>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</si>
  <si>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</si>
  <si>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Екатеринославская 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</si>
  <si>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</si>
  <si>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</si>
  <si>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</si>
  <si>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</si>
  <si>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</si>
  <si>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</si>
  <si>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</t>
  </si>
  <si>
    <t xml:space="preserve">Новгородская </t>
  </si>
  <si>
    <t xml:space="preserve">Олонецкая </t>
  </si>
  <si>
    <t xml:space="preserve">Полтавская 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</si>
  <si>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</si>
  <si>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</si>
  <si>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</si>
  <si>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</si>
  <si>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Г С-Петербургъ  </t>
  </si>
  <si>
    <t xml:space="preserve">Тверская </t>
  </si>
  <si>
    <t xml:space="preserve">Херсонская </t>
  </si>
  <si>
    <t xml:space="preserve">Г Николаевъ </t>
  </si>
  <si>
    <t>Г Одесса</t>
  </si>
  <si>
    <t xml:space="preserve">Черниговская </t>
  </si>
  <si>
    <t>Среднее для земскихъ губерній</t>
  </si>
  <si>
    <t xml:space="preserve">Обл войска Донскаго </t>
  </si>
  <si>
    <t>Среднее для Европейской Россіи</t>
  </si>
  <si>
    <t xml:space="preserve">Бакинская губ   </t>
  </si>
  <si>
    <t xml:space="preserve">Дагестанская обл  </t>
  </si>
  <si>
    <t>-</t>
  </si>
  <si>
    <t xml:space="preserve">Елисаветпольская губ </t>
  </si>
  <si>
    <t xml:space="preserve">Карсская обл  </t>
  </si>
  <si>
    <t xml:space="preserve">Кубанская обл   </t>
  </si>
  <si>
    <t xml:space="preserve">Кутаисская губ   </t>
  </si>
  <si>
    <t xml:space="preserve">Ставропольская губ </t>
  </si>
  <si>
    <t>Терская обл</t>
  </si>
  <si>
    <t xml:space="preserve">Тифлисская губ   </t>
  </si>
  <si>
    <t xml:space="preserve">Эриванская губ   </t>
  </si>
  <si>
    <t>Среднее для Кавказа</t>
  </si>
  <si>
    <t xml:space="preserve">Амурская обл </t>
  </si>
  <si>
    <t xml:space="preserve">Енисейская губ </t>
  </si>
  <si>
    <t xml:space="preserve">Забайкальская обл </t>
  </si>
  <si>
    <t xml:space="preserve">Иркутская губ </t>
  </si>
  <si>
    <t>Приморская обл</t>
  </si>
  <si>
    <t xml:space="preserve">Тобольская губ </t>
  </si>
  <si>
    <t xml:space="preserve">Томская губ </t>
  </si>
  <si>
    <t xml:space="preserve">Якутская обл </t>
  </si>
  <si>
    <t xml:space="preserve">Остр Сахалинъ </t>
  </si>
  <si>
    <t xml:space="preserve">Среднее для Сибири </t>
  </si>
  <si>
    <t xml:space="preserve">Акмолинская обл </t>
  </si>
  <si>
    <t xml:space="preserve">Закаспійская  </t>
  </si>
  <si>
    <t xml:space="preserve">Семипалатинская </t>
  </si>
  <si>
    <t xml:space="preserve">Семирѣченская  </t>
  </si>
  <si>
    <t xml:space="preserve">Сыръ-Дарьинская </t>
  </si>
  <si>
    <t xml:space="preserve">Тургайская   </t>
  </si>
  <si>
    <t xml:space="preserve">Уральская   </t>
  </si>
  <si>
    <t xml:space="preserve">Ферганская   </t>
  </si>
  <si>
    <t xml:space="preserve">Среднее для 2 Среднеазіатскихъ областей </t>
  </si>
  <si>
    <t>Среднее для всей Имперіи</t>
  </si>
  <si>
    <t>Число рождений "в земских губерний" напечатано 3,212,059, правильное число = 3,212,509</t>
  </si>
  <si>
    <t>Число рождений "для Европейской России" напечатано 4,702,629, с учётом предыдущей поправки = 4,703,088</t>
  </si>
  <si>
    <t>vd-чу</t>
  </si>
  <si>
    <t>v-чу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</si>
</sst>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2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0" fontId="4" fillId="0" borderId="1" xfId="0" applyFont="1"/>
    <xf numFmtId="164" fontId="0" fillId="0" borderId="1" xfId="0" applyNumberFormat="1"/>
    <xf numFmtId="0" fontId="0" fillId="0" borderId="1" xfId="0" applyAlignment="1">
      <alignment wrapText="1"/>
    </xf>
    <xf numFmtId="164" fontId="0" fillId="0" borderId="1" xfId="0" applyNumberFormat="1" applyAlignment="1">
      <alignment horizontal="center"/>
    </xf>
    <xf numFmtId="3" fontId="0" fillId="7" borderId="1" xfId="0" applyNumberFormat="1" applyFill="1" applyAlignment="1">
      <alignment horizontal="right"/>
    </xf>
    <xf numFmtId="3" fontId="0" fillId="7" borderId="0" xfId="0" applyNumberFormat="1" applyFill="1" applyBorder="1" applyAlignment="1">
      <alignment horizontal="right" vertical="center"/>
    </xf>
    <xf numFmtId="3" fontId="0" fillId="7" borderId="0" xfId="0" applyNumberFormat="1" applyFill="1" applyBorder="1" applyAlignment="1">
      <alignment horizontal="right"/>
    </xf>
    <xf numFmtId="3" fontId="0" fillId="7" borderId="1" xfId="0" applyNumberFormat="1" applyFill="1" applyAlignment="1">
      <alignment horizontal="right" vertical="center"/>
    </xf>
    <xf numFmtId="3" fontId="1" fillId="6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8D20-6275-41B8-982F-8FFD4E68F4B1}">
  <dimension ref="A1:A3"/>
  <sheetViews>
    <sheetView workbookViewId="0">
      <selection sqref="A1:A3"/>
    </sheetView>
  </sheetViews>
  <sheetFormatPr defaultRowHeight="15" x14ac:dyDescent="0.25"/>
  <sheetData>
    <row r="1" spans="1:1" x14ac:dyDescent="0.25">
      <c r="A1" s="41" t="s">
        <v>390</v>
      </c>
    </row>
    <row r="2" spans="1:1" x14ac:dyDescent="0.25">
      <c r="A2" s="41"/>
    </row>
    <row r="3" spans="1:1" x14ac:dyDescent="0.25">
      <c r="A3" s="41" t="s">
        <v>391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tabSelected="1" workbookViewId="0">
      <pane xSplit="1" ySplit="1" topLeftCell="B103" activePane="bottomRight" state="frozen"/>
      <selection pane="topRight" activeCell="B1" sqref="B1"/>
      <selection pane="bottomLeft" activeCell="A2" sqref="A2"/>
      <selection pane="bottomRight" activeCell="F117" sqref="F117"/>
    </sheetView>
  </sheetViews>
  <sheetFormatPr defaultColWidth="12" defaultRowHeight="15" x14ac:dyDescent="0.25"/>
  <cols>
    <col min="1" max="1" width="33.5703125" style="1" bestFit="1" customWidth="1"/>
    <col min="2" max="2" width="11.140625" style="2" bestFit="1" customWidth="1"/>
    <col min="3" max="4" width="9.140625" style="2" bestFit="1" customWidth="1"/>
    <col min="5" max="5" width="11.42578125" style="2" bestFit="1" customWidth="1"/>
    <col min="6" max="6" width="9.5703125" style="2" bestFit="1" customWidth="1"/>
    <col min="7" max="7" width="9.42578125" style="2" bestFit="1" customWidth="1"/>
    <col min="8" max="8" width="15.5703125" style="2" bestFit="1" customWidth="1"/>
    <col min="9" max="9" width="15.140625" style="2" bestFit="1" customWidth="1"/>
    <col min="10" max="10" width="15" style="2" bestFit="1" customWidth="1"/>
    <col min="11" max="11" width="4.85546875" style="41" bestFit="1" customWidth="1"/>
    <col min="12" max="12" width="4.5703125" style="41" bestFit="1" customWidth="1"/>
    <col min="13" max="13" width="2.5703125" style="6" customWidth="1"/>
    <col min="14" max="15" width="7.5703125" style="2" bestFit="1" customWidth="1"/>
    <col min="16" max="17" width="7.5703125" bestFit="1" customWidth="1"/>
    <col min="18" max="18" width="7.5703125" style="2" bestFit="1" customWidth="1"/>
    <col min="19" max="20" width="7.5703125" bestFit="1" customWidth="1"/>
    <col min="21" max="22" width="7.5703125" style="2" bestFit="1" customWidth="1"/>
    <col min="23" max="26" width="7.5703125" bestFit="1" customWidth="1"/>
    <col min="27" max="27" width="7.5703125" style="1" bestFit="1" customWidth="1"/>
    <col min="28" max="28" width="7.5703125" bestFit="1" customWidth="1"/>
    <col min="29" max="29" width="3.7109375" style="1" customWidth="1"/>
    <col min="30" max="30" width="11.140625" style="1" bestFit="1" customWidth="1"/>
    <col min="31" max="32" width="9.140625" style="1" bestFit="1" customWidth="1"/>
    <col min="33" max="33" width="3.28515625" style="1" customWidth="1"/>
    <col min="34" max="34" width="8.28515625" style="1" bestFit="1" customWidth="1"/>
    <col min="35" max="36" width="7.28515625" style="1" bestFit="1" customWidth="1"/>
    <col min="37" max="37" width="2.5703125" style="1" customWidth="1"/>
    <col min="38" max="39" width="4.5703125" style="1" bestFit="1" customWidth="1"/>
    <col min="40" max="40" width="2.5703125" style="1" customWidth="1"/>
    <col min="41" max="42" width="5.28515625" style="1" bestFit="1" customWidth="1"/>
    <col min="43" max="43" width="3.140625" style="1" customWidth="1"/>
    <col min="44" max="44" width="17.42578125" style="1" bestFit="1" customWidth="1"/>
    <col min="45" max="45" width="16.85546875" style="1" bestFit="1" customWidth="1"/>
    <col min="46" max="46" width="16.7109375" style="1" bestFit="1" customWidth="1"/>
    <col min="47" max="47" width="5" style="1" customWidth="1"/>
    <col min="48" max="48" width="18.5703125" style="1" bestFit="1" customWidth="1"/>
    <col min="49" max="49" width="18.140625" style="1" bestFit="1" customWidth="1"/>
    <col min="50" max="50" width="18" style="1" bestFit="1" customWidth="1"/>
    <col min="51" max="16376" width="12" style="1"/>
    <col min="16377" max="16377" width="2" style="1" bestFit="1" customWidth="1"/>
    <col min="16378" max="16384" width="1.85546875" style="1" customWidth="1"/>
  </cols>
  <sheetData>
    <row r="1" spans="1:50" x14ac:dyDescent="0.25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281</v>
      </c>
      <c r="L1" s="35" t="s">
        <v>282</v>
      </c>
      <c r="M1" s="26"/>
      <c r="N1" s="61" t="s">
        <v>10</v>
      </c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D1" s="33" t="s">
        <v>279</v>
      </c>
      <c r="AE1" s="34" t="s">
        <v>280</v>
      </c>
      <c r="AF1" s="33" t="s">
        <v>393</v>
      </c>
      <c r="AH1" s="33" t="s">
        <v>285</v>
      </c>
      <c r="AI1" s="34" t="s">
        <v>286</v>
      </c>
      <c r="AJ1" s="33" t="s">
        <v>392</v>
      </c>
      <c r="AL1" s="33" t="s">
        <v>283</v>
      </c>
      <c r="AM1" s="33" t="s">
        <v>284</v>
      </c>
      <c r="AN1" s="42"/>
      <c r="AO1" s="33" t="s">
        <v>287</v>
      </c>
      <c r="AP1" s="33" t="s">
        <v>288</v>
      </c>
      <c r="AR1" s="43" t="s">
        <v>289</v>
      </c>
      <c r="AS1" s="43" t="s">
        <v>290</v>
      </c>
      <c r="AT1" s="43" t="s">
        <v>291</v>
      </c>
      <c r="AV1" s="43" t="s">
        <v>292</v>
      </c>
      <c r="AW1" s="43" t="s">
        <v>293</v>
      </c>
      <c r="AX1" s="43" t="s">
        <v>294</v>
      </c>
    </row>
    <row r="2" spans="1:50" x14ac:dyDescent="0.25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25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25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25">
      <c r="A5" s="27" t="s">
        <v>295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25">
      <c r="A6" s="28" t="s">
        <v>296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25">
      <c r="A7" s="28" t="s">
        <v>297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25">
      <c r="A8" s="20" t="s">
        <v>298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25">
      <c r="A9" s="50" t="s">
        <v>299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25">
      <c r="A10" s="50" t="s">
        <v>300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25">
      <c r="A11" s="50" t="s">
        <v>301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25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25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25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25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59877</v>
      </c>
      <c r="AF15" s="12">
        <f>SUM(N17:AB17)</f>
        <v>32294</v>
      </c>
      <c r="AG15" s="2"/>
      <c r="AH15" s="12">
        <f>AD15-B15</f>
        <v>0</v>
      </c>
      <c r="AI15" s="12">
        <f>AE15-C15</f>
        <v>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25">
      <c r="A16" s="28" t="s">
        <v>19</v>
      </c>
      <c r="K16" s="37"/>
      <c r="L16" s="37"/>
      <c r="N16" s="58">
        <v>6612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25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25">
      <c r="A18" s="27" t="s">
        <v>21</v>
      </c>
      <c r="B18" s="12">
        <v>2449786</v>
      </c>
      <c r="C18" s="12">
        <v>125798</v>
      </c>
      <c r="D18" s="12">
        <v>71620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-9</v>
      </c>
      <c r="AL18" s="47">
        <f>C18/B18*1000</f>
        <v>51.350607767372331</v>
      </c>
      <c r="AM18" s="47">
        <f>D18/B18*1000</f>
        <v>29.235206667031324</v>
      </c>
      <c r="AO18" s="47">
        <f>AL18-K18</f>
        <v>-4.9392232627667454E-2</v>
      </c>
      <c r="AP18" s="47">
        <f>AM18-L18</f>
        <v>3.5206667031324912E-2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25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25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25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25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25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25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25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25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25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25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25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25">
      <c r="A30" s="29" t="s">
        <v>33</v>
      </c>
      <c r="B30" s="3">
        <v>1830445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<c r="AL30" s="47">
        <f>C30/B30*1000</f>
        <v>46.720879349010758</v>
      </c>
      <c r="AM30" s="47">
        <f>D30/B30*1000</f>
        <v>26.505030197574907</v>
      </c>
      <c r="AO30" s="47">
        <f>AL30-K30</f>
        <v>0.6208793490107567</v>
      </c>
      <c r="AP30" s="47">
        <f>AM30-L30</f>
        <v>5.0301975749071914E-3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25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25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25">
      <c r="A33" s="29" t="s">
        <v>36</v>
      </c>
      <c r="B33" s="3">
        <v>1415341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43587</v>
      </c>
      <c r="AG33" s="2"/>
      <c r="AH33" s="12">
        <f>AD33-B33</f>
        <v>3349</v>
      </c>
      <c r="AI33" s="12">
        <f>AE33-C33</f>
        <v>64</v>
      </c>
      <c r="AJ33" s="12">
        <f>AF33-D33</f>
        <v>0</v>
      </c>
      <c r="AL33" s="47">
        <f>C33/B33*1000</f>
        <v>51.823553475805483</v>
      </c>
      <c r="AM33" s="47">
        <f>D33/B33*1000</f>
        <v>30.796112032365343</v>
      </c>
      <c r="AO33" s="47">
        <f>AL33-K33</f>
        <v>1.1235534758054797</v>
      </c>
      <c r="AP33" s="47">
        <f>AM33-L33</f>
        <v>0.59611203236534394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25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25">
      <c r="A35" s="28" t="s">
        <v>38</v>
      </c>
      <c r="K35" s="37"/>
      <c r="L35" s="37"/>
      <c r="N35" s="2">
        <v>3690</v>
      </c>
      <c r="O35" s="58">
        <v>3213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25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25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25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25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25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25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25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944029</v>
      </c>
      <c r="AF42" s="23">
        <f>SUM(AF2:AF40)</f>
        <v>578309</v>
      </c>
      <c r="AG42" s="2"/>
      <c r="AH42" s="23">
        <f>AD42-B42</f>
        <v>-40566</v>
      </c>
      <c r="AI42" s="23">
        <f>AE42-C42</f>
        <v>92</v>
      </c>
      <c r="AJ42" s="23">
        <f>AF42-D42</f>
        <v>-3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25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25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26121</v>
      </c>
      <c r="AG44" s="2"/>
      <c r="AH44" s="12">
        <f>AD44-B44</f>
        <v>-35461</v>
      </c>
      <c r="AI44" s="12">
        <f>AE44-C44</f>
        <v>0</v>
      </c>
      <c r="AJ44" s="12">
        <f>AF44-D44</f>
        <v>0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25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25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58">
        <v>1713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25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3">
        <v>110320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889591</v>
      </c>
      <c r="AE47" s="12">
        <f>SUM(N48:AB48)</f>
        <v>33679</v>
      </c>
      <c r="AF47" s="12">
        <f>SUM(N49:AB49)</f>
        <v>18135</v>
      </c>
      <c r="AG47" s="2"/>
      <c r="AH47" s="12">
        <f>AD47-B47</f>
        <v>-6918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25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25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25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3">
        <v>74810</v>
      </c>
      <c r="Q50" s="3">
        <v>105839</v>
      </c>
      <c r="R50" s="3">
        <v>113785</v>
      </c>
      <c r="S50" s="3">
        <v>103350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728834</v>
      </c>
      <c r="AE50" s="12">
        <f>SUM(N51:AB51)</f>
        <v>31181</v>
      </c>
      <c r="AF50" s="12">
        <f>SUM(N52:AB52)</f>
        <v>16884</v>
      </c>
      <c r="AG50" s="2"/>
      <c r="AH50" s="12">
        <f>AD50-B50</f>
        <v>-23125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25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25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25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25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25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25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25884</v>
      </c>
      <c r="AG56" s="2"/>
      <c r="AH56" s="12">
        <f>AD56-B56</f>
        <v>-117</v>
      </c>
      <c r="AI56" s="12">
        <f>AE56-C56</f>
        <v>0</v>
      </c>
      <c r="AJ56" s="12">
        <f>AF56-D56</f>
        <v>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25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25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58">
        <v>2683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25">
      <c r="A59" s="29" t="s">
        <v>62</v>
      </c>
      <c r="B59" s="3">
        <v>1246054</v>
      </c>
      <c r="C59" s="3">
        <v>51391</v>
      </c>
      <c r="D59" s="58">
        <v>26596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0</v>
      </c>
      <c r="AL59" s="47">
        <f>C59/B59*1000</f>
        <v>41.242995889423732</v>
      </c>
      <c r="AM59" s="47">
        <f>D59/B59*1000</f>
        <v>21.344179305230753</v>
      </c>
      <c r="AO59" s="47">
        <f>AL59-K59</f>
        <v>4.2995889423728784E-2</v>
      </c>
      <c r="AP59" s="47">
        <f>AM59-L59</f>
        <v>-5.5820694769245449E-2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25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25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25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3">
        <v>83130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648453</v>
      </c>
      <c r="AE62" s="12">
        <f>SUM(N63:AB63)</f>
        <v>25107</v>
      </c>
      <c r="AF62" s="12">
        <f>SUM(N64:AB64)</f>
        <v>17161</v>
      </c>
      <c r="AG62" s="2"/>
      <c r="AH62" s="12">
        <f>AD62-B62</f>
        <v>-5535</v>
      </c>
      <c r="AI62" s="12">
        <f>AE62-C62</f>
        <v>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25">
      <c r="A63" s="28" t="s">
        <v>66</v>
      </c>
      <c r="K63" s="37"/>
      <c r="L63" s="37"/>
      <c r="N63" s="58">
        <v>4536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25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25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25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25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25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3">
        <v>196721</v>
      </c>
      <c r="P68" s="3">
        <v>85886</v>
      </c>
      <c r="Q68" s="3">
        <v>96098</v>
      </c>
      <c r="R68" s="3">
        <v>191094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906453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198000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25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25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25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25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25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25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9190534</v>
      </c>
      <c r="AE74" s="23">
        <f>SUM(AE43:AE73)</f>
        <v>356847</v>
      </c>
      <c r="AF74" s="23">
        <f>SUM(AF43:AF73)</f>
        <v>208960</v>
      </c>
      <c r="AG74" s="2"/>
      <c r="AH74" s="23">
        <f t="shared" ref="AH74:AJ75" si="65">AD74-B74</f>
        <v>76051</v>
      </c>
      <c r="AI74" s="23">
        <f t="shared" si="65"/>
        <v>1</v>
      </c>
      <c r="AJ74" s="23">
        <f t="shared" si="65"/>
        <v>0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25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15">
        <v>64600</v>
      </c>
      <c r="X75" s="15"/>
      <c r="Y75" s="15"/>
      <c r="Z75" s="15"/>
      <c r="AA75" s="12"/>
      <c r="AB75" s="15"/>
      <c r="AC75" s="2"/>
      <c r="AD75" s="12">
        <f>SUM(N75:AB75)</f>
        <v>706500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-5400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25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25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25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25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25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25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25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25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25">
      <c r="A84" s="44" t="s">
        <v>87</v>
      </c>
      <c r="B84" s="22">
        <v>2410662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2397298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-13364</v>
      </c>
      <c r="AI84" s="23">
        <f t="shared" si="73"/>
        <v>32</v>
      </c>
      <c r="AJ84" s="23">
        <f t="shared" si="73"/>
        <v>-20538</v>
      </c>
      <c r="AL84" s="49">
        <f>C84/B84*1000</f>
        <v>28.313384456219911</v>
      </c>
      <c r="AM84" s="49">
        <f>D84/B84*1000</f>
        <v>19.078576756094385</v>
      </c>
      <c r="AN84" s="48"/>
      <c r="AO84" s="49">
        <f>AL84-K84</f>
        <v>1.3384456219910135E-2</v>
      </c>
      <c r="AP84" s="49">
        <f>AM84-L84</f>
        <v>-2.1423243905616118E-2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25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25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25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25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12"/>
      <c r="AB88" s="15"/>
      <c r="AC88" s="2"/>
      <c r="AD88" s="12">
        <f>SUM(N88:AB88)</f>
        <v>1500035</v>
      </c>
      <c r="AE88" s="12">
        <f>SUM(N89:AB89)</f>
        <v>77940</v>
      </c>
      <c r="AF88" s="12">
        <f>SUM(N90:AB90)</f>
        <v>58306</v>
      </c>
      <c r="AG88" s="2"/>
      <c r="AH88" s="12">
        <f>AD88-B88</f>
        <v>-25065</v>
      </c>
      <c r="AI88" s="12">
        <f>AE88-C88</f>
        <v>0</v>
      </c>
      <c r="AJ88" s="12">
        <f>AF88-D88</f>
        <v>0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25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59">
        <v>4758</v>
      </c>
      <c r="X89" s="8">
        <v>6218</v>
      </c>
      <c r="Y89" s="8">
        <v>5311</v>
      </c>
      <c r="Z89" s="8">
        <v>5718</v>
      </c>
      <c r="AA89" s="2"/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25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59">
        <v>3738</v>
      </c>
      <c r="X90" s="8">
        <v>4423</v>
      </c>
      <c r="Y90" s="8">
        <v>4349</v>
      </c>
      <c r="Z90" s="8">
        <v>4449</v>
      </c>
      <c r="AA90" s="2"/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25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25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25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25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15">
        <v>170198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2692268</v>
      </c>
      <c r="AE94" s="12">
        <f>SUM(N95:AB95)</f>
        <v>149415</v>
      </c>
      <c r="AF94" s="12">
        <f>SUM(N96:AB96)</f>
        <v>118774</v>
      </c>
      <c r="AG94" s="2"/>
      <c r="AH94" s="12">
        <f>AD94-B94</f>
        <v>-20000</v>
      </c>
      <c r="AI94" s="12">
        <f>AE94-C94</f>
        <v>-1</v>
      </c>
      <c r="AJ94" s="12">
        <f>AF94-D94</f>
        <v>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25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25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59">
        <v>13785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25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25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25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25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25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25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25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25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25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25">
      <c r="A106" s="18" t="s">
        <v>109</v>
      </c>
      <c r="B106" s="17">
        <v>1252935</v>
      </c>
      <c r="C106" s="17">
        <v>57604</v>
      </c>
      <c r="D106" s="57">
        <v>51846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0</v>
      </c>
      <c r="AL106" s="47">
        <f>C106/B106*1000</f>
        <v>45.975250112735296</v>
      </c>
      <c r="AM106" s="47">
        <f>D106/B106*1000</f>
        <v>41.379640603862129</v>
      </c>
      <c r="AO106" s="47">
        <f>AL106-K106</f>
        <v>7.5250112735297137E-2</v>
      </c>
      <c r="AP106" s="47">
        <f>AM106-L106</f>
        <v>2.4796406038621299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25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25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25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25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25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25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17">
        <v>223019</v>
      </c>
      <c r="R112" s="17">
        <v>188494</v>
      </c>
      <c r="S112" s="17">
        <v>122556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2675331</v>
      </c>
      <c r="AE112" s="12">
        <f>SUM(N113:AB113)</f>
        <v>122565</v>
      </c>
      <c r="AF112" s="12">
        <f>SUM(N114:AB114)</f>
        <v>90306</v>
      </c>
      <c r="AG112" s="2"/>
      <c r="AH112" s="12">
        <f>AD112-B112</f>
        <v>91130</v>
      </c>
      <c r="AI112" s="12">
        <f>AE112-C112</f>
        <v>0</v>
      </c>
      <c r="AJ112" s="12">
        <f>AF112-D112</f>
        <v>0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25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25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57">
        <v>5084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25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17">
        <v>216815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1584225</v>
      </c>
      <c r="AE115" s="12">
        <f>SUM(N116:AB116)</f>
        <v>72581</v>
      </c>
      <c r="AF115" s="12">
        <f>SUM(N117:AB117)</f>
        <v>59480</v>
      </c>
      <c r="AG115" s="2"/>
      <c r="AH115" s="12">
        <f>AD115-B115</f>
        <v>65100</v>
      </c>
      <c r="AI115" s="12">
        <f>AE115-C115</f>
        <v>0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25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57">
        <v>10633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25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25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67714</v>
      </c>
      <c r="AG118" s="2"/>
      <c r="AH118" s="12">
        <f>AD118-B118</f>
        <v>100</v>
      </c>
      <c r="AI118" s="12">
        <f>AE118-C118</f>
        <v>0</v>
      </c>
      <c r="AJ118" s="12">
        <f>AF118-D118</f>
        <v>0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25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25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57">
        <v>10053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25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17"/>
      <c r="Z121" s="17"/>
      <c r="AA121" s="17"/>
      <c r="AB121" s="17"/>
      <c r="AC121" s="2"/>
      <c r="AD121" s="12">
        <f>SUM(N121:AB121)</f>
        <v>1287835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-23294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25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9"/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25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9"/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25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25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25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25">
      <c r="A127" s="18" t="s">
        <v>130</v>
      </c>
      <c r="B127" s="17">
        <v>2127397</v>
      </c>
      <c r="C127" s="17">
        <v>109667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0</v>
      </c>
      <c r="AJ127" s="12">
        <f>AF127-D127</f>
        <v>0</v>
      </c>
      <c r="AL127" s="47">
        <f>C127/B127*1000</f>
        <v>51.54985176720659</v>
      </c>
      <c r="AM127" s="47">
        <f>D127/B127*1000</f>
        <v>42.214969749416774</v>
      </c>
      <c r="AO127" s="47">
        <f>AL127-K127</f>
        <v>-5.0148232793411296E-2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25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25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25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17"/>
      <c r="Y130" s="17"/>
      <c r="Z130" s="17"/>
      <c r="AA130" s="17"/>
      <c r="AB130" s="17"/>
      <c r="AC130" s="2"/>
      <c r="AD130" s="12">
        <f>SUM(N130:AB130)</f>
        <v>1591507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-14506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25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9"/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25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9"/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25">
      <c r="A133" s="18" t="s">
        <v>136</v>
      </c>
      <c r="B133" s="17">
        <v>2806879</v>
      </c>
      <c r="C133" s="57">
        <v>156022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-1594</v>
      </c>
      <c r="AI133" s="12">
        <f>AE133-C133</f>
        <v>0</v>
      </c>
      <c r="AJ133" s="12">
        <f>AF133-D133</f>
        <v>-20</v>
      </c>
      <c r="AL133" s="47">
        <f>C133/B133*1000</f>
        <v>55.585580995832025</v>
      </c>
      <c r="AM133" s="47">
        <f>D133/B133*1000</f>
        <v>41.693282824090382</v>
      </c>
      <c r="AO133" s="47">
        <f>AL133-K133</f>
        <v>-0.2144190041679721</v>
      </c>
      <c r="AP133" s="47">
        <f>AM133-L133</f>
        <v>-6.7171759096211758E-3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25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25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25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17">
        <v>175776</v>
      </c>
      <c r="AC136" s="2"/>
      <c r="AD136" s="12">
        <f>SUM(N136:AB136)</f>
        <v>2946338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1000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25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25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25">
      <c r="A139" s="18" t="s">
        <v>142</v>
      </c>
      <c r="B139" s="17">
        <v>1034125</v>
      </c>
      <c r="C139" s="17">
        <v>52632</v>
      </c>
      <c r="D139" s="17">
        <v>29690</v>
      </c>
      <c r="E139" s="17" t="s">
        <v>14</v>
      </c>
      <c r="F139" s="17" t="s">
        <v>14</v>
      </c>
      <c r="G139" s="17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25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25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25">
      <c r="A142" s="18" t="s">
        <v>145</v>
      </c>
      <c r="B142" s="17">
        <v>1954920</v>
      </c>
      <c r="C142" s="17">
        <v>92266</v>
      </c>
      <c r="D142" s="57">
        <v>75420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17"/>
      <c r="AA142" s="17"/>
      <c r="AB142" s="17"/>
      <c r="AC142" s="2"/>
      <c r="AD142" s="12">
        <f>SUM(N142:AB142)</f>
        <v>1950702</v>
      </c>
      <c r="AE142" s="12">
        <f>SUM(N143:AB143)</f>
        <v>92266</v>
      </c>
      <c r="AF142" s="12">
        <f>SUM(N144:AB144)</f>
        <v>75420</v>
      </c>
      <c r="AG142" s="2"/>
      <c r="AH142" s="12">
        <f>AD142-B142</f>
        <v>-4218</v>
      </c>
      <c r="AI142" s="12">
        <f>AE142-C142</f>
        <v>0</v>
      </c>
      <c r="AJ142" s="12">
        <f>AF142-D142</f>
        <v>0</v>
      </c>
      <c r="AL142" s="47">
        <f>C142/B142*1000</f>
        <v>47.196816238004622</v>
      </c>
      <c r="AM142" s="47">
        <f>D142/B142*1000</f>
        <v>38.579583819286725</v>
      </c>
      <c r="AO142" s="47">
        <f>AL142-K142</f>
        <v>-3.1837619953805074E-3</v>
      </c>
      <c r="AP142" s="47">
        <f>AM142-L142</f>
        <v>4.7795838192867279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25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57">
        <v>7155</v>
      </c>
      <c r="Z143" s="9"/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25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57">
        <v>6387</v>
      </c>
      <c r="Z144" s="9"/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25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25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25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25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25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25">
      <c r="A150" s="18" t="s">
        <v>153</v>
      </c>
      <c r="B150" s="17">
        <v>841317</v>
      </c>
      <c r="C150" s="17">
        <v>30156</v>
      </c>
      <c r="D150" s="17">
        <v>23152</v>
      </c>
      <c r="E150" s="17" t="s">
        <v>14</v>
      </c>
      <c r="F150" s="17" t="s">
        <v>14</v>
      </c>
      <c r="G150" s="17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17"/>
      <c r="W150" s="17"/>
      <c r="X150" s="17"/>
      <c r="Y150" s="17"/>
      <c r="Z150" s="17"/>
      <c r="AA150" s="17"/>
      <c r="AB150" s="17"/>
      <c r="AC150" s="2"/>
      <c r="AD150" s="12">
        <f>SUM(N150:AB150)</f>
        <v>755507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-85810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25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9"/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25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9"/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25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57">
        <v>138743</v>
      </c>
      <c r="X153" s="17"/>
      <c r="Y153" s="17"/>
      <c r="Z153" s="17"/>
      <c r="AA153" s="17"/>
      <c r="AB153" s="17"/>
      <c r="AC153" s="2"/>
      <c r="AD153" s="12">
        <f>SUM(N153:AB153)</f>
        <v>2438571</v>
      </c>
      <c r="AE153" s="12">
        <f>SUM(N154:AB154)</f>
        <v>126373</v>
      </c>
      <c r="AF153" s="12">
        <f>SUM(N155:AB155)</f>
        <v>104926</v>
      </c>
      <c r="AG153" s="2"/>
      <c r="AH153" s="12">
        <f>AD153-B153</f>
        <v>0</v>
      </c>
      <c r="AI153" s="12">
        <f>AE153-C153</f>
        <v>0</v>
      </c>
      <c r="AJ153" s="12">
        <f>AF153-D153</f>
        <v>0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25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57">
        <v>7933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25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57">
        <v>15300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25">
      <c r="A156" s="18" t="s">
        <v>159</v>
      </c>
      <c r="B156" s="17">
        <v>1651736</v>
      </c>
      <c r="C156" s="17">
        <v>76289</v>
      </c>
      <c r="D156" s="17">
        <v>62764</v>
      </c>
      <c r="E156" s="17" t="s">
        <v>14</v>
      </c>
      <c r="F156" s="17" t="s">
        <v>14</v>
      </c>
      <c r="G156" s="17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17"/>
      <c r="W156" s="17"/>
      <c r="X156" s="17"/>
      <c r="Y156" s="17"/>
      <c r="Z156" s="17"/>
      <c r="AA156" s="17"/>
      <c r="AB156" s="17"/>
      <c r="AC156" s="2"/>
      <c r="AD156" s="12">
        <f>SUM(N156:AB156)</f>
        <v>1529749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-121987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25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9"/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25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9"/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25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17"/>
      <c r="AA159" s="17"/>
      <c r="AB159" s="17"/>
      <c r="AC159" s="2"/>
      <c r="AD159" s="12">
        <f>SUM(N159:AB159)</f>
        <v>1412165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-42622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25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9"/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25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9"/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25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17">
        <v>110934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>
        <v>32167</v>
      </c>
      <c r="W162" s="17"/>
      <c r="X162" s="17"/>
      <c r="Y162" s="17"/>
      <c r="Z162" s="17"/>
      <c r="AA162" s="17"/>
      <c r="AB162" s="17"/>
      <c r="AC162" s="2"/>
      <c r="AD162" s="12">
        <f>SUM(N162:AB162)</f>
        <v>1168646</v>
      </c>
      <c r="AE162" s="12">
        <f>SUM(N163:AB163)</f>
        <v>57887</v>
      </c>
      <c r="AF162" s="12">
        <f>SUM(N164:AB164)</f>
        <v>35405</v>
      </c>
      <c r="AG162" s="2"/>
      <c r="AH162" s="12">
        <f>AD162-B162</f>
        <v>-12523</v>
      </c>
      <c r="AI162" s="12">
        <f>AE162-C162</f>
        <v>0</v>
      </c>
      <c r="AJ162" s="12">
        <f>AF162-D162</f>
        <v>0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25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57">
        <v>3376</v>
      </c>
      <c r="U163" s="9">
        <v>2200</v>
      </c>
      <c r="V163" s="9">
        <v>1967</v>
      </c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25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>
        <v>1219</v>
      </c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25">
      <c r="A165" s="18" t="s">
        <v>168</v>
      </c>
      <c r="B165" s="19">
        <v>2907014</v>
      </c>
      <c r="C165" s="60">
        <v>139346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114659</v>
      </c>
      <c r="AG165" s="2"/>
      <c r="AH165" s="12">
        <f>AD165-B165</f>
        <v>-6</v>
      </c>
      <c r="AI165" s="12">
        <f>AE165-C165</f>
        <v>0</v>
      </c>
      <c r="AJ165" s="12">
        <f>AF165-D165</f>
        <v>0</v>
      </c>
      <c r="AL165" s="47">
        <f>C165/B165*1000</f>
        <v>47.934409672605632</v>
      </c>
      <c r="AM165" s="47">
        <f>D165/B165*1000</f>
        <v>39.442190508886434</v>
      </c>
      <c r="AO165" s="47">
        <f>AL165-K165</f>
        <v>3.4409672605633546E-2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25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25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0">
        <v>5528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25">
      <c r="A168" s="18" t="s">
        <v>171</v>
      </c>
      <c r="B168" s="19">
        <v>1882218</v>
      </c>
      <c r="C168" s="19">
        <v>88071</v>
      </c>
      <c r="D168" s="19">
        <v>57003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60">
        <v>168864</v>
      </c>
      <c r="Z168" s="57">
        <v>5916</v>
      </c>
      <c r="AA168" s="17"/>
      <c r="AB168" s="17"/>
      <c r="AC168" s="2"/>
      <c r="AD168" s="12">
        <f>SUM(N168:AB168)</f>
        <v>1882218</v>
      </c>
      <c r="AE168" s="12">
        <f>SUM(N169:AB169)</f>
        <v>88071</v>
      </c>
      <c r="AF168" s="12">
        <f>SUM(N170:AB170)</f>
        <v>57003</v>
      </c>
      <c r="AG168" s="2"/>
      <c r="AH168" s="12">
        <f>AD168-B168</f>
        <v>0</v>
      </c>
      <c r="AI168" s="12">
        <f>AE168-C168</f>
        <v>0</v>
      </c>
      <c r="AJ168" s="12">
        <f>AF168-D168</f>
        <v>0</v>
      </c>
      <c r="AL168" s="47">
        <f>C168/B168*1000</f>
        <v>46.791073085051785</v>
      </c>
      <c r="AM168" s="47">
        <f>D168/B168*1000</f>
        <v>30.285014806998976</v>
      </c>
      <c r="AO168" s="47">
        <f>AL168-K168</f>
        <v>1.0910730850517822</v>
      </c>
      <c r="AP168" s="47">
        <f>AM168-L168</f>
        <v>-1.49851930010243E-2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25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57">
        <v>249</v>
      </c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25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57">
        <v>167</v>
      </c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25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25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25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25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67708</v>
      </c>
      <c r="AG174" s="2"/>
      <c r="AH174" s="12">
        <f>AD174-B174</f>
        <v>0</v>
      </c>
      <c r="AI174" s="12">
        <f>AE174-C174</f>
        <v>0</v>
      </c>
      <c r="AJ174" s="12">
        <f>AF174-D174</f>
        <v>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25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25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0">
        <v>6439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25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25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25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25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19">
        <v>562976</v>
      </c>
      <c r="P180" s="19">
        <v>501681</v>
      </c>
      <c r="Q180" s="19">
        <v>195781</v>
      </c>
      <c r="R180" s="19">
        <v>26483</v>
      </c>
      <c r="S180" s="19">
        <v>166296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1879034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20000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25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25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25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25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25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25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25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25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17"/>
      <c r="Y188" s="17"/>
      <c r="Z188" s="17"/>
      <c r="AA188" s="17"/>
      <c r="AB188" s="17"/>
      <c r="AC188" s="2"/>
      <c r="AD188" s="12">
        <f>SUM(N188:AB188)</f>
        <v>1172771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-39445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25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9"/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25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9"/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25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65119211</v>
      </c>
      <c r="AE191" s="23">
        <f>SUM(AE85:AE190)</f>
        <v>3214456</v>
      </c>
      <c r="AF191" s="23">
        <f>SUM(AF85:AF190)</f>
        <v>2381102</v>
      </c>
      <c r="AG191" s="2"/>
      <c r="AH191" s="23">
        <f t="shared" ref="AH191:AJ192" si="181">AD191-B191</f>
        <v>-240136</v>
      </c>
      <c r="AI191" s="23">
        <f t="shared" si="181"/>
        <v>2397</v>
      </c>
      <c r="AJ191" s="23">
        <f t="shared" si="181"/>
        <v>12347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25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25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25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25">
      <c r="A195" s="45" t="s">
        <v>198</v>
      </c>
      <c r="B195" s="7">
        <v>99103355</v>
      </c>
      <c r="C195" s="7">
        <v>4702629</v>
      </c>
      <c r="D195" s="7">
        <v>3283808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98885340</v>
      </c>
      <c r="AE195" s="23">
        <f>SUM(AE42, AE74, AE84, AE191, AE192)</f>
        <v>4705151</v>
      </c>
      <c r="AF195" s="23">
        <f>SUM(AF42, AF74, AF84, AF191, AF192)</f>
        <v>3275614</v>
      </c>
      <c r="AG195" s="2"/>
      <c r="AH195" s="23">
        <f t="shared" ref="AH195:AJ196" si="186">AD195-B195</f>
        <v>-218015</v>
      </c>
      <c r="AI195" s="23">
        <f t="shared" si="186"/>
        <v>2522</v>
      </c>
      <c r="AJ195" s="23">
        <f t="shared" si="186"/>
        <v>-8194</v>
      </c>
      <c r="AL195" s="49">
        <f>C195/B195*1000</f>
        <v>47.451763868135444</v>
      </c>
      <c r="AM195" s="49">
        <f>D195/B195*1000</f>
        <v>33.135184979358172</v>
      </c>
      <c r="AN195" s="48"/>
      <c r="AO195" s="49">
        <f>AL195-K195</f>
        <v>-0.24823613186455873</v>
      </c>
      <c r="AP195" s="49">
        <f>AM195-L195</f>
        <v>-0.16481502064182507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25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19"/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780495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-101431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25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6"/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25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6"/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25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25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25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25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25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25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25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25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91303</v>
      </c>
      <c r="AF206" s="12">
        <f>SUM(N208:AB208)</f>
        <v>65550</v>
      </c>
      <c r="AG206" s="2"/>
      <c r="AH206" s="12">
        <f>AD206-B206</f>
        <v>40</v>
      </c>
      <c r="AI206" s="12">
        <f>AE206-C206</f>
        <v>0</v>
      </c>
      <c r="AJ206" s="12">
        <f>AF206-D206</f>
        <v>-1044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25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10343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25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981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25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25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25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25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25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25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25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25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25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25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30534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25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0">
        <v>5698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25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25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19"/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686500</v>
      </c>
      <c r="AE221" s="12">
        <f>SUM(N222:AB222)</f>
        <v>0</v>
      </c>
      <c r="AF221" s="12">
        <f>SUM(N223:AB223)</f>
        <v>0</v>
      </c>
      <c r="AG221" s="2"/>
      <c r="AH221" s="12">
        <f>AD221-B221</f>
        <v>-4028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25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6" t="s">
        <v>14</v>
      </c>
      <c r="O222" s="6" t="s">
        <v>14</v>
      </c>
      <c r="P222" s="6" t="s">
        <v>14</v>
      </c>
      <c r="Q222" s="6" t="s">
        <v>14</v>
      </c>
      <c r="R222" s="6" t="s">
        <v>14</v>
      </c>
      <c r="S222" s="6" t="s">
        <v>14</v>
      </c>
      <c r="T222" s="6" t="s">
        <v>14</v>
      </c>
      <c r="U222" s="6"/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25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6" t="s">
        <v>14</v>
      </c>
      <c r="O223" s="6" t="s">
        <v>14</v>
      </c>
      <c r="P223" s="6" t="s">
        <v>14</v>
      </c>
      <c r="Q223" s="6" t="s">
        <v>14</v>
      </c>
      <c r="R223" s="6" t="s">
        <v>14</v>
      </c>
      <c r="S223" s="6" t="s">
        <v>14</v>
      </c>
      <c r="T223" s="6" t="s">
        <v>14</v>
      </c>
      <c r="U223" s="6"/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25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7979988</v>
      </c>
      <c r="AE224" s="23">
        <f>SUM(AE196:AE223)</f>
        <v>282652</v>
      </c>
      <c r="AF224" s="23">
        <f>SUM(AF196:AF223)</f>
        <v>205656</v>
      </c>
      <c r="AG224" s="2"/>
      <c r="AH224" s="23">
        <f>AD224-B224</f>
        <v>-105419</v>
      </c>
      <c r="AI224" s="23">
        <f>AE224-C224</f>
        <v>-21669</v>
      </c>
      <c r="AJ224" s="23">
        <f>AF224-D224</f>
        <v>-14352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25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25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25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25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25">
      <c r="A229" s="18" t="s">
        <v>232</v>
      </c>
      <c r="B229" s="19">
        <v>586002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-10000</v>
      </c>
      <c r="AI229" s="12">
        <f>AE229-C229</f>
        <v>0</v>
      </c>
      <c r="AJ229" s="12">
        <f>AF229-D229</f>
        <v>0</v>
      </c>
      <c r="AL229" s="47">
        <f>C229/B229*1000</f>
        <v>35.721721086276155</v>
      </c>
      <c r="AM229" s="47">
        <f>D229/B229*1000</f>
        <v>20.680816789021197</v>
      </c>
      <c r="AO229" s="47">
        <f>AL229-K229</f>
        <v>-0.57827891372384244</v>
      </c>
      <c r="AP229" s="47">
        <f>AM229-L229</f>
        <v>-0.41918321097880451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25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25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25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25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25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25">
      <c r="A235" s="18" t="s">
        <v>238</v>
      </c>
      <c r="B235" s="19">
        <v>132842</v>
      </c>
      <c r="C235" s="19">
        <v>4380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0</v>
      </c>
      <c r="AJ235" s="12">
        <f>AF235-D235</f>
        <v>0</v>
      </c>
      <c r="AL235" s="47">
        <f>C235/B235*1000</f>
        <v>32.971499977416784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25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25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25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61275</v>
      </c>
      <c r="AG238" s="2"/>
      <c r="AH238" s="12">
        <f>AD238-B238</f>
        <v>0</v>
      </c>
      <c r="AI238" s="12">
        <f>AE238-C238</f>
        <v>0</v>
      </c>
      <c r="AJ238" s="12">
        <f>AF238-D238</f>
        <v>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25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25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0">
        <v>424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25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25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25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25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25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25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25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25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25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25">
      <c r="A250" s="45" t="s">
        <v>253</v>
      </c>
      <c r="B250" s="7">
        <v>4817098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150086</v>
      </c>
      <c r="AG250" s="2"/>
      <c r="AH250" s="23">
        <f>AD250-B250</f>
        <v>-500</v>
      </c>
      <c r="AI250" s="23">
        <f>AE250-C250</f>
        <v>0</v>
      </c>
      <c r="AJ250" s="23">
        <f>AF250-D250</f>
        <v>-88</v>
      </c>
      <c r="AL250" s="49">
        <f>C250/B250*1000</f>
        <v>44.64140027875704</v>
      </c>
      <c r="AM250" s="49">
        <f>D250/B250*1000</f>
        <v>31.175201334911602</v>
      </c>
      <c r="AN250" s="48"/>
      <c r="AO250" s="49">
        <f>AL250-K250</f>
        <v>-0.95859972124296178</v>
      </c>
      <c r="AP250" s="49">
        <f>AM250-L250</f>
        <v>-0.92479866508839947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25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25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25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25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25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25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572341</v>
      </c>
      <c r="AE256" s="12">
        <f>SUM(N257:AB257)</f>
        <v>9605</v>
      </c>
      <c r="AF256" s="12">
        <f>SUM(N258:AB258)</f>
        <v>8427</v>
      </c>
      <c r="AG256" s="2"/>
      <c r="AH256" s="12">
        <f>AD256-B256</f>
        <v>-22913</v>
      </c>
      <c r="AI256" s="12">
        <f>AE256-C256</f>
        <v>-450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25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25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25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15">
        <v>179646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657942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-23492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25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25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25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15">
        <v>360430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1154507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-10000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25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25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25">
      <c r="A265" s="14" t="s">
        <v>268</v>
      </c>
      <c r="B265" s="15">
        <v>397959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15">
        <v>46394</v>
      </c>
      <c r="P265" s="15">
        <v>84625</v>
      </c>
      <c r="Q265" s="15">
        <v>138286</v>
      </c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340644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-57315</v>
      </c>
      <c r="AI265" s="12">
        <f>AE265-C265</f>
        <v>30</v>
      </c>
      <c r="AJ265" s="12">
        <f>AF265-D265</f>
        <v>0</v>
      </c>
      <c r="AL265" s="47">
        <f>C265/B265*1000</f>
        <v>26.274063408542087</v>
      </c>
      <c r="AM265" s="47">
        <f>D265/B265*1000</f>
        <v>16.662520510906905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25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25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25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554903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-30000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25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25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25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25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25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25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6228690</v>
      </c>
      <c r="AE274" s="23">
        <f>SUM(AE251:AE273)</f>
        <v>147180</v>
      </c>
      <c r="AF274" s="23">
        <f>SUM(AF251:AF273)</f>
        <v>103361</v>
      </c>
      <c r="AG274" s="2"/>
      <c r="AH274" s="23">
        <f t="shared" ref="AH274:AJ275" si="246">AD274-B274</f>
        <v>-143600</v>
      </c>
      <c r="AI274" s="23">
        <f t="shared" si="246"/>
        <v>-37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25">
      <c r="A275" s="21" t="s">
        <v>278</v>
      </c>
      <c r="B275" s="22">
        <v>118378150</v>
      </c>
      <c r="C275" s="22">
        <v>5369209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117910616</v>
      </c>
      <c r="AE275" s="23">
        <f>SUM(AE195, AE224, AE250, AE274)</f>
        <v>5350025</v>
      </c>
      <c r="AF275" s="23">
        <f>SUM(AF195, AF224, AF250, AF274)</f>
        <v>3734717</v>
      </c>
      <c r="AG275" s="2"/>
      <c r="AH275" s="23">
        <f t="shared" si="246"/>
        <v>-467534</v>
      </c>
      <c r="AI275" s="23">
        <f t="shared" si="246"/>
        <v>-19184</v>
      </c>
      <c r="AJ275" s="23">
        <f t="shared" si="246"/>
        <v>-22703</v>
      </c>
      <c r="AL275" s="49">
        <f>C275/B275*1000</f>
        <v>45.356419237840768</v>
      </c>
      <c r="AM275" s="49">
        <f>D275/B275*1000</f>
        <v>31.740823792228547</v>
      </c>
      <c r="AN275" s="48"/>
      <c r="AO275" s="49">
        <f>AL275-K275</f>
        <v>-1.8435807621592346</v>
      </c>
      <c r="AP275" s="49">
        <f>AM275-L275</f>
        <v>-1.2591762077714534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5BB2-12A9-42A6-B34F-FED52308A84D}">
  <dimension ref="A1:I410"/>
  <sheetViews>
    <sheetView workbookViewId="0">
      <pane ySplit="1" topLeftCell="A60" activePane="bottomLeft" state="frozen"/>
      <selection pane="bottomLeft" activeCell="C89" sqref="C89"/>
    </sheetView>
  </sheetViews>
  <sheetFormatPr defaultRowHeight="15" x14ac:dyDescent="0.25"/>
  <cols>
    <col min="1" max="1" width="37.85546875" bestFit="1" customWidth="1"/>
    <col min="3" max="5" width="6.140625" bestFit="1" customWidth="1"/>
    <col min="7" max="9" width="5.85546875" bestFit="1" customWidth="1"/>
  </cols>
  <sheetData>
    <row r="1" spans="1:9" x14ac:dyDescent="0.25">
      <c r="A1" s="53" t="s">
        <v>0</v>
      </c>
      <c r="B1" s="53"/>
      <c r="C1" s="53" t="s">
        <v>302</v>
      </c>
      <c r="D1" s="53" t="s">
        <v>303</v>
      </c>
      <c r="E1" s="53" t="s">
        <v>304</v>
      </c>
      <c r="F1" s="53"/>
      <c r="G1" s="53" t="s">
        <v>305</v>
      </c>
      <c r="H1" s="53" t="s">
        <v>306</v>
      </c>
      <c r="I1" s="53" t="s">
        <v>307</v>
      </c>
    </row>
    <row r="2" spans="1:9" x14ac:dyDescent="0.25">
      <c r="A2" s="41" t="s">
        <v>308</v>
      </c>
      <c r="B2" s="41"/>
      <c r="C2" s="54">
        <v>40.1</v>
      </c>
      <c r="D2" s="54">
        <v>38.700000000000003</v>
      </c>
      <c r="E2" s="54">
        <v>39</v>
      </c>
      <c r="F2" s="54"/>
      <c r="G2" s="54">
        <v>25.1</v>
      </c>
      <c r="H2" s="54">
        <v>29.1</v>
      </c>
      <c r="I2" s="54">
        <v>25.8</v>
      </c>
    </row>
    <row r="3" spans="1:9" x14ac:dyDescent="0.25">
      <c r="A3" s="41" t="s">
        <v>309</v>
      </c>
      <c r="B3" s="41"/>
      <c r="C3" s="54">
        <v>58.3</v>
      </c>
      <c r="D3" s="54">
        <v>56.9</v>
      </c>
      <c r="E3" s="54">
        <v>61.4</v>
      </c>
      <c r="F3" s="54"/>
      <c r="G3" s="54">
        <v>45.5</v>
      </c>
      <c r="H3" s="54">
        <v>41.7</v>
      </c>
      <c r="I3" s="54">
        <v>43.3</v>
      </c>
    </row>
    <row r="4" spans="1:9" x14ac:dyDescent="0.25">
      <c r="A4" s="41" t="s">
        <v>310</v>
      </c>
      <c r="B4" s="41"/>
      <c r="C4" s="54">
        <v>43.1</v>
      </c>
      <c r="D4" s="54">
        <v>43.1</v>
      </c>
      <c r="E4" s="54">
        <v>41.5</v>
      </c>
      <c r="F4" s="54"/>
      <c r="G4" s="54">
        <v>24.4</v>
      </c>
      <c r="H4" s="54">
        <v>23.9</v>
      </c>
      <c r="I4" s="54">
        <v>25.6</v>
      </c>
    </row>
    <row r="5" spans="1:9" x14ac:dyDescent="0.25">
      <c r="A5" s="41" t="s">
        <v>311</v>
      </c>
      <c r="B5" s="41"/>
      <c r="C5" s="54">
        <v>42.8</v>
      </c>
      <c r="D5" s="54">
        <v>42.5</v>
      </c>
      <c r="E5" s="54">
        <v>48.6</v>
      </c>
      <c r="F5" s="54"/>
      <c r="G5" s="54">
        <v>23.1</v>
      </c>
      <c r="H5" s="54">
        <v>25.2</v>
      </c>
      <c r="I5" s="54">
        <v>25.8</v>
      </c>
    </row>
    <row r="6" spans="1:9" x14ac:dyDescent="0.25">
      <c r="A6" s="41" t="s">
        <v>312</v>
      </c>
      <c r="B6" s="41"/>
      <c r="C6" s="54">
        <v>51.4</v>
      </c>
      <c r="D6" s="54">
        <v>50.5</v>
      </c>
      <c r="E6" s="54">
        <v>52.7</v>
      </c>
      <c r="F6" s="54"/>
      <c r="G6" s="54">
        <v>29.2</v>
      </c>
      <c r="H6" s="54">
        <v>31.7</v>
      </c>
      <c r="I6" s="54">
        <v>32.5</v>
      </c>
    </row>
    <row r="7" spans="1:9" x14ac:dyDescent="0.25">
      <c r="A7" s="41" t="s">
        <v>313</v>
      </c>
      <c r="B7" s="41"/>
      <c r="C7" s="54">
        <v>40.9</v>
      </c>
      <c r="D7" s="54">
        <v>41.1</v>
      </c>
      <c r="E7" s="54">
        <v>41.9</v>
      </c>
      <c r="F7" s="54"/>
      <c r="G7" s="54">
        <v>25.5</v>
      </c>
      <c r="H7" s="54">
        <v>28.3</v>
      </c>
      <c r="I7" s="54">
        <v>28</v>
      </c>
    </row>
    <row r="8" spans="1:9" x14ac:dyDescent="0.25">
      <c r="A8" s="41" t="s">
        <v>314</v>
      </c>
      <c r="B8" s="41"/>
      <c r="C8" s="54">
        <v>50.7</v>
      </c>
      <c r="D8" s="54">
        <v>50</v>
      </c>
      <c r="E8" s="54">
        <v>52.3</v>
      </c>
      <c r="F8" s="54"/>
      <c r="G8" s="54">
        <v>31.1</v>
      </c>
      <c r="H8" s="54">
        <v>33.700000000000003</v>
      </c>
      <c r="I8" s="54">
        <v>35.5</v>
      </c>
    </row>
    <row r="9" spans="1:9" x14ac:dyDescent="0.25">
      <c r="A9" s="41" t="s">
        <v>30</v>
      </c>
      <c r="B9" s="41"/>
      <c r="C9" s="54">
        <v>35.299999999999997</v>
      </c>
      <c r="D9" s="54">
        <v>35.200000000000003</v>
      </c>
      <c r="E9" s="54">
        <v>34.200000000000003</v>
      </c>
      <c r="F9" s="54"/>
      <c r="G9" s="54">
        <v>24.6</v>
      </c>
      <c r="H9" s="54">
        <v>22.6</v>
      </c>
      <c r="I9" s="54">
        <v>23.5</v>
      </c>
    </row>
    <row r="10" spans="1:9" x14ac:dyDescent="0.25">
      <c r="A10" s="41" t="s">
        <v>315</v>
      </c>
      <c r="B10" s="41"/>
      <c r="C10" s="54">
        <v>46.1</v>
      </c>
      <c r="D10" s="54">
        <v>47.2</v>
      </c>
      <c r="E10" s="54">
        <v>47.9</v>
      </c>
      <c r="F10" s="54"/>
      <c r="G10" s="54">
        <v>26.5</v>
      </c>
      <c r="H10" s="54">
        <v>27.4</v>
      </c>
      <c r="I10" s="54">
        <v>26.1</v>
      </c>
    </row>
    <row r="11" spans="1:9" x14ac:dyDescent="0.25">
      <c r="A11" s="55" t="s">
        <v>316</v>
      </c>
      <c r="B11" s="41"/>
      <c r="C11" s="54">
        <v>50.7</v>
      </c>
      <c r="D11" s="54">
        <v>49.1</v>
      </c>
      <c r="E11" s="54">
        <v>50.1</v>
      </c>
      <c r="F11" s="54"/>
      <c r="G11" s="54">
        <v>30.2</v>
      </c>
      <c r="H11" s="54">
        <v>28.6</v>
      </c>
      <c r="I11" s="54">
        <v>27</v>
      </c>
    </row>
    <row r="12" spans="1:9" x14ac:dyDescent="0.25">
      <c r="A12" s="55" t="s">
        <v>39</v>
      </c>
      <c r="B12" s="41"/>
      <c r="C12" s="54">
        <v>59.6</v>
      </c>
      <c r="D12" s="54">
        <v>58.8</v>
      </c>
      <c r="E12" s="54">
        <v>61.1</v>
      </c>
      <c r="F12" s="54"/>
      <c r="G12" s="54">
        <v>42.2</v>
      </c>
      <c r="H12" s="54">
        <v>43.7</v>
      </c>
      <c r="I12" s="54">
        <v>39</v>
      </c>
    </row>
    <row r="13" spans="1:9" x14ac:dyDescent="0.25">
      <c r="A13" s="41" t="s">
        <v>317</v>
      </c>
      <c r="B13" s="41"/>
      <c r="C13" s="54">
        <v>48.7</v>
      </c>
      <c r="D13" s="54">
        <v>46</v>
      </c>
      <c r="E13" s="54">
        <v>50</v>
      </c>
      <c r="F13" s="54"/>
      <c r="G13" s="54">
        <v>29.4</v>
      </c>
      <c r="H13" s="54">
        <v>30.2</v>
      </c>
      <c r="I13" s="54">
        <v>32.200000000000003</v>
      </c>
    </row>
    <row r="14" spans="1:9" x14ac:dyDescent="0.25">
      <c r="A14" s="41" t="s">
        <v>318</v>
      </c>
      <c r="B14" s="41"/>
      <c r="C14" s="54">
        <v>47.7</v>
      </c>
      <c r="D14" s="54">
        <v>46.9</v>
      </c>
      <c r="E14" s="54">
        <v>48.7</v>
      </c>
      <c r="F14" s="54"/>
      <c r="G14" s="54">
        <v>29.2</v>
      </c>
      <c r="H14" s="54">
        <v>30.3</v>
      </c>
      <c r="I14" s="54">
        <v>30.6</v>
      </c>
    </row>
    <row r="15" spans="1:9" x14ac:dyDescent="0.25">
      <c r="A15" s="41" t="s">
        <v>319</v>
      </c>
      <c r="B15" s="41"/>
      <c r="C15" s="54">
        <v>43</v>
      </c>
      <c r="D15" s="54">
        <v>39.1</v>
      </c>
      <c r="E15" s="54">
        <v>42.9</v>
      </c>
      <c r="F15" s="54"/>
      <c r="G15" s="54">
        <v>24.6</v>
      </c>
      <c r="H15" s="54">
        <v>25.2</v>
      </c>
      <c r="I15" s="54">
        <v>27.2</v>
      </c>
    </row>
    <row r="16" spans="1:9" x14ac:dyDescent="0.25">
      <c r="A16" s="41" t="s">
        <v>320</v>
      </c>
      <c r="B16" s="41"/>
      <c r="C16" s="54">
        <v>41.7</v>
      </c>
      <c r="D16" s="54">
        <v>45.5</v>
      </c>
      <c r="E16" s="54">
        <v>49.6</v>
      </c>
      <c r="F16" s="54"/>
      <c r="G16" s="54">
        <v>25.4</v>
      </c>
      <c r="H16" s="54">
        <v>29.2</v>
      </c>
      <c r="I16" s="54">
        <v>29.3</v>
      </c>
    </row>
    <row r="17" spans="1:9" x14ac:dyDescent="0.25">
      <c r="A17" s="41" t="s">
        <v>321</v>
      </c>
      <c r="B17" s="41"/>
      <c r="C17" s="54">
        <v>37.5</v>
      </c>
      <c r="D17" s="54">
        <v>40.700000000000003</v>
      </c>
      <c r="E17" s="54">
        <v>41.5</v>
      </c>
      <c r="F17" s="54"/>
      <c r="G17" s="54">
        <v>20.3</v>
      </c>
      <c r="H17" s="54">
        <v>23.3</v>
      </c>
      <c r="I17" s="54">
        <v>22.9</v>
      </c>
    </row>
    <row r="18" spans="1:9" x14ac:dyDescent="0.25">
      <c r="A18" s="41" t="s">
        <v>322</v>
      </c>
      <c r="B18" s="41"/>
      <c r="C18" s="54">
        <v>41.5</v>
      </c>
      <c r="D18" s="54">
        <v>37.700000000000003</v>
      </c>
      <c r="E18" s="54">
        <v>39.5</v>
      </c>
      <c r="F18" s="54"/>
      <c r="G18" s="54">
        <v>22.5</v>
      </c>
      <c r="H18" s="54">
        <v>24.3</v>
      </c>
      <c r="I18" s="54">
        <v>20.7</v>
      </c>
    </row>
    <row r="19" spans="1:9" x14ac:dyDescent="0.25">
      <c r="A19" s="41" t="s">
        <v>323</v>
      </c>
      <c r="B19" s="41"/>
      <c r="C19" s="54">
        <v>39.200000000000003</v>
      </c>
      <c r="D19" s="54">
        <v>40.200000000000003</v>
      </c>
      <c r="E19" s="54">
        <v>41.6</v>
      </c>
      <c r="F19" s="54"/>
      <c r="G19" s="54">
        <v>24.6</v>
      </c>
      <c r="H19" s="54">
        <v>28.4</v>
      </c>
      <c r="I19" s="54">
        <v>28.9</v>
      </c>
    </row>
    <row r="20" spans="1:9" x14ac:dyDescent="0.25">
      <c r="A20" s="41" t="s">
        <v>59</v>
      </c>
      <c r="B20" s="41"/>
      <c r="C20" s="54">
        <v>39.4</v>
      </c>
      <c r="D20" s="54">
        <v>41.3</v>
      </c>
      <c r="E20" s="54">
        <v>39.299999999999997</v>
      </c>
      <c r="F20" s="54"/>
      <c r="G20" s="54">
        <v>23.7</v>
      </c>
      <c r="H20" s="54">
        <v>24.7</v>
      </c>
      <c r="I20" s="54">
        <v>24.7</v>
      </c>
    </row>
    <row r="21" spans="1:9" x14ac:dyDescent="0.25">
      <c r="A21" s="41" t="s">
        <v>62</v>
      </c>
      <c r="B21" s="41"/>
      <c r="C21" s="54">
        <v>41.2</v>
      </c>
      <c r="D21" s="54">
        <v>39.4</v>
      </c>
      <c r="E21" s="54">
        <v>30.3</v>
      </c>
      <c r="F21" s="54"/>
      <c r="G21" s="54">
        <v>21.4</v>
      </c>
      <c r="H21" s="54">
        <v>22.9</v>
      </c>
      <c r="I21" s="54">
        <v>17.600000000000001</v>
      </c>
    </row>
    <row r="22" spans="1:9" x14ac:dyDescent="0.25">
      <c r="A22" s="41" t="s">
        <v>324</v>
      </c>
      <c r="B22" s="41"/>
      <c r="C22" s="54">
        <v>37.6</v>
      </c>
      <c r="D22" s="54">
        <v>39.799999999999997</v>
      </c>
      <c r="E22" s="54">
        <v>37.1</v>
      </c>
      <c r="F22" s="54"/>
      <c r="G22" s="54">
        <v>25.7</v>
      </c>
      <c r="H22" s="54">
        <v>27.1</v>
      </c>
      <c r="I22" s="54">
        <v>23</v>
      </c>
    </row>
    <row r="23" spans="1:9" x14ac:dyDescent="0.25">
      <c r="A23" s="41" t="s">
        <v>68</v>
      </c>
      <c r="B23" s="41"/>
      <c r="C23" s="54">
        <v>39.4</v>
      </c>
      <c r="D23" s="54">
        <v>37.799999999999997</v>
      </c>
      <c r="E23" s="54">
        <v>42.8</v>
      </c>
      <c r="F23" s="54"/>
      <c r="G23" s="54">
        <v>21.3</v>
      </c>
      <c r="H23" s="54">
        <v>23.7</v>
      </c>
      <c r="I23" s="54">
        <v>21.4</v>
      </c>
    </row>
    <row r="24" spans="1:9" x14ac:dyDescent="0.25">
      <c r="A24" s="41" t="s">
        <v>71</v>
      </c>
      <c r="B24" s="41"/>
      <c r="C24" s="54">
        <v>29.2</v>
      </c>
      <c r="D24" s="54">
        <v>28.6</v>
      </c>
      <c r="E24" s="54">
        <v>30.7</v>
      </c>
      <c r="F24" s="54"/>
      <c r="G24" s="54">
        <v>21.5</v>
      </c>
      <c r="H24" s="54">
        <v>20</v>
      </c>
      <c r="I24" s="54">
        <v>23.4</v>
      </c>
    </row>
    <row r="25" spans="1:9" x14ac:dyDescent="0.25">
      <c r="A25" s="41" t="s">
        <v>325</v>
      </c>
      <c r="B25" s="41"/>
      <c r="C25" s="54">
        <v>38.299999999999997</v>
      </c>
      <c r="D25" s="54">
        <v>41.1</v>
      </c>
      <c r="E25" s="54">
        <v>38.200000000000003</v>
      </c>
      <c r="F25" s="54"/>
      <c r="G25" s="54">
        <v>24.3</v>
      </c>
      <c r="H25" s="54">
        <v>21.2</v>
      </c>
      <c r="I25" s="54">
        <v>23.7</v>
      </c>
    </row>
    <row r="26" spans="1:9" x14ac:dyDescent="0.25">
      <c r="A26" s="41" t="s">
        <v>326</v>
      </c>
      <c r="B26" s="41"/>
      <c r="C26" s="54">
        <v>39.200000000000003</v>
      </c>
      <c r="D26" s="54">
        <v>39.200000000000003</v>
      </c>
      <c r="E26" s="54">
        <v>38.799999999999997</v>
      </c>
      <c r="F26" s="54"/>
      <c r="G26" s="54">
        <v>22.9</v>
      </c>
      <c r="H26" s="54">
        <v>24.3</v>
      </c>
      <c r="I26" s="54">
        <v>23.4</v>
      </c>
    </row>
    <row r="27" spans="1:9" x14ac:dyDescent="0.25">
      <c r="A27" s="41" t="s">
        <v>327</v>
      </c>
      <c r="B27" s="41"/>
      <c r="C27" s="54">
        <v>26.6</v>
      </c>
      <c r="D27" s="54">
        <v>27.8</v>
      </c>
      <c r="E27" s="54">
        <v>27.9</v>
      </c>
      <c r="F27" s="54"/>
      <c r="G27" s="54">
        <v>16.899999999999999</v>
      </c>
      <c r="H27" s="54">
        <v>17</v>
      </c>
      <c r="I27" s="54">
        <v>17.100000000000001</v>
      </c>
    </row>
    <row r="28" spans="1:9" x14ac:dyDescent="0.25">
      <c r="A28" s="41" t="s">
        <v>81</v>
      </c>
      <c r="B28" s="41"/>
      <c r="C28" s="54">
        <v>28.9</v>
      </c>
      <c r="D28" s="54">
        <v>28.8</v>
      </c>
      <c r="E28" s="54">
        <v>30.1</v>
      </c>
      <c r="F28" s="54"/>
      <c r="G28" s="54">
        <v>20</v>
      </c>
      <c r="H28" s="54">
        <v>19.8</v>
      </c>
      <c r="I28" s="54">
        <v>22.9</v>
      </c>
    </row>
    <row r="29" spans="1:9" x14ac:dyDescent="0.25">
      <c r="A29" s="41" t="s">
        <v>328</v>
      </c>
      <c r="B29" s="41"/>
      <c r="C29" s="54">
        <v>29.3</v>
      </c>
      <c r="D29" s="54">
        <v>29.3</v>
      </c>
      <c r="E29" s="54">
        <v>27.7</v>
      </c>
      <c r="F29" s="54"/>
      <c r="G29" s="54">
        <v>19.899999999999999</v>
      </c>
      <c r="H29" s="54">
        <v>18</v>
      </c>
      <c r="I29" s="54">
        <v>21.1</v>
      </c>
    </row>
    <row r="30" spans="1:9" x14ac:dyDescent="0.25">
      <c r="A30" s="41" t="s">
        <v>329</v>
      </c>
      <c r="B30" s="41"/>
      <c r="C30" s="54">
        <v>28.3</v>
      </c>
      <c r="D30" s="54">
        <v>28.6</v>
      </c>
      <c r="E30" s="54">
        <v>26.6</v>
      </c>
      <c r="F30" s="54"/>
      <c r="G30" s="54">
        <v>19.100000000000001</v>
      </c>
      <c r="H30" s="54">
        <v>18.600000000000001</v>
      </c>
      <c r="I30" s="54">
        <v>20.9</v>
      </c>
    </row>
    <row r="31" spans="1:9" x14ac:dyDescent="0.25">
      <c r="A31" s="41" t="s">
        <v>330</v>
      </c>
      <c r="B31" s="41"/>
      <c r="C31" s="54">
        <v>49.4</v>
      </c>
      <c r="D31" s="54">
        <v>47.2</v>
      </c>
      <c r="E31" s="54">
        <v>46.3</v>
      </c>
      <c r="F31" s="54"/>
      <c r="G31" s="54">
        <v>32.799999999999997</v>
      </c>
      <c r="H31" s="54">
        <v>32.200000000000003</v>
      </c>
      <c r="I31" s="54">
        <v>26.9</v>
      </c>
    </row>
    <row r="32" spans="1:9" x14ac:dyDescent="0.25">
      <c r="A32" s="41" t="s">
        <v>331</v>
      </c>
      <c r="B32" s="41"/>
      <c r="C32" s="54">
        <v>51.1</v>
      </c>
      <c r="D32" s="54">
        <v>52.1</v>
      </c>
      <c r="E32" s="54">
        <v>50</v>
      </c>
      <c r="F32" s="54"/>
      <c r="G32" s="54">
        <v>38.200000000000003</v>
      </c>
      <c r="H32" s="54">
        <v>43.3</v>
      </c>
      <c r="I32" s="54">
        <v>42</v>
      </c>
    </row>
    <row r="33" spans="1:9" x14ac:dyDescent="0.25">
      <c r="A33" s="41" t="s">
        <v>332</v>
      </c>
      <c r="B33" s="41"/>
      <c r="C33" s="54">
        <v>47.1</v>
      </c>
      <c r="D33" s="54">
        <v>44.1</v>
      </c>
      <c r="E33" s="54">
        <v>41.6</v>
      </c>
      <c r="F33" s="54"/>
      <c r="G33" s="54">
        <v>28.8</v>
      </c>
      <c r="H33" s="54">
        <v>33.5</v>
      </c>
      <c r="I33" s="54">
        <v>34</v>
      </c>
    </row>
    <row r="34" spans="1:9" x14ac:dyDescent="0.25">
      <c r="A34" s="41" t="s">
        <v>333</v>
      </c>
      <c r="B34" s="41"/>
      <c r="C34" s="54">
        <v>55.1</v>
      </c>
      <c r="D34" s="54">
        <v>50.1</v>
      </c>
      <c r="E34" s="54">
        <v>52.9</v>
      </c>
      <c r="F34" s="54"/>
      <c r="G34" s="54">
        <v>43.1</v>
      </c>
      <c r="H34" s="54">
        <v>40.1</v>
      </c>
      <c r="I34" s="54">
        <v>39.4</v>
      </c>
    </row>
    <row r="35" spans="1:9" x14ac:dyDescent="0.25">
      <c r="A35" s="41" t="s">
        <v>100</v>
      </c>
      <c r="B35" s="41"/>
      <c r="C35" s="54">
        <v>54.8</v>
      </c>
      <c r="D35" s="54">
        <v>52.2</v>
      </c>
      <c r="E35" s="54">
        <v>52</v>
      </c>
      <c r="F35" s="54"/>
      <c r="G35" s="54">
        <v>37.1</v>
      </c>
      <c r="H35" s="54">
        <v>46.8</v>
      </c>
      <c r="I35" s="54">
        <v>41.6</v>
      </c>
    </row>
    <row r="36" spans="1:9" x14ac:dyDescent="0.25">
      <c r="A36" s="41" t="s">
        <v>334</v>
      </c>
      <c r="B36" s="41"/>
      <c r="C36" s="54">
        <v>54.8</v>
      </c>
      <c r="D36" s="54">
        <v>55</v>
      </c>
      <c r="E36" s="54">
        <v>58.2</v>
      </c>
      <c r="F36" s="54"/>
      <c r="G36" s="54">
        <v>38.799999999999997</v>
      </c>
      <c r="H36" s="54">
        <v>39.200000000000003</v>
      </c>
      <c r="I36" s="54">
        <v>37.700000000000003</v>
      </c>
    </row>
    <row r="37" spans="1:9" x14ac:dyDescent="0.25">
      <c r="A37" s="41" t="s">
        <v>335</v>
      </c>
      <c r="B37" s="41"/>
      <c r="C37" s="54">
        <v>45.7</v>
      </c>
      <c r="D37" s="54">
        <v>46.7</v>
      </c>
      <c r="E37" s="54">
        <v>47.4</v>
      </c>
      <c r="F37" s="54"/>
      <c r="G37" s="54">
        <v>34.799999999999997</v>
      </c>
      <c r="H37" s="54">
        <v>34.799999999999997</v>
      </c>
      <c r="I37" s="54">
        <v>35.6</v>
      </c>
    </row>
    <row r="38" spans="1:9" x14ac:dyDescent="0.25">
      <c r="A38" s="41" t="s">
        <v>336</v>
      </c>
      <c r="B38" s="41"/>
      <c r="C38" s="54">
        <v>45.9</v>
      </c>
      <c r="D38" s="54">
        <v>49.1</v>
      </c>
      <c r="E38" s="54">
        <v>47.4</v>
      </c>
      <c r="F38" s="54"/>
      <c r="G38" s="54">
        <v>38.9</v>
      </c>
      <c r="H38" s="54">
        <v>40.700000000000003</v>
      </c>
      <c r="I38" s="54">
        <v>37.6</v>
      </c>
    </row>
    <row r="39" spans="1:9" x14ac:dyDescent="0.25">
      <c r="A39" s="41" t="s">
        <v>337</v>
      </c>
      <c r="B39" s="41"/>
      <c r="C39" s="54">
        <v>47.2</v>
      </c>
      <c r="D39" s="54">
        <v>47.9</v>
      </c>
      <c r="E39" s="54">
        <v>45.4</v>
      </c>
      <c r="F39" s="54"/>
      <c r="G39" s="54">
        <v>29.1</v>
      </c>
      <c r="H39" s="54">
        <v>38.6</v>
      </c>
      <c r="I39" s="54">
        <v>40.700000000000003</v>
      </c>
    </row>
    <row r="40" spans="1:9" x14ac:dyDescent="0.25">
      <c r="A40" s="41" t="s">
        <v>338</v>
      </c>
      <c r="B40" s="41"/>
      <c r="C40" s="54">
        <v>47.4</v>
      </c>
      <c r="D40" s="54">
        <v>44.4</v>
      </c>
      <c r="E40" s="54">
        <v>47.1</v>
      </c>
      <c r="F40" s="54"/>
      <c r="G40" s="54">
        <v>34.9</v>
      </c>
      <c r="H40" s="54">
        <v>34.799999999999997</v>
      </c>
      <c r="I40" s="54">
        <v>31.4</v>
      </c>
    </row>
    <row r="41" spans="1:9" x14ac:dyDescent="0.25">
      <c r="A41" s="41" t="s">
        <v>339</v>
      </c>
      <c r="B41" s="41"/>
      <c r="C41" s="54">
        <v>47.7</v>
      </c>
      <c r="D41" s="54">
        <v>45.8</v>
      </c>
      <c r="E41" s="54">
        <v>45</v>
      </c>
      <c r="F41" s="54"/>
      <c r="G41" s="54">
        <v>39.200000000000003</v>
      </c>
      <c r="H41" s="54">
        <v>41.8</v>
      </c>
      <c r="I41" s="54">
        <v>39.5</v>
      </c>
    </row>
    <row r="42" spans="1:9" x14ac:dyDescent="0.25">
      <c r="A42" s="41" t="s">
        <v>340</v>
      </c>
      <c r="B42" s="41"/>
      <c r="C42" s="54">
        <v>37.4</v>
      </c>
      <c r="D42" s="54">
        <v>40.6</v>
      </c>
      <c r="E42" s="54">
        <v>41.4</v>
      </c>
      <c r="F42" s="54"/>
      <c r="G42" s="54">
        <v>33.299999999999997</v>
      </c>
      <c r="H42" s="54">
        <v>36.9</v>
      </c>
      <c r="I42" s="54">
        <v>37.4</v>
      </c>
    </row>
    <row r="43" spans="1:9" x14ac:dyDescent="0.25">
      <c r="A43" s="41" t="s">
        <v>341</v>
      </c>
      <c r="B43" s="41"/>
      <c r="C43" s="54">
        <v>51.4</v>
      </c>
      <c r="D43" s="54">
        <v>53</v>
      </c>
      <c r="E43" s="54">
        <v>52.6</v>
      </c>
      <c r="F43" s="54"/>
      <c r="G43" s="54">
        <v>43.1</v>
      </c>
      <c r="H43" s="54">
        <v>44.6</v>
      </c>
      <c r="I43" s="54">
        <v>43.5</v>
      </c>
    </row>
    <row r="44" spans="1:9" x14ac:dyDescent="0.25">
      <c r="A44" s="41" t="s">
        <v>342</v>
      </c>
      <c r="B44" s="41"/>
      <c r="C44" s="54">
        <v>45.1</v>
      </c>
      <c r="D44" s="54">
        <v>43.1</v>
      </c>
      <c r="E44" s="54">
        <v>42</v>
      </c>
      <c r="F44" s="54"/>
      <c r="G44" s="54">
        <v>29.4</v>
      </c>
      <c r="H44" s="54">
        <v>31.9</v>
      </c>
      <c r="I44" s="54">
        <v>35.4</v>
      </c>
    </row>
    <row r="45" spans="1:9" x14ac:dyDescent="0.25">
      <c r="A45" s="41" t="s">
        <v>343</v>
      </c>
      <c r="B45" s="41"/>
      <c r="C45" s="54">
        <v>47.9</v>
      </c>
      <c r="D45" s="54">
        <v>47.9</v>
      </c>
      <c r="E45" s="54">
        <v>46.3</v>
      </c>
      <c r="F45" s="54"/>
      <c r="G45" s="54">
        <v>35.200000000000003</v>
      </c>
      <c r="H45" s="54">
        <v>38.9</v>
      </c>
      <c r="I45" s="54">
        <v>38.799999999999997</v>
      </c>
    </row>
    <row r="46" spans="1:9" x14ac:dyDescent="0.25">
      <c r="A46" s="41" t="s">
        <v>130</v>
      </c>
      <c r="B46" s="41"/>
      <c r="C46" s="54">
        <v>51.6</v>
      </c>
      <c r="D46" s="54">
        <v>50.6</v>
      </c>
      <c r="E46" s="54">
        <v>52.8</v>
      </c>
      <c r="F46" s="54"/>
      <c r="G46" s="54">
        <v>42.2</v>
      </c>
      <c r="H46" s="54">
        <v>40.6</v>
      </c>
      <c r="I46" s="54">
        <v>39.9</v>
      </c>
    </row>
    <row r="47" spans="1:9" x14ac:dyDescent="0.25">
      <c r="A47" s="41" t="s">
        <v>133</v>
      </c>
      <c r="B47" s="41"/>
      <c r="C47" s="54">
        <v>49.1</v>
      </c>
      <c r="D47" s="54">
        <v>50</v>
      </c>
      <c r="E47" s="54">
        <v>52.5</v>
      </c>
      <c r="F47" s="54"/>
      <c r="G47" s="54">
        <v>46.2</v>
      </c>
      <c r="H47" s="54">
        <v>40</v>
      </c>
      <c r="I47" s="54">
        <v>39.6</v>
      </c>
    </row>
    <row r="48" spans="1:9" x14ac:dyDescent="0.25">
      <c r="A48" s="41" t="s">
        <v>136</v>
      </c>
      <c r="B48" s="41"/>
      <c r="C48" s="54">
        <v>55.8</v>
      </c>
      <c r="D48" s="54">
        <v>54.5</v>
      </c>
      <c r="E48" s="54">
        <v>53.9</v>
      </c>
      <c r="F48" s="54"/>
      <c r="G48" s="54">
        <v>41.7</v>
      </c>
      <c r="H48" s="54">
        <v>48.7</v>
      </c>
      <c r="I48" s="54">
        <v>42.5</v>
      </c>
    </row>
    <row r="49" spans="1:9" x14ac:dyDescent="0.25">
      <c r="A49" s="41" t="s">
        <v>344</v>
      </c>
      <c r="B49" s="41"/>
      <c r="C49" s="54">
        <v>45.7</v>
      </c>
      <c r="D49" s="54">
        <v>44.1</v>
      </c>
      <c r="E49" s="54">
        <v>48.5</v>
      </c>
      <c r="F49" s="54"/>
      <c r="G49" s="54">
        <v>28.3</v>
      </c>
      <c r="H49" s="54">
        <v>32.4</v>
      </c>
      <c r="I49" s="54">
        <v>28</v>
      </c>
    </row>
    <row r="50" spans="1:9" x14ac:dyDescent="0.25">
      <c r="A50" s="41" t="s">
        <v>345</v>
      </c>
      <c r="B50" s="41"/>
      <c r="C50" s="54">
        <v>50.9</v>
      </c>
      <c r="D50" s="54">
        <v>48.9</v>
      </c>
      <c r="E50" s="54">
        <v>47.8</v>
      </c>
      <c r="F50" s="54"/>
      <c r="G50" s="54">
        <v>28.7</v>
      </c>
      <c r="H50" s="54">
        <v>31.5</v>
      </c>
      <c r="I50" s="54">
        <v>34.700000000000003</v>
      </c>
    </row>
    <row r="51" spans="1:9" x14ac:dyDescent="0.25">
      <c r="A51" s="41" t="s">
        <v>346</v>
      </c>
      <c r="B51" s="41"/>
      <c r="C51" s="54">
        <v>47.2</v>
      </c>
      <c r="D51" s="54">
        <v>48.9</v>
      </c>
      <c r="E51" s="54">
        <v>47.3</v>
      </c>
      <c r="F51" s="54"/>
      <c r="G51" s="54">
        <v>33.799999999999997</v>
      </c>
      <c r="H51" s="54">
        <v>36.5</v>
      </c>
      <c r="I51" s="54">
        <v>32.4</v>
      </c>
    </row>
    <row r="52" spans="1:9" x14ac:dyDescent="0.25">
      <c r="A52" s="41" t="s">
        <v>347</v>
      </c>
      <c r="B52" s="41"/>
      <c r="C52" s="54">
        <v>55.4</v>
      </c>
      <c r="D52" s="54">
        <v>56.4</v>
      </c>
      <c r="E52" s="54">
        <v>56.9</v>
      </c>
      <c r="F52" s="54"/>
      <c r="G52" s="54">
        <v>39.5</v>
      </c>
      <c r="H52" s="54">
        <v>40.200000000000003</v>
      </c>
      <c r="I52" s="54">
        <v>40.700000000000003</v>
      </c>
    </row>
    <row r="53" spans="1:9" x14ac:dyDescent="0.25">
      <c r="A53" s="41" t="s">
        <v>348</v>
      </c>
      <c r="B53" s="41"/>
      <c r="C53" s="54">
        <v>49.4</v>
      </c>
      <c r="D53" s="54">
        <v>44.8</v>
      </c>
      <c r="E53" s="54">
        <v>40.4</v>
      </c>
      <c r="F53" s="54"/>
      <c r="G53" s="54">
        <v>38</v>
      </c>
      <c r="H53" s="54">
        <v>36.799999999999997</v>
      </c>
      <c r="I53" s="54">
        <v>33.700000000000003</v>
      </c>
    </row>
    <row r="54" spans="1:9" x14ac:dyDescent="0.25">
      <c r="A54" s="41" t="s">
        <v>349</v>
      </c>
      <c r="B54" s="41"/>
      <c r="C54" s="54">
        <v>30.2</v>
      </c>
      <c r="D54" s="54">
        <v>29.9</v>
      </c>
      <c r="E54" s="54">
        <v>28.5</v>
      </c>
      <c r="F54" s="54"/>
      <c r="G54" s="54">
        <v>26.6</v>
      </c>
      <c r="H54" s="54">
        <v>25.6</v>
      </c>
      <c r="I54" s="54">
        <v>27.8</v>
      </c>
    </row>
    <row r="55" spans="1:9" x14ac:dyDescent="0.25">
      <c r="A55" s="41" t="s">
        <v>156</v>
      </c>
      <c r="B55" s="41"/>
      <c r="C55" s="54">
        <v>51.8</v>
      </c>
      <c r="D55" s="54">
        <v>51.1</v>
      </c>
      <c r="E55" s="54">
        <v>52.3</v>
      </c>
      <c r="F55" s="54"/>
      <c r="G55" s="54">
        <v>43</v>
      </c>
      <c r="H55" s="54">
        <v>39.299999999999997</v>
      </c>
      <c r="I55" s="54">
        <v>36.6</v>
      </c>
    </row>
    <row r="56" spans="1:9" x14ac:dyDescent="0.25">
      <c r="A56" s="41" t="s">
        <v>159</v>
      </c>
      <c r="B56" s="41"/>
      <c r="C56" s="54">
        <v>46.2</v>
      </c>
      <c r="D56" s="54">
        <v>46.7</v>
      </c>
      <c r="E56" s="54">
        <v>48.8</v>
      </c>
      <c r="F56" s="54"/>
      <c r="G56" s="54">
        <v>38</v>
      </c>
      <c r="H56" s="54">
        <v>39.4</v>
      </c>
      <c r="I56" s="54">
        <v>34.799999999999997</v>
      </c>
    </row>
    <row r="57" spans="1:9" x14ac:dyDescent="0.25">
      <c r="A57" s="41" t="s">
        <v>162</v>
      </c>
      <c r="B57" s="41"/>
      <c r="C57" s="54">
        <v>54.7</v>
      </c>
      <c r="D57" s="54">
        <v>54</v>
      </c>
      <c r="E57" s="54">
        <v>52.6</v>
      </c>
      <c r="F57" s="54"/>
      <c r="G57" s="54">
        <v>39.299999999999997</v>
      </c>
      <c r="H57" s="54">
        <v>39.9</v>
      </c>
      <c r="I57" s="54">
        <v>39.700000000000003</v>
      </c>
    </row>
    <row r="58" spans="1:9" x14ac:dyDescent="0.25">
      <c r="A58" s="41" t="s">
        <v>165</v>
      </c>
      <c r="B58" s="41"/>
      <c r="C58" s="54">
        <v>49</v>
      </c>
      <c r="D58" s="54">
        <v>52.1</v>
      </c>
      <c r="E58" s="54">
        <v>53.1</v>
      </c>
      <c r="F58" s="54"/>
      <c r="G58" s="54">
        <v>30</v>
      </c>
      <c r="H58" s="54">
        <v>30.6</v>
      </c>
      <c r="I58" s="54">
        <v>30.1</v>
      </c>
    </row>
    <row r="59" spans="1:9" x14ac:dyDescent="0.25">
      <c r="A59" s="41" t="s">
        <v>168</v>
      </c>
      <c r="B59" s="41"/>
      <c r="C59" s="54">
        <v>47.9</v>
      </c>
      <c r="D59" s="54">
        <v>46.5</v>
      </c>
      <c r="E59" s="54">
        <v>49.8</v>
      </c>
      <c r="F59" s="54"/>
      <c r="G59" s="54">
        <v>39.4</v>
      </c>
      <c r="H59" s="54">
        <v>36.4</v>
      </c>
      <c r="I59" s="54">
        <v>35.700000000000003</v>
      </c>
    </row>
    <row r="60" spans="1:9" x14ac:dyDescent="0.25">
      <c r="A60" s="41" t="s">
        <v>350</v>
      </c>
      <c r="B60" s="41"/>
      <c r="C60" s="54">
        <v>45.7</v>
      </c>
      <c r="D60" s="54">
        <v>46</v>
      </c>
      <c r="E60" s="54">
        <v>44</v>
      </c>
      <c r="F60" s="54"/>
      <c r="G60" s="54">
        <v>30.3</v>
      </c>
      <c r="H60" s="54">
        <v>34.1</v>
      </c>
      <c r="I60" s="54">
        <v>36.1</v>
      </c>
    </row>
    <row r="61" spans="1:9" x14ac:dyDescent="0.25">
      <c r="A61" s="41" t="s">
        <v>174</v>
      </c>
      <c r="B61" s="41"/>
      <c r="C61" s="54">
        <v>50.3</v>
      </c>
      <c r="D61" s="54">
        <v>52.3</v>
      </c>
      <c r="E61" s="54">
        <v>49.7</v>
      </c>
      <c r="F61" s="54"/>
      <c r="G61" s="54">
        <v>44.2</v>
      </c>
      <c r="H61" s="54">
        <v>39.799999999999997</v>
      </c>
      <c r="I61" s="54">
        <v>46.7</v>
      </c>
    </row>
    <row r="62" spans="1:9" x14ac:dyDescent="0.25">
      <c r="A62" s="41" t="s">
        <v>177</v>
      </c>
      <c r="B62" s="41"/>
      <c r="C62" s="54">
        <v>49.3</v>
      </c>
      <c r="D62" s="54">
        <v>47.4</v>
      </c>
      <c r="E62" s="54">
        <v>47.5</v>
      </c>
      <c r="F62" s="54"/>
      <c r="G62" s="54">
        <v>32.4</v>
      </c>
      <c r="H62" s="54">
        <v>32.6</v>
      </c>
      <c r="I62" s="54">
        <v>29.5</v>
      </c>
    </row>
    <row r="63" spans="1:9" x14ac:dyDescent="0.25">
      <c r="A63" s="41" t="s">
        <v>180</v>
      </c>
      <c r="B63" s="41"/>
      <c r="C63" s="54">
        <v>45.2</v>
      </c>
      <c r="D63" s="54">
        <v>48.1</v>
      </c>
      <c r="E63" s="54">
        <v>51.3</v>
      </c>
      <c r="F63" s="54"/>
      <c r="G63" s="54">
        <v>35.299999999999997</v>
      </c>
      <c r="H63" s="54">
        <v>37.700000000000003</v>
      </c>
      <c r="I63" s="54">
        <v>36.799999999999997</v>
      </c>
    </row>
    <row r="64" spans="1:9" x14ac:dyDescent="0.25">
      <c r="A64" s="41" t="s">
        <v>351</v>
      </c>
      <c r="B64" s="41"/>
      <c r="C64" s="54">
        <v>57.8</v>
      </c>
      <c r="D64" s="54">
        <v>52.7</v>
      </c>
      <c r="E64" s="54">
        <v>58.3</v>
      </c>
      <c r="F64" s="54"/>
      <c r="G64" s="54">
        <v>32.6</v>
      </c>
      <c r="H64" s="54">
        <v>32.5</v>
      </c>
      <c r="I64" s="54">
        <v>30.7</v>
      </c>
    </row>
    <row r="65" spans="1:9" x14ac:dyDescent="0.25">
      <c r="A65" s="41" t="s">
        <v>352</v>
      </c>
      <c r="B65" s="41"/>
      <c r="C65" s="54">
        <v>41.9</v>
      </c>
      <c r="D65" s="54">
        <v>40.9</v>
      </c>
      <c r="E65" s="54">
        <v>34.799999999999997</v>
      </c>
      <c r="F65" s="54"/>
      <c r="G65" s="54">
        <v>34.1</v>
      </c>
      <c r="H65" s="54">
        <v>31.6</v>
      </c>
      <c r="I65" s="54">
        <v>28.8</v>
      </c>
    </row>
    <row r="66" spans="1:9" x14ac:dyDescent="0.25">
      <c r="A66" s="41" t="s">
        <v>353</v>
      </c>
      <c r="B66" s="41"/>
      <c r="C66" s="54">
        <v>37.9</v>
      </c>
      <c r="D66" s="54">
        <v>37.1</v>
      </c>
      <c r="E66" s="54">
        <v>39.1</v>
      </c>
      <c r="F66" s="54"/>
      <c r="G66" s="54">
        <v>27.4</v>
      </c>
      <c r="H66" s="54">
        <v>28.4</v>
      </c>
      <c r="I66" s="54">
        <v>27.2</v>
      </c>
    </row>
    <row r="67" spans="1:9" x14ac:dyDescent="0.25">
      <c r="A67" s="41" t="s">
        <v>354</v>
      </c>
      <c r="B67" s="41"/>
      <c r="C67" s="54">
        <v>48.4</v>
      </c>
      <c r="D67" s="54">
        <v>46.9</v>
      </c>
      <c r="E67" s="54">
        <v>48.7</v>
      </c>
      <c r="F67" s="54"/>
      <c r="G67" s="54">
        <v>34.4</v>
      </c>
      <c r="H67" s="54">
        <v>34.4</v>
      </c>
      <c r="I67" s="54">
        <v>31.4</v>
      </c>
    </row>
    <row r="68" spans="1:9" x14ac:dyDescent="0.25">
      <c r="A68" s="41" t="s">
        <v>191</v>
      </c>
      <c r="B68" s="41"/>
      <c r="C68" s="54">
        <v>39.1</v>
      </c>
      <c r="D68" s="54">
        <v>36.9</v>
      </c>
      <c r="E68" s="54">
        <v>34.700000000000003</v>
      </c>
      <c r="F68" s="54"/>
      <c r="G68" s="54">
        <v>27.7</v>
      </c>
      <c r="H68" s="54">
        <v>32.6</v>
      </c>
      <c r="I68" s="54">
        <v>34.5</v>
      </c>
    </row>
    <row r="69" spans="1:9" x14ac:dyDescent="0.25">
      <c r="A69" s="41" t="s">
        <v>355</v>
      </c>
      <c r="B69" s="41"/>
      <c r="C69" s="54">
        <v>49.3</v>
      </c>
      <c r="D69" s="54">
        <v>48.5</v>
      </c>
      <c r="E69" s="54">
        <v>49.2</v>
      </c>
      <c r="F69" s="54"/>
      <c r="G69" s="54">
        <v>36.4</v>
      </c>
      <c r="H69" s="54">
        <v>37.6</v>
      </c>
      <c r="I69" s="54">
        <v>36.1</v>
      </c>
    </row>
    <row r="70" spans="1:9" x14ac:dyDescent="0.25">
      <c r="A70" s="41" t="s">
        <v>356</v>
      </c>
      <c r="B70" s="41"/>
      <c r="C70" s="54">
        <v>58.1</v>
      </c>
      <c r="D70" s="54">
        <v>56.1</v>
      </c>
      <c r="E70" s="54">
        <v>58.5</v>
      </c>
      <c r="F70" s="54"/>
      <c r="G70" s="54">
        <v>39.1</v>
      </c>
      <c r="H70" s="54">
        <v>33.200000000000003</v>
      </c>
      <c r="I70" s="54">
        <v>36.9</v>
      </c>
    </row>
    <row r="71" spans="1:9" x14ac:dyDescent="0.25">
      <c r="A71" s="41" t="s">
        <v>357</v>
      </c>
      <c r="B71" s="41"/>
      <c r="C71" s="54">
        <v>47.7</v>
      </c>
      <c r="D71" s="54">
        <v>46.8</v>
      </c>
      <c r="E71" s="54">
        <v>47.7</v>
      </c>
      <c r="F71" s="54"/>
      <c r="G71" s="54">
        <v>33.299999999999997</v>
      </c>
      <c r="H71" s="54">
        <v>34.200000000000003</v>
      </c>
      <c r="I71" s="54">
        <v>33.4</v>
      </c>
    </row>
    <row r="72" spans="1:9" x14ac:dyDescent="0.25">
      <c r="A72" s="41" t="s">
        <v>358</v>
      </c>
      <c r="B72" s="41"/>
      <c r="C72" s="54">
        <v>24.4</v>
      </c>
      <c r="D72" s="54">
        <v>28</v>
      </c>
      <c r="E72" s="54">
        <v>21.1</v>
      </c>
      <c r="F72" s="54"/>
      <c r="G72" s="54">
        <v>22.5</v>
      </c>
      <c r="H72" s="54">
        <v>23.7</v>
      </c>
      <c r="I72" s="54">
        <v>18.600000000000001</v>
      </c>
    </row>
    <row r="73" spans="1:9" x14ac:dyDescent="0.25">
      <c r="A73" s="41" t="s">
        <v>359</v>
      </c>
      <c r="B73" s="41"/>
      <c r="C73" s="56" t="s">
        <v>360</v>
      </c>
      <c r="D73" s="56" t="s">
        <v>360</v>
      </c>
      <c r="E73" s="56" t="s">
        <v>360</v>
      </c>
      <c r="F73" s="56"/>
      <c r="G73" s="56" t="s">
        <v>360</v>
      </c>
      <c r="H73" s="56" t="s">
        <v>360</v>
      </c>
      <c r="I73" s="56" t="s">
        <v>360</v>
      </c>
    </row>
    <row r="74" spans="1:9" x14ac:dyDescent="0.25">
      <c r="A74" s="41" t="s">
        <v>361</v>
      </c>
      <c r="B74" s="41"/>
      <c r="C74" s="54">
        <v>28.4</v>
      </c>
      <c r="D74" s="54">
        <v>25.1</v>
      </c>
      <c r="E74" s="54">
        <v>27.2</v>
      </c>
      <c r="F74" s="54"/>
      <c r="G74" s="54">
        <v>20.399999999999999</v>
      </c>
      <c r="H74" s="54">
        <v>18.5</v>
      </c>
      <c r="I74" s="54">
        <v>16.7</v>
      </c>
    </row>
    <row r="75" spans="1:9" x14ac:dyDescent="0.25">
      <c r="A75" s="41" t="s">
        <v>362</v>
      </c>
      <c r="B75" s="41"/>
      <c r="C75" s="56" t="s">
        <v>360</v>
      </c>
      <c r="D75" s="56" t="s">
        <v>360</v>
      </c>
      <c r="E75" s="56" t="s">
        <v>360</v>
      </c>
      <c r="F75" s="56"/>
      <c r="G75" s="56" t="s">
        <v>360</v>
      </c>
      <c r="H75" s="56" t="s">
        <v>360</v>
      </c>
      <c r="I75" s="56" t="s">
        <v>360</v>
      </c>
    </row>
    <row r="76" spans="1:9" x14ac:dyDescent="0.25">
      <c r="A76" s="41" t="s">
        <v>363</v>
      </c>
      <c r="B76" s="41"/>
      <c r="C76" s="54">
        <v>59.1</v>
      </c>
      <c r="D76" s="54">
        <v>60.8</v>
      </c>
      <c r="E76" s="54">
        <v>60.8</v>
      </c>
      <c r="F76" s="54"/>
      <c r="G76" s="54">
        <v>43.1</v>
      </c>
      <c r="H76" s="54">
        <v>42.6</v>
      </c>
      <c r="I76" s="54">
        <v>40.299999999999997</v>
      </c>
    </row>
    <row r="77" spans="1:9" x14ac:dyDescent="0.25">
      <c r="A77" s="41" t="s">
        <v>364</v>
      </c>
      <c r="B77" s="41"/>
      <c r="C77" s="54">
        <v>32.4</v>
      </c>
      <c r="D77" s="54">
        <v>31.5</v>
      </c>
      <c r="E77" s="54">
        <v>30</v>
      </c>
      <c r="F77" s="54"/>
      <c r="G77" s="54">
        <v>17.899999999999999</v>
      </c>
      <c r="H77" s="54">
        <v>19.8</v>
      </c>
      <c r="I77" s="54">
        <v>17.600000000000001</v>
      </c>
    </row>
    <row r="78" spans="1:9" x14ac:dyDescent="0.25">
      <c r="A78" s="41" t="s">
        <v>365</v>
      </c>
      <c r="B78" s="41"/>
      <c r="C78" s="54">
        <v>62.5</v>
      </c>
      <c r="D78" s="54">
        <v>66.2</v>
      </c>
      <c r="E78" s="54">
        <v>61.1</v>
      </c>
      <c r="F78" s="54"/>
      <c r="G78" s="54">
        <v>52.3</v>
      </c>
      <c r="H78" s="54">
        <v>45.8</v>
      </c>
      <c r="I78" s="54">
        <v>44.9</v>
      </c>
    </row>
    <row r="79" spans="1:9" x14ac:dyDescent="0.25">
      <c r="A79" s="41" t="s">
        <v>366</v>
      </c>
      <c r="B79" s="41"/>
      <c r="C79" s="54">
        <v>35.4</v>
      </c>
      <c r="D79" s="54">
        <v>34.799999999999997</v>
      </c>
      <c r="E79" s="54">
        <v>29.1</v>
      </c>
      <c r="F79" s="54"/>
      <c r="G79" s="54">
        <v>21.9</v>
      </c>
      <c r="H79" s="54">
        <v>23.3</v>
      </c>
      <c r="I79" s="54">
        <v>20.6</v>
      </c>
    </row>
    <row r="80" spans="1:9" x14ac:dyDescent="0.25">
      <c r="A80" s="41" t="s">
        <v>367</v>
      </c>
      <c r="B80" s="41"/>
      <c r="C80" s="54">
        <v>36.700000000000003</v>
      </c>
      <c r="D80" s="54">
        <v>33.700000000000003</v>
      </c>
      <c r="E80" s="54">
        <v>35.700000000000003</v>
      </c>
      <c r="F80" s="54"/>
      <c r="G80" s="54">
        <v>24.3</v>
      </c>
      <c r="H80" s="54">
        <v>23.9</v>
      </c>
      <c r="I80" s="54">
        <v>23.1</v>
      </c>
    </row>
    <row r="81" spans="1:9" x14ac:dyDescent="0.25">
      <c r="A81" s="41" t="s">
        <v>368</v>
      </c>
      <c r="B81" s="41"/>
      <c r="C81" s="54">
        <v>31.4</v>
      </c>
      <c r="D81" s="54">
        <v>33.1</v>
      </c>
      <c r="E81" s="54">
        <v>34.5</v>
      </c>
      <c r="F81" s="54"/>
      <c r="G81" s="54">
        <v>19.3</v>
      </c>
      <c r="H81" s="54">
        <v>19.7</v>
      </c>
      <c r="I81" s="54">
        <v>24.7</v>
      </c>
    </row>
    <row r="82" spans="1:9" x14ac:dyDescent="0.25">
      <c r="A82" s="41" t="s">
        <v>369</v>
      </c>
      <c r="B82" s="41"/>
      <c r="C82" s="54">
        <v>40.4</v>
      </c>
      <c r="D82" s="54">
        <v>38.799999999999997</v>
      </c>
      <c r="E82" s="54">
        <v>36</v>
      </c>
      <c r="F82" s="54"/>
      <c r="G82" s="54">
        <v>28.8</v>
      </c>
      <c r="H82" s="54">
        <v>27.2</v>
      </c>
      <c r="I82" s="54">
        <v>25.7</v>
      </c>
    </row>
    <row r="83" spans="1:9" x14ac:dyDescent="0.25">
      <c r="A83" s="41" t="s">
        <v>370</v>
      </c>
      <c r="B83" s="41"/>
      <c r="C83" s="56" t="s">
        <v>360</v>
      </c>
      <c r="D83" s="56" t="s">
        <v>360</v>
      </c>
      <c r="E83" s="56" t="s">
        <v>360</v>
      </c>
      <c r="F83" s="56"/>
      <c r="G83" s="56" t="s">
        <v>360</v>
      </c>
      <c r="H83" s="56" t="s">
        <v>360</v>
      </c>
      <c r="I83" s="56" t="s">
        <v>360</v>
      </c>
    </row>
    <row r="84" spans="1:9" x14ac:dyDescent="0.25">
      <c r="A84" s="41" t="s">
        <v>371</v>
      </c>
      <c r="B84" s="41"/>
      <c r="C84" s="54">
        <v>52.1</v>
      </c>
      <c r="D84" s="54">
        <v>47.5</v>
      </c>
      <c r="E84" s="54">
        <v>49.1</v>
      </c>
      <c r="F84" s="54"/>
      <c r="G84" s="54">
        <v>33</v>
      </c>
      <c r="H84" s="54">
        <v>35.700000000000003</v>
      </c>
      <c r="I84" s="54">
        <v>35.700000000000003</v>
      </c>
    </row>
    <row r="85" spans="1:9" x14ac:dyDescent="0.25">
      <c r="A85" s="41" t="s">
        <v>372</v>
      </c>
      <c r="B85" s="41"/>
      <c r="C85" s="54">
        <v>36.299999999999997</v>
      </c>
      <c r="D85" s="54">
        <v>29</v>
      </c>
      <c r="E85" s="54">
        <v>36.6</v>
      </c>
      <c r="F85" s="54"/>
      <c r="G85" s="54">
        <v>21.1</v>
      </c>
      <c r="H85" s="54">
        <v>16.600000000000001</v>
      </c>
      <c r="I85" s="54">
        <v>28.2</v>
      </c>
    </row>
    <row r="86" spans="1:9" x14ac:dyDescent="0.25">
      <c r="A86" s="41" t="s">
        <v>373</v>
      </c>
      <c r="B86" s="41"/>
      <c r="C86" s="54">
        <v>46</v>
      </c>
      <c r="D86" s="54">
        <v>45.2</v>
      </c>
      <c r="E86" s="54">
        <v>48.6</v>
      </c>
      <c r="F86" s="54"/>
      <c r="G86" s="54">
        <v>32.6</v>
      </c>
      <c r="H86" s="54">
        <v>31.4</v>
      </c>
      <c r="I86" s="54">
        <v>37.4</v>
      </c>
    </row>
    <row r="87" spans="1:9" x14ac:dyDescent="0.25">
      <c r="A87" s="41" t="s">
        <v>374</v>
      </c>
      <c r="B87" s="41"/>
      <c r="C87" s="56" t="s">
        <v>360</v>
      </c>
      <c r="D87" s="56" t="s">
        <v>360</v>
      </c>
      <c r="E87" s="54">
        <v>34.1</v>
      </c>
      <c r="F87" s="54"/>
      <c r="G87" s="56" t="s">
        <v>360</v>
      </c>
      <c r="H87" s="56" t="s">
        <v>360</v>
      </c>
      <c r="I87" s="54">
        <v>21.8</v>
      </c>
    </row>
    <row r="88" spans="1:9" x14ac:dyDescent="0.25">
      <c r="A88" s="41" t="s">
        <v>375</v>
      </c>
      <c r="B88" s="41"/>
      <c r="C88" s="54">
        <v>51.8</v>
      </c>
      <c r="D88" s="54">
        <v>52.3</v>
      </c>
      <c r="E88" s="54">
        <v>51.1</v>
      </c>
      <c r="F88" s="54"/>
      <c r="G88" s="54">
        <v>43</v>
      </c>
      <c r="H88" s="54">
        <v>41.3</v>
      </c>
      <c r="I88" s="54">
        <v>42</v>
      </c>
    </row>
    <row r="89" spans="1:9" x14ac:dyDescent="0.25">
      <c r="A89" s="41" t="s">
        <v>376</v>
      </c>
      <c r="B89" s="41"/>
      <c r="C89" s="54">
        <v>44</v>
      </c>
      <c r="D89" s="54">
        <v>47.5</v>
      </c>
      <c r="E89" s="54">
        <v>44.7</v>
      </c>
      <c r="F89" s="54"/>
      <c r="G89" s="54">
        <v>24.5</v>
      </c>
      <c r="H89" s="54">
        <v>27</v>
      </c>
      <c r="I89" s="54">
        <v>25.7</v>
      </c>
    </row>
    <row r="90" spans="1:9" x14ac:dyDescent="0.25">
      <c r="A90" s="41" t="s">
        <v>377</v>
      </c>
      <c r="B90" s="41"/>
      <c r="C90" s="54">
        <v>30.9</v>
      </c>
      <c r="D90" s="54">
        <v>31.8</v>
      </c>
      <c r="E90" s="54">
        <v>30.8</v>
      </c>
      <c r="F90" s="54"/>
      <c r="G90" s="54">
        <v>18.5</v>
      </c>
      <c r="H90" s="54">
        <v>20</v>
      </c>
      <c r="I90" s="54">
        <v>33.9</v>
      </c>
    </row>
    <row r="91" spans="1:9" x14ac:dyDescent="0.25">
      <c r="A91" s="41" t="s">
        <v>378</v>
      </c>
      <c r="B91" s="41"/>
      <c r="C91" s="54">
        <v>19.7</v>
      </c>
      <c r="D91" s="54">
        <v>20.100000000000001</v>
      </c>
      <c r="E91" s="54">
        <v>21</v>
      </c>
      <c r="F91" s="54"/>
      <c r="G91" s="54">
        <v>19.7</v>
      </c>
      <c r="H91" s="54">
        <v>19.7</v>
      </c>
      <c r="I91" s="54">
        <v>19.3</v>
      </c>
    </row>
    <row r="92" spans="1:9" x14ac:dyDescent="0.25">
      <c r="A92" s="41" t="s">
        <v>379</v>
      </c>
      <c r="B92" s="41"/>
      <c r="C92" s="54">
        <v>45.6</v>
      </c>
      <c r="D92" s="54">
        <v>45.5</v>
      </c>
      <c r="E92" s="54">
        <v>45.6</v>
      </c>
      <c r="F92" s="54"/>
      <c r="G92" s="54">
        <v>32.1</v>
      </c>
      <c r="H92" s="54">
        <v>31</v>
      </c>
      <c r="I92" s="54">
        <v>33.5</v>
      </c>
    </row>
    <row r="93" spans="1:9" x14ac:dyDescent="0.25">
      <c r="A93" s="41" t="s">
        <v>380</v>
      </c>
      <c r="B93" s="41"/>
      <c r="C93" s="54">
        <v>30.2</v>
      </c>
      <c r="D93" s="54">
        <v>29.5</v>
      </c>
      <c r="E93" s="54">
        <v>31.7</v>
      </c>
      <c r="F93" s="54"/>
      <c r="G93" s="54">
        <v>26.8</v>
      </c>
      <c r="H93" s="54">
        <v>19.899999999999999</v>
      </c>
      <c r="I93" s="54">
        <v>22.5</v>
      </c>
    </row>
    <row r="94" spans="1:9" x14ac:dyDescent="0.25">
      <c r="A94" s="41" t="s">
        <v>381</v>
      </c>
      <c r="B94" s="41"/>
      <c r="C94" s="56" t="s">
        <v>360</v>
      </c>
      <c r="D94" s="56" t="s">
        <v>360</v>
      </c>
      <c r="E94" s="56" t="s">
        <v>360</v>
      </c>
      <c r="F94" s="56"/>
      <c r="G94" s="56" t="s">
        <v>360</v>
      </c>
      <c r="H94" s="56" t="s">
        <v>360</v>
      </c>
      <c r="I94" s="56" t="s">
        <v>360</v>
      </c>
    </row>
    <row r="95" spans="1:9" x14ac:dyDescent="0.25">
      <c r="A95" s="41" t="s">
        <v>256</v>
      </c>
      <c r="B95" s="41"/>
      <c r="C95" s="56" t="s">
        <v>360</v>
      </c>
      <c r="D95" s="56" t="s">
        <v>360</v>
      </c>
      <c r="E95" s="56" t="s">
        <v>360</v>
      </c>
      <c r="F95" s="56"/>
      <c r="G95" s="56"/>
      <c r="H95" s="56"/>
      <c r="I95" s="56"/>
    </row>
    <row r="96" spans="1:9" x14ac:dyDescent="0.25">
      <c r="A96" s="41" t="s">
        <v>382</v>
      </c>
      <c r="B96" s="41"/>
      <c r="C96" s="56" t="s">
        <v>360</v>
      </c>
      <c r="D96" s="56" t="s">
        <v>360</v>
      </c>
      <c r="E96" s="56" t="s">
        <v>360</v>
      </c>
      <c r="F96" s="56"/>
      <c r="G96" s="56" t="s">
        <v>360</v>
      </c>
      <c r="H96" s="56" t="s">
        <v>360</v>
      </c>
      <c r="I96" s="56" t="s">
        <v>360</v>
      </c>
    </row>
    <row r="97" spans="1:9" x14ac:dyDescent="0.25">
      <c r="A97" s="41" t="s">
        <v>383</v>
      </c>
      <c r="B97" s="41"/>
      <c r="C97" s="56" t="s">
        <v>360</v>
      </c>
      <c r="D97" s="56" t="s">
        <v>360</v>
      </c>
      <c r="E97" s="56" t="s">
        <v>360</v>
      </c>
      <c r="F97" s="56"/>
      <c r="G97" s="56" t="s">
        <v>360</v>
      </c>
      <c r="H97" s="56" t="s">
        <v>360</v>
      </c>
      <c r="I97" s="56" t="s">
        <v>360</v>
      </c>
    </row>
    <row r="98" spans="1:9" x14ac:dyDescent="0.25">
      <c r="A98" s="41" t="s">
        <v>384</v>
      </c>
      <c r="B98" s="41"/>
      <c r="C98" s="56" t="s">
        <v>360</v>
      </c>
      <c r="D98" s="56" t="s">
        <v>360</v>
      </c>
      <c r="E98" s="56" t="s">
        <v>360</v>
      </c>
      <c r="F98" s="56"/>
      <c r="G98" s="56" t="s">
        <v>360</v>
      </c>
      <c r="H98" s="56" t="s">
        <v>360</v>
      </c>
      <c r="I98" s="56" t="s">
        <v>360</v>
      </c>
    </row>
    <row r="99" spans="1:9" x14ac:dyDescent="0.25">
      <c r="A99" s="41" t="s">
        <v>385</v>
      </c>
      <c r="B99" s="41"/>
      <c r="C99" s="56" t="s">
        <v>360</v>
      </c>
      <c r="D99" s="56" t="s">
        <v>360</v>
      </c>
      <c r="E99" s="56" t="s">
        <v>360</v>
      </c>
      <c r="F99" s="56"/>
      <c r="G99" s="56" t="s">
        <v>360</v>
      </c>
      <c r="H99" s="56" t="s">
        <v>360</v>
      </c>
      <c r="I99" s="56" t="s">
        <v>360</v>
      </c>
    </row>
    <row r="100" spans="1:9" x14ac:dyDescent="0.25">
      <c r="A100" s="41" t="s">
        <v>386</v>
      </c>
      <c r="B100" s="41"/>
      <c r="C100" s="56" t="s">
        <v>360</v>
      </c>
      <c r="D100" s="56" t="s">
        <v>360</v>
      </c>
      <c r="E100" s="56" t="s">
        <v>360</v>
      </c>
      <c r="F100" s="56"/>
      <c r="G100" s="56" t="s">
        <v>360</v>
      </c>
      <c r="H100" s="56" t="s">
        <v>360</v>
      </c>
      <c r="I100" s="56" t="s">
        <v>360</v>
      </c>
    </row>
    <row r="101" spans="1:9" x14ac:dyDescent="0.25">
      <c r="A101" s="41" t="s">
        <v>387</v>
      </c>
      <c r="B101" s="41"/>
      <c r="C101" s="54">
        <v>63.9</v>
      </c>
      <c r="D101" s="54">
        <v>59.8</v>
      </c>
      <c r="E101" s="54" t="s">
        <v>360</v>
      </c>
      <c r="F101" s="54"/>
      <c r="G101" s="54">
        <v>41</v>
      </c>
      <c r="H101" s="54">
        <v>48.8</v>
      </c>
      <c r="I101" s="56" t="s">
        <v>360</v>
      </c>
    </row>
    <row r="102" spans="1:9" x14ac:dyDescent="0.25">
      <c r="A102" s="41" t="s">
        <v>388</v>
      </c>
      <c r="B102" s="41"/>
      <c r="C102" s="54">
        <v>49.8</v>
      </c>
      <c r="D102" s="54">
        <v>47.9</v>
      </c>
      <c r="E102" s="54" t="s">
        <v>360</v>
      </c>
      <c r="F102" s="54"/>
      <c r="G102" s="54">
        <v>35</v>
      </c>
      <c r="H102" s="54">
        <v>35</v>
      </c>
      <c r="I102" s="56" t="s">
        <v>360</v>
      </c>
    </row>
    <row r="103" spans="1:9" x14ac:dyDescent="0.25">
      <c r="A103" s="41" t="s">
        <v>389</v>
      </c>
      <c r="B103" s="41"/>
      <c r="C103" s="54">
        <v>47.2</v>
      </c>
      <c r="D103" s="54">
        <v>46.1</v>
      </c>
      <c r="E103" s="54">
        <v>46.7</v>
      </c>
      <c r="F103" s="54"/>
      <c r="G103" s="54">
        <v>33</v>
      </c>
      <c r="H103" s="54">
        <v>33.5</v>
      </c>
      <c r="I103" s="54">
        <v>32.700000000000003</v>
      </c>
    </row>
    <row r="104" spans="1:9" x14ac:dyDescent="0.25">
      <c r="A104" s="41"/>
      <c r="B104" s="41"/>
      <c r="C104" s="54"/>
      <c r="D104" s="54"/>
      <c r="E104" s="54"/>
      <c r="F104" s="54"/>
      <c r="G104" s="54"/>
      <c r="H104" s="54"/>
      <c r="I104" s="54"/>
    </row>
    <row r="105" spans="1:9" x14ac:dyDescent="0.25">
      <c r="A105" s="41"/>
      <c r="B105" s="41"/>
      <c r="C105" s="54"/>
      <c r="D105" s="54"/>
      <c r="E105" s="54"/>
      <c r="F105" s="54"/>
      <c r="G105" s="54"/>
      <c r="H105" s="54"/>
      <c r="I105" s="54"/>
    </row>
    <row r="106" spans="1:9" x14ac:dyDescent="0.25">
      <c r="A106" s="41"/>
      <c r="B106" s="41"/>
      <c r="C106" s="54"/>
      <c r="D106" s="54"/>
      <c r="E106" s="54"/>
      <c r="F106" s="54"/>
      <c r="G106" s="54"/>
      <c r="H106" s="54"/>
      <c r="I106" s="54"/>
    </row>
    <row r="107" spans="1:9" x14ac:dyDescent="0.25">
      <c r="A107" s="41"/>
      <c r="B107" s="41"/>
      <c r="C107" s="54"/>
      <c r="D107" s="54"/>
      <c r="E107" s="54"/>
      <c r="F107" s="54"/>
      <c r="G107" s="54"/>
      <c r="H107" s="54"/>
      <c r="I107" s="54"/>
    </row>
    <row r="108" spans="1:9" x14ac:dyDescent="0.25">
      <c r="A108" s="41"/>
      <c r="B108" s="41"/>
      <c r="C108" s="54"/>
      <c r="D108" s="54"/>
      <c r="E108" s="54"/>
      <c r="F108" s="54"/>
      <c r="G108" s="54"/>
      <c r="H108" s="54"/>
      <c r="I108" s="54"/>
    </row>
    <row r="109" spans="1:9" x14ac:dyDescent="0.25">
      <c r="A109" s="41"/>
      <c r="B109" s="41"/>
      <c r="C109" s="54"/>
      <c r="D109" s="54"/>
      <c r="E109" s="54"/>
      <c r="F109" s="54"/>
      <c r="G109" s="54"/>
      <c r="H109" s="54"/>
      <c r="I109" s="54"/>
    </row>
    <row r="110" spans="1:9" x14ac:dyDescent="0.25">
      <c r="A110" s="41"/>
      <c r="B110" s="41"/>
      <c r="C110" s="54"/>
      <c r="D110" s="54"/>
      <c r="E110" s="54"/>
      <c r="F110" s="54"/>
      <c r="G110" s="54"/>
      <c r="H110" s="54"/>
      <c r="I110" s="54"/>
    </row>
    <row r="111" spans="1:9" x14ac:dyDescent="0.25">
      <c r="A111" s="41"/>
      <c r="B111" s="41"/>
      <c r="C111" s="54"/>
      <c r="D111" s="54"/>
      <c r="E111" s="54"/>
      <c r="F111" s="54"/>
      <c r="G111" s="54"/>
      <c r="H111" s="54"/>
      <c r="I111" s="54"/>
    </row>
    <row r="112" spans="1:9" x14ac:dyDescent="0.25">
      <c r="A112" s="41"/>
      <c r="B112" s="41"/>
      <c r="C112" s="54"/>
      <c r="D112" s="54"/>
      <c r="E112" s="54"/>
      <c r="F112" s="54"/>
      <c r="G112" s="54"/>
      <c r="H112" s="54"/>
      <c r="I112" s="54"/>
    </row>
    <row r="113" spans="1:9" x14ac:dyDescent="0.25">
      <c r="A113" s="41"/>
      <c r="B113" s="41"/>
      <c r="C113" s="54"/>
      <c r="D113" s="54"/>
      <c r="E113" s="54"/>
      <c r="F113" s="54"/>
      <c r="G113" s="54"/>
      <c r="H113" s="54"/>
      <c r="I113" s="54"/>
    </row>
    <row r="114" spans="1:9" x14ac:dyDescent="0.25">
      <c r="A114" s="41"/>
      <c r="B114" s="41"/>
      <c r="C114" s="54"/>
      <c r="D114" s="54"/>
      <c r="E114" s="54"/>
      <c r="F114" s="54"/>
      <c r="G114" s="54"/>
      <c r="H114" s="54"/>
      <c r="I114" s="54"/>
    </row>
    <row r="115" spans="1:9" x14ac:dyDescent="0.25">
      <c r="A115" s="41"/>
      <c r="B115" s="41"/>
      <c r="C115" s="54"/>
      <c r="D115" s="54"/>
      <c r="E115" s="54"/>
      <c r="F115" s="54"/>
      <c r="G115" s="54"/>
      <c r="H115" s="54"/>
      <c r="I115" s="54"/>
    </row>
    <row r="116" spans="1:9" x14ac:dyDescent="0.25">
      <c r="A116" s="41"/>
      <c r="B116" s="41"/>
      <c r="C116" s="54"/>
      <c r="D116" s="54"/>
      <c r="E116" s="54"/>
      <c r="F116" s="54"/>
      <c r="G116" s="54"/>
      <c r="H116" s="54"/>
      <c r="I116" s="54"/>
    </row>
    <row r="117" spans="1:9" x14ac:dyDescent="0.25">
      <c r="A117" s="41"/>
      <c r="B117" s="41"/>
      <c r="C117" s="54"/>
      <c r="D117" s="54"/>
      <c r="E117" s="54"/>
      <c r="F117" s="54"/>
      <c r="G117" s="54"/>
      <c r="H117" s="54"/>
      <c r="I117" s="54"/>
    </row>
    <row r="118" spans="1:9" x14ac:dyDescent="0.25">
      <c r="A118" s="41"/>
      <c r="B118" s="41"/>
      <c r="C118" s="54"/>
      <c r="D118" s="54"/>
      <c r="E118" s="54"/>
      <c r="F118" s="54"/>
      <c r="G118" s="54"/>
      <c r="H118" s="54"/>
      <c r="I118" s="54"/>
    </row>
    <row r="119" spans="1:9" x14ac:dyDescent="0.25">
      <c r="A119" s="41"/>
      <c r="B119" s="41"/>
      <c r="C119" s="54"/>
      <c r="D119" s="54"/>
      <c r="E119" s="54"/>
      <c r="F119" s="54"/>
      <c r="G119" s="54"/>
      <c r="H119" s="54"/>
      <c r="I119" s="54"/>
    </row>
    <row r="120" spans="1:9" x14ac:dyDescent="0.25">
      <c r="A120" s="41"/>
      <c r="B120" s="41"/>
      <c r="C120" s="54"/>
      <c r="D120" s="54"/>
      <c r="E120" s="54"/>
      <c r="F120" s="54"/>
      <c r="G120" s="54"/>
      <c r="H120" s="54"/>
      <c r="I120" s="54"/>
    </row>
    <row r="121" spans="1:9" x14ac:dyDescent="0.25">
      <c r="A121" s="41"/>
      <c r="B121" s="41"/>
      <c r="C121" s="54"/>
      <c r="D121" s="54"/>
      <c r="E121" s="54"/>
      <c r="F121" s="54"/>
      <c r="G121" s="54"/>
      <c r="H121" s="54"/>
      <c r="I121" s="54"/>
    </row>
    <row r="122" spans="1:9" x14ac:dyDescent="0.25">
      <c r="A122" s="41"/>
      <c r="B122" s="41"/>
      <c r="C122" s="54"/>
      <c r="D122" s="54"/>
      <c r="E122" s="54"/>
      <c r="F122" s="54"/>
      <c r="G122" s="54"/>
      <c r="H122" s="54"/>
      <c r="I122" s="54"/>
    </row>
    <row r="123" spans="1:9" x14ac:dyDescent="0.25">
      <c r="A123" s="41"/>
      <c r="B123" s="41"/>
      <c r="C123" s="54"/>
      <c r="D123" s="54"/>
      <c r="E123" s="54"/>
      <c r="F123" s="54"/>
      <c r="G123" s="54"/>
      <c r="H123" s="54"/>
      <c r="I123" s="54"/>
    </row>
    <row r="124" spans="1:9" x14ac:dyDescent="0.25">
      <c r="A124" s="41"/>
      <c r="B124" s="41"/>
      <c r="C124" s="54"/>
      <c r="D124" s="54"/>
      <c r="E124" s="54"/>
      <c r="F124" s="54"/>
      <c r="G124" s="54"/>
      <c r="H124" s="54"/>
      <c r="I124" s="54"/>
    </row>
    <row r="125" spans="1:9" x14ac:dyDescent="0.25">
      <c r="A125" s="41"/>
      <c r="B125" s="41"/>
      <c r="C125" s="54"/>
      <c r="D125" s="54"/>
      <c r="E125" s="54"/>
      <c r="F125" s="54"/>
      <c r="G125" s="54"/>
      <c r="H125" s="54"/>
      <c r="I125" s="54"/>
    </row>
    <row r="126" spans="1:9" x14ac:dyDescent="0.25">
      <c r="A126" s="41"/>
      <c r="B126" s="41"/>
      <c r="C126" s="54"/>
      <c r="D126" s="54"/>
      <c r="E126" s="54"/>
      <c r="F126" s="54"/>
      <c r="G126" s="54"/>
      <c r="H126" s="54"/>
      <c r="I126" s="54"/>
    </row>
    <row r="127" spans="1:9" x14ac:dyDescent="0.25">
      <c r="A127" s="41"/>
      <c r="B127" s="41"/>
      <c r="C127" s="54"/>
      <c r="D127" s="54"/>
      <c r="E127" s="54"/>
      <c r="F127" s="54"/>
      <c r="G127" s="54"/>
      <c r="H127" s="54"/>
      <c r="I127" s="54"/>
    </row>
    <row r="128" spans="1:9" x14ac:dyDescent="0.25">
      <c r="A128" s="41"/>
      <c r="B128" s="41"/>
      <c r="C128" s="54"/>
      <c r="D128" s="54"/>
      <c r="E128" s="54"/>
      <c r="F128" s="54"/>
      <c r="G128" s="54"/>
      <c r="H128" s="54"/>
      <c r="I128" s="54"/>
    </row>
    <row r="129" spans="1:9" x14ac:dyDescent="0.25">
      <c r="A129" s="41"/>
      <c r="B129" s="41"/>
      <c r="C129" s="54"/>
      <c r="D129" s="54"/>
      <c r="E129" s="54"/>
      <c r="F129" s="54"/>
      <c r="G129" s="54"/>
      <c r="H129" s="54"/>
      <c r="I129" s="54"/>
    </row>
    <row r="130" spans="1:9" x14ac:dyDescent="0.25">
      <c r="A130" s="41"/>
      <c r="B130" s="41"/>
      <c r="C130" s="54"/>
      <c r="D130" s="54"/>
      <c r="E130" s="54"/>
      <c r="F130" s="54"/>
      <c r="G130" s="54"/>
      <c r="H130" s="54"/>
      <c r="I130" s="54"/>
    </row>
    <row r="131" spans="1:9" x14ac:dyDescent="0.25">
      <c r="A131" s="41"/>
      <c r="B131" s="41"/>
      <c r="C131" s="54"/>
      <c r="D131" s="54"/>
      <c r="E131" s="54"/>
      <c r="F131" s="54"/>
      <c r="G131" s="54"/>
      <c r="H131" s="54"/>
      <c r="I131" s="54"/>
    </row>
    <row r="132" spans="1:9" x14ac:dyDescent="0.25">
      <c r="A132" s="41"/>
      <c r="B132" s="41"/>
      <c r="C132" s="54"/>
      <c r="D132" s="54"/>
      <c r="E132" s="54"/>
      <c r="F132" s="54"/>
      <c r="G132" s="54"/>
      <c r="H132" s="54"/>
      <c r="I132" s="54"/>
    </row>
    <row r="133" spans="1:9" x14ac:dyDescent="0.25">
      <c r="A133" s="41"/>
      <c r="B133" s="41"/>
      <c r="C133" s="54"/>
      <c r="D133" s="54"/>
      <c r="E133" s="54"/>
      <c r="F133" s="54"/>
      <c r="G133" s="54"/>
      <c r="H133" s="54"/>
      <c r="I133" s="54"/>
    </row>
    <row r="134" spans="1:9" x14ac:dyDescent="0.25">
      <c r="A134" s="41"/>
      <c r="B134" s="41"/>
      <c r="C134" s="54"/>
      <c r="D134" s="54"/>
      <c r="E134" s="54"/>
      <c r="F134" s="54"/>
      <c r="G134" s="54"/>
      <c r="H134" s="54"/>
      <c r="I134" s="54"/>
    </row>
    <row r="135" spans="1:9" x14ac:dyDescent="0.25">
      <c r="A135" s="41"/>
      <c r="B135" s="41"/>
      <c r="C135" s="54"/>
      <c r="D135" s="54"/>
      <c r="E135" s="54"/>
      <c r="F135" s="54"/>
      <c r="G135" s="54"/>
      <c r="H135" s="54"/>
      <c r="I135" s="54"/>
    </row>
    <row r="136" spans="1:9" x14ac:dyDescent="0.25">
      <c r="A136" s="41"/>
      <c r="B136" s="41"/>
      <c r="C136" s="54"/>
      <c r="D136" s="54"/>
      <c r="E136" s="54"/>
      <c r="F136" s="54"/>
      <c r="G136" s="54"/>
      <c r="H136" s="54"/>
      <c r="I136" s="54"/>
    </row>
    <row r="137" spans="1:9" x14ac:dyDescent="0.25">
      <c r="A137" s="41"/>
      <c r="B137" s="41"/>
      <c r="C137" s="54"/>
      <c r="D137" s="54"/>
      <c r="E137" s="54"/>
      <c r="F137" s="54"/>
      <c r="G137" s="54"/>
      <c r="H137" s="54"/>
      <c r="I137" s="54"/>
    </row>
    <row r="138" spans="1:9" x14ac:dyDescent="0.25">
      <c r="A138" s="41"/>
      <c r="B138" s="41"/>
      <c r="C138" s="54"/>
      <c r="D138" s="54"/>
      <c r="E138" s="54"/>
      <c r="F138" s="54"/>
      <c r="G138" s="54"/>
      <c r="H138" s="54"/>
      <c r="I138" s="54"/>
    </row>
    <row r="139" spans="1:9" x14ac:dyDescent="0.25">
      <c r="A139" s="41"/>
      <c r="B139" s="41"/>
      <c r="C139" s="54"/>
      <c r="D139" s="54"/>
      <c r="E139" s="54"/>
      <c r="F139" s="54"/>
      <c r="G139" s="54"/>
      <c r="H139" s="54"/>
      <c r="I139" s="54"/>
    </row>
    <row r="140" spans="1:9" x14ac:dyDescent="0.25">
      <c r="A140" s="41"/>
      <c r="B140" s="41"/>
      <c r="C140" s="54"/>
      <c r="D140" s="54"/>
      <c r="E140" s="54"/>
      <c r="F140" s="54"/>
      <c r="G140" s="54"/>
      <c r="H140" s="54"/>
      <c r="I140" s="54"/>
    </row>
    <row r="141" spans="1:9" x14ac:dyDescent="0.25">
      <c r="A141" s="41"/>
      <c r="B141" s="41"/>
      <c r="C141" s="54"/>
      <c r="D141" s="54"/>
      <c r="E141" s="54"/>
      <c r="F141" s="54"/>
      <c r="G141" s="54"/>
      <c r="H141" s="54"/>
      <c r="I141" s="54"/>
    </row>
    <row r="142" spans="1:9" x14ac:dyDescent="0.25">
      <c r="A142" s="41"/>
      <c r="B142" s="41"/>
      <c r="C142" s="54"/>
      <c r="D142" s="54"/>
      <c r="E142" s="54"/>
      <c r="F142" s="54"/>
      <c r="G142" s="54"/>
      <c r="H142" s="54"/>
      <c r="I142" s="54"/>
    </row>
    <row r="143" spans="1:9" x14ac:dyDescent="0.25">
      <c r="A143" s="41"/>
      <c r="B143" s="41"/>
      <c r="C143" s="54"/>
      <c r="D143" s="54"/>
      <c r="E143" s="54"/>
      <c r="F143" s="54"/>
      <c r="G143" s="54"/>
      <c r="H143" s="54"/>
      <c r="I143" s="54"/>
    </row>
    <row r="144" spans="1:9" x14ac:dyDescent="0.25">
      <c r="A144" s="41"/>
      <c r="B144" s="41"/>
      <c r="C144" s="54"/>
      <c r="D144" s="54"/>
      <c r="E144" s="54"/>
      <c r="F144" s="54"/>
      <c r="G144" s="54"/>
      <c r="H144" s="54"/>
      <c r="I144" s="54"/>
    </row>
    <row r="145" spans="1:9" x14ac:dyDescent="0.25">
      <c r="A145" s="41"/>
      <c r="B145" s="41"/>
      <c r="C145" s="54"/>
      <c r="D145" s="54"/>
      <c r="E145" s="54"/>
      <c r="F145" s="54"/>
      <c r="G145" s="54"/>
      <c r="H145" s="54"/>
      <c r="I145" s="54"/>
    </row>
    <row r="146" spans="1:9" x14ac:dyDescent="0.25">
      <c r="A146" s="41"/>
      <c r="B146" s="41"/>
      <c r="C146" s="54"/>
      <c r="D146" s="54"/>
      <c r="E146" s="54"/>
      <c r="F146" s="54"/>
      <c r="G146" s="54"/>
      <c r="H146" s="54"/>
      <c r="I146" s="54"/>
    </row>
    <row r="147" spans="1:9" x14ac:dyDescent="0.25">
      <c r="A147" s="41"/>
      <c r="B147" s="41"/>
      <c r="C147" s="54"/>
      <c r="D147" s="54"/>
      <c r="E147" s="54"/>
      <c r="F147" s="54"/>
      <c r="G147" s="54"/>
      <c r="H147" s="54"/>
      <c r="I147" s="54"/>
    </row>
    <row r="148" spans="1:9" x14ac:dyDescent="0.25">
      <c r="A148" s="41"/>
      <c r="B148" s="41"/>
      <c r="C148" s="54"/>
      <c r="D148" s="54"/>
      <c r="E148" s="54"/>
      <c r="F148" s="54"/>
      <c r="G148" s="54"/>
      <c r="H148" s="54"/>
      <c r="I148" s="54"/>
    </row>
    <row r="149" spans="1:9" x14ac:dyDescent="0.25">
      <c r="A149" s="41"/>
      <c r="B149" s="41"/>
      <c r="C149" s="54"/>
      <c r="D149" s="54"/>
      <c r="E149" s="54"/>
      <c r="F149" s="54"/>
      <c r="G149" s="54"/>
      <c r="H149" s="54"/>
      <c r="I149" s="54"/>
    </row>
    <row r="150" spans="1:9" x14ac:dyDescent="0.25">
      <c r="A150" s="41"/>
      <c r="B150" s="41"/>
      <c r="C150" s="54"/>
      <c r="D150" s="54"/>
      <c r="E150" s="54"/>
      <c r="F150" s="54"/>
      <c r="G150" s="54"/>
      <c r="H150" s="54"/>
      <c r="I150" s="54"/>
    </row>
    <row r="151" spans="1:9" x14ac:dyDescent="0.25">
      <c r="A151" s="41"/>
      <c r="B151" s="41"/>
      <c r="C151" s="54"/>
      <c r="D151" s="54"/>
      <c r="E151" s="54"/>
      <c r="F151" s="54"/>
      <c r="G151" s="54"/>
      <c r="H151" s="54"/>
      <c r="I151" s="54"/>
    </row>
    <row r="152" spans="1:9" x14ac:dyDescent="0.25">
      <c r="A152" s="41"/>
      <c r="B152" s="41"/>
      <c r="C152" s="54"/>
      <c r="D152" s="54"/>
      <c r="E152" s="54"/>
      <c r="F152" s="54"/>
      <c r="G152" s="54"/>
      <c r="H152" s="54"/>
      <c r="I152" s="54"/>
    </row>
    <row r="153" spans="1:9" x14ac:dyDescent="0.25">
      <c r="A153" s="41"/>
      <c r="B153" s="41"/>
      <c r="C153" s="54"/>
      <c r="D153" s="54"/>
      <c r="E153" s="54"/>
      <c r="F153" s="54"/>
      <c r="G153" s="54"/>
      <c r="H153" s="54"/>
      <c r="I153" s="54"/>
    </row>
    <row r="154" spans="1:9" x14ac:dyDescent="0.25">
      <c r="A154" s="41"/>
      <c r="B154" s="41"/>
      <c r="C154" s="54"/>
      <c r="D154" s="54"/>
      <c r="E154" s="54"/>
      <c r="F154" s="54"/>
      <c r="G154" s="54"/>
      <c r="H154" s="54"/>
      <c r="I154" s="54"/>
    </row>
    <row r="155" spans="1:9" x14ac:dyDescent="0.25">
      <c r="A155" s="41"/>
      <c r="B155" s="41"/>
      <c r="C155" s="54"/>
      <c r="D155" s="54"/>
      <c r="E155" s="54"/>
      <c r="F155" s="54"/>
      <c r="G155" s="54"/>
      <c r="H155" s="54"/>
      <c r="I155" s="54"/>
    </row>
    <row r="156" spans="1:9" x14ac:dyDescent="0.25">
      <c r="A156" s="41"/>
      <c r="B156" s="41"/>
      <c r="C156" s="54"/>
      <c r="D156" s="54"/>
      <c r="E156" s="54"/>
      <c r="F156" s="54"/>
      <c r="G156" s="54"/>
      <c r="H156" s="54"/>
      <c r="I156" s="54"/>
    </row>
    <row r="157" spans="1:9" x14ac:dyDescent="0.25">
      <c r="A157" s="41"/>
      <c r="B157" s="41"/>
      <c r="C157" s="54"/>
      <c r="D157" s="54"/>
      <c r="E157" s="54"/>
      <c r="F157" s="54"/>
      <c r="G157" s="54"/>
      <c r="H157" s="54"/>
      <c r="I157" s="54"/>
    </row>
    <row r="158" spans="1:9" x14ac:dyDescent="0.25">
      <c r="A158" s="41"/>
      <c r="B158" s="41"/>
      <c r="C158" s="54"/>
      <c r="D158" s="54"/>
      <c r="E158" s="54"/>
      <c r="F158" s="54"/>
      <c r="G158" s="54"/>
      <c r="H158" s="54"/>
      <c r="I158" s="54"/>
    </row>
    <row r="159" spans="1:9" x14ac:dyDescent="0.25">
      <c r="A159" s="41"/>
      <c r="B159" s="41"/>
      <c r="C159" s="54"/>
      <c r="D159" s="54"/>
      <c r="E159" s="54"/>
      <c r="F159" s="54"/>
      <c r="G159" s="54"/>
      <c r="H159" s="54"/>
      <c r="I159" s="54"/>
    </row>
    <row r="160" spans="1:9" x14ac:dyDescent="0.25">
      <c r="A160" s="41"/>
      <c r="B160" s="41"/>
      <c r="C160" s="54"/>
      <c r="D160" s="54"/>
      <c r="E160" s="54"/>
      <c r="F160" s="54"/>
      <c r="G160" s="54"/>
      <c r="H160" s="54"/>
      <c r="I160" s="54"/>
    </row>
    <row r="161" spans="1:9" x14ac:dyDescent="0.25">
      <c r="A161" s="41"/>
      <c r="B161" s="41"/>
      <c r="C161" s="54"/>
      <c r="D161" s="54"/>
      <c r="E161" s="54"/>
      <c r="F161" s="54"/>
      <c r="G161" s="54"/>
      <c r="H161" s="54"/>
      <c r="I161" s="54"/>
    </row>
    <row r="162" spans="1:9" x14ac:dyDescent="0.25">
      <c r="A162" s="41"/>
      <c r="B162" s="41"/>
      <c r="C162" s="54"/>
      <c r="D162" s="54"/>
      <c r="E162" s="54"/>
      <c r="F162" s="54"/>
      <c r="G162" s="54"/>
      <c r="H162" s="54"/>
      <c r="I162" s="54"/>
    </row>
    <row r="163" spans="1:9" x14ac:dyDescent="0.25">
      <c r="A163" s="41"/>
      <c r="B163" s="41"/>
      <c r="C163" s="54"/>
      <c r="D163" s="54"/>
      <c r="E163" s="54"/>
      <c r="F163" s="54"/>
      <c r="G163" s="54"/>
      <c r="H163" s="54"/>
      <c r="I163" s="54"/>
    </row>
    <row r="164" spans="1:9" x14ac:dyDescent="0.25">
      <c r="A164" s="41"/>
      <c r="B164" s="41"/>
      <c r="C164" s="54"/>
      <c r="D164" s="54"/>
      <c r="E164" s="54"/>
      <c r="F164" s="54"/>
      <c r="G164" s="54"/>
      <c r="H164" s="54"/>
      <c r="I164" s="54"/>
    </row>
    <row r="165" spans="1:9" x14ac:dyDescent="0.25">
      <c r="A165" s="41"/>
      <c r="B165" s="41"/>
      <c r="C165" s="54"/>
      <c r="D165" s="54"/>
      <c r="E165" s="54"/>
      <c r="F165" s="54"/>
      <c r="G165" s="54"/>
      <c r="H165" s="54"/>
      <c r="I165" s="54"/>
    </row>
    <row r="166" spans="1:9" x14ac:dyDescent="0.25">
      <c r="A166" s="41"/>
      <c r="B166" s="41"/>
      <c r="C166" s="54"/>
      <c r="D166" s="54"/>
      <c r="E166" s="54"/>
      <c r="F166" s="54"/>
      <c r="G166" s="54"/>
      <c r="H166" s="54"/>
      <c r="I166" s="54"/>
    </row>
    <row r="167" spans="1:9" x14ac:dyDescent="0.25">
      <c r="A167" s="41"/>
      <c r="B167" s="41"/>
      <c r="C167" s="54"/>
      <c r="D167" s="54"/>
      <c r="E167" s="54"/>
      <c r="F167" s="54"/>
      <c r="G167" s="54"/>
      <c r="H167" s="54"/>
      <c r="I167" s="54"/>
    </row>
    <row r="168" spans="1:9" x14ac:dyDescent="0.25">
      <c r="A168" s="41"/>
      <c r="B168" s="41"/>
      <c r="C168" s="54"/>
      <c r="D168" s="54"/>
      <c r="E168" s="54"/>
      <c r="F168" s="54"/>
      <c r="G168" s="54"/>
      <c r="H168" s="54"/>
      <c r="I168" s="54"/>
    </row>
    <row r="169" spans="1:9" x14ac:dyDescent="0.25">
      <c r="A169" s="41"/>
      <c r="B169" s="41"/>
      <c r="C169" s="54"/>
      <c r="D169" s="54"/>
      <c r="E169" s="54"/>
      <c r="F169" s="54"/>
      <c r="G169" s="54"/>
      <c r="H169" s="54"/>
      <c r="I169" s="54"/>
    </row>
    <row r="170" spans="1:9" x14ac:dyDescent="0.25">
      <c r="A170" s="41"/>
      <c r="B170" s="41"/>
      <c r="C170" s="54"/>
      <c r="D170" s="54"/>
      <c r="E170" s="54"/>
      <c r="F170" s="54"/>
      <c r="G170" s="54"/>
      <c r="H170" s="54"/>
      <c r="I170" s="54"/>
    </row>
    <row r="171" spans="1:9" x14ac:dyDescent="0.25">
      <c r="A171" s="41"/>
      <c r="B171" s="41"/>
      <c r="C171" s="54"/>
      <c r="D171" s="54"/>
      <c r="E171" s="54"/>
      <c r="F171" s="54"/>
      <c r="G171" s="54"/>
      <c r="H171" s="54"/>
      <c r="I171" s="54"/>
    </row>
    <row r="172" spans="1:9" x14ac:dyDescent="0.25">
      <c r="A172" s="41"/>
      <c r="B172" s="41"/>
      <c r="C172" s="54"/>
      <c r="D172" s="54"/>
      <c r="E172" s="54"/>
      <c r="F172" s="54"/>
      <c r="G172" s="54"/>
      <c r="H172" s="54"/>
      <c r="I172" s="54"/>
    </row>
    <row r="173" spans="1:9" x14ac:dyDescent="0.25">
      <c r="A173" s="41"/>
      <c r="B173" s="41"/>
      <c r="C173" s="54"/>
      <c r="D173" s="54"/>
      <c r="E173" s="54"/>
      <c r="F173" s="54"/>
      <c r="G173" s="54"/>
      <c r="H173" s="54"/>
      <c r="I173" s="54"/>
    </row>
    <row r="174" spans="1:9" x14ac:dyDescent="0.25">
      <c r="A174" s="41"/>
      <c r="B174" s="41"/>
      <c r="C174" s="54"/>
      <c r="D174" s="54"/>
      <c r="E174" s="54"/>
      <c r="F174" s="54"/>
      <c r="G174" s="54"/>
      <c r="H174" s="54"/>
      <c r="I174" s="54"/>
    </row>
    <row r="175" spans="1:9" x14ac:dyDescent="0.25">
      <c r="A175" s="41"/>
      <c r="B175" s="41"/>
      <c r="C175" s="54"/>
      <c r="D175" s="54"/>
      <c r="E175" s="54"/>
      <c r="F175" s="54"/>
      <c r="G175" s="54"/>
      <c r="H175" s="54"/>
      <c r="I175" s="54"/>
    </row>
    <row r="176" spans="1:9" x14ac:dyDescent="0.25">
      <c r="A176" s="41"/>
      <c r="B176" s="41"/>
      <c r="C176" s="54"/>
      <c r="D176" s="54"/>
      <c r="E176" s="54"/>
      <c r="F176" s="54"/>
      <c r="G176" s="54"/>
      <c r="H176" s="54"/>
      <c r="I176" s="54"/>
    </row>
    <row r="177" spans="1:9" x14ac:dyDescent="0.25">
      <c r="A177" s="41"/>
      <c r="B177" s="41"/>
      <c r="C177" s="54"/>
      <c r="D177" s="54"/>
      <c r="E177" s="54"/>
      <c r="F177" s="54"/>
      <c r="G177" s="54"/>
      <c r="H177" s="54"/>
      <c r="I177" s="54"/>
    </row>
    <row r="178" spans="1:9" x14ac:dyDescent="0.25">
      <c r="A178" s="41"/>
      <c r="B178" s="41"/>
      <c r="C178" s="54"/>
      <c r="D178" s="54"/>
      <c r="E178" s="54"/>
      <c r="F178" s="54"/>
      <c r="G178" s="54"/>
      <c r="H178" s="54"/>
      <c r="I178" s="54"/>
    </row>
    <row r="179" spans="1:9" x14ac:dyDescent="0.25">
      <c r="A179" s="41"/>
      <c r="B179" s="41"/>
      <c r="C179" s="54"/>
      <c r="D179" s="54"/>
      <c r="E179" s="54"/>
      <c r="F179" s="54"/>
      <c r="G179" s="54"/>
      <c r="H179" s="54"/>
      <c r="I179" s="54"/>
    </row>
    <row r="180" spans="1:9" x14ac:dyDescent="0.25">
      <c r="A180" s="41"/>
      <c r="B180" s="41"/>
      <c r="C180" s="54"/>
      <c r="D180" s="54"/>
      <c r="E180" s="54"/>
      <c r="F180" s="54"/>
      <c r="G180" s="54"/>
      <c r="H180" s="54"/>
      <c r="I180" s="54"/>
    </row>
    <row r="181" spans="1:9" x14ac:dyDescent="0.25">
      <c r="A181" s="41"/>
      <c r="B181" s="41"/>
      <c r="C181" s="54"/>
      <c r="D181" s="54"/>
      <c r="E181" s="54"/>
      <c r="F181" s="54"/>
      <c r="G181" s="54"/>
      <c r="H181" s="54"/>
      <c r="I181" s="54"/>
    </row>
    <row r="182" spans="1:9" x14ac:dyDescent="0.25">
      <c r="A182" s="41"/>
      <c r="B182" s="41"/>
      <c r="C182" s="54"/>
      <c r="D182" s="54"/>
      <c r="E182" s="54"/>
      <c r="F182" s="54"/>
      <c r="G182" s="54"/>
      <c r="H182" s="54"/>
      <c r="I182" s="54"/>
    </row>
    <row r="183" spans="1:9" x14ac:dyDescent="0.25">
      <c r="A183" s="41"/>
      <c r="B183" s="41"/>
      <c r="C183" s="54"/>
      <c r="D183" s="54"/>
      <c r="E183" s="54"/>
      <c r="F183" s="54"/>
      <c r="G183" s="54"/>
      <c r="H183" s="54"/>
      <c r="I183" s="54"/>
    </row>
    <row r="184" spans="1:9" x14ac:dyDescent="0.25">
      <c r="A184" s="41"/>
      <c r="B184" s="41"/>
      <c r="C184" s="54"/>
      <c r="D184" s="54"/>
      <c r="E184" s="54"/>
      <c r="F184" s="54"/>
      <c r="G184" s="54"/>
      <c r="H184" s="54"/>
      <c r="I184" s="54"/>
    </row>
    <row r="185" spans="1:9" x14ac:dyDescent="0.25">
      <c r="A185" s="41"/>
      <c r="B185" s="41"/>
      <c r="C185" s="54"/>
      <c r="D185" s="54"/>
      <c r="E185" s="54"/>
      <c r="F185" s="54"/>
      <c r="G185" s="54"/>
      <c r="H185" s="54"/>
      <c r="I185" s="54"/>
    </row>
    <row r="186" spans="1:9" x14ac:dyDescent="0.25">
      <c r="A186" s="41"/>
      <c r="B186" s="41"/>
      <c r="C186" s="54"/>
      <c r="D186" s="54"/>
      <c r="E186" s="54"/>
      <c r="F186" s="54"/>
      <c r="G186" s="54"/>
      <c r="H186" s="54"/>
      <c r="I186" s="54"/>
    </row>
    <row r="187" spans="1:9" x14ac:dyDescent="0.25">
      <c r="A187" s="41"/>
      <c r="B187" s="41"/>
      <c r="C187" s="54"/>
      <c r="D187" s="54"/>
      <c r="E187" s="54"/>
      <c r="F187" s="54"/>
      <c r="G187" s="54"/>
      <c r="H187" s="54"/>
      <c r="I187" s="54"/>
    </row>
    <row r="188" spans="1:9" x14ac:dyDescent="0.25">
      <c r="A188" s="41"/>
      <c r="B188" s="41"/>
      <c r="C188" s="54"/>
      <c r="D188" s="54"/>
      <c r="E188" s="54"/>
      <c r="F188" s="54"/>
      <c r="G188" s="54"/>
      <c r="H188" s="54"/>
      <c r="I188" s="54"/>
    </row>
    <row r="189" spans="1:9" x14ac:dyDescent="0.25">
      <c r="A189" s="41"/>
      <c r="B189" s="41"/>
      <c r="C189" s="54"/>
      <c r="D189" s="54"/>
      <c r="E189" s="54"/>
      <c r="F189" s="54"/>
      <c r="G189" s="54"/>
      <c r="H189" s="54"/>
      <c r="I189" s="54"/>
    </row>
    <row r="190" spans="1:9" x14ac:dyDescent="0.25">
      <c r="A190" s="41"/>
      <c r="B190" s="41"/>
      <c r="C190" s="54"/>
      <c r="D190" s="54"/>
      <c r="E190" s="54"/>
      <c r="F190" s="54"/>
      <c r="G190" s="54"/>
      <c r="H190" s="54"/>
      <c r="I190" s="54"/>
    </row>
    <row r="191" spans="1:9" x14ac:dyDescent="0.25">
      <c r="A191" s="41"/>
      <c r="B191" s="41"/>
      <c r="C191" s="54"/>
      <c r="D191" s="54"/>
      <c r="E191" s="54"/>
      <c r="F191" s="54"/>
      <c r="G191" s="54"/>
      <c r="H191" s="54"/>
      <c r="I191" s="54"/>
    </row>
    <row r="192" spans="1:9" x14ac:dyDescent="0.25">
      <c r="A192" s="41"/>
      <c r="B192" s="41"/>
      <c r="C192" s="54"/>
      <c r="D192" s="54"/>
      <c r="E192" s="54"/>
      <c r="F192" s="54"/>
      <c r="G192" s="54"/>
      <c r="H192" s="54"/>
      <c r="I192" s="54"/>
    </row>
    <row r="193" spans="1:9" x14ac:dyDescent="0.25">
      <c r="A193" s="41"/>
      <c r="B193" s="41"/>
      <c r="C193" s="54"/>
      <c r="D193" s="54"/>
      <c r="E193" s="54"/>
      <c r="F193" s="54"/>
      <c r="G193" s="54"/>
      <c r="H193" s="54"/>
      <c r="I193" s="54"/>
    </row>
    <row r="194" spans="1:9" x14ac:dyDescent="0.25">
      <c r="A194" s="41"/>
      <c r="B194" s="41"/>
      <c r="C194" s="54"/>
      <c r="D194" s="54"/>
      <c r="E194" s="54"/>
      <c r="F194" s="54"/>
      <c r="G194" s="54"/>
      <c r="H194" s="54"/>
      <c r="I194" s="54"/>
    </row>
    <row r="195" spans="1:9" x14ac:dyDescent="0.25">
      <c r="A195" s="41"/>
      <c r="B195" s="41"/>
      <c r="C195" s="54"/>
      <c r="D195" s="54"/>
      <c r="E195" s="54"/>
      <c r="F195" s="54"/>
      <c r="G195" s="54"/>
      <c r="H195" s="54"/>
      <c r="I195" s="54"/>
    </row>
    <row r="196" spans="1:9" x14ac:dyDescent="0.25">
      <c r="A196" s="41"/>
      <c r="B196" s="41"/>
      <c r="C196" s="54"/>
      <c r="D196" s="54"/>
      <c r="E196" s="54"/>
      <c r="F196" s="54"/>
      <c r="G196" s="54"/>
      <c r="H196" s="54"/>
      <c r="I196" s="54"/>
    </row>
    <row r="197" spans="1:9" x14ac:dyDescent="0.25">
      <c r="A197" s="41"/>
      <c r="B197" s="41"/>
      <c r="C197" s="54"/>
      <c r="D197" s="54"/>
      <c r="E197" s="54"/>
      <c r="F197" s="54"/>
      <c r="G197" s="54"/>
      <c r="H197" s="54"/>
      <c r="I197" s="54"/>
    </row>
    <row r="198" spans="1:9" x14ac:dyDescent="0.25">
      <c r="A198" s="41"/>
      <c r="B198" s="41"/>
      <c r="C198" s="54"/>
      <c r="D198" s="54"/>
      <c r="E198" s="54"/>
      <c r="F198" s="54"/>
      <c r="G198" s="54"/>
      <c r="H198" s="54"/>
      <c r="I198" s="54"/>
    </row>
    <row r="199" spans="1:9" x14ac:dyDescent="0.25">
      <c r="A199" s="41"/>
      <c r="B199" s="41"/>
      <c r="C199" s="54"/>
      <c r="D199" s="54"/>
      <c r="E199" s="54"/>
      <c r="F199" s="54"/>
      <c r="G199" s="54"/>
      <c r="H199" s="54"/>
      <c r="I199" s="54"/>
    </row>
    <row r="200" spans="1:9" x14ac:dyDescent="0.25">
      <c r="A200" s="41"/>
      <c r="B200" s="41"/>
      <c r="C200" s="54"/>
      <c r="D200" s="54"/>
      <c r="E200" s="54"/>
      <c r="F200" s="54"/>
      <c r="G200" s="54"/>
      <c r="H200" s="54"/>
      <c r="I200" s="54"/>
    </row>
    <row r="201" spans="1:9" x14ac:dyDescent="0.25">
      <c r="A201" s="41"/>
      <c r="B201" s="41"/>
      <c r="C201" s="54"/>
      <c r="D201" s="54"/>
      <c r="E201" s="54"/>
      <c r="F201" s="54"/>
      <c r="G201" s="54"/>
      <c r="H201" s="54"/>
      <c r="I201" s="54"/>
    </row>
    <row r="202" spans="1:9" x14ac:dyDescent="0.25">
      <c r="A202" s="41"/>
      <c r="B202" s="41"/>
      <c r="C202" s="54"/>
      <c r="D202" s="54"/>
      <c r="E202" s="54"/>
      <c r="F202" s="54"/>
      <c r="G202" s="54"/>
      <c r="H202" s="54"/>
      <c r="I202" s="54"/>
    </row>
    <row r="203" spans="1:9" x14ac:dyDescent="0.25">
      <c r="A203" s="41"/>
      <c r="B203" s="41"/>
      <c r="C203" s="54"/>
      <c r="D203" s="54"/>
      <c r="E203" s="54"/>
      <c r="F203" s="54"/>
      <c r="G203" s="54"/>
      <c r="H203" s="54"/>
      <c r="I203" s="54"/>
    </row>
    <row r="204" spans="1:9" x14ac:dyDescent="0.25">
      <c r="A204" s="41"/>
      <c r="B204" s="41"/>
      <c r="C204" s="54"/>
      <c r="D204" s="54"/>
      <c r="E204" s="54"/>
      <c r="F204" s="54"/>
      <c r="G204" s="54"/>
      <c r="H204" s="54"/>
      <c r="I204" s="54"/>
    </row>
    <row r="205" spans="1:9" x14ac:dyDescent="0.25">
      <c r="A205" s="41"/>
      <c r="B205" s="41"/>
      <c r="C205" s="54"/>
      <c r="D205" s="54"/>
      <c r="E205" s="54"/>
      <c r="F205" s="54"/>
      <c r="G205" s="54"/>
      <c r="H205" s="54"/>
      <c r="I205" s="54"/>
    </row>
    <row r="206" spans="1:9" x14ac:dyDescent="0.25">
      <c r="A206" s="41"/>
      <c r="B206" s="41"/>
      <c r="C206" s="54"/>
      <c r="D206" s="54"/>
      <c r="E206" s="54"/>
      <c r="F206" s="54"/>
      <c r="G206" s="54"/>
      <c r="H206" s="54"/>
      <c r="I206" s="54"/>
    </row>
    <row r="207" spans="1:9" x14ac:dyDescent="0.25">
      <c r="A207" s="41"/>
      <c r="B207" s="41"/>
      <c r="C207" s="54"/>
      <c r="D207" s="54"/>
      <c r="E207" s="54"/>
      <c r="F207" s="54"/>
      <c r="G207" s="54"/>
      <c r="H207" s="54"/>
      <c r="I207" s="54"/>
    </row>
    <row r="208" spans="1:9" x14ac:dyDescent="0.25">
      <c r="A208" s="41"/>
      <c r="B208" s="41"/>
      <c r="C208" s="54"/>
      <c r="D208" s="54"/>
      <c r="E208" s="54"/>
      <c r="F208" s="54"/>
      <c r="G208" s="54"/>
      <c r="H208" s="54"/>
      <c r="I208" s="54"/>
    </row>
    <row r="209" spans="1:9" x14ac:dyDescent="0.25">
      <c r="A209" s="41"/>
      <c r="B209" s="41"/>
      <c r="C209" s="54"/>
      <c r="D209" s="54"/>
      <c r="E209" s="54"/>
      <c r="F209" s="54"/>
      <c r="G209" s="54"/>
      <c r="H209" s="54"/>
      <c r="I209" s="54"/>
    </row>
    <row r="210" spans="1:9" x14ac:dyDescent="0.25">
      <c r="A210" s="41"/>
      <c r="B210" s="41"/>
      <c r="C210" s="54"/>
      <c r="D210" s="54"/>
      <c r="E210" s="54"/>
      <c r="F210" s="54"/>
      <c r="G210" s="54"/>
      <c r="H210" s="54"/>
      <c r="I210" s="54"/>
    </row>
    <row r="211" spans="1:9" x14ac:dyDescent="0.25">
      <c r="A211" s="41"/>
      <c r="B211" s="41"/>
      <c r="C211" s="54"/>
      <c r="D211" s="54"/>
      <c r="E211" s="54"/>
      <c r="F211" s="54"/>
      <c r="G211" s="54"/>
      <c r="H211" s="54"/>
      <c r="I211" s="54"/>
    </row>
    <row r="212" spans="1:9" x14ac:dyDescent="0.25">
      <c r="A212" s="41"/>
      <c r="B212" s="41"/>
      <c r="C212" s="54"/>
      <c r="D212" s="54"/>
      <c r="E212" s="54"/>
      <c r="F212" s="54"/>
      <c r="G212" s="54"/>
      <c r="H212" s="54"/>
      <c r="I212" s="54"/>
    </row>
    <row r="213" spans="1:9" x14ac:dyDescent="0.25">
      <c r="A213" s="41"/>
      <c r="B213" s="41"/>
      <c r="C213" s="54"/>
      <c r="D213" s="54"/>
      <c r="E213" s="54"/>
      <c r="F213" s="54"/>
      <c r="G213" s="54"/>
      <c r="H213" s="54"/>
      <c r="I213" s="54"/>
    </row>
    <row r="214" spans="1:9" x14ac:dyDescent="0.25">
      <c r="A214" s="41"/>
      <c r="B214" s="41"/>
      <c r="C214" s="54"/>
      <c r="D214" s="54"/>
      <c r="E214" s="54"/>
      <c r="F214" s="54"/>
      <c r="G214" s="54"/>
      <c r="H214" s="54"/>
      <c r="I214" s="54"/>
    </row>
    <row r="215" spans="1:9" x14ac:dyDescent="0.25">
      <c r="A215" s="41"/>
      <c r="B215" s="41"/>
      <c r="C215" s="54"/>
      <c r="D215" s="54"/>
      <c r="E215" s="54"/>
      <c r="F215" s="54"/>
      <c r="G215" s="54"/>
      <c r="H215" s="54"/>
      <c r="I215" s="54"/>
    </row>
    <row r="216" spans="1:9" x14ac:dyDescent="0.25">
      <c r="A216" s="41"/>
      <c r="B216" s="41"/>
      <c r="C216" s="54"/>
      <c r="D216" s="54"/>
      <c r="E216" s="54"/>
      <c r="F216" s="54"/>
      <c r="G216" s="54"/>
      <c r="H216" s="54"/>
      <c r="I216" s="54"/>
    </row>
    <row r="217" spans="1:9" x14ac:dyDescent="0.25">
      <c r="A217" s="41"/>
      <c r="B217" s="41"/>
      <c r="C217" s="54"/>
      <c r="D217" s="54"/>
      <c r="E217" s="54"/>
      <c r="F217" s="54"/>
      <c r="G217" s="54"/>
      <c r="H217" s="54"/>
      <c r="I217" s="54"/>
    </row>
    <row r="218" spans="1:9" x14ac:dyDescent="0.25">
      <c r="A218" s="41"/>
      <c r="B218" s="41"/>
      <c r="C218" s="54"/>
      <c r="D218" s="54"/>
      <c r="E218" s="54"/>
      <c r="F218" s="54"/>
      <c r="G218" s="54"/>
      <c r="H218" s="54"/>
      <c r="I218" s="54"/>
    </row>
    <row r="219" spans="1:9" x14ac:dyDescent="0.25">
      <c r="A219" s="41"/>
      <c r="B219" s="41"/>
      <c r="C219" s="54"/>
      <c r="D219" s="54"/>
      <c r="E219" s="54"/>
      <c r="F219" s="54"/>
      <c r="G219" s="54"/>
      <c r="H219" s="54"/>
      <c r="I219" s="54"/>
    </row>
    <row r="220" spans="1:9" x14ac:dyDescent="0.25">
      <c r="A220" s="41"/>
      <c r="B220" s="41"/>
      <c r="C220" s="54"/>
      <c r="D220" s="54"/>
      <c r="E220" s="54"/>
      <c r="F220" s="54"/>
      <c r="G220" s="54"/>
      <c r="H220" s="54"/>
      <c r="I220" s="54"/>
    </row>
    <row r="221" spans="1:9" x14ac:dyDescent="0.25">
      <c r="A221" s="41"/>
      <c r="B221" s="41"/>
      <c r="C221" s="54"/>
      <c r="D221" s="54"/>
      <c r="E221" s="54"/>
      <c r="F221" s="54"/>
      <c r="G221" s="54"/>
      <c r="H221" s="54"/>
      <c r="I221" s="54"/>
    </row>
    <row r="222" spans="1:9" x14ac:dyDescent="0.25">
      <c r="A222" s="41"/>
      <c r="B222" s="41"/>
      <c r="C222" s="54"/>
      <c r="D222" s="54"/>
      <c r="E222" s="54"/>
      <c r="F222" s="54"/>
      <c r="G222" s="54"/>
      <c r="H222" s="54"/>
      <c r="I222" s="54"/>
    </row>
    <row r="223" spans="1:9" x14ac:dyDescent="0.25">
      <c r="A223" s="41"/>
      <c r="B223" s="41"/>
      <c r="C223" s="54"/>
      <c r="D223" s="54"/>
      <c r="E223" s="54"/>
      <c r="F223" s="54"/>
      <c r="G223" s="54"/>
      <c r="H223" s="54"/>
      <c r="I223" s="54"/>
    </row>
    <row r="224" spans="1:9" x14ac:dyDescent="0.25">
      <c r="A224" s="41"/>
      <c r="B224" s="41"/>
      <c r="C224" s="54"/>
      <c r="D224" s="54"/>
      <c r="E224" s="54"/>
      <c r="F224" s="54"/>
      <c r="G224" s="54"/>
      <c r="H224" s="54"/>
      <c r="I224" s="54"/>
    </row>
    <row r="225" spans="1:9" x14ac:dyDescent="0.25">
      <c r="A225" s="41"/>
      <c r="B225" s="41"/>
      <c r="C225" s="54"/>
      <c r="D225" s="54"/>
      <c r="E225" s="54"/>
      <c r="F225" s="54"/>
      <c r="G225" s="54"/>
      <c r="H225" s="54"/>
      <c r="I225" s="54"/>
    </row>
    <row r="226" spans="1:9" x14ac:dyDescent="0.25">
      <c r="A226" s="41"/>
      <c r="B226" s="41"/>
      <c r="C226" s="54"/>
      <c r="D226" s="54"/>
      <c r="E226" s="54"/>
      <c r="F226" s="54"/>
      <c r="G226" s="54"/>
      <c r="H226" s="54"/>
      <c r="I226" s="54"/>
    </row>
    <row r="227" spans="1:9" x14ac:dyDescent="0.25">
      <c r="A227" s="41"/>
      <c r="B227" s="41"/>
      <c r="C227" s="54"/>
      <c r="D227" s="54"/>
      <c r="E227" s="54"/>
      <c r="F227" s="54"/>
      <c r="G227" s="54"/>
      <c r="H227" s="54"/>
      <c r="I227" s="54"/>
    </row>
    <row r="228" spans="1:9" x14ac:dyDescent="0.25">
      <c r="A228" s="41"/>
      <c r="B228" s="41"/>
      <c r="C228" s="54"/>
      <c r="D228" s="54"/>
      <c r="E228" s="54"/>
      <c r="F228" s="54"/>
      <c r="G228" s="54"/>
      <c r="H228" s="54"/>
      <c r="I228" s="54"/>
    </row>
    <row r="229" spans="1:9" x14ac:dyDescent="0.25">
      <c r="A229" s="41"/>
      <c r="B229" s="41"/>
      <c r="C229" s="54"/>
      <c r="D229" s="54"/>
      <c r="E229" s="54"/>
      <c r="F229" s="54"/>
      <c r="G229" s="54"/>
      <c r="H229" s="54"/>
      <c r="I229" s="54"/>
    </row>
    <row r="230" spans="1:9" x14ac:dyDescent="0.25">
      <c r="A230" s="41"/>
      <c r="B230" s="41"/>
      <c r="C230" s="54"/>
      <c r="D230" s="54"/>
      <c r="E230" s="54"/>
      <c r="F230" s="54"/>
      <c r="G230" s="54"/>
      <c r="H230" s="54"/>
      <c r="I230" s="54"/>
    </row>
    <row r="231" spans="1:9" x14ac:dyDescent="0.25">
      <c r="A231" s="41"/>
      <c r="B231" s="41"/>
      <c r="C231" s="54"/>
      <c r="D231" s="54"/>
      <c r="E231" s="54"/>
      <c r="F231" s="54"/>
      <c r="G231" s="54"/>
      <c r="H231" s="54"/>
      <c r="I231" s="54"/>
    </row>
    <row r="232" spans="1:9" x14ac:dyDescent="0.25">
      <c r="A232" s="41"/>
      <c r="B232" s="41"/>
      <c r="C232" s="54"/>
      <c r="D232" s="54"/>
      <c r="E232" s="54"/>
      <c r="F232" s="54"/>
      <c r="G232" s="54"/>
      <c r="H232" s="54"/>
      <c r="I232" s="54"/>
    </row>
    <row r="233" spans="1:9" x14ac:dyDescent="0.25">
      <c r="A233" s="41"/>
      <c r="B233" s="41"/>
      <c r="C233" s="54"/>
      <c r="D233" s="54"/>
      <c r="E233" s="54"/>
      <c r="F233" s="54"/>
      <c r="G233" s="54"/>
      <c r="H233" s="54"/>
      <c r="I233" s="54"/>
    </row>
    <row r="234" spans="1:9" x14ac:dyDescent="0.25">
      <c r="A234" s="41"/>
      <c r="B234" s="41"/>
      <c r="C234" s="54"/>
      <c r="D234" s="54"/>
      <c r="E234" s="54"/>
      <c r="F234" s="54"/>
      <c r="G234" s="54"/>
      <c r="H234" s="54"/>
      <c r="I234" s="54"/>
    </row>
    <row r="235" spans="1:9" x14ac:dyDescent="0.25">
      <c r="A235" s="41"/>
      <c r="B235" s="41"/>
      <c r="C235" s="54"/>
      <c r="D235" s="54"/>
      <c r="E235" s="54"/>
      <c r="F235" s="54"/>
      <c r="G235" s="54"/>
      <c r="H235" s="54"/>
      <c r="I235" s="54"/>
    </row>
    <row r="236" spans="1:9" x14ac:dyDescent="0.25">
      <c r="A236" s="41"/>
      <c r="B236" s="41"/>
      <c r="C236" s="54"/>
      <c r="D236" s="54"/>
      <c r="E236" s="54"/>
      <c r="F236" s="54"/>
      <c r="G236" s="54"/>
      <c r="H236" s="54"/>
      <c r="I236" s="54"/>
    </row>
    <row r="237" spans="1:9" x14ac:dyDescent="0.25">
      <c r="A237" s="41"/>
      <c r="B237" s="41"/>
      <c r="C237" s="54"/>
      <c r="D237" s="54"/>
      <c r="E237" s="54"/>
      <c r="F237" s="54"/>
      <c r="G237" s="54"/>
      <c r="H237" s="54"/>
      <c r="I237" s="54"/>
    </row>
    <row r="238" spans="1:9" x14ac:dyDescent="0.25">
      <c r="A238" s="41"/>
      <c r="B238" s="41"/>
      <c r="C238" s="54"/>
      <c r="D238" s="54"/>
      <c r="E238" s="54"/>
      <c r="F238" s="54"/>
      <c r="G238" s="54"/>
      <c r="H238" s="54"/>
      <c r="I238" s="54"/>
    </row>
    <row r="239" spans="1:9" x14ac:dyDescent="0.25">
      <c r="A239" s="41"/>
      <c r="B239" s="41"/>
      <c r="C239" s="54"/>
      <c r="D239" s="54"/>
      <c r="E239" s="54"/>
      <c r="F239" s="54"/>
      <c r="G239" s="54"/>
      <c r="H239" s="54"/>
      <c r="I239" s="54"/>
    </row>
    <row r="240" spans="1:9" x14ac:dyDescent="0.25">
      <c r="A240" s="41"/>
      <c r="B240" s="41"/>
      <c r="C240" s="54"/>
      <c r="D240" s="54"/>
      <c r="E240" s="54"/>
      <c r="F240" s="54"/>
      <c r="G240" s="54"/>
      <c r="H240" s="54"/>
      <c r="I240" s="54"/>
    </row>
    <row r="241" spans="1:9" x14ac:dyDescent="0.25">
      <c r="A241" s="41"/>
      <c r="B241" s="41"/>
      <c r="C241" s="54"/>
      <c r="D241" s="54"/>
      <c r="E241" s="54"/>
      <c r="F241" s="54"/>
      <c r="G241" s="54"/>
      <c r="H241" s="54"/>
      <c r="I241" s="54"/>
    </row>
    <row r="242" spans="1:9" x14ac:dyDescent="0.25">
      <c r="A242" s="41"/>
      <c r="B242" s="41"/>
      <c r="C242" s="54"/>
      <c r="D242" s="54"/>
      <c r="E242" s="54"/>
      <c r="F242" s="54"/>
      <c r="G242" s="54"/>
      <c r="H242" s="54"/>
      <c r="I242" s="54"/>
    </row>
    <row r="243" spans="1:9" x14ac:dyDescent="0.25">
      <c r="A243" s="41"/>
      <c r="B243" s="41"/>
      <c r="C243" s="54"/>
      <c r="D243" s="54"/>
      <c r="E243" s="54"/>
      <c r="F243" s="54"/>
      <c r="G243" s="54"/>
      <c r="H243" s="54"/>
      <c r="I243" s="54"/>
    </row>
    <row r="244" spans="1:9" x14ac:dyDescent="0.25">
      <c r="A244" s="41"/>
      <c r="B244" s="41"/>
      <c r="C244" s="54"/>
      <c r="D244" s="54"/>
      <c r="E244" s="54"/>
      <c r="F244" s="54"/>
      <c r="G244" s="54"/>
      <c r="H244" s="54"/>
      <c r="I244" s="54"/>
    </row>
    <row r="245" spans="1:9" x14ac:dyDescent="0.25">
      <c r="A245" s="41"/>
      <c r="B245" s="41"/>
      <c r="C245" s="54"/>
      <c r="D245" s="54"/>
      <c r="E245" s="54"/>
      <c r="F245" s="54"/>
      <c r="G245" s="54"/>
      <c r="H245" s="54"/>
      <c r="I245" s="54"/>
    </row>
    <row r="246" spans="1:9" x14ac:dyDescent="0.25">
      <c r="A246" s="41"/>
      <c r="B246" s="41"/>
      <c r="C246" s="54"/>
      <c r="D246" s="54"/>
      <c r="E246" s="54"/>
      <c r="F246" s="54"/>
      <c r="G246" s="54"/>
      <c r="H246" s="54"/>
      <c r="I246" s="54"/>
    </row>
    <row r="247" spans="1:9" x14ac:dyDescent="0.25">
      <c r="A247" s="41"/>
      <c r="B247" s="41"/>
      <c r="C247" s="54"/>
      <c r="D247" s="54"/>
      <c r="E247" s="54"/>
      <c r="F247" s="54"/>
      <c r="G247" s="54"/>
      <c r="H247" s="54"/>
      <c r="I247" s="54"/>
    </row>
    <row r="248" spans="1:9" x14ac:dyDescent="0.25">
      <c r="A248" s="41"/>
      <c r="B248" s="41"/>
      <c r="C248" s="54"/>
      <c r="D248" s="54"/>
      <c r="E248" s="54"/>
      <c r="F248" s="54"/>
      <c r="G248" s="54"/>
      <c r="H248" s="54"/>
      <c r="I248" s="54"/>
    </row>
    <row r="249" spans="1:9" x14ac:dyDescent="0.25">
      <c r="A249" s="41"/>
      <c r="B249" s="41"/>
      <c r="C249" s="54"/>
      <c r="D249" s="54"/>
      <c r="E249" s="54"/>
      <c r="F249" s="54"/>
      <c r="G249" s="54"/>
      <c r="H249" s="54"/>
      <c r="I249" s="54"/>
    </row>
    <row r="250" spans="1:9" x14ac:dyDescent="0.25">
      <c r="A250" s="41"/>
      <c r="B250" s="41"/>
      <c r="C250" s="54"/>
      <c r="D250" s="54"/>
      <c r="E250" s="54"/>
      <c r="F250" s="54"/>
      <c r="G250" s="54"/>
      <c r="H250" s="54"/>
      <c r="I250" s="54"/>
    </row>
    <row r="251" spans="1:9" x14ac:dyDescent="0.25">
      <c r="A251" s="41"/>
      <c r="B251" s="41"/>
      <c r="C251" s="54"/>
      <c r="D251" s="54"/>
      <c r="E251" s="54"/>
      <c r="F251" s="54"/>
      <c r="G251" s="54"/>
      <c r="H251" s="54"/>
      <c r="I251" s="54"/>
    </row>
    <row r="252" spans="1:9" x14ac:dyDescent="0.25">
      <c r="A252" s="41"/>
      <c r="B252" s="41"/>
      <c r="C252" s="54"/>
      <c r="D252" s="54"/>
      <c r="E252" s="54"/>
      <c r="F252" s="54"/>
      <c r="G252" s="54"/>
      <c r="H252" s="54"/>
      <c r="I252" s="54"/>
    </row>
    <row r="253" spans="1:9" x14ac:dyDescent="0.25">
      <c r="A253" s="41"/>
      <c r="B253" s="41"/>
      <c r="C253" s="54"/>
      <c r="D253" s="54"/>
      <c r="E253" s="54"/>
      <c r="F253" s="54"/>
      <c r="G253" s="54"/>
      <c r="H253" s="54"/>
      <c r="I253" s="54"/>
    </row>
    <row r="254" spans="1:9" x14ac:dyDescent="0.25">
      <c r="A254" s="41"/>
      <c r="B254" s="41"/>
      <c r="C254" s="54"/>
      <c r="D254" s="54"/>
      <c r="E254" s="54"/>
      <c r="F254" s="54"/>
      <c r="G254" s="54"/>
      <c r="H254" s="54"/>
      <c r="I254" s="54"/>
    </row>
    <row r="255" spans="1:9" x14ac:dyDescent="0.25">
      <c r="A255" s="41"/>
      <c r="B255" s="41"/>
      <c r="C255" s="54"/>
      <c r="D255" s="54"/>
      <c r="E255" s="54"/>
      <c r="F255" s="54"/>
      <c r="G255" s="54"/>
      <c r="H255" s="54"/>
      <c r="I255" s="54"/>
    </row>
    <row r="256" spans="1:9" x14ac:dyDescent="0.25">
      <c r="A256" s="41"/>
      <c r="B256" s="41"/>
      <c r="C256" s="54"/>
      <c r="D256" s="54"/>
      <c r="E256" s="54"/>
      <c r="F256" s="54"/>
      <c r="G256" s="54"/>
      <c r="H256" s="54"/>
      <c r="I256" s="54"/>
    </row>
    <row r="257" spans="1:9" x14ac:dyDescent="0.25">
      <c r="A257" s="41"/>
      <c r="B257" s="41"/>
      <c r="C257" s="54"/>
      <c r="D257" s="54"/>
      <c r="E257" s="54"/>
      <c r="F257" s="54"/>
      <c r="G257" s="54"/>
      <c r="H257" s="54"/>
      <c r="I257" s="54"/>
    </row>
    <row r="258" spans="1:9" x14ac:dyDescent="0.25">
      <c r="A258" s="41"/>
      <c r="B258" s="41"/>
      <c r="C258" s="54"/>
      <c r="D258" s="54"/>
      <c r="E258" s="54"/>
      <c r="F258" s="54"/>
      <c r="G258" s="54"/>
      <c r="H258" s="54"/>
      <c r="I258" s="54"/>
    </row>
    <row r="259" spans="1:9" x14ac:dyDescent="0.25">
      <c r="A259" s="41"/>
      <c r="B259" s="41"/>
      <c r="C259" s="54"/>
      <c r="D259" s="54"/>
      <c r="E259" s="54"/>
      <c r="F259" s="54"/>
      <c r="G259" s="54"/>
      <c r="H259" s="54"/>
      <c r="I259" s="54"/>
    </row>
    <row r="260" spans="1:9" x14ac:dyDescent="0.25">
      <c r="A260" s="41"/>
      <c r="B260" s="41"/>
      <c r="C260" s="54"/>
      <c r="D260" s="54"/>
      <c r="E260" s="54"/>
      <c r="F260" s="54"/>
      <c r="G260" s="54"/>
      <c r="H260" s="54"/>
      <c r="I260" s="54"/>
    </row>
    <row r="261" spans="1:9" x14ac:dyDescent="0.25">
      <c r="A261" s="41"/>
      <c r="B261" s="41"/>
      <c r="C261" s="54"/>
      <c r="D261" s="54"/>
      <c r="E261" s="54"/>
      <c r="F261" s="54"/>
      <c r="G261" s="54"/>
      <c r="H261" s="54"/>
      <c r="I261" s="54"/>
    </row>
    <row r="262" spans="1:9" x14ac:dyDescent="0.25">
      <c r="A262" s="41"/>
      <c r="B262" s="41"/>
      <c r="C262" s="54"/>
      <c r="D262" s="54"/>
      <c r="E262" s="54"/>
      <c r="F262" s="54"/>
      <c r="G262" s="54"/>
      <c r="H262" s="54"/>
      <c r="I262" s="54"/>
    </row>
    <row r="263" spans="1:9" x14ac:dyDescent="0.25">
      <c r="A263" s="41"/>
      <c r="B263" s="41"/>
      <c r="C263" s="54"/>
      <c r="D263" s="54"/>
      <c r="E263" s="54"/>
      <c r="F263" s="54"/>
      <c r="G263" s="54"/>
      <c r="H263" s="54"/>
      <c r="I263" s="54"/>
    </row>
    <row r="264" spans="1:9" x14ac:dyDescent="0.25">
      <c r="A264" s="41"/>
      <c r="B264" s="41"/>
      <c r="C264" s="54"/>
      <c r="D264" s="54"/>
      <c r="E264" s="54"/>
      <c r="F264" s="54"/>
      <c r="G264" s="54"/>
      <c r="H264" s="54"/>
      <c r="I264" s="54"/>
    </row>
    <row r="265" spans="1:9" x14ac:dyDescent="0.25">
      <c r="A265" s="41"/>
      <c r="B265" s="41"/>
      <c r="C265" s="54"/>
      <c r="D265" s="54"/>
      <c r="E265" s="54"/>
      <c r="F265" s="54"/>
      <c r="G265" s="54"/>
      <c r="H265" s="54"/>
      <c r="I265" s="54"/>
    </row>
    <row r="266" spans="1:9" x14ac:dyDescent="0.25">
      <c r="A266" s="41"/>
      <c r="B266" s="41"/>
      <c r="C266" s="54"/>
      <c r="D266" s="54"/>
      <c r="E266" s="54"/>
      <c r="F266" s="54"/>
      <c r="G266" s="54"/>
      <c r="H266" s="54"/>
      <c r="I266" s="54"/>
    </row>
    <row r="267" spans="1:9" x14ac:dyDescent="0.25">
      <c r="A267" s="41"/>
      <c r="B267" s="41"/>
      <c r="C267" s="54"/>
      <c r="D267" s="54"/>
      <c r="E267" s="54"/>
      <c r="F267" s="54"/>
      <c r="G267" s="54"/>
      <c r="H267" s="54"/>
      <c r="I267" s="54"/>
    </row>
    <row r="268" spans="1:9" x14ac:dyDescent="0.25">
      <c r="A268" s="41"/>
      <c r="B268" s="41"/>
      <c r="C268" s="54"/>
      <c r="D268" s="54"/>
      <c r="E268" s="54"/>
      <c r="F268" s="54"/>
      <c r="G268" s="54"/>
      <c r="H268" s="54"/>
      <c r="I268" s="54"/>
    </row>
    <row r="269" spans="1:9" x14ac:dyDescent="0.25">
      <c r="A269" s="41"/>
      <c r="B269" s="41"/>
      <c r="C269" s="54"/>
      <c r="D269" s="54"/>
      <c r="E269" s="54"/>
      <c r="F269" s="54"/>
      <c r="G269" s="54"/>
      <c r="H269" s="54"/>
      <c r="I269" s="54"/>
    </row>
    <row r="270" spans="1:9" x14ac:dyDescent="0.25">
      <c r="A270" s="41"/>
      <c r="B270" s="41"/>
      <c r="C270" s="54"/>
      <c r="D270" s="54"/>
      <c r="E270" s="54"/>
      <c r="F270" s="54"/>
      <c r="G270" s="54"/>
      <c r="H270" s="54"/>
      <c r="I270" s="54"/>
    </row>
    <row r="271" spans="1:9" x14ac:dyDescent="0.25">
      <c r="A271" s="41"/>
      <c r="B271" s="41"/>
      <c r="C271" s="54"/>
      <c r="D271" s="54"/>
      <c r="E271" s="54"/>
      <c r="F271" s="54"/>
      <c r="G271" s="54"/>
      <c r="H271" s="54"/>
      <c r="I271" s="54"/>
    </row>
    <row r="272" spans="1:9" x14ac:dyDescent="0.25">
      <c r="A272" s="41"/>
      <c r="B272" s="41"/>
      <c r="C272" s="54"/>
      <c r="D272" s="54"/>
      <c r="E272" s="54"/>
      <c r="F272" s="54"/>
      <c r="G272" s="54"/>
      <c r="H272" s="54"/>
      <c r="I272" s="54"/>
    </row>
    <row r="273" spans="1:9" x14ac:dyDescent="0.25">
      <c r="A273" s="41"/>
      <c r="B273" s="41"/>
      <c r="C273" s="54"/>
      <c r="D273" s="54"/>
      <c r="E273" s="54"/>
      <c r="F273" s="54"/>
      <c r="G273" s="54"/>
      <c r="H273" s="54"/>
      <c r="I273" s="54"/>
    </row>
    <row r="274" spans="1:9" x14ac:dyDescent="0.25">
      <c r="A274" s="41"/>
      <c r="B274" s="41"/>
      <c r="C274" s="54"/>
      <c r="D274" s="54"/>
      <c r="E274" s="54"/>
      <c r="F274" s="54"/>
      <c r="G274" s="54"/>
      <c r="H274" s="54"/>
      <c r="I274" s="54"/>
    </row>
    <row r="275" spans="1:9" x14ac:dyDescent="0.25">
      <c r="A275" s="41"/>
      <c r="B275" s="41"/>
      <c r="C275" s="54"/>
      <c r="D275" s="54"/>
      <c r="E275" s="54"/>
      <c r="F275" s="54"/>
      <c r="G275" s="54"/>
      <c r="H275" s="54"/>
      <c r="I275" s="54"/>
    </row>
    <row r="276" spans="1:9" x14ac:dyDescent="0.25">
      <c r="A276" s="41"/>
      <c r="B276" s="41"/>
      <c r="C276" s="54"/>
      <c r="D276" s="54"/>
      <c r="E276" s="54"/>
      <c r="F276" s="54"/>
      <c r="G276" s="54"/>
      <c r="H276" s="54"/>
      <c r="I276" s="54"/>
    </row>
    <row r="277" spans="1:9" x14ac:dyDescent="0.25">
      <c r="A277" s="41"/>
      <c r="B277" s="41"/>
      <c r="C277" s="54"/>
      <c r="D277" s="54"/>
      <c r="E277" s="54"/>
      <c r="F277" s="54"/>
      <c r="G277" s="54"/>
      <c r="H277" s="54"/>
      <c r="I277" s="54"/>
    </row>
    <row r="278" spans="1:9" x14ac:dyDescent="0.25">
      <c r="A278" s="41"/>
      <c r="B278" s="41"/>
      <c r="C278" s="54"/>
      <c r="D278" s="54"/>
      <c r="E278" s="54"/>
      <c r="F278" s="54"/>
      <c r="G278" s="54"/>
      <c r="H278" s="54"/>
      <c r="I278" s="54"/>
    </row>
    <row r="279" spans="1:9" x14ac:dyDescent="0.25">
      <c r="A279" s="41"/>
      <c r="B279" s="41"/>
      <c r="C279" s="54"/>
      <c r="D279" s="54"/>
      <c r="E279" s="54"/>
      <c r="F279" s="54"/>
      <c r="G279" s="54"/>
      <c r="H279" s="54"/>
      <c r="I279" s="54"/>
    </row>
    <row r="280" spans="1:9" x14ac:dyDescent="0.25">
      <c r="A280" s="41"/>
      <c r="B280" s="41"/>
      <c r="C280" s="54"/>
      <c r="D280" s="54"/>
      <c r="E280" s="54"/>
      <c r="F280" s="54"/>
      <c r="G280" s="54"/>
      <c r="H280" s="54"/>
      <c r="I280" s="54"/>
    </row>
    <row r="281" spans="1:9" x14ac:dyDescent="0.25">
      <c r="A281" s="41"/>
      <c r="B281" s="41"/>
      <c r="C281" s="54"/>
      <c r="D281" s="54"/>
      <c r="E281" s="54"/>
      <c r="F281" s="54"/>
      <c r="G281" s="54"/>
      <c r="H281" s="54"/>
      <c r="I281" s="54"/>
    </row>
    <row r="282" spans="1:9" x14ac:dyDescent="0.25">
      <c r="A282" s="41"/>
      <c r="B282" s="41"/>
      <c r="C282" s="54"/>
      <c r="D282" s="54"/>
      <c r="E282" s="54"/>
      <c r="F282" s="54"/>
      <c r="G282" s="54"/>
      <c r="H282" s="54"/>
      <c r="I282" s="54"/>
    </row>
    <row r="283" spans="1:9" x14ac:dyDescent="0.25">
      <c r="A283" s="41"/>
      <c r="B283" s="41"/>
      <c r="C283" s="54"/>
      <c r="D283" s="54"/>
      <c r="E283" s="54"/>
      <c r="F283" s="54"/>
      <c r="G283" s="54"/>
      <c r="H283" s="54"/>
      <c r="I283" s="54"/>
    </row>
    <row r="284" spans="1:9" x14ac:dyDescent="0.25">
      <c r="A284" s="41"/>
      <c r="B284" s="41"/>
      <c r="C284" s="54"/>
      <c r="D284" s="54"/>
      <c r="E284" s="54"/>
      <c r="F284" s="54"/>
      <c r="G284" s="54"/>
      <c r="H284" s="54"/>
      <c r="I284" s="54"/>
    </row>
    <row r="285" spans="1:9" x14ac:dyDescent="0.25">
      <c r="A285" s="41"/>
      <c r="B285" s="41"/>
      <c r="C285" s="54"/>
      <c r="D285" s="54"/>
      <c r="E285" s="54"/>
      <c r="F285" s="54"/>
      <c r="G285" s="54"/>
      <c r="H285" s="54"/>
      <c r="I285" s="54"/>
    </row>
    <row r="286" spans="1:9" x14ac:dyDescent="0.25">
      <c r="A286" s="41"/>
      <c r="B286" s="41"/>
      <c r="C286" s="54"/>
      <c r="D286" s="54"/>
      <c r="E286" s="54"/>
      <c r="F286" s="54"/>
      <c r="G286" s="54"/>
      <c r="H286" s="54"/>
      <c r="I286" s="54"/>
    </row>
    <row r="287" spans="1:9" x14ac:dyDescent="0.25">
      <c r="A287" s="41"/>
      <c r="B287" s="41"/>
      <c r="C287" s="54"/>
      <c r="D287" s="54"/>
      <c r="E287" s="54"/>
      <c r="F287" s="54"/>
      <c r="G287" s="54"/>
      <c r="H287" s="54"/>
      <c r="I287" s="54"/>
    </row>
    <row r="288" spans="1:9" x14ac:dyDescent="0.25">
      <c r="A288" s="41"/>
      <c r="B288" s="41"/>
      <c r="C288" s="54"/>
      <c r="D288" s="54"/>
      <c r="E288" s="54"/>
      <c r="F288" s="54"/>
      <c r="G288" s="54"/>
      <c r="H288" s="54"/>
      <c r="I288" s="54"/>
    </row>
    <row r="289" spans="1:9" x14ac:dyDescent="0.25">
      <c r="A289" s="41"/>
      <c r="B289" s="41"/>
      <c r="C289" s="54"/>
      <c r="D289" s="54"/>
      <c r="E289" s="54"/>
      <c r="F289" s="54"/>
      <c r="G289" s="54"/>
      <c r="H289" s="54"/>
      <c r="I289" s="54"/>
    </row>
    <row r="290" spans="1:9" x14ac:dyDescent="0.25">
      <c r="A290" s="41"/>
      <c r="B290" s="41"/>
      <c r="C290" s="54"/>
      <c r="D290" s="54"/>
      <c r="E290" s="54"/>
      <c r="F290" s="54"/>
      <c r="G290" s="54"/>
      <c r="H290" s="54"/>
      <c r="I290" s="54"/>
    </row>
    <row r="291" spans="1:9" x14ac:dyDescent="0.25">
      <c r="A291" s="41"/>
      <c r="B291" s="41"/>
      <c r="C291" s="54"/>
      <c r="D291" s="54"/>
      <c r="E291" s="54"/>
      <c r="F291" s="54"/>
      <c r="G291" s="54"/>
      <c r="H291" s="54"/>
      <c r="I291" s="54"/>
    </row>
    <row r="292" spans="1:9" x14ac:dyDescent="0.25">
      <c r="A292" s="41"/>
      <c r="B292" s="41"/>
      <c r="C292" s="54"/>
      <c r="D292" s="54"/>
      <c r="E292" s="54"/>
      <c r="F292" s="54"/>
      <c r="G292" s="54"/>
      <c r="H292" s="54"/>
      <c r="I292" s="54"/>
    </row>
    <row r="293" spans="1:9" x14ac:dyDescent="0.25">
      <c r="A293" s="41"/>
      <c r="B293" s="41"/>
      <c r="C293" s="54"/>
      <c r="D293" s="54"/>
      <c r="E293" s="54"/>
      <c r="F293" s="54"/>
      <c r="G293" s="54"/>
      <c r="H293" s="54"/>
      <c r="I293" s="54"/>
    </row>
    <row r="294" spans="1:9" x14ac:dyDescent="0.25">
      <c r="A294" s="41"/>
      <c r="B294" s="41"/>
      <c r="C294" s="54"/>
      <c r="D294" s="54"/>
      <c r="E294" s="54"/>
      <c r="F294" s="54"/>
      <c r="G294" s="54"/>
      <c r="H294" s="54"/>
      <c r="I294" s="54"/>
    </row>
    <row r="295" spans="1:9" x14ac:dyDescent="0.25">
      <c r="A295" s="41"/>
      <c r="B295" s="41"/>
      <c r="C295" s="54"/>
      <c r="D295" s="54"/>
      <c r="E295" s="54"/>
      <c r="F295" s="54"/>
      <c r="G295" s="54"/>
      <c r="H295" s="54"/>
      <c r="I295" s="54"/>
    </row>
    <row r="296" spans="1:9" x14ac:dyDescent="0.25">
      <c r="A296" s="41"/>
      <c r="B296" s="41"/>
      <c r="C296" s="54"/>
      <c r="D296" s="54"/>
      <c r="E296" s="54"/>
      <c r="F296" s="54"/>
      <c r="G296" s="54"/>
      <c r="H296" s="54"/>
      <c r="I296" s="54"/>
    </row>
    <row r="297" spans="1:9" x14ac:dyDescent="0.25">
      <c r="A297" s="41"/>
      <c r="B297" s="41"/>
      <c r="C297" s="54"/>
      <c r="D297" s="54"/>
      <c r="E297" s="54"/>
      <c r="F297" s="54"/>
      <c r="G297" s="54"/>
      <c r="H297" s="54"/>
      <c r="I297" s="54"/>
    </row>
    <row r="298" spans="1:9" x14ac:dyDescent="0.25">
      <c r="A298" s="41"/>
      <c r="B298" s="41"/>
      <c r="C298" s="54"/>
      <c r="D298" s="54"/>
      <c r="E298" s="54"/>
      <c r="F298" s="54"/>
      <c r="G298" s="54"/>
      <c r="H298" s="54"/>
      <c r="I298" s="54"/>
    </row>
    <row r="299" spans="1:9" x14ac:dyDescent="0.25">
      <c r="A299" s="41"/>
      <c r="B299" s="41"/>
      <c r="C299" s="54"/>
      <c r="D299" s="54"/>
      <c r="E299" s="54"/>
      <c r="F299" s="54"/>
      <c r="G299" s="54"/>
      <c r="H299" s="54"/>
      <c r="I299" s="54"/>
    </row>
    <row r="300" spans="1:9" x14ac:dyDescent="0.25">
      <c r="A300" s="41"/>
      <c r="B300" s="41"/>
      <c r="C300" s="54"/>
      <c r="D300" s="54"/>
      <c r="E300" s="54"/>
      <c r="F300" s="54"/>
      <c r="G300" s="54"/>
      <c r="H300" s="54"/>
      <c r="I300" s="54"/>
    </row>
    <row r="301" spans="1:9" x14ac:dyDescent="0.25">
      <c r="A301" s="41"/>
      <c r="B301" s="41"/>
      <c r="C301" s="54"/>
      <c r="D301" s="54"/>
      <c r="E301" s="54"/>
      <c r="F301" s="54"/>
      <c r="G301" s="54"/>
      <c r="H301" s="54"/>
      <c r="I301" s="54"/>
    </row>
    <row r="302" spans="1:9" x14ac:dyDescent="0.25">
      <c r="A302" s="41"/>
      <c r="B302" s="41"/>
      <c r="C302" s="54"/>
      <c r="D302" s="54"/>
      <c r="E302" s="54"/>
      <c r="F302" s="54"/>
      <c r="G302" s="54"/>
      <c r="H302" s="54"/>
      <c r="I302" s="54"/>
    </row>
    <row r="303" spans="1:9" x14ac:dyDescent="0.25">
      <c r="A303" s="41"/>
      <c r="B303" s="41"/>
      <c r="C303" s="54"/>
      <c r="D303" s="54"/>
      <c r="E303" s="54"/>
      <c r="F303" s="54"/>
      <c r="G303" s="54"/>
      <c r="H303" s="54"/>
      <c r="I303" s="54"/>
    </row>
    <row r="304" spans="1:9" x14ac:dyDescent="0.25">
      <c r="A304" s="41"/>
      <c r="B304" s="41"/>
      <c r="C304" s="54"/>
      <c r="D304" s="54"/>
      <c r="E304" s="54"/>
      <c r="F304" s="54"/>
      <c r="G304" s="54"/>
      <c r="H304" s="54"/>
      <c r="I304" s="54"/>
    </row>
    <row r="305" spans="1:9" x14ac:dyDescent="0.25">
      <c r="A305" s="41"/>
      <c r="B305" s="41"/>
      <c r="C305" s="54"/>
      <c r="D305" s="54"/>
      <c r="E305" s="54"/>
      <c r="F305" s="54"/>
      <c r="G305" s="54"/>
      <c r="H305" s="54"/>
      <c r="I305" s="54"/>
    </row>
    <row r="306" spans="1:9" x14ac:dyDescent="0.25">
      <c r="A306" s="41"/>
      <c r="B306" s="41"/>
      <c r="C306" s="54"/>
      <c r="D306" s="54"/>
      <c r="E306" s="54"/>
      <c r="F306" s="54"/>
      <c r="G306" s="54"/>
      <c r="H306" s="54"/>
      <c r="I306" s="54"/>
    </row>
    <row r="307" spans="1:9" x14ac:dyDescent="0.25">
      <c r="A307" s="41"/>
      <c r="B307" s="41"/>
      <c r="C307" s="54"/>
      <c r="D307" s="54"/>
      <c r="E307" s="54"/>
      <c r="F307" s="54"/>
      <c r="G307" s="54"/>
      <c r="H307" s="54"/>
      <c r="I307" s="54"/>
    </row>
    <row r="308" spans="1:9" x14ac:dyDescent="0.25">
      <c r="A308" s="41"/>
      <c r="B308" s="41"/>
      <c r="C308" s="54"/>
      <c r="D308" s="54"/>
      <c r="E308" s="54"/>
      <c r="F308" s="54"/>
      <c r="G308" s="54"/>
      <c r="H308" s="54"/>
      <c r="I308" s="54"/>
    </row>
    <row r="309" spans="1:9" x14ac:dyDescent="0.25">
      <c r="A309" s="41"/>
      <c r="B309" s="41"/>
      <c r="C309" s="54"/>
      <c r="D309" s="54"/>
      <c r="E309" s="54"/>
      <c r="F309" s="54"/>
      <c r="G309" s="54"/>
      <c r="H309" s="54"/>
      <c r="I309" s="54"/>
    </row>
    <row r="310" spans="1:9" x14ac:dyDescent="0.25">
      <c r="A310" s="41"/>
      <c r="B310" s="41"/>
      <c r="C310" s="54"/>
      <c r="D310" s="54"/>
      <c r="E310" s="54"/>
      <c r="F310" s="54"/>
      <c r="G310" s="54"/>
      <c r="H310" s="54"/>
      <c r="I310" s="54"/>
    </row>
    <row r="311" spans="1:9" x14ac:dyDescent="0.25">
      <c r="A311" s="41"/>
      <c r="B311" s="41"/>
      <c r="C311" s="54"/>
      <c r="D311" s="54"/>
      <c r="E311" s="54"/>
      <c r="F311" s="54"/>
      <c r="G311" s="54"/>
      <c r="H311" s="54"/>
      <c r="I311" s="54"/>
    </row>
    <row r="312" spans="1:9" x14ac:dyDescent="0.25">
      <c r="A312" s="41"/>
      <c r="B312" s="41"/>
      <c r="C312" s="54"/>
      <c r="D312" s="54"/>
      <c r="E312" s="54"/>
      <c r="F312" s="54"/>
      <c r="G312" s="54"/>
      <c r="H312" s="54"/>
      <c r="I312" s="54"/>
    </row>
    <row r="313" spans="1:9" x14ac:dyDescent="0.25">
      <c r="A313" s="41"/>
      <c r="B313" s="41"/>
      <c r="C313" s="54"/>
      <c r="D313" s="54"/>
      <c r="E313" s="54"/>
      <c r="F313" s="54"/>
      <c r="G313" s="54"/>
      <c r="H313" s="54"/>
      <c r="I313" s="54"/>
    </row>
    <row r="314" spans="1:9" x14ac:dyDescent="0.25">
      <c r="A314" s="41"/>
      <c r="B314" s="41"/>
      <c r="C314" s="54"/>
      <c r="D314" s="54"/>
      <c r="E314" s="54"/>
      <c r="F314" s="54"/>
      <c r="G314" s="54"/>
      <c r="H314" s="54"/>
      <c r="I314" s="54"/>
    </row>
    <row r="315" spans="1:9" x14ac:dyDescent="0.25">
      <c r="A315" s="41"/>
      <c r="B315" s="41"/>
      <c r="C315" s="54"/>
      <c r="D315" s="54"/>
      <c r="E315" s="54"/>
      <c r="F315" s="54"/>
      <c r="G315" s="54"/>
      <c r="H315" s="54"/>
      <c r="I315" s="54"/>
    </row>
    <row r="316" spans="1:9" x14ac:dyDescent="0.25">
      <c r="A316" s="41"/>
      <c r="B316" s="41"/>
      <c r="C316" s="54"/>
      <c r="D316" s="54"/>
      <c r="E316" s="54"/>
      <c r="F316" s="54"/>
      <c r="G316" s="54"/>
      <c r="H316" s="54"/>
      <c r="I316" s="54"/>
    </row>
    <row r="317" spans="1:9" x14ac:dyDescent="0.25">
      <c r="A317" s="41"/>
      <c r="B317" s="41"/>
      <c r="C317" s="54"/>
      <c r="D317" s="54"/>
      <c r="E317" s="54"/>
      <c r="F317" s="54"/>
      <c r="G317" s="54"/>
      <c r="H317" s="54"/>
      <c r="I317" s="54"/>
    </row>
    <row r="318" spans="1:9" x14ac:dyDescent="0.25">
      <c r="A318" s="41"/>
      <c r="B318" s="41"/>
      <c r="C318" s="54"/>
      <c r="D318" s="54"/>
      <c r="E318" s="54"/>
      <c r="F318" s="54"/>
      <c r="G318" s="54"/>
      <c r="H318" s="54"/>
      <c r="I318" s="54"/>
    </row>
    <row r="319" spans="1:9" x14ac:dyDescent="0.25">
      <c r="A319" s="41"/>
      <c r="B319" s="41"/>
      <c r="C319" s="54"/>
      <c r="D319" s="54"/>
      <c r="E319" s="54"/>
      <c r="F319" s="54"/>
      <c r="G319" s="54"/>
      <c r="H319" s="54"/>
      <c r="I319" s="54"/>
    </row>
    <row r="320" spans="1:9" x14ac:dyDescent="0.25">
      <c r="A320" s="41"/>
      <c r="B320" s="41"/>
      <c r="C320" s="54"/>
      <c r="D320" s="54"/>
      <c r="E320" s="54"/>
      <c r="F320" s="54"/>
      <c r="G320" s="54"/>
      <c r="H320" s="54"/>
      <c r="I320" s="54"/>
    </row>
    <row r="321" spans="1:9" x14ac:dyDescent="0.25">
      <c r="A321" s="41"/>
      <c r="B321" s="41"/>
      <c r="C321" s="54"/>
      <c r="D321" s="54"/>
      <c r="E321" s="54"/>
      <c r="F321" s="54"/>
      <c r="G321" s="54"/>
      <c r="H321" s="54"/>
      <c r="I321" s="54"/>
    </row>
    <row r="322" spans="1:9" x14ac:dyDescent="0.25">
      <c r="A322" s="41"/>
      <c r="B322" s="41"/>
      <c r="C322" s="54"/>
      <c r="D322" s="54"/>
      <c r="E322" s="54"/>
      <c r="F322" s="54"/>
      <c r="G322" s="54"/>
      <c r="H322" s="54"/>
      <c r="I322" s="54"/>
    </row>
    <row r="323" spans="1:9" x14ac:dyDescent="0.25">
      <c r="A323" s="41"/>
      <c r="B323" s="41"/>
      <c r="C323" s="54"/>
      <c r="D323" s="54"/>
      <c r="E323" s="54"/>
      <c r="F323" s="54"/>
      <c r="G323" s="54"/>
      <c r="H323" s="54"/>
      <c r="I323" s="54"/>
    </row>
    <row r="324" spans="1:9" x14ac:dyDescent="0.25">
      <c r="A324" s="41"/>
      <c r="B324" s="41"/>
      <c r="C324" s="54"/>
      <c r="D324" s="54"/>
      <c r="E324" s="54"/>
      <c r="F324" s="54"/>
      <c r="G324" s="54"/>
      <c r="H324" s="54"/>
      <c r="I324" s="54"/>
    </row>
    <row r="325" spans="1:9" x14ac:dyDescent="0.25">
      <c r="A325" s="41"/>
      <c r="B325" s="41"/>
      <c r="C325" s="54"/>
      <c r="D325" s="54"/>
      <c r="E325" s="54"/>
      <c r="F325" s="54"/>
      <c r="G325" s="54"/>
      <c r="H325" s="54"/>
      <c r="I325" s="54"/>
    </row>
    <row r="326" spans="1:9" x14ac:dyDescent="0.25">
      <c r="A326" s="41"/>
      <c r="B326" s="41"/>
      <c r="C326" s="54"/>
      <c r="D326" s="54"/>
      <c r="E326" s="54"/>
      <c r="F326" s="54"/>
      <c r="G326" s="54"/>
      <c r="H326" s="54"/>
      <c r="I326" s="54"/>
    </row>
    <row r="327" spans="1:9" x14ac:dyDescent="0.25">
      <c r="A327" s="41"/>
      <c r="B327" s="41"/>
      <c r="C327" s="54"/>
      <c r="D327" s="54"/>
      <c r="E327" s="54"/>
      <c r="F327" s="54"/>
      <c r="G327" s="54"/>
      <c r="H327" s="54"/>
      <c r="I327" s="54"/>
    </row>
    <row r="328" spans="1:9" x14ac:dyDescent="0.25">
      <c r="A328" s="41"/>
      <c r="B328" s="41"/>
      <c r="C328" s="54"/>
      <c r="D328" s="54"/>
      <c r="E328" s="54"/>
      <c r="F328" s="54"/>
      <c r="G328" s="54"/>
      <c r="H328" s="54"/>
      <c r="I328" s="54"/>
    </row>
    <row r="329" spans="1:9" x14ac:dyDescent="0.25">
      <c r="A329" s="41"/>
      <c r="B329" s="41"/>
      <c r="C329" s="54"/>
      <c r="D329" s="54"/>
      <c r="E329" s="54"/>
      <c r="F329" s="54"/>
      <c r="G329" s="54"/>
      <c r="H329" s="54"/>
      <c r="I329" s="54"/>
    </row>
    <row r="330" spans="1:9" x14ac:dyDescent="0.25">
      <c r="A330" s="41"/>
      <c r="B330" s="41"/>
      <c r="C330" s="54"/>
      <c r="D330" s="54"/>
      <c r="E330" s="54"/>
      <c r="F330" s="54"/>
      <c r="G330" s="54"/>
      <c r="H330" s="54"/>
      <c r="I330" s="54"/>
    </row>
    <row r="331" spans="1:9" x14ac:dyDescent="0.25">
      <c r="A331" s="41"/>
      <c r="B331" s="41"/>
      <c r="C331" s="54"/>
      <c r="D331" s="54"/>
      <c r="E331" s="54"/>
      <c r="F331" s="54"/>
      <c r="G331" s="54"/>
      <c r="H331" s="54"/>
      <c r="I331" s="54"/>
    </row>
    <row r="332" spans="1:9" x14ac:dyDescent="0.25">
      <c r="A332" s="41"/>
      <c r="B332" s="41"/>
      <c r="C332" s="54"/>
      <c r="D332" s="54"/>
      <c r="E332" s="54"/>
      <c r="F332" s="54"/>
      <c r="G332" s="54"/>
      <c r="H332" s="54"/>
      <c r="I332" s="54"/>
    </row>
    <row r="333" spans="1:9" x14ac:dyDescent="0.25">
      <c r="A333" s="41"/>
      <c r="B333" s="41"/>
      <c r="C333" s="54"/>
      <c r="D333" s="54"/>
      <c r="E333" s="54"/>
      <c r="F333" s="54"/>
      <c r="G333" s="54"/>
      <c r="H333" s="54"/>
      <c r="I333" s="54"/>
    </row>
    <row r="334" spans="1:9" x14ac:dyDescent="0.25">
      <c r="A334" s="41"/>
      <c r="B334" s="41"/>
      <c r="C334" s="54"/>
      <c r="D334" s="54"/>
      <c r="E334" s="54"/>
      <c r="F334" s="54"/>
      <c r="G334" s="54"/>
      <c r="H334" s="54"/>
      <c r="I334" s="54"/>
    </row>
    <row r="335" spans="1:9" x14ac:dyDescent="0.25">
      <c r="A335" s="41"/>
      <c r="B335" s="41"/>
      <c r="C335" s="54"/>
      <c r="D335" s="54"/>
      <c r="E335" s="54"/>
      <c r="F335" s="54"/>
      <c r="G335" s="54"/>
      <c r="H335" s="54"/>
      <c r="I335" s="54"/>
    </row>
    <row r="336" spans="1:9" x14ac:dyDescent="0.25">
      <c r="A336" s="41"/>
      <c r="B336" s="41"/>
      <c r="C336" s="54"/>
      <c r="D336" s="54"/>
      <c r="E336" s="54"/>
      <c r="F336" s="54"/>
      <c r="G336" s="54"/>
      <c r="H336" s="54"/>
      <c r="I336" s="54"/>
    </row>
    <row r="337" spans="1:9" x14ac:dyDescent="0.25">
      <c r="A337" s="41"/>
      <c r="B337" s="41"/>
      <c r="C337" s="54"/>
      <c r="D337" s="54"/>
      <c r="E337" s="54"/>
      <c r="F337" s="54"/>
      <c r="G337" s="54"/>
      <c r="H337" s="54"/>
      <c r="I337" s="54"/>
    </row>
    <row r="338" spans="1:9" x14ac:dyDescent="0.25">
      <c r="A338" s="41"/>
      <c r="B338" s="41"/>
      <c r="C338" s="54"/>
      <c r="D338" s="54"/>
      <c r="E338" s="54"/>
      <c r="F338" s="54"/>
      <c r="G338" s="54"/>
      <c r="H338" s="54"/>
      <c r="I338" s="54"/>
    </row>
    <row r="339" spans="1:9" x14ac:dyDescent="0.25">
      <c r="A339" s="41"/>
      <c r="B339" s="41"/>
      <c r="C339" s="54"/>
      <c r="D339" s="54"/>
      <c r="E339" s="54"/>
      <c r="F339" s="54"/>
      <c r="G339" s="54"/>
      <c r="H339" s="54"/>
      <c r="I339" s="54"/>
    </row>
    <row r="340" spans="1:9" x14ac:dyDescent="0.25">
      <c r="A340" s="41"/>
      <c r="B340" s="41"/>
      <c r="C340" s="54"/>
      <c r="D340" s="54"/>
      <c r="E340" s="54"/>
      <c r="F340" s="54"/>
      <c r="G340" s="54"/>
      <c r="H340" s="54"/>
      <c r="I340" s="54"/>
    </row>
    <row r="341" spans="1:9" x14ac:dyDescent="0.25">
      <c r="A341" s="41"/>
      <c r="B341" s="41"/>
      <c r="C341" s="54"/>
      <c r="D341" s="54"/>
      <c r="E341" s="54"/>
      <c r="F341" s="54"/>
      <c r="G341" s="54"/>
      <c r="H341" s="54"/>
      <c r="I341" s="54"/>
    </row>
    <row r="342" spans="1:9" x14ac:dyDescent="0.25">
      <c r="A342" s="41"/>
      <c r="B342" s="41"/>
      <c r="C342" s="54"/>
      <c r="D342" s="54"/>
      <c r="E342" s="54"/>
      <c r="F342" s="54"/>
      <c r="G342" s="54"/>
      <c r="H342" s="54"/>
      <c r="I342" s="54"/>
    </row>
    <row r="343" spans="1:9" x14ac:dyDescent="0.25">
      <c r="A343" s="41"/>
      <c r="B343" s="41"/>
      <c r="C343" s="54"/>
      <c r="D343" s="54"/>
      <c r="E343" s="54"/>
      <c r="F343" s="54"/>
      <c r="G343" s="54"/>
      <c r="H343" s="54"/>
      <c r="I343" s="54"/>
    </row>
    <row r="344" spans="1:9" x14ac:dyDescent="0.25">
      <c r="A344" s="41"/>
      <c r="B344" s="41"/>
      <c r="C344" s="54"/>
      <c r="D344" s="54"/>
      <c r="E344" s="54"/>
      <c r="F344" s="54"/>
      <c r="G344" s="54"/>
      <c r="H344" s="54"/>
      <c r="I344" s="54"/>
    </row>
    <row r="345" spans="1:9" x14ac:dyDescent="0.25">
      <c r="A345" s="41"/>
      <c r="B345" s="41"/>
      <c r="C345" s="54"/>
      <c r="D345" s="54"/>
      <c r="E345" s="54"/>
      <c r="F345" s="54"/>
      <c r="G345" s="54"/>
      <c r="H345" s="54"/>
      <c r="I345" s="54"/>
    </row>
    <row r="346" spans="1:9" x14ac:dyDescent="0.25">
      <c r="A346" s="41"/>
      <c r="B346" s="41"/>
      <c r="C346" s="54"/>
      <c r="D346" s="54"/>
      <c r="E346" s="54"/>
      <c r="F346" s="54"/>
      <c r="G346" s="54"/>
      <c r="H346" s="54"/>
      <c r="I346" s="54"/>
    </row>
    <row r="347" spans="1:9" x14ac:dyDescent="0.25">
      <c r="A347" s="41"/>
      <c r="B347" s="41"/>
      <c r="C347" s="54"/>
      <c r="D347" s="54"/>
      <c r="E347" s="54"/>
      <c r="F347" s="54"/>
      <c r="G347" s="54"/>
      <c r="H347" s="54"/>
      <c r="I347" s="54"/>
    </row>
    <row r="348" spans="1:9" x14ac:dyDescent="0.25">
      <c r="A348" s="41"/>
      <c r="B348" s="41"/>
      <c r="C348" s="54"/>
      <c r="D348" s="54"/>
      <c r="E348" s="54"/>
      <c r="F348" s="54"/>
      <c r="G348" s="54"/>
      <c r="H348" s="54"/>
      <c r="I348" s="54"/>
    </row>
    <row r="349" spans="1:9" x14ac:dyDescent="0.25">
      <c r="A349" s="41"/>
      <c r="B349" s="41"/>
      <c r="C349" s="54"/>
      <c r="D349" s="54"/>
      <c r="E349" s="54"/>
      <c r="F349" s="54"/>
      <c r="G349" s="54"/>
      <c r="H349" s="54"/>
      <c r="I349" s="54"/>
    </row>
    <row r="350" spans="1:9" x14ac:dyDescent="0.25">
      <c r="A350" s="41"/>
      <c r="B350" s="41"/>
      <c r="C350" s="54"/>
      <c r="D350" s="54"/>
      <c r="E350" s="54"/>
      <c r="F350" s="54"/>
      <c r="G350" s="54"/>
      <c r="H350" s="54"/>
      <c r="I350" s="54"/>
    </row>
    <row r="351" spans="1:9" x14ac:dyDescent="0.25">
      <c r="A351" s="41"/>
      <c r="B351" s="41"/>
      <c r="C351" s="54"/>
      <c r="D351" s="54"/>
      <c r="E351" s="54"/>
      <c r="F351" s="54"/>
      <c r="G351" s="54"/>
      <c r="H351" s="54"/>
      <c r="I351" s="54"/>
    </row>
    <row r="352" spans="1:9" x14ac:dyDescent="0.25">
      <c r="A352" s="41"/>
      <c r="B352" s="41"/>
      <c r="C352" s="54"/>
      <c r="D352" s="54"/>
      <c r="E352" s="54"/>
      <c r="F352" s="54"/>
      <c r="G352" s="54"/>
      <c r="H352" s="54"/>
      <c r="I352" s="54"/>
    </row>
    <row r="353" spans="1:9" x14ac:dyDescent="0.25">
      <c r="A353" s="41"/>
      <c r="B353" s="41"/>
      <c r="C353" s="54"/>
      <c r="D353" s="54"/>
      <c r="E353" s="54"/>
      <c r="F353" s="54"/>
      <c r="G353" s="54"/>
      <c r="H353" s="54"/>
      <c r="I353" s="54"/>
    </row>
    <row r="354" spans="1:9" x14ac:dyDescent="0.25">
      <c r="A354" s="41"/>
      <c r="B354" s="41"/>
      <c r="C354" s="54"/>
      <c r="D354" s="54"/>
      <c r="E354" s="54"/>
      <c r="F354" s="54"/>
      <c r="G354" s="54"/>
      <c r="H354" s="54"/>
      <c r="I354" s="54"/>
    </row>
    <row r="355" spans="1:9" x14ac:dyDescent="0.25">
      <c r="A355" s="41"/>
      <c r="B355" s="41"/>
      <c r="C355" s="54"/>
      <c r="D355" s="54"/>
      <c r="E355" s="54"/>
      <c r="F355" s="54"/>
      <c r="G355" s="54"/>
      <c r="H355" s="54"/>
      <c r="I355" s="54"/>
    </row>
    <row r="356" spans="1:9" x14ac:dyDescent="0.25">
      <c r="A356" s="41"/>
      <c r="B356" s="41"/>
      <c r="C356" s="54"/>
      <c r="D356" s="54"/>
      <c r="E356" s="54"/>
      <c r="F356" s="54"/>
      <c r="G356" s="54"/>
      <c r="H356" s="54"/>
      <c r="I356" s="54"/>
    </row>
    <row r="357" spans="1:9" x14ac:dyDescent="0.25">
      <c r="A357" s="41"/>
      <c r="B357" s="41"/>
      <c r="C357" s="54"/>
      <c r="D357" s="54"/>
      <c r="E357" s="54"/>
      <c r="F357" s="54"/>
      <c r="G357" s="54"/>
      <c r="H357" s="54"/>
      <c r="I357" s="54"/>
    </row>
    <row r="358" spans="1:9" x14ac:dyDescent="0.25">
      <c r="A358" s="41"/>
      <c r="B358" s="41"/>
      <c r="C358" s="54"/>
      <c r="D358" s="54"/>
      <c r="E358" s="54"/>
      <c r="F358" s="54"/>
      <c r="G358" s="54"/>
      <c r="H358" s="54"/>
      <c r="I358" s="54"/>
    </row>
    <row r="359" spans="1:9" x14ac:dyDescent="0.25">
      <c r="A359" s="41"/>
      <c r="B359" s="41"/>
      <c r="C359" s="54"/>
      <c r="D359" s="54"/>
      <c r="E359" s="54"/>
      <c r="F359" s="54"/>
      <c r="G359" s="54"/>
      <c r="H359" s="54"/>
      <c r="I359" s="54"/>
    </row>
    <row r="360" spans="1:9" x14ac:dyDescent="0.25">
      <c r="A360" s="41"/>
      <c r="B360" s="41"/>
      <c r="C360" s="54"/>
      <c r="D360" s="54"/>
      <c r="E360" s="54"/>
      <c r="F360" s="54"/>
      <c r="G360" s="54"/>
      <c r="H360" s="54"/>
      <c r="I360" s="54"/>
    </row>
    <row r="361" spans="1:9" x14ac:dyDescent="0.25">
      <c r="A361" s="41"/>
      <c r="B361" s="41"/>
      <c r="C361" s="54"/>
      <c r="D361" s="54"/>
      <c r="E361" s="54"/>
      <c r="F361" s="54"/>
      <c r="G361" s="54"/>
      <c r="H361" s="54"/>
      <c r="I361" s="54"/>
    </row>
    <row r="362" spans="1:9" x14ac:dyDescent="0.25">
      <c r="A362" s="41"/>
      <c r="B362" s="41"/>
      <c r="C362" s="54"/>
      <c r="D362" s="54"/>
      <c r="E362" s="54"/>
      <c r="F362" s="54"/>
      <c r="G362" s="54"/>
      <c r="H362" s="54"/>
      <c r="I362" s="54"/>
    </row>
    <row r="363" spans="1:9" x14ac:dyDescent="0.25">
      <c r="A363" s="41"/>
      <c r="B363" s="41"/>
      <c r="C363" s="54"/>
      <c r="D363" s="54"/>
      <c r="E363" s="54"/>
      <c r="F363" s="54"/>
      <c r="G363" s="54"/>
      <c r="H363" s="54"/>
      <c r="I363" s="54"/>
    </row>
    <row r="364" spans="1:9" x14ac:dyDescent="0.25">
      <c r="A364" s="41"/>
      <c r="B364" s="41"/>
      <c r="C364" s="54"/>
      <c r="D364" s="54"/>
      <c r="E364" s="54"/>
      <c r="F364" s="54"/>
      <c r="G364" s="54"/>
      <c r="H364" s="54"/>
      <c r="I364" s="54"/>
    </row>
    <row r="365" spans="1:9" x14ac:dyDescent="0.25">
      <c r="A365" s="41"/>
      <c r="B365" s="41"/>
      <c r="C365" s="54"/>
      <c r="D365" s="54"/>
      <c r="E365" s="54"/>
      <c r="F365" s="54"/>
      <c r="G365" s="54"/>
      <c r="H365" s="54"/>
      <c r="I365" s="54"/>
    </row>
    <row r="366" spans="1:9" x14ac:dyDescent="0.25">
      <c r="A366" s="41"/>
      <c r="B366" s="41"/>
      <c r="C366" s="54"/>
      <c r="D366" s="54"/>
      <c r="E366" s="54"/>
      <c r="F366" s="54"/>
      <c r="G366" s="54"/>
      <c r="H366" s="54"/>
      <c r="I366" s="54"/>
    </row>
    <row r="367" spans="1:9" x14ac:dyDescent="0.25">
      <c r="A367" s="41"/>
      <c r="B367" s="41"/>
      <c r="C367" s="54"/>
      <c r="D367" s="54"/>
      <c r="E367" s="54"/>
      <c r="F367" s="54"/>
      <c r="G367" s="54"/>
      <c r="H367" s="54"/>
      <c r="I367" s="54"/>
    </row>
    <row r="368" spans="1:9" x14ac:dyDescent="0.25">
      <c r="A368" s="41"/>
      <c r="B368" s="41"/>
      <c r="C368" s="54"/>
      <c r="D368" s="54"/>
      <c r="E368" s="54"/>
      <c r="F368" s="54"/>
      <c r="G368" s="54"/>
      <c r="H368" s="54"/>
      <c r="I368" s="54"/>
    </row>
    <row r="369" spans="1:9" x14ac:dyDescent="0.25">
      <c r="A369" s="41"/>
      <c r="B369" s="41"/>
      <c r="C369" s="54"/>
      <c r="D369" s="54"/>
      <c r="E369" s="54"/>
      <c r="F369" s="54"/>
      <c r="G369" s="54"/>
      <c r="H369" s="54"/>
      <c r="I369" s="54"/>
    </row>
    <row r="370" spans="1:9" x14ac:dyDescent="0.25">
      <c r="A370" s="41"/>
      <c r="B370" s="41"/>
      <c r="C370" s="54"/>
      <c r="D370" s="54"/>
      <c r="E370" s="54"/>
      <c r="F370" s="54"/>
      <c r="G370" s="54"/>
      <c r="H370" s="54"/>
      <c r="I370" s="54"/>
    </row>
    <row r="371" spans="1:9" x14ac:dyDescent="0.25">
      <c r="A371" s="41"/>
      <c r="B371" s="41"/>
      <c r="C371" s="54"/>
      <c r="D371" s="54"/>
      <c r="E371" s="54"/>
      <c r="F371" s="54"/>
      <c r="G371" s="54"/>
      <c r="H371" s="54"/>
      <c r="I371" s="54"/>
    </row>
    <row r="372" spans="1:9" x14ac:dyDescent="0.25">
      <c r="A372" s="41"/>
      <c r="B372" s="41"/>
      <c r="C372" s="54"/>
      <c r="D372" s="54"/>
      <c r="E372" s="54"/>
      <c r="F372" s="54"/>
      <c r="G372" s="54"/>
      <c r="H372" s="54"/>
      <c r="I372" s="54"/>
    </row>
    <row r="373" spans="1:9" x14ac:dyDescent="0.25">
      <c r="A373" s="41"/>
      <c r="B373" s="41"/>
      <c r="C373" s="54"/>
      <c r="D373" s="54"/>
      <c r="E373" s="54"/>
      <c r="F373" s="54"/>
      <c r="G373" s="54"/>
      <c r="H373" s="54"/>
      <c r="I373" s="54"/>
    </row>
    <row r="374" spans="1:9" x14ac:dyDescent="0.25">
      <c r="A374" s="41"/>
      <c r="B374" s="41"/>
      <c r="C374" s="54"/>
      <c r="D374" s="54"/>
      <c r="E374" s="54"/>
      <c r="F374" s="54"/>
      <c r="G374" s="54"/>
      <c r="H374" s="54"/>
      <c r="I374" s="54"/>
    </row>
    <row r="375" spans="1:9" x14ac:dyDescent="0.25">
      <c r="A375" s="41"/>
      <c r="B375" s="41"/>
      <c r="C375" s="54"/>
      <c r="D375" s="54"/>
      <c r="E375" s="54"/>
      <c r="F375" s="54"/>
      <c r="G375" s="54"/>
      <c r="H375" s="54"/>
      <c r="I375" s="54"/>
    </row>
    <row r="376" spans="1:9" x14ac:dyDescent="0.25">
      <c r="A376" s="41"/>
      <c r="B376" s="41"/>
      <c r="C376" s="54"/>
      <c r="D376" s="54"/>
      <c r="E376" s="54"/>
      <c r="F376" s="54"/>
      <c r="G376" s="54"/>
      <c r="H376" s="54"/>
      <c r="I376" s="54"/>
    </row>
    <row r="377" spans="1:9" x14ac:dyDescent="0.25">
      <c r="A377" s="41"/>
      <c r="B377" s="41"/>
      <c r="C377" s="54"/>
      <c r="D377" s="54"/>
      <c r="E377" s="54"/>
      <c r="F377" s="54"/>
      <c r="G377" s="54"/>
      <c r="H377" s="54"/>
      <c r="I377" s="54"/>
    </row>
    <row r="378" spans="1:9" x14ac:dyDescent="0.25">
      <c r="A378" s="41"/>
      <c r="B378" s="41"/>
      <c r="C378" s="54"/>
      <c r="D378" s="54"/>
      <c r="E378" s="54"/>
      <c r="F378" s="54"/>
      <c r="G378" s="54"/>
      <c r="H378" s="54"/>
      <c r="I378" s="54"/>
    </row>
    <row r="379" spans="1:9" x14ac:dyDescent="0.25">
      <c r="A379" s="41"/>
      <c r="B379" s="41"/>
      <c r="C379" s="54"/>
      <c r="D379" s="54"/>
      <c r="E379" s="54"/>
      <c r="F379" s="54"/>
      <c r="G379" s="54"/>
      <c r="H379" s="54"/>
      <c r="I379" s="54"/>
    </row>
    <row r="380" spans="1:9" x14ac:dyDescent="0.25">
      <c r="A380" s="41"/>
      <c r="B380" s="41"/>
      <c r="C380" s="54"/>
      <c r="D380" s="54"/>
      <c r="E380" s="54"/>
      <c r="F380" s="54"/>
      <c r="G380" s="54"/>
      <c r="H380" s="54"/>
      <c r="I380" s="54"/>
    </row>
    <row r="381" spans="1:9" x14ac:dyDescent="0.25">
      <c r="A381" s="41"/>
      <c r="B381" s="41"/>
      <c r="C381" s="54"/>
      <c r="D381" s="54"/>
      <c r="E381" s="54"/>
      <c r="F381" s="54"/>
      <c r="G381" s="54"/>
      <c r="H381" s="54"/>
      <c r="I381" s="54"/>
    </row>
    <row r="382" spans="1:9" x14ac:dyDescent="0.25">
      <c r="A382" s="41"/>
      <c r="B382" s="41"/>
      <c r="C382" s="54"/>
      <c r="D382" s="54"/>
      <c r="E382" s="54"/>
      <c r="F382" s="54"/>
      <c r="G382" s="54"/>
      <c r="H382" s="54"/>
      <c r="I382" s="54"/>
    </row>
    <row r="383" spans="1:9" x14ac:dyDescent="0.25">
      <c r="A383" s="41"/>
      <c r="B383" s="41"/>
      <c r="C383" s="54"/>
      <c r="D383" s="54"/>
      <c r="E383" s="54"/>
      <c r="F383" s="54"/>
      <c r="G383" s="54"/>
      <c r="H383" s="54"/>
      <c r="I383" s="54"/>
    </row>
    <row r="384" spans="1:9" x14ac:dyDescent="0.25">
      <c r="A384" s="41"/>
      <c r="B384" s="41"/>
      <c r="C384" s="54"/>
      <c r="D384" s="54"/>
      <c r="E384" s="54"/>
      <c r="F384" s="54"/>
      <c r="G384" s="54"/>
      <c r="H384" s="54"/>
      <c r="I384" s="54"/>
    </row>
    <row r="385" spans="1:9" x14ac:dyDescent="0.25">
      <c r="A385" s="41"/>
      <c r="B385" s="41"/>
      <c r="C385" s="54"/>
      <c r="D385" s="54"/>
      <c r="E385" s="54"/>
      <c r="F385" s="54"/>
      <c r="G385" s="54"/>
      <c r="H385" s="54"/>
      <c r="I385" s="54"/>
    </row>
    <row r="386" spans="1:9" x14ac:dyDescent="0.25">
      <c r="A386" s="41"/>
      <c r="B386" s="41"/>
      <c r="C386" s="54"/>
      <c r="D386" s="54"/>
      <c r="E386" s="54"/>
      <c r="F386" s="54"/>
      <c r="G386" s="54"/>
      <c r="H386" s="54"/>
      <c r="I386" s="54"/>
    </row>
    <row r="387" spans="1:9" x14ac:dyDescent="0.25">
      <c r="A387" s="41"/>
      <c r="B387" s="41"/>
      <c r="C387" s="54"/>
      <c r="D387" s="54"/>
      <c r="E387" s="54"/>
      <c r="F387" s="54"/>
      <c r="G387" s="54"/>
      <c r="H387" s="54"/>
      <c r="I387" s="54"/>
    </row>
    <row r="388" spans="1:9" x14ac:dyDescent="0.25">
      <c r="A388" s="41"/>
      <c r="B388" s="41"/>
      <c r="C388" s="54"/>
      <c r="D388" s="54"/>
      <c r="E388" s="54"/>
      <c r="F388" s="54"/>
      <c r="G388" s="54"/>
      <c r="H388" s="54"/>
      <c r="I388" s="54"/>
    </row>
    <row r="389" spans="1:9" x14ac:dyDescent="0.25">
      <c r="A389" s="41"/>
      <c r="B389" s="41"/>
      <c r="C389" s="54"/>
      <c r="D389" s="54"/>
      <c r="E389" s="54"/>
      <c r="F389" s="54"/>
      <c r="G389" s="54"/>
      <c r="H389" s="54"/>
      <c r="I389" s="54"/>
    </row>
    <row r="390" spans="1:9" x14ac:dyDescent="0.25">
      <c r="A390" s="41"/>
      <c r="B390" s="41"/>
      <c r="C390" s="54"/>
      <c r="D390" s="54"/>
      <c r="E390" s="54"/>
      <c r="F390" s="54"/>
      <c r="G390" s="54"/>
      <c r="H390" s="54"/>
      <c r="I390" s="54"/>
    </row>
    <row r="391" spans="1:9" x14ac:dyDescent="0.25">
      <c r="A391" s="41"/>
      <c r="B391" s="41"/>
      <c r="C391" s="54"/>
      <c r="D391" s="54"/>
      <c r="E391" s="54"/>
      <c r="F391" s="54"/>
      <c r="G391" s="54"/>
      <c r="H391" s="54"/>
      <c r="I391" s="54"/>
    </row>
    <row r="392" spans="1:9" x14ac:dyDescent="0.25">
      <c r="A392" s="41"/>
      <c r="B392" s="41"/>
      <c r="C392" s="54"/>
      <c r="D392" s="54"/>
      <c r="E392" s="54"/>
      <c r="F392" s="54"/>
      <c r="G392" s="54"/>
      <c r="H392" s="54"/>
      <c r="I392" s="54"/>
    </row>
    <row r="393" spans="1:9" x14ac:dyDescent="0.25">
      <c r="A393" s="41"/>
      <c r="B393" s="41"/>
      <c r="C393" s="54"/>
      <c r="D393" s="54"/>
      <c r="E393" s="54"/>
      <c r="F393" s="54"/>
      <c r="G393" s="54"/>
      <c r="H393" s="54"/>
      <c r="I393" s="54"/>
    </row>
    <row r="394" spans="1:9" x14ac:dyDescent="0.25">
      <c r="A394" s="41"/>
      <c r="B394" s="41"/>
      <c r="C394" s="54"/>
      <c r="D394" s="54"/>
      <c r="E394" s="54"/>
      <c r="F394" s="54"/>
      <c r="G394" s="54"/>
      <c r="H394" s="54"/>
      <c r="I394" s="54"/>
    </row>
    <row r="395" spans="1:9" x14ac:dyDescent="0.25">
      <c r="A395" s="41"/>
      <c r="B395" s="41"/>
      <c r="C395" s="54"/>
      <c r="D395" s="54"/>
      <c r="E395" s="54"/>
      <c r="F395" s="54"/>
      <c r="G395" s="54"/>
      <c r="H395" s="54"/>
      <c r="I395" s="54"/>
    </row>
    <row r="396" spans="1:9" x14ac:dyDescent="0.25">
      <c r="A396" s="41"/>
      <c r="B396" s="41"/>
      <c r="C396" s="54"/>
      <c r="D396" s="54"/>
      <c r="E396" s="54"/>
      <c r="F396" s="54"/>
      <c r="G396" s="54"/>
      <c r="H396" s="54"/>
      <c r="I396" s="54"/>
    </row>
    <row r="397" spans="1:9" x14ac:dyDescent="0.25">
      <c r="A397" s="41"/>
      <c r="B397" s="41"/>
      <c r="C397" s="54"/>
      <c r="D397" s="54"/>
      <c r="E397" s="54"/>
      <c r="F397" s="54"/>
      <c r="G397" s="54"/>
      <c r="H397" s="54"/>
      <c r="I397" s="54"/>
    </row>
    <row r="398" spans="1:9" x14ac:dyDescent="0.25">
      <c r="A398" s="41"/>
      <c r="B398" s="41"/>
      <c r="C398" s="54"/>
      <c r="D398" s="54"/>
      <c r="E398" s="54"/>
      <c r="F398" s="54"/>
      <c r="G398" s="54"/>
      <c r="H398" s="54"/>
      <c r="I398" s="54"/>
    </row>
    <row r="399" spans="1:9" x14ac:dyDescent="0.25">
      <c r="A399" s="41"/>
      <c r="B399" s="41"/>
      <c r="C399" s="54"/>
      <c r="D399" s="54"/>
      <c r="E399" s="54"/>
      <c r="F399" s="54"/>
      <c r="G399" s="54"/>
      <c r="H399" s="54"/>
      <c r="I399" s="54"/>
    </row>
    <row r="400" spans="1:9" x14ac:dyDescent="0.25">
      <c r="A400" s="41"/>
      <c r="B400" s="41"/>
      <c r="C400" s="54"/>
      <c r="D400" s="54"/>
      <c r="E400" s="54"/>
      <c r="F400" s="54"/>
      <c r="G400" s="54"/>
      <c r="H400" s="54"/>
      <c r="I400" s="54"/>
    </row>
    <row r="401" spans="1:9" x14ac:dyDescent="0.25">
      <c r="A401" s="41"/>
      <c r="B401" s="41"/>
      <c r="C401" s="54"/>
      <c r="D401" s="54"/>
      <c r="E401" s="54"/>
      <c r="F401" s="54"/>
      <c r="G401" s="54"/>
      <c r="H401" s="54"/>
      <c r="I401" s="54"/>
    </row>
    <row r="402" spans="1:9" x14ac:dyDescent="0.25">
      <c r="A402" s="41"/>
      <c r="B402" s="41"/>
      <c r="C402" s="54"/>
      <c r="D402" s="54"/>
      <c r="E402" s="54"/>
      <c r="F402" s="54"/>
      <c r="G402" s="54"/>
      <c r="H402" s="54"/>
      <c r="I402" s="54"/>
    </row>
    <row r="403" spans="1:9" x14ac:dyDescent="0.25">
      <c r="A403" s="41"/>
      <c r="B403" s="41"/>
      <c r="C403" s="54"/>
      <c r="D403" s="54"/>
      <c r="E403" s="54"/>
      <c r="F403" s="54"/>
      <c r="G403" s="54"/>
      <c r="H403" s="54"/>
      <c r="I403" s="54"/>
    </row>
    <row r="404" spans="1:9" x14ac:dyDescent="0.25">
      <c r="A404" s="41"/>
      <c r="B404" s="41"/>
      <c r="C404" s="54"/>
      <c r="D404" s="54"/>
      <c r="E404" s="54"/>
      <c r="F404" s="54"/>
      <c r="G404" s="54"/>
      <c r="H404" s="54"/>
      <c r="I404" s="54"/>
    </row>
    <row r="405" spans="1:9" x14ac:dyDescent="0.25">
      <c r="A405" s="41"/>
      <c r="B405" s="41"/>
      <c r="C405" s="54"/>
      <c r="D405" s="54"/>
      <c r="E405" s="54"/>
      <c r="F405" s="54"/>
      <c r="G405" s="54"/>
      <c r="H405" s="54"/>
      <c r="I405" s="54"/>
    </row>
    <row r="406" spans="1:9" x14ac:dyDescent="0.25">
      <c r="A406" s="41"/>
      <c r="B406" s="41"/>
      <c r="C406" s="54"/>
      <c r="D406" s="54"/>
      <c r="E406" s="54"/>
      <c r="F406" s="54"/>
      <c r="G406" s="54"/>
      <c r="H406" s="54"/>
      <c r="I406" s="54"/>
    </row>
    <row r="407" spans="1:9" x14ac:dyDescent="0.25">
      <c r="A407" s="41"/>
      <c r="B407" s="41"/>
      <c r="C407" s="54"/>
      <c r="D407" s="54"/>
      <c r="E407" s="54"/>
      <c r="F407" s="54"/>
      <c r="G407" s="54"/>
      <c r="H407" s="54"/>
      <c r="I407" s="54"/>
    </row>
    <row r="408" spans="1:9" x14ac:dyDescent="0.25">
      <c r="A408" s="41"/>
      <c r="B408" s="41"/>
      <c r="C408" s="54"/>
      <c r="D408" s="54"/>
      <c r="E408" s="54"/>
      <c r="F408" s="54"/>
      <c r="G408" s="54"/>
      <c r="H408" s="54"/>
      <c r="I408" s="54"/>
    </row>
    <row r="409" spans="1:9" x14ac:dyDescent="0.25">
      <c r="A409" s="41"/>
      <c r="B409" s="41"/>
      <c r="C409" s="54"/>
      <c r="D409" s="54"/>
      <c r="E409" s="54"/>
      <c r="F409" s="54"/>
      <c r="G409" s="54"/>
      <c r="H409" s="54"/>
      <c r="I409" s="54"/>
    </row>
    <row r="410" spans="1:9" x14ac:dyDescent="0.25">
      <c r="A410" s="41"/>
      <c r="B410" s="41"/>
      <c r="C410" s="54"/>
      <c r="D410" s="54"/>
      <c r="E410" s="54"/>
      <c r="F410" s="54"/>
      <c r="G410" s="54"/>
      <c r="H410" s="54"/>
      <c r="I410" s="5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Data</vt:lpstr>
      <vt:lpstr>More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2026-07-17T07:36:50Z</dcterms:modified>
</cp:coreProperties>
</file>