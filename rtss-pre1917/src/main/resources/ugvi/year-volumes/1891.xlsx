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96C3C04-CF94-4C3E-9792-F5B863DFAE8A}" xr6:coauthVersionLast="47" xr6:coauthVersionMax="47" xr10:uidLastSave="{00000000-0000-0000-0000-000000000000}"/>
  <bookViews>
    <workbookView xWindow="4290" yWindow="4290" windowWidth="28800" windowHeight="16905" xr2:uid="{00000000-000D-0000-FFFF-FFFF00000000}"/>
  </bookViews>
  <sheets>
    <sheet name="Notes" sheetId="3" r:id="rId1"/>
    <sheet name="More Notes" sheetId="2" r:id="rId2"/>
    <sheet name="Data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<sst xmlns="http://schemas.openxmlformats.org/spreadsheetml/2006/main" count="660" uniqueCount="394">
  <si>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</si>
  <si>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</si>
  <si>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</si>
  <si>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</si>
  <si>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</si>
  <si>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</si>
  <si>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</si>
  <si>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</si>
  <si>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</si>
  <si>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</si>
  <si>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</si>
  <si>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</si>
  <si>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</si>
  <si>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</si>
  <si>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</si>
  <si>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</si>
  <si>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</si>
  <si>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</si>
  <si>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</si>
  <si>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</si>
  <si>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</si>
  <si>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</si>
  <si>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</si>
  <si>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</si>
  <si>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</si>
  <si>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</si>
  <si>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</si>
  <si>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</si>
  <si>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</si>
  <si>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</si>
  <si>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</si>
  <si>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</si>
  <si>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</si>
  <si>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</si>
  <si>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</si>
  <si>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</si>
  <si>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</si>
  <si>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</si>
  <si>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</si>
  <si>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</si>
  <si>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</si>
  <si>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</si>
  <si>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</si>
  <si>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</si>
  <si>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</si>
  <si>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</si>
  <si>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</si>
  <si>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</si>
  <si>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</si>
  <si>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</si>
  <si>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</si>
  <si>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</si>
  <si>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</si>
  <si>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</si>
  <si>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</si>
  <si>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</si>
  <si>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</si>
  <si>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</si>
  <si>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</si>
  <si>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</si>
  <si>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</si>
  <si>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</si>
  <si>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</si>
  <si>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</si>
  <si>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</si>
  <si>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</si>
  <si>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</si>
  <si>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</si>
  <si>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</si>
  <si>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</si>
  <si>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</si>
  <si>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</si>
  <si>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</si>
  <si>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</si>
  <si>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</si>
  <si>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</si>
  <si>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</si>
  <si>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</si>
  <si>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</si>
  <si>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</si>
  <si>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</si>
  <si>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</si>
  <si>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</si>
  <si>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</si>
  <si>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</si>
  <si>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</si>
  <si>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</si>
  <si>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</si>
  <si>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</si>
  <si>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</si>
  <si>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</si>
  <si>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</si>
  <si>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</si>
  <si>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</si>
  <si>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</si>
  <si>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</si>
  <si>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</si>
  <si>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</si>
  <si>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</si>
  <si>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</si>
  <si>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</si>
  <si>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</si>
  <si>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</si>
  <si>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</si>
  <si>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</si>
  <si>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</si>
  <si>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</si>
  <si>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</si>
  <si>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</si>
  <si>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</si>
  <si>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</si>
  <si>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</si>
  <si>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</si>
  <si>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</si>
  <si>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</si>
  <si>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</si>
  <si>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</si>
  <si>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</si>
  <si>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</si>
  <si>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</si>
  <si>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</si>
  <si>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</si>
  <si>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</si>
  <si>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</si>
  <si>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</si>
  <si>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</si>
  <si>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</si>
  <si>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</si>
  <si>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</si>
  <si>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</si>
  <si>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</si>
  <si>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</si>
  <si>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</si>
  <si>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</si>
  <si>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</si>
  <si>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</si>
  <si>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</si>
  <si>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</si>
  <si>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</si>
  <si>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</si>
  <si>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</si>
  <si>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</si>
  <si>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</si>
  <si>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</si>
  <si>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</si>
  <si>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</si>
  <si>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</si>
  <si>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</si>
  <si>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</si>
  <si>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</si>
  <si>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</si>
  <si>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</si>
  <si>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</si>
  <si>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</si>
  <si>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</si>
  <si>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</si>
  <si>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</si>
  <si>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</si>
  <si>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</si>
  <si>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</si>
  <si>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</si>
  <si>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</si>
  <si>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</si>
  <si>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</si>
  <si>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</si>
  <si>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</si>
  <si>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</si>
  <si>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</si>
  <si>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</si>
  <si>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</si>
  <si>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</si>
  <si>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</si>
  <si>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</si>
  <si>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</si>
  <si>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</si>
  <si>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</si>
  <si>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</si>
  <si>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</si>
  <si>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</si>
  <si>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</si>
  <si>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</si>
  <si>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</si>
  <si>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</si>
  <si>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</si>
  <si>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</si>
  <si>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</si>
  <si>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</si>
  <si>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</si>
  <si>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</si>
  <si>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</si>
  <si>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</si>
  <si>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</si>
  <si>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</si>
  <si>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</si>
  <si>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</si>
  <si>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</si>
  <si>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</si>
  <si>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</si>
  <si>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</si>
  <si>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</si>
  <si>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</si>
  <si>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</si>
  <si>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</si>
  <si>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</si>
  <si>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</si>
  <si>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</si>
  <si>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</si>
  <si>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</si>
  <si>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</si>
  <si>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</si>
  <si>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</si>
  <si>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</si>
  <si>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</si>
  <si>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</si>
  <si>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</si>
  <si>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</si>
  <si>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</si>
  <si>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</si>
  <si>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</si>
  <si>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</si>
  <si>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</si>
  <si>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</si>
  <si>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</si>
  <si>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</si>
  <si>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</si>
  <si>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</si>
  <si>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</si>
  <si>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</si>
  <si>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</si>
  <si>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</si>
  <si>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</si>
  <si>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</si>
  <si>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</si>
  <si>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</si>
  <si>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</si>
  <si>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</si>
  <si>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</si>
  <si>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</si>
  <si>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</si>
  <si>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</si>
  <si>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</si>
  <si>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</si>
  <si>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</si>
  <si>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</si>
  <si>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</si>
  <si>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</si>
  <si>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</si>
  <si>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</si>
  <si>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</si>
  <si>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</si>
  <si>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</si>
  <si>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</si>
  <si>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</si>
  <si>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</si>
  <si>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</si>
  <si>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</si>
  <si>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</si>
  <si>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</si>
  <si>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</si>
  <si>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</si>
  <si>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</si>
  <si>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</si>
  <si>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</si>
  <si>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</si>
  <si>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</si>
  <si>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</si>
  <si>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</si>
  <si>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</si>
  <si>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</si>
  <si>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</si>
  <si>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</si>
  <si>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</si>
  <si>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</si>
  <si>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</si>
  <si>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</si>
  <si>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</si>
  <si>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</si>
  <si>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</si>
  <si>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</si>
  <si>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</si>
  <si>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</si>
  <si>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</si>
  <si>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</si>
  <si>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</si>
  <si>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</si>
  <si>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</si>
  <si>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</si>
  <si>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</si>
  <si>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</si>
  <si>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</si>
  <si>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</si>
  <si>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</si>
  <si>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</si>
  <si>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</si>
  <si>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</si>
  <si>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</si>
  <si>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</si>
  <si>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</si>
  <si>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</si>
  <si>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</si>
  <si>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</si>
  <si>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</si>
  <si>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</si>
  <si>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</si>
  <si>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</si>
  <si>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</si>
  <si>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</si>
  <si>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</si>
  <si>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</si>
  <si>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</si>
  <si>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</si>
  <si>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</si>
  <si>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</si>
  <si>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</si>
  <si>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</si>
  <si>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</si>
  <si>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</si>
  <si>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</si>
  <si>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</si>
  <si>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</si>
  <si>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</si>
  <si>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</si>
  <si>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</si>
  <si>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</si>
  <si>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</si>
  <si>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</si>
  <si>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</si>
  <si>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</si>
  <si>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</si>
  <si>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</si>
  <si>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</si>
  <si>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</si>
  <si>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</si>
  <si>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</si>
  <si>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</si>
  <si>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</si>
  <si>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</si>
  <si>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</si>
  <si>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</si>
  <si>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</si>
  <si>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</si>
  <si>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</si>
  <si>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</si>
  <si>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</si>
  <si>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</si>
  <si>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</si>
  <si>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</si>
  <si>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</si>
  <si>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</si>
  <si>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</si>
  <si>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</si>
  <si>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</si>
  <si>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</si>
  <si>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</si>
  <si>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</si>
  <si>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</si>
  <si>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</si>
  <si>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</si>
  <si>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</si>
  <si>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</si>
  <si>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</si>
  <si>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</si>
  <si>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</si>
  <si>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</si>
  <si>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</si>
  <si>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</si>
  <si>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</si>
  <si>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</si>
  <si>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</si>
  <si>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</si>
  <si>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</si>
  <si>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</si>
  <si>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</si>
  <si>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</si>
  <si>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</si>
  <si>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</si>
  <si>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</si>
  <si>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</si>
  <si>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</si>
  <si>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</si>
  <si>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</si>
  <si>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</si>
  <si>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</si>
  <si>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</si>
  <si>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</si>
  <si>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</si>
  <si>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</si>
  <si>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</si>
  <si>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</si>
  <si>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</si>
  <si>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</si>
  <si>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</si>
  <si>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</si>
  <si>
    <t>v-чу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</si>
</sst>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5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  <xf numFmtId="3" fontId="0" fillId="7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/>
    </xf>
    <xf numFmtId="3" fontId="0" fillId="7" borderId="1" xfId="0" applyNumberFormat="1" applyFill="1" applyAlignment="1">
      <alignment horizontal="center"/>
    </xf>
    <xf numFmtId="3" fontId="0" fillId="7" borderId="0" xfId="0" applyNumberFormat="1" applyFill="1" applyBorder="1" applyAlignment="1">
      <alignment horizontal="center"/>
    </xf>
    <xf numFmtId="3" fontId="1" fillId="6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tabSelected="1" workbookViewId="0">
      <selection activeCell="E32" sqref="E32"/>
    </sheetView>
  </sheetViews>
  <sheetFormatPr defaultRowHeight="15" x14ac:dyDescent="0.25"/>
  <sheetData>
    <row r="1" spans="1:1" x14ac:dyDescent="0.25">
      <c r="A1" s="41" t="s">
        <v>390</v>
      </c>
    </row>
    <row r="2" spans="1:1" x14ac:dyDescent="0.25">
      <c r="A2" s="41"/>
    </row>
    <row r="3" spans="1:1" x14ac:dyDescent="0.25">
      <c r="A3" s="41" t="s">
        <v>391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51" activePane="bottomLeft" state="frozen"/>
      <selection pane="bottomLeft" activeCell="C89" sqref="C89"/>
    </sheetView>
  </sheetViews>
  <sheetFormatPr defaultRowHeight="15" x14ac:dyDescent="0.25"/>
  <cols>
    <col min="1" max="1" width="37.85546875" bestFit="1" customWidth="1"/>
    <col min="3" max="5" width="6.140625" bestFit="1" customWidth="1"/>
    <col min="7" max="9" width="5.85546875" bestFit="1" customWidth="1"/>
  </cols>
  <sheetData>
    <row r="1" spans="1:9" x14ac:dyDescent="0.25">
      <c r="A1" s="53" t="s">
        <v>0</v>
      </c>
      <c r="B1" s="53"/>
      <c r="C1" s="53" t="s">
        <v>302</v>
      </c>
      <c r="D1" s="53" t="s">
        <v>303</v>
      </c>
      <c r="E1" s="53" t="s">
        <v>304</v>
      </c>
      <c r="F1" s="53"/>
      <c r="G1" s="53" t="s">
        <v>305</v>
      </c>
      <c r="H1" s="53" t="s">
        <v>306</v>
      </c>
      <c r="I1" s="53" t="s">
        <v>307</v>
      </c>
    </row>
    <row r="2" spans="1:9" x14ac:dyDescent="0.25">
      <c r="A2" s="41" t="s">
        <v>308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25">
      <c r="A3" s="41" t="s">
        <v>309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25">
      <c r="A4" s="41" t="s">
        <v>310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25">
      <c r="A5" s="41" t="s">
        <v>311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25">
      <c r="A6" s="41" t="s">
        <v>312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25">
      <c r="A7" s="41" t="s">
        <v>313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25">
      <c r="A8" s="41" t="s">
        <v>314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25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25">
      <c r="A10" s="41" t="s">
        <v>315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25">
      <c r="A11" s="55" t="s">
        <v>316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25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25">
      <c r="A13" s="41" t="s">
        <v>317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25">
      <c r="A14" s="41" t="s">
        <v>318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25">
      <c r="A15" s="41" t="s">
        <v>319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25">
      <c r="A16" s="41" t="s">
        <v>320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25">
      <c r="A17" s="41" t="s">
        <v>321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25">
      <c r="A18" s="41" t="s">
        <v>322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25">
      <c r="A19" s="41" t="s">
        <v>323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25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25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25">
      <c r="A22" s="41" t="s">
        <v>324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25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25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25">
      <c r="A25" s="41" t="s">
        <v>325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25">
      <c r="A26" s="41" t="s">
        <v>326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25">
      <c r="A27" s="41" t="s">
        <v>327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25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25">
      <c r="A29" s="41" t="s">
        <v>328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25">
      <c r="A30" s="41" t="s">
        <v>329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25">
      <c r="A31" s="41" t="s">
        <v>330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25">
      <c r="A32" s="41" t="s">
        <v>331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25">
      <c r="A33" s="41" t="s">
        <v>332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25">
      <c r="A34" s="41" t="s">
        <v>333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25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25">
      <c r="A36" s="41" t="s">
        <v>334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25">
      <c r="A37" s="41" t="s">
        <v>335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25">
      <c r="A38" s="41" t="s">
        <v>336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25">
      <c r="A39" s="41" t="s">
        <v>337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25">
      <c r="A40" s="41" t="s">
        <v>338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25">
      <c r="A41" s="41" t="s">
        <v>339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25">
      <c r="A42" s="41" t="s">
        <v>340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25">
      <c r="A43" s="41" t="s">
        <v>341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25">
      <c r="A44" s="41" t="s">
        <v>342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25">
      <c r="A45" s="41" t="s">
        <v>343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25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25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25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25">
      <c r="A49" s="41" t="s">
        <v>344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25">
      <c r="A50" s="41" t="s">
        <v>345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25">
      <c r="A51" s="41" t="s">
        <v>346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25">
      <c r="A52" s="41" t="s">
        <v>347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25">
      <c r="A53" s="41" t="s">
        <v>348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25">
      <c r="A54" s="41" t="s">
        <v>349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25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25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25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25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25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25">
      <c r="A60" s="41" t="s">
        <v>350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25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25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25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25">
      <c r="A64" s="41" t="s">
        <v>351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25">
      <c r="A65" s="41" t="s">
        <v>352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25">
      <c r="A66" s="41" t="s">
        <v>353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25">
      <c r="A67" s="41" t="s">
        <v>354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25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25">
      <c r="A69" s="41" t="s">
        <v>355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25">
      <c r="A70" s="41" t="s">
        <v>356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25">
      <c r="A71" s="41" t="s">
        <v>357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25">
      <c r="A72" s="41" t="s">
        <v>358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25">
      <c r="A73" s="41" t="s">
        <v>359</v>
      </c>
      <c r="B73" s="41"/>
      <c r="C73" s="56" t="s">
        <v>360</v>
      </c>
      <c r="D73" s="56" t="s">
        <v>360</v>
      </c>
      <c r="E73" s="56" t="s">
        <v>360</v>
      </c>
      <c r="F73" s="56"/>
      <c r="G73" s="56" t="s">
        <v>360</v>
      </c>
      <c r="H73" s="56" t="s">
        <v>360</v>
      </c>
      <c r="I73" s="56" t="s">
        <v>360</v>
      </c>
    </row>
    <row r="74" spans="1:9" x14ac:dyDescent="0.25">
      <c r="A74" s="41" t="s">
        <v>361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25">
      <c r="A75" s="41" t="s">
        <v>362</v>
      </c>
      <c r="B75" s="41"/>
      <c r="C75" s="56" t="s">
        <v>360</v>
      </c>
      <c r="D75" s="56" t="s">
        <v>360</v>
      </c>
      <c r="E75" s="56" t="s">
        <v>360</v>
      </c>
      <c r="F75" s="56"/>
      <c r="G75" s="56" t="s">
        <v>360</v>
      </c>
      <c r="H75" s="56" t="s">
        <v>360</v>
      </c>
      <c r="I75" s="56" t="s">
        <v>360</v>
      </c>
    </row>
    <row r="76" spans="1:9" x14ac:dyDescent="0.25">
      <c r="A76" s="41" t="s">
        <v>363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25">
      <c r="A77" s="41" t="s">
        <v>364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25">
      <c r="A78" s="41" t="s">
        <v>365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25">
      <c r="A79" s="41" t="s">
        <v>366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25">
      <c r="A80" s="41" t="s">
        <v>367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25">
      <c r="A81" s="41" t="s">
        <v>368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25">
      <c r="A82" s="41" t="s">
        <v>369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25">
      <c r="A83" s="41" t="s">
        <v>370</v>
      </c>
      <c r="B83" s="41"/>
      <c r="C83" s="56" t="s">
        <v>360</v>
      </c>
      <c r="D83" s="56" t="s">
        <v>360</v>
      </c>
      <c r="E83" s="56" t="s">
        <v>360</v>
      </c>
      <c r="F83" s="56"/>
      <c r="G83" s="56" t="s">
        <v>360</v>
      </c>
      <c r="H83" s="56" t="s">
        <v>360</v>
      </c>
      <c r="I83" s="56" t="s">
        <v>360</v>
      </c>
    </row>
    <row r="84" spans="1:9" x14ac:dyDescent="0.25">
      <c r="A84" s="41" t="s">
        <v>371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25">
      <c r="A85" s="41" t="s">
        <v>372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25">
      <c r="A86" s="41" t="s">
        <v>373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25">
      <c r="A87" s="41" t="s">
        <v>374</v>
      </c>
      <c r="B87" s="41"/>
      <c r="C87" s="56" t="s">
        <v>360</v>
      </c>
      <c r="D87" s="56" t="s">
        <v>360</v>
      </c>
      <c r="E87" s="54">
        <v>34.1</v>
      </c>
      <c r="F87" s="54"/>
      <c r="G87" s="56" t="s">
        <v>360</v>
      </c>
      <c r="H87" s="56" t="s">
        <v>360</v>
      </c>
      <c r="I87" s="54">
        <v>21.8</v>
      </c>
    </row>
    <row r="88" spans="1:9" x14ac:dyDescent="0.25">
      <c r="A88" s="41" t="s">
        <v>375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25">
      <c r="A89" s="41" t="s">
        <v>376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25">
      <c r="A90" s="41" t="s">
        <v>377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25">
      <c r="A91" s="41" t="s">
        <v>378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25">
      <c r="A92" s="41" t="s">
        <v>379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25">
      <c r="A93" s="41" t="s">
        <v>380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25">
      <c r="A94" s="41" t="s">
        <v>381</v>
      </c>
      <c r="B94" s="41"/>
      <c r="C94" s="56" t="s">
        <v>360</v>
      </c>
      <c r="D94" s="56" t="s">
        <v>360</v>
      </c>
      <c r="E94" s="56" t="s">
        <v>360</v>
      </c>
      <c r="F94" s="56"/>
      <c r="G94" s="56" t="s">
        <v>360</v>
      </c>
      <c r="H94" s="56" t="s">
        <v>360</v>
      </c>
      <c r="I94" s="56" t="s">
        <v>360</v>
      </c>
    </row>
    <row r="95" spans="1:9" x14ac:dyDescent="0.25">
      <c r="A95" s="41" t="s">
        <v>256</v>
      </c>
      <c r="B95" s="41"/>
      <c r="C95" s="56" t="s">
        <v>360</v>
      </c>
      <c r="D95" s="56" t="s">
        <v>360</v>
      </c>
      <c r="E95" s="56" t="s">
        <v>360</v>
      </c>
      <c r="F95" s="56"/>
      <c r="G95" s="56"/>
      <c r="H95" s="56"/>
      <c r="I95" s="56"/>
    </row>
    <row r="96" spans="1:9" x14ac:dyDescent="0.25">
      <c r="A96" s="41" t="s">
        <v>382</v>
      </c>
      <c r="B96" s="41"/>
      <c r="C96" s="56" t="s">
        <v>360</v>
      </c>
      <c r="D96" s="56" t="s">
        <v>360</v>
      </c>
      <c r="E96" s="56" t="s">
        <v>360</v>
      </c>
      <c r="F96" s="56"/>
      <c r="G96" s="56" t="s">
        <v>360</v>
      </c>
      <c r="H96" s="56" t="s">
        <v>360</v>
      </c>
      <c r="I96" s="56" t="s">
        <v>360</v>
      </c>
    </row>
    <row r="97" spans="1:9" x14ac:dyDescent="0.25">
      <c r="A97" s="41" t="s">
        <v>383</v>
      </c>
      <c r="B97" s="41"/>
      <c r="C97" s="56" t="s">
        <v>360</v>
      </c>
      <c r="D97" s="56" t="s">
        <v>360</v>
      </c>
      <c r="E97" s="56" t="s">
        <v>360</v>
      </c>
      <c r="F97" s="56"/>
      <c r="G97" s="56" t="s">
        <v>360</v>
      </c>
      <c r="H97" s="56" t="s">
        <v>360</v>
      </c>
      <c r="I97" s="56" t="s">
        <v>360</v>
      </c>
    </row>
    <row r="98" spans="1:9" x14ac:dyDescent="0.25">
      <c r="A98" s="41" t="s">
        <v>384</v>
      </c>
      <c r="B98" s="41"/>
      <c r="C98" s="56" t="s">
        <v>360</v>
      </c>
      <c r="D98" s="56" t="s">
        <v>360</v>
      </c>
      <c r="E98" s="56" t="s">
        <v>360</v>
      </c>
      <c r="F98" s="56"/>
      <c r="G98" s="56" t="s">
        <v>360</v>
      </c>
      <c r="H98" s="56" t="s">
        <v>360</v>
      </c>
      <c r="I98" s="56" t="s">
        <v>360</v>
      </c>
    </row>
    <row r="99" spans="1:9" x14ac:dyDescent="0.25">
      <c r="A99" s="41" t="s">
        <v>385</v>
      </c>
      <c r="B99" s="41"/>
      <c r="C99" s="56" t="s">
        <v>360</v>
      </c>
      <c r="D99" s="56" t="s">
        <v>360</v>
      </c>
      <c r="E99" s="56" t="s">
        <v>360</v>
      </c>
      <c r="F99" s="56"/>
      <c r="G99" s="56" t="s">
        <v>360</v>
      </c>
      <c r="H99" s="56" t="s">
        <v>360</v>
      </c>
      <c r="I99" s="56" t="s">
        <v>360</v>
      </c>
    </row>
    <row r="100" spans="1:9" x14ac:dyDescent="0.25">
      <c r="A100" s="41" t="s">
        <v>386</v>
      </c>
      <c r="B100" s="41"/>
      <c r="C100" s="56" t="s">
        <v>360</v>
      </c>
      <c r="D100" s="56" t="s">
        <v>360</v>
      </c>
      <c r="E100" s="56" t="s">
        <v>360</v>
      </c>
      <c r="F100" s="56"/>
      <c r="G100" s="56" t="s">
        <v>360</v>
      </c>
      <c r="H100" s="56" t="s">
        <v>360</v>
      </c>
      <c r="I100" s="56" t="s">
        <v>360</v>
      </c>
    </row>
    <row r="101" spans="1:9" x14ac:dyDescent="0.25">
      <c r="A101" s="41" t="s">
        <v>387</v>
      </c>
      <c r="B101" s="41"/>
      <c r="C101" s="54">
        <v>63.9</v>
      </c>
      <c r="D101" s="54">
        <v>59.8</v>
      </c>
      <c r="E101" s="54" t="s">
        <v>360</v>
      </c>
      <c r="F101" s="54"/>
      <c r="G101" s="54">
        <v>41</v>
      </c>
      <c r="H101" s="54">
        <v>48.8</v>
      </c>
      <c r="I101" s="56" t="s">
        <v>360</v>
      </c>
    </row>
    <row r="102" spans="1:9" x14ac:dyDescent="0.25">
      <c r="A102" s="41" t="s">
        <v>388</v>
      </c>
      <c r="B102" s="41"/>
      <c r="C102" s="54">
        <v>49.8</v>
      </c>
      <c r="D102" s="54">
        <v>47.9</v>
      </c>
      <c r="E102" s="54" t="s">
        <v>360</v>
      </c>
      <c r="F102" s="54"/>
      <c r="G102" s="54">
        <v>35</v>
      </c>
      <c r="H102" s="54">
        <v>35</v>
      </c>
      <c r="I102" s="56" t="s">
        <v>360</v>
      </c>
    </row>
    <row r="103" spans="1:9" x14ac:dyDescent="0.25">
      <c r="A103" s="41" t="s">
        <v>389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25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25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25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25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25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25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25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25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25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25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25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25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25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25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25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25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25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25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25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25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25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25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25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25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25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25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25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25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25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25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25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25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25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25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25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25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25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25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25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25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25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25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25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25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25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25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25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25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25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25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25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25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25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25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25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25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25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25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25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25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25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25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25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25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25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25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25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25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25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25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25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25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25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25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25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25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25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25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25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25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25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25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25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25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25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25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25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25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25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25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25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25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25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25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25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25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25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25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25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25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25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25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25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25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25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25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25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25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25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25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25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25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25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25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25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25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25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25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25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25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25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25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25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25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25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25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25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25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25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25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25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25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25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25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25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25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25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25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25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25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25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25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25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25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25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25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25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25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25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25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25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25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25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25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25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25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25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25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25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25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25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25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25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25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25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25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25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25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25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25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25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25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25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25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25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25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25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25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25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25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25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25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25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25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25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25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25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25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25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25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25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25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25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25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25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25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25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25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25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25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25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25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25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25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25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25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25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25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25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25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25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25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25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25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25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25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25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25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25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25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25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25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25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25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25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25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25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25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25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25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25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25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25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25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25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25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25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25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25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25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25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25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25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25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25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25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25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25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25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25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25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25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25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25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25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25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25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25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25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25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25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25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25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25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25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25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25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25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25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25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25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25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25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25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25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25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25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25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25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25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25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25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25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25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25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25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25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25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25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25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25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25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25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25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25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25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25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25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25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25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25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25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25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25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25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25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25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workbookViewId="0">
      <pane xSplit="1" ySplit="1" topLeftCell="B200" activePane="bottomRight" state="frozen"/>
      <selection pane="topRight" activeCell="B1" sqref="B1"/>
      <selection pane="bottomLeft" activeCell="A2" sqref="A2"/>
      <selection pane="bottomRight" activeCell="AI256" sqref="AI256"/>
    </sheetView>
  </sheetViews>
  <sheetFormatPr defaultColWidth="12" defaultRowHeight="15" x14ac:dyDescent="0.25"/>
  <cols>
    <col min="1" max="1" width="33.5703125" style="1" bestFit="1" customWidth="1"/>
    <col min="2" max="2" width="11.140625" style="2" bestFit="1" customWidth="1"/>
    <col min="3" max="4" width="9.140625" style="2" bestFit="1" customWidth="1"/>
    <col min="5" max="5" width="11.42578125" style="2" bestFit="1" customWidth="1"/>
    <col min="6" max="6" width="9.5703125" style="2" bestFit="1" customWidth="1"/>
    <col min="7" max="7" width="9.42578125" style="2" bestFit="1" customWidth="1"/>
    <col min="8" max="8" width="15.5703125" style="2" bestFit="1" customWidth="1"/>
    <col min="9" max="9" width="15.140625" style="2" bestFit="1" customWidth="1"/>
    <col min="10" max="10" width="15" style="2" bestFit="1" customWidth="1"/>
    <col min="11" max="11" width="4.85546875" style="41" bestFit="1" customWidth="1"/>
    <col min="12" max="12" width="4.5703125" style="41" bestFit="1" customWidth="1"/>
    <col min="13" max="13" width="2.5703125" style="6" customWidth="1"/>
    <col min="14" max="15" width="7.5703125" style="2" bestFit="1" customWidth="1"/>
    <col min="16" max="17" width="7.5703125" bestFit="1" customWidth="1"/>
    <col min="18" max="18" width="8.5703125" style="2" bestFit="1" customWidth="1"/>
    <col min="19" max="20" width="7.5703125" bestFit="1" customWidth="1"/>
    <col min="21" max="22" width="7.5703125" style="2" bestFit="1" customWidth="1"/>
    <col min="23" max="26" width="7.5703125" bestFit="1" customWidth="1"/>
    <col min="27" max="27" width="7.5703125" style="1" bestFit="1" customWidth="1"/>
    <col min="28" max="28" width="7.5703125" bestFit="1" customWidth="1"/>
    <col min="29" max="29" width="3.7109375" style="1" customWidth="1"/>
    <col min="30" max="30" width="11.140625" style="1" bestFit="1" customWidth="1"/>
    <col min="31" max="32" width="9.140625" style="1" bestFit="1" customWidth="1"/>
    <col min="33" max="33" width="3.28515625" style="1" customWidth="1"/>
    <col min="34" max="34" width="8.28515625" style="1" bestFit="1" customWidth="1"/>
    <col min="35" max="36" width="7.28515625" style="1" bestFit="1" customWidth="1"/>
    <col min="37" max="37" width="2.5703125" style="1" customWidth="1"/>
    <col min="38" max="39" width="4.5703125" style="1" bestFit="1" customWidth="1"/>
    <col min="40" max="40" width="2.5703125" style="1" customWidth="1"/>
    <col min="41" max="42" width="5.28515625" style="1" bestFit="1" customWidth="1"/>
    <col min="43" max="43" width="3.140625" style="1" customWidth="1"/>
    <col min="44" max="44" width="17.42578125" style="1" bestFit="1" customWidth="1"/>
    <col min="45" max="45" width="16.85546875" style="1" bestFit="1" customWidth="1"/>
    <col min="46" max="46" width="16.7109375" style="1" bestFit="1" customWidth="1"/>
    <col min="47" max="47" width="5" style="1" customWidth="1"/>
    <col min="48" max="48" width="18.5703125" style="1" bestFit="1" customWidth="1"/>
    <col min="49" max="49" width="18.140625" style="1" bestFit="1" customWidth="1"/>
    <col min="50" max="50" width="18" style="1" bestFit="1" customWidth="1"/>
    <col min="51" max="16376" width="12" style="1"/>
    <col min="16377" max="16377" width="2" style="1" bestFit="1" customWidth="1"/>
    <col min="16378" max="16384" width="1.85546875" style="1" customWidth="1"/>
  </cols>
  <sheetData>
    <row r="1" spans="1:50" x14ac:dyDescent="0.25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281</v>
      </c>
      <c r="L1" s="35" t="s">
        <v>282</v>
      </c>
      <c r="M1" s="26"/>
      <c r="N1" s="64" t="s">
        <v>10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D1" s="33" t="s">
        <v>279</v>
      </c>
      <c r="AE1" s="34" t="s">
        <v>280</v>
      </c>
      <c r="AF1" s="33" t="s">
        <v>393</v>
      </c>
      <c r="AH1" s="33" t="s">
        <v>285</v>
      </c>
      <c r="AI1" s="34" t="s">
        <v>286</v>
      </c>
      <c r="AJ1" s="33" t="s">
        <v>392</v>
      </c>
      <c r="AL1" s="33" t="s">
        <v>283</v>
      </c>
      <c r="AM1" s="33" t="s">
        <v>284</v>
      </c>
      <c r="AN1" s="42"/>
      <c r="AO1" s="33" t="s">
        <v>287</v>
      </c>
      <c r="AP1" s="33" t="s">
        <v>288</v>
      </c>
      <c r="AR1" s="43" t="s">
        <v>289</v>
      </c>
      <c r="AS1" s="43" t="s">
        <v>290</v>
      </c>
      <c r="AT1" s="43" t="s">
        <v>291</v>
      </c>
      <c r="AV1" s="43" t="s">
        <v>292</v>
      </c>
      <c r="AW1" s="43" t="s">
        <v>293</v>
      </c>
      <c r="AX1" s="43" t="s">
        <v>294</v>
      </c>
    </row>
    <row r="2" spans="1:50" x14ac:dyDescent="0.25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25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25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25">
      <c r="A5" s="27" t="s">
        <v>295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25">
      <c r="A6" s="28" t="s">
        <v>296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25">
      <c r="A7" s="28" t="s">
        <v>297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25">
      <c r="A8" s="20" t="s">
        <v>298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25">
      <c r="A9" s="50" t="s">
        <v>299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25">
      <c r="A10" s="50" t="s">
        <v>300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25">
      <c r="A11" s="50" t="s">
        <v>301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25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25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25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25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59877</v>
      </c>
      <c r="AF15" s="12">
        <f>SUM(N17:AB17)</f>
        <v>32294</v>
      </c>
      <c r="AG15" s="2"/>
      <c r="AH15" s="12">
        <f>AD15-B15</f>
        <v>0</v>
      </c>
      <c r="AI15" s="12">
        <f>AE15-C15</f>
        <v>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25">
      <c r="A16" s="28" t="s">
        <v>19</v>
      </c>
      <c r="K16" s="37"/>
      <c r="L16" s="37"/>
      <c r="N16" s="58">
        <v>6612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25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25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25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25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25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25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25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25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25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25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25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25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25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25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25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25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25">
      <c r="A33" s="29" t="s">
        <v>36</v>
      </c>
      <c r="B33" s="58">
        <v>1418690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0</v>
      </c>
      <c r="AI33" s="12">
        <f>AE33-C33</f>
        <v>64</v>
      </c>
      <c r="AJ33" s="12">
        <f>AF33-D33</f>
        <v>0</v>
      </c>
      <c r="AL33" s="47">
        <f>C33/B33*1000</f>
        <v>51.701217320203853</v>
      </c>
      <c r="AM33" s="47">
        <f>D33/B33*1000</f>
        <v>30.72341385362553</v>
      </c>
      <c r="AO33" s="47">
        <f>AL33-K33</f>
        <v>1.0012173202038497</v>
      </c>
      <c r="AP33" s="47">
        <f>AM33-L33</f>
        <v>0.52341385362553083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25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25">
      <c r="A35" s="28" t="s">
        <v>38</v>
      </c>
      <c r="K35" s="37"/>
      <c r="L35" s="37"/>
      <c r="N35" s="2">
        <v>3690</v>
      </c>
      <c r="O35" s="58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25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25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25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25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25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25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25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944029</v>
      </c>
      <c r="AF42" s="23">
        <f>SUM(AF2:AF40)</f>
        <v>578309</v>
      </c>
      <c r="AG42" s="2"/>
      <c r="AH42" s="23">
        <f>AD42-B42</f>
        <v>-40566</v>
      </c>
      <c r="AI42" s="23">
        <f>AE42-C42</f>
        <v>92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25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25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26121</v>
      </c>
      <c r="AG44" s="2"/>
      <c r="AH44" s="12">
        <f>AD44-B44</f>
        <v>-35461</v>
      </c>
      <c r="AI44" s="12">
        <f>AE44-C44</f>
        <v>0</v>
      </c>
      <c r="AJ44" s="12">
        <f>AF44-D44</f>
        <v>0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25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25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58">
        <v>1713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25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58">
        <v>117238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896509</v>
      </c>
      <c r="AE47" s="12">
        <f>SUM(N48:AB48)</f>
        <v>33679</v>
      </c>
      <c r="AF47" s="12">
        <f>SUM(N49:AB49)</f>
        <v>18135</v>
      </c>
      <c r="AG47" s="2"/>
      <c r="AH47" s="12">
        <f>AD47-B47</f>
        <v>0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25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25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25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58">
        <v>86270</v>
      </c>
      <c r="Q50" s="58">
        <v>111407</v>
      </c>
      <c r="R50" s="3">
        <v>113785</v>
      </c>
      <c r="S50" s="58">
        <v>109447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751959</v>
      </c>
      <c r="AE50" s="12">
        <f>SUM(N51:AB51)</f>
        <v>31181</v>
      </c>
      <c r="AF50" s="12">
        <f>SUM(N52:AB52)</f>
        <v>16884</v>
      </c>
      <c r="AG50" s="2"/>
      <c r="AH50" s="12">
        <f>AD50-B50</f>
        <v>0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25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25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25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25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25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25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25884</v>
      </c>
      <c r="AG56" s="2"/>
      <c r="AH56" s="12">
        <f>AD56-B56</f>
        <v>-117</v>
      </c>
      <c r="AI56" s="12">
        <f>AE56-C56</f>
        <v>0</v>
      </c>
      <c r="AJ56" s="12">
        <f>AF56-D56</f>
        <v>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25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25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58">
        <v>2683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25">
      <c r="A59" s="29" t="s">
        <v>62</v>
      </c>
      <c r="B59" s="3">
        <v>1246054</v>
      </c>
      <c r="C59" s="3">
        <v>51391</v>
      </c>
      <c r="D59" s="58">
        <v>26596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0</v>
      </c>
      <c r="AL59" s="47">
        <f>C59/B59*1000</f>
        <v>41.242995889423732</v>
      </c>
      <c r="AM59" s="47">
        <f>D59/B59*1000</f>
        <v>21.344179305230753</v>
      </c>
      <c r="AO59" s="47">
        <f>AL59-K59</f>
        <v>4.2995889423728784E-2</v>
      </c>
      <c r="AP59" s="47">
        <f>AM59-L59</f>
        <v>-5.5820694769245449E-2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25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25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25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58">
        <v>88665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653988</v>
      </c>
      <c r="AE62" s="12">
        <f>SUM(N63:AB63)</f>
        <v>25107</v>
      </c>
      <c r="AF62" s="12">
        <f>SUM(N64:AB64)</f>
        <v>17161</v>
      </c>
      <c r="AG62" s="2"/>
      <c r="AH62" s="12">
        <f>AD62-B62</f>
        <v>0</v>
      </c>
      <c r="AI62" s="12">
        <f>AE62-C62</f>
        <v>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25">
      <c r="A63" s="28" t="s">
        <v>66</v>
      </c>
      <c r="K63" s="37"/>
      <c r="L63" s="37"/>
      <c r="N63" s="58">
        <v>4536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25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25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25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25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25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58">
        <v>96721</v>
      </c>
      <c r="P68" s="3">
        <v>85886</v>
      </c>
      <c r="Q68" s="3">
        <v>96098</v>
      </c>
      <c r="R68" s="58">
        <v>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706453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-2000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25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25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25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25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25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25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9026112</v>
      </c>
      <c r="AE74" s="23">
        <f>SUM(AE43:AE73)</f>
        <v>356847</v>
      </c>
      <c r="AF74" s="23">
        <f>SUM(AF43:AF73)</f>
        <v>208960</v>
      </c>
      <c r="AG74" s="2"/>
      <c r="AH74" s="23">
        <f t="shared" ref="AH74:AJ75" si="65">AD74-B74</f>
        <v>-88371</v>
      </c>
      <c r="AI74" s="23">
        <f t="shared" si="65"/>
        <v>1</v>
      </c>
      <c r="AJ74" s="23">
        <f t="shared" si="65"/>
        <v>0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25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59">
        <v>70000</v>
      </c>
      <c r="X75" s="15"/>
      <c r="Y75" s="15"/>
      <c r="Z75" s="15"/>
      <c r="AA75" s="12"/>
      <c r="AB75" s="15"/>
      <c r="AC75" s="2"/>
      <c r="AD75" s="12">
        <f>SUM(N75:AB75)</f>
        <v>711900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25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25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25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25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25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25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25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25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25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2402698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-7964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25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25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25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25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58">
        <v>25065</v>
      </c>
      <c r="AB88" s="15"/>
      <c r="AC88" s="2"/>
      <c r="AD88" s="12">
        <f>SUM(N88:AB88)</f>
        <v>1525100</v>
      </c>
      <c r="AE88" s="12">
        <f>SUM(N89:AB89)</f>
        <v>77940</v>
      </c>
      <c r="AF88" s="12">
        <f>SUM(N90:AB90)</f>
        <v>58306</v>
      </c>
      <c r="AG88" s="2"/>
      <c r="AH88" s="12">
        <f>AD88-B88</f>
        <v>0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25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8">
        <v>2729</v>
      </c>
      <c r="X89" s="8">
        <v>6218</v>
      </c>
      <c r="Y89" s="8">
        <v>5311</v>
      </c>
      <c r="Z89" s="8">
        <v>5718</v>
      </c>
      <c r="AA89" s="58">
        <v>2029</v>
      </c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25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8">
        <v>1925</v>
      </c>
      <c r="X90" s="8">
        <v>4423</v>
      </c>
      <c r="Y90" s="8">
        <v>4349</v>
      </c>
      <c r="Z90" s="8">
        <v>4449</v>
      </c>
      <c r="AA90" s="58">
        <v>1813</v>
      </c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25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25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25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25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59">
        <v>190198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2712268</v>
      </c>
      <c r="AE94" s="12">
        <f>SUM(N95:AB95)</f>
        <v>149415</v>
      </c>
      <c r="AF94" s="12">
        <f>SUM(N96:AB96)</f>
        <v>118774</v>
      </c>
      <c r="AG94" s="2"/>
      <c r="AH94" s="12">
        <f>AD94-B94</f>
        <v>0</v>
      </c>
      <c r="AI94" s="12">
        <f>AE94-C94</f>
        <v>-1</v>
      </c>
      <c r="AJ94" s="12">
        <f>AF94-D94</f>
        <v>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25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25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59">
        <v>13785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25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25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25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25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25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25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25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25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25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25">
      <c r="A106" s="18" t="s">
        <v>109</v>
      </c>
      <c r="B106" s="17">
        <v>1252935</v>
      </c>
      <c r="C106" s="17">
        <v>57604</v>
      </c>
      <c r="D106" s="57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25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25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25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25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25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25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57">
        <v>123019</v>
      </c>
      <c r="R112" s="17">
        <v>188494</v>
      </c>
      <c r="S112" s="57">
        <v>131426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2584201</v>
      </c>
      <c r="AE112" s="12">
        <f>SUM(N113:AB113)</f>
        <v>122565</v>
      </c>
      <c r="AF112" s="12">
        <f>SUM(N114:AB114)</f>
        <v>90306</v>
      </c>
      <c r="AG112" s="2"/>
      <c r="AH112" s="12">
        <f>AD112-B112</f>
        <v>0</v>
      </c>
      <c r="AI112" s="12">
        <f>AE112-C112</f>
        <v>0</v>
      </c>
      <c r="AJ112" s="12">
        <f>AF112-D112</f>
        <v>0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25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25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57">
        <v>5084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25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57">
        <v>151715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1519125</v>
      </c>
      <c r="AE115" s="12">
        <f>SUM(N116:AB116)</f>
        <v>72581</v>
      </c>
      <c r="AF115" s="12">
        <f>SUM(N117:AB117)</f>
        <v>59480</v>
      </c>
      <c r="AG115" s="2"/>
      <c r="AH115" s="12">
        <f>AD115-B115</f>
        <v>0</v>
      </c>
      <c r="AI115" s="12">
        <f>AE115-C115</f>
        <v>0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25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57">
        <v>10633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25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25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67714</v>
      </c>
      <c r="AG118" s="2"/>
      <c r="AH118" s="12">
        <f>AD118-B118</f>
        <v>100</v>
      </c>
      <c r="AI118" s="12">
        <f>AE118-C118</f>
        <v>0</v>
      </c>
      <c r="AJ118" s="12">
        <f>AF118-D118</f>
        <v>0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25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25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57">
        <v>10053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25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57">
        <v>23294</v>
      </c>
      <c r="Z121" s="17"/>
      <c r="AA121" s="17"/>
      <c r="AB121" s="17"/>
      <c r="AC121" s="2"/>
      <c r="AD121" s="12">
        <f>SUM(N121:AB121)</f>
        <v>1311129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0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25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62" t="s">
        <v>14</v>
      </c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25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62" t="s">
        <v>14</v>
      </c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25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25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25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25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25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25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25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57">
        <v>14506</v>
      </c>
      <c r="Y130" s="17"/>
      <c r="Z130" s="17"/>
      <c r="AA130" s="17"/>
      <c r="AB130" s="17"/>
      <c r="AC130" s="2"/>
      <c r="AD130" s="12">
        <f>SUM(N130:AB130)</f>
        <v>1606013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0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25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62" t="s">
        <v>14</v>
      </c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25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62" t="s">
        <v>14</v>
      </c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25">
      <c r="A133" s="18" t="s">
        <v>136</v>
      </c>
      <c r="B133" s="57">
        <v>2805285</v>
      </c>
      <c r="C133" s="57">
        <v>156022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0</v>
      </c>
      <c r="AI133" s="12">
        <f>AE133-C133</f>
        <v>0</v>
      </c>
      <c r="AJ133" s="12">
        <f>AF133-D133</f>
        <v>-20</v>
      </c>
      <c r="AL133" s="47">
        <f>C133/B133*1000</f>
        <v>55.617165457342125</v>
      </c>
      <c r="AM133" s="47">
        <f>D133/B133*1000</f>
        <v>41.716973498236364</v>
      </c>
      <c r="AO133" s="47">
        <f>AL133-K133</f>
        <v>-0.18283454265787213</v>
      </c>
      <c r="AP133" s="47">
        <f>AM133-L133</f>
        <v>1.697349823636074E-2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25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25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25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57">
        <v>174776</v>
      </c>
      <c r="AC136" s="2"/>
      <c r="AD136" s="12">
        <f>SUM(N136:AB136)</f>
        <v>2945338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25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25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25">
      <c r="A139" s="18" t="s">
        <v>142</v>
      </c>
      <c r="B139" s="17">
        <v>1034125</v>
      </c>
      <c r="C139" s="17">
        <v>52632</v>
      </c>
      <c r="D139" s="17">
        <v>29690</v>
      </c>
      <c r="E139" s="61" t="s">
        <v>14</v>
      </c>
      <c r="F139" s="61" t="s">
        <v>14</v>
      </c>
      <c r="G139" s="61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25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25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25">
      <c r="A142" s="18" t="s">
        <v>145</v>
      </c>
      <c r="B142" s="17">
        <v>1954920</v>
      </c>
      <c r="C142" s="17">
        <v>92266</v>
      </c>
      <c r="D142" s="57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57">
        <v>4218</v>
      </c>
      <c r="AA142" s="17"/>
      <c r="AB142" s="17"/>
      <c r="AC142" s="2"/>
      <c r="AD142" s="12">
        <f>SUM(N142:AB142)</f>
        <v>1954920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0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25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7">
        <v>7155</v>
      </c>
      <c r="Z143" s="62" t="s">
        <v>14</v>
      </c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25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7">
        <v>6387</v>
      </c>
      <c r="Z144" s="62" t="s">
        <v>14</v>
      </c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25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25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25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25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25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25">
      <c r="A150" s="18" t="s">
        <v>153</v>
      </c>
      <c r="B150" s="17">
        <v>841317</v>
      </c>
      <c r="C150" s="17">
        <v>30156</v>
      </c>
      <c r="D150" s="17">
        <v>23152</v>
      </c>
      <c r="E150" s="61" t="s">
        <v>14</v>
      </c>
      <c r="F150" s="61" t="s">
        <v>14</v>
      </c>
      <c r="G150" s="61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57">
        <v>85810</v>
      </c>
      <c r="W150" s="17"/>
      <c r="X150" s="17"/>
      <c r="Y150" s="17"/>
      <c r="Z150" s="17"/>
      <c r="AA150" s="17"/>
      <c r="AB150" s="17"/>
      <c r="AC150" s="2"/>
      <c r="AD150" s="12">
        <f>SUM(N150:AB150)</f>
        <v>841317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25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62" t="s">
        <v>14</v>
      </c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25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62" t="s">
        <v>14</v>
      </c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25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57">
        <v>138743</v>
      </c>
      <c r="X153" s="17"/>
      <c r="Y153" s="17"/>
      <c r="Z153" s="17"/>
      <c r="AA153" s="17"/>
      <c r="AB153" s="17"/>
      <c r="AC153" s="2"/>
      <c r="AD153" s="12">
        <f>SUM(N153:AB153)</f>
        <v>2438571</v>
      </c>
      <c r="AE153" s="12">
        <f>SUM(N154:AB154)</f>
        <v>126373</v>
      </c>
      <c r="AF153" s="12">
        <f>SUM(N155:AB155)</f>
        <v>104926</v>
      </c>
      <c r="AG153" s="2"/>
      <c r="AH153" s="12">
        <f>AD153-B153</f>
        <v>0</v>
      </c>
      <c r="AI153" s="12">
        <f>AE153-C153</f>
        <v>0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25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57">
        <v>7933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25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7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25">
      <c r="A156" s="18" t="s">
        <v>159</v>
      </c>
      <c r="B156" s="17">
        <v>1651736</v>
      </c>
      <c r="C156" s="17">
        <v>76289</v>
      </c>
      <c r="D156" s="17">
        <v>62764</v>
      </c>
      <c r="E156" s="61" t="s">
        <v>14</v>
      </c>
      <c r="F156" s="61" t="s">
        <v>14</v>
      </c>
      <c r="G156" s="61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57">
        <v>121987</v>
      </c>
      <c r="W156" s="17"/>
      <c r="X156" s="17"/>
      <c r="Y156" s="17"/>
      <c r="Z156" s="17"/>
      <c r="AA156" s="17"/>
      <c r="AB156" s="17"/>
      <c r="AC156" s="2"/>
      <c r="AD156" s="12">
        <f>SUM(N156:AB156)</f>
        <v>1651736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0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25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62" t="s">
        <v>14</v>
      </c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25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62" t="s">
        <v>14</v>
      </c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25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57">
        <v>42622</v>
      </c>
      <c r="AA159" s="17"/>
      <c r="AB159" s="17"/>
      <c r="AC159" s="2"/>
      <c r="AD159" s="12">
        <f>SUM(N159:AB159)</f>
        <v>1454787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0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25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62" t="s">
        <v>14</v>
      </c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25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62" t="s">
        <v>14</v>
      </c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25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57">
        <v>123457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>
        <v>32167</v>
      </c>
      <c r="W162" s="17"/>
      <c r="X162" s="17"/>
      <c r="Y162" s="17"/>
      <c r="Z162" s="17"/>
      <c r="AA162" s="17"/>
      <c r="AB162" s="17"/>
      <c r="AC162" s="2"/>
      <c r="AD162" s="12">
        <f>SUM(N162:AB162)</f>
        <v>1181169</v>
      </c>
      <c r="AE162" s="12">
        <f>SUM(N163:AB163)</f>
        <v>57887</v>
      </c>
      <c r="AF162" s="12">
        <f>SUM(N164:AB164)</f>
        <v>35405</v>
      </c>
      <c r="AG162" s="2"/>
      <c r="AH162" s="12">
        <f>AD162-B162</f>
        <v>0</v>
      </c>
      <c r="AI162" s="12">
        <f>AE162-C162</f>
        <v>0</v>
      </c>
      <c r="AJ162" s="12">
        <f>AF162-D162</f>
        <v>0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25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57">
        <v>3376</v>
      </c>
      <c r="U163" s="9">
        <v>2200</v>
      </c>
      <c r="V163" s="9">
        <v>1967</v>
      </c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25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>
        <v>1219</v>
      </c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25">
      <c r="A165" s="18" t="s">
        <v>168</v>
      </c>
      <c r="B165" s="19">
        <v>2907014</v>
      </c>
      <c r="C165" s="60">
        <v>139346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114659</v>
      </c>
      <c r="AG165" s="2"/>
      <c r="AH165" s="12">
        <f>AD165-B165</f>
        <v>-6</v>
      </c>
      <c r="AI165" s="12">
        <f>AE165-C165</f>
        <v>0</v>
      </c>
      <c r="AJ165" s="12">
        <f>AF165-D165</f>
        <v>0</v>
      </c>
      <c r="AL165" s="47">
        <f>C165/B165*1000</f>
        <v>47.934409672605632</v>
      </c>
      <c r="AM165" s="47">
        <f>D165/B165*1000</f>
        <v>39.442190508886434</v>
      </c>
      <c r="AO165" s="47">
        <f>AL165-K165</f>
        <v>3.4409672605633546E-2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25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25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0">
        <v>5528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25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60">
        <v>168864</v>
      </c>
      <c r="Z168" s="57">
        <v>5916</v>
      </c>
      <c r="AA168" s="17"/>
      <c r="AB168" s="17"/>
      <c r="AC168" s="2"/>
      <c r="AD168" s="12">
        <f>SUM(N168:AB168)</f>
        <v>1882218</v>
      </c>
      <c r="AE168" s="12">
        <f>SUM(N169:AB169)</f>
        <v>88071</v>
      </c>
      <c r="AF168" s="12">
        <f>SUM(N170:AB170)</f>
        <v>57003</v>
      </c>
      <c r="AG168" s="2"/>
      <c r="AH168" s="12">
        <f>AD168-B168</f>
        <v>0</v>
      </c>
      <c r="AI168" s="12">
        <f>AE168-C168</f>
        <v>0</v>
      </c>
      <c r="AJ168" s="12">
        <f>AF168-D168</f>
        <v>0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25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57">
        <v>249</v>
      </c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25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57">
        <v>167</v>
      </c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25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25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25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25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67708</v>
      </c>
      <c r="AG174" s="2"/>
      <c r="AH174" s="12">
        <f>AD174-B174</f>
        <v>0</v>
      </c>
      <c r="AI174" s="12">
        <f>AE174-C174</f>
        <v>0</v>
      </c>
      <c r="AJ174" s="12">
        <f>AF174-D174</f>
        <v>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25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25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0">
        <v>6439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25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25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25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25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60">
        <v>362976</v>
      </c>
      <c r="P180" s="19">
        <v>501681</v>
      </c>
      <c r="Q180" s="19">
        <v>195781</v>
      </c>
      <c r="R180" s="60">
        <v>166483</v>
      </c>
      <c r="S180" s="60">
        <v>206296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1859034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25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25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25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25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25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25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25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25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57">
        <v>39445</v>
      </c>
      <c r="Y188" s="17"/>
      <c r="Z188" s="17"/>
      <c r="AA188" s="17"/>
      <c r="AB188" s="17"/>
      <c r="AC188" s="2"/>
      <c r="AD188" s="12">
        <f>SUM(N188:AB188)</f>
        <v>1212216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0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25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62" t="s">
        <v>14</v>
      </c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25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62" t="s">
        <v>14</v>
      </c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25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65331451</v>
      </c>
      <c r="AE191" s="23">
        <f>SUM(AE85:AE190)</f>
        <v>3214456</v>
      </c>
      <c r="AF191" s="23">
        <f>SUM(AF85:AF190)</f>
        <v>2381102</v>
      </c>
      <c r="AG191" s="2"/>
      <c r="AH191" s="23">
        <f t="shared" ref="AH191:AJ192" si="181">AD191-B191</f>
        <v>-27896</v>
      </c>
      <c r="AI191" s="23">
        <f t="shared" si="181"/>
        <v>2397</v>
      </c>
      <c r="AJ191" s="23">
        <f t="shared" si="181"/>
        <v>12347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25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25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25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25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98938558</v>
      </c>
      <c r="AE195" s="23">
        <f>SUM(AE42, AE74, AE84, AE191, AE192)</f>
        <v>4705151</v>
      </c>
      <c r="AF195" s="23">
        <f>SUM(AF42, AF74, AF84, AF191, AF192)</f>
        <v>3275614</v>
      </c>
      <c r="AG195" s="2"/>
      <c r="AH195" s="23">
        <f t="shared" ref="AH195:AJ196" si="186">AD195-B195</f>
        <v>-164797</v>
      </c>
      <c r="AI195" s="23">
        <f t="shared" si="186"/>
        <v>2522</v>
      </c>
      <c r="AJ195" s="23">
        <f t="shared" si="186"/>
        <v>-8194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25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60">
        <v>101431</v>
      </c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881926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0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25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37" t="s">
        <v>14</v>
      </c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25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37" t="s">
        <v>14</v>
      </c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25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25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25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25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25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25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25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25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91303</v>
      </c>
      <c r="AF206" s="12">
        <f>SUM(N208:AB208)</f>
        <v>65550</v>
      </c>
      <c r="AG206" s="2"/>
      <c r="AH206" s="12">
        <f>AD206-B206</f>
        <v>40</v>
      </c>
      <c r="AI206" s="12">
        <f>AE206-C206</f>
        <v>0</v>
      </c>
      <c r="AJ206" s="12">
        <f>AF206-D206</f>
        <v>-1044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25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10343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25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981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25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25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25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25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25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25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25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25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25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25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30534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25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0">
        <v>5698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25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25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39">
        <v>4028</v>
      </c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690528</v>
      </c>
      <c r="AE221" s="12">
        <f>SUM(N222:AB222)</f>
        <v>0</v>
      </c>
      <c r="AF221" s="12">
        <f>SUM(N223:AB223)</f>
        <v>0</v>
      </c>
      <c r="AG221" s="2"/>
      <c r="AH221" s="12">
        <f>AD221-B221</f>
        <v>0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25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37" t="s">
        <v>14</v>
      </c>
      <c r="O222" s="37" t="s">
        <v>14</v>
      </c>
      <c r="P222" s="37" t="s">
        <v>14</v>
      </c>
      <c r="Q222" s="37" t="s">
        <v>14</v>
      </c>
      <c r="R222" s="37" t="s">
        <v>14</v>
      </c>
      <c r="S222" s="37" t="s">
        <v>14</v>
      </c>
      <c r="T222" s="37" t="s">
        <v>14</v>
      </c>
      <c r="U222" s="37" t="s">
        <v>14</v>
      </c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25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37" t="s">
        <v>14</v>
      </c>
      <c r="O223" s="37" t="s">
        <v>14</v>
      </c>
      <c r="P223" s="37" t="s">
        <v>14</v>
      </c>
      <c r="Q223" s="37" t="s">
        <v>14</v>
      </c>
      <c r="R223" s="37" t="s">
        <v>14</v>
      </c>
      <c r="S223" s="37" t="s">
        <v>14</v>
      </c>
      <c r="T223" s="37" t="s">
        <v>14</v>
      </c>
      <c r="U223" s="37" t="s">
        <v>14</v>
      </c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25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8085447</v>
      </c>
      <c r="AE224" s="23">
        <f>SUM(AE196:AE223)</f>
        <v>282652</v>
      </c>
      <c r="AF224" s="23">
        <f>SUM(AF196:AF223)</f>
        <v>205656</v>
      </c>
      <c r="AG224" s="2"/>
      <c r="AH224" s="23">
        <f>AD224-B224</f>
        <v>40</v>
      </c>
      <c r="AI224" s="23">
        <f>AE224-C224</f>
        <v>-21669</v>
      </c>
      <c r="AJ224" s="23">
        <f>AF224-D224</f>
        <v>-14352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25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25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25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25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25">
      <c r="A229" s="18" t="s">
        <v>232</v>
      </c>
      <c r="B229" s="19">
        <v>576002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0</v>
      </c>
      <c r="AI229" s="12">
        <f>AE229-C229</f>
        <v>0</v>
      </c>
      <c r="AJ229" s="12">
        <f>AF229-D229</f>
        <v>0</v>
      </c>
      <c r="AL229" s="47">
        <f>C229/B229*1000</f>
        <v>36.341887701778809</v>
      </c>
      <c r="AM229" s="47">
        <f>D229/B229*1000</f>
        <v>21.03985750049479</v>
      </c>
      <c r="AO229" s="47">
        <f>AL229-K229</f>
        <v>4.1887701778811959E-2</v>
      </c>
      <c r="AP229" s="47">
        <f>AM229-L229</f>
        <v>-6.0142499505211333E-2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25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25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25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25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25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25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25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25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25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61275</v>
      </c>
      <c r="AG238" s="2"/>
      <c r="AH238" s="12">
        <f>AD238-B238</f>
        <v>0</v>
      </c>
      <c r="AI238" s="12">
        <f>AE238-C238</f>
        <v>0</v>
      </c>
      <c r="AJ238" s="12">
        <f>AF238-D238</f>
        <v>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25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25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0">
        <v>424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25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25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25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25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25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25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25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25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25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25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150086</v>
      </c>
      <c r="AG250" s="2"/>
      <c r="AH250" s="23">
        <f>AD250-B250</f>
        <v>-500</v>
      </c>
      <c r="AI250" s="23">
        <f>AE250-C250</f>
        <v>0</v>
      </c>
      <c r="AJ250" s="23">
        <f>AF250-D250</f>
        <v>-88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25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25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25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25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25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25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59">
        <v>22913</v>
      </c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595254</v>
      </c>
      <c r="AE256" s="12">
        <f>SUM(N257:AB257)</f>
        <v>10055</v>
      </c>
      <c r="AF256" s="12">
        <f>SUM(N258:AB258)</f>
        <v>8427</v>
      </c>
      <c r="AG256" s="2"/>
      <c r="AH256" s="12">
        <f>AD256-B256</f>
        <v>0</v>
      </c>
      <c r="AI256" s="12">
        <f>AE256-C256</f>
        <v>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25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59">
        <v>450</v>
      </c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25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59" t="s">
        <v>14</v>
      </c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25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59">
        <v>203138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681434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0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25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25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25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59">
        <v>370430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1164507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25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25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25">
      <c r="A265" s="14" t="s">
        <v>268</v>
      </c>
      <c r="B265" s="59">
        <v>387959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59">
        <v>86394</v>
      </c>
      <c r="P265" s="15">
        <v>84625</v>
      </c>
      <c r="Q265" s="15">
        <v>138286</v>
      </c>
      <c r="R265" s="59">
        <v>7315</v>
      </c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387959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0</v>
      </c>
      <c r="AI265" s="12">
        <f>AE265-C265</f>
        <v>30</v>
      </c>
      <c r="AJ265" s="12">
        <f>AF265-D265</f>
        <v>0</v>
      </c>
      <c r="AL265" s="47">
        <f>C265/B265*1000</f>
        <v>26.951301555061232</v>
      </c>
      <c r="AM265" s="47">
        <f>D265/B265*1000</f>
        <v>17.092012300268841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25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63" t="s">
        <v>14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25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63" t="s">
        <v>14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25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59">
        <v>30000</v>
      </c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584903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25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63" t="s">
        <v>14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25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63" t="s">
        <v>14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25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25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25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25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6362410</v>
      </c>
      <c r="AE274" s="23">
        <f>SUM(AE251:AE273)</f>
        <v>147630</v>
      </c>
      <c r="AF274" s="23">
        <f>SUM(AF251:AF273)</f>
        <v>103361</v>
      </c>
      <c r="AG274" s="2"/>
      <c r="AH274" s="23">
        <f t="shared" ref="AH274:AJ275" si="246">AD274-B274</f>
        <v>-9880</v>
      </c>
      <c r="AI274" s="23">
        <f t="shared" si="246"/>
        <v>413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25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118203013</v>
      </c>
      <c r="AE275" s="23">
        <f>SUM(AE195, AE224, AE250, AE274)</f>
        <v>5350475</v>
      </c>
      <c r="AF275" s="23">
        <f>SUM(AF195, AF224, AF250, AF274)</f>
        <v>3734717</v>
      </c>
      <c r="AG275" s="2"/>
      <c r="AH275" s="23">
        <f t="shared" si="246"/>
        <v>-175137</v>
      </c>
      <c r="AI275" s="23">
        <f t="shared" si="246"/>
        <v>-18734</v>
      </c>
      <c r="AJ275" s="23">
        <f t="shared" si="246"/>
        <v>-22703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More 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2026-07-18T07:00:40Z</dcterms:modified>
</cp:coreProperties>
</file>