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E17E6104-7793-4654-B50F-F323004E958A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84" i="1" l="1"/>
  <c r="AK184" i="1"/>
  <c r="AJ184" i="1"/>
  <c r="AI184" i="1"/>
  <c r="AH184" i="1"/>
  <c r="AG184" i="1"/>
  <c r="AF184" i="1"/>
  <c r="AE184" i="1"/>
  <c r="AD184" i="1"/>
  <c r="AL183" i="1"/>
  <c r="AK183" i="1"/>
  <c r="AJ183" i="1"/>
  <c r="AI183" i="1"/>
  <c r="AH183" i="1"/>
  <c r="AG183" i="1"/>
  <c r="AF183" i="1"/>
  <c r="AE183" i="1"/>
  <c r="AD183" i="1"/>
  <c r="D11" i="1"/>
  <c r="C11" i="1"/>
  <c r="AF8" i="1"/>
  <c r="AE8" i="1"/>
  <c r="B8" i="1"/>
  <c r="B5" i="1" s="1"/>
  <c r="B11" i="1" s="1"/>
  <c r="AS44" i="1"/>
  <c r="AV44" i="1" s="1"/>
  <c r="AR44" i="1"/>
  <c r="AU44" i="1" s="1"/>
  <c r="AS43" i="1"/>
  <c r="AV43" i="1" s="1"/>
  <c r="AR43" i="1"/>
  <c r="AU43" i="1" s="1"/>
  <c r="AS42" i="1"/>
  <c r="AV42" i="1" s="1"/>
  <c r="AR42" i="1"/>
  <c r="AU42" i="1" s="1"/>
  <c r="AS275" i="1"/>
  <c r="AV275" i="1" s="1"/>
  <c r="AR275" i="1"/>
  <c r="AU275" i="1" s="1"/>
  <c r="AS274" i="1"/>
  <c r="AV274" i="1" s="1"/>
  <c r="AR274" i="1"/>
  <c r="AU274" i="1" s="1"/>
  <c r="AS271" i="1"/>
  <c r="AV271" i="1" s="1"/>
  <c r="AR271" i="1"/>
  <c r="AU271" i="1" s="1"/>
  <c r="AS268" i="1"/>
  <c r="AR268" i="1"/>
  <c r="AS265" i="1"/>
  <c r="AR265" i="1"/>
  <c r="AS262" i="1"/>
  <c r="AR262" i="1"/>
  <c r="AS259" i="1"/>
  <c r="AV259" i="1" s="1"/>
  <c r="AR259" i="1"/>
  <c r="AU259" i="1" s="1"/>
  <c r="AS256" i="1"/>
  <c r="AV256" i="1" s="1"/>
  <c r="AR256" i="1"/>
  <c r="AU256" i="1" s="1"/>
  <c r="AS253" i="1"/>
  <c r="AR253" i="1"/>
  <c r="AS252" i="1"/>
  <c r="AR252" i="1"/>
  <c r="AS251" i="1"/>
  <c r="AV251" i="1" s="1"/>
  <c r="AR251" i="1"/>
  <c r="AU251" i="1" s="1"/>
  <c r="AS250" i="1"/>
  <c r="AV250" i="1" s="1"/>
  <c r="AR250" i="1"/>
  <c r="AU250" i="1" s="1"/>
  <c r="AS247" i="1"/>
  <c r="AV247" i="1" s="1"/>
  <c r="AR247" i="1"/>
  <c r="AU247" i="1" s="1"/>
  <c r="AS244" i="1"/>
  <c r="AV244" i="1" s="1"/>
  <c r="AR244" i="1"/>
  <c r="AU244" i="1" s="1"/>
  <c r="AS241" i="1"/>
  <c r="AV241" i="1" s="1"/>
  <c r="AR241" i="1"/>
  <c r="AU241" i="1" s="1"/>
  <c r="AS238" i="1"/>
  <c r="AV238" i="1" s="1"/>
  <c r="AR238" i="1"/>
  <c r="AU238" i="1" s="1"/>
  <c r="AS235" i="1"/>
  <c r="AR235" i="1"/>
  <c r="AS232" i="1"/>
  <c r="AV232" i="1" s="1"/>
  <c r="AR232" i="1"/>
  <c r="AU232" i="1" s="1"/>
  <c r="AS229" i="1"/>
  <c r="AV229" i="1" s="1"/>
  <c r="AR229" i="1"/>
  <c r="AU229" i="1" s="1"/>
  <c r="AS226" i="1"/>
  <c r="AV226" i="1" s="1"/>
  <c r="AR226" i="1"/>
  <c r="AU226" i="1" s="1"/>
  <c r="AS224" i="1"/>
  <c r="AV224" i="1" s="1"/>
  <c r="AR224" i="1"/>
  <c r="AU224" i="1" s="1"/>
  <c r="AS221" i="1"/>
  <c r="AV221" i="1" s="1"/>
  <c r="AR221" i="1"/>
  <c r="AU221" i="1" s="1"/>
  <c r="AS218" i="1"/>
  <c r="AV218" i="1" s="1"/>
  <c r="AR218" i="1"/>
  <c r="AU218" i="1" s="1"/>
  <c r="AS215" i="1"/>
  <c r="AV215" i="1" s="1"/>
  <c r="AR215" i="1"/>
  <c r="AU215" i="1" s="1"/>
  <c r="AS212" i="1"/>
  <c r="AV212" i="1" s="1"/>
  <c r="AR212" i="1"/>
  <c r="AU212" i="1" s="1"/>
  <c r="AS209" i="1"/>
  <c r="AV209" i="1" s="1"/>
  <c r="AR209" i="1"/>
  <c r="AU209" i="1" s="1"/>
  <c r="AS206" i="1"/>
  <c r="AV206" i="1" s="1"/>
  <c r="AR206" i="1"/>
  <c r="AU206" i="1" s="1"/>
  <c r="AS205" i="1"/>
  <c r="AR205" i="1"/>
  <c r="AS202" i="1"/>
  <c r="AV202" i="1" s="1"/>
  <c r="AR202" i="1"/>
  <c r="AU202" i="1" s="1"/>
  <c r="AS199" i="1"/>
  <c r="AV199" i="1" s="1"/>
  <c r="AR199" i="1"/>
  <c r="AU199" i="1" s="1"/>
  <c r="AS196" i="1"/>
  <c r="AV196" i="1" s="1"/>
  <c r="AR196" i="1"/>
  <c r="AU196" i="1" s="1"/>
  <c r="AS195" i="1"/>
  <c r="AV195" i="1" s="1"/>
  <c r="AR195" i="1"/>
  <c r="AU195" i="1" s="1"/>
  <c r="AS191" i="1"/>
  <c r="AV191" i="1" s="1"/>
  <c r="AR191" i="1"/>
  <c r="AU191" i="1" s="1"/>
  <c r="AS188" i="1"/>
  <c r="AV188" i="1" s="1"/>
  <c r="AR188" i="1"/>
  <c r="AU188" i="1" s="1"/>
  <c r="AS185" i="1"/>
  <c r="AV185" i="1" s="1"/>
  <c r="AR185" i="1"/>
  <c r="AU185" i="1" s="1"/>
  <c r="AS180" i="1"/>
  <c r="AV180" i="1" s="1"/>
  <c r="AR180" i="1"/>
  <c r="AU180" i="1" s="1"/>
  <c r="AS177" i="1"/>
  <c r="AV177" i="1" s="1"/>
  <c r="AR177" i="1"/>
  <c r="AU177" i="1" s="1"/>
  <c r="AS174" i="1"/>
  <c r="AV174" i="1" s="1"/>
  <c r="AR174" i="1"/>
  <c r="AU174" i="1" s="1"/>
  <c r="AS171" i="1"/>
  <c r="AV171" i="1" s="1"/>
  <c r="AR171" i="1"/>
  <c r="AU171" i="1" s="1"/>
  <c r="AS168" i="1"/>
  <c r="AV168" i="1" s="1"/>
  <c r="AR168" i="1"/>
  <c r="AU168" i="1" s="1"/>
  <c r="AS165" i="1"/>
  <c r="AV165" i="1" s="1"/>
  <c r="AR165" i="1"/>
  <c r="AU165" i="1" s="1"/>
  <c r="AS162" i="1"/>
  <c r="AV162" i="1" s="1"/>
  <c r="AR162" i="1"/>
  <c r="AU162" i="1" s="1"/>
  <c r="AS159" i="1"/>
  <c r="AV159" i="1" s="1"/>
  <c r="AR159" i="1"/>
  <c r="AU159" i="1" s="1"/>
  <c r="AS156" i="1"/>
  <c r="AV156" i="1" s="1"/>
  <c r="AR156" i="1"/>
  <c r="AU156" i="1" s="1"/>
  <c r="AS153" i="1"/>
  <c r="AV153" i="1" s="1"/>
  <c r="AR153" i="1"/>
  <c r="AU153" i="1" s="1"/>
  <c r="AS150" i="1"/>
  <c r="AV150" i="1" s="1"/>
  <c r="AR150" i="1"/>
  <c r="AU150" i="1" s="1"/>
  <c r="AS149" i="1"/>
  <c r="AV149" i="1" s="1"/>
  <c r="AR149" i="1"/>
  <c r="AU149" i="1" s="1"/>
  <c r="AS148" i="1"/>
  <c r="AV148" i="1" s="1"/>
  <c r="AR148" i="1"/>
  <c r="AU148" i="1" s="1"/>
  <c r="AS145" i="1"/>
  <c r="AV145" i="1" s="1"/>
  <c r="AR145" i="1"/>
  <c r="AU145" i="1" s="1"/>
  <c r="AS142" i="1"/>
  <c r="AV142" i="1" s="1"/>
  <c r="AR142" i="1"/>
  <c r="AU142" i="1" s="1"/>
  <c r="AS139" i="1"/>
  <c r="AV139" i="1" s="1"/>
  <c r="AR139" i="1"/>
  <c r="AU139" i="1" s="1"/>
  <c r="AS136" i="1"/>
  <c r="AV136" i="1" s="1"/>
  <c r="AR136" i="1"/>
  <c r="AU136" i="1" s="1"/>
  <c r="AS133" i="1"/>
  <c r="AV133" i="1" s="1"/>
  <c r="AR133" i="1"/>
  <c r="AU133" i="1" s="1"/>
  <c r="AS130" i="1"/>
  <c r="AV130" i="1" s="1"/>
  <c r="AR130" i="1"/>
  <c r="AU130" i="1" s="1"/>
  <c r="AS127" i="1"/>
  <c r="AV127" i="1" s="1"/>
  <c r="AR127" i="1"/>
  <c r="AU127" i="1" s="1"/>
  <c r="AS124" i="1"/>
  <c r="AV124" i="1" s="1"/>
  <c r="AR124" i="1"/>
  <c r="AU124" i="1" s="1"/>
  <c r="AS121" i="1"/>
  <c r="AV121" i="1" s="1"/>
  <c r="AR121" i="1"/>
  <c r="AU121" i="1" s="1"/>
  <c r="AS118" i="1"/>
  <c r="AV118" i="1" s="1"/>
  <c r="AR118" i="1"/>
  <c r="AU118" i="1" s="1"/>
  <c r="AS115" i="1"/>
  <c r="AV115" i="1" s="1"/>
  <c r="AR115" i="1"/>
  <c r="AU115" i="1" s="1"/>
  <c r="AS112" i="1"/>
  <c r="AV112" i="1" s="1"/>
  <c r="AR112" i="1"/>
  <c r="AU112" i="1" s="1"/>
  <c r="AS109" i="1"/>
  <c r="AV109" i="1" s="1"/>
  <c r="AR109" i="1"/>
  <c r="AU109" i="1" s="1"/>
  <c r="AS106" i="1"/>
  <c r="AV106" i="1" s="1"/>
  <c r="AR106" i="1"/>
  <c r="AU106" i="1" s="1"/>
  <c r="AS103" i="1"/>
  <c r="AV103" i="1" s="1"/>
  <c r="AR103" i="1"/>
  <c r="AU103" i="1" s="1"/>
  <c r="AS100" i="1"/>
  <c r="AV100" i="1" s="1"/>
  <c r="AR100" i="1"/>
  <c r="AU100" i="1" s="1"/>
  <c r="AS97" i="1"/>
  <c r="AV97" i="1" s="1"/>
  <c r="AR97" i="1"/>
  <c r="AU97" i="1" s="1"/>
  <c r="AS94" i="1"/>
  <c r="AV94" i="1" s="1"/>
  <c r="AR94" i="1"/>
  <c r="AU94" i="1" s="1"/>
  <c r="AS91" i="1"/>
  <c r="AV91" i="1" s="1"/>
  <c r="AR91" i="1"/>
  <c r="AU91" i="1" s="1"/>
  <c r="AS88" i="1"/>
  <c r="AV88" i="1" s="1"/>
  <c r="AR88" i="1"/>
  <c r="AU88" i="1" s="1"/>
  <c r="AS85" i="1"/>
  <c r="AV85" i="1" s="1"/>
  <c r="AR85" i="1"/>
  <c r="AU85" i="1" s="1"/>
  <c r="AS84" i="1"/>
  <c r="AV84" i="1" s="1"/>
  <c r="AR84" i="1"/>
  <c r="AU84" i="1" s="1"/>
  <c r="AS81" i="1"/>
  <c r="AV81" i="1" s="1"/>
  <c r="AR81" i="1"/>
  <c r="AU81" i="1" s="1"/>
  <c r="AS78" i="1"/>
  <c r="AV78" i="1" s="1"/>
  <c r="AR78" i="1"/>
  <c r="AU78" i="1" s="1"/>
  <c r="AS75" i="1"/>
  <c r="AV75" i="1" s="1"/>
  <c r="AR75" i="1"/>
  <c r="AU75" i="1" s="1"/>
  <c r="AS74" i="1"/>
  <c r="AV74" i="1" s="1"/>
  <c r="AR74" i="1"/>
  <c r="AU74" i="1" s="1"/>
  <c r="AS71" i="1"/>
  <c r="AV71" i="1" s="1"/>
  <c r="AR71" i="1"/>
  <c r="AU71" i="1" s="1"/>
  <c r="AS68" i="1"/>
  <c r="AV68" i="1" s="1"/>
  <c r="AR68" i="1"/>
  <c r="AU68" i="1" s="1"/>
  <c r="AS65" i="1"/>
  <c r="AV65" i="1" s="1"/>
  <c r="AR65" i="1"/>
  <c r="AU65" i="1" s="1"/>
  <c r="AS62" i="1"/>
  <c r="AV62" i="1" s="1"/>
  <c r="AR62" i="1"/>
  <c r="AU62" i="1" s="1"/>
  <c r="AS59" i="1"/>
  <c r="AV59" i="1" s="1"/>
  <c r="AR59" i="1"/>
  <c r="AU59" i="1" s="1"/>
  <c r="AS56" i="1"/>
  <c r="AV56" i="1" s="1"/>
  <c r="AR56" i="1"/>
  <c r="AU56" i="1" s="1"/>
  <c r="AS53" i="1"/>
  <c r="AV53" i="1" s="1"/>
  <c r="AR53" i="1"/>
  <c r="AU53" i="1" s="1"/>
  <c r="AS50" i="1"/>
  <c r="AV50" i="1" s="1"/>
  <c r="AR50" i="1"/>
  <c r="AU50" i="1" s="1"/>
  <c r="AS47" i="1"/>
  <c r="AV47" i="1" s="1"/>
  <c r="AR47" i="1"/>
  <c r="AU47" i="1" s="1"/>
  <c r="AS39" i="1"/>
  <c r="AV39" i="1" s="1"/>
  <c r="AR39" i="1"/>
  <c r="AU39" i="1" s="1"/>
  <c r="AS36" i="1"/>
  <c r="AV36" i="1" s="1"/>
  <c r="AR36" i="1"/>
  <c r="AU36" i="1" s="1"/>
  <c r="AS33" i="1"/>
  <c r="AV33" i="1" s="1"/>
  <c r="AR33" i="1"/>
  <c r="AU33" i="1" s="1"/>
  <c r="AS30" i="1"/>
  <c r="AV30" i="1" s="1"/>
  <c r="AR30" i="1"/>
  <c r="AU30" i="1" s="1"/>
  <c r="AS27" i="1"/>
  <c r="AV27" i="1" s="1"/>
  <c r="AR27" i="1"/>
  <c r="AU27" i="1" s="1"/>
  <c r="AS24" i="1"/>
  <c r="AV24" i="1" s="1"/>
  <c r="AR24" i="1"/>
  <c r="AU24" i="1" s="1"/>
  <c r="AS21" i="1"/>
  <c r="AV21" i="1" s="1"/>
  <c r="AR21" i="1"/>
  <c r="AU21" i="1" s="1"/>
  <c r="AS18" i="1"/>
  <c r="AV18" i="1" s="1"/>
  <c r="AR18" i="1"/>
  <c r="AU18" i="1" s="1"/>
  <c r="AS15" i="1"/>
  <c r="AV15" i="1" s="1"/>
  <c r="AR15" i="1"/>
  <c r="AU15" i="1" s="1"/>
  <c r="AS12" i="1"/>
  <c r="AV12" i="1" s="1"/>
  <c r="AR12" i="1"/>
  <c r="AU12" i="1" s="1"/>
  <c r="AS2" i="1"/>
  <c r="AV2" i="1" s="1"/>
  <c r="AR2" i="1"/>
  <c r="AU2" i="1" s="1"/>
  <c r="AL252" i="1"/>
  <c r="AK252" i="1"/>
  <c r="AJ252" i="1"/>
  <c r="AI252" i="1"/>
  <c r="AH252" i="1"/>
  <c r="AG252" i="1"/>
  <c r="AF252" i="1"/>
  <c r="AE252" i="1"/>
  <c r="AD252" i="1"/>
  <c r="AL251" i="1"/>
  <c r="AK251" i="1"/>
  <c r="AJ251" i="1"/>
  <c r="AI251" i="1"/>
  <c r="AH251" i="1"/>
  <c r="AG251" i="1"/>
  <c r="AF251" i="1"/>
  <c r="AE251" i="1"/>
  <c r="AD251" i="1"/>
  <c r="AL225" i="1"/>
  <c r="AK225" i="1"/>
  <c r="AJ225" i="1"/>
  <c r="AI225" i="1"/>
  <c r="AH225" i="1"/>
  <c r="AG225" i="1"/>
  <c r="AF225" i="1"/>
  <c r="AE225" i="1"/>
  <c r="AD225" i="1"/>
  <c r="AL205" i="1"/>
  <c r="AK205" i="1"/>
  <c r="AJ205" i="1"/>
  <c r="AI205" i="1"/>
  <c r="AH205" i="1"/>
  <c r="AG205" i="1"/>
  <c r="AF205" i="1"/>
  <c r="AE205" i="1"/>
  <c r="AD205" i="1"/>
  <c r="AL192" i="1"/>
  <c r="AK192" i="1"/>
  <c r="AJ192" i="1"/>
  <c r="AI192" i="1"/>
  <c r="AH192" i="1"/>
  <c r="AG192" i="1"/>
  <c r="AF192" i="1"/>
  <c r="AE192" i="1"/>
  <c r="AD192" i="1"/>
  <c r="AL149" i="1"/>
  <c r="AK149" i="1"/>
  <c r="AJ149" i="1"/>
  <c r="AI149" i="1"/>
  <c r="AH149" i="1"/>
  <c r="AG149" i="1"/>
  <c r="AF149" i="1"/>
  <c r="AE149" i="1"/>
  <c r="AD149" i="1"/>
  <c r="AL148" i="1"/>
  <c r="AK148" i="1"/>
  <c r="AJ148" i="1"/>
  <c r="AI148" i="1"/>
  <c r="AH148" i="1"/>
  <c r="AG148" i="1"/>
  <c r="AF148" i="1"/>
  <c r="AE148" i="1"/>
  <c r="AD148" i="1"/>
  <c r="AL91" i="1"/>
  <c r="AK91" i="1"/>
  <c r="AJ91" i="1"/>
  <c r="AI91" i="1"/>
  <c r="AH91" i="1"/>
  <c r="AG91" i="1"/>
  <c r="AF91" i="1"/>
  <c r="AP91" i="1" s="1"/>
  <c r="AE91" i="1"/>
  <c r="AO91" i="1" s="1"/>
  <c r="AD91" i="1"/>
  <c r="AN91" i="1" s="1"/>
  <c r="AL43" i="1"/>
  <c r="AK43" i="1"/>
  <c r="AJ43" i="1"/>
  <c r="AI43" i="1"/>
  <c r="AH43" i="1"/>
  <c r="AG43" i="1"/>
  <c r="AF43" i="1"/>
  <c r="AE43" i="1"/>
  <c r="AD43" i="1"/>
  <c r="AL271" i="1"/>
  <c r="AK271" i="1"/>
  <c r="AJ271" i="1"/>
  <c r="AI271" i="1"/>
  <c r="AH271" i="1"/>
  <c r="AG271" i="1"/>
  <c r="AF271" i="1"/>
  <c r="AP271" i="1" s="1"/>
  <c r="AE271" i="1"/>
  <c r="AO271" i="1" s="1"/>
  <c r="AD271" i="1"/>
  <c r="AN271" i="1" s="1"/>
  <c r="AL268" i="1"/>
  <c r="AK268" i="1"/>
  <c r="AJ268" i="1"/>
  <c r="AI268" i="1"/>
  <c r="AH268" i="1"/>
  <c r="AG268" i="1"/>
  <c r="AF268" i="1"/>
  <c r="AP268" i="1" s="1"/>
  <c r="AE268" i="1"/>
  <c r="AO268" i="1" s="1"/>
  <c r="AD268" i="1"/>
  <c r="AN268" i="1" s="1"/>
  <c r="AL265" i="1"/>
  <c r="AK265" i="1"/>
  <c r="AJ265" i="1"/>
  <c r="AI265" i="1"/>
  <c r="AH265" i="1"/>
  <c r="AG265" i="1"/>
  <c r="AF265" i="1"/>
  <c r="AP265" i="1" s="1"/>
  <c r="AE265" i="1"/>
  <c r="AO265" i="1" s="1"/>
  <c r="AD265" i="1"/>
  <c r="AN265" i="1" s="1"/>
  <c r="AL262" i="1"/>
  <c r="AK262" i="1"/>
  <c r="AJ262" i="1"/>
  <c r="AI262" i="1"/>
  <c r="AH262" i="1"/>
  <c r="AG262" i="1"/>
  <c r="AF262" i="1"/>
  <c r="AP262" i="1" s="1"/>
  <c r="AE262" i="1"/>
  <c r="AO262" i="1" s="1"/>
  <c r="AD262" i="1"/>
  <c r="AN262" i="1" s="1"/>
  <c r="AL259" i="1"/>
  <c r="AK259" i="1"/>
  <c r="AJ259" i="1"/>
  <c r="AI259" i="1"/>
  <c r="AH259" i="1"/>
  <c r="AG259" i="1"/>
  <c r="AF259" i="1"/>
  <c r="AP259" i="1" s="1"/>
  <c r="AE259" i="1"/>
  <c r="AO259" i="1" s="1"/>
  <c r="AD259" i="1"/>
  <c r="AN259" i="1" s="1"/>
  <c r="AL256" i="1"/>
  <c r="AK256" i="1"/>
  <c r="AJ256" i="1"/>
  <c r="AI256" i="1"/>
  <c r="AH256" i="1"/>
  <c r="AG256" i="1"/>
  <c r="AF256" i="1"/>
  <c r="AP256" i="1" s="1"/>
  <c r="AE256" i="1"/>
  <c r="AO256" i="1" s="1"/>
  <c r="AD256" i="1"/>
  <c r="AN256" i="1" s="1"/>
  <c r="AL253" i="1"/>
  <c r="AK253" i="1"/>
  <c r="AJ253" i="1"/>
  <c r="AI253" i="1"/>
  <c r="AH253" i="1"/>
  <c r="AG253" i="1"/>
  <c r="AF253" i="1"/>
  <c r="AP253" i="1" s="1"/>
  <c r="AE253" i="1"/>
  <c r="AO253" i="1" s="1"/>
  <c r="AD253" i="1"/>
  <c r="AN253" i="1" s="1"/>
  <c r="AL247" i="1"/>
  <c r="AK247" i="1"/>
  <c r="AJ247" i="1"/>
  <c r="AI247" i="1"/>
  <c r="AH247" i="1"/>
  <c r="AG247" i="1"/>
  <c r="AF247" i="1"/>
  <c r="AP247" i="1" s="1"/>
  <c r="AE247" i="1"/>
  <c r="AO247" i="1" s="1"/>
  <c r="AD247" i="1"/>
  <c r="AN247" i="1" s="1"/>
  <c r="AL244" i="1"/>
  <c r="AK244" i="1"/>
  <c r="AJ244" i="1"/>
  <c r="AI244" i="1"/>
  <c r="AH244" i="1"/>
  <c r="AG244" i="1"/>
  <c r="AF244" i="1"/>
  <c r="AP244" i="1" s="1"/>
  <c r="AE244" i="1"/>
  <c r="AO244" i="1" s="1"/>
  <c r="AD244" i="1"/>
  <c r="AN244" i="1" s="1"/>
  <c r="AL241" i="1"/>
  <c r="AK241" i="1"/>
  <c r="AJ241" i="1"/>
  <c r="AI241" i="1"/>
  <c r="AH241" i="1"/>
  <c r="AG241" i="1"/>
  <c r="AF241" i="1"/>
  <c r="AP241" i="1" s="1"/>
  <c r="AE241" i="1"/>
  <c r="AO241" i="1" s="1"/>
  <c r="AD241" i="1"/>
  <c r="AN241" i="1" s="1"/>
  <c r="AL238" i="1"/>
  <c r="AK238" i="1"/>
  <c r="AJ238" i="1"/>
  <c r="AI238" i="1"/>
  <c r="AH238" i="1"/>
  <c r="AG238" i="1"/>
  <c r="AF238" i="1"/>
  <c r="AP238" i="1" s="1"/>
  <c r="AE238" i="1"/>
  <c r="AO238" i="1" s="1"/>
  <c r="AD238" i="1"/>
  <c r="AN238" i="1" s="1"/>
  <c r="AL235" i="1"/>
  <c r="AK235" i="1"/>
  <c r="AJ235" i="1"/>
  <c r="AI235" i="1"/>
  <c r="AH235" i="1"/>
  <c r="AG235" i="1"/>
  <c r="AF235" i="1"/>
  <c r="AP235" i="1" s="1"/>
  <c r="AE235" i="1"/>
  <c r="AO235" i="1" s="1"/>
  <c r="AD235" i="1"/>
  <c r="AN235" i="1" s="1"/>
  <c r="AL232" i="1"/>
  <c r="AK232" i="1"/>
  <c r="AJ232" i="1"/>
  <c r="AI232" i="1"/>
  <c r="AH232" i="1"/>
  <c r="AG232" i="1"/>
  <c r="AF232" i="1"/>
  <c r="AP232" i="1" s="1"/>
  <c r="AE232" i="1"/>
  <c r="AO232" i="1" s="1"/>
  <c r="AD232" i="1"/>
  <c r="AN232" i="1" s="1"/>
  <c r="AL229" i="1"/>
  <c r="AK229" i="1"/>
  <c r="AJ229" i="1"/>
  <c r="AI229" i="1"/>
  <c r="AH229" i="1"/>
  <c r="AG229" i="1"/>
  <c r="AF229" i="1"/>
  <c r="AP229" i="1" s="1"/>
  <c r="AE229" i="1"/>
  <c r="AO229" i="1" s="1"/>
  <c r="AD229" i="1"/>
  <c r="AN229" i="1" s="1"/>
  <c r="AL226" i="1"/>
  <c r="AK226" i="1"/>
  <c r="AJ226" i="1"/>
  <c r="AI226" i="1"/>
  <c r="AH226" i="1"/>
  <c r="AG226" i="1"/>
  <c r="AF226" i="1"/>
  <c r="AP226" i="1" s="1"/>
  <c r="AE226" i="1"/>
  <c r="AO226" i="1" s="1"/>
  <c r="AD226" i="1"/>
  <c r="AN226" i="1" s="1"/>
  <c r="AL221" i="1"/>
  <c r="AK221" i="1"/>
  <c r="AJ221" i="1"/>
  <c r="AI221" i="1"/>
  <c r="AH221" i="1"/>
  <c r="AG221" i="1"/>
  <c r="AF221" i="1"/>
  <c r="AP221" i="1" s="1"/>
  <c r="AE221" i="1"/>
  <c r="AO221" i="1" s="1"/>
  <c r="AD221" i="1"/>
  <c r="AL218" i="1"/>
  <c r="AK218" i="1"/>
  <c r="AJ218" i="1"/>
  <c r="AI218" i="1"/>
  <c r="AH218" i="1"/>
  <c r="AG218" i="1"/>
  <c r="AF218" i="1"/>
  <c r="AP218" i="1" s="1"/>
  <c r="AE218" i="1"/>
  <c r="AO218" i="1" s="1"/>
  <c r="AD218" i="1"/>
  <c r="AN218" i="1" s="1"/>
  <c r="AL215" i="1"/>
  <c r="AK215" i="1"/>
  <c r="AJ215" i="1"/>
  <c r="AI215" i="1"/>
  <c r="AH215" i="1"/>
  <c r="AG215" i="1"/>
  <c r="AF215" i="1"/>
  <c r="AP215" i="1" s="1"/>
  <c r="AE215" i="1"/>
  <c r="AO215" i="1" s="1"/>
  <c r="AD215" i="1"/>
  <c r="AN215" i="1" s="1"/>
  <c r="AL212" i="1"/>
  <c r="AK212" i="1"/>
  <c r="AJ212" i="1"/>
  <c r="AI212" i="1"/>
  <c r="AH212" i="1"/>
  <c r="AG212" i="1"/>
  <c r="AF212" i="1"/>
  <c r="AP212" i="1" s="1"/>
  <c r="AE212" i="1"/>
  <c r="AO212" i="1" s="1"/>
  <c r="AD212" i="1"/>
  <c r="AN212" i="1" s="1"/>
  <c r="AL209" i="1"/>
  <c r="AK209" i="1"/>
  <c r="AJ209" i="1"/>
  <c r="AI209" i="1"/>
  <c r="AH209" i="1"/>
  <c r="AG209" i="1"/>
  <c r="AF209" i="1"/>
  <c r="AP209" i="1" s="1"/>
  <c r="AE209" i="1"/>
  <c r="AO209" i="1" s="1"/>
  <c r="AD209" i="1"/>
  <c r="AN209" i="1" s="1"/>
  <c r="AL206" i="1"/>
  <c r="AK206" i="1"/>
  <c r="AJ206" i="1"/>
  <c r="AI206" i="1"/>
  <c r="AH206" i="1"/>
  <c r="AG206" i="1"/>
  <c r="AF206" i="1"/>
  <c r="AP206" i="1" s="1"/>
  <c r="AE206" i="1"/>
  <c r="AO206" i="1" s="1"/>
  <c r="AD206" i="1"/>
  <c r="AN206" i="1" s="1"/>
  <c r="AL202" i="1"/>
  <c r="AK202" i="1"/>
  <c r="AJ202" i="1"/>
  <c r="AI202" i="1"/>
  <c r="AH202" i="1"/>
  <c r="AG202" i="1"/>
  <c r="AF202" i="1"/>
  <c r="AP202" i="1" s="1"/>
  <c r="AE202" i="1"/>
  <c r="AO202" i="1" s="1"/>
  <c r="AD202" i="1"/>
  <c r="AN202" i="1" s="1"/>
  <c r="AL199" i="1"/>
  <c r="AK199" i="1"/>
  <c r="AJ199" i="1"/>
  <c r="AI199" i="1"/>
  <c r="AH199" i="1"/>
  <c r="AG199" i="1"/>
  <c r="AF199" i="1"/>
  <c r="AP199" i="1" s="1"/>
  <c r="AE199" i="1"/>
  <c r="AO199" i="1" s="1"/>
  <c r="AD199" i="1"/>
  <c r="AN199" i="1" s="1"/>
  <c r="AL196" i="1"/>
  <c r="AK196" i="1"/>
  <c r="AJ196" i="1"/>
  <c r="AI196" i="1"/>
  <c r="AH196" i="1"/>
  <c r="AG196" i="1"/>
  <c r="AF196" i="1"/>
  <c r="AP196" i="1" s="1"/>
  <c r="AE196" i="1"/>
  <c r="AO196" i="1" s="1"/>
  <c r="AD196" i="1"/>
  <c r="AN196" i="1" s="1"/>
  <c r="AL188" i="1"/>
  <c r="AK188" i="1"/>
  <c r="AJ188" i="1"/>
  <c r="AI188" i="1"/>
  <c r="AH188" i="1"/>
  <c r="AG188" i="1"/>
  <c r="AF188" i="1"/>
  <c r="AP188" i="1" s="1"/>
  <c r="AE188" i="1"/>
  <c r="AO188" i="1" s="1"/>
  <c r="AD188" i="1"/>
  <c r="AN188" i="1" s="1"/>
  <c r="AL185" i="1"/>
  <c r="AK185" i="1"/>
  <c r="AJ185" i="1"/>
  <c r="AI185" i="1"/>
  <c r="AH185" i="1"/>
  <c r="AG185" i="1"/>
  <c r="AF185" i="1"/>
  <c r="AP185" i="1" s="1"/>
  <c r="AE185" i="1"/>
  <c r="AO185" i="1" s="1"/>
  <c r="AD185" i="1"/>
  <c r="AN185" i="1" s="1"/>
  <c r="AL180" i="1"/>
  <c r="AK180" i="1"/>
  <c r="AJ180" i="1"/>
  <c r="AI180" i="1"/>
  <c r="AH180" i="1"/>
  <c r="AG180" i="1"/>
  <c r="AF180" i="1"/>
  <c r="AP180" i="1" s="1"/>
  <c r="AE180" i="1"/>
  <c r="AO180" i="1" s="1"/>
  <c r="AD180" i="1"/>
  <c r="AN180" i="1" s="1"/>
  <c r="AL177" i="1"/>
  <c r="AK177" i="1"/>
  <c r="AJ177" i="1"/>
  <c r="AI177" i="1"/>
  <c r="AH177" i="1"/>
  <c r="AG177" i="1"/>
  <c r="AF177" i="1"/>
  <c r="AP177" i="1" s="1"/>
  <c r="AE177" i="1"/>
  <c r="AO177" i="1" s="1"/>
  <c r="AD177" i="1"/>
  <c r="AN177" i="1" s="1"/>
  <c r="AL174" i="1"/>
  <c r="AK174" i="1"/>
  <c r="AJ174" i="1"/>
  <c r="AI174" i="1"/>
  <c r="AH174" i="1"/>
  <c r="AG174" i="1"/>
  <c r="AF174" i="1"/>
  <c r="AP174" i="1" s="1"/>
  <c r="AE174" i="1"/>
  <c r="AO174" i="1" s="1"/>
  <c r="AD174" i="1"/>
  <c r="AN174" i="1" s="1"/>
  <c r="AL171" i="1"/>
  <c r="AK171" i="1"/>
  <c r="AJ171" i="1"/>
  <c r="AI171" i="1"/>
  <c r="AH171" i="1"/>
  <c r="AG171" i="1"/>
  <c r="AF171" i="1"/>
  <c r="AP171" i="1" s="1"/>
  <c r="AE171" i="1"/>
  <c r="AO171" i="1" s="1"/>
  <c r="AD171" i="1"/>
  <c r="AN171" i="1" s="1"/>
  <c r="AL168" i="1"/>
  <c r="AK168" i="1"/>
  <c r="AJ168" i="1"/>
  <c r="AI168" i="1"/>
  <c r="AH168" i="1"/>
  <c r="AG168" i="1"/>
  <c r="AF168" i="1"/>
  <c r="AP168" i="1" s="1"/>
  <c r="AE168" i="1"/>
  <c r="AO168" i="1" s="1"/>
  <c r="AD168" i="1"/>
  <c r="AN168" i="1" s="1"/>
  <c r="AL165" i="1"/>
  <c r="AK165" i="1"/>
  <c r="AJ165" i="1"/>
  <c r="AI165" i="1"/>
  <c r="AH165" i="1"/>
  <c r="AG165" i="1"/>
  <c r="AF165" i="1"/>
  <c r="AP165" i="1" s="1"/>
  <c r="AE165" i="1"/>
  <c r="AO165" i="1" s="1"/>
  <c r="AD165" i="1"/>
  <c r="AN165" i="1" s="1"/>
  <c r="AL162" i="1"/>
  <c r="AK162" i="1"/>
  <c r="AJ162" i="1"/>
  <c r="AI162" i="1"/>
  <c r="AH162" i="1"/>
  <c r="AG162" i="1"/>
  <c r="AF162" i="1"/>
  <c r="AP162" i="1" s="1"/>
  <c r="AE162" i="1"/>
  <c r="AO162" i="1" s="1"/>
  <c r="AD162" i="1"/>
  <c r="AN162" i="1" s="1"/>
  <c r="AL159" i="1"/>
  <c r="AK159" i="1"/>
  <c r="AJ159" i="1"/>
  <c r="AI159" i="1"/>
  <c r="AH159" i="1"/>
  <c r="AG159" i="1"/>
  <c r="AF159" i="1"/>
  <c r="AP159" i="1" s="1"/>
  <c r="AE159" i="1"/>
  <c r="AO159" i="1" s="1"/>
  <c r="AD159" i="1"/>
  <c r="AN159" i="1" s="1"/>
  <c r="AL156" i="1"/>
  <c r="AK156" i="1"/>
  <c r="AJ156" i="1"/>
  <c r="AI156" i="1"/>
  <c r="AH156" i="1"/>
  <c r="AG156" i="1"/>
  <c r="AF156" i="1"/>
  <c r="AP156" i="1" s="1"/>
  <c r="AE156" i="1"/>
  <c r="AO156" i="1" s="1"/>
  <c r="AD156" i="1"/>
  <c r="AN156" i="1" s="1"/>
  <c r="AL153" i="1"/>
  <c r="AK153" i="1"/>
  <c r="AJ153" i="1"/>
  <c r="AI153" i="1"/>
  <c r="AH153" i="1"/>
  <c r="AG153" i="1"/>
  <c r="AF153" i="1"/>
  <c r="AP153" i="1" s="1"/>
  <c r="AE153" i="1"/>
  <c r="AO153" i="1" s="1"/>
  <c r="AD153" i="1"/>
  <c r="AN153" i="1" s="1"/>
  <c r="AL150" i="1"/>
  <c r="AK150" i="1"/>
  <c r="AJ150" i="1"/>
  <c r="AI150" i="1"/>
  <c r="AH150" i="1"/>
  <c r="AG150" i="1"/>
  <c r="AF150" i="1"/>
  <c r="AP150" i="1" s="1"/>
  <c r="AE150" i="1"/>
  <c r="AO150" i="1" s="1"/>
  <c r="AD150" i="1"/>
  <c r="AN150" i="1" s="1"/>
  <c r="AL145" i="1"/>
  <c r="AK145" i="1"/>
  <c r="AJ145" i="1"/>
  <c r="AI145" i="1"/>
  <c r="AH145" i="1"/>
  <c r="AG145" i="1"/>
  <c r="AF145" i="1"/>
  <c r="AP145" i="1" s="1"/>
  <c r="AE145" i="1"/>
  <c r="AO145" i="1" s="1"/>
  <c r="AD145" i="1"/>
  <c r="AN145" i="1" s="1"/>
  <c r="AL142" i="1"/>
  <c r="AK142" i="1"/>
  <c r="AJ142" i="1"/>
  <c r="AI142" i="1"/>
  <c r="AH142" i="1"/>
  <c r="AG142" i="1"/>
  <c r="AF142" i="1"/>
  <c r="AP142" i="1" s="1"/>
  <c r="AE142" i="1"/>
  <c r="AO142" i="1" s="1"/>
  <c r="AD142" i="1"/>
  <c r="AN142" i="1" s="1"/>
  <c r="AL139" i="1"/>
  <c r="AK139" i="1"/>
  <c r="AJ139" i="1"/>
  <c r="AI139" i="1"/>
  <c r="AH139" i="1"/>
  <c r="AG139" i="1"/>
  <c r="AF139" i="1"/>
  <c r="AP139" i="1" s="1"/>
  <c r="AE139" i="1"/>
  <c r="AO139" i="1" s="1"/>
  <c r="AD139" i="1"/>
  <c r="AN139" i="1" s="1"/>
  <c r="AL136" i="1"/>
  <c r="AK136" i="1"/>
  <c r="AJ136" i="1"/>
  <c r="AI136" i="1"/>
  <c r="AH136" i="1"/>
  <c r="AG136" i="1"/>
  <c r="AF136" i="1"/>
  <c r="AP136" i="1" s="1"/>
  <c r="AE136" i="1"/>
  <c r="AO136" i="1" s="1"/>
  <c r="AD136" i="1"/>
  <c r="AN136" i="1" s="1"/>
  <c r="AL133" i="1"/>
  <c r="AK133" i="1"/>
  <c r="AJ133" i="1"/>
  <c r="AI133" i="1"/>
  <c r="AH133" i="1"/>
  <c r="AG133" i="1"/>
  <c r="AF133" i="1"/>
  <c r="AP133" i="1" s="1"/>
  <c r="AE133" i="1"/>
  <c r="AO133" i="1" s="1"/>
  <c r="AD133" i="1"/>
  <c r="AN133" i="1" s="1"/>
  <c r="AL130" i="1"/>
  <c r="AK130" i="1"/>
  <c r="AJ130" i="1"/>
  <c r="AI130" i="1"/>
  <c r="AH130" i="1"/>
  <c r="AG130" i="1"/>
  <c r="AF130" i="1"/>
  <c r="AP130" i="1" s="1"/>
  <c r="AE130" i="1"/>
  <c r="AO130" i="1" s="1"/>
  <c r="AD130" i="1"/>
  <c r="AN130" i="1" s="1"/>
  <c r="AL127" i="1"/>
  <c r="AK127" i="1"/>
  <c r="AJ127" i="1"/>
  <c r="AI127" i="1"/>
  <c r="AH127" i="1"/>
  <c r="AG127" i="1"/>
  <c r="AF127" i="1"/>
  <c r="AP127" i="1" s="1"/>
  <c r="AE127" i="1"/>
  <c r="AO127" i="1" s="1"/>
  <c r="AD127" i="1"/>
  <c r="AN127" i="1" s="1"/>
  <c r="AL124" i="1"/>
  <c r="AK124" i="1"/>
  <c r="AJ124" i="1"/>
  <c r="AI124" i="1"/>
  <c r="AH124" i="1"/>
  <c r="AG124" i="1"/>
  <c r="AF124" i="1"/>
  <c r="AP124" i="1" s="1"/>
  <c r="AE124" i="1"/>
  <c r="AO124" i="1" s="1"/>
  <c r="AD124" i="1"/>
  <c r="AN124" i="1" s="1"/>
  <c r="AL121" i="1"/>
  <c r="AK121" i="1"/>
  <c r="AJ121" i="1"/>
  <c r="AI121" i="1"/>
  <c r="AH121" i="1"/>
  <c r="AG121" i="1"/>
  <c r="AF121" i="1"/>
  <c r="AP121" i="1" s="1"/>
  <c r="AE121" i="1"/>
  <c r="AO121" i="1" s="1"/>
  <c r="AD121" i="1"/>
  <c r="AN121" i="1" s="1"/>
  <c r="AL118" i="1"/>
  <c r="AK118" i="1"/>
  <c r="AJ118" i="1"/>
  <c r="AI118" i="1"/>
  <c r="AH118" i="1"/>
  <c r="AG118" i="1"/>
  <c r="AF118" i="1"/>
  <c r="AP118" i="1" s="1"/>
  <c r="AE118" i="1"/>
  <c r="AO118" i="1" s="1"/>
  <c r="AD118" i="1"/>
  <c r="AN118" i="1" s="1"/>
  <c r="AL115" i="1"/>
  <c r="AK115" i="1"/>
  <c r="AJ115" i="1"/>
  <c r="AI115" i="1"/>
  <c r="AH115" i="1"/>
  <c r="AG115" i="1"/>
  <c r="AF115" i="1"/>
  <c r="AP115" i="1" s="1"/>
  <c r="AE115" i="1"/>
  <c r="AO115" i="1" s="1"/>
  <c r="AD115" i="1"/>
  <c r="AN115" i="1" s="1"/>
  <c r="AL112" i="1"/>
  <c r="AK112" i="1"/>
  <c r="AJ112" i="1"/>
  <c r="AI112" i="1"/>
  <c r="AH112" i="1"/>
  <c r="AG112" i="1"/>
  <c r="AF112" i="1"/>
  <c r="AP112" i="1" s="1"/>
  <c r="AE112" i="1"/>
  <c r="AO112" i="1" s="1"/>
  <c r="AD112" i="1"/>
  <c r="AN112" i="1" s="1"/>
  <c r="AL109" i="1"/>
  <c r="AK109" i="1"/>
  <c r="AJ109" i="1"/>
  <c r="AI109" i="1"/>
  <c r="AH109" i="1"/>
  <c r="AG109" i="1"/>
  <c r="AF109" i="1"/>
  <c r="AP109" i="1" s="1"/>
  <c r="AE109" i="1"/>
  <c r="AO109" i="1" s="1"/>
  <c r="AD109" i="1"/>
  <c r="AN109" i="1" s="1"/>
  <c r="AL106" i="1"/>
  <c r="AK106" i="1"/>
  <c r="AJ106" i="1"/>
  <c r="AI106" i="1"/>
  <c r="AH106" i="1"/>
  <c r="AG106" i="1"/>
  <c r="AF106" i="1"/>
  <c r="AP106" i="1" s="1"/>
  <c r="AE106" i="1"/>
  <c r="AO106" i="1" s="1"/>
  <c r="AD106" i="1"/>
  <c r="AN106" i="1" s="1"/>
  <c r="AL103" i="1"/>
  <c r="AK103" i="1"/>
  <c r="AJ103" i="1"/>
  <c r="AI103" i="1"/>
  <c r="AH103" i="1"/>
  <c r="AG103" i="1"/>
  <c r="AF103" i="1"/>
  <c r="AP103" i="1" s="1"/>
  <c r="AE103" i="1"/>
  <c r="AO103" i="1" s="1"/>
  <c r="AD103" i="1"/>
  <c r="AN103" i="1" s="1"/>
  <c r="AL100" i="1"/>
  <c r="AK100" i="1"/>
  <c r="AJ100" i="1"/>
  <c r="AI100" i="1"/>
  <c r="AH100" i="1"/>
  <c r="AG100" i="1"/>
  <c r="AF100" i="1"/>
  <c r="AP100" i="1" s="1"/>
  <c r="AE100" i="1"/>
  <c r="AO100" i="1" s="1"/>
  <c r="AD100" i="1"/>
  <c r="AN100" i="1" s="1"/>
  <c r="AL97" i="1"/>
  <c r="AK97" i="1"/>
  <c r="AJ97" i="1"/>
  <c r="AI97" i="1"/>
  <c r="AH97" i="1"/>
  <c r="AG97" i="1"/>
  <c r="AF97" i="1"/>
  <c r="AP97" i="1" s="1"/>
  <c r="AE97" i="1"/>
  <c r="AO97" i="1" s="1"/>
  <c r="AD97" i="1"/>
  <c r="AN97" i="1" s="1"/>
  <c r="AL94" i="1"/>
  <c r="AK94" i="1"/>
  <c r="AJ94" i="1"/>
  <c r="AI94" i="1"/>
  <c r="AH94" i="1"/>
  <c r="AG94" i="1"/>
  <c r="AF94" i="1"/>
  <c r="AP94" i="1" s="1"/>
  <c r="AE94" i="1"/>
  <c r="AO94" i="1" s="1"/>
  <c r="AD94" i="1"/>
  <c r="AN94" i="1" s="1"/>
  <c r="AL88" i="1"/>
  <c r="AK88" i="1"/>
  <c r="AJ88" i="1"/>
  <c r="AI88" i="1"/>
  <c r="AH88" i="1"/>
  <c r="AG88" i="1"/>
  <c r="AF88" i="1"/>
  <c r="AP88" i="1" s="1"/>
  <c r="AE88" i="1"/>
  <c r="AO88" i="1" s="1"/>
  <c r="AD88" i="1"/>
  <c r="AN88" i="1" s="1"/>
  <c r="AL85" i="1"/>
  <c r="AK85" i="1"/>
  <c r="AJ85" i="1"/>
  <c r="AI85" i="1"/>
  <c r="AH85" i="1"/>
  <c r="AG85" i="1"/>
  <c r="AF85" i="1"/>
  <c r="AP85" i="1" s="1"/>
  <c r="AE85" i="1"/>
  <c r="AO85" i="1" s="1"/>
  <c r="AD85" i="1"/>
  <c r="AN85" i="1" s="1"/>
  <c r="AL81" i="1"/>
  <c r="AK81" i="1"/>
  <c r="AJ81" i="1"/>
  <c r="AI81" i="1"/>
  <c r="AH81" i="1"/>
  <c r="AG81" i="1"/>
  <c r="AF81" i="1"/>
  <c r="AP81" i="1" s="1"/>
  <c r="AE81" i="1"/>
  <c r="AO81" i="1" s="1"/>
  <c r="AD81" i="1"/>
  <c r="AN81" i="1" s="1"/>
  <c r="AL78" i="1"/>
  <c r="AK78" i="1"/>
  <c r="AJ78" i="1"/>
  <c r="AI78" i="1"/>
  <c r="AH78" i="1"/>
  <c r="AG78" i="1"/>
  <c r="AF78" i="1"/>
  <c r="AP78" i="1" s="1"/>
  <c r="AE78" i="1"/>
  <c r="AO78" i="1" s="1"/>
  <c r="AD78" i="1"/>
  <c r="AN78" i="1" s="1"/>
  <c r="AL75" i="1"/>
  <c r="AK75" i="1"/>
  <c r="AJ75" i="1"/>
  <c r="AI75" i="1"/>
  <c r="AH75" i="1"/>
  <c r="AG75" i="1"/>
  <c r="AF75" i="1"/>
  <c r="AP75" i="1" s="1"/>
  <c r="AE75" i="1"/>
  <c r="AO75" i="1" s="1"/>
  <c r="AD75" i="1"/>
  <c r="AN75" i="1" s="1"/>
  <c r="AL71" i="1"/>
  <c r="AK71" i="1"/>
  <c r="AJ71" i="1"/>
  <c r="AI71" i="1"/>
  <c r="AH71" i="1"/>
  <c r="AG71" i="1"/>
  <c r="AF71" i="1"/>
  <c r="AP71" i="1" s="1"/>
  <c r="AE71" i="1"/>
  <c r="AO71" i="1" s="1"/>
  <c r="AD71" i="1"/>
  <c r="AN71" i="1" s="1"/>
  <c r="AL68" i="1"/>
  <c r="AK68" i="1"/>
  <c r="AJ68" i="1"/>
  <c r="AI68" i="1"/>
  <c r="AH68" i="1"/>
  <c r="AG68" i="1"/>
  <c r="AF68" i="1"/>
  <c r="AP68" i="1" s="1"/>
  <c r="AE68" i="1"/>
  <c r="AO68" i="1" s="1"/>
  <c r="AD68" i="1"/>
  <c r="AN68" i="1" s="1"/>
  <c r="AL65" i="1"/>
  <c r="AK65" i="1"/>
  <c r="AJ65" i="1"/>
  <c r="AI65" i="1"/>
  <c r="AH65" i="1"/>
  <c r="AG65" i="1"/>
  <c r="AF65" i="1"/>
  <c r="AP65" i="1" s="1"/>
  <c r="AE65" i="1"/>
  <c r="AO65" i="1" s="1"/>
  <c r="AD65" i="1"/>
  <c r="AN65" i="1" s="1"/>
  <c r="AL62" i="1"/>
  <c r="AK62" i="1"/>
  <c r="AJ62" i="1"/>
  <c r="AI62" i="1"/>
  <c r="AH62" i="1"/>
  <c r="AG62" i="1"/>
  <c r="AF62" i="1"/>
  <c r="AP62" i="1" s="1"/>
  <c r="AE62" i="1"/>
  <c r="AO62" i="1" s="1"/>
  <c r="AD62" i="1"/>
  <c r="AN62" i="1" s="1"/>
  <c r="AL59" i="1"/>
  <c r="AK59" i="1"/>
  <c r="AJ59" i="1"/>
  <c r="AI59" i="1"/>
  <c r="AH59" i="1"/>
  <c r="AG59" i="1"/>
  <c r="AF59" i="1"/>
  <c r="AP59" i="1" s="1"/>
  <c r="AE59" i="1"/>
  <c r="AO59" i="1" s="1"/>
  <c r="AD59" i="1"/>
  <c r="AN59" i="1" s="1"/>
  <c r="AL56" i="1"/>
  <c r="AK56" i="1"/>
  <c r="AJ56" i="1"/>
  <c r="AI56" i="1"/>
  <c r="AH56" i="1"/>
  <c r="AG56" i="1"/>
  <c r="AF56" i="1"/>
  <c r="AP56" i="1" s="1"/>
  <c r="AE56" i="1"/>
  <c r="AO56" i="1" s="1"/>
  <c r="AD56" i="1"/>
  <c r="AN56" i="1" s="1"/>
  <c r="AL53" i="1"/>
  <c r="AK53" i="1"/>
  <c r="AJ53" i="1"/>
  <c r="AI53" i="1"/>
  <c r="AH53" i="1"/>
  <c r="AG53" i="1"/>
  <c r="AF53" i="1"/>
  <c r="AP53" i="1" s="1"/>
  <c r="AE53" i="1"/>
  <c r="AO53" i="1" s="1"/>
  <c r="AD53" i="1"/>
  <c r="AN53" i="1" s="1"/>
  <c r="AL50" i="1"/>
  <c r="AK50" i="1"/>
  <c r="AJ50" i="1"/>
  <c r="AI50" i="1"/>
  <c r="AH50" i="1"/>
  <c r="AG50" i="1"/>
  <c r="AF50" i="1"/>
  <c r="AP50" i="1" s="1"/>
  <c r="AE50" i="1"/>
  <c r="AO50" i="1" s="1"/>
  <c r="AD50" i="1"/>
  <c r="AN50" i="1" s="1"/>
  <c r="AL47" i="1"/>
  <c r="AK47" i="1"/>
  <c r="AJ47" i="1"/>
  <c r="AI47" i="1"/>
  <c r="AH47" i="1"/>
  <c r="AG47" i="1"/>
  <c r="AF47" i="1"/>
  <c r="AP47" i="1" s="1"/>
  <c r="AE47" i="1"/>
  <c r="AO47" i="1" s="1"/>
  <c r="AD47" i="1"/>
  <c r="AN47" i="1" s="1"/>
  <c r="AL44" i="1"/>
  <c r="AK44" i="1"/>
  <c r="AJ44" i="1"/>
  <c r="AI44" i="1"/>
  <c r="AH44" i="1"/>
  <c r="AG44" i="1"/>
  <c r="AF44" i="1"/>
  <c r="AP44" i="1" s="1"/>
  <c r="AE44" i="1"/>
  <c r="AO44" i="1" s="1"/>
  <c r="AD44" i="1"/>
  <c r="AN44" i="1" s="1"/>
  <c r="AL39" i="1"/>
  <c r="AK39" i="1"/>
  <c r="AJ39" i="1"/>
  <c r="AI39" i="1"/>
  <c r="AH39" i="1"/>
  <c r="AG39" i="1"/>
  <c r="AF39" i="1"/>
  <c r="AP39" i="1" s="1"/>
  <c r="AE39" i="1"/>
  <c r="AO39" i="1" s="1"/>
  <c r="AD39" i="1"/>
  <c r="AN39" i="1" s="1"/>
  <c r="AL36" i="1"/>
  <c r="AK36" i="1"/>
  <c r="AJ36" i="1"/>
  <c r="AI36" i="1"/>
  <c r="AH36" i="1"/>
  <c r="AG36" i="1"/>
  <c r="AF36" i="1"/>
  <c r="AP36" i="1" s="1"/>
  <c r="AE36" i="1"/>
  <c r="AO36" i="1" s="1"/>
  <c r="AD36" i="1"/>
  <c r="AN36" i="1" s="1"/>
  <c r="AL33" i="1"/>
  <c r="AK33" i="1"/>
  <c r="AJ33" i="1"/>
  <c r="AI33" i="1"/>
  <c r="AH33" i="1"/>
  <c r="AG33" i="1"/>
  <c r="AF33" i="1"/>
  <c r="AP33" i="1" s="1"/>
  <c r="AE33" i="1"/>
  <c r="AO33" i="1" s="1"/>
  <c r="AD33" i="1"/>
  <c r="AN33" i="1" s="1"/>
  <c r="AL30" i="1"/>
  <c r="AK30" i="1"/>
  <c r="AJ30" i="1"/>
  <c r="AI30" i="1"/>
  <c r="AH30" i="1"/>
  <c r="AG30" i="1"/>
  <c r="AF30" i="1"/>
  <c r="AP30" i="1" s="1"/>
  <c r="AE30" i="1"/>
  <c r="AO30" i="1" s="1"/>
  <c r="AD30" i="1"/>
  <c r="AN30" i="1" s="1"/>
  <c r="AL27" i="1"/>
  <c r="AK27" i="1"/>
  <c r="AJ27" i="1"/>
  <c r="AI27" i="1"/>
  <c r="AH27" i="1"/>
  <c r="AG27" i="1"/>
  <c r="AF27" i="1"/>
  <c r="AP27" i="1" s="1"/>
  <c r="AE27" i="1"/>
  <c r="AO27" i="1" s="1"/>
  <c r="AD27" i="1"/>
  <c r="AN27" i="1" s="1"/>
  <c r="AL24" i="1"/>
  <c r="AK24" i="1"/>
  <c r="AJ24" i="1"/>
  <c r="AI24" i="1"/>
  <c r="AH24" i="1"/>
  <c r="AG24" i="1"/>
  <c r="AF24" i="1"/>
  <c r="AP24" i="1" s="1"/>
  <c r="AE24" i="1"/>
  <c r="AO24" i="1" s="1"/>
  <c r="AD24" i="1"/>
  <c r="AN24" i="1" s="1"/>
  <c r="AL21" i="1"/>
  <c r="AK21" i="1"/>
  <c r="AJ21" i="1"/>
  <c r="AI21" i="1"/>
  <c r="AH21" i="1"/>
  <c r="AG21" i="1"/>
  <c r="AF21" i="1"/>
  <c r="AP21" i="1" s="1"/>
  <c r="AE21" i="1"/>
  <c r="AO21" i="1" s="1"/>
  <c r="AD21" i="1"/>
  <c r="AN21" i="1" s="1"/>
  <c r="AL18" i="1"/>
  <c r="AK18" i="1"/>
  <c r="AJ18" i="1"/>
  <c r="AI18" i="1"/>
  <c r="AH18" i="1"/>
  <c r="AG18" i="1"/>
  <c r="AF18" i="1"/>
  <c r="AP18" i="1" s="1"/>
  <c r="AE18" i="1"/>
  <c r="AO18" i="1" s="1"/>
  <c r="AD18" i="1"/>
  <c r="AN18" i="1" s="1"/>
  <c r="AL15" i="1"/>
  <c r="AK15" i="1"/>
  <c r="AJ15" i="1"/>
  <c r="AI15" i="1"/>
  <c r="AH15" i="1"/>
  <c r="AG15" i="1"/>
  <c r="AF15" i="1"/>
  <c r="AP15" i="1" s="1"/>
  <c r="AE15" i="1"/>
  <c r="AO15" i="1" s="1"/>
  <c r="AD15" i="1"/>
  <c r="AN15" i="1" s="1"/>
  <c r="AL12" i="1"/>
  <c r="AK12" i="1"/>
  <c r="AJ12" i="1"/>
  <c r="AI12" i="1"/>
  <c r="AH12" i="1"/>
  <c r="AG12" i="1"/>
  <c r="AF12" i="1"/>
  <c r="AP12" i="1" s="1"/>
  <c r="AE12" i="1"/>
  <c r="AO12" i="1" s="1"/>
  <c r="AD12" i="1"/>
  <c r="AN12" i="1" s="1"/>
  <c r="AL5" i="1"/>
  <c r="AK5" i="1"/>
  <c r="AJ5" i="1"/>
  <c r="AI5" i="1"/>
  <c r="AH5" i="1"/>
  <c r="AG5" i="1"/>
  <c r="AF5" i="1"/>
  <c r="AP5" i="1" s="1"/>
  <c r="AE5" i="1"/>
  <c r="AO5" i="1" s="1"/>
  <c r="AD5" i="1"/>
  <c r="AL2" i="1"/>
  <c r="AK2" i="1"/>
  <c r="AJ2" i="1"/>
  <c r="AI2" i="1"/>
  <c r="AH2" i="1"/>
  <c r="AG2" i="1"/>
  <c r="AF2" i="1"/>
  <c r="AP2" i="1" s="1"/>
  <c r="AE2" i="1"/>
  <c r="AO2" i="1" s="1"/>
  <c r="AD2" i="1"/>
  <c r="AN2" i="1" s="1"/>
  <c r="AJ84" i="1" l="1"/>
  <c r="BA84" i="1" s="1"/>
  <c r="AS5" i="1"/>
  <c r="AV5" i="1" s="1"/>
  <c r="AR5" i="1"/>
  <c r="AU5" i="1" s="1"/>
  <c r="AN5" i="1"/>
  <c r="AG42" i="1"/>
  <c r="AD8" i="1"/>
  <c r="AD42" i="1" s="1"/>
  <c r="AI74" i="1"/>
  <c r="AZ74" i="1" s="1"/>
  <c r="AJ274" i="1"/>
  <c r="BA274" i="1" s="1"/>
  <c r="AG84" i="1"/>
  <c r="AX84" i="1" s="1"/>
  <c r="AI84" i="1"/>
  <c r="AZ84" i="1" s="1"/>
  <c r="AL84" i="1"/>
  <c r="BC84" i="1" s="1"/>
  <c r="AK84" i="1"/>
  <c r="BB84" i="1" s="1"/>
  <c r="AG224" i="1"/>
  <c r="AX224" i="1" s="1"/>
  <c r="AI250" i="1"/>
  <c r="AZ250" i="1" s="1"/>
  <c r="AH224" i="1"/>
  <c r="AY224" i="1" s="1"/>
  <c r="AG250" i="1"/>
  <c r="AX250" i="1" s="1"/>
  <c r="AH74" i="1"/>
  <c r="AY74" i="1" s="1"/>
  <c r="AG191" i="1"/>
  <c r="AX191" i="1" s="1"/>
  <c r="AI224" i="1"/>
  <c r="AZ224" i="1" s="1"/>
  <c r="AK250" i="1"/>
  <c r="BB250" i="1" s="1"/>
  <c r="AH191" i="1"/>
  <c r="AY191" i="1" s="1"/>
  <c r="AJ224" i="1"/>
  <c r="BA224" i="1" s="1"/>
  <c r="AL250" i="1"/>
  <c r="BC250" i="1" s="1"/>
  <c r="AH250" i="1"/>
  <c r="AY250" i="1" s="1"/>
  <c r="AK224" i="1"/>
  <c r="BB224" i="1" s="1"/>
  <c r="AJ250" i="1"/>
  <c r="BA250" i="1" s="1"/>
  <c r="AL224" i="1"/>
  <c r="BC224" i="1" s="1"/>
  <c r="AE274" i="1"/>
  <c r="AO274" i="1" s="1"/>
  <c r="AJ191" i="1"/>
  <c r="BA191" i="1" s="1"/>
  <c r="AD74" i="1"/>
  <c r="AN74" i="1" s="1"/>
  <c r="AK191" i="1"/>
  <c r="BB191" i="1" s="1"/>
  <c r="AF274" i="1"/>
  <c r="AP274" i="1" s="1"/>
  <c r="AI42" i="1"/>
  <c r="AZ42" i="1" s="1"/>
  <c r="AL191" i="1"/>
  <c r="BC191" i="1" s="1"/>
  <c r="AF74" i="1"/>
  <c r="AP74" i="1" s="1"/>
  <c r="AG274" i="1"/>
  <c r="AX274" i="1" s="1"/>
  <c r="AJ42" i="1"/>
  <c r="BA42" i="1" s="1"/>
  <c r="AG74" i="1"/>
  <c r="AX74" i="1" s="1"/>
  <c r="AH274" i="1"/>
  <c r="AK42" i="1"/>
  <c r="BB42" i="1" s="1"/>
  <c r="AI274" i="1"/>
  <c r="AJ74" i="1"/>
  <c r="BA74" i="1" s="1"/>
  <c r="AD250" i="1"/>
  <c r="AN250" i="1" s="1"/>
  <c r="AK274" i="1"/>
  <c r="BB274" i="1" s="1"/>
  <c r="AL42" i="1"/>
  <c r="BC42" i="1" s="1"/>
  <c r="AH42" i="1"/>
  <c r="AY42" i="1" s="1"/>
  <c r="AH84" i="1"/>
  <c r="AY84" i="1" s="1"/>
  <c r="AK74" i="1"/>
  <c r="BB74" i="1" s="1"/>
  <c r="AI191" i="1"/>
  <c r="AZ191" i="1" s="1"/>
  <c r="AE250" i="1"/>
  <c r="AO250" i="1" s="1"/>
  <c r="AL274" i="1"/>
  <c r="BC274" i="1" s="1"/>
  <c r="AL74" i="1"/>
  <c r="BC74" i="1" s="1"/>
  <c r="AF250" i="1"/>
  <c r="AP250" i="1" s="1"/>
  <c r="AX42" i="1"/>
  <c r="AF84" i="1"/>
  <c r="AP84" i="1" s="1"/>
  <c r="AE84" i="1"/>
  <c r="AO84" i="1" s="1"/>
  <c r="AE74" i="1"/>
  <c r="AO74" i="1" s="1"/>
  <c r="AE191" i="1"/>
  <c r="AO191" i="1" s="1"/>
  <c r="AF191" i="1"/>
  <c r="AP191" i="1" s="1"/>
  <c r="AD191" i="1"/>
  <c r="AN191" i="1" s="1"/>
  <c r="AD224" i="1"/>
  <c r="AN224" i="1" s="1"/>
  <c r="AE224" i="1"/>
  <c r="AO224" i="1" s="1"/>
  <c r="AD274" i="1"/>
  <c r="AN274" i="1" s="1"/>
  <c r="AE42" i="1"/>
  <c r="AO42" i="1" s="1"/>
  <c r="AF224" i="1"/>
  <c r="AP224" i="1" s="1"/>
  <c r="AF42" i="1"/>
  <c r="AD84" i="1"/>
  <c r="AN84" i="1" s="1"/>
  <c r="AI195" i="1" l="1"/>
  <c r="AZ195" i="1" s="1"/>
  <c r="AJ195" i="1"/>
  <c r="AJ275" i="1" s="1"/>
  <c r="BA275" i="1" s="1"/>
  <c r="AK195" i="1"/>
  <c r="BB195" i="1" s="1"/>
  <c r="AL195" i="1"/>
  <c r="BC195" i="1" s="1"/>
  <c r="AH195" i="1"/>
  <c r="AH275" i="1" s="1"/>
  <c r="AY275" i="1" s="1"/>
  <c r="AG195" i="1"/>
  <c r="AX195" i="1" s="1"/>
  <c r="AP42" i="1"/>
  <c r="AF195" i="1"/>
  <c r="AF275" i="1" s="1"/>
  <c r="AP275" i="1" s="1"/>
  <c r="AD195" i="1"/>
  <c r="AN42" i="1"/>
  <c r="AG275" i="1"/>
  <c r="AX275" i="1" s="1"/>
  <c r="AE195" i="1"/>
  <c r="AE275" i="1" s="1"/>
  <c r="AO275" i="1" s="1"/>
  <c r="AK275" i="1"/>
  <c r="BB275" i="1" s="1"/>
  <c r="AL275" i="1" l="1"/>
  <c r="BC275" i="1" s="1"/>
  <c r="AI275" i="1"/>
  <c r="AZ275" i="1" s="1"/>
  <c r="AY195" i="1"/>
  <c r="BA195" i="1"/>
  <c r="AD275" i="1"/>
  <c r="AN275" i="1" s="1"/>
  <c r="AN195" i="1"/>
  <c r="AP195" i="1"/>
  <c r="AO195" i="1"/>
</calcChain>
</file>

<file path=xl/sharedStrings.xml><?xml version="1.0" encoding="utf-8"?>
<sst xmlns="http://schemas.openxmlformats.org/spreadsheetml/2006/main" count="470" uniqueCount="321">
  <si>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</si>
  <si>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</si>
  <si>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</si>
  <si>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</si>
  <si>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</si>
  <si>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</si>
  <si>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</si>
  <si>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1887-1889</t>
  </si>
  <si>
    <t>ср-чр 1887-1889</t>
  </si>
  <si>
    <t>ср-чу 1887-1889</t>
  </si>
  <si>
    <t>уезды</t>
  </si>
  <si>
    <t>v-чж NYY</t>
  </si>
  <si>
    <t>v-чр YY</t>
  </si>
  <si>
    <t>v-чу YY</t>
  </si>
  <si>
    <t>v-чж-гор NYY</t>
  </si>
  <si>
    <t>v-чр-гор YY</t>
  </si>
  <si>
    <t>v-чу-гор YY</t>
  </si>
  <si>
    <t>v-ср-чж 1887-1889</t>
  </si>
  <si>
    <t>v-ср-чр 1887-1889</t>
  </si>
  <si>
    <t>v-ср-чу 1887-1889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</si>
  <si>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</si>
  <si>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</si>
  <si>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</si>
  <si>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</si>
  <si>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</si>
  <si>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</si>
  <si>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</si>
  <si>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</si>
  <si>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</si>
  <si>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</si>
  <si>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</si>
  <si>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</si>
  <si>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</si>
  <si>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</si>
  <si>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</si>
  <si>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</si>
  <si>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</si>
  <si>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</si>
  <si>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</si>
  <si>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</si>
  <si>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</si>
  <si>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</si>
  <si>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</si>
  <si>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</si>
  <si>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</si>
  <si>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</si>
  <si>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</si>
  <si>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</si>
  <si>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</si>
  <si>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</si>
  <si>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</si>
  <si>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</si>
  <si>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</si>
  <si>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</si>
  <si>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</si>
  <si>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</si>
  <si>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</si>
  <si>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</si>
  <si>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</si>
  <si>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</si>
  <si>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</si>
  <si>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</si>
  <si>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</si>
  <si>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</si>
  <si>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</si>
  <si>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</si>
  <si>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</si>
  <si>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</si>
  <si>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</si>
  <si>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</si>
  <si>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</si>
  <si>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</si>
  <si>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</si>
  <si>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</si>
  <si>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</si>
  <si>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</si>
  <si>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</si>
  <si>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</si>
  <si>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</si>
  <si>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</si>
  <si>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</si>
  <si>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</si>
  <si>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</si>
  <si>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</si>
  <si>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</si>
  <si>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</si>
  <si>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</si>
  <si>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</si>
  <si>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</si>
  <si>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</si>
  <si>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</si>
  <si>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</si>
  <si>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</si>
  <si>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</si>
  <si>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</si>
  <si>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</si>
  <si>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</si>
  <si>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</si>
  <si>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</si>
  <si>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</si>
  <si>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</si>
  <si>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</si>
  <si>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</si>
  <si>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</si>
  <si>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</si>
  <si>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</si>
  <si>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</si>
  <si>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</si>
  <si>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</si>
  <si>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</si>
  <si>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</si>
  <si>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</si>
  <si>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</si>
  <si>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</si>
  <si>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</si>
  <si>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</si>
  <si>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</si>
  <si>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</si>
  <si>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</si>
  <si>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</si>
  <si>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</si>
  <si>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</si>
  <si>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</si>
  <si>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</si>
  <si>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</si>
  <si>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</si>
  <si>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</si>
  <si>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</si>
  <si>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</si>
  <si>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</si>
  <si>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</si>
  <si>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</si>
  <si>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</si>
  <si>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</si>
  <si>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</si>
  <si>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</si>
  <si>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</si>
  <si>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</si>
  <si>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</si>
  <si>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</si>
  <si>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</si>
  <si>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</si>
  <si>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</si>
  <si>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</si>
  <si>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</si>
  <si>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</si>
  <si>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</si>
  <si>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</si>
  <si>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</si>
  <si>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</si>
  <si>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</si>
  <si>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</si>
  <si>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</si>
  <si>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</si>
  <si>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</si>
  <si>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</si>
  <si>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</si>
  <si>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</si>
  <si>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</si>
  <si>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</si>
  <si>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</si>
  <si>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</si>
  <si>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</si>
  <si>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</si>
  <si>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</si>
  <si>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</si>
  <si>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</si>
  <si>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</si>
  <si>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</si>
  <si>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</si>
  <si>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</si>
  <si>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</si>
  <si>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</si>
  <si>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</si>
  <si>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</si>
  <si>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</si>
  <si>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</si>
  <si>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</si>
  <si>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</si>
  <si>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</si>
  <si>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</si>
  <si>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</si>
  <si>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</si>
  <si>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</si>
  <si>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</si>
  <si>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</si>
  <si>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</si>
  <si>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</si>
  <si>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</si>
  <si>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</si>
  <si>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</si>
  <si>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</si>
  <si>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</si>
  <si>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</si>
  <si>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</si>
  <si>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</si>
  <si>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</si>
  <si>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</si>
  <si>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</si>
  <si>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</si>
  <si>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</si>
  <si>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</si>
  <si>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</si>
  <si>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</si>
  <si>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</si>
  <si>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</si>
  <si>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</si>
  <si>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</si>
  <si>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</si>
  <si>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</si>
  <si>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</si>
  <si>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</si>
  <si>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</si>
  <si>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</si>
  <si>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</si>
  <si>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</si>
  <si>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</si>
  <si>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</si>
  <si>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</si>
  <si>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</si>
  <si>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</si>
  <si>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</si>
  <si>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</si>
  <si>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</si>
  <si>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</si>
  <si>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</si>
  <si>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</si>
  <si>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</si>
  <si>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</si>
  <si>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</si>
  <si>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</si>
  <si>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</si>
  <si>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</si>
  <si>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</si>
  <si>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</si>
  <si>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</si>
  <si>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</si>
  <si>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</si>
  <si>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</si>
  <si>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</si>
  <si>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</si>
  <si>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</si>
  <si>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</si>
  <si>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</si>
  <si>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</si>
  <si>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</si>
  <si>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</si>
  <si>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</si>
  <si>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</si>
  <si>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</si>
  <si>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</si>
  <si>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</si>
  <si>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</si>
  <si>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</si>
  <si>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</si>
  <si>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</si>
  <si>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</si>
  <si>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</si>
  <si>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</si>
  <si>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</si>
  <si>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</si>
  <si>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</si>
  <si>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</si>
  <si>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</si>
  <si>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</si>
  <si>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</si>
  <si>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</si>
  <si>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</si>
  <si>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</si>
  <si>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</si>
  <si>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</si>
  <si>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</si>
  <si>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</si>
  <si>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</si>
  <si>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</si>
  <si>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</si>
  <si>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</si>
  <si>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</si>
  <si>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</si>
  <si>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</si>
  <si>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</si>
  <si>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</si>
  <si>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</si>
  <si>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</si>
  <si>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</si>
  <si>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</si>
  <si>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</si>
  <si>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</si>
  <si>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</si>
  <si>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</si>
  <si>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vd-чж NYY</t>
  </si>
  <si>
    <t>vd-чр YY</t>
  </si>
  <si>
    <t>vd-чу YY</t>
  </si>
  <si>
    <t>vd-чж-гор</t>
  </si>
  <si>
    <t>vd-чр-гор</t>
  </si>
  <si>
    <t>vd-р</t>
  </si>
  <si>
    <t>vd-с</t>
  </si>
  <si>
    <t>vd-ср-чу 1887-1889</t>
  </si>
  <si>
    <t>vd-ср-чр 1887-1889</t>
  </si>
  <si>
    <t>vd-ср-чж 1887-1889</t>
  </si>
  <si>
    <t>vd-чу-гор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</si>
  <si>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</si>
  <si>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</si>
  <si>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</si>
  <si>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</si>
  <si>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</si>
  <si>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</si>
  <si>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</si>
  <si>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Числа рождений и смертей по отдельным территориям в целом сходятся по контрольным суммам,</t>
  </si>
  <si>
    <t>за вычетом нескольких незначительных расхождений.</t>
  </si>
  <si>
    <t>Исправленные опечатки помечены синим фоном.</t>
  </si>
  <si>
    <t>Число жителей часто расходится, и значительно.</t>
  </si>
  <si>
    <t>Причина расхождения неясна.</t>
  </si>
  <si>
    <t>Ряды итого расходятся по сумме рождений и смертей для земских губерний.</t>
  </si>
  <si>
    <t>Аналогичное расхождение для Сибири и Средней Азии связано с невключением некоторых областей в сумму.</t>
  </si>
  <si>
    <t>Для поступательного расчёта в конечном итого важны только ряды рождений и смертей по отдельным территориям.</t>
  </si>
  <si>
    <t>Причина расхождения неясна, но см. 1890-notes.html</t>
  </si>
  <si>
    <t>Для Петербургской губернии в 1891 году нет сведений о Павловске, Гатчине, Царском Селе, Петергофе и Кронштадте.</t>
  </si>
  <si>
    <t>Число смертей и рождений по Карсской обл. относятся к одному только Карсскому округу с населением 83209 чел.</t>
  </si>
  <si>
    <t>г. Николаев</t>
  </si>
  <si>
    <t>г. Одесса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</si>
</sst>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rlito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0" fontId="2" fillId="3" borderId="0" xfId="0" applyFont="1" applyFill="1"/>
    <xf numFmtId="3" fontId="2" fillId="3" borderId="0" xfId="0" applyNumberFormat="1" applyFont="1" applyFill="1"/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/>
    <xf numFmtId="3" fontId="2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64" fontId="4" fillId="5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right"/>
    </xf>
    <xf numFmtId="3" fontId="2" fillId="5" borderId="0" xfId="0" applyNumberFormat="1" applyFont="1" applyFill="1" applyAlignment="1">
      <alignment horizontal="center"/>
    </xf>
    <xf numFmtId="0" fontId="0" fillId="8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5" borderId="0" xfId="0" applyFont="1" applyFill="1"/>
    <xf numFmtId="3" fontId="2" fillId="5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164" fontId="2" fillId="0" borderId="0" xfId="0" applyNumberFormat="1" applyFont="1"/>
    <xf numFmtId="0" fontId="2" fillId="5" borderId="0" xfId="0" applyFont="1" applyFill="1" applyAlignment="1">
      <alignment horizontal="left"/>
    </xf>
    <xf numFmtId="0" fontId="6" fillId="0" borderId="0" xfId="0" applyFont="1"/>
    <xf numFmtId="3" fontId="2" fillId="9" borderId="0" xfId="0" applyNumberFormat="1" applyFont="1" applyFill="1" applyAlignment="1">
      <alignment horizontal="right" vertical="center"/>
    </xf>
    <xf numFmtId="3" fontId="2" fillId="9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2" fillId="10" borderId="0" xfId="0" applyNumberFormat="1" applyFont="1" applyFill="1" applyAlignment="1">
      <alignment horizontal="right"/>
    </xf>
    <xf numFmtId="3" fontId="2" fillId="10" borderId="0" xfId="0" applyNumberFormat="1" applyFont="1" applyFill="1" applyAlignment="1">
      <alignment horizontal="right" vertical="center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/>
    <xf numFmtId="0" fontId="2" fillId="11" borderId="0" xfId="0" applyFont="1" applyFill="1" applyAlignment="1">
      <alignment horizontal="left"/>
    </xf>
    <xf numFmtId="3" fontId="2" fillId="11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center"/>
    </xf>
    <xf numFmtId="0" fontId="2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A313-D41C-46B5-B326-1C471A56B478}">
  <dimension ref="A1:A16"/>
  <sheetViews>
    <sheetView workbookViewId="0">
      <selection activeCell="R6" sqref="R6"/>
    </sheetView>
  </sheetViews>
  <sheetFormatPr defaultRowHeight="14.4" x14ac:dyDescent="0.55000000000000004"/>
  <sheetData>
    <row r="1" spans="1:1" x14ac:dyDescent="0.55000000000000004">
      <c r="A1" s="44" t="s">
        <v>308</v>
      </c>
    </row>
    <row r="2" spans="1:1" x14ac:dyDescent="0.55000000000000004">
      <c r="A2" s="44" t="s">
        <v>309</v>
      </c>
    </row>
    <row r="3" spans="1:1" x14ac:dyDescent="0.55000000000000004">
      <c r="A3" s="44" t="s">
        <v>310</v>
      </c>
    </row>
    <row r="5" spans="1:1" x14ac:dyDescent="0.55000000000000004">
      <c r="A5" s="44" t="s">
        <v>311</v>
      </c>
    </row>
    <row r="6" spans="1:1" x14ac:dyDescent="0.55000000000000004">
      <c r="A6" s="44" t="s">
        <v>312</v>
      </c>
    </row>
    <row r="8" spans="1:1" x14ac:dyDescent="0.55000000000000004">
      <c r="A8" s="44" t="s">
        <v>313</v>
      </c>
    </row>
    <row r="9" spans="1:1" x14ac:dyDescent="0.55000000000000004">
      <c r="A9" s="44" t="s">
        <v>316</v>
      </c>
    </row>
    <row r="10" spans="1:1" x14ac:dyDescent="0.55000000000000004">
      <c r="A10" s="44" t="s">
        <v>314</v>
      </c>
    </row>
    <row r="12" spans="1:1" x14ac:dyDescent="0.55000000000000004">
      <c r="A12" s="44" t="s">
        <v>315</v>
      </c>
    </row>
    <row r="14" spans="1:1" x14ac:dyDescent="0.55000000000000004">
      <c r="A14" t="s">
        <v>317</v>
      </c>
    </row>
    <row r="16" spans="1:1" x14ac:dyDescent="0.55000000000000004">
      <c r="A16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5"/>
  <sheetViews>
    <sheetView tabSelected="1" workbookViewId="0">
      <pane xSplit="1" ySplit="1" topLeftCell="B155" activePane="bottomRight" state="frozen"/>
      <selection pane="topRight" activeCell="B1" sqref="B1"/>
      <selection pane="bottomLeft" activeCell="A2" sqref="A2"/>
      <selection pane="bottomRight" activeCell="AE191" sqref="AE191"/>
    </sheetView>
  </sheetViews>
  <sheetFormatPr defaultRowHeight="14.4" x14ac:dyDescent="0.55000000000000004"/>
  <cols>
    <col min="1" max="1" width="30.734375" bestFit="1" customWidth="1"/>
    <col min="2" max="2" width="10.62890625" bestFit="1" customWidth="1"/>
    <col min="3" max="4" width="8.62890625" bestFit="1" customWidth="1"/>
    <col min="5" max="5" width="9.62890625" bestFit="1" customWidth="1"/>
    <col min="6" max="7" width="7.15625" bestFit="1" customWidth="1"/>
    <col min="8" max="8" width="10.62890625" bestFit="1" customWidth="1"/>
    <col min="9" max="9" width="10.1015625" bestFit="1" customWidth="1"/>
    <col min="10" max="10" width="10" bestFit="1" customWidth="1"/>
    <col min="11" max="11" width="4.41796875" style="29" bestFit="1" customWidth="1"/>
    <col min="12" max="12" width="4.15625" style="29" bestFit="1" customWidth="1"/>
    <col min="13" max="13" width="2.47265625" customWidth="1"/>
    <col min="14" max="27" width="7.15625" bestFit="1" customWidth="1"/>
    <col min="28" max="28" width="7.68359375" bestFit="1" customWidth="1"/>
    <col min="29" max="29" width="2.9453125" customWidth="1"/>
    <col min="30" max="30" width="10.62890625" bestFit="1" customWidth="1"/>
    <col min="31" max="32" width="8.62890625" bestFit="1" customWidth="1"/>
    <col min="33" max="33" width="12.05078125" bestFit="1" customWidth="1"/>
    <col min="34" max="34" width="10" bestFit="1" customWidth="1"/>
    <col min="35" max="35" width="10.20703125" bestFit="1" customWidth="1"/>
    <col min="36" max="36" width="16.05078125" bestFit="1" customWidth="1"/>
    <col min="37" max="37" width="15.68359375" bestFit="1" customWidth="1"/>
    <col min="38" max="38" width="15.578125" bestFit="1" customWidth="1"/>
    <col min="39" max="39" width="4.3671875" customWidth="1"/>
    <col min="40" max="40" width="9.68359375" bestFit="1" customWidth="1"/>
    <col min="41" max="42" width="9.20703125" bestFit="1" customWidth="1"/>
    <col min="43" max="43" width="3.20703125" customWidth="1"/>
    <col min="44" max="45" width="4.15625" bestFit="1" customWidth="1"/>
    <col min="46" max="46" width="3.3125" customWidth="1"/>
    <col min="47" max="48" width="4.7890625" bestFit="1" customWidth="1"/>
    <col min="49" max="49" width="2.7890625" customWidth="1"/>
    <col min="50" max="50" width="9.26171875" bestFit="1" customWidth="1"/>
    <col min="51" max="51" width="8.89453125" bestFit="1" customWidth="1"/>
    <col min="52" max="52" width="8.734375" bestFit="1" customWidth="1"/>
    <col min="53" max="53" width="17.15625" bestFit="1" customWidth="1"/>
    <col min="54" max="54" width="16.7890625" bestFit="1" customWidth="1"/>
    <col min="55" max="55" width="16.62890625" bestFit="1" customWidth="1"/>
  </cols>
  <sheetData>
    <row r="1" spans="1:55" ht="28.8" x14ac:dyDescent="0.5500000000000000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27" t="s">
        <v>286</v>
      </c>
      <c r="L1" s="27" t="s">
        <v>287</v>
      </c>
      <c r="M1" s="17"/>
      <c r="N1" s="50" t="s">
        <v>10</v>
      </c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35"/>
      <c r="AC1" s="37"/>
      <c r="AD1" s="16" t="s">
        <v>11</v>
      </c>
      <c r="AE1" s="16" t="s">
        <v>12</v>
      </c>
      <c r="AF1" s="16" t="s">
        <v>13</v>
      </c>
      <c r="AG1" s="16" t="s">
        <v>14</v>
      </c>
      <c r="AH1" s="16" t="s">
        <v>15</v>
      </c>
      <c r="AI1" s="16" t="s">
        <v>16</v>
      </c>
      <c r="AJ1" s="16" t="s">
        <v>17</v>
      </c>
      <c r="AK1" s="16" t="s">
        <v>18</v>
      </c>
      <c r="AL1" s="16" t="s">
        <v>19</v>
      </c>
      <c r="AN1" s="40" t="s">
        <v>290</v>
      </c>
      <c r="AO1" s="40" t="s">
        <v>291</v>
      </c>
      <c r="AP1" s="40" t="s">
        <v>292</v>
      </c>
      <c r="AQ1" s="17"/>
      <c r="AR1" s="40" t="s">
        <v>288</v>
      </c>
      <c r="AS1" s="40" t="s">
        <v>289</v>
      </c>
      <c r="AT1" s="17"/>
      <c r="AU1" s="40" t="s">
        <v>295</v>
      </c>
      <c r="AV1" s="40" t="s">
        <v>296</v>
      </c>
      <c r="AW1" s="17"/>
      <c r="AX1" s="40" t="s">
        <v>293</v>
      </c>
      <c r="AY1" s="40" t="s">
        <v>294</v>
      </c>
      <c r="AZ1" s="40" t="s">
        <v>300</v>
      </c>
      <c r="BA1" s="40" t="s">
        <v>299</v>
      </c>
      <c r="BB1" s="40" t="s">
        <v>298</v>
      </c>
      <c r="BC1" s="40" t="s">
        <v>297</v>
      </c>
    </row>
    <row r="2" spans="1:55" s="8" customFormat="1" x14ac:dyDescent="0.55000000000000004">
      <c r="A2" s="6" t="s">
        <v>20</v>
      </c>
      <c r="B2" s="7">
        <v>354411</v>
      </c>
      <c r="C2" s="7">
        <v>13729</v>
      </c>
      <c r="D2" s="7">
        <v>10318</v>
      </c>
      <c r="E2" s="7">
        <v>28715</v>
      </c>
      <c r="F2" s="7">
        <v>947</v>
      </c>
      <c r="G2" s="7">
        <v>922</v>
      </c>
      <c r="H2" s="7">
        <v>345874</v>
      </c>
      <c r="I2" s="7">
        <v>13342</v>
      </c>
      <c r="J2" s="7">
        <v>8283</v>
      </c>
      <c r="K2" s="31">
        <v>38.700000000000003</v>
      </c>
      <c r="L2" s="31">
        <v>29.1</v>
      </c>
      <c r="M2" s="3"/>
      <c r="N2" s="7">
        <v>53432</v>
      </c>
      <c r="O2" s="7">
        <v>44162</v>
      </c>
      <c r="P2" s="7">
        <v>15542</v>
      </c>
      <c r="Q2" s="7">
        <v>51652</v>
      </c>
      <c r="R2" s="7">
        <v>39775</v>
      </c>
      <c r="S2" s="7">
        <v>28823</v>
      </c>
      <c r="T2" s="7">
        <v>39380</v>
      </c>
      <c r="U2" s="7">
        <v>81645</v>
      </c>
      <c r="V2" s="7"/>
      <c r="W2" s="7"/>
      <c r="X2" s="7"/>
      <c r="Y2" s="7"/>
      <c r="Z2" s="7"/>
      <c r="AA2" s="7"/>
      <c r="AC2" s="2"/>
      <c r="AD2" s="9">
        <f>SUM(N2:AB2)</f>
        <v>354411</v>
      </c>
      <c r="AE2" s="9">
        <f>SUM(N3:AB3)</f>
        <v>13729</v>
      </c>
      <c r="AF2" s="9">
        <f>SUM(N4:AB4)</f>
        <v>10318</v>
      </c>
      <c r="AG2" s="9">
        <f t="shared" ref="AG2:AL2" si="0">E2</f>
        <v>28715</v>
      </c>
      <c r="AH2" s="9">
        <f t="shared" si="0"/>
        <v>947</v>
      </c>
      <c r="AI2" s="9">
        <f t="shared" si="0"/>
        <v>922</v>
      </c>
      <c r="AJ2" s="9">
        <f t="shared" si="0"/>
        <v>345874</v>
      </c>
      <c r="AK2" s="9">
        <f t="shared" si="0"/>
        <v>13342</v>
      </c>
      <c r="AL2" s="9">
        <f t="shared" si="0"/>
        <v>8283</v>
      </c>
      <c r="AM2" s="2"/>
      <c r="AN2" s="9">
        <f>AD2-B2</f>
        <v>0</v>
      </c>
      <c r="AO2" s="9">
        <f>AE2-C2</f>
        <v>0</v>
      </c>
      <c r="AP2" s="9">
        <f>AF2-D2</f>
        <v>0</v>
      </c>
      <c r="AQ2" s="5"/>
      <c r="AR2" s="41">
        <f>C2/B2*1000</f>
        <v>38.737510968903337</v>
      </c>
      <c r="AS2" s="41">
        <f>D2/B2*1000</f>
        <v>29.113091862272899</v>
      </c>
      <c r="AT2" s="42"/>
      <c r="AU2" s="41">
        <f>AR2-K2</f>
        <v>3.7510968903333719E-2</v>
      </c>
      <c r="AV2" s="41">
        <f>AS2-L2</f>
        <v>1.3091862272897714E-2</v>
      </c>
      <c r="AW2" s="5"/>
    </row>
    <row r="3" spans="1:55" s="2" customFormat="1" x14ac:dyDescent="0.55000000000000004">
      <c r="A3" s="1" t="s">
        <v>21</v>
      </c>
      <c r="B3" s="3"/>
      <c r="C3" s="3"/>
      <c r="D3" s="3"/>
      <c r="E3" s="3"/>
      <c r="F3" s="3"/>
      <c r="G3" s="3"/>
      <c r="H3" s="3"/>
      <c r="I3" s="3"/>
      <c r="J3" s="3"/>
      <c r="K3" s="28"/>
      <c r="L3" s="28"/>
      <c r="M3" s="3"/>
      <c r="N3" s="3">
        <v>1946</v>
      </c>
      <c r="O3" s="3">
        <v>1262</v>
      </c>
      <c r="P3" s="3">
        <v>371</v>
      </c>
      <c r="Q3" s="3">
        <v>2378</v>
      </c>
      <c r="R3" s="3">
        <v>1564</v>
      </c>
      <c r="S3" s="3">
        <v>1284</v>
      </c>
      <c r="T3" s="3">
        <v>1660</v>
      </c>
      <c r="U3" s="3">
        <v>3264</v>
      </c>
      <c r="V3" s="3"/>
      <c r="W3" s="3"/>
      <c r="X3" s="3"/>
      <c r="Y3" s="3"/>
      <c r="Z3" s="3"/>
      <c r="AA3" s="3"/>
    </row>
    <row r="4" spans="1:55" s="2" customFormat="1" x14ac:dyDescent="0.55000000000000004">
      <c r="A4" s="1" t="s">
        <v>22</v>
      </c>
      <c r="B4" s="3"/>
      <c r="C4" s="3"/>
      <c r="D4" s="3"/>
      <c r="E4" s="3"/>
      <c r="F4" s="3"/>
      <c r="G4" s="3"/>
      <c r="H4" s="3"/>
      <c r="I4" s="3"/>
      <c r="J4" s="3"/>
      <c r="K4" s="28"/>
      <c r="L4" s="28"/>
      <c r="M4" s="3"/>
      <c r="N4" s="3">
        <v>1691</v>
      </c>
      <c r="O4" s="3">
        <v>614</v>
      </c>
      <c r="P4" s="3">
        <v>258</v>
      </c>
      <c r="Q4" s="3">
        <v>1879</v>
      </c>
      <c r="R4" s="3">
        <v>1221</v>
      </c>
      <c r="S4" s="3">
        <v>875</v>
      </c>
      <c r="T4" s="3">
        <v>1228</v>
      </c>
      <c r="U4" s="3">
        <v>2552</v>
      </c>
      <c r="V4" s="3"/>
      <c r="W4" s="3"/>
      <c r="X4" s="3"/>
      <c r="Y4" s="3"/>
      <c r="Z4" s="3"/>
      <c r="AA4" s="3"/>
    </row>
    <row r="5" spans="1:55" s="8" customFormat="1" x14ac:dyDescent="0.55000000000000004">
      <c r="A5" s="6" t="s">
        <v>301</v>
      </c>
      <c r="B5" s="7">
        <f>878991-B8</f>
        <v>517492</v>
      </c>
      <c r="C5" s="7">
        <v>29427</v>
      </c>
      <c r="D5" s="7">
        <v>21582</v>
      </c>
      <c r="E5" s="7">
        <v>111080</v>
      </c>
      <c r="F5" s="7">
        <v>5106</v>
      </c>
      <c r="G5" s="7">
        <v>5038</v>
      </c>
      <c r="H5" s="7">
        <v>867265</v>
      </c>
      <c r="I5" s="7">
        <v>27797</v>
      </c>
      <c r="J5" s="7">
        <v>19234</v>
      </c>
      <c r="K5" s="31">
        <v>56.9</v>
      </c>
      <c r="L5" s="31">
        <v>41.7</v>
      </c>
      <c r="M5" s="3"/>
      <c r="N5" s="7">
        <v>151523</v>
      </c>
      <c r="O5" s="7">
        <v>68801</v>
      </c>
      <c r="P5" s="7">
        <v>32856</v>
      </c>
      <c r="Q5" s="7">
        <v>87135</v>
      </c>
      <c r="R5" s="7">
        <v>177177</v>
      </c>
      <c r="S5" s="7"/>
      <c r="T5" s="7"/>
      <c r="U5" s="7"/>
      <c r="V5" s="7"/>
      <c r="W5" s="7"/>
      <c r="X5" s="7"/>
      <c r="Y5" s="7"/>
      <c r="Z5" s="7"/>
      <c r="AA5" s="7"/>
      <c r="AC5" s="2"/>
      <c r="AD5" s="9">
        <f>SUM(N5:AB5)</f>
        <v>517492</v>
      </c>
      <c r="AE5" s="9">
        <f>SUM(N6:AB6)</f>
        <v>29427</v>
      </c>
      <c r="AF5" s="9">
        <f>SUM(N7:AB7)</f>
        <v>21582</v>
      </c>
      <c r="AG5" s="9">
        <f t="shared" ref="AG5:AL5" si="1">E5</f>
        <v>111080</v>
      </c>
      <c r="AH5" s="9">
        <f t="shared" si="1"/>
        <v>5106</v>
      </c>
      <c r="AI5" s="9">
        <f t="shared" si="1"/>
        <v>5038</v>
      </c>
      <c r="AJ5" s="9">
        <f t="shared" si="1"/>
        <v>867265</v>
      </c>
      <c r="AK5" s="9">
        <f t="shared" si="1"/>
        <v>27797</v>
      </c>
      <c r="AL5" s="9">
        <f t="shared" si="1"/>
        <v>19234</v>
      </c>
      <c r="AM5" s="2"/>
      <c r="AN5" s="9">
        <f>AD5-B5</f>
        <v>0</v>
      </c>
      <c r="AO5" s="9">
        <f>AE5-C5</f>
        <v>0</v>
      </c>
      <c r="AP5" s="9">
        <f>AF5-D5</f>
        <v>0</v>
      </c>
      <c r="AQ5" s="5"/>
      <c r="AR5" s="41">
        <f>C5/B5*1000</f>
        <v>56.864647182951622</v>
      </c>
      <c r="AS5" s="41">
        <f>D5/B5*1000</f>
        <v>41.704992540947494</v>
      </c>
      <c r="AT5" s="42"/>
      <c r="AU5" s="41">
        <f>AR5-K5</f>
        <v>-3.5352817048377005E-2</v>
      </c>
      <c r="AV5" s="41">
        <f>AS5-L5</f>
        <v>4.9925409474909088E-3</v>
      </c>
      <c r="AW5" s="5"/>
    </row>
    <row r="6" spans="1:55" s="2" customFormat="1" x14ac:dyDescent="0.55000000000000004">
      <c r="A6" s="1" t="s">
        <v>302</v>
      </c>
      <c r="B6" s="3"/>
      <c r="C6" s="3"/>
      <c r="D6" s="3"/>
      <c r="E6" s="3"/>
      <c r="F6" s="3"/>
      <c r="G6" s="3"/>
      <c r="H6" s="3"/>
      <c r="I6" s="3"/>
      <c r="J6" s="3"/>
      <c r="K6" s="28"/>
      <c r="L6" s="28"/>
      <c r="M6" s="3"/>
      <c r="N6" s="3">
        <v>7987</v>
      </c>
      <c r="O6" s="3">
        <v>3987</v>
      </c>
      <c r="P6" s="3">
        <v>1695</v>
      </c>
      <c r="Q6" s="3">
        <v>5435</v>
      </c>
      <c r="R6" s="3">
        <v>10323</v>
      </c>
      <c r="S6" s="4"/>
      <c r="T6" s="4"/>
      <c r="U6" s="3"/>
      <c r="V6" s="3"/>
      <c r="W6" s="3"/>
      <c r="X6" s="3"/>
      <c r="Y6" s="3"/>
      <c r="Z6" s="3"/>
      <c r="AA6" s="3"/>
    </row>
    <row r="7" spans="1:55" s="2" customFormat="1" x14ac:dyDescent="0.55000000000000004">
      <c r="A7" s="1" t="s">
        <v>303</v>
      </c>
      <c r="B7" s="3"/>
      <c r="C7" s="3"/>
      <c r="D7" s="3"/>
      <c r="E7" s="3"/>
      <c r="F7" s="3"/>
      <c r="G7" s="3"/>
      <c r="H7" s="3"/>
      <c r="I7" s="3"/>
      <c r="J7" s="3"/>
      <c r="K7" s="28"/>
      <c r="L7" s="28"/>
      <c r="M7" s="3"/>
      <c r="N7" s="3">
        <v>7564</v>
      </c>
      <c r="O7" s="3">
        <v>2376</v>
      </c>
      <c r="P7" s="3">
        <v>1475</v>
      </c>
      <c r="Q7" s="3">
        <v>2808</v>
      </c>
      <c r="R7" s="3">
        <v>7359</v>
      </c>
      <c r="S7" s="4"/>
      <c r="T7" s="4"/>
      <c r="U7" s="3"/>
      <c r="V7" s="3"/>
      <c r="W7" s="3"/>
      <c r="X7" s="3"/>
      <c r="Y7" s="3"/>
      <c r="Z7" s="3"/>
      <c r="AA7" s="3"/>
    </row>
    <row r="8" spans="1:55" s="2" customFormat="1" x14ac:dyDescent="0.55000000000000004">
      <c r="A8" s="43" t="s">
        <v>304</v>
      </c>
      <c r="B8" s="33">
        <f>SUM(N8:O8)</f>
        <v>361499</v>
      </c>
      <c r="C8" s="34" t="s">
        <v>23</v>
      </c>
      <c r="D8" s="34" t="s">
        <v>23</v>
      </c>
      <c r="E8" s="33"/>
      <c r="F8" s="33"/>
      <c r="G8" s="33"/>
      <c r="H8" s="33"/>
      <c r="I8" s="33"/>
      <c r="J8" s="33"/>
      <c r="K8" s="34" t="s">
        <v>23</v>
      </c>
      <c r="L8" s="34" t="s">
        <v>23</v>
      </c>
      <c r="M8" s="3"/>
      <c r="N8" s="7">
        <v>141647</v>
      </c>
      <c r="O8" s="7">
        <v>219852</v>
      </c>
      <c r="P8" s="33"/>
      <c r="Q8" s="33"/>
      <c r="R8" s="33"/>
      <c r="S8" s="34"/>
      <c r="T8" s="34"/>
      <c r="U8" s="33"/>
      <c r="V8" s="33"/>
      <c r="W8" s="33"/>
      <c r="X8" s="33"/>
      <c r="Y8" s="33"/>
      <c r="Z8" s="33"/>
      <c r="AA8" s="33"/>
      <c r="AB8" s="38"/>
      <c r="AD8" s="39">
        <f>B8</f>
        <v>361499</v>
      </c>
      <c r="AE8" s="34" t="str">
        <f>C8</f>
        <v>—</v>
      </c>
      <c r="AF8" s="34" t="str">
        <f>D8</f>
        <v>—</v>
      </c>
      <c r="AG8" s="38"/>
      <c r="AH8" s="38"/>
      <c r="AI8" s="38"/>
      <c r="AJ8" s="38"/>
      <c r="AK8" s="38"/>
      <c r="AL8" s="38"/>
      <c r="AN8" s="38"/>
      <c r="AO8" s="38"/>
      <c r="AP8" s="38"/>
      <c r="AR8" s="38"/>
      <c r="AS8" s="38"/>
      <c r="AU8" s="38"/>
      <c r="AV8" s="38"/>
    </row>
    <row r="9" spans="1:55" s="2" customFormat="1" x14ac:dyDescent="0.55000000000000004">
      <c r="A9" s="1" t="s">
        <v>305</v>
      </c>
      <c r="B9" s="3"/>
      <c r="C9" s="3"/>
      <c r="D9" s="3"/>
      <c r="E9" s="3"/>
      <c r="F9" s="3"/>
      <c r="G9" s="3"/>
      <c r="H9" s="3"/>
      <c r="I9" s="3"/>
      <c r="J9" s="3"/>
      <c r="K9" s="28"/>
      <c r="L9" s="28"/>
      <c r="M9" s="3"/>
      <c r="N9" s="4" t="s">
        <v>23</v>
      </c>
      <c r="O9" s="4" t="s">
        <v>23</v>
      </c>
      <c r="P9" s="3"/>
      <c r="Q9" s="3"/>
      <c r="R9" s="3"/>
      <c r="S9" s="4"/>
      <c r="T9" s="4"/>
      <c r="U9" s="3"/>
      <c r="V9" s="3"/>
      <c r="W9" s="3"/>
      <c r="X9" s="3"/>
      <c r="Y9" s="3"/>
      <c r="Z9" s="3"/>
      <c r="AA9" s="3"/>
    </row>
    <row r="10" spans="1:55" s="2" customFormat="1" x14ac:dyDescent="0.55000000000000004">
      <c r="A10" s="1" t="s">
        <v>306</v>
      </c>
      <c r="B10" s="3"/>
      <c r="C10" s="3"/>
      <c r="D10" s="3"/>
      <c r="E10" s="3"/>
      <c r="F10" s="3"/>
      <c r="G10" s="3"/>
      <c r="H10" s="3"/>
      <c r="I10" s="3"/>
      <c r="J10" s="3"/>
      <c r="K10" s="28"/>
      <c r="L10" s="28"/>
      <c r="M10" s="3"/>
      <c r="N10" s="4" t="s">
        <v>23</v>
      </c>
      <c r="O10" s="4" t="s">
        <v>23</v>
      </c>
      <c r="P10" s="3"/>
      <c r="Q10" s="3"/>
      <c r="R10" s="3"/>
      <c r="S10" s="4"/>
      <c r="T10" s="4"/>
      <c r="U10" s="3"/>
      <c r="V10" s="3"/>
      <c r="W10" s="3"/>
      <c r="X10" s="3"/>
      <c r="Y10" s="3"/>
      <c r="Z10" s="3"/>
      <c r="AA10" s="3"/>
    </row>
    <row r="11" spans="1:55" s="2" customFormat="1" x14ac:dyDescent="0.55000000000000004">
      <c r="A11" s="1" t="s">
        <v>307</v>
      </c>
      <c r="B11" s="3">
        <f>SUM(B5:B10)</f>
        <v>878991</v>
      </c>
      <c r="C11" s="3">
        <f>SUM(C5:C10)</f>
        <v>29427</v>
      </c>
      <c r="D11" s="3">
        <f>SUM(D5:D10)</f>
        <v>21582</v>
      </c>
      <c r="E11" s="3"/>
      <c r="F11" s="3"/>
      <c r="G11" s="3"/>
      <c r="H11" s="3"/>
      <c r="I11" s="3"/>
      <c r="J11" s="3"/>
      <c r="K11" s="28"/>
      <c r="L11" s="28"/>
      <c r="M11" s="3"/>
      <c r="N11" s="4"/>
      <c r="O11" s="4"/>
      <c r="P11" s="3"/>
      <c r="Q11" s="3"/>
      <c r="R11" s="3"/>
      <c r="S11" s="4"/>
      <c r="T11" s="4"/>
      <c r="U11" s="3"/>
      <c r="V11" s="3"/>
      <c r="W11" s="3"/>
      <c r="X11" s="3"/>
      <c r="Y11" s="3"/>
      <c r="Z11" s="3"/>
      <c r="AA11" s="3"/>
    </row>
    <row r="12" spans="1:55" s="8" customFormat="1" x14ac:dyDescent="0.55000000000000004">
      <c r="A12" s="6" t="s">
        <v>24</v>
      </c>
      <c r="B12" s="7">
        <v>1361850</v>
      </c>
      <c r="C12" s="7">
        <v>58709</v>
      </c>
      <c r="D12" s="7">
        <v>32542</v>
      </c>
      <c r="E12" s="7">
        <v>144729</v>
      </c>
      <c r="F12" s="7">
        <v>4606</v>
      </c>
      <c r="G12" s="7">
        <v>3588</v>
      </c>
      <c r="H12" s="7">
        <v>1316572</v>
      </c>
      <c r="I12" s="7">
        <v>54452</v>
      </c>
      <c r="J12" s="7">
        <v>34603</v>
      </c>
      <c r="K12" s="31">
        <v>43.1</v>
      </c>
      <c r="L12" s="31">
        <v>23.9</v>
      </c>
      <c r="M12" s="3"/>
      <c r="N12" s="7">
        <v>302873</v>
      </c>
      <c r="O12" s="7">
        <v>197222</v>
      </c>
      <c r="P12" s="7">
        <v>181111</v>
      </c>
      <c r="Q12" s="7">
        <v>175164</v>
      </c>
      <c r="R12" s="7">
        <v>209109</v>
      </c>
      <c r="S12" s="7">
        <v>158077</v>
      </c>
      <c r="T12" s="7">
        <v>138264</v>
      </c>
      <c r="U12" s="7"/>
      <c r="V12" s="7"/>
      <c r="W12" s="7"/>
      <c r="X12" s="7"/>
      <c r="Y12" s="7"/>
      <c r="Z12" s="7"/>
      <c r="AA12" s="7"/>
      <c r="AC12" s="2"/>
      <c r="AD12" s="9">
        <f>SUM(N12:AB12)</f>
        <v>1361820</v>
      </c>
      <c r="AE12" s="9">
        <f>SUM(N13:AB13)</f>
        <v>58709</v>
      </c>
      <c r="AF12" s="9">
        <f>SUM(N14:AB14)</f>
        <v>32542</v>
      </c>
      <c r="AG12" s="9">
        <f t="shared" ref="AG12:AL12" si="2">E12</f>
        <v>144729</v>
      </c>
      <c r="AH12" s="9">
        <f t="shared" si="2"/>
        <v>4606</v>
      </c>
      <c r="AI12" s="9">
        <f t="shared" si="2"/>
        <v>3588</v>
      </c>
      <c r="AJ12" s="9">
        <f t="shared" si="2"/>
        <v>1316572</v>
      </c>
      <c r="AK12" s="9">
        <f t="shared" si="2"/>
        <v>54452</v>
      </c>
      <c r="AL12" s="9">
        <f t="shared" si="2"/>
        <v>34603</v>
      </c>
      <c r="AM12" s="2"/>
      <c r="AN12" s="9">
        <f>AD12-B12</f>
        <v>-30</v>
      </c>
      <c r="AO12" s="9">
        <f>AE12-C12</f>
        <v>0</v>
      </c>
      <c r="AP12" s="9">
        <f>AF12-D12</f>
        <v>0</v>
      </c>
      <c r="AQ12" s="5"/>
      <c r="AR12" s="41">
        <f>C12/B12*1000</f>
        <v>43.10974042662555</v>
      </c>
      <c r="AS12" s="41">
        <f>D12/B12*1000</f>
        <v>23.895436354958328</v>
      </c>
      <c r="AT12" s="42"/>
      <c r="AU12" s="41">
        <f>AR12-K12</f>
        <v>9.740426625548082E-3</v>
      </c>
      <c r="AV12" s="41">
        <f>AS12-L12</f>
        <v>-4.5636450416708385E-3</v>
      </c>
      <c r="AW12" s="5"/>
    </row>
    <row r="13" spans="1:55" s="2" customFormat="1" x14ac:dyDescent="0.55000000000000004">
      <c r="A13" s="1" t="s">
        <v>25</v>
      </c>
      <c r="B13" s="3"/>
      <c r="C13" s="3"/>
      <c r="D13" s="3"/>
      <c r="E13" s="3"/>
      <c r="F13" s="3"/>
      <c r="G13" s="3"/>
      <c r="H13" s="3"/>
      <c r="I13" s="3"/>
      <c r="J13" s="3"/>
      <c r="K13" s="28"/>
      <c r="L13" s="28"/>
      <c r="M13" s="3"/>
      <c r="N13" s="3">
        <v>10862</v>
      </c>
      <c r="O13" s="3">
        <v>8321</v>
      </c>
      <c r="P13" s="3">
        <v>7520</v>
      </c>
      <c r="Q13" s="3">
        <v>8122</v>
      </c>
      <c r="R13" s="3">
        <v>8704</v>
      </c>
      <c r="S13" s="3">
        <v>6926</v>
      </c>
      <c r="T13" s="3">
        <v>8254</v>
      </c>
      <c r="U13" s="3"/>
      <c r="V13" s="3"/>
      <c r="W13" s="3"/>
      <c r="X13" s="3"/>
      <c r="Y13" s="3"/>
      <c r="Z13" s="3"/>
      <c r="AA13" s="3"/>
    </row>
    <row r="14" spans="1:55" s="2" customFormat="1" x14ac:dyDescent="0.55000000000000004">
      <c r="A14" s="1" t="s">
        <v>26</v>
      </c>
      <c r="B14" s="3"/>
      <c r="C14" s="3"/>
      <c r="D14" s="3"/>
      <c r="E14" s="3"/>
      <c r="F14" s="3"/>
      <c r="G14" s="3"/>
      <c r="H14" s="3"/>
      <c r="I14" s="3"/>
      <c r="J14" s="3"/>
      <c r="K14" s="28"/>
      <c r="L14" s="28"/>
      <c r="M14" s="3"/>
      <c r="N14" s="3">
        <v>6926</v>
      </c>
      <c r="O14" s="3">
        <v>4555</v>
      </c>
      <c r="P14" s="3">
        <v>3984</v>
      </c>
      <c r="Q14" s="3">
        <v>4815</v>
      </c>
      <c r="R14" s="3">
        <v>4210</v>
      </c>
      <c r="S14" s="3">
        <v>3659</v>
      </c>
      <c r="T14" s="3">
        <v>4393</v>
      </c>
      <c r="U14" s="3"/>
      <c r="V14" s="3"/>
      <c r="W14" s="3"/>
      <c r="X14" s="3"/>
      <c r="Y14" s="3"/>
      <c r="Z14" s="3"/>
      <c r="AA14" s="3"/>
    </row>
    <row r="15" spans="1:55" s="8" customFormat="1" x14ac:dyDescent="0.55000000000000004">
      <c r="A15" s="6" t="s">
        <v>27</v>
      </c>
      <c r="B15" s="48">
        <v>1364473</v>
      </c>
      <c r="C15" s="7">
        <v>58044</v>
      </c>
      <c r="D15" s="7">
        <v>34462</v>
      </c>
      <c r="E15" s="7">
        <v>215135</v>
      </c>
      <c r="F15" s="7">
        <v>5897</v>
      </c>
      <c r="G15" s="7">
        <v>3964</v>
      </c>
      <c r="H15" s="7">
        <v>1308736</v>
      </c>
      <c r="I15" s="7">
        <v>57001</v>
      </c>
      <c r="J15" s="7">
        <v>32735</v>
      </c>
      <c r="K15" s="31">
        <v>42.5</v>
      </c>
      <c r="L15" s="31">
        <v>25.2</v>
      </c>
      <c r="M15" s="3"/>
      <c r="N15" s="7">
        <v>149724</v>
      </c>
      <c r="O15" s="7">
        <v>89229</v>
      </c>
      <c r="P15" s="7">
        <v>97936</v>
      </c>
      <c r="Q15" s="7">
        <v>227946</v>
      </c>
      <c r="R15" s="7">
        <v>82030</v>
      </c>
      <c r="S15" s="7">
        <v>138165</v>
      </c>
      <c r="T15" s="7">
        <v>119112</v>
      </c>
      <c r="U15" s="7">
        <v>112849</v>
      </c>
      <c r="V15" s="7">
        <v>118867</v>
      </c>
      <c r="W15" s="7">
        <v>136061</v>
      </c>
      <c r="X15" s="7">
        <v>92554</v>
      </c>
      <c r="Y15" s="7"/>
      <c r="Z15" s="7"/>
      <c r="AA15" s="7"/>
      <c r="AC15" s="2"/>
      <c r="AD15" s="9">
        <f>SUM(N15:AB15)</f>
        <v>1364473</v>
      </c>
      <c r="AE15" s="9">
        <f>SUM(N16:AB16)</f>
        <v>58044</v>
      </c>
      <c r="AF15" s="9">
        <f>SUM(N17:AB17)</f>
        <v>34465</v>
      </c>
      <c r="AG15" s="9">
        <f t="shared" ref="AG15:AL15" si="3">E15</f>
        <v>215135</v>
      </c>
      <c r="AH15" s="9">
        <f t="shared" si="3"/>
        <v>5897</v>
      </c>
      <c r="AI15" s="9">
        <f t="shared" si="3"/>
        <v>3964</v>
      </c>
      <c r="AJ15" s="9">
        <f t="shared" si="3"/>
        <v>1308736</v>
      </c>
      <c r="AK15" s="9">
        <f t="shared" si="3"/>
        <v>57001</v>
      </c>
      <c r="AL15" s="9">
        <f t="shared" si="3"/>
        <v>32735</v>
      </c>
      <c r="AM15" s="2"/>
      <c r="AN15" s="9">
        <f>AD15-B15</f>
        <v>0</v>
      </c>
      <c r="AO15" s="9">
        <f>AE15-C15</f>
        <v>0</v>
      </c>
      <c r="AP15" s="9">
        <f>AF15-D15</f>
        <v>3</v>
      </c>
      <c r="AQ15" s="5"/>
      <c r="AR15" s="41">
        <f>C15/B15*1000</f>
        <v>42.539500598399528</v>
      </c>
      <c r="AS15" s="41">
        <f>D15/B15*1000</f>
        <v>25.256637544311978</v>
      </c>
      <c r="AT15" s="42"/>
      <c r="AU15" s="41">
        <f>AR15-K15</f>
        <v>3.9500598399527576E-2</v>
      </c>
      <c r="AV15" s="41">
        <f>AS15-L15</f>
        <v>5.6637544311978871E-2</v>
      </c>
      <c r="AW15" s="5"/>
    </row>
    <row r="16" spans="1:55" s="2" customFormat="1" x14ac:dyDescent="0.55000000000000004">
      <c r="A16" s="1" t="s">
        <v>28</v>
      </c>
      <c r="B16" s="3"/>
      <c r="C16" s="3"/>
      <c r="D16" s="3"/>
      <c r="E16" s="3"/>
      <c r="F16" s="3"/>
      <c r="G16" s="3"/>
      <c r="H16" s="3"/>
      <c r="I16" s="3"/>
      <c r="J16" s="3"/>
      <c r="K16" s="28"/>
      <c r="L16" s="28"/>
      <c r="M16" s="3"/>
      <c r="N16" s="3">
        <v>7114</v>
      </c>
      <c r="O16" s="3">
        <v>4769</v>
      </c>
      <c r="P16" s="3">
        <v>4834</v>
      </c>
      <c r="Q16" s="3">
        <v>7057</v>
      </c>
      <c r="R16" s="3">
        <v>4130</v>
      </c>
      <c r="S16" s="3">
        <v>6359</v>
      </c>
      <c r="T16" s="3">
        <v>4630</v>
      </c>
      <c r="U16" s="3">
        <v>4767</v>
      </c>
      <c r="V16" s="3">
        <v>5813</v>
      </c>
      <c r="W16" s="3">
        <v>4368</v>
      </c>
      <c r="X16" s="3">
        <v>4203</v>
      </c>
      <c r="Y16" s="3"/>
      <c r="Z16" s="3"/>
      <c r="AA16" s="3"/>
    </row>
    <row r="17" spans="1:49" s="2" customFormat="1" x14ac:dyDescent="0.55000000000000004">
      <c r="A17" s="1" t="s">
        <v>29</v>
      </c>
      <c r="B17" s="3"/>
      <c r="C17" s="3"/>
      <c r="D17" s="3"/>
      <c r="E17" s="3"/>
      <c r="F17" s="3"/>
      <c r="G17" s="3"/>
      <c r="H17" s="3"/>
      <c r="I17" s="3"/>
      <c r="J17" s="3"/>
      <c r="K17" s="28"/>
      <c r="L17" s="28"/>
      <c r="M17" s="3"/>
      <c r="N17" s="3">
        <v>3893</v>
      </c>
      <c r="O17" s="3">
        <v>3326</v>
      </c>
      <c r="P17" s="3">
        <v>2652</v>
      </c>
      <c r="Q17" s="3">
        <v>4633</v>
      </c>
      <c r="R17" s="3">
        <v>2509</v>
      </c>
      <c r="S17" s="3">
        <v>4123</v>
      </c>
      <c r="T17" s="3">
        <v>2701</v>
      </c>
      <c r="U17" s="3">
        <v>2880</v>
      </c>
      <c r="V17" s="3">
        <v>3011</v>
      </c>
      <c r="W17" s="3">
        <v>2490</v>
      </c>
      <c r="X17" s="3">
        <v>2247</v>
      </c>
      <c r="Y17" s="3"/>
      <c r="Z17" s="3"/>
      <c r="AA17" s="3"/>
    </row>
    <row r="18" spans="1:49" s="8" customFormat="1" x14ac:dyDescent="0.55000000000000004">
      <c r="A18" s="6" t="s">
        <v>30</v>
      </c>
      <c r="B18" s="7">
        <v>2395608</v>
      </c>
      <c r="C18" s="7">
        <v>121128</v>
      </c>
      <c r="D18" s="7">
        <v>76050</v>
      </c>
      <c r="E18" s="7">
        <v>190692</v>
      </c>
      <c r="F18" s="7">
        <v>6686</v>
      </c>
      <c r="G18" s="7">
        <v>4585</v>
      </c>
      <c r="H18" s="7">
        <v>2306507</v>
      </c>
      <c r="I18" s="7">
        <v>120181</v>
      </c>
      <c r="J18" s="7">
        <v>76895</v>
      </c>
      <c r="K18" s="31">
        <v>50.5</v>
      </c>
      <c r="L18" s="31">
        <v>31.7</v>
      </c>
      <c r="M18" s="3"/>
      <c r="N18" s="7">
        <v>330423</v>
      </c>
      <c r="O18" s="7">
        <v>212093</v>
      </c>
      <c r="P18" s="7">
        <v>161914</v>
      </c>
      <c r="Q18" s="7">
        <v>173159</v>
      </c>
      <c r="R18" s="7">
        <v>184468</v>
      </c>
      <c r="S18" s="7">
        <v>181984</v>
      </c>
      <c r="T18" s="7">
        <v>184778</v>
      </c>
      <c r="U18" s="7">
        <v>256441</v>
      </c>
      <c r="V18" s="7">
        <v>175529</v>
      </c>
      <c r="W18" s="7">
        <v>152938</v>
      </c>
      <c r="X18" s="7">
        <v>210842</v>
      </c>
      <c r="Y18" s="7">
        <v>171039</v>
      </c>
      <c r="Z18" s="7"/>
      <c r="AA18" s="7"/>
      <c r="AC18" s="2"/>
      <c r="AD18" s="9">
        <f>SUM(N18:AB18)</f>
        <v>2395608</v>
      </c>
      <c r="AE18" s="9">
        <f>SUM(N19:AB19)</f>
        <v>121124</v>
      </c>
      <c r="AF18" s="9">
        <f>SUM(N20:AB20)</f>
        <v>76050</v>
      </c>
      <c r="AG18" s="9">
        <f t="shared" ref="AG18:AL18" si="4">E18</f>
        <v>190692</v>
      </c>
      <c r="AH18" s="9">
        <f t="shared" si="4"/>
        <v>6686</v>
      </c>
      <c r="AI18" s="9">
        <f t="shared" si="4"/>
        <v>4585</v>
      </c>
      <c r="AJ18" s="9">
        <f t="shared" si="4"/>
        <v>2306507</v>
      </c>
      <c r="AK18" s="9">
        <f t="shared" si="4"/>
        <v>120181</v>
      </c>
      <c r="AL18" s="9">
        <f t="shared" si="4"/>
        <v>76895</v>
      </c>
      <c r="AM18" s="2"/>
      <c r="AN18" s="9">
        <f>AD18-B18</f>
        <v>0</v>
      </c>
      <c r="AO18" s="9">
        <f>AE18-C18</f>
        <v>-4</v>
      </c>
      <c r="AP18" s="9">
        <f>AF18-D18</f>
        <v>0</v>
      </c>
      <c r="AQ18" s="5"/>
      <c r="AR18" s="41">
        <f>C18/B18*1000</f>
        <v>50.562529428854809</v>
      </c>
      <c r="AS18" s="41">
        <f>D18/B18*1000</f>
        <v>31.745594437821211</v>
      </c>
      <c r="AT18" s="42"/>
      <c r="AU18" s="41">
        <f>AR18-K18</f>
        <v>6.2529428854809055E-2</v>
      </c>
      <c r="AV18" s="41">
        <f>AS18-L18</f>
        <v>4.5594437821211642E-2</v>
      </c>
      <c r="AW18" s="5"/>
    </row>
    <row r="19" spans="1:49" s="2" customFormat="1" x14ac:dyDescent="0.55000000000000004">
      <c r="A19" s="1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28"/>
      <c r="L19" s="28"/>
      <c r="M19" s="3"/>
      <c r="N19" s="3">
        <v>16897</v>
      </c>
      <c r="O19" s="3">
        <v>11405</v>
      </c>
      <c r="P19" s="3">
        <v>7623</v>
      </c>
      <c r="Q19" s="3">
        <v>8564</v>
      </c>
      <c r="R19" s="3">
        <v>8411</v>
      </c>
      <c r="S19" s="3">
        <v>8701</v>
      </c>
      <c r="T19" s="3">
        <v>9681</v>
      </c>
      <c r="U19" s="3">
        <v>14435</v>
      </c>
      <c r="V19" s="3">
        <v>8984</v>
      </c>
      <c r="W19" s="3">
        <v>7094</v>
      </c>
      <c r="X19" s="3">
        <v>11109</v>
      </c>
      <c r="Y19" s="3">
        <v>8220</v>
      </c>
      <c r="Z19" s="3"/>
      <c r="AA19" s="3"/>
    </row>
    <row r="20" spans="1:49" s="2" customFormat="1" x14ac:dyDescent="0.55000000000000004">
      <c r="A20" s="1" t="s">
        <v>32</v>
      </c>
      <c r="B20" s="3"/>
      <c r="C20" s="3"/>
      <c r="D20" s="3"/>
      <c r="E20" s="3"/>
      <c r="F20" s="3"/>
      <c r="G20" s="3"/>
      <c r="H20" s="3"/>
      <c r="I20" s="3"/>
      <c r="J20" s="3"/>
      <c r="K20" s="28"/>
      <c r="L20" s="28"/>
      <c r="M20" s="3"/>
      <c r="N20" s="3">
        <v>9945</v>
      </c>
      <c r="O20" s="3">
        <v>7071</v>
      </c>
      <c r="P20" s="3">
        <v>5131</v>
      </c>
      <c r="Q20" s="3">
        <v>6171</v>
      </c>
      <c r="R20" s="3">
        <v>5413</v>
      </c>
      <c r="S20" s="3">
        <v>6242</v>
      </c>
      <c r="T20" s="3">
        <v>5242</v>
      </c>
      <c r="U20" s="3">
        <v>9539</v>
      </c>
      <c r="V20" s="3">
        <v>5172</v>
      </c>
      <c r="W20" s="3">
        <v>4699</v>
      </c>
      <c r="X20" s="3">
        <v>6046</v>
      </c>
      <c r="Y20" s="3">
        <v>5379</v>
      </c>
      <c r="Z20" s="3"/>
      <c r="AA20" s="3"/>
    </row>
    <row r="21" spans="1:49" s="8" customFormat="1" x14ac:dyDescent="0.55000000000000004">
      <c r="A21" s="6" t="s">
        <v>33</v>
      </c>
      <c r="B21" s="7">
        <v>1483518</v>
      </c>
      <c r="C21" s="7">
        <v>60982</v>
      </c>
      <c r="D21" s="7">
        <v>42063</v>
      </c>
      <c r="E21" s="7">
        <v>216259</v>
      </c>
      <c r="F21" s="7">
        <v>6064</v>
      </c>
      <c r="G21" s="7">
        <v>3977</v>
      </c>
      <c r="H21" s="7">
        <v>1357065</v>
      </c>
      <c r="I21" s="7">
        <v>56683</v>
      </c>
      <c r="J21" s="7">
        <v>37073</v>
      </c>
      <c r="K21" s="31">
        <v>41.1</v>
      </c>
      <c r="L21" s="31">
        <v>28.3</v>
      </c>
      <c r="M21" s="3"/>
      <c r="N21" s="7">
        <v>185925</v>
      </c>
      <c r="O21" s="7">
        <v>196326</v>
      </c>
      <c r="P21" s="7">
        <v>182703</v>
      </c>
      <c r="Q21" s="7">
        <v>181801</v>
      </c>
      <c r="R21" s="7">
        <v>136022</v>
      </c>
      <c r="S21" s="7">
        <v>154393</v>
      </c>
      <c r="T21" s="7">
        <v>132990</v>
      </c>
      <c r="U21" s="7">
        <v>207307</v>
      </c>
      <c r="V21" s="7">
        <v>106051</v>
      </c>
      <c r="W21" s="7"/>
      <c r="X21" s="7"/>
      <c r="Y21" s="7"/>
      <c r="Z21" s="7"/>
      <c r="AA21" s="7"/>
      <c r="AC21" s="2"/>
      <c r="AD21" s="9">
        <f>SUM(N21:AB21)</f>
        <v>1483518</v>
      </c>
      <c r="AE21" s="9">
        <f>SUM(N22:AB22)</f>
        <v>60982</v>
      </c>
      <c r="AF21" s="9">
        <f>SUM(N23:AB23)</f>
        <v>42063</v>
      </c>
      <c r="AG21" s="9">
        <f t="shared" ref="AG21:AL21" si="5">E21</f>
        <v>216259</v>
      </c>
      <c r="AH21" s="9">
        <f t="shared" si="5"/>
        <v>6064</v>
      </c>
      <c r="AI21" s="9">
        <f t="shared" si="5"/>
        <v>3977</v>
      </c>
      <c r="AJ21" s="9">
        <f t="shared" si="5"/>
        <v>1357065</v>
      </c>
      <c r="AK21" s="9">
        <f t="shared" si="5"/>
        <v>56683</v>
      </c>
      <c r="AL21" s="9">
        <f t="shared" si="5"/>
        <v>37073</v>
      </c>
      <c r="AM21" s="2"/>
      <c r="AN21" s="9">
        <f>AD21-B21</f>
        <v>0</v>
      </c>
      <c r="AO21" s="9">
        <f>AE21-C21</f>
        <v>0</v>
      </c>
      <c r="AP21" s="9">
        <f>AF21-D21</f>
        <v>0</v>
      </c>
      <c r="AQ21" s="5"/>
      <c r="AR21" s="41">
        <f>C21/B21*1000</f>
        <v>41.106343165367733</v>
      </c>
      <c r="AS21" s="41">
        <f>D21/B21*1000</f>
        <v>28.353548794150122</v>
      </c>
      <c r="AT21" s="42"/>
      <c r="AU21" s="41">
        <f>AR21-K21</f>
        <v>6.3431653677312738E-3</v>
      </c>
      <c r="AV21" s="41">
        <f>AS21-L21</f>
        <v>5.3548794150120926E-2</v>
      </c>
      <c r="AW21" s="5"/>
    </row>
    <row r="22" spans="1:49" s="2" customFormat="1" x14ac:dyDescent="0.55000000000000004">
      <c r="A22" s="1" t="s">
        <v>34</v>
      </c>
      <c r="B22" s="3"/>
      <c r="C22" s="3"/>
      <c r="D22" s="3"/>
      <c r="E22" s="3"/>
      <c r="F22" s="3"/>
      <c r="G22" s="3"/>
      <c r="H22" s="3"/>
      <c r="I22" s="3"/>
      <c r="J22" s="3"/>
      <c r="K22" s="28"/>
      <c r="L22" s="28"/>
      <c r="M22" s="3"/>
      <c r="N22" s="3">
        <v>6634</v>
      </c>
      <c r="O22" s="3">
        <v>8637</v>
      </c>
      <c r="P22" s="3">
        <v>6525</v>
      </c>
      <c r="Q22" s="3">
        <v>6396</v>
      </c>
      <c r="R22" s="3">
        <v>6551</v>
      </c>
      <c r="S22" s="3">
        <v>7183</v>
      </c>
      <c r="T22" s="3">
        <v>5946</v>
      </c>
      <c r="U22" s="3">
        <v>9332</v>
      </c>
      <c r="V22" s="3">
        <v>3778</v>
      </c>
      <c r="W22" s="3"/>
      <c r="X22" s="3"/>
      <c r="Y22" s="3"/>
      <c r="Z22" s="3"/>
      <c r="AA22" s="3"/>
    </row>
    <row r="23" spans="1:49" s="2" customFormat="1" x14ac:dyDescent="0.55000000000000004">
      <c r="A23" s="1" t="s">
        <v>35</v>
      </c>
      <c r="B23" s="3"/>
      <c r="C23" s="3"/>
      <c r="D23" s="3"/>
      <c r="E23" s="3"/>
      <c r="F23" s="3"/>
      <c r="G23" s="3"/>
      <c r="H23" s="3"/>
      <c r="I23" s="3"/>
      <c r="J23" s="3"/>
      <c r="K23" s="28"/>
      <c r="L23" s="28"/>
      <c r="M23" s="3"/>
      <c r="N23" s="3">
        <v>4159</v>
      </c>
      <c r="O23" s="3">
        <v>5922</v>
      </c>
      <c r="P23" s="3">
        <v>4240</v>
      </c>
      <c r="Q23" s="3">
        <v>3986</v>
      </c>
      <c r="R23" s="3">
        <v>3953</v>
      </c>
      <c r="S23" s="3">
        <v>7226</v>
      </c>
      <c r="T23" s="3">
        <v>3986</v>
      </c>
      <c r="U23" s="3">
        <v>6144</v>
      </c>
      <c r="V23" s="3">
        <v>2447</v>
      </c>
      <c r="W23" s="3"/>
      <c r="X23" s="3"/>
      <c r="Y23" s="3"/>
      <c r="Z23" s="3"/>
      <c r="AA23" s="3"/>
    </row>
    <row r="24" spans="1:49" s="8" customFormat="1" x14ac:dyDescent="0.55000000000000004">
      <c r="A24" s="6" t="s">
        <v>36</v>
      </c>
      <c r="B24" s="7">
        <v>3139937</v>
      </c>
      <c r="C24" s="7">
        <v>157126</v>
      </c>
      <c r="D24" s="7">
        <v>105987</v>
      </c>
      <c r="E24" s="7">
        <v>427840</v>
      </c>
      <c r="F24" s="7">
        <v>15053</v>
      </c>
      <c r="G24" s="7">
        <v>10465</v>
      </c>
      <c r="H24" s="7">
        <v>2973616</v>
      </c>
      <c r="I24" s="7">
        <v>156408</v>
      </c>
      <c r="J24" s="7">
        <v>97869</v>
      </c>
      <c r="K24" s="31">
        <v>50</v>
      </c>
      <c r="L24" s="31">
        <v>33.700000000000003</v>
      </c>
      <c r="M24" s="3"/>
      <c r="N24" s="7">
        <v>441182</v>
      </c>
      <c r="O24" s="7">
        <v>283286</v>
      </c>
      <c r="P24" s="7">
        <v>279895</v>
      </c>
      <c r="Q24" s="7">
        <v>250465</v>
      </c>
      <c r="R24" s="7">
        <v>250503</v>
      </c>
      <c r="S24" s="7">
        <v>206823</v>
      </c>
      <c r="T24" s="7">
        <v>235785</v>
      </c>
      <c r="U24" s="7">
        <v>215927</v>
      </c>
      <c r="V24" s="7">
        <v>212872</v>
      </c>
      <c r="W24" s="7">
        <v>285045</v>
      </c>
      <c r="X24" s="7">
        <v>269129</v>
      </c>
      <c r="Y24" s="7">
        <v>209025</v>
      </c>
      <c r="Z24" s="7"/>
      <c r="AA24" s="7"/>
      <c r="AC24" s="2"/>
      <c r="AD24" s="9">
        <f>SUM(N24:AB24)</f>
        <v>3139937</v>
      </c>
      <c r="AE24" s="9">
        <f>SUM(N25:AB25)</f>
        <v>157126</v>
      </c>
      <c r="AF24" s="9">
        <f>SUM(N26:AB26)</f>
        <v>105987</v>
      </c>
      <c r="AG24" s="9">
        <f t="shared" ref="AG24:AL24" si="6">E24</f>
        <v>427840</v>
      </c>
      <c r="AH24" s="9">
        <f t="shared" si="6"/>
        <v>15053</v>
      </c>
      <c r="AI24" s="9">
        <f t="shared" si="6"/>
        <v>10465</v>
      </c>
      <c r="AJ24" s="9">
        <f t="shared" si="6"/>
        <v>2973616</v>
      </c>
      <c r="AK24" s="9">
        <f t="shared" si="6"/>
        <v>156408</v>
      </c>
      <c r="AL24" s="9">
        <f t="shared" si="6"/>
        <v>97869</v>
      </c>
      <c r="AM24" s="2"/>
      <c r="AN24" s="9">
        <f>AD24-B24</f>
        <v>0</v>
      </c>
      <c r="AO24" s="9">
        <f>AE24-C24</f>
        <v>0</v>
      </c>
      <c r="AP24" s="9">
        <f>AF24-D24</f>
        <v>0</v>
      </c>
      <c r="AQ24" s="5"/>
      <c r="AR24" s="41">
        <f>C24/B24*1000</f>
        <v>50.041131398496212</v>
      </c>
      <c r="AS24" s="41">
        <f>D24/B24*1000</f>
        <v>33.75449889599696</v>
      </c>
      <c r="AT24" s="42"/>
      <c r="AU24" s="41">
        <f>AR24-K24</f>
        <v>4.1131398496212057E-2</v>
      </c>
      <c r="AV24" s="41">
        <f>AS24-L24</f>
        <v>5.4498895996957231E-2</v>
      </c>
      <c r="AW24" s="5"/>
    </row>
    <row r="25" spans="1:49" s="2" customFormat="1" x14ac:dyDescent="0.55000000000000004">
      <c r="A25" s="1" t="s">
        <v>37</v>
      </c>
      <c r="B25" s="3"/>
      <c r="C25" s="3"/>
      <c r="D25" s="3"/>
      <c r="E25" s="3"/>
      <c r="F25" s="3"/>
      <c r="G25" s="3"/>
      <c r="H25" s="3"/>
      <c r="I25" s="3"/>
      <c r="J25" s="3"/>
      <c r="K25" s="28"/>
      <c r="L25" s="28"/>
      <c r="M25" s="3"/>
      <c r="N25" s="3">
        <v>20211</v>
      </c>
      <c r="O25" s="3">
        <v>12502</v>
      </c>
      <c r="P25" s="3">
        <v>14101</v>
      </c>
      <c r="Q25" s="3">
        <v>12264</v>
      </c>
      <c r="R25" s="3">
        <v>12725</v>
      </c>
      <c r="S25" s="3">
        <v>9891</v>
      </c>
      <c r="T25" s="3">
        <v>12950</v>
      </c>
      <c r="U25" s="3">
        <v>11020</v>
      </c>
      <c r="V25" s="3">
        <v>11151</v>
      </c>
      <c r="W25" s="3">
        <v>14603</v>
      </c>
      <c r="X25" s="3">
        <v>14774</v>
      </c>
      <c r="Y25" s="3">
        <v>10934</v>
      </c>
      <c r="Z25" s="3"/>
      <c r="AA25" s="3"/>
    </row>
    <row r="26" spans="1:49" s="2" customFormat="1" x14ac:dyDescent="0.55000000000000004">
      <c r="A26" s="1" t="s">
        <v>38</v>
      </c>
      <c r="B26" s="3"/>
      <c r="C26" s="3"/>
      <c r="D26" s="3"/>
      <c r="E26" s="3"/>
      <c r="F26" s="3"/>
      <c r="G26" s="3"/>
      <c r="H26" s="3"/>
      <c r="I26" s="3"/>
      <c r="J26" s="3"/>
      <c r="K26" s="28"/>
      <c r="L26" s="28"/>
      <c r="M26" s="3"/>
      <c r="N26" s="3">
        <v>15082</v>
      </c>
      <c r="O26" s="3">
        <v>7459</v>
      </c>
      <c r="P26" s="3">
        <v>10274</v>
      </c>
      <c r="Q26" s="3">
        <v>8614</v>
      </c>
      <c r="R26" s="3">
        <v>8855</v>
      </c>
      <c r="S26" s="3">
        <v>5922</v>
      </c>
      <c r="T26" s="3">
        <v>8089</v>
      </c>
      <c r="U26" s="3">
        <v>6565</v>
      </c>
      <c r="V26" s="3">
        <v>7584</v>
      </c>
      <c r="W26" s="3">
        <v>9070</v>
      </c>
      <c r="X26" s="3">
        <v>10697</v>
      </c>
      <c r="Y26" s="3">
        <v>7776</v>
      </c>
      <c r="Z26" s="3"/>
      <c r="AA26" s="3"/>
    </row>
    <row r="27" spans="1:49" s="8" customFormat="1" x14ac:dyDescent="0.55000000000000004">
      <c r="A27" s="6" t="s">
        <v>39</v>
      </c>
      <c r="B27" s="7">
        <v>1587582</v>
      </c>
      <c r="C27" s="7">
        <v>55872</v>
      </c>
      <c r="D27" s="7">
        <v>35912</v>
      </c>
      <c r="E27" s="7">
        <v>145717</v>
      </c>
      <c r="F27" s="7">
        <v>3868</v>
      </c>
      <c r="G27" s="7">
        <v>2659</v>
      </c>
      <c r="H27" s="7">
        <v>1551707</v>
      </c>
      <c r="I27" s="7">
        <v>54150</v>
      </c>
      <c r="J27" s="7">
        <v>37143</v>
      </c>
      <c r="K27" s="31">
        <v>35.200000000000003</v>
      </c>
      <c r="L27" s="31">
        <v>22.6</v>
      </c>
      <c r="M27" s="3"/>
      <c r="N27" s="7">
        <v>222383</v>
      </c>
      <c r="O27" s="7">
        <v>242173</v>
      </c>
      <c r="P27" s="7">
        <v>210790</v>
      </c>
      <c r="Q27" s="7">
        <v>221661</v>
      </c>
      <c r="R27" s="7">
        <v>245171</v>
      </c>
      <c r="S27" s="7">
        <v>195013</v>
      </c>
      <c r="T27" s="7">
        <v>250391</v>
      </c>
      <c r="U27" s="7"/>
      <c r="V27" s="7"/>
      <c r="W27" s="7"/>
      <c r="X27" s="7"/>
      <c r="Y27" s="7"/>
      <c r="Z27" s="7"/>
      <c r="AA27" s="7"/>
      <c r="AC27" s="2"/>
      <c r="AD27" s="9">
        <f>SUM(N27:AB27)</f>
        <v>1587582</v>
      </c>
      <c r="AE27" s="9">
        <f>SUM(N28:AB28)</f>
        <v>55872</v>
      </c>
      <c r="AF27" s="9">
        <f>SUM(N29:AB29)</f>
        <v>35912</v>
      </c>
      <c r="AG27" s="9">
        <f t="shared" ref="AG27:AL27" si="7">E27</f>
        <v>145717</v>
      </c>
      <c r="AH27" s="9">
        <f t="shared" si="7"/>
        <v>3868</v>
      </c>
      <c r="AI27" s="9">
        <f t="shared" si="7"/>
        <v>2659</v>
      </c>
      <c r="AJ27" s="9">
        <f t="shared" si="7"/>
        <v>1551707</v>
      </c>
      <c r="AK27" s="9">
        <f t="shared" si="7"/>
        <v>54150</v>
      </c>
      <c r="AL27" s="9">
        <f t="shared" si="7"/>
        <v>37143</v>
      </c>
      <c r="AM27" s="2"/>
      <c r="AN27" s="9">
        <f>AD27-B27</f>
        <v>0</v>
      </c>
      <c r="AO27" s="9">
        <f>AE27-C27</f>
        <v>0</v>
      </c>
      <c r="AP27" s="9">
        <f>AF27-D27</f>
        <v>0</v>
      </c>
      <c r="AQ27" s="5"/>
      <c r="AR27" s="41">
        <f>C27/B27*1000</f>
        <v>35.193142779396595</v>
      </c>
      <c r="AS27" s="41">
        <f>D27/B27*1000</f>
        <v>22.620563851190049</v>
      </c>
      <c r="AT27" s="42"/>
      <c r="AU27" s="41">
        <f>AR27-K27</f>
        <v>-6.8572206034076544E-3</v>
      </c>
      <c r="AV27" s="41">
        <f>AS27-L27</f>
        <v>2.0563851190047444E-2</v>
      </c>
      <c r="AW27" s="5"/>
    </row>
    <row r="28" spans="1:49" s="2" customFormat="1" x14ac:dyDescent="0.55000000000000004">
      <c r="A28" s="1" t="s">
        <v>40</v>
      </c>
      <c r="B28" s="3"/>
      <c r="C28" s="3"/>
      <c r="D28" s="3"/>
      <c r="E28" s="3"/>
      <c r="F28" s="3"/>
      <c r="G28" s="3"/>
      <c r="H28" s="3"/>
      <c r="I28" s="3"/>
      <c r="J28" s="3"/>
      <c r="K28" s="28"/>
      <c r="L28" s="28"/>
      <c r="M28" s="3"/>
      <c r="N28" s="3">
        <v>7915</v>
      </c>
      <c r="O28" s="3">
        <v>8489</v>
      </c>
      <c r="P28" s="3">
        <v>7009</v>
      </c>
      <c r="Q28" s="3">
        <v>7716</v>
      </c>
      <c r="R28" s="3">
        <v>9238</v>
      </c>
      <c r="S28" s="3">
        <v>7453</v>
      </c>
      <c r="T28" s="3">
        <v>8052</v>
      </c>
      <c r="U28" s="3"/>
      <c r="V28" s="3"/>
      <c r="W28" s="3"/>
      <c r="X28" s="3"/>
      <c r="Y28" s="3"/>
      <c r="Z28" s="3"/>
      <c r="AA28" s="3"/>
    </row>
    <row r="29" spans="1:49" s="2" customFormat="1" x14ac:dyDescent="0.55000000000000004">
      <c r="A29" s="1" t="s">
        <v>41</v>
      </c>
      <c r="B29" s="3"/>
      <c r="C29" s="3"/>
      <c r="D29" s="3"/>
      <c r="E29" s="3"/>
      <c r="F29" s="3"/>
      <c r="G29" s="3"/>
      <c r="H29" s="3"/>
      <c r="I29" s="3"/>
      <c r="J29" s="3"/>
      <c r="K29" s="28"/>
      <c r="L29" s="28"/>
      <c r="M29" s="3"/>
      <c r="N29" s="3">
        <v>4797</v>
      </c>
      <c r="O29" s="3">
        <v>5571</v>
      </c>
      <c r="P29" s="3">
        <v>4711</v>
      </c>
      <c r="Q29" s="3">
        <v>4956</v>
      </c>
      <c r="R29" s="3">
        <v>5552</v>
      </c>
      <c r="S29" s="3">
        <v>5195</v>
      </c>
      <c r="T29" s="3">
        <v>5130</v>
      </c>
      <c r="U29" s="3"/>
      <c r="V29" s="3"/>
      <c r="W29" s="3"/>
      <c r="X29" s="3"/>
      <c r="Y29" s="3"/>
      <c r="Z29" s="3"/>
      <c r="AA29" s="3"/>
    </row>
    <row r="30" spans="1:49" s="8" customFormat="1" x14ac:dyDescent="0.55000000000000004">
      <c r="A30" s="6" t="s">
        <v>42</v>
      </c>
      <c r="B30" s="7">
        <v>1794560</v>
      </c>
      <c r="C30" s="7">
        <v>84804</v>
      </c>
      <c r="D30" s="7">
        <v>49170</v>
      </c>
      <c r="E30" s="7">
        <v>238232</v>
      </c>
      <c r="F30" s="7">
        <v>6131</v>
      </c>
      <c r="G30" s="7">
        <v>4186</v>
      </c>
      <c r="H30" s="7">
        <v>1714790</v>
      </c>
      <c r="I30" s="7">
        <v>77950</v>
      </c>
      <c r="J30" s="7">
        <v>43383</v>
      </c>
      <c r="K30" s="31">
        <v>47.2</v>
      </c>
      <c r="L30" s="31">
        <v>27.4</v>
      </c>
      <c r="M30" s="3"/>
      <c r="N30" s="7">
        <v>221289</v>
      </c>
      <c r="O30" s="7">
        <v>224994</v>
      </c>
      <c r="P30" s="7">
        <v>186329</v>
      </c>
      <c r="Q30" s="7">
        <v>191281</v>
      </c>
      <c r="R30" s="7">
        <v>136486</v>
      </c>
      <c r="S30" s="7">
        <v>235525</v>
      </c>
      <c r="T30" s="7">
        <v>209242</v>
      </c>
      <c r="U30" s="7">
        <v>171761</v>
      </c>
      <c r="V30" s="7">
        <v>217653</v>
      </c>
      <c r="W30" s="7"/>
      <c r="X30" s="7"/>
      <c r="Y30" s="7"/>
      <c r="Z30" s="7"/>
      <c r="AA30" s="7"/>
      <c r="AC30" s="2"/>
      <c r="AD30" s="9">
        <f>SUM(N30:AB30)</f>
        <v>1794560</v>
      </c>
      <c r="AE30" s="9">
        <f>SUM(N31:AB31)</f>
        <v>84804</v>
      </c>
      <c r="AF30" s="9">
        <f>SUM(N32:AB32)</f>
        <v>49170</v>
      </c>
      <c r="AG30" s="9">
        <f t="shared" ref="AG30:AL30" si="8">E30</f>
        <v>238232</v>
      </c>
      <c r="AH30" s="9">
        <f t="shared" si="8"/>
        <v>6131</v>
      </c>
      <c r="AI30" s="9">
        <f t="shared" si="8"/>
        <v>4186</v>
      </c>
      <c r="AJ30" s="9">
        <f t="shared" si="8"/>
        <v>1714790</v>
      </c>
      <c r="AK30" s="9">
        <f t="shared" si="8"/>
        <v>77950</v>
      </c>
      <c r="AL30" s="9">
        <f t="shared" si="8"/>
        <v>43383</v>
      </c>
      <c r="AM30" s="2"/>
      <c r="AN30" s="9">
        <f>AD30-B30</f>
        <v>0</v>
      </c>
      <c r="AO30" s="9">
        <f>AE30-C30</f>
        <v>0</v>
      </c>
      <c r="AP30" s="9">
        <f>AF30-D30</f>
        <v>0</v>
      </c>
      <c r="AQ30" s="5"/>
      <c r="AR30" s="41">
        <f>C30/B30*1000</f>
        <v>47.256151925820255</v>
      </c>
      <c r="AS30" s="41">
        <f>D30/B30*1000</f>
        <v>27.399473965763196</v>
      </c>
      <c r="AT30" s="42"/>
      <c r="AU30" s="41">
        <f>AR30-K30</f>
        <v>5.6151925820252302E-2</v>
      </c>
      <c r="AV30" s="41">
        <f>AS30-L30</f>
        <v>-5.2603423680253059E-4</v>
      </c>
      <c r="AW30" s="5"/>
    </row>
    <row r="31" spans="1:49" s="2" customFormat="1" x14ac:dyDescent="0.55000000000000004">
      <c r="A31" s="1" t="s">
        <v>43</v>
      </c>
      <c r="B31" s="3"/>
      <c r="C31" s="3"/>
      <c r="D31" s="3"/>
      <c r="E31" s="3"/>
      <c r="F31" s="3"/>
      <c r="G31" s="3"/>
      <c r="H31" s="3"/>
      <c r="I31" s="3"/>
      <c r="J31" s="3"/>
      <c r="K31" s="28"/>
      <c r="L31" s="28"/>
      <c r="M31" s="3"/>
      <c r="N31" s="3">
        <v>9708</v>
      </c>
      <c r="O31" s="3">
        <v>10262</v>
      </c>
      <c r="P31" s="3">
        <v>9920</v>
      </c>
      <c r="Q31" s="3">
        <v>9365</v>
      </c>
      <c r="R31" s="3">
        <v>7161</v>
      </c>
      <c r="S31" s="3">
        <v>9852</v>
      </c>
      <c r="T31" s="3">
        <v>9453</v>
      </c>
      <c r="U31" s="3">
        <v>9135</v>
      </c>
      <c r="V31" s="3">
        <v>9948</v>
      </c>
      <c r="W31" s="3"/>
      <c r="X31" s="3"/>
      <c r="Y31" s="3"/>
      <c r="Z31" s="3"/>
      <c r="AA31" s="3"/>
    </row>
    <row r="32" spans="1:49" s="2" customFormat="1" x14ac:dyDescent="0.55000000000000004">
      <c r="A32" s="1" t="s">
        <v>44</v>
      </c>
      <c r="B32" s="3"/>
      <c r="C32" s="3"/>
      <c r="D32" s="3"/>
      <c r="E32" s="3"/>
      <c r="F32" s="3"/>
      <c r="G32" s="3"/>
      <c r="H32" s="3"/>
      <c r="I32" s="3"/>
      <c r="J32" s="3"/>
      <c r="K32" s="28"/>
      <c r="L32" s="28"/>
      <c r="M32" s="3"/>
      <c r="N32" s="3">
        <v>5300</v>
      </c>
      <c r="O32" s="3">
        <v>5850</v>
      </c>
      <c r="P32" s="3">
        <v>6026</v>
      </c>
      <c r="Q32" s="3">
        <v>4707</v>
      </c>
      <c r="R32" s="3">
        <v>4146</v>
      </c>
      <c r="S32" s="3">
        <v>5714</v>
      </c>
      <c r="T32" s="3">
        <v>5959</v>
      </c>
      <c r="U32" s="3">
        <v>5045</v>
      </c>
      <c r="V32" s="3">
        <v>6423</v>
      </c>
      <c r="W32" s="3"/>
      <c r="X32" s="3"/>
      <c r="Y32" s="3"/>
      <c r="Z32" s="3"/>
      <c r="AA32" s="3"/>
    </row>
    <row r="33" spans="1:55" s="8" customFormat="1" x14ac:dyDescent="0.55000000000000004">
      <c r="A33" s="6" t="s">
        <v>45</v>
      </c>
      <c r="B33" s="7">
        <v>1415258</v>
      </c>
      <c r="C33" s="7">
        <v>69583</v>
      </c>
      <c r="D33" s="7">
        <v>40393</v>
      </c>
      <c r="E33" s="7">
        <v>125913</v>
      </c>
      <c r="F33" s="7">
        <v>4236</v>
      </c>
      <c r="G33" s="7">
        <v>2634</v>
      </c>
      <c r="H33" s="7">
        <v>1325567</v>
      </c>
      <c r="I33" s="7">
        <v>66796</v>
      </c>
      <c r="J33" s="7">
        <v>35242</v>
      </c>
      <c r="K33" s="31">
        <v>49.1</v>
      </c>
      <c r="L33" s="31">
        <v>28.6</v>
      </c>
      <c r="M33" s="3"/>
      <c r="N33" s="7">
        <v>149871</v>
      </c>
      <c r="O33" s="7">
        <v>99888</v>
      </c>
      <c r="P33" s="7">
        <v>199188</v>
      </c>
      <c r="Q33" s="7">
        <v>101586</v>
      </c>
      <c r="R33" s="7">
        <v>124797</v>
      </c>
      <c r="S33" s="48">
        <v>84984</v>
      </c>
      <c r="T33" s="7">
        <v>130436</v>
      </c>
      <c r="U33" s="7">
        <v>179179</v>
      </c>
      <c r="V33" s="7">
        <v>134882</v>
      </c>
      <c r="W33" s="7">
        <v>77647</v>
      </c>
      <c r="X33" s="7">
        <v>132800</v>
      </c>
      <c r="Y33" s="7"/>
      <c r="Z33" s="7"/>
      <c r="AA33" s="7"/>
      <c r="AC33" s="2"/>
      <c r="AD33" s="9">
        <f>SUM(N33:AB33)</f>
        <v>1415258</v>
      </c>
      <c r="AE33" s="9">
        <f>SUM(N34:AB34)</f>
        <v>69583</v>
      </c>
      <c r="AF33" s="9">
        <f>SUM(N35:AB35)</f>
        <v>40393</v>
      </c>
      <c r="AG33" s="9">
        <f t="shared" ref="AG33:AL33" si="9">E33</f>
        <v>125913</v>
      </c>
      <c r="AH33" s="9">
        <f t="shared" si="9"/>
        <v>4236</v>
      </c>
      <c r="AI33" s="9">
        <f t="shared" si="9"/>
        <v>2634</v>
      </c>
      <c r="AJ33" s="9">
        <f t="shared" si="9"/>
        <v>1325567</v>
      </c>
      <c r="AK33" s="9">
        <f t="shared" si="9"/>
        <v>66796</v>
      </c>
      <c r="AL33" s="9">
        <f t="shared" si="9"/>
        <v>35242</v>
      </c>
      <c r="AM33" s="2"/>
      <c r="AN33" s="9">
        <f>AD33-B33</f>
        <v>0</v>
      </c>
      <c r="AO33" s="9">
        <f>AE33-C33</f>
        <v>0</v>
      </c>
      <c r="AP33" s="9">
        <f>AF33-D33</f>
        <v>0</v>
      </c>
      <c r="AQ33" s="5"/>
      <c r="AR33" s="41">
        <f>C33/B33*1000</f>
        <v>49.166300420135407</v>
      </c>
      <c r="AS33" s="41">
        <f>D33/B33*1000</f>
        <v>28.541085794957528</v>
      </c>
      <c r="AT33" s="42"/>
      <c r="AU33" s="41">
        <f>AR33-K33</f>
        <v>6.6300420135405602E-2</v>
      </c>
      <c r="AV33" s="41">
        <f>AS33-L33</f>
        <v>-5.8914205042473355E-2</v>
      </c>
      <c r="AW33" s="5"/>
    </row>
    <row r="34" spans="1:55" s="2" customFormat="1" x14ac:dyDescent="0.55000000000000004">
      <c r="A34" s="1" t="s">
        <v>46</v>
      </c>
      <c r="B34" s="3"/>
      <c r="C34" s="3"/>
      <c r="D34" s="3"/>
      <c r="E34" s="3"/>
      <c r="F34" s="3"/>
      <c r="G34" s="3"/>
      <c r="H34" s="3"/>
      <c r="I34" s="3"/>
      <c r="J34" s="3"/>
      <c r="K34" s="28"/>
      <c r="L34" s="28"/>
      <c r="M34" s="3"/>
      <c r="N34" s="3">
        <v>5739</v>
      </c>
      <c r="O34" s="3">
        <v>5278</v>
      </c>
      <c r="P34" s="3">
        <v>9544</v>
      </c>
      <c r="Q34" s="3">
        <v>5104</v>
      </c>
      <c r="R34" s="3">
        <v>5959</v>
      </c>
      <c r="S34" s="3">
        <v>4426</v>
      </c>
      <c r="T34" s="3">
        <v>7439</v>
      </c>
      <c r="U34" s="3">
        <v>9824</v>
      </c>
      <c r="V34" s="3">
        <v>6587</v>
      </c>
      <c r="W34" s="3">
        <v>3504</v>
      </c>
      <c r="X34" s="3">
        <v>6179</v>
      </c>
      <c r="Y34" s="3"/>
      <c r="Z34" s="3"/>
      <c r="AA34" s="3"/>
    </row>
    <row r="35" spans="1:55" s="2" customFormat="1" x14ac:dyDescent="0.55000000000000004">
      <c r="A35" s="1" t="s">
        <v>47</v>
      </c>
      <c r="B35" s="3"/>
      <c r="C35" s="3"/>
      <c r="D35" s="3"/>
      <c r="E35" s="3"/>
      <c r="F35" s="3"/>
      <c r="G35" s="3"/>
      <c r="H35" s="3"/>
      <c r="I35" s="3"/>
      <c r="J35" s="3"/>
      <c r="K35" s="28"/>
      <c r="L35" s="28"/>
      <c r="M35" s="3"/>
      <c r="N35" s="3">
        <v>3383</v>
      </c>
      <c r="O35" s="3">
        <v>3080</v>
      </c>
      <c r="P35" s="3">
        <v>5891</v>
      </c>
      <c r="Q35" s="3">
        <v>2638</v>
      </c>
      <c r="R35" s="3">
        <v>3315</v>
      </c>
      <c r="S35" s="3">
        <v>2382</v>
      </c>
      <c r="T35" s="3">
        <v>4007</v>
      </c>
      <c r="U35" s="3">
        <v>6446</v>
      </c>
      <c r="V35" s="3">
        <v>3821</v>
      </c>
      <c r="W35" s="3">
        <v>1938</v>
      </c>
      <c r="X35" s="3">
        <v>3492</v>
      </c>
      <c r="Y35" s="3"/>
      <c r="Z35" s="3"/>
      <c r="AA35" s="3"/>
    </row>
    <row r="36" spans="1:55" s="8" customFormat="1" x14ac:dyDescent="0.55000000000000004">
      <c r="A36" s="6" t="s">
        <v>48</v>
      </c>
      <c r="B36" s="7">
        <v>1380944</v>
      </c>
      <c r="C36" s="7">
        <v>81294</v>
      </c>
      <c r="D36" s="7">
        <v>60350</v>
      </c>
      <c r="E36" s="7">
        <v>110000</v>
      </c>
      <c r="F36" s="7">
        <v>6381</v>
      </c>
      <c r="G36" s="7">
        <v>5958</v>
      </c>
      <c r="H36" s="7">
        <v>1337913</v>
      </c>
      <c r="I36" s="7">
        <v>80457</v>
      </c>
      <c r="J36" s="7">
        <v>53449</v>
      </c>
      <c r="K36" s="31">
        <v>58.8</v>
      </c>
      <c r="L36" s="31">
        <v>43.7</v>
      </c>
      <c r="M36" s="3"/>
      <c r="N36" s="7">
        <v>403969</v>
      </c>
      <c r="O36" s="7">
        <v>204216</v>
      </c>
      <c r="P36" s="7">
        <v>199301</v>
      </c>
      <c r="Q36" s="7">
        <v>179824</v>
      </c>
      <c r="R36" s="7">
        <v>390634</v>
      </c>
      <c r="S36" s="7"/>
      <c r="T36" s="7"/>
      <c r="U36" s="7"/>
      <c r="V36" s="7"/>
      <c r="W36" s="7"/>
      <c r="X36" s="7"/>
      <c r="Y36" s="7"/>
      <c r="Z36" s="7"/>
      <c r="AA36" s="7"/>
      <c r="AC36" s="2"/>
      <c r="AD36" s="9">
        <f>SUM(N36:AB36)</f>
        <v>1377944</v>
      </c>
      <c r="AE36" s="9">
        <f>SUM(N37:AB37)</f>
        <v>81294</v>
      </c>
      <c r="AF36" s="9">
        <f>SUM(N38:AB38)</f>
        <v>60350</v>
      </c>
      <c r="AG36" s="9">
        <f t="shared" ref="AG36:AL36" si="10">E36</f>
        <v>110000</v>
      </c>
      <c r="AH36" s="9">
        <f t="shared" si="10"/>
        <v>6381</v>
      </c>
      <c r="AI36" s="9">
        <f t="shared" si="10"/>
        <v>5958</v>
      </c>
      <c r="AJ36" s="9">
        <f t="shared" si="10"/>
        <v>1337913</v>
      </c>
      <c r="AK36" s="9">
        <f t="shared" si="10"/>
        <v>80457</v>
      </c>
      <c r="AL36" s="9">
        <f t="shared" si="10"/>
        <v>53449</v>
      </c>
      <c r="AM36" s="2"/>
      <c r="AN36" s="9">
        <f>AD36-B36</f>
        <v>-3000</v>
      </c>
      <c r="AO36" s="9">
        <f>AE36-C36</f>
        <v>0</v>
      </c>
      <c r="AP36" s="9">
        <f>AF36-D36</f>
        <v>0</v>
      </c>
      <c r="AQ36" s="5"/>
      <c r="AR36" s="41">
        <f>C36/B36*1000</f>
        <v>58.868426235966126</v>
      </c>
      <c r="AS36" s="41">
        <f>D36/B36*1000</f>
        <v>43.701989363797516</v>
      </c>
      <c r="AT36" s="42"/>
      <c r="AU36" s="41">
        <f>AR36-K36</f>
        <v>6.8426235966128957E-2</v>
      </c>
      <c r="AV36" s="41">
        <f>AS36-L36</f>
        <v>1.9893637975130218E-3</v>
      </c>
      <c r="AW36" s="5"/>
    </row>
    <row r="37" spans="1:55" s="2" customFormat="1" x14ac:dyDescent="0.55000000000000004">
      <c r="A37" s="1" t="s">
        <v>49</v>
      </c>
      <c r="B37" s="3"/>
      <c r="C37" s="3"/>
      <c r="D37" s="3"/>
      <c r="E37" s="3"/>
      <c r="F37" s="3"/>
      <c r="G37" s="3"/>
      <c r="H37" s="3"/>
      <c r="I37" s="3"/>
      <c r="J37" s="3"/>
      <c r="K37" s="28"/>
      <c r="L37" s="28"/>
      <c r="M37" s="3"/>
      <c r="N37" s="3">
        <v>27756</v>
      </c>
      <c r="O37" s="3">
        <v>10602</v>
      </c>
      <c r="P37" s="3">
        <v>9093</v>
      </c>
      <c r="Q37" s="3">
        <v>10163</v>
      </c>
      <c r="R37" s="3">
        <v>23680</v>
      </c>
      <c r="S37" s="3"/>
      <c r="T37" s="3"/>
      <c r="U37" s="3"/>
      <c r="V37" s="3"/>
      <c r="W37" s="3"/>
      <c r="X37" s="3"/>
      <c r="Y37" s="3"/>
      <c r="Z37" s="3"/>
      <c r="AA37" s="3"/>
    </row>
    <row r="38" spans="1:55" s="2" customFormat="1" x14ac:dyDescent="0.55000000000000004">
      <c r="A38" s="1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28"/>
      <c r="L38" s="28"/>
      <c r="M38" s="3"/>
      <c r="N38" s="3">
        <v>20965</v>
      </c>
      <c r="O38" s="3">
        <v>6164</v>
      </c>
      <c r="P38" s="3">
        <v>7622</v>
      </c>
      <c r="Q38" s="3">
        <v>7441</v>
      </c>
      <c r="R38" s="3">
        <v>18158</v>
      </c>
      <c r="S38" s="3"/>
      <c r="T38" s="3"/>
      <c r="U38" s="3"/>
      <c r="V38" s="3"/>
      <c r="W38" s="3"/>
      <c r="X38" s="3"/>
      <c r="Y38" s="3"/>
      <c r="Z38" s="3"/>
      <c r="AA38" s="3"/>
    </row>
    <row r="39" spans="1:55" s="8" customFormat="1" x14ac:dyDescent="0.55000000000000004">
      <c r="A39" s="6" t="s">
        <v>51</v>
      </c>
      <c r="B39" s="7">
        <v>2617253</v>
      </c>
      <c r="C39" s="7">
        <v>120433</v>
      </c>
      <c r="D39" s="7">
        <v>79121</v>
      </c>
      <c r="E39" s="7">
        <v>200341</v>
      </c>
      <c r="F39" s="7">
        <v>6133</v>
      </c>
      <c r="G39" s="7">
        <v>4723</v>
      </c>
      <c r="H39" s="7">
        <v>2494034</v>
      </c>
      <c r="I39" s="7">
        <v>124031</v>
      </c>
      <c r="J39" s="7">
        <v>77269</v>
      </c>
      <c r="K39" s="31">
        <v>46</v>
      </c>
      <c r="L39" s="31">
        <v>30.2</v>
      </c>
      <c r="M39" s="3"/>
      <c r="N39" s="7">
        <v>225462</v>
      </c>
      <c r="O39" s="7">
        <v>315118</v>
      </c>
      <c r="P39" s="7">
        <v>214576</v>
      </c>
      <c r="Q39" s="7">
        <v>208717</v>
      </c>
      <c r="R39" s="7">
        <v>216571</v>
      </c>
      <c r="S39" s="7">
        <v>139229</v>
      </c>
      <c r="T39" s="7">
        <v>183336</v>
      </c>
      <c r="U39" s="7">
        <v>198263</v>
      </c>
      <c r="V39" s="7">
        <v>267822</v>
      </c>
      <c r="W39" s="7">
        <v>246334</v>
      </c>
      <c r="X39" s="7">
        <v>181842</v>
      </c>
      <c r="Y39" s="7">
        <v>219983</v>
      </c>
      <c r="Z39" s="7"/>
      <c r="AA39" s="7"/>
      <c r="AC39" s="2"/>
      <c r="AD39" s="9">
        <f>SUM(N39:AB39)</f>
        <v>2617253</v>
      </c>
      <c r="AE39" s="9">
        <f>SUM(N40:AB40)</f>
        <v>120433</v>
      </c>
      <c r="AF39" s="9">
        <f>SUM(N41:AB41)</f>
        <v>79121</v>
      </c>
      <c r="AG39" s="9">
        <f t="shared" ref="AG39:AL39" si="11">E39</f>
        <v>200341</v>
      </c>
      <c r="AH39" s="9">
        <f t="shared" si="11"/>
        <v>6133</v>
      </c>
      <c r="AI39" s="9">
        <f t="shared" si="11"/>
        <v>4723</v>
      </c>
      <c r="AJ39" s="9">
        <f t="shared" si="11"/>
        <v>2494034</v>
      </c>
      <c r="AK39" s="9">
        <f t="shared" si="11"/>
        <v>124031</v>
      </c>
      <c r="AL39" s="9">
        <f t="shared" si="11"/>
        <v>77269</v>
      </c>
      <c r="AM39" s="2"/>
      <c r="AN39" s="9">
        <f>AD39-B39</f>
        <v>0</v>
      </c>
      <c r="AO39" s="9">
        <f>AE39-C39</f>
        <v>0</v>
      </c>
      <c r="AP39" s="9">
        <f>AF39-D39</f>
        <v>0</v>
      </c>
      <c r="AQ39" s="5"/>
      <c r="AR39" s="41">
        <f>C39/B39*1000</f>
        <v>46.015039432565366</v>
      </c>
      <c r="AS39" s="41">
        <f>D39/B39*1000</f>
        <v>30.230550886750343</v>
      </c>
      <c r="AT39" s="42"/>
      <c r="AU39" s="41">
        <f>AR39-K39</f>
        <v>1.503943256536644E-2</v>
      </c>
      <c r="AV39" s="41">
        <f>AS39-L39</f>
        <v>3.0550886750344119E-2</v>
      </c>
      <c r="AW39" s="5"/>
    </row>
    <row r="40" spans="1:55" s="2" customFormat="1" x14ac:dyDescent="0.55000000000000004">
      <c r="A40" s="1" t="s">
        <v>52</v>
      </c>
      <c r="B40" s="3"/>
      <c r="C40" s="3"/>
      <c r="D40" s="3"/>
      <c r="E40" s="3"/>
      <c r="F40" s="3"/>
      <c r="G40" s="3"/>
      <c r="H40" s="3"/>
      <c r="I40" s="3"/>
      <c r="J40" s="3"/>
      <c r="K40" s="28"/>
      <c r="L40" s="28"/>
      <c r="M40" s="3"/>
      <c r="N40" s="3">
        <v>9392</v>
      </c>
      <c r="O40" s="3">
        <v>16657</v>
      </c>
      <c r="P40" s="3">
        <v>9755</v>
      </c>
      <c r="Q40" s="3">
        <v>9488</v>
      </c>
      <c r="R40" s="3">
        <v>10264</v>
      </c>
      <c r="S40" s="3">
        <v>7218</v>
      </c>
      <c r="T40" s="3">
        <v>8551</v>
      </c>
      <c r="U40" s="3">
        <v>8807</v>
      </c>
      <c r="V40" s="3">
        <v>9186</v>
      </c>
      <c r="W40" s="3">
        <v>11947</v>
      </c>
      <c r="X40" s="3">
        <v>8897</v>
      </c>
      <c r="Y40" s="3">
        <v>10271</v>
      </c>
      <c r="Z40" s="3"/>
      <c r="AA40" s="3"/>
    </row>
    <row r="41" spans="1:55" s="2" customFormat="1" x14ac:dyDescent="0.55000000000000004">
      <c r="A41" s="1" t="s">
        <v>53</v>
      </c>
      <c r="B41" s="3"/>
      <c r="C41" s="3"/>
      <c r="D41" s="3"/>
      <c r="E41" s="3"/>
      <c r="F41" s="3"/>
      <c r="G41" s="3"/>
      <c r="H41" s="3"/>
      <c r="I41" s="3"/>
      <c r="J41" s="3"/>
      <c r="K41" s="28"/>
      <c r="L41" s="28"/>
      <c r="M41" s="3"/>
      <c r="N41" s="3">
        <v>7648</v>
      </c>
      <c r="O41" s="3">
        <v>10808</v>
      </c>
      <c r="P41" s="3">
        <v>5459</v>
      </c>
      <c r="Q41" s="3">
        <v>5585</v>
      </c>
      <c r="R41" s="3">
        <v>6912</v>
      </c>
      <c r="S41" s="3">
        <v>4349</v>
      </c>
      <c r="T41" s="3">
        <v>5542</v>
      </c>
      <c r="U41" s="3">
        <v>6891</v>
      </c>
      <c r="V41" s="3">
        <v>5448</v>
      </c>
      <c r="W41" s="3">
        <v>7867</v>
      </c>
      <c r="X41" s="3">
        <v>5764</v>
      </c>
      <c r="Y41" s="3">
        <v>6848</v>
      </c>
      <c r="Z41" s="3"/>
      <c r="AA41" s="3"/>
    </row>
    <row r="42" spans="1:55" s="13" customFormat="1" x14ac:dyDescent="0.55000000000000004">
      <c r="A42" s="11" t="s">
        <v>54</v>
      </c>
      <c r="B42" s="12">
        <v>19774385</v>
      </c>
      <c r="C42" s="12">
        <v>911131</v>
      </c>
      <c r="D42" s="12">
        <v>587950</v>
      </c>
      <c r="E42" s="12">
        <v>2125938</v>
      </c>
      <c r="F42" s="12">
        <v>70161</v>
      </c>
      <c r="G42" s="12">
        <v>51777</v>
      </c>
      <c r="H42" s="12">
        <v>18920612</v>
      </c>
      <c r="I42" s="12">
        <v>889247</v>
      </c>
      <c r="J42" s="12">
        <v>553178</v>
      </c>
      <c r="K42" s="32">
        <v>46.9</v>
      </c>
      <c r="L42" s="32">
        <v>30.3</v>
      </c>
      <c r="M42" s="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C42" s="2"/>
      <c r="AD42" s="14">
        <f t="shared" ref="AD42:AL42" si="12">SUM(AD2:AD40)</f>
        <v>19771355</v>
      </c>
      <c r="AE42" s="14">
        <f t="shared" si="12"/>
        <v>911127</v>
      </c>
      <c r="AF42" s="14">
        <f t="shared" si="12"/>
        <v>587953</v>
      </c>
      <c r="AG42" s="14">
        <f t="shared" si="12"/>
        <v>2154653</v>
      </c>
      <c r="AH42" s="14">
        <f t="shared" si="12"/>
        <v>71108</v>
      </c>
      <c r="AI42" s="14">
        <f t="shared" si="12"/>
        <v>52699</v>
      </c>
      <c r="AJ42" s="14">
        <f t="shared" si="12"/>
        <v>18899646</v>
      </c>
      <c r="AK42" s="14">
        <f t="shared" si="12"/>
        <v>889248</v>
      </c>
      <c r="AL42" s="14">
        <f t="shared" si="12"/>
        <v>553178</v>
      </c>
      <c r="AM42" s="2"/>
      <c r="AN42" s="14">
        <f>AD42-B42</f>
        <v>-3030</v>
      </c>
      <c r="AO42" s="14">
        <f>AE42-C42</f>
        <v>-4</v>
      </c>
      <c r="AP42" s="14">
        <f>AF42-D42</f>
        <v>3</v>
      </c>
      <c r="AQ42" s="5"/>
      <c r="AR42" s="41">
        <f>C42/B42*1000</f>
        <v>46.076325508985484</v>
      </c>
      <c r="AS42" s="41">
        <f>D42/B42*1000</f>
        <v>29.732909519057106</v>
      </c>
      <c r="AT42" s="42"/>
      <c r="AU42" s="41">
        <f t="shared" ref="AU42:AV44" si="13">AR42-K42</f>
        <v>-0.82367449101451484</v>
      </c>
      <c r="AV42" s="41">
        <f t="shared" si="13"/>
        <v>-0.56709048094289471</v>
      </c>
      <c r="AW42" s="5"/>
      <c r="AX42" s="14">
        <f t="shared" ref="AX42:BC42" si="14">E42-AG42</f>
        <v>-28715</v>
      </c>
      <c r="AY42" s="14">
        <f t="shared" si="14"/>
        <v>-947</v>
      </c>
      <c r="AZ42" s="14">
        <f t="shared" si="14"/>
        <v>-922</v>
      </c>
      <c r="BA42" s="14">
        <f t="shared" si="14"/>
        <v>20966</v>
      </c>
      <c r="BB42" s="14">
        <f t="shared" si="14"/>
        <v>-1</v>
      </c>
      <c r="BC42" s="14">
        <f t="shared" si="14"/>
        <v>0</v>
      </c>
    </row>
    <row r="43" spans="1:55" s="8" customFormat="1" x14ac:dyDescent="0.55000000000000004">
      <c r="A43" s="6" t="s">
        <v>55</v>
      </c>
      <c r="B43" s="7">
        <v>455852</v>
      </c>
      <c r="C43" s="7">
        <v>20777</v>
      </c>
      <c r="D43" s="7">
        <v>13302</v>
      </c>
      <c r="E43" s="10" t="s">
        <v>23</v>
      </c>
      <c r="F43" s="10" t="s">
        <v>23</v>
      </c>
      <c r="G43" s="10" t="s">
        <v>23</v>
      </c>
      <c r="H43" s="7">
        <v>449919</v>
      </c>
      <c r="I43" s="7">
        <v>19106</v>
      </c>
      <c r="J43" s="7">
        <v>12274</v>
      </c>
      <c r="K43" s="30">
        <v>45.5</v>
      </c>
      <c r="L43" s="30">
        <v>29.2</v>
      </c>
      <c r="M43" s="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C43" s="2"/>
      <c r="AD43" s="9">
        <f t="shared" ref="AD43:AL43" si="15">B43</f>
        <v>455852</v>
      </c>
      <c r="AE43" s="9">
        <f t="shared" si="15"/>
        <v>20777</v>
      </c>
      <c r="AF43" s="9">
        <f t="shared" si="15"/>
        <v>13302</v>
      </c>
      <c r="AG43" s="10" t="str">
        <f t="shared" si="15"/>
        <v>—</v>
      </c>
      <c r="AH43" s="10" t="str">
        <f t="shared" si="15"/>
        <v>—</v>
      </c>
      <c r="AI43" s="10" t="str">
        <f t="shared" si="15"/>
        <v>—</v>
      </c>
      <c r="AJ43" s="9">
        <f t="shared" si="15"/>
        <v>449919</v>
      </c>
      <c r="AK43" s="9">
        <f t="shared" si="15"/>
        <v>19106</v>
      </c>
      <c r="AL43" s="9">
        <f t="shared" si="15"/>
        <v>12274</v>
      </c>
      <c r="AM43" s="2"/>
      <c r="AQ43" s="2"/>
      <c r="AR43" s="41">
        <f>C43/B43*1000</f>
        <v>45.578389477286485</v>
      </c>
      <c r="AS43" s="41">
        <f>D43/B43*1000</f>
        <v>29.180523503242281</v>
      </c>
      <c r="AT43" s="42"/>
      <c r="AU43" s="41">
        <f t="shared" si="13"/>
        <v>7.8389477286485487E-2</v>
      </c>
      <c r="AV43" s="41">
        <f t="shared" si="13"/>
        <v>-1.9476496757718564E-2</v>
      </c>
      <c r="AW43" s="2"/>
    </row>
    <row r="44" spans="1:55" s="8" customFormat="1" x14ac:dyDescent="0.55000000000000004">
      <c r="A44" s="6" t="s">
        <v>56</v>
      </c>
      <c r="B44" s="7">
        <v>1043412</v>
      </c>
      <c r="C44" s="7">
        <v>41044</v>
      </c>
      <c r="D44" s="7">
        <v>26410</v>
      </c>
      <c r="E44" s="7">
        <v>63476</v>
      </c>
      <c r="F44" s="7">
        <v>2425</v>
      </c>
      <c r="G44" s="7">
        <v>1797</v>
      </c>
      <c r="H44" s="7">
        <v>1010031</v>
      </c>
      <c r="I44" s="7">
        <v>42909</v>
      </c>
      <c r="J44" s="7">
        <v>25196</v>
      </c>
      <c r="K44" s="31">
        <v>39.1</v>
      </c>
      <c r="L44" s="31">
        <v>25.2</v>
      </c>
      <c r="M44" s="3"/>
      <c r="N44" s="7">
        <v>128408</v>
      </c>
      <c r="O44" s="7">
        <v>85816</v>
      </c>
      <c r="P44" s="7">
        <v>86450</v>
      </c>
      <c r="Q44" s="7">
        <v>109232</v>
      </c>
      <c r="R44" s="7">
        <v>87073</v>
      </c>
      <c r="S44" s="7">
        <v>88095</v>
      </c>
      <c r="T44" s="7">
        <v>84188</v>
      </c>
      <c r="U44" s="7">
        <v>92913</v>
      </c>
      <c r="V44" s="7">
        <v>86994</v>
      </c>
      <c r="W44" s="7">
        <v>64946</v>
      </c>
      <c r="X44" s="7">
        <v>49744</v>
      </c>
      <c r="Y44" s="7">
        <v>79553</v>
      </c>
      <c r="Z44" s="7"/>
      <c r="AA44" s="7"/>
      <c r="AC44" s="2"/>
      <c r="AD44" s="9">
        <f>SUM(N44:AB44)</f>
        <v>1043412</v>
      </c>
      <c r="AE44" s="9">
        <f>SUM(N45:AB45)</f>
        <v>41044</v>
      </c>
      <c r="AF44" s="9">
        <f>SUM(N46:AB46)</f>
        <v>26410</v>
      </c>
      <c r="AG44" s="9">
        <f t="shared" ref="AG44:AL44" si="16">E44</f>
        <v>63476</v>
      </c>
      <c r="AH44" s="9">
        <f t="shared" si="16"/>
        <v>2425</v>
      </c>
      <c r="AI44" s="9">
        <f t="shared" si="16"/>
        <v>1797</v>
      </c>
      <c r="AJ44" s="9">
        <f t="shared" si="16"/>
        <v>1010031</v>
      </c>
      <c r="AK44" s="9">
        <f t="shared" si="16"/>
        <v>42909</v>
      </c>
      <c r="AL44" s="9">
        <f t="shared" si="16"/>
        <v>25196</v>
      </c>
      <c r="AM44" s="2"/>
      <c r="AN44" s="9">
        <f>AD44-B44</f>
        <v>0</v>
      </c>
      <c r="AO44" s="9">
        <f>AE44-C44</f>
        <v>0</v>
      </c>
      <c r="AP44" s="9">
        <f>AF44-D44</f>
        <v>0</v>
      </c>
      <c r="AQ44" s="5"/>
      <c r="AR44" s="41">
        <f>C44/B44*1000</f>
        <v>39.336331190363921</v>
      </c>
      <c r="AS44" s="41">
        <f>D44/B44*1000</f>
        <v>25.311190593936047</v>
      </c>
      <c r="AT44" s="42"/>
      <c r="AU44" s="41">
        <f t="shared" si="13"/>
        <v>0.23633119036392003</v>
      </c>
      <c r="AV44" s="41">
        <f t="shared" si="13"/>
        <v>0.11119059393604758</v>
      </c>
      <c r="AW44" s="5"/>
    </row>
    <row r="45" spans="1:55" s="2" customFormat="1" x14ac:dyDescent="0.55000000000000004">
      <c r="A45" s="1" t="s">
        <v>57</v>
      </c>
      <c r="B45" s="3"/>
      <c r="C45" s="3"/>
      <c r="D45" s="3"/>
      <c r="E45" s="3"/>
      <c r="F45" s="3"/>
      <c r="G45" s="3"/>
      <c r="H45" s="3"/>
      <c r="I45" s="3"/>
      <c r="J45" s="3"/>
      <c r="K45" s="28"/>
      <c r="L45" s="28"/>
      <c r="M45" s="3"/>
      <c r="N45" s="3">
        <v>4479</v>
      </c>
      <c r="O45" s="3">
        <v>4189</v>
      </c>
      <c r="P45" s="3">
        <v>4373</v>
      </c>
      <c r="Q45" s="3">
        <v>4396</v>
      </c>
      <c r="R45" s="3">
        <v>2879</v>
      </c>
      <c r="S45" s="3">
        <v>3733</v>
      </c>
      <c r="T45" s="3">
        <v>2871</v>
      </c>
      <c r="U45" s="3">
        <v>3566</v>
      </c>
      <c r="V45" s="3">
        <v>2964</v>
      </c>
      <c r="W45" s="3">
        <v>2981</v>
      </c>
      <c r="X45" s="3">
        <v>1700</v>
      </c>
      <c r="Y45" s="3">
        <v>2913</v>
      </c>
      <c r="Z45" s="3"/>
      <c r="AA45" s="3"/>
    </row>
    <row r="46" spans="1:55" s="2" customFormat="1" x14ac:dyDescent="0.55000000000000004">
      <c r="A46" s="1" t="s">
        <v>58</v>
      </c>
      <c r="B46" s="3"/>
      <c r="C46" s="3"/>
      <c r="D46" s="3"/>
      <c r="E46" s="3"/>
      <c r="F46" s="3"/>
      <c r="G46" s="3"/>
      <c r="H46" s="3"/>
      <c r="I46" s="3"/>
      <c r="J46" s="3"/>
      <c r="K46" s="28"/>
      <c r="L46" s="28"/>
      <c r="M46" s="3"/>
      <c r="N46" s="3">
        <v>2221</v>
      </c>
      <c r="O46" s="3">
        <v>2897</v>
      </c>
      <c r="P46" s="3">
        <v>3115</v>
      </c>
      <c r="Q46" s="3">
        <v>2624</v>
      </c>
      <c r="R46" s="3">
        <v>2014</v>
      </c>
      <c r="S46" s="3">
        <v>2470</v>
      </c>
      <c r="T46" s="3">
        <v>1877</v>
      </c>
      <c r="U46" s="3">
        <v>2338</v>
      </c>
      <c r="V46" s="3">
        <v>2235</v>
      </c>
      <c r="W46" s="3">
        <v>1936</v>
      </c>
      <c r="X46" s="3">
        <v>1054</v>
      </c>
      <c r="Y46" s="3">
        <v>1629</v>
      </c>
      <c r="Z46" s="3"/>
      <c r="AA46" s="3"/>
    </row>
    <row r="47" spans="1:55" s="8" customFormat="1" x14ac:dyDescent="0.55000000000000004">
      <c r="A47" s="6" t="s">
        <v>59</v>
      </c>
      <c r="B47" s="7">
        <v>881798</v>
      </c>
      <c r="C47" s="7">
        <v>35951</v>
      </c>
      <c r="D47" s="7">
        <v>20553</v>
      </c>
      <c r="E47" s="7">
        <v>65454</v>
      </c>
      <c r="F47" s="7">
        <v>1832</v>
      </c>
      <c r="G47" s="7">
        <v>1198</v>
      </c>
      <c r="H47" s="7">
        <v>848501</v>
      </c>
      <c r="I47" s="7">
        <v>33773</v>
      </c>
      <c r="J47" s="7">
        <v>20458</v>
      </c>
      <c r="K47" s="31">
        <v>40.700000000000003</v>
      </c>
      <c r="L47" s="31">
        <v>23.3</v>
      </c>
      <c r="M47" s="3"/>
      <c r="N47" s="7">
        <v>118511</v>
      </c>
      <c r="O47" s="7">
        <v>134550</v>
      </c>
      <c r="P47" s="7">
        <v>105448</v>
      </c>
      <c r="Q47" s="7">
        <v>89210</v>
      </c>
      <c r="R47" s="7">
        <v>117341</v>
      </c>
      <c r="S47" s="7">
        <v>86814</v>
      </c>
      <c r="T47" s="7">
        <v>129360</v>
      </c>
      <c r="U47" s="7">
        <v>100564</v>
      </c>
      <c r="V47" s="7"/>
      <c r="W47" s="7"/>
      <c r="X47" s="7"/>
      <c r="Y47" s="7"/>
      <c r="Z47" s="7"/>
      <c r="AA47" s="7"/>
      <c r="AC47" s="2"/>
      <c r="AD47" s="9">
        <f>SUM(N47:AB47)</f>
        <v>881798</v>
      </c>
      <c r="AE47" s="9">
        <f>SUM(N48:AB48)</f>
        <v>35951</v>
      </c>
      <c r="AF47" s="9">
        <f>SUM(N49:AB49)</f>
        <v>20553</v>
      </c>
      <c r="AG47" s="9">
        <f t="shared" ref="AG47:AL47" si="17">E47</f>
        <v>65454</v>
      </c>
      <c r="AH47" s="9">
        <f t="shared" si="17"/>
        <v>1832</v>
      </c>
      <c r="AI47" s="9">
        <f t="shared" si="17"/>
        <v>1198</v>
      </c>
      <c r="AJ47" s="9">
        <f t="shared" si="17"/>
        <v>848501</v>
      </c>
      <c r="AK47" s="9">
        <f t="shared" si="17"/>
        <v>33773</v>
      </c>
      <c r="AL47" s="9">
        <f t="shared" si="17"/>
        <v>20458</v>
      </c>
      <c r="AM47" s="2"/>
      <c r="AN47" s="9">
        <f>AD47-B47</f>
        <v>0</v>
      </c>
      <c r="AO47" s="9">
        <f>AE47-C47</f>
        <v>0</v>
      </c>
      <c r="AP47" s="9">
        <f>AF47-D47</f>
        <v>0</v>
      </c>
      <c r="AQ47" s="5"/>
      <c r="AR47" s="41">
        <f>C47/B47*1000</f>
        <v>40.770108346809586</v>
      </c>
      <c r="AS47" s="41">
        <f>D47/B47*1000</f>
        <v>23.308059215375859</v>
      </c>
      <c r="AT47" s="42"/>
      <c r="AU47" s="41">
        <f>AR47-K47</f>
        <v>7.0108346809583111E-2</v>
      </c>
      <c r="AV47" s="41">
        <f>AS47-L47</f>
        <v>8.0592153758587415E-3</v>
      </c>
      <c r="AW47" s="5"/>
    </row>
    <row r="48" spans="1:55" s="2" customFormat="1" x14ac:dyDescent="0.55000000000000004">
      <c r="A48" s="1" t="s">
        <v>60</v>
      </c>
      <c r="B48" s="3"/>
      <c r="C48" s="3"/>
      <c r="D48" s="3"/>
      <c r="E48" s="3"/>
      <c r="F48" s="3"/>
      <c r="G48" s="3"/>
      <c r="H48" s="3"/>
      <c r="I48" s="3"/>
      <c r="J48" s="3"/>
      <c r="K48" s="28"/>
      <c r="L48" s="28"/>
      <c r="M48" s="3"/>
      <c r="N48" s="3">
        <v>3774</v>
      </c>
      <c r="O48" s="3">
        <v>5168</v>
      </c>
      <c r="P48" s="3">
        <v>4141</v>
      </c>
      <c r="Q48" s="3">
        <v>3477</v>
      </c>
      <c r="R48" s="3">
        <v>4088</v>
      </c>
      <c r="S48" s="3">
        <v>3670</v>
      </c>
      <c r="T48" s="3">
        <v>4139</v>
      </c>
      <c r="U48" s="3">
        <v>7494</v>
      </c>
      <c r="V48" s="3"/>
      <c r="W48" s="3"/>
      <c r="X48" s="3"/>
      <c r="Y48" s="3"/>
      <c r="Z48" s="3"/>
      <c r="AA48" s="3"/>
    </row>
    <row r="49" spans="1:49" s="2" customFormat="1" x14ac:dyDescent="0.55000000000000004">
      <c r="A49" s="1" t="s">
        <v>61</v>
      </c>
      <c r="B49" s="3"/>
      <c r="C49" s="3"/>
      <c r="D49" s="3"/>
      <c r="E49" s="3"/>
      <c r="F49" s="3"/>
      <c r="G49" s="3"/>
      <c r="H49" s="3"/>
      <c r="I49" s="3"/>
      <c r="J49" s="3"/>
      <c r="K49" s="28"/>
      <c r="L49" s="28"/>
      <c r="M49" s="3"/>
      <c r="N49" s="3">
        <v>2066</v>
      </c>
      <c r="O49" s="3">
        <v>3041</v>
      </c>
      <c r="P49" s="3">
        <v>2110</v>
      </c>
      <c r="Q49" s="3">
        <v>1969</v>
      </c>
      <c r="R49" s="3">
        <v>2197</v>
      </c>
      <c r="S49" s="3">
        <v>2110</v>
      </c>
      <c r="T49" s="3">
        <v>2624</v>
      </c>
      <c r="U49" s="3">
        <v>4436</v>
      </c>
      <c r="V49" s="3"/>
      <c r="W49" s="3"/>
      <c r="X49" s="3"/>
      <c r="Y49" s="3"/>
      <c r="Z49" s="3"/>
      <c r="AA49" s="3"/>
    </row>
    <row r="50" spans="1:49" s="8" customFormat="1" x14ac:dyDescent="0.55000000000000004">
      <c r="A50" s="6" t="s">
        <v>62</v>
      </c>
      <c r="B50" s="7">
        <v>737663</v>
      </c>
      <c r="C50" s="7">
        <v>27849</v>
      </c>
      <c r="D50" s="7">
        <v>17978</v>
      </c>
      <c r="E50" s="7">
        <v>46973</v>
      </c>
      <c r="F50" s="7">
        <v>1574</v>
      </c>
      <c r="G50" s="7">
        <v>951</v>
      </c>
      <c r="H50" s="7">
        <v>706451</v>
      </c>
      <c r="I50" s="7">
        <v>28394</v>
      </c>
      <c r="J50" s="7">
        <v>14742</v>
      </c>
      <c r="K50" s="31">
        <v>37.700000000000003</v>
      </c>
      <c r="L50" s="31">
        <v>24.3</v>
      </c>
      <c r="M50" s="3"/>
      <c r="N50" s="7">
        <v>120792</v>
      </c>
      <c r="O50" s="7">
        <v>78226</v>
      </c>
      <c r="P50" s="7">
        <v>92159</v>
      </c>
      <c r="Q50" s="7">
        <v>104839</v>
      </c>
      <c r="R50" s="7">
        <v>113785</v>
      </c>
      <c r="S50" s="7">
        <v>103350</v>
      </c>
      <c r="T50" s="7">
        <v>124512</v>
      </c>
      <c r="U50" s="7"/>
      <c r="V50" s="7"/>
      <c r="W50" s="7"/>
      <c r="X50" s="7"/>
      <c r="Y50" s="7"/>
      <c r="Z50" s="7"/>
      <c r="AA50" s="7"/>
      <c r="AC50" s="2"/>
      <c r="AD50" s="9">
        <f>SUM(N50:AB50)</f>
        <v>737663</v>
      </c>
      <c r="AE50" s="9">
        <f>SUM(N51:AB51)</f>
        <v>27847</v>
      </c>
      <c r="AF50" s="9">
        <f>SUM(N52:AB52)</f>
        <v>17978</v>
      </c>
      <c r="AG50" s="9">
        <f t="shared" ref="AG50:AL50" si="18">E50</f>
        <v>46973</v>
      </c>
      <c r="AH50" s="9">
        <f t="shared" si="18"/>
        <v>1574</v>
      </c>
      <c r="AI50" s="9">
        <f t="shared" si="18"/>
        <v>951</v>
      </c>
      <c r="AJ50" s="9">
        <f t="shared" si="18"/>
        <v>706451</v>
      </c>
      <c r="AK50" s="9">
        <f t="shared" si="18"/>
        <v>28394</v>
      </c>
      <c r="AL50" s="9">
        <f t="shared" si="18"/>
        <v>14742</v>
      </c>
      <c r="AM50" s="2"/>
      <c r="AN50" s="9">
        <f>AD50-B50</f>
        <v>0</v>
      </c>
      <c r="AO50" s="9">
        <f>AE50-C50</f>
        <v>-2</v>
      </c>
      <c r="AP50" s="9">
        <f>AF50-D50</f>
        <v>0</v>
      </c>
      <c r="AQ50" s="5"/>
      <c r="AR50" s="41">
        <f>C50/B50*1000</f>
        <v>37.753011876697087</v>
      </c>
      <c r="AS50" s="41">
        <f>D50/B50*1000</f>
        <v>24.371562624125108</v>
      </c>
      <c r="AT50" s="42"/>
      <c r="AU50" s="41">
        <f>AR50-K50</f>
        <v>5.3011876697084404E-2</v>
      </c>
      <c r="AV50" s="41">
        <f>AS50-L50</f>
        <v>7.1562624125107277E-2</v>
      </c>
      <c r="AW50" s="5"/>
    </row>
    <row r="51" spans="1:49" s="2" customFormat="1" x14ac:dyDescent="0.55000000000000004">
      <c r="A51" s="1" t="s">
        <v>63</v>
      </c>
      <c r="B51" s="3"/>
      <c r="C51" s="3"/>
      <c r="D51" s="3"/>
      <c r="E51" s="3"/>
      <c r="F51" s="3"/>
      <c r="G51" s="3"/>
      <c r="H51" s="3"/>
      <c r="I51" s="3"/>
      <c r="J51" s="3"/>
      <c r="K51" s="28"/>
      <c r="L51" s="28"/>
      <c r="M51" s="3"/>
      <c r="N51" s="3">
        <v>3409</v>
      </c>
      <c r="O51" s="3">
        <v>3450</v>
      </c>
      <c r="P51" s="3">
        <v>3438</v>
      </c>
      <c r="Q51" s="3">
        <v>4234</v>
      </c>
      <c r="R51" s="3">
        <v>4308</v>
      </c>
      <c r="S51" s="3">
        <v>4069</v>
      </c>
      <c r="T51" s="3">
        <v>4939</v>
      </c>
      <c r="U51" s="3"/>
      <c r="V51" s="3"/>
      <c r="W51" s="3"/>
      <c r="X51" s="3"/>
      <c r="Y51" s="3"/>
      <c r="Z51" s="3"/>
      <c r="AA51" s="3"/>
    </row>
    <row r="52" spans="1:49" s="2" customFormat="1" x14ac:dyDescent="0.55000000000000004">
      <c r="A52" s="1" t="s">
        <v>64</v>
      </c>
      <c r="B52" s="3"/>
      <c r="C52" s="3"/>
      <c r="D52" s="3"/>
      <c r="E52" s="3"/>
      <c r="F52" s="3"/>
      <c r="G52" s="3"/>
      <c r="H52" s="3"/>
      <c r="I52" s="3"/>
      <c r="J52" s="3"/>
      <c r="K52" s="28"/>
      <c r="L52" s="28"/>
      <c r="M52" s="3"/>
      <c r="N52" s="3">
        <v>2131</v>
      </c>
      <c r="O52" s="3">
        <v>1799</v>
      </c>
      <c r="P52" s="3">
        <v>2158</v>
      </c>
      <c r="Q52" s="3">
        <v>2777</v>
      </c>
      <c r="R52" s="3">
        <v>2634</v>
      </c>
      <c r="S52" s="3">
        <v>3016</v>
      </c>
      <c r="T52" s="3">
        <v>3463</v>
      </c>
      <c r="U52" s="3"/>
      <c r="V52" s="3"/>
      <c r="W52" s="3"/>
      <c r="X52" s="3"/>
      <c r="Y52" s="3"/>
      <c r="Z52" s="3"/>
      <c r="AA52" s="3"/>
    </row>
    <row r="53" spans="1:49" s="8" customFormat="1" x14ac:dyDescent="0.55000000000000004">
      <c r="A53" s="6" t="s">
        <v>65</v>
      </c>
      <c r="B53" s="7">
        <v>643795</v>
      </c>
      <c r="C53" s="7">
        <v>25903</v>
      </c>
      <c r="D53" s="7">
        <v>18319</v>
      </c>
      <c r="E53" s="7">
        <v>62399</v>
      </c>
      <c r="F53" s="7">
        <v>2594</v>
      </c>
      <c r="G53" s="7">
        <v>2034</v>
      </c>
      <c r="H53" s="7">
        <v>619509</v>
      </c>
      <c r="I53" s="7">
        <v>24982</v>
      </c>
      <c r="J53" s="7">
        <v>17571</v>
      </c>
      <c r="K53" s="31">
        <v>40.200000000000003</v>
      </c>
      <c r="L53" s="31">
        <v>28.4</v>
      </c>
      <c r="M53" s="3"/>
      <c r="N53" s="7">
        <v>101779</v>
      </c>
      <c r="O53" s="7">
        <v>76830</v>
      </c>
      <c r="P53" s="7">
        <v>76882</v>
      </c>
      <c r="Q53" s="7">
        <v>59396</v>
      </c>
      <c r="R53" s="7">
        <v>92420</v>
      </c>
      <c r="S53" s="7">
        <v>76071</v>
      </c>
      <c r="T53" s="7">
        <v>96962</v>
      </c>
      <c r="U53" s="7">
        <v>63455</v>
      </c>
      <c r="V53" s="7"/>
      <c r="W53" s="7"/>
      <c r="X53" s="7"/>
      <c r="Y53" s="7"/>
      <c r="Z53" s="7"/>
      <c r="AA53" s="7"/>
      <c r="AC53" s="2"/>
      <c r="AD53" s="9">
        <f>SUM(N53:AB53)</f>
        <v>643795</v>
      </c>
      <c r="AE53" s="9">
        <f>SUM(N54:AB54)</f>
        <v>25903</v>
      </c>
      <c r="AF53" s="9">
        <f>SUM(N55:AB55)</f>
        <v>18319</v>
      </c>
      <c r="AG53" s="9">
        <f t="shared" ref="AG53:AL53" si="19">E53</f>
        <v>62399</v>
      </c>
      <c r="AH53" s="9">
        <f t="shared" si="19"/>
        <v>2594</v>
      </c>
      <c r="AI53" s="9">
        <f t="shared" si="19"/>
        <v>2034</v>
      </c>
      <c r="AJ53" s="9">
        <f t="shared" si="19"/>
        <v>619509</v>
      </c>
      <c r="AK53" s="9">
        <f t="shared" si="19"/>
        <v>24982</v>
      </c>
      <c r="AL53" s="9">
        <f t="shared" si="19"/>
        <v>17571</v>
      </c>
      <c r="AM53" s="2"/>
      <c r="AN53" s="9">
        <f>AD53-B53</f>
        <v>0</v>
      </c>
      <c r="AO53" s="9">
        <f>AE53-C53</f>
        <v>0</v>
      </c>
      <c r="AP53" s="9">
        <f>AF53-D53</f>
        <v>0</v>
      </c>
      <c r="AQ53" s="5"/>
      <c r="AR53" s="41">
        <f>C53/B53*1000</f>
        <v>40.234857369193612</v>
      </c>
      <c r="AS53" s="41">
        <f>D53/B53*1000</f>
        <v>28.454709962022072</v>
      </c>
      <c r="AT53" s="42"/>
      <c r="AU53" s="41">
        <f>AR53-K53</f>
        <v>3.48573691936096E-2</v>
      </c>
      <c r="AV53" s="41">
        <f>AS53-L53</f>
        <v>5.4709962022073455E-2</v>
      </c>
      <c r="AW53" s="5"/>
    </row>
    <row r="54" spans="1:49" s="2" customFormat="1" x14ac:dyDescent="0.55000000000000004">
      <c r="A54" s="1" t="s">
        <v>66</v>
      </c>
      <c r="B54" s="3"/>
      <c r="C54" s="3"/>
      <c r="D54" s="3"/>
      <c r="E54" s="3"/>
      <c r="F54" s="3"/>
      <c r="G54" s="3"/>
      <c r="H54" s="3"/>
      <c r="I54" s="3"/>
      <c r="J54" s="3"/>
      <c r="K54" s="28"/>
      <c r="L54" s="28"/>
      <c r="M54" s="3"/>
      <c r="N54" s="3">
        <v>4392</v>
      </c>
      <c r="O54" s="3">
        <v>3296</v>
      </c>
      <c r="P54" s="3">
        <v>2370</v>
      </c>
      <c r="Q54" s="3">
        <v>2594</v>
      </c>
      <c r="R54" s="3">
        <v>3606</v>
      </c>
      <c r="S54" s="3">
        <v>3441</v>
      </c>
      <c r="T54" s="3">
        <v>3259</v>
      </c>
      <c r="U54" s="3">
        <v>2945</v>
      </c>
      <c r="V54" s="3"/>
      <c r="W54" s="3"/>
      <c r="X54" s="3"/>
      <c r="Y54" s="3"/>
      <c r="Z54" s="3"/>
      <c r="AA54" s="3"/>
    </row>
    <row r="55" spans="1:49" s="2" customFormat="1" x14ac:dyDescent="0.55000000000000004">
      <c r="A55" s="1" t="s">
        <v>67</v>
      </c>
      <c r="B55" s="3"/>
      <c r="C55" s="3"/>
      <c r="D55" s="3"/>
      <c r="E55" s="3"/>
      <c r="F55" s="3"/>
      <c r="G55" s="3"/>
      <c r="H55" s="3"/>
      <c r="I55" s="3"/>
      <c r="J55" s="3"/>
      <c r="K55" s="28"/>
      <c r="L55" s="28"/>
      <c r="M55" s="3"/>
      <c r="N55" s="3">
        <v>3257</v>
      </c>
      <c r="O55" s="3">
        <v>3083</v>
      </c>
      <c r="P55" s="3">
        <v>1734</v>
      </c>
      <c r="Q55" s="3">
        <v>1619</v>
      </c>
      <c r="R55" s="3">
        <v>2254</v>
      </c>
      <c r="S55" s="3">
        <v>2031</v>
      </c>
      <c r="T55" s="3">
        <v>2214</v>
      </c>
      <c r="U55" s="3">
        <v>2127</v>
      </c>
      <c r="V55" s="3"/>
      <c r="W55" s="3"/>
      <c r="X55" s="3"/>
      <c r="Y55" s="3"/>
      <c r="Z55" s="3"/>
      <c r="AA55" s="3"/>
    </row>
    <row r="56" spans="1:49" s="8" customFormat="1" x14ac:dyDescent="0.55000000000000004">
      <c r="A56" s="6" t="s">
        <v>68</v>
      </c>
      <c r="B56" s="7">
        <v>1059959</v>
      </c>
      <c r="C56" s="7">
        <v>43814</v>
      </c>
      <c r="D56" s="7">
        <v>26245</v>
      </c>
      <c r="E56" s="7">
        <v>123761</v>
      </c>
      <c r="F56" s="7">
        <v>3829</v>
      </c>
      <c r="G56" s="7">
        <v>2465</v>
      </c>
      <c r="H56" s="7">
        <v>1048621</v>
      </c>
      <c r="I56" s="7">
        <v>41454</v>
      </c>
      <c r="J56" s="7">
        <v>25161</v>
      </c>
      <c r="K56" s="31">
        <v>41.3</v>
      </c>
      <c r="L56" s="31">
        <v>24.7</v>
      </c>
      <c r="M56" s="3"/>
      <c r="N56" s="7">
        <v>148788</v>
      </c>
      <c r="O56" s="7">
        <v>106738</v>
      </c>
      <c r="P56" s="7">
        <v>102166</v>
      </c>
      <c r="Q56" s="7">
        <v>105451</v>
      </c>
      <c r="R56" s="7">
        <v>89754</v>
      </c>
      <c r="S56" s="7">
        <v>87898</v>
      </c>
      <c r="T56" s="7">
        <v>113390</v>
      </c>
      <c r="U56" s="7">
        <v>85401</v>
      </c>
      <c r="V56" s="7">
        <v>118232</v>
      </c>
      <c r="W56" s="7">
        <v>102141</v>
      </c>
      <c r="X56" s="7"/>
      <c r="Y56" s="7"/>
      <c r="Z56" s="7"/>
      <c r="AA56" s="7"/>
      <c r="AC56" s="2"/>
      <c r="AD56" s="9">
        <f>SUM(N56:AB56)</f>
        <v>1059959</v>
      </c>
      <c r="AE56" s="9">
        <f>SUM(N57:AB57)</f>
        <v>43814</v>
      </c>
      <c r="AF56" s="9">
        <f>SUM(N58:AB58)</f>
        <v>26245</v>
      </c>
      <c r="AG56" s="9">
        <f t="shared" ref="AG56:AL56" si="20">E56</f>
        <v>123761</v>
      </c>
      <c r="AH56" s="9">
        <f t="shared" si="20"/>
        <v>3829</v>
      </c>
      <c r="AI56" s="9">
        <f t="shared" si="20"/>
        <v>2465</v>
      </c>
      <c r="AJ56" s="9">
        <f t="shared" si="20"/>
        <v>1048621</v>
      </c>
      <c r="AK56" s="9">
        <f t="shared" si="20"/>
        <v>41454</v>
      </c>
      <c r="AL56" s="9">
        <f t="shared" si="20"/>
        <v>25161</v>
      </c>
      <c r="AM56" s="2"/>
      <c r="AN56" s="9">
        <f>AD56-B56</f>
        <v>0</v>
      </c>
      <c r="AO56" s="9">
        <f>AE56-C56</f>
        <v>0</v>
      </c>
      <c r="AP56" s="9">
        <f>AF56-D56</f>
        <v>0</v>
      </c>
      <c r="AQ56" s="5"/>
      <c r="AR56" s="41">
        <f>C56/B56*1000</f>
        <v>41.335561092457347</v>
      </c>
      <c r="AS56" s="41">
        <f>D56/B56*1000</f>
        <v>24.760391675527071</v>
      </c>
      <c r="AT56" s="42"/>
      <c r="AU56" s="41">
        <f>AR56-K56</f>
        <v>3.556109245734973E-2</v>
      </c>
      <c r="AV56" s="41">
        <f>AS56-L56</f>
        <v>6.0391675527071698E-2</v>
      </c>
      <c r="AW56" s="5"/>
    </row>
    <row r="57" spans="1:49" s="2" customFormat="1" x14ac:dyDescent="0.55000000000000004">
      <c r="A57" s="1" t="s">
        <v>69</v>
      </c>
      <c r="B57" s="3"/>
      <c r="C57" s="3"/>
      <c r="D57" s="3"/>
      <c r="E57" s="3"/>
      <c r="F57" s="3"/>
      <c r="G57" s="3"/>
      <c r="H57" s="3"/>
      <c r="I57" s="3"/>
      <c r="J57" s="3"/>
      <c r="K57" s="28"/>
      <c r="L57" s="28"/>
      <c r="M57" s="3"/>
      <c r="N57" s="3">
        <v>5754</v>
      </c>
      <c r="O57" s="3">
        <v>3962</v>
      </c>
      <c r="P57" s="3">
        <v>4313</v>
      </c>
      <c r="Q57" s="3">
        <v>4245</v>
      </c>
      <c r="R57" s="3">
        <v>3865</v>
      </c>
      <c r="S57" s="3">
        <v>3476</v>
      </c>
      <c r="T57" s="3">
        <v>4639</v>
      </c>
      <c r="U57" s="3">
        <v>4249</v>
      </c>
      <c r="V57" s="3">
        <v>5012</v>
      </c>
      <c r="W57" s="3">
        <v>4299</v>
      </c>
      <c r="X57" s="3"/>
      <c r="Y57" s="3"/>
      <c r="Z57" s="3"/>
      <c r="AA57" s="3"/>
    </row>
    <row r="58" spans="1:49" s="2" customFormat="1" x14ac:dyDescent="0.55000000000000004">
      <c r="A58" s="1" t="s">
        <v>70</v>
      </c>
      <c r="B58" s="3"/>
      <c r="C58" s="3"/>
      <c r="D58" s="3"/>
      <c r="E58" s="3"/>
      <c r="F58" s="3"/>
      <c r="G58" s="3"/>
      <c r="H58" s="3"/>
      <c r="I58" s="3"/>
      <c r="J58" s="3"/>
      <c r="K58" s="28"/>
      <c r="L58" s="28"/>
      <c r="M58" s="3"/>
      <c r="N58" s="3">
        <v>3455</v>
      </c>
      <c r="O58" s="3">
        <v>2694</v>
      </c>
      <c r="P58" s="3">
        <v>2197</v>
      </c>
      <c r="Q58" s="3">
        <v>2261</v>
      </c>
      <c r="R58" s="3">
        <v>2104</v>
      </c>
      <c r="S58" s="3">
        <v>2009</v>
      </c>
      <c r="T58" s="3">
        <v>2882</v>
      </c>
      <c r="U58" s="3">
        <v>2651</v>
      </c>
      <c r="V58" s="3">
        <v>3066</v>
      </c>
      <c r="W58" s="3">
        <v>2926</v>
      </c>
      <c r="X58" s="3"/>
      <c r="Y58" s="3"/>
      <c r="Z58" s="3"/>
      <c r="AA58" s="3"/>
    </row>
    <row r="59" spans="1:49" s="8" customFormat="1" x14ac:dyDescent="0.55000000000000004">
      <c r="A59" s="6" t="s">
        <v>71</v>
      </c>
      <c r="B59" s="7">
        <v>1200197</v>
      </c>
      <c r="C59" s="7">
        <v>47337</v>
      </c>
      <c r="D59" s="7">
        <v>27567</v>
      </c>
      <c r="E59" s="7">
        <v>230156</v>
      </c>
      <c r="F59" s="7">
        <v>9947</v>
      </c>
      <c r="G59" s="7">
        <v>6608</v>
      </c>
      <c r="H59" s="7">
        <v>1140208</v>
      </c>
      <c r="I59" s="7">
        <v>40843</v>
      </c>
      <c r="J59" s="7">
        <v>23343</v>
      </c>
      <c r="K59" s="31">
        <v>39.4</v>
      </c>
      <c r="L59" s="31">
        <v>22.9</v>
      </c>
      <c r="M59" s="3"/>
      <c r="N59" s="7">
        <v>166622</v>
      </c>
      <c r="O59" s="7">
        <v>178675</v>
      </c>
      <c r="P59" s="7">
        <v>108231</v>
      </c>
      <c r="Q59" s="7">
        <v>119835</v>
      </c>
      <c r="R59" s="7">
        <v>263248</v>
      </c>
      <c r="S59" s="7">
        <v>138245</v>
      </c>
      <c r="T59" s="7">
        <v>78072</v>
      </c>
      <c r="U59" s="7">
        <v>147269</v>
      </c>
      <c r="V59" s="7"/>
      <c r="W59" s="7"/>
      <c r="X59" s="7"/>
      <c r="Y59" s="7"/>
      <c r="Z59" s="7"/>
      <c r="AA59" s="7"/>
      <c r="AC59" s="2"/>
      <c r="AD59" s="9">
        <f>SUM(N59:AB59)</f>
        <v>1200197</v>
      </c>
      <c r="AE59" s="9">
        <f>SUM(N60:AB60)</f>
        <v>47337</v>
      </c>
      <c r="AF59" s="9">
        <f>SUM(N61:AB61)</f>
        <v>27567</v>
      </c>
      <c r="AG59" s="9">
        <f t="shared" ref="AG59:AL59" si="21">E59</f>
        <v>230156</v>
      </c>
      <c r="AH59" s="9">
        <f t="shared" si="21"/>
        <v>9947</v>
      </c>
      <c r="AI59" s="9">
        <f t="shared" si="21"/>
        <v>6608</v>
      </c>
      <c r="AJ59" s="9">
        <f t="shared" si="21"/>
        <v>1140208</v>
      </c>
      <c r="AK59" s="9">
        <f t="shared" si="21"/>
        <v>40843</v>
      </c>
      <c r="AL59" s="9">
        <f t="shared" si="21"/>
        <v>23343</v>
      </c>
      <c r="AM59" s="2"/>
      <c r="AN59" s="9">
        <f>AD59-B59</f>
        <v>0</v>
      </c>
      <c r="AO59" s="9">
        <f>AE59-C59</f>
        <v>0</v>
      </c>
      <c r="AP59" s="9">
        <f>AF59-D59</f>
        <v>0</v>
      </c>
      <c r="AQ59" s="5"/>
      <c r="AR59" s="41">
        <f>C59/B59*1000</f>
        <v>39.441025098379683</v>
      </c>
      <c r="AS59" s="41">
        <f>D59/B59*1000</f>
        <v>22.968729300273207</v>
      </c>
      <c r="AT59" s="42"/>
      <c r="AU59" s="41">
        <f>AR59-K59</f>
        <v>4.1025098379684266E-2</v>
      </c>
      <c r="AV59" s="41">
        <f>AS59-L59</f>
        <v>6.8729300273208338E-2</v>
      </c>
      <c r="AW59" s="5"/>
    </row>
    <row r="60" spans="1:49" s="2" customFormat="1" x14ac:dyDescent="0.55000000000000004">
      <c r="A60" s="1" t="s">
        <v>72</v>
      </c>
      <c r="B60" s="3"/>
      <c r="C60" s="3"/>
      <c r="D60" s="3"/>
      <c r="E60" s="3"/>
      <c r="F60" s="3"/>
      <c r="G60" s="3"/>
      <c r="H60" s="3"/>
      <c r="I60" s="3"/>
      <c r="J60" s="3"/>
      <c r="K60" s="28"/>
      <c r="L60" s="28"/>
      <c r="M60" s="3"/>
      <c r="N60" s="3">
        <v>6034</v>
      </c>
      <c r="O60" s="3">
        <v>6910</v>
      </c>
      <c r="P60" s="3">
        <v>4483</v>
      </c>
      <c r="Q60" s="3">
        <v>5149</v>
      </c>
      <c r="R60" s="4">
        <v>10605</v>
      </c>
      <c r="S60" s="3">
        <v>5256</v>
      </c>
      <c r="T60" s="3">
        <v>2966</v>
      </c>
      <c r="U60" s="3">
        <v>5934</v>
      </c>
      <c r="V60" s="3"/>
      <c r="W60" s="3"/>
      <c r="X60" s="3"/>
      <c r="Y60" s="3"/>
      <c r="Z60" s="3"/>
      <c r="AA60" s="3"/>
    </row>
    <row r="61" spans="1:49" s="2" customFormat="1" x14ac:dyDescent="0.55000000000000004">
      <c r="A61" s="1" t="s">
        <v>73</v>
      </c>
      <c r="B61" s="3"/>
      <c r="C61" s="3"/>
      <c r="D61" s="3"/>
      <c r="E61" s="3"/>
      <c r="F61" s="3"/>
      <c r="G61" s="3"/>
      <c r="H61" s="3"/>
      <c r="I61" s="3"/>
      <c r="J61" s="3"/>
      <c r="K61" s="28"/>
      <c r="L61" s="28"/>
      <c r="M61" s="3"/>
      <c r="N61" s="3">
        <v>3220</v>
      </c>
      <c r="O61" s="3">
        <v>4052</v>
      </c>
      <c r="P61" s="3">
        <v>2114</v>
      </c>
      <c r="Q61" s="3">
        <v>2920</v>
      </c>
      <c r="R61" s="3">
        <v>6860</v>
      </c>
      <c r="S61" s="3">
        <v>3056</v>
      </c>
      <c r="T61" s="3">
        <v>1569</v>
      </c>
      <c r="U61" s="3">
        <v>3776</v>
      </c>
      <c r="V61" s="3"/>
      <c r="W61" s="3"/>
      <c r="X61" s="3"/>
      <c r="Y61" s="3"/>
      <c r="Z61" s="3"/>
      <c r="AA61" s="3"/>
    </row>
    <row r="62" spans="1:49" s="8" customFormat="1" x14ac:dyDescent="0.55000000000000004">
      <c r="A62" s="6" t="s">
        <v>74</v>
      </c>
      <c r="B62" s="7">
        <v>660457</v>
      </c>
      <c r="C62" s="7">
        <v>26392</v>
      </c>
      <c r="D62" s="7">
        <v>17902</v>
      </c>
      <c r="E62" s="10" t="s">
        <v>23</v>
      </c>
      <c r="F62" s="10" t="s">
        <v>23</v>
      </c>
      <c r="G62" s="10" t="s">
        <v>23</v>
      </c>
      <c r="H62" s="7">
        <v>621650</v>
      </c>
      <c r="I62" s="7">
        <v>24788</v>
      </c>
      <c r="J62" s="7">
        <v>15042</v>
      </c>
      <c r="K62" s="31">
        <v>39.799999999999997</v>
      </c>
      <c r="L62" s="31">
        <v>27.1</v>
      </c>
      <c r="M62" s="3"/>
      <c r="N62" s="7">
        <v>98757</v>
      </c>
      <c r="O62" s="7">
        <v>99353</v>
      </c>
      <c r="P62" s="7">
        <v>87568</v>
      </c>
      <c r="Q62" s="7">
        <v>107538</v>
      </c>
      <c r="R62" s="7">
        <v>61440</v>
      </c>
      <c r="S62" s="7">
        <v>67310</v>
      </c>
      <c r="T62" s="7">
        <v>68001</v>
      </c>
      <c r="U62" s="7">
        <v>70490</v>
      </c>
      <c r="V62" s="7"/>
      <c r="W62" s="7"/>
      <c r="X62" s="7"/>
      <c r="Y62" s="7"/>
      <c r="Z62" s="7"/>
      <c r="AA62" s="7"/>
      <c r="AC62" s="2"/>
      <c r="AD62" s="9">
        <f>SUM(N62:AB62)</f>
        <v>660457</v>
      </c>
      <c r="AE62" s="9">
        <f>SUM(N63:AB63)</f>
        <v>26392</v>
      </c>
      <c r="AF62" s="9">
        <f>SUM(N64:AB64)</f>
        <v>17902</v>
      </c>
      <c r="AG62" s="10" t="str">
        <f t="shared" ref="AG62:AL62" si="22">E62</f>
        <v>—</v>
      </c>
      <c r="AH62" s="10" t="str">
        <f t="shared" si="22"/>
        <v>—</v>
      </c>
      <c r="AI62" s="10" t="str">
        <f t="shared" si="22"/>
        <v>—</v>
      </c>
      <c r="AJ62" s="9">
        <f t="shared" si="22"/>
        <v>621650</v>
      </c>
      <c r="AK62" s="9">
        <f t="shared" si="22"/>
        <v>24788</v>
      </c>
      <c r="AL62" s="9">
        <f t="shared" si="22"/>
        <v>15042</v>
      </c>
      <c r="AM62" s="2"/>
      <c r="AN62" s="9">
        <f>AD62-B62</f>
        <v>0</v>
      </c>
      <c r="AO62" s="9">
        <f>AE62-C62</f>
        <v>0</v>
      </c>
      <c r="AP62" s="9">
        <f>AF62-D62</f>
        <v>0</v>
      </c>
      <c r="AQ62" s="5"/>
      <c r="AR62" s="41">
        <f>C62/B62*1000</f>
        <v>39.960209370178532</v>
      </c>
      <c r="AS62" s="41">
        <f>D62/B62*1000</f>
        <v>27.105473936986055</v>
      </c>
      <c r="AT62" s="42"/>
      <c r="AU62" s="41">
        <f>AR62-K62</f>
        <v>0.16020937017853498</v>
      </c>
      <c r="AV62" s="41">
        <f>AS62-L62</f>
        <v>5.4739369860534737E-3</v>
      </c>
      <c r="AW62" s="5"/>
    </row>
    <row r="63" spans="1:49" s="2" customFormat="1" x14ac:dyDescent="0.55000000000000004">
      <c r="A63" s="1" t="s">
        <v>75</v>
      </c>
      <c r="B63" s="3"/>
      <c r="C63" s="3"/>
      <c r="D63" s="3"/>
      <c r="E63" s="3"/>
      <c r="F63" s="3"/>
      <c r="G63" s="3"/>
      <c r="H63" s="3"/>
      <c r="I63" s="3"/>
      <c r="J63" s="3"/>
      <c r="K63" s="28"/>
      <c r="L63" s="28"/>
      <c r="M63" s="3"/>
      <c r="N63" s="3">
        <v>4342</v>
      </c>
      <c r="O63" s="3">
        <v>3485</v>
      </c>
      <c r="P63" s="3">
        <v>4008</v>
      </c>
      <c r="Q63" s="3">
        <v>3872</v>
      </c>
      <c r="R63" s="3">
        <v>2791</v>
      </c>
      <c r="S63" s="3">
        <v>2422</v>
      </c>
      <c r="T63" s="3">
        <v>2786</v>
      </c>
      <c r="U63" s="3">
        <v>2686</v>
      </c>
      <c r="V63" s="3"/>
      <c r="W63" s="3"/>
      <c r="X63" s="3"/>
      <c r="Y63" s="3"/>
      <c r="Z63" s="3"/>
      <c r="AA63" s="3"/>
    </row>
    <row r="64" spans="1:49" s="2" customFormat="1" x14ac:dyDescent="0.55000000000000004">
      <c r="A64" s="1" t="s">
        <v>76</v>
      </c>
      <c r="B64" s="3"/>
      <c r="C64" s="3"/>
      <c r="D64" s="3"/>
      <c r="E64" s="3"/>
      <c r="F64" s="3"/>
      <c r="G64" s="3"/>
      <c r="H64" s="3"/>
      <c r="I64" s="3"/>
      <c r="J64" s="3"/>
      <c r="K64" s="28"/>
      <c r="L64" s="28"/>
      <c r="M64" s="3"/>
      <c r="N64" s="3">
        <v>3326</v>
      </c>
      <c r="O64" s="3">
        <v>1845</v>
      </c>
      <c r="P64" s="3">
        <v>2706</v>
      </c>
      <c r="Q64" s="3">
        <v>2075</v>
      </c>
      <c r="R64" s="3">
        <v>2590</v>
      </c>
      <c r="S64" s="3">
        <v>1265</v>
      </c>
      <c r="T64" s="3">
        <v>2080</v>
      </c>
      <c r="U64" s="3">
        <v>2015</v>
      </c>
      <c r="V64" s="3"/>
      <c r="W64" s="3"/>
      <c r="X64" s="3"/>
      <c r="Y64" s="3"/>
      <c r="Z64" s="3"/>
      <c r="AA64" s="3"/>
    </row>
    <row r="65" spans="1:55" s="8" customFormat="1" x14ac:dyDescent="0.55000000000000004">
      <c r="A65" s="6" t="s">
        <v>77</v>
      </c>
      <c r="B65" s="7">
        <v>769229</v>
      </c>
      <c r="C65" s="7">
        <v>29099</v>
      </c>
      <c r="D65" s="7">
        <v>18240</v>
      </c>
      <c r="E65" s="7">
        <v>48559</v>
      </c>
      <c r="F65" s="7">
        <v>1421</v>
      </c>
      <c r="G65" s="7">
        <v>888</v>
      </c>
      <c r="H65" s="7">
        <v>736979</v>
      </c>
      <c r="I65" s="7">
        <v>30648</v>
      </c>
      <c r="J65" s="7">
        <v>16916</v>
      </c>
      <c r="K65" s="31">
        <v>37.799999999999997</v>
      </c>
      <c r="L65" s="31">
        <v>23.7</v>
      </c>
      <c r="M65" s="3"/>
      <c r="N65" s="7">
        <v>129953</v>
      </c>
      <c r="O65" s="7">
        <v>101925</v>
      </c>
      <c r="P65" s="7">
        <v>108805</v>
      </c>
      <c r="Q65" s="7">
        <v>110724</v>
      </c>
      <c r="R65" s="7">
        <v>114754</v>
      </c>
      <c r="S65" s="7">
        <v>100033</v>
      </c>
      <c r="T65" s="7">
        <v>103035</v>
      </c>
      <c r="U65" s="7"/>
      <c r="V65" s="7"/>
      <c r="W65" s="7"/>
      <c r="X65" s="7"/>
      <c r="Y65" s="7"/>
      <c r="Z65" s="7"/>
      <c r="AA65" s="7"/>
      <c r="AC65" s="2"/>
      <c r="AD65" s="9">
        <f>SUM(N65:AB65)</f>
        <v>769229</v>
      </c>
      <c r="AE65" s="9">
        <f>SUM(N66:AB66)</f>
        <v>29099</v>
      </c>
      <c r="AF65" s="9">
        <f>SUM(N67:AB67)</f>
        <v>18240</v>
      </c>
      <c r="AG65" s="9">
        <f t="shared" ref="AG65:AL65" si="23">E65</f>
        <v>48559</v>
      </c>
      <c r="AH65" s="9">
        <f t="shared" si="23"/>
        <v>1421</v>
      </c>
      <c r="AI65" s="9">
        <f t="shared" si="23"/>
        <v>888</v>
      </c>
      <c r="AJ65" s="9">
        <f t="shared" si="23"/>
        <v>736979</v>
      </c>
      <c r="AK65" s="9">
        <f t="shared" si="23"/>
        <v>30648</v>
      </c>
      <c r="AL65" s="9">
        <f t="shared" si="23"/>
        <v>16916</v>
      </c>
      <c r="AM65" s="2"/>
      <c r="AN65" s="9">
        <f>AD65-B65</f>
        <v>0</v>
      </c>
      <c r="AO65" s="9">
        <f>AE65-C65</f>
        <v>0</v>
      </c>
      <c r="AP65" s="9">
        <f>AF65-D65</f>
        <v>0</v>
      </c>
      <c r="AQ65" s="5"/>
      <c r="AR65" s="41">
        <f>C65/B65*1000</f>
        <v>37.828787006210113</v>
      </c>
      <c r="AS65" s="41">
        <f>D65/B65*1000</f>
        <v>23.712054537725436</v>
      </c>
      <c r="AT65" s="42"/>
      <c r="AU65" s="41">
        <f>AR65-K65</f>
        <v>2.8787006210116317E-2</v>
      </c>
      <c r="AV65" s="41">
        <f>AS65-L65</f>
        <v>1.2054537725436631E-2</v>
      </c>
      <c r="AW65" s="5"/>
    </row>
    <row r="66" spans="1:55" s="2" customFormat="1" x14ac:dyDescent="0.55000000000000004">
      <c r="A66" s="1" t="s">
        <v>78</v>
      </c>
      <c r="B66" s="3"/>
      <c r="C66" s="3"/>
      <c r="D66" s="3"/>
      <c r="E66" s="3"/>
      <c r="F66" s="3"/>
      <c r="G66" s="3"/>
      <c r="H66" s="3"/>
      <c r="I66" s="3"/>
      <c r="J66" s="3"/>
      <c r="K66" s="28"/>
      <c r="L66" s="28"/>
      <c r="M66" s="3"/>
      <c r="N66" s="3">
        <v>5021</v>
      </c>
      <c r="O66" s="3">
        <v>4403</v>
      </c>
      <c r="P66" s="3">
        <v>3693</v>
      </c>
      <c r="Q66" s="3">
        <v>3855</v>
      </c>
      <c r="R66" s="3">
        <v>4850</v>
      </c>
      <c r="S66" s="3">
        <v>3778</v>
      </c>
      <c r="T66" s="3">
        <v>3499</v>
      </c>
      <c r="U66" s="3"/>
      <c r="V66" s="3"/>
      <c r="W66" s="3"/>
      <c r="X66" s="3"/>
      <c r="Y66" s="3"/>
      <c r="Z66" s="3"/>
      <c r="AA66" s="3"/>
    </row>
    <row r="67" spans="1:55" s="2" customFormat="1" x14ac:dyDescent="0.55000000000000004">
      <c r="A67" s="1" t="s">
        <v>79</v>
      </c>
      <c r="B67" s="3"/>
      <c r="C67" s="3"/>
      <c r="D67" s="3"/>
      <c r="E67" s="3"/>
      <c r="F67" s="3"/>
      <c r="G67" s="3"/>
      <c r="H67" s="3"/>
      <c r="I67" s="3"/>
      <c r="J67" s="3"/>
      <c r="K67" s="28"/>
      <c r="L67" s="28"/>
      <c r="M67" s="3"/>
      <c r="N67" s="3">
        <v>2919</v>
      </c>
      <c r="O67" s="3">
        <v>2044</v>
      </c>
      <c r="P67" s="3">
        <v>2458</v>
      </c>
      <c r="Q67" s="3">
        <v>2183</v>
      </c>
      <c r="R67" s="3">
        <v>3223</v>
      </c>
      <c r="S67" s="3">
        <v>2181</v>
      </c>
      <c r="T67" s="3">
        <v>3232</v>
      </c>
      <c r="U67" s="3"/>
      <c r="V67" s="3"/>
      <c r="W67" s="3"/>
      <c r="X67" s="3"/>
      <c r="Y67" s="3"/>
      <c r="Z67" s="3"/>
      <c r="AA67" s="3"/>
    </row>
    <row r="68" spans="1:55" s="8" customFormat="1" x14ac:dyDescent="0.55000000000000004">
      <c r="A68" s="6" t="s">
        <v>80</v>
      </c>
      <c r="B68" s="7">
        <v>695904</v>
      </c>
      <c r="C68" s="7">
        <v>20045</v>
      </c>
      <c r="D68" s="7">
        <v>13906</v>
      </c>
      <c r="E68" s="7">
        <v>73140</v>
      </c>
      <c r="F68" s="7">
        <v>1280</v>
      </c>
      <c r="G68" s="7">
        <v>909</v>
      </c>
      <c r="H68" s="7">
        <v>678338</v>
      </c>
      <c r="I68" s="7">
        <v>21146</v>
      </c>
      <c r="J68" s="7">
        <v>15985</v>
      </c>
      <c r="K68" s="31">
        <v>28.6</v>
      </c>
      <c r="L68" s="31">
        <v>20</v>
      </c>
      <c r="M68" s="3"/>
      <c r="N68" s="7">
        <v>108696</v>
      </c>
      <c r="O68" s="7">
        <v>93153</v>
      </c>
      <c r="P68" s="7">
        <v>91571</v>
      </c>
      <c r="Q68" s="7">
        <v>92810</v>
      </c>
      <c r="R68" s="7">
        <v>82969</v>
      </c>
      <c r="S68" s="7">
        <v>123756</v>
      </c>
      <c r="T68" s="7">
        <v>102949</v>
      </c>
      <c r="U68" s="7"/>
      <c r="V68" s="7"/>
      <c r="W68" s="7"/>
      <c r="X68" s="7"/>
      <c r="Y68" s="7"/>
      <c r="Z68" s="7"/>
      <c r="AA68" s="7"/>
      <c r="AC68" s="2"/>
      <c r="AD68" s="9">
        <f>SUM(N68:AB68)</f>
        <v>695904</v>
      </c>
      <c r="AE68" s="9">
        <f>SUM(N69:AB69)</f>
        <v>20045</v>
      </c>
      <c r="AF68" s="9">
        <f>SUM(N70:AB70)</f>
        <v>13906</v>
      </c>
      <c r="AG68" s="9">
        <f t="shared" ref="AG68:AL68" si="24">E68</f>
        <v>73140</v>
      </c>
      <c r="AH68" s="9">
        <f t="shared" si="24"/>
        <v>1280</v>
      </c>
      <c r="AI68" s="9">
        <f t="shared" si="24"/>
        <v>909</v>
      </c>
      <c r="AJ68" s="9">
        <f t="shared" si="24"/>
        <v>678338</v>
      </c>
      <c r="AK68" s="9">
        <f t="shared" si="24"/>
        <v>21146</v>
      </c>
      <c r="AL68" s="9">
        <f t="shared" si="24"/>
        <v>15985</v>
      </c>
      <c r="AM68" s="2"/>
      <c r="AN68" s="9">
        <f>AD68-B68</f>
        <v>0</v>
      </c>
      <c r="AO68" s="9">
        <f>AE68-C68</f>
        <v>0</v>
      </c>
      <c r="AP68" s="9">
        <f>AF68-D68</f>
        <v>0</v>
      </c>
      <c r="AQ68" s="5"/>
      <c r="AR68" s="41">
        <f>C68/B68*1000</f>
        <v>28.804260357750493</v>
      </c>
      <c r="AS68" s="41">
        <f>D68/B68*1000</f>
        <v>19.982641283855244</v>
      </c>
      <c r="AT68" s="42"/>
      <c r="AU68" s="41">
        <f>AR68-K68</f>
        <v>0.20426035775049201</v>
      </c>
      <c r="AV68" s="41">
        <f>AS68-L68</f>
        <v>-1.7358716144755704E-2</v>
      </c>
      <c r="AW68" s="5"/>
    </row>
    <row r="69" spans="1:55" s="2" customFormat="1" x14ac:dyDescent="0.55000000000000004">
      <c r="A69" s="1" t="s">
        <v>81</v>
      </c>
      <c r="B69" s="3"/>
      <c r="C69" s="3"/>
      <c r="D69" s="3"/>
      <c r="E69" s="3"/>
      <c r="F69" s="3"/>
      <c r="G69" s="3"/>
      <c r="H69" s="3"/>
      <c r="I69" s="3"/>
      <c r="J69" s="3"/>
      <c r="K69" s="28"/>
      <c r="L69" s="28"/>
      <c r="M69" s="3"/>
      <c r="N69" s="3">
        <v>3201</v>
      </c>
      <c r="O69" s="3">
        <v>2439</v>
      </c>
      <c r="P69" s="3">
        <v>2322</v>
      </c>
      <c r="Q69" s="3">
        <v>2612</v>
      </c>
      <c r="R69" s="3">
        <v>2281</v>
      </c>
      <c r="S69" s="3">
        <v>3917</v>
      </c>
      <c r="T69" s="3">
        <v>3273</v>
      </c>
      <c r="U69" s="3"/>
      <c r="V69" s="3"/>
      <c r="W69" s="3"/>
      <c r="X69" s="3"/>
      <c r="Y69" s="3"/>
      <c r="Z69" s="3"/>
      <c r="AA69" s="3"/>
    </row>
    <row r="70" spans="1:55" s="2" customFormat="1" x14ac:dyDescent="0.55000000000000004">
      <c r="A70" s="1" t="s">
        <v>82</v>
      </c>
      <c r="B70" s="3"/>
      <c r="C70" s="3"/>
      <c r="D70" s="3"/>
      <c r="E70" s="3"/>
      <c r="F70" s="3"/>
      <c r="G70" s="3"/>
      <c r="H70" s="3"/>
      <c r="I70" s="3"/>
      <c r="J70" s="3"/>
      <c r="K70" s="28"/>
      <c r="L70" s="28"/>
      <c r="M70" s="3"/>
      <c r="N70" s="3">
        <v>2184</v>
      </c>
      <c r="O70" s="3">
        <v>1556</v>
      </c>
      <c r="P70" s="3">
        <v>1709</v>
      </c>
      <c r="Q70" s="3">
        <v>1684</v>
      </c>
      <c r="R70" s="3">
        <v>1690</v>
      </c>
      <c r="S70" s="3">
        <v>2763</v>
      </c>
      <c r="T70" s="3">
        <v>2320</v>
      </c>
      <c r="U70" s="3"/>
      <c r="V70" s="3"/>
      <c r="W70" s="3"/>
      <c r="X70" s="3"/>
      <c r="Y70" s="3"/>
      <c r="Z70" s="3"/>
      <c r="AA70" s="3"/>
    </row>
    <row r="71" spans="1:55" s="8" customFormat="1" x14ac:dyDescent="0.55000000000000004">
      <c r="A71" s="6" t="s">
        <v>83</v>
      </c>
      <c r="B71" s="7">
        <v>752152</v>
      </c>
      <c r="C71" s="7">
        <v>30906</v>
      </c>
      <c r="D71" s="7">
        <v>16039</v>
      </c>
      <c r="E71" s="7">
        <v>66094</v>
      </c>
      <c r="F71" s="7">
        <v>2710</v>
      </c>
      <c r="G71" s="7">
        <v>1435</v>
      </c>
      <c r="H71" s="7">
        <v>696527</v>
      </c>
      <c r="I71" s="7">
        <v>26091</v>
      </c>
      <c r="J71" s="7">
        <v>17334</v>
      </c>
      <c r="K71" s="31">
        <v>41.1</v>
      </c>
      <c r="L71" s="31">
        <v>21.2</v>
      </c>
      <c r="M71" s="3"/>
      <c r="N71" s="7">
        <v>74932</v>
      </c>
      <c r="O71" s="7">
        <v>73623</v>
      </c>
      <c r="P71" s="7">
        <v>74109</v>
      </c>
      <c r="Q71" s="7">
        <v>98186</v>
      </c>
      <c r="R71" s="7">
        <v>118678</v>
      </c>
      <c r="S71" s="7">
        <v>60523</v>
      </c>
      <c r="T71" s="7">
        <v>98788</v>
      </c>
      <c r="U71" s="7">
        <v>78104</v>
      </c>
      <c r="V71" s="7">
        <v>75209</v>
      </c>
      <c r="W71" s="7"/>
      <c r="X71" s="7"/>
      <c r="Y71" s="7"/>
      <c r="Z71" s="7"/>
      <c r="AA71" s="7"/>
      <c r="AC71" s="2"/>
      <c r="AD71" s="9">
        <f>SUM(N71:AB71)</f>
        <v>752152</v>
      </c>
      <c r="AE71" s="9">
        <f>SUM(N72:AB72)</f>
        <v>30906</v>
      </c>
      <c r="AF71" s="9">
        <f>SUM(N73:AB73)</f>
        <v>16039</v>
      </c>
      <c r="AG71" s="9">
        <f t="shared" ref="AG71:AL71" si="25">E71</f>
        <v>66094</v>
      </c>
      <c r="AH71" s="9">
        <f t="shared" si="25"/>
        <v>2710</v>
      </c>
      <c r="AI71" s="9">
        <f t="shared" si="25"/>
        <v>1435</v>
      </c>
      <c r="AJ71" s="9">
        <f t="shared" si="25"/>
        <v>696527</v>
      </c>
      <c r="AK71" s="9">
        <f t="shared" si="25"/>
        <v>26091</v>
      </c>
      <c r="AL71" s="9">
        <f t="shared" si="25"/>
        <v>17334</v>
      </c>
      <c r="AM71" s="2"/>
      <c r="AN71" s="9">
        <f>AD71-B71</f>
        <v>0</v>
      </c>
      <c r="AO71" s="9">
        <f>AE71-C71</f>
        <v>0</v>
      </c>
      <c r="AP71" s="9">
        <f>AF71-D71</f>
        <v>0</v>
      </c>
      <c r="AQ71" s="5"/>
      <c r="AR71" s="41">
        <f>C71/B71*1000</f>
        <v>41.090098809815039</v>
      </c>
      <c r="AS71" s="41">
        <f>D71/B71*1000</f>
        <v>21.324147246833085</v>
      </c>
      <c r="AT71" s="42"/>
      <c r="AU71" s="41">
        <f>AR71-K71</f>
        <v>-9.9011901849621609E-3</v>
      </c>
      <c r="AV71" s="41">
        <f>AS71-L71</f>
        <v>0.1241472468330862</v>
      </c>
      <c r="AW71" s="5"/>
    </row>
    <row r="72" spans="1:55" s="2" customFormat="1" x14ac:dyDescent="0.55000000000000004">
      <c r="A72" s="1" t="s">
        <v>84</v>
      </c>
      <c r="B72" s="3"/>
      <c r="C72" s="3"/>
      <c r="D72" s="3"/>
      <c r="E72" s="3"/>
      <c r="F72" s="3"/>
      <c r="G72" s="3"/>
      <c r="H72" s="3"/>
      <c r="I72" s="3"/>
      <c r="J72" s="3"/>
      <c r="K72" s="28"/>
      <c r="L72" s="28"/>
      <c r="M72" s="3"/>
      <c r="N72" s="3">
        <v>3341</v>
      </c>
      <c r="O72" s="3">
        <v>3060</v>
      </c>
      <c r="P72" s="3">
        <v>2473</v>
      </c>
      <c r="Q72" s="3">
        <v>3693</v>
      </c>
      <c r="R72" s="3">
        <v>6603</v>
      </c>
      <c r="S72" s="3">
        <v>2928</v>
      </c>
      <c r="T72" s="3">
        <v>3678</v>
      </c>
      <c r="U72" s="3">
        <v>2698</v>
      </c>
      <c r="V72" s="3">
        <v>2432</v>
      </c>
      <c r="W72" s="3"/>
      <c r="X72" s="3"/>
      <c r="Y72" s="3"/>
      <c r="Z72" s="3"/>
      <c r="AA72" s="3"/>
    </row>
    <row r="73" spans="1:55" s="2" customFormat="1" x14ac:dyDescent="0.55000000000000004">
      <c r="A73" s="1" t="s">
        <v>85</v>
      </c>
      <c r="B73" s="3"/>
      <c r="C73" s="3"/>
      <c r="D73" s="3"/>
      <c r="E73" s="3"/>
      <c r="F73" s="3"/>
      <c r="G73" s="3"/>
      <c r="H73" s="3"/>
      <c r="I73" s="3"/>
      <c r="J73" s="3"/>
      <c r="K73" s="28"/>
      <c r="L73" s="28"/>
      <c r="M73" s="3"/>
      <c r="N73" s="3">
        <v>1859</v>
      </c>
      <c r="O73" s="3">
        <v>1498</v>
      </c>
      <c r="P73" s="3">
        <v>1548</v>
      </c>
      <c r="Q73" s="3">
        <v>2210</v>
      </c>
      <c r="R73" s="3">
        <v>2542</v>
      </c>
      <c r="S73" s="3">
        <v>1588</v>
      </c>
      <c r="T73" s="3">
        <v>2484</v>
      </c>
      <c r="U73" s="3">
        <v>810</v>
      </c>
      <c r="V73" s="3">
        <v>1500</v>
      </c>
      <c r="W73" s="3"/>
      <c r="X73" s="3"/>
      <c r="Y73" s="3"/>
      <c r="Z73" s="3"/>
      <c r="AA73" s="3"/>
    </row>
    <row r="74" spans="1:55" s="13" customFormat="1" x14ac:dyDescent="0.55000000000000004">
      <c r="A74" s="11" t="s">
        <v>86</v>
      </c>
      <c r="B74" s="15">
        <v>8906418</v>
      </c>
      <c r="C74" s="15">
        <v>349115</v>
      </c>
      <c r="D74" s="15">
        <v>216461</v>
      </c>
      <c r="E74" s="12">
        <v>1125415</v>
      </c>
      <c r="F74" s="12">
        <v>44390</v>
      </c>
      <c r="G74" s="12">
        <v>28829</v>
      </c>
      <c r="H74" s="12">
        <v>8515839</v>
      </c>
      <c r="I74" s="12">
        <v>333517</v>
      </c>
      <c r="J74" s="12">
        <v>204566</v>
      </c>
      <c r="K74" s="32">
        <v>39.200000000000003</v>
      </c>
      <c r="L74" s="32">
        <v>24.3</v>
      </c>
      <c r="M74" s="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C74" s="2"/>
      <c r="AD74" s="14">
        <f>SUM(AD43:AD72)</f>
        <v>8900418</v>
      </c>
      <c r="AE74" s="14">
        <f t="shared" ref="AE74:AL74" si="26">SUM(AE43:AE72)</f>
        <v>349115</v>
      </c>
      <c r="AF74" s="14">
        <f t="shared" si="26"/>
        <v>216461</v>
      </c>
      <c r="AG74" s="14">
        <f t="shared" si="26"/>
        <v>780012</v>
      </c>
      <c r="AH74" s="14">
        <f t="shared" si="26"/>
        <v>27612</v>
      </c>
      <c r="AI74" s="14">
        <f t="shared" si="26"/>
        <v>18285</v>
      </c>
      <c r="AJ74" s="14">
        <f t="shared" si="26"/>
        <v>8556734</v>
      </c>
      <c r="AK74" s="14">
        <f t="shared" si="26"/>
        <v>334134</v>
      </c>
      <c r="AL74" s="14">
        <f t="shared" si="26"/>
        <v>204022</v>
      </c>
      <c r="AM74" s="2"/>
      <c r="AN74" s="14">
        <f t="shared" ref="AN74:AP75" si="27">AD74-B74</f>
        <v>-6000</v>
      </c>
      <c r="AO74" s="14">
        <f t="shared" si="27"/>
        <v>0</v>
      </c>
      <c r="AP74" s="14">
        <f t="shared" si="27"/>
        <v>0</v>
      </c>
      <c r="AQ74" s="5"/>
      <c r="AR74" s="41">
        <f>C74/B74*1000</f>
        <v>39.198137792320097</v>
      </c>
      <c r="AS74" s="41">
        <f>D74/B74*1000</f>
        <v>24.303934533501572</v>
      </c>
      <c r="AT74" s="42"/>
      <c r="AU74" s="41">
        <f>AR74-K74</f>
        <v>-1.8622076799061915E-3</v>
      </c>
      <c r="AV74" s="41">
        <f>AS74-L74</f>
        <v>3.9345335015710248E-3</v>
      </c>
      <c r="AW74" s="5"/>
      <c r="AX74" s="14">
        <f t="shared" ref="AX74:BC74" si="28">E74-AG74</f>
        <v>345403</v>
      </c>
      <c r="AY74" s="14">
        <f t="shared" si="28"/>
        <v>16778</v>
      </c>
      <c r="AZ74" s="14">
        <f t="shared" si="28"/>
        <v>10544</v>
      </c>
      <c r="BA74" s="14">
        <f t="shared" si="28"/>
        <v>-40895</v>
      </c>
      <c r="BB74" s="14">
        <f t="shared" si="28"/>
        <v>-617</v>
      </c>
      <c r="BC74" s="14">
        <f t="shared" si="28"/>
        <v>544</v>
      </c>
    </row>
    <row r="75" spans="1:55" s="8" customFormat="1" x14ac:dyDescent="0.55000000000000004">
      <c r="A75" s="6" t="s">
        <v>87</v>
      </c>
      <c r="B75" s="7">
        <v>712700</v>
      </c>
      <c r="C75" s="7">
        <v>19825</v>
      </c>
      <c r="D75" s="7">
        <v>12125</v>
      </c>
      <c r="E75" s="7">
        <v>110990</v>
      </c>
      <c r="F75" s="7">
        <v>4175</v>
      </c>
      <c r="G75" s="7">
        <v>2685</v>
      </c>
      <c r="H75" s="7">
        <v>690151</v>
      </c>
      <c r="I75" s="7">
        <v>18974</v>
      </c>
      <c r="J75" s="7">
        <v>12202</v>
      </c>
      <c r="K75" s="31">
        <v>27.8</v>
      </c>
      <c r="L75" s="31">
        <v>17</v>
      </c>
      <c r="M75" s="3"/>
      <c r="N75" s="7">
        <v>105560</v>
      </c>
      <c r="O75" s="7">
        <v>59960</v>
      </c>
      <c r="P75" s="7">
        <v>49320</v>
      </c>
      <c r="Q75" s="7">
        <v>93140</v>
      </c>
      <c r="R75" s="7">
        <v>72190</v>
      </c>
      <c r="S75" s="7">
        <v>51710</v>
      </c>
      <c r="T75" s="7">
        <v>81500</v>
      </c>
      <c r="U75" s="7">
        <v>70600</v>
      </c>
      <c r="V75" s="7">
        <v>57990</v>
      </c>
      <c r="W75" s="7">
        <v>70730</v>
      </c>
      <c r="X75" s="7"/>
      <c r="Y75" s="7"/>
      <c r="Z75" s="7"/>
      <c r="AA75" s="7"/>
      <c r="AC75" s="2"/>
      <c r="AD75" s="9">
        <f>SUM(N75:AB75)</f>
        <v>712700</v>
      </c>
      <c r="AE75" s="9">
        <f>SUM(N76:AB76)</f>
        <v>19825</v>
      </c>
      <c r="AF75" s="9">
        <f>SUM(N77:AB77)</f>
        <v>12125</v>
      </c>
      <c r="AG75" s="9">
        <f t="shared" ref="AG75:AL75" si="29">E75</f>
        <v>110990</v>
      </c>
      <c r="AH75" s="9">
        <f t="shared" si="29"/>
        <v>4175</v>
      </c>
      <c r="AI75" s="9">
        <f t="shared" si="29"/>
        <v>2685</v>
      </c>
      <c r="AJ75" s="9">
        <f t="shared" si="29"/>
        <v>690151</v>
      </c>
      <c r="AK75" s="9">
        <f t="shared" si="29"/>
        <v>18974</v>
      </c>
      <c r="AL75" s="9">
        <f t="shared" si="29"/>
        <v>12202</v>
      </c>
      <c r="AM75" s="2"/>
      <c r="AN75" s="9">
        <f t="shared" si="27"/>
        <v>0</v>
      </c>
      <c r="AO75" s="9">
        <f t="shared" si="27"/>
        <v>0</v>
      </c>
      <c r="AP75" s="9">
        <f t="shared" si="27"/>
        <v>0</v>
      </c>
      <c r="AQ75" s="5"/>
      <c r="AR75" s="41">
        <f>C75/B75*1000</f>
        <v>27.816753192086434</v>
      </c>
      <c r="AS75" s="41">
        <f>D75/B75*1000</f>
        <v>17.012768345727515</v>
      </c>
      <c r="AT75" s="42"/>
      <c r="AU75" s="41">
        <f>AR75-K75</f>
        <v>1.6753192086433444E-2</v>
      </c>
      <c r="AV75" s="41">
        <f>AS75-L75</f>
        <v>1.2768345727515396E-2</v>
      </c>
      <c r="AW75" s="5"/>
    </row>
    <row r="76" spans="1:55" s="2" customFormat="1" x14ac:dyDescent="0.55000000000000004">
      <c r="A76" s="1" t="s">
        <v>88</v>
      </c>
      <c r="B76" s="3"/>
      <c r="C76" s="3"/>
      <c r="D76" s="3"/>
      <c r="E76" s="3"/>
      <c r="F76" s="3"/>
      <c r="G76" s="3"/>
      <c r="H76" s="3"/>
      <c r="I76" s="3"/>
      <c r="J76" s="3"/>
      <c r="K76" s="28"/>
      <c r="L76" s="28"/>
      <c r="M76" s="3"/>
      <c r="N76" s="3">
        <v>2980</v>
      </c>
      <c r="O76" s="3">
        <v>1510</v>
      </c>
      <c r="P76" s="3">
        <v>1210</v>
      </c>
      <c r="Q76" s="3">
        <v>3120</v>
      </c>
      <c r="R76" s="3">
        <v>2000</v>
      </c>
      <c r="S76" s="3">
        <v>1525</v>
      </c>
      <c r="T76" s="3">
        <v>2080</v>
      </c>
      <c r="U76" s="3">
        <v>2020</v>
      </c>
      <c r="V76" s="3">
        <v>1560</v>
      </c>
      <c r="W76" s="3">
        <v>1820</v>
      </c>
      <c r="X76" s="3"/>
      <c r="Y76" s="3"/>
      <c r="Z76" s="3"/>
      <c r="AA76" s="3"/>
    </row>
    <row r="77" spans="1:55" s="2" customFormat="1" x14ac:dyDescent="0.55000000000000004">
      <c r="A77" s="1" t="s">
        <v>89</v>
      </c>
      <c r="B77" s="3"/>
      <c r="C77" s="3"/>
      <c r="D77" s="3"/>
      <c r="E77" s="3"/>
      <c r="F77" s="3"/>
      <c r="G77" s="3"/>
      <c r="H77" s="3"/>
      <c r="I77" s="3"/>
      <c r="J77" s="3"/>
      <c r="K77" s="28"/>
      <c r="L77" s="28"/>
      <c r="M77" s="3"/>
      <c r="N77" s="3">
        <v>2200</v>
      </c>
      <c r="O77" s="3">
        <v>1030</v>
      </c>
      <c r="P77" s="3">
        <v>810</v>
      </c>
      <c r="Q77" s="3">
        <v>1800</v>
      </c>
      <c r="R77" s="3">
        <v>1155</v>
      </c>
      <c r="S77" s="3">
        <v>920</v>
      </c>
      <c r="T77" s="3">
        <v>1080</v>
      </c>
      <c r="U77" s="3">
        <v>1200</v>
      </c>
      <c r="V77" s="3">
        <v>875</v>
      </c>
      <c r="W77" s="3">
        <v>1055</v>
      </c>
      <c r="X77" s="3"/>
      <c r="Y77" s="3"/>
      <c r="Z77" s="3"/>
      <c r="AA77" s="3"/>
    </row>
    <row r="78" spans="1:55" s="8" customFormat="1" x14ac:dyDescent="0.55000000000000004">
      <c r="A78" s="6" t="s">
        <v>90</v>
      </c>
      <c r="B78" s="7">
        <v>1260653</v>
      </c>
      <c r="C78" s="7">
        <v>36361</v>
      </c>
      <c r="D78" s="7">
        <v>25016</v>
      </c>
      <c r="E78" s="7">
        <v>248574</v>
      </c>
      <c r="F78" s="7">
        <v>7737</v>
      </c>
      <c r="G78" s="7">
        <v>6502</v>
      </c>
      <c r="H78" s="7">
        <v>1239268</v>
      </c>
      <c r="I78" s="7">
        <v>36781</v>
      </c>
      <c r="J78" s="7">
        <v>26740</v>
      </c>
      <c r="K78" s="31">
        <v>28.8</v>
      </c>
      <c r="L78" s="31">
        <v>19.8</v>
      </c>
      <c r="M78" s="3"/>
      <c r="N78" s="7">
        <v>322941</v>
      </c>
      <c r="O78" s="7">
        <v>121393</v>
      </c>
      <c r="P78" s="7">
        <v>134812</v>
      </c>
      <c r="Q78" s="7">
        <v>100655</v>
      </c>
      <c r="R78" s="7">
        <v>122398</v>
      </c>
      <c r="S78" s="7">
        <v>192893</v>
      </c>
      <c r="T78" s="7">
        <v>102650</v>
      </c>
      <c r="U78" s="7">
        <v>102205</v>
      </c>
      <c r="V78" s="7">
        <v>60706</v>
      </c>
      <c r="W78" s="7"/>
      <c r="X78" s="7"/>
      <c r="Y78" s="7"/>
      <c r="Z78" s="7"/>
      <c r="AA78" s="7"/>
      <c r="AC78" s="2"/>
      <c r="AD78" s="9">
        <f>SUM(N78:AB78)</f>
        <v>1260653</v>
      </c>
      <c r="AE78" s="9">
        <f>SUM(N79:AB79)</f>
        <v>36361</v>
      </c>
      <c r="AF78" s="9">
        <f>SUM(N80:AB80)</f>
        <v>25016</v>
      </c>
      <c r="AG78" s="9">
        <f t="shared" ref="AG78:AL78" si="30">E78</f>
        <v>248574</v>
      </c>
      <c r="AH78" s="9">
        <f t="shared" si="30"/>
        <v>7737</v>
      </c>
      <c r="AI78" s="9">
        <f t="shared" si="30"/>
        <v>6502</v>
      </c>
      <c r="AJ78" s="9">
        <f t="shared" si="30"/>
        <v>1239268</v>
      </c>
      <c r="AK78" s="9">
        <f t="shared" si="30"/>
        <v>36781</v>
      </c>
      <c r="AL78" s="9">
        <f t="shared" si="30"/>
        <v>26740</v>
      </c>
      <c r="AM78" s="2"/>
      <c r="AN78" s="9">
        <f>AD78-B78</f>
        <v>0</v>
      </c>
      <c r="AO78" s="9">
        <f>AE78-C78</f>
        <v>0</v>
      </c>
      <c r="AP78" s="9">
        <f>AF78-D78</f>
        <v>0</v>
      </c>
      <c r="AQ78" s="5"/>
      <c r="AR78" s="41">
        <f>C78/B78*1000</f>
        <v>28.842988514682471</v>
      </c>
      <c r="AS78" s="41">
        <f>D78/B78*1000</f>
        <v>19.843684185894137</v>
      </c>
      <c r="AT78" s="42"/>
      <c r="AU78" s="41">
        <f>AR78-K78</f>
        <v>4.2988514682470225E-2</v>
      </c>
      <c r="AV78" s="41">
        <f>AS78-L78</f>
        <v>4.3684185894136363E-2</v>
      </c>
      <c r="AW78" s="5"/>
    </row>
    <row r="79" spans="1:55" s="2" customFormat="1" x14ac:dyDescent="0.55000000000000004">
      <c r="A79" s="1" t="s">
        <v>91</v>
      </c>
      <c r="B79" s="3"/>
      <c r="C79" s="3"/>
      <c r="D79" s="3"/>
      <c r="E79" s="3"/>
      <c r="F79" s="3"/>
      <c r="G79" s="3"/>
      <c r="H79" s="3"/>
      <c r="I79" s="3"/>
      <c r="J79" s="3"/>
      <c r="K79" s="28"/>
      <c r="L79" s="28"/>
      <c r="M79" s="3"/>
      <c r="N79" s="3">
        <v>9384</v>
      </c>
      <c r="O79" s="3">
        <v>3627</v>
      </c>
      <c r="P79" s="3">
        <v>3080</v>
      </c>
      <c r="Q79" s="3">
        <v>3319</v>
      </c>
      <c r="R79" s="3">
        <v>3859</v>
      </c>
      <c r="S79" s="3">
        <v>5580</v>
      </c>
      <c r="T79" s="3">
        <v>2929</v>
      </c>
      <c r="U79" s="3">
        <v>2794</v>
      </c>
      <c r="V79" s="3">
        <v>1789</v>
      </c>
      <c r="W79" s="3"/>
      <c r="X79" s="3"/>
      <c r="Y79" s="3"/>
      <c r="Z79" s="3"/>
      <c r="AA79" s="3"/>
    </row>
    <row r="80" spans="1:55" s="2" customFormat="1" x14ac:dyDescent="0.55000000000000004">
      <c r="A80" s="1" t="s">
        <v>92</v>
      </c>
      <c r="B80" s="3"/>
      <c r="C80" s="3"/>
      <c r="D80" s="3"/>
      <c r="E80" s="3"/>
      <c r="F80" s="3"/>
      <c r="G80" s="3"/>
      <c r="H80" s="3"/>
      <c r="I80" s="3"/>
      <c r="J80" s="3"/>
      <c r="K80" s="28"/>
      <c r="L80" s="28"/>
      <c r="M80" s="3"/>
      <c r="N80" s="3">
        <v>7035</v>
      </c>
      <c r="O80" s="3">
        <v>2390</v>
      </c>
      <c r="P80" s="3">
        <v>2064</v>
      </c>
      <c r="Q80" s="3">
        <v>1779</v>
      </c>
      <c r="R80" s="3">
        <v>2656</v>
      </c>
      <c r="S80" s="3">
        <v>3769</v>
      </c>
      <c r="T80" s="3">
        <v>2051</v>
      </c>
      <c r="U80" s="3">
        <v>1795</v>
      </c>
      <c r="V80" s="3">
        <v>1477</v>
      </c>
      <c r="W80" s="3"/>
      <c r="X80" s="3"/>
      <c r="Y80" s="3"/>
      <c r="Z80" s="3"/>
      <c r="AA80" s="3"/>
    </row>
    <row r="81" spans="1:55" s="8" customFormat="1" x14ac:dyDescent="0.55000000000000004">
      <c r="A81" s="6" t="s">
        <v>93</v>
      </c>
      <c r="B81" s="7">
        <v>404709</v>
      </c>
      <c r="C81" s="7">
        <v>11872</v>
      </c>
      <c r="D81" s="7">
        <v>7255</v>
      </c>
      <c r="E81" s="7">
        <v>61687</v>
      </c>
      <c r="F81" s="7">
        <v>1778</v>
      </c>
      <c r="G81" s="7">
        <v>1422</v>
      </c>
      <c r="H81" s="7">
        <v>396539</v>
      </c>
      <c r="I81" s="7">
        <v>11852</v>
      </c>
      <c r="J81" s="7">
        <v>8592</v>
      </c>
      <c r="K81" s="31">
        <v>29.3</v>
      </c>
      <c r="L81" s="31">
        <v>18</v>
      </c>
      <c r="M81" s="3"/>
      <c r="N81" s="7">
        <v>146946</v>
      </c>
      <c r="O81" s="7">
        <v>120167</v>
      </c>
      <c r="P81" s="7">
        <v>53655</v>
      </c>
      <c r="Q81" s="7">
        <v>83941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C81" s="2"/>
      <c r="AD81" s="9">
        <f>SUM(N81:AB81)</f>
        <v>404709</v>
      </c>
      <c r="AE81" s="9">
        <f>SUM(N82:AB82)</f>
        <v>11872</v>
      </c>
      <c r="AF81" s="9">
        <f>SUM(N83:AB83)</f>
        <v>7255</v>
      </c>
      <c r="AG81" s="9">
        <f t="shared" ref="AG81:AL81" si="31">E81</f>
        <v>61687</v>
      </c>
      <c r="AH81" s="9">
        <f t="shared" si="31"/>
        <v>1778</v>
      </c>
      <c r="AI81" s="9">
        <f t="shared" si="31"/>
        <v>1422</v>
      </c>
      <c r="AJ81" s="9">
        <f t="shared" si="31"/>
        <v>396539</v>
      </c>
      <c r="AK81" s="9">
        <f t="shared" si="31"/>
        <v>11852</v>
      </c>
      <c r="AL81" s="9">
        <f t="shared" si="31"/>
        <v>8592</v>
      </c>
      <c r="AM81" s="2"/>
      <c r="AN81" s="9">
        <f>AD81-B81</f>
        <v>0</v>
      </c>
      <c r="AO81" s="9">
        <f>AE81-C81</f>
        <v>0</v>
      </c>
      <c r="AP81" s="9">
        <f>AF81-D81</f>
        <v>0</v>
      </c>
      <c r="AQ81" s="5"/>
      <c r="AR81" s="41">
        <f>C81/B81*1000</f>
        <v>29.33465774173542</v>
      </c>
      <c r="AS81" s="41">
        <f>D81/B81*1000</f>
        <v>17.926460740927432</v>
      </c>
      <c r="AT81" s="42"/>
      <c r="AU81" s="41">
        <f>AR81-K81</f>
        <v>3.4657741735419023E-2</v>
      </c>
      <c r="AV81" s="41">
        <f>AS81-L81</f>
        <v>-7.3539259072568086E-2</v>
      </c>
      <c r="AW81" s="5"/>
    </row>
    <row r="82" spans="1:55" s="2" customFormat="1" x14ac:dyDescent="0.55000000000000004">
      <c r="A82" s="1" t="s">
        <v>94</v>
      </c>
      <c r="B82" s="3"/>
      <c r="C82" s="3"/>
      <c r="D82" s="3"/>
      <c r="E82" s="3"/>
      <c r="F82" s="3"/>
      <c r="G82" s="3"/>
      <c r="H82" s="3"/>
      <c r="I82" s="3"/>
      <c r="J82" s="3"/>
      <c r="K82" s="28"/>
      <c r="L82" s="28"/>
      <c r="M82" s="3"/>
      <c r="N82" s="3">
        <v>4301</v>
      </c>
      <c r="O82" s="3">
        <v>3749</v>
      </c>
      <c r="P82" s="3">
        <v>1509</v>
      </c>
      <c r="Q82" s="3">
        <v>2313</v>
      </c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55" s="2" customFormat="1" x14ac:dyDescent="0.55000000000000004">
      <c r="A83" s="1" t="s">
        <v>95</v>
      </c>
      <c r="B83" s="3"/>
      <c r="C83" s="3"/>
      <c r="D83" s="3"/>
      <c r="E83" s="3"/>
      <c r="F83" s="3"/>
      <c r="G83" s="3"/>
      <c r="H83" s="3"/>
      <c r="I83" s="3"/>
      <c r="J83" s="3"/>
      <c r="K83" s="28"/>
      <c r="L83" s="28"/>
      <c r="M83" s="3"/>
      <c r="N83" s="3">
        <v>2742</v>
      </c>
      <c r="O83" s="3">
        <v>2222</v>
      </c>
      <c r="P83" s="3">
        <v>925</v>
      </c>
      <c r="Q83" s="3">
        <v>1366</v>
      </c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55" s="13" customFormat="1" x14ac:dyDescent="0.55000000000000004">
      <c r="A84" s="11" t="s">
        <v>96</v>
      </c>
      <c r="B84" s="12">
        <v>2378062</v>
      </c>
      <c r="C84" s="12">
        <v>68058</v>
      </c>
      <c r="D84" s="12">
        <v>44396</v>
      </c>
      <c r="E84" s="12">
        <v>420651</v>
      </c>
      <c r="F84" s="12">
        <v>13690</v>
      </c>
      <c r="G84" s="12">
        <v>10609</v>
      </c>
      <c r="H84" s="12">
        <v>2325955</v>
      </c>
      <c r="I84" s="12">
        <v>67607</v>
      </c>
      <c r="J84" s="12">
        <v>47537</v>
      </c>
      <c r="K84" s="32">
        <v>28.6</v>
      </c>
      <c r="L84" s="32">
        <v>18.600000000000001</v>
      </c>
      <c r="M84" s="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C84" s="2"/>
      <c r="AD84" s="14">
        <f>SUM(AD75:AD83)</f>
        <v>2378062</v>
      </c>
      <c r="AE84" s="14">
        <f t="shared" ref="AE84:AL84" si="32">SUM(AE75:AE83)</f>
        <v>68058</v>
      </c>
      <c r="AF84" s="14">
        <f t="shared" si="32"/>
        <v>44396</v>
      </c>
      <c r="AG84" s="14">
        <f t="shared" si="32"/>
        <v>421251</v>
      </c>
      <c r="AH84" s="14">
        <f t="shared" si="32"/>
        <v>13690</v>
      </c>
      <c r="AI84" s="14">
        <f t="shared" si="32"/>
        <v>10609</v>
      </c>
      <c r="AJ84" s="14">
        <f t="shared" si="32"/>
        <v>2325958</v>
      </c>
      <c r="AK84" s="14">
        <f t="shared" si="32"/>
        <v>67607</v>
      </c>
      <c r="AL84" s="14">
        <f t="shared" si="32"/>
        <v>47534</v>
      </c>
      <c r="AM84" s="2"/>
      <c r="AN84" s="14">
        <f t="shared" ref="AN84:AP85" si="33">AD84-B84</f>
        <v>0</v>
      </c>
      <c r="AO84" s="14">
        <f t="shared" si="33"/>
        <v>0</v>
      </c>
      <c r="AP84" s="14">
        <f t="shared" si="33"/>
        <v>0</v>
      </c>
      <c r="AQ84" s="5"/>
      <c r="AR84" s="41">
        <f>C84/B84*1000</f>
        <v>28.619102445604867</v>
      </c>
      <c r="AS84" s="41">
        <f>D84/B84*1000</f>
        <v>18.668983399087157</v>
      </c>
      <c r="AT84" s="42"/>
      <c r="AU84" s="41">
        <f>AR84-K84</f>
        <v>1.9102445604865181E-2</v>
      </c>
      <c r="AV84" s="41">
        <f>AS84-L84</f>
        <v>6.8983399087155561E-2</v>
      </c>
      <c r="AW84" s="5"/>
      <c r="AX84" s="14">
        <f t="shared" ref="AX84:BC84" si="34">E84-AG84</f>
        <v>-600</v>
      </c>
      <c r="AY84" s="14">
        <f t="shared" si="34"/>
        <v>0</v>
      </c>
      <c r="AZ84" s="14">
        <f t="shared" si="34"/>
        <v>0</v>
      </c>
      <c r="BA84" s="14">
        <f t="shared" si="34"/>
        <v>-3</v>
      </c>
      <c r="BB84" s="14">
        <f t="shared" si="34"/>
        <v>0</v>
      </c>
      <c r="BC84" s="14">
        <f t="shared" si="34"/>
        <v>3</v>
      </c>
    </row>
    <row r="85" spans="1:55" s="8" customFormat="1" x14ac:dyDescent="0.55000000000000004">
      <c r="A85" s="6" t="s">
        <v>97</v>
      </c>
      <c r="B85" s="7">
        <v>1579766</v>
      </c>
      <c r="C85" s="7">
        <v>74644</v>
      </c>
      <c r="D85" s="7">
        <v>50841</v>
      </c>
      <c r="E85" s="7">
        <v>276917</v>
      </c>
      <c r="F85" s="7">
        <v>8897</v>
      </c>
      <c r="G85" s="7">
        <v>6349</v>
      </c>
      <c r="H85" s="7">
        <v>1556699</v>
      </c>
      <c r="I85" s="7">
        <v>73585</v>
      </c>
      <c r="J85" s="7">
        <v>49630</v>
      </c>
      <c r="K85" s="31">
        <v>47.2</v>
      </c>
      <c r="L85" s="31">
        <v>32.200000000000003</v>
      </c>
      <c r="M85" s="3"/>
      <c r="N85" s="7">
        <v>258185</v>
      </c>
      <c r="O85" s="7">
        <v>276569</v>
      </c>
      <c r="P85" s="7">
        <v>163711</v>
      </c>
      <c r="Q85" s="7">
        <v>185350</v>
      </c>
      <c r="R85" s="7">
        <v>165527</v>
      </c>
      <c r="S85" s="7">
        <v>174979</v>
      </c>
      <c r="T85" s="7">
        <v>202354</v>
      </c>
      <c r="U85" s="7">
        <v>153091</v>
      </c>
      <c r="V85" s="7"/>
      <c r="W85" s="7"/>
      <c r="X85" s="7"/>
      <c r="Y85" s="7"/>
      <c r="Z85" s="7"/>
      <c r="AA85" s="7"/>
      <c r="AC85" s="2"/>
      <c r="AD85" s="9">
        <f>SUM(N85:AB85)</f>
        <v>1579766</v>
      </c>
      <c r="AE85" s="9">
        <f>SUM(N86:AB86)</f>
        <v>74644</v>
      </c>
      <c r="AF85" s="9">
        <f>SUM(N87:AB87)</f>
        <v>50841</v>
      </c>
      <c r="AG85" s="9">
        <f t="shared" ref="AG85:AL85" si="35">E85</f>
        <v>276917</v>
      </c>
      <c r="AH85" s="9">
        <f t="shared" si="35"/>
        <v>8897</v>
      </c>
      <c r="AI85" s="9">
        <f t="shared" si="35"/>
        <v>6349</v>
      </c>
      <c r="AJ85" s="9">
        <f t="shared" si="35"/>
        <v>1556699</v>
      </c>
      <c r="AK85" s="9">
        <f t="shared" si="35"/>
        <v>73585</v>
      </c>
      <c r="AL85" s="9">
        <f t="shared" si="35"/>
        <v>49630</v>
      </c>
      <c r="AM85" s="2"/>
      <c r="AN85" s="9">
        <f t="shared" si="33"/>
        <v>0</v>
      </c>
      <c r="AO85" s="9">
        <f t="shared" si="33"/>
        <v>0</v>
      </c>
      <c r="AP85" s="9">
        <f t="shared" si="33"/>
        <v>0</v>
      </c>
      <c r="AQ85" s="5"/>
      <c r="AR85" s="41">
        <f>C85/B85*1000</f>
        <v>47.250035764790482</v>
      </c>
      <c r="AS85" s="41">
        <f>D85/B85*1000</f>
        <v>32.18261438719405</v>
      </c>
      <c r="AT85" s="42"/>
      <c r="AU85" s="41">
        <f>AR85-K85</f>
        <v>5.003576479047922E-2</v>
      </c>
      <c r="AV85" s="41">
        <f>AS85-L85</f>
        <v>-1.7385612805952633E-2</v>
      </c>
      <c r="AW85" s="5"/>
    </row>
    <row r="86" spans="1:55" s="2" customFormat="1" x14ac:dyDescent="0.55000000000000004">
      <c r="A86" s="1" t="s">
        <v>98</v>
      </c>
      <c r="B86" s="3"/>
      <c r="C86" s="3"/>
      <c r="D86" s="3"/>
      <c r="E86" s="3"/>
      <c r="F86" s="3"/>
      <c r="G86" s="3"/>
      <c r="H86" s="3"/>
      <c r="I86" s="3"/>
      <c r="J86" s="3"/>
      <c r="K86" s="28"/>
      <c r="L86" s="28"/>
      <c r="M86" s="3"/>
      <c r="N86" s="3">
        <v>10389</v>
      </c>
      <c r="O86" s="3">
        <v>11741</v>
      </c>
      <c r="P86" s="3">
        <v>8429</v>
      </c>
      <c r="Q86" s="3">
        <v>9595</v>
      </c>
      <c r="R86" s="3">
        <v>7791</v>
      </c>
      <c r="S86" s="3">
        <v>7534</v>
      </c>
      <c r="T86" s="3">
        <v>11144</v>
      </c>
      <c r="U86" s="3">
        <v>8021</v>
      </c>
      <c r="V86" s="3"/>
      <c r="W86" s="3"/>
      <c r="X86" s="3"/>
      <c r="Y86" s="3"/>
      <c r="Z86" s="3"/>
      <c r="AA86" s="3"/>
    </row>
    <row r="87" spans="1:55" s="2" customFormat="1" x14ac:dyDescent="0.55000000000000004">
      <c r="A87" s="1" t="s">
        <v>99</v>
      </c>
      <c r="B87" s="3"/>
      <c r="C87" s="3"/>
      <c r="D87" s="3"/>
      <c r="E87" s="3"/>
      <c r="F87" s="3"/>
      <c r="G87" s="3"/>
      <c r="H87" s="3"/>
      <c r="I87" s="3"/>
      <c r="J87" s="3"/>
      <c r="K87" s="28"/>
      <c r="L87" s="28"/>
      <c r="M87" s="3"/>
      <c r="N87" s="3">
        <v>6983</v>
      </c>
      <c r="O87" s="3">
        <v>6745</v>
      </c>
      <c r="P87" s="3">
        <v>5954</v>
      </c>
      <c r="Q87" s="3">
        <v>5630</v>
      </c>
      <c r="R87" s="3">
        <v>5495</v>
      </c>
      <c r="S87" s="3">
        <v>5689</v>
      </c>
      <c r="T87" s="3">
        <v>8265</v>
      </c>
      <c r="U87" s="3">
        <v>6080</v>
      </c>
      <c r="V87" s="3"/>
      <c r="W87" s="3"/>
      <c r="X87" s="3"/>
      <c r="Y87" s="3"/>
      <c r="Z87" s="3"/>
      <c r="AA87" s="3"/>
    </row>
    <row r="88" spans="1:55" s="8" customFormat="1" x14ac:dyDescent="0.55000000000000004">
      <c r="A88" s="6" t="s">
        <v>100</v>
      </c>
      <c r="B88" s="7">
        <v>1511926</v>
      </c>
      <c r="C88" s="7">
        <v>78774</v>
      </c>
      <c r="D88" s="7">
        <v>65493</v>
      </c>
      <c r="E88" s="7">
        <v>108816</v>
      </c>
      <c r="F88" s="7">
        <v>7110</v>
      </c>
      <c r="G88" s="7">
        <v>4932</v>
      </c>
      <c r="H88" s="7">
        <v>1441398</v>
      </c>
      <c r="I88" s="7">
        <v>75901</v>
      </c>
      <c r="J88" s="7">
        <v>58278</v>
      </c>
      <c r="K88" s="31">
        <v>52.1</v>
      </c>
      <c r="L88" s="31">
        <v>43.3</v>
      </c>
      <c r="M88" s="3"/>
      <c r="N88" s="7">
        <v>164831</v>
      </c>
      <c r="O88" s="7">
        <v>103255</v>
      </c>
      <c r="P88" s="7">
        <v>90937</v>
      </c>
      <c r="Q88" s="7">
        <v>106235</v>
      </c>
      <c r="R88" s="7">
        <v>120456</v>
      </c>
      <c r="S88" s="7">
        <v>134355</v>
      </c>
      <c r="T88" s="7">
        <v>119250</v>
      </c>
      <c r="U88" s="7">
        <v>93700</v>
      </c>
      <c r="V88" s="7">
        <v>120236</v>
      </c>
      <c r="W88" s="7">
        <v>87766</v>
      </c>
      <c r="X88" s="7">
        <v>115721</v>
      </c>
      <c r="Y88" s="7">
        <v>148341</v>
      </c>
      <c r="Z88" s="7">
        <v>106843</v>
      </c>
      <c r="AA88" s="7"/>
      <c r="AC88" s="2"/>
      <c r="AD88" s="9">
        <f>SUM(N88:AB88)</f>
        <v>1511926</v>
      </c>
      <c r="AE88" s="9">
        <f>SUM(N89:AB89)</f>
        <v>78774</v>
      </c>
      <c r="AF88" s="9">
        <f>SUM(N90:AB90)</f>
        <v>65493</v>
      </c>
      <c r="AG88" s="9">
        <f t="shared" ref="AG88:AL88" si="36">E88</f>
        <v>108816</v>
      </c>
      <c r="AH88" s="9">
        <f t="shared" si="36"/>
        <v>7110</v>
      </c>
      <c r="AI88" s="9">
        <f t="shared" si="36"/>
        <v>4932</v>
      </c>
      <c r="AJ88" s="9">
        <f t="shared" si="36"/>
        <v>1441398</v>
      </c>
      <c r="AK88" s="9">
        <f t="shared" si="36"/>
        <v>75901</v>
      </c>
      <c r="AL88" s="9">
        <f t="shared" si="36"/>
        <v>58278</v>
      </c>
      <c r="AM88" s="2"/>
      <c r="AN88" s="9">
        <f>AD88-B88</f>
        <v>0</v>
      </c>
      <c r="AO88" s="9">
        <f>AE88-C88</f>
        <v>0</v>
      </c>
      <c r="AP88" s="9">
        <f>AF88-D88</f>
        <v>0</v>
      </c>
      <c r="AQ88" s="5"/>
      <c r="AR88" s="41">
        <f>C88/B88*1000</f>
        <v>52.101756302887836</v>
      </c>
      <c r="AS88" s="41">
        <f>D88/B88*1000</f>
        <v>43.317596231561595</v>
      </c>
      <c r="AT88" s="42"/>
      <c r="AU88" s="41">
        <f>AR88-K88</f>
        <v>1.7563028878342379E-3</v>
      </c>
      <c r="AV88" s="41">
        <f>AS88-L88</f>
        <v>1.7596231561597619E-2</v>
      </c>
      <c r="AW88" s="5"/>
    </row>
    <row r="89" spans="1:55" s="2" customFormat="1" x14ac:dyDescent="0.55000000000000004">
      <c r="A89" s="1" t="s">
        <v>101</v>
      </c>
      <c r="B89" s="3"/>
      <c r="C89" s="3"/>
      <c r="D89" s="3"/>
      <c r="E89" s="3"/>
      <c r="F89" s="3"/>
      <c r="G89" s="3"/>
      <c r="H89" s="3"/>
      <c r="I89" s="3"/>
      <c r="J89" s="3"/>
      <c r="K89" s="28"/>
      <c r="L89" s="28"/>
      <c r="M89" s="3"/>
      <c r="N89" s="3">
        <v>7765</v>
      </c>
      <c r="O89" s="3">
        <v>4011</v>
      </c>
      <c r="P89" s="3">
        <v>4684</v>
      </c>
      <c r="Q89" s="3">
        <v>5079</v>
      </c>
      <c r="R89" s="3">
        <v>6098</v>
      </c>
      <c r="S89" s="3">
        <v>7580</v>
      </c>
      <c r="T89" s="3">
        <v>6933</v>
      </c>
      <c r="U89" s="3">
        <v>4704</v>
      </c>
      <c r="V89" s="3">
        <v>7972</v>
      </c>
      <c r="W89" s="3">
        <v>4824</v>
      </c>
      <c r="X89" s="3">
        <v>6449</v>
      </c>
      <c r="Y89" s="3">
        <v>7158</v>
      </c>
      <c r="Z89" s="3">
        <v>5517</v>
      </c>
      <c r="AA89" s="3"/>
    </row>
    <row r="90" spans="1:55" s="2" customFormat="1" x14ac:dyDescent="0.55000000000000004">
      <c r="A90" s="1" t="s">
        <v>102</v>
      </c>
      <c r="B90" s="3"/>
      <c r="C90" s="3"/>
      <c r="D90" s="3"/>
      <c r="E90" s="3"/>
      <c r="F90" s="3"/>
      <c r="G90" s="3"/>
      <c r="H90" s="3"/>
      <c r="I90" s="3"/>
      <c r="J90" s="3"/>
      <c r="K90" s="28"/>
      <c r="L90" s="28"/>
      <c r="M90" s="3"/>
      <c r="N90" s="3">
        <v>6854</v>
      </c>
      <c r="O90" s="3">
        <v>3675</v>
      </c>
      <c r="P90" s="3">
        <v>3879</v>
      </c>
      <c r="Q90" s="3">
        <v>3504</v>
      </c>
      <c r="R90" s="3">
        <v>4951</v>
      </c>
      <c r="S90" s="3">
        <v>6173</v>
      </c>
      <c r="T90" s="3">
        <v>5635</v>
      </c>
      <c r="U90" s="3">
        <v>4148</v>
      </c>
      <c r="V90" s="3">
        <v>6678</v>
      </c>
      <c r="W90" s="3">
        <v>3925</v>
      </c>
      <c r="X90" s="3">
        <v>5334</v>
      </c>
      <c r="Y90" s="3">
        <v>6060</v>
      </c>
      <c r="Z90" s="3">
        <v>4677</v>
      </c>
      <c r="AA90" s="3"/>
      <c r="AD90" s="5"/>
      <c r="AE90" s="5"/>
      <c r="AF90" s="5"/>
      <c r="AG90" s="5"/>
      <c r="AH90" s="5"/>
      <c r="AI90" s="5"/>
      <c r="AJ90" s="5"/>
      <c r="AK90" s="5"/>
      <c r="AL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55" s="8" customFormat="1" x14ac:dyDescent="0.55000000000000004">
      <c r="A91" s="6" t="s">
        <v>103</v>
      </c>
      <c r="B91" s="7">
        <v>1282886</v>
      </c>
      <c r="C91" s="7">
        <v>56538</v>
      </c>
      <c r="D91" s="7">
        <v>43009</v>
      </c>
      <c r="E91" s="7">
        <v>43968</v>
      </c>
      <c r="F91" s="7">
        <v>1738</v>
      </c>
      <c r="G91" s="7">
        <v>1586</v>
      </c>
      <c r="H91" s="7">
        <v>1255613</v>
      </c>
      <c r="I91" s="7">
        <v>55161</v>
      </c>
      <c r="J91" s="7">
        <v>39459</v>
      </c>
      <c r="K91" s="31">
        <v>44.1</v>
      </c>
      <c r="L91" s="31">
        <v>33.5</v>
      </c>
      <c r="M91" s="3"/>
      <c r="N91" s="7">
        <v>163549</v>
      </c>
      <c r="O91" s="7">
        <v>102418</v>
      </c>
      <c r="P91" s="7">
        <v>103969</v>
      </c>
      <c r="Q91" s="7">
        <v>181689</v>
      </c>
      <c r="R91" s="7">
        <v>181918</v>
      </c>
      <c r="S91" s="7">
        <v>119151</v>
      </c>
      <c r="T91" s="7">
        <v>147062</v>
      </c>
      <c r="U91" s="7">
        <v>100154</v>
      </c>
      <c r="V91" s="7">
        <v>134993</v>
      </c>
      <c r="W91" s="7">
        <v>47983</v>
      </c>
      <c r="X91" s="7"/>
      <c r="Y91" s="7"/>
      <c r="Z91" s="7"/>
      <c r="AA91" s="7"/>
      <c r="AC91" s="2"/>
      <c r="AD91" s="9">
        <f>SUM(N91:AB91)</f>
        <v>1282886</v>
      </c>
      <c r="AE91" s="9">
        <f>SUM(N92:AB92)</f>
        <v>56538</v>
      </c>
      <c r="AF91" s="9">
        <f>SUM(N93:AB93)</f>
        <v>43009</v>
      </c>
      <c r="AG91" s="9">
        <f t="shared" ref="AG91:AL91" si="37">E91</f>
        <v>43968</v>
      </c>
      <c r="AH91" s="9">
        <f t="shared" si="37"/>
        <v>1738</v>
      </c>
      <c r="AI91" s="9">
        <f t="shared" si="37"/>
        <v>1586</v>
      </c>
      <c r="AJ91" s="9">
        <f t="shared" si="37"/>
        <v>1255613</v>
      </c>
      <c r="AK91" s="9">
        <f t="shared" si="37"/>
        <v>55161</v>
      </c>
      <c r="AL91" s="9">
        <f t="shared" si="37"/>
        <v>39459</v>
      </c>
      <c r="AM91" s="2"/>
      <c r="AN91" s="9">
        <f>AD91-B91</f>
        <v>0</v>
      </c>
      <c r="AO91" s="9">
        <f>AE91-C91</f>
        <v>0</v>
      </c>
      <c r="AP91" s="9">
        <f>AF91-D91</f>
        <v>0</v>
      </c>
      <c r="AQ91" s="5"/>
      <c r="AR91" s="41">
        <f>C91/B91*1000</f>
        <v>44.070946288290621</v>
      </c>
      <c r="AS91" s="41">
        <f>D91/B91*1000</f>
        <v>33.525192417720675</v>
      </c>
      <c r="AT91" s="42"/>
      <c r="AU91" s="41">
        <f>AR91-K91</f>
        <v>-2.9053711709380536E-2</v>
      </c>
      <c r="AV91" s="41">
        <f>AS91-L91</f>
        <v>2.5192417720674598E-2</v>
      </c>
      <c r="AW91" s="5"/>
    </row>
    <row r="92" spans="1:55" s="2" customFormat="1" x14ac:dyDescent="0.55000000000000004">
      <c r="A92" s="1" t="s">
        <v>104</v>
      </c>
      <c r="B92" s="3"/>
      <c r="C92" s="3"/>
      <c r="D92" s="3"/>
      <c r="E92" s="3"/>
      <c r="F92" s="3"/>
      <c r="G92" s="3"/>
      <c r="H92" s="3"/>
      <c r="I92" s="3"/>
      <c r="J92" s="3"/>
      <c r="K92" s="28"/>
      <c r="L92" s="28"/>
      <c r="M92" s="3"/>
      <c r="N92" s="3">
        <v>6233</v>
      </c>
      <c r="O92" s="3">
        <v>4207</v>
      </c>
      <c r="P92" s="3">
        <v>4417</v>
      </c>
      <c r="Q92" s="3">
        <v>8052</v>
      </c>
      <c r="R92" s="3">
        <v>9285</v>
      </c>
      <c r="S92" s="3">
        <v>5362</v>
      </c>
      <c r="T92" s="3">
        <v>6471</v>
      </c>
      <c r="U92" s="3">
        <v>4103</v>
      </c>
      <c r="V92" s="3">
        <v>6414</v>
      </c>
      <c r="W92" s="3">
        <v>1994</v>
      </c>
      <c r="X92" s="3"/>
      <c r="Y92" s="3"/>
      <c r="Z92" s="3"/>
      <c r="AA92" s="3"/>
    </row>
    <row r="93" spans="1:55" s="2" customFormat="1" x14ac:dyDescent="0.55000000000000004">
      <c r="A93" s="1" t="s">
        <v>105</v>
      </c>
      <c r="B93" s="3"/>
      <c r="C93" s="3"/>
      <c r="D93" s="3"/>
      <c r="E93" s="3"/>
      <c r="F93" s="3"/>
      <c r="G93" s="3"/>
      <c r="H93" s="3"/>
      <c r="I93" s="3"/>
      <c r="J93" s="3"/>
      <c r="K93" s="28"/>
      <c r="L93" s="28"/>
      <c r="M93" s="3"/>
      <c r="N93" s="3">
        <v>4684</v>
      </c>
      <c r="O93" s="3">
        <v>3445</v>
      </c>
      <c r="P93" s="3">
        <v>3552</v>
      </c>
      <c r="Q93" s="3">
        <v>7279</v>
      </c>
      <c r="R93" s="3">
        <v>7044</v>
      </c>
      <c r="S93" s="3">
        <v>3399</v>
      </c>
      <c r="T93" s="3">
        <v>5305</v>
      </c>
      <c r="U93" s="3">
        <v>2712</v>
      </c>
      <c r="V93" s="3">
        <v>4193</v>
      </c>
      <c r="W93" s="3">
        <v>1396</v>
      </c>
      <c r="X93" s="3"/>
      <c r="Y93" s="3"/>
      <c r="Z93" s="3"/>
      <c r="AA93" s="3"/>
    </row>
    <row r="94" spans="1:55" s="8" customFormat="1" x14ac:dyDescent="0.55000000000000004">
      <c r="A94" s="6" t="s">
        <v>106</v>
      </c>
      <c r="B94" s="7">
        <v>2689790</v>
      </c>
      <c r="C94" s="7">
        <v>134898</v>
      </c>
      <c r="D94" s="7">
        <v>107953</v>
      </c>
      <c r="E94" s="7">
        <v>107786</v>
      </c>
      <c r="F94" s="7">
        <v>4289</v>
      </c>
      <c r="G94" s="7">
        <v>4049</v>
      </c>
      <c r="H94" s="7">
        <v>2652608</v>
      </c>
      <c r="I94" s="7">
        <v>138837</v>
      </c>
      <c r="J94" s="7">
        <v>95929</v>
      </c>
      <c r="K94" s="31">
        <v>50.1</v>
      </c>
      <c r="L94" s="31">
        <v>40.1</v>
      </c>
      <c r="M94" s="3"/>
      <c r="N94" s="7">
        <v>250180</v>
      </c>
      <c r="O94" s="7">
        <v>261546</v>
      </c>
      <c r="P94" s="7">
        <v>278490</v>
      </c>
      <c r="Q94" s="7">
        <v>351951</v>
      </c>
      <c r="R94" s="7">
        <v>206149</v>
      </c>
      <c r="S94" s="7">
        <v>130730</v>
      </c>
      <c r="T94" s="7">
        <v>210280</v>
      </c>
      <c r="U94" s="7">
        <v>171505</v>
      </c>
      <c r="V94" s="7">
        <v>187620</v>
      </c>
      <c r="W94" s="7">
        <v>186923</v>
      </c>
      <c r="X94" s="7">
        <v>269334</v>
      </c>
      <c r="Y94" s="7">
        <v>185082</v>
      </c>
      <c r="Z94" s="7"/>
      <c r="AA94" s="7"/>
      <c r="AC94" s="2"/>
      <c r="AD94" s="9">
        <f>SUM(N94:AB94)</f>
        <v>2689790</v>
      </c>
      <c r="AE94" s="9">
        <f>SUM(N95:AB95)</f>
        <v>134898</v>
      </c>
      <c r="AF94" s="9">
        <f>SUM(N96:AB96)</f>
        <v>107953</v>
      </c>
      <c r="AG94" s="9">
        <f t="shared" ref="AG94:AL94" si="38">E94</f>
        <v>107786</v>
      </c>
      <c r="AH94" s="9">
        <f t="shared" si="38"/>
        <v>4289</v>
      </c>
      <c r="AI94" s="9">
        <f t="shared" si="38"/>
        <v>4049</v>
      </c>
      <c r="AJ94" s="9">
        <f t="shared" si="38"/>
        <v>2652608</v>
      </c>
      <c r="AK94" s="9">
        <f t="shared" si="38"/>
        <v>138837</v>
      </c>
      <c r="AL94" s="9">
        <f t="shared" si="38"/>
        <v>95929</v>
      </c>
      <c r="AM94" s="2"/>
      <c r="AN94" s="9">
        <f>AD94-B94</f>
        <v>0</v>
      </c>
      <c r="AO94" s="9">
        <f>AE94-C94</f>
        <v>0</v>
      </c>
      <c r="AP94" s="9">
        <f>AF94-D94</f>
        <v>0</v>
      </c>
      <c r="AQ94" s="5"/>
      <c r="AR94" s="41">
        <f>C94/B94*1000</f>
        <v>50.151870592128006</v>
      </c>
      <c r="AS94" s="41">
        <f>D94/B94*1000</f>
        <v>40.134359931444465</v>
      </c>
      <c r="AT94" s="42"/>
      <c r="AU94" s="41">
        <f>AR94-K94</f>
        <v>5.1870592128004489E-2</v>
      </c>
      <c r="AV94" s="41">
        <f>AS94-L94</f>
        <v>3.4359931444463143E-2</v>
      </c>
      <c r="AW94" s="5"/>
    </row>
    <row r="95" spans="1:55" s="2" customFormat="1" x14ac:dyDescent="0.55000000000000004">
      <c r="A95" s="1" t="s">
        <v>107</v>
      </c>
      <c r="B95" s="3"/>
      <c r="C95" s="3"/>
      <c r="D95" s="3"/>
      <c r="E95" s="3"/>
      <c r="F95" s="3"/>
      <c r="G95" s="3"/>
      <c r="H95" s="3"/>
      <c r="I95" s="3"/>
      <c r="J95" s="3"/>
      <c r="K95" s="28"/>
      <c r="L95" s="28"/>
      <c r="M95" s="3"/>
      <c r="N95" s="3">
        <v>13487</v>
      </c>
      <c r="O95" s="3">
        <v>11489</v>
      </c>
      <c r="P95" s="3">
        <v>15350</v>
      </c>
      <c r="Q95" s="3">
        <v>16045</v>
      </c>
      <c r="R95" s="3">
        <v>9276</v>
      </c>
      <c r="S95" s="3">
        <v>5716</v>
      </c>
      <c r="T95" s="3">
        <v>11678</v>
      </c>
      <c r="U95" s="3">
        <v>9004</v>
      </c>
      <c r="V95" s="3">
        <v>9795</v>
      </c>
      <c r="W95" s="3">
        <v>9991</v>
      </c>
      <c r="X95" s="3">
        <v>14680</v>
      </c>
      <c r="Y95" s="3">
        <v>8387</v>
      </c>
      <c r="Z95" s="3"/>
      <c r="AA95" s="3"/>
    </row>
    <row r="96" spans="1:55" s="2" customFormat="1" x14ac:dyDescent="0.55000000000000004">
      <c r="A96" s="1" t="s">
        <v>108</v>
      </c>
      <c r="B96" s="3"/>
      <c r="C96" s="3"/>
      <c r="D96" s="3"/>
      <c r="E96" s="3"/>
      <c r="F96" s="3"/>
      <c r="G96" s="3"/>
      <c r="H96" s="3"/>
      <c r="I96" s="3"/>
      <c r="J96" s="3"/>
      <c r="K96" s="28"/>
      <c r="L96" s="28"/>
      <c r="M96" s="3"/>
      <c r="N96" s="3">
        <v>11078</v>
      </c>
      <c r="O96" s="3">
        <v>9410</v>
      </c>
      <c r="P96" s="3">
        <v>13362</v>
      </c>
      <c r="Q96" s="3">
        <v>12157</v>
      </c>
      <c r="R96" s="3">
        <v>8327</v>
      </c>
      <c r="S96" s="3">
        <v>5728</v>
      </c>
      <c r="T96" s="3">
        <v>7899</v>
      </c>
      <c r="U96" s="3">
        <v>6294</v>
      </c>
      <c r="V96" s="3">
        <v>7864</v>
      </c>
      <c r="W96" s="3">
        <v>7405</v>
      </c>
      <c r="X96" s="3">
        <v>12391</v>
      </c>
      <c r="Y96" s="3">
        <v>6038</v>
      </c>
      <c r="Z96" s="3"/>
      <c r="AA96" s="3"/>
    </row>
    <row r="97" spans="1:49" s="8" customFormat="1" x14ac:dyDescent="0.55000000000000004">
      <c r="A97" s="6" t="s">
        <v>109</v>
      </c>
      <c r="B97" s="7">
        <v>3005795</v>
      </c>
      <c r="C97" s="7">
        <v>158150</v>
      </c>
      <c r="D97" s="7">
        <v>140937</v>
      </c>
      <c r="E97" s="7">
        <v>87643</v>
      </c>
      <c r="F97" s="7">
        <v>2610</v>
      </c>
      <c r="G97" s="7">
        <v>2443</v>
      </c>
      <c r="H97" s="7">
        <v>2943281</v>
      </c>
      <c r="I97" s="7">
        <v>152115</v>
      </c>
      <c r="J97" s="7">
        <v>113200</v>
      </c>
      <c r="K97" s="31">
        <v>52.2</v>
      </c>
      <c r="L97" s="31">
        <v>46.8</v>
      </c>
      <c r="M97" s="3"/>
      <c r="N97" s="7">
        <v>205506</v>
      </c>
      <c r="O97" s="7">
        <v>366874</v>
      </c>
      <c r="P97" s="7">
        <v>217185</v>
      </c>
      <c r="Q97" s="7">
        <v>277979</v>
      </c>
      <c r="R97" s="7">
        <v>268666</v>
      </c>
      <c r="S97" s="7">
        <v>217497</v>
      </c>
      <c r="T97" s="7">
        <v>221102</v>
      </c>
      <c r="U97" s="7">
        <v>368611</v>
      </c>
      <c r="V97" s="7">
        <v>209682</v>
      </c>
      <c r="W97" s="7">
        <v>287241</v>
      </c>
      <c r="X97" s="7">
        <v>365452</v>
      </c>
      <c r="Y97" s="7"/>
      <c r="Z97" s="7"/>
      <c r="AA97" s="7"/>
      <c r="AC97" s="2"/>
      <c r="AD97" s="9">
        <f>SUM(N97:AB97)</f>
        <v>3005795</v>
      </c>
      <c r="AE97" s="9">
        <f>SUM(N98:AB98)</f>
        <v>158150</v>
      </c>
      <c r="AF97" s="9">
        <f>SUM(N99:AB99)</f>
        <v>140937</v>
      </c>
      <c r="AG97" s="9">
        <f t="shared" ref="AG97:AL97" si="39">E97</f>
        <v>87643</v>
      </c>
      <c r="AH97" s="9">
        <f t="shared" si="39"/>
        <v>2610</v>
      </c>
      <c r="AI97" s="9">
        <f t="shared" si="39"/>
        <v>2443</v>
      </c>
      <c r="AJ97" s="9">
        <f t="shared" si="39"/>
        <v>2943281</v>
      </c>
      <c r="AK97" s="9">
        <f t="shared" si="39"/>
        <v>152115</v>
      </c>
      <c r="AL97" s="9">
        <f t="shared" si="39"/>
        <v>113200</v>
      </c>
      <c r="AM97" s="2"/>
      <c r="AN97" s="9">
        <f>AD97-B97</f>
        <v>0</v>
      </c>
      <c r="AO97" s="9">
        <f>AE97-C97</f>
        <v>0</v>
      </c>
      <c r="AP97" s="9">
        <f>AF97-D97</f>
        <v>0</v>
      </c>
      <c r="AQ97" s="5"/>
      <c r="AR97" s="41">
        <f>C97/B97*1000</f>
        <v>52.615031963257643</v>
      </c>
      <c r="AS97" s="41">
        <f>D97/B97*1000</f>
        <v>46.888427188148228</v>
      </c>
      <c r="AT97" s="42"/>
      <c r="AU97" s="41">
        <f>AR97-K97</f>
        <v>0.4150319632576398</v>
      </c>
      <c r="AV97" s="41">
        <f>AS97-L97</f>
        <v>8.8427188148230584E-2</v>
      </c>
      <c r="AW97" s="5"/>
    </row>
    <row r="98" spans="1:49" s="2" customFormat="1" x14ac:dyDescent="0.55000000000000004">
      <c r="A98" s="1" t="s">
        <v>110</v>
      </c>
      <c r="B98" s="3"/>
      <c r="C98" s="3"/>
      <c r="D98" s="3"/>
      <c r="E98" s="3"/>
      <c r="F98" s="3"/>
      <c r="G98" s="3"/>
      <c r="H98" s="3"/>
      <c r="I98" s="3"/>
      <c r="J98" s="3"/>
      <c r="K98" s="28"/>
      <c r="L98" s="28"/>
      <c r="M98" s="3"/>
      <c r="N98" s="3">
        <v>10430</v>
      </c>
      <c r="O98" s="3">
        <v>19141</v>
      </c>
      <c r="P98" s="3">
        <v>11338</v>
      </c>
      <c r="Q98" s="3">
        <v>13648</v>
      </c>
      <c r="R98" s="3">
        <v>13566</v>
      </c>
      <c r="S98" s="3">
        <v>11702</v>
      </c>
      <c r="T98" s="3">
        <v>10878</v>
      </c>
      <c r="U98" s="3">
        <v>19275</v>
      </c>
      <c r="V98" s="3">
        <v>10943</v>
      </c>
      <c r="W98" s="3">
        <v>16179</v>
      </c>
      <c r="X98" s="3">
        <v>21050</v>
      </c>
      <c r="Y98" s="3"/>
      <c r="Z98" s="3"/>
      <c r="AA98" s="3"/>
    </row>
    <row r="99" spans="1:49" s="2" customFormat="1" x14ac:dyDescent="0.55000000000000004">
      <c r="A99" s="1" t="s">
        <v>111</v>
      </c>
      <c r="B99" s="3"/>
      <c r="C99" s="3"/>
      <c r="D99" s="3"/>
      <c r="E99" s="3"/>
      <c r="F99" s="3"/>
      <c r="G99" s="3"/>
      <c r="H99" s="3"/>
      <c r="I99" s="3"/>
      <c r="J99" s="3"/>
      <c r="K99" s="28"/>
      <c r="L99" s="28"/>
      <c r="M99" s="3"/>
      <c r="N99" s="3">
        <v>10405</v>
      </c>
      <c r="O99" s="3">
        <v>18040</v>
      </c>
      <c r="P99" s="3">
        <v>8997</v>
      </c>
      <c r="Q99" s="3">
        <v>11923</v>
      </c>
      <c r="R99" s="3">
        <v>12599</v>
      </c>
      <c r="S99" s="3">
        <v>11999</v>
      </c>
      <c r="T99" s="3">
        <v>10333</v>
      </c>
      <c r="U99" s="3">
        <v>15982</v>
      </c>
      <c r="V99" s="3">
        <v>9455</v>
      </c>
      <c r="W99" s="3">
        <v>13035</v>
      </c>
      <c r="X99" s="3">
        <v>18169</v>
      </c>
      <c r="Y99" s="3"/>
      <c r="Z99" s="3"/>
      <c r="AA99" s="3"/>
    </row>
    <row r="100" spans="1:49" s="8" customFormat="1" x14ac:dyDescent="0.55000000000000004">
      <c r="A100" s="6" t="s">
        <v>112</v>
      </c>
      <c r="B100" s="7">
        <v>1653543</v>
      </c>
      <c r="C100" s="7">
        <v>90972</v>
      </c>
      <c r="D100" s="7">
        <v>64854</v>
      </c>
      <c r="E100" s="7">
        <v>159246</v>
      </c>
      <c r="F100" s="7">
        <v>8280</v>
      </c>
      <c r="G100" s="7">
        <v>6933</v>
      </c>
      <c r="H100" s="7">
        <v>1696196</v>
      </c>
      <c r="I100" s="7">
        <v>94627</v>
      </c>
      <c r="J100" s="7">
        <v>57147</v>
      </c>
      <c r="K100" s="31">
        <v>55</v>
      </c>
      <c r="L100" s="31">
        <v>39.200000000000003</v>
      </c>
      <c r="M100" s="3"/>
      <c r="N100" s="7">
        <v>234104</v>
      </c>
      <c r="O100" s="7">
        <v>231956</v>
      </c>
      <c r="P100" s="7">
        <v>231913</v>
      </c>
      <c r="Q100" s="7">
        <v>168262</v>
      </c>
      <c r="R100" s="7">
        <v>213252</v>
      </c>
      <c r="S100" s="7">
        <v>220736</v>
      </c>
      <c r="T100" s="7">
        <v>199395</v>
      </c>
      <c r="U100" s="7">
        <v>153925</v>
      </c>
      <c r="V100" s="7"/>
      <c r="W100" s="7"/>
      <c r="X100" s="7"/>
      <c r="Y100" s="7"/>
      <c r="Z100" s="7"/>
      <c r="AA100" s="7"/>
      <c r="AC100" s="2"/>
      <c r="AD100" s="9">
        <f>SUM(N100:AB100)</f>
        <v>1653543</v>
      </c>
      <c r="AE100" s="9">
        <f>SUM(N101:AB101)</f>
        <v>90973</v>
      </c>
      <c r="AF100" s="9">
        <f>SUM(N102:AB102)</f>
        <v>64854</v>
      </c>
      <c r="AG100" s="9">
        <f t="shared" ref="AG100:AL100" si="40">E100</f>
        <v>159246</v>
      </c>
      <c r="AH100" s="9">
        <f t="shared" si="40"/>
        <v>8280</v>
      </c>
      <c r="AI100" s="9">
        <f t="shared" si="40"/>
        <v>6933</v>
      </c>
      <c r="AJ100" s="9">
        <f t="shared" si="40"/>
        <v>1696196</v>
      </c>
      <c r="AK100" s="9">
        <f t="shared" si="40"/>
        <v>94627</v>
      </c>
      <c r="AL100" s="9">
        <f t="shared" si="40"/>
        <v>57147</v>
      </c>
      <c r="AM100" s="2"/>
      <c r="AN100" s="9">
        <f>AD100-B100</f>
        <v>0</v>
      </c>
      <c r="AO100" s="9">
        <f>AE100-C100</f>
        <v>1</v>
      </c>
      <c r="AP100" s="9">
        <f>AF100-D100</f>
        <v>0</v>
      </c>
      <c r="AQ100" s="5"/>
      <c r="AR100" s="41">
        <f>C100/B100*1000</f>
        <v>55.016410217333323</v>
      </c>
      <c r="AS100" s="41">
        <f>D100/B100*1000</f>
        <v>39.22123585537237</v>
      </c>
      <c r="AT100" s="42"/>
      <c r="AU100" s="41">
        <f>AR100-K100</f>
        <v>1.6410217333323374E-2</v>
      </c>
      <c r="AV100" s="41">
        <f>AS100-L100</f>
        <v>2.1235855372367496E-2</v>
      </c>
      <c r="AW100" s="5"/>
    </row>
    <row r="101" spans="1:49" s="2" customFormat="1" x14ac:dyDescent="0.55000000000000004">
      <c r="A101" s="1" t="s">
        <v>113</v>
      </c>
      <c r="B101" s="3"/>
      <c r="C101" s="3"/>
      <c r="D101" s="3"/>
      <c r="E101" s="3"/>
      <c r="F101" s="3"/>
      <c r="G101" s="3"/>
      <c r="H101" s="3"/>
      <c r="I101" s="3"/>
      <c r="J101" s="3"/>
      <c r="K101" s="28"/>
      <c r="L101" s="28"/>
      <c r="M101" s="3"/>
      <c r="N101" s="3">
        <v>12964</v>
      </c>
      <c r="O101" s="3">
        <v>12478</v>
      </c>
      <c r="P101" s="3">
        <v>12818</v>
      </c>
      <c r="Q101" s="3">
        <v>9427</v>
      </c>
      <c r="R101" s="3">
        <v>11720</v>
      </c>
      <c r="S101" s="3">
        <v>12118</v>
      </c>
      <c r="T101" s="3">
        <v>11719</v>
      </c>
      <c r="U101" s="3">
        <v>7729</v>
      </c>
      <c r="V101" s="3"/>
      <c r="W101" s="3"/>
      <c r="X101" s="3"/>
      <c r="Y101" s="3"/>
      <c r="Z101" s="3"/>
      <c r="AA101" s="3"/>
    </row>
    <row r="102" spans="1:49" s="2" customFormat="1" x14ac:dyDescent="0.55000000000000004">
      <c r="A102" s="1" t="s">
        <v>114</v>
      </c>
      <c r="B102" s="3"/>
      <c r="C102" s="3"/>
      <c r="D102" s="3"/>
      <c r="E102" s="3"/>
      <c r="F102" s="3"/>
      <c r="G102" s="3"/>
      <c r="H102" s="3"/>
      <c r="I102" s="3"/>
      <c r="J102" s="3"/>
      <c r="K102" s="28"/>
      <c r="L102" s="28"/>
      <c r="M102" s="3"/>
      <c r="N102" s="3">
        <v>8807</v>
      </c>
      <c r="O102" s="3">
        <v>9000</v>
      </c>
      <c r="P102" s="3">
        <v>9570</v>
      </c>
      <c r="Q102" s="3">
        <v>5474</v>
      </c>
      <c r="R102" s="3">
        <v>8178</v>
      </c>
      <c r="S102" s="3">
        <v>10222</v>
      </c>
      <c r="T102" s="3">
        <v>8986</v>
      </c>
      <c r="U102" s="3">
        <v>4617</v>
      </c>
      <c r="V102" s="3"/>
      <c r="W102" s="3"/>
      <c r="X102" s="3"/>
      <c r="Y102" s="3"/>
      <c r="Z102" s="3"/>
      <c r="AA102" s="3"/>
    </row>
    <row r="103" spans="1:49" s="8" customFormat="1" x14ac:dyDescent="0.55000000000000004">
      <c r="A103" s="6" t="s">
        <v>115</v>
      </c>
      <c r="B103" s="7">
        <v>2195414</v>
      </c>
      <c r="C103" s="7">
        <v>102519</v>
      </c>
      <c r="D103" s="7">
        <v>76454</v>
      </c>
      <c r="E103" s="7">
        <v>196441</v>
      </c>
      <c r="F103" s="7">
        <v>6349</v>
      </c>
      <c r="G103" s="7">
        <v>6576</v>
      </c>
      <c r="H103" s="7">
        <v>2175965</v>
      </c>
      <c r="I103" s="7">
        <v>106063</v>
      </c>
      <c r="J103" s="7">
        <v>70766</v>
      </c>
      <c r="K103" s="31">
        <v>46.7</v>
      </c>
      <c r="L103" s="31">
        <v>34.799999999999997</v>
      </c>
      <c r="M103" s="3"/>
      <c r="N103" s="7">
        <v>371782</v>
      </c>
      <c r="O103" s="7">
        <v>97400</v>
      </c>
      <c r="P103" s="7">
        <v>196437</v>
      </c>
      <c r="Q103" s="7">
        <v>197585</v>
      </c>
      <c r="R103" s="7">
        <v>127714</v>
      </c>
      <c r="S103" s="7">
        <v>176024</v>
      </c>
      <c r="T103" s="7">
        <v>195424</v>
      </c>
      <c r="U103" s="7">
        <v>109475</v>
      </c>
      <c r="V103" s="7">
        <v>160256</v>
      </c>
      <c r="W103" s="7">
        <v>117481</v>
      </c>
      <c r="X103" s="7">
        <v>308513</v>
      </c>
      <c r="Y103" s="7">
        <v>137323</v>
      </c>
      <c r="Z103" s="7"/>
      <c r="AA103" s="7"/>
      <c r="AC103" s="2"/>
      <c r="AD103" s="9">
        <f>SUM(N103:AB103)</f>
        <v>2195414</v>
      </c>
      <c r="AE103" s="9">
        <f>SUM(N104:AB104)</f>
        <v>102519</v>
      </c>
      <c r="AF103" s="9">
        <f>SUM(N105:AB105)</f>
        <v>76454</v>
      </c>
      <c r="AG103" s="9">
        <f t="shared" ref="AG103:AL103" si="41">E103</f>
        <v>196441</v>
      </c>
      <c r="AH103" s="9">
        <f t="shared" si="41"/>
        <v>6349</v>
      </c>
      <c r="AI103" s="9">
        <f t="shared" si="41"/>
        <v>6576</v>
      </c>
      <c r="AJ103" s="9">
        <f t="shared" si="41"/>
        <v>2175965</v>
      </c>
      <c r="AK103" s="9">
        <f t="shared" si="41"/>
        <v>106063</v>
      </c>
      <c r="AL103" s="9">
        <f t="shared" si="41"/>
        <v>70766</v>
      </c>
      <c r="AM103" s="2"/>
      <c r="AN103" s="9">
        <f>AD103-B103</f>
        <v>0</v>
      </c>
      <c r="AO103" s="9">
        <f>AE103-C103</f>
        <v>0</v>
      </c>
      <c r="AP103" s="9">
        <f>AF103-D103</f>
        <v>0</v>
      </c>
      <c r="AQ103" s="5"/>
      <c r="AR103" s="41">
        <f>C103/B103*1000</f>
        <v>46.696887238580061</v>
      </c>
      <c r="AS103" s="41">
        <f>D103/B103*1000</f>
        <v>34.824411249996587</v>
      </c>
      <c r="AT103" s="42"/>
      <c r="AU103" s="41">
        <f>AR103-K103</f>
        <v>-3.1127614199419895E-3</v>
      </c>
      <c r="AV103" s="41">
        <f>AS103-L103</f>
        <v>2.441124999658939E-2</v>
      </c>
      <c r="AW103" s="5"/>
    </row>
    <row r="104" spans="1:49" s="2" customFormat="1" x14ac:dyDescent="0.55000000000000004">
      <c r="A104" s="1" t="s">
        <v>116</v>
      </c>
      <c r="B104" s="3"/>
      <c r="C104" s="3"/>
      <c r="D104" s="3"/>
      <c r="E104" s="3"/>
      <c r="F104" s="3"/>
      <c r="G104" s="3"/>
      <c r="H104" s="3"/>
      <c r="I104" s="3"/>
      <c r="J104" s="3"/>
      <c r="K104" s="28"/>
      <c r="L104" s="28"/>
      <c r="M104" s="3"/>
      <c r="N104" s="3">
        <v>14755</v>
      </c>
      <c r="O104" s="3">
        <v>4463</v>
      </c>
      <c r="P104" s="3">
        <v>8653</v>
      </c>
      <c r="Q104" s="3">
        <v>8191</v>
      </c>
      <c r="R104" s="3">
        <v>6256</v>
      </c>
      <c r="S104" s="3">
        <v>9375</v>
      </c>
      <c r="T104" s="3">
        <v>9025</v>
      </c>
      <c r="U104" s="3">
        <v>5590</v>
      </c>
      <c r="V104" s="3">
        <v>7817</v>
      </c>
      <c r="W104" s="3">
        <v>5877</v>
      </c>
      <c r="X104" s="3">
        <v>15439</v>
      </c>
      <c r="Y104" s="3">
        <v>7078</v>
      </c>
      <c r="Z104" s="3"/>
      <c r="AA104" s="3"/>
    </row>
    <row r="105" spans="1:49" s="2" customFormat="1" x14ac:dyDescent="0.55000000000000004">
      <c r="A105" s="1" t="s">
        <v>117</v>
      </c>
      <c r="B105" s="3"/>
      <c r="C105" s="3"/>
      <c r="D105" s="3"/>
      <c r="E105" s="3"/>
      <c r="F105" s="3"/>
      <c r="G105" s="3"/>
      <c r="H105" s="3"/>
      <c r="I105" s="3"/>
      <c r="J105" s="3"/>
      <c r="K105" s="28"/>
      <c r="L105" s="28"/>
      <c r="M105" s="3"/>
      <c r="N105" s="3">
        <v>12582</v>
      </c>
      <c r="O105" s="3">
        <v>3251</v>
      </c>
      <c r="P105" s="3">
        <v>7047</v>
      </c>
      <c r="Q105" s="3">
        <v>6720</v>
      </c>
      <c r="R105" s="3">
        <v>5154</v>
      </c>
      <c r="S105" s="3">
        <v>6429</v>
      </c>
      <c r="T105" s="3">
        <v>6898</v>
      </c>
      <c r="U105" s="3">
        <v>3962</v>
      </c>
      <c r="V105" s="3">
        <v>5073</v>
      </c>
      <c r="W105" s="3">
        <v>3675</v>
      </c>
      <c r="X105" s="3">
        <v>10901</v>
      </c>
      <c r="Y105" s="3">
        <v>4762</v>
      </c>
      <c r="Z105" s="3"/>
      <c r="AA105" s="3"/>
    </row>
    <row r="106" spans="1:49" s="8" customFormat="1" x14ac:dyDescent="0.55000000000000004">
      <c r="A106" s="6" t="s">
        <v>118</v>
      </c>
      <c r="B106" s="7">
        <v>1244018</v>
      </c>
      <c r="C106" s="7">
        <v>61106</v>
      </c>
      <c r="D106" s="7">
        <v>50620</v>
      </c>
      <c r="E106" s="7">
        <v>96995</v>
      </c>
      <c r="F106" s="7">
        <v>2854</v>
      </c>
      <c r="G106" s="7">
        <v>2807</v>
      </c>
      <c r="H106" s="7">
        <v>1218260</v>
      </c>
      <c r="I106" s="7">
        <v>57593</v>
      </c>
      <c r="J106" s="7">
        <v>42228</v>
      </c>
      <c r="K106" s="31">
        <v>49.1</v>
      </c>
      <c r="L106" s="31">
        <v>40.700000000000003</v>
      </c>
      <c r="M106" s="3"/>
      <c r="N106" s="7">
        <v>111510</v>
      </c>
      <c r="O106" s="7">
        <v>77226</v>
      </c>
      <c r="P106" s="7">
        <v>233713</v>
      </c>
      <c r="Q106" s="7">
        <v>130844</v>
      </c>
      <c r="R106" s="7">
        <v>91558</v>
      </c>
      <c r="S106" s="7">
        <v>50845</v>
      </c>
      <c r="T106" s="7">
        <v>125314</v>
      </c>
      <c r="U106" s="7">
        <v>119734</v>
      </c>
      <c r="V106" s="7">
        <v>162042</v>
      </c>
      <c r="W106" s="7">
        <v>70325</v>
      </c>
      <c r="X106" s="7">
        <v>70907</v>
      </c>
      <c r="Y106" s="7"/>
      <c r="Z106" s="7"/>
      <c r="AA106" s="7"/>
      <c r="AC106" s="2"/>
      <c r="AD106" s="9">
        <f>SUM(N106:AB106)</f>
        <v>1244018</v>
      </c>
      <c r="AE106" s="9">
        <f>SUM(N107:AB107)</f>
        <v>61106</v>
      </c>
      <c r="AF106" s="9">
        <f>SUM(N108:AB108)</f>
        <v>50620</v>
      </c>
      <c r="AG106" s="9">
        <f t="shared" ref="AG106:AL106" si="42">E106</f>
        <v>96995</v>
      </c>
      <c r="AH106" s="9">
        <f t="shared" si="42"/>
        <v>2854</v>
      </c>
      <c r="AI106" s="9">
        <f t="shared" si="42"/>
        <v>2807</v>
      </c>
      <c r="AJ106" s="9">
        <f t="shared" si="42"/>
        <v>1218260</v>
      </c>
      <c r="AK106" s="9">
        <f t="shared" si="42"/>
        <v>57593</v>
      </c>
      <c r="AL106" s="9">
        <f t="shared" si="42"/>
        <v>42228</v>
      </c>
      <c r="AM106" s="2"/>
      <c r="AN106" s="9">
        <f>AD106-B106</f>
        <v>0</v>
      </c>
      <c r="AO106" s="9">
        <f>AE106-C106</f>
        <v>0</v>
      </c>
      <c r="AP106" s="9">
        <f>AF106-D106</f>
        <v>0</v>
      </c>
      <c r="AQ106" s="5"/>
      <c r="AR106" s="41">
        <f>C106/B106*1000</f>
        <v>49.119868040494588</v>
      </c>
      <c r="AS106" s="41">
        <f>D106/B106*1000</f>
        <v>40.690729555360136</v>
      </c>
      <c r="AT106" s="42"/>
      <c r="AU106" s="41">
        <f>AR106-K106</f>
        <v>1.9868040494586126E-2</v>
      </c>
      <c r="AV106" s="41">
        <f>AS106-L106</f>
        <v>-9.270444639867037E-3</v>
      </c>
      <c r="AW106" s="5"/>
    </row>
    <row r="107" spans="1:49" s="2" customFormat="1" x14ac:dyDescent="0.55000000000000004">
      <c r="A107" s="1" t="s">
        <v>119</v>
      </c>
      <c r="B107" s="3"/>
      <c r="C107" s="3"/>
      <c r="D107" s="3"/>
      <c r="E107" s="3"/>
      <c r="F107" s="3"/>
      <c r="G107" s="3"/>
      <c r="H107" s="3"/>
      <c r="I107" s="3"/>
      <c r="J107" s="3"/>
      <c r="K107" s="28"/>
      <c r="L107" s="28"/>
      <c r="M107" s="3"/>
      <c r="N107" s="3">
        <v>4794</v>
      </c>
      <c r="O107" s="3">
        <v>3064</v>
      </c>
      <c r="P107" s="3">
        <v>14152</v>
      </c>
      <c r="Q107" s="3">
        <v>6156</v>
      </c>
      <c r="R107" s="3">
        <v>4666</v>
      </c>
      <c r="S107" s="3">
        <v>2214</v>
      </c>
      <c r="T107" s="3">
        <v>6443</v>
      </c>
      <c r="U107" s="3">
        <v>4820</v>
      </c>
      <c r="V107" s="3">
        <v>8539</v>
      </c>
      <c r="W107" s="3">
        <v>3239</v>
      </c>
      <c r="X107" s="3">
        <v>3019</v>
      </c>
      <c r="Y107" s="3"/>
      <c r="Z107" s="3"/>
      <c r="AA107" s="3"/>
    </row>
    <row r="108" spans="1:49" s="2" customFormat="1" x14ac:dyDescent="0.55000000000000004">
      <c r="A108" s="1" t="s">
        <v>120</v>
      </c>
      <c r="B108" s="3"/>
      <c r="C108" s="3"/>
      <c r="D108" s="3"/>
      <c r="E108" s="3"/>
      <c r="F108" s="3"/>
      <c r="G108" s="3"/>
      <c r="H108" s="3"/>
      <c r="I108" s="3"/>
      <c r="J108" s="3"/>
      <c r="K108" s="28"/>
      <c r="L108" s="28"/>
      <c r="M108" s="3"/>
      <c r="N108" s="3">
        <v>4011</v>
      </c>
      <c r="O108" s="3">
        <v>2679</v>
      </c>
      <c r="P108" s="3">
        <v>10783</v>
      </c>
      <c r="Q108" s="3">
        <v>5706</v>
      </c>
      <c r="R108" s="3">
        <v>4228</v>
      </c>
      <c r="S108" s="3">
        <v>2145</v>
      </c>
      <c r="T108" s="3">
        <v>5479</v>
      </c>
      <c r="U108" s="3">
        <v>3913</v>
      </c>
      <c r="V108" s="3">
        <v>6552</v>
      </c>
      <c r="W108" s="3">
        <v>2623</v>
      </c>
      <c r="X108" s="3">
        <v>2501</v>
      </c>
      <c r="Y108" s="3"/>
      <c r="Z108" s="3"/>
      <c r="AA108" s="3"/>
    </row>
    <row r="109" spans="1:49" s="8" customFormat="1" x14ac:dyDescent="0.55000000000000004">
      <c r="A109" s="6" t="s">
        <v>121</v>
      </c>
      <c r="B109" s="7">
        <v>1394572</v>
      </c>
      <c r="C109" s="7">
        <v>66118</v>
      </c>
      <c r="D109" s="7">
        <v>53333</v>
      </c>
      <c r="E109" s="7">
        <v>69772</v>
      </c>
      <c r="F109" s="7">
        <v>3042</v>
      </c>
      <c r="G109" s="7">
        <v>2950</v>
      </c>
      <c r="H109" s="7">
        <v>1367953</v>
      </c>
      <c r="I109" s="7">
        <v>63149</v>
      </c>
      <c r="J109" s="7">
        <v>50274</v>
      </c>
      <c r="K109" s="31">
        <v>47.9</v>
      </c>
      <c r="L109" s="31">
        <v>38.6</v>
      </c>
      <c r="M109" s="3"/>
      <c r="N109" s="7">
        <v>172699</v>
      </c>
      <c r="O109" s="7">
        <v>73078</v>
      </c>
      <c r="P109" s="7">
        <v>114696</v>
      </c>
      <c r="Q109" s="7">
        <v>107562</v>
      </c>
      <c r="R109" s="7">
        <v>112905</v>
      </c>
      <c r="S109" s="7">
        <v>134388</v>
      </c>
      <c r="T109" s="7">
        <v>106793</v>
      </c>
      <c r="U109" s="7">
        <v>141955</v>
      </c>
      <c r="V109" s="7">
        <v>175516</v>
      </c>
      <c r="W109" s="7">
        <v>63792</v>
      </c>
      <c r="X109" s="7">
        <v>56938</v>
      </c>
      <c r="Y109" s="7">
        <v>134250</v>
      </c>
      <c r="Z109" s="7"/>
      <c r="AA109" s="7"/>
      <c r="AC109" s="2"/>
      <c r="AD109" s="9">
        <f>SUM(N109:AB109)</f>
        <v>1394572</v>
      </c>
      <c r="AE109" s="9">
        <f>SUM(N110:AB110)</f>
        <v>66118</v>
      </c>
      <c r="AF109" s="9">
        <f>SUM(N111:AB111)</f>
        <v>53333</v>
      </c>
      <c r="AG109" s="9">
        <f t="shared" ref="AG109:AL109" si="43">E109</f>
        <v>69772</v>
      </c>
      <c r="AH109" s="9">
        <f t="shared" si="43"/>
        <v>3042</v>
      </c>
      <c r="AI109" s="9">
        <f t="shared" si="43"/>
        <v>2950</v>
      </c>
      <c r="AJ109" s="9">
        <f t="shared" si="43"/>
        <v>1367953</v>
      </c>
      <c r="AK109" s="9">
        <f t="shared" si="43"/>
        <v>63149</v>
      </c>
      <c r="AL109" s="9">
        <f t="shared" si="43"/>
        <v>50274</v>
      </c>
      <c r="AM109" s="2"/>
      <c r="AN109" s="9">
        <f>AD109-B109</f>
        <v>0</v>
      </c>
      <c r="AO109" s="9">
        <f>AE109-C109</f>
        <v>0</v>
      </c>
      <c r="AP109" s="9">
        <f>AF109-D109</f>
        <v>0</v>
      </c>
      <c r="AQ109" s="5"/>
      <c r="AR109" s="41">
        <f>C109/B109*1000</f>
        <v>47.410961929538239</v>
      </c>
      <c r="AS109" s="41">
        <f>D109/B109*1000</f>
        <v>38.243274639100747</v>
      </c>
      <c r="AT109" s="42"/>
      <c r="AU109" s="41">
        <f>AR109-K109</f>
        <v>-0.48903807046175984</v>
      </c>
      <c r="AV109" s="41">
        <f>AS109-L109</f>
        <v>-0.35672536089925444</v>
      </c>
      <c r="AW109" s="5"/>
    </row>
    <row r="110" spans="1:49" s="2" customFormat="1" x14ac:dyDescent="0.55000000000000004">
      <c r="A110" s="1" t="s">
        <v>122</v>
      </c>
      <c r="B110" s="3"/>
      <c r="C110" s="3"/>
      <c r="D110" s="3"/>
      <c r="E110" s="3"/>
      <c r="F110" s="3"/>
      <c r="G110" s="3"/>
      <c r="H110" s="3"/>
      <c r="I110" s="3"/>
      <c r="J110" s="3"/>
      <c r="K110" s="28"/>
      <c r="L110" s="28"/>
      <c r="M110" s="3"/>
      <c r="N110" s="3">
        <v>7589</v>
      </c>
      <c r="O110" s="3">
        <v>3313</v>
      </c>
      <c r="P110" s="3">
        <v>5118</v>
      </c>
      <c r="Q110" s="3">
        <v>6818</v>
      </c>
      <c r="R110" s="3">
        <v>4585</v>
      </c>
      <c r="S110" s="3">
        <v>6713</v>
      </c>
      <c r="T110" s="3">
        <v>5614</v>
      </c>
      <c r="U110" s="3">
        <v>6932</v>
      </c>
      <c r="V110" s="3">
        <v>8144</v>
      </c>
      <c r="W110" s="3">
        <v>2336</v>
      </c>
      <c r="X110" s="3">
        <v>2271</v>
      </c>
      <c r="Y110" s="3">
        <v>6685</v>
      </c>
      <c r="Z110" s="3"/>
      <c r="AA110" s="3"/>
    </row>
    <row r="111" spans="1:49" s="2" customFormat="1" x14ac:dyDescent="0.55000000000000004">
      <c r="A111" s="1" t="s">
        <v>123</v>
      </c>
      <c r="B111" s="3"/>
      <c r="C111" s="3"/>
      <c r="D111" s="3"/>
      <c r="E111" s="3"/>
      <c r="F111" s="3"/>
      <c r="G111" s="3"/>
      <c r="H111" s="3"/>
      <c r="I111" s="3"/>
      <c r="J111" s="3"/>
      <c r="K111" s="28"/>
      <c r="L111" s="28"/>
      <c r="M111" s="3"/>
      <c r="N111" s="3">
        <v>7032</v>
      </c>
      <c r="O111" s="3">
        <v>2581</v>
      </c>
      <c r="P111" s="3">
        <v>3550</v>
      </c>
      <c r="Q111" s="3">
        <v>5868</v>
      </c>
      <c r="R111" s="3">
        <v>3696</v>
      </c>
      <c r="S111" s="3">
        <v>5280</v>
      </c>
      <c r="T111" s="3">
        <v>3444</v>
      </c>
      <c r="U111" s="3">
        <v>5714</v>
      </c>
      <c r="V111" s="3">
        <v>7119</v>
      </c>
      <c r="W111" s="3">
        <v>1682</v>
      </c>
      <c r="X111" s="3">
        <v>1883</v>
      </c>
      <c r="Y111" s="3">
        <v>5484</v>
      </c>
      <c r="Z111" s="3"/>
      <c r="AA111" s="3"/>
    </row>
    <row r="112" spans="1:49" s="8" customFormat="1" x14ac:dyDescent="0.55000000000000004">
      <c r="A112" s="6" t="s">
        <v>124</v>
      </c>
      <c r="B112" s="7">
        <v>2561031</v>
      </c>
      <c r="C112" s="7">
        <v>113684</v>
      </c>
      <c r="D112" s="7">
        <v>89245</v>
      </c>
      <c r="E112" s="7">
        <v>172091</v>
      </c>
      <c r="F112" s="7">
        <v>8918</v>
      </c>
      <c r="G112" s="7">
        <v>7692</v>
      </c>
      <c r="H112" s="7">
        <v>2497973</v>
      </c>
      <c r="I112" s="7">
        <v>119789</v>
      </c>
      <c r="J112" s="7">
        <v>75295</v>
      </c>
      <c r="K112" s="31">
        <v>44.4</v>
      </c>
      <c r="L112" s="31">
        <v>34.799999999999997</v>
      </c>
      <c r="M112" s="3"/>
      <c r="N112" s="7">
        <v>238253</v>
      </c>
      <c r="O112" s="7">
        <v>185798</v>
      </c>
      <c r="P112" s="7">
        <v>201653</v>
      </c>
      <c r="Q112" s="7">
        <v>121245</v>
      </c>
      <c r="R112" s="7">
        <v>186569</v>
      </c>
      <c r="S112" s="7">
        <v>132173</v>
      </c>
      <c r="T112" s="7">
        <v>182865</v>
      </c>
      <c r="U112" s="7">
        <v>192526</v>
      </c>
      <c r="V112" s="7">
        <v>168565</v>
      </c>
      <c r="W112" s="7">
        <v>160407</v>
      </c>
      <c r="X112" s="7">
        <v>167923</v>
      </c>
      <c r="Y112" s="7">
        <v>157588</v>
      </c>
      <c r="Z112" s="7">
        <v>172109</v>
      </c>
      <c r="AA112" s="7">
        <v>139143</v>
      </c>
      <c r="AB112" s="18">
        <v>154214</v>
      </c>
      <c r="AC112" s="18"/>
      <c r="AD112" s="9">
        <f>SUM(N112:AB112)</f>
        <v>2561031</v>
      </c>
      <c r="AE112" s="9">
        <f>SUM(N113:AB113)</f>
        <v>113684</v>
      </c>
      <c r="AF112" s="9">
        <f>SUM(N114:AB114)</f>
        <v>89245</v>
      </c>
      <c r="AG112" s="9">
        <f t="shared" ref="AG112:AL112" si="44">E112</f>
        <v>172091</v>
      </c>
      <c r="AH112" s="9">
        <f t="shared" si="44"/>
        <v>8918</v>
      </c>
      <c r="AI112" s="9">
        <f t="shared" si="44"/>
        <v>7692</v>
      </c>
      <c r="AJ112" s="9">
        <f t="shared" si="44"/>
        <v>2497973</v>
      </c>
      <c r="AK112" s="9">
        <f t="shared" si="44"/>
        <v>119789</v>
      </c>
      <c r="AL112" s="9">
        <f t="shared" si="44"/>
        <v>75295</v>
      </c>
      <c r="AM112" s="2"/>
      <c r="AN112" s="9">
        <f>AD112-B112</f>
        <v>0</v>
      </c>
      <c r="AO112" s="9">
        <f>AE112-C112</f>
        <v>0</v>
      </c>
      <c r="AP112" s="9">
        <f>AF112-D112</f>
        <v>0</v>
      </c>
      <c r="AQ112" s="5"/>
      <c r="AR112" s="41">
        <f>C112/B112*1000</f>
        <v>44.389935147212199</v>
      </c>
      <c r="AS112" s="41">
        <f>D112/B112*1000</f>
        <v>34.847293921861933</v>
      </c>
      <c r="AT112" s="42"/>
      <c r="AU112" s="41">
        <f>AR112-K112</f>
        <v>-1.0064852787799339E-2</v>
      </c>
      <c r="AV112" s="41">
        <f>AS112-L112</f>
        <v>4.7293921861935928E-2</v>
      </c>
      <c r="AW112" s="5"/>
    </row>
    <row r="113" spans="1:49" s="2" customFormat="1" x14ac:dyDescent="0.55000000000000004">
      <c r="A113" s="1" t="s">
        <v>125</v>
      </c>
      <c r="B113" s="3"/>
      <c r="C113" s="3"/>
      <c r="D113" s="3"/>
      <c r="E113" s="3"/>
      <c r="F113" s="3"/>
      <c r="G113" s="3"/>
      <c r="H113" s="3"/>
      <c r="I113" s="3"/>
      <c r="J113" s="3"/>
      <c r="K113" s="28"/>
      <c r="L113" s="28"/>
      <c r="M113" s="3"/>
      <c r="N113" s="3">
        <v>10699</v>
      </c>
      <c r="O113" s="3">
        <v>8252</v>
      </c>
      <c r="P113" s="3">
        <v>8009</v>
      </c>
      <c r="Q113" s="3">
        <v>5874</v>
      </c>
      <c r="R113" s="3">
        <v>7971</v>
      </c>
      <c r="S113" s="3">
        <v>6247</v>
      </c>
      <c r="T113" s="3">
        <v>7688</v>
      </c>
      <c r="U113" s="3">
        <v>9100</v>
      </c>
      <c r="V113" s="3">
        <v>7585</v>
      </c>
      <c r="W113" s="3">
        <v>7568</v>
      </c>
      <c r="X113" s="3">
        <v>7478</v>
      </c>
      <c r="Y113" s="3">
        <v>6981</v>
      </c>
      <c r="Z113" s="3">
        <v>7089</v>
      </c>
      <c r="AA113" s="3">
        <v>5740</v>
      </c>
      <c r="AB113" s="18">
        <v>7403</v>
      </c>
      <c r="AC113" s="18"/>
    </row>
    <row r="114" spans="1:49" s="2" customFormat="1" x14ac:dyDescent="0.55000000000000004">
      <c r="A114" s="1" t="s">
        <v>126</v>
      </c>
      <c r="B114" s="3"/>
      <c r="C114" s="3"/>
      <c r="D114" s="3"/>
      <c r="E114" s="3"/>
      <c r="F114" s="3"/>
      <c r="G114" s="3"/>
      <c r="H114" s="3"/>
      <c r="I114" s="3"/>
      <c r="J114" s="3"/>
      <c r="K114" s="28"/>
      <c r="L114" s="28"/>
      <c r="M114" s="3"/>
      <c r="N114" s="3">
        <v>8859</v>
      </c>
      <c r="O114" s="3">
        <v>6761</v>
      </c>
      <c r="P114" s="3">
        <v>5840</v>
      </c>
      <c r="Q114" s="3">
        <v>4675</v>
      </c>
      <c r="R114" s="3">
        <v>6857</v>
      </c>
      <c r="S114" s="3">
        <v>4569</v>
      </c>
      <c r="T114" s="3">
        <v>7319</v>
      </c>
      <c r="U114" s="3">
        <v>7909</v>
      </c>
      <c r="V114" s="3">
        <v>5138</v>
      </c>
      <c r="W114" s="3">
        <v>4871</v>
      </c>
      <c r="X114" s="3">
        <v>5487</v>
      </c>
      <c r="Y114" s="3">
        <v>4953</v>
      </c>
      <c r="Z114" s="3">
        <v>4917</v>
      </c>
      <c r="AA114" s="3">
        <v>4521</v>
      </c>
      <c r="AB114" s="18">
        <v>6569</v>
      </c>
      <c r="AC114" s="18"/>
    </row>
    <row r="115" spans="1:49" s="8" customFormat="1" x14ac:dyDescent="0.55000000000000004">
      <c r="A115" s="6" t="s">
        <v>127</v>
      </c>
      <c r="B115" s="7">
        <v>1513792</v>
      </c>
      <c r="C115" s="7">
        <v>69504</v>
      </c>
      <c r="D115" s="7">
        <v>63386</v>
      </c>
      <c r="E115" s="10" t="s">
        <v>23</v>
      </c>
      <c r="F115" s="10" t="s">
        <v>23</v>
      </c>
      <c r="G115" s="10" t="s">
        <v>23</v>
      </c>
      <c r="H115" s="7">
        <v>1476540</v>
      </c>
      <c r="I115" s="7">
        <v>67468</v>
      </c>
      <c r="J115" s="7">
        <v>56273</v>
      </c>
      <c r="K115" s="31">
        <v>45.8</v>
      </c>
      <c r="L115" s="31">
        <v>41.8</v>
      </c>
      <c r="M115" s="3"/>
      <c r="N115" s="7">
        <v>142263</v>
      </c>
      <c r="O115" s="7">
        <v>178766</v>
      </c>
      <c r="P115" s="7">
        <v>148772</v>
      </c>
      <c r="Q115" s="7">
        <v>58684</v>
      </c>
      <c r="R115" s="7">
        <v>95136</v>
      </c>
      <c r="S115" s="7">
        <v>152614</v>
      </c>
      <c r="T115" s="7">
        <v>93183</v>
      </c>
      <c r="U115" s="7">
        <v>123713</v>
      </c>
      <c r="V115" s="7">
        <v>134717</v>
      </c>
      <c r="W115" s="7">
        <v>69861</v>
      </c>
      <c r="X115" s="7">
        <v>100487</v>
      </c>
      <c r="Y115" s="7">
        <v>72693</v>
      </c>
      <c r="Z115" s="7">
        <v>136785</v>
      </c>
      <c r="AA115" s="7"/>
      <c r="AC115" s="2"/>
      <c r="AD115" s="9">
        <f>SUM(N115:AB115)</f>
        <v>1507674</v>
      </c>
      <c r="AE115" s="9">
        <f>SUM(N116:AB116)</f>
        <v>69504</v>
      </c>
      <c r="AF115" s="9">
        <f>SUM(N117:AB117)</f>
        <v>63186</v>
      </c>
      <c r="AG115" s="10" t="str">
        <f t="shared" ref="AG115:AL115" si="45">E115</f>
        <v>—</v>
      </c>
      <c r="AH115" s="10" t="str">
        <f t="shared" si="45"/>
        <v>—</v>
      </c>
      <c r="AI115" s="10" t="str">
        <f t="shared" si="45"/>
        <v>—</v>
      </c>
      <c r="AJ115" s="9">
        <f t="shared" si="45"/>
        <v>1476540</v>
      </c>
      <c r="AK115" s="9">
        <f t="shared" si="45"/>
        <v>67468</v>
      </c>
      <c r="AL115" s="9">
        <f t="shared" si="45"/>
        <v>56273</v>
      </c>
      <c r="AM115" s="2"/>
      <c r="AN115" s="9">
        <f>AD115-B115</f>
        <v>-6118</v>
      </c>
      <c r="AO115" s="9">
        <f>AE115-C115</f>
        <v>0</v>
      </c>
      <c r="AP115" s="9">
        <f>AF115-D115</f>
        <v>-200</v>
      </c>
      <c r="AQ115" s="5"/>
      <c r="AR115" s="41">
        <f>C115/B115*1000</f>
        <v>45.913837568173165</v>
      </c>
      <c r="AS115" s="41">
        <f>D115/B115*1000</f>
        <v>41.872331205343926</v>
      </c>
      <c r="AT115" s="42"/>
      <c r="AU115" s="41">
        <f>AR115-K115</f>
        <v>0.11383756817316737</v>
      </c>
      <c r="AV115" s="41">
        <f>AS115-L115</f>
        <v>7.2331205343928673E-2</v>
      </c>
      <c r="AW115" s="5"/>
    </row>
    <row r="116" spans="1:49" s="2" customFormat="1" x14ac:dyDescent="0.55000000000000004">
      <c r="A116" s="1" t="s">
        <v>128</v>
      </c>
      <c r="B116" s="3"/>
      <c r="C116" s="3"/>
      <c r="D116" s="3"/>
      <c r="E116" s="3"/>
      <c r="F116" s="3"/>
      <c r="G116" s="3"/>
      <c r="H116" s="3"/>
      <c r="I116" s="3"/>
      <c r="J116" s="3"/>
      <c r="K116" s="28"/>
      <c r="L116" s="28"/>
      <c r="M116" s="3"/>
      <c r="N116" s="3">
        <v>8714</v>
      </c>
      <c r="O116" s="3">
        <v>9283</v>
      </c>
      <c r="P116" s="3">
        <v>6351</v>
      </c>
      <c r="Q116" s="3">
        <v>3076</v>
      </c>
      <c r="R116" s="3">
        <v>4193</v>
      </c>
      <c r="S116" s="3">
        <v>6051</v>
      </c>
      <c r="T116" s="3">
        <v>4454</v>
      </c>
      <c r="U116" s="3">
        <v>6087</v>
      </c>
      <c r="V116" s="3">
        <v>5096</v>
      </c>
      <c r="W116" s="3">
        <v>3354</v>
      </c>
      <c r="X116" s="3">
        <v>4330</v>
      </c>
      <c r="Y116" s="3">
        <v>3487</v>
      </c>
      <c r="Z116" s="3">
        <v>5028</v>
      </c>
      <c r="AA116" s="3"/>
    </row>
    <row r="117" spans="1:49" s="2" customFormat="1" x14ac:dyDescent="0.55000000000000004">
      <c r="A117" s="1" t="s">
        <v>129</v>
      </c>
      <c r="B117" s="3"/>
      <c r="C117" s="3"/>
      <c r="D117" s="3"/>
      <c r="E117" s="3"/>
      <c r="F117" s="3"/>
      <c r="G117" s="3"/>
      <c r="H117" s="3"/>
      <c r="I117" s="3"/>
      <c r="J117" s="3"/>
      <c r="K117" s="28"/>
      <c r="L117" s="28"/>
      <c r="M117" s="3"/>
      <c r="N117" s="3">
        <v>7909</v>
      </c>
      <c r="O117" s="3">
        <v>8396</v>
      </c>
      <c r="P117" s="3">
        <v>6274</v>
      </c>
      <c r="Q117" s="3">
        <v>2781</v>
      </c>
      <c r="R117" s="3">
        <v>3436</v>
      </c>
      <c r="S117" s="3">
        <v>5816</v>
      </c>
      <c r="T117" s="3">
        <v>3994</v>
      </c>
      <c r="U117" s="3">
        <v>5070</v>
      </c>
      <c r="V117" s="3">
        <v>4384</v>
      </c>
      <c r="W117" s="3">
        <v>3436</v>
      </c>
      <c r="X117" s="3">
        <v>3664</v>
      </c>
      <c r="Y117" s="3">
        <v>3437</v>
      </c>
      <c r="Z117" s="3">
        <v>4589</v>
      </c>
      <c r="AA117" s="3"/>
    </row>
    <row r="118" spans="1:49" s="8" customFormat="1" x14ac:dyDescent="0.55000000000000004">
      <c r="A118" s="6" t="s">
        <v>130</v>
      </c>
      <c r="B118" s="7">
        <v>1551458</v>
      </c>
      <c r="C118" s="7">
        <v>82265</v>
      </c>
      <c r="D118" s="7">
        <v>69179</v>
      </c>
      <c r="E118" s="7">
        <v>106247</v>
      </c>
      <c r="F118" s="7">
        <v>4198</v>
      </c>
      <c r="G118" s="7">
        <v>4192</v>
      </c>
      <c r="H118" s="7">
        <v>1529359</v>
      </c>
      <c r="I118" s="7">
        <v>83191</v>
      </c>
      <c r="J118" s="7">
        <v>64621</v>
      </c>
      <c r="K118" s="31">
        <v>53</v>
      </c>
      <c r="L118" s="31">
        <v>44.6</v>
      </c>
      <c r="M118" s="3"/>
      <c r="N118" s="7">
        <v>205752</v>
      </c>
      <c r="O118" s="7">
        <v>139041</v>
      </c>
      <c r="P118" s="7">
        <v>146843</v>
      </c>
      <c r="Q118" s="7">
        <v>112125</v>
      </c>
      <c r="R118" s="7">
        <v>127628</v>
      </c>
      <c r="S118" s="7">
        <v>130170</v>
      </c>
      <c r="T118" s="7">
        <v>118317</v>
      </c>
      <c r="U118" s="7">
        <v>192722</v>
      </c>
      <c r="V118" s="7">
        <v>104350</v>
      </c>
      <c r="W118" s="7">
        <v>108201</v>
      </c>
      <c r="X118" s="7">
        <v>166301</v>
      </c>
      <c r="Y118" s="7"/>
      <c r="Z118" s="7"/>
      <c r="AA118" s="7"/>
      <c r="AC118" s="2"/>
      <c r="AD118" s="9">
        <f>SUM(N118:AB118)</f>
        <v>1551450</v>
      </c>
      <c r="AE118" s="9">
        <f>SUM(N119:AB119)</f>
        <v>82265</v>
      </c>
      <c r="AF118" s="9">
        <f>SUM(N120:AB120)</f>
        <v>69179</v>
      </c>
      <c r="AG118" s="9">
        <f t="shared" ref="AG118:AL118" si="46">E118</f>
        <v>106247</v>
      </c>
      <c r="AH118" s="9">
        <f t="shared" si="46"/>
        <v>4198</v>
      </c>
      <c r="AI118" s="9">
        <f t="shared" si="46"/>
        <v>4192</v>
      </c>
      <c r="AJ118" s="9">
        <f t="shared" si="46"/>
        <v>1529359</v>
      </c>
      <c r="AK118" s="9">
        <f t="shared" si="46"/>
        <v>83191</v>
      </c>
      <c r="AL118" s="9">
        <f t="shared" si="46"/>
        <v>64621</v>
      </c>
      <c r="AM118" s="2"/>
      <c r="AN118" s="9">
        <f>AD118-B118</f>
        <v>-8</v>
      </c>
      <c r="AO118" s="9">
        <f>AE118-C118</f>
        <v>0</v>
      </c>
      <c r="AP118" s="9">
        <f>AF118-D118</f>
        <v>0</v>
      </c>
      <c r="AQ118" s="5"/>
      <c r="AR118" s="41">
        <f>C118/B118*1000</f>
        <v>53.024316481657898</v>
      </c>
      <c r="AS118" s="41">
        <f>D118/B118*1000</f>
        <v>44.589669846041595</v>
      </c>
      <c r="AT118" s="42"/>
      <c r="AU118" s="41">
        <f>AR118-K118</f>
        <v>2.4316481657898237E-2</v>
      </c>
      <c r="AV118" s="41">
        <f>AS118-L118</f>
        <v>-1.033015395840664E-2</v>
      </c>
      <c r="AW118" s="5"/>
    </row>
    <row r="119" spans="1:49" s="2" customFormat="1" x14ac:dyDescent="0.55000000000000004">
      <c r="A119" s="1" t="s">
        <v>131</v>
      </c>
      <c r="B119" s="3"/>
      <c r="C119" s="3"/>
      <c r="D119" s="3"/>
      <c r="E119" s="3"/>
      <c r="F119" s="3"/>
      <c r="G119" s="3"/>
      <c r="H119" s="3"/>
      <c r="I119" s="3"/>
      <c r="J119" s="3"/>
      <c r="K119" s="28"/>
      <c r="L119" s="28"/>
      <c r="M119" s="3"/>
      <c r="N119" s="3">
        <v>10357</v>
      </c>
      <c r="O119" s="3">
        <v>8049</v>
      </c>
      <c r="P119" s="3">
        <v>8421</v>
      </c>
      <c r="Q119" s="3">
        <v>5885</v>
      </c>
      <c r="R119" s="3">
        <v>6857</v>
      </c>
      <c r="S119" s="3">
        <v>6588</v>
      </c>
      <c r="T119" s="3">
        <v>6396</v>
      </c>
      <c r="U119" s="3">
        <v>10506</v>
      </c>
      <c r="V119" s="3">
        <v>5768</v>
      </c>
      <c r="W119" s="3">
        <v>5102</v>
      </c>
      <c r="X119" s="3">
        <v>8336</v>
      </c>
      <c r="Y119" s="3"/>
      <c r="Z119" s="3"/>
      <c r="AA119" s="3"/>
    </row>
    <row r="120" spans="1:49" s="2" customFormat="1" x14ac:dyDescent="0.55000000000000004">
      <c r="A120" s="1" t="s">
        <v>132</v>
      </c>
      <c r="B120" s="3"/>
      <c r="C120" s="3"/>
      <c r="D120" s="3"/>
      <c r="E120" s="3"/>
      <c r="F120" s="3"/>
      <c r="G120" s="3"/>
      <c r="H120" s="3"/>
      <c r="I120" s="3"/>
      <c r="J120" s="3"/>
      <c r="K120" s="28"/>
      <c r="L120" s="28"/>
      <c r="M120" s="3"/>
      <c r="N120" s="3">
        <v>8708</v>
      </c>
      <c r="O120" s="3">
        <v>6911</v>
      </c>
      <c r="P120" s="3">
        <v>7758</v>
      </c>
      <c r="Q120" s="3">
        <v>4724</v>
      </c>
      <c r="R120" s="3">
        <v>5223</v>
      </c>
      <c r="S120" s="3">
        <v>4800</v>
      </c>
      <c r="T120" s="3">
        <v>5185</v>
      </c>
      <c r="U120" s="3">
        <v>10418</v>
      </c>
      <c r="V120" s="3">
        <v>4423</v>
      </c>
      <c r="W120" s="3">
        <v>3915</v>
      </c>
      <c r="X120" s="3">
        <v>7114</v>
      </c>
      <c r="Y120" s="3"/>
      <c r="Z120" s="3"/>
      <c r="AA120" s="3"/>
    </row>
    <row r="121" spans="1:49" s="8" customFormat="1" x14ac:dyDescent="0.55000000000000004">
      <c r="A121" s="6" t="s">
        <v>133</v>
      </c>
      <c r="B121" s="48">
        <v>1276110</v>
      </c>
      <c r="C121" s="7">
        <v>55572</v>
      </c>
      <c r="D121" s="7">
        <v>41175</v>
      </c>
      <c r="E121" s="7">
        <v>88761</v>
      </c>
      <c r="F121" s="7">
        <v>2446</v>
      </c>
      <c r="G121" s="7">
        <v>2291</v>
      </c>
      <c r="H121" s="7">
        <v>1237464</v>
      </c>
      <c r="I121" s="7">
        <v>53773</v>
      </c>
      <c r="J121" s="7">
        <v>39346</v>
      </c>
      <c r="K121" s="31">
        <v>48.1</v>
      </c>
      <c r="L121" s="31">
        <v>31.9</v>
      </c>
      <c r="M121" s="3"/>
      <c r="N121" s="7">
        <v>172689</v>
      </c>
      <c r="O121" s="7">
        <v>142564</v>
      </c>
      <c r="P121" s="7">
        <v>78225</v>
      </c>
      <c r="Q121" s="7">
        <v>90708</v>
      </c>
      <c r="R121" s="7">
        <v>71809</v>
      </c>
      <c r="S121" s="7">
        <v>113128</v>
      </c>
      <c r="T121" s="7">
        <v>87569</v>
      </c>
      <c r="U121" s="7">
        <v>187612</v>
      </c>
      <c r="V121" s="7">
        <v>94609</v>
      </c>
      <c r="W121" s="7">
        <v>92627</v>
      </c>
      <c r="X121" s="7">
        <v>144570</v>
      </c>
      <c r="Y121" s="7"/>
      <c r="Z121" s="7"/>
      <c r="AA121" s="7"/>
      <c r="AC121" s="2"/>
      <c r="AD121" s="9">
        <f>SUM(N121:AB121)</f>
        <v>1276110</v>
      </c>
      <c r="AE121" s="9">
        <f>SUM(N122:AB122)</f>
        <v>55572</v>
      </c>
      <c r="AF121" s="9">
        <f>SUM(N123:AB123)</f>
        <v>41175</v>
      </c>
      <c r="AG121" s="9">
        <f t="shared" ref="AG121:AL121" si="47">E121</f>
        <v>88761</v>
      </c>
      <c r="AH121" s="9">
        <f t="shared" si="47"/>
        <v>2446</v>
      </c>
      <c r="AI121" s="9">
        <f t="shared" si="47"/>
        <v>2291</v>
      </c>
      <c r="AJ121" s="9">
        <f t="shared" si="47"/>
        <v>1237464</v>
      </c>
      <c r="AK121" s="9">
        <f t="shared" si="47"/>
        <v>53773</v>
      </c>
      <c r="AL121" s="9">
        <f t="shared" si="47"/>
        <v>39346</v>
      </c>
      <c r="AM121" s="2"/>
      <c r="AN121" s="9">
        <f>AD121-B121</f>
        <v>0</v>
      </c>
      <c r="AO121" s="9">
        <f>AE121-C121</f>
        <v>0</v>
      </c>
      <c r="AP121" s="9">
        <f>AF121-D121</f>
        <v>0</v>
      </c>
      <c r="AQ121" s="5"/>
      <c r="AR121" s="41">
        <f>C121/B121*1000</f>
        <v>43.547970002585984</v>
      </c>
      <c r="AS121" s="41">
        <f>D121/B121*1000</f>
        <v>32.266027223358485</v>
      </c>
      <c r="AT121" s="42"/>
      <c r="AU121" s="41">
        <f>AR121-K121</f>
        <v>-4.5520299974140173</v>
      </c>
      <c r="AV121" s="41">
        <f>AS121-L121</f>
        <v>0.36602722335848625</v>
      </c>
      <c r="AW121" s="5"/>
    </row>
    <row r="122" spans="1:49" s="2" customFormat="1" x14ac:dyDescent="0.55000000000000004">
      <c r="A122" s="1" t="s">
        <v>134</v>
      </c>
      <c r="B122" s="3"/>
      <c r="C122" s="3"/>
      <c r="D122" s="3"/>
      <c r="E122" s="3"/>
      <c r="F122" s="3"/>
      <c r="G122" s="3"/>
      <c r="H122" s="3"/>
      <c r="I122" s="3"/>
      <c r="J122" s="3"/>
      <c r="K122" s="28"/>
      <c r="L122" s="28"/>
      <c r="M122" s="3"/>
      <c r="N122" s="3">
        <v>6817</v>
      </c>
      <c r="O122" s="3">
        <v>5973</v>
      </c>
      <c r="P122" s="3">
        <v>3676</v>
      </c>
      <c r="Q122" s="3">
        <v>3834</v>
      </c>
      <c r="R122" s="3">
        <v>3880</v>
      </c>
      <c r="S122" s="3">
        <v>5347</v>
      </c>
      <c r="T122" s="3">
        <v>3445</v>
      </c>
      <c r="U122" s="3">
        <v>7410</v>
      </c>
      <c r="V122" s="3">
        <v>4207</v>
      </c>
      <c r="W122" s="3">
        <v>4374</v>
      </c>
      <c r="X122" s="3">
        <v>6609</v>
      </c>
      <c r="Y122" s="3"/>
      <c r="Z122" s="3"/>
      <c r="AA122" s="3"/>
    </row>
    <row r="123" spans="1:49" s="2" customFormat="1" x14ac:dyDescent="0.55000000000000004">
      <c r="A123" s="1" t="s">
        <v>135</v>
      </c>
      <c r="B123" s="3"/>
      <c r="C123" s="3"/>
      <c r="D123" s="3"/>
      <c r="E123" s="3"/>
      <c r="F123" s="3"/>
      <c r="G123" s="3"/>
      <c r="H123" s="3"/>
      <c r="I123" s="3"/>
      <c r="J123" s="3"/>
      <c r="K123" s="28"/>
      <c r="L123" s="28"/>
      <c r="M123" s="3"/>
      <c r="N123" s="3">
        <v>4774</v>
      </c>
      <c r="O123" s="3">
        <v>4564</v>
      </c>
      <c r="P123" s="3">
        <v>2363</v>
      </c>
      <c r="Q123" s="3">
        <v>3004</v>
      </c>
      <c r="R123" s="3">
        <v>2899</v>
      </c>
      <c r="S123" s="3">
        <v>4325</v>
      </c>
      <c r="T123" s="3">
        <v>3164</v>
      </c>
      <c r="U123" s="3">
        <v>5320</v>
      </c>
      <c r="V123" s="3">
        <v>2667</v>
      </c>
      <c r="W123" s="3">
        <v>2997</v>
      </c>
      <c r="X123" s="3">
        <v>5098</v>
      </c>
      <c r="Y123" s="3"/>
      <c r="Z123" s="3"/>
      <c r="AA123" s="3"/>
    </row>
    <row r="124" spans="1:49" s="8" customFormat="1" x14ac:dyDescent="0.55000000000000004">
      <c r="A124" s="6" t="s">
        <v>136</v>
      </c>
      <c r="B124" s="7">
        <v>362131</v>
      </c>
      <c r="C124" s="7">
        <v>17367</v>
      </c>
      <c r="D124" s="7">
        <v>12258</v>
      </c>
      <c r="E124" s="7">
        <v>23405</v>
      </c>
      <c r="F124" s="7">
        <v>914</v>
      </c>
      <c r="G124" s="7">
        <v>852</v>
      </c>
      <c r="H124" s="7">
        <v>346141</v>
      </c>
      <c r="I124" s="7">
        <v>16784</v>
      </c>
      <c r="J124" s="7">
        <v>12076</v>
      </c>
      <c r="K124" s="31">
        <v>47.9</v>
      </c>
      <c r="L124" s="31">
        <v>33.9</v>
      </c>
      <c r="M124" s="3"/>
      <c r="N124" s="7">
        <v>83467</v>
      </c>
      <c r="O124" s="7">
        <v>51987</v>
      </c>
      <c r="P124" s="7">
        <v>78502</v>
      </c>
      <c r="Q124" s="7">
        <v>45705</v>
      </c>
      <c r="R124" s="7">
        <v>28315</v>
      </c>
      <c r="S124" s="7">
        <v>40075</v>
      </c>
      <c r="T124" s="7">
        <v>34080</v>
      </c>
      <c r="U124" s="7"/>
      <c r="V124" s="7"/>
      <c r="W124" s="7"/>
      <c r="X124" s="7"/>
      <c r="Y124" s="7"/>
      <c r="Z124" s="7"/>
      <c r="AA124" s="7"/>
      <c r="AC124" s="2"/>
      <c r="AD124" s="9">
        <f>SUM(N124:AB124)</f>
        <v>362131</v>
      </c>
      <c r="AE124" s="9">
        <f>SUM(N125:AB125)</f>
        <v>17367</v>
      </c>
      <c r="AF124" s="9">
        <f>SUM(N126:AB126)</f>
        <v>12258</v>
      </c>
      <c r="AG124" s="9">
        <f t="shared" ref="AG124:AL124" si="48">E124</f>
        <v>23405</v>
      </c>
      <c r="AH124" s="9">
        <f t="shared" si="48"/>
        <v>914</v>
      </c>
      <c r="AI124" s="9">
        <f t="shared" si="48"/>
        <v>852</v>
      </c>
      <c r="AJ124" s="9">
        <f t="shared" si="48"/>
        <v>346141</v>
      </c>
      <c r="AK124" s="9">
        <f t="shared" si="48"/>
        <v>16784</v>
      </c>
      <c r="AL124" s="9">
        <f t="shared" si="48"/>
        <v>12076</v>
      </c>
      <c r="AM124" s="2"/>
      <c r="AN124" s="9">
        <f>AD124-B124</f>
        <v>0</v>
      </c>
      <c r="AO124" s="9">
        <f>AE124-C124</f>
        <v>0</v>
      </c>
      <c r="AP124" s="9">
        <f>AF124-D124</f>
        <v>0</v>
      </c>
      <c r="AQ124" s="5"/>
      <c r="AR124" s="41">
        <f>C124/B124*1000</f>
        <v>47.957783233139388</v>
      </c>
      <c r="AS124" s="41">
        <f>D124/B124*1000</f>
        <v>33.849629001659622</v>
      </c>
      <c r="AT124" s="42"/>
      <c r="AU124" s="41">
        <f>AR124-K124</f>
        <v>5.7783233139389267E-2</v>
      </c>
      <c r="AV124" s="41">
        <f>AS124-L124</f>
        <v>-5.0370998340376616E-2</v>
      </c>
      <c r="AW124" s="5"/>
    </row>
    <row r="125" spans="1:49" s="2" customFormat="1" x14ac:dyDescent="0.55000000000000004">
      <c r="A125" s="1" t="s">
        <v>137</v>
      </c>
      <c r="B125" s="3"/>
      <c r="C125" s="3"/>
      <c r="D125" s="3"/>
      <c r="E125" s="3"/>
      <c r="F125" s="3"/>
      <c r="G125" s="3"/>
      <c r="H125" s="3"/>
      <c r="I125" s="3"/>
      <c r="J125" s="3"/>
      <c r="K125" s="28"/>
      <c r="L125" s="28"/>
      <c r="M125" s="3"/>
      <c r="N125" s="3">
        <v>3786</v>
      </c>
      <c r="O125" s="3">
        <v>2567</v>
      </c>
      <c r="P125" s="3">
        <v>4010</v>
      </c>
      <c r="Q125" s="3">
        <v>2222</v>
      </c>
      <c r="R125" s="3">
        <v>1140</v>
      </c>
      <c r="S125" s="3">
        <v>1868</v>
      </c>
      <c r="T125" s="3">
        <v>1774</v>
      </c>
      <c r="U125" s="3"/>
      <c r="V125" s="3"/>
      <c r="W125" s="3"/>
      <c r="X125" s="3"/>
      <c r="Y125" s="3"/>
      <c r="Z125" s="3"/>
      <c r="AA125" s="3"/>
    </row>
    <row r="126" spans="1:49" s="2" customFormat="1" x14ac:dyDescent="0.55000000000000004">
      <c r="A126" s="1" t="s">
        <v>138</v>
      </c>
      <c r="B126" s="3"/>
      <c r="C126" s="3"/>
      <c r="D126" s="3"/>
      <c r="E126" s="3"/>
      <c r="F126" s="3"/>
      <c r="G126" s="3"/>
      <c r="H126" s="3"/>
      <c r="I126" s="3"/>
      <c r="J126" s="3"/>
      <c r="K126" s="28"/>
      <c r="L126" s="28"/>
      <c r="M126" s="3"/>
      <c r="N126" s="3">
        <v>2676</v>
      </c>
      <c r="O126" s="3">
        <v>1868</v>
      </c>
      <c r="P126" s="3">
        <v>2816</v>
      </c>
      <c r="Q126" s="3">
        <v>1365</v>
      </c>
      <c r="R126" s="3">
        <v>739</v>
      </c>
      <c r="S126" s="3">
        <v>1259</v>
      </c>
      <c r="T126" s="3">
        <v>1535</v>
      </c>
      <c r="U126" s="3"/>
      <c r="V126" s="3"/>
      <c r="W126" s="3"/>
      <c r="X126" s="3"/>
      <c r="Y126" s="3"/>
      <c r="Z126" s="3"/>
      <c r="AA126" s="3"/>
    </row>
    <row r="127" spans="1:49" s="8" customFormat="1" x14ac:dyDescent="0.55000000000000004">
      <c r="A127" s="6" t="s">
        <v>139</v>
      </c>
      <c r="B127" s="7">
        <v>2107442</v>
      </c>
      <c r="C127" s="7">
        <v>106674</v>
      </c>
      <c r="D127" s="7">
        <v>85609</v>
      </c>
      <c r="E127" s="10" t="s">
        <v>23</v>
      </c>
      <c r="F127" s="10" t="s">
        <v>23</v>
      </c>
      <c r="G127" s="10" t="s">
        <v>23</v>
      </c>
      <c r="H127" s="7">
        <v>2029477</v>
      </c>
      <c r="I127" s="7">
        <v>105529</v>
      </c>
      <c r="J127" s="7">
        <v>71707</v>
      </c>
      <c r="K127" s="31">
        <v>50.6</v>
      </c>
      <c r="L127" s="31">
        <v>40.6</v>
      </c>
      <c r="M127" s="3"/>
      <c r="N127" s="7">
        <v>224635</v>
      </c>
      <c r="O127" s="7">
        <v>151832</v>
      </c>
      <c r="P127" s="7">
        <v>163163</v>
      </c>
      <c r="Q127" s="7">
        <v>104561</v>
      </c>
      <c r="R127" s="7">
        <v>291845</v>
      </c>
      <c r="S127" s="7">
        <v>131389</v>
      </c>
      <c r="T127" s="7">
        <v>116193</v>
      </c>
      <c r="U127" s="7">
        <v>352235</v>
      </c>
      <c r="V127" s="7">
        <v>189690</v>
      </c>
      <c r="W127" s="7">
        <v>108213</v>
      </c>
      <c r="X127" s="7">
        <v>143480</v>
      </c>
      <c r="Y127" s="7">
        <v>130206</v>
      </c>
      <c r="Z127" s="7"/>
      <c r="AA127" s="7"/>
      <c r="AC127" s="2"/>
      <c r="AD127" s="9">
        <f>SUM(N127:AB127)</f>
        <v>2107442</v>
      </c>
      <c r="AE127" s="9">
        <f>SUM(N128:AB128)</f>
        <v>106674</v>
      </c>
      <c r="AF127" s="9">
        <f>SUM(N129:AB129)</f>
        <v>85609</v>
      </c>
      <c r="AG127" s="10" t="str">
        <f t="shared" ref="AG127:AL127" si="49">E127</f>
        <v>—</v>
      </c>
      <c r="AH127" s="10" t="str">
        <f t="shared" si="49"/>
        <v>—</v>
      </c>
      <c r="AI127" s="10" t="str">
        <f t="shared" si="49"/>
        <v>—</v>
      </c>
      <c r="AJ127" s="9">
        <f t="shared" si="49"/>
        <v>2029477</v>
      </c>
      <c r="AK127" s="9">
        <f t="shared" si="49"/>
        <v>105529</v>
      </c>
      <c r="AL127" s="9">
        <f t="shared" si="49"/>
        <v>71707</v>
      </c>
      <c r="AM127" s="2"/>
      <c r="AN127" s="9">
        <f>AD127-B127</f>
        <v>0</v>
      </c>
      <c r="AO127" s="9">
        <f>AE127-C127</f>
        <v>0</v>
      </c>
      <c r="AP127" s="9">
        <f>AF127-D127</f>
        <v>0</v>
      </c>
      <c r="AQ127" s="5"/>
      <c r="AR127" s="41">
        <f>C127/B127*1000</f>
        <v>50.617763146032019</v>
      </c>
      <c r="AS127" s="41">
        <f>D127/B127*1000</f>
        <v>40.622233019936019</v>
      </c>
      <c r="AT127" s="42"/>
      <c r="AU127" s="41">
        <f>AR127-K127</f>
        <v>1.7763146032017119E-2</v>
      </c>
      <c r="AV127" s="41">
        <f>AS127-L127</f>
        <v>2.2233019936017229E-2</v>
      </c>
      <c r="AW127" s="5"/>
    </row>
    <row r="128" spans="1:49" s="2" customFormat="1" x14ac:dyDescent="0.55000000000000004">
      <c r="A128" s="1" t="s">
        <v>140</v>
      </c>
      <c r="B128" s="3"/>
      <c r="C128" s="3"/>
      <c r="D128" s="3"/>
      <c r="E128" s="3"/>
      <c r="F128" s="3"/>
      <c r="G128" s="3"/>
      <c r="H128" s="3"/>
      <c r="I128" s="3"/>
      <c r="J128" s="3"/>
      <c r="K128" s="28"/>
      <c r="L128" s="28"/>
      <c r="M128" s="3"/>
      <c r="N128" s="3">
        <v>10289</v>
      </c>
      <c r="O128" s="3">
        <v>7171</v>
      </c>
      <c r="P128" s="3">
        <v>9475</v>
      </c>
      <c r="Q128" s="3">
        <v>5117</v>
      </c>
      <c r="R128" s="3">
        <v>15703</v>
      </c>
      <c r="S128" s="3">
        <v>6954</v>
      </c>
      <c r="T128" s="3">
        <v>5654</v>
      </c>
      <c r="U128" s="3">
        <v>16746</v>
      </c>
      <c r="V128" s="3">
        <v>9833</v>
      </c>
      <c r="W128" s="3">
        <v>5546</v>
      </c>
      <c r="X128" s="3">
        <v>7511</v>
      </c>
      <c r="Y128" s="3">
        <v>6675</v>
      </c>
      <c r="Z128" s="3"/>
      <c r="AA128" s="3"/>
      <c r="AG128" s="36"/>
      <c r="AH128" s="36"/>
      <c r="AI128" s="36"/>
    </row>
    <row r="129" spans="1:49" s="2" customFormat="1" x14ac:dyDescent="0.55000000000000004">
      <c r="A129" s="1" t="s">
        <v>141</v>
      </c>
      <c r="B129" s="3"/>
      <c r="C129" s="3"/>
      <c r="D129" s="3"/>
      <c r="E129" s="3"/>
      <c r="F129" s="3"/>
      <c r="G129" s="3"/>
      <c r="H129" s="3"/>
      <c r="I129" s="3"/>
      <c r="J129" s="3"/>
      <c r="K129" s="28"/>
      <c r="L129" s="28"/>
      <c r="M129" s="3"/>
      <c r="N129" s="3">
        <v>8863</v>
      </c>
      <c r="O129" s="3">
        <v>6597</v>
      </c>
      <c r="P129" s="3">
        <v>6199</v>
      </c>
      <c r="Q129" s="3">
        <v>4049</v>
      </c>
      <c r="R129" s="3">
        <v>12270</v>
      </c>
      <c r="S129" s="3">
        <v>5614</v>
      </c>
      <c r="T129" s="3">
        <v>4784</v>
      </c>
      <c r="U129" s="3">
        <v>14103</v>
      </c>
      <c r="V129" s="3">
        <v>8567</v>
      </c>
      <c r="W129" s="3">
        <v>5198</v>
      </c>
      <c r="X129" s="46">
        <v>5409</v>
      </c>
      <c r="Y129" s="3">
        <v>3956</v>
      </c>
      <c r="Z129" s="3"/>
      <c r="AA129" s="3"/>
      <c r="AG129" s="36"/>
      <c r="AH129" s="36"/>
      <c r="AI129" s="36"/>
    </row>
    <row r="130" spans="1:49" s="8" customFormat="1" x14ac:dyDescent="0.55000000000000004">
      <c r="A130" s="6" t="s">
        <v>142</v>
      </c>
      <c r="B130" s="7">
        <v>1601458</v>
      </c>
      <c r="C130" s="7">
        <v>80120</v>
      </c>
      <c r="D130" s="7">
        <v>64064</v>
      </c>
      <c r="E130" s="10" t="s">
        <v>23</v>
      </c>
      <c r="F130" s="10" t="s">
        <v>23</v>
      </c>
      <c r="G130" s="10" t="s">
        <v>23</v>
      </c>
      <c r="H130" s="7">
        <v>1550070</v>
      </c>
      <c r="I130" s="7">
        <v>81995</v>
      </c>
      <c r="J130" s="7">
        <v>59319</v>
      </c>
      <c r="K130" s="31">
        <v>50</v>
      </c>
      <c r="L130" s="31">
        <v>40</v>
      </c>
      <c r="M130" s="3"/>
      <c r="N130" s="7">
        <v>163872</v>
      </c>
      <c r="O130" s="7">
        <v>173509</v>
      </c>
      <c r="P130" s="7">
        <v>203181</v>
      </c>
      <c r="Q130" s="7">
        <v>134573</v>
      </c>
      <c r="R130" s="7">
        <v>182123</v>
      </c>
      <c r="S130" s="7">
        <v>114370</v>
      </c>
      <c r="T130" s="7">
        <v>137430</v>
      </c>
      <c r="U130" s="7">
        <v>174539</v>
      </c>
      <c r="V130" s="7">
        <v>158960</v>
      </c>
      <c r="W130" s="7">
        <v>158900</v>
      </c>
      <c r="X130" s="7"/>
      <c r="Y130" s="7"/>
      <c r="Z130" s="7"/>
      <c r="AA130" s="7"/>
      <c r="AC130" s="2"/>
      <c r="AD130" s="9">
        <f>SUM(N130:AB130)</f>
        <v>1601457</v>
      </c>
      <c r="AE130" s="9">
        <f>SUM(N131:AB131)</f>
        <v>80120</v>
      </c>
      <c r="AF130" s="9">
        <f>SUM(N132:AB132)</f>
        <v>64064</v>
      </c>
      <c r="AG130" s="10" t="str">
        <f t="shared" ref="AG130:AL130" si="50">E130</f>
        <v>—</v>
      </c>
      <c r="AH130" s="10" t="str">
        <f t="shared" si="50"/>
        <v>—</v>
      </c>
      <c r="AI130" s="10" t="str">
        <f t="shared" si="50"/>
        <v>—</v>
      </c>
      <c r="AJ130" s="9">
        <f t="shared" si="50"/>
        <v>1550070</v>
      </c>
      <c r="AK130" s="9">
        <f t="shared" si="50"/>
        <v>81995</v>
      </c>
      <c r="AL130" s="9">
        <f t="shared" si="50"/>
        <v>59319</v>
      </c>
      <c r="AM130" s="2"/>
      <c r="AN130" s="9">
        <f>AD130-B130</f>
        <v>-1</v>
      </c>
      <c r="AO130" s="9">
        <f>AE130-C130</f>
        <v>0</v>
      </c>
      <c r="AP130" s="9">
        <f>AF130-D130</f>
        <v>0</v>
      </c>
      <c r="AQ130" s="5"/>
      <c r="AR130" s="41">
        <f>C130/B130*1000</f>
        <v>50.029410699500076</v>
      </c>
      <c r="AS130" s="41">
        <f>D130/B130*1000</f>
        <v>40.003546768007652</v>
      </c>
      <c r="AT130" s="42"/>
      <c r="AU130" s="41">
        <f>AR130-K130</f>
        <v>2.9410699500076021E-2</v>
      </c>
      <c r="AV130" s="41">
        <f>AS130-L130</f>
        <v>3.5467680076521901E-3</v>
      </c>
      <c r="AW130" s="5"/>
    </row>
    <row r="131" spans="1:49" s="2" customFormat="1" x14ac:dyDescent="0.55000000000000004">
      <c r="A131" s="1" t="s">
        <v>143</v>
      </c>
      <c r="B131" s="3"/>
      <c r="C131" s="3"/>
      <c r="D131" s="3"/>
      <c r="E131" s="3"/>
      <c r="F131" s="3"/>
      <c r="G131" s="3"/>
      <c r="H131" s="3"/>
      <c r="I131" s="3"/>
      <c r="J131" s="3"/>
      <c r="K131" s="28"/>
      <c r="L131" s="28"/>
      <c r="M131" s="3"/>
      <c r="N131" s="3">
        <v>8959</v>
      </c>
      <c r="O131" s="3">
        <v>9189</v>
      </c>
      <c r="P131" s="3">
        <v>9953</v>
      </c>
      <c r="Q131" s="3">
        <v>5737</v>
      </c>
      <c r="R131" s="3">
        <v>8835</v>
      </c>
      <c r="S131" s="3">
        <v>6900</v>
      </c>
      <c r="T131" s="3">
        <v>6613</v>
      </c>
      <c r="U131" s="3">
        <v>7889</v>
      </c>
      <c r="V131" s="3">
        <v>7816</v>
      </c>
      <c r="W131" s="3">
        <v>8229</v>
      </c>
      <c r="X131" s="3"/>
      <c r="Y131" s="3"/>
      <c r="Z131" s="3"/>
      <c r="AA131" s="3"/>
    </row>
    <row r="132" spans="1:49" s="2" customFormat="1" x14ac:dyDescent="0.55000000000000004">
      <c r="A132" s="1" t="s">
        <v>144</v>
      </c>
      <c r="B132" s="3"/>
      <c r="C132" s="3"/>
      <c r="D132" s="3"/>
      <c r="E132" s="3"/>
      <c r="F132" s="3"/>
      <c r="G132" s="3"/>
      <c r="H132" s="3"/>
      <c r="I132" s="3"/>
      <c r="J132" s="3"/>
      <c r="K132" s="28"/>
      <c r="L132" s="28"/>
      <c r="M132" s="3"/>
      <c r="N132" s="3">
        <v>7231</v>
      </c>
      <c r="O132" s="3">
        <v>6391</v>
      </c>
      <c r="P132" s="3">
        <v>8308</v>
      </c>
      <c r="Q132" s="3">
        <v>4607</v>
      </c>
      <c r="R132" s="3">
        <v>7011</v>
      </c>
      <c r="S132" s="3">
        <v>6063</v>
      </c>
      <c r="T132" s="3">
        <v>5354</v>
      </c>
      <c r="U132" s="3">
        <v>6423</v>
      </c>
      <c r="V132" s="3">
        <v>6502</v>
      </c>
      <c r="W132" s="3">
        <v>6174</v>
      </c>
      <c r="X132" s="3"/>
      <c r="Y132" s="3"/>
      <c r="Z132" s="3"/>
      <c r="AA132" s="3"/>
    </row>
    <row r="133" spans="1:49" s="8" customFormat="1" x14ac:dyDescent="0.55000000000000004">
      <c r="A133" s="6" t="s">
        <v>145</v>
      </c>
      <c r="B133" s="7">
        <v>2794922</v>
      </c>
      <c r="C133" s="7">
        <v>152416</v>
      </c>
      <c r="D133" s="7">
        <v>136331</v>
      </c>
      <c r="E133" s="7">
        <v>132950</v>
      </c>
      <c r="F133" s="7">
        <v>5672</v>
      </c>
      <c r="G133" s="7">
        <v>5798</v>
      </c>
      <c r="H133" s="7">
        <v>2741779</v>
      </c>
      <c r="I133" s="7">
        <v>152342</v>
      </c>
      <c r="J133" s="7">
        <v>116549</v>
      </c>
      <c r="K133" s="31">
        <v>54.5</v>
      </c>
      <c r="L133" s="31">
        <v>48.7</v>
      </c>
      <c r="M133" s="3"/>
      <c r="N133" s="7">
        <v>228221</v>
      </c>
      <c r="O133" s="7">
        <v>223418</v>
      </c>
      <c r="P133" s="7">
        <v>383883</v>
      </c>
      <c r="Q133" s="7">
        <v>140922</v>
      </c>
      <c r="R133" s="7">
        <v>259487</v>
      </c>
      <c r="S133" s="7">
        <v>232448</v>
      </c>
      <c r="T133" s="7">
        <v>123741</v>
      </c>
      <c r="U133" s="7">
        <v>283694</v>
      </c>
      <c r="V133" s="7">
        <v>258003</v>
      </c>
      <c r="W133" s="7">
        <v>211877</v>
      </c>
      <c r="X133" s="7">
        <v>92880</v>
      </c>
      <c r="Y133" s="7">
        <v>341263</v>
      </c>
      <c r="Z133" s="7"/>
      <c r="AA133" s="7"/>
      <c r="AC133" s="2"/>
      <c r="AD133" s="9">
        <f>SUM(N133:AB133)</f>
        <v>2779837</v>
      </c>
      <c r="AE133" s="9">
        <f>SUM(N134:AB134)</f>
        <v>152416</v>
      </c>
      <c r="AF133" s="9">
        <f>SUM(N135:AB135)</f>
        <v>136331</v>
      </c>
      <c r="AG133" s="9">
        <f t="shared" ref="AG133:AL133" si="51">E133</f>
        <v>132950</v>
      </c>
      <c r="AH133" s="9">
        <f t="shared" si="51"/>
        <v>5672</v>
      </c>
      <c r="AI133" s="9">
        <f t="shared" si="51"/>
        <v>5798</v>
      </c>
      <c r="AJ133" s="9">
        <f t="shared" si="51"/>
        <v>2741779</v>
      </c>
      <c r="AK133" s="9">
        <f t="shared" si="51"/>
        <v>152342</v>
      </c>
      <c r="AL133" s="9">
        <f t="shared" si="51"/>
        <v>116549</v>
      </c>
      <c r="AM133" s="2"/>
      <c r="AN133" s="9">
        <f>AD133-B133</f>
        <v>-15085</v>
      </c>
      <c r="AO133" s="9">
        <f>AE133-C133</f>
        <v>0</v>
      </c>
      <c r="AP133" s="9">
        <f>AF133-D133</f>
        <v>0</v>
      </c>
      <c r="AQ133" s="5"/>
      <c r="AR133" s="41">
        <f>C133/B133*1000</f>
        <v>54.533185541492749</v>
      </c>
      <c r="AS133" s="41">
        <f>D133/B133*1000</f>
        <v>48.778105435500528</v>
      </c>
      <c r="AT133" s="42"/>
      <c r="AU133" s="41">
        <f>AR133-K133</f>
        <v>3.3185541492748882E-2</v>
      </c>
      <c r="AV133" s="41">
        <f>AS133-L133</f>
        <v>7.8105435500525289E-2</v>
      </c>
      <c r="AW133" s="5"/>
    </row>
    <row r="134" spans="1:49" s="2" customFormat="1" x14ac:dyDescent="0.55000000000000004">
      <c r="A134" s="1" t="s">
        <v>146</v>
      </c>
      <c r="B134" s="3"/>
      <c r="C134" s="3"/>
      <c r="D134" s="3"/>
      <c r="E134" s="3"/>
      <c r="F134" s="3"/>
      <c r="G134" s="3"/>
      <c r="H134" s="3"/>
      <c r="I134" s="3"/>
      <c r="J134" s="3"/>
      <c r="K134" s="28"/>
      <c r="L134" s="28"/>
      <c r="M134" s="3"/>
      <c r="N134" s="3">
        <v>12335</v>
      </c>
      <c r="O134" s="3">
        <v>12370</v>
      </c>
      <c r="P134" s="3">
        <v>21397</v>
      </c>
      <c r="Q134" s="3">
        <v>7961</v>
      </c>
      <c r="R134" s="3">
        <v>14195</v>
      </c>
      <c r="S134" s="3">
        <v>12620</v>
      </c>
      <c r="T134" s="3">
        <v>7674</v>
      </c>
      <c r="U134" s="3">
        <v>15339</v>
      </c>
      <c r="V134" s="3">
        <v>12826</v>
      </c>
      <c r="W134" s="3">
        <v>11544</v>
      </c>
      <c r="X134" s="3">
        <v>5356</v>
      </c>
      <c r="Y134" s="3">
        <v>18799</v>
      </c>
      <c r="Z134" s="3"/>
      <c r="AA134" s="3"/>
    </row>
    <row r="135" spans="1:49" s="2" customFormat="1" x14ac:dyDescent="0.55000000000000004">
      <c r="A135" s="1" t="s">
        <v>147</v>
      </c>
      <c r="B135" s="3"/>
      <c r="C135" s="3"/>
      <c r="D135" s="3"/>
      <c r="E135" s="3"/>
      <c r="F135" s="3"/>
      <c r="G135" s="3"/>
      <c r="H135" s="3"/>
      <c r="I135" s="3"/>
      <c r="J135" s="3"/>
      <c r="K135" s="28"/>
      <c r="L135" s="28"/>
      <c r="M135" s="3"/>
      <c r="N135" s="3">
        <v>12989</v>
      </c>
      <c r="O135" s="3">
        <v>9773</v>
      </c>
      <c r="P135" s="3">
        <v>17307</v>
      </c>
      <c r="Q135" s="3">
        <v>7943</v>
      </c>
      <c r="R135" s="3">
        <v>13091</v>
      </c>
      <c r="S135" s="3">
        <v>10017</v>
      </c>
      <c r="T135" s="3">
        <v>7843</v>
      </c>
      <c r="U135" s="3">
        <v>13187</v>
      </c>
      <c r="V135" s="3">
        <v>12021</v>
      </c>
      <c r="W135" s="3">
        <v>11174</v>
      </c>
      <c r="X135" s="3">
        <v>2818</v>
      </c>
      <c r="Y135" s="3">
        <v>18168</v>
      </c>
      <c r="Z135" s="3"/>
      <c r="AA135" s="3"/>
    </row>
    <row r="136" spans="1:49" s="8" customFormat="1" x14ac:dyDescent="0.55000000000000004">
      <c r="A136" s="6" t="s">
        <v>148</v>
      </c>
      <c r="B136" s="7">
        <v>2894095</v>
      </c>
      <c r="C136" s="7">
        <v>127556</v>
      </c>
      <c r="D136" s="7">
        <v>93984</v>
      </c>
      <c r="E136" s="7">
        <v>253214</v>
      </c>
      <c r="F136" s="7">
        <v>10589</v>
      </c>
      <c r="G136" s="7">
        <v>8021</v>
      </c>
      <c r="H136" s="7">
        <v>2834523</v>
      </c>
      <c r="I136" s="7">
        <v>131207</v>
      </c>
      <c r="J136" s="7">
        <v>78200</v>
      </c>
      <c r="K136" s="31">
        <v>44.1</v>
      </c>
      <c r="L136" s="31">
        <v>32.4</v>
      </c>
      <c r="M136" s="3"/>
      <c r="N136" s="7">
        <v>232195</v>
      </c>
      <c r="O136" s="7">
        <v>170624</v>
      </c>
      <c r="P136" s="7">
        <v>233783</v>
      </c>
      <c r="Q136" s="7">
        <v>149398</v>
      </c>
      <c r="R136" s="7">
        <v>248171</v>
      </c>
      <c r="S136" s="7">
        <v>203579</v>
      </c>
      <c r="T136" s="7">
        <v>242774</v>
      </c>
      <c r="U136" s="7">
        <v>150617</v>
      </c>
      <c r="V136" s="7">
        <v>134478</v>
      </c>
      <c r="W136" s="7">
        <v>163543</v>
      </c>
      <c r="X136" s="7">
        <v>200511</v>
      </c>
      <c r="Y136" s="7">
        <v>169027</v>
      </c>
      <c r="Z136" s="7">
        <v>214841</v>
      </c>
      <c r="AA136" s="7">
        <v>208986</v>
      </c>
      <c r="AB136" s="18">
        <v>171568</v>
      </c>
      <c r="AC136" s="18"/>
      <c r="AD136" s="9">
        <f>SUM(N136:AB136)</f>
        <v>2894095</v>
      </c>
      <c r="AE136" s="9">
        <f>SUM(N137:AB137)</f>
        <v>127556</v>
      </c>
      <c r="AF136" s="9">
        <f>SUM(N138:AB138)</f>
        <v>93984</v>
      </c>
      <c r="AG136" s="9">
        <f t="shared" ref="AG136:AL136" si="52">E136</f>
        <v>253214</v>
      </c>
      <c r="AH136" s="9">
        <f t="shared" si="52"/>
        <v>10589</v>
      </c>
      <c r="AI136" s="9">
        <f t="shared" si="52"/>
        <v>8021</v>
      </c>
      <c r="AJ136" s="9">
        <f t="shared" si="52"/>
        <v>2834523</v>
      </c>
      <c r="AK136" s="9">
        <f t="shared" si="52"/>
        <v>131207</v>
      </c>
      <c r="AL136" s="9">
        <f t="shared" si="52"/>
        <v>78200</v>
      </c>
      <c r="AM136" s="2"/>
      <c r="AN136" s="9">
        <f>AD136-B136</f>
        <v>0</v>
      </c>
      <c r="AO136" s="9">
        <f>AE136-C136</f>
        <v>0</v>
      </c>
      <c r="AP136" s="9">
        <f>AF136-D136</f>
        <v>0</v>
      </c>
      <c r="AQ136" s="5"/>
      <c r="AR136" s="41">
        <f>C136/B136*1000</f>
        <v>44.074572534764755</v>
      </c>
      <c r="AS136" s="41">
        <f>D136/B136*1000</f>
        <v>32.474400460247509</v>
      </c>
      <c r="AT136" s="42"/>
      <c r="AU136" s="41">
        <f>AR136-K136</f>
        <v>-2.5427465235246416E-2</v>
      </c>
      <c r="AV136" s="41">
        <f>AS136-L136</f>
        <v>7.4400460247510125E-2</v>
      </c>
      <c r="AW136" s="5"/>
    </row>
    <row r="137" spans="1:49" s="2" customFormat="1" x14ac:dyDescent="0.55000000000000004">
      <c r="A137" s="1" t="s">
        <v>149</v>
      </c>
      <c r="B137" s="3"/>
      <c r="C137" s="3"/>
      <c r="D137" s="3"/>
      <c r="E137" s="3"/>
      <c r="F137" s="3"/>
      <c r="G137" s="3"/>
      <c r="H137" s="3"/>
      <c r="I137" s="3"/>
      <c r="J137" s="3"/>
      <c r="K137" s="28"/>
      <c r="L137" s="28"/>
      <c r="M137" s="3"/>
      <c r="N137" s="3">
        <v>10187</v>
      </c>
      <c r="O137" s="3">
        <v>7225</v>
      </c>
      <c r="P137" s="3">
        <v>10345</v>
      </c>
      <c r="Q137" s="3">
        <v>6280</v>
      </c>
      <c r="R137" s="3">
        <v>9619</v>
      </c>
      <c r="S137" s="3">
        <v>10872</v>
      </c>
      <c r="T137" s="3">
        <v>10877</v>
      </c>
      <c r="U137" s="3">
        <v>6798</v>
      </c>
      <c r="V137" s="3">
        <v>6532</v>
      </c>
      <c r="W137" s="3">
        <v>7255</v>
      </c>
      <c r="X137" s="3">
        <v>8923</v>
      </c>
      <c r="Y137" s="3">
        <v>7401</v>
      </c>
      <c r="Z137" s="3">
        <v>8796</v>
      </c>
      <c r="AA137" s="3">
        <v>8109</v>
      </c>
      <c r="AB137" s="18">
        <v>8337</v>
      </c>
      <c r="AC137" s="18"/>
    </row>
    <row r="138" spans="1:49" s="2" customFormat="1" x14ac:dyDescent="0.55000000000000004">
      <c r="A138" s="1" t="s">
        <v>150</v>
      </c>
      <c r="B138" s="3"/>
      <c r="C138" s="3"/>
      <c r="D138" s="3"/>
      <c r="E138" s="3"/>
      <c r="F138" s="3"/>
      <c r="G138" s="3"/>
      <c r="H138" s="3"/>
      <c r="I138" s="3"/>
      <c r="J138" s="3"/>
      <c r="K138" s="28"/>
      <c r="L138" s="28"/>
      <c r="M138" s="3"/>
      <c r="N138" s="3">
        <v>8492</v>
      </c>
      <c r="O138" s="3">
        <v>4988</v>
      </c>
      <c r="P138" s="3">
        <v>6583</v>
      </c>
      <c r="Q138" s="3">
        <v>5841</v>
      </c>
      <c r="R138" s="3">
        <v>6027</v>
      </c>
      <c r="S138" s="3">
        <v>10512</v>
      </c>
      <c r="T138" s="3">
        <v>7314</v>
      </c>
      <c r="U138" s="3">
        <v>4970</v>
      </c>
      <c r="V138" s="3">
        <v>4007</v>
      </c>
      <c r="W138" s="3">
        <v>4868</v>
      </c>
      <c r="X138" s="3">
        <v>7359</v>
      </c>
      <c r="Y138" s="3">
        <v>5463</v>
      </c>
      <c r="Z138" s="3">
        <v>6323</v>
      </c>
      <c r="AA138" s="3">
        <v>5395</v>
      </c>
      <c r="AB138" s="18">
        <v>5842</v>
      </c>
      <c r="AC138" s="18"/>
    </row>
    <row r="139" spans="1:49" s="8" customFormat="1" x14ac:dyDescent="0.55000000000000004">
      <c r="A139" s="6" t="s">
        <v>151</v>
      </c>
      <c r="B139" s="7">
        <v>1029053</v>
      </c>
      <c r="C139" s="7">
        <v>50312</v>
      </c>
      <c r="D139" s="7">
        <v>32442</v>
      </c>
      <c r="E139" s="7">
        <v>60405</v>
      </c>
      <c r="F139" s="7">
        <v>1769</v>
      </c>
      <c r="G139" s="7">
        <v>1570</v>
      </c>
      <c r="H139" s="7">
        <v>989039</v>
      </c>
      <c r="I139" s="7">
        <v>48774</v>
      </c>
      <c r="J139" s="7">
        <v>34608</v>
      </c>
      <c r="K139" s="31">
        <v>48.9</v>
      </c>
      <c r="L139" s="31">
        <v>31.5</v>
      </c>
      <c r="M139" s="3"/>
      <c r="N139" s="7">
        <v>217611</v>
      </c>
      <c r="O139" s="7">
        <v>110602</v>
      </c>
      <c r="P139" s="7">
        <v>102649</v>
      </c>
      <c r="Q139" s="7">
        <v>126769</v>
      </c>
      <c r="R139" s="7">
        <v>157179</v>
      </c>
      <c r="S139" s="7">
        <v>164744</v>
      </c>
      <c r="T139" s="7">
        <v>75896</v>
      </c>
      <c r="U139" s="7">
        <v>73603</v>
      </c>
      <c r="V139" s="7"/>
      <c r="W139" s="7"/>
      <c r="X139" s="7"/>
      <c r="Y139" s="7"/>
      <c r="Z139" s="7"/>
      <c r="AA139" s="7"/>
      <c r="AC139" s="2"/>
      <c r="AD139" s="9">
        <f>SUM(N139:AB139)</f>
        <v>1029053</v>
      </c>
      <c r="AE139" s="9">
        <f>SUM(N140:AB140)</f>
        <v>50312</v>
      </c>
      <c r="AF139" s="9">
        <f>SUM(N141:AB141)</f>
        <v>32442</v>
      </c>
      <c r="AG139" s="9">
        <f t="shared" ref="AG139:AL139" si="53">E139</f>
        <v>60405</v>
      </c>
      <c r="AH139" s="9">
        <f t="shared" si="53"/>
        <v>1769</v>
      </c>
      <c r="AI139" s="9">
        <f t="shared" si="53"/>
        <v>1570</v>
      </c>
      <c r="AJ139" s="9">
        <f t="shared" si="53"/>
        <v>989039</v>
      </c>
      <c r="AK139" s="9">
        <f t="shared" si="53"/>
        <v>48774</v>
      </c>
      <c r="AL139" s="9">
        <f t="shared" si="53"/>
        <v>34608</v>
      </c>
      <c r="AM139" s="2"/>
      <c r="AN139" s="9">
        <f>AD139-B139</f>
        <v>0</v>
      </c>
      <c r="AO139" s="9">
        <f>AE139-C139</f>
        <v>0</v>
      </c>
      <c r="AP139" s="9">
        <f>AF139-D139</f>
        <v>0</v>
      </c>
      <c r="AQ139" s="5"/>
      <c r="AR139" s="41">
        <f>C139/B139*1000</f>
        <v>48.891553690626232</v>
      </c>
      <c r="AS139" s="41">
        <f>D139/B139*1000</f>
        <v>31.526073001099068</v>
      </c>
      <c r="AT139" s="42"/>
      <c r="AU139" s="41">
        <f>AR139-K139</f>
        <v>-8.4463093737667805E-3</v>
      </c>
      <c r="AV139" s="41">
        <f>AS139-L139</f>
        <v>2.6073001099067739E-2</v>
      </c>
      <c r="AW139" s="5"/>
    </row>
    <row r="140" spans="1:49" s="2" customFormat="1" x14ac:dyDescent="0.55000000000000004">
      <c r="A140" s="1" t="s">
        <v>152</v>
      </c>
      <c r="B140" s="3"/>
      <c r="C140" s="3"/>
      <c r="D140" s="3"/>
      <c r="E140" s="3"/>
      <c r="F140" s="3"/>
      <c r="G140" s="3"/>
      <c r="H140" s="3"/>
      <c r="I140" s="3"/>
      <c r="J140" s="3"/>
      <c r="K140" s="28"/>
      <c r="L140" s="28"/>
      <c r="M140" s="3"/>
      <c r="N140" s="3">
        <v>9740</v>
      </c>
      <c r="O140" s="3">
        <v>5984</v>
      </c>
      <c r="P140" s="3">
        <v>5063</v>
      </c>
      <c r="Q140" s="3">
        <v>6179</v>
      </c>
      <c r="R140" s="3">
        <v>7255</v>
      </c>
      <c r="S140" s="3">
        <v>7226</v>
      </c>
      <c r="T140" s="3">
        <v>4435</v>
      </c>
      <c r="U140" s="3">
        <v>4430</v>
      </c>
      <c r="V140" s="3"/>
      <c r="W140" s="3"/>
      <c r="X140" s="3"/>
      <c r="Y140" s="3"/>
      <c r="Z140" s="3"/>
      <c r="AA140" s="3"/>
    </row>
    <row r="141" spans="1:49" s="2" customFormat="1" x14ac:dyDescent="0.55000000000000004">
      <c r="A141" s="1" t="s">
        <v>153</v>
      </c>
      <c r="B141" s="3"/>
      <c r="C141" s="3"/>
      <c r="D141" s="3"/>
      <c r="E141" s="3"/>
      <c r="F141" s="3"/>
      <c r="G141" s="3"/>
      <c r="H141" s="3"/>
      <c r="I141" s="3"/>
      <c r="J141" s="3"/>
      <c r="K141" s="28"/>
      <c r="L141" s="28"/>
      <c r="M141" s="3"/>
      <c r="N141" s="3">
        <v>6400</v>
      </c>
      <c r="O141" s="3">
        <v>4047</v>
      </c>
      <c r="P141" s="3">
        <v>3043</v>
      </c>
      <c r="Q141" s="3">
        <v>3392</v>
      </c>
      <c r="R141" s="3">
        <v>4744</v>
      </c>
      <c r="S141" s="3">
        <v>4970</v>
      </c>
      <c r="T141" s="3">
        <v>3053</v>
      </c>
      <c r="U141" s="3">
        <v>2793</v>
      </c>
      <c r="V141" s="3"/>
      <c r="W141" s="3"/>
      <c r="X141" s="3"/>
      <c r="Y141" s="3"/>
      <c r="Z141" s="3"/>
      <c r="AA141" s="3"/>
    </row>
    <row r="142" spans="1:49" s="8" customFormat="1" x14ac:dyDescent="0.55000000000000004">
      <c r="A142" s="6" t="s">
        <v>154</v>
      </c>
      <c r="B142" s="7">
        <v>1928786</v>
      </c>
      <c r="C142" s="7">
        <v>94449</v>
      </c>
      <c r="D142" s="7">
        <v>70492</v>
      </c>
      <c r="E142" s="7">
        <v>96139</v>
      </c>
      <c r="F142" s="7">
        <v>5405</v>
      </c>
      <c r="G142" s="7">
        <v>4860</v>
      </c>
      <c r="H142" s="7">
        <v>1874939</v>
      </c>
      <c r="I142" s="7">
        <v>91397</v>
      </c>
      <c r="J142" s="7">
        <v>59971</v>
      </c>
      <c r="K142" s="31">
        <v>48.9</v>
      </c>
      <c r="L142" s="31">
        <v>36.5</v>
      </c>
      <c r="M142" s="3"/>
      <c r="N142" s="7">
        <v>218091</v>
      </c>
      <c r="O142" s="7">
        <v>121604</v>
      </c>
      <c r="P142" s="7">
        <v>147857</v>
      </c>
      <c r="Q142" s="7">
        <v>136548</v>
      </c>
      <c r="R142" s="7">
        <v>180794</v>
      </c>
      <c r="S142" s="7">
        <v>166445</v>
      </c>
      <c r="T142" s="7">
        <v>124077</v>
      </c>
      <c r="U142" s="7">
        <v>158534</v>
      </c>
      <c r="V142" s="7">
        <v>147681</v>
      </c>
      <c r="W142" s="7">
        <v>172393</v>
      </c>
      <c r="X142" s="7">
        <v>186624</v>
      </c>
      <c r="Y142" s="7">
        <v>168138</v>
      </c>
      <c r="Z142" s="7"/>
      <c r="AA142" s="7"/>
      <c r="AC142" s="2"/>
      <c r="AD142" s="9">
        <f>SUM(N142:AB142)</f>
        <v>1928786</v>
      </c>
      <c r="AE142" s="9">
        <f>SUM(N143:AB143)</f>
        <v>94449</v>
      </c>
      <c r="AF142" s="9">
        <f>SUM(N144:AB144)</f>
        <v>70488</v>
      </c>
      <c r="AG142" s="9">
        <f t="shared" ref="AG142:AL142" si="54">E142</f>
        <v>96139</v>
      </c>
      <c r="AH142" s="9">
        <f t="shared" si="54"/>
        <v>5405</v>
      </c>
      <c r="AI142" s="9">
        <f t="shared" si="54"/>
        <v>4860</v>
      </c>
      <c r="AJ142" s="9">
        <f t="shared" si="54"/>
        <v>1874939</v>
      </c>
      <c r="AK142" s="9">
        <f t="shared" si="54"/>
        <v>91397</v>
      </c>
      <c r="AL142" s="9">
        <f t="shared" si="54"/>
        <v>59971</v>
      </c>
      <c r="AM142" s="2"/>
      <c r="AN142" s="9">
        <f>AD142-B142</f>
        <v>0</v>
      </c>
      <c r="AO142" s="9">
        <f>AE142-C142</f>
        <v>0</v>
      </c>
      <c r="AP142" s="9">
        <f>AF142-D142</f>
        <v>-4</v>
      </c>
      <c r="AQ142" s="5"/>
      <c r="AR142" s="41">
        <f>C142/B142*1000</f>
        <v>48.968107400198882</v>
      </c>
      <c r="AS142" s="41">
        <f>D142/B142*1000</f>
        <v>36.547341177300126</v>
      </c>
      <c r="AT142" s="42"/>
      <c r="AU142" s="41">
        <f>AR142-K142</f>
        <v>6.8107400198883283E-2</v>
      </c>
      <c r="AV142" s="41">
        <f>AS142-L142</f>
        <v>4.7341177300125992E-2</v>
      </c>
      <c r="AW142" s="5"/>
    </row>
    <row r="143" spans="1:49" s="2" customFormat="1" x14ac:dyDescent="0.55000000000000004">
      <c r="A143" s="1" t="s">
        <v>155</v>
      </c>
      <c r="B143" s="3"/>
      <c r="C143" s="3"/>
      <c r="D143" s="3"/>
      <c r="E143" s="3"/>
      <c r="F143" s="3"/>
      <c r="G143" s="3"/>
      <c r="H143" s="3"/>
      <c r="I143" s="3"/>
      <c r="J143" s="3"/>
      <c r="K143" s="28"/>
      <c r="L143" s="28"/>
      <c r="M143" s="3"/>
      <c r="N143" s="3">
        <v>9848</v>
      </c>
      <c r="O143" s="3">
        <v>5679</v>
      </c>
      <c r="P143" s="3">
        <v>7884</v>
      </c>
      <c r="Q143" s="3">
        <v>5869</v>
      </c>
      <c r="R143" s="3">
        <v>8182</v>
      </c>
      <c r="S143" s="3">
        <v>8439</v>
      </c>
      <c r="T143" s="3">
        <v>5910</v>
      </c>
      <c r="U143" s="3">
        <v>8788</v>
      </c>
      <c r="V143" s="3">
        <v>7861</v>
      </c>
      <c r="W143" s="3">
        <v>8733</v>
      </c>
      <c r="X143" s="3">
        <v>9530</v>
      </c>
      <c r="Y143" s="3">
        <v>7726</v>
      </c>
      <c r="Z143" s="3"/>
      <c r="AA143" s="3"/>
    </row>
    <row r="144" spans="1:49" s="2" customFormat="1" x14ac:dyDescent="0.55000000000000004">
      <c r="A144" s="1" t="s">
        <v>156</v>
      </c>
      <c r="B144" s="3"/>
      <c r="C144" s="3"/>
      <c r="D144" s="3"/>
      <c r="E144" s="3"/>
      <c r="F144" s="3"/>
      <c r="G144" s="3"/>
      <c r="H144" s="3"/>
      <c r="I144" s="3"/>
      <c r="J144" s="3"/>
      <c r="K144" s="28"/>
      <c r="L144" s="28"/>
      <c r="M144" s="3"/>
      <c r="N144" s="3">
        <v>7462</v>
      </c>
      <c r="O144" s="3">
        <v>4312</v>
      </c>
      <c r="P144" s="3">
        <v>7003</v>
      </c>
      <c r="Q144" s="3">
        <v>4180</v>
      </c>
      <c r="R144" s="3">
        <v>6673</v>
      </c>
      <c r="S144" s="3">
        <v>5386</v>
      </c>
      <c r="T144" s="3">
        <v>4114</v>
      </c>
      <c r="U144" s="3">
        <v>6967</v>
      </c>
      <c r="V144" s="3">
        <v>5816</v>
      </c>
      <c r="W144" s="3">
        <v>6065</v>
      </c>
      <c r="X144" s="3">
        <v>6597</v>
      </c>
      <c r="Y144" s="3">
        <v>5913</v>
      </c>
      <c r="Z144" s="3"/>
      <c r="AA144" s="3"/>
    </row>
    <row r="145" spans="1:49" s="8" customFormat="1" x14ac:dyDescent="0.55000000000000004">
      <c r="A145" s="6" t="s">
        <v>157</v>
      </c>
      <c r="B145" s="7">
        <v>2657611</v>
      </c>
      <c r="C145" s="7">
        <v>149972</v>
      </c>
      <c r="D145" s="7">
        <v>106766</v>
      </c>
      <c r="E145" s="7">
        <v>163596</v>
      </c>
      <c r="F145" s="7">
        <v>7035</v>
      </c>
      <c r="G145" s="7">
        <v>6560</v>
      </c>
      <c r="H145" s="7">
        <v>2567671</v>
      </c>
      <c r="I145" s="7">
        <v>150960</v>
      </c>
      <c r="J145" s="7">
        <v>101186</v>
      </c>
      <c r="K145" s="31">
        <v>56.4</v>
      </c>
      <c r="L145" s="31">
        <v>40.200000000000003</v>
      </c>
      <c r="M145" s="3"/>
      <c r="N145" s="7">
        <v>335144</v>
      </c>
      <c r="O145" s="7">
        <v>279943</v>
      </c>
      <c r="P145" s="7">
        <v>372524</v>
      </c>
      <c r="Q145" s="7">
        <v>452599</v>
      </c>
      <c r="R145" s="7">
        <v>493630</v>
      </c>
      <c r="S145" s="7">
        <v>395148</v>
      </c>
      <c r="T145" s="7">
        <v>281417</v>
      </c>
      <c r="U145" s="7"/>
      <c r="V145" s="7"/>
      <c r="W145" s="7"/>
      <c r="X145" s="7"/>
      <c r="Y145" s="7"/>
      <c r="Z145" s="7"/>
      <c r="AA145" s="7"/>
      <c r="AC145" s="2"/>
      <c r="AD145" s="9">
        <f>SUM(N145:AB145)</f>
        <v>2610405</v>
      </c>
      <c r="AE145" s="9">
        <f>SUM(N146:AB146)</f>
        <v>149962</v>
      </c>
      <c r="AF145" s="9">
        <f>SUM(N147:AB147)</f>
        <v>106766</v>
      </c>
      <c r="AG145" s="9">
        <f t="shared" ref="AG145:AL145" si="55">E145</f>
        <v>163596</v>
      </c>
      <c r="AH145" s="9">
        <f t="shared" si="55"/>
        <v>7035</v>
      </c>
      <c r="AI145" s="9">
        <f t="shared" si="55"/>
        <v>6560</v>
      </c>
      <c r="AJ145" s="9">
        <f t="shared" si="55"/>
        <v>2567671</v>
      </c>
      <c r="AK145" s="9">
        <f t="shared" si="55"/>
        <v>150960</v>
      </c>
      <c r="AL145" s="9">
        <f t="shared" si="55"/>
        <v>101186</v>
      </c>
      <c r="AM145" s="2"/>
      <c r="AN145" s="9">
        <f>AD145-B145</f>
        <v>-47206</v>
      </c>
      <c r="AO145" s="9">
        <f>AE145-C145</f>
        <v>-10</v>
      </c>
      <c r="AP145" s="9">
        <f>AF145-D145</f>
        <v>0</v>
      </c>
      <c r="AQ145" s="5"/>
      <c r="AR145" s="41">
        <f>C145/B145*1000</f>
        <v>56.431133074027763</v>
      </c>
      <c r="AS145" s="41">
        <f>D145/B145*1000</f>
        <v>40.173674777836183</v>
      </c>
      <c r="AT145" s="42"/>
      <c r="AU145" s="41">
        <f>AR145-K145</f>
        <v>3.1133074027763996E-2</v>
      </c>
      <c r="AV145" s="41">
        <f>AS145-L145</f>
        <v>-2.6325222163819717E-2</v>
      </c>
      <c r="AW145" s="5"/>
    </row>
    <row r="146" spans="1:49" s="2" customFormat="1" x14ac:dyDescent="0.55000000000000004">
      <c r="A146" s="1" t="s">
        <v>158</v>
      </c>
      <c r="B146" s="3"/>
      <c r="C146" s="3"/>
      <c r="D146" s="3"/>
      <c r="E146" s="3"/>
      <c r="F146" s="3"/>
      <c r="G146" s="3"/>
      <c r="H146" s="3"/>
      <c r="I146" s="3"/>
      <c r="J146" s="3"/>
      <c r="K146" s="28"/>
      <c r="L146" s="28"/>
      <c r="M146" s="3"/>
      <c r="N146" s="3">
        <v>18396</v>
      </c>
      <c r="O146" s="3">
        <v>14837</v>
      </c>
      <c r="P146" s="3">
        <v>22791</v>
      </c>
      <c r="Q146" s="3">
        <v>28150</v>
      </c>
      <c r="R146" s="3">
        <v>27462</v>
      </c>
      <c r="S146" s="3">
        <v>22375</v>
      </c>
      <c r="T146" s="3">
        <v>15951</v>
      </c>
      <c r="U146" s="3"/>
      <c r="V146" s="3"/>
      <c r="W146" s="3"/>
      <c r="X146" s="3"/>
      <c r="Y146" s="3"/>
      <c r="Z146" s="3"/>
      <c r="AA146" s="3"/>
    </row>
    <row r="147" spans="1:49" s="2" customFormat="1" x14ac:dyDescent="0.55000000000000004">
      <c r="A147" s="1" t="s">
        <v>159</v>
      </c>
      <c r="B147" s="3"/>
      <c r="C147" s="3"/>
      <c r="D147" s="3"/>
      <c r="E147" s="3"/>
      <c r="F147" s="3"/>
      <c r="G147" s="3"/>
      <c r="H147" s="3"/>
      <c r="I147" s="3"/>
      <c r="J147" s="3"/>
      <c r="K147" s="28"/>
      <c r="L147" s="28"/>
      <c r="M147" s="3"/>
      <c r="N147" s="3">
        <v>13802</v>
      </c>
      <c r="O147" s="3">
        <v>10456</v>
      </c>
      <c r="P147" s="3">
        <v>15679</v>
      </c>
      <c r="Q147" s="3">
        <v>22469</v>
      </c>
      <c r="R147" s="3">
        <v>18912</v>
      </c>
      <c r="S147" s="3">
        <v>13358</v>
      </c>
      <c r="T147" s="3">
        <v>12090</v>
      </c>
      <c r="U147" s="3"/>
      <c r="V147" s="3"/>
      <c r="W147" s="3"/>
      <c r="X147" s="3"/>
      <c r="Y147" s="3"/>
      <c r="Z147" s="3"/>
      <c r="AA147" s="3"/>
    </row>
    <row r="148" spans="1:49" s="8" customFormat="1" x14ac:dyDescent="0.55000000000000004">
      <c r="A148" s="6" t="s">
        <v>160</v>
      </c>
      <c r="B148" s="7">
        <v>822397</v>
      </c>
      <c r="C148" s="7">
        <v>33362</v>
      </c>
      <c r="D148" s="7">
        <v>30393</v>
      </c>
      <c r="E148" s="10" t="s">
        <v>23</v>
      </c>
      <c r="F148" s="10" t="s">
        <v>23</v>
      </c>
      <c r="G148" s="10" t="s">
        <v>23</v>
      </c>
      <c r="H148" s="7">
        <v>777207</v>
      </c>
      <c r="I148" s="7">
        <v>32979</v>
      </c>
      <c r="J148" s="7">
        <v>27737</v>
      </c>
      <c r="K148" s="30">
        <v>40.6</v>
      </c>
      <c r="L148" s="30">
        <v>36.9</v>
      </c>
      <c r="M148" s="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C148" s="2"/>
      <c r="AD148" s="9">
        <f>B148</f>
        <v>822397</v>
      </c>
      <c r="AE148" s="9">
        <f t="shared" ref="AE148:AL148" si="56">C148</f>
        <v>33362</v>
      </c>
      <c r="AF148" s="9">
        <f t="shared" si="56"/>
        <v>30393</v>
      </c>
      <c r="AG148" s="10" t="str">
        <f t="shared" si="56"/>
        <v>—</v>
      </c>
      <c r="AH148" s="10" t="str">
        <f t="shared" si="56"/>
        <v>—</v>
      </c>
      <c r="AI148" s="10" t="str">
        <f t="shared" si="56"/>
        <v>—</v>
      </c>
      <c r="AJ148" s="9">
        <f t="shared" si="56"/>
        <v>777207</v>
      </c>
      <c r="AK148" s="9">
        <f t="shared" si="56"/>
        <v>32979</v>
      </c>
      <c r="AL148" s="9">
        <f t="shared" si="56"/>
        <v>27737</v>
      </c>
      <c r="AM148" s="2"/>
      <c r="AQ148" s="2"/>
      <c r="AR148" s="41">
        <f>C148/B148*1000</f>
        <v>40.566782223184184</v>
      </c>
      <c r="AS148" s="41">
        <f>D148/B148*1000</f>
        <v>36.956603684108764</v>
      </c>
      <c r="AT148" s="42"/>
      <c r="AU148" s="41">
        <f t="shared" ref="AU148:AV150" si="57">AR148-K148</f>
        <v>-3.3217776815817501E-2</v>
      </c>
      <c r="AV148" s="41">
        <f t="shared" si="57"/>
        <v>5.6603684108765151E-2</v>
      </c>
      <c r="AW148" s="2"/>
    </row>
    <row r="149" spans="1:49" s="8" customFormat="1" x14ac:dyDescent="0.55000000000000004">
      <c r="A149" s="6" t="s">
        <v>161</v>
      </c>
      <c r="B149" s="7">
        <v>1035439</v>
      </c>
      <c r="C149" s="7">
        <v>30970</v>
      </c>
      <c r="D149" s="7">
        <v>26499</v>
      </c>
      <c r="E149" s="10" t="s">
        <v>23</v>
      </c>
      <c r="F149" s="10" t="s">
        <v>23</v>
      </c>
      <c r="G149" s="10" t="s">
        <v>23</v>
      </c>
      <c r="H149" s="7">
        <v>930863</v>
      </c>
      <c r="I149" s="7">
        <v>28025</v>
      </c>
      <c r="J149" s="7">
        <v>25811</v>
      </c>
      <c r="K149" s="30">
        <v>29.9</v>
      </c>
      <c r="L149" s="30">
        <v>25.6</v>
      </c>
      <c r="M149" s="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C149" s="2"/>
      <c r="AD149" s="9">
        <f>B149</f>
        <v>1035439</v>
      </c>
      <c r="AE149" s="9">
        <f t="shared" ref="AE149" si="58">C149</f>
        <v>30970</v>
      </c>
      <c r="AF149" s="9">
        <f t="shared" ref="AF149" si="59">D149</f>
        <v>26499</v>
      </c>
      <c r="AG149" s="10" t="str">
        <f t="shared" ref="AG149" si="60">E149</f>
        <v>—</v>
      </c>
      <c r="AH149" s="10" t="str">
        <f t="shared" ref="AH149" si="61">F149</f>
        <v>—</v>
      </c>
      <c r="AI149" s="10" t="str">
        <f t="shared" ref="AI149" si="62">G149</f>
        <v>—</v>
      </c>
      <c r="AJ149" s="9">
        <f t="shared" ref="AJ149" si="63">H149</f>
        <v>930863</v>
      </c>
      <c r="AK149" s="9">
        <f t="shared" ref="AK149" si="64">I149</f>
        <v>28025</v>
      </c>
      <c r="AL149" s="9">
        <f t="shared" ref="AL149" si="65">J149</f>
        <v>25811</v>
      </c>
      <c r="AM149" s="2"/>
      <c r="AQ149" s="2"/>
      <c r="AR149" s="41">
        <f>C149/B149*1000</f>
        <v>29.910018842249521</v>
      </c>
      <c r="AS149" s="41">
        <f>D149/B149*1000</f>
        <v>25.592043567993866</v>
      </c>
      <c r="AT149" s="42"/>
      <c r="AU149" s="41">
        <f t="shared" si="57"/>
        <v>1.0018842249522208E-2</v>
      </c>
      <c r="AV149" s="41">
        <f t="shared" si="57"/>
        <v>-7.9564320061358274E-3</v>
      </c>
      <c r="AW149" s="2"/>
    </row>
    <row r="150" spans="1:49" s="8" customFormat="1" x14ac:dyDescent="0.55000000000000004">
      <c r="A150" s="6" t="s">
        <v>162</v>
      </c>
      <c r="B150" s="7">
        <v>834318</v>
      </c>
      <c r="C150" s="7">
        <v>30505</v>
      </c>
      <c r="D150" s="7">
        <v>25031</v>
      </c>
      <c r="E150" s="10" t="s">
        <v>23</v>
      </c>
      <c r="F150" s="10" t="s">
        <v>23</v>
      </c>
      <c r="G150" s="10" t="s">
        <v>23</v>
      </c>
      <c r="H150" s="7">
        <v>824107</v>
      </c>
      <c r="I150" s="7">
        <v>30873</v>
      </c>
      <c r="J150" s="7">
        <v>25723</v>
      </c>
      <c r="K150" s="30">
        <v>44.8</v>
      </c>
      <c r="L150" s="30">
        <v>36.799999999999997</v>
      </c>
      <c r="M150" s="3"/>
      <c r="N150" s="7">
        <v>130732</v>
      </c>
      <c r="O150" s="7">
        <v>134072</v>
      </c>
      <c r="P150" s="7">
        <v>112656</v>
      </c>
      <c r="Q150" s="7">
        <v>87673</v>
      </c>
      <c r="R150" s="7">
        <v>59243</v>
      </c>
      <c r="S150" s="7">
        <v>83964</v>
      </c>
      <c r="T150" s="7">
        <v>47191</v>
      </c>
      <c r="U150" s="48">
        <v>93645</v>
      </c>
      <c r="V150" s="7"/>
      <c r="W150" s="7"/>
      <c r="X150" s="7"/>
      <c r="Y150" s="7"/>
      <c r="Z150" s="7"/>
      <c r="AA150" s="7"/>
      <c r="AC150" s="2"/>
      <c r="AD150" s="9">
        <f>SUM(N150:AB150)</f>
        <v>749176</v>
      </c>
      <c r="AE150" s="9">
        <f>SUM(N151:AB151)</f>
        <v>30505</v>
      </c>
      <c r="AF150" s="9">
        <f>SUM(N152:AB152)</f>
        <v>25031</v>
      </c>
      <c r="AG150" s="10" t="str">
        <f t="shared" ref="AG150:AL150" si="66">E150</f>
        <v>—</v>
      </c>
      <c r="AH150" s="10" t="str">
        <f t="shared" si="66"/>
        <v>—</v>
      </c>
      <c r="AI150" s="10" t="str">
        <f t="shared" si="66"/>
        <v>—</v>
      </c>
      <c r="AJ150" s="9">
        <f t="shared" si="66"/>
        <v>824107</v>
      </c>
      <c r="AK150" s="9">
        <f t="shared" si="66"/>
        <v>30873</v>
      </c>
      <c r="AL150" s="9">
        <f t="shared" si="66"/>
        <v>25723</v>
      </c>
      <c r="AM150" s="2"/>
      <c r="AN150" s="9">
        <f>AD150-B150</f>
        <v>-85142</v>
      </c>
      <c r="AO150" s="9">
        <f>AE150-C150</f>
        <v>0</v>
      </c>
      <c r="AP150" s="9">
        <f>AF150-D150</f>
        <v>0</v>
      </c>
      <c r="AQ150" s="5"/>
      <c r="AR150" s="41">
        <f>C150/B150*1000</f>
        <v>36.562797398593816</v>
      </c>
      <c r="AS150" s="41">
        <f>D150/B150*1000</f>
        <v>30.001749932280017</v>
      </c>
      <c r="AT150" s="42"/>
      <c r="AU150" s="41">
        <f t="shared" si="57"/>
        <v>-8.2372026014061817</v>
      </c>
      <c r="AV150" s="41">
        <f t="shared" si="57"/>
        <v>-6.7982500677199802</v>
      </c>
      <c r="AW150" s="5"/>
    </row>
    <row r="151" spans="1:49" s="2" customFormat="1" x14ac:dyDescent="0.55000000000000004">
      <c r="A151" s="1" t="s">
        <v>163</v>
      </c>
      <c r="B151" s="3"/>
      <c r="C151" s="3"/>
      <c r="D151" s="3"/>
      <c r="E151" s="3"/>
      <c r="F151" s="3"/>
      <c r="G151" s="3"/>
      <c r="H151" s="3"/>
      <c r="I151" s="3"/>
      <c r="J151" s="3"/>
      <c r="K151" s="28"/>
      <c r="L151" s="28"/>
      <c r="M151" s="3"/>
      <c r="N151" s="3">
        <v>4290</v>
      </c>
      <c r="O151" s="3">
        <v>5648</v>
      </c>
      <c r="P151" s="3">
        <v>5209</v>
      </c>
      <c r="Q151" s="3">
        <v>3637</v>
      </c>
      <c r="R151" s="3">
        <v>2709</v>
      </c>
      <c r="S151" s="3">
        <v>3964</v>
      </c>
      <c r="T151" s="3">
        <v>2013</v>
      </c>
      <c r="U151" s="3">
        <v>3035</v>
      </c>
      <c r="V151" s="3"/>
      <c r="W151" s="3"/>
      <c r="X151" s="3"/>
      <c r="Y151" s="3"/>
      <c r="Z151" s="3"/>
      <c r="AA151" s="3"/>
    </row>
    <row r="152" spans="1:49" s="2" customFormat="1" x14ac:dyDescent="0.55000000000000004">
      <c r="A152" s="1" t="s">
        <v>164</v>
      </c>
      <c r="B152" s="3"/>
      <c r="C152" s="3"/>
      <c r="D152" s="3"/>
      <c r="E152" s="3"/>
      <c r="F152" s="3"/>
      <c r="G152" s="3"/>
      <c r="H152" s="3"/>
      <c r="I152" s="3"/>
      <c r="J152" s="3"/>
      <c r="K152" s="28"/>
      <c r="L152" s="28"/>
      <c r="M152" s="3"/>
      <c r="N152" s="3">
        <v>3405</v>
      </c>
      <c r="O152" s="3">
        <v>4373</v>
      </c>
      <c r="P152" s="3">
        <v>4259</v>
      </c>
      <c r="Q152" s="3">
        <v>2737</v>
      </c>
      <c r="R152" s="3">
        <v>2348</v>
      </c>
      <c r="S152" s="3">
        <v>3343</v>
      </c>
      <c r="T152" s="3">
        <v>1916</v>
      </c>
      <c r="U152" s="3">
        <v>2650</v>
      </c>
      <c r="V152" s="3"/>
      <c r="W152" s="3"/>
      <c r="X152" s="3"/>
      <c r="Y152" s="3"/>
      <c r="Z152" s="3"/>
      <c r="AA152" s="3"/>
    </row>
    <row r="153" spans="1:49" s="8" customFormat="1" x14ac:dyDescent="0.55000000000000004">
      <c r="A153" s="6" t="s">
        <v>165</v>
      </c>
      <c r="B153" s="7">
        <v>2433445</v>
      </c>
      <c r="C153" s="7">
        <v>125198</v>
      </c>
      <c r="D153" s="7">
        <v>95643</v>
      </c>
      <c r="E153" s="7">
        <v>314782</v>
      </c>
      <c r="F153" s="7">
        <v>14008</v>
      </c>
      <c r="G153" s="7">
        <v>12128</v>
      </c>
      <c r="H153" s="7">
        <v>2351123</v>
      </c>
      <c r="I153" s="7">
        <v>124763</v>
      </c>
      <c r="J153" s="7">
        <v>84066</v>
      </c>
      <c r="K153" s="31">
        <v>51.1</v>
      </c>
      <c r="L153" s="31">
        <v>39.299999999999997</v>
      </c>
      <c r="M153" s="3"/>
      <c r="N153" s="7">
        <v>310783</v>
      </c>
      <c r="O153" s="7">
        <v>286878</v>
      </c>
      <c r="P153" s="7">
        <v>292791</v>
      </c>
      <c r="Q153" s="48">
        <v>199683</v>
      </c>
      <c r="R153" s="7">
        <v>340792</v>
      </c>
      <c r="S153" s="7">
        <v>182729</v>
      </c>
      <c r="T153" s="7">
        <v>251362</v>
      </c>
      <c r="U153" s="7">
        <v>222611</v>
      </c>
      <c r="V153" s="7">
        <v>203669</v>
      </c>
      <c r="W153" s="7">
        <v>142147</v>
      </c>
      <c r="X153" s="7"/>
      <c r="Y153" s="7"/>
      <c r="Z153" s="7"/>
      <c r="AA153" s="7"/>
      <c r="AC153" s="2"/>
      <c r="AD153" s="9">
        <f>SUM(N153:AB153)</f>
        <v>2433445</v>
      </c>
      <c r="AE153" s="9">
        <f>SUM(N154:AB154)</f>
        <v>125198</v>
      </c>
      <c r="AF153" s="9">
        <f>SUM(N155:AB155)</f>
        <v>95643</v>
      </c>
      <c r="AG153" s="9">
        <f t="shared" ref="AG153:AL153" si="67">E153</f>
        <v>314782</v>
      </c>
      <c r="AH153" s="9">
        <f t="shared" si="67"/>
        <v>14008</v>
      </c>
      <c r="AI153" s="9">
        <f t="shared" si="67"/>
        <v>12128</v>
      </c>
      <c r="AJ153" s="9">
        <f t="shared" si="67"/>
        <v>2351123</v>
      </c>
      <c r="AK153" s="9">
        <f t="shared" si="67"/>
        <v>124763</v>
      </c>
      <c r="AL153" s="9">
        <f t="shared" si="67"/>
        <v>84066</v>
      </c>
      <c r="AM153" s="2"/>
      <c r="AN153" s="9">
        <f>AD153-B153</f>
        <v>0</v>
      </c>
      <c r="AO153" s="9">
        <f>AE153-C153</f>
        <v>0</v>
      </c>
      <c r="AP153" s="9">
        <f>AF153-D153</f>
        <v>0</v>
      </c>
      <c r="AQ153" s="5"/>
      <c r="AR153" s="41">
        <f>C153/B153*1000</f>
        <v>51.448871866838992</v>
      </c>
      <c r="AS153" s="41">
        <f>D153/B153*1000</f>
        <v>39.303538810205282</v>
      </c>
      <c r="AT153" s="42"/>
      <c r="AU153" s="41">
        <f>AR153-K153</f>
        <v>0.34887186683899074</v>
      </c>
      <c r="AV153" s="41">
        <f>AS153-L153</f>
        <v>3.5388102052849035E-3</v>
      </c>
      <c r="AW153" s="5"/>
    </row>
    <row r="154" spans="1:49" s="2" customFormat="1" x14ac:dyDescent="0.55000000000000004">
      <c r="A154" s="1" t="s">
        <v>166</v>
      </c>
      <c r="B154" s="3"/>
      <c r="C154" s="3"/>
      <c r="D154" s="3"/>
      <c r="E154" s="3"/>
      <c r="F154" s="3"/>
      <c r="G154" s="3"/>
      <c r="H154" s="3"/>
      <c r="I154" s="3"/>
      <c r="J154" s="3"/>
      <c r="K154" s="28"/>
      <c r="L154" s="28"/>
      <c r="M154" s="3"/>
      <c r="N154" s="3">
        <v>15232</v>
      </c>
      <c r="O154" s="3">
        <v>16264</v>
      </c>
      <c r="P154" s="3">
        <v>15816</v>
      </c>
      <c r="Q154" s="3">
        <v>9428</v>
      </c>
      <c r="R154" s="3">
        <v>17729</v>
      </c>
      <c r="S154" s="3">
        <v>9566</v>
      </c>
      <c r="T154" s="3">
        <v>11934</v>
      </c>
      <c r="U154" s="3">
        <v>12028</v>
      </c>
      <c r="V154" s="3">
        <v>9534</v>
      </c>
      <c r="W154" s="3">
        <v>7667</v>
      </c>
      <c r="X154" s="3"/>
      <c r="Y154" s="3"/>
      <c r="Z154" s="3"/>
      <c r="AA154" s="3"/>
    </row>
    <row r="155" spans="1:49" s="2" customFormat="1" x14ac:dyDescent="0.55000000000000004">
      <c r="A155" s="1" t="s">
        <v>167</v>
      </c>
      <c r="B155" s="3"/>
      <c r="C155" s="3"/>
      <c r="D155" s="3"/>
      <c r="E155" s="3"/>
      <c r="F155" s="3"/>
      <c r="G155" s="3"/>
      <c r="H155" s="3"/>
      <c r="I155" s="3"/>
      <c r="J155" s="3"/>
      <c r="K155" s="28"/>
      <c r="L155" s="28"/>
      <c r="M155" s="3"/>
      <c r="N155" s="3">
        <v>12268</v>
      </c>
      <c r="O155" s="3">
        <v>14289</v>
      </c>
      <c r="P155" s="3">
        <v>11982</v>
      </c>
      <c r="Q155" s="3">
        <v>5673</v>
      </c>
      <c r="R155" s="3">
        <v>12681</v>
      </c>
      <c r="S155" s="3">
        <v>6855</v>
      </c>
      <c r="T155" s="3">
        <v>9601</v>
      </c>
      <c r="U155" s="3">
        <v>10494</v>
      </c>
      <c r="V155" s="3">
        <v>6404</v>
      </c>
      <c r="W155" s="3">
        <v>5396</v>
      </c>
      <c r="X155" s="3"/>
      <c r="Y155" s="3"/>
      <c r="Z155" s="3"/>
      <c r="AA155" s="3"/>
    </row>
    <row r="156" spans="1:49" s="8" customFormat="1" x14ac:dyDescent="0.55000000000000004">
      <c r="A156" s="6" t="s">
        <v>168</v>
      </c>
      <c r="B156" s="7">
        <v>1638211</v>
      </c>
      <c r="C156" s="7">
        <v>76638</v>
      </c>
      <c r="D156" s="7">
        <v>64533</v>
      </c>
      <c r="E156" s="10" t="s">
        <v>23</v>
      </c>
      <c r="F156" s="10" t="s">
        <v>23</v>
      </c>
      <c r="G156" s="10" t="s">
        <v>23</v>
      </c>
      <c r="H156" s="7">
        <v>1603763</v>
      </c>
      <c r="I156" s="7">
        <v>79881</v>
      </c>
      <c r="J156" s="7">
        <v>53513</v>
      </c>
      <c r="K156" s="31">
        <v>46.7</v>
      </c>
      <c r="L156" s="31">
        <v>39.4</v>
      </c>
      <c r="M156" s="3"/>
      <c r="N156" s="7">
        <v>221522</v>
      </c>
      <c r="O156" s="7">
        <v>164211</v>
      </c>
      <c r="P156" s="7">
        <v>199650</v>
      </c>
      <c r="Q156" s="7">
        <v>183651</v>
      </c>
      <c r="R156" s="7">
        <v>223613</v>
      </c>
      <c r="S156" s="7">
        <v>154610</v>
      </c>
      <c r="T156" s="7">
        <v>153556</v>
      </c>
      <c r="U156" s="7">
        <v>225795</v>
      </c>
      <c r="V156" s="7"/>
      <c r="W156" s="7"/>
      <c r="X156" s="7"/>
      <c r="Y156" s="7"/>
      <c r="Z156" s="7"/>
      <c r="AA156" s="7"/>
      <c r="AC156" s="2"/>
      <c r="AD156" s="9">
        <f>SUM(N156:AB156)</f>
        <v>1526608</v>
      </c>
      <c r="AE156" s="9">
        <f>SUM(N157:AB157)</f>
        <v>76638</v>
      </c>
      <c r="AF156" s="9">
        <f>SUM(N158:AB158)</f>
        <v>64533</v>
      </c>
      <c r="AG156" s="10" t="str">
        <f t="shared" ref="AG156:AL156" si="68">E156</f>
        <v>—</v>
      </c>
      <c r="AH156" s="10" t="str">
        <f t="shared" si="68"/>
        <v>—</v>
      </c>
      <c r="AI156" s="10" t="str">
        <f t="shared" si="68"/>
        <v>—</v>
      </c>
      <c r="AJ156" s="9">
        <f t="shared" si="68"/>
        <v>1603763</v>
      </c>
      <c r="AK156" s="9">
        <f t="shared" si="68"/>
        <v>79881</v>
      </c>
      <c r="AL156" s="9">
        <f t="shared" si="68"/>
        <v>53513</v>
      </c>
      <c r="AM156" s="2"/>
      <c r="AN156" s="9">
        <f>AD156-B156</f>
        <v>-111603</v>
      </c>
      <c r="AO156" s="9">
        <f>AE156-C156</f>
        <v>0</v>
      </c>
      <c r="AP156" s="9">
        <f>AF156-D156</f>
        <v>0</v>
      </c>
      <c r="AQ156" s="5"/>
      <c r="AR156" s="41">
        <f>C156/B156*1000</f>
        <v>46.781519596681989</v>
      </c>
      <c r="AS156" s="41">
        <f>D156/B156*1000</f>
        <v>39.392361545612872</v>
      </c>
      <c r="AT156" s="42"/>
      <c r="AU156" s="41">
        <f>AR156-K156</f>
        <v>8.1519596681985718E-2</v>
      </c>
      <c r="AV156" s="41">
        <f>AS156-L156</f>
        <v>-7.6384543871270694E-3</v>
      </c>
      <c r="AW156" s="5"/>
    </row>
    <row r="157" spans="1:49" s="2" customFormat="1" x14ac:dyDescent="0.55000000000000004">
      <c r="A157" s="1" t="s">
        <v>169</v>
      </c>
      <c r="B157" s="3"/>
      <c r="C157" s="3"/>
      <c r="D157" s="3"/>
      <c r="E157" s="3"/>
      <c r="F157" s="3"/>
      <c r="G157" s="3"/>
      <c r="H157" s="3"/>
      <c r="I157" s="3"/>
      <c r="J157" s="3"/>
      <c r="K157" s="28"/>
      <c r="L157" s="28"/>
      <c r="M157" s="3"/>
      <c r="N157" s="3">
        <v>11146</v>
      </c>
      <c r="O157" s="3">
        <v>7754</v>
      </c>
      <c r="P157" s="3">
        <v>9593</v>
      </c>
      <c r="Q157" s="3">
        <v>8399</v>
      </c>
      <c r="R157" s="3">
        <v>11469</v>
      </c>
      <c r="S157" s="3">
        <v>7879</v>
      </c>
      <c r="T157" s="3">
        <v>7778</v>
      </c>
      <c r="U157" s="3">
        <v>12620</v>
      </c>
      <c r="V157" s="3"/>
      <c r="W157" s="3"/>
      <c r="X157" s="3"/>
      <c r="Y157" s="3"/>
      <c r="Z157" s="3"/>
      <c r="AA157" s="3"/>
    </row>
    <row r="158" spans="1:49" s="2" customFormat="1" x14ac:dyDescent="0.55000000000000004">
      <c r="A158" s="1" t="s">
        <v>170</v>
      </c>
      <c r="B158" s="3"/>
      <c r="C158" s="3"/>
      <c r="D158" s="3"/>
      <c r="E158" s="3"/>
      <c r="F158" s="3"/>
      <c r="G158" s="3"/>
      <c r="H158" s="3"/>
      <c r="I158" s="3"/>
      <c r="J158" s="3"/>
      <c r="K158" s="28"/>
      <c r="L158" s="28"/>
      <c r="M158" s="3"/>
      <c r="N158" s="3">
        <v>9829</v>
      </c>
      <c r="O158" s="3">
        <v>6592</v>
      </c>
      <c r="P158" s="3">
        <v>8913</v>
      </c>
      <c r="Q158" s="3">
        <v>6525</v>
      </c>
      <c r="R158" s="3">
        <v>9515</v>
      </c>
      <c r="S158" s="3">
        <v>6589</v>
      </c>
      <c r="T158" s="3">
        <v>6714</v>
      </c>
      <c r="U158" s="3">
        <v>9856</v>
      </c>
      <c r="V158" s="3"/>
      <c r="W158" s="3"/>
      <c r="X158" s="3"/>
      <c r="Y158" s="3"/>
      <c r="Z158" s="3"/>
      <c r="AA158" s="3"/>
    </row>
    <row r="159" spans="1:49" s="8" customFormat="1" x14ac:dyDescent="0.55000000000000004">
      <c r="A159" s="6" t="s">
        <v>171</v>
      </c>
      <c r="B159" s="7">
        <v>1432371</v>
      </c>
      <c r="C159" s="7">
        <v>77397</v>
      </c>
      <c r="D159" s="7">
        <v>57188</v>
      </c>
      <c r="E159" s="7">
        <v>119553</v>
      </c>
      <c r="F159" s="7">
        <v>3180</v>
      </c>
      <c r="G159" s="7">
        <v>2837</v>
      </c>
      <c r="H159" s="7">
        <v>1365943</v>
      </c>
      <c r="I159" s="7">
        <v>73982</v>
      </c>
      <c r="J159" s="7">
        <v>52395</v>
      </c>
      <c r="K159" s="30">
        <v>54</v>
      </c>
      <c r="L159" s="30">
        <v>39.9</v>
      </c>
      <c r="M159" s="3"/>
      <c r="N159" s="7">
        <v>144643</v>
      </c>
      <c r="O159" s="7">
        <v>122114</v>
      </c>
      <c r="P159" s="7">
        <v>100787</v>
      </c>
      <c r="Q159" s="7">
        <v>138523</v>
      </c>
      <c r="R159" s="7">
        <v>101217</v>
      </c>
      <c r="S159" s="7">
        <v>100298</v>
      </c>
      <c r="T159" s="7">
        <v>122024</v>
      </c>
      <c r="U159" s="7">
        <v>95896</v>
      </c>
      <c r="V159" s="7">
        <v>111095</v>
      </c>
      <c r="W159" s="7">
        <v>166718</v>
      </c>
      <c r="X159" s="7">
        <v>113171</v>
      </c>
      <c r="Y159" s="7">
        <v>115885</v>
      </c>
      <c r="Z159" s="7"/>
      <c r="AA159" s="7"/>
      <c r="AC159" s="2"/>
      <c r="AD159" s="9">
        <f>SUM(N159:AB159)</f>
        <v>1432371</v>
      </c>
      <c r="AE159" s="9">
        <f>SUM(N160:AB160)</f>
        <v>77397</v>
      </c>
      <c r="AF159" s="9">
        <f>SUM(N161:AB161)</f>
        <v>57188</v>
      </c>
      <c r="AG159" s="9">
        <f t="shared" ref="AG159:AL159" si="69">E159</f>
        <v>119553</v>
      </c>
      <c r="AH159" s="9">
        <f t="shared" si="69"/>
        <v>3180</v>
      </c>
      <c r="AI159" s="9">
        <f t="shared" si="69"/>
        <v>2837</v>
      </c>
      <c r="AJ159" s="9">
        <f t="shared" si="69"/>
        <v>1365943</v>
      </c>
      <c r="AK159" s="9">
        <f t="shared" si="69"/>
        <v>73982</v>
      </c>
      <c r="AL159" s="9">
        <f t="shared" si="69"/>
        <v>52395</v>
      </c>
      <c r="AM159" s="2"/>
      <c r="AN159" s="9">
        <f>AD159-B159</f>
        <v>0</v>
      </c>
      <c r="AO159" s="9">
        <f>AE159-C159</f>
        <v>0</v>
      </c>
      <c r="AP159" s="9">
        <f>AF159-D159</f>
        <v>0</v>
      </c>
      <c r="AQ159" s="5"/>
      <c r="AR159" s="41">
        <f>C159/B159*1000</f>
        <v>54.034185277417649</v>
      </c>
      <c r="AS159" s="41">
        <f>D159/B159*1000</f>
        <v>39.925410385996365</v>
      </c>
      <c r="AT159" s="42"/>
      <c r="AU159" s="41">
        <f>AR159-K159</f>
        <v>3.4185277417648763E-2</v>
      </c>
      <c r="AV159" s="41">
        <f>AS159-L159</f>
        <v>2.5410385996366358E-2</v>
      </c>
      <c r="AW159" s="5"/>
    </row>
    <row r="160" spans="1:49" s="2" customFormat="1" x14ac:dyDescent="0.55000000000000004">
      <c r="A160" s="1" t="s">
        <v>172</v>
      </c>
      <c r="B160" s="3"/>
      <c r="C160" s="3"/>
      <c r="D160" s="3"/>
      <c r="E160" s="3"/>
      <c r="F160" s="3"/>
      <c r="G160" s="3"/>
      <c r="H160" s="3"/>
      <c r="I160" s="3"/>
      <c r="J160" s="3"/>
      <c r="K160" s="28"/>
      <c r="L160" s="28"/>
      <c r="M160" s="3"/>
      <c r="N160" s="3">
        <v>6318</v>
      </c>
      <c r="O160" s="3">
        <v>8568</v>
      </c>
      <c r="P160" s="3">
        <v>4975</v>
      </c>
      <c r="Q160" s="3">
        <v>5268</v>
      </c>
      <c r="R160" s="3">
        <v>5654</v>
      </c>
      <c r="S160" s="3">
        <v>7109</v>
      </c>
      <c r="T160" s="3">
        <v>7261</v>
      </c>
      <c r="U160" s="3">
        <v>5137</v>
      </c>
      <c r="V160" s="3">
        <v>6515</v>
      </c>
      <c r="W160" s="3">
        <v>9294</v>
      </c>
      <c r="X160" s="3">
        <v>4731</v>
      </c>
      <c r="Y160" s="3">
        <v>6567</v>
      </c>
      <c r="Z160" s="3"/>
      <c r="AA160" s="3"/>
    </row>
    <row r="161" spans="1:49" s="2" customFormat="1" x14ac:dyDescent="0.55000000000000004">
      <c r="A161" s="1" t="s">
        <v>173</v>
      </c>
      <c r="B161" s="3"/>
      <c r="C161" s="3"/>
      <c r="D161" s="3"/>
      <c r="E161" s="3"/>
      <c r="F161" s="3"/>
      <c r="G161" s="3"/>
      <c r="H161" s="3"/>
      <c r="I161" s="3"/>
      <c r="J161" s="3"/>
      <c r="K161" s="28"/>
      <c r="L161" s="28"/>
      <c r="M161" s="3"/>
      <c r="N161" s="3">
        <v>4516</v>
      </c>
      <c r="O161" s="3">
        <v>6908</v>
      </c>
      <c r="P161" s="3">
        <v>3986</v>
      </c>
      <c r="Q161" s="3">
        <v>4892</v>
      </c>
      <c r="R161" s="3">
        <v>4420</v>
      </c>
      <c r="S161" s="3">
        <v>4749</v>
      </c>
      <c r="T161" s="3">
        <v>5191</v>
      </c>
      <c r="U161" s="3">
        <v>3274</v>
      </c>
      <c r="V161" s="3">
        <v>4557</v>
      </c>
      <c r="W161" s="3">
        <v>6175</v>
      </c>
      <c r="X161" s="3">
        <v>4058</v>
      </c>
      <c r="Y161" s="3">
        <v>4462</v>
      </c>
      <c r="Z161" s="3"/>
      <c r="AA161" s="3"/>
    </row>
    <row r="162" spans="1:49" s="8" customFormat="1" x14ac:dyDescent="0.55000000000000004">
      <c r="A162" s="6" t="s">
        <v>174</v>
      </c>
      <c r="B162" s="7">
        <v>1141751</v>
      </c>
      <c r="C162" s="7">
        <v>59522</v>
      </c>
      <c r="D162" s="7">
        <v>34918</v>
      </c>
      <c r="E162" s="7">
        <v>199523</v>
      </c>
      <c r="F162" s="7">
        <v>9011</v>
      </c>
      <c r="G162" s="7">
        <v>6002</v>
      </c>
      <c r="H162" s="7">
        <v>1093620</v>
      </c>
      <c r="I162" s="7">
        <v>54952</v>
      </c>
      <c r="J162" s="7">
        <v>33882</v>
      </c>
      <c r="K162" s="31">
        <v>52.1</v>
      </c>
      <c r="L162" s="31">
        <v>30.6</v>
      </c>
      <c r="M162" s="3"/>
      <c r="N162" s="7">
        <v>117038</v>
      </c>
      <c r="O162" s="7">
        <v>286181</v>
      </c>
      <c r="P162" s="7">
        <v>183985</v>
      </c>
      <c r="Q162" s="7">
        <v>47052</v>
      </c>
      <c r="R162" s="7">
        <v>319835</v>
      </c>
      <c r="S162" s="7">
        <v>31174</v>
      </c>
      <c r="T162" s="7">
        <v>81833</v>
      </c>
      <c r="U162" s="7">
        <v>47514</v>
      </c>
      <c r="V162" s="7">
        <v>27149</v>
      </c>
      <c r="W162" s="7"/>
      <c r="X162" s="7"/>
      <c r="Y162" s="7"/>
      <c r="Z162" s="7"/>
      <c r="AA162" s="7"/>
      <c r="AC162" s="2"/>
      <c r="AD162" s="9">
        <f>SUM(N162:AB162)</f>
        <v>1141761</v>
      </c>
      <c r="AE162" s="9">
        <f>SUM(N163:AB163)</f>
        <v>59522</v>
      </c>
      <c r="AF162" s="9">
        <f>SUM(N164:AB164)</f>
        <v>34918</v>
      </c>
      <c r="AG162" s="9">
        <f t="shared" ref="AG162:AL162" si="70">E162</f>
        <v>199523</v>
      </c>
      <c r="AH162" s="9">
        <f t="shared" si="70"/>
        <v>9011</v>
      </c>
      <c r="AI162" s="9">
        <f t="shared" si="70"/>
        <v>6002</v>
      </c>
      <c r="AJ162" s="9">
        <f t="shared" si="70"/>
        <v>1093620</v>
      </c>
      <c r="AK162" s="9">
        <f t="shared" si="70"/>
        <v>54952</v>
      </c>
      <c r="AL162" s="9">
        <f t="shared" si="70"/>
        <v>33882</v>
      </c>
      <c r="AM162" s="2"/>
      <c r="AN162" s="9">
        <f>AD162-B162</f>
        <v>10</v>
      </c>
      <c r="AO162" s="9">
        <f>AE162-C162</f>
        <v>0</v>
      </c>
      <c r="AP162" s="9">
        <f>AF162-D162</f>
        <v>0</v>
      </c>
      <c r="AQ162" s="5"/>
      <c r="AR162" s="41">
        <f>C162/B162*1000</f>
        <v>52.132207460295632</v>
      </c>
      <c r="AS162" s="41">
        <f>D162/B162*1000</f>
        <v>30.58285037630797</v>
      </c>
      <c r="AT162" s="42"/>
      <c r="AU162" s="41">
        <f>AR162-K162</f>
        <v>3.2207460295630597E-2</v>
      </c>
      <c r="AV162" s="41">
        <f>AS162-L162</f>
        <v>-1.7149623692031213E-2</v>
      </c>
      <c r="AW162" s="5"/>
    </row>
    <row r="163" spans="1:49" s="2" customFormat="1" x14ac:dyDescent="0.55000000000000004">
      <c r="A163" s="1" t="s">
        <v>175</v>
      </c>
      <c r="B163" s="3"/>
      <c r="C163" s="3"/>
      <c r="D163" s="3"/>
      <c r="E163" s="3"/>
      <c r="F163" s="3"/>
      <c r="G163" s="3"/>
      <c r="H163" s="3"/>
      <c r="I163" s="3"/>
      <c r="J163" s="3"/>
      <c r="K163" s="28"/>
      <c r="L163" s="28"/>
      <c r="M163" s="3"/>
      <c r="N163" s="3">
        <v>4680</v>
      </c>
      <c r="O163" s="3">
        <v>15436</v>
      </c>
      <c r="P163" s="3">
        <v>10361</v>
      </c>
      <c r="Q163" s="3">
        <v>1541</v>
      </c>
      <c r="R163" s="3">
        <v>17335</v>
      </c>
      <c r="S163" s="3">
        <v>2019</v>
      </c>
      <c r="T163" s="3">
        <v>4120</v>
      </c>
      <c r="U163" s="3">
        <v>2110</v>
      </c>
      <c r="V163" s="3">
        <v>1920</v>
      </c>
      <c r="W163" s="3"/>
      <c r="X163" s="3"/>
      <c r="Y163" s="3"/>
      <c r="Z163" s="3"/>
      <c r="AA163" s="3"/>
    </row>
    <row r="164" spans="1:49" s="2" customFormat="1" x14ac:dyDescent="0.55000000000000004">
      <c r="A164" s="1" t="s">
        <v>176</v>
      </c>
      <c r="B164" s="3"/>
      <c r="C164" s="3"/>
      <c r="D164" s="3"/>
      <c r="E164" s="3"/>
      <c r="F164" s="3"/>
      <c r="G164" s="3"/>
      <c r="H164" s="3"/>
      <c r="I164" s="3"/>
      <c r="J164" s="3"/>
      <c r="K164" s="28"/>
      <c r="L164" s="28"/>
      <c r="M164" s="3"/>
      <c r="N164" s="3">
        <v>2990</v>
      </c>
      <c r="O164" s="3">
        <v>10267</v>
      </c>
      <c r="P164" s="3">
        <v>4632</v>
      </c>
      <c r="Q164" s="3">
        <v>648</v>
      </c>
      <c r="R164" s="3">
        <v>10746</v>
      </c>
      <c r="S164" s="3">
        <v>898</v>
      </c>
      <c r="T164" s="3">
        <v>2521</v>
      </c>
      <c r="U164" s="3">
        <v>1071</v>
      </c>
      <c r="V164" s="3">
        <v>1145</v>
      </c>
      <c r="W164" s="3"/>
      <c r="X164" s="3"/>
      <c r="Y164" s="3"/>
      <c r="Z164" s="3"/>
      <c r="AA164" s="3"/>
    </row>
    <row r="165" spans="1:49" s="8" customFormat="1" x14ac:dyDescent="0.55000000000000004">
      <c r="A165" s="6" t="s">
        <v>177</v>
      </c>
      <c r="B165" s="48">
        <v>2871526</v>
      </c>
      <c r="C165" s="7">
        <v>133938</v>
      </c>
      <c r="D165" s="7">
        <v>105819</v>
      </c>
      <c r="E165" s="10" t="s">
        <v>23</v>
      </c>
      <c r="F165" s="10" t="s">
        <v>23</v>
      </c>
      <c r="G165" s="10" t="s">
        <v>23</v>
      </c>
      <c r="H165" s="7">
        <v>2780130</v>
      </c>
      <c r="I165" s="7">
        <v>139738</v>
      </c>
      <c r="J165" s="7">
        <v>90522</v>
      </c>
      <c r="K165" s="30">
        <v>46.5</v>
      </c>
      <c r="L165" s="30">
        <v>36.4</v>
      </c>
      <c r="M165" s="3"/>
      <c r="N165" s="7">
        <v>404590</v>
      </c>
      <c r="O165" s="7">
        <v>309244</v>
      </c>
      <c r="P165" s="7">
        <v>186213</v>
      </c>
      <c r="Q165" s="7">
        <v>286077</v>
      </c>
      <c r="R165" s="7">
        <v>389122</v>
      </c>
      <c r="S165" s="7">
        <v>158289</v>
      </c>
      <c r="T165" s="7">
        <v>185309</v>
      </c>
      <c r="U165" s="7">
        <v>277436</v>
      </c>
      <c r="V165" s="7">
        <v>137804</v>
      </c>
      <c r="W165" s="7">
        <v>155691</v>
      </c>
      <c r="X165" s="7">
        <v>212204</v>
      </c>
      <c r="Y165" s="7">
        <v>169547</v>
      </c>
      <c r="Z165" s="7"/>
      <c r="AA165" s="7"/>
      <c r="AC165" s="2"/>
      <c r="AD165" s="9">
        <f>SUM(N165:AB165)</f>
        <v>2871526</v>
      </c>
      <c r="AE165" s="9">
        <f>SUM(N166:AB166)</f>
        <v>133938</v>
      </c>
      <c r="AF165" s="9">
        <f>SUM(N167:AB167)</f>
        <v>105719</v>
      </c>
      <c r="AG165" s="10" t="str">
        <f t="shared" ref="AG165:AL165" si="71">E165</f>
        <v>—</v>
      </c>
      <c r="AH165" s="10" t="str">
        <f t="shared" si="71"/>
        <v>—</v>
      </c>
      <c r="AI165" s="10" t="str">
        <f t="shared" si="71"/>
        <v>—</v>
      </c>
      <c r="AJ165" s="9">
        <f t="shared" si="71"/>
        <v>2780130</v>
      </c>
      <c r="AK165" s="9">
        <f t="shared" si="71"/>
        <v>139738</v>
      </c>
      <c r="AL165" s="9">
        <f t="shared" si="71"/>
        <v>90522</v>
      </c>
      <c r="AM165" s="2"/>
      <c r="AN165" s="9">
        <f>AD165-B165</f>
        <v>0</v>
      </c>
      <c r="AO165" s="9">
        <f>AE165-C165</f>
        <v>0</v>
      </c>
      <c r="AP165" s="9">
        <f>AF165-D165</f>
        <v>-100</v>
      </c>
      <c r="AQ165" s="5"/>
      <c r="AR165" s="41">
        <f>C165/B165*1000</f>
        <v>46.643491996938216</v>
      </c>
      <c r="AS165" s="41">
        <f>D165/B165*1000</f>
        <v>36.85113768776602</v>
      </c>
      <c r="AT165" s="42"/>
      <c r="AU165" s="41">
        <f>AR165-K165</f>
        <v>0.14349199693821646</v>
      </c>
      <c r="AV165" s="41">
        <f>AS165-L165</f>
        <v>0.45113768776602114</v>
      </c>
      <c r="AW165" s="5"/>
    </row>
    <row r="166" spans="1:49" s="2" customFormat="1" x14ac:dyDescent="0.55000000000000004">
      <c r="A166" s="1" t="s">
        <v>178</v>
      </c>
      <c r="B166" s="3"/>
      <c r="C166" s="3"/>
      <c r="D166" s="3"/>
      <c r="E166" s="3"/>
      <c r="F166" s="3"/>
      <c r="G166" s="3"/>
      <c r="H166" s="3"/>
      <c r="I166" s="3"/>
      <c r="J166" s="3"/>
      <c r="K166" s="28"/>
      <c r="L166" s="28"/>
      <c r="M166" s="3"/>
      <c r="N166" s="3">
        <v>19780</v>
      </c>
      <c r="O166" s="3">
        <v>15055</v>
      </c>
      <c r="P166" s="3">
        <v>7031</v>
      </c>
      <c r="Q166" s="3">
        <v>14122</v>
      </c>
      <c r="R166" s="3">
        <v>17417</v>
      </c>
      <c r="S166" s="3">
        <v>7807</v>
      </c>
      <c r="T166" s="3">
        <v>8414</v>
      </c>
      <c r="U166" s="3">
        <v>13290</v>
      </c>
      <c r="V166" s="3">
        <v>6725</v>
      </c>
      <c r="W166" s="3">
        <v>6801</v>
      </c>
      <c r="X166" s="3">
        <v>9465</v>
      </c>
      <c r="Y166" s="3">
        <v>8031</v>
      </c>
      <c r="Z166" s="3"/>
      <c r="AA166" s="3"/>
    </row>
    <row r="167" spans="1:49" s="2" customFormat="1" x14ac:dyDescent="0.55000000000000004">
      <c r="A167" s="1" t="s">
        <v>179</v>
      </c>
      <c r="B167" s="3"/>
      <c r="C167" s="3"/>
      <c r="D167" s="3"/>
      <c r="E167" s="3"/>
      <c r="F167" s="3"/>
      <c r="G167" s="3"/>
      <c r="H167" s="3"/>
      <c r="I167" s="3"/>
      <c r="J167" s="3"/>
      <c r="K167" s="28"/>
      <c r="L167" s="28"/>
      <c r="M167" s="3"/>
      <c r="N167" s="3">
        <v>15434</v>
      </c>
      <c r="O167" s="3">
        <v>10139</v>
      </c>
      <c r="P167" s="3">
        <v>6071</v>
      </c>
      <c r="Q167" s="3">
        <v>13115</v>
      </c>
      <c r="R167" s="3">
        <v>13362</v>
      </c>
      <c r="S167" s="3">
        <v>6260</v>
      </c>
      <c r="T167" s="3">
        <v>6408</v>
      </c>
      <c r="U167" s="3">
        <v>10131</v>
      </c>
      <c r="V167" s="3">
        <v>5048</v>
      </c>
      <c r="W167" s="3">
        <v>5458</v>
      </c>
      <c r="X167" s="3">
        <v>8505</v>
      </c>
      <c r="Y167" s="3">
        <v>5788</v>
      </c>
      <c r="Z167" s="3"/>
      <c r="AA167" s="3"/>
    </row>
    <row r="168" spans="1:49" s="8" customFormat="1" x14ac:dyDescent="0.55000000000000004">
      <c r="A168" s="6" t="s">
        <v>180</v>
      </c>
      <c r="B168" s="7">
        <v>1851150</v>
      </c>
      <c r="C168" s="7">
        <v>85187</v>
      </c>
      <c r="D168" s="7">
        <v>62036</v>
      </c>
      <c r="E168" s="7">
        <v>151156</v>
      </c>
      <c r="F168" s="7">
        <v>4900</v>
      </c>
      <c r="G168" s="7">
        <v>4313</v>
      </c>
      <c r="H168" s="7">
        <v>1807497</v>
      </c>
      <c r="I168" s="7">
        <v>82938</v>
      </c>
      <c r="J168" s="7">
        <v>59246</v>
      </c>
      <c r="K168" s="31">
        <v>46</v>
      </c>
      <c r="L168" s="31">
        <v>34.1</v>
      </c>
      <c r="M168" s="3"/>
      <c r="N168" s="7">
        <v>165985</v>
      </c>
      <c r="O168" s="7">
        <v>244799</v>
      </c>
      <c r="P168" s="7">
        <v>153179</v>
      </c>
      <c r="Q168" s="7">
        <v>174729</v>
      </c>
      <c r="R168" s="7">
        <v>116521</v>
      </c>
      <c r="S168" s="7">
        <v>136814</v>
      </c>
      <c r="T168" s="7">
        <v>139951</v>
      </c>
      <c r="U168" s="7">
        <v>129805</v>
      </c>
      <c r="V168" s="7">
        <v>123917</v>
      </c>
      <c r="W168" s="7">
        <v>140821</v>
      </c>
      <c r="X168" s="7">
        <v>158064</v>
      </c>
      <c r="Y168" s="7">
        <v>166565</v>
      </c>
      <c r="Z168" s="7"/>
      <c r="AA168" s="7"/>
      <c r="AC168" s="2"/>
      <c r="AD168" s="9">
        <f>SUM(N168:AB168)</f>
        <v>1851150</v>
      </c>
      <c r="AE168" s="9">
        <f>SUM(N169:AB169)</f>
        <v>85187</v>
      </c>
      <c r="AF168" s="9">
        <f>SUM(N170:AB170)</f>
        <v>62036</v>
      </c>
      <c r="AG168" s="9">
        <f t="shared" ref="AG168:AL168" si="72">E168</f>
        <v>151156</v>
      </c>
      <c r="AH168" s="9">
        <f t="shared" si="72"/>
        <v>4900</v>
      </c>
      <c r="AI168" s="9">
        <f t="shared" si="72"/>
        <v>4313</v>
      </c>
      <c r="AJ168" s="9">
        <f t="shared" si="72"/>
        <v>1807497</v>
      </c>
      <c r="AK168" s="9">
        <f t="shared" si="72"/>
        <v>82938</v>
      </c>
      <c r="AL168" s="9">
        <f t="shared" si="72"/>
        <v>59246</v>
      </c>
      <c r="AM168" s="2"/>
      <c r="AN168" s="9">
        <f>AD168-B168</f>
        <v>0</v>
      </c>
      <c r="AO168" s="9">
        <f>AE168-C168</f>
        <v>0</v>
      </c>
      <c r="AP168" s="9">
        <f>AF168-D168</f>
        <v>0</v>
      </c>
      <c r="AQ168" s="5"/>
      <c r="AR168" s="41">
        <f>C168/B168*1000</f>
        <v>46.018420981552012</v>
      </c>
      <c r="AS168" s="41">
        <f>D168/B168*1000</f>
        <v>33.512141101477461</v>
      </c>
      <c r="AT168" s="42"/>
      <c r="AU168" s="41">
        <f>AR168-K168</f>
        <v>1.8420981552011995E-2</v>
      </c>
      <c r="AV168" s="41">
        <f>AS168-L168</f>
        <v>-0.58785889852254058</v>
      </c>
      <c r="AW168" s="5"/>
    </row>
    <row r="169" spans="1:49" s="2" customFormat="1" x14ac:dyDescent="0.55000000000000004">
      <c r="A169" s="1" t="s">
        <v>181</v>
      </c>
      <c r="B169" s="3"/>
      <c r="C169" s="3"/>
      <c r="D169" s="3"/>
      <c r="E169" s="3"/>
      <c r="F169" s="3"/>
      <c r="G169" s="3"/>
      <c r="H169" s="3"/>
      <c r="I169" s="3"/>
      <c r="J169" s="3"/>
      <c r="K169" s="28"/>
      <c r="L169" s="28"/>
      <c r="M169" s="3"/>
      <c r="N169" s="3">
        <v>7567</v>
      </c>
      <c r="O169" s="3">
        <v>12365</v>
      </c>
      <c r="P169" s="3">
        <v>6928</v>
      </c>
      <c r="Q169" s="3">
        <v>7823</v>
      </c>
      <c r="R169" s="3">
        <v>5011</v>
      </c>
      <c r="S169" s="3">
        <v>6035</v>
      </c>
      <c r="T169" s="3">
        <v>5896</v>
      </c>
      <c r="U169" s="3">
        <v>6020</v>
      </c>
      <c r="V169" s="3">
        <v>6192</v>
      </c>
      <c r="W169" s="3">
        <v>7330</v>
      </c>
      <c r="X169" s="3">
        <v>7111</v>
      </c>
      <c r="Y169" s="3">
        <v>6909</v>
      </c>
      <c r="Z169" s="3"/>
      <c r="AA169" s="3"/>
    </row>
    <row r="170" spans="1:49" s="2" customFormat="1" x14ac:dyDescent="0.55000000000000004">
      <c r="A170" s="1" t="s">
        <v>182</v>
      </c>
      <c r="B170" s="3"/>
      <c r="C170" s="3"/>
      <c r="D170" s="3"/>
      <c r="E170" s="3"/>
      <c r="F170" s="3"/>
      <c r="G170" s="3"/>
      <c r="H170" s="3"/>
      <c r="I170" s="3"/>
      <c r="J170" s="3"/>
      <c r="K170" s="28"/>
      <c r="L170" s="28"/>
      <c r="M170" s="3"/>
      <c r="N170" s="3">
        <v>5619</v>
      </c>
      <c r="O170" s="3">
        <v>8455</v>
      </c>
      <c r="P170" s="3">
        <v>5509</v>
      </c>
      <c r="Q170" s="3">
        <v>5085</v>
      </c>
      <c r="R170" s="3">
        <v>3704</v>
      </c>
      <c r="S170" s="3">
        <v>4696</v>
      </c>
      <c r="T170" s="3">
        <v>4887</v>
      </c>
      <c r="U170" s="3">
        <v>4451</v>
      </c>
      <c r="V170" s="3">
        <v>4477</v>
      </c>
      <c r="W170" s="3">
        <v>5312</v>
      </c>
      <c r="X170" s="3">
        <v>5054</v>
      </c>
      <c r="Y170" s="3">
        <v>4787</v>
      </c>
      <c r="Z170" s="3"/>
      <c r="AA170" s="3"/>
    </row>
    <row r="171" spans="1:49" s="8" customFormat="1" x14ac:dyDescent="0.55000000000000004">
      <c r="A171" s="6" t="s">
        <v>183</v>
      </c>
      <c r="B171" s="7">
        <v>1515881</v>
      </c>
      <c r="C171" s="7">
        <v>79257</v>
      </c>
      <c r="D171" s="7">
        <v>60358</v>
      </c>
      <c r="E171" s="7">
        <v>128298</v>
      </c>
      <c r="F171" s="7">
        <v>5091</v>
      </c>
      <c r="G171" s="7">
        <v>4845</v>
      </c>
      <c r="H171" s="7">
        <v>1463993</v>
      </c>
      <c r="I171" s="7">
        <v>74533</v>
      </c>
      <c r="J171" s="7">
        <v>55740</v>
      </c>
      <c r="K171" s="31">
        <v>52.3</v>
      </c>
      <c r="L171" s="31">
        <v>39.799999999999997</v>
      </c>
      <c r="M171" s="3"/>
      <c r="N171" s="7">
        <v>164814</v>
      </c>
      <c r="O171" s="7">
        <v>91556</v>
      </c>
      <c r="P171" s="7">
        <v>173412</v>
      </c>
      <c r="Q171" s="7">
        <v>87370</v>
      </c>
      <c r="R171" s="7">
        <v>126248</v>
      </c>
      <c r="S171" s="7">
        <v>138791</v>
      </c>
      <c r="T171" s="7">
        <v>174518</v>
      </c>
      <c r="U171" s="7">
        <v>82219</v>
      </c>
      <c r="V171" s="7">
        <v>107751</v>
      </c>
      <c r="W171" s="7">
        <v>152079</v>
      </c>
      <c r="X171" s="7">
        <v>102478</v>
      </c>
      <c r="Y171" s="7">
        <v>114645</v>
      </c>
      <c r="Z171" s="7"/>
      <c r="AA171" s="7"/>
      <c r="AC171" s="2"/>
      <c r="AD171" s="9">
        <f>SUM(N171:AB171)</f>
        <v>1515881</v>
      </c>
      <c r="AE171" s="9">
        <f>SUM(N172:AB172)</f>
        <v>79257</v>
      </c>
      <c r="AF171" s="9">
        <f>SUM(N173:AB173)</f>
        <v>60358</v>
      </c>
      <c r="AG171" s="9">
        <f t="shared" ref="AG171:AL171" si="73">E171</f>
        <v>128298</v>
      </c>
      <c r="AH171" s="9">
        <f t="shared" si="73"/>
        <v>5091</v>
      </c>
      <c r="AI171" s="9">
        <f t="shared" si="73"/>
        <v>4845</v>
      </c>
      <c r="AJ171" s="9">
        <f t="shared" si="73"/>
        <v>1463993</v>
      </c>
      <c r="AK171" s="9">
        <f t="shared" si="73"/>
        <v>74533</v>
      </c>
      <c r="AL171" s="9">
        <f t="shared" si="73"/>
        <v>55740</v>
      </c>
      <c r="AM171" s="2"/>
      <c r="AN171" s="9">
        <f>AD171-B171</f>
        <v>0</v>
      </c>
      <c r="AO171" s="9">
        <f>AE171-C171</f>
        <v>0</v>
      </c>
      <c r="AP171" s="9">
        <f>AF171-D171</f>
        <v>0</v>
      </c>
      <c r="AQ171" s="5"/>
      <c r="AR171" s="41">
        <f>C171/B171*1000</f>
        <v>52.284447130084743</v>
      </c>
      <c r="AS171" s="41">
        <f>D171/B171*1000</f>
        <v>39.817109654385796</v>
      </c>
      <c r="AT171" s="42"/>
      <c r="AU171" s="41">
        <f>AR171-K171</f>
        <v>-1.5552869915254064E-2</v>
      </c>
      <c r="AV171" s="41">
        <f>AS171-L171</f>
        <v>1.7109654385798478E-2</v>
      </c>
      <c r="AW171" s="5"/>
    </row>
    <row r="172" spans="1:49" s="2" customFormat="1" x14ac:dyDescent="0.55000000000000004">
      <c r="A172" s="1" t="s">
        <v>184</v>
      </c>
      <c r="B172" s="3"/>
      <c r="C172" s="3"/>
      <c r="D172" s="3"/>
      <c r="E172" s="3"/>
      <c r="F172" s="3"/>
      <c r="G172" s="3"/>
      <c r="H172" s="3"/>
      <c r="I172" s="3"/>
      <c r="J172" s="3"/>
      <c r="K172" s="28"/>
      <c r="L172" s="28"/>
      <c r="M172" s="3"/>
      <c r="N172" s="3">
        <v>8712</v>
      </c>
      <c r="O172" s="3">
        <v>4222</v>
      </c>
      <c r="P172" s="3">
        <v>9858</v>
      </c>
      <c r="Q172" s="3">
        <v>3753</v>
      </c>
      <c r="R172" s="3">
        <v>5998</v>
      </c>
      <c r="S172" s="3">
        <v>6953</v>
      </c>
      <c r="T172" s="3">
        <v>9521</v>
      </c>
      <c r="U172" s="3">
        <v>4086</v>
      </c>
      <c r="V172" s="3">
        <v>6051</v>
      </c>
      <c r="W172" s="3">
        <v>8469</v>
      </c>
      <c r="X172" s="3">
        <v>5299</v>
      </c>
      <c r="Y172" s="3">
        <v>6335</v>
      </c>
      <c r="Z172" s="3"/>
      <c r="AA172" s="3"/>
    </row>
    <row r="173" spans="1:49" s="2" customFormat="1" x14ac:dyDescent="0.55000000000000004">
      <c r="A173" s="1" t="s">
        <v>185</v>
      </c>
      <c r="B173" s="3"/>
      <c r="C173" s="3"/>
      <c r="D173" s="3"/>
      <c r="E173" s="3"/>
      <c r="F173" s="3"/>
      <c r="G173" s="3"/>
      <c r="H173" s="3"/>
      <c r="I173" s="3"/>
      <c r="J173" s="3"/>
      <c r="K173" s="28"/>
      <c r="L173" s="28"/>
      <c r="M173" s="3"/>
      <c r="N173" s="3">
        <v>8383</v>
      </c>
      <c r="O173" s="3">
        <v>2865</v>
      </c>
      <c r="P173" s="3">
        <v>7410</v>
      </c>
      <c r="Q173" s="3">
        <v>2864</v>
      </c>
      <c r="R173" s="3">
        <v>4066</v>
      </c>
      <c r="S173" s="3">
        <v>4982</v>
      </c>
      <c r="T173" s="3">
        <v>7504</v>
      </c>
      <c r="U173" s="3">
        <v>3715</v>
      </c>
      <c r="V173" s="3">
        <v>4611</v>
      </c>
      <c r="W173" s="3">
        <v>5712</v>
      </c>
      <c r="X173" s="3">
        <v>4243</v>
      </c>
      <c r="Y173" s="3">
        <v>4003</v>
      </c>
      <c r="Z173" s="3"/>
      <c r="AA173" s="3"/>
    </row>
    <row r="174" spans="1:49" s="8" customFormat="1" x14ac:dyDescent="0.55000000000000004">
      <c r="A174" s="6" t="s">
        <v>186</v>
      </c>
      <c r="B174" s="48">
        <v>2051093</v>
      </c>
      <c r="C174" s="7">
        <v>98722</v>
      </c>
      <c r="D174" s="46">
        <v>68008</v>
      </c>
      <c r="E174" s="7">
        <v>82923</v>
      </c>
      <c r="F174" s="7">
        <v>4095</v>
      </c>
      <c r="G174" s="7">
        <v>3189</v>
      </c>
      <c r="H174" s="7">
        <v>1980113</v>
      </c>
      <c r="I174" s="7">
        <v>93603</v>
      </c>
      <c r="J174" s="7">
        <v>62562</v>
      </c>
      <c r="K174" s="31">
        <v>47.4</v>
      </c>
      <c r="L174" s="31">
        <v>32.6</v>
      </c>
      <c r="M174" s="3"/>
      <c r="N174" s="7">
        <v>330397</v>
      </c>
      <c r="O174" s="7">
        <v>392742</v>
      </c>
      <c r="P174" s="7">
        <v>463249</v>
      </c>
      <c r="Q174" s="7">
        <v>173047</v>
      </c>
      <c r="R174" s="7">
        <v>375068</v>
      </c>
      <c r="S174" s="7">
        <v>316590</v>
      </c>
      <c r="T174" s="7"/>
      <c r="U174" s="7"/>
      <c r="V174" s="7"/>
      <c r="W174" s="7"/>
      <c r="X174" s="7"/>
      <c r="Y174" s="7"/>
      <c r="Z174" s="7"/>
      <c r="AA174" s="7"/>
      <c r="AC174" s="2"/>
      <c r="AD174" s="9">
        <f>SUM(N174:AB174)</f>
        <v>2051093</v>
      </c>
      <c r="AE174" s="9">
        <f>SUM(N175:AB175)</f>
        <v>98723</v>
      </c>
      <c r="AF174" s="9">
        <f>SUM(N176:AB176)</f>
        <v>68008</v>
      </c>
      <c r="AG174" s="9">
        <f t="shared" ref="AG174:AL174" si="74">E174</f>
        <v>82923</v>
      </c>
      <c r="AH174" s="9">
        <f t="shared" si="74"/>
        <v>4095</v>
      </c>
      <c r="AI174" s="9">
        <f t="shared" si="74"/>
        <v>3189</v>
      </c>
      <c r="AJ174" s="9">
        <f t="shared" si="74"/>
        <v>1980113</v>
      </c>
      <c r="AK174" s="9">
        <f t="shared" si="74"/>
        <v>93603</v>
      </c>
      <c r="AL174" s="9">
        <f t="shared" si="74"/>
        <v>62562</v>
      </c>
      <c r="AM174" s="2"/>
      <c r="AN174" s="9">
        <f>AD174-B174</f>
        <v>0</v>
      </c>
      <c r="AO174" s="9">
        <f>AE174-C174</f>
        <v>1</v>
      </c>
      <c r="AP174" s="9">
        <f>AF174-D174</f>
        <v>0</v>
      </c>
      <c r="AQ174" s="5"/>
      <c r="AR174" s="41">
        <f>C174/B174*1000</f>
        <v>48.131410911158099</v>
      </c>
      <c r="AS174" s="41">
        <f>D174/B174*1000</f>
        <v>33.156955827941495</v>
      </c>
      <c r="AT174" s="42"/>
      <c r="AU174" s="41">
        <f>AR174-K174</f>
        <v>0.73141091115810042</v>
      </c>
      <c r="AV174" s="41">
        <f>AS174-L174</f>
        <v>0.55695582794149345</v>
      </c>
      <c r="AW174" s="5"/>
    </row>
    <row r="175" spans="1:49" s="2" customFormat="1" x14ac:dyDescent="0.55000000000000004">
      <c r="A175" s="1" t="s">
        <v>187</v>
      </c>
      <c r="B175" s="3"/>
      <c r="C175" s="3"/>
      <c r="D175" s="3"/>
      <c r="E175" s="3"/>
      <c r="F175" s="3"/>
      <c r="G175" s="3"/>
      <c r="H175" s="3"/>
      <c r="I175" s="3"/>
      <c r="J175" s="3"/>
      <c r="K175" s="28"/>
      <c r="L175" s="28"/>
      <c r="M175" s="3"/>
      <c r="N175" s="3">
        <v>17022</v>
      </c>
      <c r="O175" s="3">
        <v>18579</v>
      </c>
      <c r="P175" s="3">
        <v>21386</v>
      </c>
      <c r="Q175" s="3">
        <v>9067</v>
      </c>
      <c r="R175" s="3">
        <v>17275</v>
      </c>
      <c r="S175" s="3">
        <v>15394</v>
      </c>
      <c r="T175" s="3"/>
      <c r="U175" s="3"/>
      <c r="V175" s="3"/>
      <c r="W175" s="3"/>
      <c r="X175" s="3"/>
      <c r="Y175" s="3"/>
      <c r="Z175" s="3"/>
      <c r="AA175" s="3"/>
    </row>
    <row r="176" spans="1:49" s="2" customFormat="1" x14ac:dyDescent="0.55000000000000004">
      <c r="A176" s="1" t="s">
        <v>188</v>
      </c>
      <c r="B176" s="3"/>
      <c r="C176" s="3"/>
      <c r="D176" s="3"/>
      <c r="E176" s="3"/>
      <c r="F176" s="3"/>
      <c r="G176" s="3"/>
      <c r="H176" s="3"/>
      <c r="I176" s="3"/>
      <c r="J176" s="3"/>
      <c r="K176" s="28"/>
      <c r="L176" s="28"/>
      <c r="M176" s="3"/>
      <c r="N176" s="46">
        <v>11865</v>
      </c>
      <c r="O176" s="3">
        <v>12393</v>
      </c>
      <c r="P176" s="3">
        <v>13799</v>
      </c>
      <c r="Q176" s="3">
        <v>7669</v>
      </c>
      <c r="R176" s="3">
        <v>12159</v>
      </c>
      <c r="S176" s="3">
        <v>10123</v>
      </c>
      <c r="T176" s="3"/>
      <c r="U176" s="3"/>
      <c r="V176" s="3"/>
      <c r="W176" s="3"/>
      <c r="X176" s="3"/>
      <c r="Y176" s="3"/>
      <c r="Z176" s="3"/>
      <c r="AA176" s="3"/>
    </row>
    <row r="177" spans="1:55" s="8" customFormat="1" x14ac:dyDescent="0.55000000000000004">
      <c r="A177" s="6" t="s">
        <v>189</v>
      </c>
      <c r="B177" s="7">
        <v>2465668</v>
      </c>
      <c r="C177" s="7">
        <v>118718</v>
      </c>
      <c r="D177" s="7">
        <v>93117</v>
      </c>
      <c r="E177" s="7">
        <v>327309</v>
      </c>
      <c r="F177" s="10" t="s">
        <v>23</v>
      </c>
      <c r="G177" s="10" t="s">
        <v>23</v>
      </c>
      <c r="H177" s="7">
        <v>2366337</v>
      </c>
      <c r="I177" s="7">
        <v>118072</v>
      </c>
      <c r="J177" s="7">
        <v>83439</v>
      </c>
      <c r="K177" s="31">
        <v>48.1</v>
      </c>
      <c r="L177" s="31">
        <v>37.700000000000003</v>
      </c>
      <c r="M177" s="3"/>
      <c r="N177" s="7">
        <v>363328</v>
      </c>
      <c r="O177" s="7">
        <v>143178</v>
      </c>
      <c r="P177" s="7">
        <v>154827</v>
      </c>
      <c r="Q177" s="7">
        <v>125548</v>
      </c>
      <c r="R177" s="7">
        <v>161645</v>
      </c>
      <c r="S177" s="7">
        <v>222205</v>
      </c>
      <c r="T177" s="7">
        <v>307733</v>
      </c>
      <c r="U177" s="7">
        <v>231620</v>
      </c>
      <c r="V177" s="7">
        <v>167719</v>
      </c>
      <c r="W177" s="7">
        <v>382086</v>
      </c>
      <c r="X177" s="7">
        <v>205779</v>
      </c>
      <c r="Y177" s="7"/>
      <c r="Z177" s="7"/>
      <c r="AA177" s="7"/>
      <c r="AC177" s="2"/>
      <c r="AD177" s="9">
        <f>SUM(N177:AB177)</f>
        <v>2465668</v>
      </c>
      <c r="AE177" s="9">
        <f>SUM(N178:AB178)</f>
        <v>118718</v>
      </c>
      <c r="AF177" s="9">
        <f>SUM(N179:AB179)</f>
        <v>93117</v>
      </c>
      <c r="AG177" s="9">
        <f t="shared" ref="AG177:AL177" si="75">E177</f>
        <v>327309</v>
      </c>
      <c r="AH177" s="10" t="str">
        <f t="shared" si="75"/>
        <v>—</v>
      </c>
      <c r="AI177" s="10" t="str">
        <f t="shared" si="75"/>
        <v>—</v>
      </c>
      <c r="AJ177" s="9">
        <f t="shared" si="75"/>
        <v>2366337</v>
      </c>
      <c r="AK177" s="9">
        <f t="shared" si="75"/>
        <v>118072</v>
      </c>
      <c r="AL177" s="9">
        <f t="shared" si="75"/>
        <v>83439</v>
      </c>
      <c r="AM177" s="2"/>
      <c r="AN177" s="9">
        <f>AD177-B177</f>
        <v>0</v>
      </c>
      <c r="AO177" s="9">
        <f>AE177-C177</f>
        <v>0</v>
      </c>
      <c r="AP177" s="9">
        <f>AF177-D177</f>
        <v>0</v>
      </c>
      <c r="AQ177" s="5"/>
      <c r="AR177" s="41">
        <f>C177/B177*1000</f>
        <v>48.148412519447064</v>
      </c>
      <c r="AS177" s="41">
        <f>D177/B177*1000</f>
        <v>37.765425028835999</v>
      </c>
      <c r="AT177" s="42"/>
      <c r="AU177" s="41">
        <f>AR177-K177</f>
        <v>4.8412519447062152E-2</v>
      </c>
      <c r="AV177" s="41">
        <f>AS177-L177</f>
        <v>6.5425028835996102E-2</v>
      </c>
      <c r="AW177" s="5"/>
    </row>
    <row r="178" spans="1:55" s="2" customFormat="1" x14ac:dyDescent="0.55000000000000004">
      <c r="A178" s="1" t="s">
        <v>190</v>
      </c>
      <c r="B178" s="3"/>
      <c r="C178" s="3"/>
      <c r="D178" s="3"/>
      <c r="E178" s="3"/>
      <c r="F178" s="3"/>
      <c r="G178" s="3"/>
      <c r="H178" s="3"/>
      <c r="I178" s="3"/>
      <c r="J178" s="3"/>
      <c r="K178" s="28"/>
      <c r="L178" s="28"/>
      <c r="M178" s="3"/>
      <c r="N178" s="3">
        <v>13556</v>
      </c>
      <c r="O178" s="3">
        <v>7113</v>
      </c>
      <c r="P178" s="3">
        <v>7253</v>
      </c>
      <c r="Q178" s="3">
        <v>6498</v>
      </c>
      <c r="R178" s="3">
        <v>8974</v>
      </c>
      <c r="S178" s="3">
        <v>11078</v>
      </c>
      <c r="T178" s="3">
        <v>14454</v>
      </c>
      <c r="U178" s="3">
        <v>10974</v>
      </c>
      <c r="V178" s="3">
        <v>8568</v>
      </c>
      <c r="W178" s="3">
        <v>19978</v>
      </c>
      <c r="X178" s="3">
        <v>10272</v>
      </c>
      <c r="Y178" s="3"/>
      <c r="Z178" s="3"/>
      <c r="AA178" s="3"/>
    </row>
    <row r="179" spans="1:55" s="2" customFormat="1" x14ac:dyDescent="0.55000000000000004">
      <c r="A179" s="1" t="s">
        <v>191</v>
      </c>
      <c r="B179" s="3"/>
      <c r="C179" s="3"/>
      <c r="D179" s="3"/>
      <c r="E179" s="3"/>
      <c r="F179" s="3"/>
      <c r="G179" s="3"/>
      <c r="H179" s="3"/>
      <c r="I179" s="3"/>
      <c r="J179" s="3"/>
      <c r="K179" s="28"/>
      <c r="L179" s="28"/>
      <c r="M179" s="3"/>
      <c r="N179" s="3">
        <v>9629</v>
      </c>
      <c r="O179" s="3">
        <v>4714</v>
      </c>
      <c r="P179" s="3">
        <v>5330</v>
      </c>
      <c r="Q179" s="3">
        <v>4797</v>
      </c>
      <c r="R179" s="3">
        <v>7199</v>
      </c>
      <c r="S179" s="3">
        <v>9283</v>
      </c>
      <c r="T179" s="3">
        <v>10792</v>
      </c>
      <c r="U179" s="3">
        <v>9587</v>
      </c>
      <c r="V179" s="3">
        <v>6361</v>
      </c>
      <c r="W179" s="3">
        <v>16822</v>
      </c>
      <c r="X179" s="3">
        <v>8603</v>
      </c>
      <c r="Y179" s="3"/>
      <c r="Z179" s="3"/>
      <c r="AA179" s="3"/>
    </row>
    <row r="180" spans="1:55" s="8" customFormat="1" x14ac:dyDescent="0.55000000000000004">
      <c r="A180" s="6" t="s">
        <v>192</v>
      </c>
      <c r="B180" s="7">
        <v>1849664</v>
      </c>
      <c r="C180" s="7">
        <v>97498</v>
      </c>
      <c r="D180" s="7">
        <v>60257</v>
      </c>
      <c r="E180" s="7">
        <v>290205</v>
      </c>
      <c r="F180" s="7">
        <v>14825</v>
      </c>
      <c r="G180" s="7">
        <v>9717</v>
      </c>
      <c r="H180" s="7">
        <v>1788319</v>
      </c>
      <c r="I180" s="7">
        <v>98970</v>
      </c>
      <c r="J180" s="7">
        <v>56301</v>
      </c>
      <c r="K180" s="31">
        <v>52.7</v>
      </c>
      <c r="L180" s="31">
        <v>32.5</v>
      </c>
      <c r="M180" s="3"/>
      <c r="N180" s="7">
        <v>424667</v>
      </c>
      <c r="O180" s="7">
        <v>359676</v>
      </c>
      <c r="P180" s="7">
        <v>193924</v>
      </c>
      <c r="Q180" s="7">
        <v>499934</v>
      </c>
      <c r="R180" s="7">
        <v>165567</v>
      </c>
      <c r="S180" s="7">
        <v>205896</v>
      </c>
      <c r="T180" s="7"/>
      <c r="U180" s="7"/>
      <c r="V180" s="7"/>
      <c r="W180" s="7"/>
      <c r="X180" s="7"/>
      <c r="Y180" s="7"/>
      <c r="Z180" s="7"/>
      <c r="AA180" s="7"/>
      <c r="AC180" s="2"/>
      <c r="AD180" s="9">
        <f>SUM(N180:AB180)</f>
        <v>1849664</v>
      </c>
      <c r="AE180" s="9">
        <f>SUM(N181:AB181)</f>
        <v>97498</v>
      </c>
      <c r="AF180" s="9">
        <f>SUM(N182:AB182)</f>
        <v>60257</v>
      </c>
      <c r="AG180" s="9">
        <f t="shared" ref="AG180:AL180" si="76">E180</f>
        <v>290205</v>
      </c>
      <c r="AH180" s="9">
        <f t="shared" si="76"/>
        <v>14825</v>
      </c>
      <c r="AI180" s="9">
        <f t="shared" si="76"/>
        <v>9717</v>
      </c>
      <c r="AJ180" s="9">
        <f t="shared" si="76"/>
        <v>1788319</v>
      </c>
      <c r="AK180" s="9">
        <f t="shared" si="76"/>
        <v>98970</v>
      </c>
      <c r="AL180" s="9">
        <f t="shared" si="76"/>
        <v>56301</v>
      </c>
      <c r="AM180" s="2"/>
      <c r="AN180" s="9">
        <f>AD180-B180</f>
        <v>0</v>
      </c>
      <c r="AO180" s="9">
        <f>AE180-C180</f>
        <v>0</v>
      </c>
      <c r="AP180" s="9">
        <f>AF180-D180</f>
        <v>0</v>
      </c>
      <c r="AQ180" s="5"/>
      <c r="AR180" s="41">
        <f>C180/B180*1000</f>
        <v>52.711195114355903</v>
      </c>
      <c r="AS180" s="41">
        <f>D180/B180*1000</f>
        <v>32.577268087609426</v>
      </c>
      <c r="AT180" s="42"/>
      <c r="AU180" s="41">
        <f>AR180-K180</f>
        <v>1.1195114355899705E-2</v>
      </c>
      <c r="AV180" s="41">
        <f>AS180-L180</f>
        <v>7.7268087609425606E-2</v>
      </c>
      <c r="AW180" s="5"/>
    </row>
    <row r="181" spans="1:55" s="2" customFormat="1" x14ac:dyDescent="0.55000000000000004">
      <c r="A181" s="1" t="s">
        <v>193</v>
      </c>
      <c r="B181" s="3"/>
      <c r="C181" s="3"/>
      <c r="D181" s="3"/>
      <c r="E181" s="3"/>
      <c r="F181" s="3"/>
      <c r="G181" s="3"/>
      <c r="H181" s="3"/>
      <c r="I181" s="3"/>
      <c r="J181" s="3"/>
      <c r="K181" s="28"/>
      <c r="L181" s="28"/>
      <c r="M181" s="3"/>
      <c r="N181" s="3">
        <v>21717</v>
      </c>
      <c r="O181" s="3">
        <v>18868</v>
      </c>
      <c r="P181" s="3">
        <v>10992</v>
      </c>
      <c r="Q181" s="3">
        <v>26115</v>
      </c>
      <c r="R181" s="3">
        <v>10054</v>
      </c>
      <c r="S181" s="3">
        <v>9752</v>
      </c>
      <c r="T181" s="3"/>
      <c r="U181" s="3"/>
      <c r="V181" s="3"/>
      <c r="W181" s="3"/>
      <c r="X181" s="3"/>
      <c r="Y181" s="3"/>
      <c r="Z181" s="3"/>
      <c r="AA181" s="3"/>
    </row>
    <row r="182" spans="1:55" s="2" customFormat="1" x14ac:dyDescent="0.55000000000000004">
      <c r="A182" s="1" t="s">
        <v>194</v>
      </c>
      <c r="B182" s="3"/>
      <c r="C182" s="3"/>
      <c r="D182" s="3"/>
      <c r="E182" s="3"/>
      <c r="F182" s="3"/>
      <c r="G182" s="3"/>
      <c r="H182" s="3"/>
      <c r="I182" s="3"/>
      <c r="J182" s="3"/>
      <c r="K182" s="28"/>
      <c r="L182" s="28"/>
      <c r="M182" s="3"/>
      <c r="N182" s="3">
        <v>14164</v>
      </c>
      <c r="O182" s="3">
        <v>12741</v>
      </c>
      <c r="P182" s="3">
        <v>6958</v>
      </c>
      <c r="Q182" s="3">
        <v>15760</v>
      </c>
      <c r="R182" s="3">
        <v>5159</v>
      </c>
      <c r="S182" s="3">
        <v>5475</v>
      </c>
      <c r="T182" s="3"/>
      <c r="U182" s="3"/>
      <c r="V182" s="3"/>
      <c r="W182" s="3"/>
      <c r="X182" s="3"/>
      <c r="Y182" s="3"/>
      <c r="Z182" s="3"/>
      <c r="AA182" s="3"/>
    </row>
    <row r="183" spans="1:55" s="2" customFormat="1" x14ac:dyDescent="0.55000000000000004">
      <c r="A183" s="52" t="s">
        <v>319</v>
      </c>
      <c r="B183" s="53">
        <v>76578</v>
      </c>
      <c r="C183" s="53">
        <v>3154</v>
      </c>
      <c r="D183" s="53">
        <v>2437</v>
      </c>
      <c r="E183" s="53"/>
      <c r="F183" s="53"/>
      <c r="G183" s="53"/>
      <c r="H183" s="53">
        <v>76511</v>
      </c>
      <c r="I183" s="53">
        <v>3228</v>
      </c>
      <c r="J183" s="53">
        <v>2480</v>
      </c>
      <c r="K183" s="54"/>
      <c r="L183" s="54"/>
      <c r="M183" s="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5"/>
      <c r="AD183" s="9">
        <f>B183</f>
        <v>76578</v>
      </c>
      <c r="AE183" s="9">
        <f t="shared" ref="AE183:AE184" si="77">C183</f>
        <v>3154</v>
      </c>
      <c r="AF183" s="9">
        <f t="shared" ref="AF183:AF184" si="78">D183</f>
        <v>2437</v>
      </c>
      <c r="AG183" s="10">
        <f t="shared" ref="AG183:AG184" si="79">E183</f>
        <v>0</v>
      </c>
      <c r="AH183" s="10">
        <f t="shared" ref="AH183:AH184" si="80">F183</f>
        <v>0</v>
      </c>
      <c r="AI183" s="10">
        <f t="shared" ref="AI183:AI184" si="81">G183</f>
        <v>0</v>
      </c>
      <c r="AJ183" s="9">
        <f t="shared" ref="AJ183:AJ184" si="82">H183</f>
        <v>76511</v>
      </c>
      <c r="AK183" s="9">
        <f t="shared" ref="AK183:AK184" si="83">I183</f>
        <v>3228</v>
      </c>
      <c r="AL183" s="9">
        <f t="shared" ref="AL183:AL184" si="84">J183</f>
        <v>2480</v>
      </c>
    </row>
    <row r="184" spans="1:55" s="2" customFormat="1" x14ac:dyDescent="0.55000000000000004">
      <c r="A184" s="52" t="s">
        <v>320</v>
      </c>
      <c r="B184" s="53">
        <v>297635</v>
      </c>
      <c r="C184" s="53">
        <v>11072</v>
      </c>
      <c r="D184" s="53">
        <v>8456</v>
      </c>
      <c r="E184" s="53"/>
      <c r="F184" s="53"/>
      <c r="G184" s="53"/>
      <c r="H184" s="53">
        <v>281138</v>
      </c>
      <c r="I184" s="53">
        <v>10661</v>
      </c>
      <c r="J184" s="53">
        <v>7497</v>
      </c>
      <c r="K184" s="54"/>
      <c r="L184" s="54"/>
      <c r="M184" s="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5"/>
      <c r="AD184" s="9">
        <f>B184</f>
        <v>297635</v>
      </c>
      <c r="AE184" s="9">
        <f t="shared" si="77"/>
        <v>11072</v>
      </c>
      <c r="AF184" s="9">
        <f t="shared" si="78"/>
        <v>8456</v>
      </c>
      <c r="AG184" s="10">
        <f t="shared" si="79"/>
        <v>0</v>
      </c>
      <c r="AH184" s="10">
        <f t="shared" si="80"/>
        <v>0</v>
      </c>
      <c r="AI184" s="10">
        <f t="shared" si="81"/>
        <v>0</v>
      </c>
      <c r="AJ184" s="9">
        <f t="shared" si="82"/>
        <v>281138</v>
      </c>
      <c r="AK184" s="9">
        <f t="shared" si="83"/>
        <v>10661</v>
      </c>
      <c r="AL184" s="9">
        <f t="shared" si="84"/>
        <v>7497</v>
      </c>
    </row>
    <row r="185" spans="1:55" s="8" customFormat="1" x14ac:dyDescent="0.55000000000000004">
      <c r="A185" s="6" t="s">
        <v>195</v>
      </c>
      <c r="B185" s="7">
        <v>2244377</v>
      </c>
      <c r="C185" s="7">
        <v>105242</v>
      </c>
      <c r="D185" s="7">
        <v>77254</v>
      </c>
      <c r="E185" s="7">
        <v>212547</v>
      </c>
      <c r="F185" s="7">
        <v>6874</v>
      </c>
      <c r="G185" s="7">
        <v>5169</v>
      </c>
      <c r="H185" s="7">
        <v>2162199</v>
      </c>
      <c r="I185" s="7">
        <v>106631</v>
      </c>
      <c r="J185" s="7">
        <v>67074</v>
      </c>
      <c r="K185" s="31">
        <v>46.9</v>
      </c>
      <c r="L185" s="31">
        <v>34.4</v>
      </c>
      <c r="M185" s="3"/>
      <c r="N185" s="7">
        <v>161199</v>
      </c>
      <c r="O185" s="7">
        <v>153923</v>
      </c>
      <c r="P185" s="7">
        <v>137594</v>
      </c>
      <c r="Q185" s="7">
        <v>133428</v>
      </c>
      <c r="R185" s="48">
        <v>130182</v>
      </c>
      <c r="S185" s="7">
        <v>148145</v>
      </c>
      <c r="T185" s="7">
        <v>124246</v>
      </c>
      <c r="U185" s="7">
        <v>135456</v>
      </c>
      <c r="V185" s="7">
        <v>138090</v>
      </c>
      <c r="W185" s="7">
        <v>177089</v>
      </c>
      <c r="X185" s="7">
        <v>173173</v>
      </c>
      <c r="Y185" s="7">
        <v>136310</v>
      </c>
      <c r="Z185" s="7">
        <v>149793</v>
      </c>
      <c r="AA185" s="7">
        <v>166979</v>
      </c>
      <c r="AB185" s="47">
        <v>178770</v>
      </c>
      <c r="AC185" s="18"/>
      <c r="AD185" s="9">
        <f>SUM(N185:AB185)</f>
        <v>2244377</v>
      </c>
      <c r="AE185" s="9">
        <f>SUM(N186:AB186)</f>
        <v>105242</v>
      </c>
      <c r="AF185" s="9">
        <f>SUM(N187:AB187)</f>
        <v>77254</v>
      </c>
      <c r="AG185" s="9">
        <f t="shared" ref="AG185:AL185" si="85">E185</f>
        <v>212547</v>
      </c>
      <c r="AH185" s="9">
        <f t="shared" si="85"/>
        <v>6874</v>
      </c>
      <c r="AI185" s="9">
        <f t="shared" si="85"/>
        <v>5169</v>
      </c>
      <c r="AJ185" s="9">
        <f t="shared" si="85"/>
        <v>2162199</v>
      </c>
      <c r="AK185" s="9">
        <f t="shared" si="85"/>
        <v>106631</v>
      </c>
      <c r="AL185" s="9">
        <f t="shared" si="85"/>
        <v>67074</v>
      </c>
      <c r="AM185" s="2"/>
      <c r="AN185" s="9">
        <f>AD185-B185</f>
        <v>0</v>
      </c>
      <c r="AO185" s="9">
        <f>AE185-C185</f>
        <v>0</v>
      </c>
      <c r="AP185" s="9">
        <f>AF185-D185</f>
        <v>0</v>
      </c>
      <c r="AQ185" s="5"/>
      <c r="AR185" s="41">
        <f>C185/B185*1000</f>
        <v>46.891409063628792</v>
      </c>
      <c r="AS185" s="41">
        <f>D185/B185*1000</f>
        <v>34.42113334791793</v>
      </c>
      <c r="AT185" s="42"/>
      <c r="AU185" s="41">
        <f>AR185-K185</f>
        <v>-8.5909363712062259E-3</v>
      </c>
      <c r="AV185" s="41">
        <f>AS185-L185</f>
        <v>2.1133347917931644E-2</v>
      </c>
      <c r="AW185" s="5"/>
    </row>
    <row r="186" spans="1:55" s="2" customFormat="1" x14ac:dyDescent="0.55000000000000004">
      <c r="A186" s="1" t="s">
        <v>196</v>
      </c>
      <c r="B186" s="3"/>
      <c r="C186" s="3"/>
      <c r="D186" s="3"/>
      <c r="E186" s="3"/>
      <c r="F186" s="3"/>
      <c r="G186" s="3"/>
      <c r="H186" s="3"/>
      <c r="I186" s="3"/>
      <c r="J186" s="3"/>
      <c r="K186" s="28"/>
      <c r="L186" s="28"/>
      <c r="M186" s="3"/>
      <c r="N186" s="3">
        <v>7137</v>
      </c>
      <c r="O186" s="3">
        <v>6706</v>
      </c>
      <c r="P186" s="3">
        <v>6099</v>
      </c>
      <c r="Q186" s="3">
        <v>7070</v>
      </c>
      <c r="R186" s="3">
        <v>6232</v>
      </c>
      <c r="S186" s="3">
        <v>6579</v>
      </c>
      <c r="T186" s="3">
        <v>5827</v>
      </c>
      <c r="U186" s="3">
        <v>6447</v>
      </c>
      <c r="V186" s="3">
        <v>7186</v>
      </c>
      <c r="W186" s="3">
        <v>8182</v>
      </c>
      <c r="X186" s="3">
        <v>7525</v>
      </c>
      <c r="Y186" s="3">
        <v>6788</v>
      </c>
      <c r="Z186" s="3">
        <v>7384</v>
      </c>
      <c r="AA186" s="3">
        <v>6973</v>
      </c>
      <c r="AB186" s="18">
        <v>9107</v>
      </c>
      <c r="AC186" s="18"/>
    </row>
    <row r="187" spans="1:55" s="2" customFormat="1" x14ac:dyDescent="0.55000000000000004">
      <c r="A187" s="1" t="s">
        <v>197</v>
      </c>
      <c r="B187" s="3"/>
      <c r="C187" s="3"/>
      <c r="D187" s="3"/>
      <c r="E187" s="3"/>
      <c r="F187" s="3"/>
      <c r="G187" s="3"/>
      <c r="H187" s="3"/>
      <c r="I187" s="3"/>
      <c r="J187" s="3"/>
      <c r="K187" s="28"/>
      <c r="L187" s="28"/>
      <c r="M187" s="3"/>
      <c r="N187" s="3">
        <v>5758</v>
      </c>
      <c r="O187" s="3">
        <v>6068</v>
      </c>
      <c r="P187" s="3">
        <v>4151</v>
      </c>
      <c r="Q187" s="3">
        <v>4671</v>
      </c>
      <c r="R187" s="3">
        <v>5397</v>
      </c>
      <c r="S187" s="3">
        <v>5428</v>
      </c>
      <c r="T187" s="3">
        <v>3925</v>
      </c>
      <c r="U187" s="3">
        <v>4772</v>
      </c>
      <c r="V187" s="3">
        <v>4473</v>
      </c>
      <c r="W187" s="3">
        <v>5250</v>
      </c>
      <c r="X187" s="3">
        <v>6557</v>
      </c>
      <c r="Y187" s="3">
        <v>5114</v>
      </c>
      <c r="Z187" s="3">
        <v>5827</v>
      </c>
      <c r="AA187" s="3">
        <v>4525</v>
      </c>
      <c r="AB187" s="18">
        <v>5338</v>
      </c>
      <c r="AC187" s="18"/>
    </row>
    <row r="188" spans="1:55" s="8" customFormat="1" x14ac:dyDescent="0.55000000000000004">
      <c r="A188" s="6" t="s">
        <v>198</v>
      </c>
      <c r="B188" s="7">
        <v>1198269</v>
      </c>
      <c r="C188" s="7">
        <v>44232</v>
      </c>
      <c r="D188" s="7">
        <v>39027</v>
      </c>
      <c r="E188" s="7">
        <v>170309</v>
      </c>
      <c r="F188" s="7">
        <v>4708</v>
      </c>
      <c r="G188" s="7">
        <v>5046</v>
      </c>
      <c r="H188" s="7">
        <v>1156469</v>
      </c>
      <c r="I188" s="7">
        <v>44190</v>
      </c>
      <c r="J188" s="7">
        <v>35264</v>
      </c>
      <c r="K188" s="31">
        <v>36.9</v>
      </c>
      <c r="L188" s="31">
        <v>32.6</v>
      </c>
      <c r="M188" s="3"/>
      <c r="N188" s="7">
        <v>220266</v>
      </c>
      <c r="O188" s="7">
        <v>76957</v>
      </c>
      <c r="P188" s="7">
        <v>70002</v>
      </c>
      <c r="Q188" s="7">
        <v>123921</v>
      </c>
      <c r="R188" s="7">
        <v>86093</v>
      </c>
      <c r="S188" s="7">
        <v>111120</v>
      </c>
      <c r="T188" s="7">
        <v>82088</v>
      </c>
      <c r="U188" s="7">
        <v>167893</v>
      </c>
      <c r="V188" s="7">
        <v>119382</v>
      </c>
      <c r="W188" s="7">
        <v>110470</v>
      </c>
      <c r="X188" s="7"/>
      <c r="Y188" s="7"/>
      <c r="Z188" s="7"/>
      <c r="AA188" s="7"/>
      <c r="AC188" s="2"/>
      <c r="AD188" s="9">
        <f>SUM(N188:AB188)</f>
        <v>1168192</v>
      </c>
      <c r="AE188" s="9">
        <f>SUM(N189:AB189)</f>
        <v>44232</v>
      </c>
      <c r="AF188" s="9">
        <f>SUM(N190:AB190)</f>
        <v>39027</v>
      </c>
      <c r="AG188" s="9">
        <f t="shared" ref="AG188:AL188" si="86">E188</f>
        <v>170309</v>
      </c>
      <c r="AH188" s="9">
        <f t="shared" si="86"/>
        <v>4708</v>
      </c>
      <c r="AI188" s="9">
        <f t="shared" si="86"/>
        <v>5046</v>
      </c>
      <c r="AJ188" s="9">
        <f t="shared" si="86"/>
        <v>1156469</v>
      </c>
      <c r="AK188" s="9">
        <f t="shared" si="86"/>
        <v>44190</v>
      </c>
      <c r="AL188" s="9">
        <f t="shared" si="86"/>
        <v>35264</v>
      </c>
      <c r="AM188" s="2"/>
      <c r="AN188" s="9">
        <f>AD188-B188</f>
        <v>-30077</v>
      </c>
      <c r="AO188" s="9">
        <f>AE188-C188</f>
        <v>0</v>
      </c>
      <c r="AP188" s="9">
        <f>AF188-D188</f>
        <v>0</v>
      </c>
      <c r="AQ188" s="5"/>
      <c r="AR188" s="41">
        <f>C188/B188*1000</f>
        <v>36.913247359315818</v>
      </c>
      <c r="AS188" s="41">
        <f>D188/B188*1000</f>
        <v>32.569481477030614</v>
      </c>
      <c r="AT188" s="42"/>
      <c r="AU188" s="41">
        <f>AR188-K188</f>
        <v>1.3247359315819551E-2</v>
      </c>
      <c r="AV188" s="41">
        <f>AS188-L188</f>
        <v>-3.0518522969387618E-2</v>
      </c>
      <c r="AW188" s="5"/>
    </row>
    <row r="189" spans="1:55" s="2" customFormat="1" x14ac:dyDescent="0.55000000000000004">
      <c r="A189" s="1" t="s">
        <v>199</v>
      </c>
      <c r="B189" s="3"/>
      <c r="C189" s="3"/>
      <c r="D189" s="3"/>
      <c r="E189" s="3"/>
      <c r="F189" s="3"/>
      <c r="G189" s="3"/>
      <c r="H189" s="3"/>
      <c r="I189" s="3"/>
      <c r="J189" s="3"/>
      <c r="K189" s="28"/>
      <c r="L189" s="28"/>
      <c r="M189" s="3"/>
      <c r="N189" s="3">
        <v>8712</v>
      </c>
      <c r="O189" s="3">
        <v>2586</v>
      </c>
      <c r="P189" s="3">
        <v>2367</v>
      </c>
      <c r="Q189" s="3">
        <v>5402</v>
      </c>
      <c r="R189" s="3">
        <v>3774</v>
      </c>
      <c r="S189" s="3">
        <v>4260</v>
      </c>
      <c r="T189" s="3">
        <v>3111</v>
      </c>
      <c r="U189" s="3">
        <v>6625</v>
      </c>
      <c r="V189" s="3">
        <v>3323</v>
      </c>
      <c r="W189" s="3">
        <v>4072</v>
      </c>
      <c r="X189" s="3"/>
      <c r="Y189" s="3"/>
      <c r="Z189" s="3"/>
      <c r="AA189" s="3"/>
    </row>
    <row r="190" spans="1:55" s="2" customFormat="1" x14ac:dyDescent="0.55000000000000004">
      <c r="A190" s="1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28"/>
      <c r="L190" s="28"/>
      <c r="M190" s="3"/>
      <c r="N190" s="3">
        <v>8471</v>
      </c>
      <c r="O190" s="3">
        <v>2393</v>
      </c>
      <c r="P190" s="3">
        <v>1986</v>
      </c>
      <c r="Q190" s="3">
        <v>4582</v>
      </c>
      <c r="R190" s="3">
        <v>2905</v>
      </c>
      <c r="S190" s="3">
        <v>3731</v>
      </c>
      <c r="T190" s="3">
        <v>2584</v>
      </c>
      <c r="U190" s="3">
        <v>5964</v>
      </c>
      <c r="V190" s="3">
        <v>3029</v>
      </c>
      <c r="W190" s="3">
        <v>3382</v>
      </c>
      <c r="X190" s="3"/>
      <c r="Y190" s="3"/>
      <c r="Z190" s="3"/>
      <c r="AA190" s="3"/>
    </row>
    <row r="191" spans="1:55" s="13" customFormat="1" x14ac:dyDescent="0.55000000000000004">
      <c r="A191" s="11" t="s">
        <v>201</v>
      </c>
      <c r="B191" s="12">
        <v>64669596</v>
      </c>
      <c r="C191" s="12">
        <v>3135222</v>
      </c>
      <c r="D191" s="12">
        <v>2429404</v>
      </c>
      <c r="E191" s="12">
        <v>6473046</v>
      </c>
      <c r="F191" s="12">
        <v>237662</v>
      </c>
      <c r="G191" s="12">
        <v>200792</v>
      </c>
      <c r="H191" s="12">
        <v>62750615</v>
      </c>
      <c r="I191" s="12">
        <v>3114518</v>
      </c>
      <c r="J191" s="12">
        <v>2162627</v>
      </c>
      <c r="K191" s="32">
        <v>48.5</v>
      </c>
      <c r="L191" s="32">
        <v>37.6</v>
      </c>
      <c r="M191" s="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C191" s="2"/>
      <c r="AD191" s="14">
        <f>SUM(AD85:AD189)</f>
        <v>64300142</v>
      </c>
      <c r="AE191" s="14">
        <f t="shared" ref="AE191:AL191" si="87">SUM(AE145:AE190)</f>
        <v>1360575</v>
      </c>
      <c r="AF191" s="14">
        <f t="shared" si="87"/>
        <v>1017640</v>
      </c>
      <c r="AG191" s="14">
        <f t="shared" si="87"/>
        <v>2160201</v>
      </c>
      <c r="AH191" s="14">
        <f t="shared" si="87"/>
        <v>73727</v>
      </c>
      <c r="AI191" s="14">
        <f t="shared" si="87"/>
        <v>59806</v>
      </c>
      <c r="AJ191" s="14">
        <f t="shared" si="87"/>
        <v>27377003</v>
      </c>
      <c r="AK191" s="14">
        <f t="shared" si="87"/>
        <v>1348979</v>
      </c>
      <c r="AL191" s="14">
        <f t="shared" si="87"/>
        <v>924438</v>
      </c>
      <c r="AM191" s="2"/>
      <c r="AN191" s="14">
        <f>AD191-B191</f>
        <v>-369454</v>
      </c>
      <c r="AO191" s="14">
        <f>AE191-C191</f>
        <v>-1774647</v>
      </c>
      <c r="AP191" s="14">
        <f>AF191-D191</f>
        <v>-1411764</v>
      </c>
      <c r="AQ191" s="5"/>
      <c r="AR191" s="41">
        <f>C191/B191*1000</f>
        <v>48.480618310960224</v>
      </c>
      <c r="AS191" s="41">
        <f>D191/B191*1000</f>
        <v>37.56640137352953</v>
      </c>
      <c r="AT191" s="42"/>
      <c r="AU191" s="41">
        <f>AR191-K191</f>
        <v>-1.9381689039775551E-2</v>
      </c>
      <c r="AV191" s="41">
        <f>AS191-L191</f>
        <v>-3.3598626470471515E-2</v>
      </c>
      <c r="AW191" s="5"/>
      <c r="AX191" s="14">
        <f t="shared" ref="AX191:BC191" si="88">E191-AG191</f>
        <v>4312845</v>
      </c>
      <c r="AY191" s="14">
        <f t="shared" si="88"/>
        <v>163935</v>
      </c>
      <c r="AZ191" s="14">
        <f t="shared" si="88"/>
        <v>140986</v>
      </c>
      <c r="BA191" s="14">
        <f t="shared" si="88"/>
        <v>35373612</v>
      </c>
      <c r="BB191" s="14">
        <f t="shared" si="88"/>
        <v>1765539</v>
      </c>
      <c r="BC191" s="14">
        <f t="shared" si="88"/>
        <v>1238189</v>
      </c>
    </row>
    <row r="192" spans="1:55" s="2" customFormat="1" x14ac:dyDescent="0.55000000000000004">
      <c r="A192" s="43" t="s">
        <v>202</v>
      </c>
      <c r="B192" s="33">
        <v>2078878</v>
      </c>
      <c r="C192" s="33">
        <v>116779</v>
      </c>
      <c r="D192" s="33">
        <v>69145</v>
      </c>
      <c r="E192" s="34" t="s">
        <v>23</v>
      </c>
      <c r="F192" s="34" t="s">
        <v>23</v>
      </c>
      <c r="G192" s="34" t="s">
        <v>23</v>
      </c>
      <c r="H192" s="33">
        <v>1860630</v>
      </c>
      <c r="I192" s="33">
        <v>115632</v>
      </c>
      <c r="J192" s="33">
        <v>68804</v>
      </c>
      <c r="K192" s="31">
        <v>56.1</v>
      </c>
      <c r="L192" s="31">
        <v>33.299999999999997</v>
      </c>
      <c r="M192" s="3"/>
      <c r="N192" s="33">
        <v>138476</v>
      </c>
      <c r="O192" s="33">
        <v>215617</v>
      </c>
      <c r="P192" s="33">
        <v>193743</v>
      </c>
      <c r="Q192" s="33">
        <v>401782</v>
      </c>
      <c r="R192" s="33">
        <v>296391</v>
      </c>
      <c r="S192" s="33">
        <v>60515</v>
      </c>
      <c r="T192" s="33">
        <v>363563</v>
      </c>
      <c r="U192" s="33">
        <v>201459</v>
      </c>
      <c r="V192" s="33">
        <v>207232</v>
      </c>
      <c r="W192" s="33"/>
      <c r="X192" s="33"/>
      <c r="Y192" s="33"/>
      <c r="Z192" s="33"/>
      <c r="AA192" s="33"/>
      <c r="AB192" s="38"/>
      <c r="AD192" s="39">
        <f>B192</f>
        <v>2078878</v>
      </c>
      <c r="AE192" s="39">
        <f t="shared" ref="AE192:AL192" si="89">C192</f>
        <v>116779</v>
      </c>
      <c r="AF192" s="39">
        <f t="shared" si="89"/>
        <v>69145</v>
      </c>
      <c r="AG192" s="34" t="str">
        <f t="shared" si="89"/>
        <v>—</v>
      </c>
      <c r="AH192" s="34" t="str">
        <f t="shared" si="89"/>
        <v>—</v>
      </c>
      <c r="AI192" s="34" t="str">
        <f t="shared" si="89"/>
        <v>—</v>
      </c>
      <c r="AJ192" s="39">
        <f t="shared" si="89"/>
        <v>1860630</v>
      </c>
      <c r="AK192" s="39">
        <f t="shared" si="89"/>
        <v>115632</v>
      </c>
      <c r="AL192" s="39">
        <f t="shared" si="89"/>
        <v>68804</v>
      </c>
    </row>
    <row r="193" spans="1:55" s="2" customFormat="1" x14ac:dyDescent="0.55000000000000004">
      <c r="A193" s="1" t="s">
        <v>203</v>
      </c>
      <c r="B193" s="3"/>
      <c r="C193" s="3"/>
      <c r="D193" s="3"/>
      <c r="E193" s="3"/>
      <c r="F193" s="3"/>
      <c r="G193" s="3"/>
      <c r="H193" s="3"/>
      <c r="I193" s="3"/>
      <c r="J193" s="3"/>
      <c r="K193" s="28"/>
      <c r="L193" s="28"/>
      <c r="M193" s="3"/>
      <c r="N193" s="3">
        <v>11303</v>
      </c>
      <c r="O193" s="3">
        <v>13581</v>
      </c>
      <c r="P193" s="3">
        <v>9250</v>
      </c>
      <c r="Q193" s="3">
        <v>22621</v>
      </c>
      <c r="R193" s="3">
        <v>16776</v>
      </c>
      <c r="S193" s="3">
        <v>2732</v>
      </c>
      <c r="T193" s="3">
        <v>18195</v>
      </c>
      <c r="U193" s="3">
        <v>10601</v>
      </c>
      <c r="V193" s="3">
        <v>11820</v>
      </c>
      <c r="W193" s="3"/>
      <c r="X193" s="3"/>
      <c r="Y193" s="3"/>
      <c r="Z193" s="3"/>
      <c r="AA193" s="3"/>
    </row>
    <row r="194" spans="1:55" s="2" customFormat="1" x14ac:dyDescent="0.55000000000000004">
      <c r="A194" s="1" t="s">
        <v>204</v>
      </c>
      <c r="B194" s="3"/>
      <c r="C194" s="3"/>
      <c r="D194" s="3"/>
      <c r="E194" s="3"/>
      <c r="F194" s="3"/>
      <c r="G194" s="3"/>
      <c r="H194" s="3"/>
      <c r="I194" s="3"/>
      <c r="J194" s="3"/>
      <c r="K194" s="28"/>
      <c r="L194" s="28"/>
      <c r="M194" s="3"/>
      <c r="N194" s="3">
        <v>6741</v>
      </c>
      <c r="O194" s="3">
        <v>6337</v>
      </c>
      <c r="P194" s="3">
        <v>4276</v>
      </c>
      <c r="Q194" s="3">
        <v>12499</v>
      </c>
      <c r="R194" s="3">
        <v>10755</v>
      </c>
      <c r="S194" s="3">
        <v>1696</v>
      </c>
      <c r="T194" s="3">
        <v>13139</v>
      </c>
      <c r="U194" s="3">
        <v>5671</v>
      </c>
      <c r="V194" s="3">
        <v>8031</v>
      </c>
      <c r="W194" s="3"/>
      <c r="X194" s="3"/>
      <c r="Y194" s="3"/>
      <c r="Z194" s="3"/>
      <c r="AA194" s="3"/>
    </row>
    <row r="195" spans="1:55" s="13" customFormat="1" x14ac:dyDescent="0.55000000000000004">
      <c r="A195" s="11" t="s">
        <v>205</v>
      </c>
      <c r="B195" s="12">
        <v>97807339</v>
      </c>
      <c r="C195" s="12">
        <v>4580305</v>
      </c>
      <c r="D195" s="12">
        <v>3347356</v>
      </c>
      <c r="E195" s="12">
        <v>10145059</v>
      </c>
      <c r="F195" s="12">
        <v>365903</v>
      </c>
      <c r="G195" s="12">
        <v>292007</v>
      </c>
      <c r="H195" s="12">
        <v>94373651</v>
      </c>
      <c r="I195" s="12">
        <v>4510521</v>
      </c>
      <c r="J195" s="12">
        <v>2703375</v>
      </c>
      <c r="K195" s="32">
        <v>46.8</v>
      </c>
      <c r="L195" s="32">
        <v>34.200000000000003</v>
      </c>
      <c r="M195" s="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C195" s="2"/>
      <c r="AD195" s="14">
        <f>SUM(AD42, AD74, AD84, AD191, AD192)</f>
        <v>97428855</v>
      </c>
      <c r="AE195" s="14">
        <f t="shared" ref="AE195:AL195" si="90">SUM(AE42, AE74, AE84, AE191, AE192)</f>
        <v>2805654</v>
      </c>
      <c r="AF195" s="14">
        <f t="shared" si="90"/>
        <v>1935595</v>
      </c>
      <c r="AG195" s="14">
        <f t="shared" si="90"/>
        <v>5516117</v>
      </c>
      <c r="AH195" s="14">
        <f t="shared" si="90"/>
        <v>186137</v>
      </c>
      <c r="AI195" s="14">
        <f t="shared" si="90"/>
        <v>141399</v>
      </c>
      <c r="AJ195" s="14">
        <f t="shared" si="90"/>
        <v>59019971</v>
      </c>
      <c r="AK195" s="14">
        <f t="shared" si="90"/>
        <v>2755600</v>
      </c>
      <c r="AL195" s="14">
        <f t="shared" si="90"/>
        <v>1797976</v>
      </c>
      <c r="AM195" s="2"/>
      <c r="AN195" s="14">
        <f t="shared" ref="AN195:AP196" si="91">AD195-B195</f>
        <v>-378484</v>
      </c>
      <c r="AO195" s="14">
        <f t="shared" si="91"/>
        <v>-1774651</v>
      </c>
      <c r="AP195" s="14">
        <f t="shared" si="91"/>
        <v>-1411761</v>
      </c>
      <c r="AQ195" s="5"/>
      <c r="AR195" s="41">
        <f>C195/B195*1000</f>
        <v>46.829870302472905</v>
      </c>
      <c r="AS195" s="41">
        <f>D195/B195*1000</f>
        <v>34.223975769343852</v>
      </c>
      <c r="AT195" s="42"/>
      <c r="AU195" s="41">
        <f>AR195-K195</f>
        <v>2.9870302472907895E-2</v>
      </c>
      <c r="AV195" s="41">
        <f>AS195-L195</f>
        <v>2.3975769343849151E-2</v>
      </c>
      <c r="AW195" s="5"/>
      <c r="AX195" s="14">
        <f t="shared" ref="AX195:BC195" si="92">E195-AG195</f>
        <v>4628942</v>
      </c>
      <c r="AY195" s="14">
        <f t="shared" si="92"/>
        <v>179766</v>
      </c>
      <c r="AZ195" s="14">
        <f t="shared" si="92"/>
        <v>150608</v>
      </c>
      <c r="BA195" s="14">
        <f t="shared" si="92"/>
        <v>35353680</v>
      </c>
      <c r="BB195" s="14">
        <f t="shared" si="92"/>
        <v>1754921</v>
      </c>
      <c r="BC195" s="14">
        <f t="shared" si="92"/>
        <v>905399</v>
      </c>
    </row>
    <row r="196" spans="1:55" s="8" customFormat="1" x14ac:dyDescent="0.55000000000000004">
      <c r="A196" s="6" t="s">
        <v>206</v>
      </c>
      <c r="B196" s="48">
        <v>735626</v>
      </c>
      <c r="C196" s="7">
        <v>22979</v>
      </c>
      <c r="D196" s="7">
        <v>19460</v>
      </c>
      <c r="E196" s="7">
        <v>151005</v>
      </c>
      <c r="F196" s="7">
        <v>4447</v>
      </c>
      <c r="G196" s="7">
        <v>4469</v>
      </c>
      <c r="H196" s="7">
        <v>763805</v>
      </c>
      <c r="I196" s="7">
        <v>17766</v>
      </c>
      <c r="J196" s="7">
        <v>14471</v>
      </c>
      <c r="K196" s="31">
        <v>28</v>
      </c>
      <c r="L196" s="31">
        <v>23.7</v>
      </c>
      <c r="M196" s="3"/>
      <c r="N196" s="7">
        <v>156729</v>
      </c>
      <c r="O196" s="7">
        <v>78223</v>
      </c>
      <c r="P196" s="7">
        <v>98437</v>
      </c>
      <c r="Q196" s="7">
        <v>160338</v>
      </c>
      <c r="R196" s="7">
        <v>107310</v>
      </c>
      <c r="S196" s="7">
        <v>120553</v>
      </c>
      <c r="T196" s="7">
        <v>14036</v>
      </c>
      <c r="U196" s="7"/>
      <c r="V196" s="7"/>
      <c r="W196" s="7"/>
      <c r="X196" s="7"/>
      <c r="Y196" s="7"/>
      <c r="Z196" s="7"/>
      <c r="AA196" s="7"/>
      <c r="AC196" s="2"/>
      <c r="AD196" s="9">
        <f>SUM(N196:AB196)</f>
        <v>735626</v>
      </c>
      <c r="AE196" s="9">
        <f>SUM(N197:AB197)</f>
        <v>22979</v>
      </c>
      <c r="AF196" s="9">
        <f>SUM(N198:AB198)</f>
        <v>19460</v>
      </c>
      <c r="AG196" s="9">
        <f t="shared" ref="AG196:AL196" si="93">E196</f>
        <v>151005</v>
      </c>
      <c r="AH196" s="9">
        <f t="shared" si="93"/>
        <v>4447</v>
      </c>
      <c r="AI196" s="9">
        <f t="shared" si="93"/>
        <v>4469</v>
      </c>
      <c r="AJ196" s="9">
        <f t="shared" si="93"/>
        <v>763805</v>
      </c>
      <c r="AK196" s="9">
        <f t="shared" si="93"/>
        <v>17766</v>
      </c>
      <c r="AL196" s="9">
        <f t="shared" si="93"/>
        <v>14471</v>
      </c>
      <c r="AM196" s="2"/>
      <c r="AN196" s="9">
        <f t="shared" si="91"/>
        <v>0</v>
      </c>
      <c r="AO196" s="9">
        <f t="shared" si="91"/>
        <v>0</v>
      </c>
      <c r="AP196" s="9">
        <f t="shared" si="91"/>
        <v>0</v>
      </c>
      <c r="AQ196" s="5"/>
      <c r="AR196" s="41">
        <f>C196/B196*1000</f>
        <v>31.237340713895374</v>
      </c>
      <c r="AS196" s="41">
        <f>D196/B196*1000</f>
        <v>26.453659876078333</v>
      </c>
      <c r="AT196" s="42"/>
      <c r="AU196" s="41">
        <f>AR196-K196</f>
        <v>3.2373407138953745</v>
      </c>
      <c r="AV196" s="41">
        <f>AS196-L196</f>
        <v>2.7536598760783342</v>
      </c>
      <c r="AW196" s="5"/>
    </row>
    <row r="197" spans="1:55" s="2" customFormat="1" x14ac:dyDescent="0.55000000000000004">
      <c r="A197" s="1" t="s">
        <v>207</v>
      </c>
      <c r="B197" s="3"/>
      <c r="C197" s="3"/>
      <c r="D197" s="3"/>
      <c r="E197" s="3"/>
      <c r="F197" s="3"/>
      <c r="G197" s="3"/>
      <c r="H197" s="3"/>
      <c r="I197" s="3"/>
      <c r="J197" s="3"/>
      <c r="K197" s="28"/>
      <c r="L197" s="28"/>
      <c r="M197" s="3"/>
      <c r="N197" s="3">
        <v>4009</v>
      </c>
      <c r="O197" s="3">
        <v>2491</v>
      </c>
      <c r="P197" s="3">
        <v>1912</v>
      </c>
      <c r="Q197" s="3">
        <v>5591</v>
      </c>
      <c r="R197" s="3">
        <v>3990</v>
      </c>
      <c r="S197" s="3">
        <v>4606</v>
      </c>
      <c r="T197" s="3">
        <v>380</v>
      </c>
      <c r="U197" s="3"/>
      <c r="V197" s="3"/>
      <c r="W197" s="3"/>
      <c r="X197" s="3"/>
      <c r="Y197" s="3"/>
      <c r="Z197" s="3"/>
      <c r="AA197" s="3"/>
    </row>
    <row r="198" spans="1:55" s="2" customFormat="1" x14ac:dyDescent="0.55000000000000004">
      <c r="A198" s="1" t="s">
        <v>208</v>
      </c>
      <c r="B198" s="3"/>
      <c r="C198" s="3"/>
      <c r="D198" s="3"/>
      <c r="E198" s="3"/>
      <c r="F198" s="3"/>
      <c r="G198" s="3"/>
      <c r="H198" s="3"/>
      <c r="I198" s="3"/>
      <c r="J198" s="3"/>
      <c r="K198" s="28"/>
      <c r="L198" s="28"/>
      <c r="M198" s="3"/>
      <c r="N198" s="3">
        <v>3822</v>
      </c>
      <c r="O198" s="3">
        <v>2259</v>
      </c>
      <c r="P198" s="3">
        <v>1823</v>
      </c>
      <c r="Q198" s="3">
        <v>4496</v>
      </c>
      <c r="R198" s="3">
        <v>3538</v>
      </c>
      <c r="S198" s="3">
        <v>3163</v>
      </c>
      <c r="T198" s="3">
        <v>359</v>
      </c>
      <c r="U198" s="3"/>
      <c r="V198" s="3"/>
      <c r="W198" s="3"/>
      <c r="X198" s="3"/>
      <c r="Y198" s="3"/>
      <c r="Z198" s="3"/>
      <c r="AA198" s="3"/>
    </row>
    <row r="199" spans="1:55" s="8" customFormat="1" x14ac:dyDescent="0.55000000000000004">
      <c r="A199" s="6" t="s">
        <v>209</v>
      </c>
      <c r="B199" s="7">
        <v>661444</v>
      </c>
      <c r="C199" s="7">
        <v>16183</v>
      </c>
      <c r="D199" s="7">
        <v>14489</v>
      </c>
      <c r="E199" s="10" t="s">
        <v>23</v>
      </c>
      <c r="F199" s="10" t="s">
        <v>23</v>
      </c>
      <c r="G199" s="10" t="s">
        <v>23</v>
      </c>
      <c r="H199" s="7">
        <v>615493</v>
      </c>
      <c r="I199" s="7">
        <v>13149</v>
      </c>
      <c r="J199" s="7">
        <v>11596</v>
      </c>
      <c r="K199" s="31">
        <v>24.4</v>
      </c>
      <c r="L199" s="31">
        <v>21.9</v>
      </c>
      <c r="M199" s="3"/>
      <c r="N199" s="7">
        <v>35362</v>
      </c>
      <c r="O199" s="7">
        <v>49508</v>
      </c>
      <c r="P199" s="7">
        <v>60541</v>
      </c>
      <c r="Q199" s="7">
        <v>80667</v>
      </c>
      <c r="R199" s="7">
        <v>73218</v>
      </c>
      <c r="S199" s="7">
        <v>79597</v>
      </c>
      <c r="T199" s="7">
        <v>52168</v>
      </c>
      <c r="U199" s="7">
        <v>79998</v>
      </c>
      <c r="V199" s="7">
        <v>70160</v>
      </c>
      <c r="W199" s="7">
        <v>80225</v>
      </c>
      <c r="X199" s="7"/>
      <c r="Y199" s="7"/>
      <c r="Z199" s="7"/>
      <c r="AA199" s="7"/>
      <c r="AC199" s="2"/>
      <c r="AD199" s="9">
        <f>SUM(N199:AB199)</f>
        <v>661444</v>
      </c>
      <c r="AE199" s="9">
        <f>SUM(N200:AB200)</f>
        <v>16183</v>
      </c>
      <c r="AF199" s="9">
        <f>SUM(N201:AB201)</f>
        <v>14489</v>
      </c>
      <c r="AG199" s="10" t="str">
        <f t="shared" ref="AG199:AL199" si="94">E199</f>
        <v>—</v>
      </c>
      <c r="AH199" s="10" t="str">
        <f t="shared" si="94"/>
        <v>—</v>
      </c>
      <c r="AI199" s="10" t="str">
        <f t="shared" si="94"/>
        <v>—</v>
      </c>
      <c r="AJ199" s="9">
        <f t="shared" si="94"/>
        <v>615493</v>
      </c>
      <c r="AK199" s="9">
        <f t="shared" si="94"/>
        <v>13149</v>
      </c>
      <c r="AL199" s="9">
        <f t="shared" si="94"/>
        <v>11596</v>
      </c>
      <c r="AM199" s="2"/>
      <c r="AN199" s="9">
        <f>AD199-B199</f>
        <v>0</v>
      </c>
      <c r="AO199" s="9">
        <f>AE199-C199</f>
        <v>0</v>
      </c>
      <c r="AP199" s="9">
        <f>AF199-D199</f>
        <v>0</v>
      </c>
      <c r="AQ199" s="5"/>
      <c r="AR199" s="41">
        <f>C199/B199*1000</f>
        <v>24.466167959797051</v>
      </c>
      <c r="AS199" s="41">
        <f>D199/B199*1000</f>
        <v>21.905104589352991</v>
      </c>
      <c r="AT199" s="42"/>
      <c r="AU199" s="41">
        <f>AR199-K199</f>
        <v>6.6167959797052589E-2</v>
      </c>
      <c r="AV199" s="41">
        <f>AS199-L199</f>
        <v>5.1045893529924058E-3</v>
      </c>
      <c r="AW199" s="5"/>
    </row>
    <row r="200" spans="1:55" s="2" customFormat="1" x14ac:dyDescent="0.55000000000000004">
      <c r="A200" s="1" t="s">
        <v>210</v>
      </c>
      <c r="B200" s="3"/>
      <c r="C200" s="3"/>
      <c r="D200" s="3"/>
      <c r="E200" s="3"/>
      <c r="F200" s="3"/>
      <c r="G200" s="3"/>
      <c r="H200" s="3"/>
      <c r="I200" s="3"/>
      <c r="J200" s="3"/>
      <c r="K200" s="28"/>
      <c r="L200" s="28"/>
      <c r="M200" s="3"/>
      <c r="N200" s="3">
        <v>694</v>
      </c>
      <c r="O200" s="3">
        <v>1172</v>
      </c>
      <c r="P200" s="3">
        <v>1400</v>
      </c>
      <c r="Q200" s="3">
        <v>1333</v>
      </c>
      <c r="R200" s="3">
        <v>1327</v>
      </c>
      <c r="S200" s="3">
        <v>2290</v>
      </c>
      <c r="T200" s="3">
        <v>1321</v>
      </c>
      <c r="U200" s="3">
        <v>2281</v>
      </c>
      <c r="V200" s="3">
        <v>2727</v>
      </c>
      <c r="W200" s="3">
        <v>1638</v>
      </c>
      <c r="X200" s="3"/>
      <c r="Y200" s="3"/>
      <c r="Z200" s="3"/>
      <c r="AA200" s="3"/>
    </row>
    <row r="201" spans="1:55" s="2" customFormat="1" x14ac:dyDescent="0.55000000000000004">
      <c r="A201" s="1" t="s">
        <v>211</v>
      </c>
      <c r="B201" s="3"/>
      <c r="C201" s="3"/>
      <c r="D201" s="3"/>
      <c r="E201" s="3"/>
      <c r="F201" s="3"/>
      <c r="G201" s="3"/>
      <c r="H201" s="3"/>
      <c r="I201" s="3"/>
      <c r="J201" s="3"/>
      <c r="K201" s="28"/>
      <c r="L201" s="28"/>
      <c r="M201" s="3"/>
      <c r="N201" s="3">
        <v>579</v>
      </c>
      <c r="O201" s="3">
        <v>958</v>
      </c>
      <c r="P201" s="3">
        <v>1120</v>
      </c>
      <c r="Q201" s="3">
        <v>1274</v>
      </c>
      <c r="R201" s="3">
        <v>1943</v>
      </c>
      <c r="S201" s="3">
        <v>1911</v>
      </c>
      <c r="T201" s="3">
        <v>1177</v>
      </c>
      <c r="U201" s="3">
        <v>2590</v>
      </c>
      <c r="V201" s="3">
        <v>1233</v>
      </c>
      <c r="W201" s="3">
        <v>1704</v>
      </c>
      <c r="X201" s="3"/>
      <c r="Y201" s="3"/>
      <c r="Z201" s="3"/>
      <c r="AA201" s="3"/>
    </row>
    <row r="202" spans="1:55" s="8" customFormat="1" x14ac:dyDescent="0.55000000000000004">
      <c r="A202" s="6" t="s">
        <v>212</v>
      </c>
      <c r="B202" s="48">
        <v>767126</v>
      </c>
      <c r="C202" s="7">
        <v>21326</v>
      </c>
      <c r="D202" s="7">
        <v>15726</v>
      </c>
      <c r="E202" s="7">
        <v>83497</v>
      </c>
      <c r="F202" s="7">
        <v>2157</v>
      </c>
      <c r="G202" s="7">
        <v>1635</v>
      </c>
      <c r="H202" s="7">
        <v>757553</v>
      </c>
      <c r="I202" s="7">
        <v>19984</v>
      </c>
      <c r="J202" s="7">
        <v>13238</v>
      </c>
      <c r="K202" s="31">
        <v>25.1</v>
      </c>
      <c r="L202" s="31">
        <v>18.5</v>
      </c>
      <c r="M202" s="3"/>
      <c r="N202" s="7">
        <v>131165</v>
      </c>
      <c r="O202" s="7">
        <v>54437</v>
      </c>
      <c r="P202" s="7">
        <v>54994</v>
      </c>
      <c r="Q202" s="7">
        <v>55705</v>
      </c>
      <c r="R202" s="7">
        <v>126219</v>
      </c>
      <c r="S202" s="7">
        <v>90017</v>
      </c>
      <c r="T202" s="7">
        <v>117203</v>
      </c>
      <c r="U202" s="7">
        <v>137386</v>
      </c>
      <c r="V202" s="7"/>
      <c r="W202" s="7"/>
      <c r="X202" s="7"/>
      <c r="Y202" s="7"/>
      <c r="Z202" s="7"/>
      <c r="AA202" s="7"/>
      <c r="AC202" s="2"/>
      <c r="AD202" s="9">
        <f>SUM(N202:AB202)</f>
        <v>767126</v>
      </c>
      <c r="AE202" s="9">
        <f>SUM(N203:AB203)</f>
        <v>21326</v>
      </c>
      <c r="AF202" s="9">
        <f>SUM(N204:AB204)</f>
        <v>15726</v>
      </c>
      <c r="AG202" s="9">
        <f t="shared" ref="AG202:AL202" si="95">E202</f>
        <v>83497</v>
      </c>
      <c r="AH202" s="9">
        <f t="shared" si="95"/>
        <v>2157</v>
      </c>
      <c r="AI202" s="9">
        <f t="shared" si="95"/>
        <v>1635</v>
      </c>
      <c r="AJ202" s="9">
        <f t="shared" si="95"/>
        <v>757553</v>
      </c>
      <c r="AK202" s="9">
        <f t="shared" si="95"/>
        <v>19984</v>
      </c>
      <c r="AL202" s="9">
        <f t="shared" si="95"/>
        <v>13238</v>
      </c>
      <c r="AM202" s="2"/>
      <c r="AN202" s="9">
        <f>AD202-B202</f>
        <v>0</v>
      </c>
      <c r="AO202" s="9">
        <f>AE202-C202</f>
        <v>0</v>
      </c>
      <c r="AP202" s="9">
        <f>AF202-D202</f>
        <v>0</v>
      </c>
      <c r="AQ202" s="5"/>
      <c r="AR202" s="41">
        <f>C202/B202*1000</f>
        <v>27.799865993330954</v>
      </c>
      <c r="AS202" s="41">
        <f>D202/B202*1000</f>
        <v>20.499891803953979</v>
      </c>
      <c r="AT202" s="42"/>
      <c r="AU202" s="41">
        <f>AR202-K202</f>
        <v>2.6998659933309526</v>
      </c>
      <c r="AV202" s="41">
        <f>AS202-L202</f>
        <v>1.9998918039539788</v>
      </c>
      <c r="AW202" s="5"/>
    </row>
    <row r="203" spans="1:55" s="2" customFormat="1" x14ac:dyDescent="0.55000000000000004">
      <c r="A203" s="1" t="s">
        <v>213</v>
      </c>
      <c r="B203" s="3"/>
      <c r="C203" s="3"/>
      <c r="D203" s="3"/>
      <c r="E203" s="3"/>
      <c r="F203" s="3"/>
      <c r="G203" s="3"/>
      <c r="H203" s="3"/>
      <c r="I203" s="3"/>
      <c r="J203" s="3"/>
      <c r="K203" s="28"/>
      <c r="L203" s="28"/>
      <c r="M203" s="3"/>
      <c r="N203" s="3">
        <v>2925</v>
      </c>
      <c r="O203" s="3">
        <v>2829</v>
      </c>
      <c r="P203" s="3">
        <v>1408</v>
      </c>
      <c r="Q203" s="3">
        <v>2370</v>
      </c>
      <c r="R203" s="3">
        <v>2098</v>
      </c>
      <c r="S203" s="3">
        <v>2895</v>
      </c>
      <c r="T203" s="3">
        <v>3470</v>
      </c>
      <c r="U203" s="3">
        <v>3331</v>
      </c>
      <c r="V203" s="3"/>
      <c r="W203" s="3"/>
      <c r="X203" s="3"/>
      <c r="Y203" s="3"/>
      <c r="Z203" s="3"/>
      <c r="AA203" s="3"/>
    </row>
    <row r="204" spans="1:55" s="2" customFormat="1" x14ac:dyDescent="0.55000000000000004">
      <c r="A204" s="1" t="s">
        <v>214</v>
      </c>
      <c r="B204" s="3"/>
      <c r="C204" s="3"/>
      <c r="D204" s="3"/>
      <c r="E204" s="3"/>
      <c r="F204" s="3"/>
      <c r="G204" s="3"/>
      <c r="H204" s="3"/>
      <c r="I204" s="3"/>
      <c r="J204" s="3"/>
      <c r="K204" s="28"/>
      <c r="L204" s="28"/>
      <c r="M204" s="3"/>
      <c r="N204" s="3">
        <v>1790</v>
      </c>
      <c r="O204" s="3">
        <v>1867</v>
      </c>
      <c r="P204" s="3">
        <v>908</v>
      </c>
      <c r="Q204" s="3">
        <v>1520</v>
      </c>
      <c r="R204" s="3">
        <v>1456</v>
      </c>
      <c r="S204" s="3">
        <v>2335</v>
      </c>
      <c r="T204" s="3">
        <v>3175</v>
      </c>
      <c r="U204" s="3">
        <v>2675</v>
      </c>
      <c r="V204" s="3"/>
      <c r="W204" s="3"/>
      <c r="X204" s="3"/>
      <c r="Y204" s="3"/>
      <c r="Z204" s="3"/>
      <c r="AA204" s="3"/>
    </row>
    <row r="205" spans="1:55" s="8" customFormat="1" x14ac:dyDescent="0.55000000000000004">
      <c r="A205" s="6" t="s">
        <v>215</v>
      </c>
      <c r="B205" s="7">
        <v>237114</v>
      </c>
      <c r="C205" s="7">
        <v>3804</v>
      </c>
      <c r="D205" s="7">
        <v>1383</v>
      </c>
      <c r="E205" s="10" t="s">
        <v>23</v>
      </c>
      <c r="F205" s="10" t="s">
        <v>23</v>
      </c>
      <c r="G205" s="10" t="s">
        <v>23</v>
      </c>
      <c r="H205" s="10" t="s">
        <v>23</v>
      </c>
      <c r="I205" s="10" t="s">
        <v>23</v>
      </c>
      <c r="J205" s="10" t="s">
        <v>23</v>
      </c>
      <c r="K205" s="30" t="s">
        <v>23</v>
      </c>
      <c r="L205" s="30" t="s">
        <v>23</v>
      </c>
      <c r="M205" s="4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C205" s="2"/>
      <c r="AD205" s="9">
        <f>B205</f>
        <v>237114</v>
      </c>
      <c r="AE205" s="9">
        <f t="shared" ref="AE205:AL205" si="96">C205</f>
        <v>3804</v>
      </c>
      <c r="AF205" s="9">
        <f t="shared" si="96"/>
        <v>1383</v>
      </c>
      <c r="AG205" s="10" t="str">
        <f t="shared" si="96"/>
        <v>—</v>
      </c>
      <c r="AH205" s="10" t="str">
        <f t="shared" si="96"/>
        <v>—</v>
      </c>
      <c r="AI205" s="10" t="str">
        <f t="shared" si="96"/>
        <v>—</v>
      </c>
      <c r="AJ205" s="10" t="str">
        <f t="shared" si="96"/>
        <v>—</v>
      </c>
      <c r="AK205" s="10" t="str">
        <f t="shared" si="96"/>
        <v>—</v>
      </c>
      <c r="AL205" s="10" t="str">
        <f t="shared" si="96"/>
        <v>—</v>
      </c>
      <c r="AM205" s="2"/>
      <c r="AQ205" s="2"/>
      <c r="AR205" s="41">
        <f>C205/B205*1000</f>
        <v>16.042916065689919</v>
      </c>
      <c r="AS205" s="41">
        <f>D205/B205*1000</f>
        <v>5.8326374655229127</v>
      </c>
      <c r="AT205" s="42"/>
      <c r="AU205" s="41"/>
      <c r="AV205" s="41"/>
      <c r="AW205" s="2"/>
    </row>
    <row r="206" spans="1:55" s="8" customFormat="1" x14ac:dyDescent="0.55000000000000004">
      <c r="A206" s="6" t="s">
        <v>216</v>
      </c>
      <c r="B206" s="7">
        <v>1482889</v>
      </c>
      <c r="C206" s="7">
        <v>90231</v>
      </c>
      <c r="D206" s="7">
        <v>63243</v>
      </c>
      <c r="E206" s="7">
        <v>176226</v>
      </c>
      <c r="F206" s="7">
        <v>8136</v>
      </c>
      <c r="G206" s="7">
        <v>4710</v>
      </c>
      <c r="H206" s="7">
        <v>1353036</v>
      </c>
      <c r="I206" s="7">
        <v>83468</v>
      </c>
      <c r="J206" s="7">
        <v>55101</v>
      </c>
      <c r="K206" s="31">
        <v>60.8</v>
      </c>
      <c r="L206" s="31">
        <v>42.6</v>
      </c>
      <c r="M206" s="3"/>
      <c r="N206" s="7">
        <v>186693</v>
      </c>
      <c r="O206" s="7">
        <v>174347</v>
      </c>
      <c r="P206" s="7">
        <v>204850</v>
      </c>
      <c r="Q206" s="7">
        <v>250433</v>
      </c>
      <c r="R206" s="7">
        <v>231569</v>
      </c>
      <c r="S206" s="7">
        <v>159218</v>
      </c>
      <c r="T206" s="7">
        <v>228402</v>
      </c>
      <c r="U206" s="7">
        <v>47377</v>
      </c>
      <c r="V206" s="7"/>
      <c r="W206" s="7"/>
      <c r="X206" s="7"/>
      <c r="Y206" s="7"/>
      <c r="Z206" s="7"/>
      <c r="AA206" s="7"/>
      <c r="AC206" s="2"/>
      <c r="AD206" s="9">
        <f>SUM(N206:AB206)</f>
        <v>1482889</v>
      </c>
      <c r="AE206" s="9">
        <f>SUM(N207:AB207)</f>
        <v>90231</v>
      </c>
      <c r="AF206" s="9">
        <f>SUM(N208:AB208)</f>
        <v>63243</v>
      </c>
      <c r="AG206" s="9">
        <f t="shared" ref="AG206:AL206" si="97">E206</f>
        <v>176226</v>
      </c>
      <c r="AH206" s="9">
        <f t="shared" si="97"/>
        <v>8136</v>
      </c>
      <c r="AI206" s="9">
        <f t="shared" si="97"/>
        <v>4710</v>
      </c>
      <c r="AJ206" s="9">
        <f t="shared" si="97"/>
        <v>1353036</v>
      </c>
      <c r="AK206" s="9">
        <f t="shared" si="97"/>
        <v>83468</v>
      </c>
      <c r="AL206" s="9">
        <f t="shared" si="97"/>
        <v>55101</v>
      </c>
      <c r="AM206" s="2"/>
      <c r="AN206" s="9">
        <f>AD206-B206</f>
        <v>0</v>
      </c>
      <c r="AO206" s="9">
        <f>AE206-C206</f>
        <v>0</v>
      </c>
      <c r="AP206" s="9">
        <f>AF206-D206</f>
        <v>0</v>
      </c>
      <c r="AQ206" s="5"/>
      <c r="AR206" s="41">
        <f>C206/B206*1000</f>
        <v>60.848114727400365</v>
      </c>
      <c r="AS206" s="41">
        <f>D206/B206*1000</f>
        <v>42.64850572092719</v>
      </c>
      <c r="AT206" s="42"/>
      <c r="AU206" s="41">
        <f>AR206-K206</f>
        <v>4.8114727400367485E-2</v>
      </c>
      <c r="AV206" s="41">
        <f>AS206-L206</f>
        <v>4.8505720927188634E-2</v>
      </c>
      <c r="AW206" s="5"/>
    </row>
    <row r="207" spans="1:55" s="2" customFormat="1" x14ac:dyDescent="0.55000000000000004">
      <c r="A207" s="1" t="s">
        <v>217</v>
      </c>
      <c r="B207" s="3"/>
      <c r="C207" s="3"/>
      <c r="D207" s="3"/>
      <c r="E207" s="3"/>
      <c r="F207" s="3"/>
      <c r="G207" s="3"/>
      <c r="H207" s="3"/>
      <c r="I207" s="3"/>
      <c r="J207" s="3"/>
      <c r="K207" s="28"/>
      <c r="L207" s="28"/>
      <c r="M207" s="3"/>
      <c r="N207" s="3">
        <v>9567</v>
      </c>
      <c r="O207" s="3">
        <v>13418</v>
      </c>
      <c r="P207" s="3">
        <v>14044</v>
      </c>
      <c r="Q207" s="3">
        <v>16311</v>
      </c>
      <c r="R207" s="3">
        <v>14141</v>
      </c>
      <c r="S207" s="3">
        <v>9096</v>
      </c>
      <c r="T207" s="3">
        <v>12122</v>
      </c>
      <c r="U207" s="3">
        <v>1532</v>
      </c>
      <c r="V207" s="3"/>
      <c r="W207" s="3"/>
      <c r="X207" s="3"/>
      <c r="Y207" s="3"/>
      <c r="Z207" s="3"/>
      <c r="AA207" s="3"/>
    </row>
    <row r="208" spans="1:55" s="2" customFormat="1" x14ac:dyDescent="0.55000000000000004">
      <c r="A208" s="1" t="s">
        <v>218</v>
      </c>
      <c r="B208" s="3"/>
      <c r="C208" s="3"/>
      <c r="D208" s="3"/>
      <c r="E208" s="3"/>
      <c r="F208" s="3"/>
      <c r="G208" s="3"/>
      <c r="H208" s="3"/>
      <c r="I208" s="3"/>
      <c r="J208" s="3"/>
      <c r="K208" s="28"/>
      <c r="L208" s="28"/>
      <c r="M208" s="3"/>
      <c r="N208" s="3">
        <v>7548</v>
      </c>
      <c r="O208" s="3">
        <v>7551</v>
      </c>
      <c r="P208" s="3">
        <v>9359</v>
      </c>
      <c r="Q208" s="3">
        <v>12549</v>
      </c>
      <c r="R208" s="3">
        <v>10901</v>
      </c>
      <c r="S208" s="3">
        <v>6717</v>
      </c>
      <c r="T208" s="3">
        <v>7704</v>
      </c>
      <c r="U208" s="3">
        <v>914</v>
      </c>
      <c r="V208" s="3"/>
      <c r="W208" s="3"/>
      <c r="X208" s="3"/>
      <c r="Y208" s="3"/>
      <c r="Z208" s="3"/>
      <c r="AA208" s="3"/>
    </row>
    <row r="209" spans="1:55" s="8" customFormat="1" x14ac:dyDescent="0.55000000000000004">
      <c r="A209" s="6" t="s">
        <v>219</v>
      </c>
      <c r="B209" s="7">
        <v>953870</v>
      </c>
      <c r="C209" s="7">
        <v>30108</v>
      </c>
      <c r="D209" s="7">
        <v>18909</v>
      </c>
      <c r="E209" s="10" t="s">
        <v>23</v>
      </c>
      <c r="F209" s="10" t="s">
        <v>23</v>
      </c>
      <c r="G209" s="10" t="s">
        <v>23</v>
      </c>
      <c r="H209" s="7">
        <v>954253</v>
      </c>
      <c r="I209" s="7">
        <v>26463</v>
      </c>
      <c r="J209" s="7">
        <v>13135</v>
      </c>
      <c r="K209" s="31">
        <v>31.5</v>
      </c>
      <c r="L209" s="31">
        <v>19.8</v>
      </c>
      <c r="M209" s="3"/>
      <c r="N209" s="7">
        <v>194413</v>
      </c>
      <c r="O209" s="7">
        <v>53504</v>
      </c>
      <c r="P209" s="7">
        <v>70361</v>
      </c>
      <c r="Q209" s="7">
        <v>103454</v>
      </c>
      <c r="R209" s="7">
        <v>46421</v>
      </c>
      <c r="S209" s="7">
        <v>77331</v>
      </c>
      <c r="T209" s="7">
        <v>69372</v>
      </c>
      <c r="U209" s="7">
        <v>104011</v>
      </c>
      <c r="V209" s="7">
        <v>84356</v>
      </c>
      <c r="W209" s="7">
        <v>150647</v>
      </c>
      <c r="X209" s="7"/>
      <c r="Y209" s="7"/>
      <c r="Z209" s="7"/>
      <c r="AA209" s="7"/>
      <c r="AC209" s="2"/>
      <c r="AD209" s="9">
        <f>SUM(N209:AB209)</f>
        <v>953870</v>
      </c>
      <c r="AE209" s="9">
        <f>SUM(N210:AB210)</f>
        <v>30108</v>
      </c>
      <c r="AF209" s="9">
        <f>SUM(N211:AB211)</f>
        <v>18909</v>
      </c>
      <c r="AG209" s="10" t="str">
        <f t="shared" ref="AG209:AL209" si="98">E209</f>
        <v>—</v>
      </c>
      <c r="AH209" s="10" t="str">
        <f t="shared" si="98"/>
        <v>—</v>
      </c>
      <c r="AI209" s="10" t="str">
        <f t="shared" si="98"/>
        <v>—</v>
      </c>
      <c r="AJ209" s="9">
        <f t="shared" si="98"/>
        <v>954253</v>
      </c>
      <c r="AK209" s="9">
        <f t="shared" si="98"/>
        <v>26463</v>
      </c>
      <c r="AL209" s="9">
        <f t="shared" si="98"/>
        <v>13135</v>
      </c>
      <c r="AM209" s="2"/>
      <c r="AN209" s="9">
        <f>AD209-B209</f>
        <v>0</v>
      </c>
      <c r="AO209" s="9">
        <f>AE209-C209</f>
        <v>0</v>
      </c>
      <c r="AP209" s="9">
        <f>AF209-D209</f>
        <v>0</v>
      </c>
      <c r="AQ209" s="5"/>
      <c r="AR209" s="41">
        <f>C209/B209*1000</f>
        <v>31.564049608437209</v>
      </c>
      <c r="AS209" s="41">
        <f>D209/B209*1000</f>
        <v>19.823456026502562</v>
      </c>
      <c r="AT209" s="42"/>
      <c r="AU209" s="41">
        <f>AR209-K209</f>
        <v>6.404960843720886E-2</v>
      </c>
      <c r="AV209" s="41">
        <f>AS209-L209</f>
        <v>2.34560265025614E-2</v>
      </c>
      <c r="AW209" s="5"/>
    </row>
    <row r="210" spans="1:55" s="2" customFormat="1" x14ac:dyDescent="0.55000000000000004">
      <c r="A210" s="1" t="s">
        <v>220</v>
      </c>
      <c r="B210" s="3"/>
      <c r="C210" s="3"/>
      <c r="D210" s="3"/>
      <c r="E210" s="3"/>
      <c r="F210" s="3"/>
      <c r="G210" s="3"/>
      <c r="H210" s="3"/>
      <c r="I210" s="3"/>
      <c r="J210" s="3"/>
      <c r="K210" s="28"/>
      <c r="L210" s="28"/>
      <c r="M210" s="3"/>
      <c r="N210" s="3">
        <v>6226</v>
      </c>
      <c r="O210" s="3">
        <v>1595</v>
      </c>
      <c r="P210" s="3">
        <v>1732</v>
      </c>
      <c r="Q210" s="3">
        <v>3401</v>
      </c>
      <c r="R210" s="3">
        <v>1498</v>
      </c>
      <c r="S210" s="3">
        <v>3128</v>
      </c>
      <c r="T210" s="3">
        <v>2479</v>
      </c>
      <c r="U210" s="3">
        <v>3584</v>
      </c>
      <c r="V210" s="3">
        <v>2030</v>
      </c>
      <c r="W210" s="3">
        <v>4435</v>
      </c>
      <c r="X210" s="3"/>
      <c r="Y210" s="3"/>
      <c r="Z210" s="3"/>
      <c r="AA210" s="3"/>
      <c r="AG210" s="36"/>
      <c r="AH210" s="36"/>
      <c r="AI210" s="36"/>
    </row>
    <row r="211" spans="1:55" s="2" customFormat="1" x14ac:dyDescent="0.55000000000000004">
      <c r="A211" s="1" t="s">
        <v>221</v>
      </c>
      <c r="B211" s="3"/>
      <c r="C211" s="3"/>
      <c r="D211" s="3"/>
      <c r="E211" s="3"/>
      <c r="F211" s="3"/>
      <c r="G211" s="3"/>
      <c r="H211" s="3"/>
      <c r="I211" s="3"/>
      <c r="J211" s="3"/>
      <c r="K211" s="28"/>
      <c r="L211" s="28"/>
      <c r="M211" s="3"/>
      <c r="N211" s="3">
        <v>4003</v>
      </c>
      <c r="O211" s="3">
        <v>1257</v>
      </c>
      <c r="P211" s="3">
        <v>838</v>
      </c>
      <c r="Q211" s="3">
        <v>2071</v>
      </c>
      <c r="R211" s="3">
        <v>899</v>
      </c>
      <c r="S211" s="3">
        <v>1610</v>
      </c>
      <c r="T211" s="3">
        <v>1314</v>
      </c>
      <c r="U211" s="3">
        <v>1882</v>
      </c>
      <c r="V211" s="3">
        <v>1772</v>
      </c>
      <c r="W211" s="3">
        <v>3263</v>
      </c>
      <c r="X211" s="3"/>
      <c r="Y211" s="3"/>
      <c r="Z211" s="3"/>
      <c r="AA211" s="3"/>
      <c r="AG211" s="36"/>
      <c r="AH211" s="36"/>
      <c r="AI211" s="36"/>
    </row>
    <row r="212" spans="1:55" s="8" customFormat="1" x14ac:dyDescent="0.55000000000000004">
      <c r="A212" s="6" t="s">
        <v>222</v>
      </c>
      <c r="B212" s="7">
        <v>685943</v>
      </c>
      <c r="C212" s="7">
        <v>45449</v>
      </c>
      <c r="D212" s="7">
        <v>31455</v>
      </c>
      <c r="E212" s="10" t="s">
        <v>23</v>
      </c>
      <c r="F212" s="10" t="s">
        <v>23</v>
      </c>
      <c r="G212" s="10" t="s">
        <v>23</v>
      </c>
      <c r="H212" s="7">
        <v>670335</v>
      </c>
      <c r="I212" s="7">
        <v>40836</v>
      </c>
      <c r="J212" s="7">
        <v>27851</v>
      </c>
      <c r="K212" s="31">
        <v>66.2</v>
      </c>
      <c r="L212" s="31">
        <v>45.8</v>
      </c>
      <c r="M212" s="4"/>
      <c r="N212" s="7">
        <v>135969</v>
      </c>
      <c r="O212" s="7">
        <v>140360</v>
      </c>
      <c r="P212" s="7">
        <v>170151</v>
      </c>
      <c r="Q212" s="7">
        <v>193226</v>
      </c>
      <c r="R212" s="7">
        <v>46237</v>
      </c>
      <c r="S212" s="7"/>
      <c r="T212" s="7"/>
      <c r="U212" s="7"/>
      <c r="V212" s="7"/>
      <c r="W212" s="7"/>
      <c r="X212" s="7"/>
      <c r="Y212" s="7"/>
      <c r="Z212" s="7"/>
      <c r="AA212" s="7"/>
      <c r="AC212" s="2"/>
      <c r="AD212" s="9">
        <f>SUM(N212:AB212)</f>
        <v>685943</v>
      </c>
      <c r="AE212" s="9">
        <f>SUM(N213:AB213)</f>
        <v>45449</v>
      </c>
      <c r="AF212" s="9">
        <f>SUM(N214:AB214)</f>
        <v>31437</v>
      </c>
      <c r="AG212" s="10" t="str">
        <f t="shared" ref="AG212:AL212" si="99">E212</f>
        <v>—</v>
      </c>
      <c r="AH212" s="10" t="str">
        <f t="shared" si="99"/>
        <v>—</v>
      </c>
      <c r="AI212" s="10" t="str">
        <f t="shared" si="99"/>
        <v>—</v>
      </c>
      <c r="AJ212" s="9">
        <f t="shared" si="99"/>
        <v>670335</v>
      </c>
      <c r="AK212" s="9">
        <f t="shared" si="99"/>
        <v>40836</v>
      </c>
      <c r="AL212" s="9">
        <f t="shared" si="99"/>
        <v>27851</v>
      </c>
      <c r="AM212" s="2"/>
      <c r="AN212" s="9">
        <f>AD212-B212</f>
        <v>0</v>
      </c>
      <c r="AO212" s="9">
        <f>AE212-C212</f>
        <v>0</v>
      </c>
      <c r="AP212" s="9">
        <f>AF212-D212</f>
        <v>-18</v>
      </c>
      <c r="AQ212" s="5"/>
      <c r="AR212" s="41">
        <f>C212/B212*1000</f>
        <v>66.25769196565895</v>
      </c>
      <c r="AS212" s="41">
        <f>D212/B212*1000</f>
        <v>45.856579919905883</v>
      </c>
      <c r="AT212" s="42"/>
      <c r="AU212" s="41">
        <f>AR212-K212</f>
        <v>5.7691965658946742E-2</v>
      </c>
      <c r="AV212" s="41">
        <f>AS212-L212</f>
        <v>5.6579919905885845E-2</v>
      </c>
      <c r="AW212" s="5"/>
    </row>
    <row r="213" spans="1:55" s="2" customFormat="1" x14ac:dyDescent="0.55000000000000004">
      <c r="A213" s="1" t="s">
        <v>223</v>
      </c>
      <c r="B213" s="3"/>
      <c r="C213" s="3"/>
      <c r="D213" s="3"/>
      <c r="E213" s="3"/>
      <c r="F213" s="3"/>
      <c r="G213" s="3"/>
      <c r="H213" s="3"/>
      <c r="I213" s="3"/>
      <c r="J213" s="3"/>
      <c r="K213" s="28"/>
      <c r="L213" s="28"/>
      <c r="M213" s="3"/>
      <c r="N213" s="3">
        <v>9024</v>
      </c>
      <c r="O213" s="3">
        <v>9396</v>
      </c>
      <c r="P213" s="3">
        <v>12816</v>
      </c>
      <c r="Q213" s="3">
        <v>12921</v>
      </c>
      <c r="R213" s="3">
        <v>1292</v>
      </c>
      <c r="S213" s="3"/>
      <c r="T213" s="3"/>
      <c r="U213" s="3"/>
      <c r="V213" s="3"/>
      <c r="W213" s="3"/>
      <c r="X213" s="3"/>
      <c r="Y213" s="3"/>
      <c r="Z213" s="3"/>
      <c r="AA213" s="3"/>
    </row>
    <row r="214" spans="1:55" s="2" customFormat="1" x14ac:dyDescent="0.55000000000000004">
      <c r="A214" s="1" t="s">
        <v>224</v>
      </c>
      <c r="B214" s="3"/>
      <c r="C214" s="3"/>
      <c r="D214" s="3"/>
      <c r="E214" s="3"/>
      <c r="F214" s="3"/>
      <c r="G214" s="3"/>
      <c r="H214" s="3"/>
      <c r="I214" s="3"/>
      <c r="J214" s="3"/>
      <c r="K214" s="28"/>
      <c r="L214" s="28"/>
      <c r="M214" s="3"/>
      <c r="N214" s="3">
        <v>6210</v>
      </c>
      <c r="O214" s="3">
        <v>5715</v>
      </c>
      <c r="P214" s="3">
        <v>8607</v>
      </c>
      <c r="Q214" s="3">
        <v>9582</v>
      </c>
      <c r="R214" s="3">
        <v>1323</v>
      </c>
      <c r="S214" s="3"/>
      <c r="T214" s="3"/>
      <c r="U214" s="3"/>
      <c r="V214" s="3"/>
      <c r="W214" s="3"/>
      <c r="X214" s="3"/>
      <c r="Y214" s="3"/>
      <c r="Z214" s="3"/>
      <c r="AA214" s="3"/>
    </row>
    <row r="215" spans="1:55" s="8" customFormat="1" x14ac:dyDescent="0.55000000000000004">
      <c r="A215" s="6" t="s">
        <v>225</v>
      </c>
      <c r="B215" s="7">
        <v>775978</v>
      </c>
      <c r="C215" s="7">
        <v>26995</v>
      </c>
      <c r="D215" s="7">
        <v>18098</v>
      </c>
      <c r="E215" s="7">
        <v>93792</v>
      </c>
      <c r="F215" s="7">
        <v>3572</v>
      </c>
      <c r="G215" s="7">
        <v>2415</v>
      </c>
      <c r="H215" s="7">
        <v>714391</v>
      </c>
      <c r="I215" s="7">
        <v>22670</v>
      </c>
      <c r="J215" s="7">
        <v>16135</v>
      </c>
      <c r="K215" s="31">
        <v>34.799999999999997</v>
      </c>
      <c r="L215" s="31">
        <v>23.3</v>
      </c>
      <c r="M215" s="3"/>
      <c r="N215" s="7">
        <v>133855</v>
      </c>
      <c r="O215" s="7">
        <v>184618</v>
      </c>
      <c r="P215" s="7">
        <v>71769</v>
      </c>
      <c r="Q215" s="7">
        <v>96619</v>
      </c>
      <c r="R215" s="7">
        <v>125003</v>
      </c>
      <c r="S215" s="7">
        <v>104818</v>
      </c>
      <c r="T215" s="7">
        <v>59296</v>
      </c>
      <c r="U215" s="7"/>
      <c r="V215" s="7"/>
      <c r="W215" s="7"/>
      <c r="X215" s="7"/>
      <c r="Y215" s="7"/>
      <c r="Z215" s="7"/>
      <c r="AA215" s="7"/>
      <c r="AC215" s="2"/>
      <c r="AD215" s="9">
        <f>SUM(N215:AB215)</f>
        <v>775978</v>
      </c>
      <c r="AE215" s="9">
        <f>SUM(N216:AB216)</f>
        <v>26995</v>
      </c>
      <c r="AF215" s="9">
        <f>SUM(N217:AB217)</f>
        <v>18098</v>
      </c>
      <c r="AG215" s="9">
        <f t="shared" ref="AG215:AL215" si="100">E215</f>
        <v>93792</v>
      </c>
      <c r="AH215" s="9">
        <f t="shared" si="100"/>
        <v>3572</v>
      </c>
      <c r="AI215" s="9">
        <f t="shared" si="100"/>
        <v>2415</v>
      </c>
      <c r="AJ215" s="9">
        <f t="shared" si="100"/>
        <v>714391</v>
      </c>
      <c r="AK215" s="9">
        <f t="shared" si="100"/>
        <v>22670</v>
      </c>
      <c r="AL215" s="9">
        <f t="shared" si="100"/>
        <v>16135</v>
      </c>
      <c r="AM215" s="2"/>
      <c r="AN215" s="9">
        <f>AD215-B215</f>
        <v>0</v>
      </c>
      <c r="AO215" s="9">
        <f>AE215-C215</f>
        <v>0</v>
      </c>
      <c r="AP215" s="9">
        <f>AF215-D215</f>
        <v>0</v>
      </c>
      <c r="AQ215" s="5"/>
      <c r="AR215" s="41">
        <f>C215/B215*1000</f>
        <v>34.788357401885108</v>
      </c>
      <c r="AS215" s="41">
        <f>D215/B215*1000</f>
        <v>23.322826162597391</v>
      </c>
      <c r="AT215" s="42"/>
      <c r="AU215" s="41">
        <f>AR215-K215</f>
        <v>-1.1642598114889324E-2</v>
      </c>
      <c r="AV215" s="41">
        <f>AS215-L215</f>
        <v>2.282616259739001E-2</v>
      </c>
      <c r="AW215" s="5"/>
    </row>
    <row r="216" spans="1:55" s="2" customFormat="1" x14ac:dyDescent="0.55000000000000004">
      <c r="A216" s="1" t="s">
        <v>226</v>
      </c>
      <c r="B216" s="3"/>
      <c r="C216" s="3"/>
      <c r="D216" s="3"/>
      <c r="E216" s="3"/>
      <c r="F216" s="3"/>
      <c r="G216" s="3"/>
      <c r="H216" s="3"/>
      <c r="I216" s="3"/>
      <c r="J216" s="3"/>
      <c r="K216" s="28"/>
      <c r="L216" s="28"/>
      <c r="M216" s="3"/>
      <c r="N216" s="3">
        <v>4756</v>
      </c>
      <c r="O216" s="3">
        <v>3958</v>
      </c>
      <c r="P216" s="3">
        <v>2871</v>
      </c>
      <c r="Q216" s="3">
        <v>2791</v>
      </c>
      <c r="R216" s="3">
        <v>7621</v>
      </c>
      <c r="S216" s="3">
        <v>3530</v>
      </c>
      <c r="T216" s="3">
        <v>1468</v>
      </c>
      <c r="U216" s="3"/>
      <c r="V216" s="3"/>
      <c r="W216" s="3"/>
      <c r="X216" s="3"/>
      <c r="Y216" s="3"/>
      <c r="Z216" s="3"/>
      <c r="AA216" s="3"/>
    </row>
    <row r="217" spans="1:55" s="2" customFormat="1" x14ac:dyDescent="0.55000000000000004">
      <c r="A217" s="1" t="s">
        <v>227</v>
      </c>
      <c r="B217" s="3"/>
      <c r="C217" s="3"/>
      <c r="D217" s="3"/>
      <c r="E217" s="3"/>
      <c r="F217" s="3"/>
      <c r="G217" s="3"/>
      <c r="H217" s="3"/>
      <c r="I217" s="3"/>
      <c r="J217" s="3"/>
      <c r="K217" s="28"/>
      <c r="L217" s="28"/>
      <c r="M217" s="3"/>
      <c r="N217" s="3">
        <v>1870</v>
      </c>
      <c r="O217" s="3">
        <v>3037</v>
      </c>
      <c r="P217" s="3">
        <v>2075</v>
      </c>
      <c r="Q217" s="3">
        <v>1789</v>
      </c>
      <c r="R217" s="3">
        <v>5409</v>
      </c>
      <c r="S217" s="3">
        <v>2416</v>
      </c>
      <c r="T217" s="3">
        <v>1502</v>
      </c>
      <c r="U217" s="3"/>
      <c r="V217" s="3"/>
      <c r="W217" s="3"/>
      <c r="X217" s="3"/>
      <c r="Y217" s="3"/>
      <c r="Z217" s="3"/>
      <c r="AA217" s="3"/>
    </row>
    <row r="218" spans="1:55" s="8" customFormat="1" x14ac:dyDescent="0.55000000000000004">
      <c r="A218" s="6" t="s">
        <v>228</v>
      </c>
      <c r="B218" s="7">
        <v>800875</v>
      </c>
      <c r="C218" s="7">
        <v>26999</v>
      </c>
      <c r="D218" s="7">
        <v>19113</v>
      </c>
      <c r="E218" s="7">
        <v>148102</v>
      </c>
      <c r="F218" s="7">
        <v>5012</v>
      </c>
      <c r="G218" s="7">
        <v>4482</v>
      </c>
      <c r="H218" s="7">
        <v>823974</v>
      </c>
      <c r="I218" s="7">
        <v>29389</v>
      </c>
      <c r="J218" s="7">
        <v>16861</v>
      </c>
      <c r="K218" s="31">
        <v>33.700000000000003</v>
      </c>
      <c r="L218" s="31">
        <v>23.9</v>
      </c>
      <c r="M218" s="3"/>
      <c r="N218" s="7">
        <v>163172</v>
      </c>
      <c r="O218" s="7">
        <v>63799</v>
      </c>
      <c r="P218" s="7">
        <v>54548</v>
      </c>
      <c r="Q218" s="7">
        <v>106534</v>
      </c>
      <c r="R218" s="7">
        <v>153499</v>
      </c>
      <c r="S218" s="7">
        <v>65619</v>
      </c>
      <c r="T218" s="7">
        <v>91583</v>
      </c>
      <c r="U218" s="7">
        <v>67117</v>
      </c>
      <c r="V218" s="7">
        <v>35004</v>
      </c>
      <c r="W218" s="7"/>
      <c r="X218" s="7"/>
      <c r="Y218" s="7"/>
      <c r="Z218" s="7"/>
      <c r="AA218" s="7"/>
      <c r="AC218" s="2"/>
      <c r="AD218" s="9">
        <f>SUM(N218:AB218)</f>
        <v>800875</v>
      </c>
      <c r="AE218" s="9">
        <f>SUM(N219:AB219)</f>
        <v>26999</v>
      </c>
      <c r="AF218" s="9">
        <f>SUM(N220:AB220)</f>
        <v>19113</v>
      </c>
      <c r="AG218" s="9">
        <f t="shared" ref="AG218:AL218" si="101">E218</f>
        <v>148102</v>
      </c>
      <c r="AH218" s="9">
        <f t="shared" si="101"/>
        <v>5012</v>
      </c>
      <c r="AI218" s="9">
        <f t="shared" si="101"/>
        <v>4482</v>
      </c>
      <c r="AJ218" s="9">
        <f t="shared" si="101"/>
        <v>823974</v>
      </c>
      <c r="AK218" s="9">
        <f t="shared" si="101"/>
        <v>29389</v>
      </c>
      <c r="AL218" s="9">
        <f t="shared" si="101"/>
        <v>16861</v>
      </c>
      <c r="AM218" s="2"/>
      <c r="AN218" s="9">
        <f>AD218-B218</f>
        <v>0</v>
      </c>
      <c r="AO218" s="9">
        <f>AE218-C218</f>
        <v>0</v>
      </c>
      <c r="AP218" s="9">
        <f>AF218-D218</f>
        <v>0</v>
      </c>
      <c r="AQ218" s="5"/>
      <c r="AR218" s="41">
        <f>C218/B218*1000</f>
        <v>33.711877633837993</v>
      </c>
      <c r="AS218" s="41">
        <f>D218/B218*1000</f>
        <v>23.86514749492742</v>
      </c>
      <c r="AT218" s="42"/>
      <c r="AU218" s="41">
        <f>AR218-K218</f>
        <v>1.1877633837990231E-2</v>
      </c>
      <c r="AV218" s="41">
        <f>AS218-L218</f>
        <v>-3.485250507257831E-2</v>
      </c>
      <c r="AW218" s="5"/>
    </row>
    <row r="219" spans="1:55" s="2" customFormat="1" x14ac:dyDescent="0.55000000000000004">
      <c r="A219" s="1" t="s">
        <v>229</v>
      </c>
      <c r="B219" s="3"/>
      <c r="C219" s="3"/>
      <c r="D219" s="3"/>
      <c r="E219" s="3"/>
      <c r="F219" s="3"/>
      <c r="G219" s="3"/>
      <c r="H219" s="3"/>
      <c r="I219" s="3"/>
      <c r="J219" s="3"/>
      <c r="K219" s="28"/>
      <c r="L219" s="28"/>
      <c r="M219" s="3"/>
      <c r="N219" s="3">
        <v>5713</v>
      </c>
      <c r="O219" s="3">
        <v>3291</v>
      </c>
      <c r="P219" s="3">
        <v>2136</v>
      </c>
      <c r="Q219" s="3">
        <v>1806</v>
      </c>
      <c r="R219" s="3">
        <v>5739</v>
      </c>
      <c r="S219" s="3">
        <v>2343</v>
      </c>
      <c r="T219" s="3">
        <v>3040</v>
      </c>
      <c r="U219" s="3">
        <v>2112</v>
      </c>
      <c r="V219" s="3">
        <v>819</v>
      </c>
      <c r="W219" s="3"/>
      <c r="X219" s="3"/>
      <c r="Y219" s="3"/>
      <c r="Z219" s="3"/>
      <c r="AA219" s="3"/>
    </row>
    <row r="220" spans="1:55" s="2" customFormat="1" x14ac:dyDescent="0.55000000000000004">
      <c r="A220" s="1" t="s">
        <v>230</v>
      </c>
      <c r="B220" s="3"/>
      <c r="C220" s="3"/>
      <c r="D220" s="3"/>
      <c r="E220" s="3"/>
      <c r="F220" s="3"/>
      <c r="G220" s="3"/>
      <c r="H220" s="3"/>
      <c r="I220" s="3"/>
      <c r="J220" s="3"/>
      <c r="K220" s="28"/>
      <c r="L220" s="28"/>
      <c r="M220" s="3"/>
      <c r="N220" s="3">
        <v>4395</v>
      </c>
      <c r="O220" s="3">
        <v>1719</v>
      </c>
      <c r="P220" s="3">
        <v>1105</v>
      </c>
      <c r="Q220" s="3">
        <v>1196</v>
      </c>
      <c r="R220" s="3">
        <v>3538</v>
      </c>
      <c r="S220" s="3">
        <v>1515</v>
      </c>
      <c r="T220" s="3">
        <v>2864</v>
      </c>
      <c r="U220" s="3">
        <v>2045</v>
      </c>
      <c r="V220" s="3">
        <v>736</v>
      </c>
      <c r="W220" s="3"/>
      <c r="X220" s="3"/>
      <c r="Y220" s="3"/>
      <c r="Z220" s="3"/>
      <c r="AA220" s="3"/>
    </row>
    <row r="221" spans="1:55" s="8" customFormat="1" x14ac:dyDescent="0.55000000000000004">
      <c r="A221" s="6" t="s">
        <v>231</v>
      </c>
      <c r="B221" s="7">
        <v>686671</v>
      </c>
      <c r="C221" s="7">
        <v>22717</v>
      </c>
      <c r="D221" s="7">
        <v>13537</v>
      </c>
      <c r="E221" s="10" t="s">
        <v>23</v>
      </c>
      <c r="F221" s="7">
        <v>2027</v>
      </c>
      <c r="G221" s="7">
        <v>1583</v>
      </c>
      <c r="H221" s="7">
        <v>677327</v>
      </c>
      <c r="I221" s="7">
        <v>22173</v>
      </c>
      <c r="J221" s="7">
        <v>13837</v>
      </c>
      <c r="K221" s="31">
        <v>33.1</v>
      </c>
      <c r="L221" s="31">
        <v>19.7</v>
      </c>
      <c r="M221" s="4"/>
      <c r="N221" s="10" t="s">
        <v>23</v>
      </c>
      <c r="O221" s="10" t="s">
        <v>23</v>
      </c>
      <c r="P221" s="10" t="s">
        <v>23</v>
      </c>
      <c r="Q221" s="10" t="s">
        <v>23</v>
      </c>
      <c r="R221" s="10" t="s">
        <v>23</v>
      </c>
      <c r="S221" s="10" t="s">
        <v>23</v>
      </c>
      <c r="T221" s="10" t="s">
        <v>23</v>
      </c>
      <c r="U221" s="7"/>
      <c r="V221" s="7"/>
      <c r="W221" s="7"/>
      <c r="X221" s="7"/>
      <c r="Y221" s="7"/>
      <c r="Z221" s="7"/>
      <c r="AA221" s="7"/>
      <c r="AC221" s="2"/>
      <c r="AD221" s="9">
        <f>SUM(N221:AB221)</f>
        <v>0</v>
      </c>
      <c r="AE221" s="9">
        <f>SUM(N222:AB222)</f>
        <v>22717</v>
      </c>
      <c r="AF221" s="9">
        <f>SUM(N223:AB223)</f>
        <v>13537</v>
      </c>
      <c r="AG221" s="10" t="str">
        <f t="shared" ref="AG221:AL221" si="102">E221</f>
        <v>—</v>
      </c>
      <c r="AH221" s="9">
        <f t="shared" si="102"/>
        <v>2027</v>
      </c>
      <c r="AI221" s="9">
        <f t="shared" si="102"/>
        <v>1583</v>
      </c>
      <c r="AJ221" s="9">
        <f t="shared" si="102"/>
        <v>677327</v>
      </c>
      <c r="AK221" s="9">
        <f t="shared" si="102"/>
        <v>22173</v>
      </c>
      <c r="AL221" s="9">
        <f t="shared" si="102"/>
        <v>13837</v>
      </c>
      <c r="AM221" s="2"/>
      <c r="AN221" s="10" t="s">
        <v>23</v>
      </c>
      <c r="AO221" s="9">
        <f>AE221-C221</f>
        <v>0</v>
      </c>
      <c r="AP221" s="9">
        <f>AF221-D221</f>
        <v>0</v>
      </c>
      <c r="AQ221" s="5"/>
      <c r="AR221" s="41">
        <f>C221/B221*1000</f>
        <v>33.082800933780511</v>
      </c>
      <c r="AS221" s="41">
        <f>D221/B221*1000</f>
        <v>19.713953261459999</v>
      </c>
      <c r="AT221" s="42"/>
      <c r="AU221" s="41">
        <f>AR221-K221</f>
        <v>-1.7199066219490078E-2</v>
      </c>
      <c r="AV221" s="41">
        <f>AS221-L221</f>
        <v>1.3953261459999311E-2</v>
      </c>
      <c r="AW221" s="5"/>
    </row>
    <row r="222" spans="1:55" s="2" customFormat="1" x14ac:dyDescent="0.55000000000000004">
      <c r="A222" s="1" t="s">
        <v>232</v>
      </c>
      <c r="B222" s="3"/>
      <c r="C222" s="3"/>
      <c r="D222" s="3"/>
      <c r="E222" s="3"/>
      <c r="F222" s="3"/>
      <c r="G222" s="3"/>
      <c r="H222" s="3"/>
      <c r="I222" s="3"/>
      <c r="J222" s="3"/>
      <c r="K222" s="28"/>
      <c r="L222" s="28"/>
      <c r="M222" s="3"/>
      <c r="N222" s="3">
        <v>3371</v>
      </c>
      <c r="O222" s="3">
        <v>6498</v>
      </c>
      <c r="P222" s="3">
        <v>2006</v>
      </c>
      <c r="Q222" s="3">
        <v>3699</v>
      </c>
      <c r="R222" s="3">
        <v>2475</v>
      </c>
      <c r="S222" s="3">
        <v>2004</v>
      </c>
      <c r="T222" s="3">
        <v>2664</v>
      </c>
      <c r="U222" s="3"/>
      <c r="V222" s="3"/>
      <c r="W222" s="3"/>
      <c r="X222" s="3"/>
      <c r="Y222" s="3"/>
      <c r="Z222" s="3"/>
      <c r="AA222" s="3"/>
    </row>
    <row r="223" spans="1:55" s="2" customFormat="1" x14ac:dyDescent="0.55000000000000004">
      <c r="A223" s="1" t="s">
        <v>233</v>
      </c>
      <c r="B223" s="3"/>
      <c r="C223" s="3"/>
      <c r="D223" s="3"/>
      <c r="E223" s="3"/>
      <c r="F223" s="3"/>
      <c r="G223" s="3"/>
      <c r="H223" s="3"/>
      <c r="I223" s="3"/>
      <c r="J223" s="3"/>
      <c r="K223" s="28"/>
      <c r="L223" s="28"/>
      <c r="M223" s="3"/>
      <c r="N223" s="3">
        <v>2303</v>
      </c>
      <c r="O223" s="3">
        <v>3005</v>
      </c>
      <c r="P223" s="3">
        <v>1464</v>
      </c>
      <c r="Q223" s="3">
        <v>2185</v>
      </c>
      <c r="R223" s="3">
        <v>1538</v>
      </c>
      <c r="S223" s="3">
        <v>921</v>
      </c>
      <c r="T223" s="3">
        <v>2121</v>
      </c>
      <c r="U223" s="3"/>
      <c r="V223" s="3"/>
      <c r="W223" s="3"/>
      <c r="X223" s="3"/>
      <c r="Y223" s="3"/>
      <c r="Z223" s="3"/>
      <c r="AA223" s="3"/>
    </row>
    <row r="224" spans="1:55" s="13" customFormat="1" x14ac:dyDescent="0.55000000000000004">
      <c r="A224" s="11" t="s">
        <v>234</v>
      </c>
      <c r="B224" s="12">
        <v>7955725</v>
      </c>
      <c r="C224" s="12">
        <v>306791</v>
      </c>
      <c r="D224" s="12">
        <v>215408</v>
      </c>
      <c r="E224" s="12">
        <v>653152</v>
      </c>
      <c r="F224" s="12">
        <v>25351</v>
      </c>
      <c r="G224" s="12">
        <v>19294</v>
      </c>
      <c r="H224" s="12">
        <v>7560264</v>
      </c>
      <c r="I224" s="12">
        <v>368202</v>
      </c>
      <c r="J224" s="12">
        <v>177337</v>
      </c>
      <c r="K224" s="32">
        <v>38.799999999999997</v>
      </c>
      <c r="L224" s="32">
        <v>27.2</v>
      </c>
      <c r="M224" s="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C224" s="2"/>
      <c r="AD224" s="14">
        <f>SUM(AD196:AD222)</f>
        <v>7100865</v>
      </c>
      <c r="AE224" s="14">
        <f t="shared" ref="AE224:AL224" si="103">SUM(AE196:AE222)</f>
        <v>306791</v>
      </c>
      <c r="AF224" s="14">
        <f t="shared" si="103"/>
        <v>215395</v>
      </c>
      <c r="AG224" s="14">
        <f t="shared" si="103"/>
        <v>652622</v>
      </c>
      <c r="AH224" s="14">
        <f t="shared" si="103"/>
        <v>25351</v>
      </c>
      <c r="AI224" s="14">
        <f t="shared" si="103"/>
        <v>19294</v>
      </c>
      <c r="AJ224" s="14">
        <f t="shared" si="103"/>
        <v>7330167</v>
      </c>
      <c r="AK224" s="14">
        <f t="shared" si="103"/>
        <v>275898</v>
      </c>
      <c r="AL224" s="14">
        <f t="shared" si="103"/>
        <v>182225</v>
      </c>
      <c r="AM224" s="2"/>
      <c r="AN224" s="14">
        <f>AD224-B224</f>
        <v>-854860</v>
      </c>
      <c r="AO224" s="14">
        <f>AE224-C224</f>
        <v>0</v>
      </c>
      <c r="AP224" s="14">
        <f>AF224-D224</f>
        <v>-13</v>
      </c>
      <c r="AQ224" s="5"/>
      <c r="AR224" s="41">
        <f>C224/B224*1000</f>
        <v>38.562293191381045</v>
      </c>
      <c r="AS224" s="41">
        <f>D224/B224*1000</f>
        <v>27.075847895697752</v>
      </c>
      <c r="AT224" s="42"/>
      <c r="AU224" s="41">
        <f>AR224-K224</f>
        <v>-0.23770680861895244</v>
      </c>
      <c r="AV224" s="41">
        <f>AS224-L224</f>
        <v>-0.12415210430224732</v>
      </c>
      <c r="AW224" s="5"/>
      <c r="AX224" s="14">
        <f t="shared" ref="AX224:BC224" si="104">E224-AG224</f>
        <v>530</v>
      </c>
      <c r="AY224" s="14">
        <f t="shared" si="104"/>
        <v>0</v>
      </c>
      <c r="AZ224" s="14">
        <f t="shared" si="104"/>
        <v>0</v>
      </c>
      <c r="BA224" s="14">
        <f t="shared" si="104"/>
        <v>230097</v>
      </c>
      <c r="BB224" s="14">
        <f t="shared" si="104"/>
        <v>92304</v>
      </c>
      <c r="BC224" s="14">
        <f t="shared" si="104"/>
        <v>-4888</v>
      </c>
    </row>
    <row r="225" spans="1:49" s="8" customFormat="1" x14ac:dyDescent="0.55000000000000004">
      <c r="A225" s="19" t="s">
        <v>235</v>
      </c>
      <c r="B225" s="20">
        <v>63221</v>
      </c>
      <c r="C225" s="21" t="s">
        <v>23</v>
      </c>
      <c r="D225" s="21" t="s">
        <v>23</v>
      </c>
      <c r="E225" s="21" t="s">
        <v>23</v>
      </c>
      <c r="F225" s="21" t="s">
        <v>23</v>
      </c>
      <c r="G225" s="21" t="s">
        <v>23</v>
      </c>
      <c r="H225" s="21" t="s">
        <v>23</v>
      </c>
      <c r="I225" s="21" t="s">
        <v>23</v>
      </c>
      <c r="J225" s="21" t="s">
        <v>23</v>
      </c>
      <c r="K225" s="30" t="s">
        <v>23</v>
      </c>
      <c r="L225" s="30" t="s">
        <v>23</v>
      </c>
      <c r="M225" s="4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C225" s="2"/>
      <c r="AD225" s="9">
        <f>B225</f>
        <v>63221</v>
      </c>
      <c r="AE225" s="10" t="str">
        <f t="shared" ref="AE225:AL225" si="105">C225</f>
        <v>—</v>
      </c>
      <c r="AF225" s="10" t="str">
        <f t="shared" si="105"/>
        <v>—</v>
      </c>
      <c r="AG225" s="10" t="str">
        <f t="shared" si="105"/>
        <v>—</v>
      </c>
      <c r="AH225" s="10" t="str">
        <f t="shared" si="105"/>
        <v>—</v>
      </c>
      <c r="AI225" s="10" t="str">
        <f t="shared" si="105"/>
        <v>—</v>
      </c>
      <c r="AJ225" s="10" t="str">
        <f t="shared" si="105"/>
        <v>—</v>
      </c>
      <c r="AK225" s="10" t="str">
        <f t="shared" si="105"/>
        <v>—</v>
      </c>
      <c r="AL225" s="10" t="str">
        <f t="shared" si="105"/>
        <v>—</v>
      </c>
      <c r="AM225" s="2"/>
      <c r="AQ225" s="2"/>
      <c r="AR225" s="41"/>
      <c r="AS225" s="41"/>
      <c r="AT225" s="42"/>
      <c r="AU225" s="41"/>
      <c r="AV225" s="41"/>
      <c r="AW225" s="2"/>
    </row>
    <row r="226" spans="1:49" s="8" customFormat="1" x14ac:dyDescent="0.55000000000000004">
      <c r="A226" s="19" t="s">
        <v>236</v>
      </c>
      <c r="B226" s="49">
        <v>460679</v>
      </c>
      <c r="C226" s="20">
        <v>22847</v>
      </c>
      <c r="D226" s="45">
        <v>17385</v>
      </c>
      <c r="E226" s="20">
        <v>39822</v>
      </c>
      <c r="F226" s="20">
        <v>1923</v>
      </c>
      <c r="G226" s="20">
        <v>1960</v>
      </c>
      <c r="H226" s="20">
        <v>468898</v>
      </c>
      <c r="I226" s="20">
        <v>23300</v>
      </c>
      <c r="J226" s="20">
        <v>17587</v>
      </c>
      <c r="K226" s="31">
        <v>47.5</v>
      </c>
      <c r="L226" s="31">
        <v>35.700000000000003</v>
      </c>
      <c r="M226" s="3"/>
      <c r="N226" s="20">
        <v>86548</v>
      </c>
      <c r="O226" s="20">
        <v>85989</v>
      </c>
      <c r="P226" s="20">
        <v>67534</v>
      </c>
      <c r="Q226" s="20">
        <v>79027</v>
      </c>
      <c r="R226" s="20">
        <v>132358</v>
      </c>
      <c r="S226" s="20">
        <v>9223</v>
      </c>
      <c r="T226" s="7"/>
      <c r="U226" s="7"/>
      <c r="V226" s="7"/>
      <c r="W226" s="7"/>
      <c r="X226" s="7"/>
      <c r="Y226" s="7"/>
      <c r="Z226" s="7"/>
      <c r="AA226" s="7"/>
      <c r="AC226" s="2"/>
      <c r="AD226" s="9">
        <f>SUM(N226:AB226)</f>
        <v>460679</v>
      </c>
      <c r="AE226" s="9">
        <f>SUM(N227:AB227)</f>
        <v>22847</v>
      </c>
      <c r="AF226" s="9">
        <f>SUM(N228:AB228)</f>
        <v>17385</v>
      </c>
      <c r="AG226" s="9">
        <f t="shared" ref="AG226:AL226" si="106">E226</f>
        <v>39822</v>
      </c>
      <c r="AH226" s="9">
        <f t="shared" si="106"/>
        <v>1923</v>
      </c>
      <c r="AI226" s="9">
        <f t="shared" si="106"/>
        <v>1960</v>
      </c>
      <c r="AJ226" s="9">
        <f t="shared" si="106"/>
        <v>468898</v>
      </c>
      <c r="AK226" s="9">
        <f t="shared" si="106"/>
        <v>23300</v>
      </c>
      <c r="AL226" s="9">
        <f t="shared" si="106"/>
        <v>17587</v>
      </c>
      <c r="AM226" s="2"/>
      <c r="AN226" s="9">
        <f>AD226-B226</f>
        <v>0</v>
      </c>
      <c r="AO226" s="9">
        <f>AE226-C226</f>
        <v>0</v>
      </c>
      <c r="AP226" s="9">
        <f>AF226-D226</f>
        <v>0</v>
      </c>
      <c r="AQ226" s="5"/>
      <c r="AR226" s="41">
        <f>C226/B226*1000</f>
        <v>49.594185973313301</v>
      </c>
      <c r="AS226" s="41">
        <f>D226/B226*1000</f>
        <v>37.737774024863299</v>
      </c>
      <c r="AT226" s="42"/>
      <c r="AU226" s="41">
        <f>AR226-K226</f>
        <v>2.0941859733133015</v>
      </c>
      <c r="AV226" s="41">
        <f>AS226-L226</f>
        <v>2.0377740248632961</v>
      </c>
      <c r="AW226" s="5"/>
    </row>
    <row r="227" spans="1:49" s="2" customFormat="1" x14ac:dyDescent="0.55000000000000004">
      <c r="A227" s="22" t="s">
        <v>237</v>
      </c>
      <c r="B227" s="3"/>
      <c r="C227" s="3"/>
      <c r="D227" s="3"/>
      <c r="E227" s="3"/>
      <c r="F227" s="3"/>
      <c r="G227" s="3"/>
      <c r="H227" s="3"/>
      <c r="I227" s="3"/>
      <c r="J227" s="3"/>
      <c r="K227" s="28"/>
      <c r="L227" s="28"/>
      <c r="M227" s="3"/>
      <c r="N227" s="23">
        <v>3747</v>
      </c>
      <c r="O227" s="23">
        <v>4660</v>
      </c>
      <c r="P227" s="23">
        <v>2939</v>
      </c>
      <c r="Q227" s="23">
        <v>3539</v>
      </c>
      <c r="R227" s="23">
        <v>7721</v>
      </c>
      <c r="S227" s="23">
        <v>241</v>
      </c>
      <c r="T227" s="3"/>
      <c r="U227" s="3"/>
      <c r="V227" s="3"/>
      <c r="W227" s="3"/>
      <c r="X227" s="3"/>
      <c r="Y227" s="3"/>
      <c r="Z227" s="3"/>
      <c r="AA227" s="3"/>
    </row>
    <row r="228" spans="1:49" s="2" customFormat="1" x14ac:dyDescent="0.55000000000000004">
      <c r="A228" s="22" t="s">
        <v>238</v>
      </c>
      <c r="B228" s="3"/>
      <c r="C228" s="3"/>
      <c r="D228" s="3"/>
      <c r="E228" s="3"/>
      <c r="F228" s="3"/>
      <c r="G228" s="3"/>
      <c r="H228" s="3"/>
      <c r="I228" s="3"/>
      <c r="J228" s="3"/>
      <c r="K228" s="28"/>
      <c r="L228" s="28"/>
      <c r="M228" s="3"/>
      <c r="N228" s="23">
        <v>3263</v>
      </c>
      <c r="O228" s="23">
        <v>3497</v>
      </c>
      <c r="P228" s="23">
        <v>2431</v>
      </c>
      <c r="Q228" s="23">
        <v>2366</v>
      </c>
      <c r="R228" s="23">
        <v>5615</v>
      </c>
      <c r="S228" s="23">
        <v>213</v>
      </c>
      <c r="T228" s="3"/>
      <c r="U228" s="3"/>
      <c r="V228" s="3"/>
      <c r="W228" s="3"/>
      <c r="X228" s="3"/>
      <c r="Y228" s="3"/>
      <c r="Z228" s="3"/>
      <c r="AA228" s="3"/>
    </row>
    <row r="229" spans="1:49" s="8" customFormat="1" x14ac:dyDescent="0.55000000000000004">
      <c r="A229" s="19" t="s">
        <v>239</v>
      </c>
      <c r="B229" s="20">
        <v>565477</v>
      </c>
      <c r="C229" s="45">
        <v>17344</v>
      </c>
      <c r="D229" s="20">
        <v>14410</v>
      </c>
      <c r="E229" s="21" t="s">
        <v>23</v>
      </c>
      <c r="F229" s="21" t="s">
        <v>23</v>
      </c>
      <c r="G229" s="21" t="s">
        <v>23</v>
      </c>
      <c r="H229" s="20">
        <v>512727</v>
      </c>
      <c r="I229" s="20">
        <v>19157</v>
      </c>
      <c r="J229" s="20">
        <v>13832</v>
      </c>
      <c r="K229" s="31">
        <v>29</v>
      </c>
      <c r="L229" s="31">
        <v>16.600000000000001</v>
      </c>
      <c r="M229" s="3"/>
      <c r="N229" s="20">
        <v>114632</v>
      </c>
      <c r="O229" s="20">
        <v>28179</v>
      </c>
      <c r="P229" s="20">
        <v>19994</v>
      </c>
      <c r="Q229" s="20">
        <v>145476</v>
      </c>
      <c r="R229" s="20">
        <v>72438</v>
      </c>
      <c r="S229" s="20">
        <v>61112</v>
      </c>
      <c r="T229" s="20">
        <v>94124</v>
      </c>
      <c r="U229" s="20">
        <v>29522</v>
      </c>
      <c r="V229" s="7"/>
      <c r="W229" s="7"/>
      <c r="X229" s="7"/>
      <c r="Y229" s="7"/>
      <c r="Z229" s="7"/>
      <c r="AA229" s="7"/>
      <c r="AC229" s="2"/>
      <c r="AD229" s="9">
        <f>SUM(N229:AB229)</f>
        <v>565477</v>
      </c>
      <c r="AE229" s="9">
        <f>SUM(N230:AB230)</f>
        <v>17344</v>
      </c>
      <c r="AF229" s="9">
        <f>SUM(N231:AB231)</f>
        <v>14410</v>
      </c>
      <c r="AG229" s="10" t="str">
        <f t="shared" ref="AG229:AL229" si="107">E229</f>
        <v>—</v>
      </c>
      <c r="AH229" s="10" t="str">
        <f t="shared" si="107"/>
        <v>—</v>
      </c>
      <c r="AI229" s="10" t="str">
        <f t="shared" si="107"/>
        <v>—</v>
      </c>
      <c r="AJ229" s="9">
        <f t="shared" si="107"/>
        <v>512727</v>
      </c>
      <c r="AK229" s="9">
        <f t="shared" si="107"/>
        <v>19157</v>
      </c>
      <c r="AL229" s="9">
        <f t="shared" si="107"/>
        <v>13832</v>
      </c>
      <c r="AM229" s="2"/>
      <c r="AN229" s="9">
        <f>AD229-B229</f>
        <v>0</v>
      </c>
      <c r="AO229" s="9">
        <f>AE229-C229</f>
        <v>0</v>
      </c>
      <c r="AP229" s="9">
        <f>AF229-D229</f>
        <v>0</v>
      </c>
      <c r="AQ229" s="5"/>
      <c r="AR229" s="41">
        <f>C229/B229*1000</f>
        <v>30.671450828238815</v>
      </c>
      <c r="AS229" s="41">
        <f>D229/B229*1000</f>
        <v>25.48291088762231</v>
      </c>
      <c r="AT229" s="42"/>
      <c r="AU229" s="41">
        <f>AR229-K229</f>
        <v>1.6714508282388145</v>
      </c>
      <c r="AV229" s="41">
        <f>AS229-L229</f>
        <v>8.8829108876223088</v>
      </c>
      <c r="AW229" s="5"/>
    </row>
    <row r="230" spans="1:49" s="2" customFormat="1" x14ac:dyDescent="0.55000000000000004">
      <c r="A230" s="22" t="s">
        <v>240</v>
      </c>
      <c r="B230" s="3"/>
      <c r="C230" s="3"/>
      <c r="D230" s="3"/>
      <c r="E230" s="3"/>
      <c r="F230" s="3"/>
      <c r="G230" s="3"/>
      <c r="H230" s="3"/>
      <c r="I230" s="3"/>
      <c r="J230" s="3"/>
      <c r="K230" s="28"/>
      <c r="L230" s="28"/>
      <c r="M230" s="3"/>
      <c r="N230" s="23">
        <v>4078</v>
      </c>
      <c r="O230" s="23">
        <v>1021</v>
      </c>
      <c r="P230" s="23">
        <v>569</v>
      </c>
      <c r="Q230" s="24" t="s">
        <v>23</v>
      </c>
      <c r="R230" s="23">
        <v>3654</v>
      </c>
      <c r="S230" s="23">
        <v>2870</v>
      </c>
      <c r="T230" s="23">
        <v>4183</v>
      </c>
      <c r="U230" s="23">
        <v>969</v>
      </c>
      <c r="V230" s="3"/>
      <c r="W230" s="3"/>
      <c r="X230" s="3"/>
      <c r="Y230" s="3"/>
      <c r="Z230" s="3"/>
      <c r="AA230" s="3"/>
    </row>
    <row r="231" spans="1:49" s="2" customFormat="1" x14ac:dyDescent="0.55000000000000004">
      <c r="A231" s="22" t="s">
        <v>241</v>
      </c>
      <c r="B231" s="3"/>
      <c r="C231" s="3"/>
      <c r="D231" s="3"/>
      <c r="E231" s="3"/>
      <c r="F231" s="3"/>
      <c r="G231" s="3"/>
      <c r="H231" s="3"/>
      <c r="I231" s="3"/>
      <c r="J231" s="3"/>
      <c r="K231" s="28"/>
      <c r="L231" s="28"/>
      <c r="M231" s="3"/>
      <c r="N231" s="23">
        <v>1167</v>
      </c>
      <c r="O231" s="23">
        <v>320</v>
      </c>
      <c r="P231" s="23">
        <v>860</v>
      </c>
      <c r="Q231" s="23">
        <v>2011</v>
      </c>
      <c r="R231" s="23">
        <v>8150</v>
      </c>
      <c r="S231" s="23">
        <v>672</v>
      </c>
      <c r="T231" s="23">
        <v>360</v>
      </c>
      <c r="U231" s="23">
        <v>870</v>
      </c>
      <c r="V231" s="3"/>
      <c r="W231" s="3"/>
      <c r="X231" s="3"/>
      <c r="Y231" s="3"/>
      <c r="Z231" s="3"/>
      <c r="AA231" s="3"/>
    </row>
    <row r="232" spans="1:49" s="8" customFormat="1" x14ac:dyDescent="0.55000000000000004">
      <c r="A232" s="19" t="s">
        <v>242</v>
      </c>
      <c r="B232" s="20">
        <v>444704</v>
      </c>
      <c r="C232" s="20">
        <v>20131</v>
      </c>
      <c r="D232" s="20">
        <v>14077</v>
      </c>
      <c r="E232" s="20">
        <v>58190</v>
      </c>
      <c r="F232" s="20">
        <v>2112</v>
      </c>
      <c r="G232" s="20">
        <v>1976</v>
      </c>
      <c r="H232" s="20">
        <v>427879</v>
      </c>
      <c r="I232" s="20">
        <v>20377</v>
      </c>
      <c r="J232" s="20">
        <v>17073</v>
      </c>
      <c r="K232" s="31">
        <v>45.2</v>
      </c>
      <c r="L232" s="31">
        <v>31.4</v>
      </c>
      <c r="M232" s="3"/>
      <c r="N232" s="20">
        <v>146915</v>
      </c>
      <c r="O232" s="20">
        <v>128600</v>
      </c>
      <c r="P232" s="20">
        <v>64470</v>
      </c>
      <c r="Q232" s="20">
        <v>49026</v>
      </c>
      <c r="R232" s="20">
        <v>55693</v>
      </c>
      <c r="S232" s="7"/>
      <c r="T232" s="7"/>
      <c r="U232" s="7"/>
      <c r="V232" s="7"/>
      <c r="W232" s="7"/>
      <c r="X232" s="7"/>
      <c r="Y232" s="7"/>
      <c r="Z232" s="7"/>
      <c r="AA232" s="7"/>
      <c r="AC232" s="2"/>
      <c r="AD232" s="9">
        <f>SUM(N232:AB232)</f>
        <v>444704</v>
      </c>
      <c r="AE232" s="9">
        <f>SUM(N233:AB233)</f>
        <v>20131</v>
      </c>
      <c r="AF232" s="9">
        <f>SUM(N234:AB234)</f>
        <v>14077</v>
      </c>
      <c r="AG232" s="9">
        <f t="shared" ref="AG232:AL232" si="108">E232</f>
        <v>58190</v>
      </c>
      <c r="AH232" s="9">
        <f t="shared" si="108"/>
        <v>2112</v>
      </c>
      <c r="AI232" s="9">
        <f t="shared" si="108"/>
        <v>1976</v>
      </c>
      <c r="AJ232" s="9">
        <f t="shared" si="108"/>
        <v>427879</v>
      </c>
      <c r="AK232" s="9">
        <f t="shared" si="108"/>
        <v>20377</v>
      </c>
      <c r="AL232" s="9">
        <f t="shared" si="108"/>
        <v>17073</v>
      </c>
      <c r="AM232" s="2"/>
      <c r="AN232" s="9">
        <f>AD232-B232</f>
        <v>0</v>
      </c>
      <c r="AO232" s="9">
        <f>AE232-C232</f>
        <v>0</v>
      </c>
      <c r="AP232" s="9">
        <f>AF232-D232</f>
        <v>0</v>
      </c>
      <c r="AQ232" s="5"/>
      <c r="AR232" s="41">
        <f>C232/B232*1000</f>
        <v>45.268313305029857</v>
      </c>
      <c r="AS232" s="41">
        <f>D232/B232*1000</f>
        <v>31.65476361804706</v>
      </c>
      <c r="AT232" s="42"/>
      <c r="AU232" s="41">
        <f>AR232-K232</f>
        <v>6.8313305029853666E-2</v>
      </c>
      <c r="AV232" s="41">
        <f>AS232-L232</f>
        <v>0.25476361804706116</v>
      </c>
      <c r="AW232" s="5"/>
    </row>
    <row r="233" spans="1:49" s="2" customFormat="1" x14ac:dyDescent="0.55000000000000004">
      <c r="A233" s="22" t="s">
        <v>243</v>
      </c>
      <c r="B233" s="3"/>
      <c r="C233" s="3"/>
      <c r="D233" s="3"/>
      <c r="E233" s="3"/>
      <c r="F233" s="3"/>
      <c r="G233" s="3"/>
      <c r="H233" s="3"/>
      <c r="I233" s="3"/>
      <c r="J233" s="3"/>
      <c r="K233" s="28"/>
      <c r="L233" s="28"/>
      <c r="M233" s="3"/>
      <c r="N233" s="23">
        <v>5971</v>
      </c>
      <c r="O233" s="23">
        <v>5459</v>
      </c>
      <c r="P233" s="23">
        <v>3096</v>
      </c>
      <c r="Q233" s="23">
        <v>2340</v>
      </c>
      <c r="R233" s="23">
        <v>3265</v>
      </c>
      <c r="S233" s="3"/>
      <c r="T233" s="3"/>
      <c r="U233" s="3"/>
      <c r="V233" s="3"/>
      <c r="W233" s="3"/>
      <c r="X233" s="3"/>
      <c r="Y233" s="3"/>
      <c r="Z233" s="3"/>
      <c r="AA233" s="3"/>
    </row>
    <row r="234" spans="1:49" s="2" customFormat="1" x14ac:dyDescent="0.55000000000000004">
      <c r="A234" s="22" t="s">
        <v>244</v>
      </c>
      <c r="B234" s="3"/>
      <c r="C234" s="3"/>
      <c r="D234" s="3"/>
      <c r="E234" s="3"/>
      <c r="F234" s="3"/>
      <c r="G234" s="3"/>
      <c r="H234" s="3"/>
      <c r="I234" s="3"/>
      <c r="J234" s="3"/>
      <c r="K234" s="28"/>
      <c r="L234" s="28"/>
      <c r="M234" s="3"/>
      <c r="N234" s="23">
        <v>4375</v>
      </c>
      <c r="O234" s="23">
        <v>3994</v>
      </c>
      <c r="P234" s="23">
        <v>1879</v>
      </c>
      <c r="Q234" s="23">
        <v>1366</v>
      </c>
      <c r="R234" s="23">
        <v>2463</v>
      </c>
      <c r="S234" s="3"/>
      <c r="T234" s="3"/>
      <c r="U234" s="3"/>
      <c r="V234" s="3"/>
      <c r="W234" s="3"/>
      <c r="X234" s="3"/>
      <c r="Y234" s="3"/>
      <c r="Z234" s="3"/>
      <c r="AA234" s="3"/>
    </row>
    <row r="235" spans="1:49" s="8" customFormat="1" x14ac:dyDescent="0.55000000000000004">
      <c r="A235" s="19" t="s">
        <v>245</v>
      </c>
      <c r="B235" s="20">
        <v>119744</v>
      </c>
      <c r="C235" s="20">
        <v>3311</v>
      </c>
      <c r="D235" s="20">
        <v>1769</v>
      </c>
      <c r="E235" s="21" t="s">
        <v>23</v>
      </c>
      <c r="F235" s="21" t="s">
        <v>23</v>
      </c>
      <c r="G235" s="21" t="s">
        <v>23</v>
      </c>
      <c r="H235" s="20">
        <v>102857</v>
      </c>
      <c r="I235" s="20">
        <v>2962</v>
      </c>
      <c r="J235" s="20">
        <v>1840</v>
      </c>
      <c r="K235" s="31" t="s">
        <v>23</v>
      </c>
      <c r="L235" s="31" t="s">
        <v>23</v>
      </c>
      <c r="M235" s="3"/>
      <c r="N235" s="20">
        <v>14606</v>
      </c>
      <c r="O235" s="20">
        <v>10350</v>
      </c>
      <c r="P235" s="20">
        <v>5399</v>
      </c>
      <c r="Q235" s="20">
        <v>675</v>
      </c>
      <c r="R235" s="20">
        <v>9561</v>
      </c>
      <c r="S235" s="20">
        <v>4040</v>
      </c>
      <c r="T235" s="20">
        <v>6644</v>
      </c>
      <c r="U235" s="20">
        <v>6460</v>
      </c>
      <c r="V235" s="20">
        <v>62009</v>
      </c>
      <c r="W235" s="7"/>
      <c r="X235" s="7"/>
      <c r="Y235" s="7"/>
      <c r="Z235" s="7"/>
      <c r="AA235" s="7"/>
      <c r="AC235" s="2"/>
      <c r="AD235" s="9">
        <f>SUM(N235:AB235)</f>
        <v>119744</v>
      </c>
      <c r="AE235" s="9">
        <f>SUM(N236:AB236)</f>
        <v>3311</v>
      </c>
      <c r="AF235" s="9">
        <f>SUM(N237:AB237)</f>
        <v>1769</v>
      </c>
      <c r="AG235" s="10" t="str">
        <f t="shared" ref="AG235:AL235" si="109">E235</f>
        <v>—</v>
      </c>
      <c r="AH235" s="10" t="str">
        <f t="shared" si="109"/>
        <v>—</v>
      </c>
      <c r="AI235" s="10" t="str">
        <f t="shared" si="109"/>
        <v>—</v>
      </c>
      <c r="AJ235" s="9">
        <f t="shared" si="109"/>
        <v>102857</v>
      </c>
      <c r="AK235" s="9">
        <f t="shared" si="109"/>
        <v>2962</v>
      </c>
      <c r="AL235" s="9">
        <f t="shared" si="109"/>
        <v>1840</v>
      </c>
      <c r="AM235" s="2"/>
      <c r="AN235" s="9">
        <f>AD235-B235</f>
        <v>0</v>
      </c>
      <c r="AO235" s="9">
        <f>AE235-C235</f>
        <v>0</v>
      </c>
      <c r="AP235" s="9">
        <f>AF235-D235</f>
        <v>0</v>
      </c>
      <c r="AQ235" s="5"/>
      <c r="AR235" s="41">
        <f>C235/B235*1000</f>
        <v>27.65065473009086</v>
      </c>
      <c r="AS235" s="41">
        <f>D235/B235*1000</f>
        <v>14.773182789951896</v>
      </c>
      <c r="AT235" s="42"/>
      <c r="AU235" s="41"/>
      <c r="AV235" s="41"/>
      <c r="AW235" s="5"/>
    </row>
    <row r="236" spans="1:49" s="2" customFormat="1" x14ac:dyDescent="0.55000000000000004">
      <c r="A236" s="22" t="s">
        <v>246</v>
      </c>
      <c r="B236" s="3"/>
      <c r="C236" s="3"/>
      <c r="D236" s="3"/>
      <c r="E236" s="3"/>
      <c r="F236" s="3"/>
      <c r="G236" s="3"/>
      <c r="H236" s="3"/>
      <c r="I236" s="3"/>
      <c r="J236" s="3"/>
      <c r="K236" s="28"/>
      <c r="L236" s="28"/>
      <c r="M236" s="3"/>
      <c r="N236" s="23">
        <v>538</v>
      </c>
      <c r="O236" s="24" t="s">
        <v>23</v>
      </c>
      <c r="P236" s="23">
        <v>24</v>
      </c>
      <c r="Q236" s="23">
        <v>26</v>
      </c>
      <c r="R236" s="23">
        <v>192</v>
      </c>
      <c r="S236" s="23">
        <v>122</v>
      </c>
      <c r="T236" s="23">
        <v>197</v>
      </c>
      <c r="U236" s="23">
        <v>284</v>
      </c>
      <c r="V236" s="23">
        <v>1928</v>
      </c>
      <c r="W236" s="3"/>
      <c r="X236" s="3"/>
      <c r="Y236" s="3"/>
      <c r="Z236" s="3"/>
      <c r="AA236" s="3"/>
    </row>
    <row r="237" spans="1:49" s="2" customFormat="1" x14ac:dyDescent="0.55000000000000004">
      <c r="A237" s="22" t="s">
        <v>247</v>
      </c>
      <c r="B237" s="3"/>
      <c r="C237" s="3"/>
      <c r="D237" s="3"/>
      <c r="E237" s="3"/>
      <c r="F237" s="3"/>
      <c r="G237" s="3"/>
      <c r="H237" s="3"/>
      <c r="I237" s="3"/>
      <c r="J237" s="3"/>
      <c r="K237" s="28"/>
      <c r="L237" s="28"/>
      <c r="M237" s="3"/>
      <c r="N237" s="23">
        <v>222</v>
      </c>
      <c r="O237" s="24" t="s">
        <v>23</v>
      </c>
      <c r="P237" s="23">
        <v>26</v>
      </c>
      <c r="Q237" s="23">
        <v>14</v>
      </c>
      <c r="R237" s="23">
        <v>179</v>
      </c>
      <c r="S237" s="23">
        <v>164</v>
      </c>
      <c r="T237" s="23">
        <v>86</v>
      </c>
      <c r="U237" s="23">
        <v>128</v>
      </c>
      <c r="V237" s="23">
        <v>950</v>
      </c>
      <c r="W237" s="3"/>
      <c r="X237" s="3"/>
      <c r="Y237" s="3"/>
      <c r="Z237" s="3"/>
      <c r="AA237" s="3"/>
    </row>
    <row r="238" spans="1:49" s="8" customFormat="1" x14ac:dyDescent="0.55000000000000004">
      <c r="A238" s="19" t="s">
        <v>248</v>
      </c>
      <c r="B238" s="20">
        <v>1411475</v>
      </c>
      <c r="C238" s="20">
        <v>73772</v>
      </c>
      <c r="D238" s="20">
        <v>58271</v>
      </c>
      <c r="E238" s="20">
        <v>99804</v>
      </c>
      <c r="F238" s="20">
        <v>2262</v>
      </c>
      <c r="G238" s="20">
        <v>2550</v>
      </c>
      <c r="H238" s="20">
        <v>1393432</v>
      </c>
      <c r="I238" s="20">
        <v>76165</v>
      </c>
      <c r="J238" s="20">
        <v>61052</v>
      </c>
      <c r="K238" s="31">
        <v>52.3</v>
      </c>
      <c r="L238" s="31">
        <v>41.3</v>
      </c>
      <c r="M238" s="3"/>
      <c r="N238" s="20">
        <v>126707</v>
      </c>
      <c r="O238" s="20">
        <v>31452</v>
      </c>
      <c r="P238" s="20">
        <v>274400</v>
      </c>
      <c r="Q238" s="20">
        <v>266295</v>
      </c>
      <c r="R238" s="20">
        <v>8544</v>
      </c>
      <c r="S238" s="20">
        <v>148902</v>
      </c>
      <c r="T238" s="20">
        <v>71444</v>
      </c>
      <c r="U238" s="20">
        <v>158211</v>
      </c>
      <c r="V238" s="20">
        <v>124624</v>
      </c>
      <c r="W238" s="20">
        <v>200886</v>
      </c>
      <c r="X238" s="7"/>
      <c r="Y238" s="7"/>
      <c r="Z238" s="7"/>
      <c r="AA238" s="7"/>
      <c r="AC238" s="2"/>
      <c r="AD238" s="9">
        <f>SUM(N238:AB238)</f>
        <v>1411465</v>
      </c>
      <c r="AE238" s="9">
        <f>SUM(N239:AB239)</f>
        <v>73772</v>
      </c>
      <c r="AF238" s="9">
        <f>SUM(N240:AB240)</f>
        <v>58271</v>
      </c>
      <c r="AG238" s="9">
        <f t="shared" ref="AG238:AL238" si="110">E238</f>
        <v>99804</v>
      </c>
      <c r="AH238" s="9">
        <f t="shared" si="110"/>
        <v>2262</v>
      </c>
      <c r="AI238" s="9">
        <f t="shared" si="110"/>
        <v>2550</v>
      </c>
      <c r="AJ238" s="9">
        <f t="shared" si="110"/>
        <v>1393432</v>
      </c>
      <c r="AK238" s="9">
        <f t="shared" si="110"/>
        <v>76165</v>
      </c>
      <c r="AL238" s="9">
        <f t="shared" si="110"/>
        <v>61052</v>
      </c>
      <c r="AM238" s="2"/>
      <c r="AN238" s="9">
        <f>AD238-B238</f>
        <v>-10</v>
      </c>
      <c r="AO238" s="9">
        <f>AE238-C238</f>
        <v>0</v>
      </c>
      <c r="AP238" s="9">
        <f>AF238-D238</f>
        <v>0</v>
      </c>
      <c r="AQ238" s="5"/>
      <c r="AR238" s="41">
        <f>C238/B238*1000</f>
        <v>52.265892063267152</v>
      </c>
      <c r="AS238" s="41">
        <f>D238/B238*1000</f>
        <v>41.283763438955702</v>
      </c>
      <c r="AT238" s="42"/>
      <c r="AU238" s="41">
        <f>AR238-K238</f>
        <v>-3.4107936732844735E-2</v>
      </c>
      <c r="AV238" s="41">
        <f>AS238-L238</f>
        <v>-1.6236561044294717E-2</v>
      </c>
      <c r="AW238" s="5"/>
    </row>
    <row r="239" spans="1:49" s="2" customFormat="1" x14ac:dyDescent="0.55000000000000004">
      <c r="A239" s="22" t="s">
        <v>249</v>
      </c>
      <c r="B239" s="3"/>
      <c r="C239" s="3"/>
      <c r="D239" s="3"/>
      <c r="E239" s="3"/>
      <c r="F239" s="3"/>
      <c r="G239" s="3"/>
      <c r="H239" s="3"/>
      <c r="I239" s="3"/>
      <c r="J239" s="3"/>
      <c r="K239" s="28"/>
      <c r="L239" s="28"/>
      <c r="M239" s="3"/>
      <c r="N239" s="23">
        <v>5642</v>
      </c>
      <c r="O239" s="45">
        <v>1305</v>
      </c>
      <c r="P239" s="23">
        <v>16521</v>
      </c>
      <c r="Q239" s="23">
        <v>16788</v>
      </c>
      <c r="R239" s="23">
        <v>334</v>
      </c>
      <c r="S239" s="23">
        <v>7099</v>
      </c>
      <c r="T239" s="23">
        <v>3483</v>
      </c>
      <c r="U239" s="23">
        <v>7973</v>
      </c>
      <c r="V239" s="23">
        <v>4673</v>
      </c>
      <c r="W239" s="23">
        <v>9954</v>
      </c>
      <c r="X239" s="3"/>
      <c r="Y239" s="3"/>
      <c r="Z239" s="3"/>
      <c r="AA239" s="3"/>
    </row>
    <row r="240" spans="1:49" s="2" customFormat="1" x14ac:dyDescent="0.55000000000000004">
      <c r="A240" s="22" t="s">
        <v>250</v>
      </c>
      <c r="B240" s="3"/>
      <c r="C240" s="3"/>
      <c r="D240" s="3"/>
      <c r="E240" s="3"/>
      <c r="F240" s="3"/>
      <c r="G240" s="3"/>
      <c r="H240" s="3"/>
      <c r="I240" s="3"/>
      <c r="J240" s="3"/>
      <c r="K240" s="28"/>
      <c r="L240" s="28"/>
      <c r="M240" s="3"/>
      <c r="N240" s="23">
        <v>4568</v>
      </c>
      <c r="O240" s="23">
        <v>1200</v>
      </c>
      <c r="P240" s="23">
        <v>12987</v>
      </c>
      <c r="Q240" s="23">
        <v>12737</v>
      </c>
      <c r="R240" s="23">
        <v>336</v>
      </c>
      <c r="S240" s="23">
        <v>4727</v>
      </c>
      <c r="T240" s="23">
        <v>3333</v>
      </c>
      <c r="U240" s="23">
        <v>5279</v>
      </c>
      <c r="V240" s="23">
        <v>4518</v>
      </c>
      <c r="W240" s="23">
        <v>8586</v>
      </c>
      <c r="X240" s="3"/>
      <c r="Y240" s="3"/>
      <c r="Z240" s="3"/>
      <c r="AA240" s="3"/>
    </row>
    <row r="241" spans="1:55" s="8" customFormat="1" x14ac:dyDescent="0.55000000000000004">
      <c r="A241" s="19" t="s">
        <v>251</v>
      </c>
      <c r="B241" s="20">
        <v>1422681</v>
      </c>
      <c r="C241" s="20">
        <v>67604</v>
      </c>
      <c r="D241" s="20">
        <v>38492</v>
      </c>
      <c r="E241" s="21" t="s">
        <v>23</v>
      </c>
      <c r="F241" s="21" t="s">
        <v>23</v>
      </c>
      <c r="G241" s="21" t="s">
        <v>23</v>
      </c>
      <c r="H241" s="20">
        <v>1326265</v>
      </c>
      <c r="I241" s="20">
        <v>63453</v>
      </c>
      <c r="J241" s="20">
        <v>35157</v>
      </c>
      <c r="K241" s="31">
        <v>47.5</v>
      </c>
      <c r="L241" s="31">
        <v>27</v>
      </c>
      <c r="M241" s="3"/>
      <c r="N241" s="20">
        <v>214609</v>
      </c>
      <c r="O241" s="20">
        <v>318785</v>
      </c>
      <c r="P241" s="20">
        <v>366358</v>
      </c>
      <c r="Q241" s="20">
        <v>167569</v>
      </c>
      <c r="R241" s="20">
        <v>174104</v>
      </c>
      <c r="S241" s="20">
        <v>121338</v>
      </c>
      <c r="T241" s="7"/>
      <c r="U241" s="7"/>
      <c r="V241" s="7"/>
      <c r="W241" s="7"/>
      <c r="X241" s="7"/>
      <c r="Y241" s="7"/>
      <c r="Z241" s="7"/>
      <c r="AA241" s="7"/>
      <c r="AC241" s="2"/>
      <c r="AD241" s="9">
        <f>SUM(N241:AB241)</f>
        <v>1362763</v>
      </c>
      <c r="AE241" s="9">
        <f>SUM(N242:AB242)</f>
        <v>67604</v>
      </c>
      <c r="AF241" s="9">
        <f>SUM(N243:AB243)</f>
        <v>38492</v>
      </c>
      <c r="AG241" s="10" t="str">
        <f t="shared" ref="AG241:AL241" si="111">E241</f>
        <v>—</v>
      </c>
      <c r="AH241" s="10" t="str">
        <f t="shared" si="111"/>
        <v>—</v>
      </c>
      <c r="AI241" s="10" t="str">
        <f t="shared" si="111"/>
        <v>—</v>
      </c>
      <c r="AJ241" s="9">
        <f t="shared" si="111"/>
        <v>1326265</v>
      </c>
      <c r="AK241" s="9">
        <f t="shared" si="111"/>
        <v>63453</v>
      </c>
      <c r="AL241" s="9">
        <f t="shared" si="111"/>
        <v>35157</v>
      </c>
      <c r="AM241" s="2"/>
      <c r="AN241" s="9">
        <f>AD241-B241</f>
        <v>-59918</v>
      </c>
      <c r="AO241" s="9">
        <f>AE241-C241</f>
        <v>0</v>
      </c>
      <c r="AP241" s="9">
        <f>AF241-D241</f>
        <v>0</v>
      </c>
      <c r="AQ241" s="5"/>
      <c r="AR241" s="41">
        <f>C241/B241*1000</f>
        <v>47.518733995885235</v>
      </c>
      <c r="AS241" s="41">
        <f>D241/B241*1000</f>
        <v>27.055959839204995</v>
      </c>
      <c r="AT241" s="42"/>
      <c r="AU241" s="41">
        <f>AR241-K241</f>
        <v>1.8733995885234833E-2</v>
      </c>
      <c r="AV241" s="41">
        <f>AS241-L241</f>
        <v>5.5959839204994921E-2</v>
      </c>
      <c r="AW241" s="5"/>
    </row>
    <row r="242" spans="1:55" s="2" customFormat="1" x14ac:dyDescent="0.55000000000000004">
      <c r="A242" s="22" t="s">
        <v>252</v>
      </c>
      <c r="B242" s="3"/>
      <c r="C242" s="3"/>
      <c r="D242" s="3"/>
      <c r="E242" s="3"/>
      <c r="F242" s="3"/>
      <c r="G242" s="3"/>
      <c r="H242" s="3"/>
      <c r="I242" s="3"/>
      <c r="J242" s="3"/>
      <c r="K242" s="28"/>
      <c r="L242" s="28"/>
      <c r="M242" s="3"/>
      <c r="N242" s="23">
        <v>11309</v>
      </c>
      <c r="O242" s="23">
        <v>17664</v>
      </c>
      <c r="P242" s="23">
        <v>18927</v>
      </c>
      <c r="Q242" s="23">
        <v>7219</v>
      </c>
      <c r="R242" s="23">
        <v>6594</v>
      </c>
      <c r="S242" s="23">
        <v>5891</v>
      </c>
      <c r="T242" s="3"/>
      <c r="U242" s="3"/>
      <c r="V242" s="3"/>
      <c r="W242" s="3"/>
      <c r="X242" s="3"/>
      <c r="Y242" s="3"/>
      <c r="Z242" s="3"/>
      <c r="AA242" s="3"/>
    </row>
    <row r="243" spans="1:55" s="2" customFormat="1" x14ac:dyDescent="0.55000000000000004">
      <c r="A243" s="22" t="s">
        <v>253</v>
      </c>
      <c r="B243" s="3"/>
      <c r="C243" s="3"/>
      <c r="D243" s="3"/>
      <c r="E243" s="3"/>
      <c r="F243" s="3"/>
      <c r="G243" s="3"/>
      <c r="H243" s="3"/>
      <c r="I243" s="3"/>
      <c r="J243" s="3"/>
      <c r="K243" s="28"/>
      <c r="L243" s="28"/>
      <c r="M243" s="3"/>
      <c r="N243" s="23">
        <v>8440</v>
      </c>
      <c r="O243" s="23">
        <v>8247</v>
      </c>
      <c r="P243" s="23">
        <v>9690</v>
      </c>
      <c r="Q243" s="23">
        <v>4559</v>
      </c>
      <c r="R243" s="23">
        <v>3095</v>
      </c>
      <c r="S243" s="23">
        <v>4461</v>
      </c>
      <c r="T243" s="3"/>
      <c r="U243" s="3"/>
      <c r="V243" s="3"/>
      <c r="W243" s="3"/>
      <c r="X243" s="3"/>
      <c r="Y243" s="3"/>
      <c r="Z243" s="3"/>
      <c r="AA243" s="3"/>
    </row>
    <row r="244" spans="1:55" s="8" customFormat="1" x14ac:dyDescent="0.55000000000000004">
      <c r="A244" s="19" t="s">
        <v>254</v>
      </c>
      <c r="B244" s="20">
        <v>257753</v>
      </c>
      <c r="C244" s="20">
        <v>8202</v>
      </c>
      <c r="D244" s="20">
        <v>5111</v>
      </c>
      <c r="E244" s="21" t="s">
        <v>23</v>
      </c>
      <c r="F244" s="21" t="s">
        <v>23</v>
      </c>
      <c r="G244" s="21" t="s">
        <v>23</v>
      </c>
      <c r="H244" s="20">
        <v>255661</v>
      </c>
      <c r="I244" s="20">
        <v>6924</v>
      </c>
      <c r="J244" s="20">
        <v>6467</v>
      </c>
      <c r="K244" s="31">
        <v>31.8</v>
      </c>
      <c r="L244" s="31">
        <v>20</v>
      </c>
      <c r="M244" s="3"/>
      <c r="N244" s="20">
        <v>150924</v>
      </c>
      <c r="O244" s="20">
        <v>12985</v>
      </c>
      <c r="P244" s="20">
        <v>72855</v>
      </c>
      <c r="Q244" s="20">
        <v>6102</v>
      </c>
      <c r="R244" s="20">
        <v>14887</v>
      </c>
      <c r="S244" s="7"/>
      <c r="T244" s="7"/>
      <c r="U244" s="7"/>
      <c r="V244" s="7"/>
      <c r="W244" s="7"/>
      <c r="X244" s="7"/>
      <c r="Y244" s="7"/>
      <c r="Z244" s="7"/>
      <c r="AA244" s="7"/>
      <c r="AC244" s="2"/>
      <c r="AD244" s="9">
        <f>SUM(N244:AB244)</f>
        <v>257753</v>
      </c>
      <c r="AE244" s="9">
        <f>SUM(N245:AB245)</f>
        <v>8202</v>
      </c>
      <c r="AF244" s="9">
        <f>SUM(N246:AB246)</f>
        <v>5111</v>
      </c>
      <c r="AG244" s="10" t="str">
        <f t="shared" ref="AG244:AL244" si="112">E244</f>
        <v>—</v>
      </c>
      <c r="AH244" s="10" t="str">
        <f t="shared" si="112"/>
        <v>—</v>
      </c>
      <c r="AI244" s="10" t="str">
        <f t="shared" si="112"/>
        <v>—</v>
      </c>
      <c r="AJ244" s="9">
        <f t="shared" si="112"/>
        <v>255661</v>
      </c>
      <c r="AK244" s="9">
        <f t="shared" si="112"/>
        <v>6924</v>
      </c>
      <c r="AL244" s="9">
        <f t="shared" si="112"/>
        <v>6467</v>
      </c>
      <c r="AM244" s="2"/>
      <c r="AN244" s="9">
        <f>AD244-B244</f>
        <v>0</v>
      </c>
      <c r="AO244" s="9">
        <f>AE244-C244</f>
        <v>0</v>
      </c>
      <c r="AP244" s="9">
        <f>AF244-D244</f>
        <v>0</v>
      </c>
      <c r="AQ244" s="5"/>
      <c r="AR244" s="41">
        <f>C244/B244*1000</f>
        <v>31.821162120324495</v>
      </c>
      <c r="AS244" s="41">
        <f>D244/B244*1000</f>
        <v>19.829061155447267</v>
      </c>
      <c r="AT244" s="42"/>
      <c r="AU244" s="41">
        <f>AR244-K244</f>
        <v>2.1162120324493827E-2</v>
      </c>
      <c r="AV244" s="41">
        <f>AS244-L244</f>
        <v>-0.17093884455273312</v>
      </c>
      <c r="AW244" s="5"/>
    </row>
    <row r="245" spans="1:55" s="2" customFormat="1" x14ac:dyDescent="0.55000000000000004">
      <c r="A245" s="22" t="s">
        <v>255</v>
      </c>
      <c r="B245" s="3"/>
      <c r="C245" s="3"/>
      <c r="D245" s="3"/>
      <c r="E245" s="3"/>
      <c r="F245" s="3"/>
      <c r="G245" s="3"/>
      <c r="H245" s="3"/>
      <c r="I245" s="3"/>
      <c r="J245" s="3"/>
      <c r="K245" s="28"/>
      <c r="L245" s="28"/>
      <c r="M245" s="3"/>
      <c r="N245" s="23">
        <v>4963</v>
      </c>
      <c r="O245" s="23">
        <v>319</v>
      </c>
      <c r="P245" s="23">
        <v>2142</v>
      </c>
      <c r="Q245" s="23">
        <v>135</v>
      </c>
      <c r="R245" s="23">
        <v>643</v>
      </c>
      <c r="S245" s="3"/>
      <c r="T245" s="3"/>
      <c r="U245" s="3"/>
      <c r="V245" s="3"/>
      <c r="W245" s="3"/>
      <c r="X245" s="3"/>
      <c r="Y245" s="3"/>
      <c r="Z245" s="3"/>
      <c r="AA245" s="3"/>
    </row>
    <row r="246" spans="1:55" s="2" customFormat="1" x14ac:dyDescent="0.55000000000000004">
      <c r="A246" s="22" t="s">
        <v>256</v>
      </c>
      <c r="B246" s="3"/>
      <c r="C246" s="3"/>
      <c r="D246" s="3"/>
      <c r="E246" s="3"/>
      <c r="F246" s="3"/>
      <c r="G246" s="3"/>
      <c r="H246" s="3"/>
      <c r="I246" s="3"/>
      <c r="J246" s="3"/>
      <c r="K246" s="28"/>
      <c r="L246" s="28"/>
      <c r="M246" s="3"/>
      <c r="N246" s="23">
        <v>3105</v>
      </c>
      <c r="O246" s="23">
        <v>265</v>
      </c>
      <c r="P246" s="23">
        <v>1217</v>
      </c>
      <c r="Q246" s="23">
        <v>83</v>
      </c>
      <c r="R246" s="23">
        <v>441</v>
      </c>
      <c r="S246" s="3"/>
      <c r="T246" s="3"/>
      <c r="U246" s="3"/>
      <c r="V246" s="3"/>
      <c r="W246" s="3"/>
      <c r="X246" s="3"/>
      <c r="Y246" s="3"/>
      <c r="Z246" s="3"/>
      <c r="AA246" s="3"/>
    </row>
    <row r="247" spans="1:55" s="8" customFormat="1" x14ac:dyDescent="0.55000000000000004">
      <c r="A247" s="19" t="s">
        <v>257</v>
      </c>
      <c r="B247" s="20">
        <v>17051</v>
      </c>
      <c r="C247" s="20">
        <v>342</v>
      </c>
      <c r="D247" s="20">
        <v>335</v>
      </c>
      <c r="E247" s="21" t="s">
        <v>23</v>
      </c>
      <c r="F247" s="21" t="s">
        <v>23</v>
      </c>
      <c r="G247" s="21" t="s">
        <v>23</v>
      </c>
      <c r="H247" s="20">
        <v>15244</v>
      </c>
      <c r="I247" s="20">
        <v>356</v>
      </c>
      <c r="J247" s="20">
        <v>241</v>
      </c>
      <c r="K247" s="31">
        <v>20.100000000000001</v>
      </c>
      <c r="L247" s="31">
        <v>19.7</v>
      </c>
      <c r="M247" s="3"/>
      <c r="N247" s="20">
        <v>7546</v>
      </c>
      <c r="O247" s="20">
        <v>4156</v>
      </c>
      <c r="P247" s="20">
        <v>5349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C247" s="2"/>
      <c r="AD247" s="9">
        <f>SUM(N247:AB247)</f>
        <v>17051</v>
      </c>
      <c r="AE247" s="9">
        <f>SUM(N248:AB248)</f>
        <v>342</v>
      </c>
      <c r="AF247" s="9">
        <f>SUM(N249:AB249)</f>
        <v>184</v>
      </c>
      <c r="AG247" s="10" t="str">
        <f t="shared" ref="AG247:AL247" si="113">E247</f>
        <v>—</v>
      </c>
      <c r="AH247" s="10" t="str">
        <f t="shared" si="113"/>
        <v>—</v>
      </c>
      <c r="AI247" s="10" t="str">
        <f t="shared" si="113"/>
        <v>—</v>
      </c>
      <c r="AJ247" s="9">
        <f t="shared" si="113"/>
        <v>15244</v>
      </c>
      <c r="AK247" s="9">
        <f t="shared" si="113"/>
        <v>356</v>
      </c>
      <c r="AL247" s="9">
        <f t="shared" si="113"/>
        <v>241</v>
      </c>
      <c r="AM247" s="2"/>
      <c r="AN247" s="9">
        <f>AD247-B247</f>
        <v>0</v>
      </c>
      <c r="AO247" s="9">
        <f>AE247-C247</f>
        <v>0</v>
      </c>
      <c r="AP247" s="9">
        <f>AF247-D247</f>
        <v>-151</v>
      </c>
      <c r="AQ247" s="5"/>
      <c r="AR247" s="41">
        <f>C247/B247*1000</f>
        <v>20.057474634918773</v>
      </c>
      <c r="AS247" s="41">
        <f>D247/B247*1000</f>
        <v>19.646941528356106</v>
      </c>
      <c r="AT247" s="42"/>
      <c r="AU247" s="41">
        <f>AR247-K247</f>
        <v>-4.2525365081228728E-2</v>
      </c>
      <c r="AV247" s="41">
        <f>AS247-L247</f>
        <v>-5.3058471643893768E-2</v>
      </c>
      <c r="AW247" s="5"/>
    </row>
    <row r="248" spans="1:55" s="2" customFormat="1" x14ac:dyDescent="0.55000000000000004">
      <c r="A248" s="22" t="s">
        <v>258</v>
      </c>
      <c r="B248" s="3"/>
      <c r="C248" s="3"/>
      <c r="D248" s="3"/>
      <c r="E248" s="3"/>
      <c r="F248" s="3"/>
      <c r="G248" s="3"/>
      <c r="H248" s="3"/>
      <c r="I248" s="3"/>
      <c r="J248" s="3"/>
      <c r="K248" s="28"/>
      <c r="L248" s="28"/>
      <c r="M248" s="3"/>
      <c r="N248" s="23">
        <v>163</v>
      </c>
      <c r="O248" s="23">
        <v>67</v>
      </c>
      <c r="P248" s="23">
        <v>112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55" s="2" customFormat="1" x14ac:dyDescent="0.55000000000000004">
      <c r="A249" s="22" t="s">
        <v>259</v>
      </c>
      <c r="B249" s="3"/>
      <c r="C249" s="3"/>
      <c r="D249" s="3"/>
      <c r="E249" s="3"/>
      <c r="F249" s="3"/>
      <c r="G249" s="3"/>
      <c r="H249" s="3"/>
      <c r="I249" s="3"/>
      <c r="J249" s="3"/>
      <c r="K249" s="28"/>
      <c r="L249" s="28"/>
      <c r="M249" s="3"/>
      <c r="N249" s="23">
        <v>98</v>
      </c>
      <c r="O249" s="23">
        <v>16</v>
      </c>
      <c r="P249" s="23">
        <v>70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55" s="13" customFormat="1" x14ac:dyDescent="0.55000000000000004">
      <c r="A250" s="25" t="s">
        <v>260</v>
      </c>
      <c r="B250" s="26">
        <v>4782652</v>
      </c>
      <c r="C250" s="26">
        <v>209242</v>
      </c>
      <c r="D250" s="26">
        <v>142871</v>
      </c>
      <c r="E250" s="26">
        <v>197816</v>
      </c>
      <c r="F250" s="26">
        <v>6297</v>
      </c>
      <c r="G250" s="26">
        <v>6486</v>
      </c>
      <c r="H250" s="26">
        <v>4545114</v>
      </c>
      <c r="I250" s="26">
        <v>201988</v>
      </c>
      <c r="J250" s="26">
        <v>148026</v>
      </c>
      <c r="K250" s="32">
        <v>45.5</v>
      </c>
      <c r="L250" s="32">
        <v>31</v>
      </c>
      <c r="M250" s="4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C250" s="2"/>
      <c r="AD250" s="14">
        <f>SUM(AD225:AD249)</f>
        <v>4702857</v>
      </c>
      <c r="AE250" s="14">
        <f t="shared" ref="AE250:AL250" si="114">SUM(AE225:AE249)</f>
        <v>213553</v>
      </c>
      <c r="AF250" s="14">
        <f t="shared" si="114"/>
        <v>149699</v>
      </c>
      <c r="AG250" s="14">
        <f t="shared" si="114"/>
        <v>197816</v>
      </c>
      <c r="AH250" s="14">
        <f t="shared" si="114"/>
        <v>6297</v>
      </c>
      <c r="AI250" s="14">
        <f t="shared" si="114"/>
        <v>6486</v>
      </c>
      <c r="AJ250" s="14">
        <f t="shared" si="114"/>
        <v>4502963</v>
      </c>
      <c r="AK250" s="14">
        <f t="shared" si="114"/>
        <v>212694</v>
      </c>
      <c r="AL250" s="14">
        <f t="shared" si="114"/>
        <v>153249</v>
      </c>
      <c r="AM250" s="2"/>
      <c r="AN250" s="14">
        <f>AD250-B250</f>
        <v>-79795</v>
      </c>
      <c r="AO250" s="14">
        <f>AE250-C250</f>
        <v>4311</v>
      </c>
      <c r="AP250" s="14">
        <f>AF250-D250</f>
        <v>6828</v>
      </c>
      <c r="AQ250" s="5"/>
      <c r="AR250" s="41">
        <f>C250/B250*1000</f>
        <v>43.750203861790489</v>
      </c>
      <c r="AS250" s="41">
        <f>D250/B250*1000</f>
        <v>29.872756788493081</v>
      </c>
      <c r="AT250" s="42"/>
      <c r="AU250" s="41">
        <f>AR250-K250</f>
        <v>-1.7497961382095113</v>
      </c>
      <c r="AV250" s="41">
        <f>AS250-L250</f>
        <v>-1.1272432115069186</v>
      </c>
      <c r="AW250" s="5"/>
      <c r="AX250" s="14">
        <f t="shared" ref="AX250:BC250" si="115">E250-AG250</f>
        <v>0</v>
      </c>
      <c r="AY250" s="14">
        <f t="shared" si="115"/>
        <v>0</v>
      </c>
      <c r="AZ250" s="14">
        <f t="shared" si="115"/>
        <v>0</v>
      </c>
      <c r="BA250" s="14">
        <f t="shared" si="115"/>
        <v>42151</v>
      </c>
      <c r="BB250" s="14">
        <f t="shared" si="115"/>
        <v>-10706</v>
      </c>
      <c r="BC250" s="14">
        <f t="shared" si="115"/>
        <v>-5223</v>
      </c>
    </row>
    <row r="251" spans="1:55" s="8" customFormat="1" x14ac:dyDescent="0.55000000000000004">
      <c r="A251" s="6" t="s">
        <v>261</v>
      </c>
      <c r="B251" s="7">
        <v>519784</v>
      </c>
      <c r="C251" s="7">
        <v>15344</v>
      </c>
      <c r="D251" s="7">
        <v>10343</v>
      </c>
      <c r="E251" s="10" t="s">
        <v>23</v>
      </c>
      <c r="F251" s="10" t="s">
        <v>23</v>
      </c>
      <c r="G251" s="10" t="s">
        <v>23</v>
      </c>
      <c r="H251" s="7">
        <v>488958</v>
      </c>
      <c r="I251" s="7">
        <v>14765</v>
      </c>
      <c r="J251" s="7">
        <v>10204</v>
      </c>
      <c r="K251" s="31">
        <v>29.5</v>
      </c>
      <c r="L251" s="31">
        <v>19.899999999999999</v>
      </c>
      <c r="M251" s="3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/>
      <c r="AC251"/>
      <c r="AD251" s="9">
        <f>B251</f>
        <v>519784</v>
      </c>
      <c r="AE251" s="9">
        <f t="shared" ref="AE251:AL251" si="116">C251</f>
        <v>15344</v>
      </c>
      <c r="AF251" s="9">
        <f t="shared" si="116"/>
        <v>10343</v>
      </c>
      <c r="AG251" s="10" t="str">
        <f t="shared" si="116"/>
        <v>—</v>
      </c>
      <c r="AH251" s="10" t="str">
        <f t="shared" si="116"/>
        <v>—</v>
      </c>
      <c r="AI251" s="10" t="str">
        <f t="shared" si="116"/>
        <v>—</v>
      </c>
      <c r="AJ251" s="9">
        <f t="shared" si="116"/>
        <v>488958</v>
      </c>
      <c r="AK251" s="9">
        <f t="shared" si="116"/>
        <v>14765</v>
      </c>
      <c r="AL251" s="9">
        <f t="shared" si="116"/>
        <v>10204</v>
      </c>
      <c r="AM251" s="2"/>
      <c r="AQ251" s="2"/>
      <c r="AR251" s="41">
        <f>C251/B251*1000</f>
        <v>29.519954442614623</v>
      </c>
      <c r="AS251" s="41">
        <f>D251/B251*1000</f>
        <v>19.898650208548165</v>
      </c>
      <c r="AT251" s="42"/>
      <c r="AU251" s="41">
        <f>AR251-K251</f>
        <v>1.9954442614622536E-2</v>
      </c>
      <c r="AV251" s="41">
        <f>AS251-L251</f>
        <v>-1.3497914518332266E-3</v>
      </c>
      <c r="AW251" s="2"/>
    </row>
    <row r="252" spans="1:55" s="8" customFormat="1" x14ac:dyDescent="0.55000000000000004">
      <c r="A252" s="6" t="s">
        <v>262</v>
      </c>
      <c r="B252" s="7">
        <v>700000</v>
      </c>
      <c r="C252" s="7">
        <v>2377</v>
      </c>
      <c r="D252" s="7">
        <v>1438</v>
      </c>
      <c r="E252" s="10" t="s">
        <v>23</v>
      </c>
      <c r="F252" s="10" t="s">
        <v>23</v>
      </c>
      <c r="G252" s="10" t="s">
        <v>23</v>
      </c>
      <c r="H252" s="10" t="s">
        <v>23</v>
      </c>
      <c r="I252" s="10" t="s">
        <v>23</v>
      </c>
      <c r="J252" s="10" t="s">
        <v>23</v>
      </c>
      <c r="K252" s="30" t="s">
        <v>23</v>
      </c>
      <c r="L252" s="30" t="s">
        <v>23</v>
      </c>
      <c r="M252" s="4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/>
      <c r="AC252"/>
      <c r="AD252" s="9">
        <f>B252</f>
        <v>700000</v>
      </c>
      <c r="AE252" s="9">
        <f t="shared" ref="AE252" si="117">C252</f>
        <v>2377</v>
      </c>
      <c r="AF252" s="9">
        <f t="shared" ref="AF252" si="118">D252</f>
        <v>1438</v>
      </c>
      <c r="AG252" s="10" t="str">
        <f t="shared" ref="AG252" si="119">E252</f>
        <v>—</v>
      </c>
      <c r="AH252" s="10" t="str">
        <f t="shared" ref="AH252" si="120">F252</f>
        <v>—</v>
      </c>
      <c r="AI252" s="10" t="str">
        <f t="shared" ref="AI252" si="121">G252</f>
        <v>—</v>
      </c>
      <c r="AJ252" s="10" t="str">
        <f t="shared" ref="AJ252" si="122">H252</f>
        <v>—</v>
      </c>
      <c r="AK252" s="10" t="str">
        <f t="shared" ref="AK252" si="123">I252</f>
        <v>—</v>
      </c>
      <c r="AL252" s="10" t="str">
        <f t="shared" ref="AL252" si="124">J252</f>
        <v>—</v>
      </c>
      <c r="AM252" s="2"/>
      <c r="AQ252" s="2"/>
      <c r="AR252" s="41">
        <f>C252/B252*1000</f>
        <v>3.3957142857142859</v>
      </c>
      <c r="AS252" s="41">
        <f>D252/B252*1000</f>
        <v>2.0542857142857143</v>
      </c>
      <c r="AT252" s="42"/>
      <c r="AU252" s="41"/>
      <c r="AV252" s="41"/>
      <c r="AW252" s="2"/>
    </row>
    <row r="253" spans="1:55" s="8" customFormat="1" x14ac:dyDescent="0.55000000000000004">
      <c r="A253" s="6" t="s">
        <v>263</v>
      </c>
      <c r="B253" s="7">
        <v>712420</v>
      </c>
      <c r="C253" s="7">
        <v>3140</v>
      </c>
      <c r="D253" s="7">
        <v>2663</v>
      </c>
      <c r="E253" s="7">
        <v>94235</v>
      </c>
      <c r="F253" s="10" t="s">
        <v>23</v>
      </c>
      <c r="G253" s="10" t="s">
        <v>23</v>
      </c>
      <c r="H253" s="7">
        <v>702696</v>
      </c>
      <c r="I253" s="10" t="s">
        <v>23</v>
      </c>
      <c r="J253" s="10" t="s">
        <v>23</v>
      </c>
      <c r="K253" s="30" t="s">
        <v>23</v>
      </c>
      <c r="L253" s="30" t="s">
        <v>23</v>
      </c>
      <c r="M253" s="4"/>
      <c r="N253" s="7">
        <v>290686</v>
      </c>
      <c r="O253" s="7">
        <v>146339</v>
      </c>
      <c r="P253" s="7">
        <v>168684</v>
      </c>
      <c r="Q253" s="7">
        <v>106711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/>
      <c r="AC253"/>
      <c r="AD253" s="9">
        <f>SUM(N253:AB253)</f>
        <v>712420</v>
      </c>
      <c r="AE253" s="9">
        <f>SUM(N254:AB254)</f>
        <v>3140</v>
      </c>
      <c r="AF253" s="9">
        <f>SUM(N255:AB255)</f>
        <v>2663</v>
      </c>
      <c r="AG253" s="9">
        <f t="shared" ref="AG253:AL253" si="125">E253</f>
        <v>94235</v>
      </c>
      <c r="AH253" s="10" t="str">
        <f t="shared" si="125"/>
        <v>—</v>
      </c>
      <c r="AI253" s="10" t="str">
        <f t="shared" si="125"/>
        <v>—</v>
      </c>
      <c r="AJ253" s="9">
        <f t="shared" si="125"/>
        <v>702696</v>
      </c>
      <c r="AK253" s="10" t="str">
        <f t="shared" si="125"/>
        <v>—</v>
      </c>
      <c r="AL253" s="10" t="str">
        <f t="shared" si="125"/>
        <v>—</v>
      </c>
      <c r="AM253" s="2"/>
      <c r="AN253" s="9">
        <f>AD253-B253</f>
        <v>0</v>
      </c>
      <c r="AO253" s="9">
        <f>AE253-C253</f>
        <v>0</v>
      </c>
      <c r="AP253" s="9">
        <f>AF253-D253</f>
        <v>0</v>
      </c>
      <c r="AQ253" s="5"/>
      <c r="AR253" s="41">
        <f>C253/B253*1000</f>
        <v>4.4075124224474322</v>
      </c>
      <c r="AS253" s="41">
        <f>D253/B253*1000</f>
        <v>3.7379635608208641</v>
      </c>
      <c r="AT253" s="42"/>
      <c r="AU253" s="41"/>
      <c r="AV253" s="41"/>
      <c r="AW253" s="5"/>
    </row>
    <row r="254" spans="1:55" s="2" customFormat="1" x14ac:dyDescent="0.55000000000000004">
      <c r="A254" s="1" t="s">
        <v>264</v>
      </c>
      <c r="B254" s="3"/>
      <c r="C254" s="3"/>
      <c r="D254" s="3"/>
      <c r="E254" s="3"/>
      <c r="F254" s="3"/>
      <c r="G254" s="3"/>
      <c r="H254" s="3"/>
      <c r="I254" s="3"/>
      <c r="J254" s="3"/>
      <c r="K254" s="28"/>
      <c r="L254" s="28"/>
      <c r="M254" s="3"/>
      <c r="N254" s="3">
        <v>1219</v>
      </c>
      <c r="O254" s="4" t="s">
        <v>23</v>
      </c>
      <c r="P254" s="4" t="s">
        <v>23</v>
      </c>
      <c r="Q254" s="3">
        <v>1921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/>
      <c r="AC254"/>
    </row>
    <row r="255" spans="1:55" s="2" customFormat="1" x14ac:dyDescent="0.55000000000000004">
      <c r="A255" s="1" t="s">
        <v>265</v>
      </c>
      <c r="B255" s="3"/>
      <c r="C255" s="3"/>
      <c r="D255" s="3"/>
      <c r="E255" s="3"/>
      <c r="F255" s="3"/>
      <c r="G255" s="3"/>
      <c r="H255" s="3"/>
      <c r="I255" s="3"/>
      <c r="J255" s="3"/>
      <c r="K255" s="28"/>
      <c r="L255" s="28"/>
      <c r="M255" s="3"/>
      <c r="N255" s="3">
        <v>1182</v>
      </c>
      <c r="O255" s="4" t="s">
        <v>23</v>
      </c>
      <c r="P255" s="4" t="s">
        <v>23</v>
      </c>
      <c r="Q255" s="3">
        <v>1481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/>
      <c r="AC255"/>
    </row>
    <row r="256" spans="1:55" s="8" customFormat="1" x14ac:dyDescent="0.55000000000000004">
      <c r="A256" s="6" t="s">
        <v>266</v>
      </c>
      <c r="B256" s="48">
        <v>574219</v>
      </c>
      <c r="C256" s="7">
        <v>8966</v>
      </c>
      <c r="D256" s="7">
        <v>7688</v>
      </c>
      <c r="E256" s="7">
        <v>36194</v>
      </c>
      <c r="F256" s="7">
        <v>1451</v>
      </c>
      <c r="G256" s="7">
        <v>1117</v>
      </c>
      <c r="H256" s="7">
        <v>576719</v>
      </c>
      <c r="I256" s="10" t="s">
        <v>23</v>
      </c>
      <c r="J256" s="10" t="s">
        <v>23</v>
      </c>
      <c r="K256" s="31">
        <v>15.3</v>
      </c>
      <c r="L256" s="31">
        <v>13.1</v>
      </c>
      <c r="M256" s="4"/>
      <c r="N256" s="7">
        <v>158662</v>
      </c>
      <c r="O256" s="7">
        <v>73529</v>
      </c>
      <c r="P256" s="7">
        <v>132805</v>
      </c>
      <c r="Q256" s="7">
        <v>115139</v>
      </c>
      <c r="R256" s="7">
        <v>94084</v>
      </c>
      <c r="S256" s="7"/>
      <c r="T256" s="7"/>
      <c r="U256" s="7"/>
      <c r="V256" s="7"/>
      <c r="W256" s="7"/>
      <c r="X256" s="7"/>
      <c r="Y256" s="7"/>
      <c r="Z256" s="7"/>
      <c r="AA256" s="7"/>
      <c r="AB256"/>
      <c r="AC256"/>
      <c r="AD256" s="9">
        <f>SUM(N256:AB256)</f>
        <v>574219</v>
      </c>
      <c r="AE256" s="9">
        <f>SUM(N257:AB257)</f>
        <v>8964</v>
      </c>
      <c r="AF256" s="9">
        <f>SUM(N258:AB258)</f>
        <v>7688</v>
      </c>
      <c r="AG256" s="9">
        <f t="shared" ref="AG256:AL256" si="126">E256</f>
        <v>36194</v>
      </c>
      <c r="AH256" s="9">
        <f t="shared" si="126"/>
        <v>1451</v>
      </c>
      <c r="AI256" s="9">
        <f t="shared" si="126"/>
        <v>1117</v>
      </c>
      <c r="AJ256" s="9">
        <f t="shared" si="126"/>
        <v>576719</v>
      </c>
      <c r="AK256" s="9" t="str">
        <f t="shared" si="126"/>
        <v>—</v>
      </c>
      <c r="AL256" s="9" t="str">
        <f t="shared" si="126"/>
        <v>—</v>
      </c>
      <c r="AM256" s="2"/>
      <c r="AN256" s="9">
        <f>AD256-B256</f>
        <v>0</v>
      </c>
      <c r="AO256" s="9">
        <f>AE256-C256</f>
        <v>-2</v>
      </c>
      <c r="AP256" s="9">
        <f>AF256-D256</f>
        <v>0</v>
      </c>
      <c r="AQ256" s="5"/>
      <c r="AR256" s="41">
        <f>C256/B256*1000</f>
        <v>15.6142517053598</v>
      </c>
      <c r="AS256" s="41">
        <f>D256/B256*1000</f>
        <v>13.38862002128108</v>
      </c>
      <c r="AT256" s="42"/>
      <c r="AU256" s="41">
        <f>AR256-K256</f>
        <v>0.31425170535979952</v>
      </c>
      <c r="AV256" s="41">
        <f>AS256-L256</f>
        <v>0.28862002128107989</v>
      </c>
      <c r="AW256" s="5"/>
    </row>
    <row r="257" spans="1:49" s="2" customFormat="1" x14ac:dyDescent="0.55000000000000004">
      <c r="A257" s="1" t="s">
        <v>267</v>
      </c>
      <c r="B257" s="3"/>
      <c r="C257" s="3"/>
      <c r="D257" s="3"/>
      <c r="E257" s="3"/>
      <c r="F257" s="3"/>
      <c r="G257" s="3"/>
      <c r="H257" s="3"/>
      <c r="I257" s="3"/>
      <c r="J257" s="3"/>
      <c r="K257" s="28"/>
      <c r="L257" s="28"/>
      <c r="M257" s="3"/>
      <c r="N257" s="3">
        <v>2865</v>
      </c>
      <c r="O257" s="3">
        <v>1081</v>
      </c>
      <c r="P257" s="3">
        <v>1453</v>
      </c>
      <c r="Q257" s="3">
        <v>1768</v>
      </c>
      <c r="R257" s="3">
        <v>1797</v>
      </c>
      <c r="S257" s="3"/>
      <c r="T257" s="3"/>
      <c r="U257" s="3"/>
      <c r="V257" s="3"/>
      <c r="W257" s="3"/>
      <c r="X257" s="3"/>
      <c r="Y257" s="3"/>
      <c r="Z257" s="3"/>
      <c r="AA257" s="3"/>
      <c r="AB257"/>
      <c r="AC257"/>
    </row>
    <row r="258" spans="1:49" s="2" customFormat="1" x14ac:dyDescent="0.55000000000000004">
      <c r="A258" s="1" t="s">
        <v>268</v>
      </c>
      <c r="B258" s="3"/>
      <c r="C258" s="3"/>
      <c r="D258" s="3"/>
      <c r="E258" s="3"/>
      <c r="F258" s="3"/>
      <c r="G258" s="3"/>
      <c r="H258" s="3"/>
      <c r="I258" s="3"/>
      <c r="J258" s="3"/>
      <c r="K258" s="28"/>
      <c r="L258" s="28"/>
      <c r="M258" s="3"/>
      <c r="N258" s="3">
        <v>2501</v>
      </c>
      <c r="O258" s="3">
        <v>980</v>
      </c>
      <c r="P258" s="3">
        <v>1046</v>
      </c>
      <c r="Q258" s="3">
        <v>1284</v>
      </c>
      <c r="R258" s="3">
        <v>1877</v>
      </c>
      <c r="S258" s="3"/>
      <c r="T258" s="3"/>
      <c r="U258" s="3"/>
      <c r="V258" s="3"/>
      <c r="W258" s="3"/>
      <c r="X258" s="3"/>
      <c r="Y258" s="3"/>
      <c r="Z258" s="3"/>
      <c r="AA258" s="3"/>
      <c r="AB258"/>
      <c r="AC258"/>
    </row>
    <row r="259" spans="1:49" s="8" customFormat="1" x14ac:dyDescent="0.55000000000000004">
      <c r="A259" s="6" t="s">
        <v>269</v>
      </c>
      <c r="B259" s="48">
        <v>658241</v>
      </c>
      <c r="C259" s="7">
        <v>15346</v>
      </c>
      <c r="D259" s="7">
        <v>10650</v>
      </c>
      <c r="E259" s="7">
        <v>27547</v>
      </c>
      <c r="F259" s="7">
        <v>990</v>
      </c>
      <c r="G259" s="7">
        <v>742</v>
      </c>
      <c r="H259" s="7">
        <v>632406</v>
      </c>
      <c r="I259" s="7">
        <v>12353</v>
      </c>
      <c r="J259" s="7">
        <v>8897</v>
      </c>
      <c r="K259" s="31">
        <v>22.5</v>
      </c>
      <c r="L259" s="31">
        <v>15.9</v>
      </c>
      <c r="M259" s="3"/>
      <c r="N259" s="7">
        <v>201770</v>
      </c>
      <c r="O259" s="7">
        <v>80932</v>
      </c>
      <c r="P259" s="7">
        <v>60000</v>
      </c>
      <c r="Q259" s="7">
        <v>114961</v>
      </c>
      <c r="R259" s="7">
        <v>100167</v>
      </c>
      <c r="S259" s="7">
        <v>100411</v>
      </c>
      <c r="T259" s="7"/>
      <c r="U259" s="7"/>
      <c r="V259" s="7"/>
      <c r="W259" s="7"/>
      <c r="X259" s="7"/>
      <c r="Y259" s="7"/>
      <c r="Z259" s="7"/>
      <c r="AA259" s="7"/>
      <c r="AB259"/>
      <c r="AC259"/>
      <c r="AD259" s="9">
        <f>SUM(N259:AB259)</f>
        <v>658241</v>
      </c>
      <c r="AE259" s="9">
        <f>SUM(N260:AB260)</f>
        <v>15285</v>
      </c>
      <c r="AF259" s="9">
        <f>SUM(N261:AB261)</f>
        <v>10650</v>
      </c>
      <c r="AG259" s="9">
        <f t="shared" ref="AG259:AL259" si="127">E259</f>
        <v>27547</v>
      </c>
      <c r="AH259" s="9">
        <f t="shared" si="127"/>
        <v>990</v>
      </c>
      <c r="AI259" s="9">
        <f t="shared" si="127"/>
        <v>742</v>
      </c>
      <c r="AJ259" s="9">
        <f t="shared" si="127"/>
        <v>632406</v>
      </c>
      <c r="AK259" s="9">
        <f t="shared" si="127"/>
        <v>12353</v>
      </c>
      <c r="AL259" s="9">
        <f t="shared" si="127"/>
        <v>8897</v>
      </c>
      <c r="AM259" s="2"/>
      <c r="AN259" s="9">
        <f>AD259-B259</f>
        <v>0</v>
      </c>
      <c r="AO259" s="9">
        <f>AE259-C259</f>
        <v>-61</v>
      </c>
      <c r="AP259" s="9">
        <f>AF259-D259</f>
        <v>0</v>
      </c>
      <c r="AQ259" s="5"/>
      <c r="AR259" s="41">
        <f>C259/B259*1000</f>
        <v>23.313649559963597</v>
      </c>
      <c r="AS259" s="41">
        <f>D259/B259*1000</f>
        <v>16.179484413763348</v>
      </c>
      <c r="AT259" s="42"/>
      <c r="AU259" s="41">
        <f>AR259-K259</f>
        <v>0.81364955996359711</v>
      </c>
      <c r="AV259" s="41">
        <f>AS259-L259</f>
        <v>0.27948441376334721</v>
      </c>
      <c r="AW259" s="5"/>
    </row>
    <row r="260" spans="1:49" s="2" customFormat="1" x14ac:dyDescent="0.55000000000000004">
      <c r="A260" s="1" t="s">
        <v>270</v>
      </c>
      <c r="B260" s="3"/>
      <c r="C260" s="3"/>
      <c r="D260" s="3"/>
      <c r="E260" s="3"/>
      <c r="F260" s="3"/>
      <c r="G260" s="3"/>
      <c r="H260" s="3"/>
      <c r="I260" s="3"/>
      <c r="J260" s="3"/>
      <c r="K260" s="28"/>
      <c r="L260" s="28"/>
      <c r="M260" s="3"/>
      <c r="N260" s="3">
        <v>5983</v>
      </c>
      <c r="O260" s="3">
        <v>281</v>
      </c>
      <c r="P260" s="3">
        <v>468</v>
      </c>
      <c r="Q260" s="3">
        <v>2774</v>
      </c>
      <c r="R260" s="3">
        <v>2642</v>
      </c>
      <c r="S260" s="3">
        <v>3137</v>
      </c>
      <c r="T260" s="3"/>
      <c r="U260" s="3"/>
      <c r="V260" s="3"/>
      <c r="W260" s="3"/>
      <c r="X260" s="3"/>
      <c r="Y260" s="3"/>
      <c r="Z260" s="3"/>
      <c r="AA260" s="3"/>
      <c r="AB260"/>
      <c r="AC260"/>
    </row>
    <row r="261" spans="1:49" s="2" customFormat="1" x14ac:dyDescent="0.55000000000000004">
      <c r="A261" s="1" t="s">
        <v>271</v>
      </c>
      <c r="B261" s="3"/>
      <c r="C261" s="3"/>
      <c r="D261" s="3"/>
      <c r="E261" s="3"/>
      <c r="F261" s="3"/>
      <c r="G261" s="3"/>
      <c r="H261" s="3"/>
      <c r="I261" s="3"/>
      <c r="J261" s="3"/>
      <c r="K261" s="28"/>
      <c r="L261" s="28"/>
      <c r="M261" s="3"/>
      <c r="N261" s="3">
        <v>4319</v>
      </c>
      <c r="O261" s="3">
        <v>143</v>
      </c>
      <c r="P261" s="3">
        <v>85</v>
      </c>
      <c r="Q261" s="3">
        <v>2370</v>
      </c>
      <c r="R261" s="3">
        <v>2022</v>
      </c>
      <c r="S261" s="3">
        <v>1711</v>
      </c>
      <c r="T261" s="3"/>
      <c r="U261" s="3"/>
      <c r="V261" s="3"/>
      <c r="W261" s="3"/>
      <c r="X261" s="3"/>
      <c r="Y261" s="3"/>
      <c r="Z261" s="3"/>
      <c r="AA261" s="3"/>
      <c r="AB261"/>
      <c r="AC261"/>
    </row>
    <row r="262" spans="1:49" s="8" customFormat="1" x14ac:dyDescent="0.55000000000000004">
      <c r="A262" s="6" t="s">
        <v>272</v>
      </c>
      <c r="B262" s="48">
        <v>1139062</v>
      </c>
      <c r="C262" s="7">
        <v>7525</v>
      </c>
      <c r="D262" s="7">
        <v>4334</v>
      </c>
      <c r="E262" s="7">
        <v>133108</v>
      </c>
      <c r="F262" s="10" t="s">
        <v>23</v>
      </c>
      <c r="G262" s="10" t="s">
        <v>23</v>
      </c>
      <c r="H262" s="7">
        <v>1114309</v>
      </c>
      <c r="I262" s="10" t="s">
        <v>23</v>
      </c>
      <c r="J262" s="10" t="s">
        <v>23</v>
      </c>
      <c r="K262" s="31" t="s">
        <v>23</v>
      </c>
      <c r="L262" s="31" t="s">
        <v>23</v>
      </c>
      <c r="M262" s="4"/>
      <c r="N262" s="7">
        <v>370275</v>
      </c>
      <c r="O262" s="7">
        <v>186509</v>
      </c>
      <c r="P262" s="7">
        <v>128375</v>
      </c>
      <c r="Q262" s="7">
        <v>105253</v>
      </c>
      <c r="R262" s="7">
        <v>199340</v>
      </c>
      <c r="S262" s="7">
        <v>149310</v>
      </c>
      <c r="T262" s="7"/>
      <c r="U262" s="7"/>
      <c r="V262" s="7"/>
      <c r="W262" s="7"/>
      <c r="X262" s="7"/>
      <c r="Y262" s="7"/>
      <c r="Z262" s="7"/>
      <c r="AA262" s="7"/>
      <c r="AB262"/>
      <c r="AC262"/>
      <c r="AD262" s="9">
        <f>SUM(N262:AB262)</f>
        <v>1139062</v>
      </c>
      <c r="AE262" s="9">
        <f>SUM(N263:AB263)</f>
        <v>7525</v>
      </c>
      <c r="AF262" s="9">
        <f>SUM(N264:AB264)</f>
        <v>4334</v>
      </c>
      <c r="AG262" s="9">
        <f t="shared" ref="AG262:AL262" si="128">E262</f>
        <v>133108</v>
      </c>
      <c r="AH262" s="10" t="str">
        <f t="shared" si="128"/>
        <v>—</v>
      </c>
      <c r="AI262" s="10" t="str">
        <f t="shared" si="128"/>
        <v>—</v>
      </c>
      <c r="AJ262" s="9">
        <f t="shared" si="128"/>
        <v>1114309</v>
      </c>
      <c r="AK262" s="9" t="str">
        <f t="shared" si="128"/>
        <v>—</v>
      </c>
      <c r="AL262" s="9" t="str">
        <f t="shared" si="128"/>
        <v>—</v>
      </c>
      <c r="AM262" s="2"/>
      <c r="AN262" s="9">
        <f>AD262-B262</f>
        <v>0</v>
      </c>
      <c r="AO262" s="9">
        <f>AE262-C262</f>
        <v>0</v>
      </c>
      <c r="AP262" s="9">
        <f>AF262-D262</f>
        <v>0</v>
      </c>
      <c r="AQ262" s="5"/>
      <c r="AR262" s="41">
        <f>C262/B262*1000</f>
        <v>6.6063129136078631</v>
      </c>
      <c r="AS262" s="41">
        <f>D262/B262*1000</f>
        <v>3.8048850721031866</v>
      </c>
      <c r="AT262" s="42"/>
      <c r="AU262" s="41"/>
      <c r="AV262" s="41"/>
      <c r="AW262" s="5"/>
    </row>
    <row r="263" spans="1:49" s="2" customFormat="1" x14ac:dyDescent="0.55000000000000004">
      <c r="A263" s="1" t="s">
        <v>273</v>
      </c>
      <c r="B263" s="3"/>
      <c r="C263" s="3"/>
      <c r="D263" s="3"/>
      <c r="E263" s="3"/>
      <c r="F263" s="3"/>
      <c r="G263" s="3"/>
      <c r="H263" s="3"/>
      <c r="I263" s="3"/>
      <c r="J263" s="3"/>
      <c r="K263" s="28"/>
      <c r="L263" s="28"/>
      <c r="M263" s="3"/>
      <c r="N263" s="3">
        <v>262</v>
      </c>
      <c r="O263" s="3">
        <v>7263</v>
      </c>
      <c r="P263" s="4" t="s">
        <v>23</v>
      </c>
      <c r="Q263" s="4" t="s">
        <v>23</v>
      </c>
      <c r="R263" s="4" t="s">
        <v>23</v>
      </c>
      <c r="S263" s="4" t="s">
        <v>23</v>
      </c>
      <c r="T263" s="3"/>
      <c r="U263" s="3"/>
      <c r="V263" s="3"/>
      <c r="W263" s="3"/>
      <c r="X263" s="3"/>
      <c r="Y263" s="3"/>
      <c r="Z263" s="3"/>
      <c r="AA263" s="3"/>
      <c r="AB263"/>
      <c r="AC263"/>
    </row>
    <row r="264" spans="1:49" s="2" customFormat="1" x14ac:dyDescent="0.55000000000000004">
      <c r="A264" s="1" t="s">
        <v>274</v>
      </c>
      <c r="B264" s="3"/>
      <c r="C264" s="3"/>
      <c r="D264" s="3"/>
      <c r="E264" s="3"/>
      <c r="F264" s="3"/>
      <c r="G264" s="3"/>
      <c r="H264" s="3"/>
      <c r="I264" s="3"/>
      <c r="J264" s="3"/>
      <c r="K264" s="28"/>
      <c r="L264" s="28"/>
      <c r="M264" s="3"/>
      <c r="N264" s="3">
        <v>206</v>
      </c>
      <c r="O264" s="3">
        <v>4128</v>
      </c>
      <c r="P264" s="4" t="s">
        <v>23</v>
      </c>
      <c r="Q264" s="4" t="s">
        <v>23</v>
      </c>
      <c r="R264" s="4" t="s">
        <v>23</v>
      </c>
      <c r="S264" s="4" t="s">
        <v>23</v>
      </c>
      <c r="T264" s="3"/>
      <c r="U264" s="3"/>
      <c r="V264" s="3"/>
      <c r="W264" s="3"/>
      <c r="X264" s="3"/>
      <c r="Y264" s="3"/>
      <c r="Z264" s="3"/>
      <c r="AA264" s="3"/>
      <c r="AB264"/>
      <c r="AC264"/>
    </row>
    <row r="265" spans="1:49" s="8" customFormat="1" x14ac:dyDescent="0.55000000000000004">
      <c r="A265" s="6" t="s">
        <v>275</v>
      </c>
      <c r="B265" s="7">
        <v>397959</v>
      </c>
      <c r="C265" s="7">
        <v>11648</v>
      </c>
      <c r="D265" s="7">
        <v>7437</v>
      </c>
      <c r="E265" s="10" t="s">
        <v>23</v>
      </c>
      <c r="F265" s="10" t="s">
        <v>23</v>
      </c>
      <c r="G265" s="10" t="s">
        <v>23</v>
      </c>
      <c r="H265" s="7">
        <v>354965</v>
      </c>
      <c r="I265" s="7">
        <v>3475</v>
      </c>
      <c r="J265" s="7">
        <v>2269</v>
      </c>
      <c r="K265" s="31" t="s">
        <v>23</v>
      </c>
      <c r="L265" s="31" t="s">
        <v>23</v>
      </c>
      <c r="M265" s="3"/>
      <c r="N265" s="7">
        <v>70611</v>
      </c>
      <c r="O265" s="7">
        <v>88208</v>
      </c>
      <c r="P265" s="7">
        <v>84320</v>
      </c>
      <c r="Q265" s="7">
        <v>154820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/>
      <c r="AC265"/>
      <c r="AD265" s="9">
        <f>SUM(N265:AB265)</f>
        <v>397959</v>
      </c>
      <c r="AE265" s="9">
        <f>SUM(N266:AB266)</f>
        <v>11648</v>
      </c>
      <c r="AF265" s="9">
        <f>SUM(N267:AB267)</f>
        <v>7437</v>
      </c>
      <c r="AG265" s="10" t="str">
        <f t="shared" ref="AG265:AL265" si="129">E265</f>
        <v>—</v>
      </c>
      <c r="AH265" s="10" t="str">
        <f t="shared" si="129"/>
        <v>—</v>
      </c>
      <c r="AI265" s="10" t="str">
        <f t="shared" si="129"/>
        <v>—</v>
      </c>
      <c r="AJ265" s="9">
        <f t="shared" si="129"/>
        <v>354965</v>
      </c>
      <c r="AK265" s="9">
        <f t="shared" si="129"/>
        <v>3475</v>
      </c>
      <c r="AL265" s="9">
        <f t="shared" si="129"/>
        <v>2269</v>
      </c>
      <c r="AM265" s="2"/>
      <c r="AN265" s="9">
        <f>AD265-B265</f>
        <v>0</v>
      </c>
      <c r="AO265" s="9">
        <f>AE265-C265</f>
        <v>0</v>
      </c>
      <c r="AP265" s="9">
        <f>AF265-D265</f>
        <v>0</v>
      </c>
      <c r="AQ265" s="5"/>
      <c r="AR265" s="41">
        <f>C265/B265*1000</f>
        <v>29.269346842262646</v>
      </c>
      <c r="AS265" s="41">
        <f>D265/B265*1000</f>
        <v>18.6878547790099</v>
      </c>
      <c r="AT265" s="42"/>
      <c r="AU265" s="41"/>
      <c r="AV265" s="41"/>
      <c r="AW265" s="5"/>
    </row>
    <row r="266" spans="1:49" s="2" customFormat="1" x14ac:dyDescent="0.55000000000000004">
      <c r="A266" s="1" t="s">
        <v>276</v>
      </c>
      <c r="B266" s="3"/>
      <c r="C266" s="3"/>
      <c r="D266" s="3"/>
      <c r="E266" s="3"/>
      <c r="F266" s="3"/>
      <c r="G266" s="3"/>
      <c r="H266" s="3"/>
      <c r="I266" s="3"/>
      <c r="J266" s="3"/>
      <c r="K266" s="28"/>
      <c r="L266" s="28"/>
      <c r="M266" s="3"/>
      <c r="N266" s="3">
        <v>2069</v>
      </c>
      <c r="O266" s="3">
        <v>152</v>
      </c>
      <c r="P266" s="3">
        <v>1970</v>
      </c>
      <c r="Q266" s="3">
        <v>7457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/>
      <c r="AC266"/>
    </row>
    <row r="267" spans="1:49" s="2" customFormat="1" x14ac:dyDescent="0.55000000000000004">
      <c r="A267" s="1" t="s">
        <v>277</v>
      </c>
      <c r="B267" s="3"/>
      <c r="C267" s="3"/>
      <c r="D267" s="3"/>
      <c r="E267" s="3"/>
      <c r="F267" s="3"/>
      <c r="G267" s="3"/>
      <c r="H267" s="3"/>
      <c r="I267" s="3"/>
      <c r="J267" s="3"/>
      <c r="K267" s="28"/>
      <c r="L267" s="28"/>
      <c r="M267" s="3"/>
      <c r="N267" s="3">
        <v>1538</v>
      </c>
      <c r="O267" s="3">
        <v>66</v>
      </c>
      <c r="P267" s="3">
        <v>1546</v>
      </c>
      <c r="Q267" s="3">
        <v>4287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/>
      <c r="AC267"/>
    </row>
    <row r="268" spans="1:49" s="8" customFormat="1" x14ac:dyDescent="0.55000000000000004">
      <c r="A268" s="6" t="s">
        <v>278</v>
      </c>
      <c r="B268" s="7">
        <v>562485</v>
      </c>
      <c r="C268" s="7">
        <v>7889</v>
      </c>
      <c r="D268" s="7">
        <v>4448</v>
      </c>
      <c r="E268" s="10" t="s">
        <v>23</v>
      </c>
      <c r="F268" s="10" t="s">
        <v>23</v>
      </c>
      <c r="G268" s="10" t="s">
        <v>23</v>
      </c>
      <c r="H268" s="7">
        <v>551235</v>
      </c>
      <c r="I268" s="7">
        <v>6383</v>
      </c>
      <c r="J268" s="7">
        <v>4380</v>
      </c>
      <c r="K268" s="31" t="s">
        <v>23</v>
      </c>
      <c r="L268" s="31" t="s">
        <v>23</v>
      </c>
      <c r="M268" s="3"/>
      <c r="N268" s="7">
        <v>226868</v>
      </c>
      <c r="O268" s="7">
        <v>102678</v>
      </c>
      <c r="P268" s="7">
        <v>136603</v>
      </c>
      <c r="Q268" s="7">
        <v>96336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/>
      <c r="AC268"/>
      <c r="AD268" s="9">
        <f>SUM(N268:AB268)</f>
        <v>562485</v>
      </c>
      <c r="AE268" s="9">
        <f>SUM(N269:AB269)</f>
        <v>7889</v>
      </c>
      <c r="AF268" s="9">
        <f>SUM(N270:AB270)</f>
        <v>4448</v>
      </c>
      <c r="AG268" s="10" t="str">
        <f t="shared" ref="AG268:AL268" si="130">E268</f>
        <v>—</v>
      </c>
      <c r="AH268" s="10" t="str">
        <f t="shared" si="130"/>
        <v>—</v>
      </c>
      <c r="AI268" s="10" t="str">
        <f t="shared" si="130"/>
        <v>—</v>
      </c>
      <c r="AJ268" s="9">
        <f t="shared" si="130"/>
        <v>551235</v>
      </c>
      <c r="AK268" s="9">
        <f t="shared" si="130"/>
        <v>6383</v>
      </c>
      <c r="AL268" s="9">
        <f t="shared" si="130"/>
        <v>4380</v>
      </c>
      <c r="AM268" s="2"/>
      <c r="AN268" s="9">
        <f>AD268-B268</f>
        <v>0</v>
      </c>
      <c r="AO268" s="9">
        <f>AE268-C268</f>
        <v>0</v>
      </c>
      <c r="AP268" s="9">
        <f>AF268-D268</f>
        <v>0</v>
      </c>
      <c r="AQ268" s="5"/>
      <c r="AR268" s="41">
        <f>C268/B268*1000</f>
        <v>14.025262895899447</v>
      </c>
      <c r="AS268" s="41">
        <f>D268/B268*1000</f>
        <v>7.9077664293270047</v>
      </c>
      <c r="AT268" s="42"/>
      <c r="AU268" s="41"/>
      <c r="AV268" s="41"/>
      <c r="AW268" s="5"/>
    </row>
    <row r="269" spans="1:49" s="2" customFormat="1" x14ac:dyDescent="0.55000000000000004">
      <c r="A269" s="1" t="s">
        <v>279</v>
      </c>
      <c r="B269" s="3"/>
      <c r="C269" s="3"/>
      <c r="D269" s="3"/>
      <c r="E269" s="3"/>
      <c r="F269" s="3"/>
      <c r="G269" s="3"/>
      <c r="H269" s="3"/>
      <c r="I269" s="3"/>
      <c r="J269" s="3"/>
      <c r="K269" s="28"/>
      <c r="L269" s="28"/>
      <c r="M269" s="3"/>
      <c r="N269" s="3">
        <v>5849</v>
      </c>
      <c r="O269" s="3">
        <v>655</v>
      </c>
      <c r="P269" s="3">
        <v>1361</v>
      </c>
      <c r="Q269" s="3">
        <v>24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/>
      <c r="AC269"/>
    </row>
    <row r="270" spans="1:49" s="2" customFormat="1" x14ac:dyDescent="0.55000000000000004">
      <c r="A270" s="1" t="s">
        <v>280</v>
      </c>
      <c r="B270" s="3"/>
      <c r="C270" s="3"/>
      <c r="D270" s="3"/>
      <c r="E270" s="3"/>
      <c r="F270" s="3"/>
      <c r="G270" s="3"/>
      <c r="H270" s="3"/>
      <c r="I270" s="3"/>
      <c r="J270" s="3"/>
      <c r="K270" s="28"/>
      <c r="L270" s="28"/>
      <c r="M270" s="3"/>
      <c r="N270" s="3">
        <v>3566</v>
      </c>
      <c r="O270" s="3">
        <v>296</v>
      </c>
      <c r="P270" s="3">
        <v>579</v>
      </c>
      <c r="Q270" s="3">
        <v>7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/>
      <c r="AC270"/>
    </row>
    <row r="271" spans="1:49" s="8" customFormat="1" x14ac:dyDescent="0.55000000000000004">
      <c r="A271" s="6" t="s">
        <v>281</v>
      </c>
      <c r="B271" s="7">
        <v>804949</v>
      </c>
      <c r="C271" s="7">
        <v>48145</v>
      </c>
      <c r="D271" s="7">
        <v>36045</v>
      </c>
      <c r="E271" s="7">
        <v>142459</v>
      </c>
      <c r="F271" s="10" t="s">
        <v>23</v>
      </c>
      <c r="G271" s="10" t="s">
        <v>23</v>
      </c>
      <c r="H271" s="7">
        <v>782623</v>
      </c>
      <c r="I271" s="7">
        <v>18921</v>
      </c>
      <c r="J271" s="7">
        <v>12445</v>
      </c>
      <c r="K271" s="31">
        <v>59.8</v>
      </c>
      <c r="L271" s="31">
        <v>44.8</v>
      </c>
      <c r="M271" s="3"/>
      <c r="N271" s="7">
        <v>178692</v>
      </c>
      <c r="O271" s="7">
        <v>134096</v>
      </c>
      <c r="P271" s="7">
        <v>254000</v>
      </c>
      <c r="Q271" s="7">
        <v>197209</v>
      </c>
      <c r="R271" s="7">
        <v>40952</v>
      </c>
      <c r="S271" s="7"/>
      <c r="T271" s="7"/>
      <c r="U271" s="7"/>
      <c r="V271" s="7"/>
      <c r="W271" s="7"/>
      <c r="X271" s="7"/>
      <c r="Y271" s="7"/>
      <c r="Z271" s="7"/>
      <c r="AA271" s="7"/>
      <c r="AB271"/>
      <c r="AC271"/>
      <c r="AD271" s="9">
        <f>SUM(N271:AB271)</f>
        <v>804949</v>
      </c>
      <c r="AE271" s="9">
        <f>SUM(N272:AB272)</f>
        <v>48145</v>
      </c>
      <c r="AF271" s="9">
        <f>SUM(N273:AB273)</f>
        <v>36045</v>
      </c>
      <c r="AG271" s="9">
        <f t="shared" ref="AG271:AL271" si="131">E271</f>
        <v>142459</v>
      </c>
      <c r="AH271" s="10" t="str">
        <f t="shared" si="131"/>
        <v>—</v>
      </c>
      <c r="AI271" s="10" t="str">
        <f t="shared" si="131"/>
        <v>—</v>
      </c>
      <c r="AJ271" s="9">
        <f t="shared" si="131"/>
        <v>782623</v>
      </c>
      <c r="AK271" s="9">
        <f t="shared" si="131"/>
        <v>18921</v>
      </c>
      <c r="AL271" s="9">
        <f t="shared" si="131"/>
        <v>12445</v>
      </c>
      <c r="AM271" s="2"/>
      <c r="AN271" s="9">
        <f>AD271-B271</f>
        <v>0</v>
      </c>
      <c r="AO271" s="9">
        <f>AE271-C271</f>
        <v>0</v>
      </c>
      <c r="AP271" s="9">
        <f>AF271-D271</f>
        <v>0</v>
      </c>
      <c r="AQ271" s="5"/>
      <c r="AR271" s="41">
        <f>C271/B271*1000</f>
        <v>59.811242699848059</v>
      </c>
      <c r="AS271" s="41">
        <f>D271/B271*1000</f>
        <v>44.779234460816774</v>
      </c>
      <c r="AT271" s="42"/>
      <c r="AU271" s="41">
        <f>AR271-K271</f>
        <v>1.1242699848061477E-2</v>
      </c>
      <c r="AV271" s="41">
        <f>AS271-L271</f>
        <v>-2.0765539183223325E-2</v>
      </c>
      <c r="AW271" s="5"/>
    </row>
    <row r="272" spans="1:49" s="2" customFormat="1" x14ac:dyDescent="0.55000000000000004">
      <c r="A272" s="1" t="s">
        <v>282</v>
      </c>
      <c r="B272" s="3"/>
      <c r="C272" s="3"/>
      <c r="D272" s="3"/>
      <c r="E272" s="3"/>
      <c r="F272" s="3"/>
      <c r="G272" s="3"/>
      <c r="H272" s="3"/>
      <c r="I272" s="3"/>
      <c r="J272" s="3"/>
      <c r="K272" s="28"/>
      <c r="L272" s="28"/>
      <c r="M272" s="3"/>
      <c r="N272" s="3">
        <v>21817</v>
      </c>
      <c r="O272" s="3">
        <v>10760</v>
      </c>
      <c r="P272" s="3">
        <v>5757</v>
      </c>
      <c r="Q272" s="3">
        <v>7168</v>
      </c>
      <c r="R272" s="3">
        <v>2643</v>
      </c>
      <c r="S272" s="3"/>
      <c r="T272" s="3"/>
      <c r="U272" s="3"/>
      <c r="V272" s="3"/>
      <c r="W272" s="3"/>
      <c r="X272" s="3"/>
      <c r="Y272" s="3"/>
      <c r="Z272" s="3"/>
      <c r="AA272" s="3"/>
      <c r="AB272"/>
      <c r="AC272"/>
    </row>
    <row r="273" spans="1:55" s="2" customFormat="1" x14ac:dyDescent="0.55000000000000004">
      <c r="A273" s="1" t="s">
        <v>283</v>
      </c>
      <c r="B273" s="3"/>
      <c r="C273" s="3"/>
      <c r="D273" s="3"/>
      <c r="E273" s="3"/>
      <c r="F273" s="3"/>
      <c r="G273" s="3"/>
      <c r="H273" s="3"/>
      <c r="I273" s="3"/>
      <c r="J273" s="3"/>
      <c r="K273" s="28"/>
      <c r="L273" s="28"/>
      <c r="M273" s="3"/>
      <c r="N273" s="3">
        <v>19392</v>
      </c>
      <c r="O273" s="3">
        <v>6721</v>
      </c>
      <c r="P273" s="3">
        <v>3902</v>
      </c>
      <c r="Q273" s="3">
        <v>5241</v>
      </c>
      <c r="R273" s="3">
        <v>789</v>
      </c>
      <c r="S273" s="3"/>
      <c r="T273" s="3"/>
      <c r="U273" s="3"/>
      <c r="V273" s="3"/>
      <c r="W273" s="3"/>
      <c r="X273" s="3"/>
      <c r="Y273" s="3"/>
      <c r="Z273" s="3"/>
      <c r="AA273" s="3"/>
      <c r="AB273"/>
      <c r="AC273"/>
      <c r="AD273" s="5"/>
    </row>
    <row r="274" spans="1:55" s="13" customFormat="1" x14ac:dyDescent="0.55000000000000004">
      <c r="A274" s="11" t="s">
        <v>284</v>
      </c>
      <c r="B274" s="12">
        <v>6106894</v>
      </c>
      <c r="C274" s="12">
        <v>130780</v>
      </c>
      <c r="D274" s="12">
        <v>85046</v>
      </c>
      <c r="E274" s="12">
        <v>433543</v>
      </c>
      <c r="F274" s="12" t="s">
        <v>23</v>
      </c>
      <c r="G274" s="12" t="s">
        <v>23</v>
      </c>
      <c r="H274" s="12">
        <v>5901196</v>
      </c>
      <c r="I274" s="12">
        <v>62717</v>
      </c>
      <c r="J274" s="12">
        <v>44227</v>
      </c>
      <c r="K274" s="32">
        <v>37.700000000000003</v>
      </c>
      <c r="L274" s="32">
        <v>26.9</v>
      </c>
      <c r="M274" s="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/>
      <c r="AC274"/>
      <c r="AD274" s="14">
        <f>SUM(AD251:AD273)</f>
        <v>6069119</v>
      </c>
      <c r="AE274" s="14">
        <f t="shared" ref="AE274:AL274" si="132">SUM(AE251:AE273)</f>
        <v>120317</v>
      </c>
      <c r="AF274" s="14">
        <f t="shared" si="132"/>
        <v>85046</v>
      </c>
      <c r="AG274" s="14">
        <f t="shared" si="132"/>
        <v>433543</v>
      </c>
      <c r="AH274" s="14">
        <f t="shared" si="132"/>
        <v>2441</v>
      </c>
      <c r="AI274" s="14">
        <f t="shared" si="132"/>
        <v>1859</v>
      </c>
      <c r="AJ274" s="14">
        <f t="shared" si="132"/>
        <v>5203911</v>
      </c>
      <c r="AK274" s="14">
        <f t="shared" si="132"/>
        <v>55897</v>
      </c>
      <c r="AL274" s="14">
        <f t="shared" si="132"/>
        <v>38195</v>
      </c>
      <c r="AM274" s="2"/>
      <c r="AN274" s="14">
        <f t="shared" ref="AN274:AP275" si="133">AD274-B274</f>
        <v>-37775</v>
      </c>
      <c r="AO274" s="14">
        <f t="shared" si="133"/>
        <v>-10463</v>
      </c>
      <c r="AP274" s="14">
        <f t="shared" si="133"/>
        <v>0</v>
      </c>
      <c r="AQ274" s="5"/>
      <c r="AR274" s="41">
        <f>C274/B274*1000</f>
        <v>21.41514164156116</v>
      </c>
      <c r="AS274" s="41">
        <f>D274/B274*1000</f>
        <v>13.926228292156372</v>
      </c>
      <c r="AT274" s="42"/>
      <c r="AU274" s="41">
        <f>AR274-K274</f>
        <v>-16.284858358438843</v>
      </c>
      <c r="AV274" s="41">
        <f>AS274-L274</f>
        <v>-12.973771707843627</v>
      </c>
      <c r="AW274" s="5"/>
      <c r="AX274" s="14">
        <f>E274-AG274</f>
        <v>0</v>
      </c>
      <c r="AY274" s="14"/>
      <c r="AZ274" s="14"/>
      <c r="BA274" s="14">
        <f t="shared" ref="BA274:BC275" si="134">H274-AJ274</f>
        <v>697285</v>
      </c>
      <c r="BB274" s="14">
        <f t="shared" si="134"/>
        <v>6820</v>
      </c>
      <c r="BC274" s="14">
        <f t="shared" si="134"/>
        <v>6032</v>
      </c>
    </row>
    <row r="275" spans="1:55" s="13" customFormat="1" x14ac:dyDescent="0.55000000000000004">
      <c r="A275" s="11" t="s">
        <v>285</v>
      </c>
      <c r="B275" s="12">
        <v>116652610</v>
      </c>
      <c r="C275" s="12">
        <v>5227118</v>
      </c>
      <c r="D275" s="12">
        <v>3790861</v>
      </c>
      <c r="E275" s="12">
        <v>11429561</v>
      </c>
      <c r="F275" s="12">
        <v>397551</v>
      </c>
      <c r="G275" s="12">
        <v>317787</v>
      </c>
      <c r="H275" s="12">
        <v>112401300</v>
      </c>
      <c r="I275" s="12">
        <v>5042328</v>
      </c>
      <c r="J275" s="12">
        <v>3406239</v>
      </c>
      <c r="K275" s="32">
        <v>46.1</v>
      </c>
      <c r="L275" s="32">
        <v>33.5</v>
      </c>
      <c r="M275" s="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/>
      <c r="AC275"/>
      <c r="AD275" s="14">
        <f>SUM(AD195,AD224,AD250,AD274)</f>
        <v>115301696</v>
      </c>
      <c r="AE275" s="14">
        <f t="shared" ref="AE275:AL275" si="135">SUM(AE195,AE224,AE250,AE274)</f>
        <v>3446315</v>
      </c>
      <c r="AF275" s="14">
        <f t="shared" si="135"/>
        <v>2385735</v>
      </c>
      <c r="AG275" s="14">
        <f t="shared" si="135"/>
        <v>6800098</v>
      </c>
      <c r="AH275" s="14">
        <f t="shared" si="135"/>
        <v>220226</v>
      </c>
      <c r="AI275" s="14">
        <f t="shared" si="135"/>
        <v>169038</v>
      </c>
      <c r="AJ275" s="14">
        <f t="shared" si="135"/>
        <v>76057012</v>
      </c>
      <c r="AK275" s="14">
        <f t="shared" si="135"/>
        <v>3300089</v>
      </c>
      <c r="AL275" s="14">
        <f t="shared" si="135"/>
        <v>2171645</v>
      </c>
      <c r="AM275" s="2"/>
      <c r="AN275" s="14">
        <f t="shared" si="133"/>
        <v>-1350914</v>
      </c>
      <c r="AO275" s="14">
        <f t="shared" si="133"/>
        <v>-1780803</v>
      </c>
      <c r="AP275" s="14">
        <f t="shared" si="133"/>
        <v>-1405126</v>
      </c>
      <c r="AQ275" s="5"/>
      <c r="AR275" s="41">
        <f>C275/B275*1000</f>
        <v>44.809267448023668</v>
      </c>
      <c r="AS275" s="41">
        <f>D275/B275*1000</f>
        <v>32.49700971114148</v>
      </c>
      <c r="AT275" s="42"/>
      <c r="AU275" s="41">
        <f>AR275-K275</f>
        <v>-1.2907325519763333</v>
      </c>
      <c r="AV275" s="41">
        <f>AS275-L275</f>
        <v>-1.0029902888585198</v>
      </c>
      <c r="AW275" s="5"/>
      <c r="AX275" s="14">
        <f>E275-AG275</f>
        <v>4629463</v>
      </c>
      <c r="AY275" s="14">
        <f>F275-AH275</f>
        <v>177325</v>
      </c>
      <c r="AZ275" s="14">
        <f>G275-AI275</f>
        <v>148749</v>
      </c>
      <c r="BA275" s="14">
        <f t="shared" si="134"/>
        <v>36344288</v>
      </c>
      <c r="BB275" s="14">
        <f t="shared" si="134"/>
        <v>1742239</v>
      </c>
      <c r="BC275" s="14">
        <f t="shared" si="134"/>
        <v>1234594</v>
      </c>
    </row>
  </sheetData>
  <mergeCells count="1">
    <mergeCell ref="N1:AA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2026-09-20T02:37:59Z</dcterms:modified>
</cp:coreProperties>
</file>