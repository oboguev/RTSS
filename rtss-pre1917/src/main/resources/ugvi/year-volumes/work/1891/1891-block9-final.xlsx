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1891\"/>
    </mc:Choice>
  </mc:AlternateContent>
  <xr:revisionPtr revIDLastSave="0" documentId="13_ncr:1_{3CF2A7D0-5916-4343-B296-EBF4E428FAD4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43" i="1" l="1"/>
  <c r="AH243" i="1" s="1"/>
  <c r="AC243" i="1"/>
  <c r="AG243" i="1" s="1"/>
  <c r="AB243" i="1"/>
  <c r="AF243" i="1" s="1"/>
  <c r="AD240" i="1"/>
  <c r="AH240" i="1" s="1"/>
  <c r="AC240" i="1"/>
  <c r="AG240" i="1" s="1"/>
  <c r="AB240" i="1"/>
  <c r="AF240" i="1" s="1"/>
  <c r="AD237" i="1"/>
  <c r="AH237" i="1" s="1"/>
  <c r="AC237" i="1"/>
  <c r="AG237" i="1" s="1"/>
  <c r="AB237" i="1"/>
  <c r="AF237" i="1" s="1"/>
  <c r="AD234" i="1"/>
  <c r="AH234" i="1" s="1"/>
  <c r="AC234" i="1"/>
  <c r="AG234" i="1" s="1"/>
  <c r="AB234" i="1"/>
  <c r="AF234" i="1" s="1"/>
  <c r="AD267" i="1"/>
  <c r="AH267" i="1" s="1"/>
  <c r="AC267" i="1"/>
  <c r="AG267" i="1" s="1"/>
  <c r="AB267" i="1"/>
  <c r="AF267" i="1" s="1"/>
  <c r="AD264" i="1"/>
  <c r="AH264" i="1" s="1"/>
  <c r="AC264" i="1"/>
  <c r="AG264" i="1" s="1"/>
  <c r="AB264" i="1"/>
  <c r="AF264" i="1" s="1"/>
  <c r="AD261" i="1"/>
  <c r="AH261" i="1" s="1"/>
  <c r="AC261" i="1"/>
  <c r="AG261" i="1" s="1"/>
  <c r="AB261" i="1"/>
  <c r="AF261" i="1" s="1"/>
  <c r="AD258" i="1"/>
  <c r="AH258" i="1" s="1"/>
  <c r="AC258" i="1"/>
  <c r="AG258" i="1" s="1"/>
  <c r="AB258" i="1"/>
  <c r="AF258" i="1" s="1"/>
  <c r="AD255" i="1"/>
  <c r="AH255" i="1" s="1"/>
  <c r="AC255" i="1"/>
  <c r="AG255" i="1" s="1"/>
  <c r="AB255" i="1"/>
  <c r="AF255" i="1" s="1"/>
  <c r="AF252" i="1"/>
  <c r="AD252" i="1"/>
  <c r="AH252" i="1" s="1"/>
  <c r="AC252" i="1"/>
  <c r="AG252" i="1" s="1"/>
  <c r="AB252" i="1"/>
  <c r="AD249" i="1"/>
  <c r="AH249" i="1" s="1"/>
  <c r="AC249" i="1"/>
  <c r="AG249" i="1" s="1"/>
  <c r="AB249" i="1"/>
  <c r="AF249" i="1" s="1"/>
  <c r="AD231" i="1"/>
  <c r="AH231" i="1" s="1"/>
  <c r="AC231" i="1"/>
  <c r="AG231" i="1" s="1"/>
  <c r="AB231" i="1"/>
  <c r="AF231" i="1" s="1"/>
  <c r="AD228" i="1"/>
  <c r="AH228" i="1" s="1"/>
  <c r="AC228" i="1"/>
  <c r="AG228" i="1" s="1"/>
  <c r="AB228" i="1"/>
  <c r="AF228" i="1" s="1"/>
  <c r="AD225" i="1"/>
  <c r="AH225" i="1" s="1"/>
  <c r="AC225" i="1"/>
  <c r="AG225" i="1" s="1"/>
  <c r="AB225" i="1"/>
  <c r="AF225" i="1" s="1"/>
  <c r="AD222" i="1"/>
  <c r="AH222" i="1" s="1"/>
  <c r="AC222" i="1"/>
  <c r="AG222" i="1" s="1"/>
  <c r="AB222" i="1"/>
  <c r="AF222" i="1" s="1"/>
  <c r="AD217" i="1"/>
  <c r="AH217" i="1" s="1"/>
  <c r="AC217" i="1"/>
  <c r="AG217" i="1" s="1"/>
  <c r="AB217" i="1"/>
  <c r="AF217" i="1" s="1"/>
  <c r="AD214" i="1"/>
  <c r="AH214" i="1" s="1"/>
  <c r="AC214" i="1"/>
  <c r="AG214" i="1" s="1"/>
  <c r="AB214" i="1"/>
  <c r="AF214" i="1" s="1"/>
  <c r="AF211" i="1"/>
  <c r="AD211" i="1"/>
  <c r="AH211" i="1" s="1"/>
  <c r="AC211" i="1"/>
  <c r="AG211" i="1" s="1"/>
  <c r="AB211" i="1"/>
  <c r="AD208" i="1"/>
  <c r="AH208" i="1" s="1"/>
  <c r="AC208" i="1"/>
  <c r="AG208" i="1" s="1"/>
  <c r="AB208" i="1"/>
  <c r="AF208" i="1" s="1"/>
  <c r="AD205" i="1"/>
  <c r="AH205" i="1" s="1"/>
  <c r="AC205" i="1"/>
  <c r="AG205" i="1" s="1"/>
  <c r="AB205" i="1"/>
  <c r="AF205" i="1" s="1"/>
  <c r="AD202" i="1"/>
  <c r="AH202" i="1" s="1"/>
  <c r="AC202" i="1"/>
  <c r="AG202" i="1" s="1"/>
  <c r="AB202" i="1"/>
  <c r="AF202" i="1" s="1"/>
  <c r="AD198" i="1"/>
  <c r="AH198" i="1" s="1"/>
  <c r="AC198" i="1"/>
  <c r="AG198" i="1" s="1"/>
  <c r="AB198" i="1"/>
  <c r="AF198" i="1" s="1"/>
  <c r="AF195" i="1"/>
  <c r="AD195" i="1"/>
  <c r="AH195" i="1" s="1"/>
  <c r="AC195" i="1"/>
  <c r="AG195" i="1" s="1"/>
  <c r="AB195" i="1"/>
  <c r="AF192" i="1"/>
  <c r="AD192" i="1"/>
  <c r="AH192" i="1" s="1"/>
  <c r="AC192" i="1"/>
  <c r="AG192" i="1" s="1"/>
  <c r="AB192" i="1"/>
  <c r="AD188" i="1"/>
  <c r="AH188" i="1" s="1"/>
  <c r="AC188" i="1"/>
  <c r="AG188" i="1" s="1"/>
  <c r="AB188" i="1"/>
  <c r="AF188" i="1" s="1"/>
  <c r="AG184" i="1"/>
  <c r="AF184" i="1"/>
  <c r="AD184" i="1"/>
  <c r="AH184" i="1" s="1"/>
  <c r="AC184" i="1"/>
  <c r="AB184" i="1"/>
  <c r="AD181" i="1"/>
  <c r="AH181" i="1" s="1"/>
  <c r="AC181" i="1"/>
  <c r="AG181" i="1" s="1"/>
  <c r="AB181" i="1"/>
  <c r="AF181" i="1" s="1"/>
  <c r="AD176" i="1"/>
  <c r="AH176" i="1" s="1"/>
  <c r="AC176" i="1"/>
  <c r="AG176" i="1" s="1"/>
  <c r="AB176" i="1"/>
  <c r="AF176" i="1" s="1"/>
  <c r="AD173" i="1"/>
  <c r="AH173" i="1" s="1"/>
  <c r="AC173" i="1"/>
  <c r="AG173" i="1" s="1"/>
  <c r="AB173" i="1"/>
  <c r="AF173" i="1" s="1"/>
  <c r="AD170" i="1"/>
  <c r="AH170" i="1" s="1"/>
  <c r="AC170" i="1"/>
  <c r="AG170" i="1" s="1"/>
  <c r="AB170" i="1"/>
  <c r="AF170" i="1" s="1"/>
  <c r="AD167" i="1"/>
  <c r="AH167" i="1" s="1"/>
  <c r="AC167" i="1"/>
  <c r="AG167" i="1" s="1"/>
  <c r="AB167" i="1"/>
  <c r="AF167" i="1" s="1"/>
  <c r="AD164" i="1"/>
  <c r="AH164" i="1" s="1"/>
  <c r="AC164" i="1"/>
  <c r="AG164" i="1" s="1"/>
  <c r="AB164" i="1"/>
  <c r="AF164" i="1" s="1"/>
  <c r="AD161" i="1"/>
  <c r="AH161" i="1" s="1"/>
  <c r="AC161" i="1"/>
  <c r="AG161" i="1" s="1"/>
  <c r="AB161" i="1"/>
  <c r="AF161" i="1" s="1"/>
  <c r="AD158" i="1"/>
  <c r="AH158" i="1" s="1"/>
  <c r="AC158" i="1"/>
  <c r="AG158" i="1" s="1"/>
  <c r="AB158" i="1"/>
  <c r="AF158" i="1" s="1"/>
  <c r="AG155" i="1"/>
  <c r="AD155" i="1"/>
  <c r="AH155" i="1" s="1"/>
  <c r="AC155" i="1"/>
  <c r="AB155" i="1"/>
  <c r="AF155" i="1" s="1"/>
  <c r="AD152" i="1"/>
  <c r="AH152" i="1" s="1"/>
  <c r="AC152" i="1"/>
  <c r="AG152" i="1" s="1"/>
  <c r="AB152" i="1"/>
  <c r="AF152" i="1" s="1"/>
  <c r="AG149" i="1"/>
  <c r="AD149" i="1"/>
  <c r="AH149" i="1" s="1"/>
  <c r="AC149" i="1"/>
  <c r="AB149" i="1"/>
  <c r="AF149" i="1" s="1"/>
  <c r="AD146" i="1"/>
  <c r="AH146" i="1" s="1"/>
  <c r="AC146" i="1"/>
  <c r="AG146" i="1" s="1"/>
  <c r="AB146" i="1"/>
  <c r="AF146" i="1" s="1"/>
  <c r="AD141" i="1"/>
  <c r="AH141" i="1" s="1"/>
  <c r="AC141" i="1"/>
  <c r="AG141" i="1" s="1"/>
  <c r="AB141" i="1"/>
  <c r="AF141" i="1" s="1"/>
  <c r="AG138" i="1"/>
  <c r="AD138" i="1"/>
  <c r="AH138" i="1" s="1"/>
  <c r="AC138" i="1"/>
  <c r="AB138" i="1"/>
  <c r="AF138" i="1" s="1"/>
  <c r="AD135" i="1"/>
  <c r="AH135" i="1" s="1"/>
  <c r="AC135" i="1"/>
  <c r="AG135" i="1" s="1"/>
  <c r="AB135" i="1"/>
  <c r="AF135" i="1" s="1"/>
  <c r="AD132" i="1"/>
  <c r="AH132" i="1" s="1"/>
  <c r="AC132" i="1"/>
  <c r="AG132" i="1" s="1"/>
  <c r="AB132" i="1"/>
  <c r="AF132" i="1" s="1"/>
  <c r="AD129" i="1"/>
  <c r="AH129" i="1" s="1"/>
  <c r="AC129" i="1"/>
  <c r="AG129" i="1" s="1"/>
  <c r="AB129" i="1"/>
  <c r="AF129" i="1" s="1"/>
  <c r="AH126" i="1"/>
  <c r="AD126" i="1"/>
  <c r="AC126" i="1"/>
  <c r="AG126" i="1" s="1"/>
  <c r="AB126" i="1"/>
  <c r="AF126" i="1" s="1"/>
  <c r="AD123" i="1"/>
  <c r="AH123" i="1" s="1"/>
  <c r="AC123" i="1"/>
  <c r="AG123" i="1" s="1"/>
  <c r="AB123" i="1"/>
  <c r="AF123" i="1" s="1"/>
  <c r="AD120" i="1"/>
  <c r="AH120" i="1" s="1"/>
  <c r="AC120" i="1"/>
  <c r="AG120" i="1" s="1"/>
  <c r="AB120" i="1"/>
  <c r="AF120" i="1" s="1"/>
  <c r="AD117" i="1"/>
  <c r="AH117" i="1" s="1"/>
  <c r="AC117" i="1"/>
  <c r="AG117" i="1" s="1"/>
  <c r="AB117" i="1"/>
  <c r="AF117" i="1" s="1"/>
  <c r="AD114" i="1"/>
  <c r="AH114" i="1" s="1"/>
  <c r="AC114" i="1"/>
  <c r="AG114" i="1" s="1"/>
  <c r="AB114" i="1"/>
  <c r="AF114" i="1" s="1"/>
  <c r="AD111" i="1"/>
  <c r="AH111" i="1" s="1"/>
  <c r="AC111" i="1"/>
  <c r="AG111" i="1" s="1"/>
  <c r="AB111" i="1"/>
  <c r="AF111" i="1" s="1"/>
  <c r="AD108" i="1"/>
  <c r="AH108" i="1" s="1"/>
  <c r="AC108" i="1"/>
  <c r="AG108" i="1" s="1"/>
  <c r="AB108" i="1"/>
  <c r="AF108" i="1" s="1"/>
  <c r="AD105" i="1"/>
  <c r="AH105" i="1" s="1"/>
  <c r="AC105" i="1"/>
  <c r="AG105" i="1" s="1"/>
  <c r="AB105" i="1"/>
  <c r="AF105" i="1" s="1"/>
  <c r="AF102" i="1"/>
  <c r="AD102" i="1"/>
  <c r="AH102" i="1" s="1"/>
  <c r="AC102" i="1"/>
  <c r="AG102" i="1" s="1"/>
  <c r="AB102" i="1"/>
  <c r="AD99" i="1"/>
  <c r="AH99" i="1" s="1"/>
  <c r="AC99" i="1"/>
  <c r="AG99" i="1" s="1"/>
  <c r="AB99" i="1"/>
  <c r="AF99" i="1" s="1"/>
  <c r="AD96" i="1"/>
  <c r="AH96" i="1" s="1"/>
  <c r="AC96" i="1"/>
  <c r="AG96" i="1" s="1"/>
  <c r="AB96" i="1"/>
  <c r="AF96" i="1" s="1"/>
  <c r="AD93" i="1"/>
  <c r="AH93" i="1" s="1"/>
  <c r="AC93" i="1"/>
  <c r="AG93" i="1" s="1"/>
  <c r="AB93" i="1"/>
  <c r="AF93" i="1" s="1"/>
  <c r="AD90" i="1"/>
  <c r="AH90" i="1" s="1"/>
  <c r="AC90" i="1"/>
  <c r="AG90" i="1" s="1"/>
  <c r="AB90" i="1"/>
  <c r="AF90" i="1" s="1"/>
  <c r="AD87" i="1"/>
  <c r="AH87" i="1" s="1"/>
  <c r="AC87" i="1"/>
  <c r="AG87" i="1" s="1"/>
  <c r="AB87" i="1"/>
  <c r="AF87" i="1" s="1"/>
  <c r="AD84" i="1"/>
  <c r="AH84" i="1" s="1"/>
  <c r="AC84" i="1"/>
  <c r="AG84" i="1" s="1"/>
  <c r="AB84" i="1"/>
  <c r="AF84" i="1" s="1"/>
  <c r="AF81" i="1"/>
  <c r="AD81" i="1"/>
  <c r="AH81" i="1" s="1"/>
  <c r="AC81" i="1"/>
  <c r="AG81" i="1" s="1"/>
  <c r="AB81" i="1"/>
  <c r="AD77" i="1"/>
  <c r="AH77" i="1" s="1"/>
  <c r="AC77" i="1"/>
  <c r="AG77" i="1" s="1"/>
  <c r="AB77" i="1"/>
  <c r="AF77" i="1" s="1"/>
  <c r="AG74" i="1"/>
  <c r="AD74" i="1"/>
  <c r="AH74" i="1" s="1"/>
  <c r="AC74" i="1"/>
  <c r="AB74" i="1"/>
  <c r="AF74" i="1" s="1"/>
  <c r="AD71" i="1"/>
  <c r="AH71" i="1" s="1"/>
  <c r="AC71" i="1"/>
  <c r="AG71" i="1" s="1"/>
  <c r="AB71" i="1"/>
  <c r="AF71" i="1" s="1"/>
  <c r="AD67" i="1"/>
  <c r="AH67" i="1" s="1"/>
  <c r="AC67" i="1"/>
  <c r="AG67" i="1" s="1"/>
  <c r="AB67" i="1"/>
  <c r="AF67" i="1" s="1"/>
  <c r="AD64" i="1"/>
  <c r="AH64" i="1" s="1"/>
  <c r="AC64" i="1"/>
  <c r="AG64" i="1" s="1"/>
  <c r="AB64" i="1"/>
  <c r="AF64" i="1" s="1"/>
  <c r="AG61" i="1"/>
  <c r="AD61" i="1"/>
  <c r="AH61" i="1" s="1"/>
  <c r="AC61" i="1"/>
  <c r="AB61" i="1"/>
  <c r="AF61" i="1" s="1"/>
  <c r="AD58" i="1"/>
  <c r="AH58" i="1" s="1"/>
  <c r="AC58" i="1"/>
  <c r="AG58" i="1" s="1"/>
  <c r="AB58" i="1"/>
  <c r="AF58" i="1" s="1"/>
  <c r="AD55" i="1"/>
  <c r="AH55" i="1" s="1"/>
  <c r="AC55" i="1"/>
  <c r="AG55" i="1" s="1"/>
  <c r="AB55" i="1"/>
  <c r="AF55" i="1" s="1"/>
  <c r="AD52" i="1"/>
  <c r="AH52" i="1" s="1"/>
  <c r="AC52" i="1"/>
  <c r="AG52" i="1" s="1"/>
  <c r="AB52" i="1"/>
  <c r="AF52" i="1" s="1"/>
  <c r="AD49" i="1"/>
  <c r="AH49" i="1" s="1"/>
  <c r="AC49" i="1"/>
  <c r="AG49" i="1" s="1"/>
  <c r="AB49" i="1"/>
  <c r="AF49" i="1" s="1"/>
  <c r="AD46" i="1"/>
  <c r="AH46" i="1" s="1"/>
  <c r="AC46" i="1"/>
  <c r="AG46" i="1" s="1"/>
  <c r="AB46" i="1"/>
  <c r="AF46" i="1" s="1"/>
  <c r="AF43" i="1"/>
  <c r="AD43" i="1"/>
  <c r="AH43" i="1" s="1"/>
  <c r="AC43" i="1"/>
  <c r="AG43" i="1" s="1"/>
  <c r="AB43" i="1"/>
  <c r="AD40" i="1"/>
  <c r="AH40" i="1" s="1"/>
  <c r="AC40" i="1"/>
  <c r="AG40" i="1" s="1"/>
  <c r="AB40" i="1"/>
  <c r="AF40" i="1" s="1"/>
  <c r="AD35" i="1"/>
  <c r="AH35" i="1" s="1"/>
  <c r="AC35" i="1"/>
  <c r="AG35" i="1" s="1"/>
  <c r="AB35" i="1"/>
  <c r="AF35" i="1" s="1"/>
  <c r="AD32" i="1"/>
  <c r="AH32" i="1" s="1"/>
  <c r="AC32" i="1"/>
  <c r="AG32" i="1" s="1"/>
  <c r="AB32" i="1"/>
  <c r="AF32" i="1" s="1"/>
  <c r="AD29" i="1"/>
  <c r="AH29" i="1" s="1"/>
  <c r="AC29" i="1"/>
  <c r="AG29" i="1" s="1"/>
  <c r="AB29" i="1"/>
  <c r="AF29" i="1" s="1"/>
  <c r="AD26" i="1"/>
  <c r="AH26" i="1" s="1"/>
  <c r="AC26" i="1"/>
  <c r="AG26" i="1" s="1"/>
  <c r="AB26" i="1"/>
  <c r="AF26" i="1" s="1"/>
  <c r="AD23" i="1"/>
  <c r="AH23" i="1" s="1"/>
  <c r="AC23" i="1"/>
  <c r="AG23" i="1" s="1"/>
  <c r="AB23" i="1"/>
  <c r="AF23" i="1" s="1"/>
  <c r="AG20" i="1"/>
  <c r="AF20" i="1"/>
  <c r="AD20" i="1"/>
  <c r="AH20" i="1" s="1"/>
  <c r="AC20" i="1"/>
  <c r="AB20" i="1"/>
  <c r="AD17" i="1"/>
  <c r="AH17" i="1" s="1"/>
  <c r="AC17" i="1"/>
  <c r="AG17" i="1" s="1"/>
  <c r="AB17" i="1"/>
  <c r="AF17" i="1" s="1"/>
  <c r="AD14" i="1"/>
  <c r="AH14" i="1" s="1"/>
  <c r="AC14" i="1"/>
  <c r="AG14" i="1" s="1"/>
  <c r="AB14" i="1"/>
  <c r="AF14" i="1" s="1"/>
  <c r="AD11" i="1"/>
  <c r="AH11" i="1" s="1"/>
  <c r="AC11" i="1"/>
  <c r="AG11" i="1" s="1"/>
  <c r="AB11" i="1"/>
  <c r="AF11" i="1" s="1"/>
  <c r="AD8" i="1"/>
  <c r="AH8" i="1" s="1"/>
  <c r="AC8" i="1"/>
  <c r="AG8" i="1" s="1"/>
  <c r="AB8" i="1"/>
  <c r="AF8" i="1" s="1"/>
  <c r="AD5" i="1"/>
  <c r="AH5" i="1" s="1"/>
  <c r="AC5" i="1"/>
  <c r="AG5" i="1" s="1"/>
  <c r="AB5" i="1"/>
  <c r="AF5" i="1" s="1"/>
  <c r="AG2" i="1"/>
  <c r="AD2" i="1"/>
  <c r="AH2" i="1" s="1"/>
  <c r="AC2" i="1"/>
  <c r="AB2" i="1"/>
  <c r="AF2" i="1" s="1"/>
</calcChain>
</file>

<file path=xl/sharedStrings.xml><?xml version="1.0" encoding="utf-8"?>
<sst xmlns="http://schemas.openxmlformats.org/spreadsheetml/2006/main" count="419" uniqueCount="288">
  <si>
    <t>губ</t>
  </si>
  <si>
    <t>чж NYY</t>
  </si>
  <si>
    <t>чр YY</t>
  </si>
  <si>
    <t>чу YY</t>
  </si>
  <si>
    <t>чж-гор NYY</t>
  </si>
  <si>
    <t>чр-гор YY</t>
  </si>
  <si>
    <t>чу-гор YY</t>
  </si>
  <si>
    <t>ср-чж 1887-1890</t>
  </si>
  <si>
    <t>ср-чр 1887-1890</t>
  </si>
  <si>
    <t>ср-чу 1887-1890</t>
  </si>
  <si>
    <t>уезды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</si>
  <si>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</si>
  <si>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</si>
  <si>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</si>
  <si>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</si>
  <si>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</si>
  <si>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</si>
  <si>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</si>
  <si>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</si>
  <si>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</si>
  <si>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</si>
  <si>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</si>
  <si>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</si>
  <si>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</si>
  <si>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</si>
  <si>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</si>
  <si>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</si>
  <si>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</si>
  <si>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</si>
  <si>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</si>
  <si>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</si>
  <si>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</si>
  <si>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</si>
  <si>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</si>
  <si>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</si>
  <si>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</si>
  <si>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</si>
  <si>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</si>
  <si>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</si>
  <si>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</si>
  <si>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</si>
  <si>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</si>
  <si>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</si>
  <si>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</si>
  <si>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</si>
  <si>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</si>
  <si>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</si>
  <si>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</si>
  <si>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 неземских губерниях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</si>
  <si>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</si>
  <si>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</si>
  <si>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</si>
  <si>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</si>
  <si>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</si>
  <si>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</si>
  <si>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</si>
  <si>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</si>
  <si>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</si>
  <si>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</si>
  <si>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</si>
  <si>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</si>
  <si>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</si>
  <si>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</si>
  <si>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</si>
  <si>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</si>
  <si>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</si>
  <si>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</si>
  <si>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</si>
  <si>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</si>
  <si>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</si>
  <si>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</si>
  <si>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</si>
  <si>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</si>
  <si>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</si>
  <si>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</si>
  <si>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</si>
  <si>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</si>
  <si>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</si>
  <si>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</si>
  <si>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</si>
  <si>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Итого в привислинских губерниях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</si>
  <si>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</si>
  <si>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</si>
  <si>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</si>
  <si>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</si>
  <si>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</si>
  <si>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</si>
  <si>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</si>
  <si>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</si>
  <si>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</si>
  <si>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 остзейских губерниях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</si>
  <si>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</si>
  <si>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</si>
  <si>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</si>
  <si>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</si>
  <si>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</si>
  <si>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</si>
  <si>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</si>
  <si>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</si>
  <si>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</si>
  <si>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</si>
  <si>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</si>
  <si>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</si>
  <si>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</si>
  <si>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</si>
  <si>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</si>
  <si>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</si>
  <si>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</si>
  <si>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</si>
  <si>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</si>
  <si>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</si>
  <si>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</si>
  <si>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</si>
  <si>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</si>
  <si>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</si>
  <si>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</si>
  <si>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</si>
  <si>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</si>
  <si>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</si>
  <si>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</si>
  <si>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</si>
  <si>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</si>
  <si>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</si>
  <si>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</si>
  <si>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</si>
  <si>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</si>
  <si>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</si>
  <si>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</si>
  <si>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</si>
  <si>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</si>
  <si>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</si>
  <si>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</si>
  <si>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</si>
  <si>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</si>
  <si>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</si>
  <si>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</si>
  <si>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</si>
  <si>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</si>
  <si>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</si>
  <si>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</si>
  <si>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</si>
  <si>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</si>
  <si>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</si>
  <si>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</si>
  <si>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</si>
  <si>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</si>
  <si>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</si>
  <si>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</si>
  <si>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</si>
  <si>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</si>
  <si>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</si>
  <si>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</si>
  <si>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</si>
  <si>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</si>
  <si>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Москва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</si>
  <si>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</si>
  <si>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</si>
  <si>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</si>
  <si>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</si>
  <si>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</si>
  <si>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</si>
  <si>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</si>
  <si>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</si>
  <si>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</si>
  <si>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</si>
  <si>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</si>
  <si>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</si>
  <si>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</si>
  <si>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</si>
  <si>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</si>
  <si>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</si>
  <si>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</si>
  <si>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</si>
  <si>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</si>
  <si>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</si>
  <si>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</si>
  <si>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</si>
  <si>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</si>
  <si>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</si>
  <si>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</si>
  <si>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</si>
  <si>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</si>
  <si>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</si>
  <si>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</si>
  <si>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</si>
  <si>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</si>
  <si>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</si>
  <si>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</si>
  <si>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</si>
  <si>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</si>
  <si>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</si>
  <si>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</si>
  <si>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</si>
  <si>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</si>
  <si>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</si>
  <si>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</si>
  <si>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</si>
  <si>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 земских губерниях</t>
  </si>
  <si>
    <t>Область Войска Донского</t>
  </si>
  <si>
    <t>[Область Войска Донского род.]</t>
  </si>
  <si>
    <t>[Область Войска Донского ум.]</t>
  </si>
  <si>
    <t>Итого в Европейской России</t>
  </si>
  <si>
    <t>Бакинская</t>
  </si>
  <si>
    <t>[Бакинская род.]</t>
  </si>
  <si>
    <t>[Бакинская ум.]</t>
  </si>
  <si>
    <t>Дагестанская</t>
  </si>
  <si>
    <t>[Дагестанская род.]</t>
  </si>
  <si>
    <t>[Дагестанская ум.]</t>
  </si>
  <si>
    <t>Елисаветпольская</t>
  </si>
  <si>
    <t>[Елисаветпольская род.]</t>
  </si>
  <si>
    <t>[Елисаветпольская ум.]</t>
  </si>
  <si>
    <t>Карсская область</t>
  </si>
  <si>
    <t>Кубанская</t>
  </si>
  <si>
    <t>[Кубанская род.]</t>
  </si>
  <si>
    <t>[Кубанская ум.]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</si>
  <si>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</si>
  <si>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</si>
  <si>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</si>
  <si>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</si>
  <si>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</si>
  <si>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</si>
  <si>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</t>
  </si>
  <si>
    <t>[Терская род.]</t>
  </si>
  <si>
    <t>[Терская ум.]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</si>
  <si>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</si>
  <si>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</si>
  <si>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</si>
  <si>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</si>
  <si>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</si>
  <si>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</si>
  <si>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Кавказе</t>
  </si>
  <si>
    <t>Амурская область</t>
  </si>
  <si>
    <t>Енисейская</t>
  </si>
  <si>
    <t>[Енисейская род.]</t>
  </si>
  <si>
    <t>[Енисейская ум.]</t>
  </si>
  <si>
    <t>Забайкальская</t>
  </si>
  <si>
    <t>[Забайкальская род.]</t>
  </si>
  <si>
    <t>[Забайкальская ум.]</t>
  </si>
  <si>
    <t>Иркутская</t>
  </si>
  <si>
    <t>[Иркутская род.]</t>
  </si>
  <si>
    <t>[Иркутская ум.]</t>
  </si>
  <si>
    <t>Приморская</t>
  </si>
  <si>
    <t>[Приморская род.]</t>
  </si>
  <si>
    <t>[Приморская ум.]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</si>
  <si>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</si>
  <si>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</si>
  <si>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</si>
  <si>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</si>
  <si>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</si>
  <si>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</si>
  <si>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</t>
  </si>
  <si>
    <t>[Якутская род.]</t>
  </si>
  <si>
    <t>[Якутская ум.]</t>
  </si>
  <si>
    <t>Сахалинская</t>
  </si>
  <si>
    <t>[Сахалинская род.]</t>
  </si>
  <si>
    <t>[Сахалинская ум.]</t>
  </si>
  <si>
    <t>Итого в Сибири</t>
  </si>
  <si>
    <t>Акмолинская</t>
  </si>
  <si>
    <t>Закаспийская область</t>
  </si>
  <si>
    <t>Самаркандская</t>
  </si>
  <si>
    <t>[Самаркандская род.]</t>
  </si>
  <si>
    <t>[Самаркандская ум.]</t>
  </si>
  <si>
    <t>Семипалатинская</t>
  </si>
  <si>
    <t>[Семипалатинская род.]</t>
  </si>
  <si>
    <t>[Семипалатинская ум.]</t>
  </si>
  <si>
    <t>Семиреченская</t>
  </si>
  <si>
    <t>[Семиреченская род.]</t>
  </si>
  <si>
    <t>[Семиреченская ум.]</t>
  </si>
  <si>
    <t>Сыр-Дарьинская</t>
  </si>
  <si>
    <t>[Сыр-Дарьинская род.]</t>
  </si>
  <si>
    <t>[Сыр-Дарьинская ум.]</t>
  </si>
  <si>
    <t>Тургайская</t>
  </si>
  <si>
    <t>[Тургайская род.]</t>
  </si>
  <si>
    <t>[Тургайская ум.]</t>
  </si>
  <si>
    <t>Уральская</t>
  </si>
  <si>
    <t>[Уральская род.]</t>
  </si>
  <si>
    <t>[Уральская ум.]</t>
  </si>
  <si>
    <t>Ферганская</t>
  </si>
  <si>
    <t>[Ферганская род.]</t>
  </si>
  <si>
    <t>[Ферганская ум.]</t>
  </si>
  <si>
    <t>Итого в средне-азиатских областях</t>
  </si>
  <si>
    <t>Итого во всей Империи</t>
  </si>
  <si>
    <t>v-чж</t>
  </si>
  <si>
    <t>v-чр</t>
  </si>
  <si>
    <t>v-чс</t>
  </si>
  <si>
    <t>v-d-чж</t>
  </si>
  <si>
    <t>v-d-чр</t>
  </si>
  <si>
    <t>v-d-чс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</si>
</sst>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45">
    <xf numFmtId="0" fontId="0" fillId="0" borderId="0" xfId="0" applyBorder="1"/>
    <xf numFmtId="0" fontId="0" fillId="0" borderId="0" xfId="0" applyBorder="1" applyAlignment="1">
      <alignment horizontal="right" vertical="center"/>
    </xf>
    <xf numFmtId="3" fontId="0" fillId="0" borderId="0" xfId="0" applyNumberFormat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0" fillId="3" borderId="0" xfId="0" applyNumberFormat="1" applyFill="1" applyBorder="1" applyAlignment="1">
      <alignment horizontal="right" vertical="center"/>
    </xf>
    <xf numFmtId="3" fontId="0" fillId="0" borderId="1" xfId="0" applyNumberFormat="1" applyAlignment="1">
      <alignment horizontal="right" vertical="center"/>
    </xf>
    <xf numFmtId="0" fontId="0" fillId="3" borderId="1" xfId="0" applyFill="1" applyAlignment="1">
      <alignment horizontal="right" vertical="center"/>
    </xf>
    <xf numFmtId="3" fontId="0" fillId="3" borderId="1" xfId="0" applyNumberFormat="1" applyFill="1" applyAlignment="1">
      <alignment horizontal="right" vertical="center"/>
    </xf>
    <xf numFmtId="3" fontId="0" fillId="0" borderId="0" xfId="0" applyNumberFormat="1" applyBorder="1" applyAlignment="1">
      <alignment horizontal="right"/>
    </xf>
    <xf numFmtId="3" fontId="0" fillId="0" borderId="1" xfId="0" applyNumberFormat="1" applyAlignment="1">
      <alignment horizontal="righ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3" fontId="0" fillId="4" borderId="0" xfId="0" applyNumberFormat="1" applyFill="1" applyBorder="1" applyAlignment="1">
      <alignment horizontal="right" vertical="center"/>
    </xf>
    <xf numFmtId="3" fontId="2" fillId="4" borderId="0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0" fillId="4" borderId="0" xfId="0" applyNumberFormat="1" applyFill="1" applyBorder="1" applyAlignment="1">
      <alignment horizontal="right"/>
    </xf>
    <xf numFmtId="0" fontId="0" fillId="4" borderId="0" xfId="0" applyFill="1" applyBorder="1" applyAlignment="1">
      <alignment horizontal="left"/>
    </xf>
    <xf numFmtId="3" fontId="0" fillId="4" borderId="1" xfId="0" applyNumberFormat="1" applyFill="1" applyBorder="1" applyAlignment="1">
      <alignment horizontal="right"/>
    </xf>
    <xf numFmtId="0" fontId="0" fillId="4" borderId="1" xfId="0" applyFill="1" applyAlignment="1">
      <alignment horizontal="left"/>
    </xf>
    <xf numFmtId="3" fontId="0" fillId="4" borderId="1" xfId="0" applyNumberFormat="1" applyFill="1" applyAlignment="1">
      <alignment horizontal="right"/>
    </xf>
    <xf numFmtId="3" fontId="0" fillId="4" borderId="1" xfId="0" applyNumberFormat="1" applyFill="1" applyAlignment="1">
      <alignment horizontal="right" vertical="center"/>
    </xf>
    <xf numFmtId="0" fontId="0" fillId="4" borderId="1" xfId="0" applyFill="1" applyAlignment="1">
      <alignment horizontal="left" vertical="center"/>
    </xf>
    <xf numFmtId="0" fontId="0" fillId="0" borderId="1" xfId="0" applyFill="1" applyAlignment="1">
      <alignment horizontal="left"/>
    </xf>
    <xf numFmtId="3" fontId="0" fillId="0" borderId="1" xfId="0" applyNumberFormat="1" applyFill="1" applyAlignment="1">
      <alignment horizontal="right"/>
    </xf>
    <xf numFmtId="3" fontId="0" fillId="0" borderId="1" xfId="0" applyNumberFormat="1" applyFill="1" applyAlignment="1">
      <alignment horizontal="right" vertical="center"/>
    </xf>
    <xf numFmtId="3" fontId="0" fillId="0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5" borderId="0" xfId="0" applyFill="1" applyBorder="1"/>
    <xf numFmtId="3" fontId="0" fillId="5" borderId="0" xfId="0" applyNumberFormat="1" applyFill="1" applyBorder="1" applyAlignment="1">
      <alignment horizontal="right"/>
    </xf>
    <xf numFmtId="3" fontId="0" fillId="5" borderId="0" xfId="0" applyNumberFormat="1" applyFill="1" applyBorder="1" applyAlignment="1">
      <alignment horizontal="right" vertical="center"/>
    </xf>
    <xf numFmtId="3" fontId="0" fillId="5" borderId="1" xfId="0" applyNumberFormat="1" applyFill="1" applyAlignment="1">
      <alignment horizontal="right" vertical="center"/>
    </xf>
    <xf numFmtId="3" fontId="0" fillId="5" borderId="1" xfId="0" applyNumberFormat="1" applyFill="1" applyAlignment="1">
      <alignment horizontal="right"/>
    </xf>
    <xf numFmtId="3" fontId="1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1" xfId="0" applyNumberFormat="1" applyFill="1" applyBorder="1" applyAlignment="1">
      <alignment horizontal="right"/>
    </xf>
    <xf numFmtId="0" fontId="0" fillId="4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1" fillId="6" borderId="0" xfId="0" applyFont="1" applyFill="1" applyBorder="1" applyAlignment="1">
      <alignment horizontal="center" vertical="center"/>
    </xf>
    <xf numFmtId="3" fontId="1" fillId="6" borderId="0" xfId="0" applyNumberFormat="1" applyFont="1" applyFill="1" applyBorder="1" applyAlignment="1">
      <alignment horizontal="center" vertical="center"/>
    </xf>
    <xf numFmtId="3" fontId="1" fillId="6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2" sqref="O12"/>
    </sheetView>
  </sheetViews>
  <sheetFormatPr defaultColWidth="12" defaultRowHeight="14.4" x14ac:dyDescent="0.55000000000000004"/>
  <cols>
    <col min="1" max="1" width="30.26171875" style="1" customWidth="1"/>
    <col min="2" max="2" width="10.15625" style="2" customWidth="1"/>
    <col min="3" max="3" width="9.15625" style="2" customWidth="1"/>
    <col min="4" max="4" width="8.89453125" style="2" customWidth="1"/>
    <col min="5" max="5" width="11.41796875" style="2" customWidth="1"/>
    <col min="6" max="6" width="9.578125" style="2" customWidth="1"/>
    <col min="7" max="7" width="9.41796875" style="2" customWidth="1"/>
    <col min="8" max="8" width="15.578125" style="2" customWidth="1"/>
    <col min="9" max="9" width="15.15625" style="2" customWidth="1"/>
    <col min="10" max="10" width="15" style="2" customWidth="1"/>
    <col min="11" max="11" width="4.83984375" style="34" customWidth="1"/>
    <col min="12" max="13" width="7.578125" style="2" customWidth="1"/>
    <col min="14" max="15" width="7.578125" customWidth="1"/>
    <col min="16" max="16" width="7.578125" style="2" customWidth="1"/>
    <col min="17" max="18" width="7.578125" customWidth="1"/>
    <col min="19" max="20" width="7.578125" style="2" customWidth="1"/>
    <col min="21" max="23" width="7.578125" customWidth="1"/>
    <col min="24" max="24" width="12" customWidth="1"/>
    <col min="25" max="25" width="12" style="1" customWidth="1"/>
    <col min="26" max="26" width="12" customWidth="1"/>
    <col min="27" max="27" width="5.68359375" style="27" customWidth="1"/>
    <col min="28" max="30" width="12" style="1"/>
    <col min="31" max="31" width="4.20703125" style="27" customWidth="1"/>
    <col min="32" max="16384" width="12" style="1"/>
  </cols>
  <sheetData>
    <row r="1" spans="1:34" x14ac:dyDescent="0.55000000000000004">
      <c r="A1" s="40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33"/>
      <c r="L1" s="42" t="s">
        <v>10</v>
      </c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B1" s="43" t="s">
        <v>282</v>
      </c>
      <c r="AC1" s="44" t="s">
        <v>283</v>
      </c>
      <c r="AD1" s="43" t="s">
        <v>284</v>
      </c>
      <c r="AF1" s="43" t="s">
        <v>285</v>
      </c>
      <c r="AG1" s="44" t="s">
        <v>286</v>
      </c>
      <c r="AH1" s="43" t="s">
        <v>287</v>
      </c>
    </row>
    <row r="2" spans="1:34" x14ac:dyDescent="0.55000000000000004">
      <c r="A2" s="36" t="s">
        <v>11</v>
      </c>
      <c r="B2" s="13">
        <v>359802</v>
      </c>
      <c r="C2" s="13">
        <v>14433</v>
      </c>
      <c r="D2" s="13">
        <v>9042</v>
      </c>
      <c r="E2" s="14">
        <v>28768</v>
      </c>
      <c r="F2" s="13">
        <v>969</v>
      </c>
      <c r="G2" s="13">
        <v>918</v>
      </c>
      <c r="H2" s="14">
        <v>348008</v>
      </c>
      <c r="I2" s="13">
        <v>13439</v>
      </c>
      <c r="J2" s="13">
        <v>8792</v>
      </c>
      <c r="L2" s="13">
        <v>53711</v>
      </c>
      <c r="M2" s="13">
        <v>60347</v>
      </c>
      <c r="N2" s="13">
        <v>52760</v>
      </c>
      <c r="O2" s="13">
        <v>40052</v>
      </c>
      <c r="P2" s="13">
        <v>29401</v>
      </c>
      <c r="Q2" s="13">
        <v>40180</v>
      </c>
      <c r="R2" s="13">
        <v>83351</v>
      </c>
      <c r="S2" s="13"/>
      <c r="T2" s="13"/>
      <c r="U2" s="16"/>
      <c r="V2" s="16"/>
      <c r="W2" s="16"/>
      <c r="X2" s="16"/>
      <c r="Y2" s="13"/>
      <c r="Z2" s="16"/>
      <c r="AA2" s="26"/>
      <c r="AB2" s="13">
        <f>SUM(L2:Z2)</f>
        <v>359802</v>
      </c>
      <c r="AC2" s="13">
        <f>SUM(L3:Z3)</f>
        <v>14433</v>
      </c>
      <c r="AD2" s="13">
        <f>SUM(L4:Z4)</f>
        <v>9042</v>
      </c>
      <c r="AE2" s="26"/>
      <c r="AF2" s="13">
        <f>AB2-B2</f>
        <v>0</v>
      </c>
      <c r="AG2" s="13">
        <f>AC2-C2</f>
        <v>0</v>
      </c>
      <c r="AH2" s="13">
        <f>AD2-D2</f>
        <v>0</v>
      </c>
    </row>
    <row r="3" spans="1:34" x14ac:dyDescent="0.55000000000000004">
      <c r="A3" s="37" t="s">
        <v>12</v>
      </c>
      <c r="L3" s="2">
        <v>2065</v>
      </c>
      <c r="M3" s="2">
        <v>1522</v>
      </c>
      <c r="N3" s="2">
        <v>2728</v>
      </c>
      <c r="O3" s="2">
        <v>1644</v>
      </c>
      <c r="P3" s="2">
        <v>1306</v>
      </c>
      <c r="Q3" s="2">
        <v>1672</v>
      </c>
      <c r="R3" s="2">
        <v>3496</v>
      </c>
      <c r="U3" s="9"/>
      <c r="V3" s="9"/>
      <c r="W3" s="9"/>
      <c r="X3" s="9"/>
      <c r="Y3" s="2"/>
      <c r="Z3" s="9"/>
      <c r="AA3" s="26"/>
      <c r="AB3" s="2"/>
      <c r="AC3" s="2"/>
      <c r="AD3" s="2"/>
      <c r="AE3" s="26"/>
      <c r="AF3" s="2"/>
      <c r="AG3" s="2"/>
      <c r="AH3" s="2"/>
    </row>
    <row r="4" spans="1:34" x14ac:dyDescent="0.55000000000000004">
      <c r="A4" s="37" t="s">
        <v>13</v>
      </c>
      <c r="L4" s="2">
        <v>1786</v>
      </c>
      <c r="M4" s="2">
        <v>975</v>
      </c>
      <c r="N4" s="2">
        <v>1620</v>
      </c>
      <c r="O4" s="2">
        <v>1267</v>
      </c>
      <c r="P4" s="2">
        <v>728</v>
      </c>
      <c r="Q4" s="2">
        <v>872</v>
      </c>
      <c r="R4" s="2">
        <v>1794</v>
      </c>
      <c r="U4" s="9"/>
      <c r="V4" s="9"/>
      <c r="W4" s="9"/>
      <c r="X4" s="9"/>
      <c r="Y4" s="2"/>
      <c r="Z4" s="9"/>
      <c r="AA4" s="26"/>
      <c r="AB4" s="2"/>
      <c r="AC4" s="2"/>
      <c r="AD4" s="2"/>
      <c r="AE4" s="26"/>
      <c r="AF4" s="2"/>
      <c r="AG4" s="2"/>
      <c r="AH4" s="2"/>
    </row>
    <row r="5" spans="1:34" x14ac:dyDescent="0.55000000000000004">
      <c r="A5" s="36" t="s">
        <v>14</v>
      </c>
      <c r="B5" s="13">
        <v>885846</v>
      </c>
      <c r="C5" s="13">
        <v>31185</v>
      </c>
      <c r="D5" s="13">
        <v>24330</v>
      </c>
      <c r="E5" s="13">
        <v>121762</v>
      </c>
      <c r="F5" s="13">
        <v>5518</v>
      </c>
      <c r="G5" s="13">
        <v>5681</v>
      </c>
      <c r="H5" s="13">
        <v>870197</v>
      </c>
      <c r="I5" s="13">
        <v>28204</v>
      </c>
      <c r="J5" s="13">
        <v>19821</v>
      </c>
      <c r="L5" s="13">
        <v>164562</v>
      </c>
      <c r="M5" s="13">
        <v>66325</v>
      </c>
      <c r="N5" s="13">
        <v>33083</v>
      </c>
      <c r="O5" s="13">
        <v>89613</v>
      </c>
      <c r="P5" s="13">
        <v>180673</v>
      </c>
      <c r="Q5" s="13">
        <v>141696</v>
      </c>
      <c r="R5" s="13">
        <v>209894</v>
      </c>
      <c r="S5" s="13"/>
      <c r="T5" s="13"/>
      <c r="U5" s="16"/>
      <c r="V5" s="16"/>
      <c r="W5" s="16"/>
      <c r="X5" s="16"/>
      <c r="Y5" s="13"/>
      <c r="Z5" s="16"/>
      <c r="AA5" s="26"/>
      <c r="AB5" s="13">
        <f>SUM(L5:Z5)</f>
        <v>885846</v>
      </c>
      <c r="AC5" s="13">
        <f>SUM(L6:Z6)</f>
        <v>31185</v>
      </c>
      <c r="AD5" s="13">
        <f>SUM(L7:Z7)</f>
        <v>24330</v>
      </c>
      <c r="AE5" s="26"/>
      <c r="AF5" s="13">
        <f>AB5-B5</f>
        <v>0</v>
      </c>
      <c r="AG5" s="13">
        <f>AC5-C5</f>
        <v>0</v>
      </c>
      <c r="AH5" s="13">
        <f>AD5-D5</f>
        <v>0</v>
      </c>
    </row>
    <row r="6" spans="1:34" x14ac:dyDescent="0.55000000000000004">
      <c r="A6" s="37" t="s">
        <v>15</v>
      </c>
      <c r="L6" s="2">
        <v>8797</v>
      </c>
      <c r="M6" s="2">
        <v>3820</v>
      </c>
      <c r="N6" s="2">
        <v>2192</v>
      </c>
      <c r="O6" s="2">
        <v>5571</v>
      </c>
      <c r="P6" s="2">
        <v>10805</v>
      </c>
      <c r="Q6" s="2" t="s">
        <v>16</v>
      </c>
      <c r="R6" s="2" t="s">
        <v>16</v>
      </c>
      <c r="U6" s="9"/>
      <c r="V6" s="9"/>
      <c r="W6" s="9"/>
      <c r="X6" s="9"/>
      <c r="Y6" s="2"/>
      <c r="Z6" s="9"/>
      <c r="AA6" s="26"/>
      <c r="AB6" s="2"/>
      <c r="AC6" s="2"/>
      <c r="AD6" s="2"/>
      <c r="AE6" s="26"/>
      <c r="AF6" s="2"/>
      <c r="AG6" s="2"/>
      <c r="AH6" s="2"/>
    </row>
    <row r="7" spans="1:34" x14ac:dyDescent="0.55000000000000004">
      <c r="A7" s="37" t="s">
        <v>17</v>
      </c>
      <c r="L7" s="2">
        <v>7270</v>
      </c>
      <c r="M7" s="2">
        <v>3121</v>
      </c>
      <c r="N7" s="2">
        <v>1697</v>
      </c>
      <c r="O7" s="2">
        <v>3476</v>
      </c>
      <c r="P7" s="2">
        <v>8766</v>
      </c>
      <c r="Q7" s="2" t="s">
        <v>16</v>
      </c>
      <c r="R7" s="2" t="s">
        <v>16</v>
      </c>
      <c r="U7" s="9"/>
      <c r="V7" s="9"/>
      <c r="W7" s="9"/>
      <c r="X7" s="9"/>
      <c r="Y7" s="2"/>
      <c r="Z7" s="9"/>
      <c r="AA7" s="26"/>
      <c r="AB7" s="2"/>
      <c r="AC7" s="2"/>
      <c r="AD7" s="2"/>
      <c r="AE7" s="26"/>
      <c r="AF7" s="2"/>
      <c r="AG7" s="2"/>
      <c r="AH7" s="2"/>
    </row>
    <row r="8" spans="1:34" x14ac:dyDescent="0.55000000000000004">
      <c r="A8" s="36" t="s">
        <v>18</v>
      </c>
      <c r="B8" s="13">
        <v>1387742</v>
      </c>
      <c r="C8" s="13">
        <v>59742</v>
      </c>
      <c r="D8" s="13">
        <v>33850</v>
      </c>
      <c r="E8" s="14">
        <v>144909</v>
      </c>
      <c r="F8" s="13">
        <v>4716</v>
      </c>
      <c r="G8" s="13">
        <v>4554</v>
      </c>
      <c r="H8" s="14">
        <v>1327891</v>
      </c>
      <c r="I8" s="13">
        <v>55516</v>
      </c>
      <c r="J8" s="13">
        <v>44088</v>
      </c>
      <c r="L8" s="13">
        <v>306478</v>
      </c>
      <c r="M8" s="13">
        <v>199659</v>
      </c>
      <c r="N8" s="13">
        <v>184195</v>
      </c>
      <c r="O8" s="13">
        <v>178982</v>
      </c>
      <c r="P8" s="13">
        <v>212335</v>
      </c>
      <c r="Q8" s="13">
        <v>162466</v>
      </c>
      <c r="R8" s="13">
        <v>143627</v>
      </c>
      <c r="S8" s="13"/>
      <c r="T8" s="13"/>
      <c r="U8" s="16"/>
      <c r="V8" s="16"/>
      <c r="W8" s="16"/>
      <c r="X8" s="16"/>
      <c r="Y8" s="13"/>
      <c r="Z8" s="16"/>
      <c r="AA8" s="26"/>
      <c r="AB8" s="13">
        <f>SUM(L8:Z8)</f>
        <v>1387742</v>
      </c>
      <c r="AC8" s="13">
        <f>SUM(L9:Z9)</f>
        <v>59744</v>
      </c>
      <c r="AD8" s="13">
        <f>SUM(L10:Z10)</f>
        <v>33850</v>
      </c>
      <c r="AE8" s="26"/>
      <c r="AF8" s="13">
        <f>AB8-B8</f>
        <v>0</v>
      </c>
      <c r="AG8" s="13">
        <f>AC8-C8</f>
        <v>2</v>
      </c>
      <c r="AH8" s="13">
        <f>AD8-D8</f>
        <v>0</v>
      </c>
    </row>
    <row r="9" spans="1:34" x14ac:dyDescent="0.55000000000000004">
      <c r="A9" s="37" t="s">
        <v>19</v>
      </c>
      <c r="L9" s="2">
        <v>11217</v>
      </c>
      <c r="M9" s="2">
        <v>8627</v>
      </c>
      <c r="N9" s="2">
        <v>7972</v>
      </c>
      <c r="O9" s="2">
        <v>8161</v>
      </c>
      <c r="P9" s="2">
        <v>8911</v>
      </c>
      <c r="Q9" s="2">
        <v>6762</v>
      </c>
      <c r="R9" s="2">
        <v>8094</v>
      </c>
      <c r="U9" s="9"/>
      <c r="V9" s="9"/>
      <c r="W9" s="9"/>
      <c r="X9" s="9"/>
      <c r="Y9" s="2"/>
      <c r="Z9" s="9"/>
      <c r="AA9" s="26"/>
      <c r="AB9" s="2"/>
      <c r="AC9" s="2"/>
      <c r="AD9" s="2"/>
      <c r="AE9" s="26"/>
      <c r="AF9" s="2"/>
      <c r="AG9" s="2"/>
      <c r="AH9" s="2"/>
    </row>
    <row r="10" spans="1:34" x14ac:dyDescent="0.55000000000000004">
      <c r="A10" s="37" t="s">
        <v>20</v>
      </c>
      <c r="L10" s="2">
        <v>8535</v>
      </c>
      <c r="M10" s="2">
        <v>4044</v>
      </c>
      <c r="N10" s="2">
        <v>3911</v>
      </c>
      <c r="O10" s="2">
        <v>4482</v>
      </c>
      <c r="P10" s="2">
        <v>4452</v>
      </c>
      <c r="Q10" s="2">
        <v>3888</v>
      </c>
      <c r="R10" s="2">
        <v>4538</v>
      </c>
      <c r="U10" s="9"/>
      <c r="V10" s="9"/>
      <c r="W10" s="9"/>
      <c r="X10" s="9"/>
      <c r="Y10" s="2"/>
      <c r="Z10" s="9"/>
      <c r="AA10" s="26"/>
      <c r="AB10" s="2"/>
      <c r="AC10" s="2"/>
      <c r="AD10" s="2"/>
      <c r="AE10" s="26"/>
      <c r="AF10" s="2"/>
      <c r="AG10" s="2"/>
      <c r="AH10" s="2"/>
    </row>
    <row r="11" spans="1:34" x14ac:dyDescent="0.55000000000000004">
      <c r="A11" s="36" t="s">
        <v>21</v>
      </c>
      <c r="B11" s="13">
        <v>1397062</v>
      </c>
      <c r="C11" s="13">
        <v>59877</v>
      </c>
      <c r="D11" s="13">
        <v>32288</v>
      </c>
      <c r="E11" s="14">
        <v>214462</v>
      </c>
      <c r="F11" s="13">
        <v>6262</v>
      </c>
      <c r="G11" s="13">
        <v>4074</v>
      </c>
      <c r="H11" s="14">
        <v>1322671</v>
      </c>
      <c r="I11" s="13">
        <v>57262</v>
      </c>
      <c r="J11" s="13">
        <v>33167</v>
      </c>
      <c r="L11" s="13">
        <v>152745</v>
      </c>
      <c r="M11" s="13">
        <v>90672</v>
      </c>
      <c r="N11" s="13">
        <v>101308</v>
      </c>
      <c r="O11" s="13">
        <v>235361</v>
      </c>
      <c r="P11" s="13">
        <v>83839</v>
      </c>
      <c r="Q11" s="13">
        <v>141893</v>
      </c>
      <c r="R11" s="13">
        <v>121673</v>
      </c>
      <c r="S11" s="13">
        <v>115323</v>
      </c>
      <c r="T11" s="13">
        <v>121625</v>
      </c>
      <c r="U11" s="13">
        <v>137876</v>
      </c>
      <c r="V11" s="13">
        <v>94747</v>
      </c>
      <c r="W11" s="16"/>
      <c r="X11" s="16"/>
      <c r="Y11" s="13"/>
      <c r="Z11" s="16"/>
      <c r="AA11" s="26"/>
      <c r="AB11" s="13">
        <f>SUM(L11:Z11)</f>
        <v>1397062</v>
      </c>
      <c r="AC11" s="13">
        <f>SUM(L12:Z12)</f>
        <v>58977</v>
      </c>
      <c r="AD11" s="13">
        <f>SUM(L13:Z13)</f>
        <v>32294</v>
      </c>
      <c r="AE11" s="26"/>
      <c r="AF11" s="13">
        <f>AB11-B11</f>
        <v>0</v>
      </c>
      <c r="AG11" s="13">
        <f>AC11-C11</f>
        <v>-900</v>
      </c>
      <c r="AH11" s="13">
        <f>AD11-D11</f>
        <v>6</v>
      </c>
    </row>
    <row r="12" spans="1:34" x14ac:dyDescent="0.55000000000000004">
      <c r="A12" s="37" t="s">
        <v>22</v>
      </c>
      <c r="L12" s="2">
        <v>5712</v>
      </c>
      <c r="M12" s="2">
        <v>5229</v>
      </c>
      <c r="N12" s="2">
        <v>5136</v>
      </c>
      <c r="O12" s="2">
        <v>6883</v>
      </c>
      <c r="P12" s="2">
        <v>4444</v>
      </c>
      <c r="Q12" s="2">
        <v>7005</v>
      </c>
      <c r="R12" s="2">
        <v>4932</v>
      </c>
      <c r="S12" s="2">
        <v>5154</v>
      </c>
      <c r="T12" s="2">
        <v>6013</v>
      </c>
      <c r="U12" s="2">
        <v>4037</v>
      </c>
      <c r="V12" s="2">
        <v>4432</v>
      </c>
      <c r="W12" s="9"/>
      <c r="X12" s="9"/>
      <c r="Y12" s="2"/>
      <c r="Z12" s="9"/>
      <c r="AA12" s="26"/>
      <c r="AB12" s="2"/>
      <c r="AC12" s="2"/>
      <c r="AD12" s="2"/>
      <c r="AE12" s="26"/>
      <c r="AF12" s="2"/>
      <c r="AG12" s="2"/>
      <c r="AH12" s="2"/>
    </row>
    <row r="13" spans="1:34" x14ac:dyDescent="0.55000000000000004">
      <c r="A13" s="37" t="s">
        <v>23</v>
      </c>
      <c r="L13" s="2">
        <v>3755</v>
      </c>
      <c r="M13" s="2">
        <v>2769</v>
      </c>
      <c r="N13" s="2">
        <v>2464</v>
      </c>
      <c r="O13" s="2">
        <v>4468</v>
      </c>
      <c r="P13" s="2">
        <v>2635</v>
      </c>
      <c r="Q13" s="2">
        <v>3277</v>
      </c>
      <c r="R13" s="2">
        <v>2471</v>
      </c>
      <c r="S13" s="2">
        <v>2680</v>
      </c>
      <c r="T13" s="2">
        <v>3308</v>
      </c>
      <c r="U13" s="2">
        <v>2228</v>
      </c>
      <c r="V13" s="2">
        <v>2239</v>
      </c>
      <c r="W13" s="9"/>
      <c r="X13" s="9"/>
      <c r="Y13" s="2"/>
      <c r="Z13" s="9"/>
      <c r="AA13" s="26"/>
      <c r="AB13" s="2"/>
      <c r="AC13" s="2"/>
      <c r="AD13" s="2"/>
      <c r="AE13" s="26"/>
      <c r="AF13" s="2"/>
      <c r="AG13" s="2"/>
      <c r="AH13" s="2"/>
    </row>
    <row r="14" spans="1:34" x14ac:dyDescent="0.55000000000000004">
      <c r="A14" s="36" t="s">
        <v>24</v>
      </c>
      <c r="B14" s="13">
        <v>2449786</v>
      </c>
      <c r="C14" s="13">
        <v>125798</v>
      </c>
      <c r="D14" s="13">
        <v>71629</v>
      </c>
      <c r="E14" s="14">
        <v>193102</v>
      </c>
      <c r="F14" s="13">
        <v>6659</v>
      </c>
      <c r="G14" s="13">
        <v>4400</v>
      </c>
      <c r="H14" s="14">
        <v>2328532</v>
      </c>
      <c r="I14" s="13">
        <v>120418</v>
      </c>
      <c r="J14" s="13">
        <v>76684</v>
      </c>
      <c r="L14" s="13">
        <v>337723</v>
      </c>
      <c r="M14" s="13">
        <v>216169</v>
      </c>
      <c r="N14" s="13">
        <v>166438</v>
      </c>
      <c r="O14" s="13">
        <v>175973</v>
      </c>
      <c r="P14" s="13">
        <v>187850</v>
      </c>
      <c r="Q14" s="13">
        <v>185877</v>
      </c>
      <c r="R14" s="13">
        <v>190637</v>
      </c>
      <c r="S14" s="13">
        <v>262897</v>
      </c>
      <c r="T14" s="13">
        <v>178744</v>
      </c>
      <c r="U14" s="13">
        <v>155837</v>
      </c>
      <c r="V14" s="13">
        <v>216072</v>
      </c>
      <c r="W14" s="13">
        <v>175569</v>
      </c>
      <c r="X14" s="16"/>
      <c r="Y14" s="13"/>
      <c r="Z14" s="16"/>
      <c r="AA14" s="26"/>
      <c r="AB14" s="13">
        <f>SUM(L14:Z14)</f>
        <v>2449786</v>
      </c>
      <c r="AC14" s="13">
        <f>SUM(L15:Z15)</f>
        <v>125900</v>
      </c>
      <c r="AD14" s="13">
        <f>SUM(L16:Z16)</f>
        <v>71611</v>
      </c>
      <c r="AE14" s="26"/>
      <c r="AF14" s="13">
        <f>AB14-B14</f>
        <v>0</v>
      </c>
      <c r="AG14" s="13">
        <f>AC14-C14</f>
        <v>102</v>
      </c>
      <c r="AH14" s="13">
        <f>AD14-D14</f>
        <v>-18</v>
      </c>
    </row>
    <row r="15" spans="1:34" x14ac:dyDescent="0.55000000000000004">
      <c r="A15" s="37" t="s">
        <v>25</v>
      </c>
      <c r="L15" s="2">
        <v>17469</v>
      </c>
      <c r="M15" s="2">
        <v>11803</v>
      </c>
      <c r="N15" s="2">
        <v>8679</v>
      </c>
      <c r="O15" s="2">
        <v>9004</v>
      </c>
      <c r="P15" s="2">
        <v>8689</v>
      </c>
      <c r="Q15" s="2">
        <v>9483</v>
      </c>
      <c r="R15" s="2">
        <v>10216</v>
      </c>
      <c r="S15" s="2">
        <v>14647</v>
      </c>
      <c r="T15" s="2">
        <v>9265</v>
      </c>
      <c r="U15" s="2">
        <v>7099</v>
      </c>
      <c r="V15" s="2">
        <v>11278</v>
      </c>
      <c r="W15" s="2">
        <v>8268</v>
      </c>
      <c r="X15" s="9"/>
      <c r="Y15" s="2"/>
      <c r="Z15" s="9"/>
      <c r="AA15" s="26"/>
      <c r="AB15" s="2"/>
      <c r="AC15" s="2"/>
      <c r="AD15" s="2"/>
      <c r="AE15" s="26"/>
      <c r="AF15" s="2"/>
      <c r="AG15" s="2"/>
      <c r="AH15" s="2"/>
    </row>
    <row r="16" spans="1:34" x14ac:dyDescent="0.55000000000000004">
      <c r="A16" s="37" t="s">
        <v>26</v>
      </c>
      <c r="L16" s="2">
        <v>10169</v>
      </c>
      <c r="M16" s="2">
        <v>6827</v>
      </c>
      <c r="N16" s="2">
        <v>4155</v>
      </c>
      <c r="O16" s="2">
        <v>6190</v>
      </c>
      <c r="P16" s="2">
        <v>5307</v>
      </c>
      <c r="Q16" s="2">
        <v>5490</v>
      </c>
      <c r="R16" s="2">
        <v>5271</v>
      </c>
      <c r="S16" s="2">
        <v>8191</v>
      </c>
      <c r="T16" s="2">
        <v>5037</v>
      </c>
      <c r="U16" s="2">
        <v>4200</v>
      </c>
      <c r="V16" s="2">
        <v>6048</v>
      </c>
      <c r="W16" s="2">
        <v>4726</v>
      </c>
      <c r="X16" s="9"/>
      <c r="Y16" s="2"/>
      <c r="Z16" s="9"/>
      <c r="AA16" s="26"/>
      <c r="AB16" s="2"/>
      <c r="AC16" s="2"/>
      <c r="AD16" s="2"/>
      <c r="AE16" s="26"/>
      <c r="AF16" s="2"/>
      <c r="AG16" s="2"/>
      <c r="AH16" s="2"/>
    </row>
    <row r="17" spans="1:34" x14ac:dyDescent="0.55000000000000004">
      <c r="A17" s="38" t="s">
        <v>27</v>
      </c>
      <c r="B17" s="3">
        <v>1510028</v>
      </c>
      <c r="C17" s="3">
        <v>61716</v>
      </c>
      <c r="D17" s="3">
        <v>38489</v>
      </c>
      <c r="E17" s="4">
        <v>216219</v>
      </c>
      <c r="F17" s="3">
        <v>5804</v>
      </c>
      <c r="G17" s="3">
        <v>4193</v>
      </c>
      <c r="H17" s="4">
        <v>1388679</v>
      </c>
      <c r="I17" s="3">
        <v>57760</v>
      </c>
      <c r="J17" s="3">
        <v>38321</v>
      </c>
      <c r="L17" s="3">
        <v>187731</v>
      </c>
      <c r="M17" s="3">
        <v>198344</v>
      </c>
      <c r="N17" s="3">
        <v>189213</v>
      </c>
      <c r="O17" s="3">
        <v>186987</v>
      </c>
      <c r="P17" s="3">
        <v>137159</v>
      </c>
      <c r="Q17" s="13">
        <v>154283</v>
      </c>
      <c r="R17" s="13">
        <v>134076</v>
      </c>
      <c r="S17" s="13">
        <v>208407</v>
      </c>
      <c r="T17" s="13">
        <v>113828</v>
      </c>
      <c r="U17" s="16"/>
      <c r="V17" s="16"/>
      <c r="W17" s="16"/>
      <c r="X17" s="16"/>
      <c r="Y17" s="13"/>
      <c r="Z17" s="16"/>
      <c r="AA17" s="26"/>
      <c r="AB17" s="13">
        <f>SUM(L17:Z17)</f>
        <v>1510028</v>
      </c>
      <c r="AC17" s="13">
        <f>SUM(L18:Z18)</f>
        <v>61716</v>
      </c>
      <c r="AD17" s="13">
        <f>SUM(L19:Z19)</f>
        <v>38489</v>
      </c>
      <c r="AE17" s="26"/>
      <c r="AF17" s="13">
        <f>AB17-B17</f>
        <v>0</v>
      </c>
      <c r="AG17" s="13">
        <f>AC17-C17</f>
        <v>0</v>
      </c>
      <c r="AH17" s="13">
        <f>AD17-D17</f>
        <v>0</v>
      </c>
    </row>
    <row r="18" spans="1:34" x14ac:dyDescent="0.55000000000000004">
      <c r="A18" s="37" t="s">
        <v>28</v>
      </c>
      <c r="L18" s="2">
        <v>6576</v>
      </c>
      <c r="M18" s="2">
        <v>8732</v>
      </c>
      <c r="N18" s="2">
        <v>6623</v>
      </c>
      <c r="O18" s="2">
        <v>6360</v>
      </c>
      <c r="P18" s="2">
        <v>6605</v>
      </c>
      <c r="Q18" s="2">
        <v>6054</v>
      </c>
      <c r="R18" s="2">
        <v>7460</v>
      </c>
      <c r="S18" s="2">
        <v>9292</v>
      </c>
      <c r="T18" s="2">
        <v>4014</v>
      </c>
      <c r="U18" s="9"/>
      <c r="V18" s="9"/>
      <c r="W18" s="9"/>
      <c r="X18" s="9"/>
      <c r="Y18" s="2"/>
      <c r="Z18" s="9"/>
      <c r="AA18" s="26"/>
      <c r="AB18" s="2"/>
      <c r="AC18" s="2"/>
      <c r="AD18" s="2"/>
      <c r="AE18" s="26"/>
      <c r="AF18" s="2"/>
      <c r="AG18" s="2"/>
      <c r="AH18" s="2"/>
    </row>
    <row r="19" spans="1:34" x14ac:dyDescent="0.55000000000000004">
      <c r="A19" s="37" t="s">
        <v>29</v>
      </c>
      <c r="L19" s="2">
        <v>4031</v>
      </c>
      <c r="M19" s="2">
        <v>5412</v>
      </c>
      <c r="N19" s="2">
        <v>4175</v>
      </c>
      <c r="O19" s="2">
        <v>4308</v>
      </c>
      <c r="P19" s="2">
        <v>3769</v>
      </c>
      <c r="Q19" s="2">
        <v>4179</v>
      </c>
      <c r="R19" s="2">
        <v>4939</v>
      </c>
      <c r="S19" s="2">
        <v>5088</v>
      </c>
      <c r="T19" s="2">
        <v>2588</v>
      </c>
      <c r="U19" s="9"/>
      <c r="V19" s="9"/>
      <c r="W19" s="9"/>
      <c r="X19" s="9"/>
      <c r="Y19" s="2"/>
      <c r="Z19" s="9"/>
      <c r="AA19" s="26"/>
      <c r="AB19" s="2"/>
      <c r="AC19" s="2"/>
      <c r="AD19" s="2"/>
      <c r="AE19" s="26"/>
      <c r="AF19" s="2"/>
      <c r="AG19" s="2"/>
      <c r="AH19" s="2"/>
    </row>
    <row r="20" spans="1:34" x14ac:dyDescent="0.55000000000000004">
      <c r="A20" s="38" t="s">
        <v>30</v>
      </c>
      <c r="B20" s="3">
        <v>3193296</v>
      </c>
      <c r="C20" s="3">
        <v>161859</v>
      </c>
      <c r="D20" s="3">
        <v>99290</v>
      </c>
      <c r="E20" s="4">
        <v>415006</v>
      </c>
      <c r="F20" s="3">
        <v>15621</v>
      </c>
      <c r="G20" s="3">
        <v>10996</v>
      </c>
      <c r="H20" s="4">
        <v>3015196</v>
      </c>
      <c r="I20" s="3">
        <v>156587</v>
      </c>
      <c r="J20" s="3">
        <v>99899</v>
      </c>
      <c r="L20" s="3">
        <v>441568</v>
      </c>
      <c r="M20" s="3">
        <v>264580</v>
      </c>
      <c r="N20" s="3">
        <v>289380</v>
      </c>
      <c r="O20" s="3">
        <v>238662</v>
      </c>
      <c r="P20" s="3">
        <v>249819</v>
      </c>
      <c r="Q20" s="3">
        <v>215931</v>
      </c>
      <c r="R20" s="13">
        <v>259871</v>
      </c>
      <c r="S20" s="13">
        <v>222359</v>
      </c>
      <c r="T20" s="13">
        <v>223779</v>
      </c>
      <c r="U20" s="13">
        <v>285092</v>
      </c>
      <c r="V20" s="13">
        <v>279034</v>
      </c>
      <c r="W20" s="13">
        <v>223221</v>
      </c>
      <c r="X20" s="16"/>
      <c r="Y20" s="13"/>
      <c r="Z20" s="16"/>
      <c r="AA20" s="26"/>
      <c r="AB20" s="13">
        <f>SUM(L20:Z20)</f>
        <v>3193296</v>
      </c>
      <c r="AC20" s="13">
        <f>SUM(L21:Z21)</f>
        <v>161850</v>
      </c>
      <c r="AD20" s="13">
        <f>SUM(L22:Z22)</f>
        <v>99290</v>
      </c>
      <c r="AE20" s="26"/>
      <c r="AF20" s="13">
        <f>AB20-B20</f>
        <v>0</v>
      </c>
      <c r="AG20" s="13">
        <f>AC20-C20</f>
        <v>-9</v>
      </c>
      <c r="AH20" s="13">
        <f>AD20-D20</f>
        <v>0</v>
      </c>
    </row>
    <row r="21" spans="1:34" x14ac:dyDescent="0.55000000000000004">
      <c r="A21" s="37" t="s">
        <v>31</v>
      </c>
      <c r="L21" s="2">
        <v>21092</v>
      </c>
      <c r="M21" s="2">
        <v>12256</v>
      </c>
      <c r="N21" s="2">
        <v>14736</v>
      </c>
      <c r="O21" s="2">
        <v>13066</v>
      </c>
      <c r="P21" s="2">
        <v>13020</v>
      </c>
      <c r="Q21" s="2">
        <v>9769</v>
      </c>
      <c r="R21" s="2">
        <v>13476</v>
      </c>
      <c r="S21" s="2">
        <v>11229</v>
      </c>
      <c r="T21" s="2">
        <v>11296</v>
      </c>
      <c r="U21" s="2">
        <v>14933</v>
      </c>
      <c r="V21" s="2">
        <v>15367</v>
      </c>
      <c r="W21" s="2">
        <v>11610</v>
      </c>
      <c r="X21" s="9"/>
      <c r="Y21" s="2"/>
      <c r="Z21" s="9"/>
      <c r="AA21" s="26"/>
      <c r="AB21" s="2"/>
      <c r="AC21" s="2"/>
      <c r="AD21" s="2"/>
      <c r="AE21" s="26"/>
      <c r="AF21" s="2"/>
      <c r="AG21" s="2"/>
      <c r="AH21" s="2"/>
    </row>
    <row r="22" spans="1:34" x14ac:dyDescent="0.55000000000000004">
      <c r="A22" s="37" t="s">
        <v>32</v>
      </c>
      <c r="L22" s="2">
        <v>14105</v>
      </c>
      <c r="M22" s="2">
        <v>7681</v>
      </c>
      <c r="N22" s="2">
        <v>9017</v>
      </c>
      <c r="O22" s="2">
        <v>7984</v>
      </c>
      <c r="P22" s="2">
        <v>7568</v>
      </c>
      <c r="Q22" s="2">
        <v>6176</v>
      </c>
      <c r="R22" s="2">
        <v>7991</v>
      </c>
      <c r="S22" s="2">
        <v>7854</v>
      </c>
      <c r="T22" s="2">
        <v>6366</v>
      </c>
      <c r="U22" s="2">
        <v>8586</v>
      </c>
      <c r="V22" s="2">
        <v>9531</v>
      </c>
      <c r="W22" s="2">
        <v>6431</v>
      </c>
      <c r="X22" s="9"/>
      <c r="Y22" s="2"/>
      <c r="Z22" s="9"/>
      <c r="AA22" s="26"/>
      <c r="AB22" s="2"/>
      <c r="AC22" s="2"/>
      <c r="AD22" s="2"/>
      <c r="AE22" s="26"/>
      <c r="AF22" s="2"/>
      <c r="AG22" s="2"/>
      <c r="AH22" s="2"/>
    </row>
    <row r="23" spans="1:34" x14ac:dyDescent="0.55000000000000004">
      <c r="A23" s="38" t="s">
        <v>33</v>
      </c>
      <c r="B23" s="3">
        <v>1612779</v>
      </c>
      <c r="C23" s="3">
        <v>57019</v>
      </c>
      <c r="D23" s="3">
        <v>39699</v>
      </c>
      <c r="E23" s="4">
        <v>147815</v>
      </c>
      <c r="F23" s="3">
        <v>3965</v>
      </c>
      <c r="G23" s="3">
        <v>2915</v>
      </c>
      <c r="H23" s="4">
        <v>1560676</v>
      </c>
      <c r="I23" s="3">
        <v>54581</v>
      </c>
      <c r="J23" s="3">
        <v>36336</v>
      </c>
      <c r="L23" s="3">
        <v>233999</v>
      </c>
      <c r="M23" s="3">
        <v>239620</v>
      </c>
      <c r="N23" s="3">
        <v>213263</v>
      </c>
      <c r="O23" s="3">
        <v>224736</v>
      </c>
      <c r="P23" s="3">
        <v>248006</v>
      </c>
      <c r="Q23" s="13">
        <v>197395</v>
      </c>
      <c r="R23" s="13">
        <v>255760</v>
      </c>
      <c r="S23" s="13"/>
      <c r="T23" s="13"/>
      <c r="U23" s="16"/>
      <c r="V23" s="16"/>
      <c r="W23" s="16"/>
      <c r="X23" s="16"/>
      <c r="Y23" s="13"/>
      <c r="Z23" s="16"/>
      <c r="AA23" s="26"/>
      <c r="AB23" s="13">
        <f>SUM(L23:Z23)</f>
        <v>1612779</v>
      </c>
      <c r="AC23" s="13">
        <f>SUM(L24:Z24)</f>
        <v>57019</v>
      </c>
      <c r="AD23" s="13">
        <f>SUM(L25:Z25)</f>
        <v>39699</v>
      </c>
      <c r="AE23" s="26"/>
      <c r="AF23" s="13">
        <f>AB23-B23</f>
        <v>0</v>
      </c>
      <c r="AG23" s="13">
        <f>AC23-C23</f>
        <v>0</v>
      </c>
      <c r="AH23" s="13">
        <f>AD23-D23</f>
        <v>0</v>
      </c>
    </row>
    <row r="24" spans="1:34" x14ac:dyDescent="0.55000000000000004">
      <c r="A24" s="37" t="s">
        <v>34</v>
      </c>
      <c r="L24" s="2">
        <v>8077</v>
      </c>
      <c r="M24" s="2">
        <v>8825</v>
      </c>
      <c r="N24" s="2">
        <v>7534</v>
      </c>
      <c r="O24" s="2">
        <v>8012</v>
      </c>
      <c r="P24" s="2">
        <v>8960</v>
      </c>
      <c r="Q24" s="2">
        <v>7003</v>
      </c>
      <c r="R24" s="2">
        <v>8608</v>
      </c>
      <c r="U24" s="9"/>
      <c r="V24" s="9"/>
      <c r="W24" s="9"/>
      <c r="X24" s="9"/>
      <c r="Y24" s="2"/>
      <c r="Z24" s="9"/>
      <c r="AA24" s="26"/>
      <c r="AB24" s="2"/>
      <c r="AC24" s="2"/>
      <c r="AD24" s="2"/>
      <c r="AE24" s="26"/>
      <c r="AF24" s="2"/>
      <c r="AG24" s="2"/>
      <c r="AH24" s="2"/>
    </row>
    <row r="25" spans="1:34" x14ac:dyDescent="0.55000000000000004">
      <c r="A25" s="37" t="s">
        <v>35</v>
      </c>
      <c r="L25" s="2">
        <v>5685</v>
      </c>
      <c r="M25" s="2">
        <v>5517</v>
      </c>
      <c r="N25" s="2">
        <v>4862</v>
      </c>
      <c r="O25" s="2">
        <v>5292</v>
      </c>
      <c r="P25" s="2">
        <v>6686</v>
      </c>
      <c r="Q25" s="2">
        <v>5713</v>
      </c>
      <c r="R25" s="2">
        <v>5944</v>
      </c>
      <c r="U25" s="9"/>
      <c r="V25" s="9"/>
      <c r="W25" s="9"/>
      <c r="X25" s="9"/>
      <c r="Y25" s="2"/>
      <c r="Z25" s="9"/>
      <c r="AA25" s="26"/>
      <c r="AB25" s="2"/>
      <c r="AC25" s="2"/>
      <c r="AD25" s="2"/>
      <c r="AE25" s="26"/>
      <c r="AF25" s="2"/>
      <c r="AG25" s="2"/>
      <c r="AH25" s="2"/>
    </row>
    <row r="26" spans="1:34" x14ac:dyDescent="0.55000000000000004">
      <c r="A26" s="38" t="s">
        <v>36</v>
      </c>
      <c r="B26" s="3">
        <v>1830145</v>
      </c>
      <c r="C26" s="3">
        <v>85520</v>
      </c>
      <c r="D26" s="3">
        <v>48516</v>
      </c>
      <c r="E26" s="4">
        <v>256856</v>
      </c>
      <c r="F26" s="3">
        <v>6064</v>
      </c>
      <c r="G26" s="3">
        <v>4558</v>
      </c>
      <c r="H26" s="4">
        <v>1734707</v>
      </c>
      <c r="I26" s="3">
        <v>79661</v>
      </c>
      <c r="J26" s="3">
        <v>44830</v>
      </c>
      <c r="L26" s="3">
        <v>229617</v>
      </c>
      <c r="M26" s="3">
        <v>231961</v>
      </c>
      <c r="N26" s="3">
        <v>189368</v>
      </c>
      <c r="O26" s="3">
        <v>195543</v>
      </c>
      <c r="P26" s="3">
        <v>139246</v>
      </c>
      <c r="Q26" s="3">
        <v>236694</v>
      </c>
      <c r="R26" s="13">
        <v>214264</v>
      </c>
      <c r="S26" s="13">
        <v>171856</v>
      </c>
      <c r="T26" s="13">
        <v>221941</v>
      </c>
      <c r="U26" s="16"/>
      <c r="V26" s="16"/>
      <c r="W26" s="16"/>
      <c r="X26" s="16"/>
      <c r="Y26" s="13"/>
      <c r="Z26" s="16"/>
      <c r="AA26" s="26"/>
      <c r="AB26" s="13">
        <f>SUM(L26:Z26)</f>
        <v>1830490</v>
      </c>
      <c r="AC26" s="13">
        <f>SUM(L27:Z27)</f>
        <v>85544</v>
      </c>
      <c r="AD26" s="13">
        <f>SUM(L28:Z28)</f>
        <v>48516</v>
      </c>
      <c r="AE26" s="26"/>
      <c r="AF26" s="13">
        <f>AB26-B26</f>
        <v>345</v>
      </c>
      <c r="AG26" s="13">
        <f>AC26-C26</f>
        <v>24</v>
      </c>
      <c r="AH26" s="13">
        <f>AD26-D26</f>
        <v>0</v>
      </c>
    </row>
    <row r="27" spans="1:34" x14ac:dyDescent="0.55000000000000004">
      <c r="A27" s="37" t="s">
        <v>37</v>
      </c>
      <c r="L27" s="2">
        <v>9600</v>
      </c>
      <c r="M27" s="2">
        <v>10375</v>
      </c>
      <c r="N27" s="2">
        <v>9775</v>
      </c>
      <c r="O27" s="2">
        <v>9569</v>
      </c>
      <c r="P27" s="2">
        <v>7750</v>
      </c>
      <c r="Q27" s="2">
        <v>9521</v>
      </c>
      <c r="R27" s="2">
        <v>9271</v>
      </c>
      <c r="S27" s="2">
        <v>9563</v>
      </c>
      <c r="T27" s="2">
        <v>10120</v>
      </c>
      <c r="U27" s="9"/>
      <c r="V27" s="9"/>
      <c r="W27" s="9"/>
      <c r="X27" s="9"/>
      <c r="Y27" s="2"/>
      <c r="Z27" s="9"/>
      <c r="AA27" s="26"/>
      <c r="AB27" s="2"/>
      <c r="AC27" s="2"/>
      <c r="AD27" s="2"/>
      <c r="AE27" s="26"/>
      <c r="AF27" s="2"/>
      <c r="AG27" s="2"/>
      <c r="AH27" s="2"/>
    </row>
    <row r="28" spans="1:34" x14ac:dyDescent="0.55000000000000004">
      <c r="A28" s="37" t="s">
        <v>38</v>
      </c>
      <c r="L28" s="2">
        <v>5990</v>
      </c>
      <c r="M28" s="2">
        <v>5434</v>
      </c>
      <c r="N28" s="2">
        <v>5219</v>
      </c>
      <c r="O28" s="2">
        <v>5710</v>
      </c>
      <c r="P28" s="2">
        <v>4344</v>
      </c>
      <c r="Q28" s="2">
        <v>5075</v>
      </c>
      <c r="R28" s="2">
        <v>5863</v>
      </c>
      <c r="S28" s="2">
        <v>5322</v>
      </c>
      <c r="T28" s="2">
        <v>5559</v>
      </c>
      <c r="U28" s="9"/>
      <c r="V28" s="9"/>
      <c r="W28" s="9"/>
      <c r="X28" s="9"/>
      <c r="Y28" s="2"/>
      <c r="Z28" s="9"/>
      <c r="AA28" s="26"/>
      <c r="AB28" s="2"/>
      <c r="AC28" s="2"/>
      <c r="AD28" s="2"/>
      <c r="AE28" s="26"/>
      <c r="AF28" s="2"/>
      <c r="AG28" s="2"/>
      <c r="AH28" s="2"/>
    </row>
    <row r="29" spans="1:34" x14ac:dyDescent="0.55000000000000004">
      <c r="A29" s="38" t="s">
        <v>39</v>
      </c>
      <c r="B29" s="3">
        <v>1415341</v>
      </c>
      <c r="C29" s="3">
        <v>73348</v>
      </c>
      <c r="D29" s="3">
        <v>43587</v>
      </c>
      <c r="E29" s="4">
        <v>132140</v>
      </c>
      <c r="F29" s="3">
        <v>4077</v>
      </c>
      <c r="G29" s="3">
        <v>3143</v>
      </c>
      <c r="H29" s="4">
        <v>1347990</v>
      </c>
      <c r="I29" s="3">
        <v>67493</v>
      </c>
      <c r="J29" s="3">
        <v>36280</v>
      </c>
      <c r="L29" s="3">
        <v>150698</v>
      </c>
      <c r="M29" s="3">
        <v>100804</v>
      </c>
      <c r="N29" s="3">
        <v>201371</v>
      </c>
      <c r="O29" s="3">
        <v>105361</v>
      </c>
      <c r="P29" s="3">
        <v>124101</v>
      </c>
      <c r="Q29" s="3">
        <v>83551</v>
      </c>
      <c r="R29" s="13">
        <v>129696</v>
      </c>
      <c r="S29" s="13">
        <v>177953</v>
      </c>
      <c r="T29" s="13">
        <v>135224</v>
      </c>
      <c r="U29" s="13">
        <v>77268</v>
      </c>
      <c r="V29" s="13">
        <v>132663</v>
      </c>
      <c r="W29" s="16"/>
      <c r="X29" s="16"/>
      <c r="Y29" s="13"/>
      <c r="Z29" s="16"/>
      <c r="AA29" s="26"/>
      <c r="AB29" s="13">
        <f>SUM(L29:Z29)</f>
        <v>1418690</v>
      </c>
      <c r="AC29" s="13">
        <f>SUM(L30:Z30)</f>
        <v>73412</v>
      </c>
      <c r="AD29" s="13">
        <f>SUM(L31:Z31)</f>
        <v>42000</v>
      </c>
      <c r="AE29" s="26"/>
      <c r="AF29" s="13">
        <f>AB29-B29</f>
        <v>3349</v>
      </c>
      <c r="AG29" s="13">
        <f>AC29-C29</f>
        <v>64</v>
      </c>
      <c r="AH29" s="13">
        <f>AD29-D29</f>
        <v>-1587</v>
      </c>
    </row>
    <row r="30" spans="1:34" x14ac:dyDescent="0.55000000000000004">
      <c r="A30" s="37" t="s">
        <v>40</v>
      </c>
      <c r="L30" s="2">
        <v>6057</v>
      </c>
      <c r="M30" s="2">
        <v>5720</v>
      </c>
      <c r="N30" s="2">
        <v>10193</v>
      </c>
      <c r="O30" s="2">
        <v>5085</v>
      </c>
      <c r="P30" s="2">
        <v>6381</v>
      </c>
      <c r="Q30" s="2">
        <v>4414</v>
      </c>
      <c r="R30" s="2">
        <v>7908</v>
      </c>
      <c r="S30" s="2">
        <v>10253</v>
      </c>
      <c r="T30" s="2">
        <v>6812</v>
      </c>
      <c r="U30" s="2">
        <v>3895</v>
      </c>
      <c r="V30" s="2">
        <v>6694</v>
      </c>
      <c r="W30" s="9"/>
      <c r="X30" s="9"/>
      <c r="Y30" s="2"/>
      <c r="Z30" s="9"/>
      <c r="AA30" s="26"/>
      <c r="AB30" s="2"/>
      <c r="AC30" s="2"/>
      <c r="AD30" s="2"/>
      <c r="AE30" s="26"/>
      <c r="AF30" s="2"/>
      <c r="AG30" s="2"/>
      <c r="AH30" s="2"/>
    </row>
    <row r="31" spans="1:34" x14ac:dyDescent="0.55000000000000004">
      <c r="A31" s="37" t="s">
        <v>41</v>
      </c>
      <c r="L31" s="2">
        <v>3690</v>
      </c>
      <c r="M31" s="2">
        <v>1626</v>
      </c>
      <c r="N31" s="2">
        <v>7775</v>
      </c>
      <c r="O31" s="2">
        <v>2437</v>
      </c>
      <c r="P31" s="2">
        <v>4053</v>
      </c>
      <c r="Q31" s="2">
        <v>2580</v>
      </c>
      <c r="R31" s="2">
        <v>4239</v>
      </c>
      <c r="S31" s="2">
        <v>5631</v>
      </c>
      <c r="T31" s="2">
        <v>3594</v>
      </c>
      <c r="U31" s="2">
        <v>2279</v>
      </c>
      <c r="V31" s="2">
        <v>4096</v>
      </c>
      <c r="W31" s="9"/>
      <c r="X31" s="9"/>
      <c r="Y31" s="2"/>
      <c r="Z31" s="9"/>
      <c r="AA31" s="26"/>
      <c r="AB31" s="2"/>
      <c r="AC31" s="2"/>
      <c r="AD31" s="2"/>
      <c r="AE31" s="26"/>
      <c r="AF31" s="2"/>
      <c r="AG31" s="2"/>
      <c r="AH31" s="2"/>
    </row>
    <row r="32" spans="1:34" x14ac:dyDescent="0.55000000000000004">
      <c r="A32" s="38" t="s">
        <v>42</v>
      </c>
      <c r="B32" s="3">
        <v>1380944</v>
      </c>
      <c r="C32" s="3">
        <v>83695</v>
      </c>
      <c r="D32" s="3">
        <v>59416</v>
      </c>
      <c r="E32" s="4">
        <v>110000</v>
      </c>
      <c r="F32" s="3">
        <v>6562</v>
      </c>
      <c r="G32" s="3">
        <v>6144</v>
      </c>
      <c r="H32" s="4">
        <v>1348671</v>
      </c>
      <c r="I32" s="3">
        <v>80667</v>
      </c>
      <c r="J32" s="3">
        <v>55174</v>
      </c>
      <c r="L32" s="3">
        <v>400969</v>
      </c>
      <c r="M32" s="3">
        <v>204216</v>
      </c>
      <c r="N32" s="3">
        <v>199301</v>
      </c>
      <c r="O32" s="3">
        <v>179824</v>
      </c>
      <c r="P32" s="13">
        <v>396634</v>
      </c>
      <c r="Q32" s="16"/>
      <c r="R32" s="16"/>
      <c r="S32" s="13"/>
      <c r="T32" s="13"/>
      <c r="U32" s="16"/>
      <c r="V32" s="16"/>
      <c r="W32" s="16"/>
      <c r="X32" s="16"/>
      <c r="Y32" s="13"/>
      <c r="Z32" s="16"/>
      <c r="AA32" s="26"/>
      <c r="AB32" s="13">
        <f>SUM(L32:Z32)</f>
        <v>1380944</v>
      </c>
      <c r="AC32" s="13">
        <f>SUM(L33:Z33)</f>
        <v>83695</v>
      </c>
      <c r="AD32" s="13">
        <f>SUM(L34:Z34)</f>
        <v>59416</v>
      </c>
      <c r="AE32" s="26"/>
      <c r="AF32" s="13">
        <f>AB32-B32</f>
        <v>0</v>
      </c>
      <c r="AG32" s="13">
        <f>AC32-C32</f>
        <v>0</v>
      </c>
      <c r="AH32" s="13">
        <f>AD32-D32</f>
        <v>0</v>
      </c>
    </row>
    <row r="33" spans="1:34" x14ac:dyDescent="0.55000000000000004">
      <c r="A33" s="37" t="s">
        <v>43</v>
      </c>
      <c r="L33" s="2">
        <v>28782</v>
      </c>
      <c r="M33" s="2">
        <v>11109</v>
      </c>
      <c r="N33" s="2">
        <v>9291</v>
      </c>
      <c r="O33" s="2">
        <v>10672</v>
      </c>
      <c r="P33" s="2">
        <v>23841</v>
      </c>
      <c r="Q33" s="9"/>
      <c r="R33" s="9"/>
      <c r="U33" s="9"/>
      <c r="V33" s="9"/>
      <c r="W33" s="9"/>
      <c r="X33" s="9"/>
      <c r="Y33" s="2"/>
      <c r="Z33" s="9"/>
      <c r="AA33" s="26"/>
      <c r="AB33" s="2"/>
      <c r="AC33" s="2"/>
      <c r="AD33" s="2"/>
      <c r="AE33" s="26"/>
      <c r="AF33" s="2"/>
      <c r="AG33" s="2"/>
      <c r="AH33" s="2"/>
    </row>
    <row r="34" spans="1:34" x14ac:dyDescent="0.55000000000000004">
      <c r="A34" s="37" t="s">
        <v>44</v>
      </c>
      <c r="L34" s="2">
        <v>21153</v>
      </c>
      <c r="M34" s="2">
        <v>6502</v>
      </c>
      <c r="N34" s="2">
        <v>5999</v>
      </c>
      <c r="O34" s="2">
        <v>7568</v>
      </c>
      <c r="P34" s="2">
        <v>18194</v>
      </c>
      <c r="Q34" s="9"/>
      <c r="R34" s="9"/>
      <c r="U34" s="9"/>
      <c r="V34" s="9"/>
      <c r="W34" s="9"/>
      <c r="X34" s="9"/>
      <c r="Y34" s="2"/>
      <c r="Z34" s="9"/>
      <c r="AA34" s="26"/>
      <c r="AB34" s="2"/>
      <c r="AC34" s="2"/>
      <c r="AD34" s="2"/>
      <c r="AE34" s="26"/>
      <c r="AF34" s="2"/>
      <c r="AG34" s="2"/>
      <c r="AH34" s="2"/>
    </row>
    <row r="35" spans="1:34" x14ac:dyDescent="0.55000000000000004">
      <c r="A35" s="38" t="s">
        <v>45</v>
      </c>
      <c r="B35" s="3">
        <v>2661613</v>
      </c>
      <c r="C35" s="3">
        <v>129754</v>
      </c>
      <c r="D35" s="3">
        <v>78185</v>
      </c>
      <c r="E35" s="4">
        <v>201146</v>
      </c>
      <c r="F35" s="3">
        <v>6829</v>
      </c>
      <c r="G35" s="3">
        <v>4164</v>
      </c>
      <c r="H35" s="4">
        <v>2524839</v>
      </c>
      <c r="I35" s="3">
        <v>123131</v>
      </c>
      <c r="J35" s="3">
        <v>77982</v>
      </c>
      <c r="L35" s="3">
        <v>231219</v>
      </c>
      <c r="M35" s="3">
        <v>324887</v>
      </c>
      <c r="N35" s="3">
        <v>213731</v>
      </c>
      <c r="O35" s="3">
        <v>212413</v>
      </c>
      <c r="P35" s="3">
        <v>225445</v>
      </c>
      <c r="Q35" s="3">
        <v>148064</v>
      </c>
      <c r="R35" s="13">
        <v>183934</v>
      </c>
      <c r="S35" s="13">
        <v>203098</v>
      </c>
      <c r="T35" s="13">
        <v>257419</v>
      </c>
      <c r="U35" s="13">
        <v>251900</v>
      </c>
      <c r="V35" s="13">
        <v>179308</v>
      </c>
      <c r="W35" s="13">
        <v>230195</v>
      </c>
      <c r="X35" s="16"/>
      <c r="Y35" s="13"/>
      <c r="Z35" s="16"/>
      <c r="AA35" s="26"/>
      <c r="AB35" s="13">
        <f>SUM(L35:Z35)</f>
        <v>2661613</v>
      </c>
      <c r="AC35" s="13">
        <f>SUM(L36:Z36)</f>
        <v>129654</v>
      </c>
      <c r="AD35" s="13">
        <f>SUM(L37:Z37)</f>
        <v>78185</v>
      </c>
      <c r="AE35" s="26"/>
      <c r="AF35" s="13">
        <f>AB35-B35</f>
        <v>0</v>
      </c>
      <c r="AG35" s="13">
        <f>AC35-C35</f>
        <v>-100</v>
      </c>
      <c r="AH35" s="13">
        <f>AD35-D35</f>
        <v>0</v>
      </c>
    </row>
    <row r="36" spans="1:34" x14ac:dyDescent="0.55000000000000004">
      <c r="A36" s="37" t="s">
        <v>46</v>
      </c>
      <c r="L36" s="2">
        <v>10923</v>
      </c>
      <c r="M36" s="2">
        <v>17934</v>
      </c>
      <c r="N36" s="2">
        <v>10203</v>
      </c>
      <c r="O36" s="2">
        <v>10877</v>
      </c>
      <c r="P36" s="2">
        <v>10941</v>
      </c>
      <c r="Q36" s="2">
        <v>7512</v>
      </c>
      <c r="R36" s="2">
        <v>9551</v>
      </c>
      <c r="S36" s="2">
        <v>9925</v>
      </c>
      <c r="T36" s="2">
        <v>9454</v>
      </c>
      <c r="U36" s="2">
        <v>11593</v>
      </c>
      <c r="V36" s="2">
        <v>9373</v>
      </c>
      <c r="W36" s="2">
        <v>11368</v>
      </c>
      <c r="X36" s="9"/>
      <c r="Y36" s="2"/>
      <c r="Z36" s="9"/>
      <c r="AA36" s="26"/>
      <c r="AB36" s="2"/>
      <c r="AC36" s="2"/>
      <c r="AD36" s="2"/>
      <c r="AE36" s="26"/>
      <c r="AF36" s="2"/>
      <c r="AG36" s="2"/>
      <c r="AH36" s="2"/>
    </row>
    <row r="37" spans="1:34" x14ac:dyDescent="0.55000000000000004">
      <c r="A37" s="37" t="s">
        <v>47</v>
      </c>
      <c r="L37" s="2">
        <v>7213</v>
      </c>
      <c r="M37" s="2">
        <v>11492</v>
      </c>
      <c r="N37" s="2">
        <v>5940</v>
      </c>
      <c r="O37" s="2">
        <v>5748</v>
      </c>
      <c r="P37" s="2">
        <v>6837</v>
      </c>
      <c r="Q37" s="2">
        <v>3928</v>
      </c>
      <c r="R37" s="2">
        <v>4846</v>
      </c>
      <c r="S37" s="2">
        <v>6119</v>
      </c>
      <c r="T37" s="2">
        <v>6660</v>
      </c>
      <c r="U37" s="2">
        <v>7785</v>
      </c>
      <c r="V37" s="2">
        <v>5003</v>
      </c>
      <c r="W37" s="2">
        <v>6614</v>
      </c>
      <c r="X37" s="9"/>
      <c r="Y37" s="2"/>
      <c r="Z37" s="9"/>
      <c r="AA37" s="26"/>
      <c r="AB37" s="2"/>
      <c r="AC37" s="2"/>
      <c r="AD37" s="2"/>
      <c r="AE37" s="26"/>
      <c r="AF37" s="2"/>
      <c r="AG37" s="2"/>
      <c r="AH37" s="2"/>
    </row>
    <row r="38" spans="1:34" x14ac:dyDescent="0.55000000000000004">
      <c r="A38" s="39" t="s">
        <v>48</v>
      </c>
      <c r="B38" s="5">
        <v>20128644</v>
      </c>
      <c r="C38" s="5">
        <v>943937</v>
      </c>
      <c r="D38" s="5">
        <v>578312</v>
      </c>
      <c r="E38" s="5"/>
      <c r="F38" s="5"/>
      <c r="G38" s="5"/>
      <c r="H38" s="5">
        <v>19134055</v>
      </c>
      <c r="I38" s="5">
        <v>894718</v>
      </c>
      <c r="J38" s="5">
        <v>561871</v>
      </c>
      <c r="L38" s="5"/>
      <c r="M38" s="5"/>
      <c r="N38" s="5"/>
      <c r="O38" s="5"/>
      <c r="P38" s="5"/>
      <c r="Q38" s="5"/>
      <c r="R38" s="30"/>
      <c r="S38" s="30"/>
      <c r="T38" s="30"/>
      <c r="U38" s="29"/>
      <c r="V38" s="29"/>
      <c r="W38" s="29"/>
      <c r="X38" s="29"/>
      <c r="Y38" s="30"/>
      <c r="Z38" s="29"/>
      <c r="AA38" s="26"/>
      <c r="AB38" s="30"/>
      <c r="AC38" s="30"/>
      <c r="AD38" s="30"/>
      <c r="AE38" s="26"/>
      <c r="AF38" s="30"/>
      <c r="AG38" s="30"/>
      <c r="AH38" s="30"/>
    </row>
    <row r="39" spans="1:34" x14ac:dyDescent="0.55000000000000004">
      <c r="A39" s="38" t="s">
        <v>49</v>
      </c>
      <c r="B39" s="3">
        <v>465272</v>
      </c>
      <c r="C39" s="3">
        <v>19401</v>
      </c>
      <c r="D39" s="3">
        <v>11824</v>
      </c>
      <c r="E39" s="3"/>
      <c r="F39" s="3"/>
      <c r="G39" s="3"/>
      <c r="H39" s="3">
        <v>451403</v>
      </c>
      <c r="I39" s="3">
        <v>19524</v>
      </c>
      <c r="J39" s="3">
        <v>12531</v>
      </c>
      <c r="L39" s="3"/>
      <c r="M39" s="3"/>
      <c r="N39" s="3"/>
      <c r="O39" s="3"/>
      <c r="P39" s="3"/>
      <c r="Q39" s="3"/>
      <c r="R39" s="13"/>
      <c r="S39" s="13"/>
      <c r="T39" s="13"/>
      <c r="U39" s="16"/>
      <c r="V39" s="16"/>
      <c r="W39" s="16"/>
      <c r="X39" s="16"/>
      <c r="Y39" s="13"/>
      <c r="Z39" s="16"/>
      <c r="AA39" s="26"/>
      <c r="AB39" s="13"/>
      <c r="AC39" s="13"/>
      <c r="AD39" s="13"/>
      <c r="AE39" s="26"/>
      <c r="AF39" s="13"/>
      <c r="AG39" s="13"/>
      <c r="AH39" s="13"/>
    </row>
    <row r="40" spans="1:34" x14ac:dyDescent="0.55000000000000004">
      <c r="A40" s="38" t="s">
        <v>50</v>
      </c>
      <c r="B40" s="3">
        <v>1063010</v>
      </c>
      <c r="C40" s="3">
        <v>45719</v>
      </c>
      <c r="D40" s="3">
        <v>26121</v>
      </c>
      <c r="E40" s="4">
        <v>59634</v>
      </c>
      <c r="F40" s="3">
        <v>2087</v>
      </c>
      <c r="G40" s="3">
        <v>1376</v>
      </c>
      <c r="H40" s="4">
        <v>1019876</v>
      </c>
      <c r="I40" s="3">
        <v>42443</v>
      </c>
      <c r="J40" s="3">
        <v>25499</v>
      </c>
      <c r="L40" s="3">
        <v>124357</v>
      </c>
      <c r="M40" s="3">
        <v>85876</v>
      </c>
      <c r="N40" s="3">
        <v>96420</v>
      </c>
      <c r="O40" s="3">
        <v>92426</v>
      </c>
      <c r="P40" s="3">
        <v>86809</v>
      </c>
      <c r="Q40" s="3">
        <v>81729</v>
      </c>
      <c r="R40" s="13">
        <v>86842</v>
      </c>
      <c r="S40" s="13">
        <v>91418</v>
      </c>
      <c r="T40" s="13">
        <v>89923</v>
      </c>
      <c r="U40" s="13">
        <v>66896</v>
      </c>
      <c r="V40" s="13">
        <v>49684</v>
      </c>
      <c r="W40" s="13">
        <v>75169</v>
      </c>
      <c r="X40" s="16"/>
      <c r="Y40" s="13"/>
      <c r="Z40" s="16"/>
      <c r="AA40" s="26"/>
      <c r="AB40" s="13">
        <f>SUM(L40:Z40)</f>
        <v>1027549</v>
      </c>
      <c r="AC40" s="13">
        <f>SUM(L41:Z41)</f>
        <v>45719</v>
      </c>
      <c r="AD40" s="13">
        <f>SUM(L42:Z42)</f>
        <v>27120</v>
      </c>
      <c r="AE40" s="26"/>
      <c r="AF40" s="13">
        <f>AB40-B40</f>
        <v>-35461</v>
      </c>
      <c r="AG40" s="13">
        <f>AC40-C40</f>
        <v>0</v>
      </c>
      <c r="AH40" s="13">
        <f>AD40-D40</f>
        <v>999</v>
      </c>
    </row>
    <row r="41" spans="1:34" x14ac:dyDescent="0.55000000000000004">
      <c r="A41" s="37" t="s">
        <v>51</v>
      </c>
      <c r="L41" s="2">
        <v>6899</v>
      </c>
      <c r="M41" s="2">
        <v>4468</v>
      </c>
      <c r="N41" s="2">
        <v>4002</v>
      </c>
      <c r="O41" s="2">
        <v>5050</v>
      </c>
      <c r="P41" s="2">
        <v>2855</v>
      </c>
      <c r="Q41" s="2">
        <v>3681</v>
      </c>
      <c r="R41" s="2">
        <v>3304</v>
      </c>
      <c r="S41" s="2">
        <v>4537</v>
      </c>
      <c r="T41" s="2">
        <v>2944</v>
      </c>
      <c r="U41" s="2">
        <v>2903</v>
      </c>
      <c r="V41" s="2">
        <v>1940</v>
      </c>
      <c r="W41" s="2">
        <v>3136</v>
      </c>
      <c r="X41" s="9"/>
      <c r="Y41" s="2"/>
      <c r="Z41" s="9"/>
      <c r="AA41" s="26"/>
      <c r="AB41" s="2"/>
      <c r="AC41" s="2"/>
      <c r="AD41" s="2"/>
      <c r="AE41" s="26"/>
      <c r="AF41" s="2"/>
      <c r="AG41" s="2"/>
      <c r="AH41" s="2"/>
    </row>
    <row r="42" spans="1:34" x14ac:dyDescent="0.55000000000000004">
      <c r="A42" s="37" t="s">
        <v>52</v>
      </c>
      <c r="L42" s="2">
        <v>4141</v>
      </c>
      <c r="M42" s="2">
        <v>2523</v>
      </c>
      <c r="N42" s="2">
        <v>2629</v>
      </c>
      <c r="O42" s="2">
        <v>2551</v>
      </c>
      <c r="P42" s="2">
        <v>2712</v>
      </c>
      <c r="Q42" s="2">
        <v>2146</v>
      </c>
      <c r="R42" s="2">
        <v>1725</v>
      </c>
      <c r="S42" s="2">
        <v>2731</v>
      </c>
      <c r="T42" s="2">
        <v>1843</v>
      </c>
      <c r="U42" s="2">
        <v>1813</v>
      </c>
      <c r="V42" s="2">
        <v>983</v>
      </c>
      <c r="W42" s="2">
        <v>1323</v>
      </c>
      <c r="X42" s="9"/>
      <c r="Y42" s="2"/>
      <c r="Z42" s="9"/>
      <c r="AA42" s="26"/>
      <c r="AB42" s="2"/>
      <c r="AC42" s="2"/>
      <c r="AD42" s="2"/>
      <c r="AE42" s="26"/>
      <c r="AF42" s="2"/>
      <c r="AG42" s="2"/>
      <c r="AH42" s="2"/>
    </row>
    <row r="43" spans="1:34" x14ac:dyDescent="0.55000000000000004">
      <c r="A43" s="38" t="s">
        <v>53</v>
      </c>
      <c r="B43" s="3">
        <v>896509</v>
      </c>
      <c r="C43" s="3">
        <v>33679</v>
      </c>
      <c r="D43" s="3">
        <v>18135</v>
      </c>
      <c r="E43" s="4">
        <v>66647</v>
      </c>
      <c r="F43" s="3">
        <v>1873</v>
      </c>
      <c r="G43" s="3">
        <v>1172</v>
      </c>
      <c r="H43" s="4">
        <v>856825</v>
      </c>
      <c r="I43" s="3">
        <v>34318</v>
      </c>
      <c r="J43" s="3">
        <v>20432</v>
      </c>
      <c r="L43" s="3">
        <v>119406</v>
      </c>
      <c r="M43" s="3">
        <v>138680</v>
      </c>
      <c r="N43" s="3">
        <v>107996</v>
      </c>
      <c r="O43" s="3">
        <v>90662</v>
      </c>
      <c r="P43" s="3">
        <v>110320</v>
      </c>
      <c r="Q43" s="3">
        <v>86950</v>
      </c>
      <c r="R43" s="13">
        <v>130673</v>
      </c>
      <c r="S43" s="13">
        <v>104904</v>
      </c>
      <c r="T43" s="13"/>
      <c r="U43" s="13"/>
      <c r="V43" s="13"/>
      <c r="W43" s="13"/>
      <c r="X43" s="16"/>
      <c r="Y43" s="13"/>
      <c r="Z43" s="16"/>
      <c r="AA43" s="26"/>
      <c r="AB43" s="13">
        <f>SUM(L43:Z43)</f>
        <v>889591</v>
      </c>
      <c r="AC43" s="13">
        <f>SUM(L44:Z44)</f>
        <v>33679</v>
      </c>
      <c r="AD43" s="13">
        <f>SUM(L45:Z45)</f>
        <v>18135</v>
      </c>
      <c r="AE43" s="26"/>
      <c r="AF43" s="13">
        <f>AB43-B43</f>
        <v>-6918</v>
      </c>
      <c r="AG43" s="13">
        <f>AC43-C43</f>
        <v>0</v>
      </c>
      <c r="AH43" s="13">
        <f>AD43-D43</f>
        <v>0</v>
      </c>
    </row>
    <row r="44" spans="1:34" x14ac:dyDescent="0.55000000000000004">
      <c r="A44" s="37" t="s">
        <v>54</v>
      </c>
      <c r="L44" s="2">
        <v>3923</v>
      </c>
      <c r="M44" s="2">
        <v>5973</v>
      </c>
      <c r="N44" s="2">
        <v>4507</v>
      </c>
      <c r="O44" s="2">
        <v>3434</v>
      </c>
      <c r="P44" s="2">
        <v>4609</v>
      </c>
      <c r="Q44" s="2">
        <v>3004</v>
      </c>
      <c r="R44" s="2">
        <v>4154</v>
      </c>
      <c r="S44" s="2">
        <v>4075</v>
      </c>
      <c r="U44" s="2"/>
      <c r="V44" s="2"/>
      <c r="W44" s="2"/>
      <c r="X44" s="9"/>
      <c r="Y44" s="2"/>
      <c r="Z44" s="9"/>
      <c r="AA44" s="26"/>
      <c r="AB44" s="2"/>
      <c r="AC44" s="2"/>
      <c r="AD44" s="2"/>
      <c r="AE44" s="26"/>
      <c r="AF44" s="2"/>
      <c r="AG44" s="2"/>
      <c r="AH44" s="2"/>
    </row>
    <row r="45" spans="1:34" x14ac:dyDescent="0.55000000000000004">
      <c r="A45" s="37" t="s">
        <v>55</v>
      </c>
      <c r="L45" s="2">
        <v>2381</v>
      </c>
      <c r="M45" s="2">
        <v>3065</v>
      </c>
      <c r="N45" s="2">
        <v>2031</v>
      </c>
      <c r="O45" s="2">
        <v>2885</v>
      </c>
      <c r="P45" s="2">
        <v>2424</v>
      </c>
      <c r="Q45" s="2">
        <v>1922</v>
      </c>
      <c r="R45" s="2">
        <v>1385</v>
      </c>
      <c r="S45" s="2">
        <v>2042</v>
      </c>
      <c r="U45" s="2"/>
      <c r="V45" s="2"/>
      <c r="W45" s="2"/>
      <c r="X45" s="9"/>
      <c r="Y45" s="2"/>
      <c r="Z45" s="9"/>
      <c r="AA45" s="26"/>
      <c r="AB45" s="2"/>
      <c r="AC45" s="2"/>
      <c r="AD45" s="2"/>
      <c r="AE45" s="26"/>
      <c r="AF45" s="2"/>
      <c r="AG45" s="2"/>
      <c r="AH45" s="2"/>
    </row>
    <row r="46" spans="1:34" x14ac:dyDescent="0.55000000000000004">
      <c r="A46" s="38" t="s">
        <v>56</v>
      </c>
      <c r="B46" s="3">
        <v>751959</v>
      </c>
      <c r="C46" s="3">
        <v>31180</v>
      </c>
      <c r="D46" s="3">
        <v>16884</v>
      </c>
      <c r="E46" s="4">
        <v>32037</v>
      </c>
      <c r="F46" s="3">
        <v>1003</v>
      </c>
      <c r="G46" s="3">
        <v>654</v>
      </c>
      <c r="H46" s="4">
        <v>714004</v>
      </c>
      <c r="I46" s="3">
        <v>25757</v>
      </c>
      <c r="J46" s="3">
        <v>15551</v>
      </c>
      <c r="L46" s="3">
        <v>128282</v>
      </c>
      <c r="M46" s="3">
        <v>77020</v>
      </c>
      <c r="N46" s="3">
        <v>74810</v>
      </c>
      <c r="O46" s="3">
        <v>105839</v>
      </c>
      <c r="P46" s="3">
        <v>113785</v>
      </c>
      <c r="Q46" s="3">
        <v>103350</v>
      </c>
      <c r="R46" s="13">
        <v>125748</v>
      </c>
      <c r="S46" s="13"/>
      <c r="T46" s="13"/>
      <c r="U46" s="13"/>
      <c r="V46" s="13"/>
      <c r="W46" s="13"/>
      <c r="X46" s="16"/>
      <c r="Y46" s="13"/>
      <c r="Z46" s="16"/>
      <c r="AA46" s="26"/>
      <c r="AB46" s="13">
        <f>SUM(L46:Z46)</f>
        <v>728834</v>
      </c>
      <c r="AC46" s="13">
        <f>SUM(L47:Z47)</f>
        <v>31181</v>
      </c>
      <c r="AD46" s="13">
        <f>SUM(L48:Z48)</f>
        <v>16884</v>
      </c>
      <c r="AE46" s="26"/>
      <c r="AF46" s="13">
        <f>AB46-B46</f>
        <v>-23125</v>
      </c>
      <c r="AG46" s="13">
        <f>AC46-C46</f>
        <v>1</v>
      </c>
      <c r="AH46" s="13">
        <f>AD46-D46</f>
        <v>0</v>
      </c>
    </row>
    <row r="47" spans="1:34" x14ac:dyDescent="0.55000000000000004">
      <c r="A47" s="37" t="s">
        <v>57</v>
      </c>
      <c r="L47" s="2">
        <v>5131</v>
      </c>
      <c r="M47" s="2">
        <v>3127</v>
      </c>
      <c r="N47" s="2">
        <v>3105</v>
      </c>
      <c r="O47" s="2">
        <v>4987</v>
      </c>
      <c r="P47" s="2">
        <v>5039</v>
      </c>
      <c r="Q47" s="2">
        <v>4431</v>
      </c>
      <c r="R47" s="2">
        <v>5361</v>
      </c>
      <c r="U47" s="2"/>
      <c r="V47" s="2"/>
      <c r="W47" s="2"/>
      <c r="X47" s="9"/>
      <c r="Y47" s="2"/>
      <c r="Z47" s="9"/>
      <c r="AA47" s="26"/>
      <c r="AB47" s="2"/>
      <c r="AC47" s="2"/>
      <c r="AD47" s="2"/>
      <c r="AE47" s="26"/>
      <c r="AF47" s="2"/>
      <c r="AG47" s="2"/>
      <c r="AH47" s="2"/>
    </row>
    <row r="48" spans="1:34" x14ac:dyDescent="0.55000000000000004">
      <c r="A48" s="37" t="s">
        <v>58</v>
      </c>
      <c r="L48" s="2">
        <v>2887</v>
      </c>
      <c r="M48" s="2">
        <v>1742</v>
      </c>
      <c r="N48" s="2">
        <v>1606</v>
      </c>
      <c r="O48" s="2">
        <v>2677</v>
      </c>
      <c r="P48" s="2">
        <v>2448</v>
      </c>
      <c r="Q48" s="2">
        <v>2678</v>
      </c>
      <c r="R48" s="2">
        <v>2846</v>
      </c>
      <c r="U48" s="2"/>
      <c r="V48" s="2"/>
      <c r="W48" s="2"/>
      <c r="X48" s="9"/>
      <c r="Y48" s="2"/>
      <c r="Z48" s="9"/>
      <c r="AA48" s="26"/>
      <c r="AB48" s="2"/>
      <c r="AC48" s="2"/>
      <c r="AD48" s="2"/>
      <c r="AE48" s="26"/>
      <c r="AF48" s="2"/>
      <c r="AG48" s="2"/>
      <c r="AH48" s="2"/>
    </row>
    <row r="49" spans="1:34" x14ac:dyDescent="0.55000000000000004">
      <c r="A49" s="38" t="s">
        <v>59</v>
      </c>
      <c r="B49" s="3">
        <v>665763</v>
      </c>
      <c r="C49" s="3">
        <v>26121</v>
      </c>
      <c r="D49" s="3">
        <v>16374</v>
      </c>
      <c r="E49" s="4">
        <v>65126</v>
      </c>
      <c r="F49" s="3">
        <v>2190</v>
      </c>
      <c r="G49" s="3">
        <v>1559</v>
      </c>
      <c r="H49" s="4">
        <v>625281</v>
      </c>
      <c r="I49" s="3">
        <v>25213</v>
      </c>
      <c r="J49" s="3">
        <v>17783</v>
      </c>
      <c r="L49" s="3">
        <v>104438</v>
      </c>
      <c r="M49" s="3">
        <v>77330</v>
      </c>
      <c r="N49" s="3">
        <v>76936</v>
      </c>
      <c r="O49" s="3">
        <v>60562</v>
      </c>
      <c r="P49" s="3">
        <v>94120</v>
      </c>
      <c r="Q49" s="3">
        <v>77374</v>
      </c>
      <c r="R49" s="13">
        <v>106494</v>
      </c>
      <c r="S49" s="13">
        <v>68509</v>
      </c>
      <c r="T49" s="13"/>
      <c r="U49" s="13"/>
      <c r="V49" s="13"/>
      <c r="W49" s="13"/>
      <c r="X49" s="16"/>
      <c r="Y49" s="13"/>
      <c r="Z49" s="16"/>
      <c r="AA49" s="26"/>
      <c r="AB49" s="13">
        <f>SUM(L49:Z49)</f>
        <v>665763</v>
      </c>
      <c r="AC49" s="13">
        <f>SUM(L50:Z50)</f>
        <v>26121</v>
      </c>
      <c r="AD49" s="13">
        <f>SUM(L51:Z51)</f>
        <v>16374</v>
      </c>
      <c r="AE49" s="26"/>
      <c r="AF49" s="13">
        <f>AB49-B49</f>
        <v>0</v>
      </c>
      <c r="AG49" s="13">
        <f>AC49-C49</f>
        <v>0</v>
      </c>
      <c r="AH49" s="13">
        <f>AD49-D49</f>
        <v>0</v>
      </c>
    </row>
    <row r="50" spans="1:34" x14ac:dyDescent="0.55000000000000004">
      <c r="A50" s="37" t="s">
        <v>60</v>
      </c>
      <c r="L50" s="2">
        <v>4144</v>
      </c>
      <c r="M50" s="2">
        <v>3586</v>
      </c>
      <c r="N50" s="2">
        <v>2370</v>
      </c>
      <c r="O50" s="2">
        <v>2433</v>
      </c>
      <c r="P50" s="2">
        <v>3387</v>
      </c>
      <c r="Q50" s="2">
        <v>3513</v>
      </c>
      <c r="R50" s="2">
        <v>4052</v>
      </c>
      <c r="S50" s="2">
        <v>2636</v>
      </c>
      <c r="U50" s="2"/>
      <c r="V50" s="2"/>
      <c r="W50" s="2"/>
      <c r="X50" s="9"/>
      <c r="Y50" s="2"/>
      <c r="Z50" s="9"/>
      <c r="AA50" s="26"/>
      <c r="AB50" s="2"/>
      <c r="AC50" s="2"/>
      <c r="AD50" s="2"/>
      <c r="AE50" s="26"/>
      <c r="AF50" s="2"/>
      <c r="AG50" s="2"/>
      <c r="AH50" s="2"/>
    </row>
    <row r="51" spans="1:34" x14ac:dyDescent="0.55000000000000004">
      <c r="A51" s="37" t="s">
        <v>61</v>
      </c>
      <c r="L51" s="2">
        <v>2667</v>
      </c>
      <c r="M51" s="2">
        <v>2653</v>
      </c>
      <c r="N51" s="2">
        <v>1734</v>
      </c>
      <c r="O51" s="2">
        <v>1259</v>
      </c>
      <c r="P51" s="2">
        <v>1934</v>
      </c>
      <c r="Q51" s="2">
        <v>2246</v>
      </c>
      <c r="R51" s="2">
        <v>2318</v>
      </c>
      <c r="S51" s="2">
        <v>1563</v>
      </c>
      <c r="U51" s="2"/>
      <c r="V51" s="2"/>
      <c r="W51" s="2"/>
      <c r="X51" s="9"/>
      <c r="Y51" s="2"/>
      <c r="Z51" s="9"/>
      <c r="AA51" s="26"/>
      <c r="AB51" s="2"/>
      <c r="AC51" s="2"/>
      <c r="AD51" s="2"/>
      <c r="AE51" s="26"/>
      <c r="AF51" s="2"/>
      <c r="AG51" s="2"/>
      <c r="AH51" s="2"/>
    </row>
    <row r="52" spans="1:34" x14ac:dyDescent="0.55000000000000004">
      <c r="A52" s="38" t="s">
        <v>62</v>
      </c>
      <c r="B52" s="3">
        <v>1091829</v>
      </c>
      <c r="C52" s="3">
        <v>42981</v>
      </c>
      <c r="D52" s="3">
        <v>25884</v>
      </c>
      <c r="E52" s="4">
        <v>125251</v>
      </c>
      <c r="F52" s="3">
        <v>4089</v>
      </c>
      <c r="G52" s="3">
        <v>2337</v>
      </c>
      <c r="H52" s="4">
        <v>1051457</v>
      </c>
      <c r="I52" s="3">
        <v>42044</v>
      </c>
      <c r="J52" s="3">
        <v>25432</v>
      </c>
      <c r="L52" s="3">
        <v>152985</v>
      </c>
      <c r="M52" s="3">
        <v>107632</v>
      </c>
      <c r="N52" s="3">
        <v>103053</v>
      </c>
      <c r="O52" s="3">
        <v>106937</v>
      </c>
      <c r="P52" s="3">
        <v>95894</v>
      </c>
      <c r="Q52" s="13">
        <v>89103</v>
      </c>
      <c r="R52" s="13">
        <v>121793</v>
      </c>
      <c r="S52" s="13">
        <v>88719</v>
      </c>
      <c r="T52" s="13">
        <v>121247</v>
      </c>
      <c r="U52" s="13">
        <v>104349</v>
      </c>
      <c r="V52" s="13"/>
      <c r="W52" s="13"/>
      <c r="X52" s="16"/>
      <c r="Y52" s="13"/>
      <c r="Z52" s="16"/>
      <c r="AA52" s="26"/>
      <c r="AB52" s="13">
        <f>SUM(L52:Z52)</f>
        <v>1091712</v>
      </c>
      <c r="AC52" s="13">
        <f>SUM(L53:Z53)</f>
        <v>42981</v>
      </c>
      <c r="AD52" s="13">
        <f>SUM(L54:Z54)</f>
        <v>24884</v>
      </c>
      <c r="AE52" s="26"/>
      <c r="AF52" s="13">
        <f>AB52-B52</f>
        <v>-117</v>
      </c>
      <c r="AG52" s="13">
        <f>AC52-C52</f>
        <v>0</v>
      </c>
      <c r="AH52" s="13">
        <f>AD52-D52</f>
        <v>-1000</v>
      </c>
    </row>
    <row r="53" spans="1:34" x14ac:dyDescent="0.55000000000000004">
      <c r="A53" s="37" t="s">
        <v>63</v>
      </c>
      <c r="L53" s="2">
        <v>5274</v>
      </c>
      <c r="M53" s="2">
        <v>3790</v>
      </c>
      <c r="N53" s="2">
        <v>4542</v>
      </c>
      <c r="O53" s="2">
        <v>4621</v>
      </c>
      <c r="P53" s="2">
        <v>3989</v>
      </c>
      <c r="Q53" s="2">
        <v>3605</v>
      </c>
      <c r="R53" s="2">
        <v>4876</v>
      </c>
      <c r="S53" s="2">
        <v>3908</v>
      </c>
      <c r="T53" s="2">
        <v>4891</v>
      </c>
      <c r="U53" s="2">
        <v>3485</v>
      </c>
      <c r="V53" s="2"/>
      <c r="W53" s="2"/>
      <c r="X53" s="9"/>
      <c r="Y53" s="2"/>
      <c r="Z53" s="9"/>
      <c r="AA53" s="26"/>
      <c r="AB53" s="2"/>
      <c r="AC53" s="2"/>
      <c r="AD53" s="2"/>
      <c r="AE53" s="26"/>
      <c r="AF53" s="2"/>
      <c r="AG53" s="2"/>
      <c r="AH53" s="2"/>
    </row>
    <row r="54" spans="1:34" x14ac:dyDescent="0.55000000000000004">
      <c r="A54" s="37" t="s">
        <v>64</v>
      </c>
      <c r="L54" s="2">
        <v>3161</v>
      </c>
      <c r="M54" s="2">
        <v>2327</v>
      </c>
      <c r="N54" s="2">
        <v>3284</v>
      </c>
      <c r="O54" s="2">
        <v>3135</v>
      </c>
      <c r="P54" s="2">
        <v>1854</v>
      </c>
      <c r="Q54" s="2">
        <v>1759</v>
      </c>
      <c r="R54" s="2">
        <v>2782</v>
      </c>
      <c r="S54" s="2">
        <v>1683</v>
      </c>
      <c r="T54" s="2">
        <v>2796</v>
      </c>
      <c r="U54" s="2">
        <v>2103</v>
      </c>
      <c r="V54" s="2"/>
      <c r="W54" s="2"/>
      <c r="X54" s="9"/>
      <c r="Y54" s="2"/>
      <c r="Z54" s="9"/>
      <c r="AA54" s="26"/>
      <c r="AB54" s="2"/>
      <c r="AC54" s="2"/>
      <c r="AD54" s="2"/>
      <c r="AE54" s="26"/>
      <c r="AF54" s="2"/>
      <c r="AG54" s="2"/>
      <c r="AH54" s="2"/>
    </row>
    <row r="55" spans="1:34" x14ac:dyDescent="0.55000000000000004">
      <c r="A55" s="38" t="s">
        <v>65</v>
      </c>
      <c r="B55" s="3">
        <v>1246054</v>
      </c>
      <c r="C55" s="3">
        <v>51391</v>
      </c>
      <c r="D55" s="3">
        <v>28596</v>
      </c>
      <c r="E55" s="4">
        <v>248086</v>
      </c>
      <c r="F55" s="3">
        <v>10074</v>
      </c>
      <c r="G55" s="3">
        <v>6682</v>
      </c>
      <c r="H55" s="4">
        <v>1155206</v>
      </c>
      <c r="I55" s="3">
        <v>42466</v>
      </c>
      <c r="J55" s="3">
        <v>24399</v>
      </c>
      <c r="L55" s="3">
        <v>172873</v>
      </c>
      <c r="M55" s="3">
        <v>185916</v>
      </c>
      <c r="N55" s="3">
        <v>109730</v>
      </c>
      <c r="O55" s="3">
        <v>123983</v>
      </c>
      <c r="P55" s="3">
        <v>277807</v>
      </c>
      <c r="Q55" s="13">
        <v>142268</v>
      </c>
      <c r="R55" s="13">
        <v>81588</v>
      </c>
      <c r="S55" s="13">
        <v>151919</v>
      </c>
      <c r="T55" s="13"/>
      <c r="U55" s="13"/>
      <c r="V55" s="13"/>
      <c r="W55" s="13"/>
      <c r="X55" s="16"/>
      <c r="Y55" s="13"/>
      <c r="Z55" s="16"/>
      <c r="AA55" s="26"/>
      <c r="AB55" s="13">
        <f>SUM(L55:Z55)</f>
        <v>1246084</v>
      </c>
      <c r="AC55" s="13">
        <f>SUM(L56:Z56)</f>
        <v>51391</v>
      </c>
      <c r="AD55" s="13">
        <f>SUM(L57:Z57)</f>
        <v>26596</v>
      </c>
      <c r="AE55" s="26"/>
      <c r="AF55" s="13">
        <f>AB55-B55</f>
        <v>30</v>
      </c>
      <c r="AG55" s="13">
        <f>AC55-C55</f>
        <v>0</v>
      </c>
      <c r="AH55" s="13">
        <f>AD55-D55</f>
        <v>-2000</v>
      </c>
    </row>
    <row r="56" spans="1:34" x14ac:dyDescent="0.55000000000000004">
      <c r="A56" s="37" t="s">
        <v>66</v>
      </c>
      <c r="L56" s="2">
        <v>6315</v>
      </c>
      <c r="M56" s="2">
        <v>7350</v>
      </c>
      <c r="N56" s="2">
        <v>4219</v>
      </c>
      <c r="O56" s="2">
        <v>4623</v>
      </c>
      <c r="P56" s="2">
        <v>11997</v>
      </c>
      <c r="Q56" s="2">
        <v>5597</v>
      </c>
      <c r="R56" s="2">
        <v>4691</v>
      </c>
      <c r="S56" s="2">
        <v>6599</v>
      </c>
      <c r="U56" s="2"/>
      <c r="V56" s="2"/>
      <c r="W56" s="2"/>
      <c r="X56" s="9"/>
      <c r="Y56" s="2"/>
      <c r="Z56" s="9"/>
      <c r="AA56" s="26"/>
      <c r="AB56" s="2"/>
      <c r="AC56" s="2"/>
      <c r="AD56" s="2"/>
      <c r="AE56" s="26"/>
      <c r="AF56" s="2"/>
      <c r="AG56" s="2"/>
      <c r="AH56" s="2"/>
    </row>
    <row r="57" spans="1:34" x14ac:dyDescent="0.55000000000000004">
      <c r="A57" s="37" t="s">
        <v>67</v>
      </c>
      <c r="L57" s="2">
        <v>3319</v>
      </c>
      <c r="M57" s="2">
        <v>3544</v>
      </c>
      <c r="N57" s="2">
        <v>2192</v>
      </c>
      <c r="O57" s="2">
        <v>2516</v>
      </c>
      <c r="P57" s="2">
        <v>6775</v>
      </c>
      <c r="Q57" s="2">
        <v>2800</v>
      </c>
      <c r="R57" s="2">
        <v>1972</v>
      </c>
      <c r="S57" s="2">
        <v>3478</v>
      </c>
      <c r="U57" s="2"/>
      <c r="V57" s="2"/>
      <c r="W57" s="2"/>
      <c r="X57" s="9"/>
      <c r="Y57" s="2"/>
      <c r="Z57" s="9"/>
      <c r="AA57" s="26"/>
      <c r="AB57" s="2"/>
      <c r="AC57" s="2"/>
      <c r="AD57" s="2"/>
      <c r="AE57" s="26"/>
      <c r="AF57" s="2"/>
      <c r="AG57" s="2"/>
      <c r="AH57" s="2"/>
    </row>
    <row r="58" spans="1:34" x14ac:dyDescent="0.55000000000000004">
      <c r="A58" s="38" t="s">
        <v>68</v>
      </c>
      <c r="B58" s="3">
        <v>653988</v>
      </c>
      <c r="C58" s="3">
        <v>25107</v>
      </c>
      <c r="D58" s="3">
        <v>17161</v>
      </c>
      <c r="E58" s="4"/>
      <c r="F58" s="3"/>
      <c r="G58" s="3"/>
      <c r="H58" s="4">
        <v>631327</v>
      </c>
      <c r="I58" s="3">
        <v>25164</v>
      </c>
      <c r="J58" s="3">
        <v>15757</v>
      </c>
      <c r="L58" s="3">
        <v>105389</v>
      </c>
      <c r="M58" s="3">
        <v>92871</v>
      </c>
      <c r="N58" s="3">
        <v>83130</v>
      </c>
      <c r="O58" s="3">
        <v>86428</v>
      </c>
      <c r="P58" s="13">
        <v>66314</v>
      </c>
      <c r="Q58" s="13">
        <v>75958</v>
      </c>
      <c r="R58" s="13">
        <v>65292</v>
      </c>
      <c r="S58" s="13">
        <v>73071</v>
      </c>
      <c r="T58" s="13"/>
      <c r="U58" s="13"/>
      <c r="V58" s="13"/>
      <c r="W58" s="13"/>
      <c r="X58" s="16"/>
      <c r="Y58" s="13"/>
      <c r="Z58" s="16"/>
      <c r="AA58" s="26"/>
      <c r="AB58" s="13">
        <f>SUM(L58:Z58)</f>
        <v>648453</v>
      </c>
      <c r="AC58" s="13">
        <f>SUM(L59:Z59)</f>
        <v>26107</v>
      </c>
      <c r="AD58" s="13">
        <f>SUM(L60:Z60)</f>
        <v>17161</v>
      </c>
      <c r="AE58" s="26"/>
      <c r="AF58" s="13">
        <f>AB58-B58</f>
        <v>-5535</v>
      </c>
      <c r="AG58" s="13">
        <f>AC58-C58</f>
        <v>1000</v>
      </c>
      <c r="AH58" s="13">
        <f>AD58-D58</f>
        <v>0</v>
      </c>
    </row>
    <row r="59" spans="1:34" x14ac:dyDescent="0.55000000000000004">
      <c r="A59" s="37" t="s">
        <v>69</v>
      </c>
      <c r="L59" s="2">
        <v>5536</v>
      </c>
      <c r="M59" s="2">
        <v>3658</v>
      </c>
      <c r="N59" s="2">
        <v>2896</v>
      </c>
      <c r="O59" s="2">
        <v>3124</v>
      </c>
      <c r="P59" s="2">
        <v>2519</v>
      </c>
      <c r="Q59" s="2">
        <v>2811</v>
      </c>
      <c r="R59" s="2">
        <v>2567</v>
      </c>
      <c r="S59" s="2">
        <v>2996</v>
      </c>
      <c r="U59" s="2"/>
      <c r="V59" s="2"/>
      <c r="W59" s="2"/>
      <c r="X59" s="9"/>
      <c r="Y59" s="2"/>
      <c r="Z59" s="9"/>
      <c r="AA59" s="26"/>
      <c r="AB59" s="2"/>
      <c r="AC59" s="2"/>
      <c r="AD59" s="2"/>
      <c r="AE59" s="26"/>
      <c r="AF59" s="2"/>
      <c r="AG59" s="2"/>
      <c r="AH59" s="2"/>
    </row>
    <row r="60" spans="1:34" x14ac:dyDescent="0.55000000000000004">
      <c r="A60" s="37" t="s">
        <v>70</v>
      </c>
      <c r="L60" s="2">
        <v>2659</v>
      </c>
      <c r="M60" s="2">
        <v>2584</v>
      </c>
      <c r="N60" s="2">
        <v>2315</v>
      </c>
      <c r="O60" s="2">
        <v>1835</v>
      </c>
      <c r="P60" s="2">
        <v>1653</v>
      </c>
      <c r="Q60" s="2">
        <v>2572</v>
      </c>
      <c r="R60" s="2">
        <v>1889</v>
      </c>
      <c r="S60" s="2">
        <v>1654</v>
      </c>
      <c r="U60" s="2"/>
      <c r="V60" s="2"/>
      <c r="W60" s="2"/>
      <c r="X60" s="9"/>
      <c r="Y60" s="2"/>
      <c r="Z60" s="9"/>
      <c r="AA60" s="26"/>
      <c r="AB60" s="2"/>
      <c r="AC60" s="2"/>
      <c r="AD60" s="2"/>
      <c r="AE60" s="26"/>
      <c r="AF60" s="2"/>
      <c r="AG60" s="2"/>
      <c r="AH60" s="2"/>
    </row>
    <row r="61" spans="1:34" x14ac:dyDescent="0.55000000000000004">
      <c r="A61" s="38" t="s">
        <v>71</v>
      </c>
      <c r="B61" s="3">
        <v>793650</v>
      </c>
      <c r="C61" s="3">
        <v>31305</v>
      </c>
      <c r="D61" s="3">
        <v>16967</v>
      </c>
      <c r="E61" s="4">
        <v>53880</v>
      </c>
      <c r="F61" s="3">
        <v>1470</v>
      </c>
      <c r="G61" s="3">
        <v>912</v>
      </c>
      <c r="H61" s="4">
        <v>745014</v>
      </c>
      <c r="I61" s="3">
        <v>30261</v>
      </c>
      <c r="J61" s="3">
        <v>17247</v>
      </c>
      <c r="L61" s="3">
        <v>130787</v>
      </c>
      <c r="M61" s="3">
        <v>104287</v>
      </c>
      <c r="N61" s="3">
        <v>107545</v>
      </c>
      <c r="O61" s="3">
        <v>111352</v>
      </c>
      <c r="P61" s="3">
        <v>117673</v>
      </c>
      <c r="Q61" s="13">
        <v>108576</v>
      </c>
      <c r="R61" s="13">
        <v>103420</v>
      </c>
      <c r="S61" s="13"/>
      <c r="T61" s="13"/>
      <c r="U61" s="13"/>
      <c r="V61" s="13"/>
      <c r="W61" s="13"/>
      <c r="X61" s="16"/>
      <c r="Y61" s="13"/>
      <c r="Z61" s="16"/>
      <c r="AA61" s="26"/>
      <c r="AB61" s="13">
        <f>SUM(L61:Z61)</f>
        <v>783640</v>
      </c>
      <c r="AC61" s="13">
        <f>SUM(L62:Z62)</f>
        <v>31305</v>
      </c>
      <c r="AD61" s="13">
        <f>SUM(L63:Z63)</f>
        <v>16967</v>
      </c>
      <c r="AE61" s="26"/>
      <c r="AF61" s="13">
        <f>AB61-B61</f>
        <v>-10010</v>
      </c>
      <c r="AG61" s="13">
        <f>AC61-C61</f>
        <v>0</v>
      </c>
      <c r="AH61" s="13">
        <f>AD61-D61</f>
        <v>0</v>
      </c>
    </row>
    <row r="62" spans="1:34" x14ac:dyDescent="0.55000000000000004">
      <c r="A62" s="37" t="s">
        <v>72</v>
      </c>
      <c r="L62" s="2">
        <v>5051</v>
      </c>
      <c r="M62" s="2">
        <v>4870</v>
      </c>
      <c r="N62" s="2">
        <v>4480</v>
      </c>
      <c r="O62" s="2">
        <v>4324</v>
      </c>
      <c r="P62" s="2">
        <v>5040</v>
      </c>
      <c r="Q62" s="2">
        <v>4189</v>
      </c>
      <c r="R62" s="2">
        <v>3351</v>
      </c>
      <c r="U62" s="2"/>
      <c r="V62" s="2"/>
      <c r="W62" s="2"/>
      <c r="X62" s="9"/>
      <c r="Y62" s="2"/>
      <c r="Z62" s="9"/>
      <c r="AA62" s="26"/>
      <c r="AB62" s="2"/>
      <c r="AC62" s="2"/>
      <c r="AD62" s="2"/>
      <c r="AE62" s="26"/>
      <c r="AF62" s="2"/>
      <c r="AG62" s="2"/>
      <c r="AH62" s="2"/>
    </row>
    <row r="63" spans="1:34" x14ac:dyDescent="0.55000000000000004">
      <c r="A63" s="37" t="s">
        <v>73</v>
      </c>
      <c r="L63" s="2">
        <v>2388</v>
      </c>
      <c r="M63" s="2">
        <v>2120</v>
      </c>
      <c r="N63" s="2">
        <v>2890</v>
      </c>
      <c r="O63" s="2">
        <v>2414</v>
      </c>
      <c r="P63" s="2">
        <v>2670</v>
      </c>
      <c r="Q63" s="2">
        <v>2232</v>
      </c>
      <c r="R63" s="2">
        <v>2253</v>
      </c>
      <c r="U63" s="2"/>
      <c r="V63" s="2"/>
      <c r="W63" s="2"/>
      <c r="X63" s="9"/>
      <c r="Y63" s="2"/>
      <c r="Z63" s="9"/>
      <c r="AA63" s="26"/>
      <c r="AB63" s="2"/>
      <c r="AC63" s="2"/>
      <c r="AD63" s="2"/>
      <c r="AE63" s="26"/>
      <c r="AF63" s="2"/>
      <c r="AG63" s="2"/>
      <c r="AH63" s="2"/>
    </row>
    <row r="64" spans="1:34" x14ac:dyDescent="0.55000000000000004">
      <c r="A64" s="38" t="s">
        <v>74</v>
      </c>
      <c r="B64" s="3">
        <v>708453</v>
      </c>
      <c r="C64" s="3">
        <v>20718</v>
      </c>
      <c r="D64" s="3">
        <v>15199</v>
      </c>
      <c r="E64" s="4">
        <v>73096</v>
      </c>
      <c r="F64" s="3">
        <v>1212</v>
      </c>
      <c r="G64" s="3">
        <v>1021</v>
      </c>
      <c r="H64" s="4">
        <v>682730</v>
      </c>
      <c r="I64" s="3">
        <v>20873</v>
      </c>
      <c r="J64" s="3">
        <v>15416</v>
      </c>
      <c r="L64" s="3">
        <v>107785</v>
      </c>
      <c r="M64" s="3">
        <v>196721</v>
      </c>
      <c r="N64" s="3">
        <v>85886</v>
      </c>
      <c r="O64" s="3">
        <v>96098</v>
      </c>
      <c r="P64" s="3">
        <v>191094</v>
      </c>
      <c r="Q64" s="3">
        <v>124767</v>
      </c>
      <c r="R64" s="13">
        <v>104102</v>
      </c>
      <c r="S64" s="13"/>
      <c r="T64" s="13"/>
      <c r="U64" s="13"/>
      <c r="V64" s="13"/>
      <c r="W64" s="13"/>
      <c r="X64" s="16"/>
      <c r="Y64" s="13"/>
      <c r="Z64" s="16"/>
      <c r="AA64" s="26"/>
      <c r="AB64" s="13">
        <f>SUM(L64:Z64)</f>
        <v>906453</v>
      </c>
      <c r="AC64" s="13">
        <f>SUM(L65:Z65)</f>
        <v>20718</v>
      </c>
      <c r="AD64" s="13">
        <f>SUM(L66:Z66)</f>
        <v>15199</v>
      </c>
      <c r="AE64" s="26"/>
      <c r="AF64" s="13">
        <f>AB64-B64</f>
        <v>198000</v>
      </c>
      <c r="AG64" s="13">
        <f>AC64-C64</f>
        <v>0</v>
      </c>
      <c r="AH64" s="13">
        <f>AD64-D64</f>
        <v>0</v>
      </c>
    </row>
    <row r="65" spans="1:34" x14ac:dyDescent="0.55000000000000004">
      <c r="A65" s="37" t="s">
        <v>75</v>
      </c>
      <c r="L65" s="2">
        <v>3276</v>
      </c>
      <c r="M65" s="2">
        <v>2588</v>
      </c>
      <c r="N65" s="2">
        <v>2350</v>
      </c>
      <c r="O65" s="2">
        <v>2774</v>
      </c>
      <c r="P65" s="2">
        <v>2774</v>
      </c>
      <c r="Q65" s="2">
        <v>3469</v>
      </c>
      <c r="R65" s="2">
        <v>3487</v>
      </c>
      <c r="U65" s="2"/>
      <c r="V65" s="2"/>
      <c r="W65" s="2"/>
      <c r="X65" s="9"/>
      <c r="Y65" s="2"/>
      <c r="Z65" s="9"/>
      <c r="AA65" s="26"/>
      <c r="AB65" s="2"/>
      <c r="AC65" s="2"/>
      <c r="AD65" s="2"/>
      <c r="AE65" s="26"/>
      <c r="AF65" s="2"/>
      <c r="AG65" s="2"/>
      <c r="AH65" s="2"/>
    </row>
    <row r="66" spans="1:34" x14ac:dyDescent="0.55000000000000004">
      <c r="A66" s="37" t="s">
        <v>76</v>
      </c>
      <c r="L66" s="2">
        <v>2091</v>
      </c>
      <c r="M66" s="2">
        <v>1794</v>
      </c>
      <c r="N66" s="2">
        <v>1946</v>
      </c>
      <c r="O66" s="2">
        <v>2178</v>
      </c>
      <c r="P66" s="2">
        <v>2254</v>
      </c>
      <c r="Q66" s="2">
        <v>2418</v>
      </c>
      <c r="R66" s="2">
        <v>2518</v>
      </c>
      <c r="U66" s="2"/>
      <c r="V66" s="2"/>
      <c r="W66" s="2"/>
      <c r="X66" s="9"/>
      <c r="Y66" s="2"/>
      <c r="Z66" s="9"/>
      <c r="AA66" s="26"/>
      <c r="AB66" s="2"/>
      <c r="AC66" s="2"/>
      <c r="AD66" s="2"/>
      <c r="AE66" s="26"/>
      <c r="AF66" s="2"/>
      <c r="AG66" s="2"/>
      <c r="AH66" s="2"/>
    </row>
    <row r="67" spans="1:34" x14ac:dyDescent="0.55000000000000004">
      <c r="A67" s="38" t="s">
        <v>77</v>
      </c>
      <c r="B67" s="3">
        <v>763581</v>
      </c>
      <c r="C67" s="3">
        <v>29244</v>
      </c>
      <c r="D67" s="3">
        <v>17815</v>
      </c>
      <c r="E67" s="4">
        <v>72342</v>
      </c>
      <c r="F67" s="3">
        <v>2212</v>
      </c>
      <c r="G67" s="3">
        <v>1397</v>
      </c>
      <c r="H67" s="4">
        <v>710434</v>
      </c>
      <c r="I67" s="3">
        <v>27295</v>
      </c>
      <c r="J67" s="3">
        <v>17010</v>
      </c>
      <c r="L67" s="3">
        <v>77441</v>
      </c>
      <c r="M67" s="3">
        <v>77632</v>
      </c>
      <c r="N67" s="3">
        <v>72553</v>
      </c>
      <c r="O67" s="3">
        <v>88515</v>
      </c>
      <c r="P67" s="3">
        <v>115629</v>
      </c>
      <c r="Q67" s="3">
        <v>62752</v>
      </c>
      <c r="R67" s="13">
        <v>94744</v>
      </c>
      <c r="S67" s="13">
        <v>78926</v>
      </c>
      <c r="T67" s="13">
        <v>68991</v>
      </c>
      <c r="U67" s="13"/>
      <c r="V67" s="13"/>
      <c r="W67" s="13"/>
      <c r="X67" s="16"/>
      <c r="Y67" s="13"/>
      <c r="Z67" s="16"/>
      <c r="AA67" s="26"/>
      <c r="AB67" s="13">
        <f>SUM(L67:Z67)</f>
        <v>737183</v>
      </c>
      <c r="AC67" s="13">
        <f>SUM(L68:Z68)</f>
        <v>29244</v>
      </c>
      <c r="AD67" s="13">
        <f>SUM(L69:Z69)</f>
        <v>17815</v>
      </c>
      <c r="AE67" s="26"/>
      <c r="AF67" s="13">
        <f>AB67-B67</f>
        <v>-26398</v>
      </c>
      <c r="AG67" s="13">
        <f>AC67-C67</f>
        <v>0</v>
      </c>
      <c r="AH67" s="13">
        <f>AD67-D67</f>
        <v>0</v>
      </c>
    </row>
    <row r="68" spans="1:34" x14ac:dyDescent="0.55000000000000004">
      <c r="A68" s="37" t="s">
        <v>78</v>
      </c>
      <c r="L68" s="2">
        <v>2578</v>
      </c>
      <c r="M68" s="2">
        <v>2531</v>
      </c>
      <c r="N68" s="2">
        <v>3008</v>
      </c>
      <c r="O68" s="2">
        <v>3961</v>
      </c>
      <c r="P68" s="2">
        <v>5247</v>
      </c>
      <c r="Q68" s="2">
        <v>2588</v>
      </c>
      <c r="R68" s="2">
        <v>4528</v>
      </c>
      <c r="S68" s="2">
        <v>2378</v>
      </c>
      <c r="T68" s="2">
        <v>2425</v>
      </c>
      <c r="U68" s="2"/>
      <c r="V68" s="2"/>
      <c r="W68" s="2"/>
      <c r="X68" s="9"/>
      <c r="Y68" s="2"/>
      <c r="Z68" s="9"/>
      <c r="AA68" s="26"/>
      <c r="AB68" s="2"/>
      <c r="AC68" s="2"/>
      <c r="AD68" s="2"/>
      <c r="AE68" s="26"/>
      <c r="AF68" s="2"/>
      <c r="AG68" s="2"/>
      <c r="AH68" s="2"/>
    </row>
    <row r="69" spans="1:34" x14ac:dyDescent="0.55000000000000004">
      <c r="A69" s="37" t="s">
        <v>79</v>
      </c>
      <c r="L69" s="2">
        <v>1688</v>
      </c>
      <c r="M69" s="2">
        <v>1666</v>
      </c>
      <c r="N69" s="2">
        <v>1802</v>
      </c>
      <c r="O69" s="2">
        <v>2227</v>
      </c>
      <c r="P69" s="2">
        <v>2981</v>
      </c>
      <c r="Q69" s="2">
        <v>1810</v>
      </c>
      <c r="R69" s="2">
        <v>2488</v>
      </c>
      <c r="S69" s="2">
        <v>1582</v>
      </c>
      <c r="T69" s="2">
        <v>1571</v>
      </c>
      <c r="U69" s="2"/>
      <c r="V69" s="2"/>
      <c r="W69" s="2"/>
      <c r="X69" s="9"/>
      <c r="Y69" s="2"/>
      <c r="Z69" s="9"/>
      <c r="AA69" s="26"/>
      <c r="AB69" s="2"/>
      <c r="AC69" s="2"/>
      <c r="AD69" s="2"/>
      <c r="AE69" s="26"/>
      <c r="AF69" s="2"/>
      <c r="AG69" s="2"/>
      <c r="AH69" s="2"/>
    </row>
    <row r="70" spans="1:34" x14ac:dyDescent="0.55000000000000004">
      <c r="A70" s="39" t="s">
        <v>80</v>
      </c>
      <c r="B70" s="5">
        <v>9114483</v>
      </c>
      <c r="C70" s="5">
        <v>356846</v>
      </c>
      <c r="D70" s="5">
        <v>208960</v>
      </c>
      <c r="E70" s="5"/>
      <c r="F70" s="5"/>
      <c r="G70" s="5"/>
      <c r="H70" s="5">
        <v>8613484</v>
      </c>
      <c r="I70" s="5">
        <v>337417</v>
      </c>
      <c r="J70" s="5">
        <v>207560</v>
      </c>
      <c r="L70" s="5"/>
      <c r="M70" s="5"/>
      <c r="N70" s="5"/>
      <c r="O70" s="5"/>
      <c r="P70" s="5"/>
      <c r="Q70" s="5"/>
      <c r="R70" s="30"/>
      <c r="S70" s="30"/>
      <c r="T70" s="30"/>
      <c r="U70" s="29"/>
      <c r="V70" s="29"/>
      <c r="W70" s="29"/>
      <c r="X70" s="29"/>
      <c r="Y70" s="30"/>
      <c r="Z70" s="29"/>
      <c r="AA70" s="26"/>
      <c r="AB70" s="30"/>
      <c r="AC70" s="30"/>
      <c r="AD70" s="30"/>
      <c r="AE70" s="26"/>
      <c r="AF70" s="30"/>
      <c r="AG70" s="30"/>
      <c r="AH70" s="30"/>
    </row>
    <row r="71" spans="1:34" x14ac:dyDescent="0.55000000000000004">
      <c r="A71" s="17" t="s">
        <v>81</v>
      </c>
      <c r="B71" s="16">
        <v>711900</v>
      </c>
      <c r="C71" s="16">
        <v>19147</v>
      </c>
      <c r="D71" s="16">
        <v>12208</v>
      </c>
      <c r="E71" s="16">
        <v>78951</v>
      </c>
      <c r="F71" s="16">
        <v>2236</v>
      </c>
      <c r="G71" s="16">
        <v>1386</v>
      </c>
      <c r="H71" s="16">
        <v>694578</v>
      </c>
      <c r="I71" s="16">
        <v>19187</v>
      </c>
      <c r="J71" s="16">
        <v>12183</v>
      </c>
      <c r="K71" s="35"/>
      <c r="L71" s="16">
        <v>106000</v>
      </c>
      <c r="M71" s="16">
        <v>59000</v>
      </c>
      <c r="N71" s="16">
        <v>50700</v>
      </c>
      <c r="O71" s="16">
        <v>60000</v>
      </c>
      <c r="P71" s="16">
        <v>73500</v>
      </c>
      <c r="Q71" s="16">
        <v>92700</v>
      </c>
      <c r="R71" s="16">
        <v>77000</v>
      </c>
      <c r="S71" s="16">
        <v>70000</v>
      </c>
      <c r="T71" s="16">
        <v>53000</v>
      </c>
      <c r="U71" s="16">
        <v>64600</v>
      </c>
      <c r="V71" s="16"/>
      <c r="W71" s="16"/>
      <c r="X71" s="16"/>
      <c r="Y71" s="13"/>
      <c r="Z71" s="16"/>
      <c r="AA71" s="26"/>
      <c r="AB71" s="13">
        <f>SUM(L71:Z71)</f>
        <v>706500</v>
      </c>
      <c r="AC71" s="13">
        <f>SUM(L72:Z72)</f>
        <v>19179</v>
      </c>
      <c r="AD71" s="13">
        <f>SUM(L73:Z73)</f>
        <v>12182</v>
      </c>
      <c r="AE71" s="26"/>
      <c r="AF71" s="13">
        <f>AB71-B71</f>
        <v>-5400</v>
      </c>
      <c r="AG71" s="13">
        <f>AC71-C71</f>
        <v>32</v>
      </c>
      <c r="AH71" s="13">
        <f>AD71-D71</f>
        <v>-26</v>
      </c>
    </row>
    <row r="72" spans="1:34" x14ac:dyDescent="0.55000000000000004">
      <c r="A72" s="11" t="s">
        <v>82</v>
      </c>
      <c r="B72" s="9"/>
      <c r="C72" s="9"/>
      <c r="D72" s="9"/>
      <c r="E72" s="9"/>
      <c r="F72" s="9"/>
      <c r="G72" s="9"/>
      <c r="H72" s="9"/>
      <c r="I72" s="9"/>
      <c r="J72" s="9"/>
      <c r="K72" s="35"/>
      <c r="L72" s="9">
        <v>2639</v>
      </c>
      <c r="M72" s="9">
        <v>1392</v>
      </c>
      <c r="N72" s="9">
        <v>1311</v>
      </c>
      <c r="O72" s="9">
        <v>1539</v>
      </c>
      <c r="P72" s="9">
        <v>2040</v>
      </c>
      <c r="Q72" s="9">
        <v>3224</v>
      </c>
      <c r="R72" s="9">
        <v>2179</v>
      </c>
      <c r="S72" s="9">
        <v>1733</v>
      </c>
      <c r="T72" s="9">
        <v>1381</v>
      </c>
      <c r="U72" s="9">
        <v>1741</v>
      </c>
      <c r="V72" s="9"/>
      <c r="W72" s="9"/>
      <c r="X72" s="9"/>
      <c r="Y72" s="2"/>
      <c r="Z72" s="9"/>
      <c r="AA72" s="26"/>
      <c r="AB72" s="2"/>
      <c r="AC72" s="2"/>
      <c r="AD72" s="2"/>
      <c r="AE72" s="26"/>
      <c r="AF72" s="2"/>
      <c r="AG72" s="2"/>
      <c r="AH72" s="2"/>
    </row>
    <row r="73" spans="1:34" x14ac:dyDescent="0.55000000000000004">
      <c r="A73" s="11" t="s">
        <v>83</v>
      </c>
      <c r="B73" s="9"/>
      <c r="C73" s="9"/>
      <c r="D73" s="9"/>
      <c r="E73" s="9"/>
      <c r="F73" s="9"/>
      <c r="G73" s="9"/>
      <c r="H73" s="9"/>
      <c r="I73" s="9"/>
      <c r="J73" s="9"/>
      <c r="K73" s="35"/>
      <c r="L73" s="9">
        <v>1742</v>
      </c>
      <c r="M73" s="9">
        <v>898</v>
      </c>
      <c r="N73" s="9">
        <v>771</v>
      </c>
      <c r="O73" s="9">
        <v>1133</v>
      </c>
      <c r="P73" s="9">
        <v>1221</v>
      </c>
      <c r="Q73" s="9">
        <v>1906</v>
      </c>
      <c r="R73" s="9">
        <v>1410</v>
      </c>
      <c r="S73" s="9">
        <v>1016</v>
      </c>
      <c r="T73" s="9">
        <v>768</v>
      </c>
      <c r="U73" s="9">
        <v>1317</v>
      </c>
      <c r="V73" s="9"/>
      <c r="W73" s="9"/>
      <c r="X73" s="9"/>
      <c r="Y73" s="2"/>
      <c r="Z73" s="9"/>
      <c r="AA73" s="26"/>
      <c r="AB73" s="2"/>
      <c r="AC73" s="2"/>
      <c r="AD73" s="2"/>
      <c r="AE73" s="26"/>
      <c r="AF73" s="2"/>
      <c r="AG73" s="2"/>
      <c r="AH73" s="2"/>
    </row>
    <row r="74" spans="1:34" x14ac:dyDescent="0.55000000000000004">
      <c r="A74" s="17" t="s">
        <v>84</v>
      </c>
      <c r="B74" s="16">
        <v>1282199</v>
      </c>
      <c r="C74" s="16">
        <v>37124</v>
      </c>
      <c r="D74" s="16">
        <v>5130</v>
      </c>
      <c r="E74" s="16">
        <v>254115</v>
      </c>
      <c r="F74" s="16">
        <v>8275</v>
      </c>
      <c r="G74" s="16">
        <v>6613</v>
      </c>
      <c r="H74" s="16">
        <v>1244615</v>
      </c>
      <c r="I74" s="16">
        <v>36676</v>
      </c>
      <c r="J74" s="16">
        <v>26309</v>
      </c>
      <c r="K74" s="35"/>
      <c r="L74" s="16">
        <v>331103</v>
      </c>
      <c r="M74" s="16">
        <v>123049</v>
      </c>
      <c r="N74" s="16">
        <v>135812</v>
      </c>
      <c r="O74" s="16">
        <v>102277</v>
      </c>
      <c r="P74" s="16">
        <v>123763</v>
      </c>
      <c r="Q74" s="16">
        <v>198103</v>
      </c>
      <c r="R74" s="16">
        <v>103764</v>
      </c>
      <c r="S74" s="16">
        <v>103115</v>
      </c>
      <c r="T74" s="16">
        <v>61213</v>
      </c>
      <c r="U74" s="16"/>
      <c r="V74" s="16"/>
      <c r="W74" s="16"/>
      <c r="X74" s="16"/>
      <c r="Y74" s="13"/>
      <c r="Z74" s="16"/>
      <c r="AA74" s="26"/>
      <c r="AB74" s="13">
        <f>SUM(L74:Z74)</f>
        <v>1282199</v>
      </c>
      <c r="AC74" s="13">
        <f>SUM(L75:Z75)</f>
        <v>37124</v>
      </c>
      <c r="AD74" s="13">
        <f>SUM(L76:Z76)</f>
        <v>5150</v>
      </c>
      <c r="AE74" s="26"/>
      <c r="AF74" s="13">
        <f>AB74-B74</f>
        <v>0</v>
      </c>
      <c r="AG74" s="13">
        <f>AC74-C74</f>
        <v>0</v>
      </c>
      <c r="AH74" s="13">
        <f>AD74-D74</f>
        <v>20</v>
      </c>
    </row>
    <row r="75" spans="1:34" x14ac:dyDescent="0.55000000000000004">
      <c r="A75" s="11" t="s">
        <v>85</v>
      </c>
      <c r="B75" s="9"/>
      <c r="C75" s="9"/>
      <c r="D75" s="9"/>
      <c r="E75" s="9"/>
      <c r="F75" s="9"/>
      <c r="G75" s="9"/>
      <c r="H75" s="9"/>
      <c r="I75" s="9"/>
      <c r="J75" s="9"/>
      <c r="K75" s="35"/>
      <c r="L75" s="9">
        <v>9989</v>
      </c>
      <c r="M75" s="9">
        <v>3731</v>
      </c>
      <c r="N75" s="9">
        <v>3038</v>
      </c>
      <c r="O75" s="9">
        <v>3386</v>
      </c>
      <c r="P75" s="9">
        <v>3595</v>
      </c>
      <c r="Q75" s="9">
        <v>5760</v>
      </c>
      <c r="R75" s="9">
        <v>2974</v>
      </c>
      <c r="S75" s="9">
        <v>2791</v>
      </c>
      <c r="T75" s="9">
        <v>1860</v>
      </c>
      <c r="U75" s="9"/>
      <c r="V75" s="9"/>
      <c r="W75" s="9"/>
      <c r="X75" s="9"/>
      <c r="Y75" s="2"/>
      <c r="Z75" s="9"/>
      <c r="AA75" s="26"/>
      <c r="AB75" s="2"/>
      <c r="AC75" s="2"/>
      <c r="AD75" s="2"/>
      <c r="AE75" s="26"/>
      <c r="AF75" s="2"/>
      <c r="AG75" s="2"/>
      <c r="AH75" s="2"/>
    </row>
    <row r="76" spans="1:34" x14ac:dyDescent="0.55000000000000004">
      <c r="A76" s="11" t="s">
        <v>86</v>
      </c>
      <c r="B76" s="9"/>
      <c r="C76" s="9"/>
      <c r="D76" s="9"/>
      <c r="E76" s="9"/>
      <c r="F76" s="9"/>
      <c r="G76" s="9"/>
      <c r="H76" s="9"/>
      <c r="I76" s="9"/>
      <c r="J76" s="9"/>
      <c r="K76" s="35"/>
      <c r="L76" s="9">
        <v>2473</v>
      </c>
      <c r="M76" s="9">
        <v>287</v>
      </c>
      <c r="N76" s="9">
        <v>523</v>
      </c>
      <c r="O76" s="9">
        <v>138</v>
      </c>
      <c r="P76" s="9">
        <v>585</v>
      </c>
      <c r="Q76" s="9">
        <v>680</v>
      </c>
      <c r="R76" s="9">
        <v>98</v>
      </c>
      <c r="S76" s="9">
        <v>334</v>
      </c>
      <c r="T76" s="9">
        <v>32</v>
      </c>
      <c r="U76" s="9"/>
      <c r="V76" s="9"/>
      <c r="W76" s="9"/>
      <c r="X76" s="9"/>
      <c r="Y76" s="2"/>
      <c r="Z76" s="9"/>
      <c r="AA76" s="26"/>
      <c r="AB76" s="2"/>
      <c r="AC76" s="2"/>
      <c r="AD76" s="2"/>
      <c r="AE76" s="26"/>
      <c r="AF76" s="2"/>
      <c r="AG76" s="2"/>
      <c r="AH76" s="2"/>
    </row>
    <row r="77" spans="1:34" x14ac:dyDescent="0.55000000000000004">
      <c r="A77" s="17" t="s">
        <v>87</v>
      </c>
      <c r="B77" s="16">
        <v>408563</v>
      </c>
      <c r="C77" s="16">
        <v>11983</v>
      </c>
      <c r="D77" s="16">
        <v>8122</v>
      </c>
      <c r="E77" s="16">
        <v>61421</v>
      </c>
      <c r="F77" s="16">
        <v>1847</v>
      </c>
      <c r="G77" s="16">
        <v>1511</v>
      </c>
      <c r="H77" s="16">
        <v>398579</v>
      </c>
      <c r="I77" s="16">
        <v>11857</v>
      </c>
      <c r="J77" s="16">
        <v>8258</v>
      </c>
      <c r="K77" s="35"/>
      <c r="L77" s="16">
        <v>148051</v>
      </c>
      <c r="M77" s="16">
        <v>121510</v>
      </c>
      <c r="N77" s="16">
        <v>54165</v>
      </c>
      <c r="O77" s="16">
        <v>84873</v>
      </c>
      <c r="P77" s="16"/>
      <c r="Q77" s="16"/>
      <c r="R77" s="16"/>
      <c r="S77" s="16"/>
      <c r="T77" s="16"/>
      <c r="U77" s="16"/>
      <c r="V77" s="16"/>
      <c r="W77" s="16"/>
      <c r="X77" s="16"/>
      <c r="Y77" s="13"/>
      <c r="Z77" s="16"/>
      <c r="AA77" s="26"/>
      <c r="AB77" s="13">
        <f>SUM(L77:Z77)</f>
        <v>408599</v>
      </c>
      <c r="AC77" s="13">
        <f>SUM(L78:Z78)</f>
        <v>11983</v>
      </c>
      <c r="AD77" s="13">
        <f>SUM(L79:Z79)</f>
        <v>8122</v>
      </c>
      <c r="AE77" s="26"/>
      <c r="AF77" s="13">
        <f>AB77-B77</f>
        <v>36</v>
      </c>
      <c r="AG77" s="13">
        <f>AC77-C77</f>
        <v>0</v>
      </c>
      <c r="AH77" s="13">
        <f>AD77-D77</f>
        <v>0</v>
      </c>
    </row>
    <row r="78" spans="1:34" x14ac:dyDescent="0.55000000000000004">
      <c r="A78" s="11" t="s">
        <v>88</v>
      </c>
      <c r="B78" s="9"/>
      <c r="C78" s="9"/>
      <c r="D78" s="9"/>
      <c r="E78" s="9"/>
      <c r="F78" s="9"/>
      <c r="G78" s="9"/>
      <c r="H78" s="9"/>
      <c r="I78" s="9"/>
      <c r="J78" s="9"/>
      <c r="K78" s="35"/>
      <c r="L78" s="9">
        <v>4268</v>
      </c>
      <c r="M78" s="9">
        <v>3810</v>
      </c>
      <c r="N78" s="9">
        <v>1521</v>
      </c>
      <c r="O78" s="9">
        <v>2384</v>
      </c>
      <c r="P78" s="9"/>
      <c r="Q78" s="9"/>
      <c r="R78" s="9"/>
      <c r="S78" s="9"/>
      <c r="T78" s="9"/>
      <c r="U78" s="9"/>
      <c r="V78" s="9"/>
      <c r="W78" s="9"/>
      <c r="X78" s="9"/>
      <c r="Y78" s="2"/>
      <c r="Z78" s="9"/>
      <c r="AA78" s="26"/>
      <c r="AB78" s="2"/>
      <c r="AC78" s="2"/>
      <c r="AD78" s="2"/>
      <c r="AE78" s="26"/>
      <c r="AF78" s="2"/>
      <c r="AG78" s="2"/>
      <c r="AH78" s="2"/>
    </row>
    <row r="79" spans="1:34" x14ac:dyDescent="0.55000000000000004">
      <c r="A79" s="11" t="s">
        <v>89</v>
      </c>
      <c r="B79" s="9"/>
      <c r="C79" s="9"/>
      <c r="D79" s="9"/>
      <c r="E79" s="9"/>
      <c r="F79" s="9"/>
      <c r="G79" s="9"/>
      <c r="H79" s="9"/>
      <c r="I79" s="9"/>
      <c r="J79" s="9"/>
      <c r="K79" s="35"/>
      <c r="L79" s="9">
        <v>3156</v>
      </c>
      <c r="M79" s="9">
        <v>2467</v>
      </c>
      <c r="N79" s="9">
        <v>1011</v>
      </c>
      <c r="O79" s="9">
        <v>1488</v>
      </c>
      <c r="P79" s="9"/>
      <c r="Q79" s="9"/>
      <c r="R79" s="9"/>
      <c r="S79" s="9"/>
      <c r="T79" s="9"/>
      <c r="U79" s="9"/>
      <c r="V79" s="9"/>
      <c r="W79" s="9"/>
      <c r="X79" s="9"/>
      <c r="Y79" s="2"/>
      <c r="Z79" s="9"/>
      <c r="AA79" s="26"/>
      <c r="AB79" s="2"/>
      <c r="AC79" s="2"/>
      <c r="AD79" s="2"/>
      <c r="AE79" s="26"/>
      <c r="AF79" s="2"/>
      <c r="AG79" s="2"/>
      <c r="AH79" s="2"/>
    </row>
    <row r="80" spans="1:34" x14ac:dyDescent="0.55000000000000004">
      <c r="A80" s="11" t="s">
        <v>90</v>
      </c>
      <c r="B80" s="9">
        <v>2406662</v>
      </c>
      <c r="C80" s="9">
        <v>68254</v>
      </c>
      <c r="D80" s="9">
        <v>45992</v>
      </c>
      <c r="E80" s="9"/>
      <c r="F80" s="9"/>
      <c r="G80" s="9"/>
      <c r="H80" s="9">
        <v>2338982</v>
      </c>
      <c r="I80" s="9">
        <v>67720</v>
      </c>
      <c r="J80" s="9">
        <v>46749</v>
      </c>
      <c r="K80" s="35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2"/>
      <c r="Z80" s="9"/>
      <c r="AA80" s="26"/>
      <c r="AB80" s="2"/>
      <c r="AC80" s="2"/>
      <c r="AD80" s="2"/>
      <c r="AE80" s="26"/>
      <c r="AF80" s="2"/>
      <c r="AG80" s="2"/>
      <c r="AH80" s="2"/>
    </row>
    <row r="81" spans="1:34" x14ac:dyDescent="0.55000000000000004">
      <c r="A81" s="17" t="s">
        <v>91</v>
      </c>
      <c r="B81" s="16">
        <v>1606309</v>
      </c>
      <c r="C81" s="16">
        <v>79325</v>
      </c>
      <c r="D81" s="16">
        <v>52782</v>
      </c>
      <c r="E81" s="16">
        <v>276474</v>
      </c>
      <c r="F81" s="16">
        <v>8938</v>
      </c>
      <c r="G81" s="16">
        <v>6379</v>
      </c>
      <c r="H81" s="16">
        <v>1562466</v>
      </c>
      <c r="I81" s="16">
        <v>73850</v>
      </c>
      <c r="J81" s="16">
        <v>44683</v>
      </c>
      <c r="K81" s="35"/>
      <c r="L81" s="16">
        <v>258185</v>
      </c>
      <c r="M81" s="16">
        <v>276569</v>
      </c>
      <c r="N81" s="16">
        <v>163711</v>
      </c>
      <c r="O81" s="16">
        <v>185350</v>
      </c>
      <c r="P81" s="16">
        <v>165527</v>
      </c>
      <c r="Q81" s="16">
        <v>174979</v>
      </c>
      <c r="R81" s="16">
        <v>202354</v>
      </c>
      <c r="S81" s="16">
        <v>153091</v>
      </c>
      <c r="T81" s="16"/>
      <c r="U81" s="16"/>
      <c r="V81" s="16"/>
      <c r="W81" s="16"/>
      <c r="X81" s="16"/>
      <c r="Y81" s="13"/>
      <c r="Z81" s="16"/>
      <c r="AA81" s="26"/>
      <c r="AB81" s="13">
        <f>SUM(L81:Z81)</f>
        <v>1579766</v>
      </c>
      <c r="AC81" s="13">
        <f>SUM(L82:Z82)</f>
        <v>79325</v>
      </c>
      <c r="AD81" s="13">
        <f>SUM(L83:Z83)</f>
        <v>52782</v>
      </c>
      <c r="AE81" s="26"/>
      <c r="AF81" s="13">
        <f>AB81-B81</f>
        <v>-26543</v>
      </c>
      <c r="AG81" s="13">
        <f>AC81-C81</f>
        <v>0</v>
      </c>
      <c r="AH81" s="13">
        <f>AD81-D81</f>
        <v>0</v>
      </c>
    </row>
    <row r="82" spans="1:34" x14ac:dyDescent="0.55000000000000004">
      <c r="A82" s="11" t="s">
        <v>92</v>
      </c>
      <c r="B82" s="9"/>
      <c r="C82" s="9"/>
      <c r="D82" s="9"/>
      <c r="E82" s="9"/>
      <c r="F82" s="9"/>
      <c r="G82" s="9"/>
      <c r="H82" s="9"/>
      <c r="I82" s="9"/>
      <c r="J82" s="9"/>
      <c r="K82" s="35"/>
      <c r="L82" s="9">
        <v>11837</v>
      </c>
      <c r="M82" s="9">
        <v>12575</v>
      </c>
      <c r="N82" s="9">
        <v>7691</v>
      </c>
      <c r="O82" s="9">
        <v>9371</v>
      </c>
      <c r="P82" s="9">
        <v>8346</v>
      </c>
      <c r="Q82" s="9">
        <v>8444</v>
      </c>
      <c r="R82" s="9">
        <v>12793</v>
      </c>
      <c r="S82" s="9">
        <v>8268</v>
      </c>
      <c r="T82" s="9"/>
      <c r="U82" s="9"/>
      <c r="V82" s="9"/>
      <c r="W82" s="9"/>
      <c r="X82" s="9"/>
      <c r="Y82" s="2"/>
      <c r="Z82" s="9"/>
      <c r="AA82" s="26"/>
      <c r="AB82" s="2"/>
      <c r="AC82" s="2"/>
      <c r="AD82" s="2"/>
      <c r="AE82" s="26"/>
      <c r="AF82" s="2"/>
      <c r="AG82" s="2"/>
      <c r="AH82" s="2"/>
    </row>
    <row r="83" spans="1:34" x14ac:dyDescent="0.55000000000000004">
      <c r="A83" s="11" t="s">
        <v>93</v>
      </c>
      <c r="B83" s="9"/>
      <c r="C83" s="9"/>
      <c r="D83" s="9"/>
      <c r="E83" s="9"/>
      <c r="F83" s="9"/>
      <c r="G83" s="9"/>
      <c r="H83" s="9"/>
      <c r="I83" s="9"/>
      <c r="J83" s="9"/>
      <c r="K83" s="35"/>
      <c r="L83" s="9">
        <v>8546</v>
      </c>
      <c r="M83" s="9">
        <v>6652</v>
      </c>
      <c r="N83" s="9">
        <v>4867</v>
      </c>
      <c r="O83" s="9">
        <v>5795</v>
      </c>
      <c r="P83" s="9">
        <v>6008</v>
      </c>
      <c r="Q83" s="9">
        <v>5199</v>
      </c>
      <c r="R83" s="9">
        <v>8880</v>
      </c>
      <c r="S83" s="9">
        <v>6835</v>
      </c>
      <c r="T83" s="9"/>
      <c r="U83" s="9"/>
      <c r="V83" s="9"/>
      <c r="W83" s="9"/>
      <c r="X83" s="9"/>
      <c r="Y83" s="2"/>
      <c r="Z83" s="9"/>
      <c r="AA83" s="26"/>
      <c r="AB83" s="2"/>
      <c r="AC83" s="2"/>
      <c r="AD83" s="2"/>
      <c r="AE83" s="26"/>
      <c r="AF83" s="2"/>
      <c r="AG83" s="2"/>
      <c r="AH83" s="2"/>
    </row>
    <row r="84" spans="1:34" x14ac:dyDescent="0.55000000000000004">
      <c r="A84" s="17" t="s">
        <v>94</v>
      </c>
      <c r="B84" s="16">
        <v>1525100</v>
      </c>
      <c r="C84" s="16">
        <v>77940</v>
      </c>
      <c r="D84" s="16">
        <v>58306</v>
      </c>
      <c r="E84" s="16">
        <v>108894</v>
      </c>
      <c r="F84" s="16">
        <v>5343</v>
      </c>
      <c r="G84" s="16">
        <v>4928</v>
      </c>
      <c r="H84" s="16">
        <v>1459030</v>
      </c>
      <c r="I84" s="16">
        <v>76619</v>
      </c>
      <c r="J84" s="16">
        <v>60082</v>
      </c>
      <c r="K84" s="35"/>
      <c r="L84" s="16">
        <v>165742</v>
      </c>
      <c r="M84" s="16">
        <v>103591</v>
      </c>
      <c r="N84" s="16">
        <v>91642</v>
      </c>
      <c r="O84" s="16">
        <v>107880</v>
      </c>
      <c r="P84" s="16">
        <v>121603</v>
      </c>
      <c r="Q84" s="16">
        <v>135762</v>
      </c>
      <c r="R84" s="16">
        <v>120548</v>
      </c>
      <c r="S84" s="16">
        <v>94256</v>
      </c>
      <c r="T84" s="16">
        <v>118014</v>
      </c>
      <c r="U84" s="16">
        <v>88665</v>
      </c>
      <c r="V84" s="16">
        <v>116836</v>
      </c>
      <c r="W84" s="16">
        <v>127810</v>
      </c>
      <c r="X84" s="16">
        <v>107686</v>
      </c>
      <c r="Y84" s="13"/>
      <c r="Z84" s="16"/>
      <c r="AA84" s="26"/>
      <c r="AB84" s="13">
        <f>SUM(L84:Z84)</f>
        <v>1500035</v>
      </c>
      <c r="AC84" s="13">
        <f>SUM(L85:Z85)</f>
        <v>75911</v>
      </c>
      <c r="AD84" s="13">
        <f>SUM(L86:Z86)</f>
        <v>56493</v>
      </c>
      <c r="AE84" s="26"/>
      <c r="AF84" s="13">
        <f>AB84-B84</f>
        <v>-25065</v>
      </c>
      <c r="AG84" s="13">
        <f>AC84-C84</f>
        <v>-2029</v>
      </c>
      <c r="AH84" s="13">
        <f>AD84-D84</f>
        <v>-1813</v>
      </c>
    </row>
    <row r="85" spans="1:34" x14ac:dyDescent="0.55000000000000004">
      <c r="A85" s="11" t="s">
        <v>95</v>
      </c>
      <c r="B85" s="9"/>
      <c r="C85" s="9"/>
      <c r="D85" s="9"/>
      <c r="E85" s="9"/>
      <c r="F85" s="9"/>
      <c r="G85" s="9"/>
      <c r="H85" s="9"/>
      <c r="I85" s="9"/>
      <c r="J85" s="9"/>
      <c r="K85" s="35"/>
      <c r="L85" s="9">
        <v>7913</v>
      </c>
      <c r="M85" s="9">
        <v>5743</v>
      </c>
      <c r="N85" s="9">
        <v>4524</v>
      </c>
      <c r="O85" s="9">
        <v>4460</v>
      </c>
      <c r="P85" s="9">
        <v>5810</v>
      </c>
      <c r="Q85" s="9">
        <v>7815</v>
      </c>
      <c r="R85" s="9">
        <v>6827</v>
      </c>
      <c r="S85" s="9">
        <v>5457</v>
      </c>
      <c r="T85" s="9">
        <v>7386</v>
      </c>
      <c r="U85" s="9">
        <v>2729</v>
      </c>
      <c r="V85" s="9">
        <v>6218</v>
      </c>
      <c r="W85" s="9">
        <v>5311</v>
      </c>
      <c r="X85" s="9">
        <v>5718</v>
      </c>
      <c r="Y85" s="2"/>
      <c r="Z85" s="9"/>
      <c r="AA85" s="26"/>
      <c r="AB85" s="2"/>
      <c r="AC85" s="2"/>
      <c r="AD85" s="2"/>
      <c r="AE85" s="26"/>
      <c r="AF85" s="2"/>
      <c r="AG85" s="2"/>
      <c r="AH85" s="2"/>
    </row>
    <row r="86" spans="1:34" x14ac:dyDescent="0.55000000000000004">
      <c r="A86" s="11" t="s">
        <v>96</v>
      </c>
      <c r="B86" s="9"/>
      <c r="C86" s="9"/>
      <c r="D86" s="9"/>
      <c r="E86" s="9"/>
      <c r="F86" s="9"/>
      <c r="G86" s="9"/>
      <c r="H86" s="9"/>
      <c r="I86" s="9"/>
      <c r="J86" s="9"/>
      <c r="K86" s="35"/>
      <c r="L86" s="9">
        <v>5775</v>
      </c>
      <c r="M86" s="9">
        <v>4213</v>
      </c>
      <c r="N86" s="9">
        <v>3105</v>
      </c>
      <c r="O86" s="9">
        <v>3509</v>
      </c>
      <c r="P86" s="9">
        <v>4430</v>
      </c>
      <c r="Q86" s="9">
        <v>5279</v>
      </c>
      <c r="R86" s="9">
        <v>4735</v>
      </c>
      <c r="S86" s="9">
        <v>4001</v>
      </c>
      <c r="T86" s="9">
        <v>6300</v>
      </c>
      <c r="U86" s="9">
        <v>1925</v>
      </c>
      <c r="V86" s="9">
        <v>4423</v>
      </c>
      <c r="W86" s="9">
        <v>4349</v>
      </c>
      <c r="X86" s="9">
        <v>4449</v>
      </c>
      <c r="Y86" s="2"/>
      <c r="Z86" s="9"/>
      <c r="AA86" s="26"/>
      <c r="AB86" s="2"/>
      <c r="AC86" s="2"/>
      <c r="AD86" s="2"/>
      <c r="AE86" s="26"/>
      <c r="AF86" s="2"/>
      <c r="AG86" s="2"/>
      <c r="AH86" s="2"/>
    </row>
    <row r="87" spans="1:34" x14ac:dyDescent="0.55000000000000004">
      <c r="A87" s="17" t="s">
        <v>97</v>
      </c>
      <c r="B87" s="16">
        <v>1306858</v>
      </c>
      <c r="C87" s="16">
        <v>61622</v>
      </c>
      <c r="D87" s="16">
        <v>37660</v>
      </c>
      <c r="E87" s="16"/>
      <c r="F87" s="16"/>
      <c r="G87" s="16"/>
      <c r="H87" s="16">
        <v>1264931</v>
      </c>
      <c r="I87" s="16">
        <v>55506</v>
      </c>
      <c r="J87" s="16">
        <v>40347</v>
      </c>
      <c r="K87" s="35"/>
      <c r="L87" s="16">
        <v>164795</v>
      </c>
      <c r="M87" s="16">
        <v>104735</v>
      </c>
      <c r="N87" s="16">
        <v>105693</v>
      </c>
      <c r="O87" s="16">
        <v>184325</v>
      </c>
      <c r="P87" s="16">
        <v>186872</v>
      </c>
      <c r="Q87" s="16">
        <v>121382</v>
      </c>
      <c r="R87" s="16">
        <v>149918</v>
      </c>
      <c r="S87" s="16">
        <v>102214</v>
      </c>
      <c r="T87" s="16">
        <v>137822</v>
      </c>
      <c r="U87" s="16">
        <v>49102</v>
      </c>
      <c r="V87" s="16"/>
      <c r="W87" s="16"/>
      <c r="X87" s="16"/>
      <c r="Y87" s="13"/>
      <c r="Z87" s="16"/>
      <c r="AA87" s="26"/>
      <c r="AB87" s="13">
        <f>SUM(L87:Z87)</f>
        <v>1306858</v>
      </c>
      <c r="AC87" s="13">
        <f>SUM(L88:Z88)</f>
        <v>61622</v>
      </c>
      <c r="AD87" s="13">
        <f>SUM(L89:Z89)</f>
        <v>37660</v>
      </c>
      <c r="AE87" s="26"/>
      <c r="AF87" s="13">
        <f>AB87-B87</f>
        <v>0</v>
      </c>
      <c r="AG87" s="13">
        <f>AC87-C87</f>
        <v>0</v>
      </c>
      <c r="AH87" s="13">
        <f>AD87-D87</f>
        <v>0</v>
      </c>
    </row>
    <row r="88" spans="1:34" x14ac:dyDescent="0.55000000000000004">
      <c r="A88" s="11" t="s">
        <v>98</v>
      </c>
      <c r="B88" s="9"/>
      <c r="C88" s="9"/>
      <c r="D88" s="9"/>
      <c r="E88" s="9"/>
      <c r="F88" s="9"/>
      <c r="G88" s="9"/>
      <c r="H88" s="9"/>
      <c r="I88" s="9"/>
      <c r="J88" s="9"/>
      <c r="K88" s="35"/>
      <c r="L88" s="9">
        <v>6587</v>
      </c>
      <c r="M88" s="9">
        <v>4753</v>
      </c>
      <c r="N88" s="9">
        <v>4994</v>
      </c>
      <c r="O88" s="9">
        <v>8575</v>
      </c>
      <c r="P88" s="9">
        <v>10106</v>
      </c>
      <c r="Q88" s="9">
        <v>5733</v>
      </c>
      <c r="R88" s="9">
        <v>7341</v>
      </c>
      <c r="S88" s="9">
        <v>4457</v>
      </c>
      <c r="T88" s="9">
        <v>6795</v>
      </c>
      <c r="U88" s="9">
        <v>2281</v>
      </c>
      <c r="V88" s="9"/>
      <c r="W88" s="9"/>
      <c r="X88" s="9"/>
      <c r="Y88" s="2"/>
      <c r="Z88" s="9"/>
      <c r="AA88" s="26"/>
      <c r="AB88" s="2"/>
      <c r="AC88" s="2"/>
      <c r="AD88" s="2"/>
      <c r="AE88" s="26"/>
      <c r="AF88" s="2"/>
      <c r="AG88" s="2"/>
      <c r="AH88" s="2"/>
    </row>
    <row r="89" spans="1:34" x14ac:dyDescent="0.55000000000000004">
      <c r="A89" s="11" t="s">
        <v>99</v>
      </c>
      <c r="B89" s="9"/>
      <c r="C89" s="9"/>
      <c r="D89" s="9"/>
      <c r="E89" s="9"/>
      <c r="F89" s="9"/>
      <c r="G89" s="9"/>
      <c r="H89" s="9"/>
      <c r="I89" s="9"/>
      <c r="J89" s="9"/>
      <c r="K89" s="35"/>
      <c r="L89" s="9">
        <v>5331</v>
      </c>
      <c r="M89" s="9">
        <v>2436</v>
      </c>
      <c r="N89" s="9">
        <v>3270</v>
      </c>
      <c r="O89" s="9">
        <v>5939</v>
      </c>
      <c r="P89" s="9">
        <v>5172</v>
      </c>
      <c r="Q89" s="9">
        <v>3502</v>
      </c>
      <c r="R89" s="9">
        <v>4485</v>
      </c>
      <c r="S89" s="9">
        <v>2397</v>
      </c>
      <c r="T89" s="9">
        <v>3966</v>
      </c>
      <c r="U89" s="9">
        <v>1162</v>
      </c>
      <c r="V89" s="9"/>
      <c r="W89" s="9"/>
      <c r="X89" s="9"/>
      <c r="Y89" s="2"/>
      <c r="Z89" s="9"/>
      <c r="AA89" s="26"/>
      <c r="AB89" s="2"/>
      <c r="AC89" s="2"/>
      <c r="AD89" s="2"/>
      <c r="AE89" s="26"/>
      <c r="AF89" s="2"/>
      <c r="AG89" s="2"/>
      <c r="AH89" s="2"/>
    </row>
    <row r="90" spans="1:34" x14ac:dyDescent="0.55000000000000004">
      <c r="A90" s="17" t="s">
        <v>100</v>
      </c>
      <c r="B90" s="16">
        <v>2712268</v>
      </c>
      <c r="C90" s="16">
        <v>149416</v>
      </c>
      <c r="D90" s="16">
        <v>118774</v>
      </c>
      <c r="E90" s="16">
        <v>106246</v>
      </c>
      <c r="F90" s="16">
        <v>4622</v>
      </c>
      <c r="G90" s="16">
        <v>4255</v>
      </c>
      <c r="H90" s="16">
        <v>2661904</v>
      </c>
      <c r="I90" s="16">
        <v>137850</v>
      </c>
      <c r="J90" s="16">
        <v>98935</v>
      </c>
      <c r="K90" s="35"/>
      <c r="L90" s="16">
        <v>251662</v>
      </c>
      <c r="M90" s="16">
        <v>264997</v>
      </c>
      <c r="N90" s="16">
        <v>282779</v>
      </c>
      <c r="O90" s="16">
        <v>355178</v>
      </c>
      <c r="P90" s="16">
        <v>203656</v>
      </c>
      <c r="Q90" s="16">
        <v>131562</v>
      </c>
      <c r="R90" s="16">
        <v>212087</v>
      </c>
      <c r="S90" s="16">
        <v>172993</v>
      </c>
      <c r="T90" s="16">
        <v>178573</v>
      </c>
      <c r="U90" s="16">
        <v>170198</v>
      </c>
      <c r="V90" s="16">
        <v>280961</v>
      </c>
      <c r="W90" s="16">
        <v>187622</v>
      </c>
      <c r="X90" s="16"/>
      <c r="Y90" s="13"/>
      <c r="Z90" s="16"/>
      <c r="AA90" s="26"/>
      <c r="AB90" s="13">
        <f>SUM(L90:Z90)</f>
        <v>2692268</v>
      </c>
      <c r="AC90" s="13">
        <f>SUM(L91:Z91)</f>
        <v>149415</v>
      </c>
      <c r="AD90" s="13">
        <f>SUM(L92:Z92)</f>
        <v>117774</v>
      </c>
      <c r="AE90" s="26"/>
      <c r="AF90" s="13">
        <f>AB90-B90</f>
        <v>-20000</v>
      </c>
      <c r="AG90" s="13">
        <f>AC90-C90</f>
        <v>-1</v>
      </c>
      <c r="AH90" s="13">
        <f>AD90-D90</f>
        <v>-1000</v>
      </c>
    </row>
    <row r="91" spans="1:34" x14ac:dyDescent="0.55000000000000004">
      <c r="A91" s="11" t="s">
        <v>101</v>
      </c>
      <c r="B91" s="9"/>
      <c r="C91" s="9"/>
      <c r="D91" s="9"/>
      <c r="E91" s="9"/>
      <c r="F91" s="9"/>
      <c r="G91" s="9"/>
      <c r="H91" s="9"/>
      <c r="I91" s="9"/>
      <c r="J91" s="9"/>
      <c r="K91" s="35"/>
      <c r="L91" s="9">
        <v>14263</v>
      </c>
      <c r="M91" s="9">
        <v>12725</v>
      </c>
      <c r="N91" s="9">
        <v>17313</v>
      </c>
      <c r="O91" s="9">
        <v>19224</v>
      </c>
      <c r="P91" s="9">
        <v>10896</v>
      </c>
      <c r="Q91" s="9">
        <v>6707</v>
      </c>
      <c r="R91" s="9">
        <v>12046</v>
      </c>
      <c r="S91" s="9">
        <v>9118</v>
      </c>
      <c r="T91" s="9">
        <v>9545</v>
      </c>
      <c r="U91" s="9">
        <v>11316</v>
      </c>
      <c r="V91" s="9">
        <v>15884</v>
      </c>
      <c r="W91" s="9">
        <v>10378</v>
      </c>
      <c r="X91" s="9"/>
      <c r="Y91" s="2"/>
      <c r="Z91" s="9"/>
      <c r="AA91" s="26"/>
      <c r="AB91" s="2"/>
      <c r="AC91" s="2"/>
      <c r="AD91" s="2"/>
      <c r="AE91" s="26"/>
      <c r="AF91" s="2"/>
      <c r="AG91" s="2"/>
      <c r="AH91" s="2"/>
    </row>
    <row r="92" spans="1:34" x14ac:dyDescent="0.55000000000000004">
      <c r="A92" s="11" t="s">
        <v>102</v>
      </c>
      <c r="B92" s="9"/>
      <c r="C92" s="9"/>
      <c r="D92" s="9"/>
      <c r="E92" s="9"/>
      <c r="F92" s="9"/>
      <c r="G92" s="9"/>
      <c r="H92" s="9"/>
      <c r="I92" s="9"/>
      <c r="J92" s="9"/>
      <c r="K92" s="35"/>
      <c r="L92" s="9">
        <v>11586</v>
      </c>
      <c r="M92" s="9">
        <v>8921</v>
      </c>
      <c r="N92" s="9">
        <v>12785</v>
      </c>
      <c r="O92" s="9">
        <v>16040</v>
      </c>
      <c r="P92" s="9">
        <v>7961</v>
      </c>
      <c r="Q92" s="9">
        <v>6266</v>
      </c>
      <c r="R92" s="9">
        <v>11026</v>
      </c>
      <c r="S92" s="9">
        <v>8087</v>
      </c>
      <c r="T92" s="9">
        <v>7958</v>
      </c>
      <c r="U92" s="9">
        <v>7213</v>
      </c>
      <c r="V92" s="9">
        <v>11938</v>
      </c>
      <c r="W92" s="9">
        <v>7993</v>
      </c>
      <c r="X92" s="9"/>
      <c r="Y92" s="2"/>
      <c r="Z92" s="9"/>
      <c r="AA92" s="26"/>
      <c r="AB92" s="2"/>
      <c r="AC92" s="2"/>
      <c r="AD92" s="2"/>
      <c r="AE92" s="26"/>
      <c r="AF92" s="2"/>
      <c r="AG92" s="2"/>
      <c r="AH92" s="2"/>
    </row>
    <row r="93" spans="1:34" x14ac:dyDescent="0.55000000000000004">
      <c r="A93" s="17" t="s">
        <v>103</v>
      </c>
      <c r="B93" s="16">
        <v>3017038</v>
      </c>
      <c r="C93" s="16">
        <v>165490</v>
      </c>
      <c r="D93" s="16">
        <v>111953</v>
      </c>
      <c r="E93" s="16">
        <v>88494</v>
      </c>
      <c r="F93" s="16">
        <v>2581</v>
      </c>
      <c r="G93" s="16">
        <v>2451</v>
      </c>
      <c r="H93" s="16">
        <v>2958909</v>
      </c>
      <c r="I93" s="16">
        <v>153824</v>
      </c>
      <c r="J93" s="16">
        <v>120135</v>
      </c>
      <c r="K93" s="18"/>
      <c r="L93" s="16">
        <v>207935</v>
      </c>
      <c r="M93" s="16">
        <v>368176</v>
      </c>
      <c r="N93" s="16">
        <v>218577</v>
      </c>
      <c r="O93" s="16">
        <v>281332</v>
      </c>
      <c r="P93" s="16">
        <v>267994</v>
      </c>
      <c r="Q93" s="16">
        <v>220507</v>
      </c>
      <c r="R93" s="16">
        <v>220602</v>
      </c>
      <c r="S93" s="16">
        <v>367217</v>
      </c>
      <c r="T93" s="16">
        <v>210767</v>
      </c>
      <c r="U93" s="16">
        <v>288691</v>
      </c>
      <c r="V93" s="16">
        <v>365240</v>
      </c>
      <c r="W93" s="16"/>
      <c r="X93" s="16"/>
      <c r="Y93" s="13"/>
      <c r="Z93" s="16"/>
      <c r="AA93" s="26"/>
      <c r="AB93" s="13">
        <f>SUM(L93:Z93)</f>
        <v>3017038</v>
      </c>
      <c r="AC93" s="13">
        <f>SUM(L94:Z94)</f>
        <v>165490</v>
      </c>
      <c r="AD93" s="13">
        <f>SUM(L95:Z95)</f>
        <v>111953</v>
      </c>
      <c r="AE93" s="26"/>
      <c r="AF93" s="13">
        <f>AB93-B93</f>
        <v>0</v>
      </c>
      <c r="AG93" s="13">
        <f>AC93-C93</f>
        <v>0</v>
      </c>
      <c r="AH93" s="13">
        <f>AD93-D93</f>
        <v>0</v>
      </c>
    </row>
    <row r="94" spans="1:34" x14ac:dyDescent="0.55000000000000004">
      <c r="A94" s="11" t="s">
        <v>104</v>
      </c>
      <c r="B94" s="9"/>
      <c r="C94" s="9"/>
      <c r="D94" s="9"/>
      <c r="E94" s="9"/>
      <c r="F94" s="9"/>
      <c r="G94" s="9"/>
      <c r="H94" s="9"/>
      <c r="I94" s="9"/>
      <c r="J94" s="9"/>
      <c r="K94" s="35"/>
      <c r="L94" s="9">
        <v>10496</v>
      </c>
      <c r="M94" s="9">
        <v>20669</v>
      </c>
      <c r="N94" s="9">
        <v>12242</v>
      </c>
      <c r="O94" s="9">
        <v>14725</v>
      </c>
      <c r="P94" s="9">
        <v>14668</v>
      </c>
      <c r="Q94" s="9">
        <v>11630</v>
      </c>
      <c r="R94" s="9">
        <v>11420</v>
      </c>
      <c r="S94" s="9">
        <v>21208</v>
      </c>
      <c r="T94" s="9">
        <v>11487</v>
      </c>
      <c r="U94" s="9">
        <v>15958</v>
      </c>
      <c r="V94" s="9">
        <v>20987</v>
      </c>
      <c r="W94" s="9"/>
      <c r="X94" s="9"/>
      <c r="Y94" s="2"/>
      <c r="Z94" s="9"/>
      <c r="AA94" s="26"/>
      <c r="AB94" s="2"/>
      <c r="AC94" s="2"/>
      <c r="AD94" s="2"/>
      <c r="AE94" s="26"/>
      <c r="AF94" s="2"/>
      <c r="AG94" s="2"/>
      <c r="AH94" s="2"/>
    </row>
    <row r="95" spans="1:34" x14ac:dyDescent="0.55000000000000004">
      <c r="A95" s="11" t="s">
        <v>105</v>
      </c>
      <c r="B95" s="9"/>
      <c r="C95" s="9"/>
      <c r="D95" s="9"/>
      <c r="E95" s="9"/>
      <c r="F95" s="9"/>
      <c r="G95" s="9"/>
      <c r="H95" s="9"/>
      <c r="I95" s="9"/>
      <c r="J95" s="9"/>
      <c r="K95" s="35"/>
      <c r="L95" s="9">
        <v>8219</v>
      </c>
      <c r="M95" s="9">
        <v>12571</v>
      </c>
      <c r="N95" s="9">
        <v>7616</v>
      </c>
      <c r="O95" s="9">
        <v>9007</v>
      </c>
      <c r="P95" s="9">
        <v>10368</v>
      </c>
      <c r="Q95" s="9">
        <v>8473</v>
      </c>
      <c r="R95" s="9">
        <v>8115</v>
      </c>
      <c r="S95" s="9">
        <v>15126</v>
      </c>
      <c r="T95" s="9">
        <v>8034</v>
      </c>
      <c r="U95" s="9">
        <v>11228</v>
      </c>
      <c r="V95" s="9">
        <v>13196</v>
      </c>
      <c r="W95" s="9"/>
      <c r="X95" s="9"/>
      <c r="Y95" s="2"/>
      <c r="Z95" s="9"/>
      <c r="AA95" s="26"/>
      <c r="AB95" s="2"/>
      <c r="AC95" s="2"/>
      <c r="AD95" s="2"/>
      <c r="AE95" s="26"/>
      <c r="AF95" s="2"/>
      <c r="AG95" s="2"/>
      <c r="AH95" s="2"/>
    </row>
    <row r="96" spans="1:34" x14ac:dyDescent="0.55000000000000004">
      <c r="A96" s="17" t="s">
        <v>106</v>
      </c>
      <c r="B96" s="16">
        <v>1680636</v>
      </c>
      <c r="C96" s="16">
        <v>92173</v>
      </c>
      <c r="D96" s="16">
        <v>65272</v>
      </c>
      <c r="E96" s="16">
        <v>162088</v>
      </c>
      <c r="F96" s="16">
        <v>8320</v>
      </c>
      <c r="G96" s="16">
        <v>5478</v>
      </c>
      <c r="H96" s="16">
        <v>1685508</v>
      </c>
      <c r="I96" s="16">
        <v>93713</v>
      </c>
      <c r="J96" s="16">
        <v>59074</v>
      </c>
      <c r="K96" s="35"/>
      <c r="L96" s="16">
        <v>239483</v>
      </c>
      <c r="M96" s="16">
        <v>236094</v>
      </c>
      <c r="N96" s="16">
        <v>234976</v>
      </c>
      <c r="O96" s="16">
        <v>171984</v>
      </c>
      <c r="P96" s="16">
        <v>214939</v>
      </c>
      <c r="Q96" s="16">
        <v>224426</v>
      </c>
      <c r="R96" s="16">
        <v>203250</v>
      </c>
      <c r="S96" s="16">
        <v>155484</v>
      </c>
      <c r="T96" s="16"/>
      <c r="U96" s="16"/>
      <c r="V96" s="16"/>
      <c r="W96" s="16"/>
      <c r="X96" s="16"/>
      <c r="Y96" s="13"/>
      <c r="Z96" s="16"/>
      <c r="AA96" s="26"/>
      <c r="AB96" s="13">
        <f>SUM(L96:Z96)</f>
        <v>1680636</v>
      </c>
      <c r="AC96" s="13">
        <f>SUM(L97:Z97)</f>
        <v>92173</v>
      </c>
      <c r="AD96" s="13">
        <f>SUM(L98:Z98)</f>
        <v>65272</v>
      </c>
      <c r="AE96" s="26"/>
      <c r="AF96" s="13">
        <f>AB96-B96</f>
        <v>0</v>
      </c>
      <c r="AG96" s="13">
        <f>AC96-C96</f>
        <v>0</v>
      </c>
      <c r="AH96" s="13">
        <f>AD96-D96</f>
        <v>0</v>
      </c>
    </row>
    <row r="97" spans="1:34" x14ac:dyDescent="0.55000000000000004">
      <c r="A97" s="11" t="s">
        <v>107</v>
      </c>
      <c r="B97" s="9"/>
      <c r="C97" s="9"/>
      <c r="D97" s="9"/>
      <c r="E97" s="9"/>
      <c r="F97" s="9"/>
      <c r="G97" s="9"/>
      <c r="H97" s="9"/>
      <c r="I97" s="9"/>
      <c r="J97" s="9"/>
      <c r="K97" s="35"/>
      <c r="L97" s="9">
        <v>13562</v>
      </c>
      <c r="M97" s="9">
        <v>12242</v>
      </c>
      <c r="N97" s="9">
        <v>13257</v>
      </c>
      <c r="O97" s="9">
        <v>9715</v>
      </c>
      <c r="P97" s="9">
        <v>11878</v>
      </c>
      <c r="Q97" s="9">
        <v>11708</v>
      </c>
      <c r="R97" s="9">
        <v>11508</v>
      </c>
      <c r="S97" s="9">
        <v>8303</v>
      </c>
      <c r="T97" s="9"/>
      <c r="U97" s="9"/>
      <c r="V97" s="9"/>
      <c r="W97" s="9"/>
      <c r="X97" s="9"/>
      <c r="Y97" s="2"/>
      <c r="Z97" s="9"/>
      <c r="AA97" s="26"/>
      <c r="AB97" s="2"/>
      <c r="AC97" s="2"/>
      <c r="AD97" s="2"/>
      <c r="AE97" s="26"/>
      <c r="AF97" s="2"/>
      <c r="AG97" s="2"/>
      <c r="AH97" s="2"/>
    </row>
    <row r="98" spans="1:34" x14ac:dyDescent="0.55000000000000004">
      <c r="A98" s="11" t="s">
        <v>108</v>
      </c>
      <c r="B98" s="9"/>
      <c r="C98" s="9"/>
      <c r="D98" s="9"/>
      <c r="E98" s="9"/>
      <c r="F98" s="9"/>
      <c r="G98" s="9"/>
      <c r="H98" s="9"/>
      <c r="I98" s="9"/>
      <c r="J98" s="9"/>
      <c r="K98" s="35"/>
      <c r="L98" s="9">
        <v>8183</v>
      </c>
      <c r="M98" s="9">
        <v>8104</v>
      </c>
      <c r="N98" s="9">
        <v>10194</v>
      </c>
      <c r="O98" s="9">
        <v>5993</v>
      </c>
      <c r="P98" s="9">
        <v>10191</v>
      </c>
      <c r="Q98" s="9">
        <v>8018</v>
      </c>
      <c r="R98" s="9">
        <v>7845</v>
      </c>
      <c r="S98" s="9">
        <v>6744</v>
      </c>
      <c r="T98" s="9"/>
      <c r="U98" s="9"/>
      <c r="V98" s="9"/>
      <c r="W98" s="9"/>
      <c r="X98" s="9"/>
      <c r="Y98" s="2"/>
      <c r="Z98" s="9"/>
      <c r="AA98" s="26"/>
      <c r="AB98" s="2"/>
      <c r="AC98" s="2"/>
      <c r="AD98" s="2"/>
      <c r="AE98" s="26"/>
      <c r="AF98" s="2"/>
      <c r="AG98" s="2"/>
      <c r="AH98" s="2"/>
    </row>
    <row r="99" spans="1:34" x14ac:dyDescent="0.55000000000000004">
      <c r="A99" s="19" t="s">
        <v>109</v>
      </c>
      <c r="B99" s="20">
        <v>2219686</v>
      </c>
      <c r="C99" s="20">
        <v>101539</v>
      </c>
      <c r="D99" s="20">
        <v>77267</v>
      </c>
      <c r="E99" s="20">
        <v>186798</v>
      </c>
      <c r="F99" s="20">
        <v>14901</v>
      </c>
      <c r="G99" s="20">
        <v>1046</v>
      </c>
      <c r="H99" s="20">
        <v>2180827</v>
      </c>
      <c r="I99" s="20">
        <v>105177</v>
      </c>
      <c r="J99" s="20">
        <v>72188</v>
      </c>
      <c r="K99" s="24"/>
      <c r="L99" s="20">
        <v>374840</v>
      </c>
      <c r="M99" s="20">
        <v>98005</v>
      </c>
      <c r="N99" s="20">
        <v>197990</v>
      </c>
      <c r="O99" s="20">
        <v>200406</v>
      </c>
      <c r="P99" s="20">
        <v>128679</v>
      </c>
      <c r="Q99" s="20">
        <v>179284</v>
      </c>
      <c r="R99" s="20">
        <v>197735</v>
      </c>
      <c r="S99" s="20">
        <v>111440</v>
      </c>
      <c r="T99" s="20">
        <v>161097</v>
      </c>
      <c r="U99" s="20">
        <v>118247</v>
      </c>
      <c r="V99" s="20">
        <v>314139</v>
      </c>
      <c r="W99" s="20">
        <v>137934</v>
      </c>
      <c r="X99" s="20"/>
      <c r="Y99" s="13"/>
      <c r="Z99" s="16"/>
      <c r="AA99" s="26"/>
      <c r="AB99" s="13">
        <f>SUM(L99:Z99)</f>
        <v>2219796</v>
      </c>
      <c r="AC99" s="13">
        <f>SUM(L100:Z100)</f>
        <v>101539</v>
      </c>
      <c r="AD99" s="13">
        <f>SUM(L101:Z101)</f>
        <v>77157</v>
      </c>
      <c r="AE99" s="26"/>
      <c r="AF99" s="13">
        <f>AB99-B99</f>
        <v>110</v>
      </c>
      <c r="AG99" s="13">
        <f>AC99-C99</f>
        <v>0</v>
      </c>
      <c r="AH99" s="13">
        <f>AD99-D99</f>
        <v>-110</v>
      </c>
    </row>
    <row r="100" spans="1:34" x14ac:dyDescent="0.55000000000000004">
      <c r="A100" s="12" t="s">
        <v>110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24"/>
      <c r="L100" s="10">
        <v>15119</v>
      </c>
      <c r="M100" s="10">
        <v>4238</v>
      </c>
      <c r="N100" s="10">
        <v>8552</v>
      </c>
      <c r="O100" s="10">
        <v>8833</v>
      </c>
      <c r="P100" s="10">
        <v>6326</v>
      </c>
      <c r="Q100" s="10">
        <v>9415</v>
      </c>
      <c r="R100" s="10">
        <v>9182</v>
      </c>
      <c r="S100" s="10">
        <v>5424</v>
      </c>
      <c r="T100" s="10">
        <v>6997</v>
      </c>
      <c r="U100" s="10">
        <v>5105</v>
      </c>
      <c r="V100" s="10">
        <v>15663</v>
      </c>
      <c r="W100" s="10">
        <v>6685</v>
      </c>
      <c r="X100" s="10"/>
      <c r="Y100" s="10"/>
      <c r="Z100" s="10"/>
      <c r="AA100" s="26"/>
      <c r="AB100" s="2"/>
      <c r="AC100" s="2"/>
      <c r="AD100" s="2"/>
      <c r="AE100" s="26"/>
      <c r="AF100" s="2"/>
      <c r="AG100" s="2"/>
      <c r="AH100" s="2"/>
    </row>
    <row r="101" spans="1:34" x14ac:dyDescent="0.55000000000000004">
      <c r="A101" s="12" t="s">
        <v>111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24"/>
      <c r="L101" s="10">
        <v>12061</v>
      </c>
      <c r="M101" s="10">
        <v>3633</v>
      </c>
      <c r="N101" s="10">
        <v>6999</v>
      </c>
      <c r="O101" s="10">
        <v>6012</v>
      </c>
      <c r="P101" s="10">
        <v>5361</v>
      </c>
      <c r="Q101" s="10">
        <v>6155</v>
      </c>
      <c r="R101" s="10">
        <v>6871</v>
      </c>
      <c r="S101" s="10">
        <v>3459</v>
      </c>
      <c r="T101" s="10">
        <v>6156</v>
      </c>
      <c r="U101" s="10">
        <v>4339</v>
      </c>
      <c r="V101" s="10">
        <v>10037</v>
      </c>
      <c r="W101" s="10">
        <v>6074</v>
      </c>
      <c r="X101" s="10"/>
      <c r="Y101" s="10"/>
      <c r="Z101" s="10"/>
      <c r="AA101" s="26"/>
      <c r="AB101" s="2"/>
      <c r="AC101" s="2"/>
      <c r="AD101" s="2"/>
      <c r="AE101" s="26"/>
      <c r="AF101" s="2"/>
      <c r="AG101" s="2"/>
      <c r="AH101" s="2"/>
    </row>
    <row r="102" spans="1:34" x14ac:dyDescent="0.55000000000000004">
      <c r="A102" s="19" t="s">
        <v>112</v>
      </c>
      <c r="B102" s="20">
        <v>1252935</v>
      </c>
      <c r="C102" s="20">
        <v>57604</v>
      </c>
      <c r="D102" s="20">
        <v>48687</v>
      </c>
      <c r="E102" s="20">
        <v>97057</v>
      </c>
      <c r="F102" s="20">
        <v>2912</v>
      </c>
      <c r="G102" s="20">
        <v>2850</v>
      </c>
      <c r="H102" s="20">
        <v>1224700</v>
      </c>
      <c r="I102" s="20">
        <v>58471</v>
      </c>
      <c r="J102" s="20">
        <v>44326</v>
      </c>
      <c r="K102" s="24"/>
      <c r="L102" s="20">
        <v>112539</v>
      </c>
      <c r="M102" s="20">
        <v>77052</v>
      </c>
      <c r="N102" s="20">
        <v>234878</v>
      </c>
      <c r="O102" s="20">
        <v>132488</v>
      </c>
      <c r="P102" s="20">
        <v>93292</v>
      </c>
      <c r="Q102" s="20">
        <v>50658</v>
      </c>
      <c r="R102" s="20">
        <v>125859</v>
      </c>
      <c r="S102" s="20">
        <v>120289</v>
      </c>
      <c r="T102" s="20">
        <v>163642</v>
      </c>
      <c r="U102" s="20">
        <v>71119</v>
      </c>
      <c r="V102" s="20">
        <v>71142</v>
      </c>
      <c r="W102" s="20"/>
      <c r="X102" s="20"/>
      <c r="Y102" s="20"/>
      <c r="Z102" s="20"/>
      <c r="AA102" s="26"/>
      <c r="AB102" s="13">
        <f>SUM(L102:Z102)</f>
        <v>1252958</v>
      </c>
      <c r="AC102" s="13">
        <f>SUM(L103:Z103)</f>
        <v>60785</v>
      </c>
      <c r="AD102" s="13">
        <f>SUM(L104:Z104)</f>
        <v>51846</v>
      </c>
      <c r="AE102" s="26"/>
      <c r="AF102" s="13">
        <f>AB102-B102</f>
        <v>23</v>
      </c>
      <c r="AG102" s="13">
        <f>AC102-C102</f>
        <v>3181</v>
      </c>
      <c r="AH102" s="13">
        <f>AD102-D102</f>
        <v>3159</v>
      </c>
    </row>
    <row r="103" spans="1:34" x14ac:dyDescent="0.55000000000000004">
      <c r="A103" s="12" t="s">
        <v>113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24"/>
      <c r="L103" s="10">
        <v>4945</v>
      </c>
      <c r="M103" s="10">
        <v>3010</v>
      </c>
      <c r="N103" s="10">
        <v>13034</v>
      </c>
      <c r="O103" s="10">
        <v>6616</v>
      </c>
      <c r="P103" s="10">
        <v>5025</v>
      </c>
      <c r="Q103" s="10">
        <v>2037</v>
      </c>
      <c r="R103" s="10">
        <v>6580</v>
      </c>
      <c r="S103" s="10">
        <v>4468</v>
      </c>
      <c r="T103" s="10">
        <v>8826</v>
      </c>
      <c r="U103" s="10">
        <v>3238</v>
      </c>
      <c r="V103" s="10">
        <v>3006</v>
      </c>
      <c r="W103" s="10"/>
      <c r="X103" s="10"/>
      <c r="Y103" s="10"/>
      <c r="Z103" s="10"/>
      <c r="AA103" s="26"/>
      <c r="AB103" s="2"/>
      <c r="AC103" s="2"/>
      <c r="AD103" s="2"/>
      <c r="AE103" s="26"/>
      <c r="AF103" s="2"/>
      <c r="AG103" s="2"/>
      <c r="AH103" s="2"/>
    </row>
    <row r="104" spans="1:34" x14ac:dyDescent="0.55000000000000004">
      <c r="A104" s="12" t="s">
        <v>114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24"/>
      <c r="L104" s="10">
        <v>3816</v>
      </c>
      <c r="M104" s="10">
        <v>3184</v>
      </c>
      <c r="N104" s="10">
        <v>11870</v>
      </c>
      <c r="O104" s="10">
        <v>4972</v>
      </c>
      <c r="P104" s="10">
        <v>3291</v>
      </c>
      <c r="Q104" s="10">
        <v>2324</v>
      </c>
      <c r="R104" s="10">
        <v>6035</v>
      </c>
      <c r="S104" s="10">
        <v>3913</v>
      </c>
      <c r="T104" s="10">
        <v>7226</v>
      </c>
      <c r="U104" s="10">
        <v>2444</v>
      </c>
      <c r="V104" s="10">
        <v>2771</v>
      </c>
      <c r="W104" s="10"/>
      <c r="X104" s="10"/>
      <c r="Y104" s="10"/>
      <c r="Z104" s="10"/>
      <c r="AA104" s="26"/>
      <c r="AB104" s="2"/>
      <c r="AC104" s="2"/>
      <c r="AD104" s="2"/>
      <c r="AE104" s="26"/>
      <c r="AF104" s="2"/>
      <c r="AG104" s="2"/>
      <c r="AH104" s="2"/>
    </row>
    <row r="105" spans="1:34" x14ac:dyDescent="0.55000000000000004">
      <c r="A105" s="19" t="s">
        <v>115</v>
      </c>
      <c r="B105" s="20">
        <v>1416077</v>
      </c>
      <c r="C105" s="20">
        <v>66764</v>
      </c>
      <c r="D105" s="20">
        <v>41238</v>
      </c>
      <c r="E105" s="20">
        <v>69785</v>
      </c>
      <c r="F105" s="20">
        <v>3812</v>
      </c>
      <c r="G105" s="20">
        <v>2927</v>
      </c>
      <c r="H105" s="20">
        <v>1374608</v>
      </c>
      <c r="I105" s="20">
        <v>63891</v>
      </c>
      <c r="J105" s="20">
        <v>51040</v>
      </c>
      <c r="K105" s="24"/>
      <c r="L105" s="20">
        <v>176405</v>
      </c>
      <c r="M105" s="20">
        <v>75356</v>
      </c>
      <c r="N105" s="20">
        <v>117470</v>
      </c>
      <c r="O105" s="20">
        <v>111340</v>
      </c>
      <c r="P105" s="20">
        <v>115600</v>
      </c>
      <c r="Q105" s="20">
        <v>137128</v>
      </c>
      <c r="R105" s="20">
        <v>110573</v>
      </c>
      <c r="S105" s="20">
        <v>146238</v>
      </c>
      <c r="T105" s="20">
        <v>167374</v>
      </c>
      <c r="U105" s="20">
        <v>65658</v>
      </c>
      <c r="V105" s="20">
        <v>57973</v>
      </c>
      <c r="W105" s="20">
        <v>134962</v>
      </c>
      <c r="X105" s="20"/>
      <c r="Y105" s="20"/>
      <c r="Z105" s="20"/>
      <c r="AA105" s="26"/>
      <c r="AB105" s="13">
        <f>SUM(L105:Z105)</f>
        <v>1416077</v>
      </c>
      <c r="AC105" s="13">
        <f>SUM(L106:Z106)</f>
        <v>66664</v>
      </c>
      <c r="AD105" s="13">
        <f>SUM(L107:Z107)</f>
        <v>41238</v>
      </c>
      <c r="AE105" s="26"/>
      <c r="AF105" s="13">
        <f>AB105-B105</f>
        <v>0</v>
      </c>
      <c r="AG105" s="13">
        <f>AC105-C105</f>
        <v>-100</v>
      </c>
      <c r="AH105" s="13">
        <f>AD105-D105</f>
        <v>0</v>
      </c>
    </row>
    <row r="106" spans="1:34" x14ac:dyDescent="0.55000000000000004">
      <c r="A106" s="12" t="s">
        <v>116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24"/>
      <c r="L106" s="10">
        <v>8352</v>
      </c>
      <c r="M106" s="10">
        <v>3537</v>
      </c>
      <c r="N106" s="10">
        <v>4724</v>
      </c>
      <c r="O106" s="10">
        <v>6850</v>
      </c>
      <c r="P106" s="10">
        <v>4940</v>
      </c>
      <c r="Q106" s="10">
        <v>6028</v>
      </c>
      <c r="R106" s="10">
        <v>5384</v>
      </c>
      <c r="S106" s="10">
        <v>7177</v>
      </c>
      <c r="T106" s="10">
        <v>8199</v>
      </c>
      <c r="U106" s="10">
        <v>2686</v>
      </c>
      <c r="V106" s="10">
        <v>2445</v>
      </c>
      <c r="W106" s="10">
        <v>6342</v>
      </c>
      <c r="X106" s="10"/>
      <c r="Y106" s="10"/>
      <c r="Z106" s="10"/>
      <c r="AA106" s="26"/>
      <c r="AB106" s="2"/>
      <c r="AC106" s="2"/>
      <c r="AD106" s="2"/>
      <c r="AE106" s="26"/>
      <c r="AF106" s="2"/>
      <c r="AG106" s="2"/>
      <c r="AH106" s="2"/>
    </row>
    <row r="107" spans="1:34" x14ac:dyDescent="0.55000000000000004">
      <c r="A107" s="12" t="s">
        <v>117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24"/>
      <c r="L107" s="10">
        <v>5139</v>
      </c>
      <c r="M107" s="10">
        <v>2013</v>
      </c>
      <c r="N107" s="10">
        <v>2477</v>
      </c>
      <c r="O107" s="10">
        <v>3835</v>
      </c>
      <c r="P107" s="10">
        <v>2767</v>
      </c>
      <c r="Q107" s="10">
        <v>4042</v>
      </c>
      <c r="R107" s="10">
        <v>3218</v>
      </c>
      <c r="S107" s="10">
        <v>4389</v>
      </c>
      <c r="T107" s="10">
        <v>5629</v>
      </c>
      <c r="U107" s="10">
        <v>1548</v>
      </c>
      <c r="V107" s="10">
        <v>1645</v>
      </c>
      <c r="W107" s="10">
        <v>4536</v>
      </c>
      <c r="X107" s="10"/>
      <c r="Y107" s="10"/>
      <c r="Z107" s="10"/>
      <c r="AA107" s="26"/>
      <c r="AB107" s="2"/>
      <c r="AC107" s="2"/>
      <c r="AD107" s="2"/>
      <c r="AE107" s="26"/>
      <c r="AF107" s="2"/>
      <c r="AG107" s="2"/>
      <c r="AH107" s="2"/>
    </row>
    <row r="108" spans="1:34" x14ac:dyDescent="0.55000000000000004">
      <c r="A108" s="19" t="s">
        <v>118</v>
      </c>
      <c r="B108" s="20">
        <v>2584201</v>
      </c>
      <c r="C108" s="20">
        <v>122565</v>
      </c>
      <c r="D108" s="20">
        <v>90306</v>
      </c>
      <c r="E108" s="20">
        <v>173701</v>
      </c>
      <c r="F108" s="20">
        <v>9447</v>
      </c>
      <c r="G108" s="20">
        <v>7804</v>
      </c>
      <c r="H108" s="20">
        <v>2513738</v>
      </c>
      <c r="I108" s="20">
        <v>118263</v>
      </c>
      <c r="J108" s="20">
        <v>78783</v>
      </c>
      <c r="K108" s="24"/>
      <c r="L108" s="20">
        <v>240390</v>
      </c>
      <c r="M108" s="20">
        <v>186625</v>
      </c>
      <c r="N108" s="20">
        <v>199366</v>
      </c>
      <c r="O108" s="20">
        <v>223019</v>
      </c>
      <c r="P108" s="20">
        <v>188494</v>
      </c>
      <c r="Q108" s="20">
        <v>122556</v>
      </c>
      <c r="R108" s="20">
        <v>185448</v>
      </c>
      <c r="S108" s="20">
        <v>195111</v>
      </c>
      <c r="T108" s="20">
        <v>171251</v>
      </c>
      <c r="U108" s="20">
        <v>164343</v>
      </c>
      <c r="V108" s="20">
        <v>170205</v>
      </c>
      <c r="W108" s="20">
        <v>158293</v>
      </c>
      <c r="X108" s="20">
        <v>173637</v>
      </c>
      <c r="Y108" s="20">
        <v>140392</v>
      </c>
      <c r="Z108" s="20">
        <v>156201</v>
      </c>
      <c r="AA108" s="26"/>
      <c r="AB108" s="13">
        <f>SUM(L108:Z108)</f>
        <v>2675331</v>
      </c>
      <c r="AC108" s="13">
        <f>SUM(L109:Z109)</f>
        <v>122565</v>
      </c>
      <c r="AD108" s="13">
        <f>SUM(L110:Z110)</f>
        <v>89881</v>
      </c>
      <c r="AE108" s="26"/>
      <c r="AF108" s="13">
        <f>AB108-B108</f>
        <v>91130</v>
      </c>
      <c r="AG108" s="13">
        <f>AC108-C108</f>
        <v>0</v>
      </c>
      <c r="AH108" s="13">
        <f>AD108-D108</f>
        <v>-425</v>
      </c>
    </row>
    <row r="109" spans="1:34" x14ac:dyDescent="0.55000000000000004">
      <c r="A109" s="12" t="s">
        <v>119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24"/>
      <c r="L109" s="10">
        <v>11397</v>
      </c>
      <c r="M109" s="10">
        <v>8856</v>
      </c>
      <c r="N109" s="10">
        <v>8751</v>
      </c>
      <c r="O109" s="10">
        <v>6698</v>
      </c>
      <c r="P109" s="10">
        <v>8875</v>
      </c>
      <c r="Q109" s="10">
        <v>6770</v>
      </c>
      <c r="R109" s="10">
        <v>8471</v>
      </c>
      <c r="S109" s="10">
        <v>10064</v>
      </c>
      <c r="T109" s="10">
        <v>7996</v>
      </c>
      <c r="U109" s="10">
        <v>8154</v>
      </c>
      <c r="V109" s="10">
        <v>7855</v>
      </c>
      <c r="W109" s="10">
        <v>7334</v>
      </c>
      <c r="X109" s="10">
        <v>7207</v>
      </c>
      <c r="Y109" s="10">
        <v>6050</v>
      </c>
      <c r="Z109" s="10">
        <v>8087</v>
      </c>
      <c r="AA109" s="26"/>
      <c r="AB109" s="2"/>
      <c r="AC109" s="2"/>
      <c r="AD109" s="2"/>
      <c r="AE109" s="26"/>
      <c r="AF109" s="2"/>
      <c r="AG109" s="2"/>
      <c r="AH109" s="2"/>
    </row>
    <row r="110" spans="1:34" x14ac:dyDescent="0.55000000000000004">
      <c r="A110" s="12" t="s">
        <v>120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24"/>
      <c r="L110" s="10">
        <v>8874</v>
      </c>
      <c r="M110" s="10">
        <v>6702</v>
      </c>
      <c r="N110" s="10">
        <v>6741</v>
      </c>
      <c r="O110" s="10">
        <v>4659</v>
      </c>
      <c r="P110" s="10">
        <v>6375</v>
      </c>
      <c r="Q110" s="10">
        <v>5922</v>
      </c>
      <c r="R110" s="10">
        <v>5915</v>
      </c>
      <c r="S110" s="10">
        <v>7113</v>
      </c>
      <c r="T110" s="10">
        <v>4960</v>
      </c>
      <c r="U110" s="10">
        <v>4744</v>
      </c>
      <c r="V110" s="10">
        <v>5509</v>
      </c>
      <c r="W110" s="10">
        <v>6285</v>
      </c>
      <c r="X110" s="10">
        <v>5484</v>
      </c>
      <c r="Y110" s="10">
        <v>4519</v>
      </c>
      <c r="Z110" s="10">
        <v>6079</v>
      </c>
      <c r="AA110" s="26"/>
      <c r="AB110" s="2"/>
      <c r="AC110" s="2"/>
      <c r="AD110" s="2"/>
      <c r="AE110" s="26"/>
      <c r="AF110" s="2"/>
      <c r="AG110" s="2"/>
      <c r="AH110" s="2"/>
    </row>
    <row r="111" spans="1:34" x14ac:dyDescent="0.55000000000000004">
      <c r="A111" s="19" t="s">
        <v>121</v>
      </c>
      <c r="B111" s="20">
        <v>1519125</v>
      </c>
      <c r="C111" s="20">
        <v>72581</v>
      </c>
      <c r="D111" s="20">
        <v>59480</v>
      </c>
      <c r="E111" s="20">
        <v>151551</v>
      </c>
      <c r="F111" s="20">
        <v>3878</v>
      </c>
      <c r="G111" s="20">
        <v>3411</v>
      </c>
      <c r="H111" s="20">
        <v>1485853</v>
      </c>
      <c r="I111" s="20">
        <v>67977</v>
      </c>
      <c r="J111" s="20">
        <v>58051</v>
      </c>
      <c r="K111" s="24"/>
      <c r="L111" s="20">
        <v>146701</v>
      </c>
      <c r="M111" s="20">
        <v>184023</v>
      </c>
      <c r="N111" s="20">
        <v>216815</v>
      </c>
      <c r="O111" s="20">
        <v>59413</v>
      </c>
      <c r="P111" s="20">
        <v>96758</v>
      </c>
      <c r="Q111" s="20">
        <v>153829</v>
      </c>
      <c r="R111" s="20">
        <v>92928</v>
      </c>
      <c r="S111" s="20">
        <v>122750</v>
      </c>
      <c r="T111" s="20">
        <v>130728</v>
      </c>
      <c r="U111" s="20">
        <v>73716</v>
      </c>
      <c r="V111" s="20">
        <v>100649</v>
      </c>
      <c r="W111" s="20">
        <v>70459</v>
      </c>
      <c r="X111" s="20">
        <v>135456</v>
      </c>
      <c r="Y111" s="20"/>
      <c r="Z111" s="20"/>
      <c r="AA111" s="26"/>
      <c r="AB111" s="13">
        <f>SUM(L111:Z111)</f>
        <v>1584225</v>
      </c>
      <c r="AC111" s="13">
        <f>SUM(L112:Z112)</f>
        <v>67246</v>
      </c>
      <c r="AD111" s="13">
        <f>SUM(L113:Z113)</f>
        <v>59480</v>
      </c>
      <c r="AE111" s="26"/>
      <c r="AF111" s="13">
        <f>AB111-B111</f>
        <v>65100</v>
      </c>
      <c r="AG111" s="13">
        <f>AC111-C111</f>
        <v>-5335</v>
      </c>
      <c r="AH111" s="13">
        <f>AD111-D111</f>
        <v>0</v>
      </c>
    </row>
    <row r="112" spans="1:34" x14ac:dyDescent="0.55000000000000004">
      <c r="A112" s="12" t="s">
        <v>122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24"/>
      <c r="L112" s="10">
        <v>9566</v>
      </c>
      <c r="M112" s="10">
        <v>5298</v>
      </c>
      <c r="N112" s="10">
        <v>7077</v>
      </c>
      <c r="O112" s="10">
        <v>2915</v>
      </c>
      <c r="P112" s="10">
        <v>4384</v>
      </c>
      <c r="Q112" s="10">
        <v>6092</v>
      </c>
      <c r="R112" s="10">
        <v>4480</v>
      </c>
      <c r="S112" s="10">
        <v>6187</v>
      </c>
      <c r="T112" s="10">
        <v>5063</v>
      </c>
      <c r="U112" s="10">
        <v>3206</v>
      </c>
      <c r="V112" s="10">
        <v>4411</v>
      </c>
      <c r="W112" s="10">
        <v>3333</v>
      </c>
      <c r="X112" s="10">
        <v>5234</v>
      </c>
      <c r="Y112" s="10"/>
      <c r="Z112" s="10"/>
      <c r="AA112" s="26"/>
      <c r="AB112" s="2"/>
      <c r="AC112" s="2"/>
      <c r="AD112" s="2"/>
      <c r="AE112" s="26"/>
      <c r="AF112" s="2"/>
      <c r="AG112" s="2"/>
      <c r="AH112" s="2"/>
    </row>
    <row r="113" spans="1:34" x14ac:dyDescent="0.55000000000000004">
      <c r="A113" s="12" t="s">
        <v>123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24"/>
      <c r="L113" s="10">
        <v>7775</v>
      </c>
      <c r="M113" s="10">
        <v>7686</v>
      </c>
      <c r="N113" s="10">
        <v>5405</v>
      </c>
      <c r="O113" s="10">
        <v>2967</v>
      </c>
      <c r="P113" s="10">
        <v>3781</v>
      </c>
      <c r="Q113" s="10">
        <v>5122</v>
      </c>
      <c r="R113" s="10">
        <v>3839</v>
      </c>
      <c r="S113" s="10">
        <v>4906</v>
      </c>
      <c r="T113" s="10">
        <v>3910</v>
      </c>
      <c r="U113" s="10">
        <v>3066</v>
      </c>
      <c r="V113" s="10">
        <v>3674</v>
      </c>
      <c r="W113" s="10">
        <v>3326</v>
      </c>
      <c r="X113" s="10">
        <v>4023</v>
      </c>
      <c r="Y113" s="10"/>
      <c r="Z113" s="10"/>
      <c r="AA113" s="26"/>
      <c r="AB113" s="2"/>
      <c r="AC113" s="2"/>
      <c r="AD113" s="2"/>
      <c r="AE113" s="26"/>
      <c r="AF113" s="2"/>
      <c r="AG113" s="2"/>
      <c r="AH113" s="2"/>
    </row>
    <row r="114" spans="1:34" x14ac:dyDescent="0.55000000000000004">
      <c r="A114" s="19" t="s">
        <v>124</v>
      </c>
      <c r="B114" s="20">
        <v>1569462</v>
      </c>
      <c r="C114" s="20">
        <v>80631</v>
      </c>
      <c r="D114" s="20">
        <v>67714</v>
      </c>
      <c r="E114" s="20">
        <v>109801</v>
      </c>
      <c r="F114" s="20">
        <v>4832</v>
      </c>
      <c r="G114" s="20">
        <v>4429</v>
      </c>
      <c r="H114" s="20">
        <v>1534884</v>
      </c>
      <c r="I114" s="20">
        <v>82959</v>
      </c>
      <c r="J114" s="20">
        <v>65761</v>
      </c>
      <c r="K114" s="24"/>
      <c r="L114" s="20">
        <v>210309</v>
      </c>
      <c r="M114" s="20">
        <v>140659</v>
      </c>
      <c r="N114" s="20">
        <v>146685</v>
      </c>
      <c r="O114" s="20">
        <v>114443</v>
      </c>
      <c r="P114" s="20">
        <v>130531</v>
      </c>
      <c r="Q114" s="20">
        <v>132224</v>
      </c>
      <c r="R114" s="20">
        <v>118787</v>
      </c>
      <c r="S114" s="20">
        <v>192181</v>
      </c>
      <c r="T114" s="20">
        <v>106823</v>
      </c>
      <c r="U114" s="20">
        <v>110443</v>
      </c>
      <c r="V114" s="20">
        <v>166477</v>
      </c>
      <c r="W114" s="20"/>
      <c r="X114" s="20"/>
      <c r="Y114" s="20"/>
      <c r="Z114" s="20"/>
      <c r="AA114" s="26"/>
      <c r="AB114" s="13">
        <f>SUM(L114:Z114)</f>
        <v>1569562</v>
      </c>
      <c r="AC114" s="13">
        <f>SUM(L115:Z115)</f>
        <v>80631</v>
      </c>
      <c r="AD114" s="13">
        <f>SUM(L116:Z116)</f>
        <v>68783</v>
      </c>
      <c r="AE114" s="26"/>
      <c r="AF114" s="13">
        <f>AB114-B114</f>
        <v>100</v>
      </c>
      <c r="AG114" s="13">
        <f>AC114-C114</f>
        <v>0</v>
      </c>
      <c r="AH114" s="13">
        <f>AD114-D114</f>
        <v>1069</v>
      </c>
    </row>
    <row r="115" spans="1:34" x14ac:dyDescent="0.55000000000000004">
      <c r="A115" s="12" t="s">
        <v>125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24"/>
      <c r="L115" s="10">
        <v>10534</v>
      </c>
      <c r="M115" s="10">
        <v>8387</v>
      </c>
      <c r="N115" s="10">
        <v>8264</v>
      </c>
      <c r="O115" s="10">
        <v>6031</v>
      </c>
      <c r="P115" s="10">
        <v>6565</v>
      </c>
      <c r="Q115" s="10">
        <v>6671</v>
      </c>
      <c r="R115" s="10">
        <v>5951</v>
      </c>
      <c r="S115" s="10">
        <v>9567</v>
      </c>
      <c r="T115" s="10">
        <v>5785</v>
      </c>
      <c r="U115" s="10">
        <v>5022</v>
      </c>
      <c r="V115" s="10">
        <v>7854</v>
      </c>
      <c r="W115" s="10"/>
      <c r="X115" s="10"/>
      <c r="Y115" s="10"/>
      <c r="Z115" s="10"/>
      <c r="AA115" s="26"/>
      <c r="AB115" s="2"/>
      <c r="AC115" s="2"/>
      <c r="AD115" s="2"/>
      <c r="AE115" s="26"/>
      <c r="AF115" s="2"/>
      <c r="AG115" s="2"/>
      <c r="AH115" s="2"/>
    </row>
    <row r="116" spans="1:34" x14ac:dyDescent="0.55000000000000004">
      <c r="A116" s="12" t="s">
        <v>126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24"/>
      <c r="L116" s="10">
        <v>8329</v>
      </c>
      <c r="M116" s="10">
        <v>6095</v>
      </c>
      <c r="N116" s="10">
        <v>6983</v>
      </c>
      <c r="O116" s="10">
        <v>5149</v>
      </c>
      <c r="P116" s="10">
        <v>5443</v>
      </c>
      <c r="Q116" s="10">
        <v>5381</v>
      </c>
      <c r="R116" s="10">
        <v>5309</v>
      </c>
      <c r="S116" s="10">
        <v>11122</v>
      </c>
      <c r="T116" s="10">
        <v>4008</v>
      </c>
      <c r="U116" s="10">
        <v>3987</v>
      </c>
      <c r="V116" s="10">
        <v>6977</v>
      </c>
      <c r="W116" s="10"/>
      <c r="X116" s="10"/>
      <c r="Y116" s="10"/>
      <c r="Z116" s="10"/>
      <c r="AA116" s="26"/>
      <c r="AB116" s="2"/>
      <c r="AC116" s="2"/>
      <c r="AD116" s="2"/>
      <c r="AE116" s="26"/>
      <c r="AF116" s="2"/>
      <c r="AG116" s="2"/>
      <c r="AH116" s="2"/>
    </row>
    <row r="117" spans="1:34" x14ac:dyDescent="0.55000000000000004">
      <c r="A117" s="19" t="s">
        <v>127</v>
      </c>
      <c r="B117" s="20">
        <v>1311129</v>
      </c>
      <c r="C117" s="20">
        <v>59179</v>
      </c>
      <c r="D117" s="20">
        <v>38557</v>
      </c>
      <c r="E117" s="20">
        <v>89000</v>
      </c>
      <c r="F117" s="20">
        <v>2643</v>
      </c>
      <c r="G117" s="20">
        <v>2309</v>
      </c>
      <c r="H117" s="20">
        <v>1250725</v>
      </c>
      <c r="I117" s="20">
        <v>54223</v>
      </c>
      <c r="J117" s="20">
        <v>39804</v>
      </c>
      <c r="K117" s="24"/>
      <c r="L117" s="20">
        <v>171821</v>
      </c>
      <c r="M117" s="20">
        <v>147652</v>
      </c>
      <c r="N117" s="20">
        <v>78747</v>
      </c>
      <c r="O117" s="20">
        <v>92934</v>
      </c>
      <c r="P117" s="20">
        <v>70595</v>
      </c>
      <c r="Q117" s="20">
        <v>115988</v>
      </c>
      <c r="R117" s="20">
        <v>89587</v>
      </c>
      <c r="S117" s="20">
        <v>186833</v>
      </c>
      <c r="T117" s="20">
        <v>95259</v>
      </c>
      <c r="U117" s="20">
        <v>92006</v>
      </c>
      <c r="V117" s="20">
        <v>146413</v>
      </c>
      <c r="W117" s="20"/>
      <c r="X117" s="20"/>
      <c r="Y117" s="20"/>
      <c r="Z117" s="20"/>
      <c r="AA117" s="26"/>
      <c r="AB117" s="13">
        <f>SUM(L117:Z117)</f>
        <v>1287835</v>
      </c>
      <c r="AC117" s="13">
        <f>SUM(L118:Z118)</f>
        <v>59179</v>
      </c>
      <c r="AD117" s="13">
        <f>SUM(L119:Z119)</f>
        <v>38557</v>
      </c>
      <c r="AE117" s="26"/>
      <c r="AF117" s="13">
        <f>AB117-B117</f>
        <v>-23294</v>
      </c>
      <c r="AG117" s="13">
        <f>AC117-C117</f>
        <v>0</v>
      </c>
      <c r="AH117" s="13">
        <f>AD117-D117</f>
        <v>0</v>
      </c>
    </row>
    <row r="118" spans="1:34" x14ac:dyDescent="0.55000000000000004">
      <c r="A118" s="12" t="s">
        <v>128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24"/>
      <c r="L118" s="10">
        <v>7023</v>
      </c>
      <c r="M118" s="10">
        <v>6269</v>
      </c>
      <c r="N118" s="10">
        <v>3741</v>
      </c>
      <c r="O118" s="10">
        <v>4121</v>
      </c>
      <c r="P118" s="10">
        <v>4235</v>
      </c>
      <c r="Q118" s="10">
        <v>5711</v>
      </c>
      <c r="R118" s="10">
        <v>3690</v>
      </c>
      <c r="S118" s="10">
        <v>8179</v>
      </c>
      <c r="T118" s="10">
        <v>4559</v>
      </c>
      <c r="U118" s="10">
        <v>4496</v>
      </c>
      <c r="V118" s="10">
        <v>7155</v>
      </c>
      <c r="W118" s="10"/>
      <c r="X118" s="10"/>
      <c r="Y118" s="10"/>
      <c r="Z118" s="10"/>
      <c r="AA118" s="26"/>
      <c r="AB118" s="2"/>
      <c r="AC118" s="2"/>
      <c r="AD118" s="2"/>
      <c r="AE118" s="26"/>
      <c r="AF118" s="2"/>
      <c r="AG118" s="2"/>
      <c r="AH118" s="2"/>
    </row>
    <row r="119" spans="1:34" x14ac:dyDescent="0.55000000000000004">
      <c r="A119" s="12" t="s">
        <v>129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24"/>
      <c r="L119" s="10">
        <v>4732</v>
      </c>
      <c r="M119" s="10">
        <v>4121</v>
      </c>
      <c r="N119" s="10">
        <v>2566</v>
      </c>
      <c r="O119" s="10">
        <v>2848</v>
      </c>
      <c r="P119" s="10">
        <v>2416</v>
      </c>
      <c r="Q119" s="10">
        <v>3597</v>
      </c>
      <c r="R119" s="10">
        <v>2907</v>
      </c>
      <c r="S119" s="10">
        <v>4920</v>
      </c>
      <c r="T119" s="10">
        <v>2752</v>
      </c>
      <c r="U119" s="10">
        <v>2503</v>
      </c>
      <c r="V119" s="10">
        <v>5195</v>
      </c>
      <c r="W119" s="10"/>
      <c r="X119" s="10"/>
      <c r="Y119" s="10"/>
      <c r="Z119" s="10"/>
      <c r="AA119" s="26"/>
      <c r="AB119" s="2"/>
      <c r="AC119" s="2"/>
      <c r="AD119" s="2"/>
      <c r="AE119" s="26"/>
      <c r="AF119" s="2"/>
      <c r="AG119" s="2"/>
      <c r="AH119" s="2"/>
    </row>
    <row r="120" spans="1:34" x14ac:dyDescent="0.55000000000000004">
      <c r="A120" s="19" t="s">
        <v>130</v>
      </c>
      <c r="B120" s="20">
        <v>363955</v>
      </c>
      <c r="C120" s="20">
        <v>17441</v>
      </c>
      <c r="D120" s="20">
        <v>12810</v>
      </c>
      <c r="E120" s="20">
        <v>23765</v>
      </c>
      <c r="F120" s="20">
        <v>889</v>
      </c>
      <c r="G120" s="20">
        <v>882</v>
      </c>
      <c r="H120" s="20">
        <v>350138</v>
      </c>
      <c r="I120" s="20">
        <v>16905</v>
      </c>
      <c r="J120" s="20">
        <v>12122</v>
      </c>
      <c r="K120" s="24"/>
      <c r="L120" s="20">
        <v>84302</v>
      </c>
      <c r="M120" s="20">
        <v>52752</v>
      </c>
      <c r="N120" s="20">
        <v>78496</v>
      </c>
      <c r="O120" s="20">
        <v>45587</v>
      </c>
      <c r="P120" s="20">
        <v>28144</v>
      </c>
      <c r="Q120" s="20">
        <v>40387</v>
      </c>
      <c r="R120" s="20">
        <v>34287</v>
      </c>
      <c r="S120" s="20"/>
      <c r="T120" s="20"/>
      <c r="U120" s="20"/>
      <c r="V120" s="20"/>
      <c r="W120" s="20"/>
      <c r="X120" s="20"/>
      <c r="Y120" s="20"/>
      <c r="Z120" s="20"/>
      <c r="AA120" s="26"/>
      <c r="AB120" s="13">
        <f>SUM(L120:Z120)</f>
        <v>363955</v>
      </c>
      <c r="AC120" s="13">
        <f>SUM(L121:Z121)</f>
        <v>17451</v>
      </c>
      <c r="AD120" s="13">
        <f>SUM(L122:Z122)</f>
        <v>12810</v>
      </c>
      <c r="AE120" s="26"/>
      <c r="AF120" s="13">
        <f>AB120-B120</f>
        <v>0</v>
      </c>
      <c r="AG120" s="13">
        <f>AC120-C120</f>
        <v>10</v>
      </c>
      <c r="AH120" s="13">
        <f>AD120-D120</f>
        <v>0</v>
      </c>
    </row>
    <row r="121" spans="1:34" x14ac:dyDescent="0.55000000000000004">
      <c r="A121" s="12" t="s">
        <v>131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24"/>
      <c r="L121" s="10">
        <v>3844</v>
      </c>
      <c r="M121" s="10">
        <v>2447</v>
      </c>
      <c r="N121" s="10">
        <v>4048</v>
      </c>
      <c r="O121" s="10">
        <v>2174</v>
      </c>
      <c r="P121" s="10">
        <v>1155</v>
      </c>
      <c r="Q121" s="10">
        <v>1892</v>
      </c>
      <c r="R121" s="10">
        <v>1891</v>
      </c>
      <c r="S121" s="10"/>
      <c r="T121" s="10"/>
      <c r="U121" s="10"/>
      <c r="V121" s="10"/>
      <c r="W121" s="10"/>
      <c r="X121" s="10"/>
      <c r="Y121" s="10"/>
      <c r="Z121" s="10"/>
      <c r="AA121" s="26"/>
      <c r="AB121" s="2"/>
      <c r="AC121" s="2"/>
      <c r="AD121" s="2"/>
      <c r="AE121" s="26"/>
      <c r="AF121" s="2"/>
      <c r="AG121" s="2"/>
      <c r="AH121" s="2"/>
    </row>
    <row r="122" spans="1:34" x14ac:dyDescent="0.55000000000000004">
      <c r="A122" s="12" t="s">
        <v>132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24"/>
      <c r="L122" s="10">
        <v>3137</v>
      </c>
      <c r="M122" s="10">
        <v>1838</v>
      </c>
      <c r="N122" s="10">
        <v>2606</v>
      </c>
      <c r="O122" s="10">
        <v>1691</v>
      </c>
      <c r="P122" s="10">
        <v>867</v>
      </c>
      <c r="Q122" s="10">
        <v>1365</v>
      </c>
      <c r="R122" s="10">
        <v>1306</v>
      </c>
      <c r="S122" s="10"/>
      <c r="T122" s="10"/>
      <c r="U122" s="10"/>
      <c r="V122" s="10"/>
      <c r="W122" s="10"/>
      <c r="X122" s="10"/>
      <c r="Y122" s="10"/>
      <c r="Z122" s="10"/>
      <c r="AA122" s="26"/>
      <c r="AB122" s="2"/>
      <c r="AC122" s="2"/>
      <c r="AD122" s="2"/>
      <c r="AE122" s="26"/>
      <c r="AF122" s="2"/>
      <c r="AG122" s="2"/>
      <c r="AH122" s="2"/>
    </row>
    <row r="123" spans="1:34" x14ac:dyDescent="0.55000000000000004">
      <c r="A123" s="19" t="s">
        <v>133</v>
      </c>
      <c r="B123" s="20">
        <v>2127397</v>
      </c>
      <c r="C123" s="20">
        <v>109867</v>
      </c>
      <c r="D123" s="20">
        <v>89808</v>
      </c>
      <c r="E123" s="20" t="s">
        <v>16</v>
      </c>
      <c r="F123" s="20" t="s">
        <v>16</v>
      </c>
      <c r="G123" s="20" t="s">
        <v>16</v>
      </c>
      <c r="H123" s="20">
        <v>2048969</v>
      </c>
      <c r="I123" s="20">
        <v>105815</v>
      </c>
      <c r="J123" s="20">
        <v>75183</v>
      </c>
      <c r="K123" s="24"/>
      <c r="L123" s="20">
        <v>226582</v>
      </c>
      <c r="M123" s="20">
        <v>153690</v>
      </c>
      <c r="N123" s="20">
        <v>166266</v>
      </c>
      <c r="O123" s="20">
        <v>105555</v>
      </c>
      <c r="P123" s="20">
        <v>293436</v>
      </c>
      <c r="Q123" s="20">
        <v>132690</v>
      </c>
      <c r="R123" s="20">
        <v>117294</v>
      </c>
      <c r="S123" s="20">
        <v>353483</v>
      </c>
      <c r="T123" s="20">
        <v>191395</v>
      </c>
      <c r="U123" s="20">
        <v>109489</v>
      </c>
      <c r="V123" s="20">
        <v>145665</v>
      </c>
      <c r="W123" s="20">
        <v>131762</v>
      </c>
      <c r="X123" s="20"/>
      <c r="Y123" s="20"/>
      <c r="Z123" s="20"/>
      <c r="AA123" s="26"/>
      <c r="AB123" s="13">
        <f>SUM(L123:Z123)</f>
        <v>2127307</v>
      </c>
      <c r="AC123" s="13">
        <f>SUM(L124:Z124)</f>
        <v>109667</v>
      </c>
      <c r="AD123" s="13">
        <f>SUM(L125:Z125)</f>
        <v>89808</v>
      </c>
      <c r="AE123" s="26"/>
      <c r="AF123" s="13">
        <f>AB123-B123</f>
        <v>-90</v>
      </c>
      <c r="AG123" s="13">
        <f>AC123-C123</f>
        <v>-200</v>
      </c>
      <c r="AH123" s="13">
        <f>AD123-D123</f>
        <v>0</v>
      </c>
    </row>
    <row r="124" spans="1:34" x14ac:dyDescent="0.55000000000000004">
      <c r="A124" s="12" t="s">
        <v>134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24"/>
      <c r="L124" s="10">
        <v>10732</v>
      </c>
      <c r="M124" s="10">
        <v>7716</v>
      </c>
      <c r="N124" s="10">
        <v>9515</v>
      </c>
      <c r="O124" s="10">
        <v>5565</v>
      </c>
      <c r="P124" s="10">
        <v>15548</v>
      </c>
      <c r="Q124" s="10">
        <v>7452</v>
      </c>
      <c r="R124" s="10">
        <v>6083</v>
      </c>
      <c r="S124" s="10">
        <v>16688</v>
      </c>
      <c r="T124" s="10">
        <v>10040</v>
      </c>
      <c r="U124" s="10">
        <v>5827</v>
      </c>
      <c r="V124" s="10">
        <v>7629</v>
      </c>
      <c r="W124" s="10">
        <v>6872</v>
      </c>
      <c r="X124" s="10"/>
      <c r="Y124" s="10"/>
      <c r="Z124" s="10"/>
      <c r="AA124" s="26"/>
      <c r="AB124" s="2"/>
      <c r="AC124" s="2"/>
      <c r="AD124" s="2"/>
      <c r="AE124" s="26"/>
      <c r="AF124" s="2"/>
      <c r="AG124" s="2"/>
      <c r="AH124" s="2"/>
    </row>
    <row r="125" spans="1:34" x14ac:dyDescent="0.55000000000000004">
      <c r="A125" s="12" t="s">
        <v>135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24"/>
      <c r="L125" s="10">
        <v>8785</v>
      </c>
      <c r="M125" s="10">
        <v>5858</v>
      </c>
      <c r="N125" s="10">
        <v>6412</v>
      </c>
      <c r="O125" s="10">
        <v>4571</v>
      </c>
      <c r="P125" s="10">
        <v>13957</v>
      </c>
      <c r="Q125" s="10">
        <v>6151</v>
      </c>
      <c r="R125" s="10">
        <v>4982</v>
      </c>
      <c r="S125" s="10">
        <v>15440</v>
      </c>
      <c r="T125" s="10">
        <v>8335</v>
      </c>
      <c r="U125" s="10">
        <v>4551</v>
      </c>
      <c r="V125" s="10">
        <v>5450</v>
      </c>
      <c r="W125" s="10">
        <v>5316</v>
      </c>
      <c r="X125" s="10"/>
      <c r="Y125" s="10"/>
      <c r="Z125" s="10"/>
      <c r="AA125" s="26"/>
      <c r="AB125" s="2"/>
      <c r="AC125" s="2"/>
      <c r="AD125" s="2"/>
      <c r="AE125" s="26"/>
      <c r="AF125" s="2"/>
      <c r="AG125" s="2"/>
      <c r="AH125" s="2"/>
    </row>
    <row r="126" spans="1:34" x14ac:dyDescent="0.55000000000000004">
      <c r="A126" s="19" t="s">
        <v>136</v>
      </c>
      <c r="B126" s="20">
        <v>1606013</v>
      </c>
      <c r="C126" s="20">
        <v>78785</v>
      </c>
      <c r="D126" s="20">
        <v>74230</v>
      </c>
      <c r="E126" s="20">
        <v>142166</v>
      </c>
      <c r="F126" s="20">
        <v>6626</v>
      </c>
      <c r="G126" s="20">
        <v>6656</v>
      </c>
      <c r="H126" s="20">
        <v>1562917</v>
      </c>
      <c r="I126" s="20">
        <v>81527</v>
      </c>
      <c r="J126" s="20">
        <v>60505</v>
      </c>
      <c r="K126" s="24"/>
      <c r="L126" s="20">
        <v>165067</v>
      </c>
      <c r="M126" s="20">
        <v>173007</v>
      </c>
      <c r="N126" s="20">
        <v>210406</v>
      </c>
      <c r="O126" s="20">
        <v>137124</v>
      </c>
      <c r="P126" s="20">
        <v>182453</v>
      </c>
      <c r="Q126" s="20">
        <v>115285</v>
      </c>
      <c r="R126" s="20">
        <v>131337</v>
      </c>
      <c r="S126" s="20">
        <v>154725</v>
      </c>
      <c r="T126" s="20">
        <v>165113</v>
      </c>
      <c r="U126" s="20">
        <v>156990</v>
      </c>
      <c r="V126" s="20"/>
      <c r="W126" s="20"/>
      <c r="X126" s="20"/>
      <c r="Y126" s="20"/>
      <c r="Z126" s="20"/>
      <c r="AA126" s="26"/>
      <c r="AB126" s="13">
        <f>SUM(L126:Z126)</f>
        <v>1591507</v>
      </c>
      <c r="AC126" s="13">
        <f>SUM(L127:Z127)</f>
        <v>78785</v>
      </c>
      <c r="AD126" s="13">
        <f>SUM(L128:Z128)</f>
        <v>74230</v>
      </c>
      <c r="AE126" s="26"/>
      <c r="AF126" s="13">
        <f>AB126-B126</f>
        <v>-14506</v>
      </c>
      <c r="AG126" s="13">
        <f>AC126-C126</f>
        <v>0</v>
      </c>
      <c r="AH126" s="13">
        <f>AD126-D126</f>
        <v>0</v>
      </c>
    </row>
    <row r="127" spans="1:34" x14ac:dyDescent="0.55000000000000004">
      <c r="A127" s="12" t="s">
        <v>137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24"/>
      <c r="L127" s="10">
        <v>8964</v>
      </c>
      <c r="M127" s="10">
        <v>9741</v>
      </c>
      <c r="N127" s="10">
        <v>9118</v>
      </c>
      <c r="O127" s="10">
        <v>5676</v>
      </c>
      <c r="P127" s="10">
        <v>8777</v>
      </c>
      <c r="Q127" s="10">
        <v>6962</v>
      </c>
      <c r="R127" s="10">
        <v>6362</v>
      </c>
      <c r="S127" s="10">
        <v>7651</v>
      </c>
      <c r="T127" s="10">
        <v>7041</v>
      </c>
      <c r="U127" s="10">
        <v>8493</v>
      </c>
      <c r="V127" s="10"/>
      <c r="W127" s="10"/>
      <c r="X127" s="10"/>
      <c r="Y127" s="10"/>
      <c r="Z127" s="10"/>
      <c r="AA127" s="26"/>
      <c r="AB127" s="2"/>
      <c r="AC127" s="2"/>
      <c r="AD127" s="2"/>
      <c r="AE127" s="26"/>
      <c r="AF127" s="2"/>
      <c r="AG127" s="2"/>
      <c r="AH127" s="2"/>
    </row>
    <row r="128" spans="1:34" x14ac:dyDescent="0.55000000000000004">
      <c r="A128" s="12" t="s">
        <v>138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24"/>
      <c r="L128" s="10">
        <v>8896</v>
      </c>
      <c r="M128" s="10">
        <v>6829</v>
      </c>
      <c r="N128" s="10">
        <v>10831</v>
      </c>
      <c r="O128" s="10">
        <v>5171</v>
      </c>
      <c r="P128" s="10">
        <v>6593</v>
      </c>
      <c r="Q128" s="10">
        <v>6330</v>
      </c>
      <c r="R128" s="10">
        <v>6688</v>
      </c>
      <c r="S128" s="10">
        <v>7669</v>
      </c>
      <c r="T128" s="10">
        <v>7332</v>
      </c>
      <c r="U128" s="10">
        <v>7891</v>
      </c>
      <c r="V128" s="10"/>
      <c r="W128" s="10"/>
      <c r="X128" s="10"/>
      <c r="Y128" s="10"/>
      <c r="Z128" s="10"/>
      <c r="AA128" s="26"/>
      <c r="AB128" s="2"/>
      <c r="AC128" s="2"/>
      <c r="AD128" s="2"/>
      <c r="AE128" s="26"/>
      <c r="AF128" s="2"/>
      <c r="AG128" s="2"/>
      <c r="AH128" s="2"/>
    </row>
    <row r="129" spans="1:34" x14ac:dyDescent="0.55000000000000004">
      <c r="A129" s="19" t="s">
        <v>139</v>
      </c>
      <c r="B129" s="20">
        <v>2806879</v>
      </c>
      <c r="C129" s="20">
        <v>156712</v>
      </c>
      <c r="D129" s="20">
        <v>117028</v>
      </c>
      <c r="E129" s="20">
        <v>151634</v>
      </c>
      <c r="F129" s="20">
        <v>5651</v>
      </c>
      <c r="G129" s="20">
        <v>5909</v>
      </c>
      <c r="H129" s="20">
        <v>2755065</v>
      </c>
      <c r="I129" s="20">
        <v>152361</v>
      </c>
      <c r="J129" s="20">
        <v>121495</v>
      </c>
      <c r="K129" s="24"/>
      <c r="L129" s="20">
        <v>233657</v>
      </c>
      <c r="M129" s="20">
        <v>225594</v>
      </c>
      <c r="N129" s="20">
        <v>391716</v>
      </c>
      <c r="O129" s="20">
        <v>145157</v>
      </c>
      <c r="P129" s="20">
        <v>257842</v>
      </c>
      <c r="Q129" s="20">
        <v>238765</v>
      </c>
      <c r="R129" s="20">
        <v>124177</v>
      </c>
      <c r="S129" s="20">
        <v>283174</v>
      </c>
      <c r="T129" s="20">
        <v>261235</v>
      </c>
      <c r="U129" s="20">
        <v>215282</v>
      </c>
      <c r="V129" s="20">
        <v>91303</v>
      </c>
      <c r="W129" s="20">
        <v>337383</v>
      </c>
      <c r="X129" s="20"/>
      <c r="Y129" s="20"/>
      <c r="Z129" s="20"/>
      <c r="AA129" s="26"/>
      <c r="AB129" s="13">
        <f>SUM(L129:Z129)</f>
        <v>2805285</v>
      </c>
      <c r="AC129" s="13">
        <f>SUM(L130:Z130)</f>
        <v>156022</v>
      </c>
      <c r="AD129" s="13">
        <f>SUM(L131:Z131)</f>
        <v>117008</v>
      </c>
      <c r="AE129" s="26"/>
      <c r="AF129" s="13">
        <f>AB129-B129</f>
        <v>-1594</v>
      </c>
      <c r="AG129" s="13">
        <f>AC129-C129</f>
        <v>-690</v>
      </c>
      <c r="AH129" s="13">
        <f>AD129-D129</f>
        <v>-20</v>
      </c>
    </row>
    <row r="130" spans="1:34" x14ac:dyDescent="0.55000000000000004">
      <c r="A130" s="12" t="s">
        <v>140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24"/>
      <c r="L130" s="10">
        <v>13181</v>
      </c>
      <c r="M130" s="10">
        <v>12177</v>
      </c>
      <c r="N130" s="10">
        <v>21218</v>
      </c>
      <c r="O130" s="10">
        <v>8602</v>
      </c>
      <c r="P130" s="10">
        <v>13230</v>
      </c>
      <c r="Q130" s="10">
        <v>13580</v>
      </c>
      <c r="R130" s="10">
        <v>7944</v>
      </c>
      <c r="S130" s="10">
        <v>16856</v>
      </c>
      <c r="T130" s="10">
        <v>13416</v>
      </c>
      <c r="U130" s="10">
        <v>12659</v>
      </c>
      <c r="V130" s="10">
        <v>5500</v>
      </c>
      <c r="W130" s="10">
        <v>17659</v>
      </c>
      <c r="X130" s="10"/>
      <c r="Y130" s="10"/>
      <c r="Z130" s="10"/>
      <c r="AA130" s="26"/>
      <c r="AB130" s="2"/>
      <c r="AC130" s="2"/>
      <c r="AD130" s="2"/>
      <c r="AE130" s="26"/>
      <c r="AF130" s="2"/>
      <c r="AG130" s="2"/>
      <c r="AH130" s="2"/>
    </row>
    <row r="131" spans="1:34" x14ac:dyDescent="0.55000000000000004">
      <c r="A131" s="12" t="s">
        <v>141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24"/>
      <c r="L131" s="10">
        <v>9780</v>
      </c>
      <c r="M131" s="10">
        <v>8941</v>
      </c>
      <c r="N131" s="10">
        <v>17474</v>
      </c>
      <c r="O131" s="10">
        <v>6497</v>
      </c>
      <c r="P131" s="10">
        <v>10676</v>
      </c>
      <c r="Q131" s="10">
        <v>10695</v>
      </c>
      <c r="R131" s="10">
        <v>5839</v>
      </c>
      <c r="S131" s="10">
        <v>12101</v>
      </c>
      <c r="T131" s="10">
        <v>8782</v>
      </c>
      <c r="U131" s="10">
        <v>8819</v>
      </c>
      <c r="V131" s="10">
        <v>2957</v>
      </c>
      <c r="W131" s="10">
        <v>14447</v>
      </c>
      <c r="X131" s="10"/>
      <c r="Y131" s="10"/>
      <c r="Z131" s="10"/>
      <c r="AA131" s="26"/>
      <c r="AB131" s="2"/>
      <c r="AC131" s="2"/>
      <c r="AD131" s="2"/>
      <c r="AE131" s="26"/>
      <c r="AF131" s="2"/>
      <c r="AG131" s="2"/>
      <c r="AH131" s="2"/>
    </row>
    <row r="132" spans="1:34" x14ac:dyDescent="0.55000000000000004">
      <c r="A132" s="19" t="s">
        <v>142</v>
      </c>
      <c r="B132" s="20">
        <v>2945338</v>
      </c>
      <c r="C132" s="20">
        <v>134529</v>
      </c>
      <c r="D132" s="20">
        <v>83286</v>
      </c>
      <c r="E132" s="20">
        <v>251382</v>
      </c>
      <c r="F132" s="20">
        <v>10838</v>
      </c>
      <c r="G132" s="20">
        <v>7495</v>
      </c>
      <c r="H132" s="20">
        <v>2849416</v>
      </c>
      <c r="I132" s="20">
        <v>130294</v>
      </c>
      <c r="J132" s="20">
        <v>82146</v>
      </c>
      <c r="K132" s="24"/>
      <c r="L132" s="20">
        <v>235578</v>
      </c>
      <c r="M132" s="20">
        <v>173543</v>
      </c>
      <c r="N132" s="20">
        <v>237609</v>
      </c>
      <c r="O132" s="20">
        <v>152409</v>
      </c>
      <c r="P132" s="20">
        <v>252169</v>
      </c>
      <c r="Q132" s="20">
        <v>205882</v>
      </c>
      <c r="R132" s="20">
        <v>247023</v>
      </c>
      <c r="S132" s="20">
        <v>153935</v>
      </c>
      <c r="T132" s="20">
        <v>136829</v>
      </c>
      <c r="U132" s="20">
        <v>166732</v>
      </c>
      <c r="V132" s="20">
        <v>204261</v>
      </c>
      <c r="W132" s="20">
        <v>173325</v>
      </c>
      <c r="X132" s="20">
        <v>218679</v>
      </c>
      <c r="Y132" s="20">
        <v>212588</v>
      </c>
      <c r="Z132" s="20">
        <v>175776</v>
      </c>
      <c r="AA132" s="26"/>
      <c r="AB132" s="13">
        <f>SUM(L132:Z132)</f>
        <v>2946338</v>
      </c>
      <c r="AC132" s="13">
        <f>SUM(L133:Z133)</f>
        <v>134539</v>
      </c>
      <c r="AD132" s="13">
        <f>SUM(L134:Z134)</f>
        <v>83386</v>
      </c>
      <c r="AE132" s="26"/>
      <c r="AF132" s="13">
        <f>AB132-B132</f>
        <v>1000</v>
      </c>
      <c r="AG132" s="13">
        <f>AC132-C132</f>
        <v>10</v>
      </c>
      <c r="AH132" s="13">
        <f>AD132-D132</f>
        <v>100</v>
      </c>
    </row>
    <row r="133" spans="1:34" x14ac:dyDescent="0.55000000000000004">
      <c r="A133" s="12" t="s">
        <v>143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24"/>
      <c r="L133" s="10">
        <v>10540</v>
      </c>
      <c r="M133" s="10">
        <v>7666</v>
      </c>
      <c r="N133" s="10">
        <v>11594</v>
      </c>
      <c r="O133" s="10">
        <v>6859</v>
      </c>
      <c r="P133" s="10">
        <v>9769</v>
      </c>
      <c r="Q133" s="10">
        <v>11029</v>
      </c>
      <c r="R133" s="10">
        <v>10491</v>
      </c>
      <c r="S133" s="10">
        <v>7582</v>
      </c>
      <c r="T133" s="10">
        <v>6973</v>
      </c>
      <c r="U133" s="10">
        <v>7592</v>
      </c>
      <c r="V133" s="10">
        <v>9445</v>
      </c>
      <c r="W133" s="10">
        <v>8250</v>
      </c>
      <c r="X133" s="10">
        <v>9249</v>
      </c>
      <c r="Y133" s="10">
        <v>8549</v>
      </c>
      <c r="Z133" s="10">
        <v>8951</v>
      </c>
      <c r="AA133" s="26"/>
      <c r="AB133" s="2"/>
      <c r="AC133" s="2"/>
      <c r="AD133" s="2"/>
      <c r="AE133" s="26"/>
      <c r="AF133" s="2"/>
      <c r="AG133" s="2"/>
      <c r="AH133" s="2"/>
    </row>
    <row r="134" spans="1:34" x14ac:dyDescent="0.55000000000000004">
      <c r="A134" s="12" t="s">
        <v>144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24"/>
      <c r="L134" s="10">
        <v>7157</v>
      </c>
      <c r="M134" s="10">
        <v>4747</v>
      </c>
      <c r="N134" s="10">
        <v>6768</v>
      </c>
      <c r="O134" s="10">
        <v>3848</v>
      </c>
      <c r="P134" s="10">
        <v>5771</v>
      </c>
      <c r="Q134" s="10">
        <v>8726</v>
      </c>
      <c r="R134" s="10">
        <v>6242</v>
      </c>
      <c r="S134" s="10">
        <v>4264</v>
      </c>
      <c r="T134" s="10">
        <v>4619</v>
      </c>
      <c r="U134" s="10">
        <v>4496</v>
      </c>
      <c r="V134" s="10">
        <v>5695</v>
      </c>
      <c r="W134" s="10">
        <v>4952</v>
      </c>
      <c r="X134" s="10">
        <v>6411</v>
      </c>
      <c r="Y134" s="10">
        <v>4947</v>
      </c>
      <c r="Z134" s="10">
        <v>4743</v>
      </c>
      <c r="AA134" s="26"/>
      <c r="AB134" s="2"/>
      <c r="AC134" s="2"/>
      <c r="AD134" s="2"/>
      <c r="AE134" s="26"/>
      <c r="AF134" s="2"/>
      <c r="AG134" s="2"/>
      <c r="AH134" s="2"/>
    </row>
    <row r="135" spans="1:34" x14ac:dyDescent="0.55000000000000004">
      <c r="A135" s="19" t="s">
        <v>145</v>
      </c>
      <c r="B135" s="20">
        <v>1034125</v>
      </c>
      <c r="C135" s="20">
        <v>52632</v>
      </c>
      <c r="D135" s="20">
        <v>29690</v>
      </c>
      <c r="E135" s="20" t="s">
        <v>16</v>
      </c>
      <c r="F135" s="20" t="s">
        <v>16</v>
      </c>
      <c r="G135" s="20" t="s">
        <v>16</v>
      </c>
      <c r="H135" s="20">
        <v>999043</v>
      </c>
      <c r="I135" s="20">
        <v>49159</v>
      </c>
      <c r="J135" s="20">
        <v>34066</v>
      </c>
      <c r="K135" s="24"/>
      <c r="L135" s="20">
        <v>217969</v>
      </c>
      <c r="M135" s="20">
        <v>111378</v>
      </c>
      <c r="N135" s="20">
        <v>103357</v>
      </c>
      <c r="O135" s="20">
        <v>126975</v>
      </c>
      <c r="P135" s="20">
        <v>158319</v>
      </c>
      <c r="Q135" s="20">
        <v>165560</v>
      </c>
      <c r="R135" s="20">
        <v>76480</v>
      </c>
      <c r="S135" s="20">
        <v>74099</v>
      </c>
      <c r="T135" s="20"/>
      <c r="U135" s="20"/>
      <c r="V135" s="20"/>
      <c r="W135" s="20"/>
      <c r="X135" s="20"/>
      <c r="Y135" s="20"/>
      <c r="Z135" s="20"/>
      <c r="AA135" s="26"/>
      <c r="AB135" s="13">
        <f>SUM(L135:Z135)</f>
        <v>1034137</v>
      </c>
      <c r="AC135" s="13">
        <f>SUM(L136:Z136)</f>
        <v>52632</v>
      </c>
      <c r="AD135" s="13">
        <f>SUM(L137:Z137)</f>
        <v>29690</v>
      </c>
      <c r="AE135" s="26"/>
      <c r="AF135" s="13">
        <f>AB135-B135</f>
        <v>12</v>
      </c>
      <c r="AG135" s="13">
        <f>AC135-C135</f>
        <v>0</v>
      </c>
      <c r="AH135" s="13">
        <f>AD135-D135</f>
        <v>0</v>
      </c>
    </row>
    <row r="136" spans="1:34" x14ac:dyDescent="0.55000000000000004">
      <c r="A136" s="12" t="s">
        <v>146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24"/>
      <c r="L136" s="10">
        <v>9919</v>
      </c>
      <c r="M136" s="10">
        <v>6379</v>
      </c>
      <c r="N136" s="10">
        <v>5434</v>
      </c>
      <c r="O136" s="10">
        <v>6350</v>
      </c>
      <c r="P136" s="10">
        <v>7761</v>
      </c>
      <c r="Q136" s="10">
        <v>7741</v>
      </c>
      <c r="R136" s="10">
        <v>4767</v>
      </c>
      <c r="S136" s="10">
        <v>4281</v>
      </c>
      <c r="T136" s="10"/>
      <c r="U136" s="10"/>
      <c r="V136" s="10"/>
      <c r="W136" s="10"/>
      <c r="X136" s="10"/>
      <c r="Y136" s="10"/>
      <c r="Z136" s="10"/>
      <c r="AA136" s="26"/>
      <c r="AB136" s="2"/>
      <c r="AC136" s="2"/>
      <c r="AD136" s="2"/>
      <c r="AE136" s="26"/>
      <c r="AF136" s="2"/>
      <c r="AG136" s="2"/>
      <c r="AH136" s="2"/>
    </row>
    <row r="137" spans="1:34" x14ac:dyDescent="0.55000000000000004">
      <c r="A137" s="12" t="s">
        <v>147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24"/>
      <c r="L137" s="10">
        <v>6221</v>
      </c>
      <c r="M137" s="10">
        <v>3678</v>
      </c>
      <c r="N137" s="10">
        <v>2706</v>
      </c>
      <c r="O137" s="10">
        <v>3357</v>
      </c>
      <c r="P137" s="10">
        <v>4110</v>
      </c>
      <c r="Q137" s="10">
        <v>4369</v>
      </c>
      <c r="R137" s="10">
        <v>2801</v>
      </c>
      <c r="S137" s="10">
        <v>2448</v>
      </c>
      <c r="T137" s="10"/>
      <c r="U137" s="10"/>
      <c r="V137" s="10"/>
      <c r="W137" s="10"/>
      <c r="X137" s="10"/>
      <c r="Y137" s="10"/>
      <c r="Z137" s="10"/>
      <c r="AA137" s="26"/>
      <c r="AB137" s="2"/>
      <c r="AC137" s="2"/>
      <c r="AD137" s="2"/>
      <c r="AE137" s="26"/>
      <c r="AF137" s="2"/>
      <c r="AG137" s="2"/>
      <c r="AH137" s="2"/>
    </row>
    <row r="138" spans="1:34" x14ac:dyDescent="0.55000000000000004">
      <c r="A138" s="19" t="s">
        <v>148</v>
      </c>
      <c r="B138" s="20">
        <v>1954920</v>
      </c>
      <c r="C138" s="20">
        <v>92266</v>
      </c>
      <c r="D138" s="20">
        <v>66132</v>
      </c>
      <c r="E138" s="20">
        <v>96679</v>
      </c>
      <c r="F138" s="20">
        <v>5454</v>
      </c>
      <c r="G138" s="20">
        <v>4914</v>
      </c>
      <c r="H138" s="20">
        <v>1888401</v>
      </c>
      <c r="I138" s="20">
        <v>92410</v>
      </c>
      <c r="J138" s="20">
        <v>62602</v>
      </c>
      <c r="K138" s="24"/>
      <c r="L138" s="20">
        <v>221060</v>
      </c>
      <c r="M138" s="20">
        <v>122077</v>
      </c>
      <c r="N138" s="20">
        <v>150607</v>
      </c>
      <c r="O138" s="20">
        <v>138252</v>
      </c>
      <c r="P138" s="20">
        <v>188278</v>
      </c>
      <c r="Q138" s="20">
        <v>167777</v>
      </c>
      <c r="R138" s="20">
        <v>125253</v>
      </c>
      <c r="S138" s="20">
        <v>159884</v>
      </c>
      <c r="T138" s="20">
        <v>147938</v>
      </c>
      <c r="U138" s="20">
        <v>173487</v>
      </c>
      <c r="V138" s="20">
        <v>187113</v>
      </c>
      <c r="W138" s="20">
        <v>168976</v>
      </c>
      <c r="X138" s="20"/>
      <c r="Y138" s="20"/>
      <c r="Z138" s="20"/>
      <c r="AA138" s="26"/>
      <c r="AB138" s="13">
        <f>SUM(L138:Z138)</f>
        <v>1950702</v>
      </c>
      <c r="AC138" s="13">
        <f>SUM(L139:Z139)</f>
        <v>87635</v>
      </c>
      <c r="AD138" s="13">
        <f>SUM(L140:Z140)</f>
        <v>70719</v>
      </c>
      <c r="AE138" s="26"/>
      <c r="AF138" s="13">
        <f>AB138-B138</f>
        <v>-4218</v>
      </c>
      <c r="AG138" s="13">
        <f>AC138-C138</f>
        <v>-4631</v>
      </c>
      <c r="AH138" s="13">
        <f>AD138-D138</f>
        <v>4587</v>
      </c>
    </row>
    <row r="139" spans="1:34" x14ac:dyDescent="0.55000000000000004">
      <c r="A139" s="12" t="s">
        <v>149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24"/>
      <c r="L139" s="10">
        <v>10336</v>
      </c>
      <c r="M139" s="10">
        <v>5385</v>
      </c>
      <c r="N139" s="10">
        <v>8056</v>
      </c>
      <c r="O139" s="10">
        <v>5764</v>
      </c>
      <c r="P139" s="10">
        <v>8455</v>
      </c>
      <c r="Q139" s="10">
        <v>7897</v>
      </c>
      <c r="R139" s="10">
        <v>5453</v>
      </c>
      <c r="S139" s="10">
        <v>8872</v>
      </c>
      <c r="T139" s="10">
        <v>7646</v>
      </c>
      <c r="U139" s="10">
        <v>8193</v>
      </c>
      <c r="V139" s="10">
        <v>9054</v>
      </c>
      <c r="W139" s="10">
        <v>2524</v>
      </c>
      <c r="X139" s="10"/>
      <c r="Y139" s="10"/>
      <c r="Z139" s="10"/>
      <c r="AA139" s="26"/>
      <c r="AB139" s="2"/>
      <c r="AC139" s="2"/>
      <c r="AD139" s="2"/>
      <c r="AE139" s="26"/>
      <c r="AF139" s="2"/>
      <c r="AG139" s="2"/>
      <c r="AH139" s="2"/>
    </row>
    <row r="140" spans="1:34" x14ac:dyDescent="0.55000000000000004">
      <c r="A140" s="12" t="s">
        <v>150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24"/>
      <c r="L140" s="10">
        <v>7367</v>
      </c>
      <c r="M140" s="10">
        <v>4912</v>
      </c>
      <c r="N140" s="10">
        <v>5306</v>
      </c>
      <c r="O140" s="10">
        <v>4060</v>
      </c>
      <c r="P140" s="10">
        <v>6011</v>
      </c>
      <c r="Q140" s="10">
        <v>6533</v>
      </c>
      <c r="R140" s="10">
        <v>4269</v>
      </c>
      <c r="S140" s="10">
        <v>7522</v>
      </c>
      <c r="T140" s="10">
        <v>7389</v>
      </c>
      <c r="U140" s="10">
        <v>7099</v>
      </c>
      <c r="V140" s="10">
        <v>8565</v>
      </c>
      <c r="W140" s="10">
        <v>1686</v>
      </c>
      <c r="X140" s="10"/>
      <c r="Y140" s="10"/>
      <c r="Z140" s="10"/>
      <c r="AA140" s="26"/>
      <c r="AB140" s="2"/>
      <c r="AC140" s="2"/>
      <c r="AD140" s="2"/>
      <c r="AE140" s="26"/>
      <c r="AF140" s="2"/>
      <c r="AG140" s="2"/>
      <c r="AH140" s="2"/>
    </row>
    <row r="141" spans="1:34" x14ac:dyDescent="0.55000000000000004">
      <c r="A141" s="19" t="s">
        <v>151</v>
      </c>
      <c r="B141" s="20">
        <v>2700494</v>
      </c>
      <c r="C141" s="20">
        <v>149458</v>
      </c>
      <c r="D141" s="20">
        <v>106837</v>
      </c>
      <c r="E141" s="20">
        <v>172679</v>
      </c>
      <c r="F141" s="20">
        <v>7800</v>
      </c>
      <c r="G141" s="20">
        <v>7114</v>
      </c>
      <c r="H141" s="20">
        <v>2590156</v>
      </c>
      <c r="I141" s="20">
        <v>150713</v>
      </c>
      <c r="J141" s="20">
        <v>102581</v>
      </c>
      <c r="K141" s="24"/>
      <c r="L141" s="20">
        <v>351951</v>
      </c>
      <c r="M141" s="20">
        <v>295652</v>
      </c>
      <c r="N141" s="20">
        <v>392358</v>
      </c>
      <c r="O141" s="20">
        <v>456837</v>
      </c>
      <c r="P141" s="20">
        <v>516262</v>
      </c>
      <c r="Q141" s="20">
        <v>406350</v>
      </c>
      <c r="R141" s="20">
        <v>281084</v>
      </c>
      <c r="S141" s="20"/>
      <c r="T141" s="20"/>
      <c r="U141" s="20"/>
      <c r="V141" s="20"/>
      <c r="W141" s="20"/>
      <c r="X141" s="20"/>
      <c r="Y141" s="20"/>
      <c r="Z141" s="20"/>
      <c r="AA141" s="26"/>
      <c r="AB141" s="13">
        <f>SUM(L141:Z141)</f>
        <v>2700494</v>
      </c>
      <c r="AC141" s="13">
        <f>SUM(L142:Z142)</f>
        <v>149458</v>
      </c>
      <c r="AD141" s="13">
        <f>SUM(L143:Z143)</f>
        <v>106838</v>
      </c>
      <c r="AE141" s="26"/>
      <c r="AF141" s="13">
        <f>AB141-B141</f>
        <v>0</v>
      </c>
      <c r="AG141" s="13">
        <f>AC141-C141</f>
        <v>0</v>
      </c>
      <c r="AH141" s="13">
        <f>AD141-D141</f>
        <v>1</v>
      </c>
    </row>
    <row r="142" spans="1:34" x14ac:dyDescent="0.55000000000000004">
      <c r="A142" s="12" t="s">
        <v>152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24"/>
      <c r="L142" s="10">
        <v>18674</v>
      </c>
      <c r="M142" s="10">
        <v>14741</v>
      </c>
      <c r="N142" s="10">
        <v>22351</v>
      </c>
      <c r="O142" s="10">
        <v>28867</v>
      </c>
      <c r="P142" s="10">
        <v>28374</v>
      </c>
      <c r="Q142" s="10">
        <v>20014</v>
      </c>
      <c r="R142" s="10">
        <v>16437</v>
      </c>
      <c r="S142" s="10"/>
      <c r="T142" s="10"/>
      <c r="U142" s="10"/>
      <c r="V142" s="10"/>
      <c r="W142" s="10"/>
      <c r="X142" s="10"/>
      <c r="Y142" s="10"/>
      <c r="Z142" s="10"/>
      <c r="AA142" s="26"/>
      <c r="AB142" s="2"/>
      <c r="AC142" s="2"/>
      <c r="AD142" s="2"/>
      <c r="AE142" s="26"/>
      <c r="AF142" s="2"/>
      <c r="AG142" s="2"/>
      <c r="AH142" s="2"/>
    </row>
    <row r="143" spans="1:34" x14ac:dyDescent="0.55000000000000004">
      <c r="A143" s="12" t="s">
        <v>153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24"/>
      <c r="L143" s="10">
        <v>14073</v>
      </c>
      <c r="M143" s="10">
        <v>10056</v>
      </c>
      <c r="N143" s="10">
        <v>13243</v>
      </c>
      <c r="O143" s="10">
        <v>20449</v>
      </c>
      <c r="P143" s="10">
        <v>20148</v>
      </c>
      <c r="Q143" s="10">
        <v>16551</v>
      </c>
      <c r="R143" s="10">
        <v>12318</v>
      </c>
      <c r="S143" s="10"/>
      <c r="T143" s="10"/>
      <c r="U143" s="10"/>
      <c r="V143" s="10"/>
      <c r="W143" s="10"/>
      <c r="X143" s="10"/>
      <c r="Y143" s="10"/>
      <c r="Z143" s="10"/>
      <c r="AA143" s="26"/>
      <c r="AB143" s="2"/>
      <c r="AC143" s="2"/>
      <c r="AD143" s="2"/>
      <c r="AE143" s="26"/>
      <c r="AF143" s="2"/>
      <c r="AG143" s="2"/>
      <c r="AH143" s="2"/>
    </row>
    <row r="144" spans="1:34" x14ac:dyDescent="0.55000000000000004">
      <c r="A144" s="22" t="s">
        <v>154</v>
      </c>
      <c r="B144" s="21">
        <v>839339</v>
      </c>
      <c r="C144" s="21">
        <v>31355</v>
      </c>
      <c r="D144" s="21">
        <v>27915</v>
      </c>
      <c r="E144" s="21"/>
      <c r="F144" s="21"/>
      <c r="G144" s="21"/>
      <c r="H144" s="21">
        <v>788505</v>
      </c>
      <c r="I144" s="21">
        <v>33072</v>
      </c>
      <c r="J144" s="21">
        <v>28401</v>
      </c>
      <c r="K144" s="25"/>
      <c r="L144" s="21"/>
      <c r="M144" s="21"/>
      <c r="N144" s="21"/>
      <c r="O144" s="21"/>
      <c r="P144" s="21"/>
      <c r="Q144" s="21"/>
      <c r="R144" s="21"/>
      <c r="S144" s="20"/>
      <c r="T144" s="20"/>
      <c r="U144" s="20"/>
      <c r="V144" s="20"/>
      <c r="W144" s="20"/>
      <c r="X144" s="20"/>
      <c r="Y144" s="20"/>
      <c r="Z144" s="20"/>
      <c r="AA144" s="26"/>
      <c r="AB144" s="13"/>
      <c r="AC144" s="13"/>
      <c r="AD144" s="13"/>
      <c r="AE144" s="26"/>
      <c r="AF144" s="13"/>
      <c r="AG144" s="13"/>
      <c r="AH144" s="13"/>
    </row>
    <row r="145" spans="1:34" x14ac:dyDescent="0.55000000000000004">
      <c r="A145" s="22" t="s">
        <v>155</v>
      </c>
      <c r="B145" s="21">
        <v>1035439</v>
      </c>
      <c r="C145" s="21">
        <v>31223</v>
      </c>
      <c r="D145" s="21">
        <v>27592</v>
      </c>
      <c r="E145" s="21"/>
      <c r="F145" s="21"/>
      <c r="G145" s="21"/>
      <c r="H145" s="21">
        <v>942007</v>
      </c>
      <c r="I145" s="21">
        <v>28762</v>
      </c>
      <c r="J145" s="21">
        <v>26234</v>
      </c>
      <c r="K145" s="25"/>
      <c r="L145" s="21"/>
      <c r="M145" s="21"/>
      <c r="N145" s="21"/>
      <c r="O145" s="21"/>
      <c r="P145" s="21"/>
      <c r="Q145" s="21"/>
      <c r="R145" s="21"/>
      <c r="S145" s="20"/>
      <c r="T145" s="20"/>
      <c r="U145" s="20"/>
      <c r="V145" s="20"/>
      <c r="W145" s="20"/>
      <c r="X145" s="20"/>
      <c r="Y145" s="20"/>
      <c r="Z145" s="20"/>
      <c r="AA145" s="26"/>
      <c r="AB145" s="13"/>
      <c r="AC145" s="13"/>
      <c r="AD145" s="13"/>
      <c r="AE145" s="26"/>
      <c r="AF145" s="13"/>
      <c r="AG145" s="13"/>
      <c r="AH145" s="13"/>
    </row>
    <row r="146" spans="1:34" x14ac:dyDescent="0.55000000000000004">
      <c r="A146" s="19" t="s">
        <v>156</v>
      </c>
      <c r="B146" s="20">
        <v>841317</v>
      </c>
      <c r="C146" s="20">
        <v>30156</v>
      </c>
      <c r="D146" s="20">
        <v>23152</v>
      </c>
      <c r="E146" s="20" t="s">
        <v>16</v>
      </c>
      <c r="F146" s="20" t="s">
        <v>16</v>
      </c>
      <c r="G146" s="20" t="s">
        <v>16</v>
      </c>
      <c r="H146" s="20">
        <v>826659</v>
      </c>
      <c r="I146" s="20">
        <v>30781</v>
      </c>
      <c r="J146" s="20">
        <v>25550</v>
      </c>
      <c r="K146" s="24"/>
      <c r="L146" s="20">
        <v>130758</v>
      </c>
      <c r="M146" s="20">
        <v>136695</v>
      </c>
      <c r="N146" s="20">
        <v>112386</v>
      </c>
      <c r="O146" s="20">
        <v>89066</v>
      </c>
      <c r="P146" s="20">
        <v>60302</v>
      </c>
      <c r="Q146" s="20">
        <v>87656</v>
      </c>
      <c r="R146" s="20">
        <v>46069</v>
      </c>
      <c r="S146" s="20">
        <v>92575</v>
      </c>
      <c r="T146" s="20"/>
      <c r="U146" s="20"/>
      <c r="V146" s="20"/>
      <c r="W146" s="20"/>
      <c r="X146" s="20"/>
      <c r="Y146" s="20"/>
      <c r="Z146" s="20"/>
      <c r="AA146" s="26"/>
      <c r="AB146" s="13">
        <f>SUM(L146:Z146)</f>
        <v>755507</v>
      </c>
      <c r="AC146" s="13">
        <f>SUM(L147:Z147)</f>
        <v>30146</v>
      </c>
      <c r="AD146" s="13">
        <f>SUM(L148:Z148)</f>
        <v>23152</v>
      </c>
      <c r="AE146" s="26"/>
      <c r="AF146" s="13">
        <f>AB146-B146</f>
        <v>-85810</v>
      </c>
      <c r="AG146" s="13">
        <f>AC146-C146</f>
        <v>-10</v>
      </c>
      <c r="AH146" s="13">
        <f>AD146-D146</f>
        <v>0</v>
      </c>
    </row>
    <row r="147" spans="1:34" x14ac:dyDescent="0.55000000000000004">
      <c r="A147" s="12" t="s">
        <v>157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24"/>
      <c r="L147" s="10">
        <v>4299</v>
      </c>
      <c r="M147" s="10">
        <v>5667</v>
      </c>
      <c r="N147" s="10">
        <v>4939</v>
      </c>
      <c r="O147" s="10">
        <v>3640</v>
      </c>
      <c r="P147" s="10">
        <v>2816</v>
      </c>
      <c r="Q147" s="10">
        <v>3613</v>
      </c>
      <c r="R147" s="10">
        <v>2126</v>
      </c>
      <c r="S147" s="10">
        <v>3046</v>
      </c>
      <c r="T147" s="10"/>
      <c r="U147" s="10"/>
      <c r="V147" s="10"/>
      <c r="W147" s="10"/>
      <c r="X147" s="10"/>
      <c r="Y147" s="10"/>
      <c r="Z147" s="10"/>
      <c r="AA147" s="26"/>
      <c r="AB147" s="2"/>
      <c r="AC147" s="2"/>
      <c r="AD147" s="2"/>
      <c r="AE147" s="26"/>
      <c r="AF147" s="2"/>
      <c r="AG147" s="2"/>
      <c r="AH147" s="2"/>
    </row>
    <row r="148" spans="1:34" x14ac:dyDescent="0.55000000000000004">
      <c r="A148" s="12" t="s">
        <v>158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24"/>
      <c r="L148" s="10">
        <v>3412</v>
      </c>
      <c r="M148" s="10">
        <v>3385</v>
      </c>
      <c r="N148" s="10">
        <v>3959</v>
      </c>
      <c r="O148" s="10">
        <v>2753</v>
      </c>
      <c r="P148" s="10">
        <v>2261</v>
      </c>
      <c r="Q148" s="10">
        <v>2823</v>
      </c>
      <c r="R148" s="10">
        <v>1879</v>
      </c>
      <c r="S148" s="10">
        <v>2680</v>
      </c>
      <c r="T148" s="10"/>
      <c r="U148" s="10"/>
      <c r="V148" s="10"/>
      <c r="W148" s="10"/>
      <c r="X148" s="10"/>
      <c r="Y148" s="10"/>
      <c r="Z148" s="10"/>
      <c r="AA148" s="26"/>
      <c r="AB148" s="2"/>
      <c r="AC148" s="2"/>
      <c r="AD148" s="2"/>
      <c r="AE148" s="26"/>
      <c r="AF148" s="2"/>
      <c r="AG148" s="2"/>
      <c r="AH148" s="2"/>
    </row>
    <row r="149" spans="1:34" x14ac:dyDescent="0.55000000000000004">
      <c r="A149" s="19" t="s">
        <v>159</v>
      </c>
      <c r="B149" s="20">
        <v>2438571</v>
      </c>
      <c r="C149" s="20">
        <v>126373</v>
      </c>
      <c r="D149" s="20">
        <v>104926</v>
      </c>
      <c r="E149" s="20">
        <v>304160</v>
      </c>
      <c r="F149" s="20">
        <v>12657</v>
      </c>
      <c r="G149" s="20">
        <v>14412</v>
      </c>
      <c r="H149" s="20">
        <v>2376451</v>
      </c>
      <c r="I149" s="20">
        <v>124872</v>
      </c>
      <c r="J149" s="20">
        <v>86961</v>
      </c>
      <c r="K149" s="24"/>
      <c r="L149" s="20">
        <v>315403</v>
      </c>
      <c r="M149" s="20">
        <v>288153</v>
      </c>
      <c r="N149" s="20">
        <v>290326</v>
      </c>
      <c r="O149" s="20">
        <v>202760</v>
      </c>
      <c r="P149" s="20">
        <v>350156</v>
      </c>
      <c r="Q149" s="20">
        <v>197615</v>
      </c>
      <c r="R149" s="20">
        <v>222870</v>
      </c>
      <c r="S149" s="20">
        <v>217588</v>
      </c>
      <c r="T149" s="20">
        <v>214957</v>
      </c>
      <c r="U149" s="20">
        <v>123557</v>
      </c>
      <c r="V149" s="20"/>
      <c r="W149" s="20"/>
      <c r="X149" s="20"/>
      <c r="Y149" s="20"/>
      <c r="Z149" s="20"/>
      <c r="AA149" s="26"/>
      <c r="AB149" s="13">
        <f>SUM(L149:Z149)</f>
        <v>2423385</v>
      </c>
      <c r="AC149" s="13">
        <f>SUM(L150:Z150)</f>
        <v>125671</v>
      </c>
      <c r="AD149" s="13">
        <f>SUM(L151:Z151)</f>
        <v>91273</v>
      </c>
      <c r="AE149" s="26"/>
      <c r="AF149" s="13">
        <f>AB149-B149</f>
        <v>-15186</v>
      </c>
      <c r="AG149" s="13">
        <f>AC149-C149</f>
        <v>-702</v>
      </c>
      <c r="AH149" s="13">
        <f>AD149-D149</f>
        <v>-13653</v>
      </c>
    </row>
    <row r="150" spans="1:34" x14ac:dyDescent="0.55000000000000004">
      <c r="A150" s="12" t="s">
        <v>160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24"/>
      <c r="L150" s="10">
        <v>15822</v>
      </c>
      <c r="M150" s="10">
        <v>16356</v>
      </c>
      <c r="N150" s="10">
        <v>16382</v>
      </c>
      <c r="O150" s="10">
        <v>9519</v>
      </c>
      <c r="P150" s="10">
        <v>16751</v>
      </c>
      <c r="Q150" s="10">
        <v>9064</v>
      </c>
      <c r="R150" s="10">
        <v>12316</v>
      </c>
      <c r="S150" s="10">
        <v>12969</v>
      </c>
      <c r="T150" s="10">
        <v>9261</v>
      </c>
      <c r="U150" s="10">
        <v>7231</v>
      </c>
      <c r="V150" s="10"/>
      <c r="W150" s="10"/>
      <c r="X150" s="10"/>
      <c r="Y150" s="10"/>
      <c r="Z150" s="10"/>
      <c r="AA150" s="26"/>
      <c r="AB150" s="2"/>
      <c r="AC150" s="2"/>
      <c r="AD150" s="2"/>
      <c r="AE150" s="26"/>
      <c r="AF150" s="2"/>
      <c r="AG150" s="2"/>
      <c r="AH150" s="2"/>
    </row>
    <row r="151" spans="1:34" x14ac:dyDescent="0.55000000000000004">
      <c r="A151" s="12" t="s">
        <v>161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24"/>
      <c r="L151" s="10">
        <v>13905</v>
      </c>
      <c r="M151" s="10">
        <v>1647</v>
      </c>
      <c r="N151" s="10">
        <v>13571</v>
      </c>
      <c r="O151" s="10">
        <v>7315</v>
      </c>
      <c r="P151" s="10">
        <v>12425</v>
      </c>
      <c r="Q151" s="10">
        <v>7262</v>
      </c>
      <c r="R151" s="10">
        <v>10914</v>
      </c>
      <c r="S151" s="10">
        <v>11757</v>
      </c>
      <c r="T151" s="10">
        <v>6898</v>
      </c>
      <c r="U151" s="10">
        <v>5579</v>
      </c>
      <c r="V151" s="10"/>
      <c r="W151" s="10"/>
      <c r="X151" s="10"/>
      <c r="Y151" s="10"/>
      <c r="Z151" s="10"/>
      <c r="AA151" s="26"/>
      <c r="AB151" s="2"/>
      <c r="AC151" s="2"/>
      <c r="AD151" s="2"/>
      <c r="AE151" s="26"/>
      <c r="AF151" s="2"/>
      <c r="AG151" s="2"/>
      <c r="AH151" s="2"/>
    </row>
    <row r="152" spans="1:34" x14ac:dyDescent="0.55000000000000004">
      <c r="A152" s="19" t="s">
        <v>162</v>
      </c>
      <c r="B152" s="20">
        <v>1651736</v>
      </c>
      <c r="C152" s="20">
        <v>76289</v>
      </c>
      <c r="D152" s="20">
        <v>62764</v>
      </c>
      <c r="E152" s="20" t="s">
        <v>16</v>
      </c>
      <c r="F152" s="20" t="s">
        <v>16</v>
      </c>
      <c r="G152" s="20" t="s">
        <v>16</v>
      </c>
      <c r="H152" s="20">
        <v>1612375</v>
      </c>
      <c r="I152" s="20">
        <v>78770</v>
      </c>
      <c r="J152" s="20">
        <v>56268</v>
      </c>
      <c r="K152" s="24"/>
      <c r="L152" s="20">
        <v>223550</v>
      </c>
      <c r="M152" s="20">
        <v>165701</v>
      </c>
      <c r="N152" s="20">
        <v>196664</v>
      </c>
      <c r="O152" s="20">
        <v>184417</v>
      </c>
      <c r="P152" s="20">
        <v>219339</v>
      </c>
      <c r="Q152" s="20">
        <v>157234</v>
      </c>
      <c r="R152" s="20">
        <v>154264</v>
      </c>
      <c r="S152" s="20">
        <v>228580</v>
      </c>
      <c r="T152" s="20"/>
      <c r="U152" s="20"/>
      <c r="V152" s="20"/>
      <c r="W152" s="20"/>
      <c r="X152" s="20"/>
      <c r="Y152" s="20"/>
      <c r="Z152" s="20"/>
      <c r="AA152" s="26"/>
      <c r="AB152" s="13">
        <f>SUM(L152:Z152)</f>
        <v>1529749</v>
      </c>
      <c r="AC152" s="13">
        <f>SUM(L153:Z153)</f>
        <v>76289</v>
      </c>
      <c r="AD152" s="13">
        <f>SUM(L154:Z154)</f>
        <v>62784</v>
      </c>
      <c r="AE152" s="26"/>
      <c r="AF152" s="13">
        <f>AB152-B152</f>
        <v>-121987</v>
      </c>
      <c r="AG152" s="13">
        <f>AC152-C152</f>
        <v>0</v>
      </c>
      <c r="AH152" s="13">
        <f>AD152-D152</f>
        <v>20</v>
      </c>
    </row>
    <row r="153" spans="1:34" x14ac:dyDescent="0.55000000000000004">
      <c r="A153" s="12" t="s">
        <v>163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24"/>
      <c r="L153" s="10">
        <v>11416</v>
      </c>
      <c r="M153" s="10">
        <v>7171</v>
      </c>
      <c r="N153" s="10">
        <v>9134</v>
      </c>
      <c r="O153" s="10">
        <v>8634</v>
      </c>
      <c r="P153" s="10">
        <v>10999</v>
      </c>
      <c r="Q153" s="10">
        <v>7420</v>
      </c>
      <c r="R153" s="10">
        <v>8590</v>
      </c>
      <c r="S153" s="10">
        <v>12925</v>
      </c>
      <c r="T153" s="10"/>
      <c r="U153" s="10"/>
      <c r="V153" s="10"/>
      <c r="W153" s="10"/>
      <c r="X153" s="10"/>
      <c r="Y153" s="10"/>
      <c r="Z153" s="10"/>
      <c r="AA153" s="26"/>
      <c r="AB153" s="2"/>
      <c r="AC153" s="2"/>
      <c r="AD153" s="2"/>
      <c r="AE153" s="26"/>
      <c r="AF153" s="2"/>
      <c r="AG153" s="2"/>
      <c r="AH153" s="2"/>
    </row>
    <row r="154" spans="1:34" x14ac:dyDescent="0.55000000000000004">
      <c r="A154" s="12" t="s">
        <v>164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24"/>
      <c r="L154" s="10">
        <v>9765</v>
      </c>
      <c r="M154" s="10">
        <v>6282</v>
      </c>
      <c r="N154" s="10">
        <v>9405</v>
      </c>
      <c r="O154" s="10">
        <v>6211</v>
      </c>
      <c r="P154" s="10">
        <v>9219</v>
      </c>
      <c r="Q154" s="10">
        <v>5355</v>
      </c>
      <c r="R154" s="10">
        <v>6848</v>
      </c>
      <c r="S154" s="10">
        <v>9699</v>
      </c>
      <c r="T154" s="10"/>
      <c r="U154" s="10"/>
      <c r="V154" s="10"/>
      <c r="W154" s="10"/>
      <c r="X154" s="10"/>
      <c r="Y154" s="10"/>
      <c r="Z154" s="10"/>
      <c r="AA154" s="26"/>
      <c r="AB154" s="2"/>
      <c r="AC154" s="2"/>
      <c r="AD154" s="2"/>
      <c r="AE154" s="26"/>
      <c r="AF154" s="2"/>
      <c r="AG154" s="2"/>
      <c r="AH154" s="2"/>
    </row>
    <row r="155" spans="1:34" x14ac:dyDescent="0.55000000000000004">
      <c r="A155" s="19" t="s">
        <v>165</v>
      </c>
      <c r="B155" s="20">
        <v>1454787</v>
      </c>
      <c r="C155" s="20">
        <v>79589</v>
      </c>
      <c r="D155" s="20">
        <v>57173</v>
      </c>
      <c r="E155" s="20">
        <v>119553</v>
      </c>
      <c r="F155" s="20">
        <v>3452</v>
      </c>
      <c r="G155" s="20">
        <v>2588</v>
      </c>
      <c r="H155" s="20">
        <v>1382550</v>
      </c>
      <c r="I155" s="20">
        <v>71836</v>
      </c>
      <c r="J155" s="20">
        <v>53594</v>
      </c>
      <c r="K155" s="24"/>
      <c r="L155" s="20">
        <v>124646</v>
      </c>
      <c r="M155" s="20">
        <v>122114</v>
      </c>
      <c r="N155" s="20">
        <v>100787</v>
      </c>
      <c r="O155" s="20">
        <v>138523</v>
      </c>
      <c r="P155" s="20">
        <v>101017</v>
      </c>
      <c r="Q155" s="20">
        <v>100298</v>
      </c>
      <c r="R155" s="20">
        <v>122024</v>
      </c>
      <c r="S155" s="20">
        <v>95896</v>
      </c>
      <c r="T155" s="20">
        <v>111095</v>
      </c>
      <c r="U155" s="20">
        <v>166718</v>
      </c>
      <c r="V155" s="20">
        <v>113162</v>
      </c>
      <c r="W155" s="20">
        <v>115885</v>
      </c>
      <c r="X155" s="20"/>
      <c r="Y155" s="20"/>
      <c r="Z155" s="20"/>
      <c r="AA155" s="26"/>
      <c r="AB155" s="13">
        <f>SUM(L155:Z155)</f>
        <v>1412165</v>
      </c>
      <c r="AC155" s="13">
        <f>SUM(L156:Z156)</f>
        <v>79589</v>
      </c>
      <c r="AD155" s="13">
        <f>SUM(L157:Z157)</f>
        <v>57173</v>
      </c>
      <c r="AE155" s="26"/>
      <c r="AF155" s="13">
        <f>AB155-B155</f>
        <v>-42622</v>
      </c>
      <c r="AG155" s="13">
        <f>AC155-C155</f>
        <v>0</v>
      </c>
      <c r="AH155" s="13">
        <f>AD155-D155</f>
        <v>0</v>
      </c>
    </row>
    <row r="156" spans="1:34" x14ac:dyDescent="0.55000000000000004">
      <c r="A156" s="12" t="s">
        <v>166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24"/>
      <c r="L156" s="10">
        <v>6386</v>
      </c>
      <c r="M156" s="10">
        <v>8657</v>
      </c>
      <c r="N156" s="10">
        <v>5624</v>
      </c>
      <c r="O156" s="10">
        <v>5104</v>
      </c>
      <c r="P156" s="10">
        <v>5915</v>
      </c>
      <c r="Q156" s="10">
        <v>6864</v>
      </c>
      <c r="R156" s="10">
        <v>7731</v>
      </c>
      <c r="S156" s="10">
        <v>5075</v>
      </c>
      <c r="T156" s="10">
        <v>6855</v>
      </c>
      <c r="U156" s="10">
        <v>9609</v>
      </c>
      <c r="V156" s="10">
        <v>5092</v>
      </c>
      <c r="W156" s="10">
        <v>6677</v>
      </c>
      <c r="X156" s="10"/>
      <c r="Y156" s="10"/>
      <c r="Z156" s="10"/>
      <c r="AA156" s="26"/>
      <c r="AB156" s="2"/>
      <c r="AC156" s="2"/>
      <c r="AD156" s="2"/>
      <c r="AE156" s="26"/>
      <c r="AF156" s="2"/>
      <c r="AG156" s="2"/>
      <c r="AH156" s="2"/>
    </row>
    <row r="157" spans="1:34" x14ac:dyDescent="0.55000000000000004">
      <c r="A157" s="12" t="s">
        <v>167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24"/>
      <c r="L157" s="10">
        <v>4660</v>
      </c>
      <c r="M157" s="10">
        <v>6208</v>
      </c>
      <c r="N157" s="10">
        <v>3844</v>
      </c>
      <c r="O157" s="10">
        <v>4595</v>
      </c>
      <c r="P157" s="10">
        <v>4275</v>
      </c>
      <c r="Q157" s="10">
        <v>5198</v>
      </c>
      <c r="R157" s="10">
        <v>5918</v>
      </c>
      <c r="S157" s="10">
        <v>3344</v>
      </c>
      <c r="T157" s="10">
        <v>4473</v>
      </c>
      <c r="U157" s="10">
        <v>6158</v>
      </c>
      <c r="V157" s="10">
        <v>3450</v>
      </c>
      <c r="W157" s="10">
        <v>5050</v>
      </c>
      <c r="X157" s="10"/>
      <c r="Y157" s="10"/>
      <c r="Z157" s="10"/>
      <c r="AA157" s="26"/>
      <c r="AB157" s="2"/>
      <c r="AC157" s="2"/>
      <c r="AD157" s="2"/>
      <c r="AE157" s="26"/>
      <c r="AF157" s="2"/>
      <c r="AG157" s="2"/>
      <c r="AH157" s="2"/>
    </row>
    <row r="158" spans="1:34" x14ac:dyDescent="0.55000000000000004">
      <c r="A158" s="19" t="s">
        <v>168</v>
      </c>
      <c r="B158" s="20">
        <v>1181169</v>
      </c>
      <c r="C158" s="20">
        <v>57887</v>
      </c>
      <c r="D158" s="20">
        <v>35405</v>
      </c>
      <c r="E158" s="20">
        <v>207934</v>
      </c>
      <c r="F158" s="20">
        <v>9882</v>
      </c>
      <c r="G158" s="20">
        <v>6891</v>
      </c>
      <c r="H158" s="20">
        <v>1105665</v>
      </c>
      <c r="I158" s="20">
        <v>56095</v>
      </c>
      <c r="J158" s="20">
        <v>34141</v>
      </c>
      <c r="K158" s="24"/>
      <c r="L158" s="20">
        <v>110934</v>
      </c>
      <c r="M158" s="20">
        <v>294690</v>
      </c>
      <c r="N158" s="20">
        <v>187087</v>
      </c>
      <c r="O158" s="20">
        <v>47682</v>
      </c>
      <c r="P158" s="20">
        <v>328475</v>
      </c>
      <c r="Q158" s="20">
        <v>37602</v>
      </c>
      <c r="R158" s="20">
        <v>82831</v>
      </c>
      <c r="S158" s="20">
        <v>47178</v>
      </c>
      <c r="T158" s="20"/>
      <c r="U158" s="20"/>
      <c r="V158" s="20"/>
      <c r="W158" s="20"/>
      <c r="X158" s="20"/>
      <c r="Y158" s="20"/>
      <c r="Z158" s="20"/>
      <c r="AA158" s="26"/>
      <c r="AB158" s="13">
        <f>SUM(L158:Z158)</f>
        <v>1136479</v>
      </c>
      <c r="AC158" s="13">
        <f>SUM(L159:Z159)</f>
        <v>60920</v>
      </c>
      <c r="AD158" s="13">
        <f>SUM(L160:Z160)</f>
        <v>34186</v>
      </c>
      <c r="AE158" s="26"/>
      <c r="AF158" s="13">
        <f>AB158-B158</f>
        <v>-44690</v>
      </c>
      <c r="AG158" s="13">
        <f>AC158-C158</f>
        <v>3033</v>
      </c>
      <c r="AH158" s="13">
        <f>AD158-D158</f>
        <v>-1219</v>
      </c>
    </row>
    <row r="159" spans="1:34" x14ac:dyDescent="0.55000000000000004">
      <c r="A159" s="12" t="s">
        <v>169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24"/>
      <c r="L159" s="10">
        <v>5649</v>
      </c>
      <c r="M159" s="10">
        <v>14886</v>
      </c>
      <c r="N159" s="10">
        <v>9061</v>
      </c>
      <c r="O159" s="10">
        <v>2336</v>
      </c>
      <c r="P159" s="10">
        <v>17589</v>
      </c>
      <c r="Q159" s="10">
        <v>823</v>
      </c>
      <c r="R159" s="10">
        <v>8376</v>
      </c>
      <c r="S159" s="10">
        <v>2200</v>
      </c>
      <c r="T159" s="10"/>
      <c r="U159" s="10"/>
      <c r="V159" s="10"/>
      <c r="W159" s="10"/>
      <c r="X159" s="10"/>
      <c r="Y159" s="10"/>
      <c r="Z159" s="10"/>
      <c r="AA159" s="26"/>
      <c r="AB159" s="2"/>
      <c r="AC159" s="2"/>
      <c r="AD159" s="2"/>
      <c r="AE159" s="26"/>
      <c r="AF159" s="2"/>
      <c r="AG159" s="2"/>
      <c r="AH159" s="2"/>
    </row>
    <row r="160" spans="1:34" x14ac:dyDescent="0.55000000000000004">
      <c r="A160" s="12" t="s">
        <v>170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24"/>
      <c r="L160" s="10">
        <v>4559</v>
      </c>
      <c r="M160" s="10">
        <v>8253</v>
      </c>
      <c r="N160" s="10">
        <v>5264</v>
      </c>
      <c r="O160" s="10">
        <v>1261</v>
      </c>
      <c r="P160" s="10">
        <v>10613</v>
      </c>
      <c r="Q160" s="10">
        <v>425</v>
      </c>
      <c r="R160" s="10">
        <v>2356</v>
      </c>
      <c r="S160" s="10">
        <v>1455</v>
      </c>
      <c r="T160" s="10"/>
      <c r="U160" s="10"/>
      <c r="V160" s="10"/>
      <c r="W160" s="10"/>
      <c r="X160" s="10"/>
      <c r="Y160" s="10"/>
      <c r="Z160" s="10"/>
      <c r="AA160" s="26"/>
      <c r="AB160" s="2"/>
      <c r="AC160" s="2"/>
      <c r="AD160" s="2"/>
      <c r="AE160" s="26"/>
      <c r="AF160" s="2"/>
      <c r="AG160" s="2"/>
      <c r="AH160" s="2"/>
    </row>
    <row r="161" spans="1:34" x14ac:dyDescent="0.55000000000000004">
      <c r="A161" s="19" t="s">
        <v>171</v>
      </c>
      <c r="B161" s="21">
        <v>2907014</v>
      </c>
      <c r="C161" s="21">
        <v>139796</v>
      </c>
      <c r="D161" s="21">
        <v>114659</v>
      </c>
      <c r="E161" s="21">
        <v>200110</v>
      </c>
      <c r="F161" s="21">
        <v>6550</v>
      </c>
      <c r="G161" s="21">
        <v>6241</v>
      </c>
      <c r="H161" s="21">
        <v>2810259</v>
      </c>
      <c r="I161" s="21">
        <v>138538</v>
      </c>
      <c r="J161" s="21">
        <v>94346</v>
      </c>
      <c r="K161" s="25"/>
      <c r="L161" s="21">
        <v>406697</v>
      </c>
      <c r="M161" s="21">
        <v>322097</v>
      </c>
      <c r="N161" s="21">
        <v>188251</v>
      </c>
      <c r="O161" s="21">
        <v>287430</v>
      </c>
      <c r="P161" s="21">
        <v>392021</v>
      </c>
      <c r="Q161" s="21">
        <v>159652</v>
      </c>
      <c r="R161" s="21">
        <v>187856</v>
      </c>
      <c r="S161" s="21">
        <v>278967</v>
      </c>
      <c r="T161" s="21">
        <v>138657</v>
      </c>
      <c r="U161" s="21">
        <v>156993</v>
      </c>
      <c r="V161" s="21">
        <v>214385</v>
      </c>
      <c r="W161" s="21">
        <v>174002</v>
      </c>
      <c r="X161" s="20"/>
      <c r="Y161" s="20"/>
      <c r="Z161" s="20"/>
      <c r="AA161" s="26"/>
      <c r="AB161" s="13">
        <f>SUM(L161:Z161)</f>
        <v>2907008</v>
      </c>
      <c r="AC161" s="13">
        <f>SUM(L162:Z162)</f>
        <v>139346</v>
      </c>
      <c r="AD161" s="13">
        <f>SUM(L163:Z163)</f>
        <v>114406</v>
      </c>
      <c r="AE161" s="26"/>
      <c r="AF161" s="13">
        <f>AB161-B161</f>
        <v>-6</v>
      </c>
      <c r="AG161" s="13">
        <f>AC161-C161</f>
        <v>-450</v>
      </c>
      <c r="AH161" s="13">
        <f>AD161-D161</f>
        <v>-253</v>
      </c>
    </row>
    <row r="162" spans="1:34" x14ac:dyDescent="0.55000000000000004">
      <c r="A162" s="12" t="s">
        <v>172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24"/>
      <c r="L162" s="6">
        <v>20911</v>
      </c>
      <c r="M162" s="6">
        <v>16563</v>
      </c>
      <c r="N162" s="6">
        <v>7513</v>
      </c>
      <c r="O162" s="6">
        <v>14099</v>
      </c>
      <c r="P162" s="6">
        <v>17891</v>
      </c>
      <c r="Q162" s="6">
        <v>7673</v>
      </c>
      <c r="R162" s="6">
        <v>9096</v>
      </c>
      <c r="S162" s="6">
        <v>12704</v>
      </c>
      <c r="T162" s="6">
        <v>6234</v>
      </c>
      <c r="U162" s="6">
        <v>6815</v>
      </c>
      <c r="V162" s="6">
        <v>11784</v>
      </c>
      <c r="W162" s="6">
        <v>8063</v>
      </c>
      <c r="X162" s="10"/>
      <c r="Y162" s="10"/>
      <c r="Z162" s="10"/>
      <c r="AA162" s="26"/>
      <c r="AB162" s="2"/>
      <c r="AC162" s="2"/>
      <c r="AD162" s="2"/>
      <c r="AE162" s="26"/>
      <c r="AF162" s="2"/>
      <c r="AG162" s="2"/>
      <c r="AH162" s="2"/>
    </row>
    <row r="163" spans="1:34" x14ac:dyDescent="0.55000000000000004">
      <c r="A163" s="12" t="s">
        <v>173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24"/>
      <c r="L163" s="6">
        <v>17191</v>
      </c>
      <c r="M163" s="6">
        <v>12215</v>
      </c>
      <c r="N163" s="6">
        <v>5275</v>
      </c>
      <c r="O163" s="6">
        <v>13075</v>
      </c>
      <c r="P163" s="6">
        <v>15012</v>
      </c>
      <c r="Q163" s="6">
        <v>6525</v>
      </c>
      <c r="R163" s="6">
        <v>6475</v>
      </c>
      <c r="S163" s="6">
        <v>12160</v>
      </c>
      <c r="T163" s="6">
        <v>5770</v>
      </c>
      <c r="U163" s="6">
        <v>5310</v>
      </c>
      <c r="V163" s="6">
        <v>9047</v>
      </c>
      <c r="W163" s="6">
        <v>6351</v>
      </c>
      <c r="X163" s="10"/>
      <c r="Y163" s="10"/>
      <c r="Z163" s="10"/>
      <c r="AA163" s="26"/>
      <c r="AB163" s="2"/>
      <c r="AC163" s="2"/>
      <c r="AD163" s="2"/>
      <c r="AE163" s="26"/>
      <c r="AF163" s="2"/>
      <c r="AG163" s="2"/>
      <c r="AH163" s="2"/>
    </row>
    <row r="164" spans="1:34" x14ac:dyDescent="0.55000000000000004">
      <c r="A164" s="19" t="s">
        <v>174</v>
      </c>
      <c r="B164" s="21">
        <v>1882218</v>
      </c>
      <c r="C164" s="21">
        <v>88071</v>
      </c>
      <c r="D164" s="21">
        <v>57093</v>
      </c>
      <c r="E164" s="21">
        <v>158414</v>
      </c>
      <c r="F164" s="21">
        <v>5754</v>
      </c>
      <c r="G164" s="21">
        <v>4262</v>
      </c>
      <c r="H164" s="21">
        <v>1818410</v>
      </c>
      <c r="I164" s="21">
        <v>83500</v>
      </c>
      <c r="J164" s="21">
        <v>59944</v>
      </c>
      <c r="K164" s="25"/>
      <c r="L164" s="21">
        <v>169143</v>
      </c>
      <c r="M164" s="21">
        <v>249570</v>
      </c>
      <c r="N164" s="21">
        <v>153656</v>
      </c>
      <c r="O164" s="21">
        <v>177879</v>
      </c>
      <c r="P164" s="21">
        <v>116110</v>
      </c>
      <c r="Q164" s="21">
        <v>138406</v>
      </c>
      <c r="R164" s="21">
        <v>141718</v>
      </c>
      <c r="S164" s="21">
        <v>131444</v>
      </c>
      <c r="T164" s="21">
        <v>125298</v>
      </c>
      <c r="U164" s="21">
        <v>143806</v>
      </c>
      <c r="V164" s="21">
        <v>160408</v>
      </c>
      <c r="W164" s="21">
        <v>268864</v>
      </c>
      <c r="X164" s="20"/>
      <c r="Y164" s="20"/>
      <c r="Z164" s="20"/>
      <c r="AA164" s="26"/>
      <c r="AB164" s="13">
        <f>SUM(L164:Z164)</f>
        <v>1976302</v>
      </c>
      <c r="AC164" s="13">
        <f>SUM(L165:Z165)</f>
        <v>87822</v>
      </c>
      <c r="AD164" s="13">
        <f>SUM(L166:Z166)</f>
        <v>56836</v>
      </c>
      <c r="AE164" s="26"/>
      <c r="AF164" s="13">
        <f>AB164-B164</f>
        <v>94084</v>
      </c>
      <c r="AG164" s="13">
        <f>AC164-C164</f>
        <v>-249</v>
      </c>
      <c r="AH164" s="13">
        <f>AD164-D164</f>
        <v>-257</v>
      </c>
    </row>
    <row r="165" spans="1:34" x14ac:dyDescent="0.55000000000000004">
      <c r="A165" s="12" t="s">
        <v>175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24"/>
      <c r="L165" s="6">
        <v>8476</v>
      </c>
      <c r="M165" s="6">
        <v>12699</v>
      </c>
      <c r="N165" s="6">
        <v>7219</v>
      </c>
      <c r="O165" s="6">
        <v>7887</v>
      </c>
      <c r="P165" s="6">
        <v>5339</v>
      </c>
      <c r="Q165" s="6">
        <v>5908</v>
      </c>
      <c r="R165" s="6">
        <v>6028</v>
      </c>
      <c r="S165" s="6">
        <v>6043</v>
      </c>
      <c r="T165" s="6">
        <v>6577</v>
      </c>
      <c r="U165" s="6">
        <v>7683</v>
      </c>
      <c r="V165" s="6">
        <v>7235</v>
      </c>
      <c r="W165" s="6">
        <v>6728</v>
      </c>
      <c r="X165" s="10"/>
      <c r="Y165" s="10"/>
      <c r="Z165" s="10"/>
      <c r="AA165" s="26"/>
      <c r="AB165" s="2"/>
      <c r="AC165" s="2"/>
      <c r="AD165" s="2"/>
      <c r="AE165" s="26"/>
      <c r="AF165" s="2"/>
      <c r="AG165" s="2"/>
      <c r="AH165" s="2"/>
    </row>
    <row r="166" spans="1:34" x14ac:dyDescent="0.55000000000000004">
      <c r="A166" s="12" t="s">
        <v>176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24"/>
      <c r="L166" s="6">
        <v>5318</v>
      </c>
      <c r="M166" s="6">
        <v>7928</v>
      </c>
      <c r="N166" s="6">
        <v>4799</v>
      </c>
      <c r="O166" s="6">
        <v>4737</v>
      </c>
      <c r="P166" s="6">
        <v>3424</v>
      </c>
      <c r="Q166" s="6">
        <v>4316</v>
      </c>
      <c r="R166" s="6">
        <v>4261</v>
      </c>
      <c r="S166" s="6">
        <v>4404</v>
      </c>
      <c r="T166" s="6">
        <v>3691</v>
      </c>
      <c r="U166" s="6">
        <v>4698</v>
      </c>
      <c r="V166" s="6">
        <v>4831</v>
      </c>
      <c r="W166" s="6">
        <v>4429</v>
      </c>
      <c r="X166" s="10"/>
      <c r="Y166" s="10"/>
      <c r="Z166" s="10"/>
      <c r="AA166" s="26"/>
      <c r="AB166" s="2"/>
      <c r="AC166" s="2"/>
      <c r="AD166" s="2"/>
      <c r="AE166" s="26"/>
      <c r="AF166" s="2"/>
      <c r="AG166" s="2"/>
      <c r="AH166" s="2"/>
    </row>
    <row r="167" spans="1:34" x14ac:dyDescent="0.55000000000000004">
      <c r="A167" s="19" t="s">
        <v>177</v>
      </c>
      <c r="B167" s="21">
        <v>1544786</v>
      </c>
      <c r="C167" s="21">
        <v>77644</v>
      </c>
      <c r="D167" s="21">
        <v>68307</v>
      </c>
      <c r="E167" s="21">
        <v>148180</v>
      </c>
      <c r="F167" s="21">
        <v>5274</v>
      </c>
      <c r="G167" s="21">
        <v>4836</v>
      </c>
      <c r="H167" s="21">
        <v>1480715</v>
      </c>
      <c r="I167" s="21">
        <v>75714</v>
      </c>
      <c r="J167" s="21">
        <v>56895</v>
      </c>
      <c r="K167" s="25"/>
      <c r="L167" s="21">
        <v>184341</v>
      </c>
      <c r="M167" s="21">
        <v>92550</v>
      </c>
      <c r="N167" s="21">
        <v>174272</v>
      </c>
      <c r="O167" s="21">
        <v>88308</v>
      </c>
      <c r="P167" s="21">
        <v>127536</v>
      </c>
      <c r="Q167" s="21">
        <v>139973</v>
      </c>
      <c r="R167" s="21">
        <v>175273</v>
      </c>
      <c r="S167" s="21">
        <v>80958</v>
      </c>
      <c r="T167" s="21">
        <v>109606</v>
      </c>
      <c r="U167" s="21">
        <v>152762</v>
      </c>
      <c r="V167" s="21">
        <v>103852</v>
      </c>
      <c r="W167" s="21">
        <v>115355</v>
      </c>
      <c r="X167" s="20"/>
      <c r="Y167" s="20"/>
      <c r="Z167" s="20"/>
      <c r="AA167" s="26"/>
      <c r="AB167" s="13">
        <f>SUM(L167:Z167)</f>
        <v>1544786</v>
      </c>
      <c r="AC167" s="13">
        <f>SUM(L168:Z168)</f>
        <v>77641</v>
      </c>
      <c r="AD167" s="13">
        <f>SUM(L169:Z169)</f>
        <v>68207</v>
      </c>
      <c r="AE167" s="26"/>
      <c r="AF167" s="13">
        <f>AB167-B167</f>
        <v>0</v>
      </c>
      <c r="AG167" s="13">
        <f>AC167-C167</f>
        <v>-3</v>
      </c>
      <c r="AH167" s="13">
        <f>AD167-D167</f>
        <v>-100</v>
      </c>
    </row>
    <row r="168" spans="1:34" x14ac:dyDescent="0.55000000000000004">
      <c r="A168" s="12" t="s">
        <v>178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24"/>
      <c r="L168" s="6">
        <v>8974</v>
      </c>
      <c r="M168" s="6">
        <v>4027</v>
      </c>
      <c r="N168" s="6">
        <v>9719</v>
      </c>
      <c r="O168" s="6">
        <v>3905</v>
      </c>
      <c r="P168" s="6">
        <v>6101</v>
      </c>
      <c r="Q168" s="6">
        <v>6467</v>
      </c>
      <c r="R168" s="6">
        <v>9272</v>
      </c>
      <c r="S168" s="6">
        <v>3821</v>
      </c>
      <c r="T168" s="6">
        <v>6002</v>
      </c>
      <c r="U168" s="6">
        <v>8115</v>
      </c>
      <c r="V168" s="6">
        <v>5087</v>
      </c>
      <c r="W168" s="6">
        <v>6151</v>
      </c>
      <c r="X168" s="10"/>
      <c r="Y168" s="10"/>
      <c r="Z168" s="10"/>
      <c r="AA168" s="26"/>
      <c r="AB168" s="2"/>
      <c r="AC168" s="2"/>
      <c r="AD168" s="2"/>
      <c r="AE168" s="26"/>
      <c r="AF168" s="2"/>
      <c r="AG168" s="2"/>
      <c r="AH168" s="2"/>
    </row>
    <row r="169" spans="1:34" x14ac:dyDescent="0.55000000000000004">
      <c r="A169" s="12" t="s">
        <v>179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24"/>
      <c r="L169" s="6">
        <v>8196</v>
      </c>
      <c r="M169" s="6">
        <v>3249</v>
      </c>
      <c r="N169" s="6">
        <v>9032</v>
      </c>
      <c r="O169" s="6">
        <v>2940</v>
      </c>
      <c r="P169" s="6">
        <v>4836</v>
      </c>
      <c r="Q169" s="6">
        <v>5658</v>
      </c>
      <c r="R169" s="6">
        <v>8538</v>
      </c>
      <c r="S169" s="6">
        <v>4357</v>
      </c>
      <c r="T169" s="6">
        <v>4940</v>
      </c>
      <c r="U169" s="6">
        <v>7416</v>
      </c>
      <c r="V169" s="6">
        <v>3589</v>
      </c>
      <c r="W169" s="6">
        <v>5456</v>
      </c>
      <c r="X169" s="10"/>
      <c r="Y169" s="10"/>
      <c r="Z169" s="10"/>
      <c r="AA169" s="26"/>
      <c r="AB169" s="2"/>
      <c r="AC169" s="2"/>
      <c r="AD169" s="2"/>
      <c r="AE169" s="26"/>
      <c r="AF169" s="2"/>
      <c r="AG169" s="2"/>
      <c r="AH169" s="2"/>
    </row>
    <row r="170" spans="1:34" x14ac:dyDescent="0.55000000000000004">
      <c r="A170" s="19" t="s">
        <v>180</v>
      </c>
      <c r="B170" s="21">
        <v>2088602</v>
      </c>
      <c r="C170" s="21">
        <v>102867</v>
      </c>
      <c r="D170" s="21">
        <v>67708</v>
      </c>
      <c r="E170" s="21" t="s">
        <v>16</v>
      </c>
      <c r="F170" s="21" t="s">
        <v>16</v>
      </c>
      <c r="G170" s="21" t="s">
        <v>16</v>
      </c>
      <c r="H170" s="21">
        <v>2005536</v>
      </c>
      <c r="I170" s="21">
        <v>94883</v>
      </c>
      <c r="J170" s="21">
        <v>63824</v>
      </c>
      <c r="K170" s="25"/>
      <c r="L170" s="21">
        <v>338794</v>
      </c>
      <c r="M170" s="21">
        <v>400848</v>
      </c>
      <c r="N170" s="21">
        <v>470199</v>
      </c>
      <c r="O170" s="21">
        <v>177210</v>
      </c>
      <c r="P170" s="21">
        <v>380370</v>
      </c>
      <c r="Q170" s="21">
        <v>321181</v>
      </c>
      <c r="R170" s="20"/>
      <c r="S170" s="20"/>
      <c r="T170" s="20"/>
      <c r="U170" s="20"/>
      <c r="V170" s="20"/>
      <c r="W170" s="20"/>
      <c r="X170" s="20"/>
      <c r="Y170" s="20"/>
      <c r="Z170" s="20"/>
      <c r="AA170" s="26"/>
      <c r="AB170" s="13">
        <f>SUM(L170:Z170)</f>
        <v>2088602</v>
      </c>
      <c r="AC170" s="13">
        <f>SUM(L171:Z171)</f>
        <v>102867</v>
      </c>
      <c r="AD170" s="13">
        <f>SUM(L172:Z172)</f>
        <v>67408</v>
      </c>
      <c r="AE170" s="26"/>
      <c r="AF170" s="13">
        <f>AB170-B170</f>
        <v>0</v>
      </c>
      <c r="AG170" s="13">
        <f>AC170-C170</f>
        <v>0</v>
      </c>
      <c r="AH170" s="13">
        <f>AD170-D170</f>
        <v>-300</v>
      </c>
    </row>
    <row r="171" spans="1:34" x14ac:dyDescent="0.55000000000000004">
      <c r="A171" s="12" t="s">
        <v>181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24"/>
      <c r="L171" s="6">
        <v>17135</v>
      </c>
      <c r="M171" s="6">
        <v>19203</v>
      </c>
      <c r="N171" s="6">
        <v>22659</v>
      </c>
      <c r="O171" s="6">
        <v>9961</v>
      </c>
      <c r="P171" s="6">
        <v>18378</v>
      </c>
      <c r="Q171" s="6">
        <v>15531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26"/>
      <c r="AB171" s="2"/>
      <c r="AC171" s="2"/>
      <c r="AD171" s="2"/>
      <c r="AE171" s="26"/>
      <c r="AF171" s="2"/>
      <c r="AG171" s="2"/>
      <c r="AH171" s="2"/>
    </row>
    <row r="172" spans="1:34" x14ac:dyDescent="0.55000000000000004">
      <c r="A172" s="12" t="s">
        <v>182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24"/>
      <c r="L172" s="6">
        <v>11283</v>
      </c>
      <c r="M172" s="6">
        <v>11899</v>
      </c>
      <c r="N172" s="6">
        <v>15944</v>
      </c>
      <c r="O172" s="6">
        <v>6139</v>
      </c>
      <c r="P172" s="6">
        <v>12245</v>
      </c>
      <c r="Q172" s="6">
        <v>9898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26"/>
      <c r="AB172" s="2"/>
      <c r="AC172" s="2"/>
      <c r="AD172" s="2"/>
      <c r="AE172" s="26"/>
      <c r="AF172" s="2"/>
      <c r="AG172" s="2"/>
      <c r="AH172" s="2"/>
    </row>
    <row r="173" spans="1:34" x14ac:dyDescent="0.55000000000000004">
      <c r="A173" s="19" t="s">
        <v>183</v>
      </c>
      <c r="B173" s="21">
        <v>2537339</v>
      </c>
      <c r="C173" s="21">
        <v>114682</v>
      </c>
      <c r="D173" s="21">
        <v>91992</v>
      </c>
      <c r="E173" s="21">
        <v>325767</v>
      </c>
      <c r="F173" s="21">
        <v>10553</v>
      </c>
      <c r="G173" s="21">
        <v>8396</v>
      </c>
      <c r="H173" s="21">
        <v>2391170</v>
      </c>
      <c r="I173" s="21">
        <v>118233</v>
      </c>
      <c r="J173" s="21">
        <v>85859</v>
      </c>
      <c r="K173" s="25"/>
      <c r="L173" s="21">
        <v>369618</v>
      </c>
      <c r="M173" s="21">
        <v>143431</v>
      </c>
      <c r="N173" s="21">
        <v>162514</v>
      </c>
      <c r="O173" s="21">
        <v>135853</v>
      </c>
      <c r="P173" s="21">
        <v>160701</v>
      </c>
      <c r="Q173" s="21">
        <v>223077</v>
      </c>
      <c r="R173" s="21">
        <v>333378</v>
      </c>
      <c r="S173" s="21">
        <v>228571</v>
      </c>
      <c r="T173" s="21">
        <v>168770</v>
      </c>
      <c r="U173" s="21">
        <v>387253</v>
      </c>
      <c r="V173" s="21">
        <v>224173</v>
      </c>
      <c r="W173" s="20"/>
      <c r="X173" s="20"/>
      <c r="Y173" s="20"/>
      <c r="Z173" s="20"/>
      <c r="AA173" s="26"/>
      <c r="AB173" s="13">
        <f>SUM(L173:Z173)</f>
        <v>2537339</v>
      </c>
      <c r="AC173" s="13">
        <f>SUM(L174:Z174)</f>
        <v>114682</v>
      </c>
      <c r="AD173" s="13">
        <f>SUM(L175:Z175)</f>
        <v>91992</v>
      </c>
      <c r="AE173" s="26"/>
      <c r="AF173" s="13">
        <f>AB173-B173</f>
        <v>0</v>
      </c>
      <c r="AG173" s="13">
        <f>AC173-C173</f>
        <v>0</v>
      </c>
      <c r="AH173" s="13">
        <f>AD173-D173</f>
        <v>0</v>
      </c>
    </row>
    <row r="174" spans="1:34" x14ac:dyDescent="0.55000000000000004">
      <c r="A174" s="12" t="s">
        <v>184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24"/>
      <c r="L174" s="6">
        <v>14057</v>
      </c>
      <c r="M174" s="6">
        <v>7822</v>
      </c>
      <c r="N174" s="6">
        <v>7175</v>
      </c>
      <c r="O174" s="6">
        <v>6058</v>
      </c>
      <c r="P174" s="6">
        <v>9099</v>
      </c>
      <c r="Q174" s="6">
        <v>10569</v>
      </c>
      <c r="R174" s="6">
        <v>12911</v>
      </c>
      <c r="S174" s="6">
        <v>10833</v>
      </c>
      <c r="T174" s="6">
        <v>8699</v>
      </c>
      <c r="U174" s="6">
        <v>16487</v>
      </c>
      <c r="V174" s="6">
        <v>10972</v>
      </c>
      <c r="W174" s="10"/>
      <c r="X174" s="10"/>
      <c r="Y174" s="10"/>
      <c r="Z174" s="10"/>
      <c r="AA174" s="26"/>
      <c r="AB174" s="2"/>
      <c r="AC174" s="2"/>
      <c r="AD174" s="2"/>
      <c r="AE174" s="26"/>
      <c r="AF174" s="2"/>
      <c r="AG174" s="2"/>
      <c r="AH174" s="2"/>
    </row>
    <row r="175" spans="1:34" x14ac:dyDescent="0.55000000000000004">
      <c r="A175" s="12" t="s">
        <v>185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24"/>
      <c r="L175" s="6">
        <v>10871</v>
      </c>
      <c r="M175" s="6">
        <v>4598</v>
      </c>
      <c r="N175" s="6">
        <v>4889</v>
      </c>
      <c r="O175" s="6">
        <v>4370</v>
      </c>
      <c r="P175" s="6">
        <v>7517</v>
      </c>
      <c r="Q175" s="6">
        <v>9191</v>
      </c>
      <c r="R175" s="6">
        <v>12325</v>
      </c>
      <c r="S175" s="6">
        <v>9511</v>
      </c>
      <c r="T175" s="6">
        <v>5733</v>
      </c>
      <c r="U175" s="6">
        <v>16348</v>
      </c>
      <c r="V175" s="6">
        <v>6639</v>
      </c>
      <c r="W175" s="10"/>
      <c r="X175" s="10"/>
      <c r="Y175" s="10"/>
      <c r="Z175" s="10"/>
      <c r="AA175" s="26"/>
      <c r="AB175" s="2"/>
      <c r="AC175" s="2"/>
      <c r="AD175" s="2"/>
      <c r="AE175" s="26"/>
      <c r="AF175" s="2"/>
      <c r="AG175" s="2"/>
      <c r="AH175" s="2"/>
    </row>
    <row r="176" spans="1:34" x14ac:dyDescent="0.55000000000000004">
      <c r="A176" s="19" t="s">
        <v>186</v>
      </c>
      <c r="B176" s="21">
        <v>1859034</v>
      </c>
      <c r="C176" s="21">
        <v>107428</v>
      </c>
      <c r="D176" s="21">
        <v>60764</v>
      </c>
      <c r="E176" s="21">
        <v>168766</v>
      </c>
      <c r="F176" s="21">
        <v>7453</v>
      </c>
      <c r="G176" s="21">
        <v>5307</v>
      </c>
      <c r="H176" s="21">
        <v>1803655</v>
      </c>
      <c r="I176" s="21">
        <v>98602</v>
      </c>
      <c r="J176" s="21">
        <v>57290</v>
      </c>
      <c r="K176" s="25"/>
      <c r="L176" s="21">
        <v>425817</v>
      </c>
      <c r="M176" s="21">
        <v>562976</v>
      </c>
      <c r="N176" s="21">
        <v>501681</v>
      </c>
      <c r="O176" s="21">
        <v>195781</v>
      </c>
      <c r="P176" s="21">
        <v>26483</v>
      </c>
      <c r="Q176" s="21">
        <v>166296</v>
      </c>
      <c r="R176" s="20"/>
      <c r="S176" s="20"/>
      <c r="T176" s="20"/>
      <c r="U176" s="20"/>
      <c r="V176" s="20"/>
      <c r="W176" s="20"/>
      <c r="X176" s="20"/>
      <c r="Y176" s="20"/>
      <c r="Z176" s="20"/>
      <c r="AA176" s="26"/>
      <c r="AB176" s="13">
        <f>SUM(L176:Z176)</f>
        <v>1879034</v>
      </c>
      <c r="AC176" s="13">
        <f>SUM(L177:Z177)</f>
        <v>107428</v>
      </c>
      <c r="AD176" s="13">
        <f>SUM(L178:Z178)</f>
        <v>60764</v>
      </c>
      <c r="AE176" s="26"/>
      <c r="AF176" s="13">
        <f>AB176-B176</f>
        <v>20000</v>
      </c>
      <c r="AG176" s="13">
        <f>AC176-C176</f>
        <v>0</v>
      </c>
      <c r="AH176" s="13">
        <f>AD176-D176</f>
        <v>0</v>
      </c>
    </row>
    <row r="177" spans="1:34" x14ac:dyDescent="0.55000000000000004">
      <c r="A177" s="12" t="s">
        <v>187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24"/>
      <c r="L177" s="6">
        <v>22432</v>
      </c>
      <c r="M177" s="6">
        <v>20978</v>
      </c>
      <c r="N177" s="6">
        <v>28549</v>
      </c>
      <c r="O177" s="6">
        <v>12175</v>
      </c>
      <c r="P177" s="6">
        <v>11985</v>
      </c>
      <c r="Q177" s="6">
        <v>11309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26"/>
      <c r="AB177" s="2"/>
      <c r="AC177" s="2"/>
      <c r="AD177" s="2"/>
      <c r="AE177" s="26"/>
      <c r="AF177" s="2"/>
      <c r="AG177" s="2"/>
      <c r="AH177" s="2"/>
    </row>
    <row r="178" spans="1:34" x14ac:dyDescent="0.55000000000000004">
      <c r="A178" s="12" t="s">
        <v>188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24"/>
      <c r="L178" s="6">
        <v>13712</v>
      </c>
      <c r="M178" s="6">
        <v>11551</v>
      </c>
      <c r="N178" s="6">
        <v>16447</v>
      </c>
      <c r="O178" s="6">
        <v>6248</v>
      </c>
      <c r="P178" s="6">
        <v>7121</v>
      </c>
      <c r="Q178" s="6">
        <v>5685</v>
      </c>
      <c r="R178" s="10"/>
      <c r="S178" s="10"/>
      <c r="T178" s="10"/>
      <c r="U178" s="10"/>
      <c r="V178" s="10"/>
      <c r="W178" s="10"/>
      <c r="X178" s="10"/>
      <c r="Y178" s="10"/>
      <c r="Z178" s="10"/>
      <c r="AA178" s="26"/>
      <c r="AB178" s="2"/>
      <c r="AC178" s="2"/>
      <c r="AD178" s="2"/>
      <c r="AE178" s="26"/>
      <c r="AF178" s="2"/>
      <c r="AG178" s="2"/>
      <c r="AH178" s="2"/>
    </row>
    <row r="179" spans="1:34" x14ac:dyDescent="0.55000000000000004">
      <c r="A179" s="22" t="s">
        <v>189</v>
      </c>
      <c r="B179" s="21">
        <v>77211</v>
      </c>
      <c r="C179" s="21">
        <v>3224</v>
      </c>
      <c r="D179" s="21">
        <v>2627</v>
      </c>
      <c r="E179" s="21"/>
      <c r="F179" s="21"/>
      <c r="G179" s="21"/>
      <c r="H179" s="21">
        <v>76528</v>
      </c>
      <c r="I179" s="21">
        <v>3210</v>
      </c>
      <c r="J179" s="21">
        <v>2470</v>
      </c>
      <c r="K179" s="25"/>
      <c r="L179" s="21"/>
      <c r="M179" s="21"/>
      <c r="N179" s="21"/>
      <c r="O179" s="21"/>
      <c r="P179" s="21"/>
      <c r="Q179" s="21"/>
      <c r="R179" s="21"/>
      <c r="S179" s="20"/>
      <c r="T179" s="20"/>
      <c r="U179" s="20"/>
      <c r="V179" s="20"/>
      <c r="W179" s="20"/>
      <c r="X179" s="20"/>
      <c r="Y179" s="20"/>
      <c r="Z179" s="20"/>
      <c r="AA179" s="26"/>
      <c r="AB179" s="13"/>
      <c r="AC179" s="13"/>
      <c r="AD179" s="13"/>
      <c r="AE179" s="26"/>
      <c r="AF179" s="13"/>
      <c r="AG179" s="13"/>
      <c r="AH179" s="13"/>
    </row>
    <row r="180" spans="1:34" x14ac:dyDescent="0.55000000000000004">
      <c r="A180" s="22" t="s">
        <v>190</v>
      </c>
      <c r="B180" s="21">
        <v>300000</v>
      </c>
      <c r="C180" s="21">
        <v>11381</v>
      </c>
      <c r="D180" s="21">
        <v>8205</v>
      </c>
      <c r="E180" s="21"/>
      <c r="F180" s="21"/>
      <c r="G180" s="21"/>
      <c r="H180" s="21">
        <v>285262</v>
      </c>
      <c r="I180" s="21">
        <v>10514</v>
      </c>
      <c r="J180" s="21">
        <v>7737</v>
      </c>
      <c r="K180" s="25"/>
      <c r="L180" s="21"/>
      <c r="M180" s="21"/>
      <c r="N180" s="21"/>
      <c r="O180" s="21"/>
      <c r="P180" s="21"/>
      <c r="Q180" s="21"/>
      <c r="R180" s="21"/>
      <c r="S180" s="20"/>
      <c r="T180" s="20"/>
      <c r="U180" s="20"/>
      <c r="V180" s="20"/>
      <c r="W180" s="20"/>
      <c r="X180" s="20"/>
      <c r="Y180" s="20"/>
      <c r="Z180" s="20"/>
      <c r="AA180" s="26"/>
      <c r="AB180" s="13"/>
      <c r="AC180" s="13"/>
      <c r="AD180" s="13"/>
      <c r="AE180" s="26"/>
      <c r="AF180" s="13"/>
      <c r="AG180" s="13"/>
      <c r="AH180" s="13"/>
    </row>
    <row r="181" spans="1:34" x14ac:dyDescent="0.55000000000000004">
      <c r="A181" s="19" t="s">
        <v>191</v>
      </c>
      <c r="B181" s="21">
        <v>2248716</v>
      </c>
      <c r="C181" s="21">
        <v>108812</v>
      </c>
      <c r="D181" s="21">
        <v>77233</v>
      </c>
      <c r="E181" s="21" t="s">
        <v>16</v>
      </c>
      <c r="F181" s="21" t="s">
        <v>16</v>
      </c>
      <c r="G181" s="21" t="s">
        <v>16</v>
      </c>
      <c r="H181" s="21">
        <v>2182743</v>
      </c>
      <c r="I181" s="21">
        <v>106284</v>
      </c>
      <c r="J181" s="21">
        <v>69619</v>
      </c>
      <c r="K181" s="25"/>
      <c r="L181" s="21">
        <v>162611</v>
      </c>
      <c r="M181" s="21">
        <v>142227</v>
      </c>
      <c r="N181" s="21">
        <v>135587</v>
      </c>
      <c r="O181" s="21">
        <v>135891</v>
      </c>
      <c r="P181" s="21">
        <v>131555</v>
      </c>
      <c r="Q181" s="21">
        <v>153022</v>
      </c>
      <c r="R181" s="21">
        <v>127507</v>
      </c>
      <c r="S181" s="21">
        <v>137846</v>
      </c>
      <c r="T181" s="21">
        <v>136554</v>
      </c>
      <c r="U181" s="21">
        <v>174817</v>
      </c>
      <c r="V181" s="21">
        <v>170714</v>
      </c>
      <c r="W181" s="21">
        <v>139000</v>
      </c>
      <c r="X181" s="21">
        <v>153223</v>
      </c>
      <c r="Y181" s="21">
        <v>169238</v>
      </c>
      <c r="Z181" s="21">
        <v>178924</v>
      </c>
      <c r="AA181" s="26"/>
      <c r="AB181" s="13">
        <f>SUM(L181:Z181)</f>
        <v>2248716</v>
      </c>
      <c r="AC181" s="13">
        <f>SUM(L182:Z182)</f>
        <v>108812</v>
      </c>
      <c r="AD181" s="13">
        <f>SUM(L183:Z183)</f>
        <v>77233</v>
      </c>
      <c r="AE181" s="26"/>
      <c r="AF181" s="13">
        <f>AB181-B181</f>
        <v>0</v>
      </c>
      <c r="AG181" s="13">
        <f>AC181-C181</f>
        <v>0</v>
      </c>
      <c r="AH181" s="13">
        <f>AD181-D181</f>
        <v>0</v>
      </c>
    </row>
    <row r="182" spans="1:34" x14ac:dyDescent="0.55000000000000004">
      <c r="A182" s="12" t="s">
        <v>192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24"/>
      <c r="L182" s="6">
        <v>7310</v>
      </c>
      <c r="M182" s="6">
        <v>7169</v>
      </c>
      <c r="N182" s="6">
        <v>6139</v>
      </c>
      <c r="O182" s="6">
        <v>7389</v>
      </c>
      <c r="P182" s="6">
        <v>6285</v>
      </c>
      <c r="Q182" s="6">
        <v>7486</v>
      </c>
      <c r="R182" s="6">
        <v>5998</v>
      </c>
      <c r="S182" s="6">
        <v>5969</v>
      </c>
      <c r="T182" s="6">
        <v>6996</v>
      </c>
      <c r="U182" s="6">
        <v>8069</v>
      </c>
      <c r="V182" s="6">
        <v>7683</v>
      </c>
      <c r="W182" s="6">
        <v>7526</v>
      </c>
      <c r="X182" s="6">
        <v>7636</v>
      </c>
      <c r="Y182" s="6">
        <v>7151</v>
      </c>
      <c r="Z182" s="6">
        <v>10006</v>
      </c>
      <c r="AA182" s="26"/>
      <c r="AB182" s="2"/>
      <c r="AC182" s="2"/>
      <c r="AD182" s="2"/>
      <c r="AE182" s="26"/>
      <c r="AF182" s="2"/>
      <c r="AG182" s="2"/>
      <c r="AH182" s="2"/>
    </row>
    <row r="183" spans="1:34" x14ac:dyDescent="0.55000000000000004">
      <c r="A183" s="12" t="s">
        <v>193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24"/>
      <c r="L183" s="6">
        <v>5441</v>
      </c>
      <c r="M183" s="6">
        <v>5351</v>
      </c>
      <c r="N183" s="6">
        <v>4726</v>
      </c>
      <c r="O183" s="6">
        <v>5450</v>
      </c>
      <c r="P183" s="6">
        <v>4060</v>
      </c>
      <c r="Q183" s="6">
        <v>4736</v>
      </c>
      <c r="R183" s="6">
        <v>4505</v>
      </c>
      <c r="S183" s="6">
        <v>3820</v>
      </c>
      <c r="T183" s="6">
        <v>5171</v>
      </c>
      <c r="U183" s="6">
        <v>6150</v>
      </c>
      <c r="V183" s="6">
        <v>6019</v>
      </c>
      <c r="W183" s="6">
        <v>4397</v>
      </c>
      <c r="X183" s="6">
        <v>5080</v>
      </c>
      <c r="Y183" s="6">
        <v>4682</v>
      </c>
      <c r="Z183" s="6">
        <v>7645</v>
      </c>
      <c r="AA183" s="26"/>
      <c r="AB183" s="2"/>
      <c r="AC183" s="2"/>
      <c r="AD183" s="2"/>
      <c r="AE183" s="26"/>
      <c r="AF183" s="2"/>
      <c r="AG183" s="2"/>
      <c r="AH183" s="2"/>
    </row>
    <row r="184" spans="1:34" x14ac:dyDescent="0.55000000000000004">
      <c r="A184" s="19" t="s">
        <v>194</v>
      </c>
      <c r="B184" s="21">
        <v>1212216</v>
      </c>
      <c r="C184" s="21">
        <v>47413</v>
      </c>
      <c r="D184" s="21">
        <v>33522</v>
      </c>
      <c r="E184" s="21">
        <v>169182</v>
      </c>
      <c r="F184" s="21">
        <v>5204</v>
      </c>
      <c r="G184" s="21">
        <v>4596</v>
      </c>
      <c r="H184" s="21">
        <v>1166919</v>
      </c>
      <c r="I184" s="21">
        <v>44201</v>
      </c>
      <c r="J184" s="21">
        <v>36205</v>
      </c>
      <c r="K184" s="25"/>
      <c r="L184" s="21">
        <v>221967</v>
      </c>
      <c r="M184" s="21">
        <v>76966</v>
      </c>
      <c r="N184" s="21">
        <v>70942</v>
      </c>
      <c r="O184" s="21">
        <v>124472</v>
      </c>
      <c r="P184" s="21">
        <v>90056</v>
      </c>
      <c r="Q184" s="21">
        <v>111658</v>
      </c>
      <c r="R184" s="21">
        <v>78807</v>
      </c>
      <c r="S184" s="21">
        <v>170291</v>
      </c>
      <c r="T184" s="21">
        <v>116709</v>
      </c>
      <c r="U184" s="21">
        <v>110903</v>
      </c>
      <c r="V184" s="20"/>
      <c r="W184" s="20"/>
      <c r="X184" s="20"/>
      <c r="Y184" s="20"/>
      <c r="Z184" s="20"/>
      <c r="AA184" s="26"/>
      <c r="AB184" s="13">
        <f>SUM(L184:Z184)</f>
        <v>1172771</v>
      </c>
      <c r="AC184" s="13">
        <f>SUM(L185:Z185)</f>
        <v>47413</v>
      </c>
      <c r="AD184" s="13">
        <f>SUM(L186:Z186)</f>
        <v>33522</v>
      </c>
      <c r="AE184" s="26"/>
      <c r="AF184" s="13">
        <f>AB184-B184</f>
        <v>-39445</v>
      </c>
      <c r="AG184" s="13">
        <f>AC184-C184</f>
        <v>0</v>
      </c>
      <c r="AH184" s="13">
        <f>AD184-D184</f>
        <v>0</v>
      </c>
    </row>
    <row r="185" spans="1:34" x14ac:dyDescent="0.55000000000000004">
      <c r="A185" s="12" t="s">
        <v>195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24"/>
      <c r="L185" s="6">
        <v>9257</v>
      </c>
      <c r="M185" s="6">
        <v>2824</v>
      </c>
      <c r="N185" s="6">
        <v>2544</v>
      </c>
      <c r="O185" s="6">
        <v>5738</v>
      </c>
      <c r="P185" s="6">
        <v>4108</v>
      </c>
      <c r="Q185" s="6">
        <v>4651</v>
      </c>
      <c r="R185" s="6">
        <v>3333</v>
      </c>
      <c r="S185" s="6">
        <v>7165</v>
      </c>
      <c r="T185" s="6">
        <v>3663</v>
      </c>
      <c r="U185" s="6">
        <v>4130</v>
      </c>
      <c r="V185" s="10"/>
      <c r="W185" s="10"/>
      <c r="X185" s="10"/>
      <c r="Y185" s="10"/>
      <c r="Z185" s="10"/>
      <c r="AA185" s="26"/>
      <c r="AB185" s="2"/>
      <c r="AC185" s="2"/>
      <c r="AD185" s="2"/>
      <c r="AE185" s="26"/>
      <c r="AF185" s="2"/>
      <c r="AG185" s="2"/>
      <c r="AH185" s="2"/>
    </row>
    <row r="186" spans="1:34" x14ac:dyDescent="0.55000000000000004">
      <c r="A186" s="12" t="s">
        <v>196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24"/>
      <c r="L186" s="6">
        <v>6741</v>
      </c>
      <c r="M186" s="6">
        <v>2054</v>
      </c>
      <c r="N186" s="6">
        <v>1896</v>
      </c>
      <c r="O186" s="6">
        <v>3607</v>
      </c>
      <c r="P186" s="6">
        <v>2812</v>
      </c>
      <c r="Q186" s="6">
        <v>3529</v>
      </c>
      <c r="R186" s="6">
        <v>2671</v>
      </c>
      <c r="S186" s="6">
        <v>4705</v>
      </c>
      <c r="T186" s="6">
        <v>2658</v>
      </c>
      <c r="U186" s="6">
        <v>2849</v>
      </c>
      <c r="V186" s="10"/>
      <c r="W186" s="10"/>
      <c r="X186" s="10"/>
      <c r="Y186" s="10"/>
      <c r="Z186" s="10"/>
      <c r="AA186" s="26"/>
      <c r="AB186" s="2"/>
      <c r="AC186" s="2"/>
      <c r="AD186" s="2"/>
      <c r="AE186" s="26"/>
      <c r="AF186" s="2"/>
      <c r="AG186" s="2"/>
      <c r="AH186" s="2"/>
    </row>
    <row r="187" spans="1:34" x14ac:dyDescent="0.55000000000000004">
      <c r="A187" s="7" t="s">
        <v>197</v>
      </c>
      <c r="B187" s="8">
        <v>65359347</v>
      </c>
      <c r="C187" s="8">
        <v>3212059</v>
      </c>
      <c r="D187" s="8">
        <v>2368755</v>
      </c>
      <c r="E187" s="8"/>
      <c r="F187" s="8"/>
      <c r="G187" s="8"/>
      <c r="H187" s="8">
        <v>63230360</v>
      </c>
      <c r="I187" s="8">
        <v>3117694</v>
      </c>
      <c r="J187" s="8">
        <v>2229321</v>
      </c>
      <c r="K187" s="25"/>
      <c r="L187" s="8"/>
      <c r="M187" s="8"/>
      <c r="N187" s="8"/>
      <c r="O187" s="8"/>
      <c r="P187" s="8"/>
      <c r="Q187" s="8"/>
      <c r="R187" s="31"/>
      <c r="S187" s="32"/>
      <c r="T187" s="32"/>
      <c r="U187" s="32"/>
      <c r="V187" s="32"/>
      <c r="W187" s="32"/>
      <c r="X187" s="32"/>
      <c r="Y187" s="32"/>
      <c r="Z187" s="32"/>
      <c r="AA187" s="26"/>
      <c r="AB187" s="30"/>
      <c r="AC187" s="30"/>
      <c r="AD187" s="30"/>
      <c r="AE187" s="26"/>
      <c r="AF187" s="30"/>
      <c r="AG187" s="30"/>
      <c r="AH187" s="30"/>
    </row>
    <row r="188" spans="1:34" x14ac:dyDescent="0.55000000000000004">
      <c r="A188" s="19" t="s">
        <v>198</v>
      </c>
      <c r="B188" s="21">
        <v>2090219</v>
      </c>
      <c r="C188" s="21">
        <v>121533</v>
      </c>
      <c r="D188" s="21">
        <v>81789</v>
      </c>
      <c r="E188" s="21" t="s">
        <v>16</v>
      </c>
      <c r="F188" s="21" t="s">
        <v>16</v>
      </c>
      <c r="G188" s="21" t="s">
        <v>16</v>
      </c>
      <c r="H188" s="21">
        <v>1915192</v>
      </c>
      <c r="I188" s="21">
        <v>115919</v>
      </c>
      <c r="J188" s="21">
        <v>68890</v>
      </c>
      <c r="K188" s="25"/>
      <c r="L188" s="21">
        <v>140734</v>
      </c>
      <c r="M188" s="21">
        <v>219866</v>
      </c>
      <c r="N188" s="21">
        <v>196346</v>
      </c>
      <c r="O188" s="21">
        <v>405055</v>
      </c>
      <c r="P188" s="21">
        <v>296934</v>
      </c>
      <c r="Q188" s="21">
        <v>55536</v>
      </c>
      <c r="R188" s="21">
        <v>360824</v>
      </c>
      <c r="S188" s="21">
        <v>204487</v>
      </c>
      <c r="T188" s="21">
        <v>210437</v>
      </c>
      <c r="U188" s="20"/>
      <c r="V188" s="20"/>
      <c r="W188" s="20"/>
      <c r="X188" s="20"/>
      <c r="Y188" s="20"/>
      <c r="Z188" s="20"/>
      <c r="AA188" s="26"/>
      <c r="AB188" s="13">
        <f>SUM(L188:Z188)</f>
        <v>2090219</v>
      </c>
      <c r="AC188" s="13">
        <f>SUM(L189:Z189)</f>
        <v>121533</v>
      </c>
      <c r="AD188" s="13">
        <f>SUM(L190:Z190)</f>
        <v>81789</v>
      </c>
      <c r="AE188" s="26"/>
      <c r="AF188" s="13">
        <f>AB188-B188</f>
        <v>0</v>
      </c>
      <c r="AG188" s="13">
        <f>AC188-C188</f>
        <v>0</v>
      </c>
      <c r="AH188" s="13">
        <f>AD188-D188</f>
        <v>0</v>
      </c>
    </row>
    <row r="189" spans="1:34" x14ac:dyDescent="0.55000000000000004">
      <c r="A189" s="12" t="s">
        <v>199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24"/>
      <c r="L189" s="6">
        <v>11418</v>
      </c>
      <c r="M189" s="6">
        <v>13630</v>
      </c>
      <c r="N189" s="6">
        <v>9318</v>
      </c>
      <c r="O189" s="6">
        <v>25027</v>
      </c>
      <c r="P189" s="6">
        <v>16275</v>
      </c>
      <c r="Q189" s="6">
        <v>2393</v>
      </c>
      <c r="R189" s="6">
        <v>19073</v>
      </c>
      <c r="S189" s="6">
        <v>11196</v>
      </c>
      <c r="T189" s="6">
        <v>13203</v>
      </c>
      <c r="U189" s="10"/>
      <c r="V189" s="10"/>
      <c r="W189" s="10"/>
      <c r="X189" s="10"/>
      <c r="Y189" s="10"/>
      <c r="Z189" s="10"/>
      <c r="AA189" s="26"/>
      <c r="AB189" s="2"/>
      <c r="AC189" s="2"/>
      <c r="AD189" s="2"/>
      <c r="AE189" s="26"/>
      <c r="AF189" s="2"/>
      <c r="AG189" s="2"/>
      <c r="AH189" s="2"/>
    </row>
    <row r="190" spans="1:34" x14ac:dyDescent="0.55000000000000004">
      <c r="A190" s="12" t="s">
        <v>200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24"/>
      <c r="L190" s="6">
        <v>8422</v>
      </c>
      <c r="M190" s="6">
        <v>7297</v>
      </c>
      <c r="N190" s="6">
        <v>5669</v>
      </c>
      <c r="O190" s="6">
        <v>15276</v>
      </c>
      <c r="P190" s="6">
        <v>11727</v>
      </c>
      <c r="Q190" s="6">
        <v>1682</v>
      </c>
      <c r="R190" s="6">
        <v>17193</v>
      </c>
      <c r="S190" s="6">
        <v>6062</v>
      </c>
      <c r="T190" s="6">
        <v>8461</v>
      </c>
      <c r="U190" s="10"/>
      <c r="V190" s="10"/>
      <c r="W190" s="10"/>
      <c r="X190" s="10"/>
      <c r="Y190" s="10"/>
      <c r="Z190" s="10"/>
      <c r="AA190" s="26"/>
      <c r="AB190" s="2"/>
      <c r="AC190" s="2"/>
      <c r="AD190" s="2"/>
      <c r="AE190" s="26"/>
      <c r="AF190" s="2"/>
      <c r="AG190" s="2"/>
      <c r="AH190" s="2"/>
    </row>
    <row r="191" spans="1:34" x14ac:dyDescent="0.55000000000000004">
      <c r="A191" s="7" t="s">
        <v>201</v>
      </c>
      <c r="B191" s="8">
        <v>99103355</v>
      </c>
      <c r="C191" s="8">
        <v>4702629</v>
      </c>
      <c r="D191" s="8">
        <v>3288308</v>
      </c>
      <c r="E191" s="8"/>
      <c r="F191" s="8"/>
      <c r="G191" s="8"/>
      <c r="H191" s="8">
        <v>95232073</v>
      </c>
      <c r="I191" s="8">
        <v>4527992</v>
      </c>
      <c r="J191" s="8">
        <v>2862871</v>
      </c>
      <c r="K191" s="25"/>
      <c r="L191" s="8"/>
      <c r="M191" s="8"/>
      <c r="N191" s="8"/>
      <c r="O191" s="8"/>
      <c r="P191" s="8"/>
      <c r="Q191" s="31"/>
      <c r="R191" s="31"/>
      <c r="S191" s="32"/>
      <c r="T191" s="32"/>
      <c r="U191" s="32"/>
      <c r="V191" s="32"/>
      <c r="W191" s="32"/>
      <c r="X191" s="32"/>
      <c r="Y191" s="32"/>
      <c r="Z191" s="32"/>
      <c r="AA191" s="26"/>
      <c r="AB191" s="30"/>
      <c r="AC191" s="30"/>
      <c r="AD191" s="30"/>
      <c r="AE191" s="26"/>
      <c r="AF191" s="30"/>
      <c r="AG191" s="30"/>
      <c r="AH191" s="30"/>
    </row>
    <row r="192" spans="1:34" x14ac:dyDescent="0.55000000000000004">
      <c r="A192" s="19" t="s">
        <v>202</v>
      </c>
      <c r="B192" s="21">
        <v>881926</v>
      </c>
      <c r="C192" s="21">
        <v>21497</v>
      </c>
      <c r="D192" s="21">
        <v>19879</v>
      </c>
      <c r="E192" s="21">
        <v>169360</v>
      </c>
      <c r="F192" s="21">
        <v>4941</v>
      </c>
      <c r="G192" s="21">
        <v>4479</v>
      </c>
      <c r="H192" s="21">
        <v>777932</v>
      </c>
      <c r="I192" s="21">
        <v>19070</v>
      </c>
      <c r="J192" s="21">
        <v>15719</v>
      </c>
      <c r="K192" s="25"/>
      <c r="L192" s="21">
        <v>174759</v>
      </c>
      <c r="M192" s="21">
        <v>78573</v>
      </c>
      <c r="N192" s="21">
        <v>98932</v>
      </c>
      <c r="O192" s="21">
        <v>162931</v>
      </c>
      <c r="P192" s="21">
        <v>128777</v>
      </c>
      <c r="Q192" s="21">
        <v>121841</v>
      </c>
      <c r="R192" s="21">
        <v>14682</v>
      </c>
      <c r="S192" s="21"/>
      <c r="T192" s="21"/>
      <c r="U192" s="21"/>
      <c r="V192" s="21"/>
      <c r="W192" s="21"/>
      <c r="X192" s="20"/>
      <c r="Y192" s="20"/>
      <c r="Z192" s="20"/>
      <c r="AA192" s="26"/>
      <c r="AB192" s="13">
        <f>SUM(L192:Z192)</f>
        <v>780495</v>
      </c>
      <c r="AC192" s="13">
        <f>SUM(L193:Z193)</f>
        <v>21497</v>
      </c>
      <c r="AD192" s="13">
        <f>SUM(L194:Z194)</f>
        <v>19871</v>
      </c>
      <c r="AE192" s="26"/>
      <c r="AF192" s="13">
        <f>AB192-B192</f>
        <v>-101431</v>
      </c>
      <c r="AG192" s="13">
        <f>AC192-C192</f>
        <v>0</v>
      </c>
      <c r="AH192" s="13">
        <f>AD192-D192</f>
        <v>-8</v>
      </c>
    </row>
    <row r="193" spans="1:34" x14ac:dyDescent="0.55000000000000004">
      <c r="A193" s="12" t="s">
        <v>203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24"/>
      <c r="L193" s="6">
        <v>4015</v>
      </c>
      <c r="M193" s="6">
        <v>2402</v>
      </c>
      <c r="N193" s="6">
        <v>1831</v>
      </c>
      <c r="O193" s="6">
        <v>6333</v>
      </c>
      <c r="P193" s="6">
        <v>4514</v>
      </c>
      <c r="Q193" s="6">
        <v>2063</v>
      </c>
      <c r="R193" s="6">
        <v>339</v>
      </c>
      <c r="S193" s="6"/>
      <c r="T193" s="6"/>
      <c r="U193" s="6"/>
      <c r="V193" s="6"/>
      <c r="W193" s="6"/>
      <c r="X193" s="10"/>
      <c r="Y193" s="10"/>
      <c r="Z193" s="10"/>
      <c r="AA193" s="26"/>
      <c r="AB193" s="2"/>
      <c r="AC193" s="2"/>
      <c r="AD193" s="2"/>
      <c r="AE193" s="26"/>
      <c r="AF193" s="2"/>
      <c r="AG193" s="2"/>
      <c r="AH193" s="2"/>
    </row>
    <row r="194" spans="1:34" x14ac:dyDescent="0.55000000000000004">
      <c r="A194" s="12" t="s">
        <v>204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24"/>
      <c r="L194" s="6">
        <v>3850</v>
      </c>
      <c r="M194" s="6">
        <v>2328</v>
      </c>
      <c r="N194" s="6">
        <v>1801</v>
      </c>
      <c r="O194" s="6">
        <v>5848</v>
      </c>
      <c r="P194" s="6">
        <v>4455</v>
      </c>
      <c r="Q194" s="6">
        <v>1317</v>
      </c>
      <c r="R194" s="6">
        <v>272</v>
      </c>
      <c r="S194" s="6"/>
      <c r="T194" s="6"/>
      <c r="U194" s="6"/>
      <c r="V194" s="6"/>
      <c r="W194" s="6"/>
      <c r="X194" s="10"/>
      <c r="Y194" s="10"/>
      <c r="Z194" s="10"/>
      <c r="AA194" s="26"/>
      <c r="AB194" s="2"/>
      <c r="AC194" s="2"/>
      <c r="AD194" s="2"/>
      <c r="AE194" s="26"/>
      <c r="AF194" s="2"/>
      <c r="AG194" s="2"/>
      <c r="AH194" s="2"/>
    </row>
    <row r="195" spans="1:34" x14ac:dyDescent="0.55000000000000004">
      <c r="A195" s="19" t="s">
        <v>205</v>
      </c>
      <c r="B195" s="21">
        <v>661444</v>
      </c>
      <c r="C195" s="21">
        <v>10321</v>
      </c>
      <c r="D195" s="21">
        <v>11554</v>
      </c>
      <c r="E195" s="21" t="s">
        <v>16</v>
      </c>
      <c r="F195" s="21" t="s">
        <v>16</v>
      </c>
      <c r="G195" s="21" t="s">
        <v>16</v>
      </c>
      <c r="H195" s="21">
        <v>626981</v>
      </c>
      <c r="I195" s="21">
        <v>13908</v>
      </c>
      <c r="J195" s="21">
        <v>12320</v>
      </c>
      <c r="K195" s="25"/>
      <c r="L195" s="21">
        <v>35362</v>
      </c>
      <c r="M195" s="21">
        <v>49508</v>
      </c>
      <c r="N195" s="21">
        <v>60541</v>
      </c>
      <c r="O195" s="21">
        <v>80667</v>
      </c>
      <c r="P195" s="21">
        <v>73218</v>
      </c>
      <c r="Q195" s="21">
        <v>79597</v>
      </c>
      <c r="R195" s="21">
        <v>52168</v>
      </c>
      <c r="S195" s="21">
        <v>79998</v>
      </c>
      <c r="T195" s="21">
        <v>70160</v>
      </c>
      <c r="U195" s="21">
        <v>80225</v>
      </c>
      <c r="V195" s="21"/>
      <c r="W195" s="21"/>
      <c r="X195" s="20"/>
      <c r="Y195" s="20"/>
      <c r="Z195" s="20"/>
      <c r="AA195" s="26"/>
      <c r="AB195" s="13">
        <f>SUM(L195:Z195)</f>
        <v>661444</v>
      </c>
      <c r="AC195" s="13">
        <f>SUM(L196:Z196)</f>
        <v>10322</v>
      </c>
      <c r="AD195" s="13">
        <f>SUM(L197:Z197)</f>
        <v>11554</v>
      </c>
      <c r="AE195" s="26"/>
      <c r="AF195" s="13">
        <f>AB195-B195</f>
        <v>0</v>
      </c>
      <c r="AG195" s="13">
        <f>AC195-C195</f>
        <v>1</v>
      </c>
      <c r="AH195" s="13">
        <f>AD195-D195</f>
        <v>0</v>
      </c>
    </row>
    <row r="196" spans="1:34" x14ac:dyDescent="0.55000000000000004">
      <c r="A196" s="12" t="s">
        <v>206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24"/>
      <c r="L196" s="6" t="s">
        <v>16</v>
      </c>
      <c r="M196" s="6">
        <v>1104</v>
      </c>
      <c r="N196" s="6">
        <v>1250</v>
      </c>
      <c r="O196" s="6">
        <v>1849</v>
      </c>
      <c r="P196" s="6">
        <v>1344</v>
      </c>
      <c r="Q196" s="6">
        <v>1600</v>
      </c>
      <c r="R196" s="6">
        <v>1583</v>
      </c>
      <c r="S196" s="6" t="s">
        <v>16</v>
      </c>
      <c r="T196" s="6" t="s">
        <v>16</v>
      </c>
      <c r="U196" s="6">
        <v>1592</v>
      </c>
      <c r="V196" s="6"/>
      <c r="W196" s="6"/>
      <c r="X196" s="10"/>
      <c r="Y196" s="10"/>
      <c r="Z196" s="10"/>
      <c r="AA196" s="26"/>
      <c r="AB196" s="2"/>
      <c r="AC196" s="2"/>
      <c r="AD196" s="2"/>
      <c r="AE196" s="26"/>
      <c r="AF196" s="2"/>
      <c r="AG196" s="2"/>
      <c r="AH196" s="2"/>
    </row>
    <row r="197" spans="1:34" x14ac:dyDescent="0.55000000000000004">
      <c r="A197" s="12" t="s">
        <v>207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24"/>
      <c r="L197" s="6" t="s">
        <v>16</v>
      </c>
      <c r="M197" s="6">
        <v>1100</v>
      </c>
      <c r="N197" s="6">
        <v>848</v>
      </c>
      <c r="O197" s="6">
        <v>1566</v>
      </c>
      <c r="P197" s="6">
        <v>3372</v>
      </c>
      <c r="Q197" s="6">
        <v>1732</v>
      </c>
      <c r="R197" s="6">
        <v>919</v>
      </c>
      <c r="S197" s="6" t="s">
        <v>16</v>
      </c>
      <c r="T197" s="6" t="s">
        <v>16</v>
      </c>
      <c r="U197" s="6">
        <v>2017</v>
      </c>
      <c r="V197" s="6"/>
      <c r="W197" s="6"/>
      <c r="X197" s="10"/>
      <c r="Y197" s="10"/>
      <c r="Z197" s="10"/>
      <c r="AA197" s="26"/>
      <c r="AB197" s="2"/>
      <c r="AC197" s="2"/>
      <c r="AD197" s="2"/>
      <c r="AE197" s="26"/>
      <c r="AF197" s="2"/>
      <c r="AG197" s="2"/>
      <c r="AH197" s="2"/>
    </row>
    <row r="198" spans="1:34" x14ac:dyDescent="0.55000000000000004">
      <c r="A198" s="19" t="s">
        <v>208</v>
      </c>
      <c r="B198" s="21">
        <v>793969</v>
      </c>
      <c r="C198" s="21">
        <v>22575</v>
      </c>
      <c r="D198" s="21">
        <v>16174</v>
      </c>
      <c r="E198" s="21">
        <v>85984</v>
      </c>
      <c r="F198" s="21">
        <v>2324</v>
      </c>
      <c r="G198" s="21">
        <v>1995</v>
      </c>
      <c r="H198" s="21">
        <v>780820</v>
      </c>
      <c r="I198" s="21">
        <v>20320</v>
      </c>
      <c r="J198" s="21">
        <v>13860</v>
      </c>
      <c r="K198" s="25"/>
      <c r="L198" s="21">
        <v>137990</v>
      </c>
      <c r="M198" s="21">
        <v>57480</v>
      </c>
      <c r="N198" s="21">
        <v>51837</v>
      </c>
      <c r="O198" s="21">
        <v>58725</v>
      </c>
      <c r="P198" s="21">
        <v>132671</v>
      </c>
      <c r="Q198" s="21">
        <v>92823</v>
      </c>
      <c r="R198" s="21">
        <v>120499</v>
      </c>
      <c r="S198" s="21">
        <v>141944</v>
      </c>
      <c r="T198" s="21"/>
      <c r="U198" s="21"/>
      <c r="V198" s="21"/>
      <c r="W198" s="21"/>
      <c r="X198" s="20"/>
      <c r="Y198" s="20"/>
      <c r="Z198" s="20"/>
      <c r="AA198" s="26"/>
      <c r="AB198" s="13">
        <f>SUM(L198:Z198)</f>
        <v>793969</v>
      </c>
      <c r="AC198" s="13">
        <f>SUM(L199:Z199)</f>
        <v>22665</v>
      </c>
      <c r="AD198" s="13">
        <f>SUM(L200:Z200)</f>
        <v>16174</v>
      </c>
      <c r="AE198" s="26"/>
      <c r="AF198" s="13">
        <f>AB198-B198</f>
        <v>0</v>
      </c>
      <c r="AG198" s="13">
        <f>AC198-C198</f>
        <v>90</v>
      </c>
      <c r="AH198" s="13">
        <f>AD198-D198</f>
        <v>0</v>
      </c>
    </row>
    <row r="199" spans="1:34" x14ac:dyDescent="0.55000000000000004">
      <c r="A199" s="12" t="s">
        <v>209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24"/>
      <c r="L199" s="6">
        <v>3099</v>
      </c>
      <c r="M199" s="6">
        <v>2462</v>
      </c>
      <c r="N199" s="6">
        <v>849</v>
      </c>
      <c r="O199" s="6">
        <v>2622</v>
      </c>
      <c r="P199" s="6">
        <v>2711</v>
      </c>
      <c r="Q199" s="6">
        <v>3097</v>
      </c>
      <c r="R199" s="6">
        <v>4040</v>
      </c>
      <c r="S199" s="6">
        <v>3785</v>
      </c>
      <c r="T199" s="6"/>
      <c r="U199" s="6"/>
      <c r="V199" s="6"/>
      <c r="W199" s="6"/>
      <c r="X199" s="10"/>
      <c r="Y199" s="10"/>
      <c r="Z199" s="10"/>
      <c r="AA199" s="26"/>
      <c r="AB199" s="2"/>
      <c r="AC199" s="2"/>
      <c r="AD199" s="2"/>
      <c r="AE199" s="26"/>
      <c r="AF199" s="2"/>
      <c r="AG199" s="2"/>
      <c r="AH199" s="2"/>
    </row>
    <row r="200" spans="1:34" x14ac:dyDescent="0.55000000000000004">
      <c r="A200" s="12" t="s">
        <v>210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24"/>
      <c r="L200" s="6">
        <v>1804</v>
      </c>
      <c r="M200" s="6">
        <v>1570</v>
      </c>
      <c r="N200" s="6">
        <v>460</v>
      </c>
      <c r="O200" s="6">
        <v>1674</v>
      </c>
      <c r="P200" s="6">
        <v>1784</v>
      </c>
      <c r="Q200" s="6">
        <v>2328</v>
      </c>
      <c r="R200" s="6">
        <v>4169</v>
      </c>
      <c r="S200" s="6">
        <v>2385</v>
      </c>
      <c r="T200" s="6"/>
      <c r="U200" s="6"/>
      <c r="V200" s="6"/>
      <c r="W200" s="6"/>
      <c r="X200" s="10"/>
      <c r="Y200" s="10"/>
      <c r="Z200" s="10"/>
      <c r="AA200" s="26"/>
      <c r="AB200" s="2"/>
      <c r="AC200" s="2"/>
      <c r="AD200" s="2"/>
      <c r="AE200" s="26"/>
      <c r="AF200" s="2"/>
      <c r="AG200" s="2"/>
      <c r="AH200" s="2"/>
    </row>
    <row r="201" spans="1:34" x14ac:dyDescent="0.55000000000000004">
      <c r="A201" s="22" t="s">
        <v>211</v>
      </c>
      <c r="B201" s="21">
        <v>237114</v>
      </c>
      <c r="C201" s="21">
        <v>3894</v>
      </c>
      <c r="D201" s="21">
        <v>1552</v>
      </c>
      <c r="E201" s="21" t="s">
        <v>16</v>
      </c>
      <c r="F201" s="21" t="s">
        <v>16</v>
      </c>
      <c r="G201" s="21" t="s">
        <v>16</v>
      </c>
      <c r="H201" s="21" t="s">
        <v>16</v>
      </c>
      <c r="I201" s="21" t="s">
        <v>16</v>
      </c>
      <c r="J201" s="21" t="s">
        <v>16</v>
      </c>
      <c r="K201" s="25"/>
      <c r="L201" s="21"/>
      <c r="M201" s="21"/>
      <c r="N201" s="21"/>
      <c r="O201" s="21"/>
      <c r="P201" s="21"/>
      <c r="Q201" s="21"/>
      <c r="R201" s="21"/>
      <c r="S201" s="20"/>
      <c r="T201" s="20"/>
      <c r="U201" s="20"/>
      <c r="V201" s="20"/>
      <c r="W201" s="20"/>
      <c r="X201" s="20"/>
      <c r="Y201" s="20"/>
      <c r="Z201" s="20"/>
      <c r="AA201" s="26"/>
      <c r="AB201" s="13"/>
      <c r="AC201" s="13"/>
      <c r="AD201" s="13"/>
      <c r="AE201" s="26"/>
      <c r="AF201" s="13"/>
      <c r="AG201" s="13"/>
      <c r="AH201" s="13"/>
    </row>
    <row r="202" spans="1:34" x14ac:dyDescent="0.55000000000000004">
      <c r="A202" s="19" t="s">
        <v>212</v>
      </c>
      <c r="B202" s="21">
        <v>1544358</v>
      </c>
      <c r="C202" s="21">
        <v>91303</v>
      </c>
      <c r="D202" s="21">
        <v>66594</v>
      </c>
      <c r="E202" s="21">
        <v>178697</v>
      </c>
      <c r="F202" s="21">
        <v>7752</v>
      </c>
      <c r="G202" s="21">
        <v>5338</v>
      </c>
      <c r="H202" s="21">
        <v>1385525</v>
      </c>
      <c r="I202" s="21">
        <v>85159</v>
      </c>
      <c r="J202" s="21">
        <v>57139</v>
      </c>
      <c r="K202" s="25"/>
      <c r="L202" s="21">
        <v>204721</v>
      </c>
      <c r="M202" s="21">
        <v>187344</v>
      </c>
      <c r="N202" s="21">
        <v>215596</v>
      </c>
      <c r="O202" s="21">
        <v>198030</v>
      </c>
      <c r="P202" s="21">
        <v>250716</v>
      </c>
      <c r="Q202" s="21">
        <v>214380</v>
      </c>
      <c r="R202" s="21">
        <v>237509</v>
      </c>
      <c r="S202" s="21">
        <v>36102</v>
      </c>
      <c r="T202" s="21"/>
      <c r="U202" s="21"/>
      <c r="V202" s="21"/>
      <c r="W202" s="21"/>
      <c r="X202" s="20"/>
      <c r="Y202" s="20"/>
      <c r="Z202" s="20"/>
      <c r="AA202" s="26"/>
      <c r="AB202" s="13">
        <f>SUM(L202:Z202)</f>
        <v>1544398</v>
      </c>
      <c r="AC202" s="13">
        <f>SUM(L203:Z203)</f>
        <v>91403</v>
      </c>
      <c r="AD202" s="13">
        <f>SUM(L204:Z204)</f>
        <v>65553</v>
      </c>
      <c r="AE202" s="26"/>
      <c r="AF202" s="13">
        <f>AB202-B202</f>
        <v>40</v>
      </c>
      <c r="AG202" s="13">
        <f>AC202-C202</f>
        <v>100</v>
      </c>
      <c r="AH202" s="13">
        <f>AD202-D202</f>
        <v>-1041</v>
      </c>
    </row>
    <row r="203" spans="1:34" x14ac:dyDescent="0.55000000000000004">
      <c r="A203" s="12" t="s">
        <v>213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24"/>
      <c r="L203" s="6">
        <v>11212</v>
      </c>
      <c r="M203" s="6">
        <v>10984</v>
      </c>
      <c r="N203" s="6">
        <v>13715</v>
      </c>
      <c r="O203" s="6">
        <v>13259</v>
      </c>
      <c r="P203" s="6">
        <v>15797</v>
      </c>
      <c r="Q203" s="6">
        <v>10443</v>
      </c>
      <c r="R203" s="6">
        <v>14820</v>
      </c>
      <c r="S203" s="6">
        <v>1173</v>
      </c>
      <c r="T203" s="6"/>
      <c r="U203" s="6"/>
      <c r="V203" s="6"/>
      <c r="W203" s="6"/>
      <c r="X203" s="10"/>
      <c r="Y203" s="10"/>
      <c r="Z203" s="10"/>
      <c r="AA203" s="26"/>
      <c r="AB203" s="2"/>
      <c r="AC203" s="2"/>
      <c r="AD203" s="2"/>
      <c r="AE203" s="26"/>
      <c r="AF203" s="2"/>
      <c r="AG203" s="2"/>
      <c r="AH203" s="2"/>
    </row>
    <row r="204" spans="1:34" x14ac:dyDescent="0.55000000000000004">
      <c r="A204" s="12" t="s">
        <v>214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24"/>
      <c r="L204" s="6">
        <v>6801</v>
      </c>
      <c r="M204" s="6">
        <v>7893</v>
      </c>
      <c r="N204" s="6">
        <v>9696</v>
      </c>
      <c r="O204" s="6">
        <v>9756</v>
      </c>
      <c r="P204" s="6">
        <v>13538</v>
      </c>
      <c r="Q204" s="6">
        <v>8107</v>
      </c>
      <c r="R204" s="6">
        <v>8778</v>
      </c>
      <c r="S204" s="6">
        <v>984</v>
      </c>
      <c r="T204" s="6"/>
      <c r="U204" s="6"/>
      <c r="V204" s="6"/>
      <c r="W204" s="6"/>
      <c r="X204" s="10"/>
      <c r="Y204" s="10"/>
      <c r="Z204" s="10"/>
      <c r="AA204" s="26"/>
      <c r="AB204" s="2"/>
      <c r="AC204" s="2"/>
      <c r="AD204" s="2"/>
      <c r="AE204" s="26"/>
      <c r="AF204" s="2"/>
      <c r="AG204" s="2"/>
      <c r="AH204" s="2"/>
    </row>
    <row r="205" spans="1:34" x14ac:dyDescent="0.55000000000000004">
      <c r="A205" s="19" t="s">
        <v>215</v>
      </c>
      <c r="B205" s="21">
        <v>965511</v>
      </c>
      <c r="C205" s="21">
        <v>31290</v>
      </c>
      <c r="D205" s="21">
        <v>17245</v>
      </c>
      <c r="E205" s="21" t="s">
        <v>16</v>
      </c>
      <c r="F205" s="21" t="s">
        <v>16</v>
      </c>
      <c r="G205" s="21" t="s">
        <v>16</v>
      </c>
      <c r="H205" s="21">
        <v>956660</v>
      </c>
      <c r="I205" s="21">
        <v>27377</v>
      </c>
      <c r="J205" s="21">
        <v>14579</v>
      </c>
      <c r="K205" s="25"/>
      <c r="L205" s="21">
        <v>195488</v>
      </c>
      <c r="M205" s="21">
        <v>53999</v>
      </c>
      <c r="N205" s="21">
        <v>70106</v>
      </c>
      <c r="O205" s="21">
        <v>105793</v>
      </c>
      <c r="P205" s="21">
        <v>49282</v>
      </c>
      <c r="Q205" s="21">
        <v>80331</v>
      </c>
      <c r="R205" s="21">
        <v>77837</v>
      </c>
      <c r="S205" s="21">
        <v>103000</v>
      </c>
      <c r="T205" s="21">
        <v>79028</v>
      </c>
      <c r="U205" s="21">
        <v>150647</v>
      </c>
      <c r="V205" s="21"/>
      <c r="W205" s="21"/>
      <c r="X205" s="20"/>
      <c r="Y205" s="20"/>
      <c r="Z205" s="20"/>
      <c r="AA205" s="26"/>
      <c r="AB205" s="13">
        <f>SUM(L205:Z205)</f>
        <v>965511</v>
      </c>
      <c r="AC205" s="13">
        <f>SUM(L206:Z206)</f>
        <v>31230</v>
      </c>
      <c r="AD205" s="13">
        <f>SUM(L207:Z207)</f>
        <v>17245</v>
      </c>
      <c r="AE205" s="26"/>
      <c r="AF205" s="13">
        <f>AB205-B205</f>
        <v>0</v>
      </c>
      <c r="AG205" s="13">
        <f>AC205-C205</f>
        <v>-60</v>
      </c>
      <c r="AH205" s="13">
        <f>AD205-D205</f>
        <v>0</v>
      </c>
    </row>
    <row r="206" spans="1:34" x14ac:dyDescent="0.55000000000000004">
      <c r="A206" s="12" t="s">
        <v>216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24"/>
      <c r="L206" s="6">
        <v>7653</v>
      </c>
      <c r="M206" s="6">
        <v>1718</v>
      </c>
      <c r="N206" s="6">
        <v>1619</v>
      </c>
      <c r="O206" s="6">
        <v>2780</v>
      </c>
      <c r="P206" s="6">
        <v>1383</v>
      </c>
      <c r="Q206" s="6">
        <v>2744</v>
      </c>
      <c r="R206" s="6">
        <v>2368</v>
      </c>
      <c r="S206" s="6">
        <v>3554</v>
      </c>
      <c r="T206" s="6">
        <v>1801</v>
      </c>
      <c r="U206" s="6">
        <v>5610</v>
      </c>
      <c r="V206" s="6"/>
      <c r="W206" s="6"/>
      <c r="X206" s="10"/>
      <c r="Y206" s="10"/>
      <c r="Z206" s="10"/>
      <c r="AA206" s="26"/>
      <c r="AB206" s="2"/>
      <c r="AC206" s="2"/>
      <c r="AD206" s="2"/>
      <c r="AE206" s="26"/>
      <c r="AF206" s="2"/>
      <c r="AG206" s="2"/>
      <c r="AH206" s="2"/>
    </row>
    <row r="207" spans="1:34" x14ac:dyDescent="0.55000000000000004">
      <c r="A207" s="12" t="s">
        <v>217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24"/>
      <c r="L207" s="6">
        <v>3881</v>
      </c>
      <c r="M207" s="6">
        <v>1293</v>
      </c>
      <c r="N207" s="6">
        <v>796</v>
      </c>
      <c r="O207" s="6">
        <v>1872</v>
      </c>
      <c r="P207" s="6">
        <v>762</v>
      </c>
      <c r="Q207" s="6">
        <v>1241</v>
      </c>
      <c r="R207" s="6">
        <v>1321</v>
      </c>
      <c r="S207" s="6">
        <v>1742</v>
      </c>
      <c r="T207" s="6">
        <v>1684</v>
      </c>
      <c r="U207" s="6">
        <v>2653</v>
      </c>
      <c r="V207" s="6"/>
      <c r="W207" s="6"/>
      <c r="X207" s="10"/>
      <c r="Y207" s="10"/>
      <c r="Z207" s="10"/>
      <c r="AA207" s="26"/>
      <c r="AB207" s="2"/>
      <c r="AC207" s="2"/>
      <c r="AD207" s="2"/>
      <c r="AE207" s="26"/>
      <c r="AF207" s="2"/>
      <c r="AG207" s="2"/>
      <c r="AH207" s="2"/>
    </row>
    <row r="208" spans="1:34" x14ac:dyDescent="0.55000000000000004">
      <c r="A208" s="19" t="s">
        <v>218</v>
      </c>
      <c r="B208" s="21">
        <v>695577</v>
      </c>
      <c r="C208" s="21">
        <v>43549</v>
      </c>
      <c r="D208" s="21">
        <v>36430</v>
      </c>
      <c r="E208" s="21" t="s">
        <v>16</v>
      </c>
      <c r="F208" s="21" t="s">
        <v>16</v>
      </c>
      <c r="G208" s="21" t="s">
        <v>16</v>
      </c>
      <c r="H208" s="21">
        <v>674237</v>
      </c>
      <c r="I208" s="21">
        <v>41989</v>
      </c>
      <c r="J208" s="21">
        <v>28752</v>
      </c>
      <c r="K208" s="25"/>
      <c r="L208" s="21">
        <v>136235</v>
      </c>
      <c r="M208" s="21">
        <v>143548</v>
      </c>
      <c r="N208" s="21">
        <v>170246</v>
      </c>
      <c r="O208" s="21">
        <v>197096</v>
      </c>
      <c r="P208" s="21">
        <v>48452</v>
      </c>
      <c r="Q208" s="21"/>
      <c r="R208" s="21"/>
      <c r="S208" s="21"/>
      <c r="T208" s="21"/>
      <c r="U208" s="21"/>
      <c r="V208" s="21"/>
      <c r="W208" s="21"/>
      <c r="X208" s="20"/>
      <c r="Y208" s="20"/>
      <c r="Z208" s="20"/>
      <c r="AA208" s="26"/>
      <c r="AB208" s="13">
        <f>SUM(L208:Z208)</f>
        <v>695577</v>
      </c>
      <c r="AC208" s="13">
        <f>SUM(L209:Z209)</f>
        <v>43549</v>
      </c>
      <c r="AD208" s="13">
        <f>SUM(L210:Z210)</f>
        <v>36430</v>
      </c>
      <c r="AE208" s="26"/>
      <c r="AF208" s="13">
        <f>AB208-B208</f>
        <v>0</v>
      </c>
      <c r="AG208" s="13">
        <f>AC208-C208</f>
        <v>0</v>
      </c>
      <c r="AH208" s="13">
        <f>AD208-D208</f>
        <v>0</v>
      </c>
    </row>
    <row r="209" spans="1:34" x14ac:dyDescent="0.55000000000000004">
      <c r="A209" s="12" t="s">
        <v>219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24"/>
      <c r="L209" s="6">
        <v>8111</v>
      </c>
      <c r="M209" s="6">
        <v>9258</v>
      </c>
      <c r="N209" s="6">
        <v>12404</v>
      </c>
      <c r="O209" s="6">
        <v>12551</v>
      </c>
      <c r="P209" s="6">
        <v>1225</v>
      </c>
      <c r="Q209" s="6"/>
      <c r="R209" s="6"/>
      <c r="S209" s="6"/>
      <c r="T209" s="6"/>
      <c r="U209" s="6"/>
      <c r="V209" s="6"/>
      <c r="W209" s="6"/>
      <c r="X209" s="10"/>
      <c r="Y209" s="10"/>
      <c r="Z209" s="10"/>
      <c r="AA209" s="26"/>
      <c r="AB209" s="2"/>
      <c r="AC209" s="2"/>
      <c r="AD209" s="2"/>
      <c r="AE209" s="26"/>
      <c r="AF209" s="2"/>
      <c r="AG209" s="2"/>
      <c r="AH209" s="2"/>
    </row>
    <row r="210" spans="1:34" x14ac:dyDescent="0.55000000000000004">
      <c r="A210" s="12" t="s">
        <v>220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24"/>
      <c r="L210" s="6">
        <v>8146</v>
      </c>
      <c r="M210" s="6">
        <v>6078</v>
      </c>
      <c r="N210" s="6">
        <v>12347</v>
      </c>
      <c r="O210" s="6">
        <v>8793</v>
      </c>
      <c r="P210" s="6">
        <v>1066</v>
      </c>
      <c r="Q210" s="6"/>
      <c r="R210" s="6"/>
      <c r="S210" s="6"/>
      <c r="T210" s="6"/>
      <c r="U210" s="6"/>
      <c r="V210" s="6"/>
      <c r="W210" s="6"/>
      <c r="X210" s="10"/>
      <c r="Y210" s="10"/>
      <c r="Z210" s="10"/>
      <c r="AA210" s="26"/>
      <c r="AB210" s="2"/>
      <c r="AC210" s="2"/>
      <c r="AD210" s="2"/>
      <c r="AE210" s="26"/>
      <c r="AF210" s="2"/>
      <c r="AG210" s="2"/>
      <c r="AH210" s="2"/>
    </row>
    <row r="211" spans="1:34" x14ac:dyDescent="0.55000000000000004">
      <c r="A211" s="19" t="s">
        <v>221</v>
      </c>
      <c r="B211" s="21">
        <v>782596</v>
      </c>
      <c r="C211" s="21">
        <v>27658</v>
      </c>
      <c r="D211" s="21">
        <v>17084</v>
      </c>
      <c r="E211" s="21">
        <v>97964</v>
      </c>
      <c r="F211" s="21">
        <v>4138</v>
      </c>
      <c r="G211" s="21">
        <v>2212</v>
      </c>
      <c r="H211" s="21">
        <v>729790</v>
      </c>
      <c r="I211" s="21">
        <v>23751</v>
      </c>
      <c r="J211" s="21">
        <v>16626</v>
      </c>
      <c r="K211" s="25"/>
      <c r="L211" s="21">
        <v>134271</v>
      </c>
      <c r="M211" s="21">
        <v>177132</v>
      </c>
      <c r="N211" s="21">
        <v>78181</v>
      </c>
      <c r="O211" s="21">
        <v>111398</v>
      </c>
      <c r="P211" s="21">
        <v>119439</v>
      </c>
      <c r="Q211" s="21">
        <v>102567</v>
      </c>
      <c r="R211" s="21">
        <v>59608</v>
      </c>
      <c r="S211" s="21"/>
      <c r="T211" s="21"/>
      <c r="U211" s="21"/>
      <c r="V211" s="21"/>
      <c r="W211" s="21"/>
      <c r="X211" s="20"/>
      <c r="Y211" s="20"/>
      <c r="Z211" s="20"/>
      <c r="AA211" s="26"/>
      <c r="AB211" s="13">
        <f>SUM(L211:Z211)</f>
        <v>782596</v>
      </c>
      <c r="AC211" s="13">
        <f>SUM(L212:Z212)</f>
        <v>27658</v>
      </c>
      <c r="AD211" s="13">
        <f>SUM(L213:Z213)</f>
        <v>17084</v>
      </c>
      <c r="AE211" s="26"/>
      <c r="AF211" s="13">
        <f>AB211-B211</f>
        <v>0</v>
      </c>
      <c r="AG211" s="13">
        <f>AC211-C211</f>
        <v>0</v>
      </c>
      <c r="AH211" s="13">
        <f>AD211-D211</f>
        <v>0</v>
      </c>
    </row>
    <row r="212" spans="1:34" x14ac:dyDescent="0.55000000000000004">
      <c r="A212" s="12" t="s">
        <v>222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24"/>
      <c r="L212" s="6">
        <v>4586</v>
      </c>
      <c r="M212" s="6">
        <v>3680</v>
      </c>
      <c r="N212" s="6">
        <v>3364</v>
      </c>
      <c r="O212" s="6">
        <v>3718</v>
      </c>
      <c r="P212" s="6">
        <v>6961</v>
      </c>
      <c r="Q212" s="6">
        <v>3672</v>
      </c>
      <c r="R212" s="6">
        <v>1677</v>
      </c>
      <c r="S212" s="6"/>
      <c r="T212" s="6"/>
      <c r="U212" s="6"/>
      <c r="V212" s="6"/>
      <c r="W212" s="6"/>
      <c r="X212" s="10"/>
      <c r="Y212" s="10"/>
      <c r="Z212" s="10"/>
      <c r="AA212" s="26"/>
      <c r="AB212" s="2"/>
      <c r="AC212" s="2"/>
      <c r="AD212" s="2"/>
      <c r="AE212" s="26"/>
      <c r="AF212" s="2"/>
      <c r="AG212" s="2"/>
      <c r="AH212" s="2"/>
    </row>
    <row r="213" spans="1:34" x14ac:dyDescent="0.55000000000000004">
      <c r="A213" s="12" t="s">
        <v>223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24"/>
      <c r="L213" s="6">
        <v>1861</v>
      </c>
      <c r="M213" s="6">
        <v>1541</v>
      </c>
      <c r="N213" s="6">
        <v>2183</v>
      </c>
      <c r="O213" s="6">
        <v>1878</v>
      </c>
      <c r="P213" s="6">
        <v>5534</v>
      </c>
      <c r="Q213" s="6">
        <v>2439</v>
      </c>
      <c r="R213" s="6">
        <v>1648</v>
      </c>
      <c r="S213" s="6"/>
      <c r="T213" s="6"/>
      <c r="U213" s="6"/>
      <c r="V213" s="6"/>
      <c r="W213" s="6"/>
      <c r="X213" s="10"/>
      <c r="Y213" s="10"/>
      <c r="Z213" s="10"/>
      <c r="AA213" s="26"/>
      <c r="AB213" s="2"/>
      <c r="AC213" s="2"/>
      <c r="AD213" s="2"/>
      <c r="AE213" s="26"/>
      <c r="AF213" s="2"/>
      <c r="AG213" s="2"/>
      <c r="AH213" s="2"/>
    </row>
    <row r="214" spans="1:34" x14ac:dyDescent="0.55000000000000004">
      <c r="A214" s="19" t="s">
        <v>224</v>
      </c>
      <c r="B214" s="21">
        <v>832384</v>
      </c>
      <c r="C214" s="21">
        <v>30534</v>
      </c>
      <c r="D214" s="21">
        <v>20196</v>
      </c>
      <c r="E214" s="21" t="s">
        <v>16</v>
      </c>
      <c r="F214" s="21" t="s">
        <v>16</v>
      </c>
      <c r="G214" s="21" t="s">
        <v>16</v>
      </c>
      <c r="H214" s="21">
        <v>818949</v>
      </c>
      <c r="I214" s="21">
        <v>28791</v>
      </c>
      <c r="J214" s="21">
        <v>17424</v>
      </c>
      <c r="K214" s="25"/>
      <c r="L214" s="21">
        <v>170299</v>
      </c>
      <c r="M214" s="21">
        <v>63799</v>
      </c>
      <c r="N214" s="21">
        <v>58791</v>
      </c>
      <c r="O214" s="21">
        <v>101482</v>
      </c>
      <c r="P214" s="21">
        <v>177656</v>
      </c>
      <c r="Q214" s="21">
        <v>70017</v>
      </c>
      <c r="R214" s="21">
        <v>89881</v>
      </c>
      <c r="S214" s="21">
        <v>65119</v>
      </c>
      <c r="T214" s="21">
        <v>35340</v>
      </c>
      <c r="U214" s="21"/>
      <c r="V214" s="21"/>
      <c r="W214" s="21"/>
      <c r="X214" s="20"/>
      <c r="Y214" s="20"/>
      <c r="Z214" s="20"/>
      <c r="AA214" s="26"/>
      <c r="AB214" s="13">
        <f>SUM(L214:Z214)</f>
        <v>832384</v>
      </c>
      <c r="AC214" s="13">
        <f>SUM(L215:Z215)</f>
        <v>31534</v>
      </c>
      <c r="AD214" s="13">
        <f>SUM(L216:Z216)</f>
        <v>20196</v>
      </c>
      <c r="AE214" s="26"/>
      <c r="AF214" s="13">
        <f>AB214-B214</f>
        <v>0</v>
      </c>
      <c r="AG214" s="13">
        <f>AC214-C214</f>
        <v>1000</v>
      </c>
      <c r="AH214" s="13">
        <f>AD214-D214</f>
        <v>0</v>
      </c>
    </row>
    <row r="215" spans="1:34" x14ac:dyDescent="0.55000000000000004">
      <c r="A215" s="12" t="s">
        <v>225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24"/>
      <c r="L215" s="6">
        <v>6124</v>
      </c>
      <c r="M215" s="6">
        <v>3663</v>
      </c>
      <c r="N215" s="6">
        <v>2203</v>
      </c>
      <c r="O215" s="6">
        <v>2886</v>
      </c>
      <c r="P215" s="6">
        <v>6698</v>
      </c>
      <c r="Q215" s="6">
        <v>2312</v>
      </c>
      <c r="R215" s="6">
        <v>3830</v>
      </c>
      <c r="S215" s="6">
        <v>2640</v>
      </c>
      <c r="T215" s="6">
        <v>1178</v>
      </c>
      <c r="U215" s="6"/>
      <c r="V215" s="6"/>
      <c r="W215" s="6"/>
      <c r="X215" s="10"/>
      <c r="Y215" s="10"/>
      <c r="Z215" s="10"/>
      <c r="AA215" s="26"/>
      <c r="AB215" s="2"/>
      <c r="AC215" s="2"/>
      <c r="AD215" s="2"/>
      <c r="AE215" s="26"/>
      <c r="AF215" s="2"/>
      <c r="AG215" s="2"/>
      <c r="AH215" s="2"/>
    </row>
    <row r="216" spans="1:34" x14ac:dyDescent="0.55000000000000004">
      <c r="A216" s="12" t="s">
        <v>226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24"/>
      <c r="L216" s="6">
        <v>4293</v>
      </c>
      <c r="M216" s="6">
        <v>1469</v>
      </c>
      <c r="N216" s="6">
        <v>1008</v>
      </c>
      <c r="O216" s="6">
        <v>1807</v>
      </c>
      <c r="P216" s="6">
        <v>3573</v>
      </c>
      <c r="Q216" s="6">
        <v>1487</v>
      </c>
      <c r="R216" s="6">
        <v>2711</v>
      </c>
      <c r="S216" s="6">
        <v>2984</v>
      </c>
      <c r="T216" s="6">
        <v>864</v>
      </c>
      <c r="U216" s="6"/>
      <c r="V216" s="6"/>
      <c r="W216" s="6"/>
      <c r="X216" s="10"/>
      <c r="Y216" s="10"/>
      <c r="Z216" s="10"/>
      <c r="AA216" s="26"/>
      <c r="AB216" s="2"/>
      <c r="AC216" s="2"/>
      <c r="AD216" s="2"/>
      <c r="AE216" s="26"/>
      <c r="AF216" s="2"/>
      <c r="AG216" s="2"/>
      <c r="AH216" s="2"/>
    </row>
    <row r="217" spans="1:34" x14ac:dyDescent="0.55000000000000004">
      <c r="A217" s="19" t="s">
        <v>227</v>
      </c>
      <c r="B217" s="21">
        <v>690528</v>
      </c>
      <c r="C217" s="21">
        <v>21700</v>
      </c>
      <c r="D217" s="21">
        <v>13300</v>
      </c>
      <c r="E217" s="21">
        <v>54354</v>
      </c>
      <c r="F217" s="21" t="s">
        <v>16</v>
      </c>
      <c r="G217" s="21" t="s">
        <v>16</v>
      </c>
      <c r="H217" s="21">
        <v>679663</v>
      </c>
      <c r="I217" s="21">
        <v>23022</v>
      </c>
      <c r="J217" s="21">
        <v>14815</v>
      </c>
      <c r="K217" s="25"/>
      <c r="L217" s="21">
        <v>113450</v>
      </c>
      <c r="M217" s="21">
        <v>144933</v>
      </c>
      <c r="N217" s="21">
        <v>82183</v>
      </c>
      <c r="O217" s="21">
        <v>109902</v>
      </c>
      <c r="P217" s="21">
        <v>73833</v>
      </c>
      <c r="Q217" s="21">
        <v>63346</v>
      </c>
      <c r="R217" s="21">
        <v>98853</v>
      </c>
      <c r="S217" s="21"/>
      <c r="T217" s="21"/>
      <c r="U217" s="21"/>
      <c r="V217" s="21"/>
      <c r="W217" s="21"/>
      <c r="X217" s="20"/>
      <c r="Y217" s="20"/>
      <c r="Z217" s="20"/>
      <c r="AA217" s="26"/>
      <c r="AB217" s="13">
        <f>SUM(L217:Z217)</f>
        <v>686500</v>
      </c>
      <c r="AC217" s="13">
        <f>SUM(L218:Z218)</f>
        <v>0</v>
      </c>
      <c r="AD217" s="13">
        <f>SUM(L219:Z219)</f>
        <v>0</v>
      </c>
      <c r="AE217" s="26"/>
      <c r="AF217" s="13">
        <f>AB217-B217</f>
        <v>-4028</v>
      </c>
      <c r="AG217" s="13">
        <f>AC217-C217</f>
        <v>-21700</v>
      </c>
      <c r="AH217" s="13">
        <f>AD217-D217</f>
        <v>-13300</v>
      </c>
    </row>
    <row r="218" spans="1:34" x14ac:dyDescent="0.55000000000000004">
      <c r="A218" s="12" t="s">
        <v>228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24"/>
      <c r="L218" s="6" t="s">
        <v>16</v>
      </c>
      <c r="M218" s="6" t="s">
        <v>16</v>
      </c>
      <c r="N218" s="6" t="s">
        <v>16</v>
      </c>
      <c r="O218" s="6" t="s">
        <v>16</v>
      </c>
      <c r="P218" s="6" t="s">
        <v>16</v>
      </c>
      <c r="Q218" s="6" t="s">
        <v>16</v>
      </c>
      <c r="R218" s="6" t="s">
        <v>16</v>
      </c>
      <c r="S218" s="6"/>
      <c r="T218" s="6"/>
      <c r="U218" s="6"/>
      <c r="V218" s="6"/>
      <c r="W218" s="6"/>
      <c r="X218" s="10"/>
      <c r="Y218" s="10"/>
      <c r="Z218" s="10"/>
      <c r="AA218" s="26"/>
      <c r="AB218" s="2"/>
      <c r="AC218" s="2"/>
      <c r="AD218" s="2"/>
      <c r="AE218" s="26"/>
      <c r="AF218" s="2"/>
      <c r="AG218" s="2"/>
      <c r="AH218" s="2"/>
    </row>
    <row r="219" spans="1:34" x14ac:dyDescent="0.55000000000000004">
      <c r="A219" s="12" t="s">
        <v>229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24"/>
      <c r="L219" s="6" t="s">
        <v>16</v>
      </c>
      <c r="M219" s="6" t="s">
        <v>16</v>
      </c>
      <c r="N219" s="6" t="s">
        <v>16</v>
      </c>
      <c r="O219" s="6" t="s">
        <v>16</v>
      </c>
      <c r="P219" s="6" t="s">
        <v>16</v>
      </c>
      <c r="Q219" s="6" t="s">
        <v>16</v>
      </c>
      <c r="R219" s="6" t="s">
        <v>16</v>
      </c>
      <c r="S219" s="6"/>
      <c r="T219" s="6"/>
      <c r="U219" s="6"/>
      <c r="V219" s="6"/>
      <c r="W219" s="6"/>
      <c r="X219" s="10"/>
      <c r="Y219" s="10"/>
      <c r="Z219" s="10"/>
      <c r="AA219" s="26"/>
      <c r="AB219" s="2"/>
      <c r="AC219" s="2"/>
      <c r="AD219" s="2"/>
      <c r="AE219" s="26"/>
      <c r="AF219" s="2"/>
      <c r="AG219" s="2"/>
      <c r="AH219" s="2"/>
    </row>
    <row r="220" spans="1:34" x14ac:dyDescent="0.55000000000000004">
      <c r="A220" s="7" t="s">
        <v>230</v>
      </c>
      <c r="B220" s="8">
        <v>8085407</v>
      </c>
      <c r="C220" s="8">
        <v>304321</v>
      </c>
      <c r="D220" s="8">
        <v>220008</v>
      </c>
      <c r="E220" s="8"/>
      <c r="F220" s="8"/>
      <c r="G220" s="8"/>
      <c r="H220" s="8">
        <v>7692269</v>
      </c>
      <c r="I220" s="8">
        <v>352849</v>
      </c>
      <c r="J220" s="8">
        <v>188555</v>
      </c>
      <c r="K220" s="25"/>
      <c r="L220" s="8"/>
      <c r="M220" s="8"/>
      <c r="N220" s="8"/>
      <c r="O220" s="8"/>
      <c r="P220" s="8"/>
      <c r="Q220" s="31"/>
      <c r="R220" s="31"/>
      <c r="S220" s="32"/>
      <c r="T220" s="32"/>
      <c r="U220" s="32"/>
      <c r="V220" s="32"/>
      <c r="W220" s="32"/>
      <c r="X220" s="32"/>
      <c r="Y220" s="32"/>
      <c r="Z220" s="32"/>
      <c r="AA220" s="26"/>
      <c r="AB220" s="30"/>
      <c r="AC220" s="30"/>
      <c r="AD220" s="30"/>
      <c r="AE220" s="26"/>
      <c r="AF220" s="30"/>
      <c r="AG220" s="30"/>
      <c r="AH220" s="30"/>
    </row>
    <row r="221" spans="1:34" x14ac:dyDescent="0.55000000000000004">
      <c r="A221" s="19" t="s">
        <v>231</v>
      </c>
      <c r="B221" s="21">
        <v>63221</v>
      </c>
      <c r="C221" s="21" t="s">
        <v>16</v>
      </c>
      <c r="D221" s="21" t="s">
        <v>16</v>
      </c>
      <c r="E221" s="21" t="s">
        <v>16</v>
      </c>
      <c r="F221" s="21" t="s">
        <v>16</v>
      </c>
      <c r="G221" s="21" t="s">
        <v>16</v>
      </c>
      <c r="H221" s="21" t="s">
        <v>16</v>
      </c>
      <c r="I221" s="21" t="s">
        <v>16</v>
      </c>
      <c r="J221" s="21" t="s">
        <v>16</v>
      </c>
      <c r="K221" s="25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0"/>
      <c r="Y221" s="20"/>
      <c r="Z221" s="20"/>
      <c r="AA221" s="26"/>
      <c r="AB221" s="13"/>
      <c r="AC221" s="13"/>
      <c r="AD221" s="13"/>
      <c r="AE221" s="26"/>
      <c r="AF221" s="13"/>
      <c r="AG221" s="13"/>
      <c r="AH221" s="13"/>
    </row>
    <row r="222" spans="1:34" x14ac:dyDescent="0.55000000000000004">
      <c r="A222" s="19" t="s">
        <v>232</v>
      </c>
      <c r="B222" s="21">
        <v>459105</v>
      </c>
      <c r="C222" s="21">
        <v>23946</v>
      </c>
      <c r="D222" s="21">
        <v>19733</v>
      </c>
      <c r="E222" s="21">
        <v>39827</v>
      </c>
      <c r="F222" s="21">
        <v>1997</v>
      </c>
      <c r="G222" s="21">
        <v>2302</v>
      </c>
      <c r="H222" s="21">
        <v>471810</v>
      </c>
      <c r="I222" s="21">
        <v>24012</v>
      </c>
      <c r="J222" s="21">
        <v>17487</v>
      </c>
      <c r="K222" s="25"/>
      <c r="L222" s="21">
        <v>86548</v>
      </c>
      <c r="M222" s="21">
        <v>85994</v>
      </c>
      <c r="N222" s="21">
        <v>64305</v>
      </c>
      <c r="O222" s="21">
        <v>79041</v>
      </c>
      <c r="P222" s="21">
        <v>134187</v>
      </c>
      <c r="Q222" s="21">
        <v>9030</v>
      </c>
      <c r="R222" s="21"/>
      <c r="S222" s="21"/>
      <c r="T222" s="21"/>
      <c r="U222" s="21"/>
      <c r="V222" s="21"/>
      <c r="W222" s="21"/>
      <c r="X222" s="20"/>
      <c r="Y222" s="20"/>
      <c r="Z222" s="20"/>
      <c r="AA222" s="26"/>
      <c r="AB222" s="13">
        <f>SUM(L222:Z222)</f>
        <v>459105</v>
      </c>
      <c r="AC222" s="13">
        <f>SUM(L223:Z223)</f>
        <v>23946</v>
      </c>
      <c r="AD222" s="13">
        <f>SUM(L224:Z224)</f>
        <v>19833</v>
      </c>
      <c r="AE222" s="26"/>
      <c r="AF222" s="13">
        <f>AB222-B222</f>
        <v>0</v>
      </c>
      <c r="AG222" s="13">
        <f>AC222-C222</f>
        <v>0</v>
      </c>
      <c r="AH222" s="13">
        <f>AD222-D222</f>
        <v>100</v>
      </c>
    </row>
    <row r="223" spans="1:34" x14ac:dyDescent="0.55000000000000004">
      <c r="A223" s="12" t="s">
        <v>233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24"/>
      <c r="L223" s="6">
        <v>3886</v>
      </c>
      <c r="M223" s="6">
        <v>4812</v>
      </c>
      <c r="N223" s="6">
        <v>2977</v>
      </c>
      <c r="O223" s="6">
        <v>3678</v>
      </c>
      <c r="P223" s="6">
        <v>8361</v>
      </c>
      <c r="Q223" s="6">
        <v>232</v>
      </c>
      <c r="R223" s="6"/>
      <c r="S223" s="6"/>
      <c r="T223" s="6"/>
      <c r="U223" s="6"/>
      <c r="V223" s="6"/>
      <c r="W223" s="6"/>
      <c r="X223" s="10"/>
      <c r="Y223" s="10"/>
      <c r="Z223" s="10"/>
      <c r="AA223" s="26"/>
      <c r="AB223" s="2"/>
      <c r="AC223" s="2"/>
      <c r="AD223" s="2"/>
      <c r="AE223" s="26"/>
      <c r="AF223" s="2"/>
      <c r="AG223" s="2"/>
      <c r="AH223" s="2"/>
    </row>
    <row r="224" spans="1:34" x14ac:dyDescent="0.55000000000000004">
      <c r="A224" s="12" t="s">
        <v>234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24"/>
      <c r="L224" s="6">
        <v>3995</v>
      </c>
      <c r="M224" s="6">
        <v>3912</v>
      </c>
      <c r="N224" s="6">
        <v>2400</v>
      </c>
      <c r="O224" s="6">
        <v>3255</v>
      </c>
      <c r="P224" s="6">
        <v>6139</v>
      </c>
      <c r="Q224" s="6">
        <v>132</v>
      </c>
      <c r="R224" s="6"/>
      <c r="S224" s="6"/>
      <c r="T224" s="6"/>
      <c r="U224" s="6"/>
      <c r="V224" s="6"/>
      <c r="W224" s="6"/>
      <c r="X224" s="10"/>
      <c r="Y224" s="10"/>
      <c r="Z224" s="10"/>
      <c r="AA224" s="26"/>
      <c r="AB224" s="2"/>
      <c r="AC224" s="2"/>
      <c r="AD224" s="2"/>
      <c r="AE224" s="26"/>
      <c r="AF224" s="2"/>
      <c r="AG224" s="2"/>
      <c r="AH224" s="2"/>
    </row>
    <row r="225" spans="1:35" x14ac:dyDescent="0.55000000000000004">
      <c r="A225" s="19" t="s">
        <v>235</v>
      </c>
      <c r="B225" s="21">
        <v>586002</v>
      </c>
      <c r="C225" s="21">
        <v>20933</v>
      </c>
      <c r="D225" s="21">
        <v>12119</v>
      </c>
      <c r="E225" s="21" t="s">
        <v>16</v>
      </c>
      <c r="F225" s="21" t="s">
        <v>16</v>
      </c>
      <c r="G225" s="21" t="s">
        <v>16</v>
      </c>
      <c r="H225" s="21">
        <v>525915</v>
      </c>
      <c r="I225" s="21">
        <v>18454</v>
      </c>
      <c r="J225" s="21">
        <v>12724</v>
      </c>
      <c r="K225" s="25"/>
      <c r="L225" s="21">
        <v>118387</v>
      </c>
      <c r="M225" s="21">
        <v>29370</v>
      </c>
      <c r="N225" s="21">
        <v>21237</v>
      </c>
      <c r="O225" s="21">
        <v>146998</v>
      </c>
      <c r="P225" s="21">
        <v>71773</v>
      </c>
      <c r="Q225" s="21">
        <v>63112</v>
      </c>
      <c r="R225" s="21">
        <v>96468</v>
      </c>
      <c r="S225" s="21">
        <v>28657</v>
      </c>
      <c r="T225" s="21"/>
      <c r="U225" s="21"/>
      <c r="V225" s="21"/>
      <c r="W225" s="21"/>
      <c r="X225" s="20"/>
      <c r="Y225" s="20"/>
      <c r="Z225" s="20"/>
      <c r="AA225" s="26"/>
      <c r="AB225" s="13">
        <f>SUM(L225:Z225)</f>
        <v>576002</v>
      </c>
      <c r="AC225" s="13">
        <f>SUM(L226:Z226)</f>
        <v>20933</v>
      </c>
      <c r="AD225" s="13">
        <f>SUM(L227:Z227)</f>
        <v>12119</v>
      </c>
      <c r="AE225" s="26"/>
      <c r="AF225" s="13">
        <f>AB225-B225</f>
        <v>-10000</v>
      </c>
      <c r="AG225" s="13">
        <f>AC225-C225</f>
        <v>0</v>
      </c>
      <c r="AH225" s="13">
        <f>AD225-D225</f>
        <v>0</v>
      </c>
    </row>
    <row r="226" spans="1:35" x14ac:dyDescent="0.55000000000000004">
      <c r="A226" s="12" t="s">
        <v>236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24"/>
      <c r="L226" s="6">
        <v>4470</v>
      </c>
      <c r="M226" s="6">
        <v>1025</v>
      </c>
      <c r="N226" s="6">
        <v>658</v>
      </c>
      <c r="O226" s="6">
        <v>5724</v>
      </c>
      <c r="P226" s="6">
        <v>3726</v>
      </c>
      <c r="Q226" s="6">
        <v>839</v>
      </c>
      <c r="R226" s="6">
        <v>3367</v>
      </c>
      <c r="S226" s="6">
        <v>1124</v>
      </c>
      <c r="T226" s="6"/>
      <c r="U226" s="6"/>
      <c r="V226" s="6"/>
      <c r="W226" s="6"/>
      <c r="X226" s="10"/>
      <c r="Y226" s="10"/>
      <c r="Z226" s="10"/>
      <c r="AA226" s="26"/>
      <c r="AB226" s="2"/>
      <c r="AC226" s="2"/>
      <c r="AD226" s="2"/>
      <c r="AE226" s="26"/>
      <c r="AF226" s="2"/>
      <c r="AG226" s="2"/>
      <c r="AH226" s="2"/>
    </row>
    <row r="227" spans="1:35" x14ac:dyDescent="0.55000000000000004">
      <c r="A227" s="12" t="s">
        <v>237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24"/>
      <c r="L227" s="6">
        <v>2396</v>
      </c>
      <c r="M227" s="6">
        <v>573</v>
      </c>
      <c r="N227" s="6">
        <v>354</v>
      </c>
      <c r="O227" s="6">
        <v>3294</v>
      </c>
      <c r="P227" s="6">
        <v>2310</v>
      </c>
      <c r="Q227" s="6">
        <v>559</v>
      </c>
      <c r="R227" s="6">
        <v>1961</v>
      </c>
      <c r="S227" s="6">
        <v>672</v>
      </c>
      <c r="T227" s="6"/>
      <c r="U227" s="6"/>
      <c r="V227" s="6"/>
      <c r="W227" s="6"/>
      <c r="X227" s="10"/>
      <c r="Y227" s="10"/>
      <c r="Z227" s="10"/>
      <c r="AA227" s="26"/>
      <c r="AB227" s="2"/>
      <c r="AC227" s="2"/>
      <c r="AD227" s="2"/>
      <c r="AE227" s="26"/>
      <c r="AF227" s="2"/>
      <c r="AG227" s="2"/>
      <c r="AH227" s="2"/>
    </row>
    <row r="228" spans="1:35" x14ac:dyDescent="0.55000000000000004">
      <c r="A228" s="19" t="s">
        <v>238</v>
      </c>
      <c r="B228" s="21">
        <v>456617</v>
      </c>
      <c r="C228" s="21">
        <v>20985</v>
      </c>
      <c r="D228" s="21">
        <v>14919</v>
      </c>
      <c r="E228" s="21">
        <v>58660</v>
      </c>
      <c r="F228" s="21">
        <v>2404</v>
      </c>
      <c r="G228" s="21">
        <v>2015</v>
      </c>
      <c r="H228" s="21">
        <v>457085</v>
      </c>
      <c r="I228" s="21">
        <v>20316</v>
      </c>
      <c r="J228" s="21">
        <v>16324</v>
      </c>
      <c r="K228" s="25"/>
      <c r="L228" s="21">
        <v>149807</v>
      </c>
      <c r="M228" s="21">
        <v>131855</v>
      </c>
      <c r="N228" s="21">
        <v>66931</v>
      </c>
      <c r="O228" s="21">
        <v>50737</v>
      </c>
      <c r="P228" s="21">
        <v>57287</v>
      </c>
      <c r="Q228" s="21"/>
      <c r="R228" s="21"/>
      <c r="S228" s="21"/>
      <c r="T228" s="21"/>
      <c r="U228" s="21"/>
      <c r="V228" s="21"/>
      <c r="W228" s="21"/>
      <c r="X228" s="20"/>
      <c r="Y228" s="20"/>
      <c r="Z228" s="20"/>
      <c r="AA228" s="26"/>
      <c r="AB228" s="13">
        <f>SUM(L228:Z228)</f>
        <v>456617</v>
      </c>
      <c r="AC228" s="13">
        <f>SUM(L229:Z229)</f>
        <v>20985</v>
      </c>
      <c r="AD228" s="13">
        <f>SUM(L230:Z230)</f>
        <v>14908</v>
      </c>
      <c r="AE228" s="26"/>
      <c r="AF228" s="13">
        <f>AB228-B228</f>
        <v>0</v>
      </c>
      <c r="AG228" s="13">
        <f>AC228-C228</f>
        <v>0</v>
      </c>
      <c r="AH228" s="13">
        <f>AD228-D228</f>
        <v>-11</v>
      </c>
    </row>
    <row r="229" spans="1:35" x14ac:dyDescent="0.55000000000000004">
      <c r="A229" s="12" t="s">
        <v>239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24"/>
      <c r="L229" s="6">
        <v>6376</v>
      </c>
      <c r="M229" s="6">
        <v>5728</v>
      </c>
      <c r="N229" s="6">
        <v>3094</v>
      </c>
      <c r="O229" s="6">
        <v>2646</v>
      </c>
      <c r="P229" s="6">
        <v>3141</v>
      </c>
      <c r="Q229" s="6"/>
      <c r="R229" s="6"/>
      <c r="S229" s="6"/>
      <c r="T229" s="6"/>
      <c r="U229" s="6"/>
      <c r="V229" s="6"/>
      <c r="W229" s="6"/>
      <c r="X229" s="10"/>
      <c r="Y229" s="10"/>
      <c r="Z229" s="10"/>
      <c r="AA229" s="26"/>
      <c r="AB229" s="2"/>
      <c r="AC229" s="2"/>
      <c r="AD229" s="2"/>
      <c r="AE229" s="26"/>
      <c r="AF229" s="2"/>
      <c r="AG229" s="2"/>
      <c r="AH229" s="2"/>
    </row>
    <row r="230" spans="1:35" x14ac:dyDescent="0.55000000000000004">
      <c r="A230" s="12" t="s">
        <v>240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24"/>
      <c r="L230" s="6">
        <v>4722</v>
      </c>
      <c r="M230" s="6">
        <v>4254</v>
      </c>
      <c r="N230" s="6">
        <v>1887</v>
      </c>
      <c r="O230" s="6">
        <v>1554</v>
      </c>
      <c r="P230" s="6">
        <v>2491</v>
      </c>
      <c r="Q230" s="6"/>
      <c r="R230" s="6"/>
      <c r="S230" s="6"/>
      <c r="T230" s="6"/>
      <c r="U230" s="6"/>
      <c r="V230" s="6"/>
      <c r="W230" s="6"/>
      <c r="X230" s="10"/>
      <c r="Y230" s="10"/>
      <c r="Z230" s="10"/>
      <c r="AA230" s="26"/>
      <c r="AB230" s="2"/>
      <c r="AC230" s="2"/>
      <c r="AD230" s="2"/>
      <c r="AE230" s="26"/>
      <c r="AF230" s="2"/>
      <c r="AG230" s="2"/>
      <c r="AH230" s="2"/>
    </row>
    <row r="231" spans="1:35" x14ac:dyDescent="0.55000000000000004">
      <c r="A231" s="19" t="s">
        <v>241</v>
      </c>
      <c r="B231" s="21">
        <v>132842</v>
      </c>
      <c r="C231" s="21">
        <v>4330</v>
      </c>
      <c r="D231" s="21">
        <v>2032</v>
      </c>
      <c r="E231" s="21">
        <v>26929</v>
      </c>
      <c r="F231" s="21">
        <v>1065</v>
      </c>
      <c r="G231" s="21">
        <v>606</v>
      </c>
      <c r="H231" s="21">
        <v>107079</v>
      </c>
      <c r="I231" s="21">
        <v>4443</v>
      </c>
      <c r="J231" s="21">
        <v>2760</v>
      </c>
      <c r="K231" s="25"/>
      <c r="L231" s="21">
        <v>15706</v>
      </c>
      <c r="M231" s="21">
        <v>10350</v>
      </c>
      <c r="N231" s="21">
        <v>5441</v>
      </c>
      <c r="O231" s="21">
        <v>675</v>
      </c>
      <c r="P231" s="21">
        <v>10539</v>
      </c>
      <c r="Q231" s="21">
        <v>3921</v>
      </c>
      <c r="R231" s="21">
        <v>7370</v>
      </c>
      <c r="S231" s="21">
        <v>7506</v>
      </c>
      <c r="T231" s="21">
        <v>71334</v>
      </c>
      <c r="U231" s="21"/>
      <c r="V231" s="21"/>
      <c r="W231" s="21"/>
      <c r="X231" s="20"/>
      <c r="Y231" s="20"/>
      <c r="Z231" s="20"/>
      <c r="AA231" s="26"/>
      <c r="AB231" s="13">
        <f>SUM(L231:Z231)</f>
        <v>132842</v>
      </c>
      <c r="AC231" s="13">
        <f>SUM(L232:Z232)</f>
        <v>4380</v>
      </c>
      <c r="AD231" s="13">
        <f>SUM(L233:Z233)</f>
        <v>2032</v>
      </c>
      <c r="AE231" s="26"/>
      <c r="AF231" s="13">
        <f>AB231-B231</f>
        <v>0</v>
      </c>
      <c r="AG231" s="13">
        <f>AC231-C231</f>
        <v>50</v>
      </c>
      <c r="AH231" s="13">
        <f>AD231-D231</f>
        <v>0</v>
      </c>
    </row>
    <row r="232" spans="1:35" x14ac:dyDescent="0.55000000000000004">
      <c r="A232" s="12" t="s">
        <v>242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24"/>
      <c r="L232" s="6">
        <v>684</v>
      </c>
      <c r="M232" s="6" t="s">
        <v>16</v>
      </c>
      <c r="N232" s="6">
        <v>73</v>
      </c>
      <c r="O232" s="6">
        <v>26</v>
      </c>
      <c r="P232" s="6">
        <v>257</v>
      </c>
      <c r="Q232" s="6">
        <v>112</v>
      </c>
      <c r="R232" s="6">
        <v>347</v>
      </c>
      <c r="S232" s="6">
        <v>321</v>
      </c>
      <c r="T232" s="6">
        <v>2560</v>
      </c>
      <c r="U232" s="6"/>
      <c r="V232" s="6"/>
      <c r="W232" s="6"/>
      <c r="X232" s="10"/>
      <c r="Y232" s="10"/>
      <c r="Z232" s="10"/>
      <c r="AA232" s="26"/>
      <c r="AB232" s="2"/>
      <c r="AC232" s="2"/>
      <c r="AD232" s="2"/>
      <c r="AE232" s="26"/>
      <c r="AF232" s="2"/>
      <c r="AG232" s="2"/>
      <c r="AH232" s="2"/>
    </row>
    <row r="233" spans="1:35" x14ac:dyDescent="0.55000000000000004">
      <c r="A233" s="12" t="s">
        <v>243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24"/>
      <c r="L233" s="6">
        <v>261</v>
      </c>
      <c r="M233" s="6" t="s">
        <v>16</v>
      </c>
      <c r="N233" s="6">
        <v>23</v>
      </c>
      <c r="O233" s="6">
        <v>14</v>
      </c>
      <c r="P233" s="6">
        <v>211</v>
      </c>
      <c r="Q233" s="6">
        <v>88</v>
      </c>
      <c r="R233" s="6">
        <v>174</v>
      </c>
      <c r="S233" s="6">
        <v>133</v>
      </c>
      <c r="T233" s="6">
        <v>1128</v>
      </c>
      <c r="U233" s="6"/>
      <c r="V233" s="6"/>
      <c r="W233" s="6"/>
      <c r="X233" s="10"/>
      <c r="Y233" s="10"/>
      <c r="Z233" s="10"/>
      <c r="AA233" s="26"/>
      <c r="AB233" s="2"/>
      <c r="AC233" s="2"/>
      <c r="AD233" s="2"/>
      <c r="AE233" s="26"/>
      <c r="AF233" s="2"/>
      <c r="AG233" s="2"/>
      <c r="AH233" s="2"/>
    </row>
    <row r="234" spans="1:35" x14ac:dyDescent="0.55000000000000004">
      <c r="A234" s="19" t="s">
        <v>244</v>
      </c>
      <c r="B234" s="21">
        <v>1424767</v>
      </c>
      <c r="C234" s="21">
        <v>73710</v>
      </c>
      <c r="D234" s="21">
        <v>61275</v>
      </c>
      <c r="E234" s="21">
        <v>100657</v>
      </c>
      <c r="F234" s="21">
        <v>2276</v>
      </c>
      <c r="G234" s="21">
        <v>2406</v>
      </c>
      <c r="H234" s="21">
        <v>1397943</v>
      </c>
      <c r="I234" s="21">
        <v>73067</v>
      </c>
      <c r="J234" s="21">
        <v>60357</v>
      </c>
      <c r="K234" s="25"/>
      <c r="L234" s="21">
        <v>130139</v>
      </c>
      <c r="M234" s="21">
        <v>31258</v>
      </c>
      <c r="N234" s="21">
        <v>279628</v>
      </c>
      <c r="O234" s="21">
        <v>270109</v>
      </c>
      <c r="P234" s="21">
        <v>8464</v>
      </c>
      <c r="Q234" s="21">
        <v>151955</v>
      </c>
      <c r="R234" s="21">
        <v>71970</v>
      </c>
      <c r="S234" s="21">
        <v>160213</v>
      </c>
      <c r="T234" s="21">
        <v>123713</v>
      </c>
      <c r="U234" s="21">
        <v>197318</v>
      </c>
      <c r="V234" s="21"/>
      <c r="W234" s="21"/>
      <c r="X234" s="20"/>
      <c r="Y234" s="20"/>
      <c r="Z234" s="20"/>
      <c r="AA234" s="26"/>
      <c r="AB234" s="13">
        <f>SUM(L234:Z234)</f>
        <v>1424767</v>
      </c>
      <c r="AC234" s="13">
        <f>SUM(L235:Z235)</f>
        <v>73710</v>
      </c>
      <c r="AD234" s="13">
        <f>SUM(L236:Z236)</f>
        <v>61475</v>
      </c>
      <c r="AE234" s="26"/>
      <c r="AF234" s="13">
        <f>AB234-B234</f>
        <v>0</v>
      </c>
      <c r="AG234" s="13">
        <f>AC234-C234</f>
        <v>0</v>
      </c>
      <c r="AH234" s="13">
        <f>AD234-D234</f>
        <v>200</v>
      </c>
    </row>
    <row r="235" spans="1:35" x14ac:dyDescent="0.55000000000000004">
      <c r="A235" s="23" t="s">
        <v>245</v>
      </c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5">
        <v>6256</v>
      </c>
      <c r="M235" s="25">
        <v>1355</v>
      </c>
      <c r="N235" s="25">
        <v>15434</v>
      </c>
      <c r="O235" s="25">
        <v>14308</v>
      </c>
      <c r="P235" s="25">
        <v>331</v>
      </c>
      <c r="Q235" s="25">
        <v>7849</v>
      </c>
      <c r="R235" s="25">
        <v>3860</v>
      </c>
      <c r="S235" s="25">
        <v>9547</v>
      </c>
      <c r="T235" s="25">
        <v>4881</v>
      </c>
      <c r="U235" s="25">
        <v>9889</v>
      </c>
      <c r="V235" s="25"/>
      <c r="W235" s="25"/>
      <c r="X235" s="24"/>
      <c r="Y235" s="24"/>
      <c r="Z235" s="24"/>
      <c r="AA235" s="26"/>
    </row>
    <row r="236" spans="1:35" x14ac:dyDescent="0.55000000000000004">
      <c r="A236" s="12" t="s">
        <v>246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24"/>
      <c r="L236" s="6">
        <v>4377</v>
      </c>
      <c r="M236" s="6">
        <v>1037</v>
      </c>
      <c r="N236" s="6">
        <v>14649</v>
      </c>
      <c r="O236" s="6">
        <v>10542</v>
      </c>
      <c r="P236" s="6">
        <v>624</v>
      </c>
      <c r="Q236" s="6">
        <v>5698</v>
      </c>
      <c r="R236" s="6">
        <v>2967</v>
      </c>
      <c r="S236" s="6">
        <v>8539</v>
      </c>
      <c r="T236" s="6">
        <v>4398</v>
      </c>
      <c r="U236" s="6">
        <v>8644</v>
      </c>
      <c r="V236" s="6"/>
      <c r="W236" s="6"/>
      <c r="X236" s="10"/>
      <c r="Y236" s="10"/>
      <c r="Z236" s="10"/>
      <c r="AA236" s="26"/>
      <c r="AB236" s="2"/>
      <c r="AC236" s="2"/>
      <c r="AD236" s="2"/>
      <c r="AE236" s="26"/>
      <c r="AF236" s="2"/>
      <c r="AG236" s="2"/>
      <c r="AH236" s="2"/>
    </row>
    <row r="237" spans="1:35" x14ac:dyDescent="0.55000000000000004">
      <c r="A237" s="19" t="s">
        <v>247</v>
      </c>
      <c r="B237" s="21">
        <v>1423100</v>
      </c>
      <c r="C237" s="21">
        <v>62629</v>
      </c>
      <c r="D237" s="21">
        <v>34862</v>
      </c>
      <c r="E237" s="21" t="s">
        <v>16</v>
      </c>
      <c r="F237" s="21" t="s">
        <v>16</v>
      </c>
      <c r="G237" s="21" t="s">
        <v>16</v>
      </c>
      <c r="H237" s="21">
        <v>1352876</v>
      </c>
      <c r="I237" s="21">
        <v>64491</v>
      </c>
      <c r="J237" s="21">
        <v>36016</v>
      </c>
      <c r="K237" s="25"/>
      <c r="L237" s="21">
        <v>217000</v>
      </c>
      <c r="M237" s="21">
        <v>328500</v>
      </c>
      <c r="N237" s="21">
        <v>387600</v>
      </c>
      <c r="O237" s="21">
        <v>185000</v>
      </c>
      <c r="P237" s="21">
        <v>178000</v>
      </c>
      <c r="Q237" s="21">
        <v>126500</v>
      </c>
      <c r="R237" s="21"/>
      <c r="S237" s="21"/>
      <c r="T237" s="21"/>
      <c r="U237" s="21"/>
      <c r="V237" s="21"/>
      <c r="W237" s="21"/>
      <c r="X237" s="20"/>
      <c r="Y237" s="20"/>
      <c r="Z237" s="20"/>
      <c r="AA237" s="26"/>
      <c r="AB237" s="13">
        <f>SUM(L237:Z237)</f>
        <v>1422600</v>
      </c>
      <c r="AC237" s="13">
        <f>SUM(L238:Z238)</f>
        <v>62629</v>
      </c>
      <c r="AD237" s="13">
        <f>SUM(L239:Z239)</f>
        <v>34863</v>
      </c>
      <c r="AE237" s="26"/>
      <c r="AF237" s="13">
        <f>AB237-B237</f>
        <v>-500</v>
      </c>
      <c r="AG237" s="13">
        <f>AC237-C237</f>
        <v>0</v>
      </c>
      <c r="AH237" s="13">
        <f>AD237-D237</f>
        <v>1</v>
      </c>
      <c r="AI237" s="27"/>
    </row>
    <row r="238" spans="1:35" x14ac:dyDescent="0.55000000000000004">
      <c r="A238" s="12" t="s">
        <v>248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24"/>
      <c r="L238" s="6">
        <v>8296</v>
      </c>
      <c r="M238" s="6">
        <v>19092</v>
      </c>
      <c r="N238" s="6">
        <v>16936</v>
      </c>
      <c r="O238" s="6">
        <v>7642</v>
      </c>
      <c r="P238" s="6">
        <v>4612</v>
      </c>
      <c r="Q238" s="6">
        <v>6051</v>
      </c>
      <c r="R238" s="6"/>
      <c r="S238" s="6"/>
      <c r="T238" s="6"/>
      <c r="U238" s="6"/>
      <c r="V238" s="6"/>
      <c r="W238" s="6"/>
      <c r="X238" s="10"/>
      <c r="Y238" s="10"/>
      <c r="Z238" s="10"/>
      <c r="AA238" s="26"/>
      <c r="AB238" s="26"/>
      <c r="AC238" s="26"/>
      <c r="AD238" s="26"/>
      <c r="AE238" s="26"/>
      <c r="AF238" s="26"/>
      <c r="AG238" s="26"/>
      <c r="AH238" s="26"/>
      <c r="AI238" s="27"/>
    </row>
    <row r="239" spans="1:35" x14ac:dyDescent="0.55000000000000004">
      <c r="A239" s="12" t="s">
        <v>249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24"/>
      <c r="L239" s="6">
        <v>6462</v>
      </c>
      <c r="M239" s="6">
        <v>8386</v>
      </c>
      <c r="N239" s="6">
        <v>9042</v>
      </c>
      <c r="O239" s="6">
        <v>4026</v>
      </c>
      <c r="P239" s="6">
        <v>2492</v>
      </c>
      <c r="Q239" s="6">
        <v>4455</v>
      </c>
      <c r="R239" s="6"/>
      <c r="S239" s="6"/>
      <c r="T239" s="6"/>
      <c r="U239" s="6"/>
      <c r="V239" s="6"/>
      <c r="W239" s="6"/>
      <c r="X239" s="10"/>
      <c r="Y239" s="10"/>
      <c r="Z239" s="10"/>
      <c r="AA239" s="26"/>
      <c r="AB239" s="26"/>
      <c r="AC239" s="26"/>
      <c r="AD239" s="26"/>
      <c r="AE239" s="26"/>
      <c r="AF239" s="26"/>
      <c r="AG239" s="26"/>
      <c r="AH239" s="26"/>
      <c r="AI239" s="27"/>
    </row>
    <row r="240" spans="1:35" x14ac:dyDescent="0.55000000000000004">
      <c r="A240" s="19" t="s">
        <v>250</v>
      </c>
      <c r="B240" s="21">
        <v>261142</v>
      </c>
      <c r="C240" s="21">
        <v>8064</v>
      </c>
      <c r="D240" s="21">
        <v>4839</v>
      </c>
      <c r="E240" s="21">
        <v>8428</v>
      </c>
      <c r="F240" s="21">
        <v>163</v>
      </c>
      <c r="G240" s="21">
        <v>110</v>
      </c>
      <c r="H240" s="21">
        <v>256184</v>
      </c>
      <c r="I240" s="21">
        <v>7244</v>
      </c>
      <c r="J240" s="21">
        <v>6128</v>
      </c>
      <c r="K240" s="25"/>
      <c r="L240" s="21">
        <v>152701</v>
      </c>
      <c r="M240" s="21">
        <v>13026</v>
      </c>
      <c r="N240" s="21">
        <v>74077</v>
      </c>
      <c r="O240" s="21">
        <v>6194</v>
      </c>
      <c r="P240" s="21">
        <v>15144</v>
      </c>
      <c r="Q240" s="21"/>
      <c r="R240" s="21"/>
      <c r="S240" s="21"/>
      <c r="T240" s="21"/>
      <c r="U240" s="21"/>
      <c r="V240" s="21"/>
      <c r="W240" s="21"/>
      <c r="X240" s="20"/>
      <c r="Y240" s="20"/>
      <c r="Z240" s="20"/>
      <c r="AA240" s="26"/>
      <c r="AB240" s="13">
        <f>SUM(L240:Z240)</f>
        <v>261142</v>
      </c>
      <c r="AC240" s="13">
        <f>SUM(L241:Z241)</f>
        <v>8064</v>
      </c>
      <c r="AD240" s="13">
        <f>SUM(L242:Z242)</f>
        <v>4841</v>
      </c>
      <c r="AE240" s="26"/>
      <c r="AF240" s="13">
        <f>AB240-B240</f>
        <v>0</v>
      </c>
      <c r="AG240" s="13">
        <f>AC240-C240</f>
        <v>0</v>
      </c>
      <c r="AH240" s="13">
        <f>AD240-D240</f>
        <v>2</v>
      </c>
      <c r="AI240" s="27"/>
    </row>
    <row r="241" spans="1:35" x14ac:dyDescent="0.55000000000000004">
      <c r="A241" s="12" t="s">
        <v>251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24"/>
      <c r="L241" s="6">
        <v>4838</v>
      </c>
      <c r="M241" s="6">
        <v>176</v>
      </c>
      <c r="N241" s="6">
        <v>2445</v>
      </c>
      <c r="O241" s="6">
        <v>127</v>
      </c>
      <c r="P241" s="6">
        <v>478</v>
      </c>
      <c r="Q241" s="6"/>
      <c r="R241" s="6"/>
      <c r="S241" s="6"/>
      <c r="T241" s="6"/>
      <c r="U241" s="6"/>
      <c r="V241" s="6"/>
      <c r="W241" s="6"/>
      <c r="X241" s="10"/>
      <c r="Y241" s="10"/>
      <c r="Z241" s="10"/>
      <c r="AA241" s="26"/>
      <c r="AB241" s="26"/>
      <c r="AC241" s="26"/>
      <c r="AD241" s="26"/>
      <c r="AE241" s="26"/>
      <c r="AF241" s="26"/>
      <c r="AG241" s="26"/>
      <c r="AH241" s="26"/>
      <c r="AI241" s="27"/>
    </row>
    <row r="242" spans="1:35" x14ac:dyDescent="0.55000000000000004">
      <c r="A242" s="12" t="s">
        <v>252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24"/>
      <c r="L242" s="6">
        <v>3161</v>
      </c>
      <c r="M242" s="6">
        <v>140</v>
      </c>
      <c r="N242" s="6">
        <v>1225</v>
      </c>
      <c r="O242" s="6">
        <v>101</v>
      </c>
      <c r="P242" s="6">
        <v>214</v>
      </c>
      <c r="Q242" s="6"/>
      <c r="R242" s="6"/>
      <c r="S242" s="6"/>
      <c r="T242" s="6"/>
      <c r="U242" s="6"/>
      <c r="V242" s="6"/>
      <c r="W242" s="6"/>
      <c r="X242" s="10"/>
      <c r="Y242" s="10"/>
      <c r="Z242" s="10"/>
      <c r="AA242" s="26"/>
      <c r="AB242" s="26"/>
      <c r="AC242" s="26"/>
      <c r="AD242" s="26"/>
      <c r="AE242" s="26"/>
      <c r="AF242" s="26"/>
      <c r="AG242" s="26"/>
      <c r="AH242" s="26"/>
      <c r="AI242" s="27"/>
    </row>
    <row r="243" spans="1:35" x14ac:dyDescent="0.55000000000000004">
      <c r="A243" s="19" t="s">
        <v>253</v>
      </c>
      <c r="B243" s="21">
        <v>20302</v>
      </c>
      <c r="C243" s="21">
        <v>395</v>
      </c>
      <c r="D243" s="21">
        <v>395</v>
      </c>
      <c r="E243" s="21" t="s">
        <v>16</v>
      </c>
      <c r="F243" s="21" t="s">
        <v>16</v>
      </c>
      <c r="G243" s="21" t="s">
        <v>16</v>
      </c>
      <c r="H243" s="21">
        <v>15696</v>
      </c>
      <c r="I243" s="21">
        <v>353</v>
      </c>
      <c r="J243" s="21">
        <v>265</v>
      </c>
      <c r="K243" s="25"/>
      <c r="L243" s="21">
        <v>8068</v>
      </c>
      <c r="M243" s="21">
        <v>5025</v>
      </c>
      <c r="N243" s="21">
        <v>7209</v>
      </c>
      <c r="O243" s="21"/>
      <c r="P243" s="21"/>
      <c r="Q243" s="21"/>
      <c r="R243" s="21"/>
      <c r="S243" s="21"/>
      <c r="T243" s="21"/>
      <c r="U243" s="21"/>
      <c r="V243" s="21"/>
      <c r="W243" s="21"/>
      <c r="X243" s="20"/>
      <c r="Y243" s="20"/>
      <c r="Z243" s="20"/>
      <c r="AA243" s="26"/>
      <c r="AB243" s="13">
        <f>SUM(L243:Z243)</f>
        <v>20302</v>
      </c>
      <c r="AC243" s="13">
        <f>SUM(L244:Z244)</f>
        <v>395</v>
      </c>
      <c r="AD243" s="13">
        <f>SUM(L245:Z245)</f>
        <v>215</v>
      </c>
      <c r="AE243" s="26"/>
      <c r="AF243" s="13">
        <f>AB243-B243</f>
        <v>0</v>
      </c>
      <c r="AG243" s="13">
        <f>AC243-C243</f>
        <v>0</v>
      </c>
      <c r="AH243" s="13">
        <f>AD243-D243</f>
        <v>-180</v>
      </c>
      <c r="AI243" s="27"/>
    </row>
    <row r="244" spans="1:35" x14ac:dyDescent="0.55000000000000004">
      <c r="A244" s="12" t="s">
        <v>254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24"/>
      <c r="L244" s="6">
        <v>168</v>
      </c>
      <c r="M244" s="6">
        <v>63</v>
      </c>
      <c r="N244" s="6">
        <v>164</v>
      </c>
      <c r="O244" s="6"/>
      <c r="P244" s="6"/>
      <c r="Q244" s="6"/>
      <c r="R244" s="6"/>
      <c r="S244" s="6"/>
      <c r="T244" s="6"/>
      <c r="U244" s="6"/>
      <c r="V244" s="6"/>
      <c r="W244" s="6"/>
      <c r="X244" s="10"/>
      <c r="Y244" s="10"/>
      <c r="Z244" s="10"/>
      <c r="AA244" s="26"/>
      <c r="AB244" s="26"/>
      <c r="AC244" s="26"/>
      <c r="AD244" s="26"/>
      <c r="AE244" s="26"/>
      <c r="AF244" s="26"/>
      <c r="AG244" s="26"/>
      <c r="AH244" s="26"/>
      <c r="AI244" s="27"/>
    </row>
    <row r="245" spans="1:35" x14ac:dyDescent="0.55000000000000004">
      <c r="A245" s="12" t="s">
        <v>255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24"/>
      <c r="L245" s="6">
        <v>111</v>
      </c>
      <c r="M245" s="6">
        <v>39</v>
      </c>
      <c r="N245" s="6">
        <v>65</v>
      </c>
      <c r="O245" s="6"/>
      <c r="P245" s="6"/>
      <c r="Q245" s="6"/>
      <c r="R245" s="6"/>
      <c r="S245" s="6"/>
      <c r="T245" s="6"/>
      <c r="U245" s="6"/>
      <c r="V245" s="6"/>
      <c r="W245" s="6"/>
      <c r="X245" s="10"/>
      <c r="Y245" s="10"/>
      <c r="Z245" s="10"/>
      <c r="AA245" s="26"/>
      <c r="AB245" s="2"/>
      <c r="AC245" s="2"/>
      <c r="AD245" s="2"/>
      <c r="AE245" s="26"/>
      <c r="AF245" s="2"/>
      <c r="AG245" s="2"/>
      <c r="AH245" s="2"/>
    </row>
    <row r="246" spans="1:35" x14ac:dyDescent="0.55000000000000004">
      <c r="A246" s="7" t="s">
        <v>256</v>
      </c>
      <c r="B246" s="8">
        <v>4817908</v>
      </c>
      <c r="C246" s="8">
        <v>215042</v>
      </c>
      <c r="D246" s="8">
        <v>150174</v>
      </c>
      <c r="E246" s="8"/>
      <c r="F246" s="8"/>
      <c r="G246" s="8"/>
      <c r="H246" s="8">
        <v>4536518</v>
      </c>
      <c r="I246" s="8">
        <v>203902</v>
      </c>
      <c r="J246" s="8">
        <v>146737</v>
      </c>
      <c r="K246" s="25"/>
      <c r="L246" s="8"/>
      <c r="M246" s="31"/>
      <c r="N246" s="31"/>
      <c r="O246" s="31"/>
      <c r="P246" s="31"/>
      <c r="Q246" s="31"/>
      <c r="R246" s="31"/>
      <c r="S246" s="32"/>
      <c r="T246" s="32"/>
      <c r="U246" s="32"/>
      <c r="V246" s="32"/>
      <c r="W246" s="32"/>
      <c r="X246" s="32"/>
      <c r="Y246" s="32"/>
      <c r="Z246" s="32"/>
      <c r="AA246" s="26"/>
      <c r="AB246" s="30"/>
      <c r="AC246" s="30"/>
      <c r="AD246" s="30"/>
      <c r="AE246" s="26"/>
      <c r="AF246" s="30"/>
      <c r="AG246" s="30"/>
      <c r="AH246" s="30"/>
    </row>
    <row r="247" spans="1:35" x14ac:dyDescent="0.55000000000000004">
      <c r="A247" s="15" t="s">
        <v>257</v>
      </c>
      <c r="B247" s="16">
        <v>602654</v>
      </c>
      <c r="C247" s="16">
        <v>18237</v>
      </c>
      <c r="D247" s="16">
        <v>16174</v>
      </c>
      <c r="E247" s="16" t="s">
        <v>16</v>
      </c>
      <c r="F247" s="16" t="s">
        <v>16</v>
      </c>
      <c r="G247" s="16" t="s">
        <v>16</v>
      </c>
      <c r="H247" s="16">
        <v>496665</v>
      </c>
      <c r="I247" s="16">
        <v>14910</v>
      </c>
      <c r="J247" s="16">
        <v>10239</v>
      </c>
      <c r="K247" s="35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26"/>
      <c r="AB247" s="13"/>
      <c r="AC247" s="13"/>
      <c r="AD247" s="13"/>
      <c r="AE247" s="26"/>
      <c r="AF247" s="13"/>
      <c r="AG247" s="13"/>
      <c r="AH247" s="13"/>
    </row>
    <row r="248" spans="1:35" x14ac:dyDescent="0.55000000000000004">
      <c r="A248" s="15" t="s">
        <v>258</v>
      </c>
      <c r="B248" s="16">
        <v>700000</v>
      </c>
      <c r="C248" s="16" t="s">
        <v>16</v>
      </c>
      <c r="D248" s="16" t="s">
        <v>16</v>
      </c>
      <c r="E248" s="16" t="s">
        <v>16</v>
      </c>
      <c r="F248" s="16" t="s">
        <v>16</v>
      </c>
      <c r="G248" s="16" t="s">
        <v>16</v>
      </c>
      <c r="H248" s="16" t="s">
        <v>16</v>
      </c>
      <c r="I248" s="16" t="s">
        <v>16</v>
      </c>
      <c r="J248" s="16" t="s">
        <v>16</v>
      </c>
      <c r="K248" s="35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26"/>
      <c r="AB248" s="13"/>
      <c r="AC248" s="13"/>
      <c r="AD248" s="13"/>
      <c r="AE248" s="26"/>
      <c r="AF248" s="13"/>
      <c r="AG248" s="13"/>
      <c r="AH248" s="13"/>
    </row>
    <row r="249" spans="1:35" x14ac:dyDescent="0.55000000000000004">
      <c r="A249" s="15" t="s">
        <v>259</v>
      </c>
      <c r="B249" s="16">
        <v>810714</v>
      </c>
      <c r="C249" s="16">
        <v>16772</v>
      </c>
      <c r="D249" s="16">
        <v>14630</v>
      </c>
      <c r="E249" s="16">
        <v>97094</v>
      </c>
      <c r="F249" s="16" t="s">
        <v>16</v>
      </c>
      <c r="G249" s="16" t="s">
        <v>16</v>
      </c>
      <c r="H249" s="16">
        <v>705125</v>
      </c>
      <c r="I249" s="16" t="s">
        <v>16</v>
      </c>
      <c r="J249" s="16" t="s">
        <v>16</v>
      </c>
      <c r="K249" s="35"/>
      <c r="L249" s="16">
        <v>300289</v>
      </c>
      <c r="M249" s="16">
        <v>171076</v>
      </c>
      <c r="N249" s="16">
        <v>180688</v>
      </c>
      <c r="O249" s="16">
        <v>158661</v>
      </c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26"/>
      <c r="AB249" s="13">
        <f>SUM(L249:Z249)</f>
        <v>810714</v>
      </c>
      <c r="AC249" s="13">
        <f>SUM(L250:Z250)</f>
        <v>16772</v>
      </c>
      <c r="AD249" s="13">
        <f>SUM(L251:Z251)</f>
        <v>14630</v>
      </c>
      <c r="AE249" s="26"/>
      <c r="AF249" s="13">
        <f>AB249-B249</f>
        <v>0</v>
      </c>
      <c r="AG249" s="13">
        <f>AC249-C249</f>
        <v>0</v>
      </c>
      <c r="AH249" s="13">
        <f>AD249-D249</f>
        <v>0</v>
      </c>
    </row>
    <row r="250" spans="1:35" x14ac:dyDescent="0.55000000000000004">
      <c r="A250" t="s">
        <v>260</v>
      </c>
      <c r="B250" s="9"/>
      <c r="C250" s="9"/>
      <c r="D250" s="9"/>
      <c r="E250" s="9"/>
      <c r="F250" s="9"/>
      <c r="G250" s="9"/>
      <c r="H250" s="9"/>
      <c r="I250" s="9"/>
      <c r="J250" s="9"/>
      <c r="K250" s="35"/>
      <c r="L250" s="9">
        <v>16138</v>
      </c>
      <c r="M250" s="9" t="s">
        <v>16</v>
      </c>
      <c r="N250" s="9" t="s">
        <v>16</v>
      </c>
      <c r="O250" s="9">
        <v>634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26"/>
      <c r="AB250" s="2"/>
      <c r="AC250" s="2"/>
      <c r="AD250" s="2"/>
      <c r="AE250" s="26"/>
      <c r="AF250" s="2"/>
      <c r="AG250" s="2"/>
      <c r="AH250" s="2"/>
    </row>
    <row r="251" spans="1:35" x14ac:dyDescent="0.55000000000000004">
      <c r="A251" t="s">
        <v>261</v>
      </c>
      <c r="B251" s="9"/>
      <c r="C251" s="9"/>
      <c r="D251" s="9"/>
      <c r="E251" s="9"/>
      <c r="F251" s="9"/>
      <c r="G251" s="9"/>
      <c r="H251" s="9"/>
      <c r="I251" s="9"/>
      <c r="J251" s="9"/>
      <c r="K251" s="35"/>
      <c r="L251" s="9">
        <v>13941</v>
      </c>
      <c r="M251" s="9" t="s">
        <v>16</v>
      </c>
      <c r="N251" s="9" t="s">
        <v>16</v>
      </c>
      <c r="O251" s="9">
        <v>689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26"/>
      <c r="AB251" s="2"/>
      <c r="AC251" s="2"/>
      <c r="AD251" s="2"/>
      <c r="AE251" s="26"/>
      <c r="AF251" s="2"/>
      <c r="AG251" s="2"/>
      <c r="AH251" s="2"/>
    </row>
    <row r="252" spans="1:35" x14ac:dyDescent="0.55000000000000004">
      <c r="A252" s="15" t="s">
        <v>262</v>
      </c>
      <c r="B252" s="16">
        <v>595254</v>
      </c>
      <c r="C252" s="16">
        <v>10055</v>
      </c>
      <c r="D252" s="16">
        <v>8496</v>
      </c>
      <c r="E252" s="16">
        <v>37935</v>
      </c>
      <c r="F252" s="16">
        <v>1849</v>
      </c>
      <c r="G252" s="16">
        <v>1535</v>
      </c>
      <c r="H252" s="16">
        <v>579015</v>
      </c>
      <c r="I252" s="16" t="s">
        <v>16</v>
      </c>
      <c r="J252" s="16" t="s">
        <v>16</v>
      </c>
      <c r="K252" s="35"/>
      <c r="L252" s="16">
        <v>162725</v>
      </c>
      <c r="M252" s="16">
        <v>72820</v>
      </c>
      <c r="N252" s="16">
        <v>116164</v>
      </c>
      <c r="O252" s="16">
        <v>126158</v>
      </c>
      <c r="P252" s="16">
        <v>94474</v>
      </c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26"/>
      <c r="AB252" s="13">
        <f>SUM(L252:Z252)</f>
        <v>572341</v>
      </c>
      <c r="AC252" s="13">
        <f>SUM(L253:Z253)</f>
        <v>9605</v>
      </c>
      <c r="AD252" s="13">
        <f>SUM(L254:Z254)</f>
        <v>8427</v>
      </c>
      <c r="AE252" s="26"/>
      <c r="AF252" s="13">
        <f>AB252-B252</f>
        <v>-22913</v>
      </c>
      <c r="AG252" s="13">
        <f>AC252-C252</f>
        <v>-450</v>
      </c>
      <c r="AH252" s="13">
        <f>AD252-D252</f>
        <v>-69</v>
      </c>
    </row>
    <row r="253" spans="1:35" x14ac:dyDescent="0.55000000000000004">
      <c r="A253" t="s">
        <v>263</v>
      </c>
      <c r="B253" s="9"/>
      <c r="C253" s="9"/>
      <c r="D253" s="9"/>
      <c r="E253" s="9"/>
      <c r="F253" s="9"/>
      <c r="G253" s="9"/>
      <c r="H253" s="9"/>
      <c r="I253" s="9"/>
      <c r="J253" s="9"/>
      <c r="K253" s="35"/>
      <c r="L253" s="9">
        <v>3100</v>
      </c>
      <c r="M253" s="9">
        <v>1291</v>
      </c>
      <c r="N253" s="9">
        <v>1374</v>
      </c>
      <c r="O253" s="9">
        <v>1538</v>
      </c>
      <c r="P253" s="9">
        <v>2302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26"/>
      <c r="AB253" s="2"/>
      <c r="AC253" s="2"/>
      <c r="AD253" s="2"/>
      <c r="AE253" s="26"/>
      <c r="AF253" s="2"/>
      <c r="AG253" s="2"/>
      <c r="AH253" s="2"/>
    </row>
    <row r="254" spans="1:35" x14ac:dyDescent="0.55000000000000004">
      <c r="A254" t="s">
        <v>264</v>
      </c>
      <c r="B254" s="9"/>
      <c r="C254" s="9"/>
      <c r="D254" s="9"/>
      <c r="E254" s="9"/>
      <c r="F254" s="9"/>
      <c r="G254" s="9"/>
      <c r="H254" s="9"/>
      <c r="I254" s="9"/>
      <c r="J254" s="9"/>
      <c r="K254" s="35"/>
      <c r="L254" s="9">
        <v>2769</v>
      </c>
      <c r="M254" s="9">
        <v>1096</v>
      </c>
      <c r="N254" s="9">
        <v>1008</v>
      </c>
      <c r="O254" s="9">
        <v>1552</v>
      </c>
      <c r="P254" s="9">
        <v>2002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26"/>
      <c r="AB254" s="2"/>
      <c r="AC254" s="2"/>
      <c r="AD254" s="2"/>
      <c r="AE254" s="26"/>
      <c r="AF254" s="2"/>
      <c r="AG254" s="2"/>
      <c r="AH254" s="2"/>
    </row>
    <row r="255" spans="1:35" x14ac:dyDescent="0.55000000000000004">
      <c r="A255" s="15" t="s">
        <v>265</v>
      </c>
      <c r="B255" s="16">
        <v>681434</v>
      </c>
      <c r="C255" s="16">
        <v>15108</v>
      </c>
      <c r="D255" s="16">
        <v>10001</v>
      </c>
      <c r="E255" s="16" t="s">
        <v>16</v>
      </c>
      <c r="F255" s="16" t="s">
        <v>16</v>
      </c>
      <c r="G255" s="16" t="s">
        <v>16</v>
      </c>
      <c r="H255" s="16">
        <v>644257</v>
      </c>
      <c r="I255" s="16">
        <v>13101</v>
      </c>
      <c r="J255" s="16">
        <v>9335</v>
      </c>
      <c r="K255" s="35"/>
      <c r="L255" s="16">
        <v>179646</v>
      </c>
      <c r="M255" s="16">
        <v>79531</v>
      </c>
      <c r="N255" s="16">
        <v>77020</v>
      </c>
      <c r="O255" s="16">
        <v>112396</v>
      </c>
      <c r="P255" s="16">
        <v>109720</v>
      </c>
      <c r="Q255" s="16">
        <v>99629</v>
      </c>
      <c r="R255" s="16"/>
      <c r="S255" s="16"/>
      <c r="T255" s="16"/>
      <c r="U255" s="16"/>
      <c r="V255" s="16"/>
      <c r="W255" s="16"/>
      <c r="X255" s="16"/>
      <c r="Y255" s="16"/>
      <c r="Z255" s="16"/>
      <c r="AA255" s="26"/>
      <c r="AB255" s="13">
        <f>SUM(L255:Z255)</f>
        <v>657942</v>
      </c>
      <c r="AC255" s="13">
        <f>SUM(L256:Z256)</f>
        <v>15486</v>
      </c>
      <c r="AD255" s="13">
        <f>SUM(L257:Z257)</f>
        <v>10001</v>
      </c>
      <c r="AE255" s="26"/>
      <c r="AF255" s="13">
        <f>AB255-B255</f>
        <v>-23492</v>
      </c>
      <c r="AG255" s="13">
        <f>AC255-C255</f>
        <v>378</v>
      </c>
      <c r="AH255" s="13">
        <f>AD255-D255</f>
        <v>0</v>
      </c>
    </row>
    <row r="256" spans="1:35" x14ac:dyDescent="0.55000000000000004">
      <c r="A256" t="s">
        <v>266</v>
      </c>
      <c r="B256" s="9"/>
      <c r="C256" s="9"/>
      <c r="D256" s="9"/>
      <c r="E256" s="9"/>
      <c r="F256" s="9"/>
      <c r="G256" s="9"/>
      <c r="H256" s="9"/>
      <c r="I256" s="9"/>
      <c r="J256" s="9"/>
      <c r="K256" s="35"/>
      <c r="L256" s="9">
        <v>5716</v>
      </c>
      <c r="M256" s="9">
        <v>258</v>
      </c>
      <c r="N256" s="9">
        <v>532</v>
      </c>
      <c r="O256" s="9">
        <v>2639</v>
      </c>
      <c r="P256" s="9">
        <v>3300</v>
      </c>
      <c r="Q256" s="9">
        <v>3041</v>
      </c>
      <c r="R256" s="9"/>
      <c r="S256" s="9"/>
      <c r="T256" s="9"/>
      <c r="U256" s="9"/>
      <c r="V256" s="9"/>
      <c r="W256" s="9"/>
      <c r="X256" s="9"/>
      <c r="Y256" s="9"/>
      <c r="Z256" s="9"/>
      <c r="AA256" s="26"/>
      <c r="AB256" s="2"/>
      <c r="AC256" s="2"/>
      <c r="AD256" s="2"/>
      <c r="AE256" s="26"/>
      <c r="AF256" s="2"/>
      <c r="AG256" s="2"/>
      <c r="AH256" s="2"/>
    </row>
    <row r="257" spans="1:34" x14ac:dyDescent="0.55000000000000004">
      <c r="A257" t="s">
        <v>267</v>
      </c>
      <c r="B257" s="9"/>
      <c r="C257" s="9"/>
      <c r="D257" s="9"/>
      <c r="E257" s="9"/>
      <c r="F257" s="9"/>
      <c r="G257" s="9"/>
      <c r="H257" s="9"/>
      <c r="I257" s="9"/>
      <c r="J257" s="9"/>
      <c r="K257" s="35"/>
      <c r="L257" s="9">
        <v>3139</v>
      </c>
      <c r="M257" s="9">
        <v>99</v>
      </c>
      <c r="N257" s="9">
        <v>154</v>
      </c>
      <c r="O257" s="9">
        <v>2228</v>
      </c>
      <c r="P257" s="9">
        <v>2882</v>
      </c>
      <c r="Q257" s="9">
        <v>1499</v>
      </c>
      <c r="R257" s="9"/>
      <c r="S257" s="9"/>
      <c r="T257" s="9"/>
      <c r="U257" s="9"/>
      <c r="V257" s="9"/>
      <c r="W257" s="9"/>
      <c r="X257" s="9"/>
      <c r="Y257" s="9"/>
      <c r="Z257" s="9"/>
      <c r="AA257" s="26"/>
      <c r="AB257" s="2"/>
      <c r="AC257" s="2"/>
      <c r="AD257" s="2"/>
      <c r="AE257" s="26"/>
      <c r="AF257" s="2"/>
      <c r="AG257" s="2"/>
      <c r="AH257" s="2"/>
    </row>
    <row r="258" spans="1:34" x14ac:dyDescent="0.55000000000000004">
      <c r="A258" s="15" t="s">
        <v>268</v>
      </c>
      <c r="B258" s="16">
        <v>1164507</v>
      </c>
      <c r="C258" s="16">
        <v>15688</v>
      </c>
      <c r="D258" s="16">
        <v>7598</v>
      </c>
      <c r="E258" s="16">
        <v>133263</v>
      </c>
      <c r="F258" s="16" t="s">
        <v>16</v>
      </c>
      <c r="G258" s="16" t="s">
        <v>16</v>
      </c>
      <c r="H258" s="16">
        <v>1121628</v>
      </c>
      <c r="I258" s="16" t="s">
        <v>16</v>
      </c>
      <c r="J258" s="16" t="s">
        <v>16</v>
      </c>
      <c r="K258" s="35"/>
      <c r="L258" s="16">
        <v>360430</v>
      </c>
      <c r="M258" s="16">
        <v>186999</v>
      </c>
      <c r="N258" s="16">
        <v>128375</v>
      </c>
      <c r="O258" s="16">
        <v>105253</v>
      </c>
      <c r="P258" s="16">
        <v>199340</v>
      </c>
      <c r="Q258" s="16">
        <v>174110</v>
      </c>
      <c r="R258" s="16"/>
      <c r="S258" s="16"/>
      <c r="T258" s="16"/>
      <c r="U258" s="16"/>
      <c r="V258" s="16"/>
      <c r="W258" s="16"/>
      <c r="X258" s="16"/>
      <c r="Y258" s="16"/>
      <c r="Z258" s="16"/>
      <c r="AA258" s="26"/>
      <c r="AB258" s="13">
        <f>SUM(L258:Z258)</f>
        <v>1154507</v>
      </c>
      <c r="AC258" s="13">
        <f>SUM(L259:Z259)</f>
        <v>15688</v>
      </c>
      <c r="AD258" s="13">
        <f>SUM(L260:Z260)</f>
        <v>7598</v>
      </c>
      <c r="AE258" s="26"/>
      <c r="AF258" s="13">
        <f>AB258-B258</f>
        <v>-10000</v>
      </c>
      <c r="AG258" s="13">
        <f>AC258-C258</f>
        <v>0</v>
      </c>
      <c r="AH258" s="13">
        <f>AD258-D258</f>
        <v>0</v>
      </c>
    </row>
    <row r="259" spans="1:34" x14ac:dyDescent="0.55000000000000004">
      <c r="A259" t="s">
        <v>269</v>
      </c>
      <c r="B259" s="9"/>
      <c r="C259" s="9"/>
      <c r="D259" s="9"/>
      <c r="E259" s="9"/>
      <c r="F259" s="9"/>
      <c r="G259" s="9"/>
      <c r="H259" s="9"/>
      <c r="I259" s="9"/>
      <c r="J259" s="9"/>
      <c r="K259" s="35"/>
      <c r="L259" s="9">
        <v>288</v>
      </c>
      <c r="M259" s="9">
        <v>15400</v>
      </c>
      <c r="N259" s="9" t="s">
        <v>16</v>
      </c>
      <c r="O259" s="9" t="s">
        <v>16</v>
      </c>
      <c r="P259" s="9" t="s">
        <v>16</v>
      </c>
      <c r="Q259" s="9" t="s">
        <v>16</v>
      </c>
      <c r="R259" s="9"/>
      <c r="S259" s="9"/>
      <c r="T259" s="9"/>
      <c r="U259" s="9"/>
      <c r="V259" s="9"/>
      <c r="W259" s="9"/>
      <c r="X259" s="9"/>
      <c r="Y259" s="9"/>
      <c r="Z259" s="9"/>
      <c r="AA259" s="26"/>
      <c r="AB259" s="2"/>
      <c r="AC259" s="2"/>
      <c r="AD259" s="2"/>
      <c r="AE259" s="26"/>
      <c r="AF259" s="2"/>
      <c r="AG259" s="2"/>
      <c r="AH259" s="2"/>
    </row>
    <row r="260" spans="1:34" x14ac:dyDescent="0.55000000000000004">
      <c r="A260" t="s">
        <v>270</v>
      </c>
      <c r="B260" s="9"/>
      <c r="C260" s="9"/>
      <c r="D260" s="9"/>
      <c r="E260" s="9"/>
      <c r="F260" s="9"/>
      <c r="G260" s="9"/>
      <c r="H260" s="9"/>
      <c r="I260" s="9"/>
      <c r="J260" s="9"/>
      <c r="K260" s="35"/>
      <c r="L260" s="9">
        <v>187</v>
      </c>
      <c r="M260" s="9">
        <v>7411</v>
      </c>
      <c r="N260" s="9" t="s">
        <v>16</v>
      </c>
      <c r="O260" s="9" t="s">
        <v>16</v>
      </c>
      <c r="P260" s="9" t="s">
        <v>16</v>
      </c>
      <c r="Q260" s="9" t="s">
        <v>16</v>
      </c>
      <c r="R260" s="9"/>
      <c r="S260" s="9"/>
      <c r="T260" s="9"/>
      <c r="U260" s="9"/>
      <c r="V260" s="9"/>
      <c r="W260" s="9"/>
      <c r="X260" s="9"/>
      <c r="Y260" s="9"/>
      <c r="Z260" s="9"/>
      <c r="AA260" s="26"/>
      <c r="AB260" s="2"/>
      <c r="AC260" s="2"/>
      <c r="AD260" s="2"/>
      <c r="AE260" s="26"/>
      <c r="AF260" s="2"/>
      <c r="AG260" s="2"/>
      <c r="AH260" s="2"/>
    </row>
    <row r="261" spans="1:34" x14ac:dyDescent="0.55000000000000004">
      <c r="A261" s="15" t="s">
        <v>271</v>
      </c>
      <c r="B261" s="16">
        <v>397959</v>
      </c>
      <c r="C261" s="16">
        <v>10456</v>
      </c>
      <c r="D261" s="16">
        <v>6631</v>
      </c>
      <c r="E261" s="16" t="s">
        <v>16</v>
      </c>
      <c r="F261" s="16" t="s">
        <v>16</v>
      </c>
      <c r="G261" s="16" t="s">
        <v>16</v>
      </c>
      <c r="H261" s="16">
        <v>385714</v>
      </c>
      <c r="I261" s="16" t="s">
        <v>16</v>
      </c>
      <c r="J261" s="16" t="s">
        <v>16</v>
      </c>
      <c r="K261" s="35"/>
      <c r="L261" s="16">
        <v>71339</v>
      </c>
      <c r="M261" s="16">
        <v>46394</v>
      </c>
      <c r="N261" s="16">
        <v>84625</v>
      </c>
      <c r="O261" s="16">
        <v>138286</v>
      </c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26"/>
      <c r="AB261" s="13">
        <f>SUM(L261:Z261)</f>
        <v>340644</v>
      </c>
      <c r="AC261" s="13">
        <f>SUM(L262:Z262)</f>
        <v>10486</v>
      </c>
      <c r="AD261" s="13">
        <f>SUM(L263:Z263)</f>
        <v>6631</v>
      </c>
      <c r="AE261" s="26"/>
      <c r="AF261" s="13">
        <f>AB261-B261</f>
        <v>-57315</v>
      </c>
      <c r="AG261" s="13">
        <f>AC261-C261</f>
        <v>30</v>
      </c>
      <c r="AH261" s="13">
        <f>AD261-D261</f>
        <v>0</v>
      </c>
    </row>
    <row r="262" spans="1:34" x14ac:dyDescent="0.55000000000000004">
      <c r="A262" t="s">
        <v>272</v>
      </c>
      <c r="B262" s="9"/>
      <c r="C262" s="9"/>
      <c r="D262" s="9"/>
      <c r="E262" s="9"/>
      <c r="F262" s="9"/>
      <c r="G262" s="9"/>
      <c r="H262" s="9"/>
      <c r="I262" s="9"/>
      <c r="J262" s="9"/>
      <c r="K262" s="35"/>
      <c r="L262" s="9">
        <v>1600</v>
      </c>
      <c r="M262" s="9">
        <v>149</v>
      </c>
      <c r="N262" s="9">
        <v>2672</v>
      </c>
      <c r="O262" s="9">
        <v>6065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26"/>
      <c r="AB262" s="2"/>
      <c r="AC262" s="2"/>
      <c r="AD262" s="2"/>
      <c r="AE262" s="26"/>
      <c r="AF262" s="2"/>
      <c r="AG262" s="2"/>
      <c r="AH262" s="2"/>
    </row>
    <row r="263" spans="1:34" x14ac:dyDescent="0.55000000000000004">
      <c r="A263" t="s">
        <v>273</v>
      </c>
      <c r="B263" s="9"/>
      <c r="C263" s="9"/>
      <c r="D263" s="9"/>
      <c r="E263" s="9"/>
      <c r="F263" s="9"/>
      <c r="G263" s="9"/>
      <c r="H263" s="9"/>
      <c r="I263" s="9"/>
      <c r="J263" s="9"/>
      <c r="K263" s="35"/>
      <c r="L263" s="9">
        <v>1295</v>
      </c>
      <c r="M263" s="9">
        <v>90</v>
      </c>
      <c r="N263" s="9">
        <v>1974</v>
      </c>
      <c r="O263" s="9">
        <v>3272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26"/>
      <c r="AB263" s="2"/>
      <c r="AC263" s="2"/>
      <c r="AD263" s="2"/>
      <c r="AE263" s="26"/>
      <c r="AF263" s="2"/>
      <c r="AG263" s="2"/>
      <c r="AH263" s="2"/>
    </row>
    <row r="264" spans="1:34" x14ac:dyDescent="0.55000000000000004">
      <c r="A264" s="15" t="s">
        <v>274</v>
      </c>
      <c r="B264" s="16">
        <v>584903</v>
      </c>
      <c r="C264" s="16">
        <v>7527</v>
      </c>
      <c r="D264" s="16">
        <v>5682</v>
      </c>
      <c r="E264" s="16" t="s">
        <v>16</v>
      </c>
      <c r="F264" s="16" t="s">
        <v>16</v>
      </c>
      <c r="G264" s="16" t="s">
        <v>16</v>
      </c>
      <c r="H264" s="16">
        <v>554048</v>
      </c>
      <c r="I264" s="16">
        <v>6760</v>
      </c>
      <c r="J264" s="16">
        <v>4397</v>
      </c>
      <c r="K264" s="35"/>
      <c r="L264" s="16">
        <v>223996</v>
      </c>
      <c r="M264" s="16">
        <v>102536</v>
      </c>
      <c r="N264" s="16">
        <v>136977</v>
      </c>
      <c r="O264" s="16">
        <v>91394</v>
      </c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26"/>
      <c r="AB264" s="13">
        <f>SUM(L264:Z264)</f>
        <v>554903</v>
      </c>
      <c r="AC264" s="13">
        <f>SUM(L265:Z265)</f>
        <v>7532</v>
      </c>
      <c r="AD264" s="13">
        <f>SUM(L266:Z266)</f>
        <v>5682</v>
      </c>
      <c r="AE264" s="26"/>
      <c r="AF264" s="13">
        <f>AB264-B264</f>
        <v>-30000</v>
      </c>
      <c r="AG264" s="13">
        <f>AC264-C264</f>
        <v>5</v>
      </c>
      <c r="AH264" s="13">
        <f>AD264-D264</f>
        <v>0</v>
      </c>
    </row>
    <row r="265" spans="1:34" x14ac:dyDescent="0.55000000000000004">
      <c r="A265" t="s">
        <v>275</v>
      </c>
      <c r="B265" s="9"/>
      <c r="C265" s="9"/>
      <c r="D265" s="9"/>
      <c r="E265" s="9"/>
      <c r="F265" s="9"/>
      <c r="G265" s="9"/>
      <c r="H265" s="9"/>
      <c r="I265" s="9"/>
      <c r="J265" s="9"/>
      <c r="K265" s="35"/>
      <c r="L265" s="9">
        <v>5442</v>
      </c>
      <c r="M265" s="9">
        <v>786</v>
      </c>
      <c r="N265" s="9">
        <v>1267</v>
      </c>
      <c r="O265" s="9">
        <v>37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26"/>
      <c r="AB265" s="2"/>
      <c r="AC265" s="2"/>
      <c r="AD265" s="2"/>
      <c r="AE265" s="26"/>
      <c r="AF265" s="2"/>
      <c r="AG265" s="2"/>
      <c r="AH265" s="2"/>
    </row>
    <row r="266" spans="1:34" x14ac:dyDescent="0.55000000000000004">
      <c r="A266" t="s">
        <v>276</v>
      </c>
      <c r="B266" s="9"/>
      <c r="C266" s="9"/>
      <c r="D266" s="9"/>
      <c r="E266" s="9"/>
      <c r="F266" s="9"/>
      <c r="G266" s="9"/>
      <c r="H266" s="9"/>
      <c r="I266" s="9"/>
      <c r="J266" s="9"/>
      <c r="K266" s="35"/>
      <c r="L266" s="9">
        <v>4549</v>
      </c>
      <c r="M266" s="9">
        <v>466</v>
      </c>
      <c r="N266" s="9">
        <v>647</v>
      </c>
      <c r="O266" s="9">
        <v>20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26"/>
      <c r="AB266" s="2"/>
      <c r="AC266" s="2"/>
      <c r="AD266" s="2"/>
      <c r="AE266" s="26"/>
      <c r="AF266" s="2"/>
      <c r="AG266" s="2"/>
      <c r="AH266" s="2"/>
    </row>
    <row r="267" spans="1:34" x14ac:dyDescent="0.55000000000000004">
      <c r="A267" s="15" t="s">
        <v>277</v>
      </c>
      <c r="B267" s="16">
        <v>834965</v>
      </c>
      <c r="C267" s="16">
        <v>53374</v>
      </c>
      <c r="D267" s="16">
        <v>34218</v>
      </c>
      <c r="E267" s="16">
        <v>145375</v>
      </c>
      <c r="F267" s="16">
        <v>5275</v>
      </c>
      <c r="G267" s="16">
        <v>2546</v>
      </c>
      <c r="H267" s="16">
        <v>788205</v>
      </c>
      <c r="I267" s="16" t="s">
        <v>16</v>
      </c>
      <c r="J267" s="16" t="s">
        <v>16</v>
      </c>
      <c r="K267" s="35"/>
      <c r="L267" s="16">
        <v>193192</v>
      </c>
      <c r="M267" s="16">
        <v>145168</v>
      </c>
      <c r="N267" s="16">
        <v>254000</v>
      </c>
      <c r="O267" s="16">
        <v>197209</v>
      </c>
      <c r="P267" s="16">
        <v>45416</v>
      </c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26"/>
      <c r="AB267" s="13">
        <f>SUM(L267:Z267)</f>
        <v>834985</v>
      </c>
      <c r="AC267" s="13">
        <f>SUM(L268:Z268)</f>
        <v>53374</v>
      </c>
      <c r="AD267" s="13">
        <f>SUM(L269:Z269)</f>
        <v>34218</v>
      </c>
      <c r="AE267" s="26"/>
      <c r="AF267" s="13">
        <f>AB267-B267</f>
        <v>20</v>
      </c>
      <c r="AG267" s="13">
        <f>AC267-C267</f>
        <v>0</v>
      </c>
      <c r="AH267" s="13">
        <f>AD267-D267</f>
        <v>0</v>
      </c>
    </row>
    <row r="268" spans="1:34" x14ac:dyDescent="0.55000000000000004">
      <c r="A268" t="s">
        <v>278</v>
      </c>
      <c r="B268" s="9"/>
      <c r="C268" s="9"/>
      <c r="D268" s="9"/>
      <c r="E268" s="9"/>
      <c r="F268" s="9"/>
      <c r="G268" s="9"/>
      <c r="H268" s="9"/>
      <c r="I268" s="9"/>
      <c r="J268" s="9"/>
      <c r="K268" s="35"/>
      <c r="L268" s="9">
        <v>25096</v>
      </c>
      <c r="M268" s="9">
        <v>12665</v>
      </c>
      <c r="N268" s="9">
        <v>6814</v>
      </c>
      <c r="O268" s="9">
        <v>7168</v>
      </c>
      <c r="P268" s="9">
        <v>1631</v>
      </c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26"/>
      <c r="AB268" s="2"/>
      <c r="AC268" s="2"/>
      <c r="AD268" s="2"/>
      <c r="AE268" s="26"/>
      <c r="AF268" s="2"/>
      <c r="AG268" s="2"/>
      <c r="AH268" s="2"/>
    </row>
    <row r="269" spans="1:34" x14ac:dyDescent="0.55000000000000004">
      <c r="A269" t="s">
        <v>279</v>
      </c>
      <c r="B269" s="9"/>
      <c r="C269" s="9"/>
      <c r="D269" s="9"/>
      <c r="E269" s="9"/>
      <c r="F269" s="9"/>
      <c r="G269" s="9"/>
      <c r="H269" s="9"/>
      <c r="I269" s="9"/>
      <c r="J269" s="9"/>
      <c r="K269" s="35"/>
      <c r="L269" s="9">
        <v>20151</v>
      </c>
      <c r="M269" s="9">
        <v>3158</v>
      </c>
      <c r="N269" s="9">
        <v>4919</v>
      </c>
      <c r="O269" s="9">
        <v>5241</v>
      </c>
      <c r="P269" s="9">
        <v>749</v>
      </c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26"/>
      <c r="AB269" s="2"/>
      <c r="AC269" s="2"/>
      <c r="AD269" s="2"/>
      <c r="AE269" s="26"/>
      <c r="AF269" s="2"/>
      <c r="AG269" s="2"/>
      <c r="AH269" s="2"/>
    </row>
    <row r="270" spans="1:34" x14ac:dyDescent="0.55000000000000004">
      <c r="A270" s="28" t="s">
        <v>280</v>
      </c>
      <c r="B270" s="29">
        <v>6372290</v>
      </c>
      <c r="C270" s="29">
        <v>147217</v>
      </c>
      <c r="D270" s="29">
        <v>103430</v>
      </c>
      <c r="E270" s="29"/>
      <c r="F270" s="29"/>
      <c r="G270" s="29"/>
      <c r="H270" s="29">
        <v>5952621</v>
      </c>
      <c r="I270" s="29" t="s">
        <v>16</v>
      </c>
      <c r="J270" s="29" t="s">
        <v>16</v>
      </c>
      <c r="K270" s="35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6"/>
      <c r="AB270" s="30"/>
      <c r="AC270" s="30"/>
      <c r="AD270" s="30"/>
      <c r="AE270" s="26"/>
      <c r="AF270" s="30"/>
      <c r="AG270" s="30"/>
      <c r="AH270" s="30"/>
    </row>
    <row r="271" spans="1:34" x14ac:dyDescent="0.55000000000000004">
      <c r="A271" s="28" t="s">
        <v>281</v>
      </c>
      <c r="B271" s="29">
        <v>118873150</v>
      </c>
      <c r="C271" s="29">
        <v>5369290</v>
      </c>
      <c r="D271" s="29">
        <v>3757420</v>
      </c>
      <c r="E271" s="29"/>
      <c r="F271" s="29"/>
      <c r="G271" s="29"/>
      <c r="H271" s="29">
        <v>113464127</v>
      </c>
      <c r="I271" s="29">
        <v>5088526</v>
      </c>
      <c r="J271" s="29">
        <v>3502395</v>
      </c>
      <c r="K271" s="35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6"/>
      <c r="AB271" s="30"/>
      <c r="AC271" s="30"/>
      <c r="AD271" s="30"/>
      <c r="AE271" s="26"/>
      <c r="AF271" s="30"/>
      <c r="AG271" s="30"/>
      <c r="AH271" s="30"/>
    </row>
  </sheetData>
  <mergeCells count="1">
    <mergeCell ref="L1:Z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2026-06-23T02:15:54Z</dcterms:modified>
</cp:coreProperties>
</file>