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"/>
    </mc:Choice>
  </mc:AlternateContent>
  <xr:revisionPtr revIDLastSave="0" documentId="13_ncr:1_{DADFBA95-7118-4811-9D8B-8F9BE223D480}" xr6:coauthVersionLast="47" xr6:coauthVersionMax="47" xr10:uidLastSave="{00000000-0000-0000-0000-000000000000}"/>
  <bookViews>
    <workbookView xWindow="57480" yWindow="-120" windowWidth="51840" windowHeight="21120" activeTab="1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9" i="1" l="1"/>
  <c r="L99" i="1"/>
  <c r="M98" i="1"/>
  <c r="L98" i="1"/>
  <c r="M97" i="1"/>
  <c r="L97" i="1"/>
  <c r="L96" i="1"/>
  <c r="M95" i="1"/>
  <c r="L95" i="1"/>
  <c r="M91" i="1"/>
  <c r="L91" i="1"/>
  <c r="M87" i="1"/>
  <c r="L87" i="1"/>
  <c r="M86" i="1"/>
  <c r="L86" i="1"/>
  <c r="M85" i="1"/>
  <c r="L85" i="1"/>
  <c r="M84" i="1"/>
  <c r="L84" i="1"/>
  <c r="M83" i="1"/>
  <c r="L83" i="1"/>
  <c r="L82" i="1"/>
  <c r="M81" i="1"/>
  <c r="L81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Z97" i="1"/>
  <c r="AI97" i="1" s="1"/>
  <c r="Y97" i="1"/>
  <c r="AH97" i="1" s="1"/>
  <c r="X97" i="1"/>
  <c r="AG97" i="1" s="1"/>
  <c r="W97" i="1"/>
  <c r="AF97" i="1" s="1"/>
  <c r="V97" i="1"/>
  <c r="AE97" i="1" s="1"/>
  <c r="U97" i="1"/>
  <c r="AD97" i="1" s="1"/>
  <c r="T97" i="1"/>
  <c r="AC97" i="1" s="1"/>
  <c r="S97" i="1"/>
  <c r="AB97" i="1" s="1"/>
  <c r="Z86" i="1"/>
  <c r="AI86" i="1" s="1"/>
  <c r="Y86" i="1"/>
  <c r="AH86" i="1" s="1"/>
  <c r="X86" i="1"/>
  <c r="AG86" i="1" s="1"/>
  <c r="W86" i="1"/>
  <c r="AF86" i="1" s="1"/>
  <c r="V86" i="1"/>
  <c r="U86" i="1"/>
  <c r="AD86" i="1" s="1"/>
  <c r="T86" i="1"/>
  <c r="AC86" i="1" s="1"/>
  <c r="S86" i="1"/>
  <c r="AB86" i="1" s="1"/>
  <c r="Z77" i="1"/>
  <c r="Y77" i="1"/>
  <c r="X77" i="1"/>
  <c r="AG77" i="1" s="1"/>
  <c r="W77" i="1"/>
  <c r="AF77" i="1" s="1"/>
  <c r="V77" i="1"/>
  <c r="AE77" i="1" s="1"/>
  <c r="U77" i="1"/>
  <c r="AD77" i="1" s="1"/>
  <c r="T77" i="1"/>
  <c r="AC77" i="1" s="1"/>
  <c r="S77" i="1"/>
  <c r="AB77" i="1" s="1"/>
  <c r="Z63" i="1"/>
  <c r="AI63" i="1" s="1"/>
  <c r="Y63" i="1"/>
  <c r="AH63" i="1" s="1"/>
  <c r="X63" i="1"/>
  <c r="W63" i="1"/>
  <c r="AF63" i="1" s="1"/>
  <c r="V63" i="1"/>
  <c r="AE63" i="1" s="1"/>
  <c r="U63" i="1"/>
  <c r="AD63" i="1" s="1"/>
  <c r="T63" i="1"/>
  <c r="AC63" i="1" s="1"/>
  <c r="S63" i="1"/>
  <c r="AB63" i="1" s="1"/>
  <c r="Z52" i="1"/>
  <c r="Y52" i="1"/>
  <c r="AH52" i="1" s="1"/>
  <c r="X52" i="1"/>
  <c r="AG52" i="1" s="1"/>
  <c r="W52" i="1"/>
  <c r="W64" i="1" s="1"/>
  <c r="AF64" i="1" s="1"/>
  <c r="V52" i="1"/>
  <c r="U52" i="1"/>
  <c r="T52" i="1"/>
  <c r="S52" i="1"/>
  <c r="AB52" i="1" s="1"/>
  <c r="Z64" i="1" l="1"/>
  <c r="AI64" i="1" s="1"/>
  <c r="Z98" i="1"/>
  <c r="Y98" i="1"/>
  <c r="AH98" i="1" s="1"/>
  <c r="V98" i="1"/>
  <c r="AE98" i="1" s="1"/>
  <c r="S98" i="1"/>
  <c r="X64" i="1"/>
  <c r="AG64" i="1" s="1"/>
  <c r="S64" i="1"/>
  <c r="AB64" i="1" s="1"/>
  <c r="T64" i="1"/>
  <c r="AC64" i="1" s="1"/>
  <c r="U64" i="1"/>
  <c r="AD64" i="1" s="1"/>
  <c r="V64" i="1"/>
  <c r="AE64" i="1" s="1"/>
  <c r="AI98" i="1"/>
  <c r="Z99" i="1"/>
  <c r="AI99" i="1" s="1"/>
  <c r="AE52" i="1"/>
  <c r="W98" i="1"/>
  <c r="T98" i="1"/>
  <c r="AD52" i="1"/>
  <c r="X98" i="1"/>
  <c r="U98" i="1"/>
  <c r="AE86" i="1"/>
  <c r="AC52" i="1"/>
  <c r="AG63" i="1"/>
  <c r="AH77" i="1"/>
  <c r="AI77" i="1"/>
  <c r="Y64" i="1"/>
  <c r="AH64" i="1" s="1"/>
  <c r="AF52" i="1"/>
  <c r="AI52" i="1"/>
  <c r="V99" i="1" l="1"/>
  <c r="AE99" i="1" s="1"/>
  <c r="S99" i="1"/>
  <c r="AB99" i="1" s="1"/>
  <c r="AB98" i="1"/>
  <c r="AG98" i="1"/>
  <c r="X99" i="1"/>
  <c r="AG99" i="1" s="1"/>
  <c r="T99" i="1"/>
  <c r="AC99" i="1" s="1"/>
  <c r="AC98" i="1"/>
  <c r="U99" i="1"/>
  <c r="AD99" i="1" s="1"/>
  <c r="AD98" i="1"/>
  <c r="AF98" i="1"/>
  <c r="W99" i="1"/>
  <c r="AF99" i="1" s="1"/>
  <c r="Y99" i="1"/>
  <c r="AH99" i="1" s="1"/>
</calcChain>
</file>

<file path=xl/sharedStrings.xml><?xml version="1.0" encoding="utf-8"?>
<sst xmlns="http://schemas.openxmlformats.org/spreadsheetml/2006/main" count="220" uniqueCount="125">
  <si>
    <t>губ</t>
  </si>
  <si>
    <t>чр-г-м</t>
  </si>
  <si>
    <t>чр-г-ж</t>
  </si>
  <si>
    <t>чр-у-м</t>
  </si>
  <si>
    <t>чр-с-ж</t>
  </si>
  <si>
    <t>чу-г-м</t>
  </si>
  <si>
    <t>чу-г-ж</t>
  </si>
  <si>
    <t>чу-у-м</t>
  </si>
  <si>
    <t>чу-с-ж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</si>
  <si>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</si>
  <si>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</si>
  <si>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</si>
  <si>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</si>
  <si>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</si>
  <si>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</si>
  <si>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</si>
  <si>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</si>
  <si>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</si>
  <si>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</si>
  <si>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</si>
  <si>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Донск. войска обл.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</si>
  <si>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</si>
  <si>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</si>
  <si>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</si>
  <si>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</si>
  <si>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</si>
  <si>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</si>
  <si>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</si>
  <si>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</si>
  <si>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</si>
  <si>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</si>
  <si>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</si>
  <si>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</si>
  <si>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</si>
  <si>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</si>
  <si>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</si>
  <si>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</si>
  <si>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</si>
  <si>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</si>
  <si>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</si>
  <si>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</si>
  <si>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</si>
  <si>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</si>
  <si>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</si>
  <si>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</si>
  <si>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С.-Петербургская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</si>
  <si>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</si>
  <si>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</si>
  <si>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</si>
  <si>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</si>
  <si>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</si>
  <si>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</si>
  <si>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</si>
  <si>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</si>
  <si>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</si>
  <si>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</si>
  <si>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</si>
  <si>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</si>
  <si>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</si>
  <si>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Итого в 50 губерниях Европейской России</t>
  </si>
  <si>
    <t>Варшавская</t>
  </si>
  <si>
    <t>Калишская</t>
  </si>
  <si>
    <t>Келецкая</t>
  </si>
  <si>
    <t>Ломжинская</t>
  </si>
  <si>
    <t>Люблинская</t>
  </si>
  <si>
    <t>Петроковская</t>
  </si>
  <si>
    <t>Плоцкая</t>
  </si>
  <si>
    <t>Радомская</t>
  </si>
  <si>
    <t>Сувалкская</t>
  </si>
  <si>
    <t>Седлецкая</t>
  </si>
  <si>
    <t>Итого в Привислинских губерниях</t>
  </si>
  <si>
    <t>Европейская Россия с Привислинскими губ.</t>
  </si>
  <si>
    <t>Бакинская</t>
  </si>
  <si>
    <t>Дагестанская обл.</t>
  </si>
  <si>
    <t>Елисаветпольская</t>
  </si>
  <si>
    <t>Закатальский окр.</t>
  </si>
  <si>
    <t>—</t>
  </si>
  <si>
    <t>Карская обл.</t>
  </si>
  <si>
    <t>Кубанская обл.</t>
  </si>
  <si>
    <t>Кутаисская</t>
  </si>
  <si>
    <t>Ставропольская</t>
  </si>
  <si>
    <t>Терская</t>
  </si>
  <si>
    <t>Тифлисская</t>
  </si>
  <si>
    <t>Черноморский окр.</t>
  </si>
  <si>
    <t>Эриванская</t>
  </si>
  <si>
    <t>Итого в Кавказе</t>
  </si>
  <si>
    <t>Амурская обл.</t>
  </si>
  <si>
    <t>Енисейская губ.</t>
  </si>
  <si>
    <t>Забайкальская обл.</t>
  </si>
  <si>
    <t>Иркутская губ.</t>
  </si>
  <si>
    <t>Приморская обл. и Владивостокское воен. губ.</t>
  </si>
  <si>
    <t>Тобольская губ.</t>
  </si>
  <si>
    <t>Томская губ.</t>
  </si>
  <si>
    <t>Якутская обл.</t>
  </si>
  <si>
    <t>Итого в Сибири</t>
  </si>
  <si>
    <t>Акмолинская</t>
  </si>
  <si>
    <t>Аму-Дарьинская</t>
  </si>
  <si>
    <t>Закаспийская обл.</t>
  </si>
  <si>
    <t>Самаркандский окр.</t>
  </si>
  <si>
    <t>Семипалатинская</t>
  </si>
  <si>
    <t>Семиреченская</t>
  </si>
  <si>
    <t>Сыр-Дарьинская</t>
  </si>
  <si>
    <t>Туркестанское воен. губ.</t>
  </si>
  <si>
    <t>Уральская обл.</t>
  </si>
  <si>
    <t>Ферганская обл.</t>
  </si>
  <si>
    <t>Итого в Средней Азии</t>
  </si>
  <si>
    <t>Кавказ и Азиатская Россия</t>
  </si>
  <si>
    <t>Всего</t>
  </si>
  <si>
    <t>Параметр</t>
  </si>
  <si>
    <t>Значение</t>
  </si>
  <si>
    <t>Источник</t>
  </si>
  <si>
    <t>Сборник сведений по России 1884–1885</t>
  </si>
  <si>
    <t>Таблица</t>
  </si>
  <si>
    <t>III. Движение населения в Российской Империи за 1884 и 1885 гг.</t>
  </si>
  <si>
    <t>Страницы PDF</t>
  </si>
  <si>
    <t>16–19</t>
  </si>
  <si>
    <t>Печатные страницы</t>
  </si>
  <si>
    <t>28–33</t>
  </si>
  <si>
    <t>Извлечённый год</t>
  </si>
  <si>
    <t>1884</t>
  </si>
  <si>
    <t>Примечание</t>
  </si>
  <si>
    <t>Данные вычитаны по изображению; слой OCR в PDF не использовался. Итоговые строки введены как напечатаны в таблице.</t>
  </si>
  <si>
    <t>Column1</t>
  </si>
  <si>
    <t>мж-г</t>
  </si>
  <si>
    <t>мж-с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</si>
</sst>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name val="Carlito"/>
      <family val="2"/>
    </font>
    <font>
      <b/>
      <sz val="11"/>
      <name val="Carlito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4E2D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0" fontId="1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3" fontId="0" fillId="4" borderId="0" xfId="0" applyNumberFormat="1" applyFill="1"/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0" fillId="5" borderId="0" xfId="0" applyNumberFormat="1" applyFill="1" applyAlignment="1">
      <alignment horizontal="right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J99">
  <tableColumns count="10">
    <tableColumn id="1" xr3:uid="{00000000-0010-0000-0000-000001000000}" name="губ"/>
    <tableColumn id="2" xr3:uid="{00000000-0010-0000-0000-000002000000}" name="чр-г-м"/>
    <tableColumn id="3" xr3:uid="{00000000-0010-0000-0000-000003000000}" name="чр-г-ж"/>
    <tableColumn id="4" xr3:uid="{00000000-0010-0000-0000-000004000000}" name="чр-у-м"/>
    <tableColumn id="5" xr3:uid="{00000000-0010-0000-0000-000005000000}" name="чр-с-ж"/>
    <tableColumn id="10" xr3:uid="{5592BEEA-7272-4EBE-B648-ADB6AA541532}" name="Column1" dataDxfId="0"/>
    <tableColumn id="6" xr3:uid="{00000000-0010-0000-0000-000006000000}" name="чу-г-м"/>
    <tableColumn id="7" xr3:uid="{00000000-0010-0000-0000-000007000000}" name="чу-г-ж"/>
    <tableColumn id="8" xr3:uid="{00000000-0010-0000-0000-000008000000}" name="чу-у-м"/>
    <tableColumn id="9" xr3:uid="{00000000-0010-0000-0000-000009000000}" name="чу-с-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55000000000000004"/>
  <cols>
    <col min="1" max="1" width="22" customWidth="1"/>
    <col min="2" max="2" width="90" customWidth="1"/>
  </cols>
  <sheetData>
    <row r="1" spans="1:2" x14ac:dyDescent="0.55000000000000004">
      <c r="A1" s="7" t="s">
        <v>108</v>
      </c>
      <c r="B1" s="1" t="s">
        <v>109</v>
      </c>
    </row>
    <row r="2" spans="1:2" x14ac:dyDescent="0.55000000000000004">
      <c r="A2" t="s">
        <v>110</v>
      </c>
      <c r="B2" t="s">
        <v>111</v>
      </c>
    </row>
    <row r="3" spans="1:2" x14ac:dyDescent="0.55000000000000004">
      <c r="A3" t="s">
        <v>112</v>
      </c>
      <c r="B3" t="s">
        <v>113</v>
      </c>
    </row>
    <row r="4" spans="1:2" x14ac:dyDescent="0.55000000000000004">
      <c r="A4" t="s">
        <v>114</v>
      </c>
      <c r="B4" t="s">
        <v>115</v>
      </c>
    </row>
    <row r="5" spans="1:2" x14ac:dyDescent="0.55000000000000004">
      <c r="A5" t="s">
        <v>116</v>
      </c>
      <c r="B5" t="s">
        <v>117</v>
      </c>
    </row>
    <row r="6" spans="1:2" x14ac:dyDescent="0.55000000000000004">
      <c r="A6" t="s">
        <v>118</v>
      </c>
      <c r="B6" t="s">
        <v>119</v>
      </c>
    </row>
    <row r="7" spans="1:2" x14ac:dyDescent="0.55000000000000004">
      <c r="A7" t="s">
        <v>120</v>
      </c>
      <c r="B7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"/>
  <sheetViews>
    <sheetView tabSelected="1" workbookViewId="0">
      <selection activeCell="AT9" sqref="AT9"/>
    </sheetView>
  </sheetViews>
  <sheetFormatPr defaultRowHeight="14.4" x14ac:dyDescent="0.55000000000000004"/>
  <cols>
    <col min="1" max="1" width="40.734375" bestFit="1" customWidth="1"/>
    <col min="2" max="3" width="7.68359375" bestFit="1" customWidth="1"/>
    <col min="4" max="5" width="9.26171875" bestFit="1" customWidth="1"/>
    <col min="6" max="6" width="5.3125" customWidth="1"/>
    <col min="7" max="8" width="7.68359375" bestFit="1" customWidth="1"/>
    <col min="9" max="10" width="9.26171875" bestFit="1" customWidth="1"/>
    <col min="11" max="17" width="9.26171875" customWidth="1"/>
    <col min="19" max="20" width="7.68359375" bestFit="1" customWidth="1"/>
    <col min="21" max="22" width="9.26171875" bestFit="1" customWidth="1"/>
    <col min="23" max="24" width="7.68359375" bestFit="1" customWidth="1"/>
    <col min="25" max="26" width="9.26171875" bestFit="1" customWidth="1"/>
    <col min="28" max="28" width="1.89453125" bestFit="1" customWidth="1"/>
    <col min="29" max="29" width="6.62890625" bestFit="1" customWidth="1"/>
    <col min="30" max="31" width="9.9453125" bestFit="1" customWidth="1"/>
    <col min="32" max="33" width="6.62890625" bestFit="1" customWidth="1"/>
    <col min="34" max="35" width="9.9453125" bestFit="1" customWidth="1"/>
  </cols>
  <sheetData>
    <row r="1" spans="1:17" ht="28.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122</v>
      </c>
      <c r="G1" s="2" t="s">
        <v>5</v>
      </c>
      <c r="H1" s="2" t="s">
        <v>6</v>
      </c>
      <c r="I1" s="2" t="s">
        <v>7</v>
      </c>
      <c r="J1" s="2" t="s">
        <v>8</v>
      </c>
      <c r="K1" s="11"/>
      <c r="L1" s="15" t="s">
        <v>123</v>
      </c>
      <c r="M1" s="15" t="s">
        <v>124</v>
      </c>
      <c r="N1" s="11"/>
      <c r="O1" s="11"/>
      <c r="P1" s="11"/>
      <c r="Q1" s="11"/>
    </row>
    <row r="2" spans="1:17" x14ac:dyDescent="0.55000000000000004">
      <c r="A2" s="3" t="s">
        <v>9</v>
      </c>
      <c r="B2" s="4">
        <v>447</v>
      </c>
      <c r="C2" s="4">
        <v>419</v>
      </c>
      <c r="D2" s="4">
        <v>6181</v>
      </c>
      <c r="E2" s="4">
        <v>5786</v>
      </c>
      <c r="F2" s="4"/>
      <c r="G2" s="4">
        <v>460</v>
      </c>
      <c r="H2" s="4">
        <v>355</v>
      </c>
      <c r="I2" s="4">
        <v>3826</v>
      </c>
      <c r="J2" s="4">
        <v>3672</v>
      </c>
      <c r="K2" s="4"/>
      <c r="L2" s="13">
        <f>B2/C2-1.05</f>
        <v>1.6825775656324593E-2</v>
      </c>
      <c r="M2" s="13">
        <f>D2/E2-1.05</f>
        <v>1.8268233667473099E-2</v>
      </c>
      <c r="N2" s="4"/>
      <c r="O2" s="4"/>
      <c r="P2" s="4"/>
      <c r="Q2" s="4"/>
    </row>
    <row r="3" spans="1:17" x14ac:dyDescent="0.55000000000000004">
      <c r="A3" s="3" t="s">
        <v>10</v>
      </c>
      <c r="B3" s="4">
        <v>2550</v>
      </c>
      <c r="C3" s="4">
        <v>2354</v>
      </c>
      <c r="D3" s="4">
        <v>12646</v>
      </c>
      <c r="E3" s="4">
        <v>12045</v>
      </c>
      <c r="F3" s="4"/>
      <c r="G3" s="4">
        <v>2040</v>
      </c>
      <c r="H3" s="4">
        <v>1732</v>
      </c>
      <c r="I3" s="4">
        <v>8429</v>
      </c>
      <c r="J3" s="4">
        <v>7951</v>
      </c>
      <c r="K3" s="4"/>
      <c r="L3" s="13">
        <f t="shared" ref="L3:L66" si="0">B3/C3-1.05</f>
        <v>3.3262531860662747E-2</v>
      </c>
      <c r="M3" s="13">
        <f t="shared" ref="M3:M66" si="1">D3/E3-1.05</f>
        <v>-1.0377750103773842E-4</v>
      </c>
      <c r="N3" s="4"/>
      <c r="O3" s="4"/>
      <c r="P3" s="4"/>
      <c r="Q3" s="4"/>
    </row>
    <row r="4" spans="1:17" x14ac:dyDescent="0.55000000000000004">
      <c r="A4" s="3" t="s">
        <v>11</v>
      </c>
      <c r="B4" s="4">
        <v>4717</v>
      </c>
      <c r="C4" s="4">
        <v>3927</v>
      </c>
      <c r="D4" s="4">
        <v>31532</v>
      </c>
      <c r="E4" s="4">
        <v>29308</v>
      </c>
      <c r="F4" s="4"/>
      <c r="G4" s="4">
        <v>3487</v>
      </c>
      <c r="H4" s="4">
        <v>2953</v>
      </c>
      <c r="I4" s="4">
        <v>17294</v>
      </c>
      <c r="J4" s="4">
        <v>15886</v>
      </c>
      <c r="K4" s="4"/>
      <c r="L4" s="14">
        <f t="shared" si="0"/>
        <v>0.15117137764196587</v>
      </c>
      <c r="M4" s="13">
        <f t="shared" si="1"/>
        <v>2.5883717756243874E-2</v>
      </c>
      <c r="N4" s="4"/>
      <c r="O4" s="4"/>
      <c r="P4" s="4"/>
      <c r="Q4" s="4"/>
    </row>
    <row r="5" spans="1:17" x14ac:dyDescent="0.55000000000000004">
      <c r="A5" s="3" t="s">
        <v>12</v>
      </c>
      <c r="B5" s="4">
        <v>2167</v>
      </c>
      <c r="C5" s="4">
        <v>1560</v>
      </c>
      <c r="D5" s="4">
        <v>22572</v>
      </c>
      <c r="E5" s="4">
        <v>21207</v>
      </c>
      <c r="F5" s="4"/>
      <c r="G5" s="4">
        <v>2170</v>
      </c>
      <c r="H5" s="4">
        <v>1814</v>
      </c>
      <c r="I5" s="4">
        <v>12982</v>
      </c>
      <c r="J5" s="4">
        <v>12242</v>
      </c>
      <c r="K5" s="4"/>
      <c r="L5" s="14">
        <f t="shared" si="0"/>
        <v>0.33910256410256401</v>
      </c>
      <c r="M5" s="13">
        <f t="shared" si="1"/>
        <v>1.4365539680294193E-2</v>
      </c>
      <c r="N5" s="4"/>
      <c r="O5" s="4"/>
      <c r="P5" s="4"/>
      <c r="Q5" s="4"/>
    </row>
    <row r="6" spans="1:17" x14ac:dyDescent="0.55000000000000004">
      <c r="A6" s="3" t="s">
        <v>13</v>
      </c>
      <c r="B6" s="4">
        <v>2954</v>
      </c>
      <c r="C6" s="4">
        <v>2167</v>
      </c>
      <c r="D6" s="4">
        <v>22571</v>
      </c>
      <c r="E6" s="4">
        <v>21292</v>
      </c>
      <c r="F6" s="4"/>
      <c r="G6" s="4">
        <v>2115</v>
      </c>
      <c r="H6" s="4">
        <v>1842</v>
      </c>
      <c r="I6" s="4">
        <v>13404</v>
      </c>
      <c r="J6" s="4">
        <v>12056</v>
      </c>
      <c r="K6" s="4"/>
      <c r="L6" s="14">
        <f t="shared" si="0"/>
        <v>0.31317489616981997</v>
      </c>
      <c r="M6" s="13">
        <f t="shared" si="1"/>
        <v>1.0069509674995203E-2</v>
      </c>
      <c r="N6" s="4"/>
      <c r="O6" s="4"/>
      <c r="P6" s="4"/>
      <c r="Q6" s="4"/>
    </row>
    <row r="7" spans="1:17" x14ac:dyDescent="0.55000000000000004">
      <c r="A7" s="3" t="s">
        <v>14</v>
      </c>
      <c r="B7" s="4">
        <v>3089</v>
      </c>
      <c r="C7" s="4">
        <v>2972</v>
      </c>
      <c r="D7" s="4">
        <v>35731</v>
      </c>
      <c r="E7" s="4">
        <v>33861</v>
      </c>
      <c r="F7" s="4"/>
      <c r="G7" s="4">
        <v>2952</v>
      </c>
      <c r="H7" s="4">
        <v>2660</v>
      </c>
      <c r="I7" s="4">
        <v>25717</v>
      </c>
      <c r="J7" s="4">
        <v>24427</v>
      </c>
      <c r="K7" s="4"/>
      <c r="L7" s="13">
        <f t="shared" si="0"/>
        <v>-1.0632570659488527E-2</v>
      </c>
      <c r="M7" s="13">
        <f t="shared" si="1"/>
        <v>5.2257759664511294E-3</v>
      </c>
      <c r="N7" s="4"/>
      <c r="O7" s="4"/>
      <c r="P7" s="4"/>
      <c r="Q7" s="4"/>
    </row>
    <row r="8" spans="1:17" x14ac:dyDescent="0.55000000000000004">
      <c r="A8" s="3" t="s">
        <v>15</v>
      </c>
      <c r="B8" s="4">
        <v>980</v>
      </c>
      <c r="C8" s="4">
        <v>941</v>
      </c>
      <c r="D8" s="4">
        <v>29752</v>
      </c>
      <c r="E8" s="4">
        <v>28275</v>
      </c>
      <c r="F8" s="4"/>
      <c r="G8" s="4">
        <v>838</v>
      </c>
      <c r="H8" s="4">
        <v>701</v>
      </c>
      <c r="I8" s="4">
        <v>18867</v>
      </c>
      <c r="J8" s="4">
        <v>17671</v>
      </c>
      <c r="K8" s="4"/>
      <c r="L8" s="13">
        <f t="shared" si="0"/>
        <v>-8.5547290116896324E-3</v>
      </c>
      <c r="M8" s="13">
        <f t="shared" si="1"/>
        <v>2.2369584438548529E-3</v>
      </c>
      <c r="N8" s="4"/>
      <c r="O8" s="4"/>
      <c r="P8" s="4"/>
      <c r="Q8" s="4"/>
    </row>
    <row r="9" spans="1:17" x14ac:dyDescent="0.55000000000000004">
      <c r="A9" s="3" t="s">
        <v>16</v>
      </c>
      <c r="B9" s="4">
        <v>3188</v>
      </c>
      <c r="C9" s="4">
        <v>2332</v>
      </c>
      <c r="D9" s="4">
        <v>51749</v>
      </c>
      <c r="E9" s="4">
        <v>48197</v>
      </c>
      <c r="F9" s="4"/>
      <c r="G9" s="4">
        <v>2169</v>
      </c>
      <c r="H9" s="4">
        <v>1770</v>
      </c>
      <c r="I9" s="4">
        <v>29256</v>
      </c>
      <c r="J9" s="4">
        <v>27202</v>
      </c>
      <c r="K9" s="4"/>
      <c r="L9" s="14">
        <f t="shared" si="0"/>
        <v>0.31706689536878208</v>
      </c>
      <c r="M9" s="13">
        <f t="shared" si="1"/>
        <v>2.3697533041475483E-2</v>
      </c>
      <c r="N9" s="4"/>
      <c r="O9" s="4"/>
      <c r="P9" s="4"/>
      <c r="Q9" s="4"/>
    </row>
    <row r="10" spans="1:17" x14ac:dyDescent="0.55000000000000004">
      <c r="A10" s="3" t="s">
        <v>17</v>
      </c>
      <c r="B10" s="4">
        <v>2066</v>
      </c>
      <c r="C10" s="4">
        <v>2030</v>
      </c>
      <c r="D10" s="4">
        <v>64205</v>
      </c>
      <c r="E10" s="4">
        <v>62381</v>
      </c>
      <c r="F10" s="4"/>
      <c r="G10" s="4">
        <v>1737</v>
      </c>
      <c r="H10" s="4">
        <v>1576</v>
      </c>
      <c r="I10" s="4">
        <v>37612</v>
      </c>
      <c r="J10" s="4">
        <v>36058</v>
      </c>
      <c r="K10" s="4"/>
      <c r="L10" s="13">
        <f t="shared" si="0"/>
        <v>-3.2266009852216726E-2</v>
      </c>
      <c r="M10" s="13">
        <f t="shared" si="1"/>
        <v>-2.0760327663872147E-2</v>
      </c>
      <c r="N10" s="4"/>
      <c r="O10" s="4"/>
      <c r="P10" s="4"/>
      <c r="Q10" s="4"/>
    </row>
    <row r="11" spans="1:17" x14ac:dyDescent="0.55000000000000004">
      <c r="A11" s="3" t="s">
        <v>18</v>
      </c>
      <c r="B11" s="4">
        <v>1352</v>
      </c>
      <c r="C11" s="4">
        <v>1287</v>
      </c>
      <c r="D11" s="4">
        <v>77637</v>
      </c>
      <c r="E11" s="4">
        <v>75195</v>
      </c>
      <c r="F11" s="4"/>
      <c r="G11" s="4">
        <v>1211</v>
      </c>
      <c r="H11" s="4">
        <v>1073</v>
      </c>
      <c r="I11" s="4">
        <v>49936</v>
      </c>
      <c r="J11" s="4">
        <v>48028</v>
      </c>
      <c r="K11" s="4"/>
      <c r="L11" s="13">
        <f t="shared" si="0"/>
        <v>5.0505050505056381E-4</v>
      </c>
      <c r="M11" s="13">
        <f t="shared" si="1"/>
        <v>-1.7524436465190529E-2</v>
      </c>
      <c r="N11" s="4"/>
      <c r="O11" s="4"/>
      <c r="P11" s="4"/>
      <c r="Q11" s="4"/>
    </row>
    <row r="12" spans="1:17" x14ac:dyDescent="0.55000000000000004">
      <c r="A12" s="3" t="s">
        <v>19</v>
      </c>
      <c r="B12" s="4">
        <v>3033</v>
      </c>
      <c r="C12" s="4">
        <v>2106</v>
      </c>
      <c r="D12" s="4">
        <v>24242</v>
      </c>
      <c r="E12" s="4">
        <v>22163</v>
      </c>
      <c r="F12" s="4"/>
      <c r="G12" s="4">
        <v>2607</v>
      </c>
      <c r="H12" s="4">
        <v>2217</v>
      </c>
      <c r="I12" s="4">
        <v>16386</v>
      </c>
      <c r="J12" s="4">
        <v>15315</v>
      </c>
      <c r="K12" s="4"/>
      <c r="L12" s="14">
        <f t="shared" si="0"/>
        <v>0.39017094017094012</v>
      </c>
      <c r="M12" s="13">
        <f t="shared" si="1"/>
        <v>4.3804990299147084E-2</v>
      </c>
      <c r="N12" s="4"/>
      <c r="O12" s="4"/>
      <c r="P12" s="4"/>
      <c r="Q12" s="4"/>
    </row>
    <row r="13" spans="1:17" x14ac:dyDescent="0.55000000000000004">
      <c r="A13" s="3" t="s">
        <v>20</v>
      </c>
      <c r="B13" s="4">
        <v>1357</v>
      </c>
      <c r="C13" s="4">
        <v>1322</v>
      </c>
      <c r="D13" s="4">
        <v>46488</v>
      </c>
      <c r="E13" s="4">
        <v>45249</v>
      </c>
      <c r="F13" s="4"/>
      <c r="G13" s="4">
        <v>1068</v>
      </c>
      <c r="H13" s="4">
        <v>849</v>
      </c>
      <c r="I13" s="4">
        <v>26035</v>
      </c>
      <c r="J13" s="4">
        <v>24382</v>
      </c>
      <c r="K13" s="4"/>
      <c r="L13" s="13">
        <f t="shared" si="0"/>
        <v>-2.3524962178517406E-2</v>
      </c>
      <c r="M13" s="13">
        <f t="shared" si="1"/>
        <v>-2.2618179407279726E-2</v>
      </c>
      <c r="N13" s="4"/>
      <c r="O13" s="4"/>
      <c r="P13" s="4"/>
      <c r="Q13" s="4"/>
    </row>
    <row r="14" spans="1:17" x14ac:dyDescent="0.55000000000000004">
      <c r="A14" s="3" t="s">
        <v>21</v>
      </c>
      <c r="B14" s="4">
        <v>8415</v>
      </c>
      <c r="C14" s="4">
        <v>7933</v>
      </c>
      <c r="D14" s="4">
        <v>39827</v>
      </c>
      <c r="E14" s="4">
        <v>37982</v>
      </c>
      <c r="F14" s="4"/>
      <c r="G14" s="4">
        <v>6091</v>
      </c>
      <c r="H14" s="4">
        <v>4848</v>
      </c>
      <c r="I14" s="4">
        <v>23133</v>
      </c>
      <c r="J14" s="4">
        <v>21940</v>
      </c>
      <c r="K14" s="4"/>
      <c r="L14" s="13">
        <f t="shared" si="0"/>
        <v>1.0758855414092938E-2</v>
      </c>
      <c r="M14" s="13">
        <f t="shared" si="1"/>
        <v>-1.4243589068505536E-3</v>
      </c>
      <c r="N14" s="4"/>
      <c r="O14" s="4"/>
      <c r="P14" s="4"/>
      <c r="Q14" s="4"/>
    </row>
    <row r="15" spans="1:17" x14ac:dyDescent="0.55000000000000004">
      <c r="A15" s="3" t="s">
        <v>22</v>
      </c>
      <c r="B15" s="4">
        <v>3312</v>
      </c>
      <c r="C15" s="4">
        <v>3222</v>
      </c>
      <c r="D15" s="4">
        <v>47968</v>
      </c>
      <c r="E15" s="4">
        <v>45667</v>
      </c>
      <c r="F15" s="4"/>
      <c r="G15" s="4">
        <v>3191</v>
      </c>
      <c r="H15" s="4">
        <v>2789</v>
      </c>
      <c r="I15" s="4">
        <v>31549</v>
      </c>
      <c r="J15" s="4">
        <v>30890</v>
      </c>
      <c r="K15" s="4"/>
      <c r="L15" s="13">
        <f t="shared" si="0"/>
        <v>-2.206703910614527E-2</v>
      </c>
      <c r="M15" s="13">
        <f t="shared" si="1"/>
        <v>3.8649352924435831E-4</v>
      </c>
      <c r="N15" s="4"/>
      <c r="O15" s="4"/>
      <c r="P15" s="4"/>
      <c r="Q15" s="4"/>
    </row>
    <row r="16" spans="1:17" x14ac:dyDescent="0.55000000000000004">
      <c r="A16" s="3" t="s">
        <v>23</v>
      </c>
      <c r="B16" s="4">
        <v>1458</v>
      </c>
      <c r="C16" s="4">
        <v>1490</v>
      </c>
      <c r="D16" s="4">
        <v>26451</v>
      </c>
      <c r="E16" s="4">
        <v>25140</v>
      </c>
      <c r="F16" s="4"/>
      <c r="G16" s="4">
        <v>1512</v>
      </c>
      <c r="H16" s="4">
        <v>1280</v>
      </c>
      <c r="I16" s="4">
        <v>22157</v>
      </c>
      <c r="J16" s="4">
        <v>21683</v>
      </c>
      <c r="K16" s="4"/>
      <c r="L16" s="13">
        <f t="shared" si="0"/>
        <v>-7.1476510067114085E-2</v>
      </c>
      <c r="M16" s="13">
        <f t="shared" si="1"/>
        <v>2.1479713603818062E-3</v>
      </c>
      <c r="N16" s="4"/>
      <c r="O16" s="4"/>
      <c r="P16" s="4"/>
      <c r="Q16" s="4"/>
    </row>
    <row r="17" spans="1:17" x14ac:dyDescent="0.55000000000000004">
      <c r="A17" s="3" t="s">
        <v>24</v>
      </c>
      <c r="B17" s="4">
        <v>7196</v>
      </c>
      <c r="C17" s="4">
        <v>5989</v>
      </c>
      <c r="D17" s="4">
        <v>68862</v>
      </c>
      <c r="E17" s="4">
        <v>65354</v>
      </c>
      <c r="F17" s="4"/>
      <c r="G17" s="4">
        <v>5189</v>
      </c>
      <c r="H17" s="4">
        <v>4217</v>
      </c>
      <c r="I17" s="4">
        <v>39320</v>
      </c>
      <c r="J17" s="4">
        <v>35961</v>
      </c>
      <c r="K17" s="4"/>
      <c r="L17" s="14">
        <f t="shared" si="0"/>
        <v>0.15153614960761397</v>
      </c>
      <c r="M17" s="13">
        <f t="shared" si="1"/>
        <v>3.6768981240626886E-3</v>
      </c>
      <c r="N17" s="4"/>
      <c r="O17" s="4"/>
      <c r="P17" s="4"/>
      <c r="Q17" s="4"/>
    </row>
    <row r="18" spans="1:17" x14ac:dyDescent="0.55000000000000004">
      <c r="A18" s="3" t="s">
        <v>25</v>
      </c>
      <c r="B18" s="4">
        <v>2066</v>
      </c>
      <c r="C18" s="4">
        <v>1611</v>
      </c>
      <c r="D18" s="4">
        <v>24093</v>
      </c>
      <c r="E18" s="4">
        <v>22442</v>
      </c>
      <c r="F18" s="4"/>
      <c r="G18" s="4">
        <v>1484</v>
      </c>
      <c r="H18" s="4">
        <v>1125</v>
      </c>
      <c r="I18" s="4">
        <v>13309</v>
      </c>
      <c r="J18" s="4">
        <v>12897</v>
      </c>
      <c r="K18" s="4"/>
      <c r="L18" s="14">
        <f t="shared" si="0"/>
        <v>0.23243327126008695</v>
      </c>
      <c r="M18" s="13">
        <f t="shared" si="1"/>
        <v>2.3567418233668924E-2</v>
      </c>
      <c r="N18" s="4"/>
      <c r="O18" s="4"/>
      <c r="P18" s="4"/>
      <c r="Q18" s="4"/>
    </row>
    <row r="19" spans="1:17" x14ac:dyDescent="0.55000000000000004">
      <c r="A19" s="3" t="s">
        <v>26</v>
      </c>
      <c r="B19" s="4">
        <v>1499</v>
      </c>
      <c r="C19" s="4">
        <v>1443</v>
      </c>
      <c r="D19" s="4">
        <v>32003</v>
      </c>
      <c r="E19" s="4">
        <v>30340</v>
      </c>
      <c r="F19" s="4"/>
      <c r="G19" s="4">
        <v>1360</v>
      </c>
      <c r="H19" s="4">
        <v>1271</v>
      </c>
      <c r="I19" s="4">
        <v>22940</v>
      </c>
      <c r="J19" s="4">
        <v>21977</v>
      </c>
      <c r="K19" s="4"/>
      <c r="L19" s="13">
        <f t="shared" si="0"/>
        <v>-1.1191961191961308E-2</v>
      </c>
      <c r="M19" s="13">
        <f t="shared" si="1"/>
        <v>4.8121292023730611E-3</v>
      </c>
      <c r="N19" s="4"/>
      <c r="O19" s="4"/>
      <c r="P19" s="4"/>
      <c r="Q19" s="4"/>
    </row>
    <row r="20" spans="1:17" x14ac:dyDescent="0.55000000000000004">
      <c r="A20" s="3" t="s">
        <v>27</v>
      </c>
      <c r="B20" s="4">
        <v>1777</v>
      </c>
      <c r="C20" s="4">
        <v>1701</v>
      </c>
      <c r="D20" s="4">
        <v>8193</v>
      </c>
      <c r="E20" s="4">
        <v>7620</v>
      </c>
      <c r="F20" s="4"/>
      <c r="G20" s="4">
        <v>1050</v>
      </c>
      <c r="H20" s="4">
        <v>981</v>
      </c>
      <c r="I20" s="4">
        <v>4948</v>
      </c>
      <c r="J20" s="4">
        <v>4622</v>
      </c>
      <c r="K20" s="4"/>
      <c r="L20" s="13">
        <f t="shared" si="0"/>
        <v>-5.3203997648443302E-3</v>
      </c>
      <c r="M20" s="13">
        <f t="shared" si="1"/>
        <v>2.5196850393700787E-2</v>
      </c>
      <c r="N20" s="4"/>
      <c r="O20" s="4"/>
      <c r="P20" s="4"/>
      <c r="Q20" s="4"/>
    </row>
    <row r="21" spans="1:17" x14ac:dyDescent="0.55000000000000004">
      <c r="A21" s="3" t="s">
        <v>28</v>
      </c>
      <c r="B21" s="4">
        <v>5223</v>
      </c>
      <c r="C21" s="4">
        <v>5107</v>
      </c>
      <c r="D21" s="4">
        <v>54179</v>
      </c>
      <c r="E21" s="4">
        <v>54762</v>
      </c>
      <c r="F21" s="4"/>
      <c r="G21" s="4">
        <v>4510</v>
      </c>
      <c r="H21" s="4">
        <v>4013</v>
      </c>
      <c r="I21" s="4">
        <v>44665</v>
      </c>
      <c r="J21" s="4">
        <v>44838</v>
      </c>
      <c r="K21" s="4"/>
      <c r="L21" s="13">
        <f t="shared" si="0"/>
        <v>-2.7286077932249908E-2</v>
      </c>
      <c r="M21" s="14">
        <f t="shared" si="1"/>
        <v>-6.0646068441620127E-2</v>
      </c>
      <c r="N21" s="4"/>
      <c r="O21" s="4"/>
      <c r="P21" s="4"/>
      <c r="Q21" s="4"/>
    </row>
    <row r="22" spans="1:17" x14ac:dyDescent="0.55000000000000004">
      <c r="A22" s="3" t="s">
        <v>29</v>
      </c>
      <c r="B22" s="4">
        <v>4232</v>
      </c>
      <c r="C22" s="4">
        <v>3873</v>
      </c>
      <c r="D22" s="4">
        <v>14797</v>
      </c>
      <c r="E22" s="4">
        <v>14027</v>
      </c>
      <c r="F22" s="4"/>
      <c r="G22" s="4">
        <v>3360</v>
      </c>
      <c r="H22" s="4">
        <v>3094</v>
      </c>
      <c r="I22" s="4">
        <v>9724</v>
      </c>
      <c r="J22" s="4">
        <v>9336</v>
      </c>
      <c r="K22" s="4"/>
      <c r="L22" s="13">
        <f t="shared" si="0"/>
        <v>4.269300284017552E-2</v>
      </c>
      <c r="M22" s="13">
        <f t="shared" si="1"/>
        <v>4.894132743993751E-3</v>
      </c>
      <c r="N22" s="4"/>
      <c r="O22" s="4"/>
      <c r="P22" s="4"/>
      <c r="Q22" s="4"/>
    </row>
    <row r="23" spans="1:17" x14ac:dyDescent="0.55000000000000004">
      <c r="A23" s="3" t="s">
        <v>30</v>
      </c>
      <c r="B23" s="4">
        <v>3209</v>
      </c>
      <c r="C23" s="4">
        <v>2110</v>
      </c>
      <c r="D23" s="4">
        <v>32414</v>
      </c>
      <c r="E23" s="4">
        <v>30206</v>
      </c>
      <c r="F23" s="4"/>
      <c r="G23" s="4">
        <v>2239</v>
      </c>
      <c r="H23" s="4">
        <v>1598</v>
      </c>
      <c r="I23" s="4">
        <v>19197</v>
      </c>
      <c r="J23" s="4">
        <v>17699</v>
      </c>
      <c r="K23" s="4"/>
      <c r="L23" s="14">
        <f t="shared" si="0"/>
        <v>0.47085308056872033</v>
      </c>
      <c r="M23" s="13">
        <f t="shared" si="1"/>
        <v>2.3098059988081898E-2</v>
      </c>
      <c r="N23" s="4"/>
      <c r="O23" s="4"/>
      <c r="P23" s="4"/>
      <c r="Q23" s="4"/>
    </row>
    <row r="24" spans="1:17" x14ac:dyDescent="0.55000000000000004">
      <c r="A24" s="3" t="s">
        <v>31</v>
      </c>
      <c r="B24" s="4">
        <v>1878</v>
      </c>
      <c r="C24" s="4">
        <v>1420</v>
      </c>
      <c r="D24" s="4">
        <v>28268</v>
      </c>
      <c r="E24" s="4">
        <v>26228</v>
      </c>
      <c r="F24" s="4"/>
      <c r="G24" s="4">
        <v>1408</v>
      </c>
      <c r="H24" s="4">
        <v>1091</v>
      </c>
      <c r="I24" s="4">
        <v>17832</v>
      </c>
      <c r="J24" s="4">
        <v>16146</v>
      </c>
      <c r="K24" s="4"/>
      <c r="L24" s="14">
        <f t="shared" si="0"/>
        <v>0.2725352112676056</v>
      </c>
      <c r="M24" s="13">
        <f t="shared" si="1"/>
        <v>2.7779472319658272E-2</v>
      </c>
      <c r="N24" s="4"/>
      <c r="O24" s="4"/>
      <c r="P24" s="4"/>
      <c r="Q24" s="4"/>
    </row>
    <row r="25" spans="1:17" x14ac:dyDescent="0.55000000000000004">
      <c r="A25" s="3" t="s">
        <v>32</v>
      </c>
      <c r="B25" s="4">
        <v>17176</v>
      </c>
      <c r="C25" s="4">
        <v>16413</v>
      </c>
      <c r="D25" s="4">
        <v>32208</v>
      </c>
      <c r="E25" s="4">
        <v>30710</v>
      </c>
      <c r="F25" s="4"/>
      <c r="G25" s="4">
        <v>14517</v>
      </c>
      <c r="H25" s="4">
        <v>11691</v>
      </c>
      <c r="I25" s="4">
        <v>26178</v>
      </c>
      <c r="J25" s="4">
        <v>24370</v>
      </c>
      <c r="K25" s="4"/>
      <c r="L25" s="13">
        <f t="shared" si="0"/>
        <v>-3.5124596356546078E-3</v>
      </c>
      <c r="M25" s="13">
        <f t="shared" si="1"/>
        <v>-1.2211006186910733E-3</v>
      </c>
      <c r="N25" s="4"/>
      <c r="O25" s="4"/>
      <c r="P25" s="4"/>
      <c r="Q25" s="4"/>
    </row>
    <row r="26" spans="1:17" x14ac:dyDescent="0.55000000000000004">
      <c r="A26" s="3" t="s">
        <v>33</v>
      </c>
      <c r="B26" s="4">
        <v>2143</v>
      </c>
      <c r="C26" s="4">
        <v>2026</v>
      </c>
      <c r="D26" s="4">
        <v>39574</v>
      </c>
      <c r="E26" s="4">
        <v>37601</v>
      </c>
      <c r="F26" s="4"/>
      <c r="G26" s="4">
        <v>2192</v>
      </c>
      <c r="H26" s="4">
        <v>1795</v>
      </c>
      <c r="I26" s="4">
        <v>28821</v>
      </c>
      <c r="J26" s="4">
        <v>27936</v>
      </c>
      <c r="K26" s="4"/>
      <c r="L26" s="13">
        <f t="shared" si="0"/>
        <v>7.7492596248764922E-3</v>
      </c>
      <c r="M26" s="13">
        <f t="shared" si="1"/>
        <v>2.4720087231722143E-3</v>
      </c>
      <c r="N26" s="4"/>
      <c r="O26" s="4"/>
      <c r="P26" s="4"/>
      <c r="Q26" s="4"/>
    </row>
    <row r="27" spans="1:17" x14ac:dyDescent="0.55000000000000004">
      <c r="A27" s="3" t="s">
        <v>34</v>
      </c>
      <c r="B27" s="4">
        <v>1123</v>
      </c>
      <c r="C27" s="4">
        <v>1059</v>
      </c>
      <c r="D27" s="4">
        <v>26473</v>
      </c>
      <c r="E27" s="4">
        <v>25128</v>
      </c>
      <c r="F27" s="4"/>
      <c r="G27" s="4">
        <v>1070</v>
      </c>
      <c r="H27" s="4">
        <v>897</v>
      </c>
      <c r="I27" s="4">
        <v>18666</v>
      </c>
      <c r="J27" s="4">
        <v>17339</v>
      </c>
      <c r="K27" s="4"/>
      <c r="L27" s="13">
        <f t="shared" si="0"/>
        <v>1.0434372049102913E-2</v>
      </c>
      <c r="M27" s="13">
        <f t="shared" si="1"/>
        <v>3.5259471505888484E-3</v>
      </c>
      <c r="N27" s="4"/>
      <c r="O27" s="4"/>
      <c r="P27" s="4"/>
      <c r="Q27" s="4"/>
    </row>
    <row r="28" spans="1:17" x14ac:dyDescent="0.55000000000000004">
      <c r="A28" s="3" t="s">
        <v>35</v>
      </c>
      <c r="B28" s="4">
        <v>427</v>
      </c>
      <c r="C28" s="4">
        <v>377</v>
      </c>
      <c r="D28" s="4">
        <v>8055</v>
      </c>
      <c r="E28" s="4">
        <v>7879</v>
      </c>
      <c r="F28" s="4"/>
      <c r="G28" s="4">
        <v>439</v>
      </c>
      <c r="H28" s="4">
        <v>317</v>
      </c>
      <c r="I28" s="4">
        <v>6406</v>
      </c>
      <c r="J28" s="4">
        <v>6427</v>
      </c>
      <c r="K28" s="4"/>
      <c r="L28" s="13">
        <f t="shared" si="0"/>
        <v>8.2625994694960125E-2</v>
      </c>
      <c r="M28" s="13">
        <f t="shared" si="1"/>
        <v>-2.7662139865465285E-2</v>
      </c>
      <c r="N28" s="4"/>
      <c r="O28" s="4"/>
      <c r="P28" s="4"/>
      <c r="Q28" s="4"/>
    </row>
    <row r="29" spans="1:17" x14ac:dyDescent="0.55000000000000004">
      <c r="A29" s="3" t="s">
        <v>36</v>
      </c>
      <c r="B29" s="4">
        <v>3671</v>
      </c>
      <c r="C29" s="4">
        <v>3401</v>
      </c>
      <c r="D29" s="4">
        <v>34519</v>
      </c>
      <c r="E29" s="4">
        <v>33287</v>
      </c>
      <c r="F29" s="4"/>
      <c r="G29" s="4">
        <v>3294</v>
      </c>
      <c r="H29" s="4">
        <v>2854</v>
      </c>
      <c r="I29" s="4">
        <v>24504</v>
      </c>
      <c r="J29" s="4">
        <v>23456</v>
      </c>
      <c r="K29" s="4"/>
      <c r="L29" s="13">
        <f t="shared" si="0"/>
        <v>2.9388415172008298E-2</v>
      </c>
      <c r="M29" s="13">
        <f t="shared" si="1"/>
        <v>-1.2988554090185511E-2</v>
      </c>
      <c r="N29" s="4"/>
      <c r="O29" s="4"/>
      <c r="P29" s="4"/>
      <c r="Q29" s="4"/>
    </row>
    <row r="30" spans="1:17" x14ac:dyDescent="0.55000000000000004">
      <c r="A30" s="3" t="s">
        <v>37</v>
      </c>
      <c r="B30" s="4">
        <v>3901</v>
      </c>
      <c r="C30" s="4">
        <v>3744</v>
      </c>
      <c r="D30" s="4">
        <v>48017</v>
      </c>
      <c r="E30" s="4">
        <v>45603</v>
      </c>
      <c r="F30" s="4"/>
      <c r="G30" s="4">
        <v>3489</v>
      </c>
      <c r="H30" s="4">
        <v>2884</v>
      </c>
      <c r="I30" s="4">
        <v>36559</v>
      </c>
      <c r="J30" s="4">
        <v>34274</v>
      </c>
      <c r="K30" s="4"/>
      <c r="L30" s="13">
        <f t="shared" si="0"/>
        <v>-8.0662393162393986E-3</v>
      </c>
      <c r="M30" s="13">
        <f t="shared" si="1"/>
        <v>2.9351139179438768E-3</v>
      </c>
      <c r="N30" s="4"/>
      <c r="O30" s="4"/>
      <c r="P30" s="4"/>
      <c r="Q30" s="4"/>
    </row>
    <row r="31" spans="1:17" x14ac:dyDescent="0.55000000000000004">
      <c r="A31" s="3" t="s">
        <v>38</v>
      </c>
      <c r="B31" s="4">
        <v>3440</v>
      </c>
      <c r="C31" s="4">
        <v>3096</v>
      </c>
      <c r="D31" s="4">
        <v>37378</v>
      </c>
      <c r="E31" s="4">
        <v>35924</v>
      </c>
      <c r="F31" s="4"/>
      <c r="G31" s="4">
        <v>2883</v>
      </c>
      <c r="H31" s="4">
        <v>2630</v>
      </c>
      <c r="I31" s="4">
        <v>26309</v>
      </c>
      <c r="J31" s="4">
        <v>25043</v>
      </c>
      <c r="K31" s="4"/>
      <c r="L31" s="13">
        <f t="shared" si="0"/>
        <v>6.1111111111111116E-2</v>
      </c>
      <c r="M31" s="13">
        <f t="shared" si="1"/>
        <v>-9.5256652933972674E-3</v>
      </c>
      <c r="N31" s="4"/>
      <c r="O31" s="4"/>
      <c r="P31" s="4"/>
      <c r="Q31" s="4"/>
    </row>
    <row r="32" spans="1:17" x14ac:dyDescent="0.55000000000000004">
      <c r="A32" s="3" t="s">
        <v>39</v>
      </c>
      <c r="B32" s="4">
        <v>3303</v>
      </c>
      <c r="C32" s="4">
        <v>3260</v>
      </c>
      <c r="D32" s="4">
        <v>72559</v>
      </c>
      <c r="E32" s="4">
        <v>69376</v>
      </c>
      <c r="F32" s="4"/>
      <c r="G32" s="4">
        <v>3623</v>
      </c>
      <c r="H32" s="4">
        <v>3135</v>
      </c>
      <c r="I32" s="4">
        <v>55179</v>
      </c>
      <c r="J32" s="4">
        <v>53815</v>
      </c>
      <c r="K32" s="4"/>
      <c r="L32" s="13">
        <f t="shared" si="0"/>
        <v>-3.6809815950920255E-2</v>
      </c>
      <c r="M32" s="13">
        <f t="shared" si="1"/>
        <v>-4.1195802583027241E-3</v>
      </c>
      <c r="N32" s="4"/>
      <c r="O32" s="4"/>
      <c r="P32" s="4"/>
      <c r="Q32" s="4"/>
    </row>
    <row r="33" spans="1:17" x14ac:dyDescent="0.55000000000000004">
      <c r="A33" s="3" t="s">
        <v>40</v>
      </c>
      <c r="B33" s="4">
        <v>3378</v>
      </c>
      <c r="C33" s="4">
        <v>2721</v>
      </c>
      <c r="D33" s="4">
        <v>57214</v>
      </c>
      <c r="E33" s="4">
        <v>53823</v>
      </c>
      <c r="F33" s="4"/>
      <c r="G33" s="4">
        <v>2335</v>
      </c>
      <c r="H33" s="4">
        <v>1795</v>
      </c>
      <c r="I33" s="4">
        <v>33109</v>
      </c>
      <c r="J33" s="4">
        <v>31182</v>
      </c>
      <c r="K33" s="4"/>
      <c r="L33" s="14">
        <f t="shared" si="0"/>
        <v>0.19145534729878722</v>
      </c>
      <c r="M33" s="13">
        <f t="shared" si="1"/>
        <v>1.3002805492075886E-2</v>
      </c>
      <c r="N33" s="4"/>
      <c r="O33" s="4"/>
      <c r="P33" s="4"/>
      <c r="Q33" s="4"/>
    </row>
    <row r="34" spans="1:17" x14ac:dyDescent="0.55000000000000004">
      <c r="A34" s="3" t="s">
        <v>41</v>
      </c>
      <c r="B34" s="4">
        <v>4235</v>
      </c>
      <c r="C34" s="4">
        <v>4108</v>
      </c>
      <c r="D34" s="4">
        <v>56900</v>
      </c>
      <c r="E34" s="4">
        <v>54695</v>
      </c>
      <c r="F34" s="4"/>
      <c r="G34" s="4">
        <v>3000</v>
      </c>
      <c r="H34" s="4">
        <v>2535</v>
      </c>
      <c r="I34" s="4">
        <v>30925</v>
      </c>
      <c r="J34" s="4">
        <v>29681</v>
      </c>
      <c r="K34" s="4"/>
      <c r="L34" s="13">
        <f t="shared" si="0"/>
        <v>-1.9084712755598865E-2</v>
      </c>
      <c r="M34" s="13">
        <f t="shared" si="1"/>
        <v>-9.6855288417589946E-3</v>
      </c>
      <c r="N34" s="4"/>
      <c r="O34" s="4"/>
      <c r="P34" s="4"/>
      <c r="Q34" s="4"/>
    </row>
    <row r="35" spans="1:17" x14ac:dyDescent="0.55000000000000004">
      <c r="A35" s="3" t="s">
        <v>42</v>
      </c>
      <c r="B35" s="4">
        <v>841</v>
      </c>
      <c r="C35" s="4">
        <v>816</v>
      </c>
      <c r="D35" s="4">
        <v>21566</v>
      </c>
      <c r="E35" s="4">
        <v>20740</v>
      </c>
      <c r="F35" s="4"/>
      <c r="G35" s="4">
        <v>808</v>
      </c>
      <c r="H35" s="4">
        <v>769</v>
      </c>
      <c r="I35" s="4">
        <v>14868</v>
      </c>
      <c r="J35" s="4">
        <v>13822</v>
      </c>
      <c r="K35" s="4"/>
      <c r="L35" s="13">
        <f t="shared" si="0"/>
        <v>-1.9362745098039369E-2</v>
      </c>
      <c r="M35" s="13">
        <f t="shared" si="1"/>
        <v>-1.017357762777249E-2</v>
      </c>
      <c r="N35" s="4"/>
      <c r="O35" s="4"/>
      <c r="P35" s="4"/>
      <c r="Q35" s="4"/>
    </row>
    <row r="36" spans="1:17" x14ac:dyDescent="0.55000000000000004">
      <c r="A36" s="3" t="s">
        <v>43</v>
      </c>
      <c r="B36" s="4">
        <v>2361</v>
      </c>
      <c r="C36" s="4">
        <v>2177</v>
      </c>
      <c r="D36" s="4">
        <v>42901</v>
      </c>
      <c r="E36" s="4">
        <v>40475</v>
      </c>
      <c r="F36" s="4"/>
      <c r="G36" s="4">
        <v>2109</v>
      </c>
      <c r="H36" s="4">
        <v>1791</v>
      </c>
      <c r="I36" s="4">
        <v>31245</v>
      </c>
      <c r="J36" s="4">
        <v>29876</v>
      </c>
      <c r="K36" s="4"/>
      <c r="L36" s="13">
        <f t="shared" si="0"/>
        <v>3.4519981626090823E-2</v>
      </c>
      <c r="M36" s="13">
        <f t="shared" si="1"/>
        <v>9.9382334774551495E-3</v>
      </c>
      <c r="N36" s="4"/>
      <c r="O36" s="4"/>
      <c r="P36" s="4"/>
      <c r="Q36" s="4"/>
    </row>
    <row r="37" spans="1:17" x14ac:dyDescent="0.55000000000000004">
      <c r="A37" s="3" t="s">
        <v>44</v>
      </c>
      <c r="B37" s="4">
        <v>3479</v>
      </c>
      <c r="C37" s="4">
        <v>3239</v>
      </c>
      <c r="D37" s="4">
        <v>74972</v>
      </c>
      <c r="E37" s="4">
        <v>72103</v>
      </c>
      <c r="F37" s="4"/>
      <c r="G37" s="4">
        <v>3209</v>
      </c>
      <c r="H37" s="4">
        <v>2525</v>
      </c>
      <c r="I37" s="4">
        <v>48355</v>
      </c>
      <c r="J37" s="4">
        <v>45737</v>
      </c>
      <c r="K37" s="4"/>
      <c r="L37" s="13">
        <f t="shared" si="0"/>
        <v>2.4096943501080492E-2</v>
      </c>
      <c r="M37" s="13">
        <f t="shared" si="1"/>
        <v>-1.0209700012482115E-2</v>
      </c>
      <c r="N37" s="4"/>
      <c r="O37" s="4"/>
      <c r="P37" s="4"/>
      <c r="Q37" s="4"/>
    </row>
    <row r="38" spans="1:17" x14ac:dyDescent="0.55000000000000004">
      <c r="A38" s="3" t="s">
        <v>45</v>
      </c>
      <c r="B38" s="4">
        <v>15789</v>
      </c>
      <c r="C38" s="4">
        <v>15116</v>
      </c>
      <c r="D38" s="4">
        <v>13450</v>
      </c>
      <c r="E38" s="4">
        <v>12822</v>
      </c>
      <c r="F38" s="4"/>
      <c r="G38" s="4">
        <v>18155</v>
      </c>
      <c r="H38" s="4">
        <v>14220</v>
      </c>
      <c r="I38" s="4">
        <v>12217</v>
      </c>
      <c r="J38" s="4">
        <v>10928</v>
      </c>
      <c r="K38" s="4"/>
      <c r="L38" s="13">
        <f t="shared" si="0"/>
        <v>-5.4776395871924954E-3</v>
      </c>
      <c r="M38" s="13">
        <f t="shared" si="1"/>
        <v>-1.0216814849477451E-3</v>
      </c>
      <c r="N38" s="4"/>
      <c r="O38" s="4"/>
      <c r="P38" s="4"/>
      <c r="Q38" s="4"/>
    </row>
    <row r="39" spans="1:17" x14ac:dyDescent="0.55000000000000004">
      <c r="A39" s="3" t="s">
        <v>46</v>
      </c>
      <c r="B39" s="4">
        <v>6820</v>
      </c>
      <c r="C39" s="4">
        <v>6657</v>
      </c>
      <c r="D39" s="4">
        <v>58715</v>
      </c>
      <c r="E39" s="4">
        <v>56066</v>
      </c>
      <c r="F39" s="4"/>
      <c r="G39" s="4">
        <v>5607</v>
      </c>
      <c r="H39" s="4">
        <v>4897</v>
      </c>
      <c r="I39" s="4">
        <v>36468</v>
      </c>
      <c r="J39" s="4">
        <v>34045</v>
      </c>
      <c r="K39" s="4"/>
      <c r="L39" s="13">
        <f t="shared" si="0"/>
        <v>-2.551449601922795E-2</v>
      </c>
      <c r="M39" s="13">
        <f t="shared" si="1"/>
        <v>-2.7521135804231545E-3</v>
      </c>
      <c r="N39" s="4"/>
      <c r="O39" s="4"/>
      <c r="P39" s="4"/>
      <c r="Q39" s="4"/>
    </row>
    <row r="40" spans="1:17" x14ac:dyDescent="0.55000000000000004">
      <c r="A40" s="3" t="s">
        <v>47</v>
      </c>
      <c r="B40" s="4">
        <v>2302</v>
      </c>
      <c r="C40" s="4">
        <v>2196</v>
      </c>
      <c r="D40" s="4">
        <v>36486</v>
      </c>
      <c r="E40" s="4">
        <v>35198</v>
      </c>
      <c r="F40" s="4"/>
      <c r="G40" s="4">
        <v>1995</v>
      </c>
      <c r="H40" s="4">
        <v>1829</v>
      </c>
      <c r="I40" s="4">
        <v>25494</v>
      </c>
      <c r="J40" s="4">
        <v>25463</v>
      </c>
      <c r="K40" s="4"/>
      <c r="L40" s="13">
        <f t="shared" si="0"/>
        <v>-1.7304189435336514E-3</v>
      </c>
      <c r="M40" s="13">
        <f t="shared" si="1"/>
        <v>-1.3407011762031962E-2</v>
      </c>
      <c r="N40" s="4"/>
      <c r="O40" s="4"/>
      <c r="P40" s="4"/>
      <c r="Q40" s="4"/>
    </row>
    <row r="41" spans="1:17" x14ac:dyDescent="0.55000000000000004">
      <c r="A41" s="3" t="s">
        <v>48</v>
      </c>
      <c r="B41" s="4">
        <v>1941</v>
      </c>
      <c r="C41" s="4">
        <v>1718</v>
      </c>
      <c r="D41" s="4">
        <v>32210</v>
      </c>
      <c r="E41" s="4">
        <v>31126</v>
      </c>
      <c r="F41" s="4"/>
      <c r="G41" s="4">
        <v>1641</v>
      </c>
      <c r="H41" s="4">
        <v>1434</v>
      </c>
      <c r="I41" s="4">
        <v>24991</v>
      </c>
      <c r="J41" s="4">
        <v>23855</v>
      </c>
      <c r="K41" s="4"/>
      <c r="L41" s="14">
        <f t="shared" si="0"/>
        <v>7.9802095459837075E-2</v>
      </c>
      <c r="M41" s="13">
        <f t="shared" si="1"/>
        <v>-1.5173809676797489E-2</v>
      </c>
      <c r="N41" s="4"/>
      <c r="O41" s="4"/>
      <c r="P41" s="4"/>
      <c r="Q41" s="4"/>
    </row>
    <row r="42" spans="1:17" x14ac:dyDescent="0.55000000000000004">
      <c r="A42" s="3" t="s">
        <v>49</v>
      </c>
      <c r="B42" s="4">
        <v>4672</v>
      </c>
      <c r="C42" s="4">
        <v>4369</v>
      </c>
      <c r="D42" s="4">
        <v>20930</v>
      </c>
      <c r="E42" s="4">
        <v>19363</v>
      </c>
      <c r="F42" s="4"/>
      <c r="G42" s="4">
        <v>3366</v>
      </c>
      <c r="H42" s="4">
        <v>2702</v>
      </c>
      <c r="I42" s="4">
        <v>10756</v>
      </c>
      <c r="J42" s="4">
        <v>10079</v>
      </c>
      <c r="K42" s="4"/>
      <c r="L42" s="13">
        <f t="shared" si="0"/>
        <v>1.9352254520485168E-2</v>
      </c>
      <c r="M42" s="13">
        <f t="shared" si="1"/>
        <v>3.092754221969729E-2</v>
      </c>
      <c r="N42" s="4"/>
      <c r="O42" s="4"/>
      <c r="P42" s="4"/>
      <c r="Q42" s="4"/>
    </row>
    <row r="43" spans="1:17" x14ac:dyDescent="0.55000000000000004">
      <c r="A43" s="3" t="s">
        <v>50</v>
      </c>
      <c r="B43" s="4">
        <v>3069</v>
      </c>
      <c r="C43" s="4">
        <v>3027</v>
      </c>
      <c r="D43" s="4">
        <v>65144</v>
      </c>
      <c r="E43" s="4">
        <v>61817</v>
      </c>
      <c r="F43" s="4"/>
      <c r="G43" s="4">
        <v>2643</v>
      </c>
      <c r="H43" s="4">
        <v>2424</v>
      </c>
      <c r="I43" s="4">
        <v>41189</v>
      </c>
      <c r="J43" s="4">
        <v>38667</v>
      </c>
      <c r="K43" s="4"/>
      <c r="L43" s="13">
        <f t="shared" si="0"/>
        <v>-3.6124876114965287E-2</v>
      </c>
      <c r="M43" s="13">
        <f t="shared" si="1"/>
        <v>3.8201465616254371E-3</v>
      </c>
      <c r="N43" s="4"/>
      <c r="O43" s="4"/>
      <c r="P43" s="4"/>
      <c r="Q43" s="4"/>
    </row>
    <row r="44" spans="1:17" x14ac:dyDescent="0.55000000000000004">
      <c r="A44" s="3" t="s">
        <v>51</v>
      </c>
      <c r="B44" s="4">
        <v>2340</v>
      </c>
      <c r="C44" s="4">
        <v>2355</v>
      </c>
      <c r="D44" s="4">
        <v>40306</v>
      </c>
      <c r="E44" s="4">
        <v>38073</v>
      </c>
      <c r="F44" s="4"/>
      <c r="G44" s="4">
        <v>2221</v>
      </c>
      <c r="H44" s="4">
        <v>2012</v>
      </c>
      <c r="I44" s="4">
        <v>28297</v>
      </c>
      <c r="J44" s="4">
        <v>25296</v>
      </c>
      <c r="K44" s="4"/>
      <c r="L44" s="13">
        <f t="shared" si="0"/>
        <v>-5.63694267515924E-2</v>
      </c>
      <c r="M44" s="13">
        <f t="shared" si="1"/>
        <v>8.650487221915748E-3</v>
      </c>
      <c r="N44" s="4"/>
      <c r="O44" s="4"/>
      <c r="P44" s="4"/>
      <c r="Q44" s="4"/>
    </row>
    <row r="45" spans="1:17" x14ac:dyDescent="0.55000000000000004">
      <c r="A45" s="3" t="s">
        <v>52</v>
      </c>
      <c r="B45" s="4">
        <v>3257</v>
      </c>
      <c r="C45" s="4">
        <v>2896</v>
      </c>
      <c r="D45" s="4">
        <v>34235</v>
      </c>
      <c r="E45" s="4">
        <v>33195</v>
      </c>
      <c r="F45" s="4"/>
      <c r="G45" s="4">
        <v>2548</v>
      </c>
      <c r="H45" s="4">
        <v>2289</v>
      </c>
      <c r="I45" s="4">
        <v>26346</v>
      </c>
      <c r="J45" s="4">
        <v>25813</v>
      </c>
      <c r="K45" s="4"/>
      <c r="L45" s="14">
        <f t="shared" si="0"/>
        <v>7.4654696132596676E-2</v>
      </c>
      <c r="M45" s="13">
        <f t="shared" si="1"/>
        <v>-1.8669980418737797E-2</v>
      </c>
      <c r="N45" s="4"/>
      <c r="O45" s="4"/>
      <c r="P45" s="4"/>
      <c r="Q45" s="4"/>
    </row>
    <row r="46" spans="1:17" x14ac:dyDescent="0.55000000000000004">
      <c r="A46" s="3" t="s">
        <v>53</v>
      </c>
      <c r="B46" s="4">
        <v>1583</v>
      </c>
      <c r="C46" s="4">
        <v>1600</v>
      </c>
      <c r="D46" s="4">
        <v>47678</v>
      </c>
      <c r="E46" s="4">
        <v>45055</v>
      </c>
      <c r="F46" s="4"/>
      <c r="G46" s="4">
        <v>1348</v>
      </c>
      <c r="H46" s="4">
        <v>1191</v>
      </c>
      <c r="I46" s="4">
        <v>26763</v>
      </c>
      <c r="J46" s="4">
        <v>25813</v>
      </c>
      <c r="K46" s="4"/>
      <c r="L46" s="13">
        <f t="shared" si="0"/>
        <v>-6.062500000000004E-2</v>
      </c>
      <c r="M46" s="13">
        <f t="shared" si="1"/>
        <v>8.2177338808122613E-3</v>
      </c>
      <c r="N46" s="4"/>
      <c r="O46" s="4"/>
      <c r="P46" s="4"/>
      <c r="Q46" s="4"/>
    </row>
    <row r="47" spans="1:17" x14ac:dyDescent="0.55000000000000004">
      <c r="A47" s="3" t="s">
        <v>54</v>
      </c>
      <c r="B47" s="4">
        <v>6320</v>
      </c>
      <c r="C47" s="4">
        <v>6110</v>
      </c>
      <c r="D47" s="4">
        <v>50056</v>
      </c>
      <c r="E47" s="4">
        <v>47515</v>
      </c>
      <c r="F47" s="4"/>
      <c r="G47" s="4">
        <v>4118</v>
      </c>
      <c r="H47" s="4">
        <v>3660</v>
      </c>
      <c r="I47" s="4">
        <v>27691</v>
      </c>
      <c r="J47" s="4">
        <v>26623</v>
      </c>
      <c r="K47" s="4"/>
      <c r="L47" s="13">
        <f t="shared" si="0"/>
        <v>-1.5630114566284714E-2</v>
      </c>
      <c r="M47" s="13">
        <f t="shared" si="1"/>
        <v>3.4778491002840362E-3</v>
      </c>
      <c r="N47" s="4"/>
      <c r="O47" s="4"/>
      <c r="P47" s="4"/>
      <c r="Q47" s="4"/>
    </row>
    <row r="48" spans="1:17" x14ac:dyDescent="0.55000000000000004">
      <c r="A48" s="3" t="s">
        <v>55</v>
      </c>
      <c r="B48" s="4">
        <v>13219</v>
      </c>
      <c r="C48" s="4">
        <v>12336</v>
      </c>
      <c r="D48" s="4">
        <v>40362</v>
      </c>
      <c r="E48" s="4">
        <v>38197</v>
      </c>
      <c r="F48" s="4"/>
      <c r="G48" s="4">
        <v>10021</v>
      </c>
      <c r="H48" s="4">
        <v>8277</v>
      </c>
      <c r="I48" s="4">
        <v>23817</v>
      </c>
      <c r="J48" s="4">
        <v>21597</v>
      </c>
      <c r="K48" s="4"/>
      <c r="L48" s="13">
        <f t="shared" si="0"/>
        <v>2.1579118028534294E-2</v>
      </c>
      <c r="M48" s="13">
        <f t="shared" si="1"/>
        <v>6.6798439668036558E-3</v>
      </c>
      <c r="N48" s="4"/>
      <c r="O48" s="4"/>
      <c r="P48" s="4"/>
      <c r="Q48" s="4"/>
    </row>
    <row r="49" spans="1:35" x14ac:dyDescent="0.55000000000000004">
      <c r="A49" s="3" t="s">
        <v>56</v>
      </c>
      <c r="B49" s="4">
        <v>3834</v>
      </c>
      <c r="C49" s="4">
        <v>3412</v>
      </c>
      <c r="D49" s="4">
        <v>46440</v>
      </c>
      <c r="E49" s="4">
        <v>44215</v>
      </c>
      <c r="F49" s="4"/>
      <c r="G49" s="4">
        <v>2684</v>
      </c>
      <c r="H49" s="4">
        <v>2342</v>
      </c>
      <c r="I49" s="4">
        <v>31335</v>
      </c>
      <c r="J49" s="4">
        <v>29992</v>
      </c>
      <c r="K49" s="4"/>
      <c r="L49" s="13">
        <f t="shared" si="0"/>
        <v>7.3681125439624795E-2</v>
      </c>
      <c r="M49" s="13">
        <f t="shared" si="1"/>
        <v>3.2228881601259474E-4</v>
      </c>
      <c r="N49" s="4"/>
      <c r="O49" s="4"/>
      <c r="P49" s="4"/>
      <c r="Q49" s="4"/>
    </row>
    <row r="50" spans="1:35" x14ac:dyDescent="0.55000000000000004">
      <c r="A50" s="3" t="s">
        <v>57</v>
      </c>
      <c r="B50" s="4">
        <v>939</v>
      </c>
      <c r="C50" s="4">
        <v>920</v>
      </c>
      <c r="D50" s="4">
        <v>5010</v>
      </c>
      <c r="E50" s="4">
        <v>4885</v>
      </c>
      <c r="F50" s="4"/>
      <c r="G50" s="4">
        <v>922</v>
      </c>
      <c r="H50" s="4">
        <v>780</v>
      </c>
      <c r="I50" s="4">
        <v>3336</v>
      </c>
      <c r="J50" s="4">
        <v>3415</v>
      </c>
      <c r="K50" s="4"/>
      <c r="L50" s="13">
        <f t="shared" si="0"/>
        <v>-2.934782608695663E-2</v>
      </c>
      <c r="M50" s="13">
        <f t="shared" si="1"/>
        <v>-2.4411463664278488E-2</v>
      </c>
      <c r="N50" s="4"/>
      <c r="O50" s="4"/>
      <c r="P50" s="4"/>
      <c r="Q50" s="4"/>
    </row>
    <row r="51" spans="1:35" x14ac:dyDescent="0.55000000000000004">
      <c r="A51" s="3" t="s">
        <v>58</v>
      </c>
      <c r="B51" s="4">
        <v>2318</v>
      </c>
      <c r="C51" s="4">
        <v>2152</v>
      </c>
      <c r="D51" s="4">
        <v>21096</v>
      </c>
      <c r="E51" s="4">
        <v>20077</v>
      </c>
      <c r="F51" s="4"/>
      <c r="G51" s="4">
        <v>2281</v>
      </c>
      <c r="H51" s="4">
        <v>2026</v>
      </c>
      <c r="I51" s="4">
        <v>15709</v>
      </c>
      <c r="J51" s="4">
        <v>15711</v>
      </c>
      <c r="K51" s="4"/>
      <c r="L51" s="13">
        <f t="shared" si="0"/>
        <v>2.7137546468401386E-2</v>
      </c>
      <c r="M51" s="13">
        <f t="shared" si="1"/>
        <v>7.5459480998163464E-4</v>
      </c>
      <c r="N51" s="4"/>
      <c r="O51" s="4"/>
      <c r="P51" s="4"/>
      <c r="Q51" s="4"/>
    </row>
    <row r="52" spans="1:35" x14ac:dyDescent="0.55000000000000004">
      <c r="A52" s="5" t="s">
        <v>59</v>
      </c>
      <c r="B52" s="6">
        <v>186046</v>
      </c>
      <c r="C52" s="6">
        <v>170611</v>
      </c>
      <c r="D52" s="6">
        <v>1866815</v>
      </c>
      <c r="E52" s="6">
        <v>1779631</v>
      </c>
      <c r="F52" s="12"/>
      <c r="G52" s="6">
        <v>156766</v>
      </c>
      <c r="H52" s="6">
        <v>131505</v>
      </c>
      <c r="I52" s="6">
        <v>1223997</v>
      </c>
      <c r="J52" s="6">
        <v>1162974</v>
      </c>
      <c r="K52" s="12"/>
      <c r="L52" s="13">
        <f t="shared" si="0"/>
        <v>4.0468961555820027E-2</v>
      </c>
      <c r="M52" s="13">
        <f t="shared" si="1"/>
        <v>-1.0100689412579911E-3</v>
      </c>
      <c r="N52" s="12"/>
      <c r="O52" s="12"/>
      <c r="P52" s="12"/>
      <c r="Q52" s="12"/>
      <c r="S52" s="10">
        <f>SUM(B2:B51)</f>
        <v>186046</v>
      </c>
      <c r="T52" s="10">
        <f>SUM(C2:C51)</f>
        <v>170617</v>
      </c>
      <c r="U52" s="10">
        <f>SUM(D2:D51)</f>
        <v>1866815</v>
      </c>
      <c r="V52" s="10">
        <f>SUM(E2:E51)</f>
        <v>1779675</v>
      </c>
      <c r="W52" s="10">
        <f>SUM(G2:G51)</f>
        <v>156766</v>
      </c>
      <c r="X52" s="10">
        <f>SUM(H2:H51)</f>
        <v>131550</v>
      </c>
      <c r="Y52" s="10">
        <f>SUM(I2:I51)</f>
        <v>1224051</v>
      </c>
      <c r="Z52" s="10">
        <f>SUM(J2:J51)</f>
        <v>1163134</v>
      </c>
      <c r="AA52" s="8"/>
      <c r="AB52" s="10">
        <f>DataTable[[#This Row],[чр-г-м]]-S52</f>
        <v>0</v>
      </c>
      <c r="AC52" s="10">
        <f>T52-C52</f>
        <v>6</v>
      </c>
      <c r="AD52" s="10">
        <f>U52-D52</f>
        <v>0</v>
      </c>
      <c r="AE52" s="10">
        <f>V52-E52</f>
        <v>44</v>
      </c>
      <c r="AF52" s="10">
        <f>W52-G52</f>
        <v>0</v>
      </c>
      <c r="AG52" s="10">
        <f>X52-H52</f>
        <v>45</v>
      </c>
      <c r="AH52" s="10">
        <f>Y52-I52</f>
        <v>54</v>
      </c>
      <c r="AI52" s="10">
        <f>Z52-J52</f>
        <v>160</v>
      </c>
    </row>
    <row r="53" spans="1:35" x14ac:dyDescent="0.55000000000000004">
      <c r="A53" s="3" t="s">
        <v>60</v>
      </c>
      <c r="B53" s="4">
        <v>9200</v>
      </c>
      <c r="C53" s="4">
        <v>8722</v>
      </c>
      <c r="D53" s="4">
        <v>17320</v>
      </c>
      <c r="E53" s="4">
        <v>16606</v>
      </c>
      <c r="F53" s="4"/>
      <c r="G53" s="4">
        <v>7393</v>
      </c>
      <c r="H53" s="4">
        <v>6635</v>
      </c>
      <c r="I53" s="4">
        <v>9961</v>
      </c>
      <c r="J53" s="4">
        <v>9598</v>
      </c>
      <c r="K53" s="4"/>
      <c r="L53" s="13">
        <f t="shared" si="0"/>
        <v>4.8039440495297736E-3</v>
      </c>
      <c r="M53" s="13">
        <f t="shared" si="1"/>
        <v>-7.0034927134769998E-3</v>
      </c>
      <c r="N53" s="4"/>
      <c r="O53" s="4"/>
      <c r="P53" s="4"/>
      <c r="Q53" s="4"/>
    </row>
    <row r="54" spans="1:35" x14ac:dyDescent="0.55000000000000004">
      <c r="A54" s="3" t="s">
        <v>61</v>
      </c>
      <c r="B54" s="4">
        <v>1703</v>
      </c>
      <c r="C54" s="4">
        <v>1436</v>
      </c>
      <c r="D54" s="4">
        <v>12205</v>
      </c>
      <c r="E54" s="4">
        <v>12426</v>
      </c>
      <c r="F54" s="4"/>
      <c r="G54" s="4">
        <v>1267</v>
      </c>
      <c r="H54" s="4">
        <v>1135</v>
      </c>
      <c r="I54" s="4">
        <v>7295</v>
      </c>
      <c r="J54" s="4">
        <v>8000</v>
      </c>
      <c r="K54" s="4"/>
      <c r="L54" s="14">
        <f t="shared" si="0"/>
        <v>0.13593314763231201</v>
      </c>
      <c r="M54" s="13">
        <f t="shared" si="1"/>
        <v>-6.7785288910349295E-2</v>
      </c>
      <c r="N54" s="4"/>
      <c r="O54" s="4"/>
      <c r="P54" s="4"/>
      <c r="Q54" s="4"/>
    </row>
    <row r="55" spans="1:35" x14ac:dyDescent="0.55000000000000004">
      <c r="A55" s="3" t="s">
        <v>62</v>
      </c>
      <c r="B55" s="4">
        <v>695</v>
      </c>
      <c r="C55" s="4">
        <v>774</v>
      </c>
      <c r="D55" s="4">
        <v>12474</v>
      </c>
      <c r="E55" s="4">
        <v>12358</v>
      </c>
      <c r="F55" s="4"/>
      <c r="G55" s="4">
        <v>408</v>
      </c>
      <c r="H55" s="4">
        <v>451</v>
      </c>
      <c r="I55" s="4">
        <v>7258</v>
      </c>
      <c r="J55" s="4">
        <v>7436</v>
      </c>
      <c r="K55" s="4"/>
      <c r="L55" s="13">
        <f t="shared" si="0"/>
        <v>-0.15206718346253234</v>
      </c>
      <c r="M55" s="13">
        <f t="shared" si="1"/>
        <v>-4.0613367858876925E-2</v>
      </c>
      <c r="N55" s="4"/>
      <c r="O55" s="4"/>
      <c r="P55" s="4"/>
      <c r="Q55" s="4"/>
    </row>
    <row r="56" spans="1:35" x14ac:dyDescent="0.55000000000000004">
      <c r="A56" s="3" t="s">
        <v>63</v>
      </c>
      <c r="B56" s="4">
        <v>1485</v>
      </c>
      <c r="C56" s="4">
        <v>1439</v>
      </c>
      <c r="D56" s="4">
        <v>9390</v>
      </c>
      <c r="E56" s="4">
        <v>9347</v>
      </c>
      <c r="F56" s="4"/>
      <c r="G56" s="4">
        <v>762</v>
      </c>
      <c r="H56" s="4">
        <v>714</v>
      </c>
      <c r="I56" s="4">
        <v>6449</v>
      </c>
      <c r="J56" s="4">
        <v>6650</v>
      </c>
      <c r="K56" s="4"/>
      <c r="L56" s="13">
        <f t="shared" si="0"/>
        <v>-1.8033356497567876E-2</v>
      </c>
      <c r="M56" s="13">
        <f t="shared" si="1"/>
        <v>-4.5399593452444709E-2</v>
      </c>
      <c r="N56" s="4"/>
      <c r="O56" s="4"/>
      <c r="P56" s="4"/>
      <c r="Q56" s="4"/>
    </row>
    <row r="57" spans="1:35" x14ac:dyDescent="0.55000000000000004">
      <c r="A57" s="3" t="s">
        <v>64</v>
      </c>
      <c r="B57" s="4">
        <v>1365</v>
      </c>
      <c r="C57" s="4">
        <v>1105</v>
      </c>
      <c r="D57" s="4">
        <v>17047</v>
      </c>
      <c r="E57" s="4">
        <v>17190</v>
      </c>
      <c r="F57" s="4"/>
      <c r="G57" s="4">
        <v>915</v>
      </c>
      <c r="H57" s="4">
        <v>840</v>
      </c>
      <c r="I57" s="4">
        <v>9709</v>
      </c>
      <c r="J57" s="4">
        <v>10445</v>
      </c>
      <c r="K57" s="4"/>
      <c r="L57" s="14">
        <f t="shared" si="0"/>
        <v>0.18529411764705883</v>
      </c>
      <c r="M57" s="13">
        <f t="shared" si="1"/>
        <v>-5.8318789994182718E-2</v>
      </c>
      <c r="N57" s="4"/>
      <c r="O57" s="4"/>
      <c r="P57" s="4"/>
      <c r="Q57" s="4"/>
    </row>
    <row r="58" spans="1:35" x14ac:dyDescent="0.55000000000000004">
      <c r="A58" s="3" t="s">
        <v>65</v>
      </c>
      <c r="B58" s="4">
        <v>3455</v>
      </c>
      <c r="C58" s="4">
        <v>3187</v>
      </c>
      <c r="D58" s="4">
        <v>13687</v>
      </c>
      <c r="E58" s="4">
        <v>13694</v>
      </c>
      <c r="F58" s="4"/>
      <c r="G58" s="4">
        <v>2129</v>
      </c>
      <c r="H58" s="4">
        <v>2044</v>
      </c>
      <c r="I58" s="4">
        <v>7984</v>
      </c>
      <c r="J58" s="4">
        <v>8091</v>
      </c>
      <c r="K58" s="4"/>
      <c r="L58" s="13">
        <f t="shared" si="0"/>
        <v>3.4091622215249417E-2</v>
      </c>
      <c r="M58" s="13">
        <f t="shared" si="1"/>
        <v>-5.0511172776398494E-2</v>
      </c>
      <c r="N58" s="4"/>
      <c r="O58" s="4"/>
      <c r="P58" s="4"/>
      <c r="Q58" s="4"/>
    </row>
    <row r="59" spans="1:35" x14ac:dyDescent="0.55000000000000004">
      <c r="A59" s="3" t="s">
        <v>66</v>
      </c>
      <c r="B59" s="4">
        <v>1791</v>
      </c>
      <c r="C59" s="4">
        <v>1670</v>
      </c>
      <c r="D59" s="4">
        <v>10007</v>
      </c>
      <c r="E59" s="4">
        <v>9920</v>
      </c>
      <c r="F59" s="4"/>
      <c r="G59" s="4">
        <v>1224</v>
      </c>
      <c r="H59" s="4">
        <v>1121</v>
      </c>
      <c r="I59" s="4">
        <v>6435</v>
      </c>
      <c r="J59" s="4">
        <v>6287</v>
      </c>
      <c r="K59" s="4"/>
      <c r="L59" s="13">
        <f t="shared" si="0"/>
        <v>2.2455089820359264E-2</v>
      </c>
      <c r="M59" s="13">
        <f t="shared" si="1"/>
        <v>-4.1229838709677447E-2</v>
      </c>
      <c r="N59" s="4"/>
      <c r="O59" s="4"/>
      <c r="P59" s="4"/>
      <c r="Q59" s="4"/>
    </row>
    <row r="60" spans="1:35" x14ac:dyDescent="0.55000000000000004">
      <c r="A60" s="3" t="s">
        <v>67</v>
      </c>
      <c r="B60" s="4">
        <v>2085</v>
      </c>
      <c r="C60" s="4">
        <v>1850</v>
      </c>
      <c r="D60" s="4">
        <v>11734</v>
      </c>
      <c r="E60" s="4">
        <v>11673</v>
      </c>
      <c r="F60" s="4"/>
      <c r="G60" s="4">
        <v>1214</v>
      </c>
      <c r="H60" s="4">
        <v>1181</v>
      </c>
      <c r="I60" s="4">
        <v>7225</v>
      </c>
      <c r="J60" s="4">
        <v>6859</v>
      </c>
      <c r="K60" s="4"/>
      <c r="L60" s="14">
        <f t="shared" si="0"/>
        <v>7.7027027027027017E-2</v>
      </c>
      <c r="M60" s="13">
        <f t="shared" si="1"/>
        <v>-4.4774265398783486E-2</v>
      </c>
      <c r="N60" s="4"/>
      <c r="O60" s="4"/>
      <c r="P60" s="4"/>
      <c r="Q60" s="4"/>
    </row>
    <row r="61" spans="1:35" x14ac:dyDescent="0.55000000000000004">
      <c r="A61" s="3" t="s">
        <v>68</v>
      </c>
      <c r="B61" s="4">
        <v>681</v>
      </c>
      <c r="C61" s="4">
        <v>622</v>
      </c>
      <c r="D61" s="4">
        <v>9058</v>
      </c>
      <c r="E61" s="4">
        <v>8693</v>
      </c>
      <c r="F61" s="4"/>
      <c r="G61" s="4">
        <v>555</v>
      </c>
      <c r="H61" s="4">
        <v>551</v>
      </c>
      <c r="I61" s="4">
        <v>5663</v>
      </c>
      <c r="J61" s="4">
        <v>5845</v>
      </c>
      <c r="K61" s="4"/>
      <c r="L61" s="13">
        <f t="shared" si="0"/>
        <v>4.4855305466237949E-2</v>
      </c>
      <c r="M61" s="13">
        <f t="shared" si="1"/>
        <v>-8.0121937190844594E-3</v>
      </c>
      <c r="N61" s="4"/>
      <c r="O61" s="4"/>
      <c r="P61" s="4"/>
      <c r="Q61" s="4"/>
    </row>
    <row r="62" spans="1:35" x14ac:dyDescent="0.55000000000000004">
      <c r="A62" s="3" t="s">
        <v>69</v>
      </c>
      <c r="B62" s="4">
        <v>269</v>
      </c>
      <c r="C62" s="4">
        <v>205</v>
      </c>
      <c r="D62" s="4">
        <v>11509</v>
      </c>
      <c r="E62" s="4">
        <v>12308</v>
      </c>
      <c r="F62" s="4"/>
      <c r="G62" s="4">
        <v>164</v>
      </c>
      <c r="H62" s="4">
        <v>110</v>
      </c>
      <c r="I62" s="4">
        <v>7871</v>
      </c>
      <c r="J62" s="4">
        <v>8042</v>
      </c>
      <c r="K62" s="4"/>
      <c r="L62" s="14">
        <f t="shared" si="0"/>
        <v>0.26219512195121952</v>
      </c>
      <c r="M62" s="13">
        <f t="shared" si="1"/>
        <v>-0.11491712707182322</v>
      </c>
      <c r="N62" s="4"/>
      <c r="O62" s="4"/>
      <c r="P62" s="4"/>
      <c r="Q62" s="4"/>
    </row>
    <row r="63" spans="1:35" x14ac:dyDescent="0.55000000000000004">
      <c r="A63" s="5" t="s">
        <v>70</v>
      </c>
      <c r="B63" s="6">
        <v>22729</v>
      </c>
      <c r="C63" s="6">
        <v>21010</v>
      </c>
      <c r="D63" s="6">
        <v>124431</v>
      </c>
      <c r="E63" s="6">
        <v>124216</v>
      </c>
      <c r="F63" s="12"/>
      <c r="G63" s="6">
        <v>16031</v>
      </c>
      <c r="H63" s="6">
        <v>14782</v>
      </c>
      <c r="I63" s="6">
        <v>75860</v>
      </c>
      <c r="J63" s="6">
        <v>77253</v>
      </c>
      <c r="K63" s="12"/>
      <c r="L63" s="13">
        <f t="shared" si="0"/>
        <v>3.1818181818181746E-2</v>
      </c>
      <c r="M63" s="13">
        <f t="shared" si="1"/>
        <v>-4.8269144071617198E-2</v>
      </c>
      <c r="N63" s="12"/>
      <c r="O63" s="12"/>
      <c r="P63" s="12"/>
      <c r="Q63" s="12"/>
      <c r="S63" s="10">
        <f>SUM(B53:B62)</f>
        <v>22729</v>
      </c>
      <c r="T63" s="10">
        <f>SUM(C53:C62)</f>
        <v>21010</v>
      </c>
      <c r="U63" s="10">
        <f>SUM(D53:D62)</f>
        <v>124431</v>
      </c>
      <c r="V63" s="10">
        <f>SUM(E53:E62)</f>
        <v>124215</v>
      </c>
      <c r="W63" s="10">
        <f>SUM(G53:G62)</f>
        <v>16031</v>
      </c>
      <c r="X63" s="10">
        <f>SUM(H53:H62)</f>
        <v>14782</v>
      </c>
      <c r="Y63" s="10">
        <f>SUM(I53:I62)</f>
        <v>75850</v>
      </c>
      <c r="Z63" s="10">
        <f>SUM(J53:J62)</f>
        <v>77253</v>
      </c>
      <c r="AB63" s="10">
        <f>DataTable[[#This Row],[чр-г-м]]-S63</f>
        <v>0</v>
      </c>
      <c r="AC63" s="10">
        <f>T63-C63</f>
        <v>0</v>
      </c>
      <c r="AD63" s="10">
        <f t="shared" ref="AD63:AD64" si="2">U63-D63</f>
        <v>0</v>
      </c>
      <c r="AE63" s="10">
        <f t="shared" ref="AE63:AE64" si="3">V63-E63</f>
        <v>-1</v>
      </c>
      <c r="AF63" s="10">
        <f t="shared" ref="AF63:AF64" si="4">W63-G63</f>
        <v>0</v>
      </c>
      <c r="AG63" s="10">
        <f t="shared" ref="AG63:AG64" si="5">X63-H63</f>
        <v>0</v>
      </c>
      <c r="AH63" s="10">
        <f t="shared" ref="AH63:AH64" si="6">Y63-I63</f>
        <v>-10</v>
      </c>
      <c r="AI63" s="10">
        <f t="shared" ref="AI63:AI64" si="7">Z63-J63</f>
        <v>0</v>
      </c>
    </row>
    <row r="64" spans="1:35" x14ac:dyDescent="0.55000000000000004">
      <c r="A64" s="5" t="s">
        <v>71</v>
      </c>
      <c r="B64" s="6">
        <v>208775</v>
      </c>
      <c r="C64" s="6">
        <v>191621</v>
      </c>
      <c r="D64" s="6">
        <v>1991246</v>
      </c>
      <c r="E64" s="6">
        <v>1903847</v>
      </c>
      <c r="F64" s="12"/>
      <c r="G64" s="6">
        <v>172797</v>
      </c>
      <c r="H64" s="6">
        <v>146287</v>
      </c>
      <c r="I64" s="6">
        <v>1299847</v>
      </c>
      <c r="J64" s="6">
        <v>1240227</v>
      </c>
      <c r="K64" s="12"/>
      <c r="L64" s="13">
        <f t="shared" si="0"/>
        <v>3.9520459657344409E-2</v>
      </c>
      <c r="M64" s="13">
        <f t="shared" si="1"/>
        <v>-4.0934749483545474E-3</v>
      </c>
      <c r="N64" s="12"/>
      <c r="O64" s="12"/>
      <c r="P64" s="12"/>
      <c r="Q64" s="12"/>
      <c r="S64" s="10">
        <f t="shared" ref="S64:Z64" si="8">SUM(S52:S63)</f>
        <v>208775</v>
      </c>
      <c r="T64" s="10">
        <f t="shared" si="8"/>
        <v>191627</v>
      </c>
      <c r="U64" s="10">
        <f t="shared" si="8"/>
        <v>1991246</v>
      </c>
      <c r="V64" s="10">
        <f t="shared" si="8"/>
        <v>1903890</v>
      </c>
      <c r="W64" s="10">
        <f t="shared" si="8"/>
        <v>172797</v>
      </c>
      <c r="X64" s="10">
        <f t="shared" si="8"/>
        <v>146332</v>
      </c>
      <c r="Y64" s="10">
        <f t="shared" si="8"/>
        <v>1299901</v>
      </c>
      <c r="Z64" s="10">
        <f t="shared" si="8"/>
        <v>1240387</v>
      </c>
      <c r="AB64" s="10">
        <f>DataTable[[#This Row],[чр-г-м]]-S64</f>
        <v>0</v>
      </c>
      <c r="AC64" s="10">
        <f>T64-C64</f>
        <v>6</v>
      </c>
      <c r="AD64" s="10">
        <f t="shared" si="2"/>
        <v>0</v>
      </c>
      <c r="AE64" s="10">
        <f t="shared" si="3"/>
        <v>43</v>
      </c>
      <c r="AF64" s="10">
        <f t="shared" si="4"/>
        <v>0</v>
      </c>
      <c r="AG64" s="10">
        <f t="shared" si="5"/>
        <v>45</v>
      </c>
      <c r="AH64" s="10">
        <f t="shared" si="6"/>
        <v>54</v>
      </c>
      <c r="AI64" s="10">
        <f t="shared" si="7"/>
        <v>160</v>
      </c>
    </row>
    <row r="65" spans="1:35" x14ac:dyDescent="0.55000000000000004">
      <c r="A65" s="3" t="s">
        <v>72</v>
      </c>
      <c r="B65" s="4">
        <v>1177</v>
      </c>
      <c r="C65" s="4">
        <v>1077</v>
      </c>
      <c r="D65" s="4">
        <v>6465</v>
      </c>
      <c r="E65" s="4">
        <v>5336</v>
      </c>
      <c r="F65" s="4"/>
      <c r="G65" s="4">
        <v>683</v>
      </c>
      <c r="H65" s="4">
        <v>574</v>
      </c>
      <c r="I65" s="4">
        <v>4979</v>
      </c>
      <c r="J65" s="4">
        <v>3939</v>
      </c>
      <c r="K65" s="4"/>
      <c r="L65" s="13">
        <f t="shared" si="0"/>
        <v>4.2850510677808762E-2</v>
      </c>
      <c r="M65" s="14">
        <f t="shared" si="1"/>
        <v>0.16158170914542724</v>
      </c>
      <c r="N65" s="4"/>
      <c r="O65" s="4"/>
      <c r="P65" s="4"/>
      <c r="Q65" s="4"/>
    </row>
    <row r="66" spans="1:35" x14ac:dyDescent="0.55000000000000004">
      <c r="A66" s="3" t="s">
        <v>73</v>
      </c>
      <c r="B66" s="4">
        <v>405</v>
      </c>
      <c r="C66" s="4">
        <v>390</v>
      </c>
      <c r="D66" s="4">
        <v>7559</v>
      </c>
      <c r="E66" s="4">
        <v>6821</v>
      </c>
      <c r="F66" s="4"/>
      <c r="G66" s="4">
        <v>264</v>
      </c>
      <c r="H66" s="4">
        <v>201</v>
      </c>
      <c r="I66" s="4">
        <v>5749</v>
      </c>
      <c r="J66" s="4">
        <v>5570</v>
      </c>
      <c r="K66" s="4"/>
      <c r="L66" s="13">
        <f t="shared" si="0"/>
        <v>-1.1538461538461497E-2</v>
      </c>
      <c r="M66" s="13">
        <f t="shared" si="1"/>
        <v>5.8195279284562362E-2</v>
      </c>
      <c r="N66" s="4"/>
      <c r="O66" s="4"/>
      <c r="P66" s="4"/>
      <c r="Q66" s="4"/>
    </row>
    <row r="67" spans="1:35" x14ac:dyDescent="0.55000000000000004">
      <c r="A67" s="3" t="s">
        <v>74</v>
      </c>
      <c r="B67" s="4">
        <v>1553</v>
      </c>
      <c r="C67" s="4">
        <v>1437</v>
      </c>
      <c r="D67" s="4">
        <v>7344</v>
      </c>
      <c r="E67" s="4">
        <v>6363</v>
      </c>
      <c r="F67" s="4"/>
      <c r="G67" s="4">
        <v>1055</v>
      </c>
      <c r="H67" s="4">
        <v>857</v>
      </c>
      <c r="I67" s="4">
        <v>4680</v>
      </c>
      <c r="J67" s="4">
        <v>3950</v>
      </c>
      <c r="K67" s="4"/>
      <c r="L67" s="13">
        <f>B67/C67-1.05</f>
        <v>3.072372999304096E-2</v>
      </c>
      <c r="M67" s="14">
        <f>D67/E67-1.05</f>
        <v>0.10417256011315423</v>
      </c>
      <c r="N67" s="4"/>
      <c r="O67" s="4"/>
      <c r="P67" s="4"/>
      <c r="Q67" s="4"/>
    </row>
    <row r="68" spans="1:35" x14ac:dyDescent="0.55000000000000004">
      <c r="A68" s="3" t="s">
        <v>75</v>
      </c>
      <c r="B68" s="9" t="s">
        <v>76</v>
      </c>
      <c r="C68" s="9" t="s">
        <v>76</v>
      </c>
      <c r="D68" s="9" t="s">
        <v>76</v>
      </c>
      <c r="E68" s="9" t="s">
        <v>76</v>
      </c>
      <c r="F68" s="9"/>
      <c r="G68" s="9" t="s">
        <v>76</v>
      </c>
      <c r="H68" s="9" t="s">
        <v>76</v>
      </c>
      <c r="I68" s="9" t="s">
        <v>76</v>
      </c>
      <c r="J68" s="9" t="s">
        <v>76</v>
      </c>
      <c r="K68" s="9"/>
      <c r="L68" s="13"/>
      <c r="M68" s="13"/>
      <c r="N68" s="9"/>
      <c r="O68" s="9"/>
      <c r="P68" s="9"/>
      <c r="Q68" s="9"/>
    </row>
    <row r="69" spans="1:35" x14ac:dyDescent="0.55000000000000004">
      <c r="A69" s="3" t="s">
        <v>77</v>
      </c>
      <c r="B69" s="9" t="s">
        <v>76</v>
      </c>
      <c r="C69" s="9" t="s">
        <v>76</v>
      </c>
      <c r="D69" s="9" t="s">
        <v>76</v>
      </c>
      <c r="E69" s="9" t="s">
        <v>76</v>
      </c>
      <c r="F69" s="9"/>
      <c r="G69" s="9" t="s">
        <v>76</v>
      </c>
      <c r="H69" s="9" t="s">
        <v>76</v>
      </c>
      <c r="I69" s="9" t="s">
        <v>76</v>
      </c>
      <c r="J69" s="9" t="s">
        <v>76</v>
      </c>
      <c r="K69" s="9"/>
      <c r="L69" s="13"/>
      <c r="M69" s="13"/>
      <c r="N69" s="9"/>
      <c r="O69" s="9"/>
      <c r="P69" s="9"/>
      <c r="Q69" s="9"/>
    </row>
    <row r="70" spans="1:35" x14ac:dyDescent="0.55000000000000004">
      <c r="A70" s="3" t="s">
        <v>78</v>
      </c>
      <c r="B70" s="4">
        <v>2907</v>
      </c>
      <c r="C70" s="4">
        <v>2937</v>
      </c>
      <c r="D70" s="4">
        <v>33878</v>
      </c>
      <c r="E70" s="4">
        <v>30982</v>
      </c>
      <c r="F70" s="4"/>
      <c r="G70" s="4">
        <v>2184</v>
      </c>
      <c r="H70" s="4">
        <v>1860</v>
      </c>
      <c r="I70" s="4">
        <v>22483</v>
      </c>
      <c r="J70" s="4">
        <v>19139</v>
      </c>
      <c r="K70" s="4"/>
      <c r="L70" s="13">
        <f t="shared" ref="L70:L77" si="9">B70/C70-1.05</f>
        <v>-6.0214504596527108E-2</v>
      </c>
      <c r="M70" s="13">
        <f t="shared" ref="M70:M77" si="10">D70/E70-1.05</f>
        <v>4.3473629849590134E-2</v>
      </c>
      <c r="N70" s="4"/>
      <c r="O70" s="4"/>
      <c r="P70" s="4"/>
      <c r="Q70" s="4"/>
    </row>
    <row r="71" spans="1:35" x14ac:dyDescent="0.55000000000000004">
      <c r="A71" s="3" t="s">
        <v>79</v>
      </c>
      <c r="B71" s="4">
        <v>401</v>
      </c>
      <c r="C71" s="4">
        <v>328</v>
      </c>
      <c r="D71" s="4">
        <v>12107</v>
      </c>
      <c r="E71" s="4">
        <v>10693</v>
      </c>
      <c r="F71" s="4"/>
      <c r="G71" s="4">
        <v>175</v>
      </c>
      <c r="H71" s="4">
        <v>75</v>
      </c>
      <c r="I71" s="4">
        <v>5064</v>
      </c>
      <c r="J71" s="4">
        <v>4878</v>
      </c>
      <c r="K71" s="4"/>
      <c r="L71" s="14">
        <f t="shared" si="9"/>
        <v>0.17256097560975614</v>
      </c>
      <c r="M71" s="14">
        <f t="shared" si="10"/>
        <v>8.2236042270644294E-2</v>
      </c>
      <c r="N71" s="4"/>
      <c r="O71" s="4"/>
      <c r="P71" s="4"/>
      <c r="Q71" s="4"/>
    </row>
    <row r="72" spans="1:35" x14ac:dyDescent="0.55000000000000004">
      <c r="A72" s="3" t="s">
        <v>80</v>
      </c>
      <c r="B72" s="4">
        <v>917</v>
      </c>
      <c r="C72" s="4">
        <v>863</v>
      </c>
      <c r="D72" s="4">
        <v>22861</v>
      </c>
      <c r="E72" s="4">
        <v>22118</v>
      </c>
      <c r="F72" s="4"/>
      <c r="G72" s="4">
        <v>576</v>
      </c>
      <c r="H72" s="4">
        <v>526</v>
      </c>
      <c r="I72" s="4">
        <v>13085</v>
      </c>
      <c r="J72" s="4">
        <v>12144</v>
      </c>
      <c r="K72" s="4"/>
      <c r="L72" s="13">
        <f t="shared" si="9"/>
        <v>1.2572421784472709E-2</v>
      </c>
      <c r="M72" s="13">
        <f t="shared" si="10"/>
        <v>-1.6407450944931679E-2</v>
      </c>
      <c r="N72" s="4"/>
      <c r="O72" s="4"/>
      <c r="P72" s="4"/>
      <c r="Q72" s="4"/>
    </row>
    <row r="73" spans="1:35" x14ac:dyDescent="0.55000000000000004">
      <c r="A73" s="3" t="s">
        <v>81</v>
      </c>
      <c r="B73" s="4">
        <v>1630</v>
      </c>
      <c r="C73" s="4">
        <v>1491</v>
      </c>
      <c r="D73" s="4">
        <v>10587</v>
      </c>
      <c r="E73" s="4">
        <v>9996</v>
      </c>
      <c r="F73" s="4"/>
      <c r="G73" s="4">
        <v>1339</v>
      </c>
      <c r="H73" s="4">
        <v>1104</v>
      </c>
      <c r="I73" s="4">
        <v>6320</v>
      </c>
      <c r="J73" s="4">
        <v>5636</v>
      </c>
      <c r="K73" s="4"/>
      <c r="L73" s="13">
        <f t="shared" si="9"/>
        <v>4.3226022803487529E-2</v>
      </c>
      <c r="M73" s="13">
        <f t="shared" si="10"/>
        <v>9.1236494597839446E-3</v>
      </c>
      <c r="N73" s="4"/>
      <c r="O73" s="4"/>
      <c r="P73" s="4"/>
      <c r="Q73" s="4"/>
    </row>
    <row r="74" spans="1:35" x14ac:dyDescent="0.55000000000000004">
      <c r="A74" s="3" t="s">
        <v>82</v>
      </c>
      <c r="B74" s="4">
        <v>2423</v>
      </c>
      <c r="C74" s="4">
        <v>2081</v>
      </c>
      <c r="D74" s="4">
        <v>13111</v>
      </c>
      <c r="E74" s="4">
        <v>10623</v>
      </c>
      <c r="F74" s="4"/>
      <c r="G74" s="4">
        <v>1851</v>
      </c>
      <c r="H74" s="4">
        <v>1655</v>
      </c>
      <c r="I74" s="4">
        <v>7843</v>
      </c>
      <c r="J74" s="4">
        <v>7190</v>
      </c>
      <c r="K74" s="4"/>
      <c r="L74" s="14">
        <f t="shared" si="9"/>
        <v>0.11434406535319552</v>
      </c>
      <c r="M74" s="14">
        <f t="shared" si="10"/>
        <v>0.18420879224324582</v>
      </c>
      <c r="N74" s="4"/>
      <c r="O74" s="4"/>
      <c r="P74" s="4"/>
      <c r="Q74" s="4"/>
    </row>
    <row r="75" spans="1:35" x14ac:dyDescent="0.55000000000000004">
      <c r="A75" s="3" t="s">
        <v>83</v>
      </c>
      <c r="B75" s="4">
        <v>92</v>
      </c>
      <c r="C75" s="4">
        <v>65</v>
      </c>
      <c r="D75" s="4">
        <v>209</v>
      </c>
      <c r="E75" s="4">
        <v>175</v>
      </c>
      <c r="F75" s="4"/>
      <c r="G75" s="4">
        <v>57</v>
      </c>
      <c r="H75" s="4">
        <v>31</v>
      </c>
      <c r="I75" s="4">
        <v>126</v>
      </c>
      <c r="J75" s="4">
        <v>92</v>
      </c>
      <c r="K75" s="4"/>
      <c r="L75" s="14">
        <f t="shared" si="9"/>
        <v>0.36538461538461542</v>
      </c>
      <c r="M75" s="14">
        <f t="shared" si="10"/>
        <v>0.14428571428571435</v>
      </c>
      <c r="N75" s="4"/>
      <c r="O75" s="4"/>
      <c r="P75" s="4"/>
      <c r="Q75" s="4"/>
    </row>
    <row r="76" spans="1:35" x14ac:dyDescent="0.55000000000000004">
      <c r="A76" s="3" t="s">
        <v>84</v>
      </c>
      <c r="B76" s="4">
        <v>1158</v>
      </c>
      <c r="C76" s="4">
        <v>947</v>
      </c>
      <c r="D76" s="4">
        <v>10540</v>
      </c>
      <c r="E76" s="4">
        <v>8980</v>
      </c>
      <c r="F76" s="4"/>
      <c r="G76" s="4">
        <v>608</v>
      </c>
      <c r="H76" s="4">
        <v>586</v>
      </c>
      <c r="I76" s="4">
        <v>5543</v>
      </c>
      <c r="J76" s="4">
        <v>4846</v>
      </c>
      <c r="K76" s="4"/>
      <c r="L76" s="14">
        <f t="shared" si="9"/>
        <v>0.17280887011615631</v>
      </c>
      <c r="M76" s="14">
        <f t="shared" si="10"/>
        <v>0.12371937639198216</v>
      </c>
      <c r="N76" s="4"/>
      <c r="O76" s="4"/>
      <c r="P76" s="4"/>
      <c r="Q76" s="4"/>
    </row>
    <row r="77" spans="1:35" x14ac:dyDescent="0.55000000000000004">
      <c r="A77" s="5" t="s">
        <v>85</v>
      </c>
      <c r="B77" s="6">
        <v>12663</v>
      </c>
      <c r="C77" s="6">
        <v>11616</v>
      </c>
      <c r="D77" s="6">
        <v>124661</v>
      </c>
      <c r="E77" s="6">
        <v>112087</v>
      </c>
      <c r="F77" s="12"/>
      <c r="G77" s="6">
        <v>8792</v>
      </c>
      <c r="H77" s="6">
        <v>7469</v>
      </c>
      <c r="I77" s="6">
        <v>75872</v>
      </c>
      <c r="J77" s="6">
        <v>67384</v>
      </c>
      <c r="K77" s="12"/>
      <c r="L77" s="13">
        <f t="shared" si="9"/>
        <v>4.0134297520661111E-2</v>
      </c>
      <c r="M77" s="13">
        <f t="shared" si="10"/>
        <v>6.2180716764655974E-2</v>
      </c>
      <c r="N77" s="12"/>
      <c r="O77" s="12"/>
      <c r="P77" s="12"/>
      <c r="Q77" s="12"/>
      <c r="S77" s="10">
        <f>SUM(B65:B76)</f>
        <v>12663</v>
      </c>
      <c r="T77" s="10">
        <f>SUM(C65:C76)</f>
        <v>11616</v>
      </c>
      <c r="U77" s="10">
        <f>SUM(D65:D76)</f>
        <v>124661</v>
      </c>
      <c r="V77" s="10">
        <f>SUM(E65:E76)</f>
        <v>112087</v>
      </c>
      <c r="W77" s="10">
        <f>SUM(G65:G76)</f>
        <v>8792</v>
      </c>
      <c r="X77" s="10">
        <f>SUM(H65:H76)</f>
        <v>7469</v>
      </c>
      <c r="Y77" s="10">
        <f>SUM(I65:I76)</f>
        <v>75872</v>
      </c>
      <c r="Z77" s="10">
        <f>SUM(J65:J76)</f>
        <v>67384</v>
      </c>
      <c r="AB77" s="10">
        <f>DataTable[[#This Row],[чр-г-м]]-S77</f>
        <v>0</v>
      </c>
      <c r="AC77" s="10">
        <f>T77-C77</f>
        <v>0</v>
      </c>
      <c r="AD77" s="10">
        <f t="shared" ref="AD77" si="11">U77-D77</f>
        <v>0</v>
      </c>
      <c r="AE77" s="10">
        <f t="shared" ref="AE77" si="12">V77-E77</f>
        <v>0</v>
      </c>
      <c r="AF77" s="10">
        <f t="shared" ref="AF77" si="13">W77-G77</f>
        <v>0</v>
      </c>
      <c r="AG77" s="10">
        <f t="shared" ref="AG77" si="14">X77-H77</f>
        <v>0</v>
      </c>
      <c r="AH77" s="10">
        <f t="shared" ref="AH77" si="15">Y77-I77</f>
        <v>0</v>
      </c>
      <c r="AI77" s="10">
        <f t="shared" ref="AI77" si="16">Z77-J77</f>
        <v>0</v>
      </c>
    </row>
    <row r="78" spans="1:35" x14ac:dyDescent="0.55000000000000004">
      <c r="A78" s="3" t="s">
        <v>86</v>
      </c>
      <c r="B78" s="9" t="s">
        <v>76</v>
      </c>
      <c r="C78" s="9" t="s">
        <v>76</v>
      </c>
      <c r="D78" s="9" t="s">
        <v>76</v>
      </c>
      <c r="E78" s="9" t="s">
        <v>76</v>
      </c>
      <c r="F78" s="9"/>
      <c r="G78" s="9" t="s">
        <v>76</v>
      </c>
      <c r="H78" s="9" t="s">
        <v>76</v>
      </c>
      <c r="I78" s="9" t="s">
        <v>76</v>
      </c>
      <c r="J78" s="9" t="s">
        <v>76</v>
      </c>
      <c r="K78" s="9"/>
      <c r="L78" s="13"/>
      <c r="M78" s="13"/>
      <c r="N78" s="9"/>
      <c r="O78" s="9"/>
      <c r="P78" s="9"/>
      <c r="Q78" s="9"/>
    </row>
    <row r="79" spans="1:35" x14ac:dyDescent="0.55000000000000004">
      <c r="A79" s="3" t="s">
        <v>87</v>
      </c>
      <c r="B79" s="9" t="s">
        <v>76</v>
      </c>
      <c r="C79" s="9" t="s">
        <v>76</v>
      </c>
      <c r="D79" s="9" t="s">
        <v>76</v>
      </c>
      <c r="E79" s="9" t="s">
        <v>76</v>
      </c>
      <c r="F79" s="9"/>
      <c r="G79" s="9" t="s">
        <v>76</v>
      </c>
      <c r="H79" s="9" t="s">
        <v>76</v>
      </c>
      <c r="I79" s="9" t="s">
        <v>76</v>
      </c>
      <c r="J79" s="9" t="s">
        <v>76</v>
      </c>
      <c r="K79" s="9"/>
      <c r="L79" s="13"/>
      <c r="M79" s="13"/>
      <c r="N79" s="9"/>
      <c r="O79" s="9"/>
      <c r="P79" s="9"/>
      <c r="Q79" s="9"/>
    </row>
    <row r="80" spans="1:35" x14ac:dyDescent="0.55000000000000004">
      <c r="A80" s="3" t="s">
        <v>88</v>
      </c>
      <c r="B80" s="9" t="s">
        <v>76</v>
      </c>
      <c r="C80" s="9" t="s">
        <v>76</v>
      </c>
      <c r="D80" s="9" t="s">
        <v>76</v>
      </c>
      <c r="E80" s="9" t="s">
        <v>76</v>
      </c>
      <c r="F80" s="9"/>
      <c r="G80" s="9" t="s">
        <v>76</v>
      </c>
      <c r="H80" s="9" t="s">
        <v>76</v>
      </c>
      <c r="I80" s="9" t="s">
        <v>76</v>
      </c>
      <c r="J80" s="9" t="s">
        <v>76</v>
      </c>
      <c r="K80" s="9"/>
      <c r="L80" s="13"/>
      <c r="M80" s="13"/>
      <c r="N80" s="9"/>
      <c r="O80" s="9"/>
      <c r="P80" s="9"/>
      <c r="Q80" s="9"/>
    </row>
    <row r="81" spans="1:35" x14ac:dyDescent="0.55000000000000004">
      <c r="A81" s="3" t="s">
        <v>89</v>
      </c>
      <c r="B81" s="4">
        <v>1151</v>
      </c>
      <c r="C81" s="4">
        <v>1087</v>
      </c>
      <c r="D81" s="4">
        <v>8861</v>
      </c>
      <c r="E81" s="4">
        <v>8265</v>
      </c>
      <c r="F81" s="4"/>
      <c r="G81" s="4">
        <v>1183</v>
      </c>
      <c r="H81" s="4">
        <v>922</v>
      </c>
      <c r="I81" s="4">
        <v>6831</v>
      </c>
      <c r="J81" s="4">
        <v>5778</v>
      </c>
      <c r="K81" s="4"/>
      <c r="L81" s="13">
        <f t="shared" ref="L81:L87" si="17">B81/C81-1.05</f>
        <v>8.877644894204284E-3</v>
      </c>
      <c r="M81" s="13">
        <f>D81/E81-1.05</f>
        <v>2.2111312764670155E-2</v>
      </c>
      <c r="N81" s="4"/>
      <c r="O81" s="4"/>
      <c r="P81" s="4"/>
      <c r="Q81" s="4"/>
    </row>
    <row r="82" spans="1:35" x14ac:dyDescent="0.55000000000000004">
      <c r="A82" s="3" t="s">
        <v>90</v>
      </c>
      <c r="B82" s="4">
        <v>164</v>
      </c>
      <c r="C82" s="4">
        <v>156</v>
      </c>
      <c r="D82" s="4" t="s">
        <v>76</v>
      </c>
      <c r="E82" s="4" t="s">
        <v>76</v>
      </c>
      <c r="F82" s="4"/>
      <c r="G82" s="4">
        <v>192</v>
      </c>
      <c r="H82" s="4">
        <v>127</v>
      </c>
      <c r="I82" s="4" t="s">
        <v>76</v>
      </c>
      <c r="J82" s="4" t="s">
        <v>76</v>
      </c>
      <c r="K82" s="4"/>
      <c r="L82" s="13">
        <f t="shared" si="17"/>
        <v>1.2820512820512775E-3</v>
      </c>
      <c r="M82" s="13"/>
      <c r="N82" s="4"/>
      <c r="O82" s="4"/>
      <c r="P82" s="4"/>
      <c r="Q82" s="4"/>
    </row>
    <row r="83" spans="1:35" x14ac:dyDescent="0.55000000000000004">
      <c r="A83" s="3" t="s">
        <v>91</v>
      </c>
      <c r="B83" s="4">
        <v>1343</v>
      </c>
      <c r="C83" s="4">
        <v>1247</v>
      </c>
      <c r="D83" s="4">
        <v>35483</v>
      </c>
      <c r="E83" s="4">
        <v>33980</v>
      </c>
      <c r="F83" s="4"/>
      <c r="G83" s="4">
        <v>1357</v>
      </c>
      <c r="H83" s="4">
        <v>1211</v>
      </c>
      <c r="I83" s="4">
        <v>30590</v>
      </c>
      <c r="J83" s="4">
        <v>28870</v>
      </c>
      <c r="K83" s="4"/>
      <c r="L83" s="13">
        <f t="shared" si="17"/>
        <v>2.6984763432237324E-2</v>
      </c>
      <c r="M83" s="13">
        <f>D83/E83-1.05</f>
        <v>-5.7680988816950496E-3</v>
      </c>
      <c r="N83" s="4"/>
      <c r="O83" s="4"/>
      <c r="P83" s="4"/>
      <c r="Q83" s="4"/>
    </row>
    <row r="84" spans="1:35" x14ac:dyDescent="0.55000000000000004">
      <c r="A84" s="3" t="s">
        <v>92</v>
      </c>
      <c r="B84" s="4">
        <v>2608</v>
      </c>
      <c r="C84" s="4">
        <v>2540</v>
      </c>
      <c r="D84" s="4">
        <v>28094</v>
      </c>
      <c r="E84" s="4">
        <v>27175</v>
      </c>
      <c r="F84" s="4"/>
      <c r="G84" s="4">
        <v>2410</v>
      </c>
      <c r="H84" s="4">
        <v>2124</v>
      </c>
      <c r="I84" s="4">
        <v>16260</v>
      </c>
      <c r="J84" s="4">
        <v>14877</v>
      </c>
      <c r="K84" s="4"/>
      <c r="L84" s="13">
        <f t="shared" si="17"/>
        <v>-2.3228346456692917E-2</v>
      </c>
      <c r="M84" s="13">
        <f>D84/E84-1.05</f>
        <v>-1.6182152713891451E-2</v>
      </c>
      <c r="N84" s="4"/>
      <c r="O84" s="4"/>
      <c r="P84" s="4"/>
      <c r="Q84" s="4"/>
    </row>
    <row r="85" spans="1:35" x14ac:dyDescent="0.55000000000000004">
      <c r="A85" s="3" t="s">
        <v>93</v>
      </c>
      <c r="B85" s="4">
        <v>120</v>
      </c>
      <c r="C85" s="4">
        <v>123</v>
      </c>
      <c r="D85" s="4">
        <v>2990</v>
      </c>
      <c r="E85" s="4">
        <v>2986</v>
      </c>
      <c r="F85" s="4"/>
      <c r="G85" s="4">
        <v>122</v>
      </c>
      <c r="H85" s="4">
        <v>112</v>
      </c>
      <c r="I85" s="4">
        <v>2273</v>
      </c>
      <c r="J85" s="4">
        <v>2065</v>
      </c>
      <c r="K85" s="4"/>
      <c r="L85" s="13">
        <f t="shared" si="17"/>
        <v>-7.439024390243909E-2</v>
      </c>
      <c r="M85" s="13">
        <f>D85/E85-1.05</f>
        <v>-4.8660415271265967E-2</v>
      </c>
      <c r="N85" s="4"/>
      <c r="O85" s="4"/>
      <c r="P85" s="4"/>
      <c r="Q85" s="4"/>
    </row>
    <row r="86" spans="1:35" x14ac:dyDescent="0.55000000000000004">
      <c r="A86" s="5" t="s">
        <v>94</v>
      </c>
      <c r="B86" s="6">
        <v>5386</v>
      </c>
      <c r="C86" s="6">
        <v>5153</v>
      </c>
      <c r="D86" s="6">
        <v>75428</v>
      </c>
      <c r="E86" s="6">
        <v>72406</v>
      </c>
      <c r="F86" s="12"/>
      <c r="G86" s="6">
        <v>5264</v>
      </c>
      <c r="H86" s="6">
        <v>4496</v>
      </c>
      <c r="I86" s="6">
        <v>55954</v>
      </c>
      <c r="J86" s="6">
        <v>51590</v>
      </c>
      <c r="K86" s="12"/>
      <c r="L86" s="13">
        <f t="shared" si="17"/>
        <v>-4.783621191538856E-3</v>
      </c>
      <c r="M86" s="13">
        <f>D86/E86-1.05</f>
        <v>-8.2631273651354586E-3</v>
      </c>
      <c r="N86" s="12"/>
      <c r="O86" s="12"/>
      <c r="P86" s="12"/>
      <c r="Q86" s="12"/>
      <c r="S86" s="10">
        <f>SUM(B78:B85)</f>
        <v>5386</v>
      </c>
      <c r="T86" s="10">
        <f>SUM(C78:C85)</f>
        <v>5153</v>
      </c>
      <c r="U86" s="10">
        <f>SUM(D78:D85)</f>
        <v>75428</v>
      </c>
      <c r="V86" s="10">
        <f>SUM(E78:E85)</f>
        <v>72406</v>
      </c>
      <c r="W86" s="10">
        <f>SUM(G78:G85)</f>
        <v>5264</v>
      </c>
      <c r="X86" s="10">
        <f>SUM(H78:H85)</f>
        <v>4496</v>
      </c>
      <c r="Y86" s="10">
        <f>SUM(I78:I85)</f>
        <v>55954</v>
      </c>
      <c r="Z86" s="10">
        <f>SUM(J78:J85)</f>
        <v>51590</v>
      </c>
      <c r="AB86" s="10">
        <f>DataTable[[#This Row],[чр-г-м]]-S86</f>
        <v>0</v>
      </c>
      <c r="AC86" s="10">
        <f>T86-C86</f>
        <v>0</v>
      </c>
      <c r="AD86" s="10">
        <f t="shared" ref="AD86" si="18">U86-D86</f>
        <v>0</v>
      </c>
      <c r="AE86" s="10">
        <f t="shared" ref="AE86" si="19">V86-E86</f>
        <v>0</v>
      </c>
      <c r="AF86" s="10">
        <f t="shared" ref="AF86" si="20">W86-G86</f>
        <v>0</v>
      </c>
      <c r="AG86" s="10">
        <f t="shared" ref="AG86" si="21">X86-H86</f>
        <v>0</v>
      </c>
      <c r="AH86" s="10">
        <f t="shared" ref="AH86" si="22">Y86-I86</f>
        <v>0</v>
      </c>
      <c r="AI86" s="10">
        <f t="shared" ref="AI86" si="23">Z86-J86</f>
        <v>0</v>
      </c>
    </row>
    <row r="87" spans="1:35" x14ac:dyDescent="0.55000000000000004">
      <c r="A87" s="3" t="s">
        <v>95</v>
      </c>
      <c r="B87" s="4">
        <v>1251</v>
      </c>
      <c r="C87" s="4">
        <v>1162</v>
      </c>
      <c r="D87" s="4">
        <v>5435</v>
      </c>
      <c r="E87" s="4">
        <v>4750</v>
      </c>
      <c r="F87" s="4"/>
      <c r="G87" s="4">
        <v>1144</v>
      </c>
      <c r="H87" s="4">
        <v>1054</v>
      </c>
      <c r="I87" s="4">
        <v>4903</v>
      </c>
      <c r="J87" s="4">
        <v>4491</v>
      </c>
      <c r="K87" s="4"/>
      <c r="L87" s="13">
        <f t="shared" si="17"/>
        <v>2.6592082616178958E-2</v>
      </c>
      <c r="M87" s="14">
        <f>D87/E87-1.05</f>
        <v>9.4210526315789522E-2</v>
      </c>
      <c r="N87" s="4"/>
      <c r="O87" s="4"/>
      <c r="P87" s="4"/>
      <c r="Q87" s="4"/>
    </row>
    <row r="88" spans="1:35" x14ac:dyDescent="0.55000000000000004">
      <c r="A88" s="3" t="s">
        <v>96</v>
      </c>
      <c r="B88" s="9" t="s">
        <v>76</v>
      </c>
      <c r="C88" s="9" t="s">
        <v>76</v>
      </c>
      <c r="D88" s="9" t="s">
        <v>76</v>
      </c>
      <c r="E88" s="9" t="s">
        <v>76</v>
      </c>
      <c r="F88" s="9"/>
      <c r="G88" s="9" t="s">
        <v>76</v>
      </c>
      <c r="H88" s="9" t="s">
        <v>76</v>
      </c>
      <c r="I88" s="9" t="s">
        <v>76</v>
      </c>
      <c r="J88" s="9" t="s">
        <v>76</v>
      </c>
      <c r="K88" s="9"/>
      <c r="L88" s="13"/>
      <c r="M88" s="13"/>
      <c r="N88" s="9"/>
      <c r="O88" s="9"/>
      <c r="P88" s="9"/>
      <c r="Q88" s="9"/>
    </row>
    <row r="89" spans="1:35" x14ac:dyDescent="0.55000000000000004">
      <c r="A89" s="3" t="s">
        <v>97</v>
      </c>
      <c r="B89" s="9" t="s">
        <v>76</v>
      </c>
      <c r="C89" s="9" t="s">
        <v>76</v>
      </c>
      <c r="D89" s="9" t="s">
        <v>76</v>
      </c>
      <c r="E89" s="9" t="s">
        <v>76</v>
      </c>
      <c r="F89" s="9"/>
      <c r="G89" s="9" t="s">
        <v>76</v>
      </c>
      <c r="H89" s="9" t="s">
        <v>76</v>
      </c>
      <c r="I89" s="9" t="s">
        <v>76</v>
      </c>
      <c r="J89" s="9" t="s">
        <v>76</v>
      </c>
      <c r="K89" s="9"/>
      <c r="L89" s="13"/>
      <c r="M89" s="13"/>
      <c r="N89" s="9"/>
      <c r="O89" s="9"/>
      <c r="P89" s="9"/>
      <c r="Q89" s="9"/>
    </row>
    <row r="90" spans="1:35" x14ac:dyDescent="0.55000000000000004">
      <c r="A90" s="3" t="s">
        <v>98</v>
      </c>
      <c r="B90" s="9" t="s">
        <v>76</v>
      </c>
      <c r="C90" s="9" t="s">
        <v>76</v>
      </c>
      <c r="D90" s="9" t="s">
        <v>76</v>
      </c>
      <c r="E90" s="9" t="s">
        <v>76</v>
      </c>
      <c r="F90" s="9"/>
      <c r="G90" s="9" t="s">
        <v>76</v>
      </c>
      <c r="H90" s="9" t="s">
        <v>76</v>
      </c>
      <c r="I90" s="9" t="s">
        <v>76</v>
      </c>
      <c r="J90" s="9" t="s">
        <v>76</v>
      </c>
      <c r="K90" s="9"/>
      <c r="L90" s="13"/>
      <c r="M90" s="13"/>
      <c r="N90" s="9"/>
      <c r="O90" s="9"/>
      <c r="P90" s="9"/>
      <c r="Q90" s="9"/>
    </row>
    <row r="91" spans="1:35" x14ac:dyDescent="0.55000000000000004">
      <c r="A91" s="3" t="s">
        <v>99</v>
      </c>
      <c r="B91" s="4">
        <v>765</v>
      </c>
      <c r="C91" s="4">
        <v>712</v>
      </c>
      <c r="D91" s="4">
        <v>4222</v>
      </c>
      <c r="E91" s="4">
        <v>3519</v>
      </c>
      <c r="F91" s="4"/>
      <c r="G91" s="4">
        <v>487</v>
      </c>
      <c r="H91" s="4">
        <v>444</v>
      </c>
      <c r="I91" s="4">
        <v>3369</v>
      </c>
      <c r="J91" s="4">
        <v>2532</v>
      </c>
      <c r="K91" s="4"/>
      <c r="L91" s="13">
        <f>B91/C91-1.05</f>
        <v>2.4438202247190954E-2</v>
      </c>
      <c r="M91" s="14">
        <f>D91/E91-1.05</f>
        <v>0.14977266268826361</v>
      </c>
      <c r="N91" s="4"/>
      <c r="O91" s="4"/>
      <c r="P91" s="4"/>
      <c r="Q91" s="4"/>
    </row>
    <row r="92" spans="1:35" x14ac:dyDescent="0.55000000000000004">
      <c r="A92" s="3" t="s">
        <v>100</v>
      </c>
      <c r="B92" s="9" t="s">
        <v>76</v>
      </c>
      <c r="C92" s="9" t="s">
        <v>76</v>
      </c>
      <c r="D92" s="9" t="s">
        <v>76</v>
      </c>
      <c r="E92" s="9" t="s">
        <v>76</v>
      </c>
      <c r="F92" s="9"/>
      <c r="G92" s="9" t="s">
        <v>76</v>
      </c>
      <c r="H92" s="9" t="s">
        <v>76</v>
      </c>
      <c r="I92" s="9" t="s">
        <v>76</v>
      </c>
      <c r="J92" s="9" t="s">
        <v>76</v>
      </c>
      <c r="K92" s="9"/>
      <c r="L92" s="13"/>
      <c r="M92" s="13"/>
      <c r="N92" s="9"/>
      <c r="O92" s="9"/>
      <c r="P92" s="9"/>
      <c r="Q92" s="9"/>
    </row>
    <row r="93" spans="1:35" x14ac:dyDescent="0.55000000000000004">
      <c r="A93" s="3" t="s">
        <v>101</v>
      </c>
      <c r="B93" s="9" t="s">
        <v>76</v>
      </c>
      <c r="C93" s="9" t="s">
        <v>76</v>
      </c>
      <c r="D93" s="9" t="s">
        <v>76</v>
      </c>
      <c r="E93" s="9" t="s">
        <v>76</v>
      </c>
      <c r="F93" s="9"/>
      <c r="G93" s="9" t="s">
        <v>76</v>
      </c>
      <c r="H93" s="9" t="s">
        <v>76</v>
      </c>
      <c r="I93" s="9" t="s">
        <v>76</v>
      </c>
      <c r="J93" s="9" t="s">
        <v>76</v>
      </c>
      <c r="K93" s="9"/>
      <c r="L93" s="13"/>
      <c r="M93" s="13"/>
      <c r="N93" s="9"/>
      <c r="O93" s="9"/>
      <c r="P93" s="9"/>
      <c r="Q93" s="9"/>
    </row>
    <row r="94" spans="1:35" x14ac:dyDescent="0.55000000000000004">
      <c r="A94" s="3" t="s">
        <v>102</v>
      </c>
      <c r="B94" s="9" t="s">
        <v>76</v>
      </c>
      <c r="C94" s="9" t="s">
        <v>76</v>
      </c>
      <c r="D94" s="9" t="s">
        <v>76</v>
      </c>
      <c r="E94" s="9" t="s">
        <v>76</v>
      </c>
      <c r="F94" s="9"/>
      <c r="G94" s="9" t="s">
        <v>76</v>
      </c>
      <c r="H94" s="9" t="s">
        <v>76</v>
      </c>
      <c r="I94" s="9" t="s">
        <v>76</v>
      </c>
      <c r="J94" s="9" t="s">
        <v>76</v>
      </c>
      <c r="K94" s="9"/>
      <c r="L94" s="13"/>
      <c r="M94" s="13"/>
      <c r="N94" s="9"/>
      <c r="O94" s="9"/>
      <c r="P94" s="9"/>
      <c r="Q94" s="9"/>
    </row>
    <row r="95" spans="1:35" x14ac:dyDescent="0.55000000000000004">
      <c r="A95" s="3" t="s">
        <v>103</v>
      </c>
      <c r="B95" s="4">
        <v>139</v>
      </c>
      <c r="C95" s="4">
        <v>106</v>
      </c>
      <c r="D95" s="4">
        <v>2223</v>
      </c>
      <c r="E95" s="4">
        <v>2005</v>
      </c>
      <c r="F95" s="4"/>
      <c r="G95" s="4">
        <v>76</v>
      </c>
      <c r="H95" s="4">
        <v>64</v>
      </c>
      <c r="I95" s="4">
        <v>1337</v>
      </c>
      <c r="J95" s="4">
        <v>1279</v>
      </c>
      <c r="K95" s="4"/>
      <c r="L95" s="14">
        <f>B95/C95-1.05</f>
        <v>0.26132075471698113</v>
      </c>
      <c r="M95" s="13">
        <f>D95/E95-1.05</f>
        <v>5.8728179551122084E-2</v>
      </c>
      <c r="N95" s="4"/>
      <c r="O95" s="4"/>
      <c r="P95" s="4"/>
      <c r="Q95" s="4"/>
    </row>
    <row r="96" spans="1:35" x14ac:dyDescent="0.55000000000000004">
      <c r="A96" s="3" t="s">
        <v>104</v>
      </c>
      <c r="B96" s="4">
        <v>123</v>
      </c>
      <c r="C96" s="4">
        <v>100</v>
      </c>
      <c r="D96" s="9" t="s">
        <v>76</v>
      </c>
      <c r="E96" s="9" t="s">
        <v>76</v>
      </c>
      <c r="F96" s="9"/>
      <c r="G96" s="4">
        <v>93</v>
      </c>
      <c r="H96" s="4">
        <v>44</v>
      </c>
      <c r="I96" s="9" t="s">
        <v>76</v>
      </c>
      <c r="J96" s="9" t="s">
        <v>76</v>
      </c>
      <c r="K96" s="9"/>
      <c r="L96" s="14">
        <f>B96/C96-1.05</f>
        <v>0.17999999999999994</v>
      </c>
      <c r="M96" s="13"/>
      <c r="N96" s="9"/>
      <c r="O96" s="9"/>
      <c r="P96" s="9"/>
      <c r="Q96" s="9"/>
    </row>
    <row r="97" spans="1:35" x14ac:dyDescent="0.55000000000000004">
      <c r="A97" s="5" t="s">
        <v>105</v>
      </c>
      <c r="B97" s="6">
        <v>2278</v>
      </c>
      <c r="C97" s="6">
        <v>2080</v>
      </c>
      <c r="D97" s="6">
        <v>11880</v>
      </c>
      <c r="E97" s="6">
        <v>10274</v>
      </c>
      <c r="F97" s="12"/>
      <c r="G97" s="6">
        <v>1800</v>
      </c>
      <c r="H97" s="6">
        <v>1606</v>
      </c>
      <c r="I97" s="6">
        <v>9609</v>
      </c>
      <c r="J97" s="6">
        <v>8302</v>
      </c>
      <c r="K97" s="12"/>
      <c r="L97" s="13">
        <f>B97/C97-1.05</f>
        <v>4.5192307692307754E-2</v>
      </c>
      <c r="M97" s="13">
        <f>D97/E97-1.05</f>
        <v>0.10631691648822272</v>
      </c>
      <c r="N97" s="12"/>
      <c r="O97" s="12"/>
      <c r="P97" s="12"/>
      <c r="Q97" s="12"/>
      <c r="S97" s="10">
        <f>SUM(B87:B96)</f>
        <v>2278</v>
      </c>
      <c r="T97" s="10">
        <f>SUM(C87:C96)</f>
        <v>2080</v>
      </c>
      <c r="U97" s="10">
        <f>SUM(D87:D96)</f>
        <v>11880</v>
      </c>
      <c r="V97" s="10">
        <f>SUM(E87:E96)</f>
        <v>10274</v>
      </c>
      <c r="W97" s="10">
        <f>SUM(G87:G96)</f>
        <v>1800</v>
      </c>
      <c r="X97" s="10">
        <f>SUM(H87:H96)</f>
        <v>1606</v>
      </c>
      <c r="Y97" s="10">
        <f>SUM(I87:I96)</f>
        <v>9609</v>
      </c>
      <c r="Z97" s="10">
        <f>SUM(J87:J96)</f>
        <v>8302</v>
      </c>
      <c r="AB97" s="10">
        <f>DataTable[[#This Row],[чр-г-м]]-S97</f>
        <v>0</v>
      </c>
      <c r="AC97" s="10">
        <f>T97-C97</f>
        <v>0</v>
      </c>
      <c r="AD97" s="10">
        <f t="shared" ref="AD97:AD99" si="24">U97-D97</f>
        <v>0</v>
      </c>
      <c r="AE97" s="10">
        <f t="shared" ref="AE97:AE99" si="25">V97-E97</f>
        <v>0</v>
      </c>
      <c r="AF97" s="10">
        <f t="shared" ref="AF97:AF99" si="26">W97-G97</f>
        <v>0</v>
      </c>
      <c r="AG97" s="10">
        <f t="shared" ref="AG97:AG99" si="27">X97-H97</f>
        <v>0</v>
      </c>
      <c r="AH97" s="10">
        <f t="shared" ref="AH97:AH99" si="28">Y97-I97</f>
        <v>0</v>
      </c>
      <c r="AI97" s="10">
        <f t="shared" ref="AI97:AI99" si="29">Z97-J97</f>
        <v>0</v>
      </c>
    </row>
    <row r="98" spans="1:35" x14ac:dyDescent="0.55000000000000004">
      <c r="A98" s="5" t="s">
        <v>106</v>
      </c>
      <c r="B98" s="6">
        <v>20327</v>
      </c>
      <c r="C98" s="6">
        <v>18849</v>
      </c>
      <c r="D98" s="6">
        <v>211969</v>
      </c>
      <c r="E98" s="6">
        <v>194766</v>
      </c>
      <c r="F98" s="12"/>
      <c r="G98" s="6">
        <v>15856</v>
      </c>
      <c r="H98" s="6">
        <v>13571</v>
      </c>
      <c r="I98" s="6">
        <v>141435</v>
      </c>
      <c r="J98" s="6">
        <v>127276</v>
      </c>
      <c r="K98" s="12"/>
      <c r="L98" s="13">
        <f>B98/C98-1.05</f>
        <v>2.8412647885829534E-2</v>
      </c>
      <c r="M98" s="13">
        <f>D98/E98-1.05</f>
        <v>3.8326504626064128E-2</v>
      </c>
      <c r="N98" s="12"/>
      <c r="O98" s="12"/>
      <c r="P98" s="12"/>
      <c r="Q98" s="12"/>
      <c r="S98" s="10">
        <f>SUM(S77:S97)</f>
        <v>20327</v>
      </c>
      <c r="T98" s="10">
        <f t="shared" ref="T98:Z98" si="30">SUM(T77:T97)</f>
        <v>18849</v>
      </c>
      <c r="U98" s="10">
        <f t="shared" si="30"/>
        <v>211969</v>
      </c>
      <c r="V98" s="10">
        <f t="shared" si="30"/>
        <v>194767</v>
      </c>
      <c r="W98" s="10">
        <f t="shared" si="30"/>
        <v>15856</v>
      </c>
      <c r="X98" s="10">
        <f t="shared" si="30"/>
        <v>13571</v>
      </c>
      <c r="Y98" s="10">
        <f t="shared" si="30"/>
        <v>141435</v>
      </c>
      <c r="Z98" s="10">
        <f t="shared" si="30"/>
        <v>127276</v>
      </c>
      <c r="AB98" s="10">
        <f>DataTable[[#This Row],[чр-г-м]]-S98</f>
        <v>0</v>
      </c>
      <c r="AC98" s="10">
        <f>T98-C98</f>
        <v>0</v>
      </c>
      <c r="AD98" s="10">
        <f t="shared" si="24"/>
        <v>0</v>
      </c>
      <c r="AE98" s="10">
        <f t="shared" si="25"/>
        <v>1</v>
      </c>
      <c r="AF98" s="10">
        <f t="shared" si="26"/>
        <v>0</v>
      </c>
      <c r="AG98" s="10">
        <f t="shared" si="27"/>
        <v>0</v>
      </c>
      <c r="AH98" s="10">
        <f t="shared" si="28"/>
        <v>0</v>
      </c>
      <c r="AI98" s="10">
        <f t="shared" si="29"/>
        <v>0</v>
      </c>
    </row>
    <row r="99" spans="1:35" x14ac:dyDescent="0.55000000000000004">
      <c r="A99" s="5" t="s">
        <v>107</v>
      </c>
      <c r="B99" s="6">
        <v>229102</v>
      </c>
      <c r="C99" s="6">
        <v>210470</v>
      </c>
      <c r="D99" s="6">
        <v>2203215</v>
      </c>
      <c r="E99" s="6">
        <v>2098613</v>
      </c>
      <c r="F99" s="12"/>
      <c r="G99" s="6">
        <v>188653</v>
      </c>
      <c r="H99" s="6">
        <v>159868</v>
      </c>
      <c r="I99" s="6">
        <v>1441282</v>
      </c>
      <c r="J99" s="6">
        <v>1367503</v>
      </c>
      <c r="K99" s="12"/>
      <c r="L99" s="13">
        <f>B99/C99-1.05</f>
        <v>3.8525680619565739E-2</v>
      </c>
      <c r="M99" s="13">
        <f>D99/E99-1.05</f>
        <v>-1.5660343283885325E-4</v>
      </c>
      <c r="N99" s="12"/>
      <c r="O99" s="12"/>
      <c r="P99" s="12"/>
      <c r="Q99" s="12"/>
      <c r="S99" s="10">
        <f>S98+S64</f>
        <v>229102</v>
      </c>
      <c r="T99" s="10">
        <f t="shared" ref="T99:Z99" si="31">T98+T64</f>
        <v>210476</v>
      </c>
      <c r="U99" s="10">
        <f t="shared" si="31"/>
        <v>2203215</v>
      </c>
      <c r="V99" s="10">
        <f t="shared" si="31"/>
        <v>2098657</v>
      </c>
      <c r="W99" s="10">
        <f t="shared" si="31"/>
        <v>188653</v>
      </c>
      <c r="X99" s="10">
        <f t="shared" si="31"/>
        <v>159903</v>
      </c>
      <c r="Y99" s="10">
        <f t="shared" si="31"/>
        <v>1441336</v>
      </c>
      <c r="Z99" s="10">
        <f t="shared" si="31"/>
        <v>1367663</v>
      </c>
      <c r="AB99" s="10">
        <f>DataTable[[#This Row],[чр-г-м]]-S99</f>
        <v>0</v>
      </c>
      <c r="AC99" s="10">
        <f>T99-C99</f>
        <v>6</v>
      </c>
      <c r="AD99" s="10">
        <f t="shared" si="24"/>
        <v>0</v>
      </c>
      <c r="AE99" s="10">
        <f t="shared" si="25"/>
        <v>44</v>
      </c>
      <c r="AF99" s="10">
        <f t="shared" si="26"/>
        <v>0</v>
      </c>
      <c r="AG99" s="10">
        <f t="shared" si="27"/>
        <v>35</v>
      </c>
      <c r="AH99" s="10">
        <f t="shared" si="28"/>
        <v>54</v>
      </c>
      <c r="AI99" s="10">
        <f t="shared" si="29"/>
        <v>160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2026-06-30T04:23:27Z</dcterms:modified>
</cp:coreProperties>
</file>