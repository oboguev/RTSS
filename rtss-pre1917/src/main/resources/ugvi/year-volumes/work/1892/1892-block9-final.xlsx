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1892\"/>
    </mc:Choice>
  </mc:AlternateContent>
  <xr:revisionPtr revIDLastSave="0" documentId="13_ncr:1_{0514A2B7-B500-4CA9-B197-B3A5D2A57E84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71" i="1" l="1"/>
  <c r="AJ271" i="1" s="1"/>
  <c r="AE271" i="1"/>
  <c r="AI271" i="1" s="1"/>
  <c r="AD271" i="1"/>
  <c r="AH271" i="1" s="1"/>
  <c r="AF270" i="1"/>
  <c r="AE270" i="1"/>
  <c r="AI270" i="1" s="1"/>
  <c r="AF267" i="1"/>
  <c r="AE267" i="1"/>
  <c r="AD270" i="1"/>
  <c r="AF246" i="1"/>
  <c r="AE246" i="1"/>
  <c r="AD246" i="1"/>
  <c r="AF201" i="1"/>
  <c r="AF220" i="1" s="1"/>
  <c r="AJ220" i="1" s="1"/>
  <c r="AE201" i="1"/>
  <c r="AD201" i="1"/>
  <c r="AE220" i="1"/>
  <c r="AI220" i="1" s="1"/>
  <c r="AD220" i="1"/>
  <c r="AH220" i="1" s="1"/>
  <c r="AF221" i="1"/>
  <c r="AE221" i="1"/>
  <c r="AD221" i="1"/>
  <c r="AF191" i="1"/>
  <c r="AJ191" i="1" s="1"/>
  <c r="AE191" i="1"/>
  <c r="AD191" i="1"/>
  <c r="AH191" i="1" s="1"/>
  <c r="AF187" i="1"/>
  <c r="AE187" i="1"/>
  <c r="AI187" i="1" s="1"/>
  <c r="AD187" i="1"/>
  <c r="AF180" i="1"/>
  <c r="AE180" i="1"/>
  <c r="AD180" i="1"/>
  <c r="AF179" i="1"/>
  <c r="AE179" i="1"/>
  <c r="AD179" i="1"/>
  <c r="AF145" i="1"/>
  <c r="AE145" i="1"/>
  <c r="AD145" i="1"/>
  <c r="AF144" i="1"/>
  <c r="AE144" i="1"/>
  <c r="AD144" i="1"/>
  <c r="AF80" i="1"/>
  <c r="AE80" i="1"/>
  <c r="AD80" i="1"/>
  <c r="AJ39" i="1"/>
  <c r="AI39" i="1"/>
  <c r="AH39" i="1"/>
  <c r="AF39" i="1"/>
  <c r="AE39" i="1"/>
  <c r="AD39" i="1"/>
  <c r="AF70" i="1"/>
  <c r="AE70" i="1"/>
  <c r="AI70" i="1" s="1"/>
  <c r="AD70" i="1"/>
  <c r="AH70" i="1" s="1"/>
  <c r="AM271" i="1"/>
  <c r="AP271" i="1" s="1"/>
  <c r="AL271" i="1"/>
  <c r="AO271" i="1" s="1"/>
  <c r="AM270" i="1"/>
  <c r="AP270" i="1" s="1"/>
  <c r="AL270" i="1"/>
  <c r="AO270" i="1" s="1"/>
  <c r="AJ270" i="1"/>
  <c r="AH270" i="1"/>
  <c r="AP246" i="1"/>
  <c r="AM246" i="1"/>
  <c r="AL246" i="1"/>
  <c r="AO246" i="1" s="1"/>
  <c r="AJ246" i="1"/>
  <c r="AI246" i="1"/>
  <c r="AM220" i="1"/>
  <c r="AP220" i="1" s="1"/>
  <c r="AL220" i="1"/>
  <c r="AO220" i="1" s="1"/>
  <c r="AM191" i="1"/>
  <c r="AP191" i="1" s="1"/>
  <c r="AL191" i="1"/>
  <c r="AO191" i="1" s="1"/>
  <c r="AI191" i="1"/>
  <c r="AM187" i="1"/>
  <c r="AP187" i="1" s="1"/>
  <c r="AL187" i="1"/>
  <c r="AO187" i="1" s="1"/>
  <c r="AJ187" i="1"/>
  <c r="AH187" i="1"/>
  <c r="AM80" i="1"/>
  <c r="AP80" i="1" s="1"/>
  <c r="AL80" i="1"/>
  <c r="AO80" i="1" s="1"/>
  <c r="AJ80" i="1"/>
  <c r="AI80" i="1"/>
  <c r="AH80" i="1"/>
  <c r="AM70" i="1"/>
  <c r="AP70" i="1" s="1"/>
  <c r="AL70" i="1"/>
  <c r="AO70" i="1" s="1"/>
  <c r="AJ70" i="1"/>
  <c r="AJ38" i="1"/>
  <c r="AI38" i="1"/>
  <c r="AH38" i="1"/>
  <c r="AM38" i="1"/>
  <c r="AP38" i="1" s="1"/>
  <c r="AL38" i="1"/>
  <c r="AO38" i="1" s="1"/>
  <c r="AF38" i="1"/>
  <c r="AE38" i="1"/>
  <c r="AD38" i="1"/>
  <c r="AH258" i="1"/>
  <c r="AJ257" i="1"/>
  <c r="AI257" i="1"/>
  <c r="AH257" i="1"/>
  <c r="AJ254" i="1"/>
  <c r="AI254" i="1"/>
  <c r="AH254" i="1"/>
  <c r="AH251" i="1"/>
  <c r="AJ250" i="1"/>
  <c r="AI250" i="1"/>
  <c r="AH250" i="1"/>
  <c r="AJ247" i="1"/>
  <c r="AI247" i="1"/>
  <c r="AH247" i="1"/>
  <c r="AH267" i="1"/>
  <c r="AD267" i="1"/>
  <c r="AM257" i="1"/>
  <c r="AP257" i="1" s="1"/>
  <c r="AL257" i="1"/>
  <c r="AO257" i="1" s="1"/>
  <c r="AJ261" i="1"/>
  <c r="AI261" i="1"/>
  <c r="AH261" i="1"/>
  <c r="AI264" i="1"/>
  <c r="AJ264" i="1"/>
  <c r="AD258" i="1"/>
  <c r="AF257" i="1"/>
  <c r="AE257" i="1"/>
  <c r="AD257" i="1"/>
  <c r="AF254" i="1"/>
  <c r="AE254" i="1"/>
  <c r="AD254" i="1"/>
  <c r="AD251" i="1"/>
  <c r="AF250" i="1"/>
  <c r="AE250" i="1"/>
  <c r="AD250" i="1"/>
  <c r="AF247" i="1"/>
  <c r="AE247" i="1"/>
  <c r="AD247" i="1"/>
  <c r="AF217" i="1"/>
  <c r="AE217" i="1"/>
  <c r="AD217" i="1"/>
  <c r="AM264" i="1"/>
  <c r="AL264" i="1"/>
  <c r="AF264" i="1"/>
  <c r="AE264" i="1"/>
  <c r="AD264" i="1"/>
  <c r="AH264" i="1" s="1"/>
  <c r="AM261" i="1"/>
  <c r="AL261" i="1"/>
  <c r="AF261" i="1"/>
  <c r="AE261" i="1"/>
  <c r="AD261" i="1"/>
  <c r="AO243" i="1"/>
  <c r="AM243" i="1"/>
  <c r="AP243" i="1" s="1"/>
  <c r="AL243" i="1"/>
  <c r="AJ243" i="1"/>
  <c r="AF243" i="1"/>
  <c r="AE243" i="1"/>
  <c r="AI243" i="1" s="1"/>
  <c r="AD243" i="1"/>
  <c r="AH243" i="1" s="1"/>
  <c r="AM240" i="1"/>
  <c r="AP240" i="1" s="1"/>
  <c r="AL240" i="1"/>
  <c r="AO240" i="1" s="1"/>
  <c r="AI240" i="1"/>
  <c r="AF240" i="1"/>
  <c r="AJ240" i="1" s="1"/>
  <c r="AE240" i="1"/>
  <c r="AD240" i="1"/>
  <c r="AH240" i="1" s="1"/>
  <c r="AM237" i="1"/>
  <c r="AP237" i="1" s="1"/>
  <c r="AL237" i="1"/>
  <c r="AO237" i="1" s="1"/>
  <c r="AF237" i="1"/>
  <c r="AJ237" i="1" s="1"/>
  <c r="AE237" i="1"/>
  <c r="AI237" i="1" s="1"/>
  <c r="AD237" i="1"/>
  <c r="AH237" i="1" s="1"/>
  <c r="AO234" i="1"/>
  <c r="AM234" i="1"/>
  <c r="AP234" i="1" s="1"/>
  <c r="AL234" i="1"/>
  <c r="AJ234" i="1"/>
  <c r="AH234" i="1"/>
  <c r="AF234" i="1"/>
  <c r="AE234" i="1"/>
  <c r="AI234" i="1" s="1"/>
  <c r="AD234" i="1"/>
  <c r="AM231" i="1"/>
  <c r="AL231" i="1"/>
  <c r="AF231" i="1"/>
  <c r="AJ231" i="1" s="1"/>
  <c r="AE231" i="1"/>
  <c r="AI231" i="1" s="1"/>
  <c r="AD231" i="1"/>
  <c r="AH231" i="1" s="1"/>
  <c r="AP228" i="1"/>
  <c r="AM228" i="1"/>
  <c r="AL228" i="1"/>
  <c r="AO228" i="1" s="1"/>
  <c r="AF228" i="1"/>
  <c r="AJ228" i="1" s="1"/>
  <c r="AE228" i="1"/>
  <c r="AI228" i="1" s="1"/>
  <c r="AD228" i="1"/>
  <c r="AH228" i="1" s="1"/>
  <c r="AM225" i="1"/>
  <c r="AP225" i="1" s="1"/>
  <c r="AL225" i="1"/>
  <c r="AO225" i="1" s="1"/>
  <c r="AJ225" i="1"/>
  <c r="AH225" i="1"/>
  <c r="AF225" i="1"/>
  <c r="AE225" i="1"/>
  <c r="AI225" i="1" s="1"/>
  <c r="AD225" i="1"/>
  <c r="AO222" i="1"/>
  <c r="AM222" i="1"/>
  <c r="AP222" i="1" s="1"/>
  <c r="AL222" i="1"/>
  <c r="AF222" i="1"/>
  <c r="AJ222" i="1" s="1"/>
  <c r="AE222" i="1"/>
  <c r="AI222" i="1" s="1"/>
  <c r="AD222" i="1"/>
  <c r="AH222" i="1" s="1"/>
  <c r="AO217" i="1"/>
  <c r="AM217" i="1"/>
  <c r="AP217" i="1" s="1"/>
  <c r="AL217" i="1"/>
  <c r="AP214" i="1"/>
  <c r="AM214" i="1"/>
  <c r="AL214" i="1"/>
  <c r="AO214" i="1" s="1"/>
  <c r="AJ214" i="1"/>
  <c r="AF214" i="1"/>
  <c r="AE214" i="1"/>
  <c r="AI214" i="1" s="1"/>
  <c r="AD214" i="1"/>
  <c r="AH214" i="1" s="1"/>
  <c r="AM211" i="1"/>
  <c r="AP211" i="1" s="1"/>
  <c r="AL211" i="1"/>
  <c r="AO211" i="1" s="1"/>
  <c r="AJ211" i="1"/>
  <c r="AF211" i="1"/>
  <c r="AE211" i="1"/>
  <c r="AI211" i="1" s="1"/>
  <c r="AD211" i="1"/>
  <c r="AH211" i="1" s="1"/>
  <c r="AP208" i="1"/>
  <c r="AO208" i="1"/>
  <c r="AM208" i="1"/>
  <c r="AL208" i="1"/>
  <c r="AF208" i="1"/>
  <c r="AJ208" i="1" s="1"/>
  <c r="AE208" i="1"/>
  <c r="AI208" i="1" s="1"/>
  <c r="AD208" i="1"/>
  <c r="AH208" i="1" s="1"/>
  <c r="AO205" i="1"/>
  <c r="AM205" i="1"/>
  <c r="AP205" i="1" s="1"/>
  <c r="AL205" i="1"/>
  <c r="AJ205" i="1"/>
  <c r="AF205" i="1"/>
  <c r="AE205" i="1"/>
  <c r="AI205" i="1" s="1"/>
  <c r="AD205" i="1"/>
  <c r="AH205" i="1" s="1"/>
  <c r="AP202" i="1"/>
  <c r="AM202" i="1"/>
  <c r="AL202" i="1"/>
  <c r="AO202" i="1" s="1"/>
  <c r="AF202" i="1"/>
  <c r="AJ202" i="1" s="1"/>
  <c r="AE202" i="1"/>
  <c r="AI202" i="1" s="1"/>
  <c r="AD202" i="1"/>
  <c r="AH202" i="1" s="1"/>
  <c r="AP198" i="1"/>
  <c r="AM198" i="1"/>
  <c r="AL198" i="1"/>
  <c r="AO198" i="1" s="1"/>
  <c r="AF198" i="1"/>
  <c r="AJ198" i="1" s="1"/>
  <c r="AE198" i="1"/>
  <c r="AI198" i="1" s="1"/>
  <c r="AD198" i="1"/>
  <c r="AH198" i="1" s="1"/>
  <c r="AM195" i="1"/>
  <c r="AP195" i="1" s="1"/>
  <c r="AL195" i="1"/>
  <c r="AO195" i="1" s="1"/>
  <c r="AF195" i="1"/>
  <c r="AJ195" i="1" s="1"/>
  <c r="AE195" i="1"/>
  <c r="AI195" i="1" s="1"/>
  <c r="AD195" i="1"/>
  <c r="AH195" i="1" s="1"/>
  <c r="AM192" i="1"/>
  <c r="AP192" i="1" s="1"/>
  <c r="AL192" i="1"/>
  <c r="AO192" i="1" s="1"/>
  <c r="AF192" i="1"/>
  <c r="AJ192" i="1" s="1"/>
  <c r="AE192" i="1"/>
  <c r="AI192" i="1" s="1"/>
  <c r="AD192" i="1"/>
  <c r="AH192" i="1" s="1"/>
  <c r="AO188" i="1"/>
  <c r="AM188" i="1"/>
  <c r="AP188" i="1" s="1"/>
  <c r="AL188" i="1"/>
  <c r="AJ188" i="1"/>
  <c r="AF188" i="1"/>
  <c r="AE188" i="1"/>
  <c r="AI188" i="1" s="1"/>
  <c r="AD188" i="1"/>
  <c r="AH188" i="1" s="1"/>
  <c r="AM184" i="1"/>
  <c r="AP184" i="1" s="1"/>
  <c r="AL184" i="1"/>
  <c r="AO184" i="1" s="1"/>
  <c r="AF184" i="1"/>
  <c r="AJ184" i="1" s="1"/>
  <c r="AE184" i="1"/>
  <c r="AI184" i="1" s="1"/>
  <c r="AD184" i="1"/>
  <c r="AH184" i="1" s="1"/>
  <c r="AM181" i="1"/>
  <c r="AP181" i="1" s="1"/>
  <c r="AL181" i="1"/>
  <c r="AO181" i="1" s="1"/>
  <c r="AJ181" i="1"/>
  <c r="AF181" i="1"/>
  <c r="AE181" i="1"/>
  <c r="AI181" i="1" s="1"/>
  <c r="AD181" i="1"/>
  <c r="AH181" i="1" s="1"/>
  <c r="AP176" i="1"/>
  <c r="AO176" i="1"/>
  <c r="AM176" i="1"/>
  <c r="AL176" i="1"/>
  <c r="AF176" i="1"/>
  <c r="AJ176" i="1" s="1"/>
  <c r="AE176" i="1"/>
  <c r="AI176" i="1" s="1"/>
  <c r="AD176" i="1"/>
  <c r="AH176" i="1" s="1"/>
  <c r="AM173" i="1"/>
  <c r="AP173" i="1" s="1"/>
  <c r="AL173" i="1"/>
  <c r="AO173" i="1" s="1"/>
  <c r="AF173" i="1"/>
  <c r="AJ173" i="1" s="1"/>
  <c r="AE173" i="1"/>
  <c r="AI173" i="1" s="1"/>
  <c r="AD173" i="1"/>
  <c r="AH173" i="1" s="1"/>
  <c r="AM170" i="1"/>
  <c r="AP170" i="1" s="1"/>
  <c r="AL170" i="1"/>
  <c r="AO170" i="1" s="1"/>
  <c r="AF170" i="1"/>
  <c r="AJ170" i="1" s="1"/>
  <c r="AE170" i="1"/>
  <c r="AI170" i="1" s="1"/>
  <c r="AD170" i="1"/>
  <c r="AH170" i="1" s="1"/>
  <c r="AM167" i="1"/>
  <c r="AP167" i="1" s="1"/>
  <c r="AL167" i="1"/>
  <c r="AO167" i="1" s="1"/>
  <c r="AH167" i="1"/>
  <c r="AF167" i="1"/>
  <c r="AJ167" i="1" s="1"/>
  <c r="AE167" i="1"/>
  <c r="AI167" i="1" s="1"/>
  <c r="AD167" i="1"/>
  <c r="AP164" i="1"/>
  <c r="AM164" i="1"/>
  <c r="AL164" i="1"/>
  <c r="AO164" i="1" s="1"/>
  <c r="AJ164" i="1"/>
  <c r="AF164" i="1"/>
  <c r="AE164" i="1"/>
  <c r="AI164" i="1" s="1"/>
  <c r="AD164" i="1"/>
  <c r="AH164" i="1" s="1"/>
  <c r="AM161" i="1"/>
  <c r="AP161" i="1" s="1"/>
  <c r="AL161" i="1"/>
  <c r="AO161" i="1" s="1"/>
  <c r="AF161" i="1"/>
  <c r="AJ161" i="1" s="1"/>
  <c r="AE161" i="1"/>
  <c r="AI161" i="1" s="1"/>
  <c r="AD161" i="1"/>
  <c r="AH161" i="1" s="1"/>
  <c r="AP158" i="1"/>
  <c r="AM158" i="1"/>
  <c r="AL158" i="1"/>
  <c r="AO158" i="1" s="1"/>
  <c r="AJ158" i="1"/>
  <c r="AH158" i="1"/>
  <c r="AF158" i="1"/>
  <c r="AE158" i="1"/>
  <c r="AI158" i="1" s="1"/>
  <c r="AD158" i="1"/>
  <c r="AM155" i="1"/>
  <c r="AP155" i="1" s="1"/>
  <c r="AL155" i="1"/>
  <c r="AO155" i="1" s="1"/>
  <c r="AF155" i="1"/>
  <c r="AJ155" i="1" s="1"/>
  <c r="AE155" i="1"/>
  <c r="AI155" i="1" s="1"/>
  <c r="AD155" i="1"/>
  <c r="AH155" i="1" s="1"/>
  <c r="AM152" i="1"/>
  <c r="AP152" i="1" s="1"/>
  <c r="AL152" i="1"/>
  <c r="AO152" i="1" s="1"/>
  <c r="AH152" i="1"/>
  <c r="AF152" i="1"/>
  <c r="AJ152" i="1" s="1"/>
  <c r="AE152" i="1"/>
  <c r="AI152" i="1" s="1"/>
  <c r="AD152" i="1"/>
  <c r="AM149" i="1"/>
  <c r="AP149" i="1" s="1"/>
  <c r="AL149" i="1"/>
  <c r="AO149" i="1" s="1"/>
  <c r="AF149" i="1"/>
  <c r="AJ149" i="1" s="1"/>
  <c r="AE149" i="1"/>
  <c r="AI149" i="1" s="1"/>
  <c r="AD149" i="1"/>
  <c r="AH149" i="1" s="1"/>
  <c r="AM146" i="1"/>
  <c r="AP146" i="1" s="1"/>
  <c r="AL146" i="1"/>
  <c r="AO146" i="1" s="1"/>
  <c r="AH146" i="1"/>
  <c r="AF146" i="1"/>
  <c r="AJ146" i="1" s="1"/>
  <c r="AE146" i="1"/>
  <c r="AI146" i="1" s="1"/>
  <c r="AD146" i="1"/>
  <c r="AO141" i="1"/>
  <c r="AM141" i="1"/>
  <c r="AP141" i="1" s="1"/>
  <c r="AL141" i="1"/>
  <c r="AF141" i="1"/>
  <c r="AJ141" i="1" s="1"/>
  <c r="AE141" i="1"/>
  <c r="AI141" i="1" s="1"/>
  <c r="AD141" i="1"/>
  <c r="AH141" i="1" s="1"/>
  <c r="AM138" i="1"/>
  <c r="AP138" i="1" s="1"/>
  <c r="AL138" i="1"/>
  <c r="AO138" i="1" s="1"/>
  <c r="AF138" i="1"/>
  <c r="AJ138" i="1" s="1"/>
  <c r="AE138" i="1"/>
  <c r="AI138" i="1" s="1"/>
  <c r="AD138" i="1"/>
  <c r="AH138" i="1" s="1"/>
  <c r="AO135" i="1"/>
  <c r="AM135" i="1"/>
  <c r="AP135" i="1" s="1"/>
  <c r="AL135" i="1"/>
  <c r="AF135" i="1"/>
  <c r="AJ135" i="1" s="1"/>
  <c r="AE135" i="1"/>
  <c r="AI135" i="1" s="1"/>
  <c r="AD135" i="1"/>
  <c r="AH135" i="1" s="1"/>
  <c r="AO132" i="1"/>
  <c r="AM132" i="1"/>
  <c r="AP132" i="1" s="1"/>
  <c r="AL132" i="1"/>
  <c r="AF132" i="1"/>
  <c r="AJ132" i="1" s="1"/>
  <c r="AE132" i="1"/>
  <c r="AI132" i="1" s="1"/>
  <c r="AD132" i="1"/>
  <c r="AH132" i="1" s="1"/>
  <c r="AO129" i="1"/>
  <c r="AM129" i="1"/>
  <c r="AP129" i="1" s="1"/>
  <c r="AL129" i="1"/>
  <c r="AF129" i="1"/>
  <c r="AJ129" i="1" s="1"/>
  <c r="AE129" i="1"/>
  <c r="AI129" i="1" s="1"/>
  <c r="AD129" i="1"/>
  <c r="AH129" i="1" s="1"/>
  <c r="AO126" i="1"/>
  <c r="AM126" i="1"/>
  <c r="AP126" i="1" s="1"/>
  <c r="AL126" i="1"/>
  <c r="AH126" i="1"/>
  <c r="AF126" i="1"/>
  <c r="AJ126" i="1" s="1"/>
  <c r="AE126" i="1"/>
  <c r="AI126" i="1" s="1"/>
  <c r="AD126" i="1"/>
  <c r="AM123" i="1"/>
  <c r="AP123" i="1" s="1"/>
  <c r="AL123" i="1"/>
  <c r="AO123" i="1" s="1"/>
  <c r="AJ123" i="1"/>
  <c r="AF123" i="1"/>
  <c r="AE123" i="1"/>
  <c r="AI123" i="1" s="1"/>
  <c r="AD123" i="1"/>
  <c r="AH123" i="1" s="1"/>
  <c r="AO120" i="1"/>
  <c r="AM120" i="1"/>
  <c r="AP120" i="1" s="1"/>
  <c r="AL120" i="1"/>
  <c r="AF120" i="1"/>
  <c r="AJ120" i="1" s="1"/>
  <c r="AE120" i="1"/>
  <c r="AI120" i="1" s="1"/>
  <c r="AD120" i="1"/>
  <c r="AH120" i="1" s="1"/>
  <c r="AM117" i="1"/>
  <c r="AP117" i="1" s="1"/>
  <c r="AL117" i="1"/>
  <c r="AO117" i="1" s="1"/>
  <c r="AF117" i="1"/>
  <c r="AJ117" i="1" s="1"/>
  <c r="AE117" i="1"/>
  <c r="AI117" i="1" s="1"/>
  <c r="AD117" i="1"/>
  <c r="AH117" i="1" s="1"/>
  <c r="AP114" i="1"/>
  <c r="AO114" i="1"/>
  <c r="AM114" i="1"/>
  <c r="AL114" i="1"/>
  <c r="AJ114" i="1"/>
  <c r="AF114" i="1"/>
  <c r="AE114" i="1"/>
  <c r="AI114" i="1" s="1"/>
  <c r="AD114" i="1"/>
  <c r="AH114" i="1" s="1"/>
  <c r="AM111" i="1"/>
  <c r="AP111" i="1" s="1"/>
  <c r="AL111" i="1"/>
  <c r="AO111" i="1" s="1"/>
  <c r="AF111" i="1"/>
  <c r="AJ111" i="1" s="1"/>
  <c r="AE111" i="1"/>
  <c r="AI111" i="1" s="1"/>
  <c r="AD111" i="1"/>
  <c r="AH111" i="1" s="1"/>
  <c r="AM108" i="1"/>
  <c r="AP108" i="1" s="1"/>
  <c r="AL108" i="1"/>
  <c r="AO108" i="1" s="1"/>
  <c r="AJ108" i="1"/>
  <c r="AH108" i="1"/>
  <c r="AF108" i="1"/>
  <c r="AE108" i="1"/>
  <c r="AI108" i="1" s="1"/>
  <c r="AD108" i="1"/>
  <c r="AM105" i="1"/>
  <c r="AP105" i="1" s="1"/>
  <c r="AL105" i="1"/>
  <c r="AO105" i="1" s="1"/>
  <c r="AF105" i="1"/>
  <c r="AJ105" i="1" s="1"/>
  <c r="AE105" i="1"/>
  <c r="AI105" i="1" s="1"/>
  <c r="AD105" i="1"/>
  <c r="AH105" i="1" s="1"/>
  <c r="AM102" i="1"/>
  <c r="AP102" i="1" s="1"/>
  <c r="AL102" i="1"/>
  <c r="AO102" i="1" s="1"/>
  <c r="AJ102" i="1"/>
  <c r="AF102" i="1"/>
  <c r="AE102" i="1"/>
  <c r="AI102" i="1" s="1"/>
  <c r="AD102" i="1"/>
  <c r="AH102" i="1" s="1"/>
  <c r="AM99" i="1"/>
  <c r="AP99" i="1" s="1"/>
  <c r="AL99" i="1"/>
  <c r="AO99" i="1" s="1"/>
  <c r="AH99" i="1"/>
  <c r="AF99" i="1"/>
  <c r="AJ99" i="1" s="1"/>
  <c r="AE99" i="1"/>
  <c r="AI99" i="1" s="1"/>
  <c r="AD99" i="1"/>
  <c r="AM96" i="1"/>
  <c r="AP96" i="1" s="1"/>
  <c r="AL96" i="1"/>
  <c r="AO96" i="1" s="1"/>
  <c r="AF96" i="1"/>
  <c r="AJ96" i="1" s="1"/>
  <c r="AE96" i="1"/>
  <c r="AI96" i="1" s="1"/>
  <c r="AD96" i="1"/>
  <c r="AH96" i="1" s="1"/>
  <c r="AP93" i="1"/>
  <c r="AO93" i="1"/>
  <c r="AM93" i="1"/>
  <c r="AL93" i="1"/>
  <c r="AF93" i="1"/>
  <c r="AJ93" i="1" s="1"/>
  <c r="AE93" i="1"/>
  <c r="AI93" i="1" s="1"/>
  <c r="AD93" i="1"/>
  <c r="AH93" i="1" s="1"/>
  <c r="AM90" i="1"/>
  <c r="AP90" i="1" s="1"/>
  <c r="AL90" i="1"/>
  <c r="AO90" i="1" s="1"/>
  <c r="AF90" i="1"/>
  <c r="AJ90" i="1" s="1"/>
  <c r="AE90" i="1"/>
  <c r="AI90" i="1" s="1"/>
  <c r="AD90" i="1"/>
  <c r="AH90" i="1" s="1"/>
  <c r="AM87" i="1"/>
  <c r="AP87" i="1" s="1"/>
  <c r="AL87" i="1"/>
  <c r="AO87" i="1" s="1"/>
  <c r="AF87" i="1"/>
  <c r="AJ87" i="1" s="1"/>
  <c r="AE87" i="1"/>
  <c r="AI87" i="1" s="1"/>
  <c r="AD87" i="1"/>
  <c r="AH87" i="1" s="1"/>
  <c r="AM84" i="1"/>
  <c r="AP84" i="1" s="1"/>
  <c r="AL84" i="1"/>
  <c r="AO84" i="1" s="1"/>
  <c r="AJ84" i="1"/>
  <c r="AF84" i="1"/>
  <c r="AE84" i="1"/>
  <c r="AI84" i="1" s="1"/>
  <c r="AD84" i="1"/>
  <c r="AH84" i="1" s="1"/>
  <c r="AM81" i="1"/>
  <c r="AP81" i="1" s="1"/>
  <c r="AL81" i="1"/>
  <c r="AO81" i="1" s="1"/>
  <c r="AH81" i="1"/>
  <c r="AF81" i="1"/>
  <c r="AJ81" i="1" s="1"/>
  <c r="AE81" i="1"/>
  <c r="AI81" i="1" s="1"/>
  <c r="AD81" i="1"/>
  <c r="AM77" i="1"/>
  <c r="AP77" i="1" s="1"/>
  <c r="AL77" i="1"/>
  <c r="AO77" i="1" s="1"/>
  <c r="AJ77" i="1"/>
  <c r="AH77" i="1"/>
  <c r="AF77" i="1"/>
  <c r="AE77" i="1"/>
  <c r="AI77" i="1" s="1"/>
  <c r="AD77" i="1"/>
  <c r="AM74" i="1"/>
  <c r="AP74" i="1" s="1"/>
  <c r="AL74" i="1"/>
  <c r="AO74" i="1" s="1"/>
  <c r="AJ74" i="1"/>
  <c r="AF74" i="1"/>
  <c r="AE74" i="1"/>
  <c r="AI74" i="1" s="1"/>
  <c r="AD74" i="1"/>
  <c r="AH74" i="1" s="1"/>
  <c r="AM71" i="1"/>
  <c r="AP71" i="1" s="1"/>
  <c r="AL71" i="1"/>
  <c r="AO71" i="1" s="1"/>
  <c r="AF71" i="1"/>
  <c r="AJ71" i="1" s="1"/>
  <c r="AE71" i="1"/>
  <c r="AI71" i="1" s="1"/>
  <c r="AD71" i="1"/>
  <c r="AH71" i="1" s="1"/>
  <c r="AM67" i="1"/>
  <c r="AP67" i="1" s="1"/>
  <c r="AL67" i="1"/>
  <c r="AO67" i="1" s="1"/>
  <c r="AH67" i="1"/>
  <c r="AF67" i="1"/>
  <c r="AJ67" i="1" s="1"/>
  <c r="AE67" i="1"/>
  <c r="AI67" i="1" s="1"/>
  <c r="AD67" i="1"/>
  <c r="AP64" i="1"/>
  <c r="AM64" i="1"/>
  <c r="AL64" i="1"/>
  <c r="AO64" i="1" s="1"/>
  <c r="AF64" i="1"/>
  <c r="AJ64" i="1" s="1"/>
  <c r="AE64" i="1"/>
  <c r="AI64" i="1" s="1"/>
  <c r="AD64" i="1"/>
  <c r="AH64" i="1" s="1"/>
  <c r="AM61" i="1"/>
  <c r="AP61" i="1" s="1"/>
  <c r="AL61" i="1"/>
  <c r="AO61" i="1" s="1"/>
  <c r="AF61" i="1"/>
  <c r="AJ61" i="1" s="1"/>
  <c r="AE61" i="1"/>
  <c r="AI61" i="1" s="1"/>
  <c r="AD61" i="1"/>
  <c r="AH61" i="1" s="1"/>
  <c r="AM58" i="1"/>
  <c r="AP58" i="1" s="1"/>
  <c r="AL58" i="1"/>
  <c r="AO58" i="1" s="1"/>
  <c r="AF58" i="1"/>
  <c r="AJ58" i="1" s="1"/>
  <c r="AE58" i="1"/>
  <c r="AI58" i="1" s="1"/>
  <c r="AD58" i="1"/>
  <c r="AH58" i="1" s="1"/>
  <c r="AM55" i="1"/>
  <c r="AP55" i="1" s="1"/>
  <c r="AL55" i="1"/>
  <c r="AO55" i="1" s="1"/>
  <c r="AJ55" i="1"/>
  <c r="AF55" i="1"/>
  <c r="AE55" i="1"/>
  <c r="AI55" i="1" s="1"/>
  <c r="AD55" i="1"/>
  <c r="AH55" i="1" s="1"/>
  <c r="AM52" i="1"/>
  <c r="AP52" i="1" s="1"/>
  <c r="AL52" i="1"/>
  <c r="AO52" i="1" s="1"/>
  <c r="AF52" i="1"/>
  <c r="AJ52" i="1" s="1"/>
  <c r="AE52" i="1"/>
  <c r="AI52" i="1" s="1"/>
  <c r="AD52" i="1"/>
  <c r="AH52" i="1" s="1"/>
  <c r="AM49" i="1"/>
  <c r="AP49" i="1" s="1"/>
  <c r="AL49" i="1"/>
  <c r="AO49" i="1" s="1"/>
  <c r="AH49" i="1"/>
  <c r="AF49" i="1"/>
  <c r="AJ49" i="1" s="1"/>
  <c r="AE49" i="1"/>
  <c r="AI49" i="1" s="1"/>
  <c r="AD49" i="1"/>
  <c r="AM46" i="1"/>
  <c r="AP46" i="1" s="1"/>
  <c r="AL46" i="1"/>
  <c r="AO46" i="1" s="1"/>
  <c r="AJ46" i="1"/>
  <c r="AH46" i="1"/>
  <c r="AF46" i="1"/>
  <c r="AE46" i="1"/>
  <c r="AI46" i="1" s="1"/>
  <c r="AD46" i="1"/>
  <c r="AM43" i="1"/>
  <c r="AP43" i="1" s="1"/>
  <c r="AL43" i="1"/>
  <c r="AO43" i="1" s="1"/>
  <c r="AF43" i="1"/>
  <c r="AJ43" i="1" s="1"/>
  <c r="AE43" i="1"/>
  <c r="AI43" i="1" s="1"/>
  <c r="AD43" i="1"/>
  <c r="AH43" i="1" s="1"/>
  <c r="AM40" i="1"/>
  <c r="AP40" i="1" s="1"/>
  <c r="AL40" i="1"/>
  <c r="AO40" i="1" s="1"/>
  <c r="AH40" i="1"/>
  <c r="AF40" i="1"/>
  <c r="AJ40" i="1" s="1"/>
  <c r="AE40" i="1"/>
  <c r="AI40" i="1" s="1"/>
  <c r="AD40" i="1"/>
  <c r="AM35" i="1"/>
  <c r="AP35" i="1" s="1"/>
  <c r="AL35" i="1"/>
  <c r="AO35" i="1" s="1"/>
  <c r="AJ35" i="1"/>
  <c r="AI35" i="1"/>
  <c r="AF35" i="1"/>
  <c r="AE35" i="1"/>
  <c r="AD35" i="1"/>
  <c r="AH35" i="1" s="1"/>
  <c r="AO32" i="1"/>
  <c r="AM32" i="1"/>
  <c r="AP32" i="1" s="1"/>
  <c r="AL32" i="1"/>
  <c r="AF32" i="1"/>
  <c r="AJ32" i="1" s="1"/>
  <c r="AE32" i="1"/>
  <c r="AI32" i="1" s="1"/>
  <c r="AD32" i="1"/>
  <c r="AH32" i="1" s="1"/>
  <c r="AP29" i="1"/>
  <c r="AO29" i="1"/>
  <c r="AM29" i="1"/>
  <c r="AL29" i="1"/>
  <c r="AJ29" i="1"/>
  <c r="AF29" i="1"/>
  <c r="AE29" i="1"/>
  <c r="AI29" i="1" s="1"/>
  <c r="AD29" i="1"/>
  <c r="AH29" i="1" s="1"/>
  <c r="AM26" i="1"/>
  <c r="AP26" i="1" s="1"/>
  <c r="AL26" i="1"/>
  <c r="AO26" i="1" s="1"/>
  <c r="AJ26" i="1"/>
  <c r="AF26" i="1"/>
  <c r="AE26" i="1"/>
  <c r="AI26" i="1" s="1"/>
  <c r="AD26" i="1"/>
  <c r="AH26" i="1" s="1"/>
  <c r="AM23" i="1"/>
  <c r="AP23" i="1" s="1"/>
  <c r="AL23" i="1"/>
  <c r="AO23" i="1" s="1"/>
  <c r="AF23" i="1"/>
  <c r="AJ23" i="1" s="1"/>
  <c r="AE23" i="1"/>
  <c r="AI23" i="1" s="1"/>
  <c r="AD23" i="1"/>
  <c r="AH23" i="1" s="1"/>
  <c r="AP20" i="1"/>
  <c r="AO20" i="1"/>
  <c r="AM20" i="1"/>
  <c r="AL20" i="1"/>
  <c r="AJ20" i="1"/>
  <c r="AF20" i="1"/>
  <c r="AE20" i="1"/>
  <c r="AI20" i="1" s="1"/>
  <c r="AD20" i="1"/>
  <c r="AH20" i="1" s="1"/>
  <c r="AO17" i="1"/>
  <c r="AM17" i="1"/>
  <c r="AP17" i="1" s="1"/>
  <c r="AL17" i="1"/>
  <c r="AF17" i="1"/>
  <c r="AJ17" i="1" s="1"/>
  <c r="AE17" i="1"/>
  <c r="AI17" i="1" s="1"/>
  <c r="AD17" i="1"/>
  <c r="AH17" i="1" s="1"/>
  <c r="AM14" i="1"/>
  <c r="AP14" i="1" s="1"/>
  <c r="AL14" i="1"/>
  <c r="AO14" i="1" s="1"/>
  <c r="AF14" i="1"/>
  <c r="AJ14" i="1" s="1"/>
  <c r="AE14" i="1"/>
  <c r="AI14" i="1" s="1"/>
  <c r="AD14" i="1"/>
  <c r="AH14" i="1" s="1"/>
  <c r="AO11" i="1"/>
  <c r="AM11" i="1"/>
  <c r="AP11" i="1" s="1"/>
  <c r="AL11" i="1"/>
  <c r="AJ11" i="1"/>
  <c r="AH11" i="1"/>
  <c r="AF11" i="1"/>
  <c r="AE11" i="1"/>
  <c r="AI11" i="1" s="1"/>
  <c r="AD11" i="1"/>
  <c r="AM8" i="1"/>
  <c r="AP8" i="1" s="1"/>
  <c r="AL8" i="1"/>
  <c r="AO8" i="1" s="1"/>
  <c r="AF8" i="1"/>
  <c r="AJ8" i="1" s="1"/>
  <c r="AE8" i="1"/>
  <c r="AI8" i="1" s="1"/>
  <c r="AD8" i="1"/>
  <c r="AH8" i="1" s="1"/>
  <c r="AO5" i="1"/>
  <c r="AM5" i="1"/>
  <c r="AP5" i="1" s="1"/>
  <c r="AL5" i="1"/>
  <c r="AJ5" i="1"/>
  <c r="AF5" i="1"/>
  <c r="AE5" i="1"/>
  <c r="AI5" i="1" s="1"/>
  <c r="AD5" i="1"/>
  <c r="AH5" i="1" s="1"/>
  <c r="AP2" i="1"/>
  <c r="AO2" i="1"/>
  <c r="AM2" i="1"/>
  <c r="AL2" i="1"/>
  <c r="AJ2" i="1"/>
  <c r="AI2" i="1"/>
  <c r="AH2" i="1"/>
  <c r="AF2" i="1"/>
  <c r="AE2" i="1"/>
  <c r="AD2" i="1"/>
  <c r="AH246" i="1" l="1"/>
</calcChain>
</file>

<file path=xl/sharedStrings.xml><?xml version="1.0" encoding="utf-8"?>
<sst xmlns="http://schemas.openxmlformats.org/spreadsheetml/2006/main" count="476" uniqueCount="294">
  <si>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</si>
  <si>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</si>
  <si>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</si>
  <si>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</si>
  <si>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</si>
  <si>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</si>
  <si>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</si>
  <si>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1887-1891</t>
  </si>
  <si>
    <t>ср-чр 1887-1891</t>
  </si>
  <si>
    <t>ср-чу 1887-1891</t>
  </si>
  <si>
    <t>уезды</t>
  </si>
  <si>
    <t>Архангельская</t>
  </si>
  <si>
    <t>[Архангельская род.]</t>
  </si>
  <si>
    <t>[Архангельская ум.]</t>
  </si>
  <si>
    <t>Астраханская</t>
  </si>
  <si>
    <t>[Астраханская род.]</t>
  </si>
  <si>
    <t>—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</si>
  <si>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</si>
  <si>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</si>
  <si>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</si>
  <si>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</si>
  <si>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</si>
  <si>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</si>
  <si>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</si>
  <si>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</si>
  <si>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</si>
  <si>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</si>
  <si>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</si>
  <si>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</si>
  <si>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</si>
  <si>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</si>
  <si>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</si>
  <si>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</si>
  <si>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</si>
  <si>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</si>
  <si>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</si>
  <si>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</si>
  <si>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</si>
  <si>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</si>
  <si>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</si>
  <si>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</si>
  <si>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</si>
  <si>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</si>
  <si>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</si>
  <si>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</si>
  <si>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</si>
  <si>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</si>
  <si>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</si>
  <si>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</si>
  <si>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</si>
  <si>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</si>
  <si>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</si>
  <si>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</si>
  <si>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</si>
  <si>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</si>
  <si>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</si>
  <si>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</si>
  <si>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</si>
  <si>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</si>
  <si>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</si>
  <si>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</si>
  <si>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</si>
  <si>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</si>
  <si>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</si>
  <si>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</si>
  <si>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</si>
  <si>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</si>
  <si>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</si>
  <si>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</si>
  <si>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</si>
  <si>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</si>
  <si>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</si>
  <si>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</si>
  <si>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</si>
  <si>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</si>
  <si>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</si>
  <si>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</si>
  <si>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</si>
  <si>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</si>
  <si>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</si>
  <si>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</si>
  <si>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</si>
  <si>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</si>
  <si>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</si>
  <si>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</si>
  <si>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</si>
  <si>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</si>
  <si>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</si>
  <si>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</si>
  <si>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</si>
  <si>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</si>
  <si>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</si>
  <si>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</si>
  <si>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</si>
  <si>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</si>
  <si>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</si>
  <si>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</si>
  <si>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</si>
  <si>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</si>
  <si>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</si>
  <si>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</si>
  <si>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</si>
  <si>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</si>
  <si>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</si>
  <si>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</si>
  <si>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</si>
  <si>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</si>
  <si>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</si>
  <si>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</si>
  <si>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</si>
  <si>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</si>
  <si>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</si>
  <si>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</si>
  <si>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</si>
  <si>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</si>
  <si>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</si>
  <si>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</si>
  <si>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</si>
  <si>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</si>
  <si>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</si>
  <si>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</si>
  <si>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</si>
  <si>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</si>
  <si>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</si>
  <si>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</si>
  <si>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</si>
  <si>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</si>
  <si>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</si>
  <si>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</si>
  <si>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</si>
  <si>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</si>
  <si>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</si>
  <si>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</si>
  <si>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</si>
  <si>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</si>
  <si>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</si>
  <si>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</si>
  <si>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</si>
  <si>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</si>
  <si>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</si>
  <si>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</si>
  <si>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</si>
  <si>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</si>
  <si>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</si>
  <si>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</si>
  <si>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</si>
  <si>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</si>
  <si>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</si>
  <si>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</si>
  <si>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</si>
  <si>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</si>
  <si>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</si>
  <si>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</si>
  <si>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</si>
  <si>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Москва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</si>
  <si>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</si>
  <si>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</si>
  <si>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</si>
  <si>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</si>
  <si>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</si>
  <si>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</si>
  <si>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</si>
  <si>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</si>
  <si>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</si>
  <si>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</si>
  <si>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</si>
  <si>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</si>
  <si>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</si>
  <si>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</si>
  <si>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</si>
  <si>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</si>
  <si>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</si>
  <si>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</si>
  <si>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</si>
  <si>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</si>
  <si>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</si>
  <si>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</si>
  <si>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</si>
  <si>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</si>
  <si>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</si>
  <si>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</si>
  <si>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</si>
  <si>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</si>
  <si>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</si>
  <si>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</si>
  <si>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</si>
  <si>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</si>
  <si>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</si>
  <si>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</si>
  <si>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</si>
  <si>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</si>
  <si>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</si>
  <si>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</si>
  <si>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</si>
  <si>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</si>
  <si>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</si>
  <si>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</si>
  <si>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</si>
  <si>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</si>
  <si>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</si>
  <si>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</si>
  <si>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</si>
  <si>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</si>
  <si>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</si>
  <si>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</si>
  <si>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</si>
  <si>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</si>
  <si>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</si>
  <si>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</si>
  <si>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</si>
  <si>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</si>
  <si>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</si>
  <si>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</si>
  <si>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</si>
  <si>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</si>
  <si>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</si>
  <si>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</si>
  <si>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</si>
  <si>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</si>
  <si>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</si>
  <si>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</si>
  <si>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</si>
  <si>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</si>
  <si>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</si>
  <si>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</si>
  <si>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</si>
  <si>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</si>
  <si>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</si>
  <si>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</si>
  <si>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</si>
  <si>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</si>
  <si>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</si>
  <si>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</si>
  <si>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</si>
  <si>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</si>
  <si>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</si>
  <si>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</si>
  <si>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</si>
  <si>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</si>
  <si>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</si>
  <si>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</si>
  <si>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</si>
  <si>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</si>
  <si>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</si>
  <si>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</si>
  <si>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</si>
  <si>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</si>
  <si>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</si>
  <si>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</si>
  <si>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</si>
  <si>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</si>
  <si>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</si>
  <si>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</si>
  <si>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</si>
  <si>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</si>
  <si>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</si>
  <si>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</si>
  <si>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</si>
  <si>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[Акмолинская род.]</t>
  </si>
  <si>
    <t>[Акмолинская ум.]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</si>
  <si>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</si>
  <si>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</si>
  <si>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</si>
  <si>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</si>
  <si>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</si>
  <si>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</si>
  <si>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</si>
  <si>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 область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</si>
  <si>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</si>
  <si>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</si>
  <si>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</si>
  <si>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</si>
  <si>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</si>
  <si>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</si>
  <si>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</si>
  <si>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</si>
  <si>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</si>
  <si>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</si>
  <si>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</si>
  <si>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</si>
  <si>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</si>
  <si>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</si>
  <si>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р YY</t>
  </si>
  <si>
    <t>с YY</t>
  </si>
  <si>
    <t>v-чж</t>
  </si>
  <si>
    <t>v-чр</t>
  </si>
  <si>
    <t>v-чу</t>
  </si>
  <si>
    <t>vd-чж</t>
  </si>
  <si>
    <t>vd-dр</t>
  </si>
  <si>
    <t>vd-чу</t>
  </si>
  <si>
    <t>v-р</t>
  </si>
  <si>
    <t>v-c</t>
  </si>
  <si>
    <t>vd-р</t>
  </si>
  <si>
    <t>vd-c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</si>
</sst>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</font>
    <font>
      <sz val="10"/>
      <color rgb="FF000000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1"/>
  </cellStyleXfs>
  <cellXfs count="102">
    <xf numFmtId="0" fontId="0" fillId="0" borderId="0" xfId="0" applyBorder="1"/>
    <xf numFmtId="0" fontId="0" fillId="0" borderId="0" xfId="0" applyBorder="1" applyAlignment="1">
      <alignment horizontal="right" vertical="center"/>
    </xf>
    <xf numFmtId="3" fontId="0" fillId="0" borderId="0" xfId="0" applyNumberFormat="1" applyBorder="1" applyAlignment="1">
      <alignment horizontal="right" vertical="center"/>
    </xf>
    <xf numFmtId="3" fontId="0" fillId="0" borderId="0" xfId="0" applyNumberFormat="1" applyBorder="1"/>
    <xf numFmtId="0" fontId="0" fillId="0" borderId="1" xfId="0"/>
    <xf numFmtId="3" fontId="0" fillId="0" borderId="1" xfId="0" applyNumberFormat="1" applyAlignment="1">
      <alignment horizontal="right" vertical="center"/>
    </xf>
    <xf numFmtId="3" fontId="0" fillId="0" borderId="1" xfId="0" applyNumberFormat="1"/>
    <xf numFmtId="3" fontId="0" fillId="0" borderId="1" xfId="0" applyNumberFormat="1" applyAlignment="1">
      <alignment horizontal="righ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3" fontId="0" fillId="0" borderId="1" xfId="0" applyNumberFormat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0" borderId="1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2" borderId="1" xfId="0" applyFill="1" applyAlignment="1">
      <alignment horizontal="left" vertical="center"/>
    </xf>
    <xf numFmtId="3" fontId="0" fillId="2" borderId="1" xfId="0" applyNumberFormat="1" applyFill="1" applyAlignment="1">
      <alignment horizontal="right" vertical="center"/>
    </xf>
    <xf numFmtId="3" fontId="2" fillId="2" borderId="1" xfId="0" applyNumberFormat="1" applyFont="1" applyFill="1" applyAlignment="1">
      <alignment horizontal="right" vertical="center"/>
    </xf>
    <xf numFmtId="0" fontId="0" fillId="2" borderId="1" xfId="0" applyFill="1"/>
    <xf numFmtId="0" fontId="0" fillId="2" borderId="0" xfId="0" applyFill="1" applyBorder="1" applyAlignment="1">
      <alignment horizontal="left" vertical="center"/>
    </xf>
    <xf numFmtId="3" fontId="0" fillId="2" borderId="0" xfId="0" applyNumberFormat="1" applyFill="1" applyBorder="1" applyAlignment="1">
      <alignment horizontal="right" vertical="center"/>
    </xf>
    <xf numFmtId="0" fontId="0" fillId="2" borderId="0" xfId="0" applyFill="1" applyBorder="1"/>
    <xf numFmtId="0" fontId="0" fillId="3" borderId="0" xfId="0" applyFill="1" applyBorder="1" applyAlignment="1">
      <alignment horizontal="left" vertical="center"/>
    </xf>
    <xf numFmtId="3" fontId="0" fillId="3" borderId="0" xfId="0" applyNumberFormat="1" applyFill="1" applyBorder="1" applyAlignment="1">
      <alignment horizontal="right" vertical="center"/>
    </xf>
    <xf numFmtId="0" fontId="0" fillId="3" borderId="0" xfId="0" applyFill="1" applyBorder="1"/>
    <xf numFmtId="0" fontId="0" fillId="3" borderId="1" xfId="0" applyFill="1" applyAlignment="1">
      <alignment horizontal="left" vertical="center"/>
    </xf>
    <xf numFmtId="3" fontId="0" fillId="3" borderId="1" xfId="0" applyNumberFormat="1" applyFill="1" applyAlignment="1">
      <alignment horizontal="right" vertical="center"/>
    </xf>
    <xf numFmtId="0" fontId="0" fillId="3" borderId="1" xfId="0" applyFill="1"/>
    <xf numFmtId="0" fontId="0" fillId="2" borderId="1" xfId="0" applyFill="1" applyAlignment="1">
      <alignment horizontal="left"/>
    </xf>
    <xf numFmtId="3" fontId="0" fillId="2" borderId="1" xfId="0" applyNumberFormat="1" applyFill="1" applyAlignment="1">
      <alignment horizontal="right"/>
    </xf>
    <xf numFmtId="3" fontId="0" fillId="2" borderId="1" xfId="0" applyNumberFormat="1" applyFill="1" applyAlignment="1">
      <alignment horizontal="center" vertical="center"/>
    </xf>
    <xf numFmtId="3" fontId="0" fillId="2" borderId="1" xfId="0" applyNumberFormat="1" applyFill="1"/>
    <xf numFmtId="3" fontId="0" fillId="3" borderId="1" xfId="0" applyNumberFormat="1" applyFill="1" applyAlignment="1">
      <alignment horizontal="right"/>
    </xf>
    <xf numFmtId="0" fontId="0" fillId="4" borderId="0" xfId="0" applyFill="1" applyBorder="1" applyAlignment="1">
      <alignment horizontal="left" vertical="center"/>
    </xf>
    <xf numFmtId="3" fontId="0" fillId="4" borderId="0" xfId="0" applyNumberFormat="1" applyFill="1" applyBorder="1" applyAlignment="1">
      <alignment horizontal="right" vertical="center"/>
    </xf>
    <xf numFmtId="0" fontId="0" fillId="5" borderId="0" xfId="0" applyFill="1" applyBorder="1" applyAlignment="1">
      <alignment horizontal="left" vertical="center"/>
    </xf>
    <xf numFmtId="3" fontId="0" fillId="5" borderId="0" xfId="0" applyNumberFormat="1" applyFill="1" applyBorder="1" applyAlignment="1">
      <alignment horizontal="right" vertical="center"/>
    </xf>
    <xf numFmtId="0" fontId="0" fillId="6" borderId="1" xfId="0" applyFill="1" applyAlignment="1">
      <alignment horizontal="left"/>
    </xf>
    <xf numFmtId="3" fontId="0" fillId="6" borderId="1" xfId="0" applyNumberFormat="1" applyFill="1" applyAlignment="1">
      <alignment horizontal="right" vertical="center"/>
    </xf>
    <xf numFmtId="3" fontId="0" fillId="6" borderId="1" xfId="0" applyNumberFormat="1" applyFill="1" applyAlignment="1">
      <alignment horizontal="center" vertical="center"/>
    </xf>
    <xf numFmtId="3" fontId="0" fillId="6" borderId="1" xfId="0" applyNumberFormat="1" applyFill="1" applyAlignment="1">
      <alignment horizontal="right"/>
    </xf>
    <xf numFmtId="0" fontId="0" fillId="6" borderId="1" xfId="0" applyFill="1"/>
    <xf numFmtId="3" fontId="0" fillId="7" borderId="1" xfId="0" applyNumberFormat="1" applyFill="1" applyAlignment="1">
      <alignment horizontal="right" vertical="center"/>
    </xf>
    <xf numFmtId="0" fontId="0" fillId="7" borderId="1" xfId="0" applyFill="1"/>
    <xf numFmtId="0" fontId="0" fillId="8" borderId="0" xfId="0" applyFill="1" applyBorder="1" applyAlignment="1">
      <alignment horizontal="left"/>
    </xf>
    <xf numFmtId="3" fontId="0" fillId="8" borderId="0" xfId="0" applyNumberFormat="1" applyFill="1" applyBorder="1"/>
    <xf numFmtId="3" fontId="0" fillId="8" borderId="0" xfId="0" applyNumberFormat="1" applyFill="1" applyBorder="1" applyAlignment="1">
      <alignment horizontal="center" vertical="center"/>
    </xf>
    <xf numFmtId="0" fontId="0" fillId="9" borderId="0" xfId="0" applyFill="1" applyBorder="1" applyAlignment="1">
      <alignment horizontal="center"/>
    </xf>
    <xf numFmtId="3" fontId="0" fillId="9" borderId="0" xfId="0" applyNumberFormat="1" applyFill="1" applyBorder="1"/>
    <xf numFmtId="3" fontId="0" fillId="9" borderId="0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/>
    <xf numFmtId="164" fontId="0" fillId="0" borderId="1" xfId="0" applyNumberFormat="1" applyBorder="1" applyAlignment="1">
      <alignment horizontal="right" vertical="center"/>
    </xf>
    <xf numFmtId="164" fontId="0" fillId="2" borderId="1" xfId="0" applyNumberFormat="1" applyFill="1" applyAlignment="1">
      <alignment horizontal="right" vertical="center"/>
    </xf>
    <xf numFmtId="164" fontId="0" fillId="2" borderId="1" xfId="0" applyNumberFormat="1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0" borderId="1" xfId="0" applyNumberFormat="1" applyAlignment="1">
      <alignment horizontal="right" vertical="center"/>
    </xf>
    <xf numFmtId="164" fontId="0" fillId="3" borderId="1" xfId="0" applyNumberFormat="1" applyFill="1" applyAlignment="1">
      <alignment horizontal="right" vertical="center"/>
    </xf>
    <xf numFmtId="164" fontId="0" fillId="0" borderId="1" xfId="0" applyNumberFormat="1" applyAlignment="1">
      <alignment horizontal="right"/>
    </xf>
    <xf numFmtId="164" fontId="0" fillId="2" borderId="1" xfId="0" applyNumberFormat="1" applyFill="1" applyAlignment="1">
      <alignment horizontal="right"/>
    </xf>
    <xf numFmtId="164" fontId="0" fillId="3" borderId="1" xfId="0" applyNumberFormat="1" applyFill="1" applyAlignment="1">
      <alignment horizontal="right"/>
    </xf>
    <xf numFmtId="164" fontId="0" fillId="4" borderId="1" xfId="0" applyNumberForma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164" fontId="0" fillId="6" borderId="1" xfId="0" applyNumberFormat="1" applyFill="1" applyAlignment="1">
      <alignment horizontal="center" vertical="center"/>
    </xf>
    <xf numFmtId="164" fontId="0" fillId="6" borderId="1" xfId="0" applyNumberFormat="1" applyFill="1" applyAlignment="1">
      <alignment horizontal="right" vertical="center"/>
    </xf>
    <xf numFmtId="164" fontId="0" fillId="7" borderId="1" xfId="0" applyNumberFormat="1" applyFill="1" applyAlignment="1">
      <alignment horizontal="right" vertical="center"/>
    </xf>
    <xf numFmtId="164" fontId="0" fillId="8" borderId="1" xfId="0" applyNumberFormat="1" applyFill="1" applyBorder="1"/>
    <xf numFmtId="164" fontId="0" fillId="0" borderId="1" xfId="0" applyNumberFormat="1" applyBorder="1"/>
    <xf numFmtId="164" fontId="0" fillId="8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/>
    <xf numFmtId="164" fontId="0" fillId="9" borderId="1" xfId="0" applyNumberFormat="1" applyFill="1" applyBorder="1" applyAlignment="1">
      <alignment horizontal="right" vertical="center"/>
    </xf>
    <xf numFmtId="0" fontId="0" fillId="7" borderId="1" xfId="0" applyFill="1" applyAlignment="1">
      <alignment horizontal="left" vertical="center"/>
    </xf>
    <xf numFmtId="0" fontId="0" fillId="9" borderId="0" xfId="0" applyFill="1" applyBorder="1" applyAlignment="1">
      <alignment horizontal="left"/>
    </xf>
    <xf numFmtId="164" fontId="0" fillId="8" borderId="1" xfId="0" applyNumberForma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right" vertical="center"/>
    </xf>
    <xf numFmtId="3" fontId="0" fillId="0" borderId="1" xfId="0" applyNumberFormat="1" applyFill="1" applyAlignment="1">
      <alignment horizontal="right" vertical="center"/>
    </xf>
    <xf numFmtId="0" fontId="0" fillId="0" borderId="1" xfId="0" applyFill="1"/>
    <xf numFmtId="3" fontId="0" fillId="0" borderId="1" xfId="0" applyNumberFormat="1" applyFill="1" applyAlignment="1">
      <alignment horizontal="right"/>
    </xf>
    <xf numFmtId="3" fontId="0" fillId="0" borderId="1" xfId="0" applyNumberFormat="1" applyFill="1" applyAlignment="1">
      <alignment horizontal="center" vertical="center"/>
    </xf>
    <xf numFmtId="3" fontId="0" fillId="0" borderId="1" xfId="0" applyNumberFormat="1" applyFill="1" applyBorder="1"/>
    <xf numFmtId="3" fontId="0" fillId="0" borderId="1" xfId="0" applyNumberForma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3" fontId="1" fillId="10" borderId="0" xfId="0" applyNumberFormat="1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3" fontId="1" fillId="10" borderId="0" xfId="0" applyNumberFormat="1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3" fontId="0" fillId="11" borderId="0" xfId="0" applyNumberFormat="1" applyFill="1" applyBorder="1"/>
    <xf numFmtId="164" fontId="0" fillId="11" borderId="0" xfId="0" applyNumberFormat="1" applyFill="1" applyBorder="1"/>
    <xf numFmtId="0" fontId="0" fillId="11" borderId="0" xfId="0" applyFill="1" applyBorder="1" applyAlignment="1">
      <alignment horizontal="right" vertical="center"/>
    </xf>
    <xf numFmtId="0" fontId="0" fillId="11" borderId="1" xfId="0" applyFill="1" applyBorder="1" applyAlignment="1">
      <alignment horizontal="right" vertical="center"/>
    </xf>
    <xf numFmtId="3" fontId="0" fillId="11" borderId="0" xfId="0" applyNumberForma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164" fontId="0" fillId="0" borderId="0" xfId="0" applyNumberFormat="1" applyFill="1" applyBorder="1"/>
    <xf numFmtId="0" fontId="0" fillId="0" borderId="0" xfId="0" applyFill="1" applyBorder="1"/>
    <xf numFmtId="0" fontId="0" fillId="0" borderId="0" xfId="0" applyFill="1" applyBorder="1" applyAlignment="1">
      <alignment horizontal="right" vertical="center"/>
    </xf>
    <xf numFmtId="0" fontId="0" fillId="0" borderId="2" xfId="0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164" fontId="0" fillId="12" borderId="0" xfId="0" applyNumberFormat="1" applyFill="1" applyBorder="1"/>
    <xf numFmtId="3" fontId="0" fillId="12" borderId="0" xfId="0" applyNumberFormat="1" applyFill="1" applyBorder="1"/>
    <xf numFmtId="3" fontId="4" fillId="12" borderId="0" xfId="0" applyNumberFormat="1" applyFont="1" applyFill="1" applyBorder="1" applyAlignment="1">
      <alignment vertical="center"/>
    </xf>
    <xf numFmtId="3" fontId="0" fillId="11" borderId="0" xfId="0" applyNumberFormat="1" applyFill="1" applyBorder="1" applyAlignment="1">
      <alignment horizontal="center"/>
    </xf>
    <xf numFmtId="3" fontId="0" fillId="12" borderId="0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T22" sqref="AT22"/>
    </sheetView>
  </sheetViews>
  <sheetFormatPr defaultColWidth="12" defaultRowHeight="14.4"/>
  <cols>
    <col min="1" max="1" width="31.5234375" style="1" bestFit="1" customWidth="1"/>
    <col min="2" max="2" width="10.62890625" style="2" bestFit="1" customWidth="1"/>
    <col min="3" max="4" width="8.62890625" bestFit="1" customWidth="1"/>
    <col min="5" max="5" width="10.47265625" style="2" bestFit="1" customWidth="1"/>
    <col min="6" max="6" width="8.734375" style="2" bestFit="1" customWidth="1"/>
    <col min="7" max="7" width="8.62890625" style="2" bestFit="1" customWidth="1"/>
    <col min="8" max="8" width="14.5234375" style="2" bestFit="1" customWidth="1"/>
    <col min="9" max="9" width="14.15625" style="2" bestFit="1" customWidth="1"/>
    <col min="10" max="10" width="14.05078125" style="2" bestFit="1" customWidth="1"/>
    <col min="11" max="11" width="4.41796875" style="49" bestFit="1" customWidth="1"/>
    <col min="12" max="12" width="4.15625" style="49" bestFit="1" customWidth="1"/>
    <col min="13" max="13" width="2.62890625" style="74" customWidth="1"/>
    <col min="14" max="15" width="7.15625" style="2" bestFit="1" customWidth="1"/>
    <col min="16" max="17" width="7.15625" bestFit="1" customWidth="1"/>
    <col min="18" max="18" width="7.15625" style="2" bestFit="1" customWidth="1"/>
    <col min="19" max="20" width="7.15625" bestFit="1" customWidth="1"/>
    <col min="21" max="22" width="7.15625" style="2" bestFit="1" customWidth="1"/>
    <col min="23" max="26" width="7.15625" bestFit="1" customWidth="1"/>
    <col min="27" max="27" width="7.15625" style="1" bestFit="1" customWidth="1"/>
    <col min="28" max="28" width="7.15625" bestFit="1" customWidth="1"/>
    <col min="29" max="29" width="2.734375" style="1" customWidth="1"/>
    <col min="30" max="30" width="10.83984375" style="1" customWidth="1"/>
    <col min="31" max="31" width="8.47265625" style="1" customWidth="1"/>
    <col min="32" max="32" width="8.734375" style="1" customWidth="1"/>
    <col min="33" max="33" width="2.7890625" style="94" customWidth="1"/>
    <col min="34" max="34" width="10.3671875" style="1" customWidth="1"/>
    <col min="35" max="35" width="11.26171875" style="1" customWidth="1"/>
    <col min="36" max="36" width="9.5234375" style="1" customWidth="1"/>
    <col min="37" max="37" width="3" style="94" customWidth="1"/>
    <col min="38" max="39" width="4.15625" style="1" bestFit="1" customWidth="1"/>
    <col min="40" max="40" width="3.05078125" style="94" customWidth="1"/>
    <col min="41" max="42" width="7.68359375" style="1" bestFit="1" customWidth="1"/>
    <col min="43" max="16384" width="12" style="1"/>
  </cols>
  <sheetData>
    <row r="1" spans="1:42">
      <c r="A1" s="81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2" t="s">
        <v>6</v>
      </c>
      <c r="H1" s="82" t="s">
        <v>7</v>
      </c>
      <c r="I1" s="82" t="s">
        <v>8</v>
      </c>
      <c r="J1" s="82" t="s">
        <v>9</v>
      </c>
      <c r="K1" s="83" t="s">
        <v>282</v>
      </c>
      <c r="L1" s="83" t="s">
        <v>283</v>
      </c>
      <c r="M1" s="73"/>
      <c r="N1" s="84" t="s">
        <v>10</v>
      </c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D1" s="85" t="s">
        <v>284</v>
      </c>
      <c r="AE1" s="85" t="s">
        <v>285</v>
      </c>
      <c r="AF1" s="85" t="s">
        <v>286</v>
      </c>
      <c r="AH1" s="85" t="s">
        <v>287</v>
      </c>
      <c r="AI1" s="85" t="s">
        <v>288</v>
      </c>
      <c r="AJ1" s="85" t="s">
        <v>289</v>
      </c>
      <c r="AL1" s="85" t="s">
        <v>290</v>
      </c>
      <c r="AM1" s="85" t="s">
        <v>291</v>
      </c>
      <c r="AN1" s="91"/>
      <c r="AO1" s="85" t="s">
        <v>292</v>
      </c>
      <c r="AP1" s="85" t="s">
        <v>293</v>
      </c>
    </row>
    <row r="2" spans="1:42" customFormat="1">
      <c r="A2" s="14" t="s">
        <v>11</v>
      </c>
      <c r="B2" s="15">
        <v>363206</v>
      </c>
      <c r="C2" s="15">
        <v>12924</v>
      </c>
      <c r="D2" s="15">
        <v>9524</v>
      </c>
      <c r="E2" s="16">
        <v>17626</v>
      </c>
      <c r="F2" s="15">
        <v>571</v>
      </c>
      <c r="G2" s="15">
        <v>672</v>
      </c>
      <c r="H2" s="16">
        <v>350367</v>
      </c>
      <c r="I2" s="15">
        <v>13637</v>
      </c>
      <c r="J2" s="15">
        <v>8822</v>
      </c>
      <c r="K2" s="52">
        <v>35.6</v>
      </c>
      <c r="L2" s="52">
        <v>26.2</v>
      </c>
      <c r="M2" s="75"/>
      <c r="N2" s="15">
        <v>53900</v>
      </c>
      <c r="O2" s="15">
        <v>60561</v>
      </c>
      <c r="P2" s="15">
        <v>53591</v>
      </c>
      <c r="Q2" s="15">
        <v>40534</v>
      </c>
      <c r="R2" s="15">
        <v>29746</v>
      </c>
      <c r="S2" s="15">
        <v>40645</v>
      </c>
      <c r="T2" s="15">
        <v>84229</v>
      </c>
      <c r="U2" s="17"/>
      <c r="V2" s="17"/>
      <c r="W2" s="17"/>
      <c r="X2" s="17"/>
      <c r="Y2" s="17"/>
      <c r="Z2" s="17"/>
      <c r="AA2" s="17"/>
      <c r="AB2" s="17"/>
      <c r="AD2" s="86">
        <f>SUM(N2:AB2)</f>
        <v>363206</v>
      </c>
      <c r="AE2" s="86">
        <f>SUM(N3:AB3)</f>
        <v>12924</v>
      </c>
      <c r="AF2" s="86">
        <f>SUM(N4:AB4)</f>
        <v>9524</v>
      </c>
      <c r="AG2" s="93"/>
      <c r="AH2" s="86">
        <f>AD2-B2</f>
        <v>0</v>
      </c>
      <c r="AI2" s="86">
        <f>AE2-C2</f>
        <v>0</v>
      </c>
      <c r="AJ2" s="86">
        <f>AF2-D2</f>
        <v>0</v>
      </c>
      <c r="AK2" s="93"/>
      <c r="AL2" s="87">
        <f>C2/B2*1000</f>
        <v>35.583112613778411</v>
      </c>
      <c r="AM2" s="87">
        <f>D2/B2*1000</f>
        <v>26.222033776975049</v>
      </c>
      <c r="AN2" s="92"/>
      <c r="AO2" s="87">
        <f>AL2-K2</f>
        <v>-1.6887386221590361E-2</v>
      </c>
      <c r="AP2" s="87">
        <f>AM2-L2</f>
        <v>2.2033776975050046E-2</v>
      </c>
    </row>
    <row r="3" spans="1:42" customFormat="1">
      <c r="A3" s="12" t="s">
        <v>12</v>
      </c>
      <c r="B3" s="4"/>
      <c r="C3" s="4"/>
      <c r="D3" s="4"/>
      <c r="E3" s="4"/>
      <c r="F3" s="4"/>
      <c r="G3" s="4"/>
      <c r="H3" s="4"/>
      <c r="I3" s="4"/>
      <c r="J3" s="4"/>
      <c r="K3" s="50"/>
      <c r="L3" s="50"/>
      <c r="M3" s="76"/>
      <c r="N3" s="5">
        <v>1871</v>
      </c>
      <c r="O3" s="5">
        <v>1386</v>
      </c>
      <c r="P3" s="5">
        <v>2465</v>
      </c>
      <c r="Q3" s="5">
        <v>1491</v>
      </c>
      <c r="R3" s="5">
        <v>1138</v>
      </c>
      <c r="S3" s="5">
        <v>1433</v>
      </c>
      <c r="T3" s="5">
        <v>3140</v>
      </c>
      <c r="U3" s="4"/>
      <c r="V3" s="4"/>
      <c r="W3" s="4"/>
      <c r="X3" s="4"/>
      <c r="Y3" s="4"/>
      <c r="Z3" s="4"/>
      <c r="AA3" s="4"/>
      <c r="AB3" s="4"/>
      <c r="AG3" s="93"/>
      <c r="AK3" s="93"/>
      <c r="AN3" s="93"/>
    </row>
    <row r="4" spans="1:42" customFormat="1">
      <c r="A4" s="12" t="s">
        <v>13</v>
      </c>
      <c r="B4" s="4"/>
      <c r="C4" s="4"/>
      <c r="D4" s="4"/>
      <c r="E4" s="4"/>
      <c r="F4" s="4"/>
      <c r="G4" s="4"/>
      <c r="H4" s="4"/>
      <c r="I4" s="4"/>
      <c r="J4" s="4"/>
      <c r="K4" s="50"/>
      <c r="L4" s="50"/>
      <c r="M4" s="76"/>
      <c r="N4" s="5">
        <v>1682</v>
      </c>
      <c r="O4" s="5">
        <v>1172</v>
      </c>
      <c r="P4" s="5">
        <v>1634</v>
      </c>
      <c r="Q4" s="5">
        <v>1009</v>
      </c>
      <c r="R4" s="5">
        <v>793</v>
      </c>
      <c r="S4" s="5">
        <v>968</v>
      </c>
      <c r="T4" s="5">
        <v>2266</v>
      </c>
      <c r="U4" s="4"/>
      <c r="V4" s="4"/>
      <c r="W4" s="4"/>
      <c r="X4" s="4"/>
      <c r="Y4" s="4"/>
      <c r="Z4" s="4"/>
      <c r="AA4" s="4"/>
      <c r="AB4" s="4"/>
      <c r="AG4" s="93"/>
      <c r="AK4" s="93"/>
      <c r="AN4" s="93"/>
    </row>
    <row r="5" spans="1:42" customFormat="1">
      <c r="A5" s="14" t="s">
        <v>14</v>
      </c>
      <c r="B5" s="15">
        <v>923941</v>
      </c>
      <c r="C5" s="15">
        <v>31603</v>
      </c>
      <c r="D5" s="15">
        <v>44844</v>
      </c>
      <c r="E5" s="16">
        <v>119717</v>
      </c>
      <c r="F5" s="15">
        <v>5205</v>
      </c>
      <c r="G5" s="15">
        <v>10602</v>
      </c>
      <c r="H5" s="16">
        <v>873326</v>
      </c>
      <c r="I5" s="15">
        <v>28600</v>
      </c>
      <c r="J5" s="15">
        <v>20723</v>
      </c>
      <c r="K5" s="52">
        <v>54.2</v>
      </c>
      <c r="L5" s="52">
        <v>78.400000000000006</v>
      </c>
      <c r="M5" s="75"/>
      <c r="N5" s="15">
        <v>163328</v>
      </c>
      <c r="O5" s="15">
        <v>66376</v>
      </c>
      <c r="P5" s="15">
        <v>34247</v>
      </c>
      <c r="Q5" s="15">
        <v>89415</v>
      </c>
      <c r="R5" s="15">
        <v>178439</v>
      </c>
      <c r="S5" s="15">
        <v>134206</v>
      </c>
      <c r="T5" s="15">
        <v>257930</v>
      </c>
      <c r="U5" s="17"/>
      <c r="V5" s="17"/>
      <c r="W5" s="17"/>
      <c r="X5" s="17"/>
      <c r="Y5" s="17"/>
      <c r="Z5" s="17"/>
      <c r="AA5" s="17"/>
      <c r="AB5" s="17"/>
      <c r="AD5" s="86">
        <f>SUM(N5:AB5)</f>
        <v>923941</v>
      </c>
      <c r="AE5" s="86">
        <f>SUM(N6:AB6)</f>
        <v>31603</v>
      </c>
      <c r="AF5" s="86">
        <f>SUM(N7:AB7)</f>
        <v>44844</v>
      </c>
      <c r="AG5" s="93"/>
      <c r="AH5" s="86">
        <f>AD5-B5</f>
        <v>0</v>
      </c>
      <c r="AI5" s="86">
        <f>AE5-C5</f>
        <v>0</v>
      </c>
      <c r="AJ5" s="86">
        <f>AF5-D5</f>
        <v>0</v>
      </c>
      <c r="AK5" s="93"/>
      <c r="AL5" s="87">
        <f>C5/B5*1000</f>
        <v>34.204565010103458</v>
      </c>
      <c r="AM5" s="87">
        <f>D5/B5*1000</f>
        <v>48.535566664971029</v>
      </c>
      <c r="AN5" s="92"/>
      <c r="AO5" s="87">
        <f>AL5-K5</f>
        <v>-19.995434989896545</v>
      </c>
      <c r="AP5" s="87">
        <f>AM5-L5</f>
        <v>-29.864433335028977</v>
      </c>
    </row>
    <row r="6" spans="1:42" customFormat="1">
      <c r="A6" s="12" t="s">
        <v>15</v>
      </c>
      <c r="B6" s="4"/>
      <c r="C6" s="4"/>
      <c r="D6" s="4"/>
      <c r="E6" s="4"/>
      <c r="F6" s="4"/>
      <c r="G6" s="4"/>
      <c r="H6" s="4"/>
      <c r="I6" s="4"/>
      <c r="J6" s="4"/>
      <c r="K6" s="50"/>
      <c r="L6" s="50"/>
      <c r="M6" s="76"/>
      <c r="N6" s="5">
        <v>7864</v>
      </c>
      <c r="O6" s="5">
        <v>3115</v>
      </c>
      <c r="P6" s="5">
        <v>1996</v>
      </c>
      <c r="Q6" s="5">
        <v>5116</v>
      </c>
      <c r="R6" s="5">
        <v>10707</v>
      </c>
      <c r="S6" s="10" t="s">
        <v>16</v>
      </c>
      <c r="T6" s="5">
        <v>2805</v>
      </c>
      <c r="U6" s="4"/>
      <c r="V6" s="4"/>
      <c r="W6" s="4"/>
      <c r="X6" s="4"/>
      <c r="Y6" s="4"/>
      <c r="Z6" s="4"/>
      <c r="AA6" s="4"/>
      <c r="AB6" s="4"/>
      <c r="AG6" s="93"/>
      <c r="AK6" s="93"/>
      <c r="AN6" s="93"/>
    </row>
    <row r="7" spans="1:42" customFormat="1">
      <c r="A7" s="12" t="s">
        <v>17</v>
      </c>
      <c r="B7" s="4"/>
      <c r="C7" s="4"/>
      <c r="D7" s="4"/>
      <c r="E7" s="4"/>
      <c r="F7" s="4"/>
      <c r="G7" s="4"/>
      <c r="H7" s="4"/>
      <c r="I7" s="4"/>
      <c r="J7" s="4"/>
      <c r="K7" s="50"/>
      <c r="L7" s="50"/>
      <c r="M7" s="76"/>
      <c r="N7" s="5">
        <v>14566</v>
      </c>
      <c r="O7" s="5">
        <v>4417</v>
      </c>
      <c r="P7" s="5">
        <v>2860</v>
      </c>
      <c r="Q7" s="5">
        <v>6173</v>
      </c>
      <c r="R7" s="5">
        <v>13592</v>
      </c>
      <c r="S7" s="10" t="s">
        <v>16</v>
      </c>
      <c r="T7" s="5">
        <v>3236</v>
      </c>
      <c r="U7" s="4"/>
      <c r="V7" s="4"/>
      <c r="W7" s="4"/>
      <c r="X7" s="4"/>
      <c r="Y7" s="4"/>
      <c r="Z7" s="4"/>
      <c r="AA7" s="4"/>
      <c r="AB7" s="4"/>
      <c r="AG7" s="93"/>
      <c r="AK7" s="93"/>
      <c r="AN7" s="93"/>
    </row>
    <row r="8" spans="1:42" customFormat="1">
      <c r="A8" s="14" t="s">
        <v>18</v>
      </c>
      <c r="B8" s="15">
        <v>1373416</v>
      </c>
      <c r="C8" s="15">
        <v>57379</v>
      </c>
      <c r="D8" s="15">
        <v>41040</v>
      </c>
      <c r="E8" s="16">
        <v>144905</v>
      </c>
      <c r="F8" s="15">
        <v>5214</v>
      </c>
      <c r="G8" s="15">
        <v>4618</v>
      </c>
      <c r="H8" s="16">
        <v>1339861</v>
      </c>
      <c r="I8" s="15">
        <v>56361</v>
      </c>
      <c r="J8" s="15">
        <v>34040</v>
      </c>
      <c r="K8" s="52">
        <v>41.8</v>
      </c>
      <c r="L8" s="52">
        <v>29.9</v>
      </c>
      <c r="M8" s="75"/>
      <c r="N8" s="15">
        <v>303868</v>
      </c>
      <c r="O8" s="15">
        <v>200903</v>
      </c>
      <c r="P8" s="15">
        <v>183164</v>
      </c>
      <c r="Q8" s="15">
        <v>177512</v>
      </c>
      <c r="R8" s="15">
        <v>210047</v>
      </c>
      <c r="S8" s="15">
        <v>158814</v>
      </c>
      <c r="T8" s="15">
        <v>139108</v>
      </c>
      <c r="U8" s="17"/>
      <c r="V8" s="17"/>
      <c r="W8" s="17"/>
      <c r="X8" s="17"/>
      <c r="Y8" s="17"/>
      <c r="Z8" s="17"/>
      <c r="AA8" s="17"/>
      <c r="AB8" s="17"/>
      <c r="AD8" s="86">
        <f>SUM(N8:AB8)</f>
        <v>1373416</v>
      </c>
      <c r="AE8" s="86">
        <f>SUM(N9:AB9)</f>
        <v>57379</v>
      </c>
      <c r="AF8" s="86">
        <f>SUM(N10:AB10)</f>
        <v>41040</v>
      </c>
      <c r="AG8" s="93"/>
      <c r="AH8" s="86">
        <f>AD8-B8</f>
        <v>0</v>
      </c>
      <c r="AI8" s="86">
        <f>AE8-C8</f>
        <v>0</v>
      </c>
      <c r="AJ8" s="86">
        <f>AF8-D8</f>
        <v>0</v>
      </c>
      <c r="AK8" s="93"/>
      <c r="AL8" s="87">
        <f>C8/B8*1000</f>
        <v>41.778310431799248</v>
      </c>
      <c r="AM8" s="87">
        <f>D8/B8*1000</f>
        <v>29.881696441573421</v>
      </c>
      <c r="AN8" s="92"/>
      <c r="AO8" s="87">
        <f>AL8-K8</f>
        <v>-2.1689568200748965E-2</v>
      </c>
      <c r="AP8" s="87">
        <f>AM8-L8</f>
        <v>-1.8303558426577382E-2</v>
      </c>
    </row>
    <row r="9" spans="1:42" customFormat="1">
      <c r="A9" s="12" t="s">
        <v>19</v>
      </c>
      <c r="B9" s="4"/>
      <c r="C9" s="4"/>
      <c r="D9" s="4"/>
      <c r="E9" s="4"/>
      <c r="F9" s="4"/>
      <c r="G9" s="4"/>
      <c r="H9" s="4"/>
      <c r="I9" s="4"/>
      <c r="J9" s="4"/>
      <c r="K9" s="50"/>
      <c r="L9" s="50"/>
      <c r="M9" s="76"/>
      <c r="N9" s="5">
        <v>12073</v>
      </c>
      <c r="O9" s="5">
        <v>8131</v>
      </c>
      <c r="P9" s="5">
        <v>7438</v>
      </c>
      <c r="Q9" s="5">
        <v>7954</v>
      </c>
      <c r="R9" s="5">
        <v>8396</v>
      </c>
      <c r="S9" s="5">
        <v>6475</v>
      </c>
      <c r="T9" s="5">
        <v>6912</v>
      </c>
      <c r="U9" s="4"/>
      <c r="V9" s="4"/>
      <c r="W9" s="4"/>
      <c r="X9" s="4"/>
      <c r="Y9" s="4"/>
      <c r="Z9" s="4"/>
      <c r="AA9" s="4"/>
      <c r="AB9" s="4"/>
      <c r="AG9" s="93"/>
      <c r="AK9" s="93"/>
      <c r="AN9" s="93"/>
    </row>
    <row r="10" spans="1:42" customFormat="1">
      <c r="A10" s="12" t="s">
        <v>20</v>
      </c>
      <c r="B10" s="4"/>
      <c r="C10" s="4"/>
      <c r="D10" s="4"/>
      <c r="E10" s="4"/>
      <c r="F10" s="4"/>
      <c r="G10" s="4"/>
      <c r="H10" s="4"/>
      <c r="I10" s="4"/>
      <c r="J10" s="4"/>
      <c r="K10" s="50"/>
      <c r="L10" s="50"/>
      <c r="M10" s="76"/>
      <c r="N10" s="5">
        <v>8683</v>
      </c>
      <c r="O10" s="5">
        <v>4887</v>
      </c>
      <c r="P10" s="5">
        <v>5469</v>
      </c>
      <c r="Q10" s="5">
        <v>5364</v>
      </c>
      <c r="R10" s="5">
        <v>6684</v>
      </c>
      <c r="S10" s="5">
        <v>4522</v>
      </c>
      <c r="T10" s="5">
        <v>5431</v>
      </c>
      <c r="U10" s="4"/>
      <c r="V10" s="4"/>
      <c r="W10" s="4"/>
      <c r="X10" s="4"/>
      <c r="Y10" s="4"/>
      <c r="Z10" s="4"/>
      <c r="AA10" s="4"/>
      <c r="AB10" s="4"/>
      <c r="AG10" s="93"/>
      <c r="AK10" s="93"/>
      <c r="AN10" s="93"/>
    </row>
    <row r="11" spans="1:42" customFormat="1">
      <c r="A11" s="14" t="s">
        <v>21</v>
      </c>
      <c r="B11" s="15">
        <v>1396168</v>
      </c>
      <c r="C11" s="15">
        <v>57019</v>
      </c>
      <c r="D11" s="15">
        <v>32864</v>
      </c>
      <c r="E11" s="16">
        <v>220474</v>
      </c>
      <c r="F11" s="15">
        <v>6040</v>
      </c>
      <c r="G11" s="15">
        <v>4064</v>
      </c>
      <c r="H11" s="16">
        <v>1337549</v>
      </c>
      <c r="I11" s="15">
        <v>57785</v>
      </c>
      <c r="J11" s="15">
        <v>32991</v>
      </c>
      <c r="K11" s="52">
        <v>40.700000000000003</v>
      </c>
      <c r="L11" s="52">
        <v>23.5</v>
      </c>
      <c r="M11" s="75"/>
      <c r="N11" s="15">
        <v>153539</v>
      </c>
      <c r="O11" s="15">
        <v>103549</v>
      </c>
      <c r="P11" s="15">
        <v>102224</v>
      </c>
      <c r="Q11" s="15">
        <v>228236</v>
      </c>
      <c r="R11" s="15">
        <v>85042</v>
      </c>
      <c r="S11" s="15">
        <v>143886</v>
      </c>
      <c r="T11" s="15">
        <v>123160</v>
      </c>
      <c r="U11" s="15">
        <v>107173</v>
      </c>
      <c r="V11" s="15">
        <v>123483</v>
      </c>
      <c r="W11" s="15">
        <v>129667</v>
      </c>
      <c r="X11" s="15">
        <v>96209</v>
      </c>
      <c r="Y11" s="17"/>
      <c r="Z11" s="17"/>
      <c r="AA11" s="17"/>
      <c r="AB11" s="17"/>
      <c r="AD11" s="86">
        <f>SUM(N11:AB11)</f>
        <v>1396168</v>
      </c>
      <c r="AE11" s="86">
        <f>SUM(N12:AB12)</f>
        <v>57019</v>
      </c>
      <c r="AF11" s="86">
        <f>SUM(N13:AB13)</f>
        <v>32864</v>
      </c>
      <c r="AG11" s="93"/>
      <c r="AH11" s="86">
        <f>AD11-B11</f>
        <v>0</v>
      </c>
      <c r="AI11" s="86">
        <f>AE11-C11</f>
        <v>0</v>
      </c>
      <c r="AJ11" s="86">
        <f>AF11-D11</f>
        <v>0</v>
      </c>
      <c r="AK11" s="93"/>
      <c r="AL11" s="87">
        <f>C11/B11*1000</f>
        <v>40.839641074713072</v>
      </c>
      <c r="AM11" s="87">
        <f>D11/B11*1000</f>
        <v>23.538714538651508</v>
      </c>
      <c r="AN11" s="92"/>
      <c r="AO11" s="87">
        <f>AL11-K11</f>
        <v>0.13964107471306875</v>
      </c>
      <c r="AP11" s="87">
        <f>AM11-L11</f>
        <v>3.8714538651507979E-2</v>
      </c>
    </row>
    <row r="12" spans="1:42" customFormat="1">
      <c r="A12" s="12" t="s">
        <v>22</v>
      </c>
      <c r="B12" s="4"/>
      <c r="C12" s="4"/>
      <c r="D12" s="4"/>
      <c r="E12" s="4"/>
      <c r="F12" s="4"/>
      <c r="G12" s="4"/>
      <c r="H12" s="4"/>
      <c r="I12" s="4"/>
      <c r="J12" s="4"/>
      <c r="K12" s="50"/>
      <c r="L12" s="50"/>
      <c r="M12" s="76"/>
      <c r="N12" s="5">
        <v>6337</v>
      </c>
      <c r="O12" s="5">
        <v>4824</v>
      </c>
      <c r="P12" s="5">
        <v>4972</v>
      </c>
      <c r="Q12" s="5">
        <v>6617</v>
      </c>
      <c r="R12" s="5">
        <v>4077</v>
      </c>
      <c r="S12" s="5">
        <v>6668</v>
      </c>
      <c r="T12" s="5">
        <v>4792</v>
      </c>
      <c r="U12" s="5">
        <v>5021</v>
      </c>
      <c r="V12" s="5">
        <v>5603</v>
      </c>
      <c r="W12" s="5">
        <v>3992</v>
      </c>
      <c r="X12" s="5">
        <v>4116</v>
      </c>
      <c r="Y12" s="4"/>
      <c r="Z12" s="4"/>
      <c r="AA12" s="4"/>
      <c r="AB12" s="4"/>
      <c r="AG12" s="93"/>
      <c r="AK12" s="93"/>
      <c r="AN12" s="93"/>
    </row>
    <row r="13" spans="1:42" customFormat="1">
      <c r="A13" s="12" t="s">
        <v>23</v>
      </c>
      <c r="B13" s="4"/>
      <c r="C13" s="4"/>
      <c r="D13" s="4"/>
      <c r="E13" s="4"/>
      <c r="F13" s="4"/>
      <c r="G13" s="4"/>
      <c r="H13" s="4"/>
      <c r="I13" s="4"/>
      <c r="J13" s="4"/>
      <c r="K13" s="50"/>
      <c r="L13" s="50"/>
      <c r="M13" s="76"/>
      <c r="N13" s="5">
        <v>3516</v>
      </c>
      <c r="O13" s="5">
        <v>2744</v>
      </c>
      <c r="P13" s="5">
        <v>2973</v>
      </c>
      <c r="Q13" s="5">
        <v>4218</v>
      </c>
      <c r="R13" s="5">
        <v>2348</v>
      </c>
      <c r="S13" s="5">
        <v>4032</v>
      </c>
      <c r="T13" s="5">
        <v>2688</v>
      </c>
      <c r="U13" s="5">
        <v>2779</v>
      </c>
      <c r="V13" s="5">
        <v>3004</v>
      </c>
      <c r="W13" s="5">
        <v>2331</v>
      </c>
      <c r="X13" s="5">
        <v>2231</v>
      </c>
      <c r="Y13" s="4"/>
      <c r="Z13" s="4"/>
      <c r="AA13" s="4"/>
      <c r="AB13" s="4"/>
      <c r="AG13" s="93"/>
      <c r="AK13" s="93"/>
      <c r="AN13" s="93"/>
    </row>
    <row r="14" spans="1:42" customFormat="1">
      <c r="A14" s="14" t="s">
        <v>24</v>
      </c>
      <c r="B14" s="15">
        <v>2492805</v>
      </c>
      <c r="C14" s="15">
        <v>121863</v>
      </c>
      <c r="D14" s="15">
        <v>78923</v>
      </c>
      <c r="E14" s="16">
        <v>194754</v>
      </c>
      <c r="F14" s="15">
        <v>6867</v>
      </c>
      <c r="G14" s="15">
        <v>5099</v>
      </c>
      <c r="H14" s="16">
        <v>2352783</v>
      </c>
      <c r="I14" s="15">
        <v>121494</v>
      </c>
      <c r="J14" s="15">
        <v>75671</v>
      </c>
      <c r="K14" s="52">
        <v>48.9</v>
      </c>
      <c r="L14" s="52">
        <v>31</v>
      </c>
      <c r="M14" s="75"/>
      <c r="N14" s="15">
        <v>344070</v>
      </c>
      <c r="O14" s="15">
        <v>218400</v>
      </c>
      <c r="P14" s="15">
        <v>169668</v>
      </c>
      <c r="Q14" s="15">
        <v>177803</v>
      </c>
      <c r="R14" s="15">
        <v>189485</v>
      </c>
      <c r="S14" s="15">
        <v>188979</v>
      </c>
      <c r="T14" s="15">
        <v>195445</v>
      </c>
      <c r="U14" s="15">
        <v>269356</v>
      </c>
      <c r="V14" s="15">
        <v>184080</v>
      </c>
      <c r="W14" s="15">
        <v>158193</v>
      </c>
      <c r="X14" s="15">
        <v>220641</v>
      </c>
      <c r="Y14" s="15">
        <v>176685</v>
      </c>
      <c r="Z14" s="17"/>
      <c r="AA14" s="17"/>
      <c r="AB14" s="17"/>
      <c r="AD14" s="86">
        <f>SUM(N14:AB14)</f>
        <v>2492805</v>
      </c>
      <c r="AE14" s="86">
        <f>SUM(N15:AB15)</f>
        <v>122463</v>
      </c>
      <c r="AF14" s="86">
        <f>SUM(N16:AB16)</f>
        <v>78923</v>
      </c>
      <c r="AG14" s="93"/>
      <c r="AH14" s="86">
        <f>AD14-B14</f>
        <v>0</v>
      </c>
      <c r="AI14" s="86">
        <f>AE14-C14</f>
        <v>600</v>
      </c>
      <c r="AJ14" s="86">
        <f>AF14-D14</f>
        <v>0</v>
      </c>
      <c r="AK14" s="93"/>
      <c r="AL14" s="87">
        <f>C14/B14*1000</f>
        <v>48.885893601785938</v>
      </c>
      <c r="AM14" s="87">
        <f>D14/B14*1000</f>
        <v>31.660318396344678</v>
      </c>
      <c r="AN14" s="92"/>
      <c r="AO14" s="87">
        <f>AL14-K14</f>
        <v>-1.4106398214060789E-2</v>
      </c>
      <c r="AP14" s="87">
        <f>AM14-L14</f>
        <v>0.66031839634467815</v>
      </c>
    </row>
    <row r="15" spans="1:42" customFormat="1">
      <c r="A15" s="12" t="s">
        <v>25</v>
      </c>
      <c r="B15" s="4"/>
      <c r="C15" s="4"/>
      <c r="D15" s="4"/>
      <c r="E15" s="4"/>
      <c r="F15" s="4"/>
      <c r="G15" s="4"/>
      <c r="H15" s="4"/>
      <c r="I15" s="4"/>
      <c r="J15" s="4"/>
      <c r="K15" s="50"/>
      <c r="L15" s="50"/>
      <c r="M15" s="76"/>
      <c r="N15" s="5">
        <v>16927</v>
      </c>
      <c r="O15" s="5">
        <v>10899</v>
      </c>
      <c r="P15" s="5">
        <v>7663</v>
      </c>
      <c r="Q15" s="5">
        <v>9040</v>
      </c>
      <c r="R15" s="5">
        <v>7967</v>
      </c>
      <c r="S15" s="5">
        <v>8910</v>
      </c>
      <c r="T15" s="5">
        <v>10243</v>
      </c>
      <c r="U15" s="5">
        <v>14529</v>
      </c>
      <c r="V15" s="5">
        <v>9315</v>
      </c>
      <c r="W15" s="5">
        <v>7689</v>
      </c>
      <c r="X15" s="5">
        <v>11118</v>
      </c>
      <c r="Y15" s="5">
        <v>8163</v>
      </c>
      <c r="Z15" s="4"/>
      <c r="AA15" s="4"/>
      <c r="AB15" s="4"/>
      <c r="AG15" s="93"/>
      <c r="AK15" s="93"/>
      <c r="AN15" s="93"/>
    </row>
    <row r="16" spans="1:42" customFormat="1">
      <c r="A16" s="12" t="s">
        <v>26</v>
      </c>
      <c r="B16" s="4"/>
      <c r="C16" s="4"/>
      <c r="D16" s="4"/>
      <c r="E16" s="4"/>
      <c r="F16" s="4"/>
      <c r="G16" s="4"/>
      <c r="H16" s="4"/>
      <c r="I16" s="4"/>
      <c r="J16" s="4"/>
      <c r="K16" s="50"/>
      <c r="L16" s="50"/>
      <c r="M16" s="76"/>
      <c r="N16" s="5">
        <v>10580</v>
      </c>
      <c r="O16" s="5">
        <v>8668</v>
      </c>
      <c r="P16" s="5">
        <v>4433</v>
      </c>
      <c r="Q16" s="5">
        <v>7210</v>
      </c>
      <c r="R16" s="5">
        <v>6411</v>
      </c>
      <c r="S16" s="5">
        <v>5808</v>
      </c>
      <c r="T16" s="5">
        <v>5435</v>
      </c>
      <c r="U16" s="5">
        <v>8070</v>
      </c>
      <c r="V16" s="5">
        <v>4979</v>
      </c>
      <c r="W16" s="5">
        <v>4733</v>
      </c>
      <c r="X16" s="5">
        <v>6549</v>
      </c>
      <c r="Y16" s="5">
        <v>6047</v>
      </c>
      <c r="Z16" s="4"/>
      <c r="AA16" s="4"/>
      <c r="AB16" s="4"/>
      <c r="AG16" s="93"/>
      <c r="AK16" s="93"/>
      <c r="AN16" s="93"/>
    </row>
    <row r="17" spans="1:42" customFormat="1">
      <c r="A17" s="14" t="s">
        <v>27</v>
      </c>
      <c r="B17" s="15">
        <v>1532184</v>
      </c>
      <c r="C17" s="15">
        <v>55298</v>
      </c>
      <c r="D17" s="15">
        <v>41420</v>
      </c>
      <c r="E17" s="16">
        <v>221198</v>
      </c>
      <c r="F17" s="15">
        <v>5574</v>
      </c>
      <c r="G17" s="15">
        <v>4246</v>
      </c>
      <c r="H17" s="16">
        <v>1412948</v>
      </c>
      <c r="I17" s="15">
        <v>58549</v>
      </c>
      <c r="J17" s="15">
        <v>38354</v>
      </c>
      <c r="K17" s="52">
        <v>36.1</v>
      </c>
      <c r="L17" s="52">
        <v>27.7</v>
      </c>
      <c r="M17" s="75"/>
      <c r="N17" s="15">
        <v>189017</v>
      </c>
      <c r="O17" s="15">
        <v>200927</v>
      </c>
      <c r="P17" s="15">
        <v>192730</v>
      </c>
      <c r="Q17" s="15">
        <v>191312</v>
      </c>
      <c r="R17" s="15">
        <v>139931</v>
      </c>
      <c r="S17" s="15">
        <v>156289</v>
      </c>
      <c r="T17" s="15">
        <v>134890</v>
      </c>
      <c r="U17" s="15">
        <v>212556</v>
      </c>
      <c r="V17" s="15">
        <v>114532</v>
      </c>
      <c r="W17" s="17"/>
      <c r="X17" s="17"/>
      <c r="Y17" s="17"/>
      <c r="Z17" s="17"/>
      <c r="AA17" s="17"/>
      <c r="AB17" s="17"/>
      <c r="AD17" s="86">
        <f>SUM(N17:AB17)</f>
        <v>1532184</v>
      </c>
      <c r="AE17" s="86">
        <f>SUM(N18:AB18)</f>
        <v>55298</v>
      </c>
      <c r="AF17" s="86">
        <f>SUM(N19:AB19)</f>
        <v>41420</v>
      </c>
      <c r="AG17" s="93"/>
      <c r="AH17" s="86">
        <f>AD17-B17</f>
        <v>0</v>
      </c>
      <c r="AI17" s="86">
        <f>AE17-C17</f>
        <v>0</v>
      </c>
      <c r="AJ17" s="86">
        <f>AF17-D17</f>
        <v>0</v>
      </c>
      <c r="AK17" s="93"/>
      <c r="AL17" s="87">
        <f>C17/B17*1000</f>
        <v>36.090965575936053</v>
      </c>
      <c r="AM17" s="87">
        <f>D17/B17*1000</f>
        <v>27.033306704677766</v>
      </c>
      <c r="AN17" s="92"/>
      <c r="AO17" s="87">
        <f>AL17-K17</f>
        <v>-9.0344240639481654E-3</v>
      </c>
      <c r="AP17" s="87">
        <f>AM17-L17</f>
        <v>-0.66669329532223287</v>
      </c>
    </row>
    <row r="18" spans="1:42" customFormat="1">
      <c r="A18" s="12" t="s">
        <v>28</v>
      </c>
      <c r="B18" s="4"/>
      <c r="C18" s="4"/>
      <c r="D18" s="4"/>
      <c r="E18" s="4"/>
      <c r="F18" s="4"/>
      <c r="G18" s="4"/>
      <c r="H18" s="4"/>
      <c r="I18" s="4"/>
      <c r="J18" s="4"/>
      <c r="K18" s="50"/>
      <c r="L18" s="50"/>
      <c r="M18" s="76"/>
      <c r="N18" s="5">
        <v>5985</v>
      </c>
      <c r="O18" s="5">
        <v>8111</v>
      </c>
      <c r="P18" s="5">
        <v>6067</v>
      </c>
      <c r="Q18" s="5">
        <v>5929</v>
      </c>
      <c r="R18" s="5">
        <v>6116</v>
      </c>
      <c r="S18" s="5">
        <v>6845</v>
      </c>
      <c r="T18" s="5">
        <v>6196</v>
      </c>
      <c r="U18" s="5">
        <v>6585</v>
      </c>
      <c r="V18" s="5">
        <v>3464</v>
      </c>
      <c r="W18" s="4"/>
      <c r="X18" s="4"/>
      <c r="Y18" s="4"/>
      <c r="Z18" s="4"/>
      <c r="AA18" s="4"/>
      <c r="AB18" s="4"/>
      <c r="AG18" s="93"/>
      <c r="AK18" s="93"/>
      <c r="AN18" s="93"/>
    </row>
    <row r="19" spans="1:42" customFormat="1">
      <c r="A19" s="12" t="s">
        <v>29</v>
      </c>
      <c r="B19" s="4"/>
      <c r="C19" s="4"/>
      <c r="D19" s="4"/>
      <c r="E19" s="4"/>
      <c r="F19" s="4"/>
      <c r="G19" s="4"/>
      <c r="H19" s="4"/>
      <c r="I19" s="4"/>
      <c r="J19" s="4"/>
      <c r="K19" s="50"/>
      <c r="L19" s="50"/>
      <c r="M19" s="76"/>
      <c r="N19" s="5">
        <v>5014</v>
      </c>
      <c r="O19" s="5">
        <v>6232</v>
      </c>
      <c r="P19" s="5">
        <v>5038</v>
      </c>
      <c r="Q19" s="5">
        <v>4627</v>
      </c>
      <c r="R19" s="5">
        <v>4499</v>
      </c>
      <c r="S19" s="5">
        <v>4949</v>
      </c>
      <c r="T19" s="5">
        <v>3758</v>
      </c>
      <c r="U19" s="5">
        <v>4103</v>
      </c>
      <c r="V19" s="5">
        <v>3200</v>
      </c>
      <c r="W19" s="4"/>
      <c r="X19" s="4"/>
      <c r="Y19" s="4"/>
      <c r="Z19" s="4"/>
      <c r="AA19" s="4"/>
      <c r="AB19" s="4"/>
      <c r="AG19" s="93"/>
      <c r="AK19" s="93"/>
      <c r="AN19" s="93"/>
    </row>
    <row r="20" spans="1:42" customFormat="1">
      <c r="A20" s="14" t="s">
        <v>30</v>
      </c>
      <c r="B20" s="15">
        <v>3264112</v>
      </c>
      <c r="C20" s="15">
        <v>157731</v>
      </c>
      <c r="D20" s="15">
        <v>119327</v>
      </c>
      <c r="E20" s="16">
        <v>422476</v>
      </c>
      <c r="F20" s="15">
        <v>16088</v>
      </c>
      <c r="G20" s="15">
        <v>13646</v>
      </c>
      <c r="H20" s="16">
        <v>3050816</v>
      </c>
      <c r="I20" s="15">
        <v>157640</v>
      </c>
      <c r="J20" s="15">
        <v>99777</v>
      </c>
      <c r="K20" s="52">
        <v>48.5</v>
      </c>
      <c r="L20" s="52">
        <v>36.6</v>
      </c>
      <c r="M20" s="75"/>
      <c r="N20" s="15">
        <v>438422</v>
      </c>
      <c r="O20" s="15">
        <v>275853</v>
      </c>
      <c r="P20" s="15">
        <v>296273</v>
      </c>
      <c r="Q20" s="15">
        <v>275505</v>
      </c>
      <c r="R20" s="15">
        <v>265987</v>
      </c>
      <c r="S20" s="15">
        <v>214355</v>
      </c>
      <c r="T20" s="15">
        <v>262454</v>
      </c>
      <c r="U20" s="15">
        <v>220964</v>
      </c>
      <c r="V20" s="15">
        <v>234959</v>
      </c>
      <c r="W20" s="15">
        <v>278364</v>
      </c>
      <c r="X20" s="15">
        <v>284628</v>
      </c>
      <c r="Y20" s="15">
        <v>216358</v>
      </c>
      <c r="Z20" s="17"/>
      <c r="AA20" s="17"/>
      <c r="AB20" s="17"/>
      <c r="AD20" s="86">
        <f>SUM(N20:AB20)</f>
        <v>3264122</v>
      </c>
      <c r="AE20" s="86">
        <f>SUM(N21:AB21)</f>
        <v>157731</v>
      </c>
      <c r="AF20" s="86">
        <f>SUM(N22:AB22)</f>
        <v>119327</v>
      </c>
      <c r="AG20" s="93"/>
      <c r="AH20" s="86">
        <f>AD20-B20</f>
        <v>10</v>
      </c>
      <c r="AI20" s="86">
        <f>AE20-C20</f>
        <v>0</v>
      </c>
      <c r="AJ20" s="86">
        <f>AF20-D20</f>
        <v>0</v>
      </c>
      <c r="AK20" s="93"/>
      <c r="AL20" s="87">
        <f>C20/B20*1000</f>
        <v>48.322790394447253</v>
      </c>
      <c r="AM20" s="87">
        <f>D20/B20*1000</f>
        <v>36.557262740984378</v>
      </c>
      <c r="AN20" s="92"/>
      <c r="AO20" s="87">
        <f>AL20-K20</f>
        <v>-0.17720960555274701</v>
      </c>
      <c r="AP20" s="87">
        <f>AM20-L20</f>
        <v>-4.2737259015623863E-2</v>
      </c>
    </row>
    <row r="21" spans="1:42" customFormat="1">
      <c r="A21" s="12" t="s">
        <v>31</v>
      </c>
      <c r="B21" s="4"/>
      <c r="C21" s="4"/>
      <c r="D21" s="4"/>
      <c r="E21" s="4"/>
      <c r="F21" s="4"/>
      <c r="G21" s="4"/>
      <c r="H21" s="4"/>
      <c r="I21" s="4"/>
      <c r="J21" s="4"/>
      <c r="K21" s="50"/>
      <c r="L21" s="50"/>
      <c r="M21" s="76"/>
      <c r="N21" s="5">
        <v>20878</v>
      </c>
      <c r="O21" s="5">
        <v>12173</v>
      </c>
      <c r="P21" s="5">
        <v>14858</v>
      </c>
      <c r="Q21" s="5">
        <v>12783</v>
      </c>
      <c r="R21" s="5">
        <v>12481</v>
      </c>
      <c r="S21" s="5">
        <v>9375</v>
      </c>
      <c r="T21" s="5">
        <v>13393</v>
      </c>
      <c r="U21" s="5">
        <v>11190</v>
      </c>
      <c r="V21" s="5">
        <v>10701</v>
      </c>
      <c r="W21" s="5">
        <v>14545</v>
      </c>
      <c r="X21" s="5">
        <v>14602</v>
      </c>
      <c r="Y21" s="5">
        <v>10752</v>
      </c>
      <c r="Z21" s="4"/>
      <c r="AA21" s="4"/>
      <c r="AB21" s="4"/>
      <c r="AG21" s="93"/>
      <c r="AK21" s="93"/>
      <c r="AN21" s="93"/>
    </row>
    <row r="22" spans="1:42" customFormat="1">
      <c r="A22" s="12" t="s">
        <v>32</v>
      </c>
      <c r="B22" s="4"/>
      <c r="C22" s="4"/>
      <c r="D22" s="4"/>
      <c r="E22" s="4"/>
      <c r="F22" s="4"/>
      <c r="G22" s="4"/>
      <c r="H22" s="4"/>
      <c r="I22" s="4"/>
      <c r="J22" s="4"/>
      <c r="K22" s="50"/>
      <c r="L22" s="50"/>
      <c r="M22" s="76"/>
      <c r="N22" s="5">
        <v>17120</v>
      </c>
      <c r="O22" s="5">
        <v>9923</v>
      </c>
      <c r="P22" s="5">
        <v>11676</v>
      </c>
      <c r="Q22" s="5">
        <v>9529</v>
      </c>
      <c r="R22" s="5">
        <v>9751</v>
      </c>
      <c r="S22" s="5">
        <v>7577</v>
      </c>
      <c r="T22" s="5">
        <v>7950</v>
      </c>
      <c r="U22" s="5">
        <v>8986</v>
      </c>
      <c r="V22" s="5">
        <v>8100</v>
      </c>
      <c r="W22" s="5">
        <v>9896</v>
      </c>
      <c r="X22" s="5">
        <v>11081</v>
      </c>
      <c r="Y22" s="5">
        <v>7738</v>
      </c>
      <c r="Z22" s="4"/>
      <c r="AA22" s="4"/>
      <c r="AB22" s="4"/>
      <c r="AG22" s="93"/>
      <c r="AK22" s="93"/>
      <c r="AN22" s="93"/>
    </row>
    <row r="23" spans="1:42" customFormat="1">
      <c r="A23" s="14" t="s">
        <v>33</v>
      </c>
      <c r="B23" s="15">
        <v>1625836</v>
      </c>
      <c r="C23" s="15">
        <v>53348</v>
      </c>
      <c r="D23" s="15">
        <v>40291</v>
      </c>
      <c r="E23" s="16">
        <v>147791</v>
      </c>
      <c r="F23" s="15">
        <v>3433</v>
      </c>
      <c r="G23" s="15">
        <v>3457</v>
      </c>
      <c r="H23" s="16">
        <v>1571096</v>
      </c>
      <c r="I23" s="15">
        <v>55065</v>
      </c>
      <c r="J23" s="15">
        <v>37408</v>
      </c>
      <c r="K23" s="52">
        <v>32.799999999999997</v>
      </c>
      <c r="L23" s="52">
        <v>24.8</v>
      </c>
      <c r="M23" s="75"/>
      <c r="N23" s="15">
        <v>234754</v>
      </c>
      <c r="O23" s="15">
        <v>241535</v>
      </c>
      <c r="P23" s="15">
        <v>215400</v>
      </c>
      <c r="Q23" s="15">
        <v>227409</v>
      </c>
      <c r="R23" s="15">
        <v>248597</v>
      </c>
      <c r="S23" s="15">
        <v>199709</v>
      </c>
      <c r="T23" s="15">
        <v>258432</v>
      </c>
      <c r="U23" s="17"/>
      <c r="V23" s="17"/>
      <c r="W23" s="17"/>
      <c r="X23" s="17"/>
      <c r="Y23" s="17"/>
      <c r="Z23" s="17"/>
      <c r="AA23" s="17"/>
      <c r="AB23" s="17"/>
      <c r="AD23" s="86">
        <f>SUM(N23:AB23)</f>
        <v>1625836</v>
      </c>
      <c r="AE23" s="86">
        <f>SUM(N24:AB24)</f>
        <v>53348</v>
      </c>
      <c r="AF23" s="86">
        <f>SUM(N25:AB25)</f>
        <v>40291</v>
      </c>
      <c r="AG23" s="93"/>
      <c r="AH23" s="86">
        <f>AD23-B23</f>
        <v>0</v>
      </c>
      <c r="AI23" s="86">
        <f>AE23-C23</f>
        <v>0</v>
      </c>
      <c r="AJ23" s="86">
        <f>AF23-D23</f>
        <v>0</v>
      </c>
      <c r="AK23" s="93"/>
      <c r="AL23" s="87">
        <f>C23/B23*1000</f>
        <v>32.812657611222782</v>
      </c>
      <c r="AM23" s="87">
        <f>D23/B23*1000</f>
        <v>24.781712300625646</v>
      </c>
      <c r="AN23" s="92"/>
      <c r="AO23" s="87">
        <f>AL23-K23</f>
        <v>1.2657611222785192E-2</v>
      </c>
      <c r="AP23" s="87">
        <f>AM23-L23</f>
        <v>-1.8287699374354816E-2</v>
      </c>
    </row>
    <row r="24" spans="1:42" customFormat="1">
      <c r="A24" s="12" t="s">
        <v>34</v>
      </c>
      <c r="B24" s="4"/>
      <c r="C24" s="4"/>
      <c r="D24" s="4"/>
      <c r="E24" s="4"/>
      <c r="F24" s="4"/>
      <c r="G24" s="4"/>
      <c r="H24" s="4"/>
      <c r="I24" s="4"/>
      <c r="J24" s="4"/>
      <c r="K24" s="50"/>
      <c r="L24" s="50"/>
      <c r="M24" s="76"/>
      <c r="N24" s="5">
        <v>7210</v>
      </c>
      <c r="O24" s="5">
        <v>8256</v>
      </c>
      <c r="P24" s="5">
        <v>7116</v>
      </c>
      <c r="Q24" s="5">
        <v>7381</v>
      </c>
      <c r="R24" s="5">
        <v>8403</v>
      </c>
      <c r="S24" s="5">
        <v>7062</v>
      </c>
      <c r="T24" s="5">
        <v>7920</v>
      </c>
      <c r="U24" s="4"/>
      <c r="V24" s="4"/>
      <c r="W24" s="4"/>
      <c r="X24" s="4"/>
      <c r="Y24" s="4"/>
      <c r="Z24" s="4"/>
      <c r="AA24" s="4"/>
      <c r="AB24" s="4"/>
      <c r="AG24" s="93"/>
      <c r="AK24" s="93"/>
      <c r="AN24" s="93"/>
    </row>
    <row r="25" spans="1:42" customFormat="1">
      <c r="A25" s="12" t="s">
        <v>35</v>
      </c>
      <c r="B25" s="4"/>
      <c r="C25" s="4"/>
      <c r="D25" s="4"/>
      <c r="E25" s="4"/>
      <c r="F25" s="4"/>
      <c r="G25" s="4"/>
      <c r="H25" s="4"/>
      <c r="I25" s="4"/>
      <c r="J25" s="4"/>
      <c r="K25" s="50"/>
      <c r="L25" s="50"/>
      <c r="M25" s="76"/>
      <c r="N25" s="5">
        <v>6455</v>
      </c>
      <c r="O25" s="5">
        <v>6341</v>
      </c>
      <c r="P25" s="5">
        <v>4979</v>
      </c>
      <c r="Q25" s="5">
        <v>4708</v>
      </c>
      <c r="R25" s="5">
        <v>7812</v>
      </c>
      <c r="S25" s="5">
        <v>4748</v>
      </c>
      <c r="T25" s="5">
        <v>5248</v>
      </c>
      <c r="U25" s="4"/>
      <c r="V25" s="4"/>
      <c r="W25" s="4"/>
      <c r="X25" s="4"/>
      <c r="Y25" s="4"/>
      <c r="Z25" s="4"/>
      <c r="AA25" s="4"/>
      <c r="AB25" s="4"/>
      <c r="AG25" s="93"/>
      <c r="AK25" s="93"/>
      <c r="AN25" s="93"/>
    </row>
    <row r="26" spans="1:42" customFormat="1">
      <c r="A26" s="14" t="s">
        <v>36</v>
      </c>
      <c r="B26" s="15">
        <v>1879442</v>
      </c>
      <c r="C26" s="15">
        <v>85236</v>
      </c>
      <c r="D26" s="15">
        <v>48679</v>
      </c>
      <c r="E26" s="16">
        <v>251802</v>
      </c>
      <c r="F26" s="15">
        <v>6439</v>
      </c>
      <c r="G26" s="15">
        <v>4558</v>
      </c>
      <c r="H26" s="16">
        <v>1753855</v>
      </c>
      <c r="I26" s="15">
        <v>80835</v>
      </c>
      <c r="J26" s="15">
        <v>45567</v>
      </c>
      <c r="K26" s="52">
        <v>45.4</v>
      </c>
      <c r="L26" s="52">
        <v>26</v>
      </c>
      <c r="M26" s="75"/>
      <c r="N26" s="15">
        <v>237713</v>
      </c>
      <c r="O26" s="15">
        <v>290455</v>
      </c>
      <c r="P26" s="15">
        <v>147617</v>
      </c>
      <c r="Q26" s="15">
        <v>200697</v>
      </c>
      <c r="R26" s="15">
        <v>139124</v>
      </c>
      <c r="S26" s="15">
        <v>236362</v>
      </c>
      <c r="T26" s="15">
        <v>233119</v>
      </c>
      <c r="U26" s="15">
        <v>174929</v>
      </c>
      <c r="V26" s="15">
        <v>219426</v>
      </c>
      <c r="W26" s="17"/>
      <c r="X26" s="17"/>
      <c r="Y26" s="17"/>
      <c r="Z26" s="17"/>
      <c r="AA26" s="17"/>
      <c r="AB26" s="17"/>
      <c r="AD26" s="86">
        <f>SUM(N26:AB26)</f>
        <v>1879442</v>
      </c>
      <c r="AE26" s="86">
        <f>SUM(N27:AB27)</f>
        <v>85236</v>
      </c>
      <c r="AF26" s="86">
        <f>SUM(N28:AB28)</f>
        <v>48679</v>
      </c>
      <c r="AG26" s="93"/>
      <c r="AH26" s="86">
        <f>AD26-B26</f>
        <v>0</v>
      </c>
      <c r="AI26" s="86">
        <f>AE26-C26</f>
        <v>0</v>
      </c>
      <c r="AJ26" s="86">
        <f>AF26-D26</f>
        <v>0</v>
      </c>
      <c r="AK26" s="93"/>
      <c r="AL26" s="87">
        <f>C26/B26*1000</f>
        <v>45.35175866028321</v>
      </c>
      <c r="AM26" s="87">
        <f>D26/B26*1000</f>
        <v>25.900772676145369</v>
      </c>
      <c r="AN26" s="92"/>
      <c r="AO26" s="87">
        <f>AL26-K26</f>
        <v>-4.82413397167889E-2</v>
      </c>
      <c r="AP26" s="87">
        <f>AM26-L26</f>
        <v>-9.9227323854631067E-2</v>
      </c>
    </row>
    <row r="27" spans="1:42" customFormat="1">
      <c r="A27" s="12" t="s">
        <v>37</v>
      </c>
      <c r="B27" s="4"/>
      <c r="C27" s="4"/>
      <c r="D27" s="4"/>
      <c r="E27" s="4"/>
      <c r="F27" s="4"/>
      <c r="G27" s="4"/>
      <c r="H27" s="4"/>
      <c r="I27" s="4"/>
      <c r="J27" s="4"/>
      <c r="K27" s="50"/>
      <c r="L27" s="50"/>
      <c r="M27" s="76"/>
      <c r="N27" s="5">
        <v>8977</v>
      </c>
      <c r="O27" s="5">
        <v>10786</v>
      </c>
      <c r="P27" s="5">
        <v>9639</v>
      </c>
      <c r="Q27" s="5">
        <v>10276</v>
      </c>
      <c r="R27" s="5">
        <v>7815</v>
      </c>
      <c r="S27" s="5">
        <v>8957</v>
      </c>
      <c r="T27" s="5">
        <v>8979</v>
      </c>
      <c r="U27" s="5">
        <v>9963</v>
      </c>
      <c r="V27" s="5">
        <v>9844</v>
      </c>
      <c r="W27" s="4"/>
      <c r="X27" s="4"/>
      <c r="Y27" s="4"/>
      <c r="Z27" s="4"/>
      <c r="AA27" s="4"/>
      <c r="AB27" s="4"/>
      <c r="AG27" s="93"/>
      <c r="AK27" s="93"/>
      <c r="AN27" s="93"/>
    </row>
    <row r="28" spans="1:42" customFormat="1">
      <c r="A28" s="12" t="s">
        <v>38</v>
      </c>
      <c r="B28" s="4"/>
      <c r="C28" s="4"/>
      <c r="D28" s="4"/>
      <c r="E28" s="4"/>
      <c r="F28" s="4"/>
      <c r="G28" s="4"/>
      <c r="H28" s="4"/>
      <c r="I28" s="4"/>
      <c r="J28" s="4"/>
      <c r="K28" s="50"/>
      <c r="L28" s="50"/>
      <c r="M28" s="76"/>
      <c r="N28" s="5">
        <v>5166</v>
      </c>
      <c r="O28" s="5">
        <v>5181</v>
      </c>
      <c r="P28" s="5">
        <v>4961</v>
      </c>
      <c r="Q28" s="5">
        <v>5738</v>
      </c>
      <c r="R28" s="5">
        <v>4073</v>
      </c>
      <c r="S28" s="5">
        <v>5947</v>
      </c>
      <c r="T28" s="5">
        <v>6571</v>
      </c>
      <c r="U28" s="5">
        <v>5476</v>
      </c>
      <c r="V28" s="5">
        <v>5566</v>
      </c>
      <c r="W28" s="4"/>
      <c r="X28" s="4"/>
      <c r="Y28" s="4"/>
      <c r="Z28" s="4"/>
      <c r="AA28" s="4"/>
      <c r="AB28" s="4"/>
      <c r="AG28" s="93"/>
      <c r="AK28" s="93"/>
      <c r="AN28" s="93"/>
    </row>
    <row r="29" spans="1:42" customFormat="1">
      <c r="A29" s="14" t="s">
        <v>39</v>
      </c>
      <c r="B29" s="15">
        <v>1445741</v>
      </c>
      <c r="C29" s="15">
        <v>72838</v>
      </c>
      <c r="D29" s="15">
        <v>40160</v>
      </c>
      <c r="E29" s="16">
        <v>131301</v>
      </c>
      <c r="F29" s="15">
        <v>4304</v>
      </c>
      <c r="G29" s="15">
        <v>2618</v>
      </c>
      <c r="H29" s="16">
        <v>1367395</v>
      </c>
      <c r="I29" s="15">
        <v>68334</v>
      </c>
      <c r="J29" s="15">
        <v>37741</v>
      </c>
      <c r="K29" s="52">
        <v>50.3</v>
      </c>
      <c r="L29" s="52">
        <v>28</v>
      </c>
      <c r="M29" s="75"/>
      <c r="N29" s="15">
        <v>153330</v>
      </c>
      <c r="O29" s="15">
        <v>104592</v>
      </c>
      <c r="P29" s="15">
        <v>203894</v>
      </c>
      <c r="Q29" s="15">
        <v>107234</v>
      </c>
      <c r="R29" s="15">
        <v>126725</v>
      </c>
      <c r="S29" s="15">
        <v>85365</v>
      </c>
      <c r="T29" s="15">
        <v>131627</v>
      </c>
      <c r="U29" s="15">
        <v>183193</v>
      </c>
      <c r="V29" s="15">
        <v>138892</v>
      </c>
      <c r="W29" s="15">
        <v>79042</v>
      </c>
      <c r="X29" s="15">
        <v>131847</v>
      </c>
      <c r="Y29" s="17"/>
      <c r="Z29" s="17"/>
      <c r="AA29" s="17"/>
      <c r="AB29" s="17"/>
      <c r="AD29" s="86">
        <f>SUM(N29:AB29)</f>
        <v>1445741</v>
      </c>
      <c r="AE29" s="86">
        <f>SUM(N30:AB30)</f>
        <v>72838</v>
      </c>
      <c r="AF29" s="86">
        <f>SUM(N31:AB31)</f>
        <v>40160</v>
      </c>
      <c r="AG29" s="93"/>
      <c r="AH29" s="86">
        <f>AD29-B29</f>
        <v>0</v>
      </c>
      <c r="AI29" s="86">
        <f>AE29-C29</f>
        <v>0</v>
      </c>
      <c r="AJ29" s="86">
        <f>AF29-D29</f>
        <v>0</v>
      </c>
      <c r="AK29" s="93"/>
      <c r="AL29" s="87">
        <f>C29/B29*1000</f>
        <v>50.381084855447831</v>
      </c>
      <c r="AM29" s="87">
        <f>D29/B29*1000</f>
        <v>27.77814283471244</v>
      </c>
      <c r="AN29" s="92"/>
      <c r="AO29" s="87">
        <f>AL29-K29</f>
        <v>8.1084855447834059E-2</v>
      </c>
      <c r="AP29" s="87">
        <f>AM29-L29</f>
        <v>-0.22185716528755961</v>
      </c>
    </row>
    <row r="30" spans="1:42" customFormat="1">
      <c r="A30" s="12" t="s">
        <v>40</v>
      </c>
      <c r="B30" s="4"/>
      <c r="C30" s="4"/>
      <c r="D30" s="4"/>
      <c r="E30" s="4"/>
      <c r="F30" s="4"/>
      <c r="G30" s="4"/>
      <c r="H30" s="4"/>
      <c r="I30" s="4"/>
      <c r="J30" s="4"/>
      <c r="K30" s="50"/>
      <c r="L30" s="50"/>
      <c r="M30" s="76"/>
      <c r="N30" s="5">
        <v>5821</v>
      </c>
      <c r="O30" s="5">
        <v>5533</v>
      </c>
      <c r="P30" s="5">
        <v>10435</v>
      </c>
      <c r="Q30" s="5">
        <v>5099</v>
      </c>
      <c r="R30" s="5">
        <v>6069</v>
      </c>
      <c r="S30" s="5">
        <v>4487</v>
      </c>
      <c r="T30" s="5">
        <v>7868</v>
      </c>
      <c r="U30" s="5">
        <v>10441</v>
      </c>
      <c r="V30" s="5">
        <v>6797</v>
      </c>
      <c r="W30" s="5">
        <v>3710</v>
      </c>
      <c r="X30" s="5">
        <v>6578</v>
      </c>
      <c r="Y30" s="4"/>
      <c r="Z30" s="4"/>
      <c r="AA30" s="4"/>
      <c r="AB30" s="4"/>
      <c r="AG30" s="93"/>
      <c r="AK30" s="93"/>
      <c r="AN30" s="93"/>
    </row>
    <row r="31" spans="1:42" customFormat="1">
      <c r="A31" s="12" t="s">
        <v>41</v>
      </c>
      <c r="B31" s="4"/>
      <c r="C31" s="4"/>
      <c r="D31" s="4"/>
      <c r="E31" s="4"/>
      <c r="F31" s="4"/>
      <c r="G31" s="4"/>
      <c r="H31" s="4"/>
      <c r="I31" s="4"/>
      <c r="J31" s="4"/>
      <c r="K31" s="50"/>
      <c r="L31" s="50"/>
      <c r="M31" s="76"/>
      <c r="N31" s="5">
        <v>3193</v>
      </c>
      <c r="O31" s="5">
        <v>2633</v>
      </c>
      <c r="P31" s="5">
        <v>5822</v>
      </c>
      <c r="Q31" s="5">
        <v>3320</v>
      </c>
      <c r="R31" s="5">
        <v>3691</v>
      </c>
      <c r="S31" s="5">
        <v>2684</v>
      </c>
      <c r="T31" s="5">
        <v>4920</v>
      </c>
      <c r="U31" s="5">
        <v>4964</v>
      </c>
      <c r="V31" s="5">
        <v>3710</v>
      </c>
      <c r="W31" s="5">
        <v>1982</v>
      </c>
      <c r="X31" s="5">
        <v>3241</v>
      </c>
      <c r="Y31" s="4"/>
      <c r="Z31" s="4"/>
      <c r="AA31" s="4"/>
      <c r="AB31" s="4"/>
      <c r="AG31" s="93"/>
      <c r="AK31" s="93"/>
      <c r="AN31" s="93"/>
    </row>
    <row r="32" spans="1:42" customFormat="1">
      <c r="A32" s="18" t="s">
        <v>42</v>
      </c>
      <c r="B32" s="19">
        <v>1389724</v>
      </c>
      <c r="C32" s="19">
        <v>70653</v>
      </c>
      <c r="D32" s="19">
        <v>86152</v>
      </c>
      <c r="E32" s="19">
        <v>111988</v>
      </c>
      <c r="F32" s="19">
        <v>6115</v>
      </c>
      <c r="G32" s="19">
        <v>10661</v>
      </c>
      <c r="H32" s="19">
        <v>1359981</v>
      </c>
      <c r="I32" s="19">
        <v>81332</v>
      </c>
      <c r="J32" s="19">
        <v>56023</v>
      </c>
      <c r="K32" s="53">
        <v>50.8</v>
      </c>
      <c r="L32" s="53">
        <v>62</v>
      </c>
      <c r="M32" s="74"/>
      <c r="N32" s="19">
        <v>400800</v>
      </c>
      <c r="O32" s="19">
        <v>208513</v>
      </c>
      <c r="P32" s="19">
        <v>207060</v>
      </c>
      <c r="Q32" s="19">
        <v>181515</v>
      </c>
      <c r="R32" s="19">
        <v>391836</v>
      </c>
      <c r="S32" s="19"/>
      <c r="T32" s="19"/>
      <c r="U32" s="19"/>
      <c r="V32" s="19"/>
      <c r="W32" s="19"/>
      <c r="X32" s="19"/>
      <c r="Y32" s="19"/>
      <c r="Z32" s="20"/>
      <c r="AA32" s="20"/>
      <c r="AB32" s="20"/>
      <c r="AD32" s="86">
        <f>SUM(N32:AB32)</f>
        <v>1389724</v>
      </c>
      <c r="AE32" s="86">
        <f>SUM(N33:AB33)</f>
        <v>70653</v>
      </c>
      <c r="AF32" s="86">
        <f>SUM(N34:AB34)</f>
        <v>86152</v>
      </c>
      <c r="AG32" s="93"/>
      <c r="AH32" s="86">
        <f>AD32-B32</f>
        <v>0</v>
      </c>
      <c r="AI32" s="86">
        <f>AE32-C32</f>
        <v>0</v>
      </c>
      <c r="AJ32" s="86">
        <f>AF32-D32</f>
        <v>0</v>
      </c>
      <c r="AK32" s="93"/>
      <c r="AL32" s="87">
        <f>C32/B32*1000</f>
        <v>50.839591170620928</v>
      </c>
      <c r="AM32" s="87">
        <f>D32/B32*1000</f>
        <v>61.992165350817864</v>
      </c>
      <c r="AN32" s="92"/>
      <c r="AO32" s="87">
        <f>AL32-K32</f>
        <v>3.9591170620930427E-2</v>
      </c>
      <c r="AP32" s="87">
        <f>AM32-L32</f>
        <v>-7.8346491821363884E-3</v>
      </c>
    </row>
    <row r="33" spans="1:42" customFormat="1">
      <c r="A33" s="13" t="s">
        <v>43</v>
      </c>
      <c r="B33" s="2"/>
      <c r="C33" s="2"/>
      <c r="D33" s="2"/>
      <c r="E33" s="2"/>
      <c r="F33" s="2"/>
      <c r="G33" s="2"/>
      <c r="H33" s="2"/>
      <c r="I33" s="2"/>
      <c r="J33" s="2"/>
      <c r="K33" s="51"/>
      <c r="L33" s="51"/>
      <c r="M33" s="74"/>
      <c r="N33" s="2">
        <v>27881</v>
      </c>
      <c r="O33" s="2">
        <v>10077</v>
      </c>
      <c r="P33" s="2">
        <v>8098</v>
      </c>
      <c r="Q33" s="2">
        <v>8685</v>
      </c>
      <c r="R33" s="2">
        <v>15912</v>
      </c>
      <c r="S33" s="2"/>
      <c r="T33" s="2"/>
      <c r="U33" s="2"/>
      <c r="V33" s="2"/>
      <c r="W33" s="2"/>
      <c r="X33" s="2"/>
      <c r="Y33" s="2"/>
      <c r="AG33" s="93"/>
      <c r="AK33" s="93"/>
      <c r="AN33" s="93"/>
    </row>
    <row r="34" spans="1:42" customFormat="1">
      <c r="A34" s="13" t="s">
        <v>44</v>
      </c>
      <c r="B34" s="2"/>
      <c r="C34" s="2"/>
      <c r="D34" s="2"/>
      <c r="E34" s="2"/>
      <c r="F34" s="2"/>
      <c r="G34" s="2"/>
      <c r="H34" s="2"/>
      <c r="I34" s="2"/>
      <c r="J34" s="2"/>
      <c r="K34" s="51"/>
      <c r="L34" s="51"/>
      <c r="M34" s="74"/>
      <c r="N34" s="2">
        <v>35679</v>
      </c>
      <c r="O34" s="2">
        <v>10387</v>
      </c>
      <c r="P34" s="2">
        <v>9747</v>
      </c>
      <c r="Q34" s="2">
        <v>10098</v>
      </c>
      <c r="R34" s="2">
        <v>20241</v>
      </c>
      <c r="S34" s="2"/>
      <c r="T34" s="2"/>
      <c r="U34" s="2"/>
      <c r="V34" s="2"/>
      <c r="W34" s="2"/>
      <c r="X34" s="2"/>
      <c r="Y34" s="2"/>
      <c r="AG34" s="93"/>
      <c r="AK34" s="93"/>
      <c r="AN34" s="93"/>
    </row>
    <row r="35" spans="1:42" customFormat="1">
      <c r="A35" s="18" t="s">
        <v>45</v>
      </c>
      <c r="B35" s="19">
        <v>2672700</v>
      </c>
      <c r="C35" s="19">
        <v>124097</v>
      </c>
      <c r="D35" s="19">
        <v>99001</v>
      </c>
      <c r="E35" s="19">
        <v>201581</v>
      </c>
      <c r="F35" s="19">
        <v>6504</v>
      </c>
      <c r="G35" s="19">
        <v>5492</v>
      </c>
      <c r="H35" s="19">
        <v>2552194</v>
      </c>
      <c r="I35" s="19">
        <v>124456</v>
      </c>
      <c r="J35" s="19">
        <v>77842</v>
      </c>
      <c r="K35" s="53">
        <v>46.4</v>
      </c>
      <c r="L35" s="53">
        <v>37</v>
      </c>
      <c r="M35" s="74"/>
      <c r="N35" s="19">
        <v>234615</v>
      </c>
      <c r="O35" s="19">
        <v>332713</v>
      </c>
      <c r="P35" s="19">
        <v>217617</v>
      </c>
      <c r="Q35" s="19">
        <v>219865</v>
      </c>
      <c r="R35" s="19">
        <v>232303</v>
      </c>
      <c r="S35" s="19">
        <v>152786</v>
      </c>
      <c r="T35" s="19">
        <v>178298</v>
      </c>
      <c r="U35" s="19">
        <v>192724</v>
      </c>
      <c r="V35" s="19">
        <v>254597</v>
      </c>
      <c r="W35" s="19">
        <v>245362</v>
      </c>
      <c r="X35" s="19">
        <v>178738</v>
      </c>
      <c r="Y35" s="19">
        <v>232884</v>
      </c>
      <c r="Z35" s="20"/>
      <c r="AA35" s="20"/>
      <c r="AB35" s="20"/>
      <c r="AD35" s="86">
        <f>SUM(N35:AB35)</f>
        <v>2672502</v>
      </c>
      <c r="AE35" s="86">
        <f>SUM(N36:AB36)</f>
        <v>124113</v>
      </c>
      <c r="AF35" s="86">
        <f>SUM(N37:AB37)</f>
        <v>99001</v>
      </c>
      <c r="AG35" s="93"/>
      <c r="AH35" s="86">
        <f>AD35-B35</f>
        <v>-198</v>
      </c>
      <c r="AI35" s="86">
        <f>AE35-C35</f>
        <v>16</v>
      </c>
      <c r="AJ35" s="86">
        <f>AF35-D35</f>
        <v>0</v>
      </c>
      <c r="AK35" s="93"/>
      <c r="AL35" s="87">
        <f>C35/B35*1000</f>
        <v>46.43132412915778</v>
      </c>
      <c r="AM35" s="87">
        <f>D35/B35*1000</f>
        <v>37.041568451378758</v>
      </c>
      <c r="AN35" s="92"/>
      <c r="AO35" s="87">
        <f>AL35-K35</f>
        <v>3.1324129157781044E-2</v>
      </c>
      <c r="AP35" s="87">
        <f>AM35-L35</f>
        <v>4.1568451378758198E-2</v>
      </c>
    </row>
    <row r="36" spans="1:42" customFormat="1">
      <c r="A36" s="13" t="s">
        <v>46</v>
      </c>
      <c r="B36" s="2"/>
      <c r="C36" s="2"/>
      <c r="D36" s="2"/>
      <c r="E36" s="2"/>
      <c r="F36" s="2"/>
      <c r="G36" s="2"/>
      <c r="H36" s="2"/>
      <c r="I36" s="2"/>
      <c r="J36" s="2"/>
      <c r="K36" s="51"/>
      <c r="L36" s="51"/>
      <c r="M36" s="74"/>
      <c r="N36" s="2">
        <v>10251</v>
      </c>
      <c r="O36" s="2">
        <v>16842</v>
      </c>
      <c r="P36" s="2">
        <v>9655</v>
      </c>
      <c r="Q36" s="2">
        <v>10331</v>
      </c>
      <c r="R36" s="2">
        <v>9722</v>
      </c>
      <c r="S36" s="2">
        <v>7280</v>
      </c>
      <c r="T36" s="2">
        <v>9160</v>
      </c>
      <c r="U36" s="2">
        <v>9608</v>
      </c>
      <c r="V36" s="2">
        <v>9514</v>
      </c>
      <c r="W36" s="2">
        <v>11467</v>
      </c>
      <c r="X36" s="2">
        <v>9419</v>
      </c>
      <c r="Y36" s="2">
        <v>10864</v>
      </c>
      <c r="AG36" s="93"/>
      <c r="AK36" s="93"/>
      <c r="AN36" s="93"/>
    </row>
    <row r="37" spans="1:42" customFormat="1">
      <c r="A37" s="13" t="s">
        <v>47</v>
      </c>
      <c r="B37" s="2"/>
      <c r="C37" s="2"/>
      <c r="D37" s="2"/>
      <c r="E37" s="2"/>
      <c r="F37" s="2"/>
      <c r="G37" s="2"/>
      <c r="H37" s="2"/>
      <c r="I37" s="2"/>
      <c r="J37" s="2"/>
      <c r="K37" s="51"/>
      <c r="L37" s="51"/>
      <c r="M37" s="74"/>
      <c r="N37" s="2">
        <v>8903</v>
      </c>
      <c r="O37" s="2">
        <v>12996</v>
      </c>
      <c r="P37" s="2">
        <v>8044</v>
      </c>
      <c r="Q37" s="2">
        <v>8052</v>
      </c>
      <c r="R37" s="2">
        <v>9377</v>
      </c>
      <c r="S37" s="2">
        <v>4543</v>
      </c>
      <c r="T37" s="2">
        <v>6058</v>
      </c>
      <c r="U37" s="2">
        <v>7655</v>
      </c>
      <c r="V37" s="2">
        <v>7424</v>
      </c>
      <c r="W37" s="2">
        <v>11098</v>
      </c>
      <c r="X37" s="2">
        <v>6540</v>
      </c>
      <c r="Y37" s="2">
        <v>8311</v>
      </c>
      <c r="AG37" s="93"/>
      <c r="AK37" s="93"/>
      <c r="AN37" s="93"/>
    </row>
    <row r="38" spans="1:42" customFormat="1">
      <c r="A38" s="21" t="s">
        <v>48</v>
      </c>
      <c r="B38" s="22">
        <v>20362275</v>
      </c>
      <c r="C38" s="22">
        <v>899987</v>
      </c>
      <c r="D38" s="22">
        <v>682159</v>
      </c>
      <c r="E38" s="22"/>
      <c r="F38" s="22"/>
      <c r="G38" s="22"/>
      <c r="H38" s="22">
        <v>19332973</v>
      </c>
      <c r="I38" s="22">
        <v>904562</v>
      </c>
      <c r="J38" s="22">
        <v>565159</v>
      </c>
      <c r="K38" s="54">
        <v>44.9</v>
      </c>
      <c r="L38" s="54">
        <v>34</v>
      </c>
      <c r="M38" s="74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3"/>
      <c r="AA38" s="23"/>
      <c r="AB38" s="23"/>
      <c r="AD38" s="98">
        <f>SUM(AD2:AD35)</f>
        <v>20359087</v>
      </c>
      <c r="AE38" s="98">
        <f>SUM(AE2:AE35)</f>
        <v>900605</v>
      </c>
      <c r="AF38" s="98">
        <f>SUM(AF2:AF35)</f>
        <v>682225</v>
      </c>
      <c r="AG38" s="93"/>
      <c r="AH38" s="98">
        <f>B38-AD38</f>
        <v>3188</v>
      </c>
      <c r="AI38" s="98">
        <f>C38-AE38</f>
        <v>-618</v>
      </c>
      <c r="AJ38" s="98">
        <f>D38-AF38</f>
        <v>-66</v>
      </c>
      <c r="AK38" s="93"/>
      <c r="AL38" s="97">
        <f>C38/B38*1000</f>
        <v>44.198744983063037</v>
      </c>
      <c r="AM38" s="97">
        <f>D38/B38*1000</f>
        <v>33.501119103832949</v>
      </c>
      <c r="AN38" s="97"/>
      <c r="AO38" s="97">
        <f>AL38-K38</f>
        <v>-0.70125501693696179</v>
      </c>
      <c r="AP38" s="97">
        <f>AM38-L38</f>
        <v>-0.49888089616705145</v>
      </c>
    </row>
    <row r="39" spans="1:42" customFormat="1">
      <c r="A39" s="18" t="s">
        <v>49</v>
      </c>
      <c r="B39" s="19">
        <v>498448</v>
      </c>
      <c r="C39" s="19">
        <v>22079</v>
      </c>
      <c r="D39" s="19">
        <v>15047</v>
      </c>
      <c r="E39" s="19"/>
      <c r="F39" s="19"/>
      <c r="G39" s="19"/>
      <c r="H39" s="19">
        <v>454176</v>
      </c>
      <c r="I39" s="19">
        <v>19499</v>
      </c>
      <c r="J39" s="19">
        <v>12389</v>
      </c>
      <c r="K39" s="53">
        <v>44.3</v>
      </c>
      <c r="L39" s="53">
        <v>30.2</v>
      </c>
      <c r="M39" s="74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20"/>
      <c r="AA39" s="20"/>
      <c r="AB39" s="20"/>
      <c r="AD39" s="86">
        <f>B39</f>
        <v>498448</v>
      </c>
      <c r="AE39" s="86">
        <f>C39</f>
        <v>22079</v>
      </c>
      <c r="AF39" s="86">
        <f>D39</f>
        <v>15047</v>
      </c>
      <c r="AG39" s="93"/>
      <c r="AH39" s="86">
        <f>AD39-B39</f>
        <v>0</v>
      </c>
      <c r="AI39" s="86">
        <f>AE39-C39</f>
        <v>0</v>
      </c>
      <c r="AJ39" s="86">
        <f>AF39-D39</f>
        <v>0</v>
      </c>
      <c r="AK39" s="93"/>
      <c r="AL39" s="87"/>
      <c r="AM39" s="87"/>
      <c r="AN39" s="92"/>
      <c r="AO39" s="87"/>
      <c r="AP39" s="87"/>
    </row>
    <row r="40" spans="1:42" customFormat="1">
      <c r="A40" s="18" t="s">
        <v>50</v>
      </c>
      <c r="B40" s="19">
        <v>1096542</v>
      </c>
      <c r="C40" s="19">
        <v>42088</v>
      </c>
      <c r="D40" s="19">
        <v>30040</v>
      </c>
      <c r="E40" s="19">
        <v>78918</v>
      </c>
      <c r="F40" s="19">
        <v>2578</v>
      </c>
      <c r="G40" s="19">
        <v>2182</v>
      </c>
      <c r="H40" s="19">
        <v>1028503</v>
      </c>
      <c r="I40" s="19">
        <v>43098</v>
      </c>
      <c r="J40" s="19">
        <v>27624</v>
      </c>
      <c r="K40" s="53">
        <v>38.4</v>
      </c>
      <c r="L40" s="53">
        <v>27.4</v>
      </c>
      <c r="M40" s="74"/>
      <c r="N40" s="19">
        <v>135308</v>
      </c>
      <c r="O40" s="19">
        <v>112029</v>
      </c>
      <c r="P40" s="19">
        <v>90000</v>
      </c>
      <c r="Q40" s="19">
        <v>121757</v>
      </c>
      <c r="R40" s="19">
        <v>88714</v>
      </c>
      <c r="S40" s="19">
        <v>85026</v>
      </c>
      <c r="T40" s="19">
        <v>87692</v>
      </c>
      <c r="U40" s="19">
        <v>87705</v>
      </c>
      <c r="V40" s="19">
        <v>90996</v>
      </c>
      <c r="W40" s="19">
        <v>69411</v>
      </c>
      <c r="X40" s="19">
        <v>44682</v>
      </c>
      <c r="Y40" s="19">
        <v>83222</v>
      </c>
      <c r="Z40" s="20"/>
      <c r="AA40" s="20"/>
      <c r="AB40" s="20"/>
      <c r="AD40" s="86">
        <f>SUM(N40:AB40)</f>
        <v>1096542</v>
      </c>
      <c r="AE40" s="86">
        <f>SUM(N41:AB41)</f>
        <v>42088</v>
      </c>
      <c r="AF40" s="86">
        <f>SUM(N42:AB42)</f>
        <v>30040</v>
      </c>
      <c r="AG40" s="93"/>
      <c r="AH40" s="86">
        <f>AD40-B40</f>
        <v>0</v>
      </c>
      <c r="AI40" s="86">
        <f>AE40-C40</f>
        <v>0</v>
      </c>
      <c r="AJ40" s="86">
        <f>AF40-D40</f>
        <v>0</v>
      </c>
      <c r="AK40" s="93"/>
      <c r="AL40" s="87">
        <f>C40/B40*1000</f>
        <v>38.382478737704524</v>
      </c>
      <c r="AM40" s="87">
        <f>D40/B40*1000</f>
        <v>27.395211492127068</v>
      </c>
      <c r="AN40" s="92"/>
      <c r="AO40" s="87">
        <f>AL40-K40</f>
        <v>-1.7521262295474571E-2</v>
      </c>
      <c r="AP40" s="87">
        <f>AM40-L40</f>
        <v>-4.7885078729308361E-3</v>
      </c>
    </row>
    <row r="41" spans="1:42" customFormat="1">
      <c r="A41" s="13" t="s">
        <v>51</v>
      </c>
      <c r="B41" s="2"/>
      <c r="C41" s="2"/>
      <c r="D41" s="2"/>
      <c r="E41" s="2"/>
      <c r="F41" s="2"/>
      <c r="G41" s="2"/>
      <c r="H41" s="2"/>
      <c r="I41" s="2"/>
      <c r="J41" s="2"/>
      <c r="K41" s="51"/>
      <c r="L41" s="51"/>
      <c r="M41" s="74"/>
      <c r="N41" s="2">
        <v>5764</v>
      </c>
      <c r="O41" s="2">
        <v>3959</v>
      </c>
      <c r="P41" s="2">
        <v>3200</v>
      </c>
      <c r="Q41" s="2">
        <v>3790</v>
      </c>
      <c r="R41" s="2">
        <v>3918</v>
      </c>
      <c r="S41" s="2">
        <v>3448</v>
      </c>
      <c r="T41" s="2">
        <v>3008</v>
      </c>
      <c r="U41" s="2">
        <v>4467</v>
      </c>
      <c r="V41" s="2">
        <v>2744</v>
      </c>
      <c r="W41" s="2">
        <v>2806</v>
      </c>
      <c r="X41" s="2">
        <v>2106</v>
      </c>
      <c r="Y41" s="2">
        <v>2878</v>
      </c>
      <c r="AG41" s="93"/>
      <c r="AK41" s="93"/>
      <c r="AN41" s="93"/>
    </row>
    <row r="42" spans="1:42" customFormat="1">
      <c r="A42" s="13" t="s">
        <v>52</v>
      </c>
      <c r="B42" s="2"/>
      <c r="C42" s="2"/>
      <c r="D42" s="2"/>
      <c r="E42" s="2"/>
      <c r="F42" s="2"/>
      <c r="G42" s="2"/>
      <c r="H42" s="2"/>
      <c r="I42" s="2"/>
      <c r="J42" s="2"/>
      <c r="K42" s="51"/>
      <c r="L42" s="51"/>
      <c r="M42" s="74"/>
      <c r="N42" s="2">
        <v>4724</v>
      </c>
      <c r="O42" s="2">
        <v>2757</v>
      </c>
      <c r="P42" s="2">
        <v>2600</v>
      </c>
      <c r="Q42" s="2">
        <v>2832</v>
      </c>
      <c r="R42" s="2">
        <v>2649</v>
      </c>
      <c r="S42" s="2">
        <v>2910</v>
      </c>
      <c r="T42" s="2">
        <v>2188</v>
      </c>
      <c r="U42" s="2">
        <v>2684</v>
      </c>
      <c r="V42" s="2">
        <v>2122</v>
      </c>
      <c r="W42" s="2">
        <v>1670</v>
      </c>
      <c r="X42" s="2">
        <v>962</v>
      </c>
      <c r="Y42" s="2">
        <v>1942</v>
      </c>
      <c r="AG42" s="93"/>
      <c r="AK42" s="93"/>
      <c r="AN42" s="93"/>
    </row>
    <row r="43" spans="1:42" customFormat="1">
      <c r="A43" s="18" t="s">
        <v>53</v>
      </c>
      <c r="B43" s="19">
        <v>909173</v>
      </c>
      <c r="C43" s="19">
        <v>31911</v>
      </c>
      <c r="D43" s="19">
        <v>20583</v>
      </c>
      <c r="E43" s="19">
        <v>66771</v>
      </c>
      <c r="F43" s="19">
        <v>1499</v>
      </c>
      <c r="G43" s="19">
        <v>1234</v>
      </c>
      <c r="H43" s="19">
        <v>864762</v>
      </c>
      <c r="I43" s="19">
        <v>34190</v>
      </c>
      <c r="J43" s="19">
        <v>20012</v>
      </c>
      <c r="K43" s="53">
        <v>35.1</v>
      </c>
      <c r="L43" s="53">
        <v>22.6</v>
      </c>
      <c r="M43" s="74"/>
      <c r="N43" s="19">
        <v>120488</v>
      </c>
      <c r="O43" s="19">
        <v>140984</v>
      </c>
      <c r="P43" s="19">
        <v>108505</v>
      </c>
      <c r="Q43" s="19">
        <v>91570</v>
      </c>
      <c r="R43" s="19">
        <v>120825</v>
      </c>
      <c r="S43" s="19">
        <v>90003</v>
      </c>
      <c r="T43" s="19">
        <v>131350</v>
      </c>
      <c r="U43" s="19">
        <v>105448</v>
      </c>
      <c r="V43" s="19"/>
      <c r="W43" s="19"/>
      <c r="X43" s="19"/>
      <c r="Y43" s="19"/>
      <c r="Z43" s="20"/>
      <c r="AA43" s="20"/>
      <c r="AB43" s="20"/>
      <c r="AD43" s="86">
        <f>SUM(N43:AB43)</f>
        <v>909173</v>
      </c>
      <c r="AE43" s="86">
        <f>SUM(N44:AB44)</f>
        <v>31911</v>
      </c>
      <c r="AF43" s="86">
        <f>SUM(N45:AB45)</f>
        <v>20583</v>
      </c>
      <c r="AG43" s="93"/>
      <c r="AH43" s="86">
        <f>AD43-B43</f>
        <v>0</v>
      </c>
      <c r="AI43" s="86">
        <f>AE43-C43</f>
        <v>0</v>
      </c>
      <c r="AJ43" s="86">
        <f>AF43-D43</f>
        <v>0</v>
      </c>
      <c r="AK43" s="93"/>
      <c r="AL43" s="87">
        <f>C43/B43*1000</f>
        <v>35.098930566569841</v>
      </c>
      <c r="AM43" s="87">
        <f>D43/B43*1000</f>
        <v>22.639255675212528</v>
      </c>
      <c r="AN43" s="92"/>
      <c r="AO43" s="87">
        <f>AL43-K43</f>
        <v>-1.0694334301604158E-3</v>
      </c>
      <c r="AP43" s="87">
        <f>AM43-L43</f>
        <v>3.9255675212526597E-2</v>
      </c>
    </row>
    <row r="44" spans="1:42" customFormat="1">
      <c r="A44" s="13" t="s">
        <v>54</v>
      </c>
      <c r="B44" s="2"/>
      <c r="C44" s="2"/>
      <c r="D44" s="2"/>
      <c r="E44" s="2"/>
      <c r="F44" s="2"/>
      <c r="G44" s="2"/>
      <c r="H44" s="2"/>
      <c r="I44" s="2"/>
      <c r="J44" s="2"/>
      <c r="K44" s="51"/>
      <c r="L44" s="51"/>
      <c r="M44" s="74"/>
      <c r="N44" s="2">
        <v>3930</v>
      </c>
      <c r="O44" s="2">
        <v>5303</v>
      </c>
      <c r="P44" s="2">
        <v>3255</v>
      </c>
      <c r="Q44" s="2">
        <v>3162</v>
      </c>
      <c r="R44" s="2">
        <v>4285</v>
      </c>
      <c r="S44" s="2">
        <v>4241</v>
      </c>
      <c r="T44" s="2">
        <v>4242</v>
      </c>
      <c r="U44" s="2">
        <v>3493</v>
      </c>
      <c r="V44" s="2"/>
      <c r="W44" s="2"/>
      <c r="X44" s="2"/>
      <c r="Y44" s="2"/>
      <c r="AG44" s="93"/>
      <c r="AK44" s="93"/>
      <c r="AN44" s="93"/>
    </row>
    <row r="45" spans="1:42" customFormat="1">
      <c r="A45" s="13" t="s">
        <v>55</v>
      </c>
      <c r="B45" s="2"/>
      <c r="C45" s="2"/>
      <c r="D45" s="2"/>
      <c r="E45" s="2"/>
      <c r="F45" s="2"/>
      <c r="G45" s="2"/>
      <c r="H45" s="2"/>
      <c r="I45" s="2"/>
      <c r="J45" s="2"/>
      <c r="K45" s="51"/>
      <c r="L45" s="51"/>
      <c r="M45" s="74"/>
      <c r="N45" s="2">
        <v>2991</v>
      </c>
      <c r="O45" s="2">
        <v>3166</v>
      </c>
      <c r="P45" s="2">
        <v>2556</v>
      </c>
      <c r="Q45" s="2">
        <v>1928</v>
      </c>
      <c r="R45" s="2">
        <v>2612</v>
      </c>
      <c r="S45" s="2">
        <v>2119</v>
      </c>
      <c r="T45" s="2">
        <v>2902</v>
      </c>
      <c r="U45" s="2">
        <v>2309</v>
      </c>
      <c r="V45" s="2"/>
      <c r="W45" s="2"/>
      <c r="X45" s="2"/>
      <c r="Y45" s="2"/>
      <c r="AG45" s="93"/>
      <c r="AK45" s="93"/>
      <c r="AN45" s="93"/>
    </row>
    <row r="46" spans="1:42" customFormat="1">
      <c r="A46" s="18" t="s">
        <v>56</v>
      </c>
      <c r="B46" s="19">
        <v>791321</v>
      </c>
      <c r="C46" s="19">
        <v>27747</v>
      </c>
      <c r="D46" s="19">
        <v>22226</v>
      </c>
      <c r="E46" s="19">
        <v>58321</v>
      </c>
      <c r="F46" s="19">
        <v>1845</v>
      </c>
      <c r="G46" s="19">
        <v>1228</v>
      </c>
      <c r="H46" s="19">
        <v>721595</v>
      </c>
      <c r="I46" s="19">
        <v>26842</v>
      </c>
      <c r="J46" s="19">
        <v>15817</v>
      </c>
      <c r="K46" s="53">
        <v>35.1</v>
      </c>
      <c r="L46" s="53">
        <v>28.1</v>
      </c>
      <c r="M46" s="74"/>
      <c r="N46" s="19">
        <v>144528</v>
      </c>
      <c r="O46" s="19">
        <v>76685</v>
      </c>
      <c r="P46" s="19">
        <v>80380</v>
      </c>
      <c r="Q46" s="19">
        <v>117974</v>
      </c>
      <c r="R46" s="19">
        <v>120429</v>
      </c>
      <c r="S46" s="19">
        <v>115544</v>
      </c>
      <c r="T46" s="19">
        <v>135784</v>
      </c>
      <c r="U46" s="19"/>
      <c r="V46" s="19"/>
      <c r="W46" s="19"/>
      <c r="X46" s="19"/>
      <c r="Y46" s="19"/>
      <c r="Z46" s="20"/>
      <c r="AA46" s="20"/>
      <c r="AB46" s="20"/>
      <c r="AD46" s="86">
        <f>SUM(N46:AB46)</f>
        <v>791324</v>
      </c>
      <c r="AE46" s="86">
        <f>SUM(N47:AB47)</f>
        <v>27747</v>
      </c>
      <c r="AF46" s="86">
        <f>SUM(N48:AB48)</f>
        <v>22226</v>
      </c>
      <c r="AG46" s="93"/>
      <c r="AH46" s="86">
        <f>AD46-B46</f>
        <v>3</v>
      </c>
      <c r="AI46" s="86">
        <f>AE46-C46</f>
        <v>0</v>
      </c>
      <c r="AJ46" s="86">
        <f>AF46-D46</f>
        <v>0</v>
      </c>
      <c r="AK46" s="93"/>
      <c r="AL46" s="87">
        <f>C46/B46*1000</f>
        <v>35.064152221412044</v>
      </c>
      <c r="AM46" s="87">
        <f>D46/B46*1000</f>
        <v>28.087211131765745</v>
      </c>
      <c r="AN46" s="92"/>
      <c r="AO46" s="87">
        <f>AL46-K46</f>
        <v>-3.584777858795718E-2</v>
      </c>
      <c r="AP46" s="87">
        <f>AM46-L46</f>
        <v>-1.2788868234256512E-2</v>
      </c>
    </row>
    <row r="47" spans="1:42" customFormat="1">
      <c r="A47" s="13" t="s">
        <v>57</v>
      </c>
      <c r="B47" s="2"/>
      <c r="C47" s="2"/>
      <c r="D47" s="2"/>
      <c r="E47" s="2"/>
      <c r="F47" s="2"/>
      <c r="G47" s="2"/>
      <c r="H47" s="2"/>
      <c r="I47" s="2"/>
      <c r="J47" s="2"/>
      <c r="K47" s="51"/>
      <c r="L47" s="51"/>
      <c r="M47" s="74"/>
      <c r="N47" s="2">
        <v>4913</v>
      </c>
      <c r="O47" s="2">
        <v>2632</v>
      </c>
      <c r="P47" s="2">
        <v>2813</v>
      </c>
      <c r="Q47" s="2">
        <v>4394</v>
      </c>
      <c r="R47" s="2">
        <v>4249</v>
      </c>
      <c r="S47" s="2">
        <v>3918</v>
      </c>
      <c r="T47" s="2">
        <v>4828</v>
      </c>
      <c r="U47" s="2"/>
      <c r="V47" s="2"/>
      <c r="W47" s="2"/>
      <c r="X47" s="2"/>
      <c r="Y47" s="2"/>
      <c r="AG47" s="93"/>
      <c r="AK47" s="93"/>
      <c r="AN47" s="93"/>
    </row>
    <row r="48" spans="1:42" customFormat="1">
      <c r="A48" s="13" t="s">
        <v>58</v>
      </c>
      <c r="B48" s="2"/>
      <c r="C48" s="2"/>
      <c r="D48" s="2"/>
      <c r="E48" s="2"/>
      <c r="F48" s="2"/>
      <c r="G48" s="2"/>
      <c r="H48" s="2"/>
      <c r="I48" s="2"/>
      <c r="J48" s="2"/>
      <c r="K48" s="51"/>
      <c r="L48" s="51"/>
      <c r="M48" s="74"/>
      <c r="N48" s="2">
        <v>3339</v>
      </c>
      <c r="O48" s="2">
        <v>2228</v>
      </c>
      <c r="P48" s="2">
        <v>2008</v>
      </c>
      <c r="Q48" s="2">
        <v>4151</v>
      </c>
      <c r="R48" s="2">
        <v>3556</v>
      </c>
      <c r="S48" s="2">
        <v>3451</v>
      </c>
      <c r="T48" s="2">
        <v>3493</v>
      </c>
      <c r="U48" s="2"/>
      <c r="V48" s="2"/>
      <c r="W48" s="2"/>
      <c r="X48" s="2"/>
      <c r="Y48" s="2"/>
      <c r="AG48" s="93"/>
      <c r="AK48" s="93"/>
      <c r="AN48" s="93"/>
    </row>
    <row r="49" spans="1:42" customFormat="1">
      <c r="A49" s="18" t="s">
        <v>59</v>
      </c>
      <c r="B49" s="19">
        <v>687220</v>
      </c>
      <c r="C49" s="19">
        <v>24307</v>
      </c>
      <c r="D49" s="19">
        <v>21060</v>
      </c>
      <c r="E49" s="19">
        <v>67521</v>
      </c>
      <c r="F49" s="19">
        <v>1953</v>
      </c>
      <c r="G49" s="19">
        <v>2048</v>
      </c>
      <c r="H49" s="19">
        <v>635617</v>
      </c>
      <c r="I49" s="19">
        <v>25394</v>
      </c>
      <c r="J49" s="19">
        <v>17410</v>
      </c>
      <c r="K49" s="53">
        <v>35.4</v>
      </c>
      <c r="L49" s="53">
        <v>30.7</v>
      </c>
      <c r="M49" s="74"/>
      <c r="N49" s="19">
        <v>109717</v>
      </c>
      <c r="O49" s="19">
        <v>79775</v>
      </c>
      <c r="P49" s="19">
        <v>77134</v>
      </c>
      <c r="Q49" s="19">
        <v>65286</v>
      </c>
      <c r="R49" s="19">
        <v>97310</v>
      </c>
      <c r="S49" s="19">
        <v>79790</v>
      </c>
      <c r="T49" s="19">
        <v>109654</v>
      </c>
      <c r="U49" s="19">
        <v>68554</v>
      </c>
      <c r="V49" s="19"/>
      <c r="W49" s="19"/>
      <c r="X49" s="19"/>
      <c r="Y49" s="19"/>
      <c r="Z49" s="20"/>
      <c r="AA49" s="20"/>
      <c r="AB49" s="20"/>
      <c r="AD49" s="86">
        <f>SUM(N49:AB49)</f>
        <v>687220</v>
      </c>
      <c r="AE49" s="86">
        <f>SUM(N50:AB50)</f>
        <v>24307</v>
      </c>
      <c r="AF49" s="86">
        <f>SUM(N51:AB51)</f>
        <v>21060</v>
      </c>
      <c r="AG49" s="93"/>
      <c r="AH49" s="86">
        <f>AD49-B49</f>
        <v>0</v>
      </c>
      <c r="AI49" s="86">
        <f>AE49-C49</f>
        <v>0</v>
      </c>
      <c r="AJ49" s="86">
        <f>AF49-D49</f>
        <v>0</v>
      </c>
      <c r="AK49" s="93"/>
      <c r="AL49" s="87">
        <f>C49/B49*1000</f>
        <v>35.37004161694945</v>
      </c>
      <c r="AM49" s="87">
        <f>D49/B49*1000</f>
        <v>30.645208230261055</v>
      </c>
      <c r="AN49" s="92"/>
      <c r="AO49" s="87">
        <f>AL49-K49</f>
        <v>-2.9958383050548321E-2</v>
      </c>
      <c r="AP49" s="87">
        <f>AM49-L49</f>
        <v>-5.4791769738944396E-2</v>
      </c>
    </row>
    <row r="50" spans="1:42" customFormat="1">
      <c r="A50" s="13" t="s">
        <v>60</v>
      </c>
      <c r="B50" s="2"/>
      <c r="C50" s="2"/>
      <c r="D50" s="2"/>
      <c r="E50" s="2"/>
      <c r="F50" s="2"/>
      <c r="G50" s="2"/>
      <c r="H50" s="2"/>
      <c r="I50" s="2"/>
      <c r="J50" s="2"/>
      <c r="K50" s="51"/>
      <c r="L50" s="51"/>
      <c r="M50" s="74"/>
      <c r="N50" s="2">
        <v>3816</v>
      </c>
      <c r="O50" s="2">
        <v>2800</v>
      </c>
      <c r="P50" s="2">
        <v>2188</v>
      </c>
      <c r="Q50" s="2">
        <v>2598</v>
      </c>
      <c r="R50" s="2">
        <v>3330</v>
      </c>
      <c r="S50" s="2">
        <v>3150</v>
      </c>
      <c r="T50" s="2">
        <v>4197</v>
      </c>
      <c r="U50" s="2">
        <v>2228</v>
      </c>
      <c r="V50" s="2"/>
      <c r="W50" s="2"/>
      <c r="X50" s="2"/>
      <c r="Y50" s="2"/>
      <c r="AG50" s="93"/>
      <c r="AK50" s="93"/>
      <c r="AN50" s="93"/>
    </row>
    <row r="51" spans="1:42" customFormat="1">
      <c r="A51" s="13" t="s">
        <v>61</v>
      </c>
      <c r="B51" s="2"/>
      <c r="C51" s="2"/>
      <c r="D51" s="2"/>
      <c r="E51" s="2"/>
      <c r="F51" s="2"/>
      <c r="G51" s="2"/>
      <c r="H51" s="2"/>
      <c r="I51" s="2"/>
      <c r="J51" s="2"/>
      <c r="K51" s="51"/>
      <c r="L51" s="51"/>
      <c r="M51" s="74"/>
      <c r="N51" s="2">
        <v>3560</v>
      </c>
      <c r="O51" s="2">
        <v>2546</v>
      </c>
      <c r="P51" s="2">
        <v>1827</v>
      </c>
      <c r="Q51" s="2">
        <v>2284</v>
      </c>
      <c r="R51" s="2">
        <v>2682</v>
      </c>
      <c r="S51" s="2">
        <v>2521</v>
      </c>
      <c r="T51" s="2">
        <v>3028</v>
      </c>
      <c r="U51" s="2">
        <v>2612</v>
      </c>
      <c r="V51" s="2"/>
      <c r="W51" s="2"/>
      <c r="X51" s="2"/>
      <c r="Y51" s="2"/>
      <c r="AG51" s="93"/>
      <c r="AK51" s="93"/>
      <c r="AN51" s="93"/>
    </row>
    <row r="52" spans="1:42" customFormat="1">
      <c r="A52" s="18" t="s">
        <v>62</v>
      </c>
      <c r="B52" s="19">
        <v>1116298</v>
      </c>
      <c r="C52" s="19">
        <v>41731</v>
      </c>
      <c r="D52" s="19">
        <v>29573</v>
      </c>
      <c r="E52" s="19">
        <v>131779</v>
      </c>
      <c r="F52" s="19">
        <v>3659</v>
      </c>
      <c r="G52" s="19">
        <v>3161</v>
      </c>
      <c r="H52" s="19">
        <v>1059331</v>
      </c>
      <c r="I52" s="19">
        <v>42231</v>
      </c>
      <c r="J52" s="19">
        <v>25522</v>
      </c>
      <c r="K52" s="53">
        <v>37.4</v>
      </c>
      <c r="L52" s="53">
        <v>26.5</v>
      </c>
      <c r="M52" s="74"/>
      <c r="N52" s="19">
        <v>160102</v>
      </c>
      <c r="O52" s="19">
        <v>99604</v>
      </c>
      <c r="P52" s="19">
        <v>104021</v>
      </c>
      <c r="Q52" s="19">
        <v>108696</v>
      </c>
      <c r="R52" s="19">
        <v>98070</v>
      </c>
      <c r="S52" s="19">
        <v>90313</v>
      </c>
      <c r="T52" s="19">
        <v>125837</v>
      </c>
      <c r="U52" s="19">
        <v>93740</v>
      </c>
      <c r="V52" s="19">
        <v>126259</v>
      </c>
      <c r="W52" s="19">
        <v>109656</v>
      </c>
      <c r="X52" s="19"/>
      <c r="Y52" s="19"/>
      <c r="Z52" s="20"/>
      <c r="AA52" s="20"/>
      <c r="AB52" s="20"/>
      <c r="AD52" s="86">
        <f>SUM(N52:AB52)</f>
        <v>1116298</v>
      </c>
      <c r="AE52" s="86">
        <f>SUM(N53:AB53)</f>
        <v>41731</v>
      </c>
      <c r="AF52" s="86">
        <f>SUM(N54:AB54)</f>
        <v>29573</v>
      </c>
      <c r="AG52" s="93"/>
      <c r="AH52" s="86">
        <f>AD52-B52</f>
        <v>0</v>
      </c>
      <c r="AI52" s="86">
        <f>AE52-C52</f>
        <v>0</v>
      </c>
      <c r="AJ52" s="86">
        <f>AF52-D52</f>
        <v>0</v>
      </c>
      <c r="AK52" s="93"/>
      <c r="AL52" s="87">
        <f>C52/B52*1000</f>
        <v>37.383386873397605</v>
      </c>
      <c r="AM52" s="87">
        <f>D52/B52*1000</f>
        <v>26.492029905992844</v>
      </c>
      <c r="AN52" s="92"/>
      <c r="AO52" s="87">
        <f>AL52-K52</f>
        <v>-1.6613126602393891E-2</v>
      </c>
      <c r="AP52" s="87">
        <f>AM52-L52</f>
        <v>-7.9700940071560922E-3</v>
      </c>
    </row>
    <row r="53" spans="1:42" customFormat="1">
      <c r="A53" s="13" t="s">
        <v>63</v>
      </c>
      <c r="B53" s="2"/>
      <c r="C53" s="2"/>
      <c r="D53" s="2"/>
      <c r="E53" s="2"/>
      <c r="F53" s="2"/>
      <c r="G53" s="2"/>
      <c r="H53" s="2"/>
      <c r="I53" s="2"/>
      <c r="J53" s="2"/>
      <c r="K53" s="51"/>
      <c r="L53" s="51"/>
      <c r="M53" s="74"/>
      <c r="N53" s="2">
        <v>5649</v>
      </c>
      <c r="O53" s="2">
        <v>3211</v>
      </c>
      <c r="P53" s="2">
        <v>4259</v>
      </c>
      <c r="Q53" s="2">
        <v>3964</v>
      </c>
      <c r="R53" s="2">
        <v>3287</v>
      </c>
      <c r="S53" s="2">
        <v>3083</v>
      </c>
      <c r="T53" s="2">
        <v>4832</v>
      </c>
      <c r="U53" s="2">
        <v>4061</v>
      </c>
      <c r="V53" s="2">
        <v>4678</v>
      </c>
      <c r="W53" s="2">
        <v>4707</v>
      </c>
      <c r="X53" s="2"/>
      <c r="Y53" s="2"/>
      <c r="AG53" s="93"/>
      <c r="AK53" s="93"/>
      <c r="AN53" s="93"/>
    </row>
    <row r="54" spans="1:42" customFormat="1">
      <c r="A54" s="13" t="s">
        <v>64</v>
      </c>
      <c r="B54" s="2"/>
      <c r="C54" s="2"/>
      <c r="D54" s="2"/>
      <c r="E54" s="2"/>
      <c r="F54" s="2"/>
      <c r="G54" s="2"/>
      <c r="H54" s="2"/>
      <c r="I54" s="2"/>
      <c r="J54" s="2"/>
      <c r="K54" s="51"/>
      <c r="L54" s="51"/>
      <c r="M54" s="74"/>
      <c r="N54" s="2">
        <v>4358</v>
      </c>
      <c r="O54" s="2">
        <v>3011</v>
      </c>
      <c r="P54" s="2">
        <v>3521</v>
      </c>
      <c r="Q54" s="2">
        <v>2505</v>
      </c>
      <c r="R54" s="2">
        <v>1884</v>
      </c>
      <c r="S54" s="2">
        <v>2264</v>
      </c>
      <c r="T54" s="2">
        <v>3709</v>
      </c>
      <c r="U54" s="2">
        <v>2834</v>
      </c>
      <c r="V54" s="2">
        <v>2955</v>
      </c>
      <c r="W54" s="2">
        <v>2532</v>
      </c>
      <c r="X54" s="2"/>
      <c r="Y54" s="2"/>
      <c r="AG54" s="93"/>
      <c r="AK54" s="93"/>
      <c r="AN54" s="93"/>
    </row>
    <row r="55" spans="1:42" customFormat="1">
      <c r="A55" s="18" t="s">
        <v>65</v>
      </c>
      <c r="B55" s="19">
        <v>1277096</v>
      </c>
      <c r="C55" s="19">
        <v>49493</v>
      </c>
      <c r="D55" s="19">
        <v>32558</v>
      </c>
      <c r="E55" s="19">
        <v>256761</v>
      </c>
      <c r="F55" s="19">
        <v>11416</v>
      </c>
      <c r="G55" s="19">
        <v>8056</v>
      </c>
      <c r="H55" s="19">
        <v>1173375</v>
      </c>
      <c r="I55" s="19">
        <v>44251</v>
      </c>
      <c r="J55" s="19">
        <v>24839</v>
      </c>
      <c r="K55" s="53">
        <v>38.799999999999997</v>
      </c>
      <c r="L55" s="53">
        <v>25.5</v>
      </c>
      <c r="M55" s="74"/>
      <c r="N55" s="19">
        <v>177868</v>
      </c>
      <c r="O55" s="19">
        <v>190067</v>
      </c>
      <c r="P55" s="19">
        <v>110706</v>
      </c>
      <c r="Q55" s="19">
        <v>126939</v>
      </c>
      <c r="R55" s="19">
        <v>288807</v>
      </c>
      <c r="S55" s="19">
        <v>145763</v>
      </c>
      <c r="T55" s="19">
        <v>82756</v>
      </c>
      <c r="U55" s="19">
        <v>154190</v>
      </c>
      <c r="V55" s="19"/>
      <c r="W55" s="19"/>
      <c r="X55" s="19"/>
      <c r="Y55" s="19"/>
      <c r="Z55" s="20"/>
      <c r="AA55" s="20"/>
      <c r="AB55" s="20"/>
      <c r="AD55" s="86">
        <f>SUM(N55:AB55)</f>
        <v>1277096</v>
      </c>
      <c r="AE55" s="86">
        <f>SUM(N56:AB56)</f>
        <v>49493</v>
      </c>
      <c r="AF55" s="86">
        <f>SUM(N57:AB57)</f>
        <v>32558</v>
      </c>
      <c r="AG55" s="93"/>
      <c r="AH55" s="86">
        <f>AD55-B55</f>
        <v>0</v>
      </c>
      <c r="AI55" s="86">
        <f>AE55-C55</f>
        <v>0</v>
      </c>
      <c r="AJ55" s="86">
        <f>AF55-D55</f>
        <v>0</v>
      </c>
      <c r="AK55" s="93"/>
      <c r="AL55" s="87">
        <f>C55/B55*1000</f>
        <v>38.754330136497181</v>
      </c>
      <c r="AM55" s="87">
        <f>D55/B55*1000</f>
        <v>25.493776505446732</v>
      </c>
      <c r="AN55" s="92"/>
      <c r="AO55" s="87">
        <f>AL55-K55</f>
        <v>-4.5669863502816099E-2</v>
      </c>
      <c r="AP55" s="87">
        <f>AM55-L55</f>
        <v>-6.2234945532679831E-3</v>
      </c>
    </row>
    <row r="56" spans="1:42" customFormat="1">
      <c r="A56" s="13" t="s">
        <v>66</v>
      </c>
      <c r="B56" s="2"/>
      <c r="C56" s="2"/>
      <c r="D56" s="2"/>
      <c r="E56" s="2"/>
      <c r="F56" s="2"/>
      <c r="G56" s="2"/>
      <c r="H56" s="2"/>
      <c r="I56" s="2"/>
      <c r="J56" s="2"/>
      <c r="K56" s="51"/>
      <c r="L56" s="51"/>
      <c r="M56" s="74"/>
      <c r="N56" s="2">
        <v>4854</v>
      </c>
      <c r="O56" s="2">
        <v>7821</v>
      </c>
      <c r="P56" s="2">
        <v>4312</v>
      </c>
      <c r="Q56" s="2">
        <v>4724</v>
      </c>
      <c r="R56" s="2">
        <v>13447</v>
      </c>
      <c r="S56" s="2">
        <v>4907</v>
      </c>
      <c r="T56" s="2">
        <v>3382</v>
      </c>
      <c r="U56" s="2">
        <v>6046</v>
      </c>
      <c r="V56" s="2"/>
      <c r="W56" s="2"/>
      <c r="X56" s="2"/>
      <c r="Y56" s="2"/>
      <c r="AG56" s="93"/>
      <c r="AK56" s="93"/>
      <c r="AN56" s="93"/>
    </row>
    <row r="57" spans="1:42" customFormat="1">
      <c r="A57" s="13" t="s">
        <v>67</v>
      </c>
      <c r="B57" s="2"/>
      <c r="C57" s="2"/>
      <c r="D57" s="2"/>
      <c r="E57" s="2"/>
      <c r="F57" s="2"/>
      <c r="G57" s="2"/>
      <c r="H57" s="2"/>
      <c r="I57" s="2"/>
      <c r="J57" s="2"/>
      <c r="K57" s="51"/>
      <c r="L57" s="51"/>
      <c r="M57" s="74"/>
      <c r="N57" s="2">
        <v>3481</v>
      </c>
      <c r="O57" s="2">
        <v>5900</v>
      </c>
      <c r="P57" s="2">
        <v>2383</v>
      </c>
      <c r="Q57" s="2">
        <v>2944</v>
      </c>
      <c r="R57" s="2">
        <v>7963</v>
      </c>
      <c r="S57" s="2">
        <v>3202</v>
      </c>
      <c r="T57" s="2">
        <v>2381</v>
      </c>
      <c r="U57" s="2">
        <v>4304</v>
      </c>
      <c r="V57" s="2"/>
      <c r="W57" s="2"/>
      <c r="X57" s="2"/>
      <c r="Y57" s="2"/>
      <c r="AG57" s="93"/>
      <c r="AK57" s="93"/>
      <c r="AN57" s="93"/>
    </row>
    <row r="58" spans="1:42" customFormat="1">
      <c r="A58" s="18" t="s">
        <v>68</v>
      </c>
      <c r="B58" s="19">
        <v>666542</v>
      </c>
      <c r="C58" s="19">
        <v>24237</v>
      </c>
      <c r="D58" s="19">
        <v>17698</v>
      </c>
      <c r="E58" s="19"/>
      <c r="F58" s="19"/>
      <c r="G58" s="19"/>
      <c r="H58" s="19">
        <v>638742</v>
      </c>
      <c r="I58" s="19">
        <v>25153</v>
      </c>
      <c r="J58" s="19">
        <v>16038</v>
      </c>
      <c r="K58" s="53">
        <v>36.299999999999997</v>
      </c>
      <c r="L58" s="53">
        <v>26.5</v>
      </c>
      <c r="M58" s="74"/>
      <c r="N58" s="19">
        <v>108874</v>
      </c>
      <c r="O58" s="19">
        <v>93054</v>
      </c>
      <c r="P58" s="19">
        <v>90200</v>
      </c>
      <c r="Q58" s="19">
        <v>90377</v>
      </c>
      <c r="R58" s="19">
        <v>73302</v>
      </c>
      <c r="S58" s="19">
        <v>64485</v>
      </c>
      <c r="T58" s="19">
        <v>70243</v>
      </c>
      <c r="U58" s="19">
        <v>76007</v>
      </c>
      <c r="V58" s="19"/>
      <c r="W58" s="19"/>
      <c r="X58" s="19"/>
      <c r="Y58" s="19"/>
      <c r="Z58" s="20"/>
      <c r="AA58" s="20"/>
      <c r="AB58" s="20"/>
      <c r="AD58" s="86">
        <f>SUM(N58:AB58)</f>
        <v>666542</v>
      </c>
      <c r="AE58" s="86">
        <f>SUM(N59:AB59)</f>
        <v>24237</v>
      </c>
      <c r="AF58" s="86">
        <f>SUM(N60:AB60)</f>
        <v>17697</v>
      </c>
      <c r="AG58" s="93"/>
      <c r="AH58" s="86">
        <f>AD58-B58</f>
        <v>0</v>
      </c>
      <c r="AI58" s="86">
        <f>AE58-C58</f>
        <v>0</v>
      </c>
      <c r="AJ58" s="86">
        <f>AF58-D58</f>
        <v>-1</v>
      </c>
      <c r="AK58" s="93"/>
      <c r="AL58" s="87">
        <f>C58/B58*1000</f>
        <v>36.362299750053261</v>
      </c>
      <c r="AM58" s="87">
        <f>D58/B58*1000</f>
        <v>26.55196521749567</v>
      </c>
      <c r="AN58" s="92"/>
      <c r="AO58" s="87">
        <f>AL58-K58</f>
        <v>6.2299750053263381E-2</v>
      </c>
      <c r="AP58" s="87">
        <f>AM58-L58</f>
        <v>5.1965217495670402E-2</v>
      </c>
    </row>
    <row r="59" spans="1:42" customFormat="1">
      <c r="A59" s="13" t="s">
        <v>69</v>
      </c>
      <c r="B59" s="2"/>
      <c r="C59" s="2"/>
      <c r="D59" s="2"/>
      <c r="E59" s="2"/>
      <c r="F59" s="2"/>
      <c r="G59" s="2"/>
      <c r="H59" s="2"/>
      <c r="I59" s="2"/>
      <c r="J59" s="2"/>
      <c r="K59" s="51"/>
      <c r="L59" s="51"/>
      <c r="M59" s="74"/>
      <c r="N59" s="2">
        <v>4560</v>
      </c>
      <c r="O59" s="2">
        <v>3234</v>
      </c>
      <c r="P59" s="2">
        <v>3342</v>
      </c>
      <c r="Q59" s="2">
        <v>3170</v>
      </c>
      <c r="R59" s="2">
        <v>2601</v>
      </c>
      <c r="S59" s="2">
        <v>2720</v>
      </c>
      <c r="T59" s="2">
        <v>2053</v>
      </c>
      <c r="U59" s="2">
        <v>2557</v>
      </c>
      <c r="V59" s="2"/>
      <c r="W59" s="2"/>
      <c r="X59" s="2"/>
      <c r="Y59" s="2"/>
      <c r="AG59" s="93"/>
      <c r="AK59" s="93"/>
      <c r="AN59" s="93"/>
    </row>
    <row r="60" spans="1:42" customFormat="1">
      <c r="A60" s="13" t="s">
        <v>70</v>
      </c>
      <c r="B60" s="2"/>
      <c r="C60" s="2"/>
      <c r="D60" s="2"/>
      <c r="E60" s="2"/>
      <c r="F60" s="2"/>
      <c r="G60" s="2"/>
      <c r="H60" s="2"/>
      <c r="I60" s="2"/>
      <c r="J60" s="2"/>
      <c r="K60" s="51"/>
      <c r="L60" s="51"/>
      <c r="M60" s="74"/>
      <c r="N60" s="2">
        <v>2800</v>
      </c>
      <c r="O60" s="2">
        <v>2075</v>
      </c>
      <c r="P60" s="2">
        <v>2749</v>
      </c>
      <c r="Q60" s="2">
        <v>1881</v>
      </c>
      <c r="R60" s="2">
        <v>1803</v>
      </c>
      <c r="S60" s="2">
        <v>2747</v>
      </c>
      <c r="T60" s="2">
        <v>1695</v>
      </c>
      <c r="U60" s="2">
        <v>1947</v>
      </c>
      <c r="V60" s="2"/>
      <c r="W60" s="2"/>
      <c r="X60" s="2"/>
      <c r="Y60" s="2"/>
      <c r="AG60" s="93"/>
      <c r="AK60" s="93"/>
      <c r="AN60" s="93"/>
    </row>
    <row r="61" spans="1:42" customFormat="1">
      <c r="A61" s="14" t="s">
        <v>71</v>
      </c>
      <c r="B61" s="15">
        <v>812159</v>
      </c>
      <c r="C61" s="15">
        <v>30063</v>
      </c>
      <c r="D61" s="15">
        <v>19314</v>
      </c>
      <c r="E61" s="15">
        <v>52482</v>
      </c>
      <c r="F61" s="15">
        <v>1729</v>
      </c>
      <c r="G61" s="15">
        <v>1365</v>
      </c>
      <c r="H61" s="15">
        <v>754741</v>
      </c>
      <c r="I61" s="15">
        <v>30470</v>
      </c>
      <c r="J61" s="15">
        <v>17131</v>
      </c>
      <c r="K61" s="52">
        <v>37</v>
      </c>
      <c r="L61" s="52">
        <v>23.8</v>
      </c>
      <c r="M61" s="75"/>
      <c r="N61" s="15">
        <v>139894</v>
      </c>
      <c r="O61" s="15">
        <v>108679</v>
      </c>
      <c r="P61" s="15">
        <v>114680</v>
      </c>
      <c r="Q61" s="15">
        <v>117839</v>
      </c>
      <c r="R61" s="15">
        <v>119146</v>
      </c>
      <c r="S61" s="15">
        <v>113401</v>
      </c>
      <c r="T61" s="15">
        <v>98520</v>
      </c>
      <c r="U61" s="15"/>
      <c r="V61" s="15"/>
      <c r="W61" s="15"/>
      <c r="X61" s="15"/>
      <c r="Y61" s="15"/>
      <c r="Z61" s="17"/>
      <c r="AA61" s="17"/>
      <c r="AB61" s="17"/>
      <c r="AD61" s="86">
        <f>SUM(N61:AB61)</f>
        <v>812159</v>
      </c>
      <c r="AE61" s="86">
        <f>SUM(N62:AB62)</f>
        <v>30063</v>
      </c>
      <c r="AF61" s="86">
        <f>SUM(N63:AB63)</f>
        <v>19314</v>
      </c>
      <c r="AG61" s="93"/>
      <c r="AH61" s="86">
        <f>AD61-B61</f>
        <v>0</v>
      </c>
      <c r="AI61" s="86">
        <f>AE61-C61</f>
        <v>0</v>
      </c>
      <c r="AJ61" s="86">
        <f>AF61-D61</f>
        <v>0</v>
      </c>
      <c r="AK61" s="93"/>
      <c r="AL61" s="87">
        <f>C61/B61*1000</f>
        <v>37.016150778357442</v>
      </c>
      <c r="AM61" s="87">
        <f>D61/B61*1000</f>
        <v>23.781057650041433</v>
      </c>
      <c r="AN61" s="92"/>
      <c r="AO61" s="87">
        <f>AL61-K61</f>
        <v>1.6150778357442164E-2</v>
      </c>
      <c r="AP61" s="87">
        <f>AM61-L61</f>
        <v>-1.8942349958567917E-2</v>
      </c>
    </row>
    <row r="62" spans="1:42" customFormat="1">
      <c r="A62" s="12" t="s">
        <v>72</v>
      </c>
      <c r="B62" s="5"/>
      <c r="C62" s="5"/>
      <c r="D62" s="5"/>
      <c r="E62" s="5"/>
      <c r="F62" s="5"/>
      <c r="G62" s="5"/>
      <c r="H62" s="5"/>
      <c r="I62" s="5"/>
      <c r="J62" s="5"/>
      <c r="K62" s="55"/>
      <c r="L62" s="55"/>
      <c r="M62" s="75"/>
      <c r="N62" s="5">
        <v>4449</v>
      </c>
      <c r="O62" s="5">
        <v>4392</v>
      </c>
      <c r="P62" s="5">
        <v>4606</v>
      </c>
      <c r="Q62" s="5">
        <v>3580</v>
      </c>
      <c r="R62" s="5">
        <v>4828</v>
      </c>
      <c r="S62" s="5">
        <v>4203</v>
      </c>
      <c r="T62" s="5">
        <v>4005</v>
      </c>
      <c r="U62" s="5"/>
      <c r="V62" s="5"/>
      <c r="W62" s="5"/>
      <c r="X62" s="5"/>
      <c r="Y62" s="5"/>
      <c r="Z62" s="4"/>
      <c r="AA62" s="4"/>
      <c r="AB62" s="4"/>
      <c r="AG62" s="93"/>
      <c r="AK62" s="93"/>
      <c r="AN62" s="93"/>
    </row>
    <row r="63" spans="1:42" customFormat="1">
      <c r="A63" s="12" t="s">
        <v>73</v>
      </c>
      <c r="B63" s="5"/>
      <c r="C63" s="5"/>
      <c r="D63" s="5"/>
      <c r="E63" s="5"/>
      <c r="F63" s="5"/>
      <c r="G63" s="5"/>
      <c r="H63" s="5"/>
      <c r="I63" s="5"/>
      <c r="J63" s="5"/>
      <c r="K63" s="55"/>
      <c r="L63" s="55"/>
      <c r="M63" s="75"/>
      <c r="N63" s="5">
        <v>3075</v>
      </c>
      <c r="O63" s="5">
        <v>2283</v>
      </c>
      <c r="P63" s="5">
        <v>2502</v>
      </c>
      <c r="Q63" s="5">
        <v>2514</v>
      </c>
      <c r="R63" s="5">
        <v>3283</v>
      </c>
      <c r="S63" s="5">
        <v>2771</v>
      </c>
      <c r="T63" s="5">
        <v>2886</v>
      </c>
      <c r="U63" s="5"/>
      <c r="V63" s="5"/>
      <c r="W63" s="5"/>
      <c r="X63" s="5"/>
      <c r="Y63" s="5"/>
      <c r="Z63" s="4"/>
      <c r="AA63" s="4"/>
      <c r="AB63" s="4"/>
      <c r="AG63" s="93"/>
      <c r="AK63" s="93"/>
      <c r="AN63" s="93"/>
    </row>
    <row r="64" spans="1:42" customFormat="1">
      <c r="A64" s="14" t="s">
        <v>74</v>
      </c>
      <c r="B64" s="15">
        <v>706475</v>
      </c>
      <c r="C64" s="15">
        <v>20760</v>
      </c>
      <c r="D64" s="15">
        <v>16356</v>
      </c>
      <c r="E64" s="15">
        <v>72573</v>
      </c>
      <c r="F64" s="15">
        <v>1091</v>
      </c>
      <c r="G64" s="15">
        <v>996</v>
      </c>
      <c r="H64" s="15">
        <v>687874</v>
      </c>
      <c r="I64" s="15">
        <v>20842</v>
      </c>
      <c r="J64" s="15">
        <v>15392</v>
      </c>
      <c r="K64" s="52">
        <v>29.4</v>
      </c>
      <c r="L64" s="52">
        <v>23.2</v>
      </c>
      <c r="M64" s="75"/>
      <c r="N64" s="15">
        <v>111272</v>
      </c>
      <c r="O64" s="15">
        <v>95128</v>
      </c>
      <c r="P64" s="15">
        <v>85885</v>
      </c>
      <c r="Q64" s="15">
        <v>97976</v>
      </c>
      <c r="R64" s="15">
        <v>87217</v>
      </c>
      <c r="S64" s="15">
        <v>124767</v>
      </c>
      <c r="T64" s="15">
        <v>104230</v>
      </c>
      <c r="U64" s="15"/>
      <c r="V64" s="15"/>
      <c r="W64" s="15"/>
      <c r="X64" s="15"/>
      <c r="Y64" s="15"/>
      <c r="Z64" s="17"/>
      <c r="AA64" s="17"/>
      <c r="AB64" s="17"/>
      <c r="AD64" s="86">
        <f>SUM(N64:AB64)</f>
        <v>706475</v>
      </c>
      <c r="AE64" s="86">
        <f>SUM(N65:AB65)</f>
        <v>18960</v>
      </c>
      <c r="AF64" s="86">
        <f>SUM(N66:AB66)</f>
        <v>16356</v>
      </c>
      <c r="AG64" s="93"/>
      <c r="AH64" s="86">
        <f>AD64-B64</f>
        <v>0</v>
      </c>
      <c r="AI64" s="86">
        <f>AE64-C64</f>
        <v>-1800</v>
      </c>
      <c r="AJ64" s="86">
        <f>AF64-D64</f>
        <v>0</v>
      </c>
      <c r="AK64" s="93"/>
      <c r="AL64" s="87">
        <f>C64/B64*1000</f>
        <v>29.385328567889875</v>
      </c>
      <c r="AM64" s="87">
        <f>D64/B64*1000</f>
        <v>23.151562334123643</v>
      </c>
      <c r="AN64" s="92"/>
      <c r="AO64" s="87">
        <f>AL64-K64</f>
        <v>-1.4671432110123561E-2</v>
      </c>
      <c r="AP64" s="87">
        <f>AM64-L64</f>
        <v>-4.8437665876356562E-2</v>
      </c>
    </row>
    <row r="65" spans="1:42" customFormat="1">
      <c r="A65" s="12" t="s">
        <v>75</v>
      </c>
      <c r="B65" s="5"/>
      <c r="C65" s="5"/>
      <c r="D65" s="5"/>
      <c r="E65" s="5"/>
      <c r="F65" s="5"/>
      <c r="G65" s="5"/>
      <c r="H65" s="5"/>
      <c r="I65" s="5"/>
      <c r="J65" s="5"/>
      <c r="K65" s="55"/>
      <c r="L65" s="55"/>
      <c r="M65" s="75"/>
      <c r="N65" s="5">
        <v>2965</v>
      </c>
      <c r="O65" s="5">
        <v>2369</v>
      </c>
      <c r="P65" s="5">
        <v>2490</v>
      </c>
      <c r="Q65" s="5">
        <v>2610</v>
      </c>
      <c r="R65" s="5">
        <v>2711</v>
      </c>
      <c r="S65" s="5">
        <v>2401</v>
      </c>
      <c r="T65" s="5">
        <v>3414</v>
      </c>
      <c r="U65" s="5"/>
      <c r="V65" s="5"/>
      <c r="W65" s="5"/>
      <c r="X65" s="5"/>
      <c r="Y65" s="5"/>
      <c r="Z65" s="4"/>
      <c r="AA65" s="4"/>
      <c r="AB65" s="4"/>
      <c r="AG65" s="93"/>
      <c r="AK65" s="93"/>
      <c r="AN65" s="93"/>
    </row>
    <row r="66" spans="1:42" customFormat="1">
      <c r="A66" s="12" t="s">
        <v>76</v>
      </c>
      <c r="B66" s="5"/>
      <c r="C66" s="5"/>
      <c r="D66" s="5"/>
      <c r="E66" s="5"/>
      <c r="F66" s="5"/>
      <c r="G66" s="5"/>
      <c r="H66" s="5"/>
      <c r="I66" s="5"/>
      <c r="J66" s="5"/>
      <c r="K66" s="55"/>
      <c r="L66" s="55"/>
      <c r="M66" s="75"/>
      <c r="N66" s="5">
        <v>1961</v>
      </c>
      <c r="O66" s="5">
        <v>1814</v>
      </c>
      <c r="P66" s="5">
        <v>1516</v>
      </c>
      <c r="Q66" s="5">
        <v>2090</v>
      </c>
      <c r="R66" s="5">
        <v>2846</v>
      </c>
      <c r="S66" s="5">
        <v>2978</v>
      </c>
      <c r="T66" s="5">
        <v>3151</v>
      </c>
      <c r="U66" s="5"/>
      <c r="V66" s="5"/>
      <c r="W66" s="5"/>
      <c r="X66" s="5"/>
      <c r="Y66" s="5"/>
      <c r="Z66" s="4"/>
      <c r="AA66" s="4"/>
      <c r="AB66" s="4"/>
      <c r="AG66" s="93"/>
      <c r="AK66" s="93"/>
      <c r="AN66" s="93"/>
    </row>
    <row r="67" spans="1:42" customFormat="1">
      <c r="A67" s="14" t="s">
        <v>77</v>
      </c>
      <c r="B67" s="15">
        <v>764010</v>
      </c>
      <c r="C67" s="15">
        <v>26432</v>
      </c>
      <c r="D67" s="15">
        <v>16865</v>
      </c>
      <c r="E67" s="15">
        <v>64842</v>
      </c>
      <c r="F67" s="15">
        <v>1878</v>
      </c>
      <c r="G67" s="15">
        <v>1630</v>
      </c>
      <c r="H67" s="15">
        <v>721063</v>
      </c>
      <c r="I67" s="15">
        <v>27684</v>
      </c>
      <c r="J67" s="15">
        <v>17171</v>
      </c>
      <c r="K67" s="52">
        <v>34.6</v>
      </c>
      <c r="L67" s="52">
        <v>22.1</v>
      </c>
      <c r="M67" s="75"/>
      <c r="N67" s="15">
        <v>75528</v>
      </c>
      <c r="O67" s="15">
        <v>72426</v>
      </c>
      <c r="P67" s="15">
        <v>75713</v>
      </c>
      <c r="Q67" s="15">
        <v>101340</v>
      </c>
      <c r="R67" s="15">
        <v>115217</v>
      </c>
      <c r="S67" s="15">
        <v>61383</v>
      </c>
      <c r="T67" s="15">
        <v>102936</v>
      </c>
      <c r="U67" s="15">
        <v>83520</v>
      </c>
      <c r="V67" s="15">
        <v>75947</v>
      </c>
      <c r="W67" s="15"/>
      <c r="X67" s="15"/>
      <c r="Y67" s="15"/>
      <c r="Z67" s="17"/>
      <c r="AA67" s="17"/>
      <c r="AB67" s="17"/>
      <c r="AD67" s="86">
        <f>SUM(N67:AB67)</f>
        <v>764010</v>
      </c>
      <c r="AE67" s="86">
        <f>SUM(N68:AB68)</f>
        <v>26432</v>
      </c>
      <c r="AF67" s="86">
        <f>SUM(N69:AB69)</f>
        <v>16865</v>
      </c>
      <c r="AG67" s="93"/>
      <c r="AH67" s="86">
        <f>AD67-B67</f>
        <v>0</v>
      </c>
      <c r="AI67" s="86">
        <f>AE67-C67</f>
        <v>0</v>
      </c>
      <c r="AJ67" s="86">
        <f>AF67-D67</f>
        <v>0</v>
      </c>
      <c r="AK67" s="93"/>
      <c r="AL67" s="87">
        <f>C67/B67*1000</f>
        <v>34.596405806206725</v>
      </c>
      <c r="AM67" s="87">
        <f>D67/B67*1000</f>
        <v>22.074318398973837</v>
      </c>
      <c r="AN67" s="92"/>
      <c r="AO67" s="87">
        <f>AL67-K67</f>
        <v>-3.5941937932761903E-3</v>
      </c>
      <c r="AP67" s="87">
        <f>AM67-L67</f>
        <v>-2.5681601026164458E-2</v>
      </c>
    </row>
    <row r="68" spans="1:42" customFormat="1">
      <c r="A68" s="12" t="s">
        <v>78</v>
      </c>
      <c r="B68" s="5"/>
      <c r="C68" s="5"/>
      <c r="D68" s="5"/>
      <c r="E68" s="5"/>
      <c r="F68" s="5"/>
      <c r="G68" s="5"/>
      <c r="H68" s="5"/>
      <c r="I68" s="5"/>
      <c r="J68" s="5"/>
      <c r="K68" s="55"/>
      <c r="L68" s="55"/>
      <c r="M68" s="75"/>
      <c r="N68" s="5">
        <v>2260</v>
      </c>
      <c r="O68" s="5">
        <v>2095</v>
      </c>
      <c r="P68" s="5">
        <v>2828</v>
      </c>
      <c r="Q68" s="5">
        <v>4183</v>
      </c>
      <c r="R68" s="5">
        <v>4509</v>
      </c>
      <c r="S68" s="5">
        <v>1785</v>
      </c>
      <c r="T68" s="5">
        <v>3918</v>
      </c>
      <c r="U68" s="5">
        <v>2179</v>
      </c>
      <c r="V68" s="5">
        <v>2675</v>
      </c>
      <c r="W68" s="5"/>
      <c r="X68" s="5"/>
      <c r="Y68" s="5"/>
      <c r="Z68" s="4"/>
      <c r="AA68" s="4"/>
      <c r="AB68" s="4"/>
      <c r="AG68" s="93"/>
      <c r="AK68" s="93"/>
      <c r="AN68" s="93"/>
    </row>
    <row r="69" spans="1:42" customFormat="1">
      <c r="A69" s="12" t="s">
        <v>79</v>
      </c>
      <c r="B69" s="5"/>
      <c r="C69" s="5"/>
      <c r="D69" s="5"/>
      <c r="E69" s="5"/>
      <c r="F69" s="5"/>
      <c r="G69" s="5"/>
      <c r="H69" s="5"/>
      <c r="I69" s="5"/>
      <c r="J69" s="5"/>
      <c r="K69" s="55"/>
      <c r="L69" s="55"/>
      <c r="M69" s="75"/>
      <c r="N69" s="5">
        <v>1502</v>
      </c>
      <c r="O69" s="5">
        <v>1661</v>
      </c>
      <c r="P69" s="5">
        <v>1936</v>
      </c>
      <c r="Q69" s="5">
        <v>2952</v>
      </c>
      <c r="R69" s="5">
        <v>2922</v>
      </c>
      <c r="S69" s="5">
        <v>1219</v>
      </c>
      <c r="T69" s="5">
        <v>1098</v>
      </c>
      <c r="U69" s="5">
        <v>1817</v>
      </c>
      <c r="V69" s="5">
        <v>1758</v>
      </c>
      <c r="W69" s="5"/>
      <c r="X69" s="5"/>
      <c r="Y69" s="5"/>
      <c r="Z69" s="4"/>
      <c r="AA69" s="4"/>
      <c r="AB69" s="4"/>
      <c r="AG69" s="93"/>
      <c r="AK69" s="93"/>
      <c r="AN69" s="93"/>
    </row>
    <row r="70" spans="1:42" customFormat="1">
      <c r="A70" s="24" t="s">
        <v>80</v>
      </c>
      <c r="B70" s="25">
        <v>8325258</v>
      </c>
      <c r="C70" s="25">
        <v>340848</v>
      </c>
      <c r="D70" s="25">
        <v>241320</v>
      </c>
      <c r="E70" s="25"/>
      <c r="F70" s="25"/>
      <c r="G70" s="25"/>
      <c r="H70" s="25">
        <v>8713684</v>
      </c>
      <c r="I70" s="25">
        <v>341302</v>
      </c>
      <c r="J70" s="25">
        <v>207824</v>
      </c>
      <c r="K70" s="56">
        <v>36.6</v>
      </c>
      <c r="L70" s="56">
        <v>25.9</v>
      </c>
      <c r="M70" s="7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6"/>
      <c r="AA70" s="26"/>
      <c r="AB70" s="26"/>
      <c r="AD70" s="98">
        <f>SUM(AD39:AD69)</f>
        <v>9325287</v>
      </c>
      <c r="AE70" s="98">
        <f>SUM(AE39:AE69)</f>
        <v>339048</v>
      </c>
      <c r="AF70" s="98">
        <f>SUM(AF39:AF69)</f>
        <v>241319</v>
      </c>
      <c r="AG70" s="93"/>
      <c r="AH70" s="98">
        <f>B70-AD70</f>
        <v>-1000029</v>
      </c>
      <c r="AI70" s="98">
        <f>C70-AE70</f>
        <v>1800</v>
      </c>
      <c r="AJ70" s="98">
        <f>D70-AF70</f>
        <v>1</v>
      </c>
      <c r="AK70" s="93"/>
      <c r="AL70" s="97">
        <f>C70/B70*1000</f>
        <v>40.941433887093943</v>
      </c>
      <c r="AM70" s="97">
        <f>D70/B70*1000</f>
        <v>28.986489067365838</v>
      </c>
      <c r="AN70" s="97"/>
      <c r="AO70" s="97">
        <f>AL70-K70</f>
        <v>4.3414338870939417</v>
      </c>
      <c r="AP70" s="97">
        <f>AM70-L70</f>
        <v>3.0864890673658394</v>
      </c>
    </row>
    <row r="71" spans="1:42" customFormat="1">
      <c r="A71" s="14" t="s">
        <v>81</v>
      </c>
      <c r="B71" s="15">
        <v>718514</v>
      </c>
      <c r="C71" s="15">
        <v>19400</v>
      </c>
      <c r="D71" s="15">
        <v>12786</v>
      </c>
      <c r="E71" s="15">
        <v>120221</v>
      </c>
      <c r="F71" s="15">
        <v>4007</v>
      </c>
      <c r="G71" s="15">
        <v>2686</v>
      </c>
      <c r="H71" s="15">
        <v>700611</v>
      </c>
      <c r="I71" s="15">
        <v>19179</v>
      </c>
      <c r="J71" s="15">
        <v>12188</v>
      </c>
      <c r="K71" s="52">
        <v>27</v>
      </c>
      <c r="L71" s="52">
        <v>17.8</v>
      </c>
      <c r="M71" s="75"/>
      <c r="N71" s="15">
        <v>106561</v>
      </c>
      <c r="O71" s="15">
        <v>59355</v>
      </c>
      <c r="P71" s="15">
        <v>51201</v>
      </c>
      <c r="Q71" s="15">
        <v>60632</v>
      </c>
      <c r="R71" s="15">
        <v>74146</v>
      </c>
      <c r="S71" s="15">
        <v>93866</v>
      </c>
      <c r="T71" s="15">
        <v>77942</v>
      </c>
      <c r="U71" s="15">
        <v>70624</v>
      </c>
      <c r="V71" s="15">
        <v>53551</v>
      </c>
      <c r="W71" s="15">
        <v>70646</v>
      </c>
      <c r="X71" s="15"/>
      <c r="Y71" s="15"/>
      <c r="Z71" s="17"/>
      <c r="AA71" s="17"/>
      <c r="AB71" s="17"/>
      <c r="AD71" s="86">
        <f>SUM(N71:AB71)</f>
        <v>718524</v>
      </c>
      <c r="AE71" s="86">
        <f>SUM(N72:AB72)</f>
        <v>19400</v>
      </c>
      <c r="AF71" s="86">
        <f>SUM(N73:AB73)</f>
        <v>12786</v>
      </c>
      <c r="AG71" s="93"/>
      <c r="AH71" s="86">
        <f>AD71-B71</f>
        <v>10</v>
      </c>
      <c r="AI71" s="86">
        <f>AE71-C71</f>
        <v>0</v>
      </c>
      <c r="AJ71" s="86">
        <f>AF71-D71</f>
        <v>0</v>
      </c>
      <c r="AK71" s="93"/>
      <c r="AL71" s="87">
        <f>C71/B71*1000</f>
        <v>27.000169794882215</v>
      </c>
      <c r="AM71" s="87">
        <f>D71/B71*1000</f>
        <v>17.795060360688865</v>
      </c>
      <c r="AN71" s="92"/>
      <c r="AO71" s="87">
        <f>AL71-K71</f>
        <v>1.697948822148021E-4</v>
      </c>
      <c r="AP71" s="87">
        <f>AM71-L71</f>
        <v>-4.939639311135835E-3</v>
      </c>
    </row>
    <row r="72" spans="1:42" customFormat="1">
      <c r="A72" s="12" t="s">
        <v>82</v>
      </c>
      <c r="B72" s="5"/>
      <c r="C72" s="5"/>
      <c r="D72" s="5"/>
      <c r="E72" s="5"/>
      <c r="F72" s="5"/>
      <c r="G72" s="5"/>
      <c r="H72" s="5"/>
      <c r="I72" s="5"/>
      <c r="J72" s="5"/>
      <c r="K72" s="55"/>
      <c r="L72" s="55"/>
      <c r="M72" s="75"/>
      <c r="N72" s="5">
        <v>2504</v>
      </c>
      <c r="O72" s="5">
        <v>1449</v>
      </c>
      <c r="P72" s="5">
        <v>1389</v>
      </c>
      <c r="Q72" s="5">
        <v>1547</v>
      </c>
      <c r="R72" s="5">
        <v>1963</v>
      </c>
      <c r="S72" s="5">
        <v>3269</v>
      </c>
      <c r="T72" s="5">
        <v>2208</v>
      </c>
      <c r="U72" s="5">
        <v>1712</v>
      </c>
      <c r="V72" s="5">
        <v>1477</v>
      </c>
      <c r="W72" s="5">
        <v>1882</v>
      </c>
      <c r="X72" s="5"/>
      <c r="Y72" s="5"/>
      <c r="Z72" s="4"/>
      <c r="AA72" s="4"/>
      <c r="AB72" s="4"/>
      <c r="AG72" s="93"/>
      <c r="AK72" s="93"/>
      <c r="AN72" s="93"/>
    </row>
    <row r="73" spans="1:42" customFormat="1">
      <c r="A73" s="12" t="s">
        <v>83</v>
      </c>
      <c r="B73" s="5"/>
      <c r="C73" s="5"/>
      <c r="D73" s="5"/>
      <c r="E73" s="5"/>
      <c r="F73" s="5"/>
      <c r="G73" s="5"/>
      <c r="H73" s="5"/>
      <c r="I73" s="5"/>
      <c r="J73" s="5"/>
      <c r="K73" s="55"/>
      <c r="L73" s="55"/>
      <c r="M73" s="75"/>
      <c r="N73" s="5">
        <v>1943</v>
      </c>
      <c r="O73" s="5">
        <v>1094</v>
      </c>
      <c r="P73" s="5">
        <v>888</v>
      </c>
      <c r="Q73" s="5">
        <v>932</v>
      </c>
      <c r="R73" s="5">
        <v>1317</v>
      </c>
      <c r="S73" s="5">
        <v>2103</v>
      </c>
      <c r="T73" s="5">
        <v>1259</v>
      </c>
      <c r="U73" s="5">
        <v>1088</v>
      </c>
      <c r="V73" s="5">
        <v>926</v>
      </c>
      <c r="W73" s="5">
        <v>1236</v>
      </c>
      <c r="X73" s="5"/>
      <c r="Y73" s="5"/>
      <c r="Z73" s="4"/>
      <c r="AA73" s="4"/>
      <c r="AB73" s="4"/>
      <c r="AG73" s="93"/>
      <c r="AK73" s="93"/>
      <c r="AN73" s="93"/>
    </row>
    <row r="74" spans="1:42" customFormat="1">
      <c r="A74" s="14" t="s">
        <v>84</v>
      </c>
      <c r="B74" s="15">
        <v>1286623</v>
      </c>
      <c r="C74" s="15">
        <v>34402</v>
      </c>
      <c r="D74" s="15">
        <v>25029</v>
      </c>
      <c r="E74" s="15">
        <v>255346</v>
      </c>
      <c r="F74" s="15">
        <v>7861</v>
      </c>
      <c r="G74" s="15">
        <v>6630</v>
      </c>
      <c r="H74" s="15">
        <v>1262131</v>
      </c>
      <c r="I74" s="15">
        <v>36766</v>
      </c>
      <c r="J74" s="15">
        <v>26179</v>
      </c>
      <c r="K74" s="52">
        <v>26.7</v>
      </c>
      <c r="L74" s="52">
        <v>19.399999999999999</v>
      </c>
      <c r="M74" s="75"/>
      <c r="N74" s="15">
        <v>327821</v>
      </c>
      <c r="O74" s="15">
        <v>124633</v>
      </c>
      <c r="P74" s="15">
        <v>136601</v>
      </c>
      <c r="Q74" s="15">
        <v>103561</v>
      </c>
      <c r="R74" s="15">
        <v>124646</v>
      </c>
      <c r="S74" s="15">
        <v>104585</v>
      </c>
      <c r="T74" s="15">
        <v>103785</v>
      </c>
      <c r="U74" s="15">
        <v>61865</v>
      </c>
      <c r="V74" s="15">
        <v>199126</v>
      </c>
      <c r="W74" s="15"/>
      <c r="X74" s="15"/>
      <c r="Y74" s="15"/>
      <c r="Z74" s="17"/>
      <c r="AA74" s="17"/>
      <c r="AB74" s="17"/>
      <c r="AD74" s="86">
        <f>SUM(N74:AB74)</f>
        <v>1286623</v>
      </c>
      <c r="AE74" s="86">
        <f>SUM(N75:AB75)</f>
        <v>34402</v>
      </c>
      <c r="AF74" s="86">
        <f>SUM(N76:AB76)</f>
        <v>25029</v>
      </c>
      <c r="AG74" s="93"/>
      <c r="AH74" s="86">
        <f>AD74-B74</f>
        <v>0</v>
      </c>
      <c r="AI74" s="86">
        <f>AE74-C74</f>
        <v>0</v>
      </c>
      <c r="AJ74" s="86">
        <f>AF74-D74</f>
        <v>0</v>
      </c>
      <c r="AK74" s="93"/>
      <c r="AL74" s="87">
        <f>C74/B74*1000</f>
        <v>26.738213136248927</v>
      </c>
      <c r="AM74" s="87">
        <f>D74/B74*1000</f>
        <v>19.453250874576312</v>
      </c>
      <c r="AN74" s="92"/>
      <c r="AO74" s="87">
        <f>AL74-K74</f>
        <v>3.8213136248927526E-2</v>
      </c>
      <c r="AP74" s="87">
        <f>AM74-L74</f>
        <v>5.3250874576313834E-2</v>
      </c>
    </row>
    <row r="75" spans="1:42" customFormat="1">
      <c r="A75" s="12" t="s">
        <v>85</v>
      </c>
      <c r="B75" s="5"/>
      <c r="C75" s="5"/>
      <c r="D75" s="5"/>
      <c r="E75" s="5"/>
      <c r="F75" s="5"/>
      <c r="G75" s="5"/>
      <c r="H75" s="5"/>
      <c r="I75" s="5"/>
      <c r="J75" s="5"/>
      <c r="K75" s="55"/>
      <c r="L75" s="55"/>
      <c r="M75" s="75"/>
      <c r="N75" s="5">
        <v>8902</v>
      </c>
      <c r="O75" s="5">
        <v>3516</v>
      </c>
      <c r="P75" s="5">
        <v>3009</v>
      </c>
      <c r="Q75" s="5">
        <v>3170</v>
      </c>
      <c r="R75" s="5">
        <v>3128</v>
      </c>
      <c r="S75" s="5">
        <v>2761</v>
      </c>
      <c r="T75" s="5">
        <v>2730</v>
      </c>
      <c r="U75" s="5">
        <v>1815</v>
      </c>
      <c r="V75" s="5">
        <v>5371</v>
      </c>
      <c r="W75" s="5"/>
      <c r="X75" s="5"/>
      <c r="Y75" s="5"/>
      <c r="Z75" s="4"/>
      <c r="AA75" s="4"/>
      <c r="AB75" s="4"/>
      <c r="AG75" s="93"/>
      <c r="AK75" s="93"/>
      <c r="AN75" s="93"/>
    </row>
    <row r="76" spans="1:42" customFormat="1">
      <c r="A76" s="12" t="s">
        <v>86</v>
      </c>
      <c r="B76" s="5"/>
      <c r="C76" s="5"/>
      <c r="D76" s="5"/>
      <c r="E76" s="5"/>
      <c r="F76" s="5"/>
      <c r="G76" s="5"/>
      <c r="H76" s="5"/>
      <c r="I76" s="5"/>
      <c r="J76" s="5"/>
      <c r="K76" s="55"/>
      <c r="L76" s="55"/>
      <c r="M76" s="75"/>
      <c r="N76" s="5">
        <v>6891</v>
      </c>
      <c r="O76" s="5">
        <v>1961</v>
      </c>
      <c r="P76" s="5">
        <v>2364</v>
      </c>
      <c r="Q76" s="5">
        <v>1898</v>
      </c>
      <c r="R76" s="5">
        <v>2337</v>
      </c>
      <c r="S76" s="5">
        <v>1976</v>
      </c>
      <c r="T76" s="5">
        <v>2092</v>
      </c>
      <c r="U76" s="5">
        <v>1176</v>
      </c>
      <c r="V76" s="5">
        <v>4334</v>
      </c>
      <c r="W76" s="5"/>
      <c r="X76" s="5"/>
      <c r="Y76" s="5"/>
      <c r="Z76" s="4"/>
      <c r="AA76" s="4"/>
      <c r="AB76" s="4"/>
      <c r="AG76" s="93"/>
      <c r="AK76" s="93"/>
      <c r="AN76" s="93"/>
    </row>
    <row r="77" spans="1:42" customFormat="1">
      <c r="A77" s="14" t="s">
        <v>87</v>
      </c>
      <c r="B77" s="15">
        <v>412304</v>
      </c>
      <c r="C77" s="15">
        <v>11801</v>
      </c>
      <c r="D77" s="15">
        <v>8059</v>
      </c>
      <c r="E77" s="15"/>
      <c r="F77" s="15"/>
      <c r="G77" s="15"/>
      <c r="H77" s="15">
        <v>400576</v>
      </c>
      <c r="I77" s="15">
        <v>11882</v>
      </c>
      <c r="J77" s="15">
        <v>8231</v>
      </c>
      <c r="K77" s="52">
        <v>28.7</v>
      </c>
      <c r="L77" s="52">
        <v>19.600000000000001</v>
      </c>
      <c r="M77" s="75"/>
      <c r="N77" s="15">
        <v>149365</v>
      </c>
      <c r="O77" s="15">
        <v>122733</v>
      </c>
      <c r="P77" s="15">
        <v>54693</v>
      </c>
      <c r="Q77" s="15">
        <v>85513</v>
      </c>
      <c r="R77" s="15"/>
      <c r="S77" s="15"/>
      <c r="T77" s="15"/>
      <c r="U77" s="15"/>
      <c r="V77" s="15"/>
      <c r="W77" s="15"/>
      <c r="X77" s="15"/>
      <c r="Y77" s="15"/>
      <c r="Z77" s="17"/>
      <c r="AA77" s="17"/>
      <c r="AB77" s="17"/>
      <c r="AD77" s="86">
        <f>SUM(N77:AB77)</f>
        <v>412304</v>
      </c>
      <c r="AE77" s="86">
        <f>SUM(N78:AB78)</f>
        <v>11801</v>
      </c>
      <c r="AF77" s="86">
        <f>SUM(N79:AB79)</f>
        <v>8059</v>
      </c>
      <c r="AG77" s="93"/>
      <c r="AH77" s="86">
        <f>AD77-B77</f>
        <v>0</v>
      </c>
      <c r="AI77" s="86">
        <f>AE77-C77</f>
        <v>0</v>
      </c>
      <c r="AJ77" s="86">
        <f>AF77-D77</f>
        <v>0</v>
      </c>
      <c r="AK77" s="93"/>
      <c r="AL77" s="87">
        <f>C77/B77*1000</f>
        <v>28.622084675385153</v>
      </c>
      <c r="AM77" s="87">
        <f>D77/B77*1000</f>
        <v>19.546257130660873</v>
      </c>
      <c r="AN77" s="92"/>
      <c r="AO77" s="87">
        <f>AL77-K77</f>
        <v>-7.7915324614846071E-2</v>
      </c>
      <c r="AP77" s="87">
        <f>AM77-L77</f>
        <v>-5.3742869339128418E-2</v>
      </c>
    </row>
    <row r="78" spans="1:42" customFormat="1">
      <c r="A78" s="12" t="s">
        <v>88</v>
      </c>
      <c r="B78" s="5"/>
      <c r="C78" s="5"/>
      <c r="D78" s="5"/>
      <c r="E78" s="5"/>
      <c r="F78" s="5"/>
      <c r="G78" s="5"/>
      <c r="H78" s="5"/>
      <c r="I78" s="5"/>
      <c r="J78" s="5"/>
      <c r="K78" s="55"/>
      <c r="L78" s="55"/>
      <c r="M78" s="75"/>
      <c r="N78" s="5">
        <v>4235</v>
      </c>
      <c r="O78" s="5">
        <v>3809</v>
      </c>
      <c r="P78" s="5">
        <v>1549</v>
      </c>
      <c r="Q78" s="5">
        <v>2208</v>
      </c>
      <c r="R78" s="5"/>
      <c r="S78" s="5"/>
      <c r="T78" s="5"/>
      <c r="U78" s="5"/>
      <c r="V78" s="5"/>
      <c r="W78" s="5"/>
      <c r="X78" s="5"/>
      <c r="Y78" s="5"/>
      <c r="Z78" s="4"/>
      <c r="AA78" s="4"/>
      <c r="AB78" s="4"/>
      <c r="AG78" s="93"/>
      <c r="AK78" s="93"/>
      <c r="AN78" s="93"/>
    </row>
    <row r="79" spans="1:42" customFormat="1">
      <c r="A79" s="12" t="s">
        <v>89</v>
      </c>
      <c r="B79" s="5"/>
      <c r="C79" s="5"/>
      <c r="D79" s="5"/>
      <c r="E79" s="5"/>
      <c r="F79" s="5"/>
      <c r="G79" s="5"/>
      <c r="H79" s="5"/>
      <c r="I79" s="5"/>
      <c r="J79" s="5"/>
      <c r="K79" s="55"/>
      <c r="L79" s="55"/>
      <c r="M79" s="75"/>
      <c r="N79" s="5">
        <v>2920</v>
      </c>
      <c r="O79" s="5">
        <v>2586</v>
      </c>
      <c r="P79" s="5">
        <v>1021</v>
      </c>
      <c r="Q79" s="5">
        <v>1532</v>
      </c>
      <c r="R79" s="5"/>
      <c r="S79" s="5"/>
      <c r="T79" s="5"/>
      <c r="U79" s="5"/>
      <c r="V79" s="5"/>
      <c r="W79" s="5"/>
      <c r="X79" s="5"/>
      <c r="Y79" s="5"/>
      <c r="Z79" s="4"/>
      <c r="AA79" s="4"/>
      <c r="AB79" s="4"/>
      <c r="AG79" s="93"/>
      <c r="AK79" s="93"/>
      <c r="AN79" s="93"/>
    </row>
    <row r="80" spans="1:42" customFormat="1">
      <c r="A80" s="24" t="s">
        <v>90</v>
      </c>
      <c r="B80" s="25">
        <v>2417441</v>
      </c>
      <c r="C80" s="25">
        <v>65603</v>
      </c>
      <c r="D80" s="25">
        <v>45874</v>
      </c>
      <c r="E80" s="25"/>
      <c r="F80" s="25"/>
      <c r="G80" s="25"/>
      <c r="H80" s="25">
        <v>2353318</v>
      </c>
      <c r="I80" s="25">
        <v>67826</v>
      </c>
      <c r="J80" s="25">
        <v>46598</v>
      </c>
      <c r="K80" s="56">
        <v>27.2</v>
      </c>
      <c r="L80" s="56">
        <v>19</v>
      </c>
      <c r="M80" s="7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6"/>
      <c r="AA80" s="26"/>
      <c r="AB80" s="26"/>
      <c r="AD80" s="98">
        <f>SUM(AD71:AD79)</f>
        <v>2417451</v>
      </c>
      <c r="AE80" s="98">
        <f>SUM(AE71:AE79)</f>
        <v>65603</v>
      </c>
      <c r="AF80" s="98">
        <f>SUM(AF71:AF79)</f>
        <v>45874</v>
      </c>
      <c r="AG80" s="93"/>
      <c r="AH80" s="98">
        <f>B80-AD80</f>
        <v>-10</v>
      </c>
      <c r="AI80" s="98">
        <f>C80-AE80</f>
        <v>0</v>
      </c>
      <c r="AJ80" s="98">
        <f>D80-AF80</f>
        <v>0</v>
      </c>
      <c r="AK80" s="93"/>
      <c r="AL80" s="97">
        <f>C80/B80*1000</f>
        <v>27.137373776650598</v>
      </c>
      <c r="AM80" s="97">
        <f>D80/B80*1000</f>
        <v>18.976264570676182</v>
      </c>
      <c r="AN80" s="97"/>
      <c r="AO80" s="97">
        <f>AL80-K80</f>
        <v>-6.2626223349401045E-2</v>
      </c>
      <c r="AP80" s="97">
        <f>AM80-L80</f>
        <v>-2.3735429323817669E-2</v>
      </c>
    </row>
    <row r="81" spans="1:42" customFormat="1">
      <c r="A81" s="14" t="s">
        <v>91</v>
      </c>
      <c r="B81" s="15">
        <v>1622286</v>
      </c>
      <c r="C81" s="15">
        <v>76427</v>
      </c>
      <c r="D81" s="15">
        <v>62590</v>
      </c>
      <c r="E81" s="15">
        <v>282922</v>
      </c>
      <c r="F81" s="15">
        <v>10481</v>
      </c>
      <c r="G81" s="15">
        <v>8989</v>
      </c>
      <c r="H81" s="15">
        <v>1571234</v>
      </c>
      <c r="I81" s="15">
        <v>74945</v>
      </c>
      <c r="J81" s="15">
        <v>46302</v>
      </c>
      <c r="K81" s="52">
        <v>47.1</v>
      </c>
      <c r="L81" s="52">
        <v>38.6</v>
      </c>
      <c r="M81" s="75"/>
      <c r="N81" s="15">
        <v>262177</v>
      </c>
      <c r="O81" s="15">
        <v>284330</v>
      </c>
      <c r="P81" s="15">
        <v>167782</v>
      </c>
      <c r="Q81" s="15">
        <v>191820</v>
      </c>
      <c r="R81" s="15">
        <v>170161</v>
      </c>
      <c r="S81" s="15">
        <v>180566</v>
      </c>
      <c r="T81" s="15">
        <v>209914</v>
      </c>
      <c r="U81" s="15">
        <v>155536</v>
      </c>
      <c r="V81" s="15"/>
      <c r="W81" s="15"/>
      <c r="X81" s="15"/>
      <c r="Y81" s="15"/>
      <c r="Z81" s="17"/>
      <c r="AA81" s="17"/>
      <c r="AB81" s="17"/>
      <c r="AD81" s="86">
        <f>SUM(N81:AB81)</f>
        <v>1622286</v>
      </c>
      <c r="AE81" s="86">
        <f>SUM(N82:AB82)</f>
        <v>76327</v>
      </c>
      <c r="AF81" s="86">
        <f>SUM(N83:AB83)</f>
        <v>62590</v>
      </c>
      <c r="AG81" s="93"/>
      <c r="AH81" s="86">
        <f>AD81-B81</f>
        <v>0</v>
      </c>
      <c r="AI81" s="86">
        <f>AE81-C81</f>
        <v>-100</v>
      </c>
      <c r="AJ81" s="86">
        <f>AF81-D81</f>
        <v>0</v>
      </c>
      <c r="AK81" s="93"/>
      <c r="AL81" s="87">
        <f>C81/B81*1000</f>
        <v>47.110682086882335</v>
      </c>
      <c r="AM81" s="87">
        <f>D81/B81*1000</f>
        <v>38.581359883522389</v>
      </c>
      <c r="AN81" s="92"/>
      <c r="AO81" s="87">
        <f>AL81-K81</f>
        <v>1.0682086882333408E-2</v>
      </c>
      <c r="AP81" s="87">
        <f>AM81-L81</f>
        <v>-1.8640116477612878E-2</v>
      </c>
    </row>
    <row r="82" spans="1:42" customFormat="1">
      <c r="A82" s="12" t="s">
        <v>92</v>
      </c>
      <c r="B82" s="5"/>
      <c r="C82" s="5"/>
      <c r="D82" s="5"/>
      <c r="E82" s="5"/>
      <c r="F82" s="5"/>
      <c r="G82" s="5"/>
      <c r="H82" s="5"/>
      <c r="I82" s="5"/>
      <c r="J82" s="5"/>
      <c r="K82" s="55"/>
      <c r="L82" s="55"/>
      <c r="M82" s="75"/>
      <c r="N82" s="5">
        <v>10463</v>
      </c>
      <c r="O82" s="5">
        <v>12072</v>
      </c>
      <c r="P82" s="5">
        <v>7811</v>
      </c>
      <c r="Q82" s="5">
        <v>8322</v>
      </c>
      <c r="R82" s="5">
        <v>8802</v>
      </c>
      <c r="S82" s="5">
        <v>8370</v>
      </c>
      <c r="T82" s="5">
        <v>11360</v>
      </c>
      <c r="U82" s="5">
        <v>9127</v>
      </c>
      <c r="V82" s="5"/>
      <c r="W82" s="5"/>
      <c r="X82" s="5"/>
      <c r="Y82" s="5"/>
      <c r="Z82" s="4"/>
      <c r="AA82" s="4"/>
      <c r="AB82" s="4"/>
      <c r="AG82" s="93"/>
      <c r="AK82" s="93"/>
      <c r="AN82" s="93"/>
    </row>
    <row r="83" spans="1:42" customFormat="1">
      <c r="A83" s="12" t="s">
        <v>93</v>
      </c>
      <c r="B83" s="5"/>
      <c r="C83" s="5"/>
      <c r="D83" s="5"/>
      <c r="E83" s="5"/>
      <c r="F83" s="5"/>
      <c r="G83" s="5"/>
      <c r="H83" s="5"/>
      <c r="I83" s="5"/>
      <c r="J83" s="5"/>
      <c r="K83" s="55"/>
      <c r="L83" s="55"/>
      <c r="M83" s="75"/>
      <c r="N83" s="5">
        <v>9768</v>
      </c>
      <c r="O83" s="5">
        <v>11192</v>
      </c>
      <c r="P83" s="5">
        <v>6564</v>
      </c>
      <c r="Q83" s="5">
        <v>5704</v>
      </c>
      <c r="R83" s="5">
        <v>6506</v>
      </c>
      <c r="S83" s="5">
        <v>6028</v>
      </c>
      <c r="T83" s="5">
        <v>7713</v>
      </c>
      <c r="U83" s="5">
        <v>9115</v>
      </c>
      <c r="V83" s="5"/>
      <c r="W83" s="5"/>
      <c r="X83" s="5"/>
      <c r="Y83" s="5"/>
      <c r="Z83" s="4"/>
      <c r="AA83" s="4"/>
      <c r="AB83" s="4"/>
      <c r="AG83" s="93"/>
      <c r="AK83" s="93"/>
      <c r="AN83" s="93"/>
    </row>
    <row r="84" spans="1:42" customFormat="1">
      <c r="A84" s="14" t="s">
        <v>94</v>
      </c>
      <c r="B84" s="15">
        <v>1544734</v>
      </c>
      <c r="C84" s="15">
        <v>76816</v>
      </c>
      <c r="D84" s="15">
        <v>63413</v>
      </c>
      <c r="E84" s="15">
        <v>134670</v>
      </c>
      <c r="F84" s="15">
        <v>7037</v>
      </c>
      <c r="G84" s="15">
        <v>6503</v>
      </c>
      <c r="H84" s="15">
        <v>1472244</v>
      </c>
      <c r="I84" s="15">
        <v>76883</v>
      </c>
      <c r="J84" s="15">
        <v>59727</v>
      </c>
      <c r="K84" s="52">
        <v>49.7</v>
      </c>
      <c r="L84" s="52">
        <v>41</v>
      </c>
      <c r="M84" s="75"/>
      <c r="N84" s="15">
        <v>167880</v>
      </c>
      <c r="O84" s="15">
        <v>105121</v>
      </c>
      <c r="P84" s="15">
        <v>93061</v>
      </c>
      <c r="Q84" s="15">
        <v>108751</v>
      </c>
      <c r="R84" s="15">
        <v>122983</v>
      </c>
      <c r="S84" s="15">
        <v>138298</v>
      </c>
      <c r="T84" s="15">
        <v>122640</v>
      </c>
      <c r="U84" s="15">
        <v>95712</v>
      </c>
      <c r="V84" s="15">
        <v>122694</v>
      </c>
      <c r="W84" s="15">
        <v>89469</v>
      </c>
      <c r="X84" s="15">
        <v>118631</v>
      </c>
      <c r="Y84" s="15">
        <v>150539</v>
      </c>
      <c r="Z84" s="15">
        <v>108955</v>
      </c>
      <c r="AA84" s="17"/>
      <c r="AB84" s="17"/>
      <c r="AD84" s="86">
        <f>SUM(N84:AB84)</f>
        <v>1544734</v>
      </c>
      <c r="AE84" s="86">
        <f>SUM(N85:AB85)</f>
        <v>76819</v>
      </c>
      <c r="AF84" s="86">
        <f>SUM(N86:AB86)</f>
        <v>63413</v>
      </c>
      <c r="AG84" s="93"/>
      <c r="AH84" s="86">
        <f>AD84-B84</f>
        <v>0</v>
      </c>
      <c r="AI84" s="86">
        <f>AE84-C84</f>
        <v>3</v>
      </c>
      <c r="AJ84" s="86">
        <f>AF84-D84</f>
        <v>0</v>
      </c>
      <c r="AK84" s="93"/>
      <c r="AL84" s="87">
        <f>C84/B84*1000</f>
        <v>49.727655376265432</v>
      </c>
      <c r="AM84" s="87">
        <f>D84/B84*1000</f>
        <v>41.051080639126219</v>
      </c>
      <c r="AN84" s="92"/>
      <c r="AO84" s="87">
        <f>AL84-K84</f>
        <v>2.7655376265428799E-2</v>
      </c>
      <c r="AP84" s="87">
        <f>AM84-L84</f>
        <v>5.1080639126219296E-2</v>
      </c>
    </row>
    <row r="85" spans="1:42" customFormat="1">
      <c r="A85" s="12" t="s">
        <v>95</v>
      </c>
      <c r="B85" s="5"/>
      <c r="C85" s="5"/>
      <c r="D85" s="5"/>
      <c r="E85" s="5"/>
      <c r="F85" s="5"/>
      <c r="G85" s="5"/>
      <c r="H85" s="5"/>
      <c r="I85" s="5"/>
      <c r="J85" s="5"/>
      <c r="K85" s="55"/>
      <c r="L85" s="55"/>
      <c r="M85" s="75"/>
      <c r="N85" s="5">
        <v>7823</v>
      </c>
      <c r="O85" s="5">
        <v>5385</v>
      </c>
      <c r="P85" s="5">
        <v>4417</v>
      </c>
      <c r="Q85" s="5">
        <v>4410</v>
      </c>
      <c r="R85" s="5">
        <v>5829</v>
      </c>
      <c r="S85" s="5">
        <v>7236</v>
      </c>
      <c r="T85" s="5">
        <v>6263</v>
      </c>
      <c r="U85" s="5">
        <v>4727</v>
      </c>
      <c r="V85" s="5">
        <v>7521</v>
      </c>
      <c r="W85" s="5">
        <v>4699</v>
      </c>
      <c r="X85" s="5">
        <v>6161</v>
      </c>
      <c r="Y85" s="5">
        <v>6944</v>
      </c>
      <c r="Z85" s="5">
        <v>5404</v>
      </c>
      <c r="AA85" s="4"/>
      <c r="AB85" s="4"/>
      <c r="AG85" s="93"/>
      <c r="AK85" s="93"/>
      <c r="AN85" s="93"/>
    </row>
    <row r="86" spans="1:42" customFormat="1">
      <c r="A86" s="12" t="s">
        <v>96</v>
      </c>
      <c r="B86" s="5"/>
      <c r="C86" s="5"/>
      <c r="D86" s="5"/>
      <c r="E86" s="5"/>
      <c r="F86" s="5"/>
      <c r="G86" s="5"/>
      <c r="H86" s="5"/>
      <c r="I86" s="5"/>
      <c r="J86" s="5"/>
      <c r="K86" s="55"/>
      <c r="L86" s="55"/>
      <c r="M86" s="75"/>
      <c r="N86" s="5">
        <v>6617</v>
      </c>
      <c r="O86" s="5">
        <v>4196</v>
      </c>
      <c r="P86" s="5">
        <v>3478</v>
      </c>
      <c r="Q86" s="5">
        <v>3880</v>
      </c>
      <c r="R86" s="5">
        <v>4429</v>
      </c>
      <c r="S86" s="5">
        <v>6137</v>
      </c>
      <c r="T86" s="5">
        <v>4916</v>
      </c>
      <c r="U86" s="5">
        <v>3334</v>
      </c>
      <c r="V86" s="5">
        <v>6498</v>
      </c>
      <c r="W86" s="5">
        <v>3472</v>
      </c>
      <c r="X86" s="5">
        <v>5083</v>
      </c>
      <c r="Y86" s="5">
        <v>6636</v>
      </c>
      <c r="Z86" s="5">
        <v>4737</v>
      </c>
      <c r="AA86" s="4"/>
      <c r="AB86" s="4"/>
      <c r="AG86" s="93"/>
      <c r="AK86" s="93"/>
      <c r="AN86" s="93"/>
    </row>
    <row r="87" spans="1:42" customFormat="1">
      <c r="A87" s="14" t="s">
        <v>97</v>
      </c>
      <c r="B87" s="15">
        <v>1314000</v>
      </c>
      <c r="C87" s="15">
        <v>55468</v>
      </c>
      <c r="D87" s="15">
        <v>47759</v>
      </c>
      <c r="E87" s="15">
        <v>43571</v>
      </c>
      <c r="F87" s="15">
        <v>1681</v>
      </c>
      <c r="G87" s="15">
        <v>1716</v>
      </c>
      <c r="H87" s="15">
        <v>1273316</v>
      </c>
      <c r="I87" s="15">
        <v>56729</v>
      </c>
      <c r="J87" s="15">
        <v>39809</v>
      </c>
      <c r="K87" s="52">
        <v>42.2</v>
      </c>
      <c r="L87" s="52">
        <v>36.299999999999997</v>
      </c>
      <c r="M87" s="75"/>
      <c r="N87" s="15">
        <v>166330</v>
      </c>
      <c r="O87" s="15">
        <v>105020</v>
      </c>
      <c r="P87" s="15">
        <v>106965</v>
      </c>
      <c r="Q87" s="15">
        <v>185579</v>
      </c>
      <c r="R87" s="15">
        <v>187292</v>
      </c>
      <c r="S87" s="15">
        <v>122042</v>
      </c>
      <c r="T87" s="15">
        <v>150797</v>
      </c>
      <c r="U87" s="15">
        <v>102543</v>
      </c>
      <c r="V87" s="15">
        <v>138502</v>
      </c>
      <c r="W87" s="15">
        <v>48930</v>
      </c>
      <c r="X87" s="15"/>
      <c r="Y87" s="15"/>
      <c r="Z87" s="17"/>
      <c r="AA87" s="17"/>
      <c r="AB87" s="17"/>
      <c r="AD87" s="86">
        <f>SUM(N87:AB87)</f>
        <v>1314000</v>
      </c>
      <c r="AE87" s="86">
        <f>SUM(N88:AB88)</f>
        <v>55465</v>
      </c>
      <c r="AF87" s="86">
        <f>SUM(N89:AB89)</f>
        <v>47759</v>
      </c>
      <c r="AG87" s="93"/>
      <c r="AH87" s="86">
        <f>AD87-B87</f>
        <v>0</v>
      </c>
      <c r="AI87" s="86">
        <f>AE87-C87</f>
        <v>-3</v>
      </c>
      <c r="AJ87" s="86">
        <f>AF87-D87</f>
        <v>0</v>
      </c>
      <c r="AK87" s="93"/>
      <c r="AL87" s="87">
        <f>C87/B87*1000</f>
        <v>42.213089802130895</v>
      </c>
      <c r="AM87" s="87">
        <f>D87/B87*1000</f>
        <v>36.346270928462708</v>
      </c>
      <c r="AN87" s="92"/>
      <c r="AO87" s="87">
        <f>AL87-K87</f>
        <v>1.3089802130892281E-2</v>
      </c>
      <c r="AP87" s="87">
        <f>AM87-L87</f>
        <v>4.627092846271097E-2</v>
      </c>
    </row>
    <row r="88" spans="1:42" customFormat="1">
      <c r="A88" s="12" t="s">
        <v>98</v>
      </c>
      <c r="B88" s="5"/>
      <c r="C88" s="5"/>
      <c r="D88" s="5"/>
      <c r="E88" s="5"/>
      <c r="F88" s="5"/>
      <c r="G88" s="5"/>
      <c r="H88" s="5"/>
      <c r="I88" s="5"/>
      <c r="J88" s="5"/>
      <c r="K88" s="55"/>
      <c r="L88" s="55"/>
      <c r="M88" s="75"/>
      <c r="N88" s="5">
        <v>6871</v>
      </c>
      <c r="O88" s="5">
        <v>4024</v>
      </c>
      <c r="P88" s="5">
        <v>4798</v>
      </c>
      <c r="Q88" s="5">
        <v>7433</v>
      </c>
      <c r="R88" s="5">
        <v>9134</v>
      </c>
      <c r="S88" s="5">
        <v>4905</v>
      </c>
      <c r="T88" s="5">
        <v>6508</v>
      </c>
      <c r="U88" s="5">
        <v>3769</v>
      </c>
      <c r="V88" s="5">
        <v>6308</v>
      </c>
      <c r="W88" s="5">
        <v>1715</v>
      </c>
      <c r="X88" s="5"/>
      <c r="Y88" s="5"/>
      <c r="Z88" s="4"/>
      <c r="AA88" s="4"/>
      <c r="AB88" s="4"/>
      <c r="AG88" s="93"/>
      <c r="AK88" s="93"/>
      <c r="AN88" s="93"/>
    </row>
    <row r="89" spans="1:42" customFormat="1">
      <c r="A89" s="12" t="s">
        <v>99</v>
      </c>
      <c r="B89" s="5"/>
      <c r="C89" s="5"/>
      <c r="D89" s="5"/>
      <c r="E89" s="5"/>
      <c r="F89" s="5"/>
      <c r="G89" s="5"/>
      <c r="H89" s="5"/>
      <c r="I89" s="5"/>
      <c r="J89" s="5"/>
      <c r="K89" s="55"/>
      <c r="L89" s="55"/>
      <c r="M89" s="75"/>
      <c r="N89" s="5">
        <v>4712</v>
      </c>
      <c r="O89" s="5">
        <v>3745</v>
      </c>
      <c r="P89" s="5">
        <v>3530</v>
      </c>
      <c r="Q89" s="5">
        <v>6178</v>
      </c>
      <c r="R89" s="5">
        <v>8700</v>
      </c>
      <c r="S89" s="5">
        <v>4256</v>
      </c>
      <c r="T89" s="5">
        <v>5636</v>
      </c>
      <c r="U89" s="5">
        <v>3432</v>
      </c>
      <c r="V89" s="5">
        <v>5669</v>
      </c>
      <c r="W89" s="5">
        <v>1901</v>
      </c>
      <c r="X89" s="5"/>
      <c r="Y89" s="5"/>
      <c r="Z89" s="4"/>
      <c r="AA89" s="4"/>
      <c r="AB89" s="4"/>
      <c r="AG89" s="93"/>
      <c r="AK89" s="93"/>
      <c r="AN89" s="93"/>
    </row>
    <row r="90" spans="1:42" customFormat="1">
      <c r="A90" s="27" t="s">
        <v>100</v>
      </c>
      <c r="B90" s="15">
        <v>2676587</v>
      </c>
      <c r="C90" s="15">
        <v>116448</v>
      </c>
      <c r="D90" s="15">
        <v>152129</v>
      </c>
      <c r="E90" s="15">
        <v>107841</v>
      </c>
      <c r="F90" s="15">
        <v>4329</v>
      </c>
      <c r="G90" s="15">
        <v>5091</v>
      </c>
      <c r="H90" s="15">
        <v>2671976</v>
      </c>
      <c r="I90" s="15">
        <v>140163</v>
      </c>
      <c r="J90" s="15">
        <v>102903</v>
      </c>
      <c r="K90" s="52">
        <v>43.5</v>
      </c>
      <c r="L90" s="52">
        <v>56.8</v>
      </c>
      <c r="M90" s="75"/>
      <c r="N90" s="15">
        <v>245075</v>
      </c>
      <c r="O90" s="15">
        <v>298050</v>
      </c>
      <c r="P90" s="15">
        <v>280114</v>
      </c>
      <c r="Q90" s="15">
        <v>347912</v>
      </c>
      <c r="R90" s="15">
        <v>207342</v>
      </c>
      <c r="S90" s="15">
        <v>132273</v>
      </c>
      <c r="T90" s="15">
        <v>211382</v>
      </c>
      <c r="U90" s="15">
        <v>160392</v>
      </c>
      <c r="V90" s="15">
        <v>192114</v>
      </c>
      <c r="W90" s="15">
        <v>176987</v>
      </c>
      <c r="X90" s="15">
        <v>279974</v>
      </c>
      <c r="Y90" s="15">
        <v>184962</v>
      </c>
      <c r="Z90" s="28"/>
      <c r="AA90" s="17"/>
      <c r="AB90" s="17"/>
      <c r="AD90" s="86">
        <f>SUM(N90:AB90)</f>
        <v>2716577</v>
      </c>
      <c r="AE90" s="86">
        <f>SUM(N91:AB91)</f>
        <v>116448</v>
      </c>
      <c r="AF90" s="86">
        <f>SUM(N92:AB92)</f>
        <v>152129</v>
      </c>
      <c r="AG90" s="93"/>
      <c r="AH90" s="86">
        <f>AD90-B90</f>
        <v>39990</v>
      </c>
      <c r="AI90" s="86">
        <f>AE90-C90</f>
        <v>0</v>
      </c>
      <c r="AJ90" s="86">
        <f>AF90-D90</f>
        <v>0</v>
      </c>
      <c r="AK90" s="93"/>
      <c r="AL90" s="87">
        <f>C90/B90*1000</f>
        <v>43.50615167749077</v>
      </c>
      <c r="AM90" s="87">
        <f>D90/B90*1000</f>
        <v>56.836934499046734</v>
      </c>
      <c r="AN90" s="92"/>
      <c r="AO90" s="87">
        <f>AL90-K90</f>
        <v>6.1516774907701688E-3</v>
      </c>
      <c r="AP90" s="87">
        <f>AM90-L90</f>
        <v>3.6934499046736846E-2</v>
      </c>
    </row>
    <row r="91" spans="1:42" customFormat="1">
      <c r="A91" s="9" t="s">
        <v>101</v>
      </c>
      <c r="B91" s="7"/>
      <c r="C91" s="7"/>
      <c r="D91" s="7"/>
      <c r="E91" s="7"/>
      <c r="F91" s="7"/>
      <c r="G91" s="7"/>
      <c r="H91" s="7"/>
      <c r="I91" s="7"/>
      <c r="J91" s="7"/>
      <c r="K91" s="57"/>
      <c r="L91" s="57"/>
      <c r="M91" s="77"/>
      <c r="N91" s="5">
        <v>12034</v>
      </c>
      <c r="O91" s="5">
        <v>9021</v>
      </c>
      <c r="P91" s="5">
        <v>13062</v>
      </c>
      <c r="Q91" s="5">
        <v>13752</v>
      </c>
      <c r="R91" s="5">
        <v>9613</v>
      </c>
      <c r="S91" s="5">
        <v>5689</v>
      </c>
      <c r="T91" s="5">
        <v>10413</v>
      </c>
      <c r="U91" s="5">
        <v>7394</v>
      </c>
      <c r="V91" s="5">
        <v>7139</v>
      </c>
      <c r="W91" s="5">
        <v>9492</v>
      </c>
      <c r="X91" s="5">
        <v>11707</v>
      </c>
      <c r="Y91" s="5">
        <v>7132</v>
      </c>
      <c r="Z91" s="7"/>
      <c r="AA91" s="4"/>
      <c r="AB91" s="4"/>
      <c r="AG91" s="93"/>
      <c r="AK91" s="93"/>
      <c r="AN91" s="93"/>
    </row>
    <row r="92" spans="1:42" customFormat="1">
      <c r="A92" s="9" t="s">
        <v>102</v>
      </c>
      <c r="B92" s="7"/>
      <c r="C92" s="7"/>
      <c r="D92" s="7"/>
      <c r="E92" s="7"/>
      <c r="F92" s="7"/>
      <c r="G92" s="7"/>
      <c r="H92" s="7"/>
      <c r="I92" s="7"/>
      <c r="J92" s="7"/>
      <c r="K92" s="57"/>
      <c r="L92" s="57"/>
      <c r="M92" s="77"/>
      <c r="N92" s="5">
        <v>14881</v>
      </c>
      <c r="O92" s="5">
        <v>13952</v>
      </c>
      <c r="P92" s="5">
        <v>14461</v>
      </c>
      <c r="Q92" s="5">
        <v>23135</v>
      </c>
      <c r="R92" s="5">
        <v>11935</v>
      </c>
      <c r="S92" s="5">
        <v>6198</v>
      </c>
      <c r="T92" s="5">
        <v>11682</v>
      </c>
      <c r="U92" s="5">
        <v>10186</v>
      </c>
      <c r="V92" s="5">
        <v>9314</v>
      </c>
      <c r="W92" s="5">
        <v>8024</v>
      </c>
      <c r="X92" s="5">
        <v>17887</v>
      </c>
      <c r="Y92" s="5">
        <v>10474</v>
      </c>
      <c r="Z92" s="7"/>
      <c r="AA92" s="4"/>
      <c r="AB92" s="4"/>
      <c r="AG92" s="93"/>
      <c r="AK92" s="93"/>
      <c r="AN92" s="93"/>
    </row>
    <row r="93" spans="1:42" customFormat="1">
      <c r="A93" s="27" t="s">
        <v>103</v>
      </c>
      <c r="B93" s="15">
        <v>3050600</v>
      </c>
      <c r="C93" s="15">
        <v>140463</v>
      </c>
      <c r="D93" s="15">
        <v>133061</v>
      </c>
      <c r="E93" s="15">
        <v>90349</v>
      </c>
      <c r="F93" s="15">
        <v>2499</v>
      </c>
      <c r="G93" s="15">
        <v>3294</v>
      </c>
      <c r="H93" s="15">
        <v>2970535</v>
      </c>
      <c r="I93" s="15">
        <v>155997</v>
      </c>
      <c r="J93" s="15">
        <v>118498</v>
      </c>
      <c r="K93" s="52">
        <v>46</v>
      </c>
      <c r="L93" s="52">
        <v>43.6</v>
      </c>
      <c r="M93" s="75"/>
      <c r="N93" s="15">
        <v>210592</v>
      </c>
      <c r="O93" s="15">
        <v>371883</v>
      </c>
      <c r="P93" s="15">
        <v>218970</v>
      </c>
      <c r="Q93" s="15">
        <v>287711</v>
      </c>
      <c r="R93" s="15">
        <v>268974</v>
      </c>
      <c r="S93" s="15">
        <v>223829</v>
      </c>
      <c r="T93" s="15">
        <v>224525</v>
      </c>
      <c r="U93" s="15">
        <v>367228</v>
      </c>
      <c r="V93" s="15">
        <v>214762</v>
      </c>
      <c r="W93" s="15">
        <v>291061</v>
      </c>
      <c r="X93" s="15">
        <v>371065</v>
      </c>
      <c r="Y93" s="28"/>
      <c r="Z93" s="28"/>
      <c r="AA93" s="17"/>
      <c r="AB93" s="17"/>
      <c r="AD93" s="86">
        <f>SUM(N93:AB93)</f>
        <v>3050600</v>
      </c>
      <c r="AE93" s="86">
        <f>SUM(N94:AB94)</f>
        <v>140463</v>
      </c>
      <c r="AF93" s="86">
        <f>SUM(N95:AB95)</f>
        <v>133055</v>
      </c>
      <c r="AG93" s="93"/>
      <c r="AH93" s="86">
        <f>AD93-B93</f>
        <v>0</v>
      </c>
      <c r="AI93" s="86">
        <f>AE93-C93</f>
        <v>0</v>
      </c>
      <c r="AJ93" s="86">
        <f>AF93-D93</f>
        <v>-6</v>
      </c>
      <c r="AK93" s="93"/>
      <c r="AL93" s="87">
        <f>C93/B93*1000</f>
        <v>46.044384711204351</v>
      </c>
      <c r="AM93" s="87">
        <f>D93/B93*1000</f>
        <v>43.617976791450857</v>
      </c>
      <c r="AN93" s="92"/>
      <c r="AO93" s="87">
        <f>AL93-K93</f>
        <v>4.438471120435139E-2</v>
      </c>
      <c r="AP93" s="87">
        <f>AM93-L93</f>
        <v>1.7976791450855956E-2</v>
      </c>
    </row>
    <row r="94" spans="1:42" customFormat="1">
      <c r="A94" s="9" t="s">
        <v>104</v>
      </c>
      <c r="B94" s="7"/>
      <c r="C94" s="7"/>
      <c r="D94" s="7"/>
      <c r="E94" s="7"/>
      <c r="F94" s="7"/>
      <c r="G94" s="7"/>
      <c r="H94" s="7"/>
      <c r="I94" s="7"/>
      <c r="J94" s="7"/>
      <c r="K94" s="57"/>
      <c r="L94" s="57"/>
      <c r="M94" s="77"/>
      <c r="N94" s="5">
        <v>8905</v>
      </c>
      <c r="O94" s="5">
        <v>18069</v>
      </c>
      <c r="P94" s="5">
        <v>10669</v>
      </c>
      <c r="Q94" s="5">
        <v>13058</v>
      </c>
      <c r="R94" s="5">
        <v>12468</v>
      </c>
      <c r="S94" s="5">
        <v>9435</v>
      </c>
      <c r="T94" s="5">
        <v>10027</v>
      </c>
      <c r="U94" s="5">
        <v>18642</v>
      </c>
      <c r="V94" s="5">
        <v>10298</v>
      </c>
      <c r="W94" s="5">
        <v>12501</v>
      </c>
      <c r="X94" s="5">
        <v>16391</v>
      </c>
      <c r="Y94" s="7"/>
      <c r="Z94" s="7"/>
      <c r="AA94" s="4"/>
      <c r="AB94" s="4"/>
      <c r="AG94" s="93"/>
      <c r="AK94" s="93"/>
      <c r="AN94" s="93"/>
    </row>
    <row r="95" spans="1:42" customFormat="1">
      <c r="A95" s="9" t="s">
        <v>105</v>
      </c>
      <c r="B95" s="7"/>
      <c r="C95" s="7"/>
      <c r="D95" s="7"/>
      <c r="E95" s="7"/>
      <c r="F95" s="7"/>
      <c r="G95" s="7"/>
      <c r="H95" s="7"/>
      <c r="I95" s="7"/>
      <c r="J95" s="7"/>
      <c r="K95" s="57"/>
      <c r="L95" s="57"/>
      <c r="M95" s="77"/>
      <c r="N95" s="5">
        <v>8871</v>
      </c>
      <c r="O95" s="5">
        <v>16519</v>
      </c>
      <c r="P95" s="5">
        <v>13330</v>
      </c>
      <c r="Q95" s="5">
        <v>8709</v>
      </c>
      <c r="R95" s="5">
        <v>13340</v>
      </c>
      <c r="S95" s="5">
        <v>7913</v>
      </c>
      <c r="T95" s="5">
        <v>8027</v>
      </c>
      <c r="U95" s="5">
        <v>21656</v>
      </c>
      <c r="V95" s="5">
        <v>8719</v>
      </c>
      <c r="W95" s="5">
        <v>12634</v>
      </c>
      <c r="X95" s="5">
        <v>13337</v>
      </c>
      <c r="Y95" s="7"/>
      <c r="Z95" s="7"/>
      <c r="AA95" s="4"/>
      <c r="AB95" s="4"/>
      <c r="AG95" s="93"/>
      <c r="AK95" s="93"/>
      <c r="AN95" s="93"/>
    </row>
    <row r="96" spans="1:42" customFormat="1">
      <c r="A96" s="27" t="s">
        <v>106</v>
      </c>
      <c r="B96" s="15">
        <v>1852363</v>
      </c>
      <c r="C96" s="15">
        <v>102673</v>
      </c>
      <c r="D96" s="15">
        <v>70996</v>
      </c>
      <c r="E96" s="15">
        <v>235177</v>
      </c>
      <c r="F96" s="15">
        <v>8360</v>
      </c>
      <c r="G96" s="15">
        <v>6634</v>
      </c>
      <c r="H96" s="15">
        <v>1684554</v>
      </c>
      <c r="I96" s="15">
        <v>93405</v>
      </c>
      <c r="J96" s="15">
        <v>60314</v>
      </c>
      <c r="K96" s="52">
        <v>55.5</v>
      </c>
      <c r="L96" s="52">
        <v>38.200000000000003</v>
      </c>
      <c r="M96" s="75"/>
      <c r="N96" s="15">
        <v>293402</v>
      </c>
      <c r="O96" s="15">
        <v>240103</v>
      </c>
      <c r="P96" s="15">
        <v>250040</v>
      </c>
      <c r="Q96" s="15">
        <v>178797</v>
      </c>
      <c r="R96" s="15">
        <v>231255</v>
      </c>
      <c r="S96" s="15">
        <v>233216</v>
      </c>
      <c r="T96" s="15">
        <v>254155</v>
      </c>
      <c r="U96" s="15">
        <v>171395</v>
      </c>
      <c r="V96" s="28"/>
      <c r="W96" s="28"/>
      <c r="X96" s="28"/>
      <c r="Y96" s="28"/>
      <c r="Z96" s="28"/>
      <c r="AA96" s="17"/>
      <c r="AB96" s="17"/>
      <c r="AD96" s="86">
        <f>SUM(N96:AB96)</f>
        <v>1852363</v>
      </c>
      <c r="AE96" s="86">
        <f>SUM(N97:AB97)</f>
        <v>102673</v>
      </c>
      <c r="AF96" s="86">
        <f>SUM(N98:AB98)</f>
        <v>70996</v>
      </c>
      <c r="AG96" s="93"/>
      <c r="AH96" s="86">
        <f>AD96-B96</f>
        <v>0</v>
      </c>
      <c r="AI96" s="86">
        <f>AE96-C96</f>
        <v>0</v>
      </c>
      <c r="AJ96" s="86">
        <f>AF96-D96</f>
        <v>0</v>
      </c>
      <c r="AK96" s="93"/>
      <c r="AL96" s="87">
        <f>C96/B96*1000</f>
        <v>55.428120730116078</v>
      </c>
      <c r="AM96" s="87">
        <f>D96/B96*1000</f>
        <v>38.327260909443773</v>
      </c>
      <c r="AN96" s="92"/>
      <c r="AO96" s="87">
        <f>AL96-K96</f>
        <v>-7.1879269883922348E-2</v>
      </c>
      <c r="AP96" s="87">
        <f>AM96-L96</f>
        <v>0.12726090944376978</v>
      </c>
    </row>
    <row r="97" spans="1:42" customFormat="1">
      <c r="A97" s="9" t="s">
        <v>107</v>
      </c>
      <c r="B97" s="7"/>
      <c r="C97" s="7"/>
      <c r="D97" s="7"/>
      <c r="E97" s="7"/>
      <c r="F97" s="7"/>
      <c r="G97" s="7"/>
      <c r="H97" s="7"/>
      <c r="I97" s="7"/>
      <c r="J97" s="7"/>
      <c r="K97" s="57"/>
      <c r="L97" s="57"/>
      <c r="M97" s="77"/>
      <c r="N97" s="5">
        <v>18415</v>
      </c>
      <c r="O97" s="5">
        <v>13950</v>
      </c>
      <c r="P97" s="5">
        <v>14008</v>
      </c>
      <c r="Q97" s="5">
        <v>9785</v>
      </c>
      <c r="R97" s="5">
        <v>13677</v>
      </c>
      <c r="S97" s="5">
        <v>12648</v>
      </c>
      <c r="T97" s="5">
        <v>11927</v>
      </c>
      <c r="U97" s="5">
        <v>8263</v>
      </c>
      <c r="V97" s="7"/>
      <c r="W97" s="7"/>
      <c r="X97" s="7"/>
      <c r="Y97" s="7"/>
      <c r="Z97" s="7"/>
      <c r="AA97" s="4"/>
      <c r="AB97" s="4"/>
      <c r="AG97" s="93"/>
      <c r="AK97" s="93"/>
      <c r="AN97" s="93"/>
    </row>
    <row r="98" spans="1:42" customFormat="1">
      <c r="A98" s="9" t="s">
        <v>108</v>
      </c>
      <c r="B98" s="7"/>
      <c r="C98" s="7"/>
      <c r="D98" s="7"/>
      <c r="E98" s="7"/>
      <c r="F98" s="7"/>
      <c r="G98" s="7"/>
      <c r="H98" s="7"/>
      <c r="I98" s="7"/>
      <c r="J98" s="7"/>
      <c r="K98" s="57"/>
      <c r="L98" s="57"/>
      <c r="M98" s="77"/>
      <c r="N98" s="5">
        <v>11209</v>
      </c>
      <c r="O98" s="5">
        <v>8715</v>
      </c>
      <c r="P98" s="5">
        <v>10223</v>
      </c>
      <c r="Q98" s="5">
        <v>5689</v>
      </c>
      <c r="R98" s="5">
        <v>11706</v>
      </c>
      <c r="S98" s="5">
        <v>7824</v>
      </c>
      <c r="T98" s="5">
        <v>8538</v>
      </c>
      <c r="U98" s="5">
        <v>7092</v>
      </c>
      <c r="V98" s="7"/>
      <c r="W98" s="7"/>
      <c r="X98" s="7"/>
      <c r="Y98" s="7"/>
      <c r="Z98" s="7"/>
      <c r="AA98" s="4"/>
      <c r="AB98" s="4"/>
      <c r="AG98" s="93"/>
      <c r="AK98" s="93"/>
      <c r="AN98" s="93"/>
    </row>
    <row r="99" spans="1:42" customFormat="1">
      <c r="A99" s="27" t="s">
        <v>109</v>
      </c>
      <c r="B99" s="15">
        <v>2201028</v>
      </c>
      <c r="C99" s="15">
        <v>83840</v>
      </c>
      <c r="D99" s="15">
        <v>102498</v>
      </c>
      <c r="E99" s="29" t="s">
        <v>16</v>
      </c>
      <c r="F99" s="15">
        <v>6097</v>
      </c>
      <c r="G99" s="15">
        <v>9702</v>
      </c>
      <c r="H99" s="15">
        <v>2188599</v>
      </c>
      <c r="I99" s="15">
        <v>104449</v>
      </c>
      <c r="J99" s="15">
        <v>73204</v>
      </c>
      <c r="K99" s="52">
        <v>38.1</v>
      </c>
      <c r="L99" s="52">
        <v>46.6</v>
      </c>
      <c r="M99" s="75"/>
      <c r="N99" s="15">
        <v>370268</v>
      </c>
      <c r="O99" s="15">
        <v>98453</v>
      </c>
      <c r="P99" s="15">
        <v>194800</v>
      </c>
      <c r="Q99" s="15">
        <v>198044</v>
      </c>
      <c r="R99" s="15">
        <v>128081</v>
      </c>
      <c r="S99" s="15">
        <v>176744</v>
      </c>
      <c r="T99" s="15">
        <v>193584</v>
      </c>
      <c r="U99" s="15">
        <v>111318</v>
      </c>
      <c r="V99" s="15">
        <v>161459</v>
      </c>
      <c r="W99" s="15">
        <v>118672</v>
      </c>
      <c r="X99" s="15">
        <v>311269</v>
      </c>
      <c r="Y99" s="15">
        <v>138336</v>
      </c>
      <c r="Z99" s="28"/>
      <c r="AA99" s="17"/>
      <c r="AB99" s="17"/>
      <c r="AD99" s="86">
        <f>SUM(N99:AB99)</f>
        <v>2201028</v>
      </c>
      <c r="AE99" s="86">
        <f>SUM(N100:AB100)</f>
        <v>84290</v>
      </c>
      <c r="AF99" s="86">
        <f>SUM(N101:AB101)</f>
        <v>102496</v>
      </c>
      <c r="AG99" s="93"/>
      <c r="AH99" s="86">
        <f>AD99-B99</f>
        <v>0</v>
      </c>
      <c r="AI99" s="86">
        <f>AE99-C99</f>
        <v>450</v>
      </c>
      <c r="AJ99" s="86">
        <f>AF99-D99</f>
        <v>-2</v>
      </c>
      <c r="AK99" s="93"/>
      <c r="AL99" s="87">
        <f>C99/B99*1000</f>
        <v>38.091291887245418</v>
      </c>
      <c r="AM99" s="87">
        <f>D99/B99*1000</f>
        <v>46.568239931522903</v>
      </c>
      <c r="AN99" s="92"/>
      <c r="AO99" s="87">
        <f>AL99-K99</f>
        <v>-8.7081127545829418E-3</v>
      </c>
      <c r="AP99" s="87">
        <f>AM99-L99</f>
        <v>-3.1760068477098002E-2</v>
      </c>
    </row>
    <row r="100" spans="1:42" customFormat="1">
      <c r="A100" s="9" t="s">
        <v>110</v>
      </c>
      <c r="B100" s="7"/>
      <c r="C100" s="7"/>
      <c r="D100" s="7"/>
      <c r="E100" s="7"/>
      <c r="F100" s="7"/>
      <c r="G100" s="7"/>
      <c r="H100" s="7"/>
      <c r="I100" s="7"/>
      <c r="J100" s="7"/>
      <c r="K100" s="57"/>
      <c r="L100" s="57"/>
      <c r="M100" s="77"/>
      <c r="N100" s="5">
        <v>12350</v>
      </c>
      <c r="O100" s="5">
        <v>3891</v>
      </c>
      <c r="P100" s="5">
        <v>6866</v>
      </c>
      <c r="Q100" s="5">
        <v>6763</v>
      </c>
      <c r="R100" s="5">
        <v>5830</v>
      </c>
      <c r="S100" s="5">
        <v>7665</v>
      </c>
      <c r="T100" s="5">
        <v>6718</v>
      </c>
      <c r="U100" s="5">
        <v>4367</v>
      </c>
      <c r="V100" s="5">
        <v>5758</v>
      </c>
      <c r="W100" s="5">
        <v>4677</v>
      </c>
      <c r="X100" s="5">
        <v>13162</v>
      </c>
      <c r="Y100" s="5">
        <v>6243</v>
      </c>
      <c r="Z100" s="7"/>
      <c r="AA100" s="4"/>
      <c r="AB100" s="4"/>
      <c r="AG100" s="93"/>
      <c r="AK100" s="93"/>
      <c r="AN100" s="93"/>
    </row>
    <row r="101" spans="1:42" customFormat="1">
      <c r="A101" s="9" t="s">
        <v>111</v>
      </c>
      <c r="B101" s="7"/>
      <c r="C101" s="7"/>
      <c r="D101" s="7"/>
      <c r="E101" s="7"/>
      <c r="F101" s="7"/>
      <c r="G101" s="7"/>
      <c r="H101" s="7"/>
      <c r="I101" s="7"/>
      <c r="J101" s="7"/>
      <c r="K101" s="57"/>
      <c r="L101" s="57"/>
      <c r="M101" s="77"/>
      <c r="N101" s="5">
        <v>16922</v>
      </c>
      <c r="O101" s="5">
        <v>3443</v>
      </c>
      <c r="P101" s="5">
        <v>10056</v>
      </c>
      <c r="Q101" s="5">
        <v>9125</v>
      </c>
      <c r="R101" s="5">
        <v>6428</v>
      </c>
      <c r="S101" s="5">
        <v>10203</v>
      </c>
      <c r="T101" s="5">
        <v>10869</v>
      </c>
      <c r="U101" s="5">
        <v>4489</v>
      </c>
      <c r="V101" s="5">
        <v>5396</v>
      </c>
      <c r="W101" s="5">
        <v>4252</v>
      </c>
      <c r="X101" s="5">
        <v>16032</v>
      </c>
      <c r="Y101" s="5">
        <v>5281</v>
      </c>
      <c r="Z101" s="7"/>
      <c r="AA101" s="4"/>
      <c r="AB101" s="4"/>
      <c r="AG101" s="93"/>
      <c r="AK101" s="93"/>
      <c r="AN101" s="93"/>
    </row>
    <row r="102" spans="1:42" customFormat="1">
      <c r="A102" s="27" t="s">
        <v>112</v>
      </c>
      <c r="B102" s="15">
        <v>1267028</v>
      </c>
      <c r="C102" s="15">
        <v>59822</v>
      </c>
      <c r="D102" s="15">
        <v>45967</v>
      </c>
      <c r="E102" s="15">
        <v>97316</v>
      </c>
      <c r="F102" s="15">
        <v>2872</v>
      </c>
      <c r="G102" s="15">
        <v>2613</v>
      </c>
      <c r="H102" s="15">
        <v>1230347</v>
      </c>
      <c r="I102" s="15">
        <v>58298</v>
      </c>
      <c r="J102" s="15">
        <v>45198</v>
      </c>
      <c r="K102" s="52">
        <v>47.2</v>
      </c>
      <c r="L102" s="52">
        <v>36.299999999999997</v>
      </c>
      <c r="M102" s="75"/>
      <c r="N102" s="15">
        <v>113848</v>
      </c>
      <c r="O102" s="15">
        <v>77500</v>
      </c>
      <c r="P102" s="15">
        <v>238139</v>
      </c>
      <c r="Q102" s="15">
        <v>134660</v>
      </c>
      <c r="R102" s="15">
        <v>94459</v>
      </c>
      <c r="S102" s="15">
        <v>50809</v>
      </c>
      <c r="T102" s="15">
        <v>127080</v>
      </c>
      <c r="U102" s="15">
        <v>121523</v>
      </c>
      <c r="V102" s="15">
        <v>165530</v>
      </c>
      <c r="W102" s="15">
        <v>71747</v>
      </c>
      <c r="X102" s="15">
        <v>71733</v>
      </c>
      <c r="Y102" s="28"/>
      <c r="Z102" s="28"/>
      <c r="AA102" s="17"/>
      <c r="AB102" s="17"/>
      <c r="AD102" s="86">
        <f>SUM(N102:AB102)</f>
        <v>1267028</v>
      </c>
      <c r="AE102" s="86">
        <f>SUM(N103:AB103)</f>
        <v>59822</v>
      </c>
      <c r="AF102" s="86">
        <f>SUM(N104:AB104)</f>
        <v>45964</v>
      </c>
      <c r="AG102" s="93"/>
      <c r="AH102" s="86">
        <f>AD102-B102</f>
        <v>0</v>
      </c>
      <c r="AI102" s="86">
        <f>AE102-C102</f>
        <v>0</v>
      </c>
      <c r="AJ102" s="86">
        <f>AF102-D102</f>
        <v>-3</v>
      </c>
      <c r="AK102" s="93"/>
      <c r="AL102" s="87">
        <f>C102/B102*1000</f>
        <v>47.214426200525956</v>
      </c>
      <c r="AM102" s="87">
        <f>D102/B102*1000</f>
        <v>36.279387669412202</v>
      </c>
      <c r="AN102" s="92"/>
      <c r="AO102" s="87">
        <f>AL102-K102</f>
        <v>1.4426200525953448E-2</v>
      </c>
      <c r="AP102" s="87">
        <f>AM102-L102</f>
        <v>-2.0612330587795213E-2</v>
      </c>
    </row>
    <row r="103" spans="1:42" customFormat="1">
      <c r="A103" s="9" t="s">
        <v>113</v>
      </c>
      <c r="B103" s="7"/>
      <c r="C103" s="7"/>
      <c r="D103" s="7"/>
      <c r="E103" s="7"/>
      <c r="F103" s="7"/>
      <c r="G103" s="7"/>
      <c r="H103" s="7"/>
      <c r="I103" s="7"/>
      <c r="J103" s="7"/>
      <c r="K103" s="57"/>
      <c r="L103" s="57"/>
      <c r="M103" s="77"/>
      <c r="N103" s="5">
        <v>4857</v>
      </c>
      <c r="O103" s="5">
        <v>3143</v>
      </c>
      <c r="P103" s="5">
        <v>12289</v>
      </c>
      <c r="Q103" s="5">
        <v>6356</v>
      </c>
      <c r="R103" s="5">
        <v>4679</v>
      </c>
      <c r="S103" s="5">
        <v>2315</v>
      </c>
      <c r="T103" s="5">
        <v>6558</v>
      </c>
      <c r="U103" s="5">
        <v>4927</v>
      </c>
      <c r="V103" s="5">
        <v>8431</v>
      </c>
      <c r="W103" s="5">
        <v>3365</v>
      </c>
      <c r="X103" s="5">
        <v>2902</v>
      </c>
      <c r="Y103" s="7"/>
      <c r="Z103" s="7"/>
      <c r="AA103" s="4"/>
      <c r="AB103" s="4"/>
      <c r="AG103" s="93"/>
      <c r="AK103" s="93"/>
      <c r="AN103" s="93"/>
    </row>
    <row r="104" spans="1:42" customFormat="1">
      <c r="A104" s="9" t="s">
        <v>114</v>
      </c>
      <c r="B104" s="7"/>
      <c r="C104" s="7"/>
      <c r="D104" s="7"/>
      <c r="E104" s="7"/>
      <c r="F104" s="7"/>
      <c r="G104" s="7"/>
      <c r="H104" s="7"/>
      <c r="I104" s="7"/>
      <c r="J104" s="7"/>
      <c r="K104" s="57"/>
      <c r="L104" s="57"/>
      <c r="M104" s="77"/>
      <c r="N104" s="5">
        <v>3648</v>
      </c>
      <c r="O104" s="5">
        <v>2695</v>
      </c>
      <c r="P104" s="5">
        <v>9028</v>
      </c>
      <c r="Q104" s="5">
        <v>4184</v>
      </c>
      <c r="R104" s="5">
        <v>3512</v>
      </c>
      <c r="S104" s="5">
        <v>2164</v>
      </c>
      <c r="T104" s="5">
        <v>5337</v>
      </c>
      <c r="U104" s="5">
        <v>3808</v>
      </c>
      <c r="V104" s="5">
        <v>6543</v>
      </c>
      <c r="W104" s="5">
        <v>2734</v>
      </c>
      <c r="X104" s="5">
        <v>2311</v>
      </c>
      <c r="Y104" s="7"/>
      <c r="Z104" s="7"/>
      <c r="AA104" s="4"/>
      <c r="AB104" s="4"/>
      <c r="AG104" s="93"/>
      <c r="AK104" s="93"/>
      <c r="AN104" s="93"/>
    </row>
    <row r="105" spans="1:42" customFormat="1">
      <c r="A105" s="27" t="s">
        <v>115</v>
      </c>
      <c r="B105" s="15">
        <v>1426099</v>
      </c>
      <c r="C105" s="15">
        <v>62808</v>
      </c>
      <c r="D105" s="15">
        <v>51993</v>
      </c>
      <c r="E105" s="15">
        <v>69907</v>
      </c>
      <c r="F105" s="15">
        <v>3074</v>
      </c>
      <c r="G105" s="15">
        <v>3027</v>
      </c>
      <c r="H105" s="15">
        <v>1382902</v>
      </c>
      <c r="I105" s="15">
        <v>64466</v>
      </c>
      <c r="J105" s="15">
        <v>49080</v>
      </c>
      <c r="K105" s="52">
        <v>44</v>
      </c>
      <c r="L105" s="52">
        <v>36.5</v>
      </c>
      <c r="M105" s="75"/>
      <c r="N105" s="15">
        <v>178058</v>
      </c>
      <c r="O105" s="15">
        <v>75831</v>
      </c>
      <c r="P105" s="15">
        <v>118859</v>
      </c>
      <c r="Q105" s="15">
        <v>113098</v>
      </c>
      <c r="R105" s="15">
        <v>116339</v>
      </c>
      <c r="S105" s="15">
        <v>137777</v>
      </c>
      <c r="T105" s="15">
        <v>111282</v>
      </c>
      <c r="U105" s="15">
        <v>147199</v>
      </c>
      <c r="V105" s="15">
        <v>167983</v>
      </c>
      <c r="W105" s="15">
        <v>66012</v>
      </c>
      <c r="X105" s="15">
        <v>58337</v>
      </c>
      <c r="Y105" s="15">
        <v>135325</v>
      </c>
      <c r="Z105" s="28"/>
      <c r="AA105" s="17"/>
      <c r="AB105" s="17"/>
      <c r="AD105" s="86">
        <f>SUM(N105:AB105)</f>
        <v>1426100</v>
      </c>
      <c r="AE105" s="86">
        <f>SUM(N106:AB106)</f>
        <v>62808</v>
      </c>
      <c r="AF105" s="86">
        <f>SUM(N107:AB107)</f>
        <v>51993</v>
      </c>
      <c r="AG105" s="93"/>
      <c r="AH105" s="86">
        <f>AD105-B105</f>
        <v>1</v>
      </c>
      <c r="AI105" s="86">
        <f>AE105-C105</f>
        <v>0</v>
      </c>
      <c r="AJ105" s="86">
        <f>AF105-D105</f>
        <v>0</v>
      </c>
      <c r="AK105" s="93"/>
      <c r="AL105" s="87">
        <f>C105/B105*1000</f>
        <v>44.041823183383485</v>
      </c>
      <c r="AM105" s="87">
        <f>D105/B105*1000</f>
        <v>36.458198203631028</v>
      </c>
      <c r="AN105" s="92"/>
      <c r="AO105" s="87">
        <f>AL105-K105</f>
        <v>4.182318338348523E-2</v>
      </c>
      <c r="AP105" s="87">
        <f>AM105-L105</f>
        <v>-4.1801796368972077E-2</v>
      </c>
    </row>
    <row r="106" spans="1:42" customFormat="1">
      <c r="A106" s="9" t="s">
        <v>116</v>
      </c>
      <c r="B106" s="7"/>
      <c r="C106" s="7"/>
      <c r="D106" s="7"/>
      <c r="E106" s="7"/>
      <c r="F106" s="7"/>
      <c r="G106" s="7"/>
      <c r="H106" s="7"/>
      <c r="I106" s="7"/>
      <c r="J106" s="7"/>
      <c r="K106" s="57"/>
      <c r="L106" s="57"/>
      <c r="M106" s="77"/>
      <c r="N106" s="5">
        <v>7458</v>
      </c>
      <c r="O106" s="5">
        <v>3373</v>
      </c>
      <c r="P106" s="5">
        <v>4434</v>
      </c>
      <c r="Q106" s="5">
        <v>6261</v>
      </c>
      <c r="R106" s="5">
        <v>4563</v>
      </c>
      <c r="S106" s="5">
        <v>6142</v>
      </c>
      <c r="T106" s="5">
        <v>5075</v>
      </c>
      <c r="U106" s="5">
        <v>6671</v>
      </c>
      <c r="V106" s="5">
        <v>7698</v>
      </c>
      <c r="W106" s="5">
        <v>2574</v>
      </c>
      <c r="X106" s="5">
        <v>2431</v>
      </c>
      <c r="Y106" s="5">
        <v>6128</v>
      </c>
      <c r="Z106" s="7"/>
      <c r="AA106" s="4"/>
      <c r="AB106" s="4"/>
      <c r="AG106" s="93"/>
      <c r="AK106" s="93"/>
      <c r="AN106" s="93"/>
    </row>
    <row r="107" spans="1:42" customFormat="1">
      <c r="A107" s="9" t="s">
        <v>117</v>
      </c>
      <c r="B107" s="7"/>
      <c r="C107" s="7"/>
      <c r="D107" s="7"/>
      <c r="E107" s="7"/>
      <c r="F107" s="7"/>
      <c r="G107" s="7"/>
      <c r="H107" s="7"/>
      <c r="I107" s="7"/>
      <c r="J107" s="7"/>
      <c r="K107" s="57"/>
      <c r="L107" s="57"/>
      <c r="M107" s="77"/>
      <c r="N107" s="5">
        <v>5702</v>
      </c>
      <c r="O107" s="5">
        <v>2874</v>
      </c>
      <c r="P107" s="5">
        <v>2870</v>
      </c>
      <c r="Q107" s="5">
        <v>4476</v>
      </c>
      <c r="R107" s="5">
        <v>3757</v>
      </c>
      <c r="S107" s="5">
        <v>5450</v>
      </c>
      <c r="T107" s="5">
        <v>4374</v>
      </c>
      <c r="U107" s="5">
        <v>5781</v>
      </c>
      <c r="V107" s="5">
        <v>6803</v>
      </c>
      <c r="W107" s="5">
        <v>2245</v>
      </c>
      <c r="X107" s="5">
        <v>2043</v>
      </c>
      <c r="Y107" s="5">
        <v>5618</v>
      </c>
      <c r="Z107" s="7"/>
      <c r="AA107" s="4"/>
      <c r="AB107" s="4"/>
      <c r="AG107" s="93"/>
      <c r="AK107" s="93"/>
      <c r="AN107" s="93"/>
    </row>
    <row r="108" spans="1:42" customFormat="1">
      <c r="A108" s="27" t="s">
        <v>118</v>
      </c>
      <c r="B108" s="15">
        <v>2592028</v>
      </c>
      <c r="C108" s="15">
        <v>109091</v>
      </c>
      <c r="D108" s="15">
        <v>97021</v>
      </c>
      <c r="E108" s="15">
        <v>171668</v>
      </c>
      <c r="F108" s="15">
        <v>8389</v>
      </c>
      <c r="G108" s="15">
        <v>9439</v>
      </c>
      <c r="H108" s="15">
        <v>2527830</v>
      </c>
      <c r="I108" s="15">
        <v>119123</v>
      </c>
      <c r="J108" s="15">
        <v>81087</v>
      </c>
      <c r="K108" s="52">
        <v>42.1</v>
      </c>
      <c r="L108" s="52">
        <v>37.4</v>
      </c>
      <c r="M108" s="75"/>
      <c r="N108" s="15">
        <v>243112</v>
      </c>
      <c r="O108" s="15">
        <v>199351</v>
      </c>
      <c r="P108" s="15">
        <v>192216</v>
      </c>
      <c r="Q108" s="15">
        <v>123218</v>
      </c>
      <c r="R108" s="15">
        <v>181663</v>
      </c>
      <c r="S108" s="15">
        <v>133078</v>
      </c>
      <c r="T108" s="15">
        <v>185142</v>
      </c>
      <c r="U108" s="15">
        <v>199934</v>
      </c>
      <c r="V108" s="15">
        <v>177594</v>
      </c>
      <c r="W108" s="15">
        <v>157318</v>
      </c>
      <c r="X108" s="15">
        <v>167151</v>
      </c>
      <c r="Y108" s="15">
        <v>171245</v>
      </c>
      <c r="Z108" s="15">
        <v>153944</v>
      </c>
      <c r="AA108" s="15">
        <v>129228</v>
      </c>
      <c r="AB108" s="15">
        <v>177834</v>
      </c>
      <c r="AD108" s="86">
        <f>SUM(N108:AB108)</f>
        <v>2592028</v>
      </c>
      <c r="AE108" s="86">
        <f>SUM(N109:AB109)</f>
        <v>109091</v>
      </c>
      <c r="AF108" s="86">
        <f>SUM(N110:AB110)</f>
        <v>97021</v>
      </c>
      <c r="AG108" s="93"/>
      <c r="AH108" s="86">
        <f>AD108-B108</f>
        <v>0</v>
      </c>
      <c r="AI108" s="86">
        <f>AE108-C108</f>
        <v>0</v>
      </c>
      <c r="AJ108" s="86">
        <f>AF108-D108</f>
        <v>0</v>
      </c>
      <c r="AK108" s="93"/>
      <c r="AL108" s="87">
        <f>C108/B108*1000</f>
        <v>42.087122515651835</v>
      </c>
      <c r="AM108" s="87">
        <f>D108/B108*1000</f>
        <v>37.430537015803843</v>
      </c>
      <c r="AN108" s="92"/>
      <c r="AO108" s="87">
        <f>AL108-K108</f>
        <v>-1.287748434816649E-2</v>
      </c>
      <c r="AP108" s="87">
        <f>AM108-L108</f>
        <v>3.053701580384427E-2</v>
      </c>
    </row>
    <row r="109" spans="1:42" customFormat="1">
      <c r="A109" s="9" t="s">
        <v>119</v>
      </c>
      <c r="B109" s="7"/>
      <c r="C109" s="7"/>
      <c r="D109" s="7"/>
      <c r="E109" s="7"/>
      <c r="F109" s="7"/>
      <c r="G109" s="7"/>
      <c r="H109" s="7"/>
      <c r="I109" s="7"/>
      <c r="J109" s="7"/>
      <c r="K109" s="57"/>
      <c r="L109" s="57"/>
      <c r="M109" s="77"/>
      <c r="N109" s="5">
        <v>10225</v>
      </c>
      <c r="O109" s="5">
        <v>7878</v>
      </c>
      <c r="P109" s="5">
        <v>8095</v>
      </c>
      <c r="Q109" s="5">
        <v>6406</v>
      </c>
      <c r="R109" s="5">
        <v>6891</v>
      </c>
      <c r="S109" s="5">
        <v>6574</v>
      </c>
      <c r="T109" s="5">
        <v>6673</v>
      </c>
      <c r="U109" s="5">
        <v>8809</v>
      </c>
      <c r="V109" s="5">
        <v>7624</v>
      </c>
      <c r="W109" s="5">
        <v>7704</v>
      </c>
      <c r="X109" s="5">
        <v>6194</v>
      </c>
      <c r="Y109" s="5">
        <v>7331</v>
      </c>
      <c r="Z109" s="5">
        <v>6011</v>
      </c>
      <c r="AA109" s="5">
        <v>5848</v>
      </c>
      <c r="AB109" s="5">
        <v>6828</v>
      </c>
      <c r="AG109" s="93"/>
      <c r="AK109" s="93"/>
      <c r="AN109" s="93"/>
    </row>
    <row r="110" spans="1:42" customFormat="1">
      <c r="A110" s="9" t="s">
        <v>120</v>
      </c>
      <c r="B110" s="7"/>
      <c r="C110" s="7"/>
      <c r="D110" s="7"/>
      <c r="E110" s="7"/>
      <c r="F110" s="7"/>
      <c r="G110" s="7"/>
      <c r="H110" s="7"/>
      <c r="I110" s="7"/>
      <c r="J110" s="7"/>
      <c r="K110" s="57"/>
      <c r="L110" s="57"/>
      <c r="M110" s="77"/>
      <c r="N110" s="5">
        <v>11379</v>
      </c>
      <c r="O110" s="5">
        <v>7631</v>
      </c>
      <c r="P110" s="5">
        <v>5995</v>
      </c>
      <c r="Q110" s="5">
        <v>5171</v>
      </c>
      <c r="R110" s="5">
        <v>6685</v>
      </c>
      <c r="S110" s="5">
        <v>5614</v>
      </c>
      <c r="T110" s="5">
        <v>5826</v>
      </c>
      <c r="U110" s="5">
        <v>6928</v>
      </c>
      <c r="V110" s="5">
        <v>5849</v>
      </c>
      <c r="W110" s="5">
        <v>6975</v>
      </c>
      <c r="X110" s="5">
        <v>6731</v>
      </c>
      <c r="Y110" s="5">
        <v>5863</v>
      </c>
      <c r="Z110" s="5">
        <v>5137</v>
      </c>
      <c r="AA110" s="5">
        <v>4985</v>
      </c>
      <c r="AB110" s="5">
        <v>6252</v>
      </c>
      <c r="AG110" s="93"/>
      <c r="AK110" s="93"/>
      <c r="AN110" s="93"/>
    </row>
    <row r="111" spans="1:42" customFormat="1">
      <c r="A111" s="27" t="s">
        <v>121</v>
      </c>
      <c r="B111" s="15">
        <v>1532039</v>
      </c>
      <c r="C111" s="15">
        <v>69506</v>
      </c>
      <c r="D111" s="15">
        <v>59841</v>
      </c>
      <c r="E111" s="15">
        <v>142085</v>
      </c>
      <c r="F111" s="15">
        <v>3583</v>
      </c>
      <c r="G111" s="15">
        <v>3508</v>
      </c>
      <c r="H111" s="15">
        <v>1490508</v>
      </c>
      <c r="I111" s="15">
        <v>68898</v>
      </c>
      <c r="J111" s="15">
        <v>58337</v>
      </c>
      <c r="K111" s="52">
        <v>45.4</v>
      </c>
      <c r="L111" s="52">
        <v>39.1</v>
      </c>
      <c r="M111" s="75"/>
      <c r="N111" s="15">
        <v>153842</v>
      </c>
      <c r="O111" s="15">
        <v>186786</v>
      </c>
      <c r="P111" s="15">
        <v>156477</v>
      </c>
      <c r="Q111" s="15">
        <v>62708</v>
      </c>
      <c r="R111" s="15">
        <v>96753</v>
      </c>
      <c r="S111" s="15">
        <v>144840</v>
      </c>
      <c r="T111" s="15">
        <v>94244</v>
      </c>
      <c r="U111" s="15">
        <v>124974</v>
      </c>
      <c r="V111" s="15">
        <v>132808</v>
      </c>
      <c r="W111" s="15">
        <v>70778</v>
      </c>
      <c r="X111" s="15">
        <v>101067</v>
      </c>
      <c r="Y111" s="15">
        <v>70647</v>
      </c>
      <c r="Z111" s="15">
        <v>136114</v>
      </c>
      <c r="AA111" s="17"/>
      <c r="AB111" s="17"/>
      <c r="AD111" s="86">
        <f>SUM(N111:AB111)</f>
        <v>1532038</v>
      </c>
      <c r="AE111" s="86">
        <f>SUM(N112:AB112)</f>
        <v>69506</v>
      </c>
      <c r="AF111" s="86">
        <f>SUM(N113:AB113)</f>
        <v>59841</v>
      </c>
      <c r="AG111" s="93"/>
      <c r="AH111" s="86">
        <f>AD111-B111</f>
        <v>-1</v>
      </c>
      <c r="AI111" s="86">
        <f>AE111-C111</f>
        <v>0</v>
      </c>
      <c r="AJ111" s="86">
        <f>AF111-D111</f>
        <v>0</v>
      </c>
      <c r="AK111" s="93"/>
      <c r="AL111" s="87">
        <f>C111/B111*1000</f>
        <v>45.368296760069427</v>
      </c>
      <c r="AM111" s="87">
        <f>D111/B111*1000</f>
        <v>39.059710620943726</v>
      </c>
      <c r="AN111" s="92"/>
      <c r="AO111" s="87">
        <f>AL111-K111</f>
        <v>-3.1703239930571669E-2</v>
      </c>
      <c r="AP111" s="87">
        <f>AM111-L111</f>
        <v>-4.028937905627572E-2</v>
      </c>
    </row>
    <row r="112" spans="1:42" customFormat="1">
      <c r="A112" s="9" t="s">
        <v>122</v>
      </c>
      <c r="B112" s="7"/>
      <c r="C112" s="7"/>
      <c r="D112" s="7"/>
      <c r="E112" s="7"/>
      <c r="F112" s="7"/>
      <c r="G112" s="7"/>
      <c r="H112" s="7"/>
      <c r="I112" s="7"/>
      <c r="J112" s="7"/>
      <c r="K112" s="57"/>
      <c r="L112" s="57"/>
      <c r="M112" s="77"/>
      <c r="N112" s="5">
        <v>9440</v>
      </c>
      <c r="O112" s="5">
        <v>9570</v>
      </c>
      <c r="P112" s="5">
        <v>6494</v>
      </c>
      <c r="Q112" s="5">
        <v>2862</v>
      </c>
      <c r="R112" s="5">
        <v>4142</v>
      </c>
      <c r="S112" s="5">
        <v>6166</v>
      </c>
      <c r="T112" s="5">
        <v>4265</v>
      </c>
      <c r="U112" s="5">
        <v>6081</v>
      </c>
      <c r="V112" s="5">
        <v>4747</v>
      </c>
      <c r="W112" s="5">
        <v>3155</v>
      </c>
      <c r="X112" s="5">
        <v>4394</v>
      </c>
      <c r="Y112" s="5">
        <v>3262</v>
      </c>
      <c r="Z112" s="5">
        <v>4928</v>
      </c>
      <c r="AA112" s="4"/>
      <c r="AB112" s="4"/>
      <c r="AG112" s="93"/>
      <c r="AK112" s="93"/>
      <c r="AN112" s="93"/>
    </row>
    <row r="113" spans="1:42" customFormat="1">
      <c r="A113" s="9" t="s">
        <v>123</v>
      </c>
      <c r="B113" s="7"/>
      <c r="C113" s="7"/>
      <c r="D113" s="7"/>
      <c r="E113" s="7"/>
      <c r="F113" s="7"/>
      <c r="G113" s="7"/>
      <c r="H113" s="7"/>
      <c r="I113" s="7"/>
      <c r="J113" s="7"/>
      <c r="K113" s="57"/>
      <c r="L113" s="57"/>
      <c r="M113" s="77"/>
      <c r="N113" s="5">
        <v>7900</v>
      </c>
      <c r="O113" s="5">
        <v>7996</v>
      </c>
      <c r="P113" s="5">
        <v>5263</v>
      </c>
      <c r="Q113" s="5">
        <v>2546</v>
      </c>
      <c r="R113" s="5">
        <v>3245</v>
      </c>
      <c r="S113" s="5">
        <v>5064</v>
      </c>
      <c r="T113" s="5">
        <v>4392</v>
      </c>
      <c r="U113" s="5">
        <v>5009</v>
      </c>
      <c r="V113" s="5">
        <v>4174</v>
      </c>
      <c r="W113" s="5">
        <v>3187</v>
      </c>
      <c r="X113" s="5">
        <v>3570</v>
      </c>
      <c r="Y113" s="5">
        <v>3471</v>
      </c>
      <c r="Z113" s="5">
        <v>4024</v>
      </c>
      <c r="AA113" s="4"/>
      <c r="AB113" s="4"/>
      <c r="AG113" s="93"/>
      <c r="AK113" s="93"/>
      <c r="AN113" s="93"/>
    </row>
    <row r="114" spans="1:42" customFormat="1">
      <c r="A114" s="27" t="s">
        <v>124</v>
      </c>
      <c r="B114" s="15">
        <v>1580635</v>
      </c>
      <c r="C114" s="15">
        <v>76809</v>
      </c>
      <c r="D114" s="15">
        <v>69315</v>
      </c>
      <c r="E114" s="15">
        <v>104622</v>
      </c>
      <c r="F114" s="15">
        <v>4634</v>
      </c>
      <c r="G114" s="15">
        <v>4969</v>
      </c>
      <c r="H114" s="15">
        <v>1541799</v>
      </c>
      <c r="I114" s="15">
        <v>82494</v>
      </c>
      <c r="J114" s="15">
        <v>66151</v>
      </c>
      <c r="K114" s="52">
        <v>48.6</v>
      </c>
      <c r="L114" s="52">
        <v>43.9</v>
      </c>
      <c r="M114" s="75"/>
      <c r="N114" s="15">
        <v>211789</v>
      </c>
      <c r="O114" s="15">
        <v>142995</v>
      </c>
      <c r="P114" s="15">
        <v>148240</v>
      </c>
      <c r="Q114" s="15">
        <v>114662</v>
      </c>
      <c r="R114" s="15">
        <v>132057</v>
      </c>
      <c r="S114" s="15">
        <v>132795</v>
      </c>
      <c r="T114" s="15">
        <v>119238</v>
      </c>
      <c r="U114" s="15">
        <v>192772</v>
      </c>
      <c r="V114" s="15">
        <v>107436</v>
      </c>
      <c r="W114" s="15">
        <v>111398</v>
      </c>
      <c r="X114" s="15">
        <v>167253</v>
      </c>
      <c r="Y114" s="28"/>
      <c r="Z114" s="28"/>
      <c r="AA114" s="17"/>
      <c r="AB114" s="17"/>
      <c r="AD114" s="86">
        <f>SUM(N114:AB114)</f>
        <v>1580635</v>
      </c>
      <c r="AE114" s="86">
        <f>SUM(N115:AB115)</f>
        <v>76839</v>
      </c>
      <c r="AF114" s="86">
        <f>SUM(N116:AB116)</f>
        <v>69315</v>
      </c>
      <c r="AG114" s="93"/>
      <c r="AH114" s="86">
        <f>AD114-B114</f>
        <v>0</v>
      </c>
      <c r="AI114" s="86">
        <f>AE114-C114</f>
        <v>30</v>
      </c>
      <c r="AJ114" s="86">
        <f>AF114-D114</f>
        <v>0</v>
      </c>
      <c r="AK114" s="93"/>
      <c r="AL114" s="87">
        <f>C114/B114*1000</f>
        <v>48.59376136805777</v>
      </c>
      <c r="AM114" s="87">
        <f>D114/B114*1000</f>
        <v>43.852628848532397</v>
      </c>
      <c r="AN114" s="92"/>
      <c r="AO114" s="87">
        <f>AL114-K114</f>
        <v>-6.2386319422316205E-3</v>
      </c>
      <c r="AP114" s="87">
        <f>AM114-L114</f>
        <v>-4.737115146760118E-2</v>
      </c>
    </row>
    <row r="115" spans="1:42" customFormat="1">
      <c r="A115" s="9" t="s">
        <v>125</v>
      </c>
      <c r="B115" s="7"/>
      <c r="C115" s="7"/>
      <c r="D115" s="7"/>
      <c r="E115" s="7"/>
      <c r="F115" s="7"/>
      <c r="G115" s="7"/>
      <c r="H115" s="7"/>
      <c r="I115" s="7"/>
      <c r="J115" s="7"/>
      <c r="K115" s="57"/>
      <c r="L115" s="57"/>
      <c r="M115" s="77"/>
      <c r="N115" s="5">
        <v>10338</v>
      </c>
      <c r="O115" s="5">
        <v>7393</v>
      </c>
      <c r="P115" s="5">
        <v>7171</v>
      </c>
      <c r="Q115" s="5">
        <v>5888</v>
      </c>
      <c r="R115" s="5">
        <v>6380</v>
      </c>
      <c r="S115" s="5">
        <v>6324</v>
      </c>
      <c r="T115" s="5">
        <v>5467</v>
      </c>
      <c r="U115" s="5">
        <v>9770</v>
      </c>
      <c r="V115" s="5">
        <v>5503</v>
      </c>
      <c r="W115" s="5">
        <v>5081</v>
      </c>
      <c r="X115" s="5">
        <v>7524</v>
      </c>
      <c r="Y115" s="7"/>
      <c r="Z115" s="7"/>
      <c r="AA115" s="4"/>
      <c r="AB115" s="4"/>
      <c r="AG115" s="93"/>
      <c r="AK115" s="93"/>
      <c r="AN115" s="93"/>
    </row>
    <row r="116" spans="1:42" customFormat="1">
      <c r="A116" s="9" t="s">
        <v>126</v>
      </c>
      <c r="B116" s="7"/>
      <c r="C116" s="7"/>
      <c r="D116" s="7"/>
      <c r="E116" s="7"/>
      <c r="F116" s="7"/>
      <c r="G116" s="7"/>
      <c r="H116" s="7"/>
      <c r="I116" s="7"/>
      <c r="J116" s="7"/>
      <c r="K116" s="57"/>
      <c r="L116" s="57"/>
      <c r="M116" s="77"/>
      <c r="N116" s="5">
        <v>9266</v>
      </c>
      <c r="O116" s="5">
        <v>6184</v>
      </c>
      <c r="P116" s="5">
        <v>6244</v>
      </c>
      <c r="Q116" s="5">
        <v>5457</v>
      </c>
      <c r="R116" s="5">
        <v>5888</v>
      </c>
      <c r="S116" s="5">
        <v>5682</v>
      </c>
      <c r="T116" s="5">
        <v>5536</v>
      </c>
      <c r="U116" s="5">
        <v>8763</v>
      </c>
      <c r="V116" s="5">
        <v>4486</v>
      </c>
      <c r="W116" s="5">
        <v>5396</v>
      </c>
      <c r="X116" s="5">
        <v>6413</v>
      </c>
      <c r="Y116" s="7"/>
      <c r="Z116" s="7"/>
      <c r="AA116" s="4"/>
      <c r="AB116" s="4"/>
      <c r="AG116" s="93"/>
      <c r="AK116" s="93"/>
      <c r="AN116" s="93"/>
    </row>
    <row r="117" spans="1:42" customFormat="1">
      <c r="A117" s="27" t="s">
        <v>127</v>
      </c>
      <c r="B117" s="15">
        <v>1302614</v>
      </c>
      <c r="C117" s="15">
        <v>53096</v>
      </c>
      <c r="D117" s="15">
        <v>40765</v>
      </c>
      <c r="E117" s="15">
        <v>89441</v>
      </c>
      <c r="F117" s="15">
        <v>2424</v>
      </c>
      <c r="G117" s="15">
        <v>2429</v>
      </c>
      <c r="H117" s="15">
        <v>1262805</v>
      </c>
      <c r="I117" s="15">
        <v>55214</v>
      </c>
      <c r="J117" s="15">
        <v>39554</v>
      </c>
      <c r="K117" s="52">
        <v>40.799999999999997</v>
      </c>
      <c r="L117" s="52">
        <v>31.3</v>
      </c>
      <c r="M117" s="75"/>
      <c r="N117" s="15">
        <v>171211</v>
      </c>
      <c r="O117" s="15">
        <v>149040</v>
      </c>
      <c r="P117" s="15">
        <v>81004</v>
      </c>
      <c r="Q117" s="15">
        <v>95322</v>
      </c>
      <c r="R117" s="15">
        <v>71671</v>
      </c>
      <c r="S117" s="15">
        <v>117230</v>
      </c>
      <c r="T117" s="15">
        <v>90729</v>
      </c>
      <c r="U117" s="15">
        <v>190583</v>
      </c>
      <c r="V117" s="15">
        <v>96728</v>
      </c>
      <c r="W117" s="15">
        <v>92325</v>
      </c>
      <c r="X117" s="15">
        <v>146770</v>
      </c>
      <c r="Y117" s="28"/>
      <c r="Z117" s="28"/>
      <c r="AA117" s="17"/>
      <c r="AB117" s="17"/>
      <c r="AD117" s="86">
        <f>SUM(N117:AB117)</f>
        <v>1302613</v>
      </c>
      <c r="AE117" s="86">
        <f>SUM(N118:AB118)</f>
        <v>53096</v>
      </c>
      <c r="AF117" s="86">
        <f>SUM(N119:AB119)</f>
        <v>40765</v>
      </c>
      <c r="AG117" s="93"/>
      <c r="AH117" s="86">
        <f>AD117-B117</f>
        <v>-1</v>
      </c>
      <c r="AI117" s="86">
        <f>AE117-C117</f>
        <v>0</v>
      </c>
      <c r="AJ117" s="86">
        <f>AF117-D117</f>
        <v>0</v>
      </c>
      <c r="AK117" s="93"/>
      <c r="AL117" s="87">
        <f>C117/B117*1000</f>
        <v>40.761115725763737</v>
      </c>
      <c r="AM117" s="87">
        <f>D117/B117*1000</f>
        <v>31.294765755626766</v>
      </c>
      <c r="AN117" s="92"/>
      <c r="AO117" s="87">
        <f>AL117-K117</f>
        <v>-3.8884274236259841E-2</v>
      </c>
      <c r="AP117" s="87">
        <f>AM117-L117</f>
        <v>-5.2342443732342758E-3</v>
      </c>
    </row>
    <row r="118" spans="1:42" customFormat="1">
      <c r="A118" s="9" t="s">
        <v>128</v>
      </c>
      <c r="B118" s="7"/>
      <c r="C118" s="7"/>
      <c r="D118" s="7"/>
      <c r="E118" s="7"/>
      <c r="F118" s="7"/>
      <c r="G118" s="7"/>
      <c r="H118" s="7"/>
      <c r="I118" s="7"/>
      <c r="J118" s="7"/>
      <c r="K118" s="57"/>
      <c r="L118" s="57"/>
      <c r="M118" s="77"/>
      <c r="N118" s="5">
        <v>6568</v>
      </c>
      <c r="O118" s="5">
        <v>5934</v>
      </c>
      <c r="P118" s="5">
        <v>1271</v>
      </c>
      <c r="Q118" s="5">
        <v>3705</v>
      </c>
      <c r="R118" s="5">
        <v>3908</v>
      </c>
      <c r="S118" s="5">
        <v>5350</v>
      </c>
      <c r="T118" s="5">
        <v>3584</v>
      </c>
      <c r="U118" s="5">
        <v>7691</v>
      </c>
      <c r="V118" s="5">
        <v>4156</v>
      </c>
      <c r="W118" s="5">
        <v>4187</v>
      </c>
      <c r="X118" s="5">
        <v>6742</v>
      </c>
      <c r="Y118" s="7"/>
      <c r="Z118" s="7"/>
      <c r="AA118" s="4"/>
      <c r="AB118" s="4"/>
      <c r="AG118" s="93"/>
      <c r="AK118" s="93"/>
      <c r="AN118" s="93"/>
    </row>
    <row r="119" spans="1:42" customFormat="1">
      <c r="A119" s="9" t="s">
        <v>129</v>
      </c>
      <c r="B119" s="7"/>
      <c r="C119" s="7"/>
      <c r="D119" s="7"/>
      <c r="E119" s="7"/>
      <c r="F119" s="7"/>
      <c r="G119" s="7"/>
      <c r="H119" s="7"/>
      <c r="I119" s="7"/>
      <c r="J119" s="7"/>
      <c r="K119" s="57"/>
      <c r="L119" s="57"/>
      <c r="M119" s="77"/>
      <c r="N119" s="5">
        <v>4983</v>
      </c>
      <c r="O119" s="5">
        <v>4778</v>
      </c>
      <c r="P119" s="5">
        <v>2408</v>
      </c>
      <c r="Q119" s="5">
        <v>3465</v>
      </c>
      <c r="R119" s="5">
        <v>2977</v>
      </c>
      <c r="S119" s="5">
        <v>3715</v>
      </c>
      <c r="T119" s="5">
        <v>2858</v>
      </c>
      <c r="U119" s="5">
        <v>5450</v>
      </c>
      <c r="V119" s="5">
        <v>2906</v>
      </c>
      <c r="W119" s="5">
        <v>2770</v>
      </c>
      <c r="X119" s="5">
        <v>4455</v>
      </c>
      <c r="Y119" s="7"/>
      <c r="Z119" s="7"/>
      <c r="AA119" s="4"/>
      <c r="AB119" s="4"/>
      <c r="AG119" s="93"/>
      <c r="AK119" s="93"/>
      <c r="AN119" s="93"/>
    </row>
    <row r="120" spans="1:42" customFormat="1">
      <c r="A120" s="27" t="s">
        <v>130</v>
      </c>
      <c r="B120" s="15">
        <v>361220</v>
      </c>
      <c r="C120" s="15">
        <v>15337</v>
      </c>
      <c r="D120" s="15">
        <v>14175</v>
      </c>
      <c r="E120" s="15">
        <v>23699</v>
      </c>
      <c r="F120" s="15">
        <v>851</v>
      </c>
      <c r="G120" s="15">
        <v>902</v>
      </c>
      <c r="H120" s="15">
        <v>352902</v>
      </c>
      <c r="I120" s="15">
        <v>17012</v>
      </c>
      <c r="J120" s="15">
        <v>12259</v>
      </c>
      <c r="K120" s="52">
        <v>42.5</v>
      </c>
      <c r="L120" s="52">
        <v>39.299999999999997</v>
      </c>
      <c r="M120" s="75"/>
      <c r="N120" s="15">
        <v>83494</v>
      </c>
      <c r="O120" s="15">
        <v>50669</v>
      </c>
      <c r="P120" s="15">
        <v>79699</v>
      </c>
      <c r="Q120" s="15">
        <v>45255</v>
      </c>
      <c r="R120" s="15">
        <v>39841</v>
      </c>
      <c r="S120" s="15">
        <v>27414</v>
      </c>
      <c r="T120" s="15">
        <v>34848</v>
      </c>
      <c r="U120" s="15"/>
      <c r="V120" s="15"/>
      <c r="W120" s="15"/>
      <c r="X120" s="15"/>
      <c r="Y120" s="28"/>
      <c r="Z120" s="28"/>
      <c r="AA120" s="30"/>
      <c r="AB120" s="30"/>
      <c r="AD120" s="86">
        <f>SUM(N120:AB120)</f>
        <v>361220</v>
      </c>
      <c r="AE120" s="86">
        <f>SUM(N121:AB121)</f>
        <v>15337</v>
      </c>
      <c r="AF120" s="86">
        <f>SUM(N122:AB122)</f>
        <v>14175</v>
      </c>
      <c r="AG120" s="93"/>
      <c r="AH120" s="86">
        <f>AD120-B120</f>
        <v>0</v>
      </c>
      <c r="AI120" s="86">
        <f>AE120-C120</f>
        <v>0</v>
      </c>
      <c r="AJ120" s="86">
        <f>AF120-D120</f>
        <v>0</v>
      </c>
      <c r="AK120" s="93"/>
      <c r="AL120" s="87">
        <f>C120/B120*1000</f>
        <v>42.458889319528268</v>
      </c>
      <c r="AM120" s="87">
        <f>D120/B120*1000</f>
        <v>39.242013177564921</v>
      </c>
      <c r="AN120" s="92"/>
      <c r="AO120" s="87">
        <f>AL120-K120</f>
        <v>-4.1110680471732053E-2</v>
      </c>
      <c r="AP120" s="87">
        <f>AM120-L120</f>
        <v>-5.7986822435076135E-2</v>
      </c>
    </row>
    <row r="121" spans="1:42" customFormat="1">
      <c r="A121" s="9" t="s">
        <v>131</v>
      </c>
      <c r="B121" s="7"/>
      <c r="C121" s="7"/>
      <c r="D121" s="7"/>
      <c r="E121" s="7"/>
      <c r="F121" s="7"/>
      <c r="G121" s="7"/>
      <c r="H121" s="7"/>
      <c r="I121" s="7"/>
      <c r="J121" s="7"/>
      <c r="K121" s="57"/>
      <c r="L121" s="57"/>
      <c r="M121" s="77"/>
      <c r="N121" s="5">
        <v>3444</v>
      </c>
      <c r="O121" s="5">
        <v>2260</v>
      </c>
      <c r="P121" s="5">
        <v>3383</v>
      </c>
      <c r="Q121" s="5">
        <v>2106</v>
      </c>
      <c r="R121" s="5">
        <v>1618</v>
      </c>
      <c r="S121" s="5">
        <v>979</v>
      </c>
      <c r="T121" s="5">
        <v>1547</v>
      </c>
      <c r="U121" s="5"/>
      <c r="V121" s="5"/>
      <c r="W121" s="5"/>
      <c r="X121" s="5"/>
      <c r="Y121" s="7"/>
      <c r="Z121" s="7"/>
      <c r="AA121" s="6"/>
      <c r="AB121" s="6"/>
      <c r="AG121" s="93"/>
      <c r="AK121" s="93"/>
      <c r="AN121" s="93"/>
    </row>
    <row r="122" spans="1:42" customFormat="1">
      <c r="A122" s="9" t="s">
        <v>132</v>
      </c>
      <c r="B122" s="7"/>
      <c r="C122" s="7"/>
      <c r="D122" s="7"/>
      <c r="E122" s="7"/>
      <c r="F122" s="7"/>
      <c r="G122" s="7"/>
      <c r="H122" s="7"/>
      <c r="I122" s="7"/>
      <c r="J122" s="7"/>
      <c r="K122" s="57"/>
      <c r="L122" s="57"/>
      <c r="M122" s="77"/>
      <c r="N122" s="5">
        <v>2960</v>
      </c>
      <c r="O122" s="5">
        <v>2286</v>
      </c>
      <c r="P122" s="5">
        <v>3066</v>
      </c>
      <c r="Q122" s="5">
        <v>1833</v>
      </c>
      <c r="R122" s="5">
        <v>1686</v>
      </c>
      <c r="S122" s="5">
        <v>1028</v>
      </c>
      <c r="T122" s="5">
        <v>1316</v>
      </c>
      <c r="U122" s="5"/>
      <c r="V122" s="5"/>
      <c r="W122" s="5"/>
      <c r="X122" s="5"/>
      <c r="Y122" s="7"/>
      <c r="Z122" s="7"/>
      <c r="AA122" s="6"/>
      <c r="AB122" s="6"/>
      <c r="AG122" s="93"/>
      <c r="AK122" s="93"/>
      <c r="AN122" s="93"/>
    </row>
    <row r="123" spans="1:42" customFormat="1">
      <c r="A123" s="27" t="s">
        <v>133</v>
      </c>
      <c r="B123" s="15">
        <v>2140587</v>
      </c>
      <c r="C123" s="15">
        <v>94405</v>
      </c>
      <c r="D123" s="15">
        <v>81125</v>
      </c>
      <c r="E123" s="15">
        <v>242859</v>
      </c>
      <c r="F123" s="15">
        <v>7022</v>
      </c>
      <c r="G123" s="15">
        <v>7479</v>
      </c>
      <c r="H123" s="15">
        <v>2064636</v>
      </c>
      <c r="I123" s="15">
        <v>106585</v>
      </c>
      <c r="J123" s="15">
        <v>78108</v>
      </c>
      <c r="K123" s="52">
        <v>44.6</v>
      </c>
      <c r="L123" s="52">
        <v>38.4</v>
      </c>
      <c r="M123" s="75"/>
      <c r="N123" s="15">
        <v>227995</v>
      </c>
      <c r="O123" s="15">
        <v>154317</v>
      </c>
      <c r="P123" s="15">
        <v>169022</v>
      </c>
      <c r="Q123" s="15">
        <v>107006</v>
      </c>
      <c r="R123" s="15">
        <v>292924</v>
      </c>
      <c r="S123" s="15">
        <v>134070</v>
      </c>
      <c r="T123" s="15">
        <v>118091</v>
      </c>
      <c r="U123" s="15">
        <v>353642</v>
      </c>
      <c r="V123" s="15">
        <v>191870</v>
      </c>
      <c r="W123" s="15">
        <v>110242</v>
      </c>
      <c r="X123" s="15">
        <v>147519</v>
      </c>
      <c r="Y123" s="28">
        <v>133889</v>
      </c>
      <c r="Z123" s="28"/>
      <c r="AA123" s="30"/>
      <c r="AB123" s="30"/>
      <c r="AD123" s="86">
        <f>SUM(N123:AB123)</f>
        <v>2140587</v>
      </c>
      <c r="AE123" s="86">
        <f>SUM(N124:AB124)</f>
        <v>94405</v>
      </c>
      <c r="AF123" s="86">
        <f>SUM(N125:AB125)</f>
        <v>81125</v>
      </c>
      <c r="AG123" s="93"/>
      <c r="AH123" s="86">
        <f>AD123-B123</f>
        <v>0</v>
      </c>
      <c r="AI123" s="86">
        <f>AE123-C123</f>
        <v>0</v>
      </c>
      <c r="AJ123" s="86">
        <f>AF123-D123</f>
        <v>0</v>
      </c>
      <c r="AK123" s="93"/>
      <c r="AL123" s="87">
        <f>C123/B123*1000</f>
        <v>44.102388737294952</v>
      </c>
      <c r="AM123" s="87">
        <f>D123/B123*1000</f>
        <v>37.898482986208926</v>
      </c>
      <c r="AN123" s="92"/>
      <c r="AO123" s="87">
        <f>AL123-K123</f>
        <v>-0.49761126270504974</v>
      </c>
      <c r="AP123" s="87">
        <f>AM123-L123</f>
        <v>-0.50151701379107294</v>
      </c>
    </row>
    <row r="124" spans="1:42" customFormat="1">
      <c r="A124" s="9" t="s">
        <v>134</v>
      </c>
      <c r="B124" s="7"/>
      <c r="C124" s="7"/>
      <c r="D124" s="7"/>
      <c r="E124" s="7"/>
      <c r="F124" s="7"/>
      <c r="G124" s="7"/>
      <c r="H124" s="7"/>
      <c r="I124" s="7"/>
      <c r="J124" s="7"/>
      <c r="K124" s="57"/>
      <c r="L124" s="57"/>
      <c r="M124" s="77"/>
      <c r="N124" s="5">
        <v>7652</v>
      </c>
      <c r="O124" s="5">
        <v>6013</v>
      </c>
      <c r="P124" s="5">
        <v>8531</v>
      </c>
      <c r="Q124" s="5">
        <v>5100</v>
      </c>
      <c r="R124" s="5">
        <v>13080</v>
      </c>
      <c r="S124" s="5">
        <v>6613</v>
      </c>
      <c r="T124" s="5">
        <v>5453</v>
      </c>
      <c r="U124" s="5">
        <v>14492</v>
      </c>
      <c r="V124" s="5">
        <v>8441</v>
      </c>
      <c r="W124" s="5">
        <v>4709</v>
      </c>
      <c r="X124" s="5">
        <v>7453</v>
      </c>
      <c r="Y124" s="7">
        <v>6868</v>
      </c>
      <c r="Z124" s="7"/>
      <c r="AA124" s="6"/>
      <c r="AB124" s="6"/>
      <c r="AG124" s="93"/>
      <c r="AK124" s="93"/>
      <c r="AN124" s="93"/>
    </row>
    <row r="125" spans="1:42" customFormat="1">
      <c r="A125" s="9" t="s">
        <v>135</v>
      </c>
      <c r="B125" s="7"/>
      <c r="C125" s="7"/>
      <c r="D125" s="7"/>
      <c r="E125" s="7"/>
      <c r="F125" s="7"/>
      <c r="G125" s="7"/>
      <c r="H125" s="7"/>
      <c r="I125" s="7"/>
      <c r="J125" s="7"/>
      <c r="K125" s="57"/>
      <c r="L125" s="57"/>
      <c r="M125" s="77"/>
      <c r="N125" s="5">
        <v>6239</v>
      </c>
      <c r="O125" s="5">
        <v>5386</v>
      </c>
      <c r="P125" s="5">
        <v>5775</v>
      </c>
      <c r="Q125" s="5">
        <v>3649</v>
      </c>
      <c r="R125" s="5">
        <v>13592</v>
      </c>
      <c r="S125" s="5">
        <v>5233</v>
      </c>
      <c r="T125" s="5">
        <v>4656</v>
      </c>
      <c r="U125" s="5">
        <v>14333</v>
      </c>
      <c r="V125" s="5">
        <v>7966</v>
      </c>
      <c r="W125" s="5">
        <v>3956</v>
      </c>
      <c r="X125" s="5">
        <v>5599</v>
      </c>
      <c r="Y125" s="7">
        <v>4741</v>
      </c>
      <c r="Z125" s="7"/>
      <c r="AA125" s="6"/>
      <c r="AB125" s="6"/>
      <c r="AG125" s="93"/>
      <c r="AK125" s="93"/>
      <c r="AN125" s="93"/>
    </row>
    <row r="126" spans="1:42" customFormat="1">
      <c r="A126" s="27" t="s">
        <v>136</v>
      </c>
      <c r="B126" s="15">
        <v>1593548</v>
      </c>
      <c r="C126" s="15">
        <v>74225</v>
      </c>
      <c r="D126" s="15">
        <v>80603</v>
      </c>
      <c r="E126" s="15">
        <v>122409</v>
      </c>
      <c r="F126" s="15">
        <v>5562</v>
      </c>
      <c r="G126" s="15">
        <v>7699</v>
      </c>
      <c r="H126" s="15">
        <v>1571536</v>
      </c>
      <c r="I126" s="15">
        <v>80978</v>
      </c>
      <c r="J126" s="15">
        <v>63250</v>
      </c>
      <c r="K126" s="52">
        <v>46.5</v>
      </c>
      <c r="L126" s="52">
        <v>50.5</v>
      </c>
      <c r="M126" s="75"/>
      <c r="N126" s="15">
        <v>162407</v>
      </c>
      <c r="O126" s="15">
        <v>175439</v>
      </c>
      <c r="P126" s="15">
        <v>211424</v>
      </c>
      <c r="Q126" s="15">
        <v>139909</v>
      </c>
      <c r="R126" s="15">
        <v>182881</v>
      </c>
      <c r="S126" s="15">
        <v>114754</v>
      </c>
      <c r="T126" s="15">
        <v>130927</v>
      </c>
      <c r="U126" s="15">
        <v>155155</v>
      </c>
      <c r="V126" s="15">
        <v>165421</v>
      </c>
      <c r="W126" s="15">
        <v>155231</v>
      </c>
      <c r="X126" s="15"/>
      <c r="Y126" s="28"/>
      <c r="Z126" s="28"/>
      <c r="AA126" s="30"/>
      <c r="AB126" s="30"/>
      <c r="AD126" s="86">
        <f>SUM(N126:AB126)</f>
        <v>1593548</v>
      </c>
      <c r="AE126" s="86">
        <f>SUM(N127:AB127)</f>
        <v>74225</v>
      </c>
      <c r="AF126" s="86">
        <f>SUM(N128:AB128)</f>
        <v>80603</v>
      </c>
      <c r="AG126" s="93"/>
      <c r="AH126" s="86">
        <f>AD126-B126</f>
        <v>0</v>
      </c>
      <c r="AI126" s="86">
        <f>AE126-C126</f>
        <v>0</v>
      </c>
      <c r="AJ126" s="86">
        <f>AF126-D126</f>
        <v>0</v>
      </c>
      <c r="AK126" s="93"/>
      <c r="AL126" s="87">
        <f>C126/B126*1000</f>
        <v>46.578452610150428</v>
      </c>
      <c r="AM126" s="87">
        <f>D126/B126*1000</f>
        <v>50.580842246358444</v>
      </c>
      <c r="AN126" s="92"/>
      <c r="AO126" s="87">
        <f>AL126-K126</f>
        <v>7.845261015042837E-2</v>
      </c>
      <c r="AP126" s="87">
        <f>AM126-L126</f>
        <v>8.0842246358443504E-2</v>
      </c>
    </row>
    <row r="127" spans="1:42" customFormat="1">
      <c r="A127" s="9" t="s">
        <v>137</v>
      </c>
      <c r="B127" s="7"/>
      <c r="C127" s="7"/>
      <c r="D127" s="7"/>
      <c r="E127" s="7"/>
      <c r="F127" s="7"/>
      <c r="G127" s="7"/>
      <c r="H127" s="7"/>
      <c r="I127" s="7"/>
      <c r="J127" s="7"/>
      <c r="K127" s="57"/>
      <c r="L127" s="57"/>
      <c r="M127" s="77"/>
      <c r="N127" s="5">
        <v>7993</v>
      </c>
      <c r="O127" s="5">
        <v>8482</v>
      </c>
      <c r="P127" s="5">
        <v>9930</v>
      </c>
      <c r="Q127" s="5">
        <v>5279</v>
      </c>
      <c r="R127" s="5">
        <v>7932</v>
      </c>
      <c r="S127" s="5">
        <v>5798</v>
      </c>
      <c r="T127" s="5">
        <v>6658</v>
      </c>
      <c r="U127" s="5">
        <v>7806</v>
      </c>
      <c r="V127" s="5">
        <v>6631</v>
      </c>
      <c r="W127" s="5">
        <v>7716</v>
      </c>
      <c r="X127" s="5"/>
      <c r="Y127" s="7"/>
      <c r="Z127" s="7"/>
      <c r="AA127" s="6"/>
      <c r="AB127" s="6"/>
      <c r="AG127" s="93"/>
      <c r="AK127" s="93"/>
      <c r="AN127" s="93"/>
    </row>
    <row r="128" spans="1:42" customFormat="1">
      <c r="A128" s="9" t="s">
        <v>138</v>
      </c>
      <c r="B128" s="7"/>
      <c r="C128" s="7"/>
      <c r="D128" s="7"/>
      <c r="E128" s="7"/>
      <c r="F128" s="7"/>
      <c r="G128" s="7"/>
      <c r="H128" s="7"/>
      <c r="I128" s="7"/>
      <c r="J128" s="7"/>
      <c r="K128" s="57"/>
      <c r="L128" s="57"/>
      <c r="M128" s="77"/>
      <c r="N128" s="5">
        <v>9809</v>
      </c>
      <c r="O128" s="5">
        <v>8451</v>
      </c>
      <c r="P128" s="5">
        <v>10264</v>
      </c>
      <c r="Q128" s="5">
        <v>6019</v>
      </c>
      <c r="R128" s="5">
        <v>8481</v>
      </c>
      <c r="S128" s="5">
        <v>6709</v>
      </c>
      <c r="T128" s="5">
        <v>7145</v>
      </c>
      <c r="U128" s="5">
        <v>7349</v>
      </c>
      <c r="V128" s="5">
        <v>6909</v>
      </c>
      <c r="W128" s="5">
        <v>9467</v>
      </c>
      <c r="X128" s="5"/>
      <c r="Y128" s="7"/>
      <c r="Z128" s="7"/>
      <c r="AA128" s="6"/>
      <c r="AB128" s="6"/>
      <c r="AG128" s="93"/>
      <c r="AK128" s="93"/>
      <c r="AN128" s="93"/>
    </row>
    <row r="129" spans="1:42" customFormat="1">
      <c r="A129" s="27" t="s">
        <v>139</v>
      </c>
      <c r="B129" s="15">
        <v>2815861</v>
      </c>
      <c r="C129" s="15">
        <v>133579</v>
      </c>
      <c r="D129" s="15">
        <v>137765</v>
      </c>
      <c r="E129" s="15">
        <v>138057</v>
      </c>
      <c r="F129" s="15">
        <v>5168</v>
      </c>
      <c r="G129" s="15">
        <v>6925</v>
      </c>
      <c r="H129" s="15">
        <v>2765128</v>
      </c>
      <c r="I129" s="15">
        <v>153231</v>
      </c>
      <c r="J129" s="15">
        <v>120601</v>
      </c>
      <c r="K129" s="52">
        <v>47.4</v>
      </c>
      <c r="L129" s="52">
        <v>48.9</v>
      </c>
      <c r="M129" s="75"/>
      <c r="N129" s="15">
        <v>233040</v>
      </c>
      <c r="O129" s="15">
        <v>230114</v>
      </c>
      <c r="P129" s="15">
        <v>395125</v>
      </c>
      <c r="Q129" s="15">
        <v>145664</v>
      </c>
      <c r="R129" s="15">
        <v>256695</v>
      </c>
      <c r="S129" s="15">
        <v>239735</v>
      </c>
      <c r="T129" s="15">
        <v>125752</v>
      </c>
      <c r="U129" s="15">
        <v>286001</v>
      </c>
      <c r="V129" s="15">
        <v>260109</v>
      </c>
      <c r="W129" s="15">
        <v>217057</v>
      </c>
      <c r="X129" s="15">
        <v>94930</v>
      </c>
      <c r="Y129" s="28">
        <v>331639</v>
      </c>
      <c r="Z129" s="28"/>
      <c r="AA129" s="30"/>
      <c r="AB129" s="30"/>
      <c r="AD129" s="86">
        <f>SUM(N129:AB129)</f>
        <v>2815861</v>
      </c>
      <c r="AE129" s="86">
        <f>SUM(N130:AB130)</f>
        <v>133279</v>
      </c>
      <c r="AF129" s="86">
        <f>SUM(N131:AB131)</f>
        <v>137565</v>
      </c>
      <c r="AG129" s="93"/>
      <c r="AH129" s="86">
        <f>AD129-B129</f>
        <v>0</v>
      </c>
      <c r="AI129" s="86">
        <f>AE129-C129</f>
        <v>-300</v>
      </c>
      <c r="AJ129" s="86">
        <f>AF129-D129</f>
        <v>-200</v>
      </c>
      <c r="AK129" s="93"/>
      <c r="AL129" s="87">
        <f>C129/B129*1000</f>
        <v>47.438066012491383</v>
      </c>
      <c r="AM129" s="87">
        <f>D129/B129*1000</f>
        <v>48.924645073034497</v>
      </c>
      <c r="AN129" s="92"/>
      <c r="AO129" s="87">
        <f>AL129-K129</f>
        <v>3.8066012491384527E-2</v>
      </c>
      <c r="AP129" s="87">
        <f>AM129-L129</f>
        <v>2.4645073034498921E-2</v>
      </c>
    </row>
    <row r="130" spans="1:42" customFormat="1">
      <c r="A130" s="9" t="s">
        <v>140</v>
      </c>
      <c r="B130" s="7"/>
      <c r="C130" s="7"/>
      <c r="D130" s="7"/>
      <c r="E130" s="7"/>
      <c r="F130" s="7"/>
      <c r="G130" s="7"/>
      <c r="H130" s="7"/>
      <c r="I130" s="7"/>
      <c r="J130" s="7"/>
      <c r="K130" s="57"/>
      <c r="L130" s="57"/>
      <c r="M130" s="77"/>
      <c r="N130" s="5">
        <v>12585</v>
      </c>
      <c r="O130" s="5">
        <v>11189</v>
      </c>
      <c r="P130" s="5">
        <v>16663</v>
      </c>
      <c r="Q130" s="5">
        <v>7933</v>
      </c>
      <c r="R130" s="5">
        <v>9921</v>
      </c>
      <c r="S130" s="5">
        <v>11604</v>
      </c>
      <c r="T130" s="5">
        <v>7566</v>
      </c>
      <c r="U130" s="5">
        <v>15122</v>
      </c>
      <c r="V130" s="5">
        <v>11745</v>
      </c>
      <c r="W130" s="5">
        <v>11880</v>
      </c>
      <c r="X130" s="5">
        <v>5349</v>
      </c>
      <c r="Y130" s="7">
        <v>11722</v>
      </c>
      <c r="Z130" s="7"/>
      <c r="AA130" s="6"/>
      <c r="AB130" s="6"/>
      <c r="AG130" s="93"/>
      <c r="AK130" s="93"/>
      <c r="AN130" s="93"/>
    </row>
    <row r="131" spans="1:42" customFormat="1">
      <c r="A131" s="9" t="s">
        <v>141</v>
      </c>
      <c r="B131" s="7"/>
      <c r="C131" s="7"/>
      <c r="D131" s="7"/>
      <c r="E131" s="7"/>
      <c r="F131" s="7"/>
      <c r="G131" s="7"/>
      <c r="H131" s="7"/>
      <c r="I131" s="7"/>
      <c r="J131" s="7"/>
      <c r="K131" s="57"/>
      <c r="L131" s="57"/>
      <c r="M131" s="77"/>
      <c r="N131" s="5">
        <v>12508</v>
      </c>
      <c r="O131" s="5">
        <v>11992</v>
      </c>
      <c r="P131" s="5">
        <v>19356</v>
      </c>
      <c r="Q131" s="5">
        <v>9147</v>
      </c>
      <c r="R131" s="5">
        <v>11910</v>
      </c>
      <c r="S131" s="5">
        <v>10102</v>
      </c>
      <c r="T131" s="5">
        <v>6623</v>
      </c>
      <c r="U131" s="5">
        <v>13891</v>
      </c>
      <c r="V131" s="5">
        <v>10610</v>
      </c>
      <c r="W131" s="5">
        <v>11014</v>
      </c>
      <c r="X131" s="5">
        <v>4044</v>
      </c>
      <c r="Y131" s="7">
        <v>16368</v>
      </c>
      <c r="Z131" s="7"/>
      <c r="AA131" s="6"/>
      <c r="AB131" s="6"/>
      <c r="AG131" s="93"/>
      <c r="AK131" s="93"/>
      <c r="AN131" s="93"/>
    </row>
    <row r="132" spans="1:42" customFormat="1">
      <c r="A132" s="27" t="s">
        <v>142</v>
      </c>
      <c r="B132" s="15">
        <v>2983699</v>
      </c>
      <c r="C132" s="15">
        <v>127721</v>
      </c>
      <c r="D132" s="15">
        <v>89300</v>
      </c>
      <c r="E132" s="15">
        <v>259893</v>
      </c>
      <c r="F132" s="15">
        <v>10721</v>
      </c>
      <c r="G132" s="15">
        <v>7656</v>
      </c>
      <c r="H132" s="15">
        <v>2868600</v>
      </c>
      <c r="I132" s="15">
        <v>131141</v>
      </c>
      <c r="J132" s="15">
        <v>82374</v>
      </c>
      <c r="K132" s="52">
        <v>42.8</v>
      </c>
      <c r="L132" s="52">
        <v>30</v>
      </c>
      <c r="M132" s="75"/>
      <c r="N132" s="15">
        <v>238727</v>
      </c>
      <c r="O132" s="15">
        <v>176495</v>
      </c>
      <c r="P132" s="15">
        <v>241386</v>
      </c>
      <c r="Q132" s="15">
        <v>154164</v>
      </c>
      <c r="R132" s="15">
        <v>255720</v>
      </c>
      <c r="S132" s="15">
        <v>207899</v>
      </c>
      <c r="T132" s="15">
        <v>250651</v>
      </c>
      <c r="U132" s="15">
        <v>155708</v>
      </c>
      <c r="V132" s="15">
        <v>138609</v>
      </c>
      <c r="W132" s="15">
        <v>169154</v>
      </c>
      <c r="X132" s="15">
        <v>207077</v>
      </c>
      <c r="Y132" s="28">
        <v>174937</v>
      </c>
      <c r="Z132" s="28">
        <v>220695</v>
      </c>
      <c r="AA132" s="30">
        <v>214435</v>
      </c>
      <c r="AB132" s="30">
        <v>178023</v>
      </c>
      <c r="AD132" s="86">
        <f>SUM(N132:AB132)</f>
        <v>2983680</v>
      </c>
      <c r="AE132" s="86">
        <f>SUM(N133:AB133)</f>
        <v>126721</v>
      </c>
      <c r="AF132" s="86">
        <f>SUM(N134:AB134)</f>
        <v>89300</v>
      </c>
      <c r="AG132" s="93"/>
      <c r="AH132" s="86">
        <f>AD132-B132</f>
        <v>-19</v>
      </c>
      <c r="AI132" s="86">
        <f>AE132-C132</f>
        <v>-1000</v>
      </c>
      <c r="AJ132" s="86">
        <f>AF132-D132</f>
        <v>0</v>
      </c>
      <c r="AK132" s="93"/>
      <c r="AL132" s="87">
        <f>C132/B132*1000</f>
        <v>42.806261623575303</v>
      </c>
      <c r="AM132" s="87">
        <f>D132/B132*1000</f>
        <v>29.929292465493333</v>
      </c>
      <c r="AN132" s="92"/>
      <c r="AO132" s="87">
        <f>AL132-K132</f>
        <v>6.2616235753054639E-3</v>
      </c>
      <c r="AP132" s="87">
        <f>AM132-L132</f>
        <v>-7.0707534506667002E-2</v>
      </c>
    </row>
    <row r="133" spans="1:42" customFormat="1">
      <c r="A133" s="9" t="s">
        <v>143</v>
      </c>
      <c r="B133" s="7"/>
      <c r="C133" s="7"/>
      <c r="D133" s="7"/>
      <c r="E133" s="7"/>
      <c r="F133" s="7"/>
      <c r="G133" s="7"/>
      <c r="H133" s="7"/>
      <c r="I133" s="7"/>
      <c r="J133" s="7"/>
      <c r="K133" s="57"/>
      <c r="L133" s="57"/>
      <c r="M133" s="77"/>
      <c r="N133" s="5">
        <v>10056</v>
      </c>
      <c r="O133" s="5">
        <v>6954</v>
      </c>
      <c r="P133" s="5">
        <v>11327</v>
      </c>
      <c r="Q133" s="5">
        <v>6163</v>
      </c>
      <c r="R133" s="5">
        <v>9626</v>
      </c>
      <c r="S133" s="5">
        <v>9245</v>
      </c>
      <c r="T133" s="5">
        <v>10966</v>
      </c>
      <c r="U133" s="5">
        <v>6845</v>
      </c>
      <c r="V133" s="5">
        <v>6928</v>
      </c>
      <c r="W133" s="5">
        <v>7082</v>
      </c>
      <c r="X133" s="5">
        <v>9171</v>
      </c>
      <c r="Y133" s="7">
        <v>7906</v>
      </c>
      <c r="Z133" s="7">
        <v>8236</v>
      </c>
      <c r="AA133" s="6">
        <v>7952</v>
      </c>
      <c r="AB133" s="6">
        <v>8264</v>
      </c>
      <c r="AG133" s="93"/>
      <c r="AK133" s="93"/>
      <c r="AN133" s="93"/>
    </row>
    <row r="134" spans="1:42" customFormat="1">
      <c r="A134" s="9" t="s">
        <v>144</v>
      </c>
      <c r="B134" s="7"/>
      <c r="C134" s="7"/>
      <c r="D134" s="7"/>
      <c r="E134" s="7"/>
      <c r="F134" s="7"/>
      <c r="G134" s="7"/>
      <c r="H134" s="7"/>
      <c r="I134" s="7"/>
      <c r="J134" s="7"/>
      <c r="K134" s="57"/>
      <c r="L134" s="57"/>
      <c r="M134" s="77"/>
      <c r="N134" s="5">
        <v>6907</v>
      </c>
      <c r="O134" s="5">
        <v>3993</v>
      </c>
      <c r="P134" s="5">
        <v>8590</v>
      </c>
      <c r="Q134" s="5">
        <v>4407</v>
      </c>
      <c r="R134" s="5">
        <v>6074</v>
      </c>
      <c r="S134" s="5">
        <v>7228</v>
      </c>
      <c r="T134" s="5">
        <v>7338</v>
      </c>
      <c r="U134" s="5">
        <v>5072</v>
      </c>
      <c r="V134" s="5">
        <v>5141</v>
      </c>
      <c r="W134" s="5">
        <v>4669</v>
      </c>
      <c r="X134" s="5">
        <v>6355</v>
      </c>
      <c r="Y134" s="7">
        <v>5194</v>
      </c>
      <c r="Z134" s="7">
        <v>6210</v>
      </c>
      <c r="AA134" s="6">
        <v>6115</v>
      </c>
      <c r="AB134" s="6">
        <v>6007</v>
      </c>
      <c r="AG134" s="93"/>
      <c r="AK134" s="93"/>
      <c r="AN134" s="93"/>
    </row>
    <row r="135" spans="1:42" customFormat="1">
      <c r="A135" s="27" t="s">
        <v>145</v>
      </c>
      <c r="B135" s="15">
        <v>1051936</v>
      </c>
      <c r="C135" s="15">
        <v>49458</v>
      </c>
      <c r="D135" s="15">
        <v>35130</v>
      </c>
      <c r="E135" s="15">
        <v>60798</v>
      </c>
      <c r="F135" s="15">
        <v>1960</v>
      </c>
      <c r="G135" s="15">
        <v>1801</v>
      </c>
      <c r="H135" s="15">
        <v>1006059</v>
      </c>
      <c r="I135" s="15">
        <v>49853</v>
      </c>
      <c r="J135" s="15">
        <v>33191</v>
      </c>
      <c r="K135" s="52">
        <v>47</v>
      </c>
      <c r="L135" s="52">
        <v>33.4</v>
      </c>
      <c r="M135" s="75"/>
      <c r="N135" s="15">
        <v>221190</v>
      </c>
      <c r="O135" s="15">
        <v>113299</v>
      </c>
      <c r="P135" s="15">
        <v>105428</v>
      </c>
      <c r="Q135" s="15">
        <v>129762</v>
      </c>
      <c r="R135" s="15">
        <v>160835</v>
      </c>
      <c r="S135" s="15">
        <v>168118</v>
      </c>
      <c r="T135" s="15">
        <v>77865</v>
      </c>
      <c r="U135" s="15">
        <v>75439</v>
      </c>
      <c r="V135" s="15"/>
      <c r="W135" s="15"/>
      <c r="X135" s="15"/>
      <c r="Y135" s="28"/>
      <c r="Z135" s="28"/>
      <c r="AA135" s="30"/>
      <c r="AB135" s="30"/>
      <c r="AD135" s="86">
        <f>SUM(N135:AB135)</f>
        <v>1051936</v>
      </c>
      <c r="AE135" s="86">
        <f>SUM(N136:AB136)</f>
        <v>49458</v>
      </c>
      <c r="AF135" s="86">
        <f>SUM(N137:AB137)</f>
        <v>35129</v>
      </c>
      <c r="AG135" s="93"/>
      <c r="AH135" s="86">
        <f>AD135-B135</f>
        <v>0</v>
      </c>
      <c r="AI135" s="86">
        <f>AE135-C135</f>
        <v>0</v>
      </c>
      <c r="AJ135" s="86">
        <f>AF135-D135</f>
        <v>-1</v>
      </c>
      <c r="AK135" s="93"/>
      <c r="AL135" s="87">
        <f>C135/B135*1000</f>
        <v>47.01616828400207</v>
      </c>
      <c r="AM135" s="87">
        <f>D135/B135*1000</f>
        <v>33.39556779119642</v>
      </c>
      <c r="AN135" s="92"/>
      <c r="AO135" s="87">
        <f>AL135-K135</f>
        <v>1.6168284002070266E-2</v>
      </c>
      <c r="AP135" s="87">
        <f>AM135-L135</f>
        <v>-4.4322088035784191E-3</v>
      </c>
    </row>
    <row r="136" spans="1:42" customFormat="1">
      <c r="A136" s="9" t="s">
        <v>146</v>
      </c>
      <c r="B136" s="7"/>
      <c r="C136" s="7"/>
      <c r="D136" s="7"/>
      <c r="E136" s="7"/>
      <c r="F136" s="7"/>
      <c r="G136" s="7"/>
      <c r="H136" s="7"/>
      <c r="I136" s="7"/>
      <c r="J136" s="7"/>
      <c r="K136" s="57"/>
      <c r="L136" s="57"/>
      <c r="M136" s="77"/>
      <c r="N136" s="5">
        <v>9388</v>
      </c>
      <c r="O136" s="5">
        <v>5893</v>
      </c>
      <c r="P136" s="5">
        <v>5043</v>
      </c>
      <c r="Q136" s="5">
        <v>6036</v>
      </c>
      <c r="R136" s="5">
        <v>7546</v>
      </c>
      <c r="S136" s="5">
        <v>7332</v>
      </c>
      <c r="T136" s="5">
        <v>4153</v>
      </c>
      <c r="U136" s="5">
        <v>4067</v>
      </c>
      <c r="V136" s="5"/>
      <c r="W136" s="5"/>
      <c r="X136" s="5"/>
      <c r="Y136" s="7"/>
      <c r="Z136" s="7"/>
      <c r="AA136" s="6"/>
      <c r="AB136" s="6"/>
      <c r="AG136" s="93"/>
      <c r="AK136" s="93"/>
      <c r="AN136" s="93"/>
    </row>
    <row r="137" spans="1:42" customFormat="1">
      <c r="A137" s="9" t="s">
        <v>147</v>
      </c>
      <c r="B137" s="7"/>
      <c r="C137" s="7"/>
      <c r="D137" s="7"/>
      <c r="E137" s="7"/>
      <c r="F137" s="7"/>
      <c r="G137" s="7"/>
      <c r="H137" s="7"/>
      <c r="I137" s="7"/>
      <c r="J137" s="7"/>
      <c r="K137" s="57"/>
      <c r="L137" s="57"/>
      <c r="M137" s="77"/>
      <c r="N137" s="5">
        <v>6801</v>
      </c>
      <c r="O137" s="5">
        <v>4201</v>
      </c>
      <c r="P137" s="5">
        <v>3357</v>
      </c>
      <c r="Q137" s="5">
        <v>4080</v>
      </c>
      <c r="R137" s="5">
        <v>5195</v>
      </c>
      <c r="S137" s="5">
        <v>5303</v>
      </c>
      <c r="T137" s="5">
        <v>3302</v>
      </c>
      <c r="U137" s="5">
        <v>2890</v>
      </c>
      <c r="V137" s="5"/>
      <c r="W137" s="5"/>
      <c r="X137" s="5"/>
      <c r="Y137" s="7"/>
      <c r="Z137" s="7"/>
      <c r="AA137" s="6"/>
      <c r="AB137" s="6"/>
      <c r="AG137" s="93"/>
      <c r="AK137" s="93"/>
      <c r="AN137" s="93"/>
    </row>
    <row r="138" spans="1:42" customFormat="1">
      <c r="A138" s="27" t="s">
        <v>148</v>
      </c>
      <c r="B138" s="15">
        <v>1950285</v>
      </c>
      <c r="C138" s="15">
        <v>84595</v>
      </c>
      <c r="D138" s="15">
        <v>79956</v>
      </c>
      <c r="E138" s="15">
        <v>96244</v>
      </c>
      <c r="F138" s="15">
        <v>5589</v>
      </c>
      <c r="G138" s="15">
        <v>5936</v>
      </c>
      <c r="H138" s="15">
        <v>1901705</v>
      </c>
      <c r="I138" s="15">
        <v>92381</v>
      </c>
      <c r="J138" s="15">
        <v>63308</v>
      </c>
      <c r="K138" s="52">
        <v>43.4</v>
      </c>
      <c r="L138" s="52">
        <v>41</v>
      </c>
      <c r="M138" s="75"/>
      <c r="N138" s="15">
        <v>221895</v>
      </c>
      <c r="O138" s="15">
        <v>121664</v>
      </c>
      <c r="P138" s="15">
        <v>152460</v>
      </c>
      <c r="Q138" s="15">
        <v>138613</v>
      </c>
      <c r="R138" s="15">
        <v>184752</v>
      </c>
      <c r="S138" s="15">
        <v>166785</v>
      </c>
      <c r="T138" s="15">
        <v>124823</v>
      </c>
      <c r="U138" s="15">
        <v>160536</v>
      </c>
      <c r="V138" s="15">
        <v>147027</v>
      </c>
      <c r="W138" s="15">
        <v>173962</v>
      </c>
      <c r="X138" s="15">
        <v>188661</v>
      </c>
      <c r="Y138" s="28">
        <v>169207</v>
      </c>
      <c r="Z138" s="28"/>
      <c r="AA138" s="30"/>
      <c r="AB138" s="30"/>
      <c r="AD138" s="86">
        <f>SUM(N138:AB138)</f>
        <v>1950385</v>
      </c>
      <c r="AE138" s="86">
        <f>SUM(N139:AB139)</f>
        <v>84595</v>
      </c>
      <c r="AF138" s="86">
        <f>SUM(N140:AB140)</f>
        <v>79956</v>
      </c>
      <c r="AG138" s="93"/>
      <c r="AH138" s="86">
        <f>AD138-B138</f>
        <v>100</v>
      </c>
      <c r="AI138" s="86">
        <f>AE138-C138</f>
        <v>0</v>
      </c>
      <c r="AJ138" s="86">
        <f>AF138-D138</f>
        <v>0</v>
      </c>
      <c r="AK138" s="93"/>
      <c r="AL138" s="87">
        <f>C138/B138*1000</f>
        <v>43.375711754948632</v>
      </c>
      <c r="AM138" s="87">
        <f>D138/B138*1000</f>
        <v>40.997085041417023</v>
      </c>
      <c r="AN138" s="92"/>
      <c r="AO138" s="87">
        <f>AL138-K138</f>
        <v>-2.4288245051366175E-2</v>
      </c>
      <c r="AP138" s="87">
        <f>AM138-L138</f>
        <v>-2.9149585829770785E-3</v>
      </c>
    </row>
    <row r="139" spans="1:42" customFormat="1">
      <c r="A139" s="9" t="s">
        <v>149</v>
      </c>
      <c r="B139" s="7"/>
      <c r="C139" s="7"/>
      <c r="D139" s="7"/>
      <c r="E139" s="7"/>
      <c r="F139" s="7"/>
      <c r="G139" s="7"/>
      <c r="H139" s="7"/>
      <c r="I139" s="7"/>
      <c r="J139" s="7"/>
      <c r="K139" s="57"/>
      <c r="L139" s="57"/>
      <c r="M139" s="77"/>
      <c r="N139" s="5">
        <v>9539</v>
      </c>
      <c r="O139" s="5">
        <v>4797</v>
      </c>
      <c r="P139" s="5">
        <v>7933</v>
      </c>
      <c r="Q139" s="5">
        <v>5506</v>
      </c>
      <c r="R139" s="5">
        <v>7529</v>
      </c>
      <c r="S139" s="5">
        <v>7472</v>
      </c>
      <c r="T139" s="5">
        <v>4808</v>
      </c>
      <c r="U139" s="5">
        <v>7500</v>
      </c>
      <c r="V139" s="5">
        <v>6618</v>
      </c>
      <c r="W139" s="5">
        <v>7221</v>
      </c>
      <c r="X139" s="5">
        <v>8580</v>
      </c>
      <c r="Y139" s="7">
        <v>7092</v>
      </c>
      <c r="Z139" s="7"/>
      <c r="AA139" s="6"/>
      <c r="AB139" s="6"/>
      <c r="AG139" s="93"/>
      <c r="AK139" s="93"/>
      <c r="AN139" s="93"/>
    </row>
    <row r="140" spans="1:42" customFormat="1">
      <c r="A140" s="9" t="s">
        <v>150</v>
      </c>
      <c r="B140" s="7"/>
      <c r="C140" s="7"/>
      <c r="D140" s="7"/>
      <c r="E140" s="7"/>
      <c r="F140" s="7"/>
      <c r="G140" s="7"/>
      <c r="H140" s="7"/>
      <c r="I140" s="7"/>
      <c r="J140" s="7"/>
      <c r="K140" s="57"/>
      <c r="L140" s="57"/>
      <c r="M140" s="77"/>
      <c r="N140" s="5">
        <v>8704</v>
      </c>
      <c r="O140" s="5">
        <v>5209</v>
      </c>
      <c r="P140" s="5">
        <v>5980</v>
      </c>
      <c r="Q140" s="5">
        <v>5153</v>
      </c>
      <c r="R140" s="5">
        <v>6055</v>
      </c>
      <c r="S140" s="5">
        <v>8574</v>
      </c>
      <c r="T140" s="5">
        <v>5238</v>
      </c>
      <c r="U140" s="5">
        <v>6847</v>
      </c>
      <c r="V140" s="5">
        <v>7529</v>
      </c>
      <c r="W140" s="5">
        <v>6762</v>
      </c>
      <c r="X140" s="5">
        <v>7044</v>
      </c>
      <c r="Y140" s="7">
        <v>6861</v>
      </c>
      <c r="Z140" s="7"/>
      <c r="AA140" s="6"/>
      <c r="AB140" s="6"/>
      <c r="AG140" s="93"/>
      <c r="AK140" s="93"/>
      <c r="AN140" s="93"/>
    </row>
    <row r="141" spans="1:42" customFormat="1">
      <c r="A141" s="27" t="s">
        <v>151</v>
      </c>
      <c r="B141" s="15">
        <v>2650580</v>
      </c>
      <c r="C141" s="15">
        <v>125755</v>
      </c>
      <c r="D141" s="15">
        <v>175453</v>
      </c>
      <c r="E141" s="15">
        <v>166734</v>
      </c>
      <c r="F141" s="15">
        <v>6321</v>
      </c>
      <c r="G141" s="15">
        <v>12266</v>
      </c>
      <c r="H141" s="15">
        <v>2612224</v>
      </c>
      <c r="I141" s="15">
        <v>150262</v>
      </c>
      <c r="J141" s="15">
        <v>103433</v>
      </c>
      <c r="K141" s="52">
        <v>47.4</v>
      </c>
      <c r="L141" s="52">
        <v>66.2</v>
      </c>
      <c r="M141" s="75"/>
      <c r="N141" s="15">
        <v>344455</v>
      </c>
      <c r="O141" s="15">
        <v>294597</v>
      </c>
      <c r="P141" s="15">
        <v>385303</v>
      </c>
      <c r="Q141" s="15">
        <v>452117</v>
      </c>
      <c r="R141" s="15">
        <v>502248</v>
      </c>
      <c r="S141" s="15">
        <v>396934</v>
      </c>
      <c r="T141" s="15">
        <v>274926</v>
      </c>
      <c r="U141" s="15"/>
      <c r="V141" s="15"/>
      <c r="W141" s="15"/>
      <c r="X141" s="15"/>
      <c r="Y141" s="28"/>
      <c r="Z141" s="28"/>
      <c r="AA141" s="30"/>
      <c r="AB141" s="30"/>
      <c r="AD141" s="86">
        <f>SUM(N141:AB141)</f>
        <v>2650580</v>
      </c>
      <c r="AE141" s="86">
        <f>SUM(N142:AB142)</f>
        <v>125755</v>
      </c>
      <c r="AF141" s="86">
        <f>SUM(N143:AB143)</f>
        <v>175453</v>
      </c>
      <c r="AG141" s="93"/>
      <c r="AH141" s="86">
        <f>AD141-B141</f>
        <v>0</v>
      </c>
      <c r="AI141" s="86">
        <f>AE141-C141</f>
        <v>0</v>
      </c>
      <c r="AJ141" s="86">
        <f>AF141-D141</f>
        <v>0</v>
      </c>
      <c r="AK141" s="93"/>
      <c r="AL141" s="87">
        <f>C141/B141*1000</f>
        <v>47.444332938451204</v>
      </c>
      <c r="AM141" s="87">
        <f>D141/B141*1000</f>
        <v>66.194191459982349</v>
      </c>
      <c r="AN141" s="92"/>
      <c r="AO141" s="87">
        <f>AL141-K141</f>
        <v>4.433293845120545E-2</v>
      </c>
      <c r="AP141" s="87">
        <f>AM141-L141</f>
        <v>-5.8085400176537405E-3</v>
      </c>
    </row>
    <row r="142" spans="1:42" customFormat="1">
      <c r="A142" s="9" t="s">
        <v>152</v>
      </c>
      <c r="B142" s="7"/>
      <c r="C142" s="7"/>
      <c r="D142" s="7"/>
      <c r="E142" s="7"/>
      <c r="F142" s="7"/>
      <c r="G142" s="7"/>
      <c r="H142" s="7"/>
      <c r="I142" s="7"/>
      <c r="J142" s="7"/>
      <c r="K142" s="57"/>
      <c r="L142" s="57"/>
      <c r="M142" s="77"/>
      <c r="N142" s="5">
        <v>16305</v>
      </c>
      <c r="O142" s="5">
        <v>12945</v>
      </c>
      <c r="P142" s="5">
        <v>18736</v>
      </c>
      <c r="Q142" s="5">
        <v>24725</v>
      </c>
      <c r="R142" s="5">
        <v>22373</v>
      </c>
      <c r="S142" s="5">
        <v>17860</v>
      </c>
      <c r="T142" s="5">
        <v>12811</v>
      </c>
      <c r="U142" s="5"/>
      <c r="V142" s="5"/>
      <c r="W142" s="5"/>
      <c r="X142" s="5"/>
      <c r="Y142" s="7"/>
      <c r="Z142" s="7"/>
      <c r="AA142" s="6"/>
      <c r="AB142" s="6"/>
      <c r="AG142" s="93"/>
      <c r="AK142" s="93"/>
      <c r="AN142" s="93"/>
    </row>
    <row r="143" spans="1:42" customFormat="1">
      <c r="A143" s="9" t="s">
        <v>153</v>
      </c>
      <c r="B143" s="7"/>
      <c r="C143" s="7"/>
      <c r="D143" s="7"/>
      <c r="E143" s="7"/>
      <c r="F143" s="7"/>
      <c r="G143" s="7"/>
      <c r="H143" s="7"/>
      <c r="I143" s="7"/>
      <c r="J143" s="7"/>
      <c r="K143" s="57"/>
      <c r="L143" s="57"/>
      <c r="M143" s="77"/>
      <c r="N143" s="5">
        <v>24061</v>
      </c>
      <c r="O143" s="5">
        <v>13850</v>
      </c>
      <c r="P143" s="5">
        <v>25629</v>
      </c>
      <c r="Q143" s="5">
        <v>29341</v>
      </c>
      <c r="R143" s="5">
        <v>36333</v>
      </c>
      <c r="S143" s="5">
        <v>27286</v>
      </c>
      <c r="T143" s="5">
        <v>18953</v>
      </c>
      <c r="U143" s="5"/>
      <c r="V143" s="5"/>
      <c r="W143" s="5"/>
      <c r="X143" s="5"/>
      <c r="Y143" s="7"/>
      <c r="Z143" s="7"/>
      <c r="AA143" s="6"/>
      <c r="AB143" s="6"/>
      <c r="AG143" s="93"/>
      <c r="AK143" s="93"/>
      <c r="AN143" s="93"/>
    </row>
    <row r="144" spans="1:42" customFormat="1">
      <c r="A144" s="14" t="s">
        <v>154</v>
      </c>
      <c r="B144" s="28">
        <v>840000</v>
      </c>
      <c r="C144" s="28">
        <v>27941</v>
      </c>
      <c r="D144" s="28">
        <v>27875</v>
      </c>
      <c r="E144" s="15"/>
      <c r="F144" s="15"/>
      <c r="G144" s="15"/>
      <c r="H144" s="28">
        <v>798671</v>
      </c>
      <c r="I144" s="28">
        <v>32729</v>
      </c>
      <c r="J144" s="28">
        <v>28304</v>
      </c>
      <c r="K144" s="58">
        <v>33.299999999999997</v>
      </c>
      <c r="L144" s="58">
        <v>33.200000000000003</v>
      </c>
      <c r="M144" s="77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30"/>
      <c r="AA144" s="30"/>
      <c r="AB144" s="30"/>
      <c r="AD144" s="86">
        <f>B144</f>
        <v>840000</v>
      </c>
      <c r="AE144" s="86">
        <f>C144</f>
        <v>27941</v>
      </c>
      <c r="AF144" s="86">
        <f>D144</f>
        <v>27875</v>
      </c>
      <c r="AG144" s="93"/>
      <c r="AK144" s="93"/>
      <c r="AN144" s="93"/>
    </row>
    <row r="145" spans="1:42" customFormat="1">
      <c r="A145" s="14" t="s">
        <v>155</v>
      </c>
      <c r="B145" s="15">
        <v>1035529</v>
      </c>
      <c r="C145" s="15">
        <v>30276</v>
      </c>
      <c r="D145" s="15">
        <v>25191</v>
      </c>
      <c r="E145" s="15"/>
      <c r="F145" s="15"/>
      <c r="G145" s="15"/>
      <c r="H145" s="15">
        <v>960693</v>
      </c>
      <c r="I145" s="15">
        <v>29254</v>
      </c>
      <c r="J145" s="15">
        <v>26505</v>
      </c>
      <c r="K145" s="52">
        <v>31.7</v>
      </c>
      <c r="L145" s="52">
        <v>25.4</v>
      </c>
      <c r="M145" s="7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30"/>
      <c r="AA145" s="30"/>
      <c r="AB145" s="30"/>
      <c r="AD145" s="86">
        <f>B145</f>
        <v>1035529</v>
      </c>
      <c r="AE145" s="86">
        <f>C145</f>
        <v>30276</v>
      </c>
      <c r="AF145" s="86">
        <f>D145</f>
        <v>25191</v>
      </c>
      <c r="AG145" s="93"/>
      <c r="AK145" s="93"/>
      <c r="AN145" s="93"/>
    </row>
    <row r="146" spans="1:42" customFormat="1">
      <c r="A146" s="27" t="s">
        <v>156</v>
      </c>
      <c r="B146" s="15">
        <v>820183</v>
      </c>
      <c r="C146" s="15">
        <v>31513</v>
      </c>
      <c r="D146" s="15">
        <v>26204</v>
      </c>
      <c r="E146" s="15"/>
      <c r="F146" s="15"/>
      <c r="G146" s="15"/>
      <c r="H146" s="15">
        <v>829580</v>
      </c>
      <c r="I146" s="15">
        <v>30656</v>
      </c>
      <c r="J146" s="15">
        <v>25070</v>
      </c>
      <c r="K146" s="52">
        <v>35</v>
      </c>
      <c r="L146" s="52">
        <v>30</v>
      </c>
      <c r="M146" s="75"/>
      <c r="N146" s="15">
        <v>130875</v>
      </c>
      <c r="O146" s="15">
        <v>152823</v>
      </c>
      <c r="P146" s="15">
        <v>113194</v>
      </c>
      <c r="Q146" s="15">
        <v>90037</v>
      </c>
      <c r="R146" s="15">
        <v>68411</v>
      </c>
      <c r="S146" s="15">
        <v>123487</v>
      </c>
      <c r="T146" s="15">
        <v>46669</v>
      </c>
      <c r="U146" s="15">
        <v>94687</v>
      </c>
      <c r="V146" s="15"/>
      <c r="W146" s="15"/>
      <c r="X146" s="15"/>
      <c r="Y146" s="28"/>
      <c r="Z146" s="28"/>
      <c r="AA146" s="30"/>
      <c r="AB146" s="30"/>
      <c r="AD146" s="86">
        <f>SUM(N146:AB146)</f>
        <v>820183</v>
      </c>
      <c r="AE146" s="86">
        <f>SUM(N147:AB147)</f>
        <v>31513</v>
      </c>
      <c r="AF146" s="86">
        <f>SUM(N148:AB148)</f>
        <v>26204</v>
      </c>
      <c r="AG146" s="93"/>
      <c r="AH146" s="86">
        <f>AD146-B146</f>
        <v>0</v>
      </c>
      <c r="AI146" s="86">
        <f>AE146-C146</f>
        <v>0</v>
      </c>
      <c r="AJ146" s="86">
        <f>AF146-D146</f>
        <v>0</v>
      </c>
      <c r="AK146" s="93"/>
      <c r="AL146" s="87">
        <f>C146/B146*1000</f>
        <v>38.421913158404898</v>
      </c>
      <c r="AM146" s="87">
        <f>D146/B146*1000</f>
        <v>31.948967486524349</v>
      </c>
      <c r="AN146" s="92"/>
      <c r="AO146" s="87">
        <f>AL146-K146</f>
        <v>3.4219131584048981</v>
      </c>
      <c r="AP146" s="87">
        <f>AM146-L146</f>
        <v>1.9489674865243494</v>
      </c>
    </row>
    <row r="147" spans="1:42" customFormat="1">
      <c r="A147" s="9" t="s">
        <v>157</v>
      </c>
      <c r="B147" s="7"/>
      <c r="C147" s="7"/>
      <c r="D147" s="7"/>
      <c r="E147" s="7"/>
      <c r="F147" s="7"/>
      <c r="G147" s="7"/>
      <c r="H147" s="7"/>
      <c r="I147" s="7"/>
      <c r="J147" s="7"/>
      <c r="K147" s="57"/>
      <c r="L147" s="57"/>
      <c r="M147" s="77"/>
      <c r="N147" s="5">
        <v>5447</v>
      </c>
      <c r="O147" s="5">
        <v>5303</v>
      </c>
      <c r="P147" s="5">
        <v>4416</v>
      </c>
      <c r="Q147" s="5">
        <v>3345</v>
      </c>
      <c r="R147" s="5">
        <v>2739</v>
      </c>
      <c r="S147" s="5">
        <v>5313</v>
      </c>
      <c r="T147" s="5">
        <v>1979</v>
      </c>
      <c r="U147" s="5">
        <v>2971</v>
      </c>
      <c r="V147" s="5"/>
      <c r="W147" s="5"/>
      <c r="X147" s="5"/>
      <c r="Y147" s="7"/>
      <c r="Z147" s="7"/>
      <c r="AA147" s="6"/>
      <c r="AB147" s="6"/>
      <c r="AG147" s="93"/>
      <c r="AK147" s="93"/>
      <c r="AN147" s="93"/>
    </row>
    <row r="148" spans="1:42" customFormat="1">
      <c r="A148" s="9" t="s">
        <v>158</v>
      </c>
      <c r="B148" s="7"/>
      <c r="C148" s="7"/>
      <c r="D148" s="7"/>
      <c r="E148" s="7"/>
      <c r="F148" s="7"/>
      <c r="G148" s="7"/>
      <c r="H148" s="7"/>
      <c r="I148" s="7"/>
      <c r="J148" s="7"/>
      <c r="K148" s="57"/>
      <c r="L148" s="57"/>
      <c r="M148" s="77"/>
      <c r="N148" s="5">
        <v>4914</v>
      </c>
      <c r="O148" s="5">
        <v>3922</v>
      </c>
      <c r="P148" s="5">
        <v>4014</v>
      </c>
      <c r="Q148" s="5">
        <v>2704</v>
      </c>
      <c r="R148" s="5">
        <v>2264</v>
      </c>
      <c r="S148" s="5">
        <v>4226</v>
      </c>
      <c r="T148" s="5">
        <v>1654</v>
      </c>
      <c r="U148" s="5">
        <v>2506</v>
      </c>
      <c r="V148" s="5"/>
      <c r="W148" s="5"/>
      <c r="X148" s="5"/>
      <c r="Y148" s="7"/>
      <c r="Z148" s="7"/>
      <c r="AA148" s="6"/>
      <c r="AB148" s="6"/>
      <c r="AG148" s="93"/>
      <c r="AK148" s="93"/>
      <c r="AN148" s="93"/>
    </row>
    <row r="149" spans="1:42" customFormat="1">
      <c r="A149" s="27" t="s">
        <v>159</v>
      </c>
      <c r="B149" s="15">
        <v>2437940</v>
      </c>
      <c r="C149" s="15">
        <v>112212</v>
      </c>
      <c r="D149" s="15">
        <v>146516</v>
      </c>
      <c r="E149" s="15">
        <v>292501</v>
      </c>
      <c r="F149" s="15">
        <v>11303</v>
      </c>
      <c r="G149" s="15">
        <v>19819</v>
      </c>
      <c r="H149" s="15">
        <v>2386875</v>
      </c>
      <c r="I149" s="15">
        <v>125172</v>
      </c>
      <c r="J149" s="15">
        <v>90554</v>
      </c>
      <c r="K149" s="52">
        <v>46</v>
      </c>
      <c r="L149" s="52">
        <v>60.1</v>
      </c>
      <c r="M149" s="75"/>
      <c r="N149" s="15">
        <v>306454</v>
      </c>
      <c r="O149" s="15">
        <v>293167</v>
      </c>
      <c r="P149" s="15">
        <v>293063</v>
      </c>
      <c r="Q149" s="15">
        <v>197961</v>
      </c>
      <c r="R149" s="15">
        <v>347985</v>
      </c>
      <c r="S149" s="15">
        <v>206886</v>
      </c>
      <c r="T149" s="15">
        <v>221391</v>
      </c>
      <c r="U149" s="15">
        <v>219310</v>
      </c>
      <c r="V149" s="15">
        <v>203231</v>
      </c>
      <c r="W149" s="15">
        <v>148492</v>
      </c>
      <c r="X149" s="15"/>
      <c r="Y149" s="28"/>
      <c r="Z149" s="28"/>
      <c r="AA149" s="30"/>
      <c r="AB149" s="30"/>
      <c r="AD149" s="86">
        <f>SUM(N149:AB149)</f>
        <v>2437940</v>
      </c>
      <c r="AE149" s="86">
        <f>SUM(N150:AB150)</f>
        <v>111424</v>
      </c>
      <c r="AF149" s="86">
        <f>SUM(N151:AB151)</f>
        <v>145465</v>
      </c>
      <c r="AG149" s="93"/>
      <c r="AH149" s="86">
        <f>AD149-B149</f>
        <v>0</v>
      </c>
      <c r="AI149" s="86">
        <f>AE149-C149</f>
        <v>-788</v>
      </c>
      <c r="AJ149" s="86">
        <f>AF149-D149</f>
        <v>-1051</v>
      </c>
      <c r="AK149" s="93"/>
      <c r="AL149" s="87">
        <f>C149/B149*1000</f>
        <v>46.027383774826284</v>
      </c>
      <c r="AM149" s="87">
        <f>D149/B149*1000</f>
        <v>60.09827969515247</v>
      </c>
      <c r="AN149" s="92"/>
      <c r="AO149" s="87">
        <f>AL149-K149</f>
        <v>2.7383774826283513E-2</v>
      </c>
      <c r="AP149" s="87">
        <f>AM149-L149</f>
        <v>-1.7203048475309402E-3</v>
      </c>
    </row>
    <row r="150" spans="1:42" customFormat="1">
      <c r="A150" s="9" t="s">
        <v>160</v>
      </c>
      <c r="B150" s="7"/>
      <c r="C150" s="7"/>
      <c r="D150" s="7"/>
      <c r="E150" s="7"/>
      <c r="F150" s="7"/>
      <c r="G150" s="7"/>
      <c r="H150" s="7"/>
      <c r="I150" s="7"/>
      <c r="J150" s="7"/>
      <c r="K150" s="57"/>
      <c r="L150" s="57"/>
      <c r="M150" s="77"/>
      <c r="N150" s="5">
        <v>14055</v>
      </c>
      <c r="O150" s="5">
        <v>13767</v>
      </c>
      <c r="P150" s="5">
        <v>14208</v>
      </c>
      <c r="Q150" s="5">
        <v>8823</v>
      </c>
      <c r="R150" s="5">
        <v>13926</v>
      </c>
      <c r="S150" s="5">
        <v>8954</v>
      </c>
      <c r="T150" s="5">
        <v>11691</v>
      </c>
      <c r="U150" s="5">
        <v>10966</v>
      </c>
      <c r="V150" s="5">
        <v>8177</v>
      </c>
      <c r="W150" s="5">
        <v>6857</v>
      </c>
      <c r="X150" s="5"/>
      <c r="Y150" s="7"/>
      <c r="Z150" s="7"/>
      <c r="AA150" s="6"/>
      <c r="AB150" s="6"/>
      <c r="AG150" s="93"/>
      <c r="AK150" s="93"/>
      <c r="AN150" s="93"/>
    </row>
    <row r="151" spans="1:42" customFormat="1">
      <c r="A151" s="9" t="s">
        <v>161</v>
      </c>
      <c r="B151" s="7"/>
      <c r="C151" s="7"/>
      <c r="D151" s="7"/>
      <c r="E151" s="7"/>
      <c r="F151" s="7"/>
      <c r="G151" s="7"/>
      <c r="H151" s="7"/>
      <c r="I151" s="7"/>
      <c r="J151" s="7"/>
      <c r="K151" s="57"/>
      <c r="L151" s="57"/>
      <c r="M151" s="77"/>
      <c r="N151" s="5">
        <v>21637</v>
      </c>
      <c r="O151" s="5">
        <v>18488</v>
      </c>
      <c r="P151" s="5">
        <v>17985</v>
      </c>
      <c r="Q151" s="5">
        <v>11089</v>
      </c>
      <c r="R151" s="5">
        <v>16874</v>
      </c>
      <c r="S151" s="5">
        <v>9820</v>
      </c>
      <c r="T151" s="5">
        <v>15666</v>
      </c>
      <c r="U151" s="5">
        <v>12937</v>
      </c>
      <c r="V151" s="5">
        <v>11222</v>
      </c>
      <c r="W151" s="5">
        <v>9747</v>
      </c>
      <c r="X151" s="5"/>
      <c r="Y151" s="7"/>
      <c r="Z151" s="7"/>
      <c r="AA151" s="6"/>
      <c r="AB151" s="6"/>
      <c r="AG151" s="93"/>
      <c r="AK151" s="93"/>
      <c r="AN151" s="93"/>
    </row>
    <row r="152" spans="1:42" customFormat="1">
      <c r="A152" s="27" t="s">
        <v>162</v>
      </c>
      <c r="B152" s="28">
        <v>1523200</v>
      </c>
      <c r="C152" s="28">
        <v>65325</v>
      </c>
      <c r="D152" s="28">
        <v>79662</v>
      </c>
      <c r="E152" s="15"/>
      <c r="F152" s="15"/>
      <c r="G152" s="15"/>
      <c r="H152" s="28">
        <v>1620247</v>
      </c>
      <c r="I152" s="28">
        <v>78274</v>
      </c>
      <c r="J152" s="28">
        <v>57567</v>
      </c>
      <c r="K152" s="58">
        <v>42.9</v>
      </c>
      <c r="L152" s="58">
        <v>52.3</v>
      </c>
      <c r="M152" s="77"/>
      <c r="N152" s="28">
        <v>223254</v>
      </c>
      <c r="O152" s="28">
        <v>166168</v>
      </c>
      <c r="P152" s="28">
        <v>193388</v>
      </c>
      <c r="Q152" s="28">
        <v>183198</v>
      </c>
      <c r="R152" s="28">
        <v>216644</v>
      </c>
      <c r="S152" s="28">
        <v>159431</v>
      </c>
      <c r="T152" s="28">
        <v>150351</v>
      </c>
      <c r="U152" s="28">
        <v>230766</v>
      </c>
      <c r="V152" s="15"/>
      <c r="W152" s="15"/>
      <c r="X152" s="15"/>
      <c r="Y152" s="28"/>
      <c r="Z152" s="28"/>
      <c r="AA152" s="30"/>
      <c r="AB152" s="30"/>
      <c r="AD152" s="86">
        <f>SUM(N152:AB152)</f>
        <v>1523200</v>
      </c>
      <c r="AE152" s="86">
        <f>SUM(N153:AB153)</f>
        <v>65315</v>
      </c>
      <c r="AF152" s="86">
        <f>SUM(N154:AB154)</f>
        <v>79662</v>
      </c>
      <c r="AG152" s="93"/>
      <c r="AH152" s="86">
        <f>AD152-B152</f>
        <v>0</v>
      </c>
      <c r="AI152" s="86">
        <f>AE152-C152</f>
        <v>-10</v>
      </c>
      <c r="AJ152" s="86">
        <f>AF152-D152</f>
        <v>0</v>
      </c>
      <c r="AK152" s="93"/>
      <c r="AL152" s="87">
        <f>C152/B152*1000</f>
        <v>42.88668592436975</v>
      </c>
      <c r="AM152" s="87">
        <f>D152/B152*1000</f>
        <v>52.299107142857139</v>
      </c>
      <c r="AN152" s="92"/>
      <c r="AO152" s="87">
        <f>AL152-K152</f>
        <v>-1.3314075630248112E-2</v>
      </c>
      <c r="AP152" s="87">
        <f>AM152-L152</f>
        <v>-8.9285714285836093E-4</v>
      </c>
    </row>
    <row r="153" spans="1:42" customFormat="1">
      <c r="A153" s="9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57"/>
      <c r="L153" s="57"/>
      <c r="M153" s="77"/>
      <c r="N153" s="7">
        <v>9172</v>
      </c>
      <c r="O153" s="7">
        <v>6506</v>
      </c>
      <c r="P153" s="7">
        <v>9058</v>
      </c>
      <c r="Q153" s="7">
        <v>6658</v>
      </c>
      <c r="R153" s="7">
        <v>9425</v>
      </c>
      <c r="S153" s="7">
        <v>7202</v>
      </c>
      <c r="T153" s="7">
        <v>6894</v>
      </c>
      <c r="U153" s="7">
        <v>10400</v>
      </c>
      <c r="V153" s="5"/>
      <c r="W153" s="5"/>
      <c r="X153" s="5"/>
      <c r="Y153" s="7"/>
      <c r="Z153" s="7"/>
      <c r="AA153" s="6"/>
      <c r="AB153" s="6"/>
      <c r="AG153" s="93"/>
      <c r="AK153" s="93"/>
      <c r="AN153" s="93"/>
    </row>
    <row r="154" spans="1:42" customFormat="1">
      <c r="A154" s="9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57"/>
      <c r="L154" s="57"/>
      <c r="M154" s="77"/>
      <c r="N154" s="7">
        <v>14896</v>
      </c>
      <c r="O154" s="7">
        <v>7102</v>
      </c>
      <c r="P154" s="7">
        <v>8403</v>
      </c>
      <c r="Q154" s="7">
        <v>8740</v>
      </c>
      <c r="R154" s="7">
        <v>10702</v>
      </c>
      <c r="S154" s="7">
        <v>6691</v>
      </c>
      <c r="T154" s="7">
        <v>8797</v>
      </c>
      <c r="U154" s="7">
        <v>14331</v>
      </c>
      <c r="V154" s="5"/>
      <c r="W154" s="5"/>
      <c r="X154" s="5"/>
      <c r="Y154" s="7"/>
      <c r="Z154" s="7"/>
      <c r="AA154" s="6"/>
      <c r="AB154" s="6"/>
      <c r="AG154" s="93"/>
      <c r="AK154" s="93"/>
      <c r="AN154" s="93"/>
    </row>
    <row r="155" spans="1:42" customFormat="1">
      <c r="A155" s="27" t="s">
        <v>165</v>
      </c>
      <c r="B155" s="28">
        <v>1437831</v>
      </c>
      <c r="C155" s="28">
        <v>77633</v>
      </c>
      <c r="D155" s="28">
        <v>58703</v>
      </c>
      <c r="E155" s="28">
        <v>122000</v>
      </c>
      <c r="F155" s="28">
        <v>3468</v>
      </c>
      <c r="G155" s="28">
        <v>3184</v>
      </c>
      <c r="H155" s="28">
        <v>1396997</v>
      </c>
      <c r="I155" s="28">
        <v>76736</v>
      </c>
      <c r="J155" s="28">
        <v>51309</v>
      </c>
      <c r="K155" s="58">
        <v>54</v>
      </c>
      <c r="L155" s="58">
        <v>40.799999999999997</v>
      </c>
      <c r="M155" s="77"/>
      <c r="N155" s="28">
        <v>127509</v>
      </c>
      <c r="O155" s="28">
        <v>123265</v>
      </c>
      <c r="P155" s="28">
        <v>101699</v>
      </c>
      <c r="Q155" s="28">
        <v>141649</v>
      </c>
      <c r="R155" s="28">
        <v>102729</v>
      </c>
      <c r="S155" s="28">
        <v>89799</v>
      </c>
      <c r="T155" s="28">
        <v>123586</v>
      </c>
      <c r="U155" s="28">
        <v>98635</v>
      </c>
      <c r="V155" s="28">
        <v>113403</v>
      </c>
      <c r="W155" s="28">
        <v>167787</v>
      </c>
      <c r="X155" s="28">
        <v>120398</v>
      </c>
      <c r="Y155" s="28">
        <v>117377</v>
      </c>
      <c r="Z155" s="28"/>
      <c r="AA155" s="30"/>
      <c r="AB155" s="30"/>
      <c r="AD155" s="86">
        <f>SUM(N155:AB155)</f>
        <v>1427836</v>
      </c>
      <c r="AE155" s="86">
        <f>SUM(N156:AB156)</f>
        <v>77733</v>
      </c>
      <c r="AF155" s="86">
        <f>SUM(N157:AB157)</f>
        <v>58703</v>
      </c>
      <c r="AG155" s="93"/>
      <c r="AH155" s="86">
        <f>AD155-B155</f>
        <v>-9995</v>
      </c>
      <c r="AI155" s="86">
        <f>AE155-C155</f>
        <v>100</v>
      </c>
      <c r="AJ155" s="86">
        <f>AF155-D155</f>
        <v>0</v>
      </c>
      <c r="AK155" s="93"/>
      <c r="AL155" s="87">
        <f>C155/B155*1000</f>
        <v>53.993132711702557</v>
      </c>
      <c r="AM155" s="87">
        <f>D155/B155*1000</f>
        <v>40.827468596796145</v>
      </c>
      <c r="AN155" s="92"/>
      <c r="AO155" s="87">
        <f>AL155-K155</f>
        <v>-6.867288297442542E-3</v>
      </c>
      <c r="AP155" s="87">
        <f>AM155-L155</f>
        <v>2.7468596796147438E-2</v>
      </c>
    </row>
    <row r="156" spans="1:42" customFormat="1">
      <c r="A156" s="9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57"/>
      <c r="L156" s="57"/>
      <c r="M156" s="77"/>
      <c r="N156" s="7">
        <v>6328</v>
      </c>
      <c r="O156" s="7">
        <v>8497</v>
      </c>
      <c r="P156" s="7">
        <v>5476</v>
      </c>
      <c r="Q156" s="7">
        <v>5123</v>
      </c>
      <c r="R156" s="7">
        <v>5640</v>
      </c>
      <c r="S156" s="7">
        <v>6968</v>
      </c>
      <c r="T156" s="7">
        <v>7500</v>
      </c>
      <c r="U156" s="7">
        <v>5357</v>
      </c>
      <c r="V156" s="7">
        <v>6690</v>
      </c>
      <c r="W156" s="7">
        <v>8984</v>
      </c>
      <c r="X156" s="7">
        <v>4791</v>
      </c>
      <c r="Y156" s="7">
        <v>6379</v>
      </c>
      <c r="Z156" s="7"/>
      <c r="AA156" s="6"/>
      <c r="AB156" s="6"/>
      <c r="AG156" s="93"/>
      <c r="AK156" s="93"/>
      <c r="AN156" s="93"/>
    </row>
    <row r="157" spans="1:42" customFormat="1">
      <c r="A157" s="9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57"/>
      <c r="L157" s="57"/>
      <c r="M157" s="77"/>
      <c r="N157" s="7">
        <v>5078</v>
      </c>
      <c r="O157" s="7">
        <v>6103</v>
      </c>
      <c r="P157" s="7">
        <v>4044</v>
      </c>
      <c r="Q157" s="7">
        <v>5306</v>
      </c>
      <c r="R157" s="7">
        <v>4365</v>
      </c>
      <c r="S157" s="7">
        <v>4430</v>
      </c>
      <c r="T157" s="7">
        <v>5593</v>
      </c>
      <c r="U157" s="7">
        <v>3679</v>
      </c>
      <c r="V157" s="7">
        <v>4678</v>
      </c>
      <c r="W157" s="7">
        <v>5863</v>
      </c>
      <c r="X157" s="7">
        <v>4138</v>
      </c>
      <c r="Y157" s="7">
        <v>5426</v>
      </c>
      <c r="Z157" s="7"/>
      <c r="AA157" s="6"/>
      <c r="AB157" s="6"/>
      <c r="AG157" s="93"/>
      <c r="AK157" s="93"/>
      <c r="AN157" s="93"/>
    </row>
    <row r="158" spans="1:42" customFormat="1">
      <c r="A158" s="27" t="s">
        <v>168</v>
      </c>
      <c r="B158" s="28">
        <v>1210770</v>
      </c>
      <c r="C158" s="28">
        <v>56143</v>
      </c>
      <c r="D158" s="28">
        <v>37863</v>
      </c>
      <c r="E158" s="28">
        <v>214281</v>
      </c>
      <c r="F158" s="28">
        <v>9383</v>
      </c>
      <c r="G158" s="28">
        <v>6733</v>
      </c>
      <c r="H158" s="28">
        <v>1100758</v>
      </c>
      <c r="I158" s="28">
        <v>56453</v>
      </c>
      <c r="J158" s="28">
        <v>34394</v>
      </c>
      <c r="K158" s="58">
        <v>46.4</v>
      </c>
      <c r="L158" s="58">
        <v>31.3</v>
      </c>
      <c r="M158" s="77"/>
      <c r="N158" s="28">
        <v>134897</v>
      </c>
      <c r="O158" s="28">
        <v>295917</v>
      </c>
      <c r="P158" s="28">
        <v>195728</v>
      </c>
      <c r="Q158" s="28">
        <v>48775</v>
      </c>
      <c r="R158" s="28">
        <v>333837</v>
      </c>
      <c r="S158" s="28">
        <v>37023</v>
      </c>
      <c r="T158" s="28">
        <v>84262</v>
      </c>
      <c r="U158" s="28">
        <v>48664</v>
      </c>
      <c r="V158" s="28">
        <v>32167</v>
      </c>
      <c r="W158" s="15"/>
      <c r="X158" s="15"/>
      <c r="Y158" s="28"/>
      <c r="Z158" s="28"/>
      <c r="AA158" s="30"/>
      <c r="AB158" s="30"/>
      <c r="AD158" s="86">
        <f>SUM(N158:AB158)</f>
        <v>1211270</v>
      </c>
      <c r="AE158" s="86">
        <f>SUM(N159:AB159)</f>
        <v>56143</v>
      </c>
      <c r="AF158" s="86">
        <f>SUM(N160:AB160)</f>
        <v>37863</v>
      </c>
      <c r="AG158" s="93"/>
      <c r="AH158" s="86">
        <f>AD158-B158</f>
        <v>500</v>
      </c>
      <c r="AI158" s="86">
        <f>AE158-C158</f>
        <v>0</v>
      </c>
      <c r="AJ158" s="86">
        <f>AF158-D158</f>
        <v>0</v>
      </c>
      <c r="AK158" s="93"/>
      <c r="AL158" s="87">
        <f>C158/B158*1000</f>
        <v>46.369665584710553</v>
      </c>
      <c r="AM158" s="87">
        <f>D158/B158*1000</f>
        <v>31.271835278376571</v>
      </c>
      <c r="AN158" s="92"/>
      <c r="AO158" s="87">
        <f>AL158-K158</f>
        <v>-3.033441528944536E-2</v>
      </c>
      <c r="AP158" s="87">
        <f>AM158-L158</f>
        <v>-2.8164721623429756E-2</v>
      </c>
    </row>
    <row r="159" spans="1:42" customFormat="1">
      <c r="A159" s="9" t="s">
        <v>169</v>
      </c>
      <c r="B159" s="7"/>
      <c r="C159" s="7"/>
      <c r="D159" s="7"/>
      <c r="E159" s="7"/>
      <c r="F159" s="7"/>
      <c r="G159" s="7"/>
      <c r="H159" s="7"/>
      <c r="I159" s="7"/>
      <c r="J159" s="7"/>
      <c r="K159" s="57"/>
      <c r="L159" s="57"/>
      <c r="M159" s="77"/>
      <c r="N159" s="7">
        <v>5117</v>
      </c>
      <c r="O159" s="7">
        <v>14193</v>
      </c>
      <c r="P159" s="7">
        <v>9265</v>
      </c>
      <c r="Q159" s="7">
        <v>2479</v>
      </c>
      <c r="R159" s="7">
        <v>16882</v>
      </c>
      <c r="S159" s="7">
        <v>1848</v>
      </c>
      <c r="T159" s="7">
        <v>3586</v>
      </c>
      <c r="U159" s="7">
        <v>836</v>
      </c>
      <c r="V159" s="7">
        <v>1937</v>
      </c>
      <c r="W159" s="5"/>
      <c r="X159" s="5"/>
      <c r="Y159" s="7"/>
      <c r="Z159" s="7"/>
      <c r="AA159" s="6"/>
      <c r="AB159" s="6"/>
      <c r="AG159" s="93"/>
      <c r="AK159" s="93"/>
      <c r="AN159" s="93"/>
    </row>
    <row r="160" spans="1:42" customFormat="1">
      <c r="A160" s="9" t="s">
        <v>170</v>
      </c>
      <c r="B160" s="7"/>
      <c r="C160" s="7"/>
      <c r="D160" s="7"/>
      <c r="E160" s="7"/>
      <c r="F160" s="7"/>
      <c r="G160" s="7"/>
      <c r="H160" s="7"/>
      <c r="I160" s="7"/>
      <c r="J160" s="7"/>
      <c r="K160" s="57"/>
      <c r="L160" s="57"/>
      <c r="M160" s="77"/>
      <c r="N160" s="7">
        <v>3246</v>
      </c>
      <c r="O160" s="7">
        <v>9150</v>
      </c>
      <c r="P160" s="7">
        <v>5569</v>
      </c>
      <c r="Q160" s="7">
        <v>2073</v>
      </c>
      <c r="R160" s="7">
        <v>11273</v>
      </c>
      <c r="S160" s="7">
        <v>1013</v>
      </c>
      <c r="T160" s="7">
        <v>3133</v>
      </c>
      <c r="U160" s="7">
        <v>628</v>
      </c>
      <c r="V160" s="7">
        <v>1778</v>
      </c>
      <c r="W160" s="5"/>
      <c r="X160" s="5"/>
      <c r="Y160" s="7"/>
      <c r="Z160" s="7"/>
      <c r="AA160" s="6"/>
      <c r="AB160" s="6"/>
      <c r="AG160" s="93"/>
      <c r="AK160" s="93"/>
      <c r="AN160" s="93"/>
    </row>
    <row r="161" spans="1:42" customFormat="1">
      <c r="A161" s="27" t="s">
        <v>171</v>
      </c>
      <c r="B161" s="28">
        <v>2908264</v>
      </c>
      <c r="C161" s="28">
        <v>126676</v>
      </c>
      <c r="D161" s="28">
        <v>127258</v>
      </c>
      <c r="E161" s="28">
        <v>260689</v>
      </c>
      <c r="F161" s="28">
        <v>6019</v>
      </c>
      <c r="G161" s="28">
        <v>7534</v>
      </c>
      <c r="H161" s="28">
        <v>2829610</v>
      </c>
      <c r="I161" s="28">
        <v>138700</v>
      </c>
      <c r="J161" s="28">
        <v>98407</v>
      </c>
      <c r="K161" s="58">
        <v>42.7</v>
      </c>
      <c r="L161" s="58">
        <v>42.9</v>
      </c>
      <c r="M161" s="77"/>
      <c r="N161" s="28">
        <v>406548</v>
      </c>
      <c r="O161" s="28">
        <v>321638</v>
      </c>
      <c r="P161" s="28">
        <v>190039</v>
      </c>
      <c r="Q161" s="28">
        <v>287178</v>
      </c>
      <c r="R161" s="28">
        <v>390310</v>
      </c>
      <c r="S161" s="28">
        <v>158982</v>
      </c>
      <c r="T161" s="28">
        <v>186830</v>
      </c>
      <c r="U161" s="28">
        <v>278096</v>
      </c>
      <c r="V161" s="28">
        <v>139081</v>
      </c>
      <c r="W161" s="28">
        <v>158336</v>
      </c>
      <c r="X161" s="28">
        <v>213460</v>
      </c>
      <c r="Y161" s="28">
        <v>175666</v>
      </c>
      <c r="Z161" s="28"/>
      <c r="AA161" s="30"/>
      <c r="AB161" s="30"/>
      <c r="AD161" s="86">
        <f>SUM(N161:AB161)</f>
        <v>2906164</v>
      </c>
      <c r="AE161" s="86">
        <f>SUM(N162:AB162)</f>
        <v>126676</v>
      </c>
      <c r="AF161" s="86">
        <f>SUM(N163:AB163)</f>
        <v>126958</v>
      </c>
      <c r="AG161" s="93"/>
      <c r="AH161" s="86">
        <f>AD161-B161</f>
        <v>-2100</v>
      </c>
      <c r="AI161" s="86">
        <f>AE161-C161</f>
        <v>0</v>
      </c>
      <c r="AJ161" s="86">
        <f>AF161-D161</f>
        <v>-300</v>
      </c>
      <c r="AK161" s="93"/>
      <c r="AL161" s="87">
        <f>C161/B161*1000</f>
        <v>43.557256150060653</v>
      </c>
      <c r="AM161" s="87">
        <f>D161/B161*1000</f>
        <v>43.757375533995535</v>
      </c>
      <c r="AN161" s="92"/>
      <c r="AO161" s="87">
        <f>AL161-K161</f>
        <v>0.8572561500606497</v>
      </c>
      <c r="AP161" s="87">
        <f>AM161-L161</f>
        <v>0.8573755339955369</v>
      </c>
    </row>
    <row r="162" spans="1:42" customFormat="1">
      <c r="A162" s="9" t="s">
        <v>172</v>
      </c>
      <c r="B162" s="7"/>
      <c r="C162" s="7"/>
      <c r="D162" s="7"/>
      <c r="E162" s="7"/>
      <c r="F162" s="7"/>
      <c r="G162" s="7"/>
      <c r="H162" s="7"/>
      <c r="I162" s="7"/>
      <c r="J162" s="7"/>
      <c r="K162" s="57"/>
      <c r="L162" s="57"/>
      <c r="M162" s="77"/>
      <c r="N162" s="7">
        <v>19379</v>
      </c>
      <c r="O162" s="7">
        <v>14930</v>
      </c>
      <c r="P162" s="7">
        <v>6784</v>
      </c>
      <c r="Q162" s="7">
        <v>13841</v>
      </c>
      <c r="R162" s="7">
        <v>16830</v>
      </c>
      <c r="S162" s="7">
        <v>6271</v>
      </c>
      <c r="T162" s="7">
        <v>7599</v>
      </c>
      <c r="U162" s="7">
        <v>11576</v>
      </c>
      <c r="V162" s="7">
        <v>6184</v>
      </c>
      <c r="W162" s="7">
        <v>6003</v>
      </c>
      <c r="X162" s="7">
        <v>10011</v>
      </c>
      <c r="Y162" s="7">
        <v>7268</v>
      </c>
      <c r="Z162" s="7"/>
      <c r="AA162" s="6"/>
      <c r="AB162" s="6"/>
      <c r="AG162" s="93"/>
      <c r="AK162" s="93"/>
      <c r="AN162" s="93"/>
    </row>
    <row r="163" spans="1:42" customFormat="1">
      <c r="A163" s="9" t="s">
        <v>173</v>
      </c>
      <c r="B163" s="7"/>
      <c r="C163" s="7"/>
      <c r="D163" s="7"/>
      <c r="E163" s="7"/>
      <c r="F163" s="7"/>
      <c r="G163" s="7"/>
      <c r="H163" s="7"/>
      <c r="I163" s="7"/>
      <c r="J163" s="7"/>
      <c r="K163" s="57"/>
      <c r="L163" s="57"/>
      <c r="M163" s="77"/>
      <c r="N163" s="7">
        <v>18030</v>
      </c>
      <c r="O163" s="7">
        <v>14665</v>
      </c>
      <c r="P163" s="7">
        <v>4996</v>
      </c>
      <c r="Q163" s="7">
        <v>14093</v>
      </c>
      <c r="R163" s="7">
        <v>18941</v>
      </c>
      <c r="S163" s="7">
        <v>7941</v>
      </c>
      <c r="T163" s="7">
        <v>8625</v>
      </c>
      <c r="U163" s="7">
        <v>12547</v>
      </c>
      <c r="V163" s="7">
        <v>5760</v>
      </c>
      <c r="W163" s="7">
        <v>4660</v>
      </c>
      <c r="X163" s="7">
        <v>10996</v>
      </c>
      <c r="Y163" s="7">
        <v>5704</v>
      </c>
      <c r="Z163" s="7"/>
      <c r="AA163" s="6"/>
      <c r="AB163" s="6"/>
      <c r="AG163" s="93"/>
      <c r="AK163" s="93"/>
      <c r="AN163" s="93"/>
    </row>
    <row r="164" spans="1:42" customFormat="1">
      <c r="A164" s="27" t="s">
        <v>174</v>
      </c>
      <c r="B164" s="28">
        <v>1904295</v>
      </c>
      <c r="C164" s="28">
        <v>82968</v>
      </c>
      <c r="D164" s="28">
        <v>60891</v>
      </c>
      <c r="E164" s="28">
        <v>153674</v>
      </c>
      <c r="F164" s="28">
        <v>5019</v>
      </c>
      <c r="G164" s="28">
        <v>3911</v>
      </c>
      <c r="H164" s="28">
        <v>1831172</v>
      </c>
      <c r="I164" s="28">
        <v>84114</v>
      </c>
      <c r="J164" s="28">
        <v>59356</v>
      </c>
      <c r="K164" s="58">
        <v>43.5</v>
      </c>
      <c r="L164" s="58">
        <v>31.9</v>
      </c>
      <c r="M164" s="77"/>
      <c r="N164" s="28">
        <v>170800</v>
      </c>
      <c r="O164" s="28">
        <v>253655</v>
      </c>
      <c r="P164" s="28">
        <v>157466</v>
      </c>
      <c r="Q164" s="28">
        <v>180131</v>
      </c>
      <c r="R164" s="28">
        <v>119998</v>
      </c>
      <c r="S164" s="28">
        <v>139937</v>
      </c>
      <c r="T164" s="28">
        <v>142893</v>
      </c>
      <c r="U164" s="28">
        <v>133359</v>
      </c>
      <c r="V164" s="28">
        <v>127923</v>
      </c>
      <c r="W164" s="28">
        <v>144855</v>
      </c>
      <c r="X164" s="28">
        <v>162631</v>
      </c>
      <c r="Y164" s="28">
        <v>170647</v>
      </c>
      <c r="Z164" s="28"/>
      <c r="AA164" s="30"/>
      <c r="AB164" s="30"/>
      <c r="AD164" s="86">
        <f>SUM(N164:AB164)</f>
        <v>1904295</v>
      </c>
      <c r="AE164" s="86">
        <f>SUM(N165:AB165)</f>
        <v>82968</v>
      </c>
      <c r="AF164" s="86">
        <f>SUM(N166:AB166)</f>
        <v>60871</v>
      </c>
      <c r="AG164" s="93"/>
      <c r="AH164" s="86">
        <f>AD164-B164</f>
        <v>0</v>
      </c>
      <c r="AI164" s="86">
        <f>AE164-C164</f>
        <v>0</v>
      </c>
      <c r="AJ164" s="86">
        <f>AF164-D164</f>
        <v>-20</v>
      </c>
      <c r="AK164" s="93"/>
      <c r="AL164" s="87">
        <f>C164/B164*1000</f>
        <v>43.568879821666286</v>
      </c>
      <c r="AM164" s="87">
        <f>D164/B164*1000</f>
        <v>31.975613022142053</v>
      </c>
      <c r="AN164" s="92"/>
      <c r="AO164" s="87">
        <f>AL164-K164</f>
        <v>6.8879821666286034E-2</v>
      </c>
      <c r="AP164" s="87">
        <f>AM164-L164</f>
        <v>7.561302214205412E-2</v>
      </c>
    </row>
    <row r="165" spans="1:42" customFormat="1">
      <c r="A165" s="9" t="s">
        <v>175</v>
      </c>
      <c r="B165" s="7"/>
      <c r="C165" s="7"/>
      <c r="D165" s="7"/>
      <c r="E165" s="7"/>
      <c r="F165" s="7"/>
      <c r="G165" s="7"/>
      <c r="H165" s="7"/>
      <c r="I165" s="7"/>
      <c r="J165" s="7"/>
      <c r="K165" s="57"/>
      <c r="L165" s="57"/>
      <c r="M165" s="77"/>
      <c r="N165" s="7">
        <v>7603</v>
      </c>
      <c r="O165" s="7">
        <v>11611</v>
      </c>
      <c r="P165" s="7">
        <v>7266</v>
      </c>
      <c r="Q165" s="7">
        <v>7445</v>
      </c>
      <c r="R165" s="7">
        <v>5053</v>
      </c>
      <c r="S165" s="7">
        <v>5675</v>
      </c>
      <c r="T165" s="7">
        <v>5175</v>
      </c>
      <c r="U165" s="7">
        <v>6174</v>
      </c>
      <c r="V165" s="7">
        <v>6348</v>
      </c>
      <c r="W165" s="7">
        <v>6832</v>
      </c>
      <c r="X165" s="7">
        <v>7175</v>
      </c>
      <c r="Y165" s="7">
        <v>6611</v>
      </c>
      <c r="Z165" s="7"/>
      <c r="AA165" s="6"/>
      <c r="AB165" s="6"/>
      <c r="AG165" s="93"/>
      <c r="AK165" s="93"/>
      <c r="AN165" s="93"/>
    </row>
    <row r="166" spans="1:42" customFormat="1">
      <c r="A166" s="9" t="s">
        <v>176</v>
      </c>
      <c r="B166" s="7"/>
      <c r="C166" s="7"/>
      <c r="D166" s="7"/>
      <c r="E166" s="7"/>
      <c r="F166" s="7"/>
      <c r="G166" s="7"/>
      <c r="H166" s="7"/>
      <c r="I166" s="7"/>
      <c r="J166" s="7"/>
      <c r="K166" s="57"/>
      <c r="L166" s="57"/>
      <c r="M166" s="77"/>
      <c r="N166" s="7">
        <v>5946</v>
      </c>
      <c r="O166" s="7">
        <v>7526</v>
      </c>
      <c r="P166" s="7">
        <v>5452</v>
      </c>
      <c r="Q166" s="7">
        <v>5193</v>
      </c>
      <c r="R166" s="7">
        <v>3502</v>
      </c>
      <c r="S166" s="7">
        <v>4144</v>
      </c>
      <c r="T166" s="7">
        <v>4000</v>
      </c>
      <c r="U166" s="7">
        <v>4259</v>
      </c>
      <c r="V166" s="7">
        <v>5226</v>
      </c>
      <c r="W166" s="7">
        <v>5783</v>
      </c>
      <c r="X166" s="7">
        <v>5012</v>
      </c>
      <c r="Y166" s="7">
        <v>4828</v>
      </c>
      <c r="Z166" s="7"/>
      <c r="AA166" s="6"/>
      <c r="AB166" s="6"/>
      <c r="AG166" s="93"/>
      <c r="AK166" s="93"/>
      <c r="AN166" s="93"/>
    </row>
    <row r="167" spans="1:42" customFormat="1">
      <c r="A167" s="27" t="s">
        <v>177</v>
      </c>
      <c r="B167" s="28">
        <v>1531572</v>
      </c>
      <c r="C167" s="28">
        <v>74159</v>
      </c>
      <c r="D167" s="28">
        <v>70585</v>
      </c>
      <c r="E167" s="28">
        <v>149744</v>
      </c>
      <c r="F167" s="28">
        <v>5276</v>
      </c>
      <c r="G167" s="28">
        <v>4814</v>
      </c>
      <c r="H167" s="28">
        <v>1493520</v>
      </c>
      <c r="I167" s="28">
        <v>76100</v>
      </c>
      <c r="J167" s="28">
        <v>59177</v>
      </c>
      <c r="K167" s="58">
        <v>48.4</v>
      </c>
      <c r="L167" s="58">
        <v>36.1</v>
      </c>
      <c r="M167" s="77"/>
      <c r="N167" s="28">
        <v>186174</v>
      </c>
      <c r="O167" s="28">
        <v>89768</v>
      </c>
      <c r="P167" s="28">
        <v>173305</v>
      </c>
      <c r="Q167" s="28">
        <v>86979</v>
      </c>
      <c r="R167" s="28">
        <v>122165</v>
      </c>
      <c r="S167" s="28">
        <v>138642</v>
      </c>
      <c r="T167" s="28">
        <v>171079</v>
      </c>
      <c r="U167" s="28">
        <v>81299</v>
      </c>
      <c r="V167" s="28">
        <v>109039</v>
      </c>
      <c r="W167" s="28">
        <v>152424</v>
      </c>
      <c r="X167" s="28">
        <v>105293</v>
      </c>
      <c r="Y167" s="28">
        <v>115405</v>
      </c>
      <c r="Z167" s="28"/>
      <c r="AA167" s="30"/>
      <c r="AB167" s="30"/>
      <c r="AD167" s="86">
        <f>SUM(N167:AB167)</f>
        <v>1531572</v>
      </c>
      <c r="AE167" s="86">
        <f>SUM(N168:AB168)</f>
        <v>74159</v>
      </c>
      <c r="AF167" s="86">
        <f>SUM(N169:AB169)</f>
        <v>70585</v>
      </c>
      <c r="AG167" s="93"/>
      <c r="AH167" s="86">
        <f>AD167-B167</f>
        <v>0</v>
      </c>
      <c r="AI167" s="86">
        <f>AE167-C167</f>
        <v>0</v>
      </c>
      <c r="AJ167" s="86">
        <f>AF167-D167</f>
        <v>0</v>
      </c>
      <c r="AK167" s="93"/>
      <c r="AL167" s="87">
        <f>C167/B167*1000</f>
        <v>48.420185273692653</v>
      </c>
      <c r="AM167" s="87">
        <f>D167/B167*1000</f>
        <v>46.086635169616578</v>
      </c>
      <c r="AN167" s="92"/>
      <c r="AO167" s="87">
        <f>AL167-K167</f>
        <v>2.0185273692653993E-2</v>
      </c>
      <c r="AP167" s="87">
        <f>AM167-L167</f>
        <v>9.9866351696165765</v>
      </c>
    </row>
    <row r="168" spans="1:42" customFormat="1">
      <c r="A168" s="9" t="s">
        <v>178</v>
      </c>
      <c r="B168" s="7"/>
      <c r="C168" s="7"/>
      <c r="D168" s="7"/>
      <c r="E168" s="7"/>
      <c r="F168" s="7"/>
      <c r="G168" s="7"/>
      <c r="H168" s="7"/>
      <c r="I168" s="7"/>
      <c r="J168" s="7"/>
      <c r="K168" s="57"/>
      <c r="L168" s="57"/>
      <c r="M168" s="77"/>
      <c r="N168" s="7">
        <v>9905</v>
      </c>
      <c r="O168" s="7">
        <v>4094</v>
      </c>
      <c r="P168" s="7">
        <v>8877</v>
      </c>
      <c r="Q168" s="7">
        <v>3600</v>
      </c>
      <c r="R168" s="7">
        <v>5503</v>
      </c>
      <c r="S168" s="7">
        <v>6201</v>
      </c>
      <c r="T168" s="7">
        <v>8287</v>
      </c>
      <c r="U168" s="7">
        <v>3663</v>
      </c>
      <c r="V168" s="7">
        <v>5677</v>
      </c>
      <c r="W168" s="7">
        <v>7359</v>
      </c>
      <c r="X168" s="7">
        <v>5112</v>
      </c>
      <c r="Y168" s="7">
        <v>5881</v>
      </c>
      <c r="Z168" s="7"/>
      <c r="AA168" s="6"/>
      <c r="AB168" s="6"/>
      <c r="AG168" s="93"/>
      <c r="AK168" s="93"/>
      <c r="AN168" s="93"/>
    </row>
    <row r="169" spans="1:42" customFormat="1">
      <c r="A169" s="9" t="s">
        <v>179</v>
      </c>
      <c r="B169" s="7"/>
      <c r="C169" s="7"/>
      <c r="D169" s="7"/>
      <c r="E169" s="7"/>
      <c r="F169" s="7"/>
      <c r="G169" s="7"/>
      <c r="H169" s="7"/>
      <c r="I169" s="7"/>
      <c r="J169" s="7"/>
      <c r="K169" s="57"/>
      <c r="L169" s="57"/>
      <c r="M169" s="77"/>
      <c r="N169" s="7">
        <v>7744</v>
      </c>
      <c r="O169" s="7">
        <v>3039</v>
      </c>
      <c r="P169" s="7">
        <v>9795</v>
      </c>
      <c r="Q169" s="7">
        <v>2836</v>
      </c>
      <c r="R169" s="7">
        <v>4457</v>
      </c>
      <c r="S169" s="7">
        <v>6643</v>
      </c>
      <c r="T169" s="7">
        <v>10082</v>
      </c>
      <c r="U169" s="7">
        <v>3791</v>
      </c>
      <c r="V169" s="7">
        <v>4961</v>
      </c>
      <c r="W169" s="7">
        <v>7875</v>
      </c>
      <c r="X169" s="7">
        <v>3582</v>
      </c>
      <c r="Y169" s="7">
        <v>5780</v>
      </c>
      <c r="Z169" s="7"/>
      <c r="AA169" s="6"/>
      <c r="AB169" s="6"/>
      <c r="AG169" s="93"/>
      <c r="AK169" s="93"/>
      <c r="AN169" s="93"/>
    </row>
    <row r="170" spans="1:42" customFormat="1">
      <c r="A170" s="27" t="s">
        <v>180</v>
      </c>
      <c r="B170" s="28">
        <v>2087489</v>
      </c>
      <c r="C170" s="28">
        <v>88048</v>
      </c>
      <c r="D170" s="28">
        <v>99041</v>
      </c>
      <c r="E170" s="28">
        <v>86463</v>
      </c>
      <c r="F170" s="28">
        <v>3893</v>
      </c>
      <c r="G170" s="28">
        <v>5661</v>
      </c>
      <c r="H170" s="28">
        <v>2022149</v>
      </c>
      <c r="I170" s="28">
        <v>96480</v>
      </c>
      <c r="J170" s="28">
        <v>64681</v>
      </c>
      <c r="K170" s="58">
        <v>42.2</v>
      </c>
      <c r="L170" s="58">
        <v>47.5</v>
      </c>
      <c r="M170" s="77"/>
      <c r="N170" s="28">
        <v>337566</v>
      </c>
      <c r="O170" s="28">
        <v>408574</v>
      </c>
      <c r="P170" s="28">
        <v>465180</v>
      </c>
      <c r="Q170" s="28">
        <v>178657</v>
      </c>
      <c r="R170" s="28">
        <v>374364</v>
      </c>
      <c r="S170" s="28">
        <v>323148</v>
      </c>
      <c r="T170" s="15"/>
      <c r="U170" s="15"/>
      <c r="V170" s="15"/>
      <c r="W170" s="15"/>
      <c r="X170" s="15"/>
      <c r="Y170" s="28"/>
      <c r="Z170" s="28"/>
      <c r="AA170" s="30"/>
      <c r="AB170" s="30"/>
      <c r="AD170" s="86">
        <f>SUM(N170:AB170)</f>
        <v>2087489</v>
      </c>
      <c r="AE170" s="86">
        <f>SUM(N171:AB171)</f>
        <v>88048</v>
      </c>
      <c r="AF170" s="86">
        <f>SUM(N172:AB172)</f>
        <v>99041</v>
      </c>
      <c r="AG170" s="93"/>
      <c r="AH170" s="86">
        <f>AD170-B170</f>
        <v>0</v>
      </c>
      <c r="AI170" s="86">
        <f>AE170-C170</f>
        <v>0</v>
      </c>
      <c r="AJ170" s="86">
        <f>AF170-D170</f>
        <v>0</v>
      </c>
      <c r="AK170" s="93"/>
      <c r="AL170" s="87">
        <f>C170/B170*1000</f>
        <v>42.178904894828186</v>
      </c>
      <c r="AM170" s="87">
        <f>D170/B170*1000</f>
        <v>47.445040428955551</v>
      </c>
      <c r="AN170" s="92"/>
      <c r="AO170" s="87">
        <f>AL170-K170</f>
        <v>-2.1095105171816897E-2</v>
      </c>
      <c r="AP170" s="87">
        <f>AM170-L170</f>
        <v>-5.4959571044449262E-2</v>
      </c>
    </row>
    <row r="171" spans="1:42" customFormat="1">
      <c r="A171" s="9" t="s">
        <v>181</v>
      </c>
      <c r="B171" s="7"/>
      <c r="C171" s="7"/>
      <c r="D171" s="7"/>
      <c r="E171" s="7"/>
      <c r="F171" s="7"/>
      <c r="G171" s="7"/>
      <c r="H171" s="7"/>
      <c r="I171" s="7"/>
      <c r="J171" s="7"/>
      <c r="K171" s="57"/>
      <c r="L171" s="57"/>
      <c r="M171" s="77"/>
      <c r="N171" s="7">
        <v>16007</v>
      </c>
      <c r="O171" s="7">
        <v>16259</v>
      </c>
      <c r="P171" s="7">
        <v>18917</v>
      </c>
      <c r="Q171" s="7">
        <v>8027</v>
      </c>
      <c r="R171" s="7">
        <v>15404</v>
      </c>
      <c r="S171" s="7">
        <v>13434</v>
      </c>
      <c r="T171" s="5"/>
      <c r="U171" s="5"/>
      <c r="V171" s="5"/>
      <c r="W171" s="5"/>
      <c r="X171" s="5"/>
      <c r="Y171" s="7"/>
      <c r="Z171" s="7"/>
      <c r="AA171" s="6"/>
      <c r="AB171" s="6"/>
      <c r="AG171" s="93"/>
      <c r="AK171" s="93"/>
      <c r="AN171" s="93"/>
    </row>
    <row r="172" spans="1:42" customFormat="1">
      <c r="A172" s="9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57"/>
      <c r="L172" s="57"/>
      <c r="M172" s="77"/>
      <c r="N172" s="7">
        <v>17602</v>
      </c>
      <c r="O172" s="7">
        <v>16953</v>
      </c>
      <c r="P172" s="7">
        <v>24170</v>
      </c>
      <c r="Q172" s="7">
        <v>6488</v>
      </c>
      <c r="R172" s="7">
        <v>19317</v>
      </c>
      <c r="S172" s="7">
        <v>14511</v>
      </c>
      <c r="T172" s="5"/>
      <c r="U172" s="5"/>
      <c r="V172" s="5"/>
      <c r="W172" s="5"/>
      <c r="X172" s="5"/>
      <c r="Y172" s="7"/>
      <c r="Z172" s="7"/>
      <c r="AA172" s="6"/>
      <c r="AB172" s="6"/>
      <c r="AG172" s="93"/>
      <c r="AK172" s="93"/>
      <c r="AN172" s="93"/>
    </row>
    <row r="173" spans="1:42" customFormat="1">
      <c r="A173" s="27" t="s">
        <v>183</v>
      </c>
      <c r="B173" s="28">
        <v>2552609</v>
      </c>
      <c r="C173" s="28">
        <v>113676</v>
      </c>
      <c r="D173" s="28">
        <v>93623</v>
      </c>
      <c r="E173" s="28">
        <v>334845</v>
      </c>
      <c r="F173" s="28">
        <v>10330</v>
      </c>
      <c r="G173" s="28">
        <v>8207</v>
      </c>
      <c r="H173" s="28">
        <v>2420403</v>
      </c>
      <c r="I173" s="28">
        <v>117523</v>
      </c>
      <c r="J173" s="28">
        <v>87085</v>
      </c>
      <c r="K173" s="58">
        <v>44.5</v>
      </c>
      <c r="L173" s="58">
        <v>36.700000000000003</v>
      </c>
      <c r="M173" s="77"/>
      <c r="N173" s="28">
        <v>382450</v>
      </c>
      <c r="O173" s="28">
        <v>144128</v>
      </c>
      <c r="P173" s="28">
        <v>160530</v>
      </c>
      <c r="Q173" s="28">
        <v>138125</v>
      </c>
      <c r="R173" s="28">
        <v>159915</v>
      </c>
      <c r="S173" s="28">
        <v>224987</v>
      </c>
      <c r="T173" s="28">
        <v>332266</v>
      </c>
      <c r="U173" s="28">
        <v>228919</v>
      </c>
      <c r="V173" s="28">
        <v>164651</v>
      </c>
      <c r="W173" s="28">
        <v>386525</v>
      </c>
      <c r="X173" s="28">
        <v>230113</v>
      </c>
      <c r="Y173" s="28"/>
      <c r="Z173" s="28"/>
      <c r="AA173" s="30"/>
      <c r="AB173" s="30"/>
      <c r="AD173" s="86">
        <f>SUM(N173:AB173)</f>
        <v>2552609</v>
      </c>
      <c r="AE173" s="86">
        <f>SUM(N174:AB174)</f>
        <v>113676</v>
      </c>
      <c r="AF173" s="86">
        <f>SUM(N175:AB175)</f>
        <v>93623</v>
      </c>
      <c r="AG173" s="93"/>
      <c r="AH173" s="86">
        <f>AD173-B173</f>
        <v>0</v>
      </c>
      <c r="AI173" s="86">
        <f>AE173-C173</f>
        <v>0</v>
      </c>
      <c r="AJ173" s="86">
        <f>AF173-D173</f>
        <v>0</v>
      </c>
      <c r="AK173" s="93"/>
      <c r="AL173" s="87">
        <f>C173/B173*1000</f>
        <v>44.533259892133891</v>
      </c>
      <c r="AM173" s="87">
        <f>D173/B173*1000</f>
        <v>36.677375971016318</v>
      </c>
      <c r="AN173" s="92"/>
      <c r="AO173" s="87">
        <f>AL173-K173</f>
        <v>3.3259892133891356E-2</v>
      </c>
      <c r="AP173" s="87">
        <f>AM173-L173</f>
        <v>-2.2624028983685207E-2</v>
      </c>
    </row>
    <row r="174" spans="1:42" customFormat="1">
      <c r="A174" s="9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57"/>
      <c r="L174" s="57"/>
      <c r="M174" s="77"/>
      <c r="N174" s="7">
        <v>14169</v>
      </c>
      <c r="O174" s="7">
        <v>7529</v>
      </c>
      <c r="P174" s="7">
        <v>7404</v>
      </c>
      <c r="Q174" s="7">
        <v>6675</v>
      </c>
      <c r="R174" s="7">
        <v>8220</v>
      </c>
      <c r="S174" s="7">
        <v>10806</v>
      </c>
      <c r="T174" s="7">
        <v>14494</v>
      </c>
      <c r="U174" s="7">
        <v>7737</v>
      </c>
      <c r="V174" s="7">
        <v>8474</v>
      </c>
      <c r="W174" s="7">
        <v>18091</v>
      </c>
      <c r="X174" s="7">
        <v>10077</v>
      </c>
      <c r="Y174" s="7"/>
      <c r="Z174" s="7"/>
      <c r="AA174" s="6"/>
      <c r="AB174" s="6"/>
      <c r="AG174" s="93"/>
      <c r="AK174" s="93"/>
      <c r="AN174" s="93"/>
    </row>
    <row r="175" spans="1:42" customFormat="1">
      <c r="A175" s="9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57"/>
      <c r="L175" s="57"/>
      <c r="M175" s="77"/>
      <c r="N175" s="7">
        <v>10525</v>
      </c>
      <c r="O175" s="7">
        <v>5109</v>
      </c>
      <c r="P175" s="7">
        <v>6192</v>
      </c>
      <c r="Q175" s="7">
        <v>3896</v>
      </c>
      <c r="R175" s="7">
        <v>8232</v>
      </c>
      <c r="S175" s="7">
        <v>8962</v>
      </c>
      <c r="T175" s="7">
        <v>11456</v>
      </c>
      <c r="U175" s="7">
        <v>6737</v>
      </c>
      <c r="V175" s="7">
        <v>5867</v>
      </c>
      <c r="W175" s="7">
        <v>20160</v>
      </c>
      <c r="X175" s="7">
        <v>6487</v>
      </c>
      <c r="Y175" s="7"/>
      <c r="Z175" s="7"/>
      <c r="AA175" s="6"/>
      <c r="AB175" s="6"/>
      <c r="AG175" s="93"/>
      <c r="AK175" s="93"/>
      <c r="AN175" s="93"/>
    </row>
    <row r="176" spans="1:42" customFormat="1">
      <c r="A176" s="27" t="s">
        <v>186</v>
      </c>
      <c r="B176" s="28">
        <v>1896341</v>
      </c>
      <c r="C176" s="28">
        <v>101875</v>
      </c>
      <c r="D176" s="28">
        <v>64568</v>
      </c>
      <c r="E176" s="28">
        <v>171946</v>
      </c>
      <c r="F176" s="28">
        <v>14576</v>
      </c>
      <c r="G176" s="28">
        <v>11396</v>
      </c>
      <c r="H176" s="28">
        <v>1814731</v>
      </c>
      <c r="I176" s="28">
        <v>100367</v>
      </c>
      <c r="J176" s="28">
        <v>57985</v>
      </c>
      <c r="K176" s="58">
        <v>53.7</v>
      </c>
      <c r="L176" s="58">
        <v>34.1</v>
      </c>
      <c r="M176" s="77"/>
      <c r="N176" s="28">
        <v>432250</v>
      </c>
      <c r="O176" s="28">
        <v>372868</v>
      </c>
      <c r="P176" s="28">
        <v>200183</v>
      </c>
      <c r="Q176" s="28">
        <v>512134</v>
      </c>
      <c r="R176" s="28">
        <v>169008</v>
      </c>
      <c r="S176" s="28">
        <v>209893</v>
      </c>
      <c r="T176" s="15"/>
      <c r="U176" s="15"/>
      <c r="V176" s="15"/>
      <c r="W176" s="15"/>
      <c r="X176" s="15"/>
      <c r="Y176" s="28"/>
      <c r="Z176" s="28"/>
      <c r="AA176" s="30"/>
      <c r="AB176" s="30"/>
      <c r="AD176" s="86">
        <f>SUM(N176:AB176)</f>
        <v>1896336</v>
      </c>
      <c r="AE176" s="86">
        <f>SUM(N177:AB177)</f>
        <v>101875</v>
      </c>
      <c r="AF176" s="86">
        <f>SUM(N178:AB178)</f>
        <v>64568</v>
      </c>
      <c r="AG176" s="93"/>
      <c r="AH176" s="86">
        <f>AD176-B176</f>
        <v>-5</v>
      </c>
      <c r="AI176" s="86">
        <f>AE176-C176</f>
        <v>0</v>
      </c>
      <c r="AJ176" s="86">
        <f>AF176-D176</f>
        <v>0</v>
      </c>
      <c r="AK176" s="93"/>
      <c r="AL176" s="87">
        <f>C176/B176*1000</f>
        <v>53.721878079944481</v>
      </c>
      <c r="AM176" s="87">
        <f>D176/B176*1000</f>
        <v>34.048728577824342</v>
      </c>
      <c r="AN176" s="92"/>
      <c r="AO176" s="87">
        <f>AL176-K176</f>
        <v>2.1878079944478657E-2</v>
      </c>
      <c r="AP176" s="87">
        <f>AM176-L176</f>
        <v>-5.1271422175659609E-2</v>
      </c>
    </row>
    <row r="177" spans="1:42" customFormat="1">
      <c r="A177" s="9" t="s">
        <v>187</v>
      </c>
      <c r="B177" s="7"/>
      <c r="C177" s="7"/>
      <c r="D177" s="7"/>
      <c r="E177" s="7"/>
      <c r="F177" s="7"/>
      <c r="G177" s="7"/>
      <c r="H177" s="7"/>
      <c r="I177" s="7"/>
      <c r="J177" s="7"/>
      <c r="K177" s="57"/>
      <c r="L177" s="57"/>
      <c r="M177" s="77"/>
      <c r="N177" s="7">
        <v>22196</v>
      </c>
      <c r="O177" s="7">
        <v>20564</v>
      </c>
      <c r="P177" s="7">
        <v>10957</v>
      </c>
      <c r="Q177" s="7">
        <v>27766</v>
      </c>
      <c r="R177" s="7">
        <v>9719</v>
      </c>
      <c r="S177" s="7">
        <v>10673</v>
      </c>
      <c r="T177" s="5"/>
      <c r="U177" s="5"/>
      <c r="V177" s="5"/>
      <c r="W177" s="5"/>
      <c r="X177" s="5"/>
      <c r="Y177" s="7"/>
      <c r="Z177" s="7"/>
      <c r="AA177" s="6"/>
      <c r="AB177" s="6"/>
      <c r="AG177" s="93"/>
      <c r="AK177" s="93"/>
      <c r="AN177" s="93"/>
    </row>
    <row r="178" spans="1:42" customFormat="1">
      <c r="A178" s="9" t="s">
        <v>188</v>
      </c>
      <c r="B178" s="7"/>
      <c r="C178" s="7"/>
      <c r="D178" s="7"/>
      <c r="E178" s="7"/>
      <c r="F178" s="7"/>
      <c r="G178" s="7"/>
      <c r="H178" s="7"/>
      <c r="I178" s="7"/>
      <c r="J178" s="7"/>
      <c r="K178" s="57"/>
      <c r="L178" s="57"/>
      <c r="M178" s="77"/>
      <c r="N178" s="7">
        <v>15763</v>
      </c>
      <c r="O178" s="7">
        <v>10672</v>
      </c>
      <c r="P178" s="7">
        <v>6555</v>
      </c>
      <c r="Q178" s="7">
        <v>17313</v>
      </c>
      <c r="R178" s="7">
        <v>7007</v>
      </c>
      <c r="S178" s="7">
        <v>7258</v>
      </c>
      <c r="T178" s="5"/>
      <c r="U178" s="5"/>
      <c r="V178" s="5"/>
      <c r="W178" s="5"/>
      <c r="X178" s="5"/>
      <c r="Y178" s="7"/>
      <c r="Z178" s="7"/>
      <c r="AA178" s="6"/>
      <c r="AB178" s="6"/>
      <c r="AG178" s="93"/>
      <c r="AK178" s="93"/>
      <c r="AN178" s="93"/>
    </row>
    <row r="179" spans="1:42" customFormat="1">
      <c r="A179" s="14" t="s">
        <v>189</v>
      </c>
      <c r="B179" s="28">
        <v>76098</v>
      </c>
      <c r="C179" s="28">
        <v>3180</v>
      </c>
      <c r="D179" s="28">
        <v>3791</v>
      </c>
      <c r="E179" s="15"/>
      <c r="F179" s="15"/>
      <c r="G179" s="15"/>
      <c r="H179" s="28">
        <v>76664</v>
      </c>
      <c r="I179" s="28">
        <v>3213</v>
      </c>
      <c r="J179" s="28">
        <v>2501</v>
      </c>
      <c r="K179" s="58">
        <v>41.8</v>
      </c>
      <c r="L179" s="58">
        <v>50</v>
      </c>
      <c r="M179" s="77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30"/>
      <c r="AA179" s="30"/>
      <c r="AB179" s="30"/>
      <c r="AD179" s="86">
        <f>B179</f>
        <v>76098</v>
      </c>
      <c r="AE179" s="86">
        <f>C179</f>
        <v>3180</v>
      </c>
      <c r="AF179" s="86">
        <f>D179</f>
        <v>3791</v>
      </c>
      <c r="AG179" s="93"/>
      <c r="AK179" s="93"/>
      <c r="AN179" s="93"/>
    </row>
    <row r="180" spans="1:42" customFormat="1">
      <c r="A180" s="14" t="s">
        <v>190</v>
      </c>
      <c r="B180" s="28">
        <v>328014</v>
      </c>
      <c r="C180" s="28">
        <v>10796</v>
      </c>
      <c r="D180" s="28">
        <v>8416</v>
      </c>
      <c r="E180" s="15"/>
      <c r="F180" s="15"/>
      <c r="G180" s="15"/>
      <c r="H180" s="28">
        <v>288210</v>
      </c>
      <c r="I180" s="28">
        <v>10687</v>
      </c>
      <c r="J180" s="28">
        <v>7830</v>
      </c>
      <c r="K180" s="58">
        <v>33</v>
      </c>
      <c r="L180" s="58">
        <v>25.7</v>
      </c>
      <c r="M180" s="77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30"/>
      <c r="AA180" s="30"/>
      <c r="AB180" s="30"/>
      <c r="AD180" s="86">
        <f>B180</f>
        <v>328014</v>
      </c>
      <c r="AE180" s="86">
        <f>C180</f>
        <v>10796</v>
      </c>
      <c r="AF180" s="86">
        <f>D180</f>
        <v>8416</v>
      </c>
      <c r="AG180" s="93"/>
      <c r="AK180" s="93"/>
      <c r="AN180" s="93"/>
    </row>
    <row r="181" spans="1:42" customFormat="1">
      <c r="A181" s="27" t="s">
        <v>191</v>
      </c>
      <c r="B181" s="28">
        <v>2299670</v>
      </c>
      <c r="C181" s="28">
        <v>106837</v>
      </c>
      <c r="D181" s="28">
        <v>72592</v>
      </c>
      <c r="E181" s="28">
        <v>216318</v>
      </c>
      <c r="F181" s="28">
        <v>6275</v>
      </c>
      <c r="G181" s="28">
        <v>4703</v>
      </c>
      <c r="H181" s="28">
        <v>2195938</v>
      </c>
      <c r="I181" s="28">
        <v>106790</v>
      </c>
      <c r="J181" s="28">
        <v>71142</v>
      </c>
      <c r="K181" s="58">
        <v>46.1</v>
      </c>
      <c r="L181" s="58">
        <v>31.6</v>
      </c>
      <c r="M181" s="77"/>
      <c r="N181" s="28">
        <v>164551</v>
      </c>
      <c r="O181" s="28">
        <v>145118</v>
      </c>
      <c r="P181" s="28">
        <v>137026</v>
      </c>
      <c r="Q181" s="28">
        <v>136903</v>
      </c>
      <c r="R181" s="28">
        <v>131204</v>
      </c>
      <c r="S181" s="28">
        <v>157417</v>
      </c>
      <c r="T181" s="28">
        <v>135344</v>
      </c>
      <c r="U181" s="28">
        <v>138566</v>
      </c>
      <c r="V181" s="28">
        <v>140011</v>
      </c>
      <c r="W181" s="28">
        <v>176473</v>
      </c>
      <c r="X181" s="28">
        <v>173783</v>
      </c>
      <c r="Y181" s="28">
        <v>140955</v>
      </c>
      <c r="Z181" s="28">
        <v>155120</v>
      </c>
      <c r="AA181" s="28">
        <v>169943</v>
      </c>
      <c r="AB181" s="28">
        <v>197467</v>
      </c>
      <c r="AD181" s="86">
        <f>SUM(N181:AB181)</f>
        <v>2299881</v>
      </c>
      <c r="AE181" s="86">
        <f>SUM(N182:AB182)</f>
        <v>106037</v>
      </c>
      <c r="AF181" s="86">
        <f>SUM(N183:AB183)</f>
        <v>74590</v>
      </c>
      <c r="AG181" s="93"/>
      <c r="AH181" s="86">
        <f>AD181-B181</f>
        <v>211</v>
      </c>
      <c r="AI181" s="86">
        <f>AE181-C181</f>
        <v>-800</v>
      </c>
      <c r="AJ181" s="86">
        <f>AF181-D181</f>
        <v>1998</v>
      </c>
      <c r="AK181" s="93"/>
      <c r="AL181" s="87">
        <f>C181/B181*1000</f>
        <v>46.457535211573834</v>
      </c>
      <c r="AM181" s="87">
        <f>D181/B181*1000</f>
        <v>31.56626820369879</v>
      </c>
      <c r="AN181" s="92"/>
      <c r="AO181" s="87">
        <f>AL181-K181</f>
        <v>0.35753521157383261</v>
      </c>
      <c r="AP181" s="87">
        <f>AM181-L181</f>
        <v>-3.3731796301211148E-2</v>
      </c>
    </row>
    <row r="182" spans="1:42" customFormat="1">
      <c r="A182" s="9" t="s">
        <v>192</v>
      </c>
      <c r="B182" s="7"/>
      <c r="C182" s="7"/>
      <c r="D182" s="7"/>
      <c r="E182" s="7"/>
      <c r="F182" s="7"/>
      <c r="G182" s="7"/>
      <c r="H182" s="7"/>
      <c r="I182" s="7"/>
      <c r="J182" s="7"/>
      <c r="K182" s="57"/>
      <c r="L182" s="57"/>
      <c r="M182" s="77"/>
      <c r="N182" s="7">
        <v>7072</v>
      </c>
      <c r="O182" s="7">
        <v>6997</v>
      </c>
      <c r="P182" s="7">
        <v>5705</v>
      </c>
      <c r="Q182" s="7">
        <v>7006</v>
      </c>
      <c r="R182" s="7">
        <v>6056</v>
      </c>
      <c r="S182" s="7">
        <v>7016</v>
      </c>
      <c r="T182" s="7">
        <v>5661</v>
      </c>
      <c r="U182" s="7">
        <v>6254</v>
      </c>
      <c r="V182" s="7">
        <v>7298</v>
      </c>
      <c r="W182" s="7">
        <v>8203</v>
      </c>
      <c r="X182" s="7">
        <v>7938</v>
      </c>
      <c r="Y182" s="7">
        <v>7247</v>
      </c>
      <c r="Z182" s="7">
        <v>7379</v>
      </c>
      <c r="AA182" s="7">
        <v>6987</v>
      </c>
      <c r="AB182" s="7">
        <v>9218</v>
      </c>
      <c r="AG182" s="93"/>
      <c r="AK182" s="93"/>
      <c r="AN182" s="93"/>
    </row>
    <row r="183" spans="1:42" customFormat="1">
      <c r="A183" s="9" t="s">
        <v>193</v>
      </c>
      <c r="B183" s="7"/>
      <c r="C183" s="7"/>
      <c r="D183" s="7"/>
      <c r="E183" s="7"/>
      <c r="F183" s="7"/>
      <c r="G183" s="7"/>
      <c r="H183" s="7"/>
      <c r="I183" s="7"/>
      <c r="J183" s="7"/>
      <c r="K183" s="57"/>
      <c r="L183" s="57"/>
      <c r="M183" s="77"/>
      <c r="N183" s="7">
        <v>6618</v>
      </c>
      <c r="O183" s="7">
        <v>4705</v>
      </c>
      <c r="P183" s="7">
        <v>4478</v>
      </c>
      <c r="Q183" s="7">
        <v>4989</v>
      </c>
      <c r="R183" s="7">
        <v>4288</v>
      </c>
      <c r="S183" s="7">
        <v>6655</v>
      </c>
      <c r="T183" s="7">
        <v>3487</v>
      </c>
      <c r="U183" s="7">
        <v>4007</v>
      </c>
      <c r="V183" s="7">
        <v>4763</v>
      </c>
      <c r="W183" s="7">
        <v>5053</v>
      </c>
      <c r="X183" s="7">
        <v>5492</v>
      </c>
      <c r="Y183" s="7">
        <v>5805</v>
      </c>
      <c r="Z183" s="7">
        <v>4688</v>
      </c>
      <c r="AA183" s="7">
        <v>4654</v>
      </c>
      <c r="AB183" s="7">
        <v>4908</v>
      </c>
      <c r="AG183" s="93"/>
      <c r="AK183" s="93"/>
      <c r="AN183" s="93"/>
    </row>
    <row r="184" spans="1:42" customFormat="1">
      <c r="A184" s="27" t="s">
        <v>194</v>
      </c>
      <c r="B184" s="28">
        <v>1210028</v>
      </c>
      <c r="C184" s="28">
        <v>44192</v>
      </c>
      <c r="D184" s="28">
        <v>34519</v>
      </c>
      <c r="E184" s="28">
        <v>140831</v>
      </c>
      <c r="F184" s="28">
        <v>4957</v>
      </c>
      <c r="G184" s="28">
        <v>5301</v>
      </c>
      <c r="H184" s="28">
        <v>1175978</v>
      </c>
      <c r="I184" s="28">
        <v>44843</v>
      </c>
      <c r="J184" s="28">
        <v>35668</v>
      </c>
      <c r="K184" s="58">
        <v>36.5</v>
      </c>
      <c r="L184" s="58">
        <v>39</v>
      </c>
      <c r="M184" s="77"/>
      <c r="N184" s="28">
        <v>223168</v>
      </c>
      <c r="O184" s="28">
        <v>77358</v>
      </c>
      <c r="P184" s="28">
        <v>71618</v>
      </c>
      <c r="Q184" s="28">
        <v>125786</v>
      </c>
      <c r="R184" s="28">
        <v>91274</v>
      </c>
      <c r="S184" s="28">
        <v>112885</v>
      </c>
      <c r="T184" s="28">
        <v>79656</v>
      </c>
      <c r="U184" s="28">
        <v>173833</v>
      </c>
      <c r="V184" s="28">
        <v>117515</v>
      </c>
      <c r="W184" s="28">
        <v>111292</v>
      </c>
      <c r="X184" s="15"/>
      <c r="Y184" s="28"/>
      <c r="Z184" s="28"/>
      <c r="AA184" s="30"/>
      <c r="AB184" s="30"/>
      <c r="AD184" s="86">
        <f>SUM(N184:AB184)</f>
        <v>1184385</v>
      </c>
      <c r="AE184" s="86">
        <f>SUM(N185:AB185)</f>
        <v>44190</v>
      </c>
      <c r="AF184" s="86">
        <f>SUM(N186:AB186)</f>
        <v>34549</v>
      </c>
      <c r="AG184" s="93"/>
      <c r="AH184" s="86">
        <f>AD184-B184</f>
        <v>-25643</v>
      </c>
      <c r="AI184" s="86">
        <f>AE184-C184</f>
        <v>-2</v>
      </c>
      <c r="AJ184" s="86">
        <f>AF184-D184</f>
        <v>30</v>
      </c>
      <c r="AK184" s="93"/>
      <c r="AL184" s="87">
        <f>C184/B184*1000</f>
        <v>36.52146892468604</v>
      </c>
      <c r="AM184" s="87">
        <f>D184/B184*1000</f>
        <v>28.527439034468625</v>
      </c>
      <c r="AN184" s="92"/>
      <c r="AO184" s="87">
        <f>AL184-K184</f>
        <v>2.1468924686040225E-2</v>
      </c>
      <c r="AP184" s="87">
        <f>AM184-L184</f>
        <v>-10.472560965531375</v>
      </c>
    </row>
    <row r="185" spans="1:42" customFormat="1">
      <c r="A185" s="9" t="s">
        <v>195</v>
      </c>
      <c r="B185" s="7"/>
      <c r="C185" s="7"/>
      <c r="D185" s="7"/>
      <c r="E185" s="7"/>
      <c r="F185" s="7"/>
      <c r="G185" s="7"/>
      <c r="H185" s="7"/>
      <c r="I185" s="7"/>
      <c r="J185" s="7"/>
      <c r="K185" s="57"/>
      <c r="L185" s="57"/>
      <c r="M185" s="77"/>
      <c r="N185" s="7">
        <v>8544</v>
      </c>
      <c r="O185" s="7">
        <v>2622</v>
      </c>
      <c r="P185" s="7">
        <v>2571</v>
      </c>
      <c r="Q185" s="7">
        <v>5321</v>
      </c>
      <c r="R185" s="7">
        <v>3865</v>
      </c>
      <c r="S185" s="7">
        <v>4456</v>
      </c>
      <c r="T185" s="7">
        <v>3048</v>
      </c>
      <c r="U185" s="7">
        <v>6326</v>
      </c>
      <c r="V185" s="7">
        <v>3461</v>
      </c>
      <c r="W185" s="7">
        <v>3976</v>
      </c>
      <c r="X185" s="5"/>
      <c r="Y185" s="7"/>
      <c r="Z185" s="7"/>
      <c r="AA185" s="6"/>
      <c r="AB185" s="6"/>
      <c r="AG185" s="93"/>
      <c r="AK185" s="93"/>
      <c r="AN185" s="93"/>
    </row>
    <row r="186" spans="1:42" customFormat="1">
      <c r="A186" s="9" t="s">
        <v>196</v>
      </c>
      <c r="B186" s="7"/>
      <c r="C186" s="7"/>
      <c r="D186" s="7"/>
      <c r="E186" s="7"/>
      <c r="F186" s="7"/>
      <c r="G186" s="7"/>
      <c r="H186" s="7"/>
      <c r="I186" s="7"/>
      <c r="J186" s="7"/>
      <c r="K186" s="57"/>
      <c r="L186" s="57"/>
      <c r="M186" s="77"/>
      <c r="N186" s="7">
        <v>7523</v>
      </c>
      <c r="O186" s="7">
        <v>2041</v>
      </c>
      <c r="P186" s="7">
        <v>1858</v>
      </c>
      <c r="Q186" s="7">
        <v>3720</v>
      </c>
      <c r="R186" s="7">
        <v>2874</v>
      </c>
      <c r="S186" s="7">
        <v>3391</v>
      </c>
      <c r="T186" s="7">
        <v>2597</v>
      </c>
      <c r="U186" s="7">
        <v>4585</v>
      </c>
      <c r="V186" s="7">
        <v>2950</v>
      </c>
      <c r="W186" s="7">
        <v>3010</v>
      </c>
      <c r="X186" s="5"/>
      <c r="Y186" s="7"/>
      <c r="Z186" s="7"/>
      <c r="AA186" s="6"/>
      <c r="AB186" s="6"/>
      <c r="AG186" s="93"/>
      <c r="AK186" s="93"/>
      <c r="AN186" s="93"/>
    </row>
    <row r="187" spans="1:42" customFormat="1">
      <c r="A187" s="24" t="s">
        <v>197</v>
      </c>
      <c r="B187" s="31">
        <v>66024189</v>
      </c>
      <c r="C187" s="31">
        <v>2840492</v>
      </c>
      <c r="D187" s="31">
        <v>2728148</v>
      </c>
      <c r="E187" s="25"/>
      <c r="F187" s="25"/>
      <c r="G187" s="25"/>
      <c r="H187" s="31">
        <v>63556755</v>
      </c>
      <c r="I187" s="31">
        <v>3153167</v>
      </c>
      <c r="J187" s="31">
        <v>2257208</v>
      </c>
      <c r="K187" s="59">
        <v>44.6</v>
      </c>
      <c r="L187" s="59">
        <v>44.2</v>
      </c>
      <c r="M187" s="77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6"/>
      <c r="AA187" s="26"/>
      <c r="AB187" s="26"/>
      <c r="AD187" s="98">
        <f>SUM(AD81:AD186)</f>
        <v>65612628</v>
      </c>
      <c r="AE187" s="98">
        <f>SUM(AE81:AE186)</f>
        <v>2939372</v>
      </c>
      <c r="AF187" s="98">
        <f>SUM(AF81:AF186)</f>
        <v>2728598</v>
      </c>
      <c r="AG187" s="93"/>
      <c r="AH187" s="98">
        <f>B187-AD187</f>
        <v>411561</v>
      </c>
      <c r="AI187" s="98">
        <f>C187-AE187</f>
        <v>-98880</v>
      </c>
      <c r="AJ187" s="98">
        <f>D187-AF187</f>
        <v>-450</v>
      </c>
      <c r="AK187" s="93"/>
      <c r="AL187" s="97">
        <f>C187/B187*1000</f>
        <v>43.021990016416559</v>
      </c>
      <c r="AM187" s="97">
        <f>D187/B187*1000</f>
        <v>41.320431819313981</v>
      </c>
      <c r="AN187" s="97"/>
      <c r="AO187" s="97">
        <f>AL187-K187</f>
        <v>-1.578009983583442</v>
      </c>
      <c r="AP187" s="97">
        <f>AM187-L187</f>
        <v>-2.8795681806860216</v>
      </c>
    </row>
    <row r="188" spans="1:42" customFormat="1">
      <c r="A188" s="27" t="s">
        <v>198</v>
      </c>
      <c r="B188" s="28">
        <v>2122372</v>
      </c>
      <c r="C188" s="28">
        <v>118112</v>
      </c>
      <c r="D188" s="28">
        <v>127785</v>
      </c>
      <c r="E188" s="15"/>
      <c r="F188" s="15"/>
      <c r="G188" s="15"/>
      <c r="H188" s="28">
        <v>1948197</v>
      </c>
      <c r="I188" s="28">
        <v>117042</v>
      </c>
      <c r="J188" s="28">
        <v>71469</v>
      </c>
      <c r="K188" s="58">
        <v>55.7</v>
      </c>
      <c r="L188" s="58">
        <v>60.2</v>
      </c>
      <c r="M188" s="77"/>
      <c r="N188" s="28">
        <v>161751</v>
      </c>
      <c r="O188" s="28">
        <v>222266</v>
      </c>
      <c r="P188" s="28">
        <v>196641</v>
      </c>
      <c r="Q188" s="28">
        <v>395104</v>
      </c>
      <c r="R188" s="28">
        <v>310010</v>
      </c>
      <c r="S188" s="28">
        <v>55621</v>
      </c>
      <c r="T188" s="28">
        <v>364350</v>
      </c>
      <c r="U188" s="28">
        <v>206137</v>
      </c>
      <c r="V188" s="28">
        <v>210442</v>
      </c>
      <c r="W188" s="15"/>
      <c r="X188" s="15"/>
      <c r="Y188" s="28"/>
      <c r="Z188" s="28"/>
      <c r="AA188" s="30"/>
      <c r="AB188" s="30"/>
      <c r="AD188" s="86">
        <f>SUM(N188:AB188)</f>
        <v>2122322</v>
      </c>
      <c r="AE188" s="86">
        <f>SUM(N189:AB189)</f>
        <v>118112</v>
      </c>
      <c r="AF188" s="86">
        <f>SUM(N190:AB190)</f>
        <v>127765</v>
      </c>
      <c r="AG188" s="93"/>
      <c r="AH188" s="86">
        <f>AD188-B188</f>
        <v>-50</v>
      </c>
      <c r="AI188" s="86">
        <f>AE188-C188</f>
        <v>0</v>
      </c>
      <c r="AJ188" s="86">
        <f>AF188-D188</f>
        <v>-20</v>
      </c>
      <c r="AK188" s="93"/>
      <c r="AL188" s="87">
        <f>C188/B188*1000</f>
        <v>55.650941493762637</v>
      </c>
      <c r="AM188" s="87">
        <f>D188/B188*1000</f>
        <v>60.208577949577176</v>
      </c>
      <c r="AN188" s="92"/>
      <c r="AO188" s="87">
        <f>AL188-K188</f>
        <v>-4.9058506237365407E-2</v>
      </c>
      <c r="AP188" s="87">
        <f>AM188-L188</f>
        <v>8.5779495771731717E-3</v>
      </c>
    </row>
    <row r="189" spans="1:42" customFormat="1">
      <c r="A189" s="9" t="s">
        <v>199</v>
      </c>
      <c r="B189" s="7"/>
      <c r="C189" s="7"/>
      <c r="D189" s="7"/>
      <c r="E189" s="7"/>
      <c r="F189" s="7"/>
      <c r="G189" s="7"/>
      <c r="H189" s="7"/>
      <c r="I189" s="7"/>
      <c r="J189" s="7"/>
      <c r="K189" s="57"/>
      <c r="L189" s="57"/>
      <c r="M189" s="77"/>
      <c r="N189" s="7">
        <v>11436</v>
      </c>
      <c r="O189" s="7">
        <v>13692</v>
      </c>
      <c r="P189" s="7">
        <v>9422</v>
      </c>
      <c r="Q189" s="7">
        <v>23619</v>
      </c>
      <c r="R189" s="7">
        <v>15662</v>
      </c>
      <c r="S189" s="7">
        <v>2467</v>
      </c>
      <c r="T189" s="7">
        <v>19488</v>
      </c>
      <c r="U189" s="7">
        <v>11064</v>
      </c>
      <c r="V189" s="7">
        <v>11262</v>
      </c>
      <c r="W189" s="5"/>
      <c r="X189" s="5"/>
      <c r="Y189" s="7"/>
      <c r="Z189" s="7"/>
      <c r="AA189" s="6"/>
      <c r="AB189" s="6"/>
      <c r="AG189" s="93"/>
      <c r="AK189" s="93"/>
      <c r="AN189" s="93"/>
    </row>
    <row r="190" spans="1:42" customFormat="1">
      <c r="A190" s="9" t="s">
        <v>200</v>
      </c>
      <c r="B190" s="7"/>
      <c r="C190" s="7"/>
      <c r="D190" s="7"/>
      <c r="E190" s="7"/>
      <c r="F190" s="7"/>
      <c r="G190" s="7"/>
      <c r="H190" s="7"/>
      <c r="I190" s="7"/>
      <c r="J190" s="7"/>
      <c r="K190" s="57"/>
      <c r="L190" s="57"/>
      <c r="M190" s="77"/>
      <c r="N190" s="7">
        <v>16545</v>
      </c>
      <c r="O190" s="7">
        <v>14822</v>
      </c>
      <c r="P190" s="7">
        <v>9290</v>
      </c>
      <c r="Q190" s="7">
        <v>23436</v>
      </c>
      <c r="R190" s="7">
        <v>21868</v>
      </c>
      <c r="S190" s="7">
        <v>3455</v>
      </c>
      <c r="T190" s="7">
        <v>17348</v>
      </c>
      <c r="U190" s="7">
        <v>9454</v>
      </c>
      <c r="V190" s="7">
        <v>11547</v>
      </c>
      <c r="W190" s="5"/>
      <c r="X190" s="5"/>
      <c r="Y190" s="7"/>
      <c r="Z190" s="7"/>
      <c r="AA190" s="6"/>
      <c r="AB190" s="6"/>
      <c r="AG190" s="93"/>
      <c r="AK190" s="93"/>
      <c r="AN190" s="93"/>
    </row>
    <row r="191" spans="1:42" customFormat="1">
      <c r="A191" s="24" t="s">
        <v>201</v>
      </c>
      <c r="B191" s="31">
        <v>100251510</v>
      </c>
      <c r="C191" s="31">
        <v>4835512</v>
      </c>
      <c r="D191" s="31">
        <v>3922821</v>
      </c>
      <c r="E191" s="25"/>
      <c r="F191" s="25"/>
      <c r="G191" s="25"/>
      <c r="H191" s="31">
        <v>96046329</v>
      </c>
      <c r="I191" s="31">
        <v>4565900</v>
      </c>
      <c r="J191" s="31">
        <v>3145258</v>
      </c>
      <c r="K191" s="59">
        <v>43.7</v>
      </c>
      <c r="L191" s="59">
        <v>38.299999999999997</v>
      </c>
      <c r="M191" s="77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6"/>
      <c r="AA191" s="26"/>
      <c r="AB191" s="26"/>
      <c r="AD191" s="99">
        <f>SUM(AD38, AD70, AD80, AD187, AD188)</f>
        <v>99836775</v>
      </c>
      <c r="AE191" s="99">
        <f>SUM(AE38, AE70, AE80, AE187, AE188)</f>
        <v>4362740</v>
      </c>
      <c r="AF191" s="99">
        <f>SUM(AF38, AF70, AF80, AF187, AF188)</f>
        <v>3825781</v>
      </c>
      <c r="AG191" s="93"/>
      <c r="AH191" s="98">
        <f>B191-AD191</f>
        <v>414735</v>
      </c>
      <c r="AI191" s="98">
        <f>C191-AE191</f>
        <v>472772</v>
      </c>
      <c r="AJ191" s="98">
        <f>D191-AF191</f>
        <v>97040</v>
      </c>
      <c r="AK191" s="93"/>
      <c r="AL191" s="97">
        <f>C191/B191*1000</f>
        <v>48.233807151632924</v>
      </c>
      <c r="AM191" s="97">
        <f>D191/B191*1000</f>
        <v>39.129794653467066</v>
      </c>
      <c r="AN191" s="97"/>
      <c r="AO191" s="97">
        <f>AL191-K191</f>
        <v>4.5338071516329208</v>
      </c>
      <c r="AP191" s="97">
        <f>AM191-L191</f>
        <v>0.8297946534670686</v>
      </c>
    </row>
    <row r="192" spans="1:42">
      <c r="A192" s="32" t="s">
        <v>202</v>
      </c>
      <c r="B192" s="33">
        <v>790782</v>
      </c>
      <c r="C192" s="33">
        <v>15741</v>
      </c>
      <c r="D192" s="33">
        <v>25201</v>
      </c>
      <c r="E192" s="33">
        <v>172148</v>
      </c>
      <c r="F192" s="33">
        <v>3181</v>
      </c>
      <c r="G192" s="33">
        <v>7888</v>
      </c>
      <c r="H192" s="33">
        <v>798730</v>
      </c>
      <c r="I192" s="33">
        <v>19555</v>
      </c>
      <c r="J192" s="33">
        <v>16551</v>
      </c>
      <c r="K192" s="60">
        <v>20</v>
      </c>
      <c r="L192" s="60">
        <v>32.4</v>
      </c>
      <c r="N192" s="33">
        <v>176842</v>
      </c>
      <c r="O192" s="33">
        <v>78488</v>
      </c>
      <c r="P192" s="33">
        <v>98841</v>
      </c>
      <c r="Q192" s="33">
        <v>168887</v>
      </c>
      <c r="R192" s="33">
        <v>132231</v>
      </c>
      <c r="S192" s="33">
        <v>121115</v>
      </c>
      <c r="T192" s="33">
        <v>14378</v>
      </c>
      <c r="U192" s="33"/>
      <c r="V192" s="33"/>
      <c r="W192" s="33"/>
      <c r="X192" s="33"/>
      <c r="Y192" s="33"/>
      <c r="Z192" s="33"/>
      <c r="AA192" s="33"/>
      <c r="AB192" s="33"/>
      <c r="AD192" s="86">
        <f>SUM(N192:AB192)</f>
        <v>790782</v>
      </c>
      <c r="AE192" s="86">
        <f>SUM(N193:AB193)</f>
        <v>15741</v>
      </c>
      <c r="AF192" s="86">
        <f>SUM(N194:AB194)</f>
        <v>25201</v>
      </c>
      <c r="AG192" s="93"/>
      <c r="AH192" s="86">
        <f>AD192-B192</f>
        <v>0</v>
      </c>
      <c r="AI192" s="86">
        <f>AE192-C192</f>
        <v>0</v>
      </c>
      <c r="AJ192" s="86">
        <f>AF192-D192</f>
        <v>0</v>
      </c>
      <c r="AK192" s="93"/>
      <c r="AL192" s="87">
        <f>C192/B192*1000</f>
        <v>19.905612419099068</v>
      </c>
      <c r="AM192" s="87">
        <f>D192/B192*1000</f>
        <v>31.868454264259938</v>
      </c>
      <c r="AN192" s="92"/>
      <c r="AO192" s="87">
        <f>AL192-K192</f>
        <v>-9.4387580900932022E-2</v>
      </c>
      <c r="AP192" s="87">
        <f>AM192-L192</f>
        <v>-0.53154573574006037</v>
      </c>
    </row>
    <row r="193" spans="1:42">
      <c r="A193" s="13" t="s">
        <v>203</v>
      </c>
      <c r="C193" s="2"/>
      <c r="D193" s="2"/>
      <c r="K193" s="51"/>
      <c r="L193" s="51"/>
      <c r="N193" s="2">
        <v>2792</v>
      </c>
      <c r="O193" s="2">
        <v>2273</v>
      </c>
      <c r="P193" s="2">
        <v>1085</v>
      </c>
      <c r="Q193" s="2">
        <v>4353</v>
      </c>
      <c r="R193" s="2">
        <v>1118</v>
      </c>
      <c r="S193" s="2">
        <v>3437</v>
      </c>
      <c r="T193" s="2">
        <v>683</v>
      </c>
      <c r="W193" s="2"/>
      <c r="X193" s="2"/>
      <c r="Y193" s="2"/>
      <c r="Z193" s="2"/>
      <c r="AA193" s="2"/>
      <c r="AB193" s="2"/>
    </row>
    <row r="194" spans="1:42">
      <c r="A194" s="13" t="s">
        <v>204</v>
      </c>
      <c r="C194" s="2"/>
      <c r="D194" s="2"/>
      <c r="K194" s="51"/>
      <c r="L194" s="51"/>
      <c r="N194" s="2">
        <v>6108</v>
      </c>
      <c r="O194" s="2">
        <v>3872</v>
      </c>
      <c r="P194" s="2">
        <v>836</v>
      </c>
      <c r="Q194" s="2">
        <v>7535</v>
      </c>
      <c r="R194" s="2">
        <v>874</v>
      </c>
      <c r="S194" s="2">
        <v>5199</v>
      </c>
      <c r="T194" s="2">
        <v>777</v>
      </c>
      <c r="W194" s="2"/>
      <c r="X194" s="2"/>
      <c r="Y194" s="2"/>
      <c r="Z194" s="2"/>
      <c r="AA194" s="2"/>
      <c r="AB194" s="2"/>
    </row>
    <row r="195" spans="1:42">
      <c r="A195" s="32" t="s">
        <v>205</v>
      </c>
      <c r="B195" s="33">
        <v>649784</v>
      </c>
      <c r="C195" s="33">
        <v>13939</v>
      </c>
      <c r="D195" s="33">
        <v>26646</v>
      </c>
      <c r="E195" s="33" t="s">
        <v>16</v>
      </c>
      <c r="F195" s="33" t="s">
        <v>16</v>
      </c>
      <c r="G195" s="33" t="s">
        <v>16</v>
      </c>
      <c r="H195" s="33">
        <v>623874</v>
      </c>
      <c r="I195" s="33">
        <v>13190</v>
      </c>
      <c r="J195" s="33">
        <v>12166</v>
      </c>
      <c r="K195" s="60">
        <v>21.4</v>
      </c>
      <c r="L195" s="60">
        <v>41.1</v>
      </c>
      <c r="N195" s="33">
        <v>75901</v>
      </c>
      <c r="O195" s="33">
        <v>35246</v>
      </c>
      <c r="P195" s="33">
        <v>48859</v>
      </c>
      <c r="Q195" s="33">
        <v>61079</v>
      </c>
      <c r="R195" s="33">
        <v>82548</v>
      </c>
      <c r="S195" s="33">
        <v>51554</v>
      </c>
      <c r="T195" s="33">
        <v>77505</v>
      </c>
      <c r="U195" s="33">
        <v>80273</v>
      </c>
      <c r="V195" s="33">
        <v>66395</v>
      </c>
      <c r="W195" s="33">
        <v>70224</v>
      </c>
      <c r="X195" s="33"/>
      <c r="Y195" s="33"/>
      <c r="Z195" s="33"/>
      <c r="AA195" s="33"/>
      <c r="AB195" s="33"/>
      <c r="AD195" s="86">
        <f>SUM(N195:AB195)</f>
        <v>649584</v>
      </c>
      <c r="AE195" s="86">
        <f>SUM(N196:AB196)</f>
        <v>13939</v>
      </c>
      <c r="AF195" s="86">
        <f>SUM(N197:AB197)</f>
        <v>26646</v>
      </c>
      <c r="AG195" s="93"/>
      <c r="AH195" s="86">
        <f>AD195-B195</f>
        <v>-200</v>
      </c>
      <c r="AI195" s="86">
        <f>AE195-C195</f>
        <v>0</v>
      </c>
      <c r="AJ195" s="86">
        <f>AF195-D195</f>
        <v>0</v>
      </c>
      <c r="AK195" s="93"/>
      <c r="AL195" s="87">
        <f>C195/B195*1000</f>
        <v>21.451743964148086</v>
      </c>
      <c r="AM195" s="87">
        <f>D195/B195*1000</f>
        <v>41.007473252650115</v>
      </c>
      <c r="AN195" s="92"/>
      <c r="AO195" s="87">
        <f>AL195-K195</f>
        <v>5.1743964148087684E-2</v>
      </c>
      <c r="AP195" s="87">
        <f>AM195-L195</f>
        <v>-9.2526747349886307E-2</v>
      </c>
    </row>
    <row r="196" spans="1:42">
      <c r="A196" s="13" t="s">
        <v>206</v>
      </c>
      <c r="C196" s="2"/>
      <c r="D196" s="2"/>
      <c r="K196" s="51"/>
      <c r="L196" s="51"/>
      <c r="N196" s="2">
        <v>1926</v>
      </c>
      <c r="O196" s="2">
        <v>527</v>
      </c>
      <c r="P196" s="2">
        <v>973</v>
      </c>
      <c r="Q196" s="2">
        <v>1446</v>
      </c>
      <c r="R196" s="2">
        <v>1655</v>
      </c>
      <c r="S196" s="2">
        <v>1540</v>
      </c>
      <c r="T196" s="2">
        <v>1606</v>
      </c>
      <c r="U196" s="2">
        <v>1867</v>
      </c>
      <c r="V196" s="2">
        <v>1280</v>
      </c>
      <c r="W196" s="2">
        <v>1119</v>
      </c>
      <c r="X196" s="2"/>
      <c r="Y196" s="2"/>
      <c r="Z196" s="2"/>
      <c r="AA196" s="2"/>
      <c r="AB196" s="2"/>
    </row>
    <row r="197" spans="1:42">
      <c r="A197" s="13" t="s">
        <v>207</v>
      </c>
      <c r="C197" s="2"/>
      <c r="D197" s="2"/>
      <c r="K197" s="51"/>
      <c r="L197" s="51"/>
      <c r="N197" s="2">
        <v>3533</v>
      </c>
      <c r="O197" s="2">
        <v>1116</v>
      </c>
      <c r="P197" s="2">
        <v>1670</v>
      </c>
      <c r="Q197" s="2">
        <v>1718</v>
      </c>
      <c r="R197" s="2">
        <v>3256</v>
      </c>
      <c r="S197" s="2">
        <v>2674</v>
      </c>
      <c r="T197" s="2">
        <v>3366</v>
      </c>
      <c r="U197" s="2">
        <v>4423</v>
      </c>
      <c r="V197" s="2">
        <v>3416</v>
      </c>
      <c r="W197" s="2">
        <v>1474</v>
      </c>
      <c r="X197" s="2"/>
      <c r="Y197" s="2"/>
      <c r="Z197" s="2"/>
      <c r="AA197" s="2"/>
      <c r="AB197" s="2"/>
    </row>
    <row r="198" spans="1:42">
      <c r="A198" s="32" t="s">
        <v>208</v>
      </c>
      <c r="B198" s="33">
        <v>710998</v>
      </c>
      <c r="C198" s="33">
        <v>20423</v>
      </c>
      <c r="D198" s="33">
        <v>19423</v>
      </c>
      <c r="E198" s="33">
        <v>85631</v>
      </c>
      <c r="F198" s="33">
        <v>2226</v>
      </c>
      <c r="G198" s="33">
        <v>2875</v>
      </c>
      <c r="H198" s="33">
        <v>783450</v>
      </c>
      <c r="I198" s="33">
        <v>20767</v>
      </c>
      <c r="J198" s="33">
        <v>14323</v>
      </c>
      <c r="K198" s="60">
        <v>28.7</v>
      </c>
      <c r="L198" s="60">
        <v>27.3</v>
      </c>
      <c r="N198" s="33">
        <v>124135</v>
      </c>
      <c r="O198" s="33">
        <v>51910</v>
      </c>
      <c r="P198" s="33">
        <v>47405</v>
      </c>
      <c r="Q198" s="33">
        <v>52493</v>
      </c>
      <c r="R198" s="33">
        <v>118928</v>
      </c>
      <c r="S198" s="33">
        <v>83806</v>
      </c>
      <c r="T198" s="33">
        <v>105204</v>
      </c>
      <c r="U198" s="33">
        <v>127117</v>
      </c>
      <c r="V198" s="33"/>
      <c r="W198" s="33"/>
      <c r="X198" s="33"/>
      <c r="Y198" s="33"/>
      <c r="Z198" s="33"/>
      <c r="AA198" s="33"/>
      <c r="AB198" s="33"/>
      <c r="AD198" s="86">
        <f>SUM(N198:AB198)</f>
        <v>710998</v>
      </c>
      <c r="AE198" s="86">
        <f>SUM(N199:AB199)</f>
        <v>20423</v>
      </c>
      <c r="AF198" s="86">
        <f>SUM(N200:AB200)</f>
        <v>19493</v>
      </c>
      <c r="AG198" s="93"/>
      <c r="AH198" s="86">
        <f>AD198-B198</f>
        <v>0</v>
      </c>
      <c r="AI198" s="86">
        <f>AE198-C198</f>
        <v>0</v>
      </c>
      <c r="AJ198" s="86">
        <f>AF198-D198</f>
        <v>70</v>
      </c>
      <c r="AK198" s="93"/>
      <c r="AL198" s="87">
        <f>C198/B198*1000</f>
        <v>28.72441272689937</v>
      </c>
      <c r="AM198" s="87">
        <f>D198/B198*1000</f>
        <v>27.317939009673726</v>
      </c>
      <c r="AN198" s="92"/>
      <c r="AO198" s="87">
        <f>AL198-K198</f>
        <v>2.4412726899370796E-2</v>
      </c>
      <c r="AP198" s="87">
        <f>AM198-L198</f>
        <v>1.7939009673725081E-2</v>
      </c>
    </row>
    <row r="199" spans="1:42">
      <c r="A199" s="13" t="s">
        <v>209</v>
      </c>
      <c r="C199" s="2"/>
      <c r="D199" s="2"/>
      <c r="K199" s="51"/>
      <c r="L199" s="51"/>
      <c r="N199" s="2">
        <v>3013</v>
      </c>
      <c r="O199" s="2">
        <v>1800</v>
      </c>
      <c r="P199" s="2">
        <v>456</v>
      </c>
      <c r="Q199" s="2">
        <v>1852</v>
      </c>
      <c r="R199" s="2">
        <v>2855</v>
      </c>
      <c r="S199" s="2">
        <v>3143</v>
      </c>
      <c r="T199" s="2">
        <v>3895</v>
      </c>
      <c r="U199" s="2">
        <v>3409</v>
      </c>
      <c r="W199" s="2"/>
      <c r="X199" s="2"/>
      <c r="Y199" s="2"/>
      <c r="Z199" s="2"/>
      <c r="AA199" s="2"/>
      <c r="AB199" s="2"/>
    </row>
    <row r="200" spans="1:42">
      <c r="A200" s="13" t="s">
        <v>210</v>
      </c>
      <c r="C200" s="2"/>
      <c r="D200" s="2"/>
      <c r="K200" s="51"/>
      <c r="L200" s="51"/>
      <c r="N200" s="2">
        <v>2679</v>
      </c>
      <c r="O200" s="2">
        <v>1670</v>
      </c>
      <c r="P200" s="2">
        <v>640</v>
      </c>
      <c r="Q200" s="2">
        <v>2303</v>
      </c>
      <c r="R200" s="2">
        <v>2190</v>
      </c>
      <c r="S200" s="2">
        <v>2287</v>
      </c>
      <c r="T200" s="2">
        <v>4092</v>
      </c>
      <c r="U200" s="2">
        <v>3632</v>
      </c>
      <c r="W200" s="2"/>
      <c r="X200" s="2"/>
      <c r="Y200" s="2"/>
      <c r="Z200" s="2"/>
      <c r="AA200" s="2"/>
      <c r="AB200" s="2"/>
    </row>
    <row r="201" spans="1:42">
      <c r="A201" s="32" t="s">
        <v>211</v>
      </c>
      <c r="B201" s="33">
        <v>232585</v>
      </c>
      <c r="C201" s="33">
        <v>3493</v>
      </c>
      <c r="D201" s="33">
        <v>2367</v>
      </c>
      <c r="E201" s="33" t="s">
        <v>16</v>
      </c>
      <c r="F201" s="33" t="s">
        <v>16</v>
      </c>
      <c r="G201" s="33" t="s">
        <v>16</v>
      </c>
      <c r="H201" s="33">
        <v>232114</v>
      </c>
      <c r="I201" s="33">
        <v>3849</v>
      </c>
      <c r="J201" s="33">
        <v>1468</v>
      </c>
      <c r="K201" s="60" t="s">
        <v>16</v>
      </c>
      <c r="L201" s="60" t="s">
        <v>16</v>
      </c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D201" s="90">
        <f>B201</f>
        <v>232585</v>
      </c>
      <c r="AE201" s="90">
        <f>C201</f>
        <v>3493</v>
      </c>
      <c r="AF201" s="90">
        <f>D201</f>
        <v>2367</v>
      </c>
    </row>
    <row r="202" spans="1:42">
      <c r="A202" s="32" t="s">
        <v>212</v>
      </c>
      <c r="B202" s="33">
        <v>1585510</v>
      </c>
      <c r="C202" s="33">
        <v>95825</v>
      </c>
      <c r="D202" s="33">
        <v>97961</v>
      </c>
      <c r="E202" s="33">
        <v>191551</v>
      </c>
      <c r="F202" s="33">
        <v>8012</v>
      </c>
      <c r="G202" s="33">
        <v>9461</v>
      </c>
      <c r="H202" s="33">
        <v>1417271</v>
      </c>
      <c r="I202" s="33">
        <v>86388</v>
      </c>
      <c r="J202" s="33">
        <v>59030</v>
      </c>
      <c r="K202" s="60">
        <v>60.4</v>
      </c>
      <c r="L202" s="60">
        <v>61.8</v>
      </c>
      <c r="N202" s="33">
        <v>119258</v>
      </c>
      <c r="O202" s="33">
        <v>173665</v>
      </c>
      <c r="P202" s="33">
        <v>222370</v>
      </c>
      <c r="Q202" s="33">
        <v>189033</v>
      </c>
      <c r="R202" s="33">
        <v>257062</v>
      </c>
      <c r="S202" s="33">
        <v>226131</v>
      </c>
      <c r="T202" s="33">
        <v>250349</v>
      </c>
      <c r="U202" s="33">
        <v>47642</v>
      </c>
      <c r="V202" s="33"/>
      <c r="W202" s="33"/>
      <c r="X202" s="33"/>
      <c r="Y202" s="33"/>
      <c r="Z202" s="33"/>
      <c r="AA202" s="33"/>
      <c r="AB202" s="33"/>
      <c r="AD202" s="86">
        <f>SUM(N202:AB202)</f>
        <v>1485510</v>
      </c>
      <c r="AE202" s="86">
        <f>SUM(N203:AB203)</f>
        <v>95619</v>
      </c>
      <c r="AF202" s="86">
        <f>SUM(N204:AB204)</f>
        <v>97961</v>
      </c>
      <c r="AG202" s="93"/>
      <c r="AH202" s="86">
        <f>AD202-B202</f>
        <v>-100000</v>
      </c>
      <c r="AI202" s="86">
        <f>AE202-C202</f>
        <v>-206</v>
      </c>
      <c r="AJ202" s="86">
        <f>AF202-D202</f>
        <v>0</v>
      </c>
      <c r="AK202" s="93"/>
      <c r="AL202" s="87">
        <f>C202/B202*1000</f>
        <v>60.437966332599601</v>
      </c>
      <c r="AM202" s="87">
        <f>D202/B202*1000</f>
        <v>61.785166917900234</v>
      </c>
      <c r="AN202" s="92"/>
      <c r="AO202" s="87">
        <f>AL202-K202</f>
        <v>3.7966332599602026E-2</v>
      </c>
      <c r="AP202" s="87">
        <f>AM202-L202</f>
        <v>-1.4833082099762862E-2</v>
      </c>
    </row>
    <row r="203" spans="1:42">
      <c r="A203" s="13" t="s">
        <v>213</v>
      </c>
      <c r="C203" s="2"/>
      <c r="D203" s="2"/>
      <c r="K203" s="51"/>
      <c r="L203" s="51"/>
      <c r="N203" s="2">
        <v>11808</v>
      </c>
      <c r="O203" s="2">
        <v>10349</v>
      </c>
      <c r="P203" s="2">
        <v>13717</v>
      </c>
      <c r="Q203" s="2">
        <v>12800</v>
      </c>
      <c r="R203" s="2">
        <v>17090</v>
      </c>
      <c r="S203" s="2">
        <v>11636</v>
      </c>
      <c r="T203" s="2">
        <v>16676</v>
      </c>
      <c r="U203" s="2">
        <v>1543</v>
      </c>
      <c r="W203" s="2"/>
      <c r="X203" s="2"/>
      <c r="Y203" s="2"/>
      <c r="Z203" s="2"/>
      <c r="AA203" s="2"/>
      <c r="AB203" s="2"/>
    </row>
    <row r="204" spans="1:42">
      <c r="A204" s="13" t="s">
        <v>214</v>
      </c>
      <c r="C204" s="2"/>
      <c r="D204" s="2"/>
      <c r="K204" s="51"/>
      <c r="L204" s="51"/>
      <c r="N204" s="2">
        <v>11388</v>
      </c>
      <c r="O204" s="2">
        <v>11345</v>
      </c>
      <c r="P204" s="2">
        <v>12836</v>
      </c>
      <c r="Q204" s="2">
        <v>12695</v>
      </c>
      <c r="R204" s="2">
        <v>22919</v>
      </c>
      <c r="S204" s="2">
        <v>13888</v>
      </c>
      <c r="T204" s="2">
        <v>11130</v>
      </c>
      <c r="U204" s="2">
        <v>1760</v>
      </c>
      <c r="W204" s="2"/>
      <c r="X204" s="2"/>
      <c r="Y204" s="2"/>
      <c r="Z204" s="2"/>
      <c r="AA204" s="2"/>
      <c r="AB204" s="2"/>
    </row>
    <row r="205" spans="1:42">
      <c r="A205" s="32" t="s">
        <v>215</v>
      </c>
      <c r="B205" s="33">
        <v>978944</v>
      </c>
      <c r="C205" s="33">
        <v>31692</v>
      </c>
      <c r="D205" s="33">
        <v>17335</v>
      </c>
      <c r="E205" s="33" t="s">
        <v>16</v>
      </c>
      <c r="F205" s="33" t="s">
        <v>16</v>
      </c>
      <c r="G205" s="33" t="s">
        <v>16</v>
      </c>
      <c r="H205" s="33">
        <v>958528</v>
      </c>
      <c r="I205" s="33">
        <v>28157</v>
      </c>
      <c r="J205" s="33">
        <v>15112</v>
      </c>
      <c r="K205" s="60">
        <v>32.4</v>
      </c>
      <c r="L205" s="60">
        <v>17.5</v>
      </c>
      <c r="N205" s="33">
        <v>194966</v>
      </c>
      <c r="O205" s="33">
        <v>53786</v>
      </c>
      <c r="P205" s="33">
        <v>74756</v>
      </c>
      <c r="Q205" s="33">
        <v>106809</v>
      </c>
      <c r="R205" s="33">
        <v>50085</v>
      </c>
      <c r="S205" s="33">
        <v>82144</v>
      </c>
      <c r="T205" s="33">
        <v>79099</v>
      </c>
      <c r="U205" s="33">
        <v>104810</v>
      </c>
      <c r="V205" s="33">
        <v>78882</v>
      </c>
      <c r="W205" s="33">
        <v>153607</v>
      </c>
      <c r="X205" s="33"/>
      <c r="Y205" s="33"/>
      <c r="Z205" s="33"/>
      <c r="AA205" s="33"/>
      <c r="AB205" s="33"/>
      <c r="AD205" s="86">
        <f>SUM(N205:AB205)</f>
        <v>978944</v>
      </c>
      <c r="AE205" s="86">
        <f>SUM(N206:AB206)</f>
        <v>31692</v>
      </c>
      <c r="AF205" s="86">
        <f>SUM(N207:AB207)</f>
        <v>17335</v>
      </c>
      <c r="AG205" s="93"/>
      <c r="AH205" s="86">
        <f>AD205-B205</f>
        <v>0</v>
      </c>
      <c r="AI205" s="86">
        <f>AE205-C205</f>
        <v>0</v>
      </c>
      <c r="AJ205" s="86">
        <f>AF205-D205</f>
        <v>0</v>
      </c>
      <c r="AK205" s="93"/>
      <c r="AL205" s="87">
        <f>C205/B205*1000</f>
        <v>32.373659780334727</v>
      </c>
      <c r="AM205" s="87">
        <f>D205/B205*1000</f>
        <v>17.7078566291841</v>
      </c>
      <c r="AN205" s="92"/>
      <c r="AO205" s="87">
        <f>AL205-K205</f>
        <v>-2.6340219665272002E-2</v>
      </c>
      <c r="AP205" s="87">
        <f>AM205-L205</f>
        <v>0.20785662918409997</v>
      </c>
    </row>
    <row r="206" spans="1:42">
      <c r="A206" s="13" t="s">
        <v>216</v>
      </c>
      <c r="C206" s="2"/>
      <c r="D206" s="2"/>
      <c r="K206" s="51"/>
      <c r="L206" s="51"/>
      <c r="N206" s="2">
        <v>6937</v>
      </c>
      <c r="O206" s="2">
        <v>1999</v>
      </c>
      <c r="P206" s="2">
        <v>1743</v>
      </c>
      <c r="Q206" s="2">
        <v>2856</v>
      </c>
      <c r="R206" s="2">
        <v>1561</v>
      </c>
      <c r="S206" s="2">
        <v>3010</v>
      </c>
      <c r="T206" s="2">
        <v>2551</v>
      </c>
      <c r="U206" s="2">
        <v>3550</v>
      </c>
      <c r="V206" s="2">
        <v>1875</v>
      </c>
      <c r="W206" s="2">
        <v>5610</v>
      </c>
      <c r="X206" s="2"/>
      <c r="Y206" s="2"/>
      <c r="Z206" s="2"/>
      <c r="AA206" s="2"/>
      <c r="AB206" s="2"/>
    </row>
    <row r="207" spans="1:42">
      <c r="A207" s="13" t="s">
        <v>217</v>
      </c>
      <c r="C207" s="2"/>
      <c r="D207" s="2"/>
      <c r="K207" s="51"/>
      <c r="L207" s="51"/>
      <c r="N207" s="2">
        <v>4077</v>
      </c>
      <c r="O207" s="2">
        <v>1088</v>
      </c>
      <c r="P207" s="2">
        <v>975</v>
      </c>
      <c r="Q207" s="2">
        <v>1840</v>
      </c>
      <c r="R207" s="2">
        <v>800</v>
      </c>
      <c r="S207" s="2">
        <v>1197</v>
      </c>
      <c r="T207" s="2">
        <v>1289</v>
      </c>
      <c r="U207" s="2">
        <v>1740</v>
      </c>
      <c r="V207" s="2">
        <v>1679</v>
      </c>
      <c r="W207" s="2">
        <v>2650</v>
      </c>
      <c r="X207" s="2"/>
      <c r="Y207" s="2"/>
      <c r="Z207" s="2"/>
      <c r="AA207" s="2"/>
      <c r="AB207" s="2"/>
    </row>
    <row r="208" spans="1:42">
      <c r="A208" s="32" t="s">
        <v>218</v>
      </c>
      <c r="B208" s="33">
        <v>695366</v>
      </c>
      <c r="C208" s="33">
        <v>47075</v>
      </c>
      <c r="D208" s="33">
        <v>47659</v>
      </c>
      <c r="E208" s="33" t="s">
        <v>16</v>
      </c>
      <c r="F208" s="33" t="s">
        <v>16</v>
      </c>
      <c r="G208" s="33" t="s">
        <v>16</v>
      </c>
      <c r="H208" s="33">
        <v>678505</v>
      </c>
      <c r="I208" s="33">
        <v>42301</v>
      </c>
      <c r="J208" s="33">
        <v>30288</v>
      </c>
      <c r="K208" s="60">
        <v>67.7</v>
      </c>
      <c r="L208" s="60">
        <v>68.599999999999994</v>
      </c>
      <c r="N208" s="33">
        <v>136879</v>
      </c>
      <c r="O208" s="33">
        <v>142502</v>
      </c>
      <c r="P208" s="33">
        <v>170707</v>
      </c>
      <c r="Q208" s="33">
        <v>196887</v>
      </c>
      <c r="R208" s="33">
        <v>48391</v>
      </c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D208" s="86">
        <f>SUM(N208:AB208)</f>
        <v>695366</v>
      </c>
      <c r="AE208" s="86">
        <f>SUM(N209:AB209)</f>
        <v>47075</v>
      </c>
      <c r="AF208" s="86">
        <f>SUM(N210:AB210)</f>
        <v>47659</v>
      </c>
      <c r="AG208" s="93"/>
      <c r="AH208" s="86">
        <f>AD208-B208</f>
        <v>0</v>
      </c>
      <c r="AI208" s="86">
        <f>AE208-C208</f>
        <v>0</v>
      </c>
      <c r="AJ208" s="86">
        <f>AF208-D208</f>
        <v>0</v>
      </c>
      <c r="AK208" s="93"/>
      <c r="AL208" s="87">
        <f>C208/B208*1000</f>
        <v>67.698161831323361</v>
      </c>
      <c r="AM208" s="87">
        <f>D208/B208*1000</f>
        <v>68.538007322762397</v>
      </c>
      <c r="AN208" s="92"/>
      <c r="AO208" s="87">
        <f>AL208-K208</f>
        <v>-1.8381686766417715E-3</v>
      </c>
      <c r="AP208" s="87">
        <f>AM208-L208</f>
        <v>-6.1992677237597604E-2</v>
      </c>
    </row>
    <row r="209" spans="1:42">
      <c r="A209" s="13" t="s">
        <v>219</v>
      </c>
      <c r="C209" s="2"/>
      <c r="D209" s="2"/>
      <c r="K209" s="51"/>
      <c r="L209" s="51"/>
      <c r="N209" s="2">
        <v>9459</v>
      </c>
      <c r="O209" s="2">
        <v>9569</v>
      </c>
      <c r="P209" s="2">
        <v>13875</v>
      </c>
      <c r="Q209" s="2">
        <v>12765</v>
      </c>
      <c r="R209" s="2">
        <v>1407</v>
      </c>
      <c r="S209" s="2"/>
      <c r="T209" s="2"/>
      <c r="W209" s="2"/>
      <c r="X209" s="2"/>
      <c r="Y209" s="2"/>
      <c r="Z209" s="2"/>
      <c r="AA209" s="2"/>
      <c r="AB209" s="2"/>
    </row>
    <row r="210" spans="1:42">
      <c r="A210" s="13" t="s">
        <v>220</v>
      </c>
      <c r="C210" s="2"/>
      <c r="D210" s="2"/>
      <c r="K210" s="51"/>
      <c r="L210" s="51"/>
      <c r="N210" s="2">
        <v>9185</v>
      </c>
      <c r="O210" s="2">
        <v>10561</v>
      </c>
      <c r="P210" s="2">
        <v>13451</v>
      </c>
      <c r="Q210" s="2">
        <v>12999</v>
      </c>
      <c r="R210" s="2">
        <v>1463</v>
      </c>
      <c r="S210" s="2"/>
      <c r="T210" s="2"/>
      <c r="W210" s="2"/>
      <c r="X210" s="2"/>
      <c r="Y210" s="2"/>
      <c r="Z210" s="2"/>
      <c r="AA210" s="2"/>
      <c r="AB210" s="2"/>
    </row>
    <row r="211" spans="1:42">
      <c r="A211" s="32" t="s">
        <v>221</v>
      </c>
      <c r="B211" s="33">
        <v>794992</v>
      </c>
      <c r="C211" s="33">
        <v>27519</v>
      </c>
      <c r="D211" s="33">
        <v>30672</v>
      </c>
      <c r="E211" s="33">
        <v>102230</v>
      </c>
      <c r="F211" s="33">
        <v>4255</v>
      </c>
      <c r="G211" s="33">
        <v>4288</v>
      </c>
      <c r="H211" s="33">
        <v>740351</v>
      </c>
      <c r="I211" s="33">
        <v>24533</v>
      </c>
      <c r="J211" s="33">
        <v>16718</v>
      </c>
      <c r="K211" s="60">
        <v>34.6</v>
      </c>
      <c r="L211" s="60">
        <v>38.700000000000003</v>
      </c>
      <c r="N211" s="33">
        <v>134271</v>
      </c>
      <c r="O211" s="33">
        <v>181546</v>
      </c>
      <c r="P211" s="33">
        <v>85485</v>
      </c>
      <c r="Q211" s="33">
        <v>112929</v>
      </c>
      <c r="R211" s="33">
        <v>115186</v>
      </c>
      <c r="S211" s="33">
        <v>105834</v>
      </c>
      <c r="T211" s="33">
        <v>59741</v>
      </c>
      <c r="U211" s="33"/>
      <c r="V211" s="33"/>
      <c r="W211" s="33"/>
      <c r="X211" s="33"/>
      <c r="Y211" s="33"/>
      <c r="Z211" s="33"/>
      <c r="AA211" s="33"/>
      <c r="AB211" s="33"/>
      <c r="AD211" s="86">
        <f>SUM(N211:AB211)</f>
        <v>794992</v>
      </c>
      <c r="AE211" s="86">
        <f>SUM(N212:AB212)</f>
        <v>27519</v>
      </c>
      <c r="AF211" s="86">
        <f>SUM(N213:AB213)</f>
        <v>30672</v>
      </c>
      <c r="AG211" s="93"/>
      <c r="AH211" s="86">
        <f>AD211-B211</f>
        <v>0</v>
      </c>
      <c r="AI211" s="86">
        <f>AE211-C211</f>
        <v>0</v>
      </c>
      <c r="AJ211" s="86">
        <f>AF211-D211</f>
        <v>0</v>
      </c>
      <c r="AK211" s="93"/>
      <c r="AL211" s="87">
        <f>C211/B211*1000</f>
        <v>34.615442671121215</v>
      </c>
      <c r="AM211" s="87">
        <f>D211/B211*1000</f>
        <v>38.581520317185586</v>
      </c>
      <c r="AN211" s="92"/>
      <c r="AO211" s="87">
        <f>AL211-K211</f>
        <v>1.5442671121213891E-2</v>
      </c>
      <c r="AP211" s="87">
        <f>AM211-L211</f>
        <v>-0.11847968281441723</v>
      </c>
    </row>
    <row r="212" spans="1:42">
      <c r="A212" s="13" t="s">
        <v>222</v>
      </c>
      <c r="C212" s="2"/>
      <c r="D212" s="2"/>
      <c r="K212" s="51"/>
      <c r="L212" s="51"/>
      <c r="N212" s="2">
        <v>4487</v>
      </c>
      <c r="O212" s="2">
        <v>3909</v>
      </c>
      <c r="P212" s="2">
        <v>3614</v>
      </c>
      <c r="Q212" s="2">
        <v>3190</v>
      </c>
      <c r="R212" s="2">
        <v>7037</v>
      </c>
      <c r="S212" s="2">
        <v>3860</v>
      </c>
      <c r="T212" s="2">
        <v>1422</v>
      </c>
      <c r="W212" s="2"/>
      <c r="X212" s="2"/>
      <c r="Y212" s="2"/>
      <c r="Z212" s="2"/>
      <c r="AA212" s="2"/>
      <c r="AB212" s="2"/>
    </row>
    <row r="213" spans="1:42">
      <c r="A213" s="13" t="s">
        <v>223</v>
      </c>
      <c r="C213" s="2"/>
      <c r="D213" s="2"/>
      <c r="K213" s="51"/>
      <c r="L213" s="51"/>
      <c r="N213" s="2">
        <v>3523</v>
      </c>
      <c r="O213" s="2">
        <v>6062</v>
      </c>
      <c r="P213" s="2">
        <v>3549</v>
      </c>
      <c r="Q213" s="2">
        <v>2504</v>
      </c>
      <c r="R213" s="2">
        <v>7415</v>
      </c>
      <c r="S213" s="2">
        <v>4333</v>
      </c>
      <c r="T213" s="2">
        <v>3286</v>
      </c>
      <c r="W213" s="2"/>
      <c r="X213" s="2"/>
      <c r="Y213" s="2"/>
      <c r="Z213" s="2"/>
      <c r="AA213" s="2"/>
      <c r="AB213" s="2"/>
    </row>
    <row r="214" spans="1:42">
      <c r="A214" s="32" t="s">
        <v>224</v>
      </c>
      <c r="B214" s="33">
        <v>794992</v>
      </c>
      <c r="C214" s="33">
        <v>27519</v>
      </c>
      <c r="D214" s="33">
        <v>21201</v>
      </c>
      <c r="E214" s="33" t="s">
        <v>16</v>
      </c>
      <c r="F214" s="33" t="s">
        <v>16</v>
      </c>
      <c r="G214" s="33" t="s">
        <v>16</v>
      </c>
      <c r="H214" s="33">
        <v>821636</v>
      </c>
      <c r="I214" s="33">
        <v>29140</v>
      </c>
      <c r="J214" s="33">
        <v>17978</v>
      </c>
      <c r="K214" s="60">
        <v>37.5</v>
      </c>
      <c r="L214" s="60">
        <v>28.9</v>
      </c>
      <c r="N214" s="33">
        <v>172131</v>
      </c>
      <c r="O214" s="33">
        <v>64533</v>
      </c>
      <c r="P214" s="33">
        <v>54110</v>
      </c>
      <c r="Q214" s="33">
        <v>102231</v>
      </c>
      <c r="R214" s="33">
        <v>79415</v>
      </c>
      <c r="S214" s="33">
        <v>70421</v>
      </c>
      <c r="T214" s="33">
        <v>90834</v>
      </c>
      <c r="U214" s="33">
        <v>65544</v>
      </c>
      <c r="V214" s="33">
        <v>35515</v>
      </c>
      <c r="W214" s="33"/>
      <c r="X214" s="33"/>
      <c r="Y214" s="33"/>
      <c r="Z214" s="33"/>
      <c r="AA214" s="33"/>
      <c r="AB214" s="33"/>
      <c r="AD214" s="86">
        <f>SUM(N214:AB214)</f>
        <v>734734</v>
      </c>
      <c r="AE214" s="86">
        <f>SUM(N215:AB215)</f>
        <v>27519</v>
      </c>
      <c r="AF214" s="86">
        <f>SUM(N216:AB216)</f>
        <v>21201</v>
      </c>
      <c r="AG214" s="93"/>
      <c r="AH214" s="86">
        <f>AD214-B214</f>
        <v>-60258</v>
      </c>
      <c r="AI214" s="86">
        <f>AE214-C214</f>
        <v>0</v>
      </c>
      <c r="AJ214" s="86">
        <f>AF214-D214</f>
        <v>0</v>
      </c>
      <c r="AK214" s="93"/>
      <c r="AL214" s="87">
        <f>C214/B214*1000</f>
        <v>34.615442671121215</v>
      </c>
      <c r="AM214" s="87">
        <f>D214/B214*1000</f>
        <v>26.668192887475598</v>
      </c>
      <c r="AN214" s="92"/>
      <c r="AO214" s="87">
        <f>AL214-K214</f>
        <v>-2.8845573288787847</v>
      </c>
      <c r="AP214" s="87">
        <f>AM214-L214</f>
        <v>-2.2318071125244003</v>
      </c>
    </row>
    <row r="215" spans="1:42">
      <c r="A215" s="13" t="s">
        <v>225</v>
      </c>
      <c r="C215" s="2"/>
      <c r="D215" s="2"/>
      <c r="K215" s="51"/>
      <c r="L215" s="51"/>
      <c r="N215" s="2">
        <v>6886</v>
      </c>
      <c r="O215" s="2">
        <v>3538</v>
      </c>
      <c r="P215" s="2">
        <v>1950</v>
      </c>
      <c r="Q215" s="2">
        <v>2816</v>
      </c>
      <c r="R215" s="2">
        <v>2767</v>
      </c>
      <c r="S215" s="2">
        <v>1984</v>
      </c>
      <c r="T215" s="2">
        <v>3815</v>
      </c>
      <c r="U215" s="2">
        <v>2666</v>
      </c>
      <c r="V215" s="2">
        <v>1097</v>
      </c>
      <c r="W215" s="2"/>
      <c r="X215" s="2"/>
      <c r="Y215" s="2"/>
      <c r="Z215" s="2"/>
      <c r="AA215" s="2"/>
      <c r="AB215" s="2"/>
    </row>
    <row r="216" spans="1:42">
      <c r="A216" s="13" t="s">
        <v>226</v>
      </c>
      <c r="C216" s="2"/>
      <c r="D216" s="2"/>
      <c r="K216" s="51"/>
      <c r="L216" s="51"/>
      <c r="N216" s="2">
        <v>5054</v>
      </c>
      <c r="O216" s="2">
        <v>2799</v>
      </c>
      <c r="P216" s="2">
        <v>1631</v>
      </c>
      <c r="Q216" s="2">
        <v>2067</v>
      </c>
      <c r="R216" s="2">
        <v>2045</v>
      </c>
      <c r="S216" s="2">
        <v>1580</v>
      </c>
      <c r="T216" s="2">
        <v>2862</v>
      </c>
      <c r="U216" s="2">
        <v>2241</v>
      </c>
      <c r="V216" s="2">
        <v>922</v>
      </c>
      <c r="W216" s="2"/>
      <c r="X216" s="2"/>
      <c r="Y216" s="2"/>
      <c r="Z216" s="2"/>
      <c r="AA216" s="2"/>
      <c r="AB216" s="2"/>
    </row>
    <row r="217" spans="1:42">
      <c r="A217" s="32" t="s">
        <v>227</v>
      </c>
      <c r="B217" s="33">
        <v>690528</v>
      </c>
      <c r="C217" s="33">
        <v>23725</v>
      </c>
      <c r="D217" s="33">
        <v>21534</v>
      </c>
      <c r="E217" s="33" t="s">
        <v>16</v>
      </c>
      <c r="F217" s="33" t="s">
        <v>16</v>
      </c>
      <c r="G217" s="33" t="s">
        <v>16</v>
      </c>
      <c r="H217" s="33">
        <v>661836</v>
      </c>
      <c r="I217" s="33">
        <v>16939</v>
      </c>
      <c r="J217" s="33">
        <v>10685</v>
      </c>
      <c r="K217" s="60">
        <v>34.299999999999997</v>
      </c>
      <c r="L217" s="60">
        <v>31.2</v>
      </c>
      <c r="N217" s="33" t="s">
        <v>16</v>
      </c>
      <c r="O217" s="33" t="s">
        <v>16</v>
      </c>
      <c r="P217" s="33" t="s">
        <v>16</v>
      </c>
      <c r="Q217" s="33" t="s">
        <v>16</v>
      </c>
      <c r="R217" s="33" t="s">
        <v>16</v>
      </c>
      <c r="S217" s="33" t="s">
        <v>16</v>
      </c>
      <c r="T217" s="33" t="s">
        <v>16</v>
      </c>
      <c r="U217" s="33"/>
      <c r="V217" s="33"/>
      <c r="W217" s="33"/>
      <c r="X217" s="33"/>
      <c r="Y217" s="33"/>
      <c r="Z217" s="33"/>
      <c r="AA217" s="33"/>
      <c r="AB217" s="33"/>
      <c r="AD217" s="86">
        <f>B217</f>
        <v>690528</v>
      </c>
      <c r="AE217" s="86">
        <f>C217</f>
        <v>23725</v>
      </c>
      <c r="AF217" s="86">
        <f>D217</f>
        <v>21534</v>
      </c>
      <c r="AG217" s="93"/>
      <c r="AH217" s="86"/>
      <c r="AI217" s="86"/>
      <c r="AJ217" s="86"/>
      <c r="AK217" s="93"/>
      <c r="AL217" s="87">
        <f>C217/B217*1000</f>
        <v>34.357766810324854</v>
      </c>
      <c r="AM217" s="87">
        <f>D217/B217*1000</f>
        <v>31.184832476018354</v>
      </c>
      <c r="AN217" s="92"/>
      <c r="AO217" s="87">
        <f>AL217-K217</f>
        <v>5.7766810324856976E-2</v>
      </c>
      <c r="AP217" s="87">
        <f>AM217-L217</f>
        <v>-1.5167523981645559E-2</v>
      </c>
    </row>
    <row r="218" spans="1:42">
      <c r="A218" s="13" t="s">
        <v>228</v>
      </c>
      <c r="C218" s="2"/>
      <c r="D218" s="2"/>
      <c r="K218" s="51"/>
      <c r="L218" s="51"/>
      <c r="N218" s="2" t="s">
        <v>16</v>
      </c>
      <c r="O218" s="2" t="s">
        <v>16</v>
      </c>
      <c r="P218" s="2" t="s">
        <v>16</v>
      </c>
      <c r="Q218" s="2" t="s">
        <v>16</v>
      </c>
      <c r="R218" s="2" t="s">
        <v>16</v>
      </c>
      <c r="S218" s="2" t="s">
        <v>16</v>
      </c>
      <c r="T218" s="2" t="s">
        <v>16</v>
      </c>
      <c r="W218" s="2"/>
      <c r="X218" s="2"/>
      <c r="Y218" s="2"/>
      <c r="Z218" s="2"/>
      <c r="AA218" s="2"/>
      <c r="AB218" s="2"/>
    </row>
    <row r="219" spans="1:42">
      <c r="A219" s="13" t="s">
        <v>229</v>
      </c>
      <c r="C219" s="2"/>
      <c r="D219" s="2"/>
      <c r="K219" s="51"/>
      <c r="L219" s="51"/>
      <c r="N219" s="2" t="s">
        <v>16</v>
      </c>
      <c r="O219" s="2" t="s">
        <v>16</v>
      </c>
      <c r="P219" s="2" t="s">
        <v>16</v>
      </c>
      <c r="Q219" s="2" t="s">
        <v>16</v>
      </c>
      <c r="R219" s="2" t="s">
        <v>16</v>
      </c>
      <c r="S219" s="2" t="s">
        <v>16</v>
      </c>
      <c r="T219" s="2" t="s">
        <v>16</v>
      </c>
      <c r="W219" s="2"/>
      <c r="X219" s="2"/>
      <c r="Y219" s="2"/>
      <c r="Z219" s="2"/>
      <c r="AA219" s="2"/>
      <c r="AB219" s="2"/>
    </row>
    <row r="220" spans="1:42">
      <c r="A220" s="34" t="s">
        <v>230</v>
      </c>
      <c r="B220" s="35">
        <v>7864202</v>
      </c>
      <c r="C220" s="35">
        <v>283282</v>
      </c>
      <c r="D220" s="35">
        <v>288465</v>
      </c>
      <c r="E220" s="35"/>
      <c r="F220" s="35"/>
      <c r="G220" s="35"/>
      <c r="H220" s="35">
        <v>7744497</v>
      </c>
      <c r="I220" s="35">
        <v>343143</v>
      </c>
      <c r="J220" s="35">
        <v>193486</v>
      </c>
      <c r="K220" s="61">
        <v>36.299999999999997</v>
      </c>
      <c r="L220" s="61">
        <v>37.5</v>
      </c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D220" s="101">
        <f>SUM(AD192:AD219)</f>
        <v>7764023</v>
      </c>
      <c r="AE220" s="101">
        <f>SUM(AE192:AE219)</f>
        <v>306745</v>
      </c>
      <c r="AF220" s="101">
        <f>SUM(AF192:AF219)</f>
        <v>310069</v>
      </c>
      <c r="AH220" s="98">
        <f>B220-AD220</f>
        <v>100179</v>
      </c>
      <c r="AI220" s="98">
        <f>C220-AE220</f>
        <v>-23463</v>
      </c>
      <c r="AJ220" s="98">
        <f>D220-AF220</f>
        <v>-21604</v>
      </c>
      <c r="AK220" s="93"/>
      <c r="AL220" s="97">
        <f>C220/B220*1000</f>
        <v>36.021709513565398</v>
      </c>
      <c r="AM220" s="97">
        <f>D220/B220*1000</f>
        <v>36.680771933376079</v>
      </c>
      <c r="AN220" s="97"/>
      <c r="AO220" s="97">
        <f>AL220-K220</f>
        <v>-0.27829048643459942</v>
      </c>
      <c r="AP220" s="97">
        <f>AM220-L220</f>
        <v>-0.81922806662392134</v>
      </c>
    </row>
    <row r="221" spans="1:42" customFormat="1">
      <c r="A221" s="36" t="s">
        <v>231</v>
      </c>
      <c r="B221" s="37">
        <v>63221</v>
      </c>
      <c r="C221" s="38" t="s">
        <v>16</v>
      </c>
      <c r="D221" s="38" t="s">
        <v>16</v>
      </c>
      <c r="E221" s="38" t="s">
        <v>16</v>
      </c>
      <c r="F221" s="38" t="s">
        <v>16</v>
      </c>
      <c r="G221" s="38" t="s">
        <v>16</v>
      </c>
      <c r="H221" s="37">
        <v>63221</v>
      </c>
      <c r="I221" s="38" t="s">
        <v>16</v>
      </c>
      <c r="J221" s="38" t="s">
        <v>16</v>
      </c>
      <c r="K221" s="62" t="s">
        <v>16</v>
      </c>
      <c r="L221" s="62" t="s">
        <v>16</v>
      </c>
      <c r="M221" s="78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9"/>
      <c r="AA221" s="40"/>
      <c r="AB221" s="40"/>
      <c r="AD221" s="86">
        <f>B221</f>
        <v>63221</v>
      </c>
      <c r="AE221" s="100" t="str">
        <f>C221</f>
        <v>—</v>
      </c>
      <c r="AF221" s="100" t="str">
        <f>D221</f>
        <v>—</v>
      </c>
      <c r="AG221" s="93"/>
      <c r="AK221" s="93"/>
      <c r="AN221" s="93"/>
    </row>
    <row r="222" spans="1:42" customFormat="1">
      <c r="A222" s="36" t="s">
        <v>232</v>
      </c>
      <c r="B222" s="37">
        <v>478786</v>
      </c>
      <c r="C222" s="37">
        <v>25524</v>
      </c>
      <c r="D222" s="37">
        <v>18922</v>
      </c>
      <c r="E222" s="37">
        <v>44325</v>
      </c>
      <c r="F222" s="37">
        <v>2041</v>
      </c>
      <c r="G222" s="37">
        <v>2323</v>
      </c>
      <c r="H222" s="37">
        <v>469269</v>
      </c>
      <c r="I222" s="37">
        <v>23799</v>
      </c>
      <c r="J222" s="37">
        <v>17736</v>
      </c>
      <c r="K222" s="63">
        <v>53.3</v>
      </c>
      <c r="L222" s="63">
        <v>39.5</v>
      </c>
      <c r="M222" s="75"/>
      <c r="N222" s="37">
        <v>80600</v>
      </c>
      <c r="O222" s="37">
        <v>88093</v>
      </c>
      <c r="P222" s="37">
        <v>66556</v>
      </c>
      <c r="Q222" s="37">
        <v>81956</v>
      </c>
      <c r="R222" s="37">
        <v>144530</v>
      </c>
      <c r="S222" s="37">
        <v>11048</v>
      </c>
      <c r="T222" s="37"/>
      <c r="U222" s="37"/>
      <c r="V222" s="37"/>
      <c r="W222" s="37"/>
      <c r="X222" s="37"/>
      <c r="Y222" s="37"/>
      <c r="Z222" s="39"/>
      <c r="AA222" s="40"/>
      <c r="AB222" s="40"/>
      <c r="AD222" s="86">
        <f>SUM(N222:AB222)</f>
        <v>472783</v>
      </c>
      <c r="AE222" s="86">
        <f>SUM(N223:AB223)</f>
        <v>25524</v>
      </c>
      <c r="AF222" s="86">
        <f>SUM(N224:AB224)</f>
        <v>18922</v>
      </c>
      <c r="AG222" s="93"/>
      <c r="AH222" s="86">
        <f>AD222-B222</f>
        <v>-6003</v>
      </c>
      <c r="AI222" s="86">
        <f>AE222-C222</f>
        <v>0</v>
      </c>
      <c r="AJ222" s="86">
        <f>AF222-D222</f>
        <v>0</v>
      </c>
      <c r="AK222" s="93"/>
      <c r="AL222" s="87">
        <f>C222/B222*1000</f>
        <v>53.309829443634527</v>
      </c>
      <c r="AM222" s="87">
        <f>D222/B222*1000</f>
        <v>39.520787992965545</v>
      </c>
      <c r="AN222" s="92"/>
      <c r="AO222" s="87">
        <f>AL222-K222</f>
        <v>9.8294436345298664E-3</v>
      </c>
      <c r="AP222" s="87">
        <f>AM222-L222</f>
        <v>2.0787992965544788E-2</v>
      </c>
    </row>
    <row r="223" spans="1:42" customFormat="1">
      <c r="A223" s="9" t="s">
        <v>233</v>
      </c>
      <c r="B223" s="7"/>
      <c r="C223" s="7"/>
      <c r="D223" s="7"/>
      <c r="E223" s="7"/>
      <c r="F223" s="7"/>
      <c r="G223" s="7"/>
      <c r="H223" s="7"/>
      <c r="I223" s="7"/>
      <c r="J223" s="7"/>
      <c r="K223" s="57"/>
      <c r="L223" s="57"/>
      <c r="M223" s="77"/>
      <c r="N223" s="5">
        <v>4236</v>
      </c>
      <c r="O223" s="5">
        <v>4913</v>
      </c>
      <c r="P223" s="5">
        <v>3020</v>
      </c>
      <c r="Q223" s="5">
        <v>3962</v>
      </c>
      <c r="R223" s="5">
        <v>9033</v>
      </c>
      <c r="S223" s="5">
        <v>360</v>
      </c>
      <c r="T223" s="10"/>
      <c r="U223" s="5"/>
      <c r="V223" s="5"/>
      <c r="W223" s="5"/>
      <c r="X223" s="5"/>
      <c r="Y223" s="5"/>
      <c r="Z223" s="7"/>
      <c r="AA223" s="4"/>
      <c r="AB223" s="4"/>
      <c r="AG223" s="93"/>
      <c r="AK223" s="93"/>
      <c r="AN223" s="93"/>
    </row>
    <row r="224" spans="1:42" customFormat="1">
      <c r="A224" s="9" t="s">
        <v>234</v>
      </c>
      <c r="B224" s="7"/>
      <c r="C224" s="7"/>
      <c r="D224" s="7"/>
      <c r="E224" s="7"/>
      <c r="F224" s="7"/>
      <c r="G224" s="7"/>
      <c r="H224" s="7"/>
      <c r="I224" s="7"/>
      <c r="J224" s="7"/>
      <c r="K224" s="57"/>
      <c r="L224" s="57"/>
      <c r="M224" s="77"/>
      <c r="N224" s="5">
        <v>3643</v>
      </c>
      <c r="O224" s="5">
        <v>3851</v>
      </c>
      <c r="P224" s="5">
        <v>2268</v>
      </c>
      <c r="Q224" s="5">
        <v>3121</v>
      </c>
      <c r="R224" s="5">
        <v>5895</v>
      </c>
      <c r="S224" s="5">
        <v>144</v>
      </c>
      <c r="T224" s="10"/>
      <c r="U224" s="5"/>
      <c r="V224" s="5"/>
      <c r="W224" s="5"/>
      <c r="X224" s="5"/>
      <c r="Y224" s="5"/>
      <c r="Z224" s="7"/>
      <c r="AA224" s="4"/>
      <c r="AB224" s="4"/>
      <c r="AG224" s="93"/>
      <c r="AK224" s="93"/>
      <c r="AN224" s="93"/>
    </row>
    <row r="225" spans="1:42" customFormat="1">
      <c r="A225" s="36" t="s">
        <v>235</v>
      </c>
      <c r="B225" s="37">
        <v>600671</v>
      </c>
      <c r="C225" s="37">
        <v>22747</v>
      </c>
      <c r="D225" s="37">
        <v>13051</v>
      </c>
      <c r="E225" s="38" t="s">
        <v>16</v>
      </c>
      <c r="F225" s="38" t="s">
        <v>16</v>
      </c>
      <c r="G225" s="38" t="s">
        <v>16</v>
      </c>
      <c r="H225" s="37">
        <v>535932</v>
      </c>
      <c r="I225" s="37">
        <v>18949</v>
      </c>
      <c r="J225" s="37">
        <v>12603</v>
      </c>
      <c r="K225" s="63">
        <v>37.9</v>
      </c>
      <c r="L225" s="63">
        <v>21.7</v>
      </c>
      <c r="M225" s="75"/>
      <c r="N225" s="37">
        <v>129731</v>
      </c>
      <c r="O225" s="37">
        <v>29430</v>
      </c>
      <c r="P225" s="37">
        <v>22807</v>
      </c>
      <c r="Q225" s="37">
        <v>154503</v>
      </c>
      <c r="R225" s="37">
        <v>75384</v>
      </c>
      <c r="S225" s="37">
        <v>63632</v>
      </c>
      <c r="T225" s="37">
        <v>96527</v>
      </c>
      <c r="U225" s="37">
        <v>28657</v>
      </c>
      <c r="V225" s="37"/>
      <c r="W225" s="37"/>
      <c r="X225" s="37"/>
      <c r="Y225" s="37"/>
      <c r="Z225" s="39"/>
      <c r="AA225" s="40"/>
      <c r="AB225" s="40"/>
      <c r="AD225" s="86">
        <f>SUM(N225:AB225)</f>
        <v>600671</v>
      </c>
      <c r="AE225" s="86">
        <f>SUM(N226:AB226)</f>
        <v>22747</v>
      </c>
      <c r="AF225" s="86">
        <f>SUM(N227:AB227)</f>
        <v>13051</v>
      </c>
      <c r="AG225" s="93"/>
      <c r="AH225" s="86">
        <f>AD225-B225</f>
        <v>0</v>
      </c>
      <c r="AI225" s="86">
        <f>AE225-C225</f>
        <v>0</v>
      </c>
      <c r="AJ225" s="86">
        <f>AF225-D225</f>
        <v>0</v>
      </c>
      <c r="AK225" s="93"/>
      <c r="AL225" s="87">
        <f>C225/B225*1000</f>
        <v>37.8693161481077</v>
      </c>
      <c r="AM225" s="87">
        <f>D225/B225*1000</f>
        <v>21.727368226533326</v>
      </c>
      <c r="AN225" s="92"/>
      <c r="AO225" s="87">
        <f>AL225-K225</f>
        <v>-3.0683851892298719E-2</v>
      </c>
      <c r="AP225" s="87">
        <f>AM225-L225</f>
        <v>2.7368226533326379E-2</v>
      </c>
    </row>
    <row r="226" spans="1:42" customFormat="1">
      <c r="A226" s="9" t="s">
        <v>236</v>
      </c>
      <c r="B226" s="7"/>
      <c r="C226" s="7"/>
      <c r="D226" s="7"/>
      <c r="E226" s="7"/>
      <c r="F226" s="7"/>
      <c r="G226" s="7"/>
      <c r="H226" s="7"/>
      <c r="I226" s="7"/>
      <c r="J226" s="7"/>
      <c r="K226" s="57"/>
      <c r="L226" s="57"/>
      <c r="M226" s="77"/>
      <c r="N226" s="5">
        <v>4071</v>
      </c>
      <c r="O226" s="5">
        <v>1141</v>
      </c>
      <c r="P226" s="5">
        <v>551</v>
      </c>
      <c r="Q226" s="5">
        <v>5461</v>
      </c>
      <c r="R226" s="5">
        <v>3991</v>
      </c>
      <c r="S226" s="5">
        <v>3009</v>
      </c>
      <c r="T226" s="5">
        <v>3356</v>
      </c>
      <c r="U226" s="5">
        <v>1167</v>
      </c>
      <c r="V226" s="5"/>
      <c r="W226" s="5"/>
      <c r="X226" s="5"/>
      <c r="Y226" s="5"/>
      <c r="Z226" s="7"/>
      <c r="AA226" s="4"/>
      <c r="AB226" s="4"/>
      <c r="AG226" s="93"/>
      <c r="AK226" s="93"/>
      <c r="AN226" s="93"/>
    </row>
    <row r="227" spans="1:42" customFormat="1">
      <c r="A227" s="9" t="s">
        <v>237</v>
      </c>
      <c r="B227" s="7"/>
      <c r="C227" s="7"/>
      <c r="D227" s="7"/>
      <c r="E227" s="7"/>
      <c r="F227" s="7"/>
      <c r="G227" s="7"/>
      <c r="H227" s="7"/>
      <c r="I227" s="7"/>
      <c r="J227" s="7"/>
      <c r="K227" s="57"/>
      <c r="L227" s="57"/>
      <c r="M227" s="77"/>
      <c r="N227" s="5">
        <v>2391</v>
      </c>
      <c r="O227" s="5">
        <v>565</v>
      </c>
      <c r="P227" s="5">
        <v>305</v>
      </c>
      <c r="Q227" s="5">
        <v>3273</v>
      </c>
      <c r="R227" s="5">
        <v>2093</v>
      </c>
      <c r="S227" s="5">
        <v>1584</v>
      </c>
      <c r="T227" s="5">
        <v>1964</v>
      </c>
      <c r="U227" s="5">
        <v>876</v>
      </c>
      <c r="V227" s="5"/>
      <c r="W227" s="5"/>
      <c r="X227" s="5"/>
      <c r="Y227" s="5"/>
      <c r="Z227" s="7"/>
      <c r="AA227" s="4"/>
      <c r="AB227" s="4"/>
      <c r="AG227" s="93"/>
      <c r="AK227" s="93"/>
      <c r="AN227" s="93"/>
    </row>
    <row r="228" spans="1:42" customFormat="1">
      <c r="A228" s="36" t="s">
        <v>238</v>
      </c>
      <c r="B228" s="37">
        <v>471560</v>
      </c>
      <c r="C228" s="37">
        <v>20895</v>
      </c>
      <c r="D228" s="37">
        <v>15763</v>
      </c>
      <c r="E228" s="37">
        <v>58872</v>
      </c>
      <c r="F228" s="37">
        <v>2384</v>
      </c>
      <c r="G228" s="37">
        <v>2204</v>
      </c>
      <c r="H228" s="37">
        <v>436992</v>
      </c>
      <c r="I228" s="37">
        <v>20449</v>
      </c>
      <c r="J228" s="37">
        <v>16043</v>
      </c>
      <c r="K228" s="63">
        <v>44.3</v>
      </c>
      <c r="L228" s="63">
        <v>33.4</v>
      </c>
      <c r="M228" s="75"/>
      <c r="N228" s="37">
        <v>156251</v>
      </c>
      <c r="O228" s="37">
        <v>133892</v>
      </c>
      <c r="P228" s="37">
        <v>69149</v>
      </c>
      <c r="Q228" s="37">
        <v>53687</v>
      </c>
      <c r="R228" s="37">
        <v>58581</v>
      </c>
      <c r="S228" s="37"/>
      <c r="T228" s="37"/>
      <c r="U228" s="37"/>
      <c r="V228" s="37"/>
      <c r="W228" s="37"/>
      <c r="X228" s="37"/>
      <c r="Y228" s="37"/>
      <c r="Z228" s="39"/>
      <c r="AA228" s="40"/>
      <c r="AB228" s="40"/>
      <c r="AD228" s="86">
        <f>SUM(N228:AB228)</f>
        <v>471560</v>
      </c>
      <c r="AE228" s="86">
        <f>SUM(N229:AB229)</f>
        <v>20895</v>
      </c>
      <c r="AF228" s="86">
        <f>SUM(N230:AB230)</f>
        <v>15763</v>
      </c>
      <c r="AG228" s="93"/>
      <c r="AH228" s="86">
        <f>AD228-B228</f>
        <v>0</v>
      </c>
      <c r="AI228" s="86">
        <f>AE228-C228</f>
        <v>0</v>
      </c>
      <c r="AJ228" s="86">
        <f>AF228-D228</f>
        <v>0</v>
      </c>
      <c r="AK228" s="93"/>
      <c r="AL228" s="87">
        <f>C228/B228*1000</f>
        <v>44.3103740775299</v>
      </c>
      <c r="AM228" s="87">
        <f>D228/B228*1000</f>
        <v>33.427347527356012</v>
      </c>
      <c r="AN228" s="92"/>
      <c r="AO228" s="87">
        <f>AL228-K228</f>
        <v>1.0374077529903047E-2</v>
      </c>
      <c r="AP228" s="87">
        <f>AM228-L228</f>
        <v>2.7347527356013757E-2</v>
      </c>
    </row>
    <row r="229" spans="1:42" customFormat="1">
      <c r="A229" s="9" t="s">
        <v>239</v>
      </c>
      <c r="B229" s="7"/>
      <c r="C229" s="7"/>
      <c r="D229" s="7"/>
      <c r="E229" s="7"/>
      <c r="F229" s="7"/>
      <c r="G229" s="7"/>
      <c r="H229" s="7"/>
      <c r="I229" s="7"/>
      <c r="J229" s="7"/>
      <c r="K229" s="57"/>
      <c r="L229" s="57"/>
      <c r="M229" s="77"/>
      <c r="N229" s="5">
        <v>6437</v>
      </c>
      <c r="O229" s="5">
        <v>5757</v>
      </c>
      <c r="P229" s="5">
        <v>2974</v>
      </c>
      <c r="Q229" s="5">
        <v>2599</v>
      </c>
      <c r="R229" s="5">
        <v>3128</v>
      </c>
      <c r="S229" s="10"/>
      <c r="T229" s="10"/>
      <c r="U229" s="5"/>
      <c r="V229" s="5"/>
      <c r="W229" s="5"/>
      <c r="X229" s="5"/>
      <c r="Y229" s="5"/>
      <c r="Z229" s="7"/>
      <c r="AA229" s="4"/>
      <c r="AB229" s="4"/>
      <c r="AG229" s="93"/>
      <c r="AK229" s="93"/>
      <c r="AN229" s="93"/>
    </row>
    <row r="230" spans="1:42" customFormat="1">
      <c r="A230" s="9" t="s">
        <v>240</v>
      </c>
      <c r="B230" s="7"/>
      <c r="C230" s="7"/>
      <c r="D230" s="7"/>
      <c r="E230" s="7"/>
      <c r="F230" s="7"/>
      <c r="G230" s="7"/>
      <c r="H230" s="7"/>
      <c r="I230" s="7"/>
      <c r="J230" s="7"/>
      <c r="K230" s="57"/>
      <c r="L230" s="57"/>
      <c r="M230" s="77"/>
      <c r="N230" s="5">
        <v>5472</v>
      </c>
      <c r="O230" s="5">
        <v>4350</v>
      </c>
      <c r="P230" s="5">
        <v>2128</v>
      </c>
      <c r="Q230" s="5">
        <v>1474</v>
      </c>
      <c r="R230" s="5">
        <v>2339</v>
      </c>
      <c r="S230" s="10"/>
      <c r="T230" s="10"/>
      <c r="U230" s="5"/>
      <c r="V230" s="5"/>
      <c r="W230" s="5"/>
      <c r="X230" s="5"/>
      <c r="Y230" s="5"/>
      <c r="Z230" s="7"/>
      <c r="AA230" s="4"/>
      <c r="AB230" s="4"/>
      <c r="AG230" s="93"/>
      <c r="AK230" s="93"/>
      <c r="AN230" s="93"/>
    </row>
    <row r="231" spans="1:42" customFormat="1">
      <c r="A231" s="36" t="s">
        <v>241</v>
      </c>
      <c r="B231" s="37">
        <v>143456</v>
      </c>
      <c r="C231" s="37">
        <v>5030</v>
      </c>
      <c r="D231" s="37">
        <v>2302</v>
      </c>
      <c r="E231" s="37">
        <v>28076</v>
      </c>
      <c r="F231" s="37">
        <v>968</v>
      </c>
      <c r="G231" s="37">
        <v>584</v>
      </c>
      <c r="H231" s="37">
        <v>112232</v>
      </c>
      <c r="I231" s="37">
        <v>6633</v>
      </c>
      <c r="J231" s="37">
        <v>3776</v>
      </c>
      <c r="K231" s="63" t="s">
        <v>16</v>
      </c>
      <c r="L231" s="63" t="s">
        <v>16</v>
      </c>
      <c r="M231" s="75"/>
      <c r="N231" s="37">
        <v>16490</v>
      </c>
      <c r="O231" s="37">
        <v>10100</v>
      </c>
      <c r="P231" s="37">
        <v>5495</v>
      </c>
      <c r="Q231" s="37">
        <v>673</v>
      </c>
      <c r="R231" s="37">
        <v>11097</v>
      </c>
      <c r="S231" s="37">
        <v>4087</v>
      </c>
      <c r="T231" s="37">
        <v>7784</v>
      </c>
      <c r="U231" s="37">
        <v>7477</v>
      </c>
      <c r="V231" s="37">
        <v>80253</v>
      </c>
      <c r="W231" s="37"/>
      <c r="X231" s="37"/>
      <c r="Y231" s="37"/>
      <c r="Z231" s="39"/>
      <c r="AA231" s="40"/>
      <c r="AB231" s="40"/>
      <c r="AD231" s="86">
        <f>SUM(N231:AB231)</f>
        <v>143456</v>
      </c>
      <c r="AE231" s="86">
        <f>SUM(N232:AB232)</f>
        <v>5030</v>
      </c>
      <c r="AF231" s="86">
        <f>SUM(N233:AB233)</f>
        <v>2302</v>
      </c>
      <c r="AG231" s="93"/>
      <c r="AH231" s="86">
        <f>AD231-B231</f>
        <v>0</v>
      </c>
      <c r="AI231" s="86">
        <f>AE231-C231</f>
        <v>0</v>
      </c>
      <c r="AJ231" s="86">
        <f>AF231-D231</f>
        <v>0</v>
      </c>
      <c r="AK231" s="93"/>
      <c r="AL231" s="87">
        <f>C231/B231*1000</f>
        <v>35.063015837608745</v>
      </c>
      <c r="AM231" s="87">
        <f>D231/B231*1000</f>
        <v>16.04673209904082</v>
      </c>
      <c r="AN231" s="92"/>
      <c r="AO231" s="87"/>
      <c r="AP231" s="87"/>
    </row>
    <row r="232" spans="1:42" customFormat="1">
      <c r="A232" s="9" t="s">
        <v>242</v>
      </c>
      <c r="B232" s="7"/>
      <c r="C232" s="7"/>
      <c r="D232" s="7"/>
      <c r="E232" s="7"/>
      <c r="F232" s="7"/>
      <c r="G232" s="7"/>
      <c r="H232" s="7"/>
      <c r="I232" s="7"/>
      <c r="J232" s="7"/>
      <c r="K232" s="57"/>
      <c r="L232" s="57"/>
      <c r="M232" s="77"/>
      <c r="N232" s="5">
        <v>587</v>
      </c>
      <c r="O232" s="10" t="s">
        <v>16</v>
      </c>
      <c r="P232" s="5">
        <v>75</v>
      </c>
      <c r="Q232" s="5">
        <v>32</v>
      </c>
      <c r="R232" s="5">
        <v>326</v>
      </c>
      <c r="S232" s="5">
        <v>107</v>
      </c>
      <c r="T232" s="5">
        <v>327</v>
      </c>
      <c r="U232" s="5">
        <v>303</v>
      </c>
      <c r="V232" s="5">
        <v>3273</v>
      </c>
      <c r="W232" s="5"/>
      <c r="X232" s="5"/>
      <c r="Y232" s="5"/>
      <c r="Z232" s="7"/>
      <c r="AA232" s="4"/>
      <c r="AB232" s="4"/>
      <c r="AG232" s="93"/>
      <c r="AK232" s="93"/>
      <c r="AN232" s="93"/>
    </row>
    <row r="233" spans="1:42" customFormat="1">
      <c r="A233" s="9" t="s">
        <v>243</v>
      </c>
      <c r="B233" s="7"/>
      <c r="C233" s="7"/>
      <c r="D233" s="7"/>
      <c r="E233" s="7"/>
      <c r="F233" s="7"/>
      <c r="G233" s="7"/>
      <c r="H233" s="7"/>
      <c r="I233" s="7"/>
      <c r="J233" s="7"/>
      <c r="K233" s="57"/>
      <c r="L233" s="57"/>
      <c r="M233" s="77"/>
      <c r="N233" s="5">
        <v>254</v>
      </c>
      <c r="O233" s="10" t="s">
        <v>16</v>
      </c>
      <c r="P233" s="5">
        <v>21</v>
      </c>
      <c r="Q233" s="5">
        <v>23</v>
      </c>
      <c r="R233" s="5">
        <v>198</v>
      </c>
      <c r="S233" s="5">
        <v>63</v>
      </c>
      <c r="T233" s="5">
        <v>153</v>
      </c>
      <c r="U233" s="5">
        <v>133</v>
      </c>
      <c r="V233" s="5">
        <v>1457</v>
      </c>
      <c r="W233" s="5"/>
      <c r="X233" s="5"/>
      <c r="Y233" s="5"/>
      <c r="Z233" s="7"/>
      <c r="AA233" s="4"/>
      <c r="AB233" s="4"/>
      <c r="AG233" s="93"/>
      <c r="AK233" s="93"/>
      <c r="AN233" s="93"/>
    </row>
    <row r="234" spans="1:42" customFormat="1">
      <c r="A234" s="36" t="s">
        <v>244</v>
      </c>
      <c r="B234" s="37">
        <v>1397460</v>
      </c>
      <c r="C234" s="37">
        <v>63752</v>
      </c>
      <c r="D234" s="37">
        <v>91317</v>
      </c>
      <c r="E234" s="37">
        <v>97645</v>
      </c>
      <c r="F234" s="37">
        <v>2441</v>
      </c>
      <c r="G234" s="37">
        <v>5424</v>
      </c>
      <c r="H234" s="37">
        <v>1403308</v>
      </c>
      <c r="I234" s="37">
        <v>73195</v>
      </c>
      <c r="J234" s="37">
        <v>60540</v>
      </c>
      <c r="K234" s="63">
        <v>45.6</v>
      </c>
      <c r="L234" s="63">
        <v>65.400000000000006</v>
      </c>
      <c r="M234" s="75"/>
      <c r="N234" s="37">
        <v>128017</v>
      </c>
      <c r="O234" s="37">
        <v>30802</v>
      </c>
      <c r="P234" s="37">
        <v>270673</v>
      </c>
      <c r="Q234" s="37">
        <v>266457</v>
      </c>
      <c r="R234" s="37">
        <v>7524</v>
      </c>
      <c r="S234" s="37">
        <v>151045</v>
      </c>
      <c r="T234" s="37">
        <v>71411</v>
      </c>
      <c r="U234" s="37">
        <v>157294</v>
      </c>
      <c r="V234" s="37">
        <v>121125</v>
      </c>
      <c r="W234" s="37">
        <v>193112</v>
      </c>
      <c r="X234" s="37"/>
      <c r="Y234" s="37"/>
      <c r="Z234" s="39"/>
      <c r="AA234" s="40"/>
      <c r="AB234" s="40"/>
      <c r="AD234" s="86">
        <f>SUM(N234:AB234)</f>
        <v>1397460</v>
      </c>
      <c r="AE234" s="86">
        <f>SUM(N235:AB235)</f>
        <v>63752</v>
      </c>
      <c r="AF234" s="86">
        <f>SUM(N236:AB236)</f>
        <v>91317</v>
      </c>
      <c r="AG234" s="93"/>
      <c r="AH234" s="86">
        <f>AD234-B234</f>
        <v>0</v>
      </c>
      <c r="AI234" s="86">
        <f>AE234-C234</f>
        <v>0</v>
      </c>
      <c r="AJ234" s="86">
        <f>AF234-D234</f>
        <v>0</v>
      </c>
      <c r="AK234" s="93"/>
      <c r="AL234" s="87">
        <f>C234/B234*1000</f>
        <v>45.619910408884692</v>
      </c>
      <c r="AM234" s="87">
        <f>D234/B234*1000</f>
        <v>65.344983040659486</v>
      </c>
      <c r="AN234" s="92"/>
      <c r="AO234" s="87">
        <f>AL234-K234</f>
        <v>1.9910408884690867E-2</v>
      </c>
      <c r="AP234" s="87">
        <f>AM234-L234</f>
        <v>-5.5016959340520089E-2</v>
      </c>
    </row>
    <row r="235" spans="1:42" customFormat="1">
      <c r="A235" s="9" t="s">
        <v>245</v>
      </c>
      <c r="B235" s="7"/>
      <c r="C235" s="7"/>
      <c r="D235" s="7"/>
      <c r="E235" s="7"/>
      <c r="F235" s="7"/>
      <c r="G235" s="7"/>
      <c r="H235" s="7"/>
      <c r="I235" s="7"/>
      <c r="J235" s="7"/>
      <c r="K235" s="57"/>
      <c r="L235" s="57"/>
      <c r="M235" s="77"/>
      <c r="N235" s="5">
        <v>5644</v>
      </c>
      <c r="O235" s="5">
        <v>931</v>
      </c>
      <c r="P235" s="5">
        <v>12776</v>
      </c>
      <c r="Q235" s="5">
        <v>10173</v>
      </c>
      <c r="R235" s="5">
        <v>299</v>
      </c>
      <c r="S235" s="5">
        <v>8400</v>
      </c>
      <c r="T235" s="5">
        <v>3698</v>
      </c>
      <c r="U235" s="5">
        <v>9664</v>
      </c>
      <c r="V235" s="5">
        <v>4706</v>
      </c>
      <c r="W235" s="5">
        <v>7461</v>
      </c>
      <c r="X235" s="5"/>
      <c r="Y235" s="5"/>
      <c r="Z235" s="7"/>
      <c r="AA235" s="4"/>
      <c r="AB235" s="4"/>
      <c r="AG235" s="93"/>
      <c r="AK235" s="93"/>
      <c r="AN235" s="93"/>
    </row>
    <row r="236" spans="1:42" customFormat="1">
      <c r="A236" s="9" t="s">
        <v>246</v>
      </c>
      <c r="B236" s="7"/>
      <c r="C236" s="7"/>
      <c r="D236" s="7"/>
      <c r="E236" s="7"/>
      <c r="F236" s="7"/>
      <c r="G236" s="7"/>
      <c r="H236" s="7"/>
      <c r="I236" s="7"/>
      <c r="J236" s="7"/>
      <c r="K236" s="57"/>
      <c r="L236" s="57"/>
      <c r="M236" s="77"/>
      <c r="N236" s="5">
        <v>7601</v>
      </c>
      <c r="O236" s="5">
        <v>837</v>
      </c>
      <c r="P236" s="5">
        <v>20365</v>
      </c>
      <c r="Q236" s="5">
        <v>13661</v>
      </c>
      <c r="R236" s="5">
        <v>484</v>
      </c>
      <c r="S236" s="5">
        <v>9607</v>
      </c>
      <c r="T236" s="5">
        <v>4251</v>
      </c>
      <c r="U236" s="5">
        <v>14742</v>
      </c>
      <c r="V236" s="5">
        <v>7991</v>
      </c>
      <c r="W236" s="5">
        <v>11778</v>
      </c>
      <c r="X236" s="5"/>
      <c r="Y236" s="5"/>
      <c r="Z236" s="7"/>
      <c r="AA236" s="4"/>
      <c r="AB236" s="4"/>
      <c r="AG236" s="93"/>
      <c r="AK236" s="93"/>
      <c r="AN236" s="93"/>
    </row>
    <row r="237" spans="1:42" customFormat="1">
      <c r="A237" s="36" t="s">
        <v>247</v>
      </c>
      <c r="B237" s="37">
        <v>1414440</v>
      </c>
      <c r="C237" s="37">
        <v>77947</v>
      </c>
      <c r="D237" s="37">
        <v>62123</v>
      </c>
      <c r="E237" s="38" t="s">
        <v>16</v>
      </c>
      <c r="F237" s="38" t="s">
        <v>16</v>
      </c>
      <c r="G237" s="38" t="s">
        <v>16</v>
      </c>
      <c r="H237" s="37">
        <v>1366915</v>
      </c>
      <c r="I237" s="37">
        <v>64178</v>
      </c>
      <c r="J237" s="37">
        <v>35785</v>
      </c>
      <c r="K237" s="63">
        <v>55.1</v>
      </c>
      <c r="L237" s="63">
        <v>43.9</v>
      </c>
      <c r="M237" s="75"/>
      <c r="N237" s="37">
        <v>294324</v>
      </c>
      <c r="O237" s="37">
        <v>335853</v>
      </c>
      <c r="P237" s="37">
        <v>348403</v>
      </c>
      <c r="Q237" s="37">
        <v>133859</v>
      </c>
      <c r="R237" s="37">
        <v>176024</v>
      </c>
      <c r="S237" s="37">
        <v>125977</v>
      </c>
      <c r="T237" s="37"/>
      <c r="U237" s="37"/>
      <c r="V237" s="37"/>
      <c r="W237" s="37"/>
      <c r="X237" s="37"/>
      <c r="Y237" s="37"/>
      <c r="Z237" s="39"/>
      <c r="AA237" s="40"/>
      <c r="AB237" s="40"/>
      <c r="AD237" s="86">
        <f>SUM(N237:AB237)</f>
        <v>1414440</v>
      </c>
      <c r="AE237" s="86">
        <f>SUM(N238:AB238)</f>
        <v>77447</v>
      </c>
      <c r="AF237" s="86">
        <f>SUM(N239:AB239)</f>
        <v>62123</v>
      </c>
      <c r="AG237" s="93"/>
      <c r="AH237" s="86">
        <f>AD237-B237</f>
        <v>0</v>
      </c>
      <c r="AI237" s="86">
        <f>AE237-C237</f>
        <v>-500</v>
      </c>
      <c r="AJ237" s="86">
        <f>AF237-D237</f>
        <v>0</v>
      </c>
      <c r="AK237" s="93"/>
      <c r="AL237" s="87">
        <f>C237/B237*1000</f>
        <v>55.108028619100139</v>
      </c>
      <c r="AM237" s="87">
        <f>D237/B237*1000</f>
        <v>43.920562201295212</v>
      </c>
      <c r="AN237" s="92"/>
      <c r="AO237" s="87">
        <f>AL237-K237</f>
        <v>8.028619100137746E-3</v>
      </c>
      <c r="AP237" s="87">
        <f>AM237-L237</f>
        <v>2.0562201295213356E-2</v>
      </c>
    </row>
    <row r="238" spans="1:42" customFormat="1">
      <c r="A238" s="9" t="s">
        <v>248</v>
      </c>
      <c r="B238" s="7"/>
      <c r="C238" s="7"/>
      <c r="D238" s="7"/>
      <c r="E238" s="7"/>
      <c r="F238" s="7"/>
      <c r="G238" s="7"/>
      <c r="H238" s="7"/>
      <c r="I238" s="7"/>
      <c r="J238" s="7"/>
      <c r="K238" s="57"/>
      <c r="L238" s="57"/>
      <c r="M238" s="77"/>
      <c r="N238" s="5">
        <v>10346</v>
      </c>
      <c r="O238" s="5">
        <v>23393</v>
      </c>
      <c r="P238" s="5">
        <v>22654</v>
      </c>
      <c r="Q238" s="5">
        <v>7625</v>
      </c>
      <c r="R238" s="5">
        <v>7541</v>
      </c>
      <c r="S238" s="5">
        <v>5888</v>
      </c>
      <c r="T238" s="10"/>
      <c r="U238" s="5"/>
      <c r="V238" s="5"/>
      <c r="W238" s="5"/>
      <c r="X238" s="5"/>
      <c r="Y238" s="5"/>
      <c r="Z238" s="7"/>
      <c r="AA238" s="4"/>
      <c r="AB238" s="4"/>
      <c r="AG238" s="93"/>
      <c r="AK238" s="93"/>
      <c r="AN238" s="93"/>
    </row>
    <row r="239" spans="1:42" customFormat="1">
      <c r="A239" s="9" t="s">
        <v>249</v>
      </c>
      <c r="B239" s="7"/>
      <c r="C239" s="7"/>
      <c r="D239" s="7"/>
      <c r="E239" s="7"/>
      <c r="F239" s="7"/>
      <c r="G239" s="7"/>
      <c r="H239" s="7"/>
      <c r="I239" s="7"/>
      <c r="J239" s="7"/>
      <c r="K239" s="57"/>
      <c r="L239" s="57"/>
      <c r="M239" s="77"/>
      <c r="N239" s="5">
        <v>11495</v>
      </c>
      <c r="O239" s="5">
        <v>19183</v>
      </c>
      <c r="P239" s="5">
        <v>16320</v>
      </c>
      <c r="Q239" s="5">
        <v>6508</v>
      </c>
      <c r="R239" s="5">
        <v>4280</v>
      </c>
      <c r="S239" s="5">
        <v>4337</v>
      </c>
      <c r="T239" s="10"/>
      <c r="U239" s="5"/>
      <c r="V239" s="5"/>
      <c r="W239" s="5"/>
      <c r="X239" s="5"/>
      <c r="Y239" s="5"/>
      <c r="Z239" s="7"/>
      <c r="AA239" s="4"/>
      <c r="AB239" s="4"/>
      <c r="AG239" s="93"/>
      <c r="AK239" s="93"/>
      <c r="AN239" s="93"/>
    </row>
    <row r="240" spans="1:42" customFormat="1">
      <c r="A240" s="36" t="s">
        <v>250</v>
      </c>
      <c r="B240" s="37">
        <v>263743</v>
      </c>
      <c r="C240" s="37">
        <v>9536</v>
      </c>
      <c r="D240" s="37">
        <v>5189</v>
      </c>
      <c r="E240" s="37">
        <v>7873</v>
      </c>
      <c r="F240" s="37">
        <v>186</v>
      </c>
      <c r="G240" s="37">
        <v>140</v>
      </c>
      <c r="H240" s="37">
        <v>257178</v>
      </c>
      <c r="I240" s="37">
        <v>7408</v>
      </c>
      <c r="J240" s="37">
        <v>5870</v>
      </c>
      <c r="K240" s="63">
        <v>36.1</v>
      </c>
      <c r="L240" s="63">
        <v>33.700000000000003</v>
      </c>
      <c r="M240" s="75"/>
      <c r="N240" s="37">
        <v>153761</v>
      </c>
      <c r="O240" s="37">
        <v>13204</v>
      </c>
      <c r="P240" s="37">
        <v>74940</v>
      </c>
      <c r="Q240" s="37">
        <v>6246</v>
      </c>
      <c r="R240" s="37">
        <v>15592</v>
      </c>
      <c r="S240" s="37"/>
      <c r="T240" s="37"/>
      <c r="U240" s="37"/>
      <c r="V240" s="37"/>
      <c r="W240" s="37"/>
      <c r="X240" s="37"/>
      <c r="Y240" s="37"/>
      <c r="Z240" s="39"/>
      <c r="AA240" s="40"/>
      <c r="AB240" s="40"/>
      <c r="AD240" s="86">
        <f>SUM(N240:AB240)</f>
        <v>263743</v>
      </c>
      <c r="AE240" s="86">
        <f>SUM(N241:AB241)</f>
        <v>9536</v>
      </c>
      <c r="AF240" s="86">
        <f>SUM(N242:AB242)</f>
        <v>5189</v>
      </c>
      <c r="AG240" s="93"/>
      <c r="AH240" s="86">
        <f>AD240-B240</f>
        <v>0</v>
      </c>
      <c r="AI240" s="86">
        <f>AE240-C240</f>
        <v>0</v>
      </c>
      <c r="AJ240" s="86">
        <f>AF240-D240</f>
        <v>0</v>
      </c>
      <c r="AK240" s="93"/>
      <c r="AL240" s="87">
        <f>C240/B240*1000</f>
        <v>36.156409838365377</v>
      </c>
      <c r="AM240" s="87">
        <f>D240/B240*1000</f>
        <v>19.674455814941059</v>
      </c>
      <c r="AN240" s="92"/>
      <c r="AO240" s="87">
        <f>AL240-K240</f>
        <v>5.640983836537572E-2</v>
      </c>
      <c r="AP240" s="87">
        <f>AM240-L240</f>
        <v>-14.025544185058944</v>
      </c>
    </row>
    <row r="241" spans="1:42" customFormat="1">
      <c r="A241" s="9" t="s">
        <v>251</v>
      </c>
      <c r="B241" s="7"/>
      <c r="C241" s="7"/>
      <c r="D241" s="7"/>
      <c r="E241" s="7"/>
      <c r="F241" s="7"/>
      <c r="G241" s="7"/>
      <c r="H241" s="7"/>
      <c r="I241" s="7"/>
      <c r="J241" s="7"/>
      <c r="K241" s="57"/>
      <c r="L241" s="57"/>
      <c r="M241" s="77"/>
      <c r="N241" s="5">
        <v>5600</v>
      </c>
      <c r="O241" s="5">
        <v>392</v>
      </c>
      <c r="P241" s="5">
        <v>2249</v>
      </c>
      <c r="Q241" s="5">
        <v>215</v>
      </c>
      <c r="R241" s="5">
        <v>1080</v>
      </c>
      <c r="S241" s="10"/>
      <c r="T241" s="10"/>
      <c r="U241" s="5"/>
      <c r="V241" s="5"/>
      <c r="W241" s="5"/>
      <c r="X241" s="5"/>
      <c r="Y241" s="5"/>
      <c r="Z241" s="7"/>
      <c r="AA241" s="4"/>
      <c r="AB241" s="4"/>
      <c r="AG241" s="93"/>
      <c r="AK241" s="93"/>
      <c r="AN241" s="93"/>
    </row>
    <row r="242" spans="1:42" customFormat="1">
      <c r="A242" s="9" t="s">
        <v>252</v>
      </c>
      <c r="B242" s="7"/>
      <c r="C242" s="7"/>
      <c r="D242" s="7"/>
      <c r="E242" s="7"/>
      <c r="F242" s="7"/>
      <c r="G242" s="7"/>
      <c r="H242" s="7"/>
      <c r="I242" s="7"/>
      <c r="J242" s="7"/>
      <c r="K242" s="57"/>
      <c r="L242" s="57"/>
      <c r="M242" s="77"/>
      <c r="N242" s="5">
        <v>3162</v>
      </c>
      <c r="O242" s="5">
        <v>235</v>
      </c>
      <c r="P242" s="5">
        <v>1079</v>
      </c>
      <c r="Q242" s="5">
        <v>116</v>
      </c>
      <c r="R242" s="5">
        <v>597</v>
      </c>
      <c r="S242" s="10"/>
      <c r="T242" s="10"/>
      <c r="U242" s="5"/>
      <c r="V242" s="5"/>
      <c r="W242" s="5"/>
      <c r="X242" s="5"/>
      <c r="Y242" s="5"/>
      <c r="Z242" s="7"/>
      <c r="AA242" s="4"/>
      <c r="AB242" s="4"/>
      <c r="AG242" s="93"/>
      <c r="AK242" s="93"/>
      <c r="AN242" s="93"/>
    </row>
    <row r="243" spans="1:42" customFormat="1">
      <c r="A243" s="36" t="s">
        <v>253</v>
      </c>
      <c r="B243" s="37">
        <v>23565</v>
      </c>
      <c r="C243" s="37">
        <v>421</v>
      </c>
      <c r="D243" s="37">
        <v>461</v>
      </c>
      <c r="E243" s="38" t="s">
        <v>16</v>
      </c>
      <c r="F243" s="38" t="s">
        <v>16</v>
      </c>
      <c r="G243" s="38" t="s">
        <v>16</v>
      </c>
      <c r="H243" s="37">
        <v>16617</v>
      </c>
      <c r="I243" s="37">
        <v>361</v>
      </c>
      <c r="J243" s="37">
        <v>291</v>
      </c>
      <c r="K243" s="63">
        <v>17.5</v>
      </c>
      <c r="L243" s="63">
        <v>19.2</v>
      </c>
      <c r="M243" s="75"/>
      <c r="N243" s="37">
        <v>10183</v>
      </c>
      <c r="O243" s="37">
        <v>5834</v>
      </c>
      <c r="P243" s="37">
        <v>7548</v>
      </c>
      <c r="Q243" s="37"/>
      <c r="R243" s="37"/>
      <c r="S243" s="37"/>
      <c r="T243" s="37"/>
      <c r="U243" s="37"/>
      <c r="V243" s="37"/>
      <c r="W243" s="37"/>
      <c r="X243" s="37"/>
      <c r="Y243" s="37"/>
      <c r="Z243" s="39"/>
      <c r="AA243" s="40"/>
      <c r="AB243" s="40"/>
      <c r="AD243" s="86">
        <f>SUM(N243:AB243)</f>
        <v>23565</v>
      </c>
      <c r="AE243" s="86">
        <f>SUM(N244:AB244)</f>
        <v>421</v>
      </c>
      <c r="AF243" s="86">
        <f>SUM(N245:AB245)</f>
        <v>461</v>
      </c>
      <c r="AG243" s="93"/>
      <c r="AH243" s="86">
        <f>AD243-B243</f>
        <v>0</v>
      </c>
      <c r="AI243" s="86">
        <f>AE243-C243</f>
        <v>0</v>
      </c>
      <c r="AJ243" s="86">
        <f>AF243-D243</f>
        <v>0</v>
      </c>
      <c r="AK243" s="93"/>
      <c r="AL243" s="87">
        <f>C243/B243*1000</f>
        <v>17.865478463823468</v>
      </c>
      <c r="AM243" s="87">
        <f>D243/B243*1000</f>
        <v>19.562911096965841</v>
      </c>
      <c r="AN243" s="92"/>
      <c r="AO243" s="87">
        <f>AL243-K243</f>
        <v>0.36547846382346805</v>
      </c>
      <c r="AP243" s="87">
        <f>AM243-L243</f>
        <v>0.36291109696584201</v>
      </c>
    </row>
    <row r="244" spans="1:42" customFormat="1">
      <c r="A244" s="9" t="s">
        <v>254</v>
      </c>
      <c r="B244" s="7"/>
      <c r="C244" s="7"/>
      <c r="D244" s="7"/>
      <c r="E244" s="7"/>
      <c r="F244" s="7"/>
      <c r="G244" s="7"/>
      <c r="H244" s="7"/>
      <c r="I244" s="7"/>
      <c r="J244" s="7"/>
      <c r="K244" s="57"/>
      <c r="L244" s="57"/>
      <c r="M244" s="77"/>
      <c r="N244" s="5">
        <v>179</v>
      </c>
      <c r="O244" s="5">
        <v>78</v>
      </c>
      <c r="P244" s="5">
        <v>164</v>
      </c>
      <c r="Q244" s="10"/>
      <c r="R244" s="10"/>
      <c r="S244" s="10"/>
      <c r="T244" s="10"/>
      <c r="U244" s="5"/>
      <c r="V244" s="5"/>
      <c r="W244" s="5"/>
      <c r="X244" s="5"/>
      <c r="Y244" s="5"/>
      <c r="Z244" s="7"/>
      <c r="AA244" s="4"/>
      <c r="AB244" s="4"/>
      <c r="AG244" s="93"/>
      <c r="AK244" s="93"/>
      <c r="AN244" s="93"/>
    </row>
    <row r="245" spans="1:42" customFormat="1">
      <c r="A245" s="9" t="s">
        <v>255</v>
      </c>
      <c r="B245" s="7"/>
      <c r="C245" s="7"/>
      <c r="D245" s="7"/>
      <c r="E245" s="7"/>
      <c r="F245" s="7"/>
      <c r="G245" s="7"/>
      <c r="H245" s="7"/>
      <c r="I245" s="7"/>
      <c r="J245" s="7"/>
      <c r="K245" s="57"/>
      <c r="L245" s="57"/>
      <c r="M245" s="77"/>
      <c r="N245" s="5">
        <v>177</v>
      </c>
      <c r="O245" s="5">
        <v>100</v>
      </c>
      <c r="P245" s="5">
        <v>184</v>
      </c>
      <c r="Q245" s="10"/>
      <c r="R245" s="10"/>
      <c r="S245" s="10"/>
      <c r="T245" s="10"/>
      <c r="U245" s="5"/>
      <c r="V245" s="5"/>
      <c r="W245" s="5"/>
      <c r="X245" s="5"/>
      <c r="Y245" s="5"/>
      <c r="Z245" s="7"/>
      <c r="AA245" s="4"/>
      <c r="AB245" s="4"/>
      <c r="AG245" s="93"/>
      <c r="AK245" s="93"/>
      <c r="AN245" s="93"/>
    </row>
    <row r="246" spans="1:42" customFormat="1">
      <c r="A246" s="70" t="s">
        <v>256</v>
      </c>
      <c r="B246" s="41">
        <v>4856902</v>
      </c>
      <c r="C246" s="41">
        <v>225352</v>
      </c>
      <c r="D246" s="41">
        <v>200428</v>
      </c>
      <c r="E246" s="41"/>
      <c r="F246" s="41"/>
      <c r="G246" s="41"/>
      <c r="H246" s="41">
        <v>4632633</v>
      </c>
      <c r="I246" s="41">
        <v>206005</v>
      </c>
      <c r="J246" s="41">
        <v>147424</v>
      </c>
      <c r="K246" s="64">
        <v>47.5</v>
      </c>
      <c r="L246" s="64">
        <v>44.5</v>
      </c>
      <c r="M246" s="75"/>
      <c r="N246" s="41"/>
      <c r="O246" s="41"/>
      <c r="P246" s="41"/>
      <c r="Q246" s="41"/>
      <c r="R246" s="41"/>
      <c r="S246" s="41"/>
      <c r="T246" s="41"/>
      <c r="U246" s="42"/>
      <c r="V246" s="42"/>
      <c r="W246" s="42"/>
      <c r="X246" s="42"/>
      <c r="Y246" s="42"/>
      <c r="Z246" s="42"/>
      <c r="AA246" s="42"/>
      <c r="AB246" s="42"/>
      <c r="AD246" s="98">
        <f>SUM(AD221:AD245)</f>
        <v>4850899</v>
      </c>
      <c r="AE246" s="98">
        <f>SUM(AE221:AE245)</f>
        <v>225352</v>
      </c>
      <c r="AF246" s="98">
        <f>SUM(AF221:AF245)</f>
        <v>209128</v>
      </c>
      <c r="AG246" s="93"/>
      <c r="AH246" s="98">
        <f>B246-AD246</f>
        <v>6003</v>
      </c>
      <c r="AI246" s="98">
        <f>C246-AE246</f>
        <v>0</v>
      </c>
      <c r="AJ246" s="98">
        <f>D246-AF246</f>
        <v>-8700</v>
      </c>
      <c r="AK246" s="93"/>
      <c r="AL246" s="97">
        <f>C246/B246*1000</f>
        <v>46.398300809857808</v>
      </c>
      <c r="AM246" s="97">
        <f>D246/B246*1000</f>
        <v>41.266634574879212</v>
      </c>
      <c r="AN246" s="97"/>
      <c r="AO246" s="97">
        <f>AL246-K246</f>
        <v>-1.1016991901421918</v>
      </c>
      <c r="AP246" s="97">
        <f>AM246-L246</f>
        <v>-3.2333654251207875</v>
      </c>
    </row>
    <row r="247" spans="1:42">
      <c r="A247" s="43" t="s">
        <v>257</v>
      </c>
      <c r="B247" s="44">
        <v>523484</v>
      </c>
      <c r="C247" s="44">
        <v>14752</v>
      </c>
      <c r="D247" s="44">
        <v>14311</v>
      </c>
      <c r="E247" s="45" t="s">
        <v>16</v>
      </c>
      <c r="F247" s="45" t="s">
        <v>16</v>
      </c>
      <c r="G247" s="45" t="s">
        <v>16</v>
      </c>
      <c r="H247" s="44">
        <v>517863</v>
      </c>
      <c r="I247" s="44">
        <v>15575</v>
      </c>
      <c r="J247" s="44">
        <v>11426</v>
      </c>
      <c r="K247" s="65">
        <v>28.2</v>
      </c>
      <c r="L247" s="65">
        <v>27.3</v>
      </c>
      <c r="M247" s="79"/>
      <c r="N247" s="45" t="s">
        <v>16</v>
      </c>
      <c r="O247" s="45" t="s">
        <v>16</v>
      </c>
      <c r="P247" s="45" t="s">
        <v>16</v>
      </c>
      <c r="Q247" s="45" t="s">
        <v>16</v>
      </c>
      <c r="R247" s="45" t="s">
        <v>16</v>
      </c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D247" s="90">
        <f>B247</f>
        <v>523484</v>
      </c>
      <c r="AE247" s="90">
        <f>C247</f>
        <v>14752</v>
      </c>
      <c r="AF247" s="90">
        <f>D247</f>
        <v>14311</v>
      </c>
      <c r="AH247" s="86">
        <f>AD247-B247</f>
        <v>0</v>
      </c>
      <c r="AI247" s="86">
        <f>AE247-C247</f>
        <v>0</v>
      </c>
      <c r="AJ247" s="86">
        <f>AF247-D247</f>
        <v>0</v>
      </c>
      <c r="AL247" s="88"/>
      <c r="AM247" s="88"/>
      <c r="AO247" s="88"/>
      <c r="AP247" s="88"/>
    </row>
    <row r="248" spans="1:42">
      <c r="A248" s="8" t="s">
        <v>258</v>
      </c>
      <c r="B248" s="3"/>
      <c r="C248" s="3"/>
      <c r="D248" s="3"/>
      <c r="E248" s="3"/>
      <c r="F248" s="3"/>
      <c r="G248" s="3"/>
      <c r="H248" s="3"/>
      <c r="I248" s="3"/>
      <c r="J248" s="3"/>
      <c r="K248" s="66"/>
      <c r="L248" s="66"/>
      <c r="M248" s="79"/>
      <c r="N248" s="11" t="s">
        <v>16</v>
      </c>
      <c r="O248" s="11" t="s">
        <v>16</v>
      </c>
      <c r="P248" s="11" t="s">
        <v>16</v>
      </c>
      <c r="Q248" s="11" t="s">
        <v>16</v>
      </c>
      <c r="R248" s="11" t="s">
        <v>16</v>
      </c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42">
      <c r="A249" s="8" t="s">
        <v>259</v>
      </c>
      <c r="B249" s="3"/>
      <c r="C249" s="3"/>
      <c r="D249" s="3"/>
      <c r="E249" s="3"/>
      <c r="F249" s="3"/>
      <c r="G249" s="3"/>
      <c r="H249" s="3"/>
      <c r="I249" s="3"/>
      <c r="J249" s="3"/>
      <c r="K249" s="66"/>
      <c r="L249" s="66"/>
      <c r="M249" s="79"/>
      <c r="N249" s="11" t="s">
        <v>16</v>
      </c>
      <c r="O249" s="11" t="s">
        <v>16</v>
      </c>
      <c r="P249" s="11" t="s">
        <v>16</v>
      </c>
      <c r="Q249" s="11" t="s">
        <v>16</v>
      </c>
      <c r="R249" s="11" t="s">
        <v>16</v>
      </c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42">
      <c r="A250" s="43" t="s">
        <v>260</v>
      </c>
      <c r="B250" s="44">
        <v>700000</v>
      </c>
      <c r="C250" s="44">
        <v>1954</v>
      </c>
      <c r="D250" s="44">
        <v>1213</v>
      </c>
      <c r="E250" s="45" t="s">
        <v>16</v>
      </c>
      <c r="F250" s="45" t="s">
        <v>16</v>
      </c>
      <c r="G250" s="45" t="s">
        <v>16</v>
      </c>
      <c r="H250" s="45" t="s">
        <v>16</v>
      </c>
      <c r="I250" s="45" t="s">
        <v>16</v>
      </c>
      <c r="J250" s="45" t="s">
        <v>16</v>
      </c>
      <c r="K250" s="67" t="s">
        <v>16</v>
      </c>
      <c r="L250" s="67" t="s">
        <v>16</v>
      </c>
      <c r="M250" s="80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D250" s="90">
        <f>B250</f>
        <v>700000</v>
      </c>
      <c r="AE250" s="90">
        <f>C250</f>
        <v>1954</v>
      </c>
      <c r="AF250" s="90">
        <f>D250</f>
        <v>1213</v>
      </c>
      <c r="AH250" s="86">
        <f t="shared" ref="AH250:AH251" si="0">AD250-B250</f>
        <v>0</v>
      </c>
      <c r="AI250" s="86">
        <f t="shared" ref="AI250:AI251" si="1">AE250-C250</f>
        <v>0</v>
      </c>
      <c r="AJ250" s="86">
        <f t="shared" ref="AJ250:AJ251" si="2">AF250-D250</f>
        <v>0</v>
      </c>
      <c r="AL250" s="88"/>
      <c r="AM250" s="88"/>
      <c r="AO250" s="88"/>
      <c r="AP250" s="88"/>
    </row>
    <row r="251" spans="1:42">
      <c r="A251" s="43" t="s">
        <v>261</v>
      </c>
      <c r="B251" s="44">
        <v>749859</v>
      </c>
      <c r="C251" s="45" t="s">
        <v>16</v>
      </c>
      <c r="D251" s="45" t="s">
        <v>16</v>
      </c>
      <c r="E251" s="44">
        <v>106665</v>
      </c>
      <c r="F251" s="45" t="s">
        <v>16</v>
      </c>
      <c r="G251" s="45" t="s">
        <v>16</v>
      </c>
      <c r="H251" s="44">
        <v>726243</v>
      </c>
      <c r="I251" s="45" t="s">
        <v>16</v>
      </c>
      <c r="J251" s="45" t="s">
        <v>16</v>
      </c>
      <c r="K251" s="67" t="s">
        <v>16</v>
      </c>
      <c r="L251" s="67" t="s">
        <v>16</v>
      </c>
      <c r="M251" s="80"/>
      <c r="N251" s="44">
        <v>298715</v>
      </c>
      <c r="O251" s="44">
        <v>157283</v>
      </c>
      <c r="P251" s="44">
        <v>170414</v>
      </c>
      <c r="Q251" s="44">
        <v>123437</v>
      </c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D251" s="90">
        <f>B251</f>
        <v>749859</v>
      </c>
      <c r="AE251" s="90"/>
      <c r="AF251" s="90"/>
      <c r="AH251" s="86">
        <f t="shared" si="0"/>
        <v>0</v>
      </c>
      <c r="AI251" s="86"/>
      <c r="AJ251" s="86"/>
      <c r="AL251" s="88"/>
      <c r="AM251" s="88"/>
      <c r="AO251" s="88"/>
      <c r="AP251" s="88"/>
    </row>
    <row r="252" spans="1:42">
      <c r="A252" s="8" t="s">
        <v>262</v>
      </c>
      <c r="B252" s="3"/>
      <c r="C252" s="3"/>
      <c r="D252" s="3"/>
      <c r="E252" s="3"/>
      <c r="F252" s="3"/>
      <c r="G252" s="3"/>
      <c r="H252" s="3"/>
      <c r="I252" s="3"/>
      <c r="J252" s="3"/>
      <c r="K252" s="66"/>
      <c r="L252" s="66"/>
      <c r="M252" s="79"/>
      <c r="N252" s="11" t="s">
        <v>16</v>
      </c>
      <c r="O252" s="11" t="s">
        <v>16</v>
      </c>
      <c r="P252" s="11" t="s">
        <v>16</v>
      </c>
      <c r="Q252" s="11" t="s">
        <v>16</v>
      </c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42">
      <c r="A253" s="8" t="s">
        <v>263</v>
      </c>
      <c r="B253" s="3"/>
      <c r="C253" s="3"/>
      <c r="D253" s="3"/>
      <c r="E253" s="3"/>
      <c r="F253" s="3"/>
      <c r="G253" s="3"/>
      <c r="H253" s="3"/>
      <c r="I253" s="3"/>
      <c r="J253" s="3"/>
      <c r="K253" s="66"/>
      <c r="L253" s="66"/>
      <c r="M253" s="79"/>
      <c r="N253" s="11" t="s">
        <v>16</v>
      </c>
      <c r="O253" s="11" t="s">
        <v>16</v>
      </c>
      <c r="P253" s="11" t="s">
        <v>16</v>
      </c>
      <c r="Q253" s="11" t="s">
        <v>16</v>
      </c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42">
      <c r="A254" s="43" t="s">
        <v>264</v>
      </c>
      <c r="B254" s="44">
        <v>611305</v>
      </c>
      <c r="C254" s="44">
        <v>10232</v>
      </c>
      <c r="D254" s="44">
        <v>8576</v>
      </c>
      <c r="E254" s="45" t="s">
        <v>16</v>
      </c>
      <c r="F254" s="45" t="s">
        <v>16</v>
      </c>
      <c r="G254" s="45" t="s">
        <v>16</v>
      </c>
      <c r="H254" s="44">
        <v>582263</v>
      </c>
      <c r="I254" s="44">
        <v>10055</v>
      </c>
      <c r="J254" s="44">
        <v>8496</v>
      </c>
      <c r="K254" s="72" t="s">
        <v>16</v>
      </c>
      <c r="L254" s="72" t="s">
        <v>16</v>
      </c>
      <c r="M254" s="79"/>
      <c r="N254" s="45" t="s">
        <v>16</v>
      </c>
      <c r="O254" s="45" t="s">
        <v>16</v>
      </c>
      <c r="P254" s="45" t="s">
        <v>16</v>
      </c>
      <c r="Q254" s="45" t="s">
        <v>16</v>
      </c>
      <c r="R254" s="45" t="s">
        <v>16</v>
      </c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D254" s="90">
        <f>B254</f>
        <v>611305</v>
      </c>
      <c r="AE254" s="90">
        <f>C254</f>
        <v>10232</v>
      </c>
      <c r="AF254" s="90">
        <f>D254</f>
        <v>8576</v>
      </c>
      <c r="AH254" s="86">
        <f>AD254-B254</f>
        <v>0</v>
      </c>
      <c r="AI254" s="86">
        <f>AE254-C254</f>
        <v>0</v>
      </c>
      <c r="AJ254" s="86">
        <f>AF254-D254</f>
        <v>0</v>
      </c>
      <c r="AL254" s="88"/>
      <c r="AM254" s="88"/>
      <c r="AO254" s="88"/>
      <c r="AP254" s="88"/>
    </row>
    <row r="255" spans="1:42">
      <c r="A255" s="8" t="s">
        <v>265</v>
      </c>
      <c r="B255" s="3"/>
      <c r="C255" s="3"/>
      <c r="D255" s="3"/>
      <c r="E255" s="3"/>
      <c r="F255" s="3"/>
      <c r="G255" s="3"/>
      <c r="H255" s="3"/>
      <c r="I255" s="3"/>
      <c r="J255" s="3"/>
      <c r="K255" s="66"/>
      <c r="L255" s="66"/>
      <c r="M255" s="79"/>
      <c r="N255" s="11" t="s">
        <v>16</v>
      </c>
      <c r="O255" s="11" t="s">
        <v>16</v>
      </c>
      <c r="P255" s="11" t="s">
        <v>16</v>
      </c>
      <c r="Q255" s="11" t="s">
        <v>16</v>
      </c>
      <c r="R255" s="11" t="s">
        <v>16</v>
      </c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42">
      <c r="A256" s="8" t="s">
        <v>266</v>
      </c>
      <c r="B256" s="3"/>
      <c r="C256" s="3"/>
      <c r="D256" s="3"/>
      <c r="E256" s="3"/>
      <c r="F256" s="3"/>
      <c r="G256" s="3"/>
      <c r="H256" s="3"/>
      <c r="I256" s="3"/>
      <c r="J256" s="3"/>
      <c r="K256" s="66"/>
      <c r="L256" s="66"/>
      <c r="M256" s="79"/>
      <c r="N256" s="11" t="s">
        <v>16</v>
      </c>
      <c r="O256" s="11" t="s">
        <v>16</v>
      </c>
      <c r="P256" s="11" t="s">
        <v>16</v>
      </c>
      <c r="Q256" s="11" t="s">
        <v>16</v>
      </c>
      <c r="R256" s="11" t="s">
        <v>16</v>
      </c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42">
      <c r="A257" s="43" t="s">
        <v>267</v>
      </c>
      <c r="B257" s="44">
        <v>681434</v>
      </c>
      <c r="C257" s="44">
        <v>22860</v>
      </c>
      <c r="D257" s="44">
        <v>13735</v>
      </c>
      <c r="E257" s="45" t="s">
        <v>16</v>
      </c>
      <c r="F257" s="45" t="s">
        <v>16</v>
      </c>
      <c r="G257" s="45" t="s">
        <v>16</v>
      </c>
      <c r="H257" s="44">
        <v>651672</v>
      </c>
      <c r="I257" s="44">
        <v>13502</v>
      </c>
      <c r="J257" s="44">
        <v>9468</v>
      </c>
      <c r="K257" s="65">
        <v>33.5</v>
      </c>
      <c r="L257" s="65">
        <v>20.2</v>
      </c>
      <c r="M257" s="79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D257" s="90">
        <f>B257</f>
        <v>681434</v>
      </c>
      <c r="AE257" s="90">
        <f>C257</f>
        <v>22860</v>
      </c>
      <c r="AF257" s="90">
        <f>D257</f>
        <v>13735</v>
      </c>
      <c r="AG257" s="96"/>
      <c r="AH257" s="86">
        <f>AD257-B257</f>
        <v>0</v>
      </c>
      <c r="AI257" s="86">
        <f>AE257-C257</f>
        <v>0</v>
      </c>
      <c r="AJ257" s="86">
        <f>AF257-D257</f>
        <v>0</v>
      </c>
      <c r="AK257" s="96"/>
      <c r="AL257" s="87">
        <f>C257/B257*1000</f>
        <v>33.546902561363247</v>
      </c>
      <c r="AM257" s="87">
        <f>D257/B257*1000</f>
        <v>20.156023914274897</v>
      </c>
      <c r="AN257" s="92"/>
      <c r="AO257" s="87">
        <f>AL257-K257</f>
        <v>4.6902561363246775E-2</v>
      </c>
      <c r="AP257" s="87">
        <f>AM257-L257</f>
        <v>-4.3976085725102365E-2</v>
      </c>
    </row>
    <row r="258" spans="1:42">
      <c r="A258" s="43" t="s">
        <v>268</v>
      </c>
      <c r="B258" s="44">
        <v>1286129</v>
      </c>
      <c r="C258" s="45" t="s">
        <v>16</v>
      </c>
      <c r="D258" s="45" t="s">
        <v>16</v>
      </c>
      <c r="E258" s="44">
        <v>123186</v>
      </c>
      <c r="F258" s="45" t="s">
        <v>16</v>
      </c>
      <c r="G258" s="45" t="s">
        <v>16</v>
      </c>
      <c r="H258" s="44">
        <v>1130204</v>
      </c>
      <c r="I258" s="45" t="s">
        <v>16</v>
      </c>
      <c r="J258" s="45" t="s">
        <v>16</v>
      </c>
      <c r="K258" s="67" t="s">
        <v>16</v>
      </c>
      <c r="L258" s="67" t="s">
        <v>16</v>
      </c>
      <c r="M258" s="80"/>
      <c r="N258" s="44">
        <v>415422</v>
      </c>
      <c r="O258" s="44">
        <v>198500</v>
      </c>
      <c r="P258" s="44">
        <v>133756</v>
      </c>
      <c r="Q258" s="44">
        <v>110429</v>
      </c>
      <c r="R258" s="44">
        <v>255598</v>
      </c>
      <c r="S258" s="44">
        <v>172424</v>
      </c>
      <c r="T258" s="44"/>
      <c r="U258" s="44"/>
      <c r="V258" s="44"/>
      <c r="W258" s="44"/>
      <c r="X258" s="44"/>
      <c r="Y258" s="44"/>
      <c r="Z258" s="44"/>
      <c r="AA258" s="44"/>
      <c r="AB258" s="44"/>
      <c r="AD258" s="90">
        <f>B258</f>
        <v>1286129</v>
      </c>
      <c r="AE258" s="90"/>
      <c r="AF258" s="90"/>
      <c r="AG258" s="95"/>
      <c r="AH258" s="86">
        <f>AD258-B258</f>
        <v>0</v>
      </c>
      <c r="AI258" s="86"/>
      <c r="AJ258" s="86"/>
      <c r="AK258" s="96"/>
      <c r="AL258" s="89"/>
      <c r="AM258" s="89"/>
      <c r="AN258" s="96"/>
      <c r="AO258" s="89"/>
      <c r="AP258" s="89"/>
    </row>
    <row r="259" spans="1:42">
      <c r="A259" s="8" t="s">
        <v>269</v>
      </c>
      <c r="B259" s="3"/>
      <c r="C259" s="3"/>
      <c r="D259" s="3"/>
      <c r="E259" s="3"/>
      <c r="F259" s="3"/>
      <c r="G259" s="3"/>
      <c r="H259" s="3"/>
      <c r="I259" s="3"/>
      <c r="J259" s="3"/>
      <c r="K259" s="66"/>
      <c r="L259" s="66"/>
      <c r="M259" s="79"/>
      <c r="N259" s="11" t="s">
        <v>16</v>
      </c>
      <c r="O259" s="11" t="s">
        <v>16</v>
      </c>
      <c r="P259" s="11" t="s">
        <v>16</v>
      </c>
      <c r="Q259" s="11" t="s">
        <v>16</v>
      </c>
      <c r="R259" s="11" t="s">
        <v>16</v>
      </c>
      <c r="S259" s="11" t="s">
        <v>16</v>
      </c>
      <c r="T259" s="3"/>
      <c r="U259" s="3"/>
      <c r="V259" s="3"/>
      <c r="W259" s="3"/>
      <c r="X259" s="3"/>
      <c r="Y259" s="3"/>
      <c r="Z259" s="3"/>
      <c r="AA259" s="3"/>
      <c r="AB259" s="3"/>
    </row>
    <row r="260" spans="1:42">
      <c r="A260" s="8" t="s">
        <v>270</v>
      </c>
      <c r="B260" s="3"/>
      <c r="C260" s="3"/>
      <c r="D260" s="3"/>
      <c r="E260" s="3"/>
      <c r="F260" s="3"/>
      <c r="G260" s="3"/>
      <c r="H260" s="3"/>
      <c r="I260" s="3"/>
      <c r="J260" s="3"/>
      <c r="K260" s="66"/>
      <c r="L260" s="66"/>
      <c r="M260" s="79"/>
      <c r="N260" s="11" t="s">
        <v>16</v>
      </c>
      <c r="O260" s="11" t="s">
        <v>16</v>
      </c>
      <c r="P260" s="11" t="s">
        <v>16</v>
      </c>
      <c r="Q260" s="11" t="s">
        <v>16</v>
      </c>
      <c r="R260" s="11" t="s">
        <v>16</v>
      </c>
      <c r="S260" s="11" t="s">
        <v>16</v>
      </c>
      <c r="T260" s="3"/>
      <c r="U260" s="3"/>
      <c r="V260" s="3"/>
      <c r="W260" s="3"/>
      <c r="X260" s="3"/>
      <c r="Y260" s="3"/>
      <c r="Z260" s="3"/>
      <c r="AA260" s="3"/>
      <c r="AB260" s="3"/>
    </row>
    <row r="261" spans="1:42">
      <c r="A261" s="43" t="s">
        <v>271</v>
      </c>
      <c r="B261" s="44">
        <v>378979</v>
      </c>
      <c r="C261" s="44">
        <v>10398</v>
      </c>
      <c r="D261" s="44">
        <v>6426</v>
      </c>
      <c r="E261" s="45" t="s">
        <v>16</v>
      </c>
      <c r="F261" s="45" t="s">
        <v>16</v>
      </c>
      <c r="G261" s="45" t="s">
        <v>16</v>
      </c>
      <c r="H261" s="44">
        <v>386163</v>
      </c>
      <c r="I261" s="45" t="s">
        <v>16</v>
      </c>
      <c r="J261" s="45" t="s">
        <v>16</v>
      </c>
      <c r="K261" s="67" t="s">
        <v>16</v>
      </c>
      <c r="L261" s="67" t="s">
        <v>16</v>
      </c>
      <c r="M261" s="80"/>
      <c r="N261" s="44">
        <v>73376</v>
      </c>
      <c r="O261" s="44">
        <v>87886</v>
      </c>
      <c r="P261" s="44">
        <v>86366</v>
      </c>
      <c r="Q261" s="44">
        <v>131351</v>
      </c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D261" s="86">
        <f>SUM(N261:AB261)</f>
        <v>378979</v>
      </c>
      <c r="AE261" s="86">
        <f>SUM(N262:AB262)</f>
        <v>10398</v>
      </c>
      <c r="AF261" s="86">
        <f>SUM(N263:AB263)</f>
        <v>6426</v>
      </c>
      <c r="AG261" s="93"/>
      <c r="AH261" s="86">
        <f>AD261-B261</f>
        <v>0</v>
      </c>
      <c r="AI261" s="86">
        <f>AE261-C261</f>
        <v>0</v>
      </c>
      <c r="AJ261" s="86">
        <f>AF261-D261</f>
        <v>0</v>
      </c>
      <c r="AK261" s="93"/>
      <c r="AL261" s="87">
        <f>C261/B261*1000</f>
        <v>27.43687644961858</v>
      </c>
      <c r="AM261" s="87">
        <f>D261/B261*1000</f>
        <v>16.956084637935081</v>
      </c>
      <c r="AN261" s="92"/>
      <c r="AO261" s="87"/>
      <c r="AP261" s="87"/>
    </row>
    <row r="262" spans="1:42">
      <c r="A262" s="8" t="s">
        <v>272</v>
      </c>
      <c r="B262" s="3"/>
      <c r="C262" s="3"/>
      <c r="D262" s="3"/>
      <c r="E262" s="3"/>
      <c r="F262" s="3"/>
      <c r="G262" s="3"/>
      <c r="H262" s="3"/>
      <c r="I262" s="3"/>
      <c r="J262" s="3"/>
      <c r="K262" s="66"/>
      <c r="L262" s="66"/>
      <c r="M262" s="79"/>
      <c r="N262" s="3">
        <v>1356</v>
      </c>
      <c r="O262" s="11" t="s">
        <v>16</v>
      </c>
      <c r="P262" s="3">
        <v>2168</v>
      </c>
      <c r="Q262" s="3">
        <v>6874</v>
      </c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42">
      <c r="A263" s="8" t="s">
        <v>273</v>
      </c>
      <c r="B263" s="3"/>
      <c r="C263" s="3"/>
      <c r="D263" s="3"/>
      <c r="E263" s="3"/>
      <c r="F263" s="3"/>
      <c r="G263" s="3"/>
      <c r="H263" s="3"/>
      <c r="I263" s="3"/>
      <c r="J263" s="3"/>
      <c r="K263" s="66"/>
      <c r="L263" s="66"/>
      <c r="M263" s="79"/>
      <c r="N263" s="3">
        <v>907</v>
      </c>
      <c r="O263" s="11" t="s">
        <v>16</v>
      </c>
      <c r="P263" s="3">
        <v>1648</v>
      </c>
      <c r="Q263" s="3">
        <v>3871</v>
      </c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42">
      <c r="A264" s="43" t="s">
        <v>274</v>
      </c>
      <c r="B264" s="44">
        <v>533960</v>
      </c>
      <c r="C264" s="44">
        <v>8473</v>
      </c>
      <c r="D264" s="44">
        <v>8844</v>
      </c>
      <c r="E264" s="45" t="s">
        <v>16</v>
      </c>
      <c r="F264" s="45" t="s">
        <v>16</v>
      </c>
      <c r="G264" s="45" t="s">
        <v>16</v>
      </c>
      <c r="H264" s="44">
        <v>560211</v>
      </c>
      <c r="I264" s="45" t="s">
        <v>16</v>
      </c>
      <c r="J264" s="45" t="s">
        <v>16</v>
      </c>
      <c r="K264" s="67" t="s">
        <v>16</v>
      </c>
      <c r="L264" s="67" t="s">
        <v>16</v>
      </c>
      <c r="M264" s="80"/>
      <c r="N264" s="44">
        <v>217760</v>
      </c>
      <c r="O264" s="44">
        <v>98276</v>
      </c>
      <c r="P264" s="44">
        <v>135000</v>
      </c>
      <c r="Q264" s="44">
        <v>87924</v>
      </c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D264" s="86">
        <f>SUM(N264:AB264)</f>
        <v>538960</v>
      </c>
      <c r="AE264" s="86">
        <f>SUM(N265:AB265)</f>
        <v>8473</v>
      </c>
      <c r="AF264" s="86">
        <f>SUM(N266:AB266)</f>
        <v>8844</v>
      </c>
      <c r="AG264" s="93"/>
      <c r="AH264" s="86">
        <f>AD264-B264</f>
        <v>5000</v>
      </c>
      <c r="AI264" s="86">
        <f>AE264-C264</f>
        <v>0</v>
      </c>
      <c r="AJ264" s="86">
        <f>AF264-D264</f>
        <v>0</v>
      </c>
      <c r="AK264" s="93"/>
      <c r="AL264" s="87">
        <f>C264/B264*1000</f>
        <v>15.868229829949808</v>
      </c>
      <c r="AM264" s="87">
        <f>D264/B264*1000</f>
        <v>16.563038429844934</v>
      </c>
      <c r="AN264" s="92"/>
      <c r="AO264" s="87"/>
      <c r="AP264" s="87"/>
    </row>
    <row r="265" spans="1:42">
      <c r="A265" s="8" t="s">
        <v>275</v>
      </c>
      <c r="B265" s="3"/>
      <c r="C265" s="3"/>
      <c r="D265" s="3"/>
      <c r="E265" s="3"/>
      <c r="F265" s="3"/>
      <c r="G265" s="3"/>
      <c r="H265" s="3"/>
      <c r="I265" s="3"/>
      <c r="J265" s="3"/>
      <c r="K265" s="66"/>
      <c r="L265" s="66"/>
      <c r="M265" s="79"/>
      <c r="N265" s="3">
        <v>5775</v>
      </c>
      <c r="O265" s="3">
        <v>761</v>
      </c>
      <c r="P265" s="3">
        <v>1902</v>
      </c>
      <c r="Q265" s="3">
        <v>35</v>
      </c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42">
      <c r="A266" s="8" t="s">
        <v>276</v>
      </c>
      <c r="B266" s="3"/>
      <c r="C266" s="3"/>
      <c r="D266" s="3"/>
      <c r="E266" s="3"/>
      <c r="F266" s="3"/>
      <c r="G266" s="3"/>
      <c r="H266" s="3"/>
      <c r="I266" s="3"/>
      <c r="J266" s="3"/>
      <c r="K266" s="66"/>
      <c r="L266" s="66"/>
      <c r="M266" s="79"/>
      <c r="N266" s="3">
        <v>5687</v>
      </c>
      <c r="O266" s="3">
        <v>1438</v>
      </c>
      <c r="P266" s="3">
        <v>1695</v>
      </c>
      <c r="Q266" s="3">
        <v>24</v>
      </c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42">
      <c r="A267" s="43" t="s">
        <v>277</v>
      </c>
      <c r="B267" s="44">
        <v>846040</v>
      </c>
      <c r="C267" s="44">
        <v>9316</v>
      </c>
      <c r="D267" s="44">
        <v>6388</v>
      </c>
      <c r="E267" s="44">
        <v>137142</v>
      </c>
      <c r="F267" s="44">
        <v>2096</v>
      </c>
      <c r="G267" s="44">
        <v>1753</v>
      </c>
      <c r="H267" s="44">
        <v>799557</v>
      </c>
      <c r="I267" s="45" t="s">
        <v>16</v>
      </c>
      <c r="J267" s="45" t="s">
        <v>16</v>
      </c>
      <c r="K267" s="67" t="s">
        <v>16</v>
      </c>
      <c r="L267" s="67" t="s">
        <v>16</v>
      </c>
      <c r="M267" s="80"/>
      <c r="N267" s="44">
        <v>203192</v>
      </c>
      <c r="O267" s="44">
        <v>145168</v>
      </c>
      <c r="P267" s="44">
        <v>254000</v>
      </c>
      <c r="Q267" s="44">
        <v>197209</v>
      </c>
      <c r="R267" s="44">
        <v>46471</v>
      </c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D267" s="86">
        <f>SUM(N267:AB267)</f>
        <v>846040</v>
      </c>
      <c r="AE267" s="86">
        <f>C267</f>
        <v>9316</v>
      </c>
      <c r="AF267" s="86">
        <f>D267</f>
        <v>6388</v>
      </c>
      <c r="AH267" s="86">
        <f>AD267-B267</f>
        <v>0</v>
      </c>
      <c r="AI267" s="86"/>
      <c r="AJ267" s="86"/>
      <c r="AL267" s="88"/>
      <c r="AM267" s="88"/>
      <c r="AO267" s="88"/>
      <c r="AP267" s="88"/>
    </row>
    <row r="268" spans="1:42">
      <c r="A268" s="8" t="s">
        <v>278</v>
      </c>
      <c r="B268" s="3"/>
      <c r="C268" s="3"/>
      <c r="D268" s="3"/>
      <c r="E268" s="3"/>
      <c r="F268" s="3"/>
      <c r="G268" s="3"/>
      <c r="H268" s="3"/>
      <c r="I268" s="3"/>
      <c r="J268" s="3"/>
      <c r="K268" s="66"/>
      <c r="L268" s="66"/>
      <c r="M268" s="79"/>
      <c r="N268" s="11" t="s">
        <v>16</v>
      </c>
      <c r="O268" s="11" t="s">
        <v>16</v>
      </c>
      <c r="P268" s="11" t="s">
        <v>16</v>
      </c>
      <c r="Q268" s="11" t="s">
        <v>16</v>
      </c>
      <c r="R268" s="11" t="s">
        <v>16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42">
      <c r="A269" s="8" t="s">
        <v>279</v>
      </c>
      <c r="B269" s="3"/>
      <c r="C269" s="3"/>
      <c r="D269" s="3"/>
      <c r="E269" s="3"/>
      <c r="F269" s="3"/>
      <c r="G269" s="3"/>
      <c r="H269" s="3"/>
      <c r="I269" s="3"/>
      <c r="J269" s="3"/>
      <c r="K269" s="66"/>
      <c r="L269" s="66"/>
      <c r="M269" s="79"/>
      <c r="N269" s="11" t="s">
        <v>16</v>
      </c>
      <c r="O269" s="11" t="s">
        <v>16</v>
      </c>
      <c r="P269" s="11" t="s">
        <v>16</v>
      </c>
      <c r="Q269" s="11" t="s">
        <v>16</v>
      </c>
      <c r="R269" s="11" t="s">
        <v>16</v>
      </c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42">
      <c r="A270" s="46" t="s">
        <v>280</v>
      </c>
      <c r="B270" s="47">
        <v>6316190</v>
      </c>
      <c r="C270" s="47">
        <v>77985</v>
      </c>
      <c r="D270" s="47">
        <v>59493</v>
      </c>
      <c r="E270" s="47"/>
      <c r="F270" s="47"/>
      <c r="G270" s="47"/>
      <c r="H270" s="47">
        <v>6036554</v>
      </c>
      <c r="I270" s="48" t="s">
        <v>16</v>
      </c>
      <c r="J270" s="48" t="s">
        <v>16</v>
      </c>
      <c r="K270" s="69">
        <v>31.2</v>
      </c>
      <c r="L270" s="69">
        <v>23.3</v>
      </c>
      <c r="M270" s="80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D270" s="101">
        <f>SUM(AD247:AD269)</f>
        <v>6316190</v>
      </c>
      <c r="AE270" s="101">
        <f>SUM(AE247:AE269)</f>
        <v>77985</v>
      </c>
      <c r="AF270" s="101">
        <f>SUM(AF247:AF269)</f>
        <v>59493</v>
      </c>
      <c r="AH270" s="98">
        <f>B270-AD270</f>
        <v>0</v>
      </c>
      <c r="AI270" s="98">
        <f>C270-AE270</f>
        <v>0</v>
      </c>
      <c r="AJ270" s="98">
        <f>D270-AF270</f>
        <v>0</v>
      </c>
      <c r="AK270" s="93"/>
      <c r="AL270" s="97">
        <f>C270/B270*1000</f>
        <v>12.346842004436219</v>
      </c>
      <c r="AM270" s="97">
        <f>D270/B270*1000</f>
        <v>9.4191276703202416</v>
      </c>
      <c r="AN270" s="97"/>
      <c r="AO270" s="97">
        <f>AL270-K270</f>
        <v>-18.85315799556378</v>
      </c>
      <c r="AP270" s="97">
        <f>AM270-L270</f>
        <v>-13.880872329679759</v>
      </c>
    </row>
    <row r="271" spans="1:42">
      <c r="A271" s="71" t="s">
        <v>281</v>
      </c>
      <c r="B271" s="47">
        <v>119288804</v>
      </c>
      <c r="C271" s="47">
        <v>4976386</v>
      </c>
      <c r="D271" s="47">
        <v>4403901</v>
      </c>
      <c r="E271" s="47"/>
      <c r="F271" s="47"/>
      <c r="G271" s="47"/>
      <c r="H271" s="47">
        <v>114446932</v>
      </c>
      <c r="I271" s="47">
        <v>5144683</v>
      </c>
      <c r="J271" s="47">
        <v>3553400</v>
      </c>
      <c r="K271" s="68">
        <v>43.2</v>
      </c>
      <c r="L271" s="68">
        <v>38.200000000000003</v>
      </c>
      <c r="M271" s="79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D271" s="99">
        <f>SUM(AD191, AD220, AD246, AD270)</f>
        <v>118767887</v>
      </c>
      <c r="AE271" s="99">
        <f>SUM(AE191, AE220, AE246, AE270)</f>
        <v>4972822</v>
      </c>
      <c r="AF271" s="99">
        <f>SUM(AF191, AF220, AF246, AF270)</f>
        <v>4404471</v>
      </c>
      <c r="AH271" s="98">
        <f>B271-AD271</f>
        <v>520917</v>
      </c>
      <c r="AI271" s="98">
        <f>C271-AE271</f>
        <v>3564</v>
      </c>
      <c r="AJ271" s="98">
        <f>D271-AF271</f>
        <v>-570</v>
      </c>
      <c r="AK271" s="93"/>
      <c r="AL271" s="97">
        <f>C271/B271*1000</f>
        <v>41.717125439534122</v>
      </c>
      <c r="AM271" s="97">
        <f>D271/B271*1000</f>
        <v>36.917974297068149</v>
      </c>
      <c r="AN271" s="97"/>
      <c r="AO271" s="97">
        <f>AL271-K271</f>
        <v>-1.4828745604658806</v>
      </c>
      <c r="AP271" s="97">
        <f>AM271-L271</f>
        <v>-1.282025702931854</v>
      </c>
    </row>
  </sheetData>
  <mergeCells count="1">
    <mergeCell ref="N1:A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2026-06-27T02:45:25Z</dcterms:modified>
</cp:coreProperties>
</file>