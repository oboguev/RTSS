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09ea9a8ada49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888-final" sheetId="1" r:id="R7a7de1fbca924560"/>
  </x:sheets>
</x:workbook>
</file>

<file path=xl/sharedStrings.xml><?xml version="1.0" encoding="utf-8"?>
<x:sst xmlns:x="http://schemas.openxmlformats.org/spreadsheetml/2006/main">
  <x:si>
    <x:t xml:space="preserve">губ</x:t>
  </x:si>
  <x:si>
    <x:t xml:space="preserve">чж NYY</x:t>
  </x:si>
  <x:si>
    <x:t xml:space="preserve">чр YY</x:t>
  </x:si>
  <x:si>
    <x:t xml:space="preserve">чу YY</x:t>
  </x:si>
  <x:si>
    <x:t xml:space="preserve">уезды</x:t>
  </x:si>
  <x:si>
    <x:t xml:space="preserve">v-чж</x:t>
  </x:si>
  <x:si>
    <x:t xml:space="preserve">v-чр</x:t>
  </x:si>
  <x:si>
    <x:t xml:space="preserve">v-чу</x:t>
  </x:si>
  <x:si>
    <x:t xml:space="preserve">v-d-чж</x:t>
  </x:si>
  <x:si>
    <x:t xml:space="preserve">v-d-чр</x:t>
  </x:si>
  <x:si>
    <x:t xml:space="preserve">v-d-чу</x:t>
  </x:si>
  <x:si>
    <x:t xml:space="preserve">Архангельская</x:t>
  </x:si>
  <x:si>
    <x:t xml:space="preserve">[Архангельская род.]</x:t>
  </x:si>
  <x:si>
    <x:t xml:space="preserve">[Архангельская ум.]</x:t>
  </x:si>
  <x:si>
    <x:t xml:space="preserve">Астраханская</x:t>
  </x:si>
  <x:si>
    <x:t xml:space="preserve">[Астраханская род.]</x:t>
  </x:si>
  <x:si>
    <x:t xml:space="preserve">—</x:t>
  </x:si>
  <x:si>
    <x:t xml:space="preserve">[Aстраханская ум.]</x:t>
  </x:si>
  <x:si>
    <x:t xml:space="preserve">Виленская</x:t>
  </x:si>
  <x:si>
    <x:t xml:space="preserve">[Виленская род.]</x:t>
  </x:si>
  <x:si>
    <x:t xml:space="preserve">[Виленская ум.]</x:t>
  </x:si>
  <x:si>
    <x:t xml:space="preserve">Витебская</x:t>
  </x:si>
  <x:si>
    <x:t xml:space="preserve">[Витебская род.]</x:t>
  </x:si>
  <x:si>
    <x:t xml:space="preserve">[Витебская ум.]</x:t>
  </x:si>
  <x:si>
    <x:t xml:space="preserve">Волынская</x:t>
  </x:si>
  <x:si>
    <x:t xml:space="preserve">[Волынская род.]</x:t>
  </x:si>
  <x:si>
    <x:t xml:space="preserve">[Волынская ум.]</x:t>
  </x:si>
  <x:si>
    <x:t xml:space="preserve">Гродненская</x:t>
  </x:si>
  <x:si>
    <x:t xml:space="preserve">[Гродненская род.]</x:t>
  </x:si>
  <x:si>
    <x:t xml:space="preserve">[Гродненская ум.]</x:t>
  </x:si>
  <x:si>
    <x:t xml:space="preserve">Кіевская</x:t>
  </x:si>
  <x:si>
    <x:t xml:space="preserve">[Кіевская род.]</x:t>
  </x:si>
  <x:si>
    <x:t xml:space="preserve">[Кіевская ум.]</x:t>
  </x:si>
  <x:si>
    <x:t xml:space="preserve">Ковенская</x:t>
  </x:si>
  <x:si>
    <x:t xml:space="preserve">[Ковенская род.]</x:t>
  </x:si>
  <x:si>
    <x:t xml:space="preserve">[Ковенская ум.]</x:t>
  </x:si>
  <x:si>
    <x:t xml:space="preserve">Минская</x:t>
  </x:si>
  <x:si>
    <x:t xml:space="preserve">[Минская род.]</x:t>
  </x:si>
  <x:si>
    <x:t xml:space="preserve">[Минская ум.]</x:t>
  </x:si>
  <x:si>
    <x:t xml:space="preserve">Могилевская</x:t>
  </x:si>
  <x:si>
    <x:t xml:space="preserve">[Могилевская род.]</x:t>
  </x:si>
  <x:si>
    <x:t xml:space="preserve">[Могилевская ум.]</x:t>
  </x:si>
  <x:si>
    <x:t xml:space="preserve">Оренбургская</x:t>
  </x:si>
  <x:si>
    <x:t xml:space="preserve">[Оренбургская род.]</x:t>
  </x:si>
  <x:si>
    <x:t xml:space="preserve">[Оренбургская ум.]</x:t>
  </x:si>
  <x:si>
    <x:t xml:space="preserve">Подольская</x:t>
  </x:si>
  <x:si>
    <x:t xml:space="preserve">[Подольская род.]</x:t>
  </x:si>
  <x:si>
    <x:t xml:space="preserve">[Подольская ум.]</x:t>
  </x:si>
  <x:si>
    <x:t xml:space="preserve">Итого въ неземскихъ губерніяхъ</x:t>
  </x:si>
  <x:si>
    <x:t xml:space="preserve">Варшавская</x:t>
  </x:si>
  <x:si>
    <x:t xml:space="preserve">[Варшавская род.]</x:t>
  </x:si>
  <x:si>
    <x:t xml:space="preserve">[Варшавская ум.]</x:t>
  </x:si>
  <x:si>
    <x:t xml:space="preserve">Г. Варшава</x:t>
  </x:si>
  <x:si>
    <x:t xml:space="preserve">Калишская</x:t>
  </x:si>
  <x:si>
    <x:t xml:space="preserve">[Калишская род.]</x:t>
  </x:si>
  <x:si>
    <x:t xml:space="preserve">[Калишская ум.]</x:t>
  </x:si>
  <x:si>
    <x:t xml:space="preserve">Кѣлецкая</x:t>
  </x:si>
  <x:si>
    <x:t xml:space="preserve">[Кѣлецкая род.]</x:t>
  </x:si>
  <x:si>
    <x:t xml:space="preserve">[Кѣлецкая ум.]</x:t>
  </x:si>
  <x:si>
    <x:t xml:space="preserve">Ломжинская</x:t>
  </x:si>
  <x:si>
    <x:t xml:space="preserve">[Ломжинская род.]</x:t>
  </x:si>
  <x:si>
    <x:t xml:space="preserve">[Ломжинская ум.]</x:t>
  </x:si>
  <x:si>
    <x:t xml:space="preserve">Люблинская</x:t>
  </x:si>
  <x:si>
    <x:t xml:space="preserve">[Люблинская род.]</x:t>
  </x:si>
  <x:si>
    <x:t xml:space="preserve">[Люблинская ум.]</x:t>
  </x:si>
  <x:si>
    <x:t xml:space="preserve">Петроковская</x:t>
  </x:si>
  <x:si>
    <x:t xml:space="preserve">[Петроковская род.]</x:t>
  </x:si>
  <x:si>
    <x:t xml:space="preserve">[Петроковская ум.]</x:t>
  </x:si>
  <x:si>
    <x:t xml:space="preserve">Плоцкая</x:t>
  </x:si>
  <x:si>
    <x:t xml:space="preserve">[Плоцкая род.]</x:t>
  </x:si>
  <x:si>
    <x:t xml:space="preserve">[Плоцкая ум.]</x:t>
  </x:si>
  <x:si>
    <x:t xml:space="preserve">Радомская</x:t>
  </x:si>
  <x:si>
    <x:t xml:space="preserve">[Радомская род.]</x:t>
  </x:si>
  <x:si>
    <x:t xml:space="preserve">[Радомская ум.]</x:t>
  </x:si>
  <x:si>
    <x:t xml:space="preserve">Сувалкская</x:t>
  </x:si>
  <x:si>
    <x:t xml:space="preserve">[Сувалкская род.]</x:t>
  </x:si>
  <x:si>
    <x:t xml:space="preserve">[Сувалкская ум.]</x:t>
  </x:si>
  <x:si>
    <x:t xml:space="preserve">Сѣдлецкая</x:t>
  </x:si>
  <x:si>
    <x:t xml:space="preserve">[Сѣдлецкая род.]</x:t>
  </x:si>
  <x:si>
    <x:t xml:space="preserve">[Сѣдлецкая ум.]</x:t>
  </x:si>
  <x:si>
    <x:t xml:space="preserve">Курляндская</x:t>
  </x:si>
  <x:si>
    <x:t xml:space="preserve">[Курляндская род.]</x:t>
  </x:si>
  <x:si>
    <x:t xml:space="preserve">[Курляндская ум.]</x:t>
  </x:si>
  <x:si>
    <x:t xml:space="preserve">Лифляндская</x:t>
  </x:si>
  <x:si>
    <x:t xml:space="preserve">[Лифляндская род.]</x:t>
  </x:si>
  <x:si>
    <x:t xml:space="preserve">[Лифляндская ум.]</x:t>
  </x:si>
  <x:si>
    <x:t xml:space="preserve">Эстляндская</x:t>
  </x:si>
  <x:si>
    <x:t xml:space="preserve">[Эстляндская род.]</x:t>
  </x:si>
  <x:si>
    <x:t xml:space="preserve">[Эстляндская ум.]</x:t>
  </x:si>
  <x:si>
    <x:t xml:space="preserve">Итого въ привислянскихъ и остзейскихъ губерніяхъ</x:t>
  </x:si>
  <x:si>
    <x:t xml:space="preserve">Бессарабская</x:t>
  </x:si>
  <x:si>
    <x:t xml:space="preserve">[Бессарабская род.]</x:t>
  </x:si>
  <x:si>
    <x:t xml:space="preserve">[Бессарабская ум.]</x:t>
  </x:si>
  <x:si>
    <x:t xml:space="preserve">Владимірская</x:t>
  </x:si>
  <x:si>
    <x:t xml:space="preserve">[Владимірская род.]</x:t>
  </x:si>
  <x:si>
    <x:t xml:space="preserve">[Владимірская ум.]</x:t>
  </x:si>
  <x:si>
    <x:t xml:space="preserve">Вологодская</x:t>
  </x:si>
  <x:si>
    <x:t xml:space="preserve">[Вологодская род.]</x:t>
  </x:si>
  <x:si>
    <x:t xml:space="preserve">[Вологодская ум.]</x:t>
  </x:si>
  <x:si>
    <x:t xml:space="preserve">Воронежская</x:t>
  </x:si>
  <x:si>
    <x:t xml:space="preserve">[Воронежская род.]</x:t>
  </x:si>
  <x:si>
    <x:t xml:space="preserve">[Воронежская ум.]</x:t>
  </x:si>
  <x:si>
    <x:t xml:space="preserve">Вятская</x:t>
  </x:si>
  <x:si>
    <x:t xml:space="preserve">[Вятская род.]</x:t>
  </x:si>
  <x:si>
    <x:t xml:space="preserve">[Вятская ум.]</x:t>
  </x:si>
  <x:si>
    <x:t xml:space="preserve">Екатеринославская</x:t>
  </x:si>
  <x:si>
    <x:t xml:space="preserve">[Екатеринославская род.]</x:t>
  </x:si>
  <x:si>
    <x:t xml:space="preserve">[Екатеринославская ум.]</x:t>
  </x:si>
  <x:si>
    <x:t xml:space="preserve">Казанская</x:t>
  </x:si>
  <x:si>
    <x:t xml:space="preserve">[Казанская род.]</x:t>
  </x:si>
  <x:si>
    <x:t xml:space="preserve">[Казанская ум.]</x:t>
  </x:si>
  <x:si>
    <x:t xml:space="preserve">Калужская</x:t>
  </x:si>
  <x:si>
    <x:t xml:space="preserve">[Калужская род.]</x:t>
  </x:si>
  <x:si>
    <x:t xml:space="preserve">[Калужская ум.]</x:t>
  </x:si>
  <x:si>
    <x:t xml:space="preserve">Костромская</x:t>
  </x:si>
  <x:si>
    <x:t xml:space="preserve">[Костромская род.]</x:t>
  </x:si>
  <x:si>
    <x:t xml:space="preserve">[Костромская ум.]</x:t>
  </x:si>
  <x:si>
    <x:t xml:space="preserve">Курская</x:t>
  </x:si>
  <x:si>
    <x:t xml:space="preserve">[Курская род.]</x:t>
  </x:si>
  <x:si>
    <x:t xml:space="preserve">[Курская ум.]</x:t>
  </x:si>
  <x:si>
    <x:t xml:space="preserve">Гор. Москва</x:t>
  </x:si>
  <x:si>
    <x:t xml:space="preserve">Московская</x:t>
  </x:si>
  <x:si>
    <x:t xml:space="preserve">[Московская род.]</x:t>
  </x:si>
  <x:si>
    <x:t xml:space="preserve">[Московская ум.]</x:t>
  </x:si>
  <x:si>
    <x:t xml:space="preserve">Нижегородская</x:t>
  </x:si>
  <x:si>
    <x:t xml:space="preserve">[Нижегородская род.]</x:t>
  </x:si>
  <x:si>
    <x:t xml:space="preserve">[Нижегородская ум.]</x:t>
  </x:si>
  <x:si>
    <x:t xml:space="preserve">Новгородская</x:t>
  </x:si>
  <x:si>
    <x:t xml:space="preserve">[Новгородская род.]</x:t>
  </x:si>
  <x:si>
    <x:t xml:space="preserve">[Новгородская ум.]</x:t>
  </x:si>
  <x:si>
    <x:t xml:space="preserve">Олонецкая</x:t>
  </x:si>
  <x:si>
    <x:t xml:space="preserve">[Олонецкая род.]</x:t>
  </x:si>
  <x:si>
    <x:t xml:space="preserve">[Олонецкая ум.]</x:t>
  </x:si>
  <x:si>
    <x:t xml:space="preserve">Орловская</x:t>
  </x:si>
  <x:si>
    <x:t xml:space="preserve">[Орловская род.]</x:t>
  </x:si>
  <x:si>
    <x:t xml:space="preserve">[Орловская ум.]</x:t>
  </x:si>
  <x:si>
    <x:t xml:space="preserve">Пензенская</x:t>
  </x:si>
  <x:si>
    <x:t xml:space="preserve">[Пензенская род.]</x:t>
  </x:si>
  <x:si>
    <x:t xml:space="preserve">[Пензенская ум.]</x:t>
  </x:si>
  <x:si>
    <x:t xml:space="preserve">Пермская</x:t>
  </x:si>
  <x:si>
    <x:t xml:space="preserve">[Пермская род.]</x:t>
  </x:si>
  <x:si>
    <x:t xml:space="preserve">[Пермская ум.]</x:t>
  </x:si>
  <x:si>
    <x:t xml:space="preserve">Полтавская</x:t>
  </x:si>
  <x:si>
    <x:t xml:space="preserve">[Полтавская род.]</x:t>
  </x:si>
  <x:si>
    <x:t xml:space="preserve">[Полтавская ум.]</x:t>
  </x:si>
  <x:si>
    <x:t xml:space="preserve">Псковская</x:t>
  </x:si>
  <x:si>
    <x:t xml:space="preserve">[Псковская род.]</x:t>
  </x:si>
  <x:si>
    <x:t xml:space="preserve">[Псковская ум.]</x:t>
  </x:si>
  <x:si>
    <x:t xml:space="preserve">Рязанская</x:t>
  </x:si>
  <x:si>
    <x:t xml:space="preserve">[Рязанская род.]</x:t>
  </x:si>
  <x:si>
    <x:t xml:space="preserve">[Рязанская ум.]</x:t>
  </x:si>
  <x:si>
    <x:t xml:space="preserve">Самарская</x:t>
  </x:si>
  <x:si>
    <x:t xml:space="preserve">[Самарская род.]</x:t>
  </x:si>
  <x:si>
    <x:t xml:space="preserve">[Самарская ум.]</x:t>
  </x:si>
  <x:si>
    <x:t xml:space="preserve">Г. С.-Петербургъ</x:t>
  </x:si>
  <x:si>
    <x:t xml:space="preserve">С.-Петербургская</x:t>
  </x:si>
  <x:si>
    <x:t xml:space="preserve">[С.-Петербургская род.]</x:t>
  </x:si>
  <x:si>
    <x:t xml:space="preserve">[С.-Петербургская ум.]</x:t>
  </x:si>
  <x:si>
    <x:t xml:space="preserve">Саратовская</x:t>
  </x:si>
  <x:si>
    <x:t xml:space="preserve">[Саратовская род.]</x:t>
  </x:si>
  <x:si>
    <x:t xml:space="preserve">[Саратовская ум.]</x:t>
  </x:si>
  <x:si>
    <x:t xml:space="preserve">Симбирская</x:t>
  </x:si>
  <x:si>
    <x:t xml:space="preserve">[Симбирская род.]</x:t>
  </x:si>
  <x:si>
    <x:t xml:space="preserve">[Симбирская ум.]</x:t>
  </x:si>
  <x:si>
    <x:t xml:space="preserve">Смоленская</x:t>
  </x:si>
  <x:si>
    <x:t xml:space="preserve">[Смоленская род.]</x:t>
  </x:si>
  <x:si>
    <x:t xml:space="preserve">[Смоленская ум.]</x:t>
  </x:si>
  <x:si>
    <x:t xml:space="preserve">Таврическая</x:t>
  </x:si>
  <x:si>
    <x:t xml:space="preserve">[Таврическая род.]</x:t>
  </x:si>
  <x:si>
    <x:t xml:space="preserve">[Таврическая ум.]</x:t>
  </x:si>
  <x:si>
    <x:t xml:space="preserve">Тамбовская</x:t>
  </x:si>
  <x:si>
    <x:t xml:space="preserve">[Тамбовская род.]</x:t>
  </x:si>
  <x:si>
    <x:t xml:space="preserve">[Тамбовская ум.]</x:t>
  </x:si>
  <x:si>
    <x:t xml:space="preserve">Тверская</x:t>
  </x:si>
  <x:si>
    <x:t xml:space="preserve">[Тверская род.]</x:t>
  </x:si>
  <x:si>
    <x:t xml:space="preserve">[Тверская ум.]</x:t>
  </x:si>
  <x:si>
    <x:t xml:space="preserve">Тульская</x:t>
  </x:si>
  <x:si>
    <x:t xml:space="preserve">[Тульская род.]</x:t>
  </x:si>
  <x:si>
    <x:t xml:space="preserve">[Тульская ум.]</x:t>
  </x:si>
  <x:si>
    <x:t xml:space="preserve">Уфимская</x:t>
  </x:si>
  <x:si>
    <x:t xml:space="preserve">[Уфимская род.]</x:t>
  </x:si>
  <x:si>
    <x:t xml:space="preserve">[Уфимская ум.]</x:t>
  </x:si>
  <x:si>
    <x:t xml:space="preserve">Харьковская</x:t>
  </x:si>
  <x:si>
    <x:t xml:space="preserve">[Харьковская род.]</x:t>
  </x:si>
  <x:si>
    <x:t xml:space="preserve">[Харьковская ум.]</x:t>
  </x:si>
  <x:si>
    <x:t xml:space="preserve">Херсонская</x:t>
  </x:si>
  <x:si>
    <x:t xml:space="preserve">[Херсонская род.]</x:t>
  </x:si>
  <x:si>
    <x:t xml:space="preserve">[Херсонская ум.]</x:t>
  </x:si>
  <x:si>
    <x:t xml:space="preserve">Г. Николаевъ</x:t>
  </x:si>
  <x:si>
    <x:t xml:space="preserve">Г. Одесса</x:t>
  </x:si>
  <x:si>
    <x:t xml:space="preserve">Черниговская</x:t>
  </x:si>
  <x:si>
    <x:t xml:space="preserve">[Черниговская род.]</x:t>
  </x:si>
  <x:si>
    <x:t xml:space="preserve">[Черниговская ум.]</x:t>
  </x:si>
  <x:si>
    <x:t xml:space="preserve">Ярославская</x:t>
  </x:si>
  <x:si>
    <x:t xml:space="preserve">[Ярославская род.]</x:t>
  </x:si>
  <x:si>
    <x:t xml:space="preserve">[Ярославская ум.]</x:t>
  </x:si>
  <x:si>
    <x:t xml:space="preserve">Итого въ земскихъ губерніяхъ</x:t>
  </x:si>
  <x:si>
    <x:t xml:space="preserve">Обл. Войска Донскаго.</x:t>
  </x:si>
  <x:si>
    <x:t xml:space="preserve">Итого въ Европейской Россіи</x:t>
  </x:si>
  <x:si>
    <x:t xml:space="preserve">Бакинская</x:t>
  </x:si>
  <x:si>
    <x:t xml:space="preserve">[Бакинская род.]</x:t>
  </x:si>
  <x:si>
    <x:t xml:space="preserve">[Бакинская ум.]</x:t>
  </x:si>
  <x:si>
    <x:t xml:space="preserve">Дагестанская обл.</x:t>
  </x:si>
  <x:si>
    <x:t xml:space="preserve">Елисаветпольская</x:t>
  </x:si>
  <x:si>
    <x:t xml:space="preserve">[Елисаветпольская род.]</x:t>
  </x:si>
  <x:si>
    <x:t xml:space="preserve">[Елисаветпольская ум.]</x:t>
  </x:si>
  <x:si>
    <x:t xml:space="preserve">Карсская обл.</x:t>
  </x:si>
  <x:si>
    <x:t xml:space="preserve">Кубанская обл.</x:t>
  </x:si>
  <x:si>
    <x:t xml:space="preserve">Кутаисская</x:t>
  </x:si>
  <x:si>
    <x:t xml:space="preserve">[Кутаисская род.]</x:t>
  </x:si>
  <x:si>
    <x:t xml:space="preserve">[Кутаисская ум.]</x:t>
  </x:si>
  <x:si>
    <x:t xml:space="preserve">Ставропольская</x:t>
  </x:si>
  <x:si>
    <x:t xml:space="preserve">[Ставропольская род.]</x:t>
  </x:si>
  <x:si>
    <x:t xml:space="preserve">[Ставропольская ум.]</x:t>
  </x:si>
  <x:si>
    <x:t xml:space="preserve">Терская обл.</x:t>
  </x:si>
  <x:si>
    <x:t xml:space="preserve">Тифлисская</x:t>
  </x:si>
  <x:si>
    <x:t xml:space="preserve">[Тифлисская род.]</x:t>
  </x:si>
  <x:si>
    <x:t xml:space="preserve">[Тифлисская ум.]</x:t>
  </x:si>
  <x:si>
    <x:t xml:space="preserve">Эриванская</x:t>
  </x:si>
  <x:si>
    <x:t xml:space="preserve">[Эриванская род.]</x:t>
  </x:si>
  <x:si>
    <x:t xml:space="preserve">[Эриванская ум.]</x:t>
  </x:si>
  <x:si>
    <x:t xml:space="preserve">Итого на Кавказѣ</x:t>
  </x:si>
  <x:si>
    <x:t xml:space="preserve">Амурская обл.</x:t>
  </x:si>
  <x:si>
    <x:t xml:space="preserve">Енисейская</x:t>
  </x:si>
  <x:si>
    <x:t xml:space="preserve">[Енисейская род.]</x:t>
  </x:si>
  <x:si>
    <x:t xml:space="preserve">[Енисейская ум.]</x:t>
  </x:si>
  <x:si>
    <x:t xml:space="preserve">Забайкальская обл.</x:t>
  </x:si>
  <x:si>
    <x:t xml:space="preserve">Иркутская</x:t>
  </x:si>
  <x:si>
    <x:t xml:space="preserve">[Иркутская род.]</x:t>
  </x:si>
  <x:si>
    <x:t xml:space="preserve">[Иркутская ум.]</x:t>
  </x:si>
  <x:si>
    <x:t xml:space="preserve">Приморская обл.</x:t>
  </x:si>
  <x:si>
    <x:t xml:space="preserve">Тобольская</x:t>
  </x:si>
  <x:si>
    <x:t xml:space="preserve">[Тобольская род.]</x:t>
  </x:si>
  <x:si>
    <x:t xml:space="preserve">[Тобольская ум.]</x:t>
  </x:si>
  <x:si>
    <x:t xml:space="preserve">Toмская</x:t>
  </x:si>
  <x:si>
    <x:t xml:space="preserve">[Томская род.]</x:t>
  </x:si>
  <x:si>
    <x:t xml:space="preserve">[Томская ум.]</x:t>
  </x:si>
  <x:si>
    <x:t xml:space="preserve">Якутская обл.</x:t>
  </x:si>
  <x:si>
    <x:t xml:space="preserve">Остр. Сахалинъ</x:t>
  </x:si>
  <x:si>
    <x:t xml:space="preserve">Итого въ Сибири</x:t>
  </x:si>
  <x:si>
    <x:t xml:space="preserve">Акмолинская обл.</x:t>
  </x:si>
  <x:si>
    <x:t xml:space="preserve">Закаспійская обл.</x:t>
  </x:si>
  <x:si>
    <x:t xml:space="preserve">Самаркандская обл.</x:t>
  </x:si>
  <x:si>
    <x:t xml:space="preserve">Семипалатинская обл.</x:t>
  </x:si>
  <x:si>
    <x:t xml:space="preserve">Семирѣченская обл.</x:t>
  </x:si>
  <x:si>
    <x:t xml:space="preserve">Сыръ-Дарьинская обл.</x:t>
  </x:si>
  <x:si>
    <x:t xml:space="preserve">Тургайская обл.</x:t>
  </x:si>
  <x:si>
    <x:t xml:space="preserve">Уральская обл.</x:t>
  </x:si>
  <x:si>
    <x:t xml:space="preserve">Ферганская обл.</x:t>
  </x:si>
  <x:si>
    <x:t xml:space="preserve">Итого въ Средне-Азіатскихъ обл.</x:t>
  </x:si>
  <x:si>
    <x:t xml:space="preserve">Итого во всей Имперіи</x:t>
  </x:si>
</x:sst>
</file>

<file path=xl/styles.xml><?xml version="1.0" encoding="utf-8"?>
<x:styleSheet xmlns:x="http://schemas.openxmlformats.org/spreadsheetml/2006/main">
  <x:numFmts count="1">
    <x:numFmt numFmtId="200" formatCode="0.0"/>
  </x:numFmts>
  <x:fonts count="8">
    <x:font>
      <x:sz val="10"/>
      <x:color rgb="FF000000"/>
      <x:name val="Arial"/>
    </x:font>
    <x:font>
      <x:sz val="10"/>
      <x:color theme="1"/>
      <x:name val="Arial"/>
    </x:font>
    <x:font>
      <x:b/>
      <x:sz val="10"/>
      <x:color theme="1"/>
      <x:name val="Arial"/>
    </x:font>
    <x:font>
      <x:b/>
      <x:sz val="11"/>
      <x:color theme="1"/>
      <x:name val="Calibri"/>
    </x:font>
    <x:font>
      <x:sz val="11"/>
      <x:color theme="1"/>
      <x:name val="Calibri"/>
    </x:font>
    <x:font>
      <x:sz val="11"/>
      <x:color rgb="FF000000"/>
      <x:name val="Calibri"/>
    </x:font>
    <x:font>
      <x:b/>
      <x:sz val="11"/>
      <x:color rgb="FF000000"/>
      <x:name val="Calibri"/>
    </x:font>
    <x:font>
      <x:b/>
      <x:sz val="10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theme="0" tint="-0.15"/>
      </x:patternFill>
    </x:fill>
    <x:fill>
      <x:patternFill patternType="solid">
        <x:fgColor theme="8" tint="0.79998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4" fillId="2" borderId="0" xfId="0" applyFont="1" applyFill="1" applyAlignment="1">
      <x:alignment vertical="center"/>
    </x:xf>
    <x:xf numFmtId="0" fontId="4" fillId="0" borderId="0" xfId="0" applyFont="1" applyAlignment="1">
      <x:alignment vertical="center"/>
    </x:xf>
    <x:xf numFmtId="0" fontId="6" fillId="0" borderId="0" xfId="0" applyFont="1" applyAlignment="1">
      <x:alignment horizontal="center" vertical="center"/>
    </x:xf>
    <x:xf numFmtId="3" fontId="0" fillId="0" borderId="0" xfId="0" applyNumberFormat="1"/>
    <x:xf numFmtId="3" fontId="0" fillId="2" borderId="0" xfId="0" applyNumberFormat="1" applyFill="1"/>
    <x:xf numFmtId="3" fontId="4" fillId="2" borderId="0" xfId="0" applyNumberFormat="1" applyFont="1" applyFill="1" applyAlignment="1">
      <x:alignment vertical="center"/>
    </x:xf>
    <x:xf numFmtId="3" fontId="1" fillId="2" borderId="0" xfId="0" applyNumberFormat="1" applyFont="1" applyFill="1" applyAlignment="1">
      <x:alignment vertical="center"/>
    </x:xf>
    <x:xf numFmtId="3" fontId="0" fillId="2" borderId="0" xfId="0" applyNumberFormat="1" applyFill="1" applyAlignment="1">
      <x:alignment vertical="center"/>
    </x:xf>
    <x:xf numFmtId="3" fontId="5" fillId="0" borderId="0" xfId="0" applyNumberFormat="1" applyFont="1" applyAlignment="1">
      <x:alignment vertical="center"/>
    </x:xf>
    <x:xf numFmtId="3" fontId="0" fillId="0" borderId="0" xfId="0" applyNumberFormat="1" applyAlignment="1">
      <x:alignment vertical="center"/>
    </x:xf>
    <x:xf numFmtId="3" fontId="1" fillId="0" borderId="0" xfId="0" applyNumberFormat="1" applyFont="1" applyAlignment="1">
      <x:alignment vertical="center"/>
    </x:xf>
    <x:xf numFmtId="3" fontId="1" fillId="0" borderId="0" xfId="0" applyNumberFormat="1" applyFont="1" applyAlignment="1">
      <x:alignment horizontal="center" vertical="center"/>
    </x:xf>
    <x:xf numFmtId="3" fontId="1" fillId="2" borderId="0" xfId="0" applyNumberFormat="1" applyFont="1" applyFill="1" applyAlignment="1">
      <x:alignment horizontal="center" vertical="center"/>
    </x:xf>
    <x:xf numFmtId="3" fontId="4" fillId="0" borderId="0" xfId="0" applyNumberFormat="1" applyFont="1" applyAlignment="1">
      <x:alignment vertical="center"/>
    </x:xf>
    <x:xf numFmtId="3" fontId="4" fillId="0" borderId="0" xfId="0" applyNumberFormat="1" applyFont="1" applyAlignment="1">
      <x:alignment horizontal="center" vertical="center"/>
    </x:xf>
    <x:xf numFmtId="3" fontId="4" fillId="2" borderId="0" xfId="0" applyNumberFormat="1" applyFont="1" applyFill="1" applyAlignment="1">
      <x:alignment horizontal="center" vertical="center"/>
    </x:xf>
    <x:xf numFmtId="0" fontId="4" fillId="3" borderId="0" xfId="0" applyFont="1" applyFill="1" applyAlignment="1">
      <x:alignment vertical="center"/>
    </x:xf>
    <x:xf numFmtId="3" fontId="4" fillId="3" borderId="0" xfId="0" applyNumberFormat="1" applyFont="1" applyFill="1" applyAlignment="1">
      <x:alignment vertical="center"/>
    </x:xf>
    <x:xf numFmtId="3" fontId="0" fillId="3" borderId="0" xfId="0" applyNumberFormat="1" applyFill="1" applyAlignment="1">
      <x:alignment vertical="center"/>
    </x:xf>
    <x:xf numFmtId="3" fontId="0" fillId="3" borderId="0" xfId="0" applyNumberFormat="1" applyFill="1"/>
    <x:xf numFmtId="0" fontId="1" fillId="0" borderId="0" xfId="0" applyFont="1" applyFill="1" applyAlignment="1">
      <x:alignment vertical="center"/>
    </x:xf>
    <x:xf numFmtId="3" fontId="1" fillId="0" borderId="0" xfId="0" applyNumberFormat="1" applyFont="1" applyFill="1" applyAlignment="1">
      <x:alignment vertical="center"/>
    </x:xf>
    <x:xf numFmtId="3" fontId="0" fillId="0" borderId="0" xfId="0" applyNumberFormat="1" applyFill="1" applyAlignment="1">
      <x:alignment vertical="center"/>
    </x:xf>
    <x:xf numFmtId="3" fontId="1" fillId="0" borderId="0" xfId="0" applyNumberFormat="1" applyFont="1" applyFill="1" applyAlignment="1">
      <x:alignment horizontal="center" vertical="center"/>
    </x:xf>
    <x:xf numFmtId="0" fontId="0" fillId="0" borderId="0" xfId="0" applyFill="1"/>
    <x:xf numFmtId="3" fontId="0" fillId="0" borderId="0" xfId="0" applyNumberFormat="1" applyFill="1"/>
    <x:xf numFmtId="0" fontId="0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horizontal="center" vertical="center"/>
    </x:xf>
    <x:xf numFmtId="3" fontId="0" fillId="0" borderId="1" xfId="0" applyNumberFormat="1" applyFont="1" applyFill="1" applyBorder="1"/>
    <x:xf numFmtId="3" fontId="0" fillId="2" borderId="1" xfId="0" applyNumberFormat="1" applyFont="1" applyFill="1" applyBorder="1"/>
    <x:xf numFmtId="3" fontId="4" fillId="2" borderId="1" xfId="0" applyNumberFormat="1" applyFont="1" applyFill="1" applyBorder="1" applyAlignment="1">
      <x:alignment vertical="center"/>
    </x:xf>
    <x:xf numFmtId="3" fontId="1" fillId="2" borderId="1" xfId="0" applyNumberFormat="1" applyFont="1" applyFill="1" applyBorder="1" applyAlignment="1">
      <x:alignment vertical="center"/>
    </x:xf>
    <x:xf numFmtId="3" fontId="0" fillId="2" borderId="1" xfId="0" applyNumberFormat="1" applyFont="1" applyFill="1" applyBorder="1" applyAlignment="1">
      <x:alignment vertical="center"/>
    </x:xf>
    <x:xf numFmtId="3" fontId="5" fillId="0" borderId="1" xfId="0" applyNumberFormat="1" applyFont="1" applyFill="1" applyBorder="1" applyAlignment="1">
      <x:alignment vertical="center"/>
    </x:xf>
    <x:xf numFmtId="3" fontId="0" fillId="0" borderId="1" xfId="0" applyNumberFormat="1" applyFont="1" applyFill="1" applyBorder="1" applyAlignment="1">
      <x:alignment vertical="center"/>
    </x:xf>
    <x:xf numFmtId="3" fontId="1" fillId="0" borderId="1" xfId="0" applyNumberFormat="1" applyFont="1" applyFill="1" applyBorder="1" applyAlignment="1">
      <x:alignment vertical="center"/>
    </x:xf>
    <x:xf numFmtId="3" fontId="1" fillId="0" borderId="1" xfId="0" applyNumberFormat="1" applyFont="1" applyFill="1" applyBorder="1" applyAlignment="1">
      <x:alignment horizontal="center" vertical="center"/>
    </x:xf>
    <x:xf numFmtId="3" fontId="1" fillId="2" borderId="1" xfId="0" applyNumberFormat="1" applyFont="1" applyFill="1" applyBorder="1" applyAlignment="1">
      <x:alignment horizontal="center" vertical="center"/>
    </x:xf>
    <x:xf numFmtId="3" fontId="4" fillId="0" borderId="1" xfId="0" applyNumberFormat="1" applyFont="1" applyFill="1" applyBorder="1" applyAlignment="1">
      <x:alignment vertical="center"/>
    </x:xf>
    <x:xf numFmtId="3" fontId="4" fillId="0" borderId="1" xfId="0" applyNumberFormat="1" applyFont="1" applyFill="1" applyBorder="1" applyAlignment="1">
      <x:alignment horizontal="center" vertical="center"/>
    </x:xf>
    <x:xf numFmtId="3" fontId="4" fillId="2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vertical="center"/>
    </x:xf>
    <x:xf numFmtId="3" fontId="4" fillId="3" borderId="1" xfId="0" applyNumberFormat="1" applyFont="1" applyFill="1" applyBorder="1" applyAlignment="1">
      <x:alignment vertical="center"/>
    </x:xf>
    <x:xf numFmtId="3" fontId="0" fillId="3" borderId="1" xfId="0" applyNumberFormat="1" applyFont="1" applyFill="1" applyBorder="1" applyAlignment="1">
      <x:alignment vertical="center"/>
    </x:xf>
    <x:xf numFmtId="3" fontId="0" fillId="3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b3ef93ab4344b7" /><Relationship Type="http://schemas.openxmlformats.org/officeDocument/2006/relationships/theme" Target="/xl/theme/theme1.xml" Id="R10a0735d2e414b97" /><Relationship Type="http://schemas.openxmlformats.org/officeDocument/2006/relationships/sharedStrings" Target="/xl/sharedStrings.xml" Id="Ra5b3276019e84239" /><Relationship Type="http://schemas.openxmlformats.org/officeDocument/2006/relationships/worksheet" Target="/xl/worksheets/sheet1.xml" Id="R7a7de1fbca92456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09375" defaultRowHeight="15.75"/>
  <x:cols>
    <x:col min="1" max="1" width="47.5546875" customWidth="1"/>
    <x:col min="2" max="2" width="11.21875" customWidth="1"/>
    <x:col min="3" max="4" width="9.109375" customWidth="1"/>
    <x:col min="5" max="5" width="5.609375" style="27" customWidth="1"/>
    <x:col min="6" max="20" width="7.27734375" customWidth="1"/>
    <x:col min="21" max="21" width="5.109375" style="27" customWidth="1"/>
    <x:col min="22" max="22" width="8.83203125" customWidth="1"/>
    <x:col min="23" max="24" width="7.27734375" customWidth="1"/>
    <x:col min="26" max="26" width="9.38671875" customWidth="1"/>
    <x:col min="27" max="27" width="6.44140625" customWidth="1"/>
    <x:col min="28" max="28" width="6.33203125" customWidth="1"/>
  </x:cols>
  <x:sheetData>
    <x:row r="1" ht="15.75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3"/>
      <x:c r="F1" s="1" t="s">
        <x:v>4</x:v>
      </x:c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V1" s="5" t="s">
        <x:v>5</x:v>
      </x:c>
      <x:c r="W1" s="5" t="s">
        <x:v>6</x:v>
      </x:c>
      <x:c r="X1" s="5" t="s">
        <x:v>7</x:v>
      </x:c>
      <x:c r="Z1" s="5" t="s">
        <x:v>8</x:v>
      </x:c>
      <x:c r="AA1" s="5" t="s">
        <x:v>9</x:v>
      </x:c>
      <x:c r="AB1" s="5" t="s">
        <x:v>10</x:v>
      </x:c>
      <x:c r="AC1" s="55" t="str">
        <x:v>р YY</x:v>
      </x:c>
      <x:c r="AD1" s="55" t="str">
        <x:v>с YY</x:v>
      </x:c>
    </x:row>
    <x:row r="2" ht="15.75" customHeight="1">
      <x:c r="A2" s="3" t="s">
        <x:v>11</x:v>
      </x:c>
      <x:c r="B2" s="8">
        <x:v>346371</x:v>
      </x:c>
      <x:c r="C2" s="8">
        <x:v>12733</x:v>
      </x:c>
      <x:c r="D2" s="8">
        <x:v>8018</x:v>
      </x:c>
      <x:c r="E2" s="24"/>
      <x:c r="F2" s="9">
        <x:v>56402</x:v>
      </x:c>
      <x:c r="G2" s="9">
        <x:v>38585</x:v>
      </x:c>
      <x:c r="H2" s="9">
        <x:v>9140</x:v>
      </x:c>
      <x:c r="I2" s="9">
        <x:v>51532</x:v>
      </x:c>
      <x:c r="J2" s="9">
        <x:v>39793</x:v>
      </x:c>
      <x:c r="K2" s="9">
        <x:v>29477</x:v>
      </x:c>
      <x:c r="L2" s="9">
        <x:v>40224</x:v>
      </x:c>
      <x:c r="M2" s="9">
        <x:v>81218</x:v>
      </x:c>
      <x:c r="N2" s="10"/>
      <x:c r="O2" s="10"/>
      <x:c r="P2" s="10"/>
      <x:c r="Q2" s="10"/>
      <x:c r="R2" s="10"/>
      <x:c r="S2" s="10"/>
      <x:c r="T2" s="10"/>
      <x:c r="U2" s="28"/>
      <x:c r="V2" s="7" t="n">
        <x:f>SUM(F2:T2)</x:f>
        <x:v>346371</x:v>
      </x:c>
      <x:c r="W2" s="7" t="n">
        <x:f>SUM(F3:T3)</x:f>
        <x:v>12733</x:v>
      </x:c>
      <x:c r="X2" s="7" t="n">
        <x:f>SUM(F4:T4)</x:f>
        <x:v>8018</x:v>
      </x:c>
      <x:c r="Y2" s="7"/>
      <x:c r="Z2" s="7" t="n">
        <x:f>V2-B2</x:f>
        <x:v>0</x:v>
      </x:c>
      <x:c r="AA2" s="7" t="n">
        <x:f>W2-C2</x:f>
        <x:v>0</x:v>
      </x:c>
      <x:c r="AB2" s="7" t="n">
        <x:f>X2-D2</x:f>
        <x:v>0</x:v>
      </x:c>
      <x:c r="AC2" s="53" t="n">
        <x:v>36.8</x:v>
      </x:c>
      <x:c r="AD2" s="53" t="n">
        <x:v>23.2</x:v>
      </x:c>
    </x:row>
    <x:row r="3" ht="15.75" customHeight="1">
      <x:c r="A3" s="4" t="s">
        <x:v>12</x:v>
      </x:c>
      <x:c r="B3" s="11"/>
      <x:c r="C3" s="11"/>
      <x:c r="D3" s="11"/>
      <x:c r="E3" s="25"/>
      <x:c r="F3" s="13">
        <x:v>1896</x:v>
      </x:c>
      <x:c r="G3" s="13">
        <x:v>1281</x:v>
      </x:c>
      <x:c r="H3" s="13">
        <x:v>283</x:v>
      </x:c>
      <x:c r="I3" s="13">
        <x:v>2165</x:v>
      </x:c>
      <x:c r="J3" s="13">
        <x:v>1466</x:v>
      </x:c>
      <x:c r="K3" s="13">
        <x:v>1125</x:v>
      </x:c>
      <x:c r="L3" s="13">
        <x:v>1321</x:v>
      </x:c>
      <x:c r="M3" s="13">
        <x:v>3196</x:v>
      </x:c>
      <x:c r="N3" s="12"/>
      <x:c r="O3" s="12"/>
      <x:c r="P3" s="12"/>
      <x:c r="Q3" s="12"/>
      <x:c r="R3" s="12"/>
      <x:c r="S3" s="12"/>
      <x:c r="T3" s="12"/>
      <x:c r="U3" s="28"/>
      <x:c r="V3" s="6"/>
      <x:c r="W3" s="6"/>
      <x:c r="X3" s="6"/>
      <x:c r="Y3" s="6"/>
      <x:c r="Z3" s="6"/>
      <x:c r="AA3" s="6"/>
      <x:c r="AB3" s="6"/>
      <x:c r="AC3" s="53"/>
      <x:c r="AD3" s="53"/>
    </x:row>
    <x:row r="4" ht="15.75" customHeight="1">
      <x:c r="A4" s="4" t="s">
        <x:v>13</x:v>
      </x:c>
      <x:c r="B4" s="11"/>
      <x:c r="C4" s="11"/>
      <x:c r="D4" s="11"/>
      <x:c r="E4" s="25"/>
      <x:c r="F4" s="13">
        <x:v>1256</x:v>
      </x:c>
      <x:c r="G4" s="13">
        <x:v>567</x:v>
      </x:c>
      <x:c r="H4" s="13">
        <x:v>191</x:v>
      </x:c>
      <x:c r="I4" s="13">
        <x:v>1650</x:v>
      </x:c>
      <x:c r="J4" s="13">
        <x:v>869</x:v>
      </x:c>
      <x:c r="K4" s="13">
        <x:v>657</x:v>
      </x:c>
      <x:c r="L4" s="13">
        <x:v>730</x:v>
      </x:c>
      <x:c r="M4" s="13">
        <x:v>2098</x:v>
      </x:c>
      <x:c r="N4" s="12"/>
      <x:c r="O4" s="12"/>
      <x:c r="P4" s="12"/>
      <x:c r="Q4" s="12"/>
      <x:c r="R4" s="12"/>
      <x:c r="S4" s="12"/>
      <x:c r="T4" s="12"/>
      <x:c r="U4" s="28"/>
      <x:c r="V4" s="6"/>
      <x:c r="W4" s="6"/>
      <x:c r="X4" s="6"/>
      <x:c r="Y4" s="6"/>
      <x:c r="Z4" s="6"/>
      <x:c r="AA4" s="6"/>
      <x:c r="AB4" s="6"/>
      <x:c r="AC4" s="53"/>
      <x:c r="AD4" s="53"/>
    </x:row>
    <x:row r="5" ht="15.75" customHeight="1">
      <x:c r="A5" s="3" t="s">
        <x:v>14</x:v>
      </x:c>
      <x:c r="B5" s="8">
        <x:v>833276</x:v>
      </x:c>
      <x:c r="C5" s="8">
        <x:v>26860</x:v>
      </x:c>
      <x:c r="D5" s="8">
        <x:v>19429</x:v>
      </x:c>
      <x:c r="E5" s="24"/>
      <x:c r="F5" s="9">
        <x:v>129300</x:v>
      </x:c>
      <x:c r="G5" s="9">
        <x:v>63430</x:v>
      </x:c>
      <x:c r="H5" s="9">
        <x:v>32640</x:v>
      </x:c>
      <x:c r="I5" s="9">
        <x:v>169400</x:v>
      </x:c>
      <x:c r="J5" s="9">
        <x:v>83460</x:v>
      </x:c>
      <x:c r="K5" s="9">
        <x:v>138046</x:v>
      </x:c>
      <x:c r="L5" s="9">
        <x:v>217000</x:v>
      </x:c>
      <x:c r="M5" s="10"/>
      <x:c r="N5" s="10"/>
      <x:c r="O5" s="10"/>
      <x:c r="P5" s="10"/>
      <x:c r="Q5" s="10"/>
      <x:c r="R5" s="10"/>
      <x:c r="S5" s="10"/>
      <x:c r="T5" s="10"/>
      <x:c r="U5" s="28"/>
      <x:c r="V5" s="7" t="n">
        <x:f>SUM(F5:T5)</x:f>
        <x:v>833276</x:v>
      </x:c>
      <x:c r="W5" s="7" t="n">
        <x:f>SUM(F6:T6)</x:f>
        <x:v>26860</x:v>
      </x:c>
      <x:c r="X5" s="7" t="n">
        <x:f>SUM(F7:T7)</x:f>
        <x:v>19429</x:v>
      </x:c>
      <x:c r="Y5" s="7"/>
      <x:c r="Z5" s="7" t="n">
        <x:f>V5-B5</x:f>
        <x:v>0</x:v>
      </x:c>
      <x:c r="AA5" s="7" t="n">
        <x:f>W5-C5</x:f>
        <x:v>0</x:v>
      </x:c>
      <x:c r="AB5" s="7" t="n">
        <x:f>X5-D5</x:f>
        <x:v>0</x:v>
      </x:c>
      <x:c r="AC5" s="53" t="n">
        <x:v>56.2</x:v>
      </x:c>
      <x:c r="AD5" s="53" t="n">
        <x:v>40.6</x:v>
      </x:c>
    </x:row>
    <x:row r="6" ht="15.75" customHeight="1">
      <x:c r="A6" s="4" t="s">
        <x:v>15</x:v>
      </x:c>
      <x:c r="B6" s="11"/>
      <x:c r="C6" s="11"/>
      <x:c r="D6" s="11"/>
      <x:c r="E6" s="25"/>
      <x:c r="F6" s="13">
        <x:v>7599</x:v>
      </x:c>
      <x:c r="G6" s="13">
        <x:v>3433</x:v>
      </x:c>
      <x:c r="H6" s="13">
        <x:v>1689</x:v>
      </x:c>
      <x:c r="I6" s="13">
        <x:v>9453</x:v>
      </x:c>
      <x:c r="J6" s="13">
        <x:v>4686</x:v>
      </x:c>
      <x:c r="K6" s="14" t="s">
        <x:v>16</x:v>
      </x:c>
      <x:c r="L6" s="14" t="s">
        <x:v>16</x:v>
      </x:c>
      <x:c r="M6" s="12"/>
      <x:c r="N6" s="12"/>
      <x:c r="O6" s="12"/>
      <x:c r="P6" s="12"/>
      <x:c r="Q6" s="12"/>
      <x:c r="R6" s="12"/>
      <x:c r="S6" s="12"/>
      <x:c r="T6" s="12"/>
      <x:c r="U6" s="28"/>
      <x:c r="V6" s="6"/>
      <x:c r="W6" s="6"/>
      <x:c r="X6" s="6"/>
      <x:c r="Y6" s="6"/>
      <x:c r="Z6" s="6"/>
      <x:c r="AA6" s="6"/>
      <x:c r="AB6" s="6"/>
      <x:c r="AC6" s="53"/>
      <x:c r="AD6" s="53"/>
    </x:row>
    <x:row r="7" ht="15.75" customHeight="1">
      <x:c r="A7" s="4" t="s">
        <x:v>17</x:v>
      </x:c>
      <x:c r="B7" s="11"/>
      <x:c r="C7" s="11"/>
      <x:c r="D7" s="11"/>
      <x:c r="E7" s="25"/>
      <x:c r="F7" s="13">
        <x:v>6562</x:v>
      </x:c>
      <x:c r="G7" s="13">
        <x:v>2618</x:v>
      </x:c>
      <x:c r="H7" s="13">
        <x:v>978</x:v>
      </x:c>
      <x:c r="I7" s="13">
        <x:v>6295</x:v>
      </x:c>
      <x:c r="J7" s="13">
        <x:v>2976</x:v>
      </x:c>
      <x:c r="K7" s="14" t="s">
        <x:v>16</x:v>
      </x:c>
      <x:c r="L7" s="14" t="s">
        <x:v>16</x:v>
      </x:c>
      <x:c r="M7" s="12"/>
      <x:c r="N7" s="12"/>
      <x:c r="O7" s="12"/>
      <x:c r="P7" s="12"/>
      <x:c r="Q7" s="12"/>
      <x:c r="R7" s="12"/>
      <x:c r="S7" s="12"/>
      <x:c r="T7" s="12"/>
      <x:c r="U7" s="28"/>
      <x:c r="V7" s="6"/>
      <x:c r="W7" s="6"/>
      <x:c r="X7" s="6"/>
      <x:c r="Y7" s="6"/>
      <x:c r="Z7" s="6"/>
      <x:c r="AA7" s="6"/>
      <x:c r="AB7" s="6"/>
      <x:c r="AC7" s="53"/>
      <x:c r="AD7" s="53"/>
    </x:row>
    <x:row r="8" ht="15.75" customHeight="1">
      <x:c r="A8" s="3" t="s">
        <x:v>18</x:v>
      </x:c>
      <x:c r="B8" s="8">
        <x:v>1309304</x:v>
      </x:c>
      <x:c r="C8" s="8">
        <x:v>54761</x:v>
      </x:c>
      <x:c r="D8" s="8">
        <x:v>33408</x:v>
      </x:c>
      <x:c r="E8" s="24"/>
      <x:c r="F8" s="9">
        <x:v>301680</x:v>
      </x:c>
      <x:c r="G8" s="9">
        <x:v>186858</x:v>
      </x:c>
      <x:c r="H8" s="9">
        <x:v>173214</x:v>
      </x:c>
      <x:c r="I8" s="9">
        <x:v>169857</x:v>
      </x:c>
      <x:c r="J8" s="9">
        <x:v>193742</x:v>
      </x:c>
      <x:c r="K8" s="9">
        <x:v>155668</x:v>
      </x:c>
      <x:c r="L8" s="9">
        <x:v>128285</x:v>
      </x:c>
      <x:c r="M8" s="10"/>
      <x:c r="N8" s="10"/>
      <x:c r="O8" s="10"/>
      <x:c r="P8" s="10"/>
      <x:c r="Q8" s="10"/>
      <x:c r="R8" s="10"/>
      <x:c r="S8" s="10"/>
      <x:c r="T8" s="10"/>
      <x:c r="U8" s="28"/>
      <x:c r="V8" s="7" t="n">
        <x:f>SUM(F8:T8)</x:f>
        <x:v>1309304</x:v>
      </x:c>
      <x:c r="W8" s="7" t="n">
        <x:f>SUM(F9:T9)</x:f>
        <x:v>54761</x:v>
      </x:c>
      <x:c r="X8" s="7" t="n">
        <x:f>SUM(F10:T10)</x:f>
        <x:v>33408</x:v>
      </x:c>
      <x:c r="Y8" s="7"/>
      <x:c r="Z8" s="7" t="n">
        <x:f>V8-B8</x:f>
        <x:v>0</x:v>
      </x:c>
      <x:c r="AA8" s="7" t="n">
        <x:f>W8-C8</x:f>
        <x:v>0</x:v>
      </x:c>
      <x:c r="AB8" s="7" t="n">
        <x:f>X8-D8</x:f>
        <x:v>0</x:v>
      </x:c>
      <x:c r="AC8" s="53" t="n">
        <x:v>40.8</x:v>
      </x:c>
      <x:c r="AD8" s="53" t="n">
        <x:v>25.5</x:v>
      </x:c>
    </x:row>
    <x:row r="9" ht="15.75" customHeight="1">
      <x:c r="A9" s="4" t="s">
        <x:v>19</x:v>
      </x:c>
      <x:c r="B9" s="11"/>
      <x:c r="C9" s="11"/>
      <x:c r="D9" s="11"/>
      <x:c r="E9" s="25"/>
      <x:c r="F9" s="13">
        <x:v>10377</x:v>
      </x:c>
      <x:c r="G9" s="13">
        <x:v>7721</x:v>
      </x:c>
      <x:c r="H9" s="13">
        <x:v>7337</x:v>
      </x:c>
      <x:c r="I9" s="13">
        <x:v>7368</x:v>
      </x:c>
      <x:c r="J9" s="13">
        <x:v>7805</x:v>
      </x:c>
      <x:c r="K9" s="13">
        <x:v>6341</x:v>
      </x:c>
      <x:c r="L9" s="13">
        <x:v>7812</x:v>
      </x:c>
      <x:c r="M9" s="12"/>
      <x:c r="N9" s="12"/>
      <x:c r="O9" s="12"/>
      <x:c r="P9" s="12"/>
      <x:c r="Q9" s="12"/>
      <x:c r="R9" s="12"/>
      <x:c r="S9" s="12"/>
      <x:c r="T9" s="12"/>
      <x:c r="U9" s="28"/>
      <x:c r="V9" s="6"/>
      <x:c r="W9" s="6"/>
      <x:c r="X9" s="6"/>
      <x:c r="Y9" s="6"/>
      <x:c r="Z9" s="6"/>
      <x:c r="AA9" s="6"/>
      <x:c r="AB9" s="6"/>
      <x:c r="AC9" s="53"/>
      <x:c r="AD9" s="53"/>
    </x:row>
    <x:row r="10" ht="15.75" customHeight="1">
      <x:c r="A10" s="4" t="s">
        <x:v>20</x:v>
      </x:c>
      <x:c r="B10" s="11"/>
      <x:c r="C10" s="11"/>
      <x:c r="D10" s="11"/>
      <x:c r="E10" s="25"/>
      <x:c r="F10" s="13">
        <x:v>7131</x:v>
      </x:c>
      <x:c r="G10" s="13">
        <x:v>4920</x:v>
      </x:c>
      <x:c r="H10" s="13">
        <x:v>4086</x:v>
      </x:c>
      <x:c r="I10" s="13">
        <x:v>4211</x:v>
      </x:c>
      <x:c r="J10" s="13">
        <x:v>4602</x:v>
      </x:c>
      <x:c r="K10" s="13">
        <x:v>3678</x:v>
      </x:c>
      <x:c r="L10" s="13">
        <x:v>4780</x:v>
      </x:c>
      <x:c r="M10" s="12"/>
      <x:c r="N10" s="12"/>
      <x:c r="O10" s="12"/>
      <x:c r="P10" s="12"/>
      <x:c r="Q10" s="12"/>
      <x:c r="R10" s="12"/>
      <x:c r="S10" s="12"/>
      <x:c r="T10" s="12"/>
      <x:c r="U10" s="28"/>
      <x:c r="V10" s="6"/>
      <x:c r="W10" s="6"/>
      <x:c r="X10" s="6"/>
      <x:c r="Y10" s="6"/>
      <x:c r="Z10" s="6"/>
      <x:c r="AA10" s="6"/>
      <x:c r="AB10" s="6"/>
      <x:c r="AC10" s="53"/>
      <x:c r="AD10" s="53"/>
    </x:row>
    <x:row r="11" ht="15.75" customHeight="1">
      <x:c r="A11" s="3" t="s">
        <x:v>21</x:v>
      </x:c>
      <x:c r="B11" s="8">
        <x:v>1309304</x:v>
      </x:c>
      <x:c r="C11" s="8">
        <x:v>55587</x:v>
      </x:c>
      <x:c r="D11" s="8">
        <x:v>32912</x:v>
      </x:c>
      <x:c r="E11" s="24"/>
      <x:c r="F11" s="9">
        <x:v>139176</x:v>
      </x:c>
      <x:c r="G11" s="9">
        <x:v>85858</x:v>
      </x:c>
      <x:c r="H11" s="9">
        <x:v>93715</x:v>
      </x:c>
      <x:c r="I11" s="9">
        <x:v>223664</x:v>
      </x:c>
      <x:c r="J11" s="9">
        <x:v>78685</x:v>
      </x:c>
      <x:c r="K11" s="9">
        <x:v>133477</x:v>
      </x:c>
      <x:c r="L11" s="9">
        <x:v>115309</x:v>
      </x:c>
      <x:c r="M11" s="9">
        <x:v>109448</x:v>
      </x:c>
      <x:c r="N11" s="9">
        <x:v>113374</x:v>
      </x:c>
      <x:c r="O11" s="9">
        <x:v>132694</x:v>
      </x:c>
      <x:c r="P11" s="9">
        <x:v>93904</x:v>
      </x:c>
      <x:c r="Q11" s="10"/>
      <x:c r="R11" s="10"/>
      <x:c r="S11" s="10"/>
      <x:c r="T11" s="10"/>
      <x:c r="U11" s="28"/>
      <x:c r="V11" s="7" t="n">
        <x:f>SUM(F11:T11)</x:f>
        <x:v>1319304</x:v>
      </x:c>
      <x:c r="W11" s="7" t="n">
        <x:f>SUM(F12:T12)</x:f>
        <x:v>55587</x:v>
      </x:c>
      <x:c r="X11" s="7" t="n">
        <x:f>SUM(F13:T13)</x:f>
        <x:v>32912</x:v>
      </x:c>
      <x:c r="Y11" s="7"/>
      <x:c r="Z11" s="7" t="n">
        <x:f>V11-B11</x:f>
        <x:v>10000</x:v>
      </x:c>
      <x:c r="AA11" s="7" t="n">
        <x:f>W11-C11</x:f>
        <x:v>0</x:v>
      </x:c>
      <x:c r="AB11" s="7" t="n">
        <x:f>X11-D11</x:f>
        <x:v>0</x:v>
      </x:c>
      <x:c r="AC11" s="53" t="n">
        <x:v>42.5</x:v>
      </x:c>
      <x:c r="AD11" s="53" t="n">
        <x:v>25.1</x:v>
      </x:c>
    </x:row>
    <x:row r="12" ht="15.75" customHeight="1">
      <x:c r="A12" s="4" t="s">
        <x:v>22</x:v>
      </x:c>
      <x:c r="B12" s="11"/>
      <x:c r="C12" s="11"/>
      <x:c r="D12" s="11"/>
      <x:c r="E12" s="25"/>
      <x:c r="F12" s="13">
        <x:v>6517</x:v>
      </x:c>
      <x:c r="G12" s="13">
        <x:v>4645</x:v>
      </x:c>
      <x:c r="H12" s="13">
        <x:v>4854</x:v>
      </x:c>
      <x:c r="I12" s="13">
        <x:v>6442</x:v>
      </x:c>
      <x:c r="J12" s="13">
        <x:v>4007</x:v>
      </x:c>
      <x:c r="K12" s="13">
        <x:v>6116</x:v>
      </x:c>
      <x:c r="L12" s="13">
        <x:v>4581</x:v>
      </x:c>
      <x:c r="M12" s="13">
        <x:v>4842</x:v>
      </x:c>
      <x:c r="N12" s="13">
        <x:v>5512</x:v>
      </x:c>
      <x:c r="O12" s="13">
        <x:v>4045</x:v>
      </x:c>
      <x:c r="P12" s="13">
        <x:v>4026</x:v>
      </x:c>
      <x:c r="Q12" s="12"/>
      <x:c r="R12" s="12"/>
      <x:c r="S12" s="12"/>
      <x:c r="T12" s="12"/>
      <x:c r="U12" s="28"/>
      <x:c r="V12" s="6"/>
      <x:c r="W12" s="6"/>
      <x:c r="X12" s="6"/>
      <x:c r="Y12" s="6"/>
      <x:c r="Z12" s="6"/>
      <x:c r="AA12" s="6"/>
      <x:c r="AB12" s="6"/>
      <x:c r="AC12" s="53"/>
      <x:c r="AD12" s="53"/>
    </x:row>
    <x:row r="13" ht="15.75" customHeight="1">
      <x:c r="A13" s="4" t="s">
        <x:v>23</x:v>
      </x:c>
      <x:c r="B13" s="11"/>
      <x:c r="C13" s="11"/>
      <x:c r="D13" s="11"/>
      <x:c r="E13" s="25"/>
      <x:c r="F13" s="13">
        <x:v>3579</x:v>
      </x:c>
      <x:c r="G13" s="13">
        <x:v>2506</x:v>
      </x:c>
      <x:c r="H13" s="13">
        <x:v>2179</x:v>
      </x:c>
      <x:c r="I13" s="13">
        <x:v>4358</x:v>
      </x:c>
      <x:c r="J13" s="13">
        <x:v>2757</x:v>
      </x:c>
      <x:c r="K13" s="13">
        <x:v>3627</x:v>
      </x:c>
      <x:c r="L13" s="13">
        <x:v>2759</x:v>
      </x:c>
      <x:c r="M13" s="13">
        <x:v>3043</x:v>
      </x:c>
      <x:c r="N13" s="13">
        <x:v>3094</x:v>
      </x:c>
      <x:c r="O13" s="13">
        <x:v>2687</x:v>
      </x:c>
      <x:c r="P13" s="13">
        <x:v>2323</x:v>
      </x:c>
      <x:c r="Q13" s="12"/>
      <x:c r="R13" s="12"/>
      <x:c r="S13" s="12"/>
      <x:c r="T13" s="12"/>
      <x:c r="U13" s="28"/>
      <x:c r="V13" s="6"/>
      <x:c r="W13" s="6"/>
      <x:c r="X13" s="6"/>
      <x:c r="Y13" s="6"/>
      <x:c r="Z13" s="6"/>
      <x:c r="AA13" s="6"/>
      <x:c r="AB13" s="6"/>
      <x:c r="AC13" s="53"/>
      <x:c r="AD13" s="53"/>
    </x:row>
    <x:row r="14" ht="15.75" customHeight="1">
      <x:c r="A14" s="3" t="s">
        <x:v>24</x:v>
      </x:c>
      <x:c r="B14" s="8">
        <x:v>2303602</x:v>
      </x:c>
      <x:c r="C14" s="8">
        <x:v>119051</x:v>
      </x:c>
      <x:c r="D14" s="8">
        <x:v>80316</x:v>
      </x:c>
      <x:c r="E14" s="24"/>
      <x:c r="F14" s="9">
        <x:v>316471</x:v>
      </x:c>
      <x:c r="G14" s="9">
        <x:v>202645</x:v>
      </x:c>
      <x:c r="H14" s="9">
        <x:v>156193</x:v>
      </x:c>
      <x:c r="I14" s="9">
        <x:v>167709</x:v>
      </x:c>
      <x:c r="J14" s="9">
        <x:v>178831</x:v>
      </x:c>
      <x:c r="K14" s="9">
        <x:v>175635</x:v>
      </x:c>
      <x:c r="L14" s="9">
        <x:v>177029</x:v>
      </x:c>
      <x:c r="M14" s="9">
        <x:v>247202</x:v>
      </x:c>
      <x:c r="N14" s="9">
        <x:v>167085</x:v>
      </x:c>
      <x:c r="O14" s="9">
        <x:v>147720</x:v>
      </x:c>
      <x:c r="P14" s="9">
        <x:v>201718</x:v>
      </x:c>
      <x:c r="Q14" s="9">
        <x:v>165354</x:v>
      </x:c>
      <x:c r="R14" s="10"/>
      <x:c r="S14" s="10"/>
      <x:c r="T14" s="10"/>
      <x:c r="U14" s="28"/>
      <x:c r="V14" s="7" t="n">
        <x:f>SUM(F14:T14)</x:f>
        <x:v>2303592</x:v>
      </x:c>
      <x:c r="W14" s="7" t="n">
        <x:f>SUM(F15:T15)</x:f>
        <x:v>119051</x:v>
      </x:c>
      <x:c r="X14" s="7" t="n">
        <x:f>SUM(F16:T16)</x:f>
        <x:v>80316</x:v>
      </x:c>
      <x:c r="Y14" s="7"/>
      <x:c r="Z14" s="7" t="n">
        <x:f>V14-B14</x:f>
        <x:v>-10</x:v>
      </x:c>
      <x:c r="AA14" s="7" t="n">
        <x:f>W14-C14</x:f>
        <x:v>0</x:v>
      </x:c>
      <x:c r="AB14" s="7" t="n">
        <x:f>X14-D14</x:f>
        <x:v>0</x:v>
      </x:c>
      <x:c r="AC14" s="53" t="n">
        <x:v>51.7</x:v>
      </x:c>
      <x:c r="AD14" s="53" t="n">
        <x:v>34.9</x:v>
      </x:c>
    </x:row>
    <x:row r="15" ht="15.75" customHeight="1">
      <x:c r="A15" s="4" t="s">
        <x:v>25</x:v>
      </x:c>
      <x:c r="B15" s="11"/>
      <x:c r="C15" s="11"/>
      <x:c r="D15" s="11"/>
      <x:c r="E15" s="25"/>
      <x:c r="F15" s="13">
        <x:v>16194</x:v>
      </x:c>
      <x:c r="G15" s="13">
        <x:v>11165</x:v>
      </x:c>
      <x:c r="H15" s="13">
        <x:v>7607</x:v>
      </x:c>
      <x:c r="I15" s="13">
        <x:v>9058</x:v>
      </x:c>
      <x:c r="J15" s="13">
        <x:v>8392</x:v>
      </x:c>
      <x:c r="K15" s="13">
        <x:v>8986</x:v>
      </x:c>
      <x:c r="L15" s="13">
        <x:v>9962</x:v>
      </x:c>
      <x:c r="M15" s="13">
        <x:v>12946</x:v>
      </x:c>
      <x:c r="N15" s="13">
        <x:v>9391</x:v>
      </x:c>
      <x:c r="O15" s="13">
        <x:v>7157</x:v>
      </x:c>
      <x:c r="P15" s="13">
        <x:v>10003</x:v>
      </x:c>
      <x:c r="Q15" s="13">
        <x:v>8190</x:v>
      </x:c>
      <x:c r="R15" s="12"/>
      <x:c r="S15" s="12"/>
      <x:c r="T15" s="12"/>
      <x:c r="U15" s="28"/>
      <x:c r="V15" s="6"/>
      <x:c r="W15" s="6"/>
      <x:c r="X15" s="6"/>
      <x:c r="Y15" s="6"/>
      <x:c r="Z15" s="6"/>
      <x:c r="AA15" s="6"/>
      <x:c r="AB15" s="6"/>
      <x:c r="AC15" s="53"/>
      <x:c r="AD15" s="53"/>
    </x:row>
    <x:row r="16" ht="15.75" customHeight="1">
      <x:c r="A16" s="4" t="s">
        <x:v>26</x:v>
      </x:c>
      <x:c r="B16" s="11"/>
      <x:c r="C16" s="11"/>
      <x:c r="D16" s="11"/>
      <x:c r="E16" s="25"/>
      <x:c r="F16" s="13">
        <x:v>10113</x:v>
      </x:c>
      <x:c r="G16" s="13">
        <x:v>7263</x:v>
      </x:c>
      <x:c r="H16" s="13">
        <x:v>4135</x:v>
      </x:c>
      <x:c r="I16" s="13">
        <x:v>6721</x:v>
      </x:c>
      <x:c r="J16" s="13">
        <x:v>5307</x:v>
      </x:c>
      <x:c r="K16" s="13">
        <x:v>6880</x:v>
      </x:c>
      <x:c r="L16" s="13">
        <x:v>6556</x:v>
      </x:c>
      <x:c r="M16" s="13">
        <x:v>8970</x:v>
      </x:c>
      <x:c r="N16" s="13">
        <x:v>6169</x:v>
      </x:c>
      <x:c r="O16" s="13">
        <x:v>5167</x:v>
      </x:c>
      <x:c r="P16" s="13">
        <x:v>7114</x:v>
      </x:c>
      <x:c r="Q16" s="13">
        <x:v>5921</x:v>
      </x:c>
      <x:c r="R16" s="12"/>
      <x:c r="S16" s="12"/>
      <x:c r="T16" s="12"/>
      <x:c r="U16" s="28"/>
      <x:c r="V16" s="6"/>
      <x:c r="W16" s="6"/>
      <x:c r="X16" s="6"/>
      <x:c r="Y16" s="6"/>
      <x:c r="Z16" s="6"/>
      <x:c r="AA16" s="6"/>
      <x:c r="AB16" s="6"/>
      <x:c r="AC16" s="53"/>
      <x:c r="AD16" s="53"/>
    </x:row>
    <x:row r="17" ht="15.75" customHeight="1">
      <x:c r="A17" s="3" t="s">
        <x:v>27</x:v>
      </x:c>
      <x:c r="B17" s="8">
        <x:v>1329494</x:v>
      </x:c>
      <x:c r="C17" s="8">
        <x:v>56147</x:v>
      </x:c>
      <x:c r="D17" s="8">
        <x:v>37791</x:v>
      </x:c>
      <x:c r="E17" s="24"/>
      <x:c r="F17" s="9">
        <x:v>175317</x:v>
      </x:c>
      <x:c r="G17" s="9">
        <x:v>190585</x:v>
      </x:c>
      <x:c r="H17" s="9">
        <x:v>155345</x:v>
      </x:c>
      <x:c r="I17" s="9">
        <x:v>136470</x:v>
      </x:c>
      <x:c r="J17" s="9">
        <x:v>132499</x:v>
      </x:c>
      <x:c r="K17" s="9">
        <x:v>146879</x:v>
      </x:c>
      <x:c r="L17" s="9">
        <x:v>118178</x:v>
      </x:c>
      <x:c r="M17" s="9">
        <x:v>188656</x:v>
      </x:c>
      <x:c r="N17" s="9">
        <x:v>85565</x:v>
      </x:c>
      <x:c r="O17" s="10"/>
      <x:c r="P17" s="10"/>
      <x:c r="Q17" s="10"/>
      <x:c r="R17" s="10"/>
      <x:c r="S17" s="10"/>
      <x:c r="T17" s="10"/>
      <x:c r="U17" s="28"/>
      <x:c r="V17" s="7" t="n">
        <x:f>SUM(F17:T17)</x:f>
        <x:v>1329494</x:v>
      </x:c>
      <x:c r="W17" s="7" t="n">
        <x:f>SUM(F18:T18)</x:f>
        <x:v>56147</x:v>
      </x:c>
      <x:c r="X17" s="7" t="n">
        <x:f>SUM(F19:T19)</x:f>
        <x:v>37791</x:v>
      </x:c>
      <x:c r="Y17" s="7"/>
      <x:c r="Z17" s="7" t="n">
        <x:f>V17-B17</x:f>
        <x:v>0</x:v>
      </x:c>
      <x:c r="AA17" s="7" t="n">
        <x:f>W17-C17</x:f>
        <x:v>0</x:v>
      </x:c>
      <x:c r="AB17" s="7" t="n">
        <x:f>X17-D17</x:f>
        <x:v>0</x:v>
      </x:c>
      <x:c r="AC17" s="53" t="n">
        <x:v>42.3</x:v>
      </x:c>
      <x:c r="AD17" s="53" t="n">
        <x:v>28.4</x:v>
      </x:c>
    </x:row>
    <x:row r="18" ht="15.75" customHeight="1">
      <x:c r="A18" s="4" t="s">
        <x:v>28</x:v>
      </x:c>
      <x:c r="B18" s="11"/>
      <x:c r="C18" s="11"/>
      <x:c r="D18" s="11"/>
      <x:c r="E18" s="25"/>
      <x:c r="F18" s="13">
        <x:v>6603</x:v>
      </x:c>
      <x:c r="G18" s="13">
        <x:v>7755</x:v>
      </x:c>
      <x:c r="H18" s="13">
        <x:v>5437</x:v>
      </x:c>
      <x:c r="I18" s="13">
        <x:v>5796</x:v>
      </x:c>
      <x:c r="J18" s="13">
        <x:v>5300</x:v>
      </x:c>
      <x:c r="K18" s="13">
        <x:v>7146</x:v>
      </x:c>
      <x:c r="L18" s="13">
        <x:v>5516</x:v>
      </x:c>
      <x:c r="M18" s="13">
        <x:v>8175</x:v>
      </x:c>
      <x:c r="N18" s="13">
        <x:v>4419</x:v>
      </x:c>
      <x:c r="O18" s="12"/>
      <x:c r="P18" s="12"/>
      <x:c r="Q18" s="12"/>
      <x:c r="R18" s="12"/>
      <x:c r="S18" s="12"/>
      <x:c r="T18" s="12"/>
      <x:c r="U18" s="28"/>
      <x:c r="V18" s="6"/>
      <x:c r="W18" s="6"/>
      <x:c r="X18" s="6"/>
      <x:c r="Y18" s="6"/>
      <x:c r="Z18" s="6"/>
      <x:c r="AA18" s="6"/>
      <x:c r="AB18" s="6"/>
      <x:c r="AC18" s="53"/>
      <x:c r="AD18" s="53"/>
    </x:row>
    <x:row r="19" ht="15.75" customHeight="1">
      <x:c r="A19" s="4" t="s">
        <x:v>29</x:v>
      </x:c>
      <x:c r="B19" s="11"/>
      <x:c r="C19" s="11"/>
      <x:c r="D19" s="11"/>
      <x:c r="E19" s="25"/>
      <x:c r="F19" s="13">
        <x:v>4780</x:v>
      </x:c>
      <x:c r="G19" s="13">
        <x:v>5060</x:v>
      </x:c>
      <x:c r="H19" s="13">
        <x:v>4297</x:v>
      </x:c>
      <x:c r="I19" s="13">
        <x:v>3643</x:v>
      </x:c>
      <x:c r="J19" s="13">
        <x:v>3979</x:v>
      </x:c>
      <x:c r="K19" s="13">
        <x:v>4717</x:v>
      </x:c>
      <x:c r="L19" s="13">
        <x:v>3652</x:v>
      </x:c>
      <x:c r="M19" s="13">
        <x:v>4699</x:v>
      </x:c>
      <x:c r="N19" s="13">
        <x:v>2964</x:v>
      </x:c>
      <x:c r="O19" s="12"/>
      <x:c r="P19" s="12"/>
      <x:c r="Q19" s="12"/>
      <x:c r="R19" s="12"/>
      <x:c r="S19" s="12"/>
      <x:c r="T19" s="12"/>
      <x:c r="U19" s="28"/>
      <x:c r="V19" s="6"/>
      <x:c r="W19" s="6"/>
      <x:c r="X19" s="6"/>
      <x:c r="Y19" s="6"/>
      <x:c r="Z19" s="6"/>
      <x:c r="AA19" s="6"/>
      <x:c r="AB19" s="6"/>
      <x:c r="AC19" s="53"/>
      <x:c r="AD19" s="53"/>
    </x:row>
    <x:row r="20" ht="15.75" customHeight="1">
      <x:c r="A20" s="3" t="s">
        <x:v>30</x:v>
      </x:c>
      <x:c r="B20" s="8">
        <x:v>2995133</x:v>
      </x:c>
      <x:c r="C20" s="8">
        <x:v>157321</x:v>
      </x:c>
      <x:c r="D20" s="8">
        <x:v>95868</x:v>
      </x:c>
      <x:c r="E20" s="24"/>
      <x:c r="F20" s="9">
        <x:v>422562</x:v>
      </x:c>
      <x:c r="G20" s="9">
        <x:v>250313</x:v>
      </x:c>
      <x:c r="H20" s="9">
        <x:v>266861</x:v>
      </x:c>
      <x:c r="I20" s="9">
        <x:v>233731</x:v>
      </x:c>
      <x:c r="J20" s="9">
        <x:v>246842</x:v>
      </x:c>
      <x:c r="K20" s="9">
        <x:v>196626</x:v>
      </x:c>
      <x:c r="L20" s="9">
        <x:v>248629</x:v>
      </x:c>
      <x:c r="M20" s="9">
        <x:v>203650</x:v>
      </x:c>
      <x:c r="N20" s="9">
        <x:v>204034</x:v>
      </x:c>
      <x:c r="O20" s="9">
        <x:v>268606</x:v>
      </x:c>
      <x:c r="P20" s="9">
        <x:v>255947</x:v>
      </x:c>
      <x:c r="Q20" s="9">
        <x:v>197332</x:v>
      </x:c>
      <x:c r="R20" s="10"/>
      <x:c r="S20" s="10"/>
      <x:c r="T20" s="10"/>
      <x:c r="U20" s="28"/>
      <x:c r="V20" s="7" t="n">
        <x:f>SUM(F20:T20)</x:f>
        <x:v>2995133</x:v>
      </x:c>
      <x:c r="W20" s="7" t="n">
        <x:f>SUM(F21:T21)</x:f>
        <x:v>157321</x:v>
      </x:c>
      <x:c r="X20" s="7" t="n">
        <x:f>SUM(F22:T22)</x:f>
        <x:v>95868</x:v>
      </x:c>
      <x:c r="Y20" s="7"/>
      <x:c r="Z20" s="7" t="n">
        <x:f>V20-B20</x:f>
        <x:v>0</x:v>
      </x:c>
      <x:c r="AA20" s="7" t="n">
        <x:f>W20-C20</x:f>
        <x:v>0</x:v>
      </x:c>
      <x:c r="AB20" s="7" t="n">
        <x:f>X20-D20</x:f>
        <x:v>0</x:v>
      </x:c>
      <x:c r="AC20" s="53" t="n">
        <x:v>52.5</x:v>
      </x:c>
      <x:c r="AD20" s="53" t="n">
        <x:v>32.4</x:v>
      </x:c>
    </x:row>
    <x:row r="21" ht="15.75" customHeight="1">
      <x:c r="A21" s="4" t="s">
        <x:v>31</x:v>
      </x:c>
      <x:c r="B21" s="11"/>
      <x:c r="C21" s="11"/>
      <x:c r="D21" s="11"/>
      <x:c r="E21" s="25"/>
      <x:c r="F21" s="13">
        <x:v>19762</x:v>
      </x:c>
      <x:c r="G21" s="13">
        <x:v>11841</x:v>
      </x:c>
      <x:c r="H21" s="13">
        <x:v>14461</x:v>
      </x:c>
      <x:c r="I21" s="13">
        <x:v>12892</x:v>
      </x:c>
      <x:c r="J21" s="13">
        <x:v>12976</x:v>
      </x:c>
      <x:c r="K21" s="13">
        <x:v>9702</x:v>
      </x:c>
      <x:c r="L21" s="13">
        <x:v>13278</x:v>
      </x:c>
      <x:c r="M21" s="13">
        <x:v>11079</x:v>
      </x:c>
      <x:c r="N21" s="13">
        <x:v>11047</x:v>
      </x:c>
      <x:c r="O21" s="13">
        <x:v>14518</x:v>
      </x:c>
      <x:c r="P21" s="13">
        <x:v>14687</x:v>
      </x:c>
      <x:c r="Q21" s="13">
        <x:v>11078</x:v>
      </x:c>
      <x:c r="R21" s="12"/>
      <x:c r="S21" s="12"/>
      <x:c r="T21" s="12"/>
      <x:c r="U21" s="28"/>
      <x:c r="V21" s="6"/>
      <x:c r="W21" s="6"/>
      <x:c r="X21" s="6"/>
      <x:c r="Y21" s="6"/>
      <x:c r="Z21" s="6"/>
      <x:c r="AA21" s="6"/>
      <x:c r="AB21" s="6"/>
      <x:c r="AC21" s="53"/>
      <x:c r="AD21" s="53"/>
    </x:row>
    <x:row r="22" ht="15.75" customHeight="1">
      <x:c r="A22" s="4" t="s">
        <x:v>32</x:v>
      </x:c>
      <x:c r="B22" s="11"/>
      <x:c r="C22" s="11"/>
      <x:c r="D22" s="11"/>
      <x:c r="E22" s="25"/>
      <x:c r="F22" s="13">
        <x:v>13294</x:v>
      </x:c>
      <x:c r="G22" s="13">
        <x:v>8201</x:v>
      </x:c>
      <x:c r="H22" s="13">
        <x:v>8387</x:v>
      </x:c>
      <x:c r="I22" s="13">
        <x:v>6980</x:v>
      </x:c>
      <x:c r="J22" s="13">
        <x:v>7585</x:v>
      </x:c>
      <x:c r="K22" s="13">
        <x:v>6575</x:v>
      </x:c>
      <x:c r="L22" s="13">
        <x:v>7974</x:v>
      </x:c>
      <x:c r="M22" s="13">
        <x:v>7192</x:v>
      </x:c>
      <x:c r="N22" s="13">
        <x:v>6399</x:v>
      </x:c>
      <x:c r="O22" s="13">
        <x:v>9380</x:v>
      </x:c>
      <x:c r="P22" s="13">
        <x:v>7141</x:v>
      </x:c>
      <x:c r="Q22" s="13">
        <x:v>6760</x:v>
      </x:c>
      <x:c r="R22" s="12"/>
      <x:c r="S22" s="12"/>
      <x:c r="T22" s="12"/>
      <x:c r="U22" s="28"/>
      <x:c r="V22" s="6"/>
      <x:c r="W22" s="6"/>
      <x:c r="X22" s="6"/>
      <x:c r="Y22" s="6"/>
      <x:c r="Z22" s="6"/>
      <x:c r="AA22" s="6"/>
      <x:c r="AB22" s="6"/>
      <x:c r="AC22" s="53"/>
      <x:c r="AD22" s="53"/>
    </x:row>
    <x:row r="23" ht="15.75" customHeight="1">
      <x:c r="A23" s="3" t="s">
        <x:v>33</x:v>
      </x:c>
      <x:c r="B23" s="8">
        <x:v>1554752</x:v>
      </x:c>
      <x:c r="C23" s="8">
        <x:v>54319</x:v>
      </x:c>
      <x:c r="D23" s="8">
        <x:v>35604</x:v>
      </x:c>
      <x:c r="E23" s="24"/>
      <x:c r="F23" s="9">
        <x:v>216415</x:v>
      </x:c>
      <x:c r="G23" s="9">
        <x:v>236669</x:v>
      </x:c>
      <x:c r="H23" s="9">
        <x:v>206697</x:v>
      </x:c>
      <x:c r="I23" s="9">
        <x:v>216705</x:v>
      </x:c>
      <x:c r="J23" s="9">
        <x:v>242833</x:v>
      </x:c>
      <x:c r="K23" s="9">
        <x:v>190692</x:v>
      </x:c>
      <x:c r="L23" s="9">
        <x:v>244741</x:v>
      </x:c>
      <x:c r="M23" s="10"/>
      <x:c r="N23" s="10"/>
      <x:c r="O23" s="10"/>
      <x:c r="P23" s="10"/>
      <x:c r="Q23" s="10"/>
      <x:c r="R23" s="10"/>
      <x:c r="S23" s="10"/>
      <x:c r="T23" s="10"/>
      <x:c r="U23" s="28"/>
      <x:c r="V23" s="7" t="n">
        <x:f>SUM(F23:T23)</x:f>
        <x:v>1554752</x:v>
      </x:c>
      <x:c r="W23" s="7" t="n">
        <x:f>SUM(F24:T24)</x:f>
        <x:v>54319</x:v>
      </x:c>
      <x:c r="X23" s="7" t="n">
        <x:f>SUM(F25:T25)</x:f>
        <x:v>35604</x:v>
      </x:c>
      <x:c r="Y23" s="7"/>
      <x:c r="Z23" s="7" t="n">
        <x:f>V23-B23</x:f>
        <x:v>0</x:v>
      </x:c>
      <x:c r="AA23" s="7" t="n">
        <x:f>W23-C23</x:f>
        <x:v>0</x:v>
      </x:c>
      <x:c r="AB23" s="7" t="n">
        <x:f>X23-D23</x:f>
        <x:v>0</x:v>
      </x:c>
      <x:c r="AC23" s="53" t="n">
        <x:v>34.9</x:v>
      </x:c>
      <x:c r="AD23" s="53" t="n">
        <x:v>22.9</x:v>
      </x:c>
    </x:row>
    <x:row r="24" ht="15.75" customHeight="1">
      <x:c r="A24" s="4" t="s">
        <x:v>34</x:v>
      </x:c>
      <x:c r="B24" s="11"/>
      <x:c r="C24" s="11"/>
      <x:c r="D24" s="11"/>
      <x:c r="E24" s="25"/>
      <x:c r="F24" s="13">
        <x:v>7637</x:v>
      </x:c>
      <x:c r="G24" s="13">
        <x:v>7995</x:v>
      </x:c>
      <x:c r="H24" s="13">
        <x:v>6522</x:v>
      </x:c>
      <x:c r="I24" s="13">
        <x:v>7577</x:v>
      </x:c>
      <x:c r="J24" s="13">
        <x:v>9454</x:v>
      </x:c>
      <x:c r="K24" s="13">
        <x:v>7043</x:v>
      </x:c>
      <x:c r="L24" s="13">
        <x:v>8091</x:v>
      </x:c>
      <x:c r="M24" s="12"/>
      <x:c r="N24" s="12"/>
      <x:c r="O24" s="12"/>
      <x:c r="P24" s="12"/>
      <x:c r="Q24" s="12"/>
      <x:c r="R24" s="12"/>
      <x:c r="S24" s="12"/>
      <x:c r="T24" s="12"/>
      <x:c r="U24" s="28"/>
      <x:c r="V24" s="6"/>
      <x:c r="W24" s="6"/>
      <x:c r="X24" s="6"/>
      <x:c r="Y24" s="6"/>
      <x:c r="Z24" s="6"/>
      <x:c r="AA24" s="6"/>
      <x:c r="AB24" s="6"/>
      <x:c r="AC24" s="53"/>
      <x:c r="AD24" s="53"/>
    </x:row>
    <x:row r="25" ht="15.75" customHeight="1">
      <x:c r="A25" s="4" t="s">
        <x:v>35</x:v>
      </x:c>
      <x:c r="B25" s="11"/>
      <x:c r="C25" s="11"/>
      <x:c r="D25" s="11"/>
      <x:c r="E25" s="25"/>
      <x:c r="F25" s="13">
        <x:v>4892</x:v>
      </x:c>
      <x:c r="G25" s="13">
        <x:v>5018</x:v>
      </x:c>
      <x:c r="H25" s="13">
        <x:v>4677</x:v>
      </x:c>
      <x:c r="I25" s="13">
        <x:v>5444</x:v>
      </x:c>
      <x:c r="J25" s="13">
        <x:v>6208</x:v>
      </x:c>
      <x:c r="K25" s="13">
        <x:v>4211</x:v>
      </x:c>
      <x:c r="L25" s="13">
        <x:v>5154</x:v>
      </x:c>
      <x:c r="M25" s="12"/>
      <x:c r="N25" s="12"/>
      <x:c r="O25" s="12"/>
      <x:c r="P25" s="12"/>
      <x:c r="Q25" s="12"/>
      <x:c r="R25" s="12"/>
      <x:c r="S25" s="12"/>
      <x:c r="T25" s="12"/>
      <x:c r="U25" s="28"/>
      <x:c r="V25" s="6"/>
      <x:c r="W25" s="6"/>
      <x:c r="X25" s="6"/>
      <x:c r="Y25" s="6"/>
      <x:c r="Z25" s="6"/>
      <x:c r="AA25" s="6"/>
      <x:c r="AB25" s="6"/>
      <x:c r="AC25" s="53"/>
      <x:c r="AD25" s="53"/>
    </x:row>
    <x:row r="26" ht="15.75" customHeight="1">
      <x:c r="A26" s="3" t="s">
        <x:v>36</x:v>
      </x:c>
      <x:c r="B26" s="8">
        <x:v>1712274</x:v>
      </x:c>
      <x:c r="C26" s="8">
        <x:v>75862</x:v>
      </x:c>
      <x:c r="D26" s="8">
        <x:v>45253</x:v>
      </x:c>
      <x:c r="E26" s="24"/>
      <x:c r="F26" s="9">
        <x:v>211203</x:v>
      </x:c>
      <x:c r="G26" s="9">
        <x:v>212253</x:v>
      </x:c>
      <x:c r="H26" s="9">
        <x:v>181295</x:v>
      </x:c>
      <x:c r="I26" s="9">
        <x:v>179564</x:v>
      </x:c>
      <x:c r="J26" s="9">
        <x:v>128389</x:v>
      </x:c>
      <x:c r="K26" s="9">
        <x:v>227222</x:v>
      </x:c>
      <x:c r="L26" s="9">
        <x:v>188418</x:v>
      </x:c>
      <x:c r="M26" s="9">
        <x:v>148758</x:v>
      </x:c>
      <x:c r="N26" s="9">
        <x:v>235172</x:v>
      </x:c>
      <x:c r="O26" s="10"/>
      <x:c r="P26" s="10"/>
      <x:c r="Q26" s="10"/>
      <x:c r="R26" s="10"/>
      <x:c r="S26" s="10"/>
      <x:c r="T26" s="10"/>
      <x:c r="U26" s="28"/>
      <x:c r="V26" s="7" t="n">
        <x:f>SUM(F26:T26)</x:f>
        <x:v>1712274</x:v>
      </x:c>
      <x:c r="W26" s="7" t="n">
        <x:f>SUM(F27:T27)</x:f>
        <x:v>75862</x:v>
      </x:c>
      <x:c r="X26" s="7" t="n">
        <x:f>SUM(F28:T28)</x:f>
        <x:v>45253</x:v>
      </x:c>
      <x:c r="Y26" s="7"/>
      <x:c r="Z26" s="7" t="n">
        <x:f>V26-B26</x:f>
        <x:v>0</x:v>
      </x:c>
      <x:c r="AA26" s="7" t="n">
        <x:f>W26-C26</x:f>
        <x:v>0</x:v>
      </x:c>
      <x:c r="AB26" s="7" t="n">
        <x:f>X26-D26</x:f>
        <x:v>0</x:v>
      </x:c>
      <x:c r="AC26" s="53" t="n">
        <x:v>44.3</x:v>
      </x:c>
      <x:c r="AD26" s="53" t="n">
        <x:v>26.4</x:v>
      </x:c>
    </x:row>
    <x:row r="27" ht="15.75" customHeight="1">
      <x:c r="A27" s="4" t="s">
        <x:v>37</x:v>
      </x:c>
      <x:c r="B27" s="11"/>
      <x:c r="C27" s="11"/>
      <x:c r="D27" s="11"/>
      <x:c r="E27" s="25"/>
      <x:c r="F27" s="13">
        <x:v>8412</x:v>
      </x:c>
      <x:c r="G27" s="13">
        <x:v>9372</x:v>
      </x:c>
      <x:c r="H27" s="13">
        <x:v>8518</x:v>
      </x:c>
      <x:c r="I27" s="13">
        <x:v>8443</x:v>
      </x:c>
      <x:c r="J27" s="13">
        <x:v>6926</x:v>
      </x:c>
      <x:c r="K27" s="13">
        <x:v>8522</x:v>
      </x:c>
      <x:c r="L27" s="13">
        <x:v>8444</x:v>
      </x:c>
      <x:c r="M27" s="13">
        <x:v>8756</x:v>
      </x:c>
      <x:c r="N27" s="13">
        <x:v>8469</x:v>
      </x:c>
      <x:c r="O27" s="12"/>
      <x:c r="P27" s="12"/>
      <x:c r="Q27" s="12"/>
      <x:c r="R27" s="12"/>
      <x:c r="S27" s="12"/>
      <x:c r="T27" s="12"/>
      <x:c r="U27" s="28"/>
      <x:c r="V27" s="6"/>
      <x:c r="W27" s="6"/>
      <x:c r="X27" s="6"/>
      <x:c r="Y27" s="6"/>
      <x:c r="Z27" s="6"/>
      <x:c r="AA27" s="6"/>
      <x:c r="AB27" s="6"/>
      <x:c r="AC27" s="53"/>
      <x:c r="AD27" s="53"/>
    </x:row>
    <x:row r="28" ht="15.75" customHeight="1">
      <x:c r="A28" s="4" t="s">
        <x:v>38</x:v>
      </x:c>
      <x:c r="B28" s="11"/>
      <x:c r="C28" s="11"/>
      <x:c r="D28" s="11"/>
      <x:c r="E28" s="25"/>
      <x:c r="F28" s="13">
        <x:v>4989</x:v>
      </x:c>
      <x:c r="G28" s="13">
        <x:v>4733</x:v>
      </x:c>
      <x:c r="H28" s="13">
        <x:v>4748</x:v>
      </x:c>
      <x:c r="I28" s="13">
        <x:v>4568</x:v>
      </x:c>
      <x:c r="J28" s="13">
        <x:v>3716</x:v>
      </x:c>
      <x:c r="K28" s="13">
        <x:v>5646</x:v>
      </x:c>
      <x:c r="L28" s="13">
        <x:v>4708</x:v>
      </x:c>
      <x:c r="M28" s="13">
        <x:v>5739</x:v>
      </x:c>
      <x:c r="N28" s="13">
        <x:v>6406</x:v>
      </x:c>
      <x:c r="O28" s="12"/>
      <x:c r="P28" s="12"/>
      <x:c r="Q28" s="12"/>
      <x:c r="R28" s="12"/>
      <x:c r="S28" s="12"/>
      <x:c r="T28" s="12"/>
      <x:c r="U28" s="28"/>
      <x:c r="V28" s="6"/>
      <x:c r="W28" s="6"/>
      <x:c r="X28" s="6"/>
      <x:c r="Y28" s="6"/>
      <x:c r="Z28" s="6"/>
      <x:c r="AA28" s="6"/>
      <x:c r="AB28" s="6"/>
      <x:c r="AC28" s="53"/>
      <x:c r="AD28" s="53"/>
    </x:row>
    <x:row r="29" ht="15.75" customHeight="1">
      <x:c r="A29" s="3" t="s">
        <x:v>39</x:v>
      </x:c>
      <x:c r="B29" s="8">
        <x:v>1326468</x:v>
      </x:c>
      <x:c r="C29" s="8">
        <x:v>69060</x:v>
      </x:c>
      <x:c r="D29" s="8">
        <x:v>33339</x:v>
      </x:c>
      <x:c r="E29" s="24"/>
      <x:c r="F29" s="9">
        <x:v>145332</x:v>
      </x:c>
      <x:c r="G29" s="9">
        <x:v>93080</x:v>
      </x:c>
      <x:c r="H29" s="9">
        <x:v>192129</x:v>
      </x:c>
      <x:c r="I29" s="9">
        <x:v>95200</x:v>
      </x:c>
      <x:c r="J29" s="9">
        <x:v>116482</x:v>
      </x:c>
      <x:c r="K29" s="9">
        <x:v>78572</x:v>
      </x:c>
      <x:c r="L29" s="9">
        <x:v>122851</x:v>
      </x:c>
      <x:c r="M29" s="9">
        <x:v>162724</x:v>
      </x:c>
      <x:c r="N29" s="9">
        <x:v>126588</x:v>
      </x:c>
      <x:c r="O29" s="9">
        <x:v>72677</x:v>
      </x:c>
      <x:c r="P29" s="9">
        <x:v>120833</x:v>
      </x:c>
      <x:c r="Q29" s="10"/>
      <x:c r="R29" s="10"/>
      <x:c r="S29" s="10"/>
      <x:c r="T29" s="10"/>
      <x:c r="U29" s="28"/>
      <x:c r="V29" s="7" t="n">
        <x:f>SUM(F29:T29)</x:f>
        <x:v>1326468</x:v>
      </x:c>
      <x:c r="W29" s="7" t="n">
        <x:f>SUM(F30:T30)</x:f>
        <x:v>69060</x:v>
      </x:c>
      <x:c r="X29" s="7" t="n">
        <x:f>SUM(F31:T31)</x:f>
        <x:v>33339</x:v>
      </x:c>
      <x:c r="Y29" s="7"/>
      <x:c r="Z29" s="7" t="n">
        <x:f>V29-B29</x:f>
        <x:v>0</x:v>
      </x:c>
      <x:c r="AA29" s="7" t="n">
        <x:f>W29-C29</x:f>
        <x:v>0</x:v>
      </x:c>
      <x:c r="AB29" s="7" t="n">
        <x:f>X29-D29</x:f>
        <x:v>0</x:v>
      </x:c>
      <x:c r="AC29" s="53" t="n">
        <x:v>52.1</x:v>
      </x:c>
      <x:c r="AD29" s="53" t="n">
        <x:v>45.1</x:v>
      </x:c>
    </x:row>
    <x:row r="30" ht="15.75" customHeight="1">
      <x:c r="A30" s="4" t="s">
        <x:v>40</x:v>
      </x:c>
      <x:c r="B30" s="11"/>
      <x:c r="C30" s="11"/>
      <x:c r="D30" s="11"/>
      <x:c r="E30" s="25"/>
      <x:c r="F30" s="13">
        <x:v>5767</x:v>
      </x:c>
      <x:c r="G30" s="13">
        <x:v>5268</x:v>
      </x:c>
      <x:c r="H30" s="13">
        <x:v>9746</x:v>
      </x:c>
      <x:c r="I30" s="13">
        <x:v>5081</x:v>
      </x:c>
      <x:c r="J30" s="13">
        <x:v>5962</x:v>
      </x:c>
      <x:c r="K30" s="13">
        <x:v>4488</x:v>
      </x:c>
      <x:c r="L30" s="13">
        <x:v>7139</x:v>
      </x:c>
      <x:c r="M30" s="13">
        <x:v>9802</x:v>
      </x:c>
      <x:c r="N30" s="13">
        <x:v>5991</x:v>
      </x:c>
      <x:c r="O30" s="13">
        <x:v>3416</x:v>
      </x:c>
      <x:c r="P30" s="13">
        <x:v>6400</x:v>
      </x:c>
      <x:c r="Q30" s="12"/>
      <x:c r="R30" s="12"/>
      <x:c r="S30" s="12"/>
      <x:c r="T30" s="12"/>
      <x:c r="U30" s="28"/>
      <x:c r="V30" s="6"/>
      <x:c r="W30" s="6"/>
      <x:c r="X30" s="6"/>
      <x:c r="Y30" s="6"/>
      <x:c r="Z30" s="6"/>
      <x:c r="AA30" s="6"/>
      <x:c r="AB30" s="6"/>
      <x:c r="AC30" s="53"/>
      <x:c r="AD30" s="53"/>
    </x:row>
    <x:row r="31" ht="15.75" customHeight="1">
      <x:c r="A31" s="4" t="s">
        <x:v>41</x:v>
      </x:c>
      <x:c r="B31" s="11"/>
      <x:c r="C31" s="11"/>
      <x:c r="D31" s="11"/>
      <x:c r="E31" s="25"/>
      <x:c r="F31" s="13">
        <x:v>2978</x:v>
      </x:c>
      <x:c r="G31" s="13">
        <x:v>2636</x:v>
      </x:c>
      <x:c r="H31" s="13">
        <x:v>4618</x:v>
      </x:c>
      <x:c r="I31" s="13">
        <x:v>2494</x:v>
      </x:c>
      <x:c r="J31" s="13">
        <x:v>2688</x:v>
      </x:c>
      <x:c r="K31" s="13">
        <x:v>2098</x:v>
      </x:c>
      <x:c r="L31" s="13">
        <x:v>3930</x:v>
      </x:c>
      <x:c r="M31" s="13">
        <x:v>3843</x:v>
      </x:c>
      <x:c r="N31" s="13">
        <x:v>3117</x:v>
      </x:c>
      <x:c r="O31" s="13">
        <x:v>1988</x:v>
      </x:c>
      <x:c r="P31" s="13">
        <x:v>2949</x:v>
      </x:c>
      <x:c r="Q31" s="12"/>
      <x:c r="R31" s="12"/>
      <x:c r="S31" s="12"/>
      <x:c r="T31" s="12"/>
      <x:c r="U31" s="28"/>
      <x:c r="V31" s="6"/>
      <x:c r="W31" s="6"/>
      <x:c r="X31" s="6"/>
      <x:c r="Y31" s="6"/>
      <x:c r="Z31" s="6"/>
      <x:c r="AA31" s="6"/>
      <x:c r="AB31" s="6"/>
      <x:c r="AC31" s="53"/>
      <x:c r="AD31" s="53"/>
    </x:row>
    <x:row r="32" ht="15.75" customHeight="1">
      <x:c r="A32" s="3" t="s">
        <x:v>42</x:v>
      </x:c>
      <x:c r="B32" s="8">
        <x:v>1337913</x:v>
      </x:c>
      <x:c r="C32" s="8">
        <x:v>81236</x:v>
      </x:c>
      <x:c r="D32" s="8">
        <x:v>49862</x:v>
      </x:c>
      <x:c r="E32" s="24"/>
      <x:c r="F32" s="9">
        <x:v>461718</x:v>
      </x:c>
      <x:c r="G32" s="9">
        <x:v>177500</x:v>
      </x:c>
      <x:c r="H32" s="9">
        <x:v>173489</x:v>
      </x:c>
      <x:c r="I32" s="9">
        <x:v>152299</x:v>
      </x:c>
      <x:c r="J32" s="9">
        <x:v>372907</x:v>
      </x:c>
      <x:c r="K32" s="10"/>
      <x:c r="L32" s="10"/>
      <x:c r="M32" s="10"/>
      <x:c r="N32" s="10"/>
      <x:c r="O32" s="10"/>
      <x:c r="P32" s="10"/>
      <x:c r="Q32" s="10"/>
      <x:c r="R32" s="10"/>
      <x:c r="S32" s="10"/>
      <x:c r="T32" s="10"/>
      <x:c r="U32" s="28"/>
      <x:c r="V32" s="7" t="n">
        <x:f>SUM(F32:T32)</x:f>
        <x:v>1337913</x:v>
      </x:c>
      <x:c r="W32" s="7" t="n">
        <x:f>SUM(F33:T33)</x:f>
        <x:v>81236</x:v>
      </x:c>
      <x:c r="X32" s="7" t="n">
        <x:f>SUM(F34:T34)</x:f>
        <x:v>49862</x:v>
      </x:c>
      <x:c r="Y32" s="7"/>
      <x:c r="Z32" s="7" t="n">
        <x:f>V32-B32</x:f>
        <x:v>0</x:v>
      </x:c>
      <x:c r="AA32" s="7" t="n">
        <x:f>W32-C32</x:f>
        <x:v>0</x:v>
      </x:c>
      <x:c r="AB32" s="7" t="n">
        <x:f>X32-D32</x:f>
        <x:v>0</x:v>
      </x:c>
      <x:c r="AC32" s="53" t="n">
        <x:v>60.7</x:v>
      </x:c>
      <x:c r="AD32" s="53" t="n">
        <x:v>37.3</x:v>
      </x:c>
    </x:row>
    <x:row r="33" ht="15.75" customHeight="1">
      <x:c r="A33" s="4" t="s">
        <x:v>43</x:v>
      </x:c>
      <x:c r="B33" s="11"/>
      <x:c r="C33" s="11"/>
      <x:c r="D33" s="11"/>
      <x:c r="E33" s="25"/>
      <x:c r="F33" s="13">
        <x:v>28426</x:v>
      </x:c>
      <x:c r="G33" s="13">
        <x:v>10683</x:v>
      </x:c>
      <x:c r="H33" s="13">
        <x:v>10052</x:v>
      </x:c>
      <x:c r="I33" s="13">
        <x:v>10408</x:v>
      </x:c>
      <x:c r="J33" s="13">
        <x:v>21667</x:v>
      </x:c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28"/>
      <x:c r="V33" s="6"/>
      <x:c r="W33" s="6"/>
      <x:c r="X33" s="6"/>
      <x:c r="Y33" s="6"/>
      <x:c r="Z33" s="6"/>
      <x:c r="AA33" s="6"/>
      <x:c r="AB33" s="6"/>
      <x:c r="AC33" s="53"/>
      <x:c r="AD33" s="53"/>
    </x:row>
    <x:row r="34" ht="15.75" customHeight="1">
      <x:c r="A34" s="4" t="s">
        <x:v>44</x:v>
      </x:c>
      <x:c r="B34" s="11"/>
      <x:c r="C34" s="11"/>
      <x:c r="D34" s="11"/>
      <x:c r="E34" s="25"/>
      <x:c r="F34" s="13">
        <x:v>15535</x:v>
      </x:c>
      <x:c r="G34" s="13">
        <x:v>7915</x:v>
      </x:c>
      <x:c r="H34" s="13">
        <x:v>5912</x:v>
      </x:c>
      <x:c r="I34" s="13">
        <x:v>6732</x:v>
      </x:c>
      <x:c r="J34" s="13">
        <x:v>13768</x:v>
      </x:c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28"/>
      <x:c r="V34" s="6"/>
      <x:c r="W34" s="6"/>
      <x:c r="X34" s="6"/>
      <x:c r="Y34" s="6"/>
      <x:c r="Z34" s="6"/>
      <x:c r="AA34" s="6"/>
      <x:c r="AB34" s="6"/>
      <x:c r="AC34" s="53"/>
      <x:c r="AD34" s="53"/>
    </x:row>
    <x:row r="35" ht="15.75" customHeight="1">
      <x:c r="A35" s="3" t="s">
        <x:v>45</x:v>
      </x:c>
      <x:c r="B35" s="8">
        <x:v>2500435</x:v>
      </x:c>
      <x:c r="C35" s="8">
        <x:v>124380</x:v>
      </x:c>
      <x:c r="D35" s="8">
        <x:v>81485</x:v>
      </x:c>
      <x:c r="E35" s="24"/>
      <x:c r="F35" s="15" t="s">
        <x:v>16</x:v>
      </x:c>
      <x:c r="G35" s="15" t="s">
        <x:v>16</x:v>
      </x:c>
      <x:c r="H35" s="15" t="s">
        <x:v>16</x:v>
      </x:c>
      <x:c r="I35" s="15" t="s">
        <x:v>16</x:v>
      </x:c>
      <x:c r="J35" s="15" t="s">
        <x:v>16</x:v>
      </x:c>
      <x:c r="K35" s="15" t="s">
        <x:v>16</x:v>
      </x:c>
      <x:c r="L35" s="15" t="s">
        <x:v>16</x:v>
      </x:c>
      <x:c r="M35" s="15" t="s">
        <x:v>16</x:v>
      </x:c>
      <x:c r="N35" s="15" t="s">
        <x:v>16</x:v>
      </x:c>
      <x:c r="O35" s="15" t="s">
        <x:v>16</x:v>
      </x:c>
      <x:c r="P35" s="15" t="s">
        <x:v>16</x:v>
      </x:c>
      <x:c r="Q35" s="15" t="s">
        <x:v>16</x:v>
      </x:c>
      <x:c r="R35" s="10"/>
      <x:c r="S35" s="10"/>
      <x:c r="T35" s="10"/>
      <x:c r="U35" s="28"/>
      <x:c r="V35" s="7" t="n">
        <x:f>SUM(F35:T35)</x:f>
        <x:v>0</x:v>
      </x:c>
      <x:c r="W35" s="7" t="n">
        <x:f>SUM(F36:T36)</x:f>
        <x:v>124400</x:v>
      </x:c>
      <x:c r="X35" s="7" t="n">
        <x:f>SUM(F37:T37)</x:f>
        <x:v>81583</x:v>
      </x:c>
      <x:c r="Y35" s="7"/>
      <x:c r="Z35" s="7"/>
      <x:c r="AA35" s="7" t="n">
        <x:f>W35-C35</x:f>
        <x:v>20</x:v>
      </x:c>
      <x:c r="AB35" s="7" t="n">
        <x:f>X35-D35</x:f>
        <x:v>98</x:v>
      </x:c>
      <x:c r="AC35" s="53" t="n">
        <x:v>49.7</x:v>
      </x:c>
      <x:c r="AD35" s="53" t="n">
        <x:v>32.4</x:v>
      </x:c>
    </x:row>
    <x:row r="36" ht="15.75" customHeight="1">
      <x:c r="A36" s="4" t="s">
        <x:v>46</x:v>
      </x:c>
      <x:c r="B36" s="11"/>
      <x:c r="C36" s="11"/>
      <x:c r="D36" s="11"/>
      <x:c r="E36" s="25"/>
      <x:c r="F36" s="13">
        <x:v>10194</x:v>
      </x:c>
      <x:c r="G36" s="13">
        <x:v>16469</x:v>
      </x:c>
      <x:c r="H36" s="13">
        <x:v>10583</x:v>
      </x:c>
      <x:c r="I36" s="13">
        <x:v>9801</x:v>
      </x:c>
      <x:c r="J36" s="13">
        <x:v>10703</x:v>
      </x:c>
      <x:c r="K36" s="13">
        <x:v>7116</x:v>
      </x:c>
      <x:c r="L36" s="13">
        <x:v>8642</x:v>
      </x:c>
      <x:c r="M36" s="13">
        <x:v>9256</x:v>
      </x:c>
      <x:c r="N36" s="13">
        <x:v>9152</x:v>
      </x:c>
      <x:c r="O36" s="13">
        <x:v>12204</x:v>
      </x:c>
      <x:c r="P36" s="13">
        <x:v>9244</x:v>
      </x:c>
      <x:c r="Q36" s="13">
        <x:v>11036</x:v>
      </x:c>
      <x:c r="R36" s="12"/>
      <x:c r="S36" s="12"/>
      <x:c r="T36" s="12"/>
      <x:c r="U36" s="28"/>
      <x:c r="V36" s="6"/>
      <x:c r="W36" s="6"/>
      <x:c r="X36" s="6"/>
      <x:c r="Y36" s="6"/>
      <x:c r="Z36" s="6"/>
      <x:c r="AA36" s="6"/>
      <x:c r="AB36" s="6"/>
      <x:c r="AC36" s="53"/>
      <x:c r="AD36" s="53"/>
    </x:row>
    <x:row r="37" ht="15.75" customHeight="1">
      <x:c r="A37" s="4" t="s">
        <x:v>47</x:v>
      </x:c>
      <x:c r="B37" s="11"/>
      <x:c r="C37" s="11"/>
      <x:c r="D37" s="11"/>
      <x:c r="E37" s="25"/>
      <x:c r="F37" s="13">
        <x:v>6425</x:v>
      </x:c>
      <x:c r="G37" s="13">
        <x:v>10389</x:v>
      </x:c>
      <x:c r="H37" s="13">
        <x:v>7820</x:v>
      </x:c>
      <x:c r="I37" s="13">
        <x:v>6176</x:v>
      </x:c>
      <x:c r="J37" s="13">
        <x:v>6888</x:v>
      </x:c>
      <x:c r="K37" s="13">
        <x:v>5183</x:v>
      </x:c>
      <x:c r="L37" s="13">
        <x:v>6161</x:v>
      </x:c>
      <x:c r="M37" s="13">
        <x:v>6546</x:v>
      </x:c>
      <x:c r="N37" s="13">
        <x:v>6247</x:v>
      </x:c>
      <x:c r="O37" s="13">
        <x:v>6598</x:v>
      </x:c>
      <x:c r="P37" s="13">
        <x:v>6394</x:v>
      </x:c>
      <x:c r="Q37" s="13">
        <x:v>6756</x:v>
      </x:c>
      <x:c r="R37" s="12"/>
      <x:c r="S37" s="12"/>
      <x:c r="T37" s="12"/>
      <x:c r="U37" s="28"/>
      <x:c r="V37" s="6"/>
      <x:c r="W37" s="6"/>
      <x:c r="X37" s="6"/>
      <x:c r="Y37" s="6"/>
      <x:c r="Z37" s="6"/>
      <x:c r="AA37" s="6"/>
      <x:c r="AB37" s="6"/>
      <x:c r="AC37" s="53"/>
      <x:c r="AD37" s="53"/>
    </x:row>
    <x:row r="38" ht="15.75" customHeight="1">
      <x:c r="A38" s="19" t="s">
        <x:v>48</x:v>
      </x:c>
      <x:c r="B38" s="20">
        <x:v>18858326</x:v>
      </x:c>
      <x:c r="C38" s="20">
        <x:v>887317</x:v>
      </x:c>
      <x:c r="D38" s="20">
        <x:v>553285</x:v>
      </x:c>
      <x:c r="E38" s="24"/>
      <x:c r="F38" s="21"/>
      <x:c r="G38" s="21"/>
      <x:c r="H38" s="21"/>
      <x:c r="I38" s="21"/>
      <x:c r="J38" s="21"/>
      <x:c r="K38" s="21"/>
      <x:c r="L38" s="21"/>
      <x:c r="M38" s="21"/>
      <x:c r="N38" s="21"/>
      <x:c r="O38" s="21"/>
      <x:c r="P38" s="21"/>
      <x:c r="Q38" s="21"/>
      <x:c r="R38" s="21"/>
      <x:c r="S38" s="21"/>
      <x:c r="T38" s="21"/>
      <x:c r="U38" s="28"/>
      <x:c r="V38" s="22"/>
      <x:c r="W38" s="22"/>
      <x:c r="X38" s="22"/>
      <x:c r="Y38" s="22"/>
      <x:c r="Z38" s="22"/>
      <x:c r="AA38" s="22"/>
      <x:c r="AB38" s="22"/>
      <x:c r="AC38" s="53" t="n">
        <x:v>47.9</x:v>
      </x:c>
      <x:c r="AD38" s="53" t="n">
        <x:v>29.9</x:v>
      </x:c>
    </x:row>
    <x:row r="39" ht="15.75" customHeight="1">
      <x:c r="A39" s="3" t="s">
        <x:v>49</x:v>
      </x:c>
      <x:c r="B39" s="8">
        <x:v>1030571</x:v>
      </x:c>
      <x:c r="C39" s="8">
        <x:v>43631</x:v>
      </x:c>
      <x:c r="D39" s="8">
        <x:v>25802</x:v>
      </x:c>
      <x:c r="E39" s="24"/>
      <x:c r="F39" s="9">
        <x:v>111259</x:v>
      </x:c>
      <x:c r="G39" s="9">
        <x:v>100546</x:v>
      </x:c>
      <x:c r="H39" s="9">
        <x:v>77361</x:v>
      </x:c>
      <x:c r="I39" s="9">
        <x:v>102857</x:v>
      </x:c>
      <x:c r="J39" s="9">
        <x:v>82631</x:v>
      </x:c>
      <x:c r="K39" s="9">
        <x:v>79681</x:v>
      </x:c>
      <x:c r="L39" s="9">
        <x:v>82000</x:v>
      </x:c>
      <x:c r="M39" s="9">
        <x:v>77332</x:v>
      </x:c>
      <x:c r="N39" s="9">
        <x:v>111674</x:v>
      </x:c>
      <x:c r="O39" s="9">
        <x:v>59930</x:v>
      </x:c>
      <x:c r="P39" s="9">
        <x:v>47562</x:v>
      </x:c>
      <x:c r="Q39" s="9">
        <x:v>98748</x:v>
      </x:c>
      <x:c r="R39" s="10"/>
      <x:c r="S39" s="10"/>
      <x:c r="T39" s="10"/>
      <x:c r="U39" s="28"/>
      <x:c r="V39" s="7" t="n">
        <x:f>SUM(F39:T39)</x:f>
        <x:v>1031581</x:v>
      </x:c>
      <x:c r="W39" s="7" t="n">
        <x:f>SUM(F40:T40)</x:f>
        <x:v>43631</x:v>
      </x:c>
      <x:c r="X39" s="7" t="n">
        <x:f>SUM(F41:T41)</x:f>
        <x:v>25712</x:v>
      </x:c>
      <x:c r="Y39" s="7"/>
      <x:c r="Z39" s="7" t="n">
        <x:f>V39-B39</x:f>
        <x:v>1010</x:v>
      </x:c>
      <x:c r="AA39" s="7" t="n">
        <x:f>W39-C39</x:f>
        <x:v>0</x:v>
      </x:c>
      <x:c r="AB39" s="7" t="n">
        <x:f>X39-D39</x:f>
        <x:v>-90</x:v>
      </x:c>
      <x:c r="AC39" s="53" t="n">
        <x:v>42.3</x:v>
      </x:c>
      <x:c r="AD39" s="53" t="n">
        <x:v>25</x:v>
      </x:c>
    </x:row>
    <x:row r="40" ht="15.75" customHeight="1">
      <x:c r="A40" s="4" t="s">
        <x:v>50</x:v>
      </x:c>
      <x:c r="B40" s="11"/>
      <x:c r="C40" s="11"/>
      <x:c r="D40" s="11"/>
      <x:c r="E40" s="25"/>
      <x:c r="F40" s="13">
        <x:v>6596</x:v>
      </x:c>
      <x:c r="G40" s="13">
        <x:v>4257</x:v>
      </x:c>
      <x:c r="H40" s="13">
        <x:v>4011</x:v>
      </x:c>
      <x:c r="I40" s="13">
        <x:v>3984</x:v>
      </x:c>
      <x:c r="J40" s="13">
        <x:v>3746</x:v>
      </x:c>
      <x:c r="K40" s="13">
        <x:v>3721</x:v>
      </x:c>
      <x:c r="L40" s="13">
        <x:v>3309</x:v>
      </x:c>
      <x:c r="M40" s="13">
        <x:v>3577</x:v>
      </x:c>
      <x:c r="N40" s="13">
        <x:v>2697</x:v>
      </x:c>
      <x:c r="O40" s="13">
        <x:v>2327</x:v>
      </x:c>
      <x:c r="P40" s="13">
        <x:v>1991</x:v>
      </x:c>
      <x:c r="Q40" s="13">
        <x:v>3415</x:v>
      </x:c>
      <x:c r="R40" s="12"/>
      <x:c r="S40" s="12"/>
      <x:c r="T40" s="12"/>
      <x:c r="U40" s="28"/>
      <x:c r="V40" s="6"/>
      <x:c r="W40" s="6"/>
      <x:c r="X40" s="6"/>
      <x:c r="Y40" s="6"/>
      <x:c r="Z40" s="6"/>
      <x:c r="AA40" s="6"/>
      <x:c r="AB40" s="6"/>
      <x:c r="AC40" s="53"/>
      <x:c r="AD40" s="53"/>
    </x:row>
    <x:row r="41" ht="15.75" customHeight="1">
      <x:c r="A41" s="4" t="s">
        <x:v>51</x:v>
      </x:c>
      <x:c r="B41" s="11"/>
      <x:c r="C41" s="11"/>
      <x:c r="D41" s="11"/>
      <x:c r="E41" s="25"/>
      <x:c r="F41" s="13">
        <x:v>4484</x:v>
      </x:c>
      <x:c r="G41" s="13">
        <x:v>2243</x:v>
      </x:c>
      <x:c r="H41" s="13">
        <x:v>2444</x:v>
      </x:c>
      <x:c r="I41" s="13">
        <x:v>2759</x:v>
      </x:c>
      <x:c r="J41" s="13">
        <x:v>2006</x:v>
      </x:c>
      <x:c r="K41" s="13">
        <x:v>1919</x:v>
      </x:c>
      <x:c r="L41" s="13">
        <x:v>2024</x:v>
      </x:c>
      <x:c r="M41" s="13">
        <x:v>2124</x:v>
      </x:c>
      <x:c r="N41" s="13">
        <x:v>1428</x:v>
      </x:c>
      <x:c r="O41" s="13">
        <x:v>1228</x:v>
      </x:c>
      <x:c r="P41" s="13">
        <x:v>1287</x:v>
      </x:c>
      <x:c r="Q41" s="13">
        <x:v>1766</x:v>
      </x:c>
      <x:c r="R41" s="12"/>
      <x:c r="S41" s="12"/>
      <x:c r="T41" s="12"/>
      <x:c r="U41" s="28"/>
      <x:c r="V41" s="6"/>
      <x:c r="W41" s="6"/>
      <x:c r="X41" s="6"/>
      <x:c r="Y41" s="6"/>
      <x:c r="Z41" s="6"/>
      <x:c r="AA41" s="6"/>
      <x:c r="AB41" s="6"/>
      <x:c r="AC41" s="53"/>
      <x:c r="AD41" s="53"/>
    </x:row>
    <x:row r="42" ht="15.75" customHeight="1">
      <x:c r="A42" s="3" t="s">
        <x:v>52</x:v>
      </x:c>
      <x:c r="B42" s="8">
        <x:v>444814</x:v>
      </x:c>
      <x:c r="C42" s="8">
        <x:v>17569</x:v>
      </x:c>
      <x:c r="D42" s="8">
        <x:v>11042</x:v>
      </x:c>
      <x:c r="E42" s="24"/>
      <x:c r="F42" s="10"/>
      <x:c r="G42" s="10"/>
      <x:c r="H42" s="10"/>
      <x:c r="I42" s="10"/>
      <x:c r="J42" s="10"/>
      <x:c r="K42" s="10"/>
      <x:c r="L42" s="10"/>
      <x:c r="M42" s="10"/>
      <x:c r="N42" s="10"/>
      <x:c r="O42" s="10"/>
      <x:c r="P42" s="10"/>
      <x:c r="Q42" s="10"/>
      <x:c r="R42" s="10"/>
      <x:c r="S42" s="10"/>
      <x:c r="T42" s="10"/>
      <x:c r="U42" s="28"/>
      <x:c r="V42" s="7"/>
      <x:c r="W42" s="7"/>
      <x:c r="X42" s="7"/>
      <x:c r="Y42" s="7"/>
      <x:c r="Z42" s="7"/>
      <x:c r="AA42" s="7"/>
      <x:c r="AB42" s="7"/>
      <x:c r="AC42" s="53" t="n">
        <x:v>39.5</x:v>
      </x:c>
      <x:c r="AD42" s="53" t="n">
        <x:v>24.8</x:v>
      </x:c>
    </x:row>
    <x:row r="43" ht="15.75" customHeight="1">
      <x:c r="A43" s="3" t="s">
        <x:v>53</x:v>
      </x:c>
      <x:c r="B43" s="8">
        <x:v>844446</x:v>
      </x:c>
      <x:c r="C43" s="8">
        <x:v>32320</x:v>
      </x:c>
      <x:c r="D43" s="8">
        <x:v>22301</x:v>
      </x:c>
      <x:c r="E43" s="24"/>
      <x:c r="F43" s="9">
        <x:v>114288</x:v>
      </x:c>
      <x:c r="G43" s="9">
        <x:v>127030</x:v>
      </x:c>
      <x:c r="H43" s="9">
        <x:v>103558</x:v>
      </x:c>
      <x:c r="I43" s="9">
        <x:v>86407</x:v>
      </x:c>
      <x:c r="J43" s="9">
        <x:v>109633</x:v>
      </x:c>
      <x:c r="K43" s="9">
        <x:v>82946</x:v>
      </x:c>
      <x:c r="L43" s="9">
        <x:v>123714</x:v>
      </x:c>
      <x:c r="M43" s="9">
        <x:v>96870</x:v>
      </x:c>
      <x:c r="N43" s="10"/>
      <x:c r="O43" s="10"/>
      <x:c r="P43" s="10"/>
      <x:c r="Q43" s="10"/>
      <x:c r="R43" s="10"/>
      <x:c r="S43" s="10"/>
      <x:c r="T43" s="10"/>
      <x:c r="U43" s="28"/>
      <x:c r="V43" s="7" t="n">
        <x:f>SUM(F43:T43)</x:f>
        <x:v>844446</x:v>
      </x:c>
      <x:c r="W43" s="7" t="n">
        <x:f>SUM(F44:T44)</x:f>
        <x:v>32320</x:v>
      </x:c>
      <x:c r="X43" s="7" t="n">
        <x:f>SUM(F45:T45)</x:f>
        <x:v>22301</x:v>
      </x:c>
      <x:c r="Y43" s="7"/>
      <x:c r="Z43" s="7" t="n">
        <x:f>V43-B43</x:f>
        <x:v>0</x:v>
      </x:c>
      <x:c r="AA43" s="7" t="n">
        <x:f>W43-C43</x:f>
        <x:v>0</x:v>
      </x:c>
      <x:c r="AB43" s="7" t="n">
        <x:f>X43-D43</x:f>
        <x:v>0</x:v>
      </x:c>
      <x:c r="AC43" s="53" t="n">
        <x:v>38.3</x:v>
      </x:c>
      <x:c r="AD43" s="53" t="n">
        <x:v>26.4</x:v>
      </x:c>
    </x:row>
    <x:row r="44" ht="15.75" customHeight="1">
      <x:c r="A44" s="4" t="s">
        <x:v>54</x:v>
      </x:c>
      <x:c r="B44" s="11"/>
      <x:c r="C44" s="11"/>
      <x:c r="D44" s="11"/>
      <x:c r="E44" s="25"/>
      <x:c r="F44" s="13">
        <x:v>4402</x:v>
      </x:c>
      <x:c r="G44" s="13">
        <x:v>3464</x:v>
      </x:c>
      <x:c r="H44" s="13">
        <x:v>4545</x:v>
      </x:c>
      <x:c r="I44" s="13">
        <x:v>3607</x:v>
      </x:c>
      <x:c r="J44" s="13">
        <x:v>4491</x:v>
      </x:c>
      <x:c r="K44" s="13">
        <x:v>3796</x:v>
      </x:c>
      <x:c r="L44" s="13">
        <x:v>3949</x:v>
      </x:c>
      <x:c r="M44" s="13">
        <x:v>4066</x:v>
      </x:c>
      <x:c r="N44" s="12"/>
      <x:c r="O44" s="12"/>
      <x:c r="P44" s="12"/>
      <x:c r="Q44" s="12"/>
      <x:c r="R44" s="12"/>
      <x:c r="S44" s="12"/>
      <x:c r="T44" s="12"/>
      <x:c r="U44" s="28"/>
      <x:c r="V44" s="6"/>
      <x:c r="W44" s="6"/>
      <x:c r="X44" s="6"/>
      <x:c r="Y44" s="6"/>
      <x:c r="Z44" s="6"/>
      <x:c r="AA44" s="6"/>
      <x:c r="AB44" s="6"/>
      <x:c r="AC44" s="53"/>
      <x:c r="AD44" s="53"/>
    </x:row>
    <x:row r="45" ht="15.75" customHeight="1">
      <x:c r="A45" s="4" t="s">
        <x:v>55</x:v>
      </x:c>
      <x:c r="B45" s="11"/>
      <x:c r="C45" s="11"/>
      <x:c r="D45" s="11"/>
      <x:c r="E45" s="25"/>
      <x:c r="F45" s="13">
        <x:v>2857</x:v>
      </x:c>
      <x:c r="G45" s="13">
        <x:v>2693</x:v>
      </x:c>
      <x:c r="H45" s="13">
        <x:v>4235</x:v>
      </x:c>
      <x:c r="I45" s="13">
        <x:v>2393</x:v>
      </x:c>
      <x:c r="J45" s="13">
        <x:v>2709</x:v>
      </x:c>
      <x:c r="K45" s="13">
        <x:v>2693</x:v>
      </x:c>
      <x:c r="L45" s="13">
        <x:v>2279</x:v>
      </x:c>
      <x:c r="M45" s="13">
        <x:v>2442</x:v>
      </x:c>
      <x:c r="N45" s="12"/>
      <x:c r="O45" s="12"/>
      <x:c r="P45" s="12"/>
      <x:c r="Q45" s="12"/>
      <x:c r="R45" s="12"/>
      <x:c r="S45" s="12"/>
      <x:c r="T45" s="12"/>
      <x:c r="U45" s="28"/>
      <x:c r="V45" s="6"/>
      <x:c r="W45" s="6"/>
      <x:c r="X45" s="6"/>
      <x:c r="Y45" s="6"/>
      <x:c r="Z45" s="6"/>
      <x:c r="AA45" s="6"/>
      <x:c r="AB45" s="6"/>
      <x:c r="AC45" s="53"/>
      <x:c r="AD45" s="53"/>
    </x:row>
    <x:row r="46" ht="15.75" customHeight="1">
      <x:c r="A46" s="3" t="s">
        <x:v>56</x:v>
      </x:c>
      <x:c r="B46" s="8">
        <x:v>706860</x:v>
      </x:c>
      <x:c r="C46" s="8">
        <x:v>29051</x:v>
      </x:c>
      <x:c r="D46" s="8">
        <x:v>15256</x:v>
      </x:c>
      <x:c r="E46" s="24"/>
      <x:c r="F46" s="9">
        <x:v>126248</x:v>
      </x:c>
      <x:c r="G46" s="9">
        <x:v>70432</x:v>
      </x:c>
      <x:c r="H46" s="9">
        <x:v>71427</x:v>
      </x:c>
      <x:c r="I46" s="9">
        <x:v>102059</x:v>
      </x:c>
      <x:c r="J46" s="9">
        <x:v>108312</x:v>
      </x:c>
      <x:c r="K46" s="9">
        <x:v>104258</x:v>
      </x:c>
      <x:c r="L46" s="9">
        <x:v>124124</x:v>
      </x:c>
      <x:c r="M46" s="10"/>
      <x:c r="N46" s="10"/>
      <x:c r="O46" s="10"/>
      <x:c r="P46" s="10"/>
      <x:c r="Q46" s="10"/>
      <x:c r="R46" s="10"/>
      <x:c r="S46" s="10"/>
      <x:c r="T46" s="10"/>
      <x:c r="U46" s="28"/>
      <x:c r="V46" s="7" t="n">
        <x:f>SUM(F46:T46)</x:f>
        <x:v>706860</x:v>
      </x:c>
      <x:c r="W46" s="7" t="n">
        <x:f>SUM(F47:T47)</x:f>
        <x:v>29051</x:v>
      </x:c>
      <x:c r="X46" s="7" t="n">
        <x:f>SUM(F48:T48)</x:f>
        <x:v>15256</x:v>
      </x:c>
      <x:c r="Y46" s="7"/>
      <x:c r="Z46" s="7" t="n">
        <x:f>V46-B46</x:f>
        <x:v>0</x:v>
      </x:c>
      <x:c r="AA46" s="7" t="n">
        <x:f>W46-C46</x:f>
        <x:v>0</x:v>
      </x:c>
      <x:c r="AB46" s="7" t="n">
        <x:f>X46-D46</x:f>
        <x:v>0</x:v>
      </x:c>
      <x:c r="AC46" s="53" t="n">
        <x:v>41.1</x:v>
      </x:c>
      <x:c r="AD46" s="53" t="n">
        <x:v>21.6</x:v>
      </x:c>
    </x:row>
    <x:row r="47" ht="15.75" customHeight="1">
      <x:c r="A47" s="4" t="s">
        <x:v>57</x:v>
      </x:c>
      <x:c r="B47" s="11"/>
      <x:c r="C47" s="11"/>
      <x:c r="D47" s="11"/>
      <x:c r="E47" s="25"/>
      <x:c r="F47" s="13">
        <x:v>5347</x:v>
      </x:c>
      <x:c r="G47" s="13">
        <x:v>2703</x:v>
      </x:c>
      <x:c r="H47" s="13">
        <x:v>3235</x:v>
      </x:c>
      <x:c r="I47" s="13">
        <x:v>4091</x:v>
      </x:c>
      <x:c r="J47" s="13">
        <x:v>4584</x:v>
      </x:c>
      <x:c r="K47" s="13">
        <x:v>3826</x:v>
      </x:c>
      <x:c r="L47" s="13">
        <x:v>5265</x:v>
      </x:c>
      <x:c r="M47" s="12"/>
      <x:c r="N47" s="12"/>
      <x:c r="O47" s="12"/>
      <x:c r="P47" s="12"/>
      <x:c r="Q47" s="12"/>
      <x:c r="R47" s="12"/>
      <x:c r="S47" s="12"/>
      <x:c r="T47" s="12"/>
      <x:c r="U47" s="28"/>
      <x:c r="V47" s="6"/>
      <x:c r="W47" s="6"/>
      <x:c r="X47" s="6"/>
      <x:c r="Y47" s="6"/>
      <x:c r="Z47" s="6"/>
      <x:c r="AA47" s="6"/>
      <x:c r="AB47" s="6"/>
      <x:c r="AC47" s="53"/>
      <x:c r="AD47" s="53"/>
    </x:row>
    <x:row r="48" ht="14.399999618530273">
      <x:c r="A48" s="4" t="s">
        <x:v>58</x:v>
      </x:c>
      <x:c r="B48" s="11"/>
      <x:c r="C48" s="11"/>
      <x:c r="D48" s="11"/>
      <x:c r="E48" s="25"/>
      <x:c r="F48" s="13">
        <x:v>3226</x:v>
      </x:c>
      <x:c r="G48" s="13">
        <x:v>1325</x:v>
      </x:c>
      <x:c r="H48" s="13">
        <x:v>1797</x:v>
      </x:c>
      <x:c r="I48" s="13">
        <x:v>1754</x:v>
      </x:c>
      <x:c r="J48" s="13">
        <x:v>2529</x:v>
      </x:c>
      <x:c r="K48" s="13">
        <x:v>2001</x:v>
      </x:c>
      <x:c r="L48" s="13">
        <x:v>2624</x:v>
      </x:c>
      <x:c r="M48" s="12"/>
      <x:c r="N48" s="12"/>
      <x:c r="O48" s="12"/>
      <x:c r="P48" s="12"/>
      <x:c r="Q48" s="12"/>
      <x:c r="R48" s="12"/>
      <x:c r="S48" s="12"/>
      <x:c r="T48" s="12"/>
      <x:c r="U48" s="28"/>
      <x:c r="V48" s="6"/>
      <x:c r="W48" s="6"/>
      <x:c r="X48" s="6"/>
      <x:c r="Y48" s="6"/>
      <x:c r="Z48" s="6"/>
      <x:c r="AA48" s="6"/>
      <x:c r="AB48" s="6"/>
      <x:c r="AC48" s="53"/>
      <x:c r="AD48" s="53"/>
    </x:row>
    <x:row r="49" ht="14.399999618530273">
      <x:c r="A49" s="3" t="s">
        <x:v>59</x:v>
      </x:c>
      <x:c r="B49" s="8">
        <x:v>611798</x:v>
      </x:c>
      <x:c r="C49" s="8">
        <x:v>24364</x:v>
      </x:c>
      <x:c r="D49" s="8">
        <x:v>17620</x:v>
      </x:c>
      <x:c r="E49" s="24"/>
      <x:c r="F49" s="9">
        <x:v>97541</x:v>
      </x:c>
      <x:c r="G49" s="9">
        <x:v>75441</x:v>
      </x:c>
      <x:c r="H49" s="9">
        <x:v>73463</x:v>
      </x:c>
      <x:c r="I49" s="9">
        <x:v>57453</x:v>
      </x:c>
      <x:c r="J49" s="9">
        <x:v>83168</x:v>
      </x:c>
      <x:c r="K49" s="9">
        <x:v>73926</x:v>
      </x:c>
      <x:c r="L49" s="9">
        <x:v>87334</x:v>
      </x:c>
      <x:c r="M49" s="9">
        <x:v>63467</x:v>
      </x:c>
      <x:c r="N49" s="10"/>
      <x:c r="O49" s="10"/>
      <x:c r="P49" s="10"/>
      <x:c r="Q49" s="10"/>
      <x:c r="R49" s="10"/>
      <x:c r="S49" s="10"/>
      <x:c r="T49" s="10"/>
      <x:c r="U49" s="28"/>
      <x:c r="V49" s="7" t="n">
        <x:f>SUM(F49:T49)</x:f>
        <x:v>611793</x:v>
      </x:c>
      <x:c r="W49" s="7" t="n">
        <x:f>SUM(F50:T50)</x:f>
        <x:v>24364</x:v>
      </x:c>
      <x:c r="X49" s="7" t="n">
        <x:f>SUM(F51:T51)</x:f>
        <x:v>17660</x:v>
      </x:c>
      <x:c r="Y49" s="7"/>
      <x:c r="Z49" s="7" t="n">
        <x:f>V49-B49</x:f>
        <x:v>-5</x:v>
      </x:c>
      <x:c r="AA49" s="7" t="n">
        <x:f>W49-C49</x:f>
        <x:v>0</x:v>
      </x:c>
      <x:c r="AB49" s="7" t="n">
        <x:f>X49-D49</x:f>
        <x:v>40</x:v>
      </x:c>
      <x:c r="AC49" s="53" t="n">
        <x:v>39.8</x:v>
      </x:c>
      <x:c r="AD49" s="53" t="n">
        <x:v>28.8</x:v>
      </x:c>
    </x:row>
    <x:row r="50" ht="14.399999618530273">
      <x:c r="A50" s="4" t="s">
        <x:v>60</x:v>
      </x:c>
      <x:c r="B50" s="11"/>
      <x:c r="C50" s="11"/>
      <x:c r="D50" s="11"/>
      <x:c r="E50" s="25"/>
      <x:c r="F50" s="13">
        <x:v>3853</x:v>
      </x:c>
      <x:c r="G50" s="13">
        <x:v>3541</x:v>
      </x:c>
      <x:c r="H50" s="13">
        <x:v>2461</x:v>
      </x:c>
      <x:c r="I50" s="13">
        <x:v>2070</x:v>
      </x:c>
      <x:c r="J50" s="13">
        <x:v>2687</x:v>
      </x:c>
      <x:c r="K50" s="13">
        <x:v>3525</x:v>
      </x:c>
      <x:c r="L50" s="13">
        <x:v>3646</x:v>
      </x:c>
      <x:c r="M50" s="13">
        <x:v>2581</x:v>
      </x:c>
      <x:c r="N50" s="12"/>
      <x:c r="O50" s="12"/>
      <x:c r="P50" s="12"/>
      <x:c r="Q50" s="12"/>
      <x:c r="R50" s="12"/>
      <x:c r="S50" s="12"/>
      <x:c r="T50" s="12"/>
      <x:c r="U50" s="28"/>
      <x:c r="V50" s="6"/>
      <x:c r="W50" s="6"/>
      <x:c r="X50" s="6"/>
      <x:c r="Y50" s="6"/>
      <x:c r="Z50" s="6"/>
      <x:c r="AA50" s="6"/>
      <x:c r="AB50" s="6"/>
      <x:c r="AC50" s="53"/>
      <x:c r="AD50" s="53"/>
    </x:row>
    <x:row r="51" ht="14.399999618530273">
      <x:c r="A51" s="4" t="s">
        <x:v>61</x:v>
      </x:c>
      <x:c r="B51" s="11"/>
      <x:c r="C51" s="11"/>
      <x:c r="D51" s="11"/>
      <x:c r="E51" s="25"/>
      <x:c r="F51" s="13">
        <x:v>2971</x:v>
      </x:c>
      <x:c r="G51" s="13">
        <x:v>2748</x:v>
      </x:c>
      <x:c r="H51" s="13">
        <x:v>2148</x:v>
      </x:c>
      <x:c r="I51" s="13">
        <x:v>1233</x:v>
      </x:c>
      <x:c r="J51" s="13">
        <x:v>1975</x:v>
      </x:c>
      <x:c r="K51" s="13">
        <x:v>2164</x:v>
      </x:c>
      <x:c r="L51" s="13">
        <x:v>2779</x:v>
      </x:c>
      <x:c r="M51" s="13">
        <x:v>1642</x:v>
      </x:c>
      <x:c r="N51" s="12"/>
      <x:c r="O51" s="12"/>
      <x:c r="P51" s="12"/>
      <x:c r="Q51" s="12"/>
      <x:c r="R51" s="12"/>
      <x:c r="S51" s="12"/>
      <x:c r="T51" s="12"/>
      <x:c r="U51" s="28"/>
      <x:c r="V51" s="6"/>
      <x:c r="W51" s="6"/>
      <x:c r="X51" s="6"/>
      <x:c r="Y51" s="6"/>
      <x:c r="Z51" s="6"/>
      <x:c r="AA51" s="6"/>
      <x:c r="AB51" s="6"/>
      <x:c r="AC51" s="53"/>
      <x:c r="AD51" s="53"/>
    </x:row>
    <x:row r="52" ht="14.399999618530273">
      <x:c r="A52" s="3" t="s">
        <x:v>62</x:v>
      </x:c>
      <x:c r="B52" s="8">
        <x:v>1004900</x:v>
      </x:c>
      <x:c r="C52" s="8">
        <x:v>40623</x:v>
      </x:c>
      <x:c r="D52" s="8">
        <x:v>25914</x:v>
      </x:c>
      <x:c r="E52" s="24"/>
      <x:c r="F52" s="9">
        <x:v>142506</x:v>
      </x:c>
      <x:c r="G52" s="9">
        <x:v>91096</x:v>
      </x:c>
      <x:c r="H52" s="9">
        <x:v>93731</x:v>
      </x:c>
      <x:c r="I52" s="9">
        <x:v>100836</x:v>
      </x:c>
      <x:c r="J52" s="9">
        <x:v>87586</x:v>
      </x:c>
      <x:c r="K52" s="9">
        <x:v>84027</x:v>
      </x:c>
      <x:c r="L52" s="9">
        <x:v>113738</x:v>
      </x:c>
      <x:c r="M52" s="9">
        <x:v>79402</x:v>
      </x:c>
      <x:c r="N52" s="9">
        <x:v>175659</x:v>
      </x:c>
      <x:c r="O52" s="9">
        <x:v>96319</x:v>
      </x:c>
      <x:c r="P52" s="10"/>
      <x:c r="Q52" s="10"/>
      <x:c r="R52" s="10"/>
      <x:c r="S52" s="10"/>
      <x:c r="T52" s="10"/>
      <x:c r="U52" s="28"/>
      <x:c r="V52" s="7" t="n">
        <x:f>SUM(F52:T52)</x:f>
        <x:v>1064900</x:v>
      </x:c>
      <x:c r="W52" s="7" t="n">
        <x:f>SUM(F53:T53)</x:f>
        <x:v>40623</x:v>
      </x:c>
      <x:c r="X52" s="7" t="n">
        <x:f>SUM(F54:T54)</x:f>
        <x:v>25914</x:v>
      </x:c>
      <x:c r="Y52" s="7"/>
      <x:c r="Z52" s="7" t="n">
        <x:f>V52-B52</x:f>
        <x:v>60000</x:v>
      </x:c>
      <x:c r="AA52" s="7" t="n">
        <x:f>W52-C52</x:f>
        <x:v>0</x:v>
      </x:c>
      <x:c r="AB52" s="7" t="n">
        <x:f>X52-D52</x:f>
        <x:v>0</x:v>
      </x:c>
      <x:c r="AC52" s="53" t="n">
        <x:v>40.4</x:v>
      </x:c>
      <x:c r="AD52" s="53" t="n">
        <x:v>25.8</x:v>
      </x:c>
    </x:row>
    <x:row r="53" ht="14.399999618530273">
      <x:c r="A53" s="4" t="s">
        <x:v>63</x:v>
      </x:c>
      <x:c r="B53" s="11"/>
      <x:c r="C53" s="11"/>
      <x:c r="D53" s="11"/>
      <x:c r="E53" s="25"/>
      <x:c r="F53" s="13">
        <x:v>4937</x:v>
      </x:c>
      <x:c r="G53" s="13">
        <x:v>3370</x:v>
      </x:c>
      <x:c r="H53" s="13">
        <x:v>3271</x:v>
      </x:c>
      <x:c r="I53" s="13">
        <x:v>4399</x:v>
      </x:c>
      <x:c r="J53" s="13">
        <x:v>3798</x:v>
      </x:c>
      <x:c r="K53" s="13">
        <x:v>3514</x:v>
      </x:c>
      <x:c r="L53" s="13">
        <x:v>4472</x:v>
      </x:c>
      <x:c r="M53" s="13">
        <x:v>3225</x:v>
      </x:c>
      <x:c r="N53" s="13">
        <x:v>5424</x:v>
      </x:c>
      <x:c r="O53" s="13">
        <x:v>4213</x:v>
      </x:c>
      <x:c r="P53" s="12"/>
      <x:c r="Q53" s="12"/>
      <x:c r="R53" s="12"/>
      <x:c r="S53" s="12"/>
      <x:c r="T53" s="12"/>
      <x:c r="U53" s="28"/>
      <x:c r="V53" s="6"/>
      <x:c r="W53" s="6"/>
      <x:c r="X53" s="6"/>
      <x:c r="Y53" s="6"/>
      <x:c r="Z53" s="6"/>
      <x:c r="AA53" s="6"/>
      <x:c r="AB53" s="6"/>
      <x:c r="AC53" s="53"/>
      <x:c r="AD53" s="53"/>
    </x:row>
    <x:row r="54" ht="14.399999618530273">
      <x:c r="A54" s="4" t="s">
        <x:v>64</x:v>
      </x:c>
      <x:c r="B54" s="11"/>
      <x:c r="C54" s="11"/>
      <x:c r="D54" s="11"/>
      <x:c r="E54" s="25"/>
      <x:c r="F54" s="13">
        <x:v>3654</x:v>
      </x:c>
      <x:c r="G54" s="13">
        <x:v>2564</x:v>
      </x:c>
      <x:c r="H54" s="13">
        <x:v>2125</x:v>
      </x:c>
      <x:c r="I54" s="13">
        <x:v>2312</x:v>
      </x:c>
      <x:c r="J54" s="13">
        <x:v>2279</x:v>
      </x:c>
      <x:c r="K54" s="13">
        <x:v>1983</x:v>
      </x:c>
      <x:c r="L54" s="13">
        <x:v>2713</x:v>
      </x:c>
      <x:c r="M54" s="13">
        <x:v>2298</x:v>
      </x:c>
      <x:c r="N54" s="13">
        <x:v>3336</x:v>
      </x:c>
      <x:c r="O54" s="13">
        <x:v>2650</x:v>
      </x:c>
      <x:c r="P54" s="12"/>
      <x:c r="Q54" s="12"/>
      <x:c r="R54" s="12"/>
      <x:c r="S54" s="12"/>
      <x:c r="T54" s="12"/>
      <x:c r="U54" s="28"/>
      <x:c r="V54" s="6"/>
      <x:c r="W54" s="6"/>
      <x:c r="X54" s="6"/>
      <x:c r="Y54" s="6"/>
      <x:c r="Z54" s="6"/>
      <x:c r="AA54" s="6"/>
      <x:c r="AB54" s="6"/>
      <x:c r="AC54" s="53"/>
      <x:c r="AD54" s="53"/>
    </x:row>
    <x:row r="55" ht="14.399999618530273">
      <x:c r="A55" s="3" t="s">
        <x:v>65</x:v>
      </x:c>
      <x:c r="B55" s="8">
        <x:v>1146668</x:v>
      </x:c>
      <x:c r="C55" s="8">
        <x:v>44246</x:v>
      </x:c>
      <x:c r="D55" s="8">
        <x:v>25386</x:v>
      </x:c>
      <x:c r="E55" s="24"/>
      <x:c r="F55" s="9">
        <x:v>162533</x:v>
      </x:c>
      <x:c r="G55" s="9">
        <x:v>169882</x:v>
      </x:c>
      <x:c r="H55" s="9">
        <x:v>103840</x:v>
      </x:c>
      <x:c r="I55" s="9">
        <x:v>247284</x:v>
      </x:c>
      <x:c r="J55" s="9">
        <x:v>113751</x:v>
      </x:c>
      <x:c r="K55" s="9">
        <x:v>134135</x:v>
      </x:c>
      <x:c r="L55" s="9">
        <x:v>74599</x:v>
      </x:c>
      <x:c r="M55" s="9">
        <x:v>140644</x:v>
      </x:c>
      <x:c r="N55" s="10"/>
      <x:c r="O55" s="10"/>
      <x:c r="P55" s="10"/>
      <x:c r="Q55" s="10"/>
      <x:c r="R55" s="10"/>
      <x:c r="S55" s="10"/>
      <x:c r="T55" s="10"/>
      <x:c r="U55" s="28"/>
      <x:c r="V55" s="7" t="n">
        <x:f>SUM(F55:T55)</x:f>
        <x:v>1146668</x:v>
      </x:c>
      <x:c r="W55" s="7" t="n">
        <x:f>SUM(F56:T56)</x:f>
        <x:v>44246</x:v>
      </x:c>
      <x:c r="X55" s="7" t="n">
        <x:f>SUM(F57:T57)</x:f>
        <x:v>25386</x:v>
      </x:c>
      <x:c r="Y55" s="7"/>
      <x:c r="Z55" s="7" t="n">
        <x:f>V55-B55</x:f>
        <x:v>0</x:v>
      </x:c>
      <x:c r="AA55" s="7" t="n">
        <x:f>W55-C55</x:f>
        <x:v>0</x:v>
      </x:c>
      <x:c r="AB55" s="7" t="n">
        <x:f>X55-D55</x:f>
        <x:v>0</x:v>
      </x:c>
      <x:c r="AC55" s="53" t="n">
        <x:v>38.6</x:v>
      </x:c>
      <x:c r="AD55" s="53" t="n">
        <x:v>22.1</x:v>
      </x:c>
    </x:row>
    <x:row r="56" ht="14.399999618530273">
      <x:c r="A56" s="4" t="s">
        <x:v>66</x:v>
      </x:c>
      <x:c r="B56" s="11"/>
      <x:c r="C56" s="11"/>
      <x:c r="D56" s="11"/>
      <x:c r="E56" s="25"/>
      <x:c r="F56" s="13">
        <x:v>5863</x:v>
      </x:c>
      <x:c r="G56" s="13">
        <x:v>6067</x:v>
      </x:c>
      <x:c r="H56" s="13">
        <x:v>3781</x:v>
      </x:c>
      <x:c r="I56" s="13">
        <x:v>4783</x:v>
      </x:c>
      <x:c r="J56" s="13">
        <x:v>10171</x:v>
      </x:c>
      <x:c r="K56" s="13">
        <x:v>5123</x:v>
      </x:c>
      <x:c r="L56" s="13">
        <x:v>2614</x:v>
      </x:c>
      <x:c r="M56" s="13">
        <x:v>5844</x:v>
      </x:c>
      <x:c r="N56" s="12"/>
      <x:c r="O56" s="12"/>
      <x:c r="P56" s="12"/>
      <x:c r="Q56" s="12"/>
      <x:c r="R56" s="12"/>
      <x:c r="S56" s="12"/>
      <x:c r="T56" s="12"/>
      <x:c r="U56" s="28"/>
      <x:c r="V56" s="6"/>
      <x:c r="W56" s="6"/>
      <x:c r="X56" s="6"/>
      <x:c r="Y56" s="6"/>
      <x:c r="Z56" s="6"/>
      <x:c r="AA56" s="6"/>
      <x:c r="AB56" s="6"/>
      <x:c r="AC56" s="53"/>
      <x:c r="AD56" s="53"/>
    </x:row>
    <x:row r="57" ht="14.399999618530273">
      <x:c r="A57" s="4" t="s">
        <x:v>67</x:v>
      </x:c>
      <x:c r="B57" s="11"/>
      <x:c r="C57" s="11"/>
      <x:c r="D57" s="11"/>
      <x:c r="E57" s="25"/>
      <x:c r="F57" s="13">
        <x:v>3135</x:v>
      </x:c>
      <x:c r="G57" s="13">
        <x:v>3609</x:v>
      </x:c>
      <x:c r="H57" s="13">
        <x:v>2061</x:v>
      </x:c>
      <x:c r="I57" s="13">
        <x:v>2479</x:v>
      </x:c>
      <x:c r="J57" s="13">
        <x:v>6689</x:v>
      </x:c>
      <x:c r="K57" s="13">
        <x:v>2711</x:v>
      </x:c>
      <x:c r="L57" s="13">
        <x:v>1372</x:v>
      </x:c>
      <x:c r="M57" s="13">
        <x:v>3330</x:v>
      </x:c>
      <x:c r="N57" s="12"/>
      <x:c r="O57" s="12"/>
      <x:c r="P57" s="12"/>
      <x:c r="Q57" s="12"/>
      <x:c r="R57" s="12"/>
      <x:c r="S57" s="12"/>
      <x:c r="T57" s="12"/>
      <x:c r="U57" s="28"/>
      <x:c r="V57" s="6"/>
      <x:c r="W57" s="6"/>
      <x:c r="X57" s="6"/>
      <x:c r="Y57" s="6"/>
      <x:c r="Z57" s="6"/>
      <x:c r="AA57" s="6"/>
      <x:c r="AB57" s="6"/>
      <x:c r="AC57" s="53"/>
      <x:c r="AD57" s="53"/>
    </x:row>
    <x:row r="58" ht="14.399999618530273">
      <x:c r="A58" s="3" t="s">
        <x:v>68</x:v>
      </x:c>
      <x:c r="B58" s="8">
        <x:v>612322</x:v>
      </x:c>
      <x:c r="C58" s="8">
        <x:v>24445</x:v>
      </x:c>
      <x:c r="D58" s="8">
        <x:v>14339</x:v>
      </x:c>
      <x:c r="E58" s="24"/>
      <x:c r="F58" s="9">
        <x:v>100325</x:v>
      </x:c>
      <x:c r="G58" s="9">
        <x:v>82187</x:v>
      </x:c>
      <x:c r="H58" s="9">
        <x:v>73940</x:v>
      </x:c>
      <x:c r="I58" s="9">
        <x:v>89632</x:v>
      </x:c>
      <x:c r="J58" s="9">
        <x:v>62804</x:v>
      </x:c>
      <x:c r="K58" s="9">
        <x:v>69491</x:v>
      </x:c>
      <x:c r="L58" s="9">
        <x:v>64950</x:v>
      </x:c>
      <x:c r="M58" s="9">
        <x:v>68993</x:v>
      </x:c>
      <x:c r="N58" s="10"/>
      <x:c r="O58" s="10"/>
      <x:c r="P58" s="10"/>
      <x:c r="Q58" s="10"/>
      <x:c r="R58" s="10"/>
      <x:c r="S58" s="10"/>
      <x:c r="T58" s="10"/>
      <x:c r="U58" s="28"/>
      <x:c r="V58" s="7" t="n">
        <x:f>SUM(F58:T58)</x:f>
        <x:v>612322</x:v>
      </x:c>
      <x:c r="W58" s="7" t="n">
        <x:f>SUM(F59:T59)</x:f>
        <x:v>24445</x:v>
      </x:c>
      <x:c r="X58" s="7" t="n">
        <x:f>SUM(F60:T60)</x:f>
        <x:v>14339</x:v>
      </x:c>
      <x:c r="Y58" s="7"/>
      <x:c r="Z58" s="7" t="n">
        <x:f>V58-B58</x:f>
        <x:v>0</x:v>
      </x:c>
      <x:c r="AA58" s="7" t="n">
        <x:f>W58-C58</x:f>
        <x:v>0</x:v>
      </x:c>
      <x:c r="AB58" s="7" t="n">
        <x:f>X58-D58</x:f>
        <x:v>0</x:v>
      </x:c>
      <x:c r="AC58" s="53" t="n">
        <x:v>40</x:v>
      </x:c>
      <x:c r="AD58" s="53" t="n">
        <x:v>24.4</x:v>
      </x:c>
    </x:row>
    <x:row r="59" ht="14.399999618530273">
      <x:c r="A59" s="4" t="s">
        <x:v>69</x:v>
      </x:c>
      <x:c r="B59" s="11"/>
      <x:c r="C59" s="11"/>
      <x:c r="D59" s="11"/>
      <x:c r="E59" s="25"/>
      <x:c r="F59" s="13">
        <x:v>3597</x:v>
      </x:c>
      <x:c r="G59" s="13">
        <x:v>2495</x:v>
      </x:c>
      <x:c r="H59" s="13">
        <x:v>3799</x:v>
      </x:c>
      <x:c r="I59" s="13">
        <x:v>3315</x:v>
      </x:c>
      <x:c r="J59" s="13">
        <x:v>2339</x:v>
      </x:c>
      <x:c r="K59" s="13">
        <x:v>2732</x:v>
      </x:c>
      <x:c r="L59" s="13">
        <x:v>3073</x:v>
      </x:c>
      <x:c r="M59" s="13">
        <x:v>3095</x:v>
      </x:c>
      <x:c r="N59" s="12"/>
      <x:c r="O59" s="12"/>
      <x:c r="P59" s="12"/>
      <x:c r="Q59" s="12"/>
      <x:c r="R59" s="12"/>
      <x:c r="S59" s="12"/>
      <x:c r="T59" s="12"/>
      <x:c r="U59" s="28"/>
      <x:c r="V59" s="6"/>
      <x:c r="W59" s="6"/>
      <x:c r="X59" s="6"/>
      <x:c r="Y59" s="6"/>
      <x:c r="Z59" s="6"/>
      <x:c r="AA59" s="6"/>
      <x:c r="AB59" s="6"/>
      <x:c r="AC59" s="53"/>
      <x:c r="AD59" s="53"/>
    </x:row>
    <x:row r="60" ht="14.399999618530273">
      <x:c r="A60" s="4" t="s">
        <x:v>70</x:v>
      </x:c>
      <x:c r="B60" s="11"/>
      <x:c r="C60" s="11"/>
      <x:c r="D60" s="11"/>
      <x:c r="E60" s="25"/>
      <x:c r="F60" s="13">
        <x:v>2144</x:v>
      </x:c>
      <x:c r="G60" s="13">
        <x:v>1823</x:v>
      </x:c>
      <x:c r="H60" s="13">
        <x:v>1921</x:v>
      </x:c>
      <x:c r="I60" s="13">
        <x:v>1932</x:v>
      </x:c>
      <x:c r="J60" s="13">
        <x:v>1873</x:v>
      </x:c>
      <x:c r="K60" s="13">
        <x:v>1659</x:v>
      </x:c>
      <x:c r="L60" s="13">
        <x:v>1578</x:v>
      </x:c>
      <x:c r="M60" s="13">
        <x:v>1409</x:v>
      </x:c>
      <x:c r="N60" s="12"/>
      <x:c r="O60" s="12"/>
      <x:c r="P60" s="12"/>
      <x:c r="Q60" s="12"/>
      <x:c r="R60" s="12"/>
      <x:c r="S60" s="12"/>
      <x:c r="T60" s="12"/>
      <x:c r="U60" s="28"/>
      <x:c r="V60" s="6"/>
      <x:c r="W60" s="6"/>
      <x:c r="X60" s="6"/>
      <x:c r="Y60" s="6"/>
      <x:c r="Z60" s="6"/>
      <x:c r="AA60" s="6"/>
      <x:c r="AB60" s="6"/>
      <x:c r="AC60" s="53"/>
      <x:c r="AD60" s="53"/>
    </x:row>
    <x:row r="61" ht="14.399999618530273">
      <x:c r="A61" s="3" t="s">
        <x:v>71</x:v>
      </x:c>
      <x:c r="B61" s="8">
        <x:v>742032</x:v>
      </x:c>
      <x:c r="C61" s="8">
        <x:v>30815</x:v>
      </x:c>
      <x:c r="D61" s="8">
        <x:v>16922</x:v>
      </x:c>
      <x:c r="E61" s="24"/>
      <x:c r="F61" s="9">
        <x:v>129803</x:v>
      </x:c>
      <x:c r="G61" s="9">
        <x:v>99037</x:v>
      </x:c>
      <x:c r="H61" s="9">
        <x:v>106898</x:v>
      </x:c>
      <x:c r="I61" s="9">
        <x:v>107062</x:v>
      </x:c>
      <x:c r="J61" s="9">
        <x:v>107664</x:v>
      </x:c>
      <x:c r="K61" s="9">
        <x:v>99292</x:v>
      </x:c>
      <x:c r="L61" s="9">
        <x:v>92276</x:v>
      </x:c>
      <x:c r="M61" s="10"/>
      <x:c r="N61" s="10"/>
      <x:c r="O61" s="10"/>
      <x:c r="P61" s="10"/>
      <x:c r="Q61" s="10"/>
      <x:c r="R61" s="10"/>
      <x:c r="S61" s="10"/>
      <x:c r="T61" s="10"/>
      <x:c r="U61" s="28"/>
      <x:c r="V61" s="7" t="n">
        <x:f>SUM(F61:T61)</x:f>
        <x:v>742032</x:v>
      </x:c>
      <x:c r="W61" s="7" t="n">
        <x:f>SUM(F62:T62)</x:f>
        <x:v>30815</x:v>
      </x:c>
      <x:c r="X61" s="7" t="n">
        <x:f>SUM(F63:T63)</x:f>
        <x:v>16922</x:v>
      </x:c>
      <x:c r="Y61" s="7"/>
      <x:c r="Z61" s="7" t="n">
        <x:f>V61-B61</x:f>
        <x:v>0</x:v>
      </x:c>
      <x:c r="AA61" s="7" t="n">
        <x:f>W61-C61</x:f>
        <x:v>0</x:v>
      </x:c>
      <x:c r="AB61" s="7" t="n">
        <x:f>X61-D61</x:f>
        <x:v>0</x:v>
      </x:c>
      <x:c r="AC61" s="53" t="n">
        <x:v>41.5</x:v>
      </x:c>
      <x:c r="AD61" s="53" t="n">
        <x:v>22.8</x:v>
      </x:c>
    </x:row>
    <x:row r="62" ht="14.399999618530273">
      <x:c r="A62" s="4" t="s">
        <x:v>72</x:v>
      </x:c>
      <x:c r="B62" s="11"/>
      <x:c r="C62" s="11"/>
      <x:c r="D62" s="11"/>
      <x:c r="E62" s="25"/>
      <x:c r="F62" s="13">
        <x:v>4252</x:v>
      </x:c>
      <x:c r="G62" s="13">
        <x:v>3703</x:v>
      </x:c>
      <x:c r="H62" s="13">
        <x:v>4867</x:v>
      </x:c>
      <x:c r="I62" s="13">
        <x:v>4875</x:v>
      </x:c>
      <x:c r="J62" s="13">
        <x:v>5172</x:v>
      </x:c>
      <x:c r="K62" s="13">
        <x:v>4105</x:v>
      </x:c>
      <x:c r="L62" s="13">
        <x:v>3841</x:v>
      </x:c>
      <x:c r="M62" s="12"/>
      <x:c r="N62" s="12"/>
      <x:c r="O62" s="12"/>
      <x:c r="P62" s="12"/>
      <x:c r="Q62" s="12"/>
      <x:c r="R62" s="12"/>
      <x:c r="S62" s="12"/>
      <x:c r="T62" s="12"/>
      <x:c r="U62" s="28"/>
      <x:c r="V62" s="6"/>
      <x:c r="W62" s="6"/>
      <x:c r="X62" s="6"/>
      <x:c r="Y62" s="6"/>
      <x:c r="Z62" s="6"/>
      <x:c r="AA62" s="6"/>
      <x:c r="AB62" s="6"/>
      <x:c r="AC62" s="53"/>
      <x:c r="AD62" s="53"/>
    </x:row>
    <x:row r="63" ht="14.399999618530273">
      <x:c r="A63" s="4" t="s">
        <x:v>73</x:v>
      </x:c>
      <x:c r="B63" s="11"/>
      <x:c r="C63" s="11"/>
      <x:c r="D63" s="11"/>
      <x:c r="E63" s="25"/>
      <x:c r="F63" s="13">
        <x:v>2394</x:v>
      </x:c>
      <x:c r="G63" s="13">
        <x:v>2112</x:v>
      </x:c>
      <x:c r="H63" s="13">
        <x:v>2418</x:v>
      </x:c>
      <x:c r="I63" s="13">
        <x:v>2640</x:v>
      </x:c>
      <x:c r="J63" s="13">
        <x:v>2255</x:v>
      </x:c>
      <x:c r="K63" s="13">
        <x:v>2658</x:v>
      </x:c>
      <x:c r="L63" s="13">
        <x:v>2445</x:v>
      </x:c>
      <x:c r="M63" s="12"/>
      <x:c r="N63" s="12"/>
      <x:c r="O63" s="12"/>
      <x:c r="P63" s="12"/>
      <x:c r="Q63" s="12"/>
      <x:c r="R63" s="12"/>
      <x:c r="S63" s="12"/>
      <x:c r="T63" s="12"/>
      <x:c r="U63" s="28"/>
      <x:c r="V63" s="6"/>
      <x:c r="W63" s="6"/>
      <x:c r="X63" s="6"/>
      <x:c r="Y63" s="6"/>
      <x:c r="Z63" s="6"/>
      <x:c r="AA63" s="6"/>
      <x:c r="AB63" s="6"/>
      <x:c r="AC63" s="53"/>
      <x:c r="AD63" s="53"/>
    </x:row>
    <x:row r="64" ht="14.399999618530273">
      <x:c r="A64" s="3" t="s">
        <x:v>74</x:v>
      </x:c>
      <x:c r="B64" s="8">
        <x:v>688317</x:v>
      </x:c>
      <x:c r="C64" s="8">
        <x:v>21370</x:v>
      </x:c>
      <x:c r="D64" s="8">
        <x:v>16295</x:v>
      </x:c>
      <x:c r="E64" s="24"/>
      <x:c r="F64" s="9">
        <x:v>105309</x:v>
      </x:c>
      <x:c r="G64" s="9">
        <x:v>80301</x:v>
      </x:c>
      <x:c r="H64" s="9">
        <x:v>88105</x:v>
      </x:c>
      <x:c r="I64" s="9">
        <x:v>88652</x:v>
      </x:c>
      <x:c r="J64" s="9">
        <x:v>91156</x:v>
      </x:c>
      <x:c r="K64" s="9">
        <x:v>133314</x:v>
      </x:c>
      <x:c r="L64" s="9">
        <x:v>101480</x:v>
      </x:c>
      <x:c r="M64" s="10"/>
      <x:c r="N64" s="10"/>
      <x:c r="O64" s="10"/>
      <x:c r="P64" s="10"/>
      <x:c r="Q64" s="10"/>
      <x:c r="R64" s="10"/>
      <x:c r="S64" s="10"/>
      <x:c r="T64" s="10"/>
      <x:c r="U64" s="28"/>
      <x:c r="V64" s="7" t="n">
        <x:f>SUM(F64:T64)</x:f>
        <x:v>688317</x:v>
      </x:c>
      <x:c r="W64" s="7" t="n">
        <x:f>SUM(F65:T65)</x:f>
        <x:v>21370</x:v>
      </x:c>
      <x:c r="X64" s="7" t="n">
        <x:f>SUM(F66:T66)</x:f>
        <x:v>16295</x:v>
      </x:c>
      <x:c r="Y64" s="7"/>
      <x:c r="Z64" s="7" t="n">
        <x:f>V64-B64</x:f>
        <x:v>0</x:v>
      </x:c>
      <x:c r="AA64" s="7" t="n">
        <x:f>W64-C64</x:f>
        <x:v>0</x:v>
      </x:c>
      <x:c r="AB64" s="7" t="n">
        <x:f>X64-D64</x:f>
        <x:v>0</x:v>
      </x:c>
      <x:c r="AC64" s="53" t="n">
        <x:v>31.1</x:v>
      </x:c>
      <x:c r="AD64" s="53" t="n">
        <x:v>23.7</x:v>
      </x:c>
    </x:row>
    <x:row r="65" ht="14.399999618530273">
      <x:c r="A65" s="4" t="s">
        <x:v>75</x:v>
      </x:c>
      <x:c r="B65" s="11"/>
      <x:c r="C65" s="11"/>
      <x:c r="D65" s="11"/>
      <x:c r="E65" s="25"/>
      <x:c r="F65" s="13">
        <x:v>3419</x:v>
      </x:c>
      <x:c r="G65" s="13">
        <x:v>2492</x:v>
      </x:c>
      <x:c r="H65" s="13">
        <x:v>2736</x:v>
      </x:c>
      <x:c r="I65" s="13">
        <x:v>2502</x:v>
      </x:c>
      <x:c r="J65" s="13">
        <x:v>3023</x:v>
      </x:c>
      <x:c r="K65" s="13">
        <x:v>4008</x:v>
      </x:c>
      <x:c r="L65" s="13">
        <x:v>3190</x:v>
      </x:c>
      <x:c r="M65" s="12"/>
      <x:c r="N65" s="12"/>
      <x:c r="O65" s="12"/>
      <x:c r="P65" s="12"/>
      <x:c r="Q65" s="12"/>
      <x:c r="R65" s="12"/>
      <x:c r="S65" s="12"/>
      <x:c r="T65" s="12"/>
      <x:c r="U65" s="28"/>
      <x:c r="V65" s="6"/>
      <x:c r="W65" s="6"/>
      <x:c r="X65" s="6"/>
      <x:c r="Y65" s="6"/>
      <x:c r="Z65" s="6"/>
      <x:c r="AA65" s="6"/>
      <x:c r="AB65" s="6"/>
      <x:c r="AC65" s="53"/>
      <x:c r="AD65" s="53"/>
    </x:row>
    <x:row r="66" ht="14.399999618530273">
      <x:c r="A66" s="4" t="s">
        <x:v>76</x:v>
      </x:c>
      <x:c r="B66" s="11"/>
      <x:c r="C66" s="11"/>
      <x:c r="D66" s="11"/>
      <x:c r="E66" s="25"/>
      <x:c r="F66" s="13">
        <x:v>2464</x:v>
      </x:c>
      <x:c r="G66" s="13">
        <x:v>1643</x:v>
      </x:c>
      <x:c r="H66" s="13">
        <x:v>1932</x:v>
      </x:c>
      <x:c r="I66" s="13">
        <x:v>1776</x:v>
      </x:c>
      <x:c r="J66" s="13">
        <x:v>2315</x:v>
      </x:c>
      <x:c r="K66" s="13">
        <x:v>3324</x:v>
      </x:c>
      <x:c r="L66" s="13">
        <x:v>2841</x:v>
      </x:c>
      <x:c r="M66" s="12"/>
      <x:c r="N66" s="12"/>
      <x:c r="O66" s="12"/>
      <x:c r="P66" s="12"/>
      <x:c r="Q66" s="12"/>
      <x:c r="R66" s="12"/>
      <x:c r="S66" s="12"/>
      <x:c r="T66" s="12"/>
      <x:c r="U66" s="28"/>
      <x:c r="V66" s="6"/>
      <x:c r="W66" s="6"/>
      <x:c r="X66" s="6"/>
      <x:c r="Y66" s="6"/>
      <x:c r="Z66" s="6"/>
      <x:c r="AA66" s="6"/>
      <x:c r="AB66" s="6"/>
      <x:c r="AC66" s="53"/>
      <x:c r="AD66" s="53"/>
    </x:row>
    <x:row r="67" ht="14.399999618530273">
      <x:c r="A67" s="3" t="s">
        <x:v>77</x:v>
      </x:c>
      <x:c r="B67" s="8">
        <x:v>680689</x:v>
      </x:c>
      <x:c r="C67" s="8">
        <x:v>25198</x:v>
      </x:c>
      <x:c r="D67" s="8">
        <x:v>16813</x:v>
      </x:c>
      <x:c r="E67" s="24"/>
      <x:c r="F67" s="9">
        <x:v>70673</x:v>
      </x:c>
      <x:c r="G67" s="9">
        <x:v>68355</x:v>
      </x:c>
      <x:c r="H67" s="9">
        <x:v>71826</x:v>
      </x:c>
      <x:c r="I67" s="9">
        <x:v>78587</x:v>
      </x:c>
      <x:c r="J67" s="9">
        <x:v>106780</x:v>
      </x:c>
      <x:c r="K67" s="9">
        <x:v>57344</x:v>
      </x:c>
      <x:c r="L67" s="9">
        <x:v>89339</x:v>
      </x:c>
      <x:c r="M67" s="9">
        <x:v>73303</x:v>
      </x:c>
      <x:c r="N67" s="9">
        <x:v>64482</x:v>
      </x:c>
      <x:c r="O67" s="10"/>
      <x:c r="P67" s="10"/>
      <x:c r="Q67" s="10"/>
      <x:c r="R67" s="10"/>
      <x:c r="S67" s="10"/>
      <x:c r="T67" s="10"/>
      <x:c r="U67" s="28"/>
      <x:c r="V67" s="7" t="n">
        <x:f>SUM(F67:T67)</x:f>
        <x:v>680689</x:v>
      </x:c>
      <x:c r="W67" s="7" t="n">
        <x:f>SUM(F68:T68)</x:f>
        <x:v>25198</x:v>
      </x:c>
      <x:c r="X67" s="7" t="n">
        <x:f>SUM(F69:T69)</x:f>
        <x:v>16813</x:v>
      </x:c>
      <x:c r="Y67" s="7"/>
      <x:c r="Z67" s="7" t="n">
        <x:f>V67-B67</x:f>
        <x:v>0</x:v>
      </x:c>
      <x:c r="AA67" s="7" t="n">
        <x:f>W67-C67</x:f>
        <x:v>0</x:v>
      </x:c>
      <x:c r="AB67" s="7" t="n">
        <x:f>X67-D67</x:f>
        <x:v>0</x:v>
      </x:c>
      <x:c r="AC67" s="53" t="n">
        <x:v>37</x:v>
      </x:c>
      <x:c r="AD67" s="53" t="n">
        <x:v>24.7</x:v>
      </x:c>
    </x:row>
    <x:row r="68" ht="14.399999618530273">
      <x:c r="A68" s="4" t="s">
        <x:v>78</x:v>
      </x:c>
      <x:c r="B68" s="11"/>
      <x:c r="C68" s="11"/>
      <x:c r="D68" s="11"/>
      <x:c r="E68" s="25"/>
      <x:c r="F68" s="13">
        <x:v>2656</x:v>
      </x:c>
      <x:c r="G68" s="13">
        <x:v>2278</x:v>
      </x:c>
      <x:c r="H68" s="13">
        <x:v>2308</x:v>
      </x:c>
      <x:c r="I68" s="13">
        <x:v>2801</x:v>
      </x:c>
      <x:c r="J68" s="13">
        <x:v>3848</x:v>
      </x:c>
      <x:c r="K68" s="13">
        <x:v>2389</x:v>
      </x:c>
      <x:c r="L68" s="13">
        <x:v>3854</x:v>
      </x:c>
      <x:c r="M68" s="13">
        <x:v>2672</x:v>
      </x:c>
      <x:c r="N68" s="13">
        <x:v>2392</x:v>
      </x:c>
      <x:c r="O68" s="12"/>
      <x:c r="P68" s="12"/>
      <x:c r="Q68" s="12"/>
      <x:c r="R68" s="12"/>
      <x:c r="S68" s="12"/>
      <x:c r="T68" s="12"/>
      <x:c r="U68" s="28"/>
      <x:c r="V68" s="6"/>
      <x:c r="W68" s="6"/>
      <x:c r="X68" s="6"/>
      <x:c r="Y68" s="6"/>
      <x:c r="Z68" s="6"/>
      <x:c r="AA68" s="6"/>
      <x:c r="AB68" s="6"/>
      <x:c r="AC68" s="53"/>
      <x:c r="AD68" s="53"/>
    </x:row>
    <x:row r="69" ht="14.399999618530273">
      <x:c r="A69" s="4" t="s">
        <x:v>79</x:v>
      </x:c>
      <x:c r="B69" s="11"/>
      <x:c r="C69" s="11"/>
      <x:c r="D69" s="11"/>
      <x:c r="E69" s="25"/>
      <x:c r="F69" s="13">
        <x:v>1763</x:v>
      </x:c>
      <x:c r="G69" s="13">
        <x:v>1820</x:v>
      </x:c>
      <x:c r="H69" s="13">
        <x:v>1338</x:v>
      </x:c>
      <x:c r="I69" s="13">
        <x:v>2137</x:v>
      </x:c>
      <x:c r="J69" s="13">
        <x:v>2185</x:v>
      </x:c>
      <x:c r="K69" s="13">
        <x:v>1415</x:v>
      </x:c>
      <x:c r="L69" s="13">
        <x:v>2568</x:v>
      </x:c>
      <x:c r="M69" s="13">
        <x:v>1976</x:v>
      </x:c>
      <x:c r="N69" s="13">
        <x:v>1611</x:v>
      </x:c>
      <x:c r="O69" s="12"/>
      <x:c r="P69" s="12"/>
      <x:c r="Q69" s="12"/>
      <x:c r="R69" s="12"/>
      <x:c r="S69" s="12"/>
      <x:c r="T69" s="12"/>
      <x:c r="U69" s="28"/>
      <x:c r="V69" s="6"/>
      <x:c r="W69" s="6"/>
      <x:c r="X69" s="6"/>
      <x:c r="Y69" s="6"/>
      <x:c r="Z69" s="6"/>
      <x:c r="AA69" s="6"/>
      <x:c r="AB69" s="6"/>
      <x:c r="AC69" s="53"/>
      <x:c r="AD69" s="53"/>
    </x:row>
    <x:row r="70" ht="14.399999618530273">
      <x:c r="A70" s="3" t="s">
        <x:v>80</x:v>
      </x:c>
      <x:c r="B70" s="8">
        <x:v>688953</x:v>
      </x:c>
      <x:c r="C70" s="8">
        <x:v>17877</x:v>
      </x:c>
      <x:c r="D70" s="8">
        <x:v>12570</x:v>
      </x:c>
      <x:c r="E70" s="24"/>
      <x:c r="F70" s="9">
        <x:v>105411</x:v>
      </x:c>
      <x:c r="G70" s="9">
        <x:v>58077</x:v>
      </x:c>
      <x:c r="H70" s="9">
        <x:v>49723</x:v>
      </x:c>
      <x:c r="I70" s="9">
        <x:v>58221</x:v>
      </x:c>
      <x:c r="J70" s="9">
        <x:v>69875</x:v>
      </x:c>
      <x:c r="K70" s="9">
        <x:v>81869</x:v>
      </x:c>
      <x:c r="L70" s="9">
        <x:v>76103</x:v>
      </x:c>
      <x:c r="M70" s="9">
        <x:v>68500</x:v>
      </x:c>
      <x:c r="N70" s="9">
        <x:v>52511</x:v>
      </x:c>
      <x:c r="O70" s="9">
        <x:v>68663</x:v>
      </x:c>
      <x:c r="P70" s="10"/>
      <x:c r="Q70" s="10"/>
      <x:c r="R70" s="10"/>
      <x:c r="S70" s="10"/>
      <x:c r="T70" s="10"/>
      <x:c r="U70" s="28"/>
      <x:c r="V70" s="7" t="n">
        <x:f>SUM(F70:T70)</x:f>
        <x:v>688953</x:v>
      </x:c>
      <x:c r="W70" s="7" t="n">
        <x:f>SUM(F71:T71)</x:f>
        <x:v>17877</x:v>
      </x:c>
      <x:c r="X70" s="7" t="n">
        <x:f>SUM(F72:T72)</x:f>
        <x:v>12570</x:v>
      </x:c>
      <x:c r="Y70" s="7"/>
      <x:c r="Z70" s="7" t="n">
        <x:f>V70-B70</x:f>
        <x:v>0</x:v>
      </x:c>
      <x:c r="AA70" s="7" t="n">
        <x:f>W70-C70</x:f>
        <x:v>0</x:v>
      </x:c>
      <x:c r="AB70" s="7" t="n">
        <x:f>X70-D70</x:f>
        <x:v>0</x:v>
      </x:c>
      <x:c r="AC70" s="53" t="n">
        <x:v>25.9</x:v>
      </x:c>
      <x:c r="AD70" s="53" t="n">
        <x:v>18.2</x:v>
      </x:c>
    </x:row>
    <x:row r="71" ht="14.399999618530273">
      <x:c r="A71" s="4" t="s">
        <x:v>81</x:v>
      </x:c>
      <x:c r="B71" s="11"/>
      <x:c r="C71" s="11"/>
      <x:c r="D71" s="11"/>
      <x:c r="E71" s="25"/>
      <x:c r="F71" s="13">
        <x:v>2444</x:v>
      </x:c>
      <x:c r="G71" s="13">
        <x:v>1375</x:v>
      </x:c>
      <x:c r="H71" s="13">
        <x:v>1251</x:v>
      </x:c>
      <x:c r="I71" s="13">
        <x:v>1588</x:v>
      </x:c>
      <x:c r="J71" s="13">
        <x:v>1801</x:v>
      </x:c>
      <x:c r="K71" s="13">
        <x:v>2745</x:v>
      </x:c>
      <x:c r="L71" s="13">
        <x:v>2023</x:v>
      </x:c>
      <x:c r="M71" s="13">
        <x:v>1583</x:v>
      </x:c>
      <x:c r="N71" s="13">
        <x:v>1360</x:v>
      </x:c>
      <x:c r="O71" s="13">
        <x:v>1707</x:v>
      </x:c>
      <x:c r="P71" s="12"/>
      <x:c r="Q71" s="12"/>
      <x:c r="R71" s="12"/>
      <x:c r="S71" s="12"/>
      <x:c r="T71" s="12"/>
      <x:c r="U71" s="28"/>
      <x:c r="V71" s="6"/>
      <x:c r="W71" s="6"/>
      <x:c r="X71" s="6"/>
      <x:c r="Y71" s="6"/>
      <x:c r="Z71" s="6"/>
      <x:c r="AA71" s="6"/>
      <x:c r="AB71" s="6"/>
      <x:c r="AC71" s="53"/>
      <x:c r="AD71" s="53"/>
    </x:row>
    <x:row r="72" ht="14.399999618530273">
      <x:c r="A72" s="4" t="s">
        <x:v>82</x:v>
      </x:c>
      <x:c r="B72" s="11"/>
      <x:c r="C72" s="11"/>
      <x:c r="D72" s="11"/>
      <x:c r="E72" s="25"/>
      <x:c r="F72" s="13">
        <x:v>2032</x:v>
      </x:c>
      <x:c r="G72" s="13">
        <x:v>1002</x:v>
      </x:c>
      <x:c r="H72" s="13">
        <x:v>1034</x:v>
      </x:c>
      <x:c r="I72" s="13">
        <x:v>968</x:v>
      </x:c>
      <x:c r="J72" s="13">
        <x:v>1124</x:v>
      </x:c>
      <x:c r="K72" s="13">
        <x:v>1848</x:v>
      </x:c>
      <x:c r="L72" s="13">
        <x:v>1290</x:v>
      </x:c>
      <x:c r="M72" s="13">
        <x:v>957</x:v>
      </x:c>
      <x:c r="N72" s="13">
        <x:v>1032</x:v>
      </x:c>
      <x:c r="O72" s="13">
        <x:v>1283</x:v>
      </x:c>
      <x:c r="P72" s="12"/>
      <x:c r="Q72" s="12"/>
      <x:c r="R72" s="12"/>
      <x:c r="S72" s="12"/>
      <x:c r="T72" s="12"/>
      <x:c r="U72" s="28"/>
      <x:c r="V72" s="6"/>
      <x:c r="W72" s="6"/>
      <x:c r="X72" s="6"/>
      <x:c r="Y72" s="6"/>
      <x:c r="Z72" s="6"/>
      <x:c r="AA72" s="6"/>
      <x:c r="AB72" s="6"/>
      <x:c r="AC72" s="53"/>
      <x:c r="AD72" s="53"/>
    </x:row>
    <x:row r="73" ht="14.399999618530273">
      <x:c r="A73" s="3" t="s">
        <x:v>83</x:v>
      </x:c>
      <x:c r="B73" s="8">
        <x:v>1239758</x:v>
      </x:c>
      <x:c r="C73" s="8">
        <x:v>36395</x:v>
      </x:c>
      <x:c r="D73" s="8">
        <x:v>26105</x:v>
      </x:c>
      <x:c r="E73" s="24"/>
      <x:c r="F73" s="9">
        <x:v>318258</x:v>
      </x:c>
      <x:c r="G73" s="9">
        <x:v>119061</x:v>
      </x:c>
      <x:c r="H73" s="9">
        <x:v>133617</x:v>
      </x:c>
      <x:c r="I73" s="9">
        <x:v>98087</x:v>
      </x:c>
      <x:c r="J73" s="9">
        <x:v>120582</x:v>
      </x:c>
      <x:c r="K73" s="9">
        <x:v>188960</x:v>
      </x:c>
      <x:c r="L73" s="9">
        <x:v>100835</x:v>
      </x:c>
      <x:c r="M73" s="9">
        <x:v>100628</x:v>
      </x:c>
      <x:c r="N73" s="9">
        <x:v>59722</x:v>
      </x:c>
      <x:c r="O73" s="10"/>
      <x:c r="P73" s="10"/>
      <x:c r="Q73" s="10"/>
      <x:c r="R73" s="10"/>
      <x:c r="S73" s="10"/>
      <x:c r="T73" s="10"/>
      <x:c r="U73" s="28"/>
      <x:c r="V73" s="7" t="n">
        <x:f>SUM(F73:T73)</x:f>
        <x:v>1239750</x:v>
      </x:c>
      <x:c r="W73" s="7" t="n">
        <x:f>SUM(F74:T74)</x:f>
        <x:v>36395</x:v>
      </x:c>
      <x:c r="X73" s="7" t="n">
        <x:f>SUM(F75:T75)</x:f>
        <x:v>26105</x:v>
      </x:c>
      <x:c r="Y73" s="7"/>
      <x:c r="Z73" s="7" t="n">
        <x:f>V73-B73</x:f>
        <x:v>-8</x:v>
      </x:c>
      <x:c r="AA73" s="7" t="n">
        <x:f>W73-C73</x:f>
        <x:v>0</x:v>
      </x:c>
      <x:c r="AB73" s="7" t="n">
        <x:f>X73-D73</x:f>
        <x:v>0</x:v>
      </x:c>
      <x:c r="AC73" s="53" t="n">
        <x:v>29.4</x:v>
      </x:c>
      <x:c r="AD73" s="53" t="n">
        <x:v>20.9</x:v>
      </x:c>
    </x:row>
    <x:row r="74" ht="14.399999618530273">
      <x:c r="A74" s="4" t="s">
        <x:v>84</x:v>
      </x:c>
      <x:c r="B74" s="11"/>
      <x:c r="C74" s="11"/>
      <x:c r="D74" s="11"/>
      <x:c r="E74" s="25"/>
      <x:c r="F74" s="13">
        <x:v>9465</x:v>
      </x:c>
      <x:c r="G74" s="13">
        <x:v>3675</x:v>
      </x:c>
      <x:c r="H74" s="13">
        <x:v>3223</x:v>
      </x:c>
      <x:c r="I74" s="13">
        <x:v>3286</x:v>
      </x:c>
      <x:c r="J74" s="13">
        <x:v>3740</x:v>
      </x:c>
      <x:c r="K74" s="13">
        <x:v>5679</x:v>
      </x:c>
      <x:c r="L74" s="13">
        <x:v>2891</x:v>
      </x:c>
      <x:c r="M74" s="13">
        <x:v>2740</x:v>
      </x:c>
      <x:c r="N74" s="13">
        <x:v>1696</x:v>
      </x:c>
      <x:c r="O74" s="12"/>
      <x:c r="P74" s="12"/>
      <x:c r="Q74" s="12"/>
      <x:c r="R74" s="12"/>
      <x:c r="S74" s="12"/>
      <x:c r="T74" s="12"/>
      <x:c r="U74" s="28"/>
      <x:c r="V74" s="6"/>
      <x:c r="W74" s="6"/>
      <x:c r="X74" s="6"/>
      <x:c r="Y74" s="6"/>
      <x:c r="Z74" s="6"/>
      <x:c r="AA74" s="6"/>
      <x:c r="AB74" s="6"/>
      <x:c r="AC74" s="53"/>
      <x:c r="AD74" s="53"/>
    </x:row>
    <x:row r="75" ht="14.399999618530273">
      <x:c r="A75" s="4" t="s">
        <x:v>85</x:v>
      </x:c>
      <x:c r="B75" s="11"/>
      <x:c r="C75" s="11"/>
      <x:c r="D75" s="11"/>
      <x:c r="E75" s="25"/>
      <x:c r="F75" s="13">
        <x:v>6807</x:v>
      </x:c>
      <x:c r="G75" s="13">
        <x:v>2591</x:v>
      </x:c>
      <x:c r="H75" s="13">
        <x:v>2489</x:v>
      </x:c>
      <x:c r="I75" s="13">
        <x:v>2379</x:v>
      </x:c>
      <x:c r="J75" s="13">
        <x:v>2257</x:v>
      </x:c>
      <x:c r="K75" s="13">
        <x:v>4249</x:v>
      </x:c>
      <x:c r="L75" s="13">
        <x:v>1848</x:v>
      </x:c>
      <x:c r="M75" s="13">
        <x:v>2271</x:v>
      </x:c>
      <x:c r="N75" s="13">
        <x:v>1214</x:v>
      </x:c>
      <x:c r="O75" s="12"/>
      <x:c r="P75" s="12"/>
      <x:c r="Q75" s="12"/>
      <x:c r="R75" s="12"/>
      <x:c r="S75" s="12"/>
      <x:c r="T75" s="12"/>
      <x:c r="U75" s="28"/>
      <x:c r="V75" s="6"/>
      <x:c r="W75" s="6"/>
      <x:c r="X75" s="6"/>
      <x:c r="Y75" s="6"/>
      <x:c r="Z75" s="6"/>
      <x:c r="AA75" s="6"/>
      <x:c r="AB75" s="6"/>
      <x:c r="AC75" s="53"/>
      <x:c r="AD75" s="53"/>
    </x:row>
    <x:row r="76" ht="14.399999618530273">
      <x:c r="A76" s="3" t="s">
        <x:v>86</x:v>
      </x:c>
      <x:c r="B76" s="8">
        <x:v>396785</x:v>
      </x:c>
      <x:c r="C76" s="8">
        <x:v>11809</x:v>
      </x:c>
      <x:c r="D76" s="8">
        <x:v>9200</x:v>
      </x:c>
      <x:c r="E76" s="24"/>
      <x:c r="F76" s="9">
        <x:v>143439</x:v>
      </x:c>
      <x:c r="G76" s="9">
        <x:v>117276</x:v>
      </x:c>
      <x:c r="H76" s="9">
        <x:v>52704</x:v>
      </x:c>
      <x:c r="I76" s="9">
        <x:v>83366</x:v>
      </x:c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28"/>
      <x:c r="V76" s="7" t="n">
        <x:f>SUM(F76:T76)</x:f>
        <x:v>396785</x:v>
      </x:c>
      <x:c r="W76" s="7" t="n">
        <x:f>SUM(F77:T77)</x:f>
        <x:v>11809</x:v>
      </x:c>
      <x:c r="X76" s="7" t="n">
        <x:f>SUM(F78:T78)</x:f>
        <x:v>9200</x:v>
      </x:c>
      <x:c r="Y76" s="7"/>
      <x:c r="Z76" s="7" t="n">
        <x:f>V76-B76</x:f>
        <x:v>0</x:v>
      </x:c>
      <x:c r="AA76" s="7" t="n">
        <x:f>W76-C76</x:f>
        <x:v>0</x:v>
      </x:c>
      <x:c r="AB76" s="7" t="n">
        <x:f>X76-D76</x:f>
        <x:v>0</x:v>
      </x:c>
      <x:c r="AC76" s="53" t="n">
        <x:v>29.7</x:v>
      </x:c>
      <x:c r="AD76" s="53" t="n">
        <x:v>23.2</x:v>
      </x:c>
    </x:row>
    <x:row r="77" ht="14.399999618530273">
      <x:c r="A77" s="4" t="s">
        <x:v>87</x:v>
      </x:c>
      <x:c r="B77" s="11"/>
      <x:c r="C77" s="11"/>
      <x:c r="D77" s="11"/>
      <x:c r="E77" s="25"/>
      <x:c r="F77" s="13">
        <x:v>4149</x:v>
      </x:c>
      <x:c r="G77" s="13">
        <x:v>3772</x:v>
      </x:c>
      <x:c r="H77" s="13">
        <x:v>1585</x:v>
      </x:c>
      <x:c r="I77" s="13">
        <x:v>2303</x:v>
      </x:c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28"/>
      <x:c r="V77" s="6"/>
      <x:c r="W77" s="6"/>
      <x:c r="X77" s="6"/>
      <x:c r="Y77" s="6"/>
      <x:c r="Z77" s="6"/>
      <x:c r="AA77" s="6"/>
      <x:c r="AB77" s="6"/>
      <x:c r="AC77" s="53"/>
      <x:c r="AD77" s="53"/>
    </x:row>
    <x:row r="78" ht="14.399999618530273">
      <x:c r="A78" s="4" t="s">
        <x:v>88</x:v>
      </x:c>
      <x:c r="B78" s="11"/>
      <x:c r="C78" s="11"/>
      <x:c r="D78" s="11"/>
      <x:c r="E78" s="25"/>
      <x:c r="F78" s="13">
        <x:v>3685</x:v>
      </x:c>
      <x:c r="G78" s="13">
        <x:v>2618</x:v>
      </x:c>
      <x:c r="H78" s="13">
        <x:v>1231</x:v>
      </x:c>
      <x:c r="I78" s="13">
        <x:v>1666</x:v>
      </x:c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28"/>
      <x:c r="V78" s="6"/>
      <x:c r="W78" s="6"/>
      <x:c r="X78" s="6"/>
      <x:c r="Y78" s="6"/>
      <x:c r="Z78" s="6"/>
      <x:c r="AA78" s="6"/>
      <x:c r="AB78" s="6"/>
      <x:c r="AC78" s="53"/>
      <x:c r="AD78" s="53"/>
    </x:row>
    <x:row r="79" ht="14.399999618530273">
      <x:c r="A79" s="19" t="s">
        <x:v>89</x:v>
      </x:c>
      <x:c r="B79" s="20">
        <x:v>10838913</x:v>
      </x:c>
      <x:c r="C79" s="20">
        <x:v>399713</x:v>
      </x:c>
      <x:c r="D79" s="20">
        <x:v>255575</x:v>
      </x:c>
      <x:c r="E79" s="24"/>
      <x:c r="F79" s="21"/>
      <x:c r="G79" s="21"/>
      <x:c r="H79" s="21"/>
      <x:c r="I79" s="21"/>
      <x:c r="J79" s="21"/>
      <x:c r="K79" s="21"/>
      <x:c r="L79" s="21"/>
      <x:c r="M79" s="21"/>
      <x:c r="N79" s="21"/>
      <x:c r="O79" s="21"/>
      <x:c r="P79" s="21"/>
      <x:c r="Q79" s="21"/>
      <x:c r="R79" s="21"/>
      <x:c r="S79" s="21"/>
      <x:c r="T79" s="21"/>
      <x:c r="U79" s="28"/>
      <x:c r="V79" s="22"/>
      <x:c r="W79" s="22"/>
      <x:c r="X79" s="22"/>
      <x:c r="Y79" s="22"/>
      <x:c r="Z79" s="22"/>
      <x:c r="AA79" s="22"/>
      <x:c r="AB79" s="22"/>
      <x:c r="AC79" s="53" t="n">
        <x:v>36.8</x:v>
      </x:c>
      <x:c r="AD79" s="53" t="n">
        <x:v>23.6</x:v>
      </x:c>
    </x:row>
    <x:row r="80" ht="14.399999618530273">
      <x:c r="A80" s="3" t="s">
        <x:v>90</x:v>
      </x:c>
      <x:c r="B80" s="8">
        <x:v>1525804</x:v>
      </x:c>
      <x:c r="C80" s="8">
        <x:v>73064</x:v>
      </x:c>
      <x:c r="D80" s="8">
        <x:v>43634</x:v>
      </x:c>
      <x:c r="E80" s="24"/>
      <x:c r="F80" s="9">
        <x:v>250670</x:v>
      </x:c>
      <x:c r="G80" s="9">
        <x:v>267837</x:v>
      </x:c>
      <x:c r="H80" s="9">
        <x:v>157256</x:v>
      </x:c>
      <x:c r="I80" s="9">
        <x:v>178463</x:v>
      </x:c>
      <x:c r="J80" s="9">
        <x:v>160069</x:v>
      </x:c>
      <x:c r="K80" s="9">
        <x:v>170007</x:v>
      </x:c>
      <x:c r="L80" s="9">
        <x:v>193630</x:v>
      </x:c>
      <x:c r="M80" s="9">
        <x:v>147872</x:v>
      </x:c>
      <x:c r="N80" s="10"/>
      <x:c r="O80" s="10"/>
      <x:c r="P80" s="10"/>
      <x:c r="Q80" s="10"/>
      <x:c r="R80" s="10"/>
      <x:c r="S80" s="10"/>
      <x:c r="T80" s="10"/>
      <x:c r="U80" s="28"/>
      <x:c r="V80" s="7" t="n">
        <x:f>SUM(F80:T80)</x:f>
        <x:v>1525804</x:v>
      </x:c>
      <x:c r="W80" s="7" t="n">
        <x:f>SUM(F81:T81)</x:f>
        <x:v>73064</x:v>
      </x:c>
      <x:c r="X80" s="7" t="n">
        <x:f>SUM(F82:T82)</x:f>
        <x:v>43634</x:v>
      </x:c>
      <x:c r="Y80" s="7"/>
      <x:c r="Z80" s="7" t="n">
        <x:f>V80-B80</x:f>
        <x:v>0</x:v>
      </x:c>
      <x:c r="AA80" s="7" t="n">
        <x:f>W80-C80</x:f>
        <x:v>0</x:v>
      </x:c>
      <x:c r="AB80" s="7" t="n">
        <x:f>X80-D80</x:f>
        <x:v>0</x:v>
      </x:c>
      <x:c r="AC80" s="53" t="n">
        <x:v>47.9</x:v>
      </x:c>
      <x:c r="AD80" s="53" t="n">
        <x:v>28.5</x:v>
      </x:c>
    </x:row>
    <x:row r="81" ht="14.399999618530273">
      <x:c r="A81" s="4" t="s">
        <x:v>91</x:v>
      </x:c>
      <x:c r="B81" s="11"/>
      <x:c r="C81" s="11"/>
      <x:c r="D81" s="11"/>
      <x:c r="E81" s="25"/>
      <x:c r="F81" s="13">
        <x:v>10441</x:v>
      </x:c>
      <x:c r="G81" s="13">
        <x:v>10747</x:v>
      </x:c>
      <x:c r="H81" s="13">
        <x:v>8094</x:v>
      </x:c>
      <x:c r="I81" s="13">
        <x:v>11221</x:v>
      </x:c>
      <x:c r="J81" s="13">
        <x:v>7448</x:v>
      </x:c>
      <x:c r="K81" s="13">
        <x:v>5760</x:v>
      </x:c>
      <x:c r="L81" s="13">
        <x:v>11949</x:v>
      </x:c>
      <x:c r="M81" s="13">
        <x:v>7404</x:v>
      </x:c>
      <x:c r="N81" s="12"/>
      <x:c r="O81" s="12"/>
      <x:c r="P81" s="12"/>
      <x:c r="Q81" s="12"/>
      <x:c r="R81" s="12"/>
      <x:c r="S81" s="12"/>
      <x:c r="T81" s="12"/>
      <x:c r="U81" s="28"/>
      <x:c r="V81" s="6"/>
      <x:c r="W81" s="6"/>
      <x:c r="X81" s="6"/>
      <x:c r="Y81" s="6"/>
      <x:c r="Z81" s="6"/>
      <x:c r="AA81" s="6"/>
      <x:c r="AB81" s="6"/>
      <x:c r="AC81" s="53"/>
      <x:c r="AD81" s="53"/>
    </x:row>
    <x:row r="82" ht="14.399999618530273">
      <x:c r="A82" s="4" t="s">
        <x:v>92</x:v>
      </x:c>
      <x:c r="B82" s="11"/>
      <x:c r="C82" s="11"/>
      <x:c r="D82" s="11"/>
      <x:c r="E82" s="25"/>
      <x:c r="F82" s="13">
        <x:v>6769</x:v>
      </x:c>
      <x:c r="G82" s="13">
        <x:v>6997</x:v>
      </x:c>
      <x:c r="H82" s="13">
        <x:v>4724</x:v>
      </x:c>
      <x:c r="I82" s="13">
        <x:v>8142</x:v>
      </x:c>
      <x:c r="J82" s="13">
        <x:v>3721</x:v>
      </x:c>
      <x:c r="K82" s="13">
        <x:v>3252</x:v>
      </x:c>
      <x:c r="L82" s="13">
        <x:v>6260</x:v>
      </x:c>
      <x:c r="M82" s="13">
        <x:v>3769</x:v>
      </x:c>
      <x:c r="N82" s="12"/>
      <x:c r="O82" s="12"/>
      <x:c r="P82" s="12"/>
      <x:c r="Q82" s="12"/>
      <x:c r="R82" s="12"/>
      <x:c r="S82" s="12"/>
      <x:c r="T82" s="12"/>
      <x:c r="U82" s="28"/>
      <x:c r="V82" s="6"/>
      <x:c r="W82" s="6"/>
      <x:c r="X82" s="6"/>
      <x:c r="Y82" s="6"/>
      <x:c r="Z82" s="6"/>
      <x:c r="AA82" s="6"/>
      <x:c r="AB82" s="6"/>
      <x:c r="AC82" s="53"/>
      <x:c r="AD82" s="53"/>
    </x:row>
    <x:row r="83" ht="14.399999618530273">
      <x:c r="A83" s="3" t="s">
        <x:v>93</x:v>
      </x:c>
      <x:c r="B83" s="8">
        <x:v>1434942</x:v>
      </x:c>
      <x:c r="C83" s="8">
        <x:v>79540</x:v>
      </x:c>
      <x:c r="D83" s="8">
        <x:v>54191</x:v>
      </x:c>
      <x:c r="E83" s="24"/>
      <x:c r="F83" s="9">
        <x:v>163812</x:v>
      </x:c>
      <x:c r="G83" s="9">
        <x:v>87762</x:v>
      </x:c>
      <x:c r="H83" s="9">
        <x:v>86302</x:v>
      </x:c>
      <x:c r="I83" s="9">
        <x:v>101080</x:v>
      </x:c>
      <x:c r="J83" s="9">
        <x:v>112986</x:v>
      </x:c>
      <x:c r="K83" s="9">
        <x:v>127061</x:v>
      </x:c>
      <x:c r="L83" s="9">
        <x:v>120464</x:v>
      </x:c>
      <x:c r="M83" s="9">
        <x:v>92006</x:v>
      </x:c>
      <x:c r="N83" s="9">
        <x:v>116558</x:v>
      </x:c>
      <x:c r="O83" s="9">
        <x:v>86795</x:v>
      </x:c>
      <x:c r="P83" s="9">
        <x:v>105374</x:v>
      </x:c>
      <x:c r="Q83" s="9">
        <x:v>123683</x:v>
      </x:c>
      <x:c r="R83" s="9">
        <x:v>101100</x:v>
      </x:c>
      <x:c r="S83" s="10"/>
      <x:c r="T83" s="10"/>
      <x:c r="U83" s="28"/>
      <x:c r="V83" s="7" t="n">
        <x:f>SUM(F83:T83)</x:f>
        <x:v>1424983</x:v>
      </x:c>
      <x:c r="W83" s="7" t="n">
        <x:f>SUM(F84:T84)</x:f>
        <x:v>79540</x:v>
      </x:c>
      <x:c r="X83" s="7" t="n">
        <x:f>SUM(F85:T85)</x:f>
        <x:v>54191</x:v>
      </x:c>
      <x:c r="Y83" s="7"/>
      <x:c r="Z83" s="7" t="n">
        <x:f>V83-B83</x:f>
        <x:v>-9959</x:v>
      </x:c>
      <x:c r="AA83" s="7" t="n">
        <x:f>W83-C83</x:f>
        <x:v>0</x:v>
      </x:c>
      <x:c r="AB83" s="7" t="n">
        <x:f>X83-D83</x:f>
        <x:v>0</x:v>
      </x:c>
      <x:c r="AC83" s="53" t="n">
        <x:v>55.4</x:v>
      </x:c>
      <x:c r="AD83" s="53" t="n">
        <x:v>37.8</x:v>
      </x:c>
    </x:row>
    <x:row r="84" ht="14.399999618530273">
      <x:c r="A84" s="4" t="s">
        <x:v>94</x:v>
      </x:c>
      <x:c r="B84" s="11"/>
      <x:c r="C84" s="11"/>
      <x:c r="D84" s="11"/>
      <x:c r="E84" s="25"/>
      <x:c r="F84" s="13">
        <x:v>7914</x:v>
      </x:c>
      <x:c r="G84" s="13">
        <x:v>5646</x:v>
      </x:c>
      <x:c r="H84" s="13">
        <x:v>4211</x:v>
      </x:c>
      <x:c r="I84" s="13">
        <x:v>4785</x:v>
      </x:c>
      <x:c r="J84" s="13">
        <x:v>5770</x:v>
      </x:c>
      <x:c r="K84" s="13">
        <x:v>7359</x:v>
      </x:c>
      <x:c r="L84" s="13">
        <x:v>6778</x:v>
      </x:c>
      <x:c r="M84" s="13">
        <x:v>4914</x:v>
      </x:c>
      <x:c r="N84" s="13">
        <x:v>7909</x:v>
      </x:c>
      <x:c r="O84" s="13">
        <x:v>4955</x:v>
      </x:c>
      <x:c r="P84" s="13">
        <x:v>6437</x:v>
      </x:c>
      <x:c r="Q84" s="13">
        <x:v>6879</x:v>
      </x:c>
      <x:c r="R84" s="13">
        <x:v>5983</x:v>
      </x:c>
      <x:c r="S84" s="12"/>
      <x:c r="T84" s="12"/>
      <x:c r="U84" s="28"/>
      <x:c r="V84" s="6"/>
      <x:c r="W84" s="6"/>
      <x:c r="X84" s="6"/>
      <x:c r="Y84" s="6"/>
      <x:c r="Z84" s="6"/>
      <x:c r="AA84" s="6"/>
      <x:c r="AB84" s="6"/>
      <x:c r="AC84" s="53"/>
      <x:c r="AD84" s="53"/>
    </x:row>
    <x:row r="85" ht="14.399999618530273">
      <x:c r="A85" s="4" t="s">
        <x:v>95</x:v>
      </x:c>
      <x:c r="B85" s="11"/>
      <x:c r="C85" s="11"/>
      <x:c r="D85" s="11"/>
      <x:c r="E85" s="25"/>
      <x:c r="F85" s="13">
        <x:v>5504</x:v>
      </x:c>
      <x:c r="G85" s="13">
        <x:v>4058</x:v>
      </x:c>
      <x:c r="H85" s="13">
        <x:v>2845</x:v>
      </x:c>
      <x:c r="I85" s="13">
        <x:v>3195</x:v>
      </x:c>
      <x:c r="J85" s="13">
        <x:v>3899</x:v>
      </x:c>
      <x:c r="K85" s="13">
        <x:v>5043</x:v>
      </x:c>
      <x:c r="L85" s="13">
        <x:v>4690</x:v>
      </x:c>
      <x:c r="M85" s="13">
        <x:v>3275</x:v>
      </x:c>
      <x:c r="N85" s="13">
        <x:v>5188</x:v>
      </x:c>
      <x:c r="O85" s="13">
        <x:v>3079</x:v>
      </x:c>
      <x:c r="P85" s="13">
        <x:v>3963</x:v>
      </x:c>
      <x:c r="Q85" s="13">
        <x:v>5017</x:v>
      </x:c>
      <x:c r="R85" s="13">
        <x:v>4435</x:v>
      </x:c>
      <x:c r="S85" s="12"/>
      <x:c r="T85" s="12"/>
      <x:c r="U85" s="28"/>
      <x:c r="V85" s="6"/>
      <x:c r="W85" s="6"/>
      <x:c r="X85" s="6"/>
      <x:c r="Y85" s="6"/>
      <x:c r="Z85" s="6"/>
      <x:c r="AA85" s="6"/>
      <x:c r="AB85" s="6"/>
      <x:c r="AC85" s="53"/>
      <x:c r="AD85" s="53"/>
    </x:row>
    <x:row r="86" ht="14.399999618530273">
      <x:c r="A86" s="3" t="s">
        <x:v>96</x:v>
      </x:c>
      <x:c r="B86" s="8">
        <x:v>1258718</x:v>
      </x:c>
      <x:c r="C86" s="8">
        <x:v>54974</x:v>
      </x:c>
      <x:c r="D86" s="8">
        <x:v>36583</x:v>
      </x:c>
      <x:c r="E86" s="24"/>
      <x:c r="F86" s="9">
        <x:v>161457</x:v>
      </x:c>
      <x:c r="G86" s="9">
        <x:v>100655</x:v>
      </x:c>
      <x:c r="H86" s="9">
        <x:v>102383</x:v>
      </x:c>
      <x:c r="I86" s="9">
        <x:v>181073</x:v>
      </x:c>
      <x:c r="J86" s="9">
        <x:v>176744</x:v>
      </x:c>
      <x:c r="K86" s="9">
        <x:v>116122</x:v>
      </x:c>
      <x:c r="L86" s="9">
        <x:v>145030</x:v>
      </x:c>
      <x:c r="M86" s="9">
        <x:v>97298</x:v>
      </x:c>
      <x:c r="N86" s="9">
        <x:v>131349</x:v>
      </x:c>
      <x:c r="O86" s="9">
        <x:v>46607</x:v>
      </x:c>
      <x:c r="P86" s="10"/>
      <x:c r="Q86" s="10"/>
      <x:c r="R86" s="10"/>
      <x:c r="S86" s="10"/>
      <x:c r="T86" s="10"/>
      <x:c r="U86" s="28"/>
      <x:c r="V86" s="7" t="n">
        <x:f>SUM(F86:T86)</x:f>
        <x:v>1258718</x:v>
      </x:c>
      <x:c r="W86" s="7" t="n">
        <x:f>SUM(F87:T87)</x:f>
        <x:v>54974</x:v>
      </x:c>
      <x:c r="X86" s="7" t="n">
        <x:f>SUM(F88:T88)</x:f>
        <x:v>36583</x:v>
      </x:c>
      <x:c r="Y86" s="7"/>
      <x:c r="Z86" s="7" t="n">
        <x:f>V86-B86</x:f>
        <x:v>0</x:v>
      </x:c>
      <x:c r="AA86" s="7" t="n">
        <x:f>W86-C86</x:f>
        <x:v>0</x:v>
      </x:c>
      <x:c r="AB86" s="7" t="n">
        <x:f>X86-D86</x:f>
        <x:v>0</x:v>
      </x:c>
      <x:c r="AC86" s="53" t="n">
        <x:v>43.7</x:v>
      </x:c>
      <x:c r="AD86" s="53" t="n">
        <x:v>29</x:v>
      </x:c>
    </x:row>
    <x:row r="87" ht="14.399999618530273">
      <x:c r="A87" s="4" t="s">
        <x:v>97</x:v>
      </x:c>
      <x:c r="B87" s="11"/>
      <x:c r="C87" s="11"/>
      <x:c r="D87" s="11"/>
      <x:c r="E87" s="25"/>
      <x:c r="F87" s="13">
        <x:v>6589</x:v>
      </x:c>
      <x:c r="G87" s="13">
        <x:v>3937</x:v>
      </x:c>
      <x:c r="H87" s="13">
        <x:v>4387</x:v>
      </x:c>
      <x:c r="I87" s="13">
        <x:v>7498</x:v>
      </x:c>
      <x:c r="J87" s="13">
        <x:v>8646</x:v>
      </x:c>
      <x:c r="K87" s="13">
        <x:v>5316</x:v>
      </x:c>
      <x:c r="L87" s="13">
        <x:v>6220</x:v>
      </x:c>
      <x:c r="M87" s="13">
        <x:v>3930</x:v>
      </x:c>
      <x:c r="N87" s="13">
        <x:v>6396</x:v>
      </x:c>
      <x:c r="O87" s="13">
        <x:v>2055</x:v>
      </x:c>
      <x:c r="P87" s="12"/>
      <x:c r="Q87" s="12"/>
      <x:c r="R87" s="12"/>
      <x:c r="S87" s="12"/>
      <x:c r="T87" s="12"/>
      <x:c r="U87" s="28"/>
      <x:c r="V87" s="6"/>
      <x:c r="W87" s="6"/>
      <x:c r="X87" s="6"/>
      <x:c r="Y87" s="6"/>
      <x:c r="Z87" s="6"/>
      <x:c r="AA87" s="6"/>
      <x:c r="AB87" s="6"/>
      <x:c r="AC87" s="53"/>
      <x:c r="AD87" s="53"/>
    </x:row>
    <x:row r="88" ht="14.399999618530273">
      <x:c r="A88" s="4" t="s">
        <x:v>98</x:v>
      </x:c>
      <x:c r="B88" s="11"/>
      <x:c r="C88" s="11"/>
      <x:c r="D88" s="11"/>
      <x:c r="E88" s="25"/>
      <x:c r="F88" s="13">
        <x:v>4664</x:v>
      </x:c>
      <x:c r="G88" s="13">
        <x:v>2532</x:v>
      </x:c>
      <x:c r="H88" s="13">
        <x:v>3489</x:v>
      </x:c>
      <x:c r="I88" s="13">
        <x:v>5078</x:v>
      </x:c>
      <x:c r="J88" s="13">
        <x:v>5750</x:v>
      </x:c>
      <x:c r="K88" s="13">
        <x:v>3165</x:v>
      </x:c>
      <x:c r="L88" s="13">
        <x:v>4239</x:v>
      </x:c>
      <x:c r="M88" s="13">
        <x:v>2109</x:v>
      </x:c>
      <x:c r="N88" s="13">
        <x:v>4385</x:v>
      </x:c>
      <x:c r="O88" s="13">
        <x:v>1172</x:v>
      </x:c>
      <x:c r="P88" s="12"/>
      <x:c r="Q88" s="12"/>
      <x:c r="R88" s="12"/>
      <x:c r="S88" s="12"/>
      <x:c r="T88" s="12"/>
      <x:c r="U88" s="28"/>
      <x:c r="V88" s="6"/>
      <x:c r="W88" s="6"/>
      <x:c r="X88" s="6"/>
      <x:c r="Y88" s="6"/>
      <x:c r="Z88" s="6"/>
      <x:c r="AA88" s="6"/>
      <x:c r="AB88" s="6"/>
      <x:c r="AC88" s="53"/>
      <x:c r="AD88" s="53"/>
    </x:row>
    <x:row r="89" ht="14.399999618530273">
      <x:c r="A89" s="3" t="s">
        <x:v>99</x:v>
      </x:c>
      <x:c r="B89" s="8">
        <x:v>2650756</x:v>
      </x:c>
      <x:c r="C89" s="8">
        <x:v>139267</x:v>
      </x:c>
      <x:c r="D89" s="8">
        <x:v>89062</x:v>
      </x:c>
      <x:c r="E89" s="24"/>
      <x:c r="F89" s="9">
        <x:v>246899</x:v>
      </x:c>
      <x:c r="G89" s="9">
        <x:v>255859</x:v>
      </x:c>
      <x:c r="H89" s="9">
        <x:v>274926</x:v>
      </x:c>
      <x:c r="I89" s="9">
        <x:v>336312</x:v>
      </x:c>
      <x:c r="J89" s="9">
        <x:v>201058</x:v>
      </x:c>
      <x:c r="K89" s="9">
        <x:v>126593</x:v>
      </x:c>
      <x:c r="L89" s="9">
        <x:v>205842</x:v>
      </x:c>
      <x:c r="M89" s="9">
        <x:v>170375</x:v>
      </x:c>
      <x:c r="N89" s="9">
        <x:v>183232</x:v>
      </x:c>
      <x:c r="O89" s="9">
        <x:v>182142</x:v>
      </x:c>
      <x:c r="P89" s="9">
        <x:v>288525</x:v>
      </x:c>
      <x:c r="Q89" s="9">
        <x:v>178993</x:v>
      </x:c>
      <x:c r="R89" s="10"/>
      <x:c r="S89" s="10"/>
      <x:c r="T89" s="10"/>
      <x:c r="U89" s="28"/>
      <x:c r="V89" s="7" t="n">
        <x:f>SUM(F89:T89)</x:f>
        <x:v>2650756</x:v>
      </x:c>
      <x:c r="W89" s="7" t="n">
        <x:f>SUM(F90:T90)</x:f>
        <x:v>139267</x:v>
      </x:c>
      <x:c r="X89" s="7" t="n">
        <x:f>SUM(F91:T91)</x:f>
        <x:v>89062</x:v>
      </x:c>
      <x:c r="Y89" s="7"/>
      <x:c r="Z89" s="7" t="n">
        <x:f>V89-B89</x:f>
        <x:v>0</x:v>
      </x:c>
      <x:c r="AA89" s="7" t="n">
        <x:f>W89-C89</x:f>
        <x:v>0</x:v>
      </x:c>
      <x:c r="AB89" s="7" t="n">
        <x:f>X89-D89</x:f>
        <x:v>0</x:v>
      </x:c>
      <x:c r="AC89" s="53" t="n">
        <x:v>52.5</x:v>
      </x:c>
      <x:c r="AD89" s="53" t="n">
        <x:v>33.6</x:v>
      </x:c>
    </x:row>
    <x:row r="90" ht="14.399999618530273">
      <x:c r="A90" s="4" t="s">
        <x:v>100</x:v>
      </x:c>
      <x:c r="B90" s="11"/>
      <x:c r="C90" s="11"/>
      <x:c r="D90" s="11"/>
      <x:c r="E90" s="25"/>
      <x:c r="F90" s="13">
        <x:v>13218</x:v>
      </x:c>
      <x:c r="G90" s="13">
        <x:v>12184</x:v>
      </x:c>
      <x:c r="H90" s="13">
        <x:v>15226</x:v>
      </x:c>
      <x:c r="I90" s="13">
        <x:v>17838</x:v>
      </x:c>
      <x:c r="J90" s="13">
        <x:v>9821</x:v>
      </x:c>
      <x:c r="K90" s="13">
        <x:v>5302</x:v>
      </x:c>
      <x:c r="L90" s="13">
        <x:v>11937</x:v>
      </x:c>
      <x:c r="M90" s="13">
        <x:v>9013</x:v>
      </x:c>
      <x:c r="N90" s="13">
        <x:v>9998</x:v>
      </x:c>
      <x:c r="O90" s="13">
        <x:v>10159</x:v>
      </x:c>
      <x:c r="P90" s="13">
        <x:v>15118</x:v>
      </x:c>
      <x:c r="Q90" s="13">
        <x:v>9453</x:v>
      </x:c>
      <x:c r="R90" s="12"/>
      <x:c r="S90" s="12"/>
      <x:c r="T90" s="12"/>
      <x:c r="U90" s="28"/>
      <x:c r="V90" s="6"/>
      <x:c r="W90" s="6"/>
      <x:c r="X90" s="6"/>
      <x:c r="Y90" s="6"/>
      <x:c r="Z90" s="6"/>
      <x:c r="AA90" s="6"/>
      <x:c r="AB90" s="6"/>
      <x:c r="AC90" s="53"/>
      <x:c r="AD90" s="53"/>
    </x:row>
    <x:row r="91" ht="14.399999618530273">
      <x:c r="A91" s="4" t="s">
        <x:v>101</x:v>
      </x:c>
      <x:c r="B91" s="11"/>
      <x:c r="C91" s="11"/>
      <x:c r="D91" s="11"/>
      <x:c r="E91" s="25"/>
      <x:c r="F91" s="13">
        <x:v>9555</x:v>
      </x:c>
      <x:c r="G91" s="13">
        <x:v>9049</x:v>
      </x:c>
      <x:c r="H91" s="13">
        <x:v>8712</x:v>
      </x:c>
      <x:c r="I91" s="13">
        <x:v>10137</x:v>
      </x:c>
      <x:c r="J91" s="13">
        <x:v>7576</x:v>
      </x:c>
      <x:c r="K91" s="13">
        <x:v>3598</x:v>
      </x:c>
      <x:c r="L91" s="13">
        <x:v>8837</x:v>
      </x:c>
      <x:c r="M91" s="13">
        <x:v>5455</x:v>
      </x:c>
      <x:c r="N91" s="13">
        <x:v>5846</x:v>
      </x:c>
      <x:c r="O91" s="13">
        <x:v>5246</x:v>
      </x:c>
      <x:c r="P91" s="13">
        <x:v>9768</x:v>
      </x:c>
      <x:c r="Q91" s="13">
        <x:v>5283</x:v>
      </x:c>
      <x:c r="R91" s="12"/>
      <x:c r="S91" s="12"/>
      <x:c r="T91" s="12"/>
      <x:c r="U91" s="28"/>
      <x:c r="V91" s="6"/>
      <x:c r="W91" s="6"/>
      <x:c r="X91" s="6"/>
      <x:c r="Y91" s="6"/>
      <x:c r="Z91" s="6"/>
      <x:c r="AA91" s="6"/>
      <x:c r="AB91" s="6"/>
      <x:c r="AC91" s="53"/>
      <x:c r="AD91" s="53"/>
    </x:row>
    <x:row r="92" ht="14.399999618530273">
      <x:c r="A92" s="3" t="s">
        <x:v>102</x:v>
      </x:c>
      <x:c r="B92" s="8">
        <x:v>2924015</x:v>
      </x:c>
      <x:c r="C92" s="8">
        <x:v>153745</x:v>
      </x:c>
      <x:c r="D92" s="8">
        <x:v>101070</x:v>
      </x:c>
      <x:c r="E92" s="24"/>
      <x:c r="F92" s="9">
        <x:v>202353</x:v>
      </x:c>
      <x:c r="G92" s="9">
        <x:v>356805</x:v>
      </x:c>
      <x:c r="H92" s="9">
        <x:v>211877</x:v>
      </x:c>
      <x:c r="I92" s="9">
        <x:v>270897</x:v>
      </x:c>
      <x:c r="J92" s="9">
        <x:v>264920</x:v>
      </x:c>
      <x:c r="K92" s="9">
        <x:v>213615</x:v>
      </x:c>
      <x:c r="L92" s="9">
        <x:v>218218</x:v>
      </x:c>
      <x:c r="M92" s="9">
        <x:v>348894</x:v>
      </x:c>
      <x:c r="N92" s="9">
        <x:v>202571</x:v>
      </x:c>
      <x:c r="O92" s="9">
        <x:v>279865</x:v>
      </x:c>
      <x:c r="P92" s="9">
        <x:v>354000</x:v>
      </x:c>
      <x:c r="Q92" s="10"/>
      <x:c r="R92" s="10"/>
      <x:c r="S92" s="10"/>
      <x:c r="T92" s="10"/>
      <x:c r="U92" s="28"/>
      <x:c r="V92" s="7" t="n">
        <x:f>SUM(F92:T92)</x:f>
        <x:v>2924015</x:v>
      </x:c>
      <x:c r="W92" s="7" t="n">
        <x:f>SUM(F93:T93)</x:f>
        <x:v>153745</x:v>
      </x:c>
      <x:c r="X92" s="7" t="n">
        <x:f>SUM(F94:T94)</x:f>
        <x:v>101070</x:v>
      </x:c>
      <x:c r="Y92" s="7"/>
      <x:c r="Z92" s="7" t="n">
        <x:f>V92-B92</x:f>
        <x:v>0</x:v>
      </x:c>
      <x:c r="AA92" s="7" t="n">
        <x:f>W92-C92</x:f>
        <x:v>0</x:v>
      </x:c>
      <x:c r="AB92" s="7" t="n">
        <x:f>X92-D92</x:f>
        <x:v>0</x:v>
      </x:c>
      <x:c r="AC92" s="53" t="n">
        <x:v>52.3</x:v>
      </x:c>
      <x:c r="AD92" s="53" t="n">
        <x:v>34.6</x:v>
      </x:c>
    </x:row>
    <x:row r="93" ht="14.399999618530273">
      <x:c r="A93" s="4" t="s">
        <x:v>103</x:v>
      </x:c>
      <x:c r="B93" s="11"/>
      <x:c r="C93" s="11"/>
      <x:c r="D93" s="11"/>
      <x:c r="E93" s="25"/>
      <x:c r="F93" s="13">
        <x:v>9502</x:v>
      </x:c>
      <x:c r="G93" s="13">
        <x:v>18121</x:v>
      </x:c>
      <x:c r="H93" s="13">
        <x:v>12242</x:v>
      </x:c>
      <x:c r="I93" s="13">
        <x:v>12739</x:v>
      </x:c>
      <x:c r="J93" s="13">
        <x:v>13972</x:v>
      </x:c>
      <x:c r="K93" s="13">
        <x:v>10953</x:v>
      </x:c>
      <x:c r="L93" s="13">
        <x:v>10149</x:v>
      </x:c>
      <x:c r="M93" s="13">
        <x:v>19703</x:v>
      </x:c>
      <x:c r="N93" s="13">
        <x:v>10300</x:v>
      </x:c>
      <x:c r="O93" s="13">
        <x:v>16146</x:v>
      </x:c>
      <x:c r="P93" s="13">
        <x:v>19918</x:v>
      </x:c>
      <x:c r="Q93" s="12"/>
      <x:c r="R93" s="12"/>
      <x:c r="S93" s="12"/>
      <x:c r="T93" s="12"/>
      <x:c r="U93" s="28"/>
      <x:c r="V93" s="6"/>
      <x:c r="W93" s="6"/>
      <x:c r="X93" s="6"/>
      <x:c r="Y93" s="6"/>
      <x:c r="Z93" s="6"/>
      <x:c r="AA93" s="6"/>
      <x:c r="AB93" s="6"/>
      <x:c r="AC93" s="53"/>
      <x:c r="AD93" s="53"/>
    </x:row>
    <x:row r="94" ht="14.399999618530273">
      <x:c r="A94" s="4" t="s">
        <x:v>104</x:v>
      </x:c>
      <x:c r="B94" s="11"/>
      <x:c r="C94" s="11"/>
      <x:c r="D94" s="11"/>
      <x:c r="E94" s="25"/>
      <x:c r="F94" s="13">
        <x:v>6951</x:v>
      </x:c>
      <x:c r="G94" s="13">
        <x:v>11260</x:v>
      </x:c>
      <x:c r="H94" s="13">
        <x:v>8511</x:v>
      </x:c>
      <x:c r="I94" s="13">
        <x:v>7897</x:v>
      </x:c>
      <x:c r="J94" s="13">
        <x:v>9238</x:v>
      </x:c>
      <x:c r="K94" s="13">
        <x:v>8465</x:v>
      </x:c>
      <x:c r="L94" s="13">
        <x:v>6319</x:v>
      </x:c>
      <x:c r="M94" s="13">
        <x:v>13301</x:v>
      </x:c>
      <x:c r="N94" s="13">
        <x:v>6705</x:v>
      </x:c>
      <x:c r="O94" s="13">
        <x:v>10166</x:v>
      </x:c>
      <x:c r="P94" s="13">
        <x:v>12257</x:v>
      </x:c>
      <x:c r="Q94" s="12"/>
      <x:c r="R94" s="12"/>
      <x:c r="S94" s="12"/>
      <x:c r="T94" s="12"/>
      <x:c r="U94" s="28"/>
      <x:c r="V94" s="6"/>
      <x:c r="W94" s="6"/>
      <x:c r="X94" s="6"/>
      <x:c r="Y94" s="6"/>
      <x:c r="Z94" s="6"/>
      <x:c r="AA94" s="6"/>
      <x:c r="AB94" s="6"/>
      <x:c r="AC94" s="53"/>
      <x:c r="AD94" s="53"/>
    </x:row>
    <x:row r="95" ht="14.399999618530273">
      <x:c r="A95" s="3" t="s">
        <x:v>105</x:v>
      </x:c>
      <x:c r="B95" s="8">
        <x:v>1587278</x:v>
      </x:c>
      <x:c r="C95" s="8">
        <x:v>92192</x:v>
      </x:c>
      <x:c r="D95" s="8">
        <x:v>49802</x:v>
      </x:c>
      <x:c r="E95" s="24"/>
      <x:c r="F95" s="9">
        <x:v>224576</x:v>
      </x:c>
      <x:c r="G95" s="9">
        <x:v>216619</x:v>
      </x:c>
      <x:c r="H95" s="9">
        <x:v>225105</x:v>
      </x:c>
      <x:c r="I95" s="9">
        <x:v>159509</x:v>
      </x:c>
      <x:c r="J95" s="9">
        <x:v>204950</x:v>
      </x:c>
      <x:c r="K95" s="9">
        <x:v>213371</x:v>
      </x:c>
      <x:c r="L95" s="9">
        <x:v>194642</x:v>
      </x:c>
      <x:c r="M95" s="9">
        <x:v>148506</x:v>
      </x:c>
      <x:c r="N95" s="10"/>
      <x:c r="O95" s="10"/>
      <x:c r="P95" s="10"/>
      <x:c r="Q95" s="10"/>
      <x:c r="R95" s="10"/>
      <x:c r="S95" s="10"/>
      <x:c r="T95" s="10"/>
      <x:c r="U95" s="28"/>
      <x:c r="V95" s="7" t="n">
        <x:f>SUM(F95:T95)</x:f>
        <x:v>1587278</x:v>
      </x:c>
      <x:c r="W95" s="7" t="n">
        <x:f>SUM(F96:T96)</x:f>
        <x:v>92192</x:v>
      </x:c>
      <x:c r="X95" s="7" t="n">
        <x:f>SUM(F97:T97)</x:f>
        <x:v>49802</x:v>
      </x:c>
      <x:c r="Y95" s="7"/>
      <x:c r="Z95" s="7" t="n">
        <x:f>V95-B95</x:f>
        <x:v>0</x:v>
      </x:c>
      <x:c r="AA95" s="7" t="n">
        <x:f>W95-C95</x:f>
        <x:v>0</x:v>
      </x:c>
      <x:c r="AB95" s="7" t="n">
        <x:f>X95-D95</x:f>
        <x:v>0</x:v>
      </x:c>
      <x:c r="AC95" s="53" t="n">
        <x:v>57.9</x:v>
      </x:c>
      <x:c r="AD95" s="53" t="n">
        <x:v>31.4</x:v>
      </x:c>
    </x:row>
    <x:row r="96" ht="14.399999618530273">
      <x:c r="A96" s="4" t="s">
        <x:v>106</x:v>
      </x:c>
      <x:c r="B96" s="11"/>
      <x:c r="C96" s="11"/>
      <x:c r="D96" s="11"/>
      <x:c r="E96" s="25"/>
      <x:c r="F96" s="13">
        <x:v>12093</x:v>
      </x:c>
      <x:c r="G96" s="13">
        <x:v>10086</x:v>
      </x:c>
      <x:c r="H96" s="13">
        <x:v>12849</x:v>
      </x:c>
      <x:c r="I96" s="13">
        <x:v>10128</x:v>
      </x:c>
      <x:c r="J96" s="13">
        <x:v>12427</x:v>
      </x:c>
      <x:c r="K96" s="13">
        <x:v>11008</x:v>
      </x:c>
      <x:c r="L96" s="13">
        <x:v>12089</x:v>
      </x:c>
      <x:c r="M96" s="13">
        <x:v>11512</x:v>
      </x:c>
      <x:c r="N96" s="12"/>
      <x:c r="O96" s="12"/>
      <x:c r="P96" s="12"/>
      <x:c r="Q96" s="12"/>
      <x:c r="R96" s="12"/>
      <x:c r="S96" s="12"/>
      <x:c r="T96" s="12"/>
      <x:c r="U96" s="28"/>
      <x:c r="V96" s="6"/>
      <x:c r="W96" s="6"/>
      <x:c r="X96" s="6"/>
      <x:c r="Y96" s="6"/>
      <x:c r="Z96" s="6"/>
      <x:c r="AA96" s="6"/>
      <x:c r="AB96" s="6"/>
      <x:c r="AC96" s="53"/>
      <x:c r="AD96" s="53"/>
    </x:row>
    <x:row r="97" ht="14.399999618530273">
      <x:c r="A97" s="4" t="s">
        <x:v>107</x:v>
      </x:c>
      <x:c r="B97" s="11"/>
      <x:c r="C97" s="11"/>
      <x:c r="D97" s="11"/>
      <x:c r="E97" s="25"/>
      <x:c r="F97" s="13">
        <x:v>5862</x:v>
      </x:c>
      <x:c r="G97" s="13">
        <x:v>5522</x:v>
      </x:c>
      <x:c r="H97" s="13">
        <x:v>8593</x:v>
      </x:c>
      <x:c r="I97" s="13">
        <x:v>4998</x:v>
      </x:c>
      <x:c r="J97" s="13">
        <x:v>7424</x:v>
      </x:c>
      <x:c r="K97" s="13">
        <x:v>5007</x:v>
      </x:c>
      <x:c r="L97" s="13">
        <x:v>5349</x:v>
      </x:c>
      <x:c r="M97" s="13">
        <x:v>7047</x:v>
      </x:c>
      <x:c r="N97" s="12"/>
      <x:c r="O97" s="12"/>
      <x:c r="P97" s="12"/>
      <x:c r="Q97" s="12"/>
      <x:c r="R97" s="12"/>
      <x:c r="S97" s="12"/>
      <x:c r="T97" s="12"/>
      <x:c r="U97" s="28"/>
      <x:c r="V97" s="6"/>
      <x:c r="W97" s="6"/>
      <x:c r="X97" s="6"/>
      <x:c r="Y97" s="6"/>
      <x:c r="Z97" s="6"/>
      <x:c r="AA97" s="6"/>
      <x:c r="AB97" s="6"/>
      <x:c r="AC97" s="53"/>
      <x:c r="AD97" s="53"/>
    </x:row>
    <x:row r="98" ht="14.399999618530273">
      <x:c r="A98" s="3" t="s">
        <x:v>108</x:v>
      </x:c>
      <x:c r="B98" s="8">
        <x:v>2149445</x:v>
      </x:c>
      <x:c r="C98" s="8">
        <x:v>104595</x:v>
      </x:c>
      <x:c r="D98" s="8">
        <x:v>69104</x:v>
      </x:c>
      <x:c r="E98" s="24"/>
      <x:c r="F98" s="9">
        <x:v>365165</x:v>
      </x:c>
      <x:c r="G98" s="9">
        <x:v>99880</x:v>
      </x:c>
      <x:c r="H98" s="9">
        <x:v>191684</x:v>
      </x:c>
      <x:c r="I98" s="9">
        <x:v>190539</x:v>
      </x:c>
      <x:c r="J98" s="9">
        <x:v>122362</x:v>
      </x:c>
      <x:c r="K98" s="9">
        <x:v>174589</x:v>
      </x:c>
      <x:c r="L98" s="9">
        <x:v>182199</x:v>
      </x:c>
      <x:c r="M98" s="9">
        <x:v>105702</x:v>
      </x:c>
      <x:c r="N98" s="9">
        <x:v>159667</x:v>
      </x:c>
      <x:c r="O98" s="9">
        <x:v>115985</x:v>
      </x:c>
      <x:c r="P98" s="9">
        <x:v>297636</x:v>
      </x:c>
      <x:c r="Q98" s="9">
        <x:v>144037</x:v>
      </x:c>
      <x:c r="R98" s="10"/>
      <x:c r="S98" s="10"/>
      <x:c r="T98" s="10"/>
      <x:c r="U98" s="28"/>
      <x:c r="V98" s="7" t="n">
        <x:f>SUM(F98:T98)</x:f>
        <x:v>2149445</x:v>
      </x:c>
      <x:c r="W98" s="7" t="n">
        <x:f>SUM(F99:T99)</x:f>
        <x:v>104595</x:v>
      </x:c>
      <x:c r="X98" s="7" t="n">
        <x:f>SUM(F100:T100)</x:f>
        <x:v>69104</x:v>
      </x:c>
      <x:c r="Y98" s="7"/>
      <x:c r="Z98" s="7" t="n">
        <x:f>V98-B98</x:f>
        <x:v>0</x:v>
      </x:c>
      <x:c r="AA98" s="7" t="n">
        <x:f>W98-C98</x:f>
        <x:v>0</x:v>
      </x:c>
      <x:c r="AB98" s="7" t="n">
        <x:f>X98-D98</x:f>
        <x:v>0</x:v>
      </x:c>
      <x:c r="AC98" s="53" t="n">
        <x:v>48.6</x:v>
      </x:c>
      <x:c r="AD98" s="53" t="n">
        <x:v>32.1</x:v>
      </x:c>
    </x:row>
    <x:row r="99" ht="14.399999618530273">
      <x:c r="A99" s="4" t="s">
        <x:v>109</x:v>
      </x:c>
      <x:c r="B99" s="11"/>
      <x:c r="C99" s="11"/>
      <x:c r="D99" s="11"/>
      <x:c r="E99" s="25"/>
      <x:c r="F99" s="13">
        <x:v>15234</x:v>
      </x:c>
      <x:c r="G99" s="13">
        <x:v>4444</x:v>
      </x:c>
      <x:c r="H99" s="13">
        <x:v>9199</x:v>
      </x:c>
      <x:c r="I99" s="13">
        <x:v>9288</x:v>
      </x:c>
      <x:c r="J99" s="13">
        <x:v>6358</x:v>
      </x:c>
      <x:c r="K99" s="13">
        <x:v>9404</x:v>
      </x:c>
      <x:c r="L99" s="13">
        <x:v>9424</x:v>
      </x:c>
      <x:c r="M99" s="13">
        <x:v>5608</x:v>
      </x:c>
      <x:c r="N99" s="13">
        <x:v>7673</x:v>
      </x:c>
      <x:c r="O99" s="13">
        <x:v>5846</x:v>
      </x:c>
      <x:c r="P99" s="13">
        <x:v>14870</x:v>
      </x:c>
      <x:c r="Q99" s="13">
        <x:v>7247</x:v>
      </x:c>
      <x:c r="R99" s="12"/>
      <x:c r="S99" s="12"/>
      <x:c r="T99" s="12"/>
      <x:c r="U99" s="28"/>
      <x:c r="V99" s="6"/>
      <x:c r="W99" s="6"/>
      <x:c r="X99" s="6"/>
      <x:c r="Y99" s="6"/>
      <x:c r="Z99" s="6"/>
      <x:c r="AA99" s="6"/>
      <x:c r="AB99" s="6"/>
      <x:c r="AC99" s="53"/>
      <x:c r="AD99" s="53"/>
    </x:row>
    <x:row r="100" ht="14.399999618530273">
      <x:c r="A100" s="4" t="s">
        <x:v>110</x:v>
      </x:c>
      <x:c r="B100" s="11"/>
      <x:c r="C100" s="11"/>
      <x:c r="D100" s="11"/>
      <x:c r="E100" s="25"/>
      <x:c r="F100" s="13">
        <x:v>11808</x:v>
      </x:c>
      <x:c r="G100" s="13">
        <x:v>3603</x:v>
      </x:c>
      <x:c r="H100" s="13">
        <x:v>6418</x:v>
      </x:c>
      <x:c r="I100" s="13">
        <x:v>5693</x:v>
      </x:c>
      <x:c r="J100" s="13">
        <x:v>4134</x:v>
      </x:c>
      <x:c r="K100" s="13">
        <x:v>5605</x:v>
      </x:c>
      <x:c r="L100" s="13">
        <x:v>5327</x:v>
      </x:c>
      <x:c r="M100" s="13">
        <x:v>3608</x:v>
      </x:c>
      <x:c r="N100" s="13">
        <x:v>4778</x:v>
      </x:c>
      <x:c r="O100" s="13">
        <x:v>3602</x:v>
      </x:c>
      <x:c r="P100" s="13">
        <x:v>9526</x:v>
      </x:c>
      <x:c r="Q100" s="13">
        <x:v>5002</x:v>
      </x:c>
      <x:c r="R100" s="12"/>
      <x:c r="S100" s="12"/>
      <x:c r="T100" s="12"/>
      <x:c r="U100" s="28"/>
      <x:c r="V100" s="6"/>
      <x:c r="W100" s="6"/>
      <x:c r="X100" s="6"/>
      <x:c r="Y100" s="6"/>
      <x:c r="Z100" s="6"/>
      <x:c r="AA100" s="6"/>
      <x:c r="AB100" s="6"/>
      <x:c r="AC100" s="53"/>
      <x:c r="AD100" s="53"/>
    </x:row>
    <x:row r="101" ht="14.399999618530273">
      <x:c r="A101" s="3" t="s">
        <x:v>111</x:v>
      </x:c>
      <x:c r="B101" s="8">
        <x:v>1221377</x:v>
      </x:c>
      <x:c r="C101" s="8">
        <x:v>59813</x:v>
      </x:c>
      <x:c r="D101" s="8">
        <x:v>38318</x:v>
      </x:c>
      <x:c r="E101" s="24"/>
      <x:c r="F101" s="9">
        <x:v>110174</x:v>
      </x:c>
      <x:c r="G101" s="9">
        <x:v>76844</x:v>
      </x:c>
      <x:c r="H101" s="9">
        <x:v>225763</x:v>
      </x:c>
      <x:c r="I101" s="9">
        <x:v>128761</x:v>
      </x:c>
      <x:c r="J101" s="9">
        <x:v>90306</x:v>
      </x:c>
      <x:c r="K101" s="9">
        <x:v>51170</x:v>
      </x:c>
      <x:c r="L101" s="9">
        <x:v>123828</x:v>
      </x:c>
      <x:c r="M101" s="9">
        <x:v>117510</x:v>
      </x:c>
      <x:c r="N101" s="9">
        <x:v>157993</x:v>
      </x:c>
      <x:c r="O101" s="9">
        <x:v>69188</x:v>
      </x:c>
      <x:c r="P101" s="9">
        <x:v>69840</x:v>
      </x:c>
      <x:c r="Q101" s="10"/>
      <x:c r="R101" s="10"/>
      <x:c r="S101" s="10"/>
      <x:c r="T101" s="10"/>
      <x:c r="U101" s="28"/>
      <x:c r="V101" s="7" t="n">
        <x:f>SUM(F101:T101)</x:f>
        <x:v>1221377</x:v>
      </x:c>
      <x:c r="W101" s="7" t="n">
        <x:f>SUM(F102:T102)</x:f>
        <x:v>59813</x:v>
      </x:c>
      <x:c r="X101" s="7" t="n">
        <x:f>SUM(F103:T103)</x:f>
        <x:v>38318</x:v>
      </x:c>
      <x:c r="Y101" s="7"/>
      <x:c r="Z101" s="7" t="n">
        <x:f>V101-B101</x:f>
        <x:v>0</x:v>
      </x:c>
      <x:c r="AA101" s="7" t="n">
        <x:f>W101-C101</x:f>
        <x:v>0</x:v>
      </x:c>
      <x:c r="AB101" s="7" t="n">
        <x:f>X101-D101</x:f>
        <x:v>0</x:v>
      </x:c>
      <x:c r="AC101" s="53" t="n">
        <x:v>49.7</x:v>
      </x:c>
      <x:c r="AD101" s="53" t="n">
        <x:v>31.7</x:v>
      </x:c>
    </x:row>
    <x:row r="102" ht="14.399999618530273">
      <x:c r="A102" s="4" t="s">
        <x:v>112</x:v>
      </x:c>
      <x:c r="B102" s="11"/>
      <x:c r="C102" s="11"/>
      <x:c r="D102" s="11"/>
      <x:c r="E102" s="25"/>
      <x:c r="F102" s="13">
        <x:v>4658</x:v>
      </x:c>
      <x:c r="G102" s="13">
        <x:v>3021</x:v>
      </x:c>
      <x:c r="H102" s="13">
        <x:v>12935</x:v>
      </x:c>
      <x:c r="I102" s="13">
        <x:v>6609</x:v>
      </x:c>
      <x:c r="J102" s="13">
        <x:v>4850</x:v>
      </x:c>
      <x:c r="K102" s="13">
        <x:v>2157</x:v>
      </x:c>
      <x:c r="L102" s="13">
        <x:v>6408</x:v>
      </x:c>
      <x:c r="M102" s="13">
        <x:v>4839</x:v>
      </x:c>
      <x:c r="N102" s="13">
        <x:v>8143</x:v>
      </x:c>
      <x:c r="O102" s="13">
        <x:v>3326</x:v>
      </x:c>
      <x:c r="P102" s="13">
        <x:v>2867</x:v>
      </x:c>
      <x:c r="Q102" s="12"/>
      <x:c r="R102" s="12"/>
      <x:c r="S102" s="12"/>
      <x:c r="T102" s="12"/>
      <x:c r="U102" s="28"/>
      <x:c r="V102" s="6"/>
      <x:c r="W102" s="6"/>
      <x:c r="X102" s="6"/>
      <x:c r="Y102" s="6"/>
      <x:c r="Z102" s="6"/>
      <x:c r="AA102" s="6"/>
      <x:c r="AB102" s="6"/>
      <x:c r="AC102" s="53"/>
      <x:c r="AD102" s="53"/>
    </x:row>
    <x:row r="103" ht="14.399999618530273">
      <x:c r="A103" s="4" t="s">
        <x:v>113</x:v>
      </x:c>
      <x:c r="B103" s="11"/>
      <x:c r="C103" s="11"/>
      <x:c r="D103" s="11"/>
      <x:c r="E103" s="25"/>
      <x:c r="F103" s="13">
        <x:v>3252</x:v>
      </x:c>
      <x:c r="G103" s="13">
        <x:v>2812</x:v>
      </x:c>
      <x:c r="H103" s="13">
        <x:v>6887</x:v>
      </x:c>
      <x:c r="I103" s="13">
        <x:v>3708</x:v>
      </x:c>
      <x:c r="J103" s="13">
        <x:v>2958</x:v>
      </x:c>
      <x:c r="K103" s="13">
        <x:v>2013</x:v>
      </x:c>
      <x:c r="L103" s="13">
        <x:v>4770</x:v>
      </x:c>
      <x:c r="M103" s="13">
        <x:v>2837</x:v>
      </x:c>
      <x:c r="N103" s="13">
        <x:v>4895</x:v>
      </x:c>
      <x:c r="O103" s="13">
        <x:v>2223</x:v>
      </x:c>
      <x:c r="P103" s="13">
        <x:v>1963</x:v>
      </x:c>
      <x:c r="Q103" s="12"/>
      <x:c r="R103" s="12"/>
      <x:c r="S103" s="12"/>
      <x:c r="T103" s="12"/>
      <x:c r="U103" s="28"/>
      <x:c r="V103" s="6"/>
      <x:c r="W103" s="6"/>
      <x:c r="X103" s="6"/>
      <x:c r="Y103" s="6"/>
      <x:c r="Z103" s="6"/>
      <x:c r="AA103" s="6"/>
      <x:c r="AB103" s="6"/>
      <x:c r="AC103" s="53"/>
      <x:c r="AD103" s="53"/>
    </x:row>
    <x:row r="104" ht="14.399999618530273">
      <x:c r="A104" s="3" t="s">
        <x:v>114</x:v>
      </x:c>
      <x:c r="B104" s="8">
        <x:v>1367905</x:v>
      </x:c>
      <x:c r="C104" s="8">
        <x:v>64132</x:v>
      </x:c>
      <x:c r="D104" s="8">
        <x:v>50244</x:v>
      </x:c>
      <x:c r="E104" s="24"/>
      <x:c r="F104" s="9">
        <x:v>170885</x:v>
      </x:c>
      <x:c r="G104" s="9">
        <x:v>72361</x:v>
      </x:c>
      <x:c r="H104" s="9">
        <x:v>112017</x:v>
      </x:c>
      <x:c r="I104" s="9">
        <x:v>104465</x:v>
      </x:c>
      <x:c r="J104" s="9">
        <x:v>110974</x:v>
      </x:c>
      <x:c r="K104" s="9">
        <x:v>131930</x:v>
      </x:c>
      <x:c r="L104" s="9">
        <x:v>103168</x:v>
      </x:c>
      <x:c r="M104" s="9">
        <x:v>140072</x:v>
      </x:c>
      <x:c r="N104" s="9">
        <x:v>172426</x:v>
      </x:c>
      <x:c r="O104" s="9">
        <x:v>62302</x:v>
      </x:c>
      <x:c r="P104" s="9">
        <x:v>56010</x:v>
      </x:c>
      <x:c r="Q104" s="9">
        <x:v>131295</x:v>
      </x:c>
      <x:c r="R104" s="10"/>
      <x:c r="S104" s="10"/>
      <x:c r="T104" s="10"/>
      <x:c r="U104" s="28"/>
      <x:c r="V104" s="7" t="n">
        <x:f>SUM(F104:T104)</x:f>
        <x:v>1367905</x:v>
      </x:c>
      <x:c r="W104" s="7" t="n">
        <x:f>SUM(F105:T105)</x:f>
        <x:v>64132</x:v>
      </x:c>
      <x:c r="X104" s="7" t="n">
        <x:f>SUM(F106:T106)</x:f>
        <x:v>50244</x:v>
      </x:c>
      <x:c r="Y104" s="7"/>
      <x:c r="Z104" s="7" t="n">
        <x:f>V104-B104</x:f>
        <x:v>0</x:v>
      </x:c>
      <x:c r="AA104" s="7" t="n">
        <x:f>W104-C104</x:f>
        <x:v>0</x:v>
      </x:c>
      <x:c r="AB104" s="7" t="n">
        <x:f>X104-D104</x:f>
        <x:v>0</x:v>
      </x:c>
      <x:c r="AC104" s="53" t="n">
        <x:v>46.1</x:v>
      </x:c>
      <x:c r="AD104" s="53" t="n">
        <x:v>36.1</x:v>
      </x:c>
    </x:row>
    <x:row r="105" ht="14.399999618530273">
      <x:c r="A105" s="4" t="s">
        <x:v>115</x:v>
      </x:c>
      <x:c r="B105" s="11"/>
      <x:c r="C105" s="11"/>
      <x:c r="D105" s="11"/>
      <x:c r="E105" s="25"/>
      <x:c r="F105" s="13">
        <x:v>7536</x:v>
      </x:c>
      <x:c r="G105" s="13">
        <x:v>3380</x:v>
      </x:c>
      <x:c r="H105" s="13">
        <x:v>4655</x:v>
      </x:c>
      <x:c r="I105" s="13">
        <x:v>6080</x:v>
      </x:c>
      <x:c r="J105" s="13">
        <x:v>4681</x:v>
      </x:c>
      <x:c r="K105" s="13">
        <x:v>6360</x:v>
      </x:c>
      <x:c r="L105" s="13">
        <x:v>4849</x:v>
      </x:c>
      <x:c r="M105" s="13">
        <x:v>7119</x:v>
      </x:c>
      <x:c r="N105" s="13">
        <x:v>8006</x:v>
      </x:c>
      <x:c r="O105" s="13">
        <x:v>2459</x:v>
      </x:c>
      <x:c r="P105" s="13">
        <x:v>2366</x:v>
      </x:c>
      <x:c r="Q105" s="13">
        <x:v>6641</x:v>
      </x:c>
      <x:c r="R105" s="12"/>
      <x:c r="S105" s="12"/>
      <x:c r="T105" s="12"/>
      <x:c r="U105" s="28"/>
      <x:c r="V105" s="6"/>
      <x:c r="W105" s="6"/>
      <x:c r="X105" s="6"/>
      <x:c r="Y105" s="6"/>
      <x:c r="Z105" s="6"/>
      <x:c r="AA105" s="6"/>
      <x:c r="AB105" s="6"/>
      <x:c r="AC105" s="53"/>
      <x:c r="AD105" s="53"/>
    </x:row>
    <x:row r="106" ht="14.399999618530273">
      <x:c r="A106" s="4" t="s">
        <x:v>116</x:v>
      </x:c>
      <x:c r="B106" s="11"/>
      <x:c r="C106" s="11"/>
      <x:c r="D106" s="11"/>
      <x:c r="E106" s="25"/>
      <x:c r="F106" s="13">
        <x:v>6246</x:v>
      </x:c>
      <x:c r="G106" s="13">
        <x:v>2903</x:v>
      </x:c>
      <x:c r="H106" s="13">
        <x:v>3528</x:v>
      </x:c>
      <x:c r="I106" s="13">
        <x:v>4080</x:v>
      </x:c>
      <x:c r="J106" s="13">
        <x:v>3613</x:v>
      </x:c>
      <x:c r="K106" s="13">
        <x:v>5759</x:v>
      </x:c>
      <x:c r="L106" s="13">
        <x:v>3081</x:v>
      </x:c>
      <x:c r="M106" s="13">
        <x:v>6518</x:v>
      </x:c>
      <x:c r="N106" s="13">
        <x:v>6036</x:v>
      </x:c>
      <x:c r="O106" s="13">
        <x:v>1502</x:v>
      </x:c>
      <x:c r="P106" s="13">
        <x:v>1744</x:v>
      </x:c>
      <x:c r="Q106" s="13">
        <x:v>5234</x:v>
      </x:c>
      <x:c r="R106" s="12"/>
      <x:c r="S106" s="12"/>
      <x:c r="T106" s="12"/>
      <x:c r="U106" s="28"/>
      <x:c r="V106" s="6"/>
      <x:c r="W106" s="6"/>
      <x:c r="X106" s="6"/>
      <x:c r="Y106" s="6"/>
      <x:c r="Z106" s="6"/>
      <x:c r="AA106" s="6"/>
      <x:c r="AB106" s="6"/>
      <x:c r="AC106" s="53"/>
      <x:c r="AD106" s="53"/>
    </x:row>
    <x:row r="107" ht="14.399999618530273">
      <x:c r="A107" s="3" t="s">
        <x:v>117</x:v>
      </x:c>
      <x:c r="B107" s="8">
        <x:v>2513700</x:v>
      </x:c>
      <x:c r="C107" s="8">
        <x:v>121877</x:v>
      </x:c>
      <x:c r="D107" s="8">
        <x:v>73397</x:v>
      </x:c>
      <x:c r="E107" s="24"/>
      <x:c r="F107" s="9">
        <x:v>232000</x:v>
      </x:c>
      <x:c r="G107" s="9">
        <x:v>182000</x:v>
      </x:c>
      <x:c r="H107" s="9">
        <x:v>193200</x:v>
      </x:c>
      <x:c r="I107" s="9">
        <x:v>117550</x:v>
      </x:c>
      <x:c r="J107" s="9">
        <x:v>184600</x:v>
      </x:c>
      <x:c r="K107" s="9">
        <x:v>129000</x:v>
      </x:c>
      <x:c r="L107" s="9">
        <x:v>180100</x:v>
      </x:c>
      <x:c r="M107" s="9">
        <x:v>191150</x:v>
      </x:c>
      <x:c r="N107" s="9">
        <x:v>165200</x:v>
      </x:c>
      <x:c r="O107" s="9">
        <x:v>155800</x:v>
      </x:c>
      <x:c r="P107" s="9">
        <x:v>162700</x:v>
      </x:c>
      <x:c r="Q107" s="9">
        <x:v>156300</x:v>
      </x:c>
      <x:c r="R107" s="9">
        <x:v>168600</x:v>
      </x:c>
      <x:c r="S107" s="9">
        <x:v>137900</x:v>
      </x:c>
      <x:c r="T107" s="9">
        <x:v>57600</x:v>
      </x:c>
      <x:c r="U107" s="28"/>
      <x:c r="V107" s="7" t="n">
        <x:f>SUM(F107:T107)</x:f>
        <x:v>2413700</x:v>
      </x:c>
      <x:c r="W107" s="7" t="n">
        <x:f>SUM(F108:T108)</x:f>
        <x:v>121802</x:v>
      </x:c>
      <x:c r="X107" s="7" t="n">
        <x:f>SUM(F109:T109)</x:f>
        <x:v>73397</x:v>
      </x:c>
      <x:c r="Y107" s="7"/>
      <x:c r="Z107" s="7" t="n">
        <x:f>V107-B107</x:f>
        <x:v>-100000</x:v>
      </x:c>
      <x:c r="AA107" s="7" t="n">
        <x:f>W107-C107</x:f>
        <x:v>-75</x:v>
      </x:c>
      <x:c r="AB107" s="7" t="n">
        <x:f>X107-D107</x:f>
        <x:v>0</x:v>
      </x:c>
      <x:c r="AC107" s="53" t="n">
        <x:v>48.1</x:v>
      </x:c>
      <x:c r="AD107" s="53" t="n">
        <x:v>29.2</x:v>
      </x:c>
    </x:row>
    <x:row r="108" ht="14.399999618530273">
      <x:c r="A108" s="4" t="s">
        <x:v>118</x:v>
      </x:c>
      <x:c r="B108" s="11"/>
      <x:c r="C108" s="11"/>
      <x:c r="D108" s="11"/>
      <x:c r="E108" s="25"/>
      <x:c r="F108" s="13">
        <x:v>10881</x:v>
      </x:c>
      <x:c r="G108" s="13">
        <x:v>9062</x:v>
      </x:c>
      <x:c r="H108" s="13">
        <x:v>8922</x:v>
      </x:c>
      <x:c r="I108" s="13">
        <x:v>6752</x:v>
      </x:c>
      <x:c r="J108" s="13">
        <x:v>8712</x:v>
      </x:c>
      <x:c r="K108" s="13">
        <x:v>6757</x:v>
      </x:c>
      <x:c r="L108" s="13">
        <x:v>8134</x:v>
      </x:c>
      <x:c r="M108" s="13">
        <x:v>10517</x:v>
      </x:c>
      <x:c r="N108" s="13">
        <x:v>7535</x:v>
      </x:c>
      <x:c r="O108" s="13">
        <x:v>8048</x:v>
      </x:c>
      <x:c r="P108" s="13">
        <x:v>7693</x:v>
      </x:c>
      <x:c r="Q108" s="13">
        <x:v>7678</x:v>
      </x:c>
      <x:c r="R108" s="13">
        <x:v>7225</x:v>
      </x:c>
      <x:c r="S108" s="13">
        <x:v>6242</x:v>
      </x:c>
      <x:c r="T108" s="13">
        <x:v>7644</x:v>
      </x:c>
      <x:c r="U108" s="28"/>
      <x:c r="V108" s="6"/>
      <x:c r="W108" s="6"/>
      <x:c r="X108" s="6"/>
      <x:c r="Y108" s="6"/>
      <x:c r="Z108" s="6"/>
      <x:c r="AA108" s="6"/>
      <x:c r="AB108" s="6"/>
      <x:c r="AC108" s="53"/>
      <x:c r="AD108" s="53"/>
    </x:row>
    <x:row r="109" ht="14.399999618530273">
      <x:c r="A109" s="4" t="s">
        <x:v>119</x:v>
      </x:c>
      <x:c r="B109" s="11"/>
      <x:c r="C109" s="11"/>
      <x:c r="D109" s="11"/>
      <x:c r="E109" s="25"/>
      <x:c r="F109" s="13">
        <x:v>7534</x:v>
      </x:c>
      <x:c r="G109" s="13">
        <x:v>5344</x:v>
      </x:c>
      <x:c r="H109" s="13">
        <x:v>4715</x:v>
      </x:c>
      <x:c r="I109" s="13">
        <x:v>4077</x:v>
      </x:c>
      <x:c r="J109" s="13">
        <x:v>4706</x:v>
      </x:c>
      <x:c r="K109" s="13">
        <x:v>4546</x:v>
      </x:c>
      <x:c r="L109" s="13">
        <x:v>5088</x:v>
      </x:c>
      <x:c r="M109" s="13">
        <x:v>5950</x:v>
      </x:c>
      <x:c r="N109" s="13">
        <x:v>5500</x:v>
      </x:c>
      <x:c r="O109" s="13">
        <x:v>5108</x:v>
      </x:c>
      <x:c r="P109" s="13">
        <x:v>4311</x:v>
      </x:c>
      <x:c r="Q109" s="13">
        <x:v>4937</x:v>
      </x:c>
      <x:c r="R109" s="13">
        <x:v>3822</x:v>
      </x:c>
      <x:c r="S109" s="13">
        <x:v>3269</x:v>
      </x:c>
      <x:c r="T109" s="13">
        <x:v>4490</x:v>
      </x:c>
      <x:c r="U109" s="28"/>
      <x:c r="V109" s="6"/>
      <x:c r="W109" s="6"/>
      <x:c r="X109" s="6"/>
      <x:c r="Y109" s="6"/>
      <x:c r="Z109" s="6"/>
      <x:c r="AA109" s="6"/>
      <x:c r="AB109" s="6"/>
      <x:c r="AC109" s="53"/>
      <x:c r="AD109" s="53"/>
    </x:row>
    <x:row r="110" ht="14.399999618530273">
      <x:c r="A110" s="3" t="s">
        <x:v>120</x:v>
      </x:c>
      <x:c r="B110" s="8">
        <x:v>779410</x:v>
      </x:c>
      <x:c r="C110" s="8">
        <x:v>33557</x:v>
      </x:c>
      <x:c r="D110" s="8">
        <x:v>27696</x:v>
      </x:c>
      <x:c r="E110" s="24"/>
      <x:c r="F110" s="10"/>
      <x:c r="G110" s="10"/>
      <x:c r="H110" s="10"/>
      <x:c r="I110" s="10"/>
      <x:c r="J110" s="10"/>
      <x:c r="K110" s="10"/>
      <x:c r="L110" s="10"/>
      <x:c r="M110" s="10"/>
      <x:c r="N110" s="10"/>
      <x:c r="O110" s="10"/>
      <x:c r="P110" s="10"/>
      <x:c r="Q110" s="10"/>
      <x:c r="R110" s="10"/>
      <x:c r="S110" s="10"/>
      <x:c r="T110" s="10"/>
      <x:c r="U110" s="28"/>
      <x:c r="V110" s="7"/>
      <x:c r="W110" s="7"/>
      <x:c r="X110" s="7"/>
      <x:c r="Y110" s="7"/>
      <x:c r="Z110" s="7"/>
      <x:c r="AA110" s="7"/>
      <x:c r="AB110" s="7"/>
      <x:c r="AC110" s="53" t="n">
        <x:v>41</x:v>
      </x:c>
      <x:c r="AD110" s="53" t="n">
        <x:v>35.5</x:v>
      </x:c>
    </x:row>
    <x:row r="111" ht="14.399999618530273">
      <x:c r="A111" s="3" t="s">
        <x:v>121</x:v>
      </x:c>
      <x:c r="B111" s="8">
        <x:v>1479259</x:v>
      </x:c>
      <x:c r="C111" s="8">
        <x:v>69416</x:v>
      </x:c>
      <x:c r="D111" s="8">
        <x:v>52131</x:v>
      </x:c>
      <x:c r="E111" s="24"/>
      <x:c r="F111" s="9">
        <x:v>141102</x:v>
      </x:c>
      <x:c r="G111" s="9">
        <x:v>173239</x:v>
      </x:c>
      <x:c r="H111" s="9">
        <x:v>146596</x:v>
      </x:c>
      <x:c r="I111" s="9">
        <x:v>57490</x:v>
      </x:c>
      <x:c r="J111" s="9">
        <x:v>92005</x:v>
      </x:c>
      <x:c r="K111" s="9">
        <x:v>147673</x:v>
      </x:c>
      <x:c r="L111" s="9">
        <x:v>92769</x:v>
      </x:c>
      <x:c r="M111" s="9">
        <x:v>121329</x:v>
      </x:c>
      <x:c r="N111" s="9">
        <x:v>132269</x:v>
      </x:c>
      <x:c r="O111" s="9">
        <x:v>70112</x:v>
      </x:c>
      <x:c r="P111" s="9">
        <x:v>104155</x:v>
      </x:c>
      <x:c r="Q111" s="9">
        <x:v>70596</x:v>
      </x:c>
      <x:c r="R111" s="9">
        <x:v>129934</x:v>
      </x:c>
      <x:c r="S111" s="10"/>
      <x:c r="T111" s="10"/>
      <x:c r="U111" s="28"/>
      <x:c r="V111" s="7" t="n">
        <x:f>SUM(F111:T111)</x:f>
        <x:v>1479269</x:v>
      </x:c>
      <x:c r="W111" s="7" t="n">
        <x:f>SUM(F112:T112)</x:f>
        <x:v>72406</x:v>
      </x:c>
      <x:c r="X111" s="7" t="n">
        <x:f>SUM(F113:T113)</x:f>
        <x:v>52031</x:v>
      </x:c>
      <x:c r="Y111" s="7"/>
      <x:c r="Z111" s="7" t="n">
        <x:f>V111-B111</x:f>
        <x:v>10</x:v>
      </x:c>
      <x:c r="AA111" s="7" t="n">
        <x:f>W111-C111</x:f>
        <x:v>2990</x:v>
      </x:c>
      <x:c r="AB111" s="7" t="n">
        <x:f>X111-D111</x:f>
        <x:v>-100</x:v>
      </x:c>
      <x:c r="AC111" s="53" t="n">
        <x:v>48.9</x:v>
      </x:c>
      <x:c r="AD111" s="53" t="n">
        <x:v>35.1</x:v>
      </x:c>
    </x:row>
    <x:row r="112" ht="14.399999618530273">
      <x:c r="A112" s="4" t="s">
        <x:v>122</x:v>
      </x:c>
      <x:c r="B112" s="11"/>
      <x:c r="C112" s="11"/>
      <x:c r="D112" s="11"/>
      <x:c r="E112" s="25"/>
      <x:c r="F112" s="13">
        <x:v>8764</x:v>
      </x:c>
      <x:c r="G112" s="13">
        <x:v>9962</x:v>
      </x:c>
      <x:c r="H112" s="13">
        <x:v>6577</x:v>
      </x:c>
      <x:c r="I112" s="13">
        <x:v>2906</x:v>
      </x:c>
      <x:c r="J112" s="13">
        <x:v>4052</x:v>
      </x:c>
      <x:c r="K112" s="13">
        <x:v>6065</x:v>
      </x:c>
      <x:c r="L112" s="13">
        <x:v>4340</x:v>
      </x:c>
      <x:c r="M112" s="13">
        <x:v>6024</x:v>
      </x:c>
      <x:c r="N112" s="13">
        <x:v>5126</x:v>
      </x:c>
      <x:c r="O112" s="13">
        <x:v>2928</x:v>
      </x:c>
      <x:c r="P112" s="13">
        <x:v>4231</x:v>
      </x:c>
      <x:c r="Q112" s="13">
        <x:v>3252</x:v>
      </x:c>
      <x:c r="R112" s="13">
        <x:v>8179</x:v>
      </x:c>
      <x:c r="S112" s="12"/>
      <x:c r="T112" s="12"/>
      <x:c r="U112" s="28"/>
      <x:c r="V112" s="6"/>
      <x:c r="W112" s="6"/>
      <x:c r="X112" s="6"/>
      <x:c r="Y112" s="6"/>
      <x:c r="Z112" s="6"/>
      <x:c r="AA112" s="6"/>
      <x:c r="AB112" s="6"/>
      <x:c r="AC112" s="53"/>
      <x:c r="AD112" s="53"/>
    </x:row>
    <x:row r="113" ht="14.399999618530273">
      <x:c r="A113" s="4" t="s">
        <x:v>123</x:v>
      </x:c>
      <x:c r="B113" s="11"/>
      <x:c r="C113" s="11"/>
      <x:c r="D113" s="11"/>
      <x:c r="E113" s="25"/>
      <x:c r="F113" s="13">
        <x:v>6638</x:v>
      </x:c>
      <x:c r="G113" s="13">
        <x:v>7269</x:v>
      </x:c>
      <x:c r="H113" s="13">
        <x:v>4221</x:v>
      </x:c>
      <x:c r="I113" s="13">
        <x:v>2272</x:v>
      </x:c>
      <x:c r="J113" s="13">
        <x:v>3362</x:v>
      </x:c>
      <x:c r="K113" s="13">
        <x:v>4519</x:v>
      </x:c>
      <x:c r="L113" s="13">
        <x:v>3239</x:v>
      </x:c>
      <x:c r="M113" s="13">
        <x:v>4685</x:v>
      </x:c>
      <x:c r="N113" s="13">
        <x:v>3103</x:v>
      </x:c>
      <x:c r="O113" s="13">
        <x:v>2769</x:v>
      </x:c>
      <x:c r="P113" s="13">
        <x:v>3051</x:v>
      </x:c>
      <x:c r="Q113" s="13">
        <x:v>3339</x:v>
      </x:c>
      <x:c r="R113" s="13">
        <x:v>3564</x:v>
      </x:c>
      <x:c r="S113" s="12"/>
      <x:c r="T113" s="12"/>
      <x:c r="U113" s="28"/>
      <x:c r="V113" s="6"/>
      <x:c r="W113" s="6"/>
      <x:c r="X113" s="6"/>
      <x:c r="Y113" s="6"/>
      <x:c r="Z113" s="6"/>
      <x:c r="AA113" s="6"/>
      <x:c r="AB113" s="6"/>
      <x:c r="AC113" s="53"/>
      <x:c r="AD113" s="53"/>
    </x:row>
    <x:row r="114" ht="14.399999618530273">
      <x:c r="A114" s="3" t="s">
        <x:v>124</x:v>
      </x:c>
      <x:c r="B114" s="8">
        <x:v>1523529</x:v>
      </x:c>
      <x:c r="C114" s="8">
        <x:v>85519</x:v>
      </x:c>
      <x:c r="D114" s="8">
        <x:v>62216</x:v>
      </x:c>
      <x:c r="E114" s="24"/>
      <x:c r="F114" s="9">
        <x:v>202200</x:v>
      </x:c>
      <x:c r="G114" s="9">
        <x:v>137354</x:v>
      </x:c>
      <x:c r="H114" s="9">
        <x:v>145008</x:v>
      </x:c>
      <x:c r="I114" s="9">
        <x:v>110633</x:v>
      </x:c>
      <x:c r="J114" s="9">
        <x:v>124413</x:v>
      </x:c>
      <x:c r="K114" s="9">
        <x:v>124133</x:v>
      </x:c>
      <x:c r="L114" s="9">
        <x:v>116439</x:v>
      </x:c>
      <x:c r="M114" s="9">
        <x:v>194673</x:v>
      </x:c>
      <x:c r="N114" s="9">
        <x:v>102146</x:v>
      </x:c>
      <x:c r="O114" s="9">
        <x:v>104613</x:v>
      </x:c>
      <x:c r="P114" s="9">
        <x:v>161917</x:v>
      </x:c>
      <x:c r="Q114" s="10"/>
      <x:c r="R114" s="10"/>
      <x:c r="S114" s="10"/>
      <x:c r="T114" s="10"/>
      <x:c r="U114" s="28"/>
      <x:c r="V114" s="7" t="n">
        <x:f>SUM(F114:T114)</x:f>
        <x:v>1523529</x:v>
      </x:c>
      <x:c r="W114" s="7" t="n">
        <x:f>SUM(F115:T115)</x:f>
        <x:v>85519</x:v>
      </x:c>
      <x:c r="X114" s="7" t="n">
        <x:f>SUM(F116:T116)</x:f>
        <x:v>62216</x:v>
      </x:c>
      <x:c r="Y114" s="7"/>
      <x:c r="Z114" s="7" t="n">
        <x:f>V114-B114</x:f>
        <x:v>0</x:v>
      </x:c>
      <x:c r="AA114" s="7" t="n">
        <x:f>W114-C114</x:f>
        <x:v>0</x:v>
      </x:c>
      <x:c r="AB114" s="7" t="n">
        <x:f>X114-D114</x:f>
        <x:v>0</x:v>
      </x:c>
      <x:c r="AC114" s="53" t="n">
        <x:v>56.1</x:v>
      </x:c>
      <x:c r="AD114" s="53" t="n">
        <x:v>40.8</x:v>
      </x:c>
    </x:row>
    <x:row r="115" ht="14.399999618530273">
      <x:c r="A115" s="4" t="s">
        <x:v>125</x:v>
      </x:c>
      <x:c r="B115" s="11"/>
      <x:c r="C115" s="11"/>
      <x:c r="D115" s="11"/>
      <x:c r="E115" s="25"/>
      <x:c r="F115" s="13">
        <x:v>10704</x:v>
      </x:c>
      <x:c r="G115" s="13">
        <x:v>8286</x:v>
      </x:c>
      <x:c r="H115" s="13">
        <x:v>8647</x:v>
      </x:c>
      <x:c r="I115" s="13">
        <x:v>6014</x:v>
      </x:c>
      <x:c r="J115" s="13">
        <x:v>6928</x:v>
      </x:c>
      <x:c r="K115" s="13">
        <x:v>6762</x:v>
      </x:c>
      <x:c r="L115" s="13">
        <x:v>6488</x:v>
      </x:c>
      <x:c r="M115" s="13">
        <x:v>11693</x:v>
      </x:c>
      <x:c r="N115" s="13">
        <x:v>5865</x:v>
      </x:c>
      <x:c r="O115" s="13">
        <x:v>5075</x:v>
      </x:c>
      <x:c r="P115" s="13">
        <x:v>9057</x:v>
      </x:c>
      <x:c r="Q115" s="12"/>
      <x:c r="R115" s="12"/>
      <x:c r="S115" s="12"/>
      <x:c r="T115" s="12"/>
      <x:c r="U115" s="28"/>
      <x:c r="V115" s="6"/>
      <x:c r="W115" s="6"/>
      <x:c r="X115" s="6"/>
      <x:c r="Y115" s="6"/>
      <x:c r="Z115" s="6"/>
      <x:c r="AA115" s="6"/>
      <x:c r="AB115" s="6"/>
      <x:c r="AC115" s="53"/>
      <x:c r="AD115" s="53"/>
    </x:row>
    <x:row r="116" ht="14.399999618530273">
      <x:c r="A116" s="4" t="s">
        <x:v>126</x:v>
      </x:c>
      <x:c r="B116" s="11"/>
      <x:c r="C116" s="11"/>
      <x:c r="D116" s="11"/>
      <x:c r="E116" s="25"/>
      <x:c r="F116" s="13">
        <x:v>8328</x:v>
      </x:c>
      <x:c r="G116" s="13">
        <x:v>5648</x:v>
      </x:c>
      <x:c r="H116" s="13">
        <x:v>6778</x:v>
      </x:c>
      <x:c r="I116" s="13">
        <x:v>4823</x:v>
      </x:c>
      <x:c r="J116" s="13">
        <x:v>4633</x:v>
      </x:c>
      <x:c r="K116" s="13">
        <x:v>4637</x:v>
      </x:c>
      <x:c r="L116" s="13">
        <x:v>4965</x:v>
      </x:c>
      <x:c r="M116" s="13">
        <x:v>7861</x:v>
      </x:c>
      <x:c r="N116" s="13">
        <x:v>4373</x:v>
      </x:c>
      <x:c r="O116" s="13">
        <x:v>4418</x:v>
      </x:c>
      <x:c r="P116" s="13">
        <x:v>5752</x:v>
      </x:c>
      <x:c r="Q116" s="12"/>
      <x:c r="R116" s="12"/>
      <x:c r="S116" s="12"/>
      <x:c r="T116" s="12"/>
      <x:c r="U116" s="28"/>
      <x:c r="V116" s="6"/>
      <x:c r="W116" s="6"/>
      <x:c r="X116" s="6"/>
      <x:c r="Y116" s="6"/>
      <x:c r="Z116" s="6"/>
      <x:c r="AA116" s="6"/>
      <x:c r="AB116" s="6"/>
      <x:c r="AC116" s="53"/>
      <x:c r="AD116" s="53"/>
    </x:row>
    <x:row r="117" ht="14.399999618530273">
      <x:c r="A117" s="3" t="s">
        <x:v>127</x:v>
      </x:c>
      <x:c r="B117" s="8">
        <x:v>1240665</x:v>
      </x:c>
      <x:c r="C117" s="8">
        <x:v>53415</x:v>
      </x:c>
      <x:c r="D117" s="8">
        <x:v>36752</x:v>
      </x:c>
      <x:c r="E117" s="24"/>
      <x:c r="F117" s="9">
        <x:v>169215</x:v>
      </x:c>
      <x:c r="G117" s="9">
        <x:v>137861</x:v>
      </x:c>
      <x:c r="H117" s="9">
        <x:v>75887</x:v>
      </x:c>
      <x:c r="I117" s="9">
        <x:v>89011</x:v>
      </x:c>
      <x:c r="J117" s="9">
        <x:v>70881</x:v>
      </x:c>
      <x:c r="K117" s="9">
        <x:v>110106</x:v>
      </x:c>
      <x:c r="L117" s="9">
        <x:v>85470</x:v>
      </x:c>
      <x:c r="M117" s="9">
        <x:v>184440</x:v>
      </x:c>
      <x:c r="N117" s="9">
        <x:v>87932</x:v>
      </x:c>
      <x:c r="O117" s="9">
        <x:v>87263</x:v>
      </x:c>
      <x:c r="P117" s="9">
        <x:v>142599</x:v>
      </x:c>
      <x:c r="Q117" s="10"/>
      <x:c r="R117" s="10"/>
      <x:c r="S117" s="10"/>
      <x:c r="T117" s="10"/>
      <x:c r="U117" s="28"/>
      <x:c r="V117" s="7" t="n">
        <x:f>SUM(F117:T117)</x:f>
        <x:v>1240665</x:v>
      </x:c>
      <x:c r="W117" s="7" t="n">
        <x:f>SUM(F118:T118)</x:f>
        <x:v>53415</x:v>
      </x:c>
      <x:c r="X117" s="7" t="n">
        <x:f>SUM(F119:T119)</x:f>
        <x:v>36752</x:v>
      </x:c>
      <x:c r="Y117" s="7"/>
      <x:c r="Z117" s="7" t="n">
        <x:f>V117-B117</x:f>
        <x:v>0</x:v>
      </x:c>
      <x:c r="AA117" s="7" t="n">
        <x:f>W117-C117</x:f>
        <x:v>0</x:v>
      </x:c>
      <x:c r="AB117" s="7" t="n">
        <x:f>X117-D117</x:f>
        <x:v>0</x:v>
      </x:c>
      <x:c r="AC117" s="53" t="n">
        <x:v>43</x:v>
      </x:c>
      <x:c r="AD117" s="53" t="n">
        <x:v>29.6</x:v>
      </x:c>
    </x:row>
    <x:row r="118" ht="14.399999618530273">
      <x:c r="A118" s="4" t="s">
        <x:v>128</x:v>
      </x:c>
      <x:c r="B118" s="11"/>
      <x:c r="C118" s="11"/>
      <x:c r="D118" s="11"/>
      <x:c r="E118" s="25"/>
      <x:c r="F118" s="13">
        <x:v>6963</x:v>
      </x:c>
      <x:c r="G118" s="13">
        <x:v>6107</x:v>
      </x:c>
      <x:c r="H118" s="13">
        <x:v>3411</x:v>
      </x:c>
      <x:c r="I118" s="13">
        <x:v>4127</x:v>
      </x:c>
      <x:c r="J118" s="13">
        <x:v>3964</x:v>
      </x:c>
      <x:c r="K118" s="13">
        <x:v>4881</x:v>
      </x:c>
      <x:c r="L118" s="13">
        <x:v>2215</x:v>
      </x:c>
      <x:c r="M118" s="13">
        <x:v>7597</x:v>
      </x:c>
      <x:c r="N118" s="13">
        <x:v>4180</x:v>
      </x:c>
      <x:c r="O118" s="13">
        <x:v>3459</x:v>
      </x:c>
      <x:c r="P118" s="13">
        <x:v>6511</x:v>
      </x:c>
      <x:c r="Q118" s="12"/>
      <x:c r="R118" s="12"/>
      <x:c r="S118" s="12"/>
      <x:c r="T118" s="12"/>
      <x:c r="U118" s="28"/>
      <x:c r="V118" s="6"/>
      <x:c r="W118" s="6"/>
      <x:c r="X118" s="6"/>
      <x:c r="Y118" s="6"/>
      <x:c r="Z118" s="6"/>
      <x:c r="AA118" s="6"/>
      <x:c r="AB118" s="6"/>
      <x:c r="AC118" s="53"/>
      <x:c r="AD118" s="53"/>
    </x:row>
    <x:row r="119" ht="14.399999618530273">
      <x:c r="A119" s="4" t="s">
        <x:v>129</x:v>
      </x:c>
      <x:c r="B119" s="11"/>
      <x:c r="C119" s="11"/>
      <x:c r="D119" s="11"/>
      <x:c r="E119" s="25"/>
      <x:c r="F119" s="13">
        <x:v>4878</x:v>
      </x:c>
      <x:c r="G119" s="13">
        <x:v>4713</x:v>
      </x:c>
      <x:c r="H119" s="13">
        <x:v>2206</x:v>
      </x:c>
      <x:c r="I119" s="13">
        <x:v>3343</x:v>
      </x:c>
      <x:c r="J119" s="13">
        <x:v>2503</x:v>
      </x:c>
      <x:c r="K119" s="13">
        <x:v>3713</x:v>
      </x:c>
      <x:c r="L119" s="13">
        <x:v>1665</x:v>
      </x:c>
      <x:c r="M119" s="13">
        <x:v>5045</x:v>
      </x:c>
      <x:c r="N119" s="13">
        <x:v>2837</x:v>
      </x:c>
      <x:c r="O119" s="13">
        <x:v>2236</x:v>
      </x:c>
      <x:c r="P119" s="13">
        <x:v>3613</x:v>
      </x:c>
      <x:c r="Q119" s="12"/>
      <x:c r="R119" s="12"/>
      <x:c r="S119" s="12"/>
      <x:c r="T119" s="12"/>
      <x:c r="U119" s="28"/>
      <x:c r="V119" s="6"/>
      <x:c r="W119" s="6"/>
      <x:c r="X119" s="6"/>
      <x:c r="Y119" s="6"/>
      <x:c r="Z119" s="6"/>
      <x:c r="AA119" s="6"/>
      <x:c r="AB119" s="6"/>
      <x:c r="AC119" s="53"/>
      <x:c r="AD119" s="53"/>
    </x:row>
    <x:row r="120" ht="14.399999618530273">
      <x:c r="A120" s="3" t="s">
        <x:v>130</x:v>
      </x:c>
      <x:c r="B120" s="8">
        <x:v>345283</x:v>
      </x:c>
      <x:c r="C120" s="8">
        <x:v>16797</x:v>
      </x:c>
      <x:c r="D120" s="8">
        <x:v>12080</x:v>
      </x:c>
      <x:c r="E120" s="24"/>
      <x:c r="F120" s="9">
        <x:v>80300</x:v>
      </x:c>
      <x:c r="G120" s="9">
        <x:v>48109</x:v>
      </x:c>
      <x:c r="H120" s="9">
        <x:v>76334</x:v>
      </x:c>
      <x:c r="I120" s="9">
        <x:v>41762</x:v>
      </x:c>
      <x:c r="J120" s="9">
        <x:v>38871</x:v>
      </x:c>
      <x:c r="K120" s="9">
        <x:v>27016</x:v>
      </x:c>
      <x:c r="L120" s="9">
        <x:v>32901</x:v>
      </x:c>
      <x:c r="M120" s="10"/>
      <x:c r="N120" s="10"/>
      <x:c r="O120" s="10"/>
      <x:c r="P120" s="10"/>
      <x:c r="Q120" s="10"/>
      <x:c r="R120" s="10"/>
      <x:c r="S120" s="10"/>
      <x:c r="T120" s="10"/>
      <x:c r="U120" s="28"/>
      <x:c r="V120" s="7" t="n">
        <x:f>SUM(F120:T120)</x:f>
        <x:v>345293</x:v>
      </x:c>
      <x:c r="W120" s="7" t="n">
        <x:f>SUM(F121:T121)</x:f>
        <x:v>16797</x:v>
      </x:c>
      <x:c r="X120" s="7" t="n">
        <x:f>SUM(F122:T122)</x:f>
        <x:v>12080</x:v>
      </x:c>
      <x:c r="Y120" s="7"/>
      <x:c r="Z120" s="7" t="n">
        <x:f>V120-B120</x:f>
        <x:v>10</x:v>
      </x:c>
      <x:c r="AA120" s="7" t="n">
        <x:f>W120-C120</x:f>
        <x:v>0</x:v>
      </x:c>
      <x:c r="AB120" s="7" t="n">
        <x:f>X120-D120</x:f>
        <x:v>0</x:v>
      </x:c>
      <x:c r="AC120" s="53" t="n">
        <x:v>48.6</x:v>
      </x:c>
      <x:c r="AD120" s="53" t="n">
        <x:v>35</x:v>
      </x:c>
    </x:row>
    <x:row r="121" ht="14.399999618530273">
      <x:c r="A121" s="4" t="s">
        <x:v>131</x:v>
      </x:c>
      <x:c r="B121" s="11"/>
      <x:c r="C121" s="11"/>
      <x:c r="D121" s="11"/>
      <x:c r="E121" s="25"/>
      <x:c r="F121" s="13">
        <x:v>3731</x:v>
      </x:c>
      <x:c r="G121" s="13">
        <x:v>2436</x:v>
      </x:c>
      <x:c r="H121" s="13">
        <x:v>3745</x:v>
      </x:c>
      <x:c r="I121" s="13">
        <x:v>2123</x:v>
      </x:c>
      <x:c r="J121" s="13">
        <x:v>1915</x:v>
      </x:c>
      <x:c r="K121" s="13">
        <x:v>1115</x:v>
      </x:c>
      <x:c r="L121" s="13">
        <x:v>1732</x:v>
      </x:c>
      <x:c r="M121" s="12"/>
      <x:c r="N121" s="12"/>
      <x:c r="O121" s="12"/>
      <x:c r="P121" s="12"/>
      <x:c r="Q121" s="12"/>
      <x:c r="R121" s="12"/>
      <x:c r="S121" s="12"/>
      <x:c r="T121" s="12"/>
      <x:c r="U121" s="28"/>
      <x:c r="V121" s="6"/>
      <x:c r="W121" s="6"/>
      <x:c r="X121" s="6"/>
      <x:c r="Y121" s="6"/>
      <x:c r="Z121" s="6"/>
      <x:c r="AA121" s="6"/>
      <x:c r="AB121" s="6"/>
      <x:c r="AC121" s="53"/>
      <x:c r="AD121" s="53"/>
    </x:row>
    <x:row r="122" ht="14.399999618530273">
      <x:c r="A122" s="4" t="s">
        <x:v>132</x:v>
      </x:c>
      <x:c r="B122" s="11"/>
      <x:c r="C122" s="11"/>
      <x:c r="D122" s="11"/>
      <x:c r="E122" s="25"/>
      <x:c r="F122" s="13">
        <x:v>2729</x:v>
      </x:c>
      <x:c r="G122" s="13">
        <x:v>1874</x:v>
      </x:c>
      <x:c r="H122" s="13">
        <x:v>2584</x:v>
      </x:c>
      <x:c r="I122" s="13">
        <x:v>1580</x:v>
      </x:c>
      <x:c r="J122" s="13">
        <x:v>1547</x:v>
      </x:c>
      <x:c r="K122" s="13">
        <x:v>654</x:v>
      </x:c>
      <x:c r="L122" s="13">
        <x:v>1112</x:v>
      </x:c>
      <x:c r="M122" s="12"/>
      <x:c r="N122" s="12"/>
      <x:c r="O122" s="12"/>
      <x:c r="P122" s="12"/>
      <x:c r="Q122" s="12"/>
      <x:c r="R122" s="12"/>
      <x:c r="S122" s="12"/>
      <x:c r="T122" s="12"/>
      <x:c r="U122" s="28"/>
      <x:c r="V122" s="6"/>
      <x:c r="W122" s="6"/>
      <x:c r="X122" s="6"/>
      <x:c r="Y122" s="6"/>
      <x:c r="Z122" s="6"/>
      <x:c r="AA122" s="6"/>
      <x:c r="AB122" s="6"/>
      <x:c r="AC122" s="53"/>
      <x:c r="AD122" s="53"/>
    </x:row>
    <x:row r="123" ht="14.399999618530273">
      <x:c r="A123" s="3" t="s">
        <x:v>133</x:v>
      </x:c>
      <x:c r="B123" s="8">
        <x:v>2071964</x:v>
      </x:c>
      <x:c r="C123" s="8">
        <x:v>108526</x:v>
      </x:c>
      <x:c r="D123" s="8">
        <x:v>67264</x:v>
      </x:c>
      <x:c r="E123" s="24"/>
      <x:c r="F123" s="15" t="s">
        <x:v>16</x:v>
      </x:c>
      <x:c r="G123" s="15" t="s">
        <x:v>16</x:v>
      </x:c>
      <x:c r="H123" s="15" t="s">
        <x:v>16</x:v>
      </x:c>
      <x:c r="I123" s="15" t="s">
        <x:v>16</x:v>
      </x:c>
      <x:c r="J123" s="15" t="s">
        <x:v>16</x:v>
      </x:c>
      <x:c r="K123" s="15" t="s">
        <x:v>16</x:v>
      </x:c>
      <x:c r="L123" s="15" t="s">
        <x:v>16</x:v>
      </x:c>
      <x:c r="M123" s="15" t="s">
        <x:v>16</x:v>
      </x:c>
      <x:c r="N123" s="15" t="s">
        <x:v>16</x:v>
      </x:c>
      <x:c r="O123" s="15" t="s">
        <x:v>16</x:v>
      </x:c>
      <x:c r="P123" s="15" t="s">
        <x:v>16</x:v>
      </x:c>
      <x:c r="Q123" s="15" t="s">
        <x:v>16</x:v>
      </x:c>
      <x:c r="R123" s="10"/>
      <x:c r="S123" s="10"/>
      <x:c r="T123" s="10"/>
      <x:c r="U123" s="28"/>
      <x:c r="V123" s="7" t="n">
        <x:f>SUM(F123:T123)</x:f>
        <x:v>0</x:v>
      </x:c>
      <x:c r="W123" s="7" t="n">
        <x:f>SUM(F124:T124)</x:f>
        <x:v>108426</x:v>
      </x:c>
      <x:c r="X123" s="7" t="n">
        <x:f>SUM(F125:T125)</x:f>
        <x:v>67264</x:v>
      </x:c>
      <x:c r="Y123" s="7"/>
      <x:c r="Z123" s="7" t="n">
        <x:f>V123-B123</x:f>
        <x:v>-2071964</x:v>
      </x:c>
      <x:c r="AA123" s="7" t="n">
        <x:f>W123-C123</x:f>
        <x:v>-100</x:v>
      </x:c>
      <x:c r="AB123" s="7" t="n">
        <x:f>X123-D123</x:f>
        <x:v>0</x:v>
      </x:c>
      <x:c r="AC123" s="53" t="n">
        <x:v>52.4</x:v>
      </x:c>
      <x:c r="AD123" s="53" t="n">
        <x:v>32.4</x:v>
      </x:c>
    </x:row>
    <x:row r="124" ht="14.399999618530273">
      <x:c r="A124" s="4" t="s">
        <x:v>134</x:v>
      </x:c>
      <x:c r="B124" s="11"/>
      <x:c r="C124" s="11"/>
      <x:c r="D124" s="11"/>
      <x:c r="E124" s="25"/>
      <x:c r="F124" s="13">
        <x:v>10727</x:v>
      </x:c>
      <x:c r="G124" s="13">
        <x:v>7446</x:v>
      </x:c>
      <x:c r="H124" s="13">
        <x:v>9291</x:v>
      </x:c>
      <x:c r="I124" s="13">
        <x:v>5431</x:v>
      </x:c>
      <x:c r="J124" s="13">
        <x:v>15670</x:v>
      </x:c>
      <x:c r="K124" s="13">
        <x:v>7338</x:v>
      </x:c>
      <x:c r="L124" s="13">
        <x:v>5774</x:v>
      </x:c>
      <x:c r="M124" s="13">
        <x:v>16631</x:v>
      </x:c>
      <x:c r="N124" s="13">
        <x:v>9827</x:v>
      </x:c>
      <x:c r="O124" s="13">
        <x:v>5557</x:v>
      </x:c>
      <x:c r="P124" s="13">
        <x:v>7804</x:v>
      </x:c>
      <x:c r="Q124" s="13">
        <x:v>6930</x:v>
      </x:c>
      <x:c r="R124" s="12"/>
      <x:c r="S124" s="12"/>
      <x:c r="T124" s="12"/>
      <x:c r="U124" s="28"/>
      <x:c r="V124" s="6"/>
      <x:c r="W124" s="6"/>
      <x:c r="X124" s="6"/>
      <x:c r="Y124" s="6"/>
      <x:c r="Z124" s="6"/>
      <x:c r="AA124" s="6"/>
      <x:c r="AB124" s="6"/>
      <x:c r="AC124" s="53"/>
      <x:c r="AD124" s="53"/>
    </x:row>
    <x:row r="125" ht="14.399999618530273">
      <x:c r="A125" s="4" t="s">
        <x:v>135</x:v>
      </x:c>
      <x:c r="B125" s="11"/>
      <x:c r="C125" s="11"/>
      <x:c r="D125" s="11"/>
      <x:c r="E125" s="25"/>
      <x:c r="F125" s="13">
        <x:v>7622</x:v>
      </x:c>
      <x:c r="G125" s="13">
        <x:v>3735</x:v>
      </x:c>
      <x:c r="H125" s="13">
        <x:v>4136</x:v>
      </x:c>
      <x:c r="I125" s="13">
        <x:v>2849</x:v>
      </x:c>
      <x:c r="J125" s="13">
        <x:v>10487</x:v>
      </x:c>
      <x:c r="K125" s="13">
        <x:v>4575</x:v>
      </x:c>
      <x:c r="L125" s="13">
        <x:v>3650</x:v>
      </x:c>
      <x:c r="M125" s="13">
        <x:v>10907</x:v>
      </x:c>
      <x:c r="N125" s="13">
        <x:v>5956</x:v>
      </x:c>
      <x:c r="O125" s="13">
        <x:v>3917</x:v>
      </x:c>
      <x:c r="P125" s="13">
        <x:v>5247</x:v>
      </x:c>
      <x:c r="Q125" s="13">
        <x:v>4183</x:v>
      </x:c>
      <x:c r="R125" s="12"/>
      <x:c r="S125" s="12"/>
      <x:c r="T125" s="12"/>
      <x:c r="U125" s="28"/>
      <x:c r="V125" s="6"/>
      <x:c r="W125" s="6"/>
      <x:c r="X125" s="6"/>
      <x:c r="Y125" s="6"/>
      <x:c r="Z125" s="6"/>
      <x:c r="AA125" s="6"/>
      <x:c r="AB125" s="6"/>
      <x:c r="AC125" s="53"/>
      <x:c r="AD125" s="53"/>
    </x:row>
    <x:row r="126" ht="14.399999618530273">
      <x:c r="A126" s="3" t="s">
        <x:v>136</x:v>
      </x:c>
      <x:c r="B126" s="8">
        <x:v>1543427</x:v>
      </x:c>
      <x:c r="C126" s="8">
        <x:v>83960</x:v>
      </x:c>
      <x:c r="D126" s="8">
        <x:v>59613</x:v>
      </x:c>
      <x:c r="E126" s="24"/>
      <x:c r="F126" s="9">
        <x:v>154997</x:v>
      </x:c>
      <x:c r="G126" s="9">
        <x:v>167638</x:v>
      </x:c>
      <x:c r="H126" s="9">
        <x:v>191253</x:v>
      </x:c>
      <x:c r="I126" s="9">
        <x:v>130737</x:v>
      </x:c>
      <x:c r="J126" s="9">
        <x:v>175275</x:v>
      </x:c>
      <x:c r="K126" s="9">
        <x:v>111300</x:v>
      </x:c>
      <x:c r="L126" s="9">
        <x:v>132005</x:v>
      </x:c>
      <x:c r="M126" s="9">
        <x:v>170791</x:v>
      </x:c>
      <x:c r="N126" s="9">
        <x:v>152761</x:v>
      </x:c>
      <x:c r="O126" s="9">
        <x:v>156670</x:v>
      </x:c>
      <x:c r="P126" s="10"/>
      <x:c r="Q126" s="10"/>
      <x:c r="R126" s="10"/>
      <x:c r="S126" s="10"/>
      <x:c r="T126" s="10"/>
      <x:c r="U126" s="28"/>
      <x:c r="V126" s="7" t="n">
        <x:f>SUM(F126:T126)</x:f>
        <x:v>1543427</x:v>
      </x:c>
      <x:c r="W126" s="7" t="n">
        <x:f>SUM(F127:T127)</x:f>
        <x:v>83960</x:v>
      </x:c>
      <x:c r="X126" s="7" t="n">
        <x:f>SUM(F128:T128)</x:f>
        <x:v>59613</x:v>
      </x:c>
      <x:c r="Y126" s="7"/>
      <x:c r="Z126" s="7" t="n">
        <x:f>V126-B126</x:f>
        <x:v>0</x:v>
      </x:c>
      <x:c r="AA126" s="7" t="n">
        <x:f>W126-C126</x:f>
        <x:v>0</x:v>
      </x:c>
      <x:c r="AB126" s="7" t="n">
        <x:f>X126-D126</x:f>
        <x:v>0</x:v>
      </x:c>
      <x:c r="AC126" s="53" t="n">
        <x:v>54.4</x:v>
      </x:c>
      <x:c r="AD126" s="53" t="n">
        <x:v>38.6</x:v>
      </x:c>
    </x:row>
    <x:row r="127" ht="14.399999618530273">
      <x:c r="A127" s="4" t="s">
        <x:v>137</x:v>
      </x:c>
      <x:c r="B127" s="11"/>
      <x:c r="C127" s="11"/>
      <x:c r="D127" s="11"/>
      <x:c r="E127" s="25"/>
      <x:c r="F127" s="13">
        <x:v>8879</x:v>
      </x:c>
      <x:c r="G127" s="13">
        <x:v>9255</x:v>
      </x:c>
      <x:c r="H127" s="13">
        <x:v>11058</x:v>
      </x:c>
      <x:c r="I127" s="13">
        <x:v>5962</x:v>
      </x:c>
      <x:c r="J127" s="13">
        <x:v>9787</x:v>
      </x:c>
      <x:c r="K127" s="13">
        <x:v>6994</x:v>
      </x:c>
      <x:c r="L127" s="13">
        <x:v>7105</x:v>
      </x:c>
      <x:c r="M127" s="13">
        <x:v>8238</x:v>
      </x:c>
      <x:c r="N127" s="13">
        <x:v>7662</x:v>
      </x:c>
      <x:c r="O127" s="13">
        <x:v>9020</x:v>
      </x:c>
      <x:c r="P127" s="12"/>
      <x:c r="Q127" s="12"/>
      <x:c r="R127" s="12"/>
      <x:c r="S127" s="12"/>
      <x:c r="T127" s="12"/>
      <x:c r="U127" s="28"/>
      <x:c r="V127" s="6"/>
      <x:c r="W127" s="6"/>
      <x:c r="X127" s="6"/>
      <x:c r="Y127" s="6"/>
      <x:c r="Z127" s="6"/>
      <x:c r="AA127" s="6"/>
      <x:c r="AB127" s="6"/>
      <x:c r="AC127" s="53"/>
      <x:c r="AD127" s="53"/>
    </x:row>
    <x:row r="128" ht="14.399999618530273">
      <x:c r="A128" s="4" t="s">
        <x:v>138</x:v>
      </x:c>
      <x:c r="B128" s="11"/>
      <x:c r="C128" s="11"/>
      <x:c r="D128" s="11"/>
      <x:c r="E128" s="25"/>
      <x:c r="F128" s="13">
        <x:v>6440</x:v>
      </x:c>
      <x:c r="G128" s="13">
        <x:v>6811</x:v>
      </x:c>
      <x:c r="H128" s="13">
        <x:v>7832</x:v>
      </x:c>
      <x:c r="I128" s="13">
        <x:v>4205</x:v>
      </x:c>
      <x:c r="J128" s="13">
        <x:v>5911</x:v>
      </x:c>
      <x:c r="K128" s="13">
        <x:v>4735</x:v>
      </x:c>
      <x:c r="L128" s="13">
        <x:v>4574</x:v>
      </x:c>
      <x:c r="M128" s="13">
        <x:v>6488</x:v>
      </x:c>
      <x:c r="N128" s="13">
        <x:v>5286</x:v>
      </x:c>
      <x:c r="O128" s="13">
        <x:v>7331</x:v>
      </x:c>
      <x:c r="P128" s="12"/>
      <x:c r="Q128" s="12"/>
      <x:c r="R128" s="12"/>
      <x:c r="S128" s="12"/>
      <x:c r="T128" s="12"/>
      <x:c r="U128" s="28"/>
      <x:c r="V128" s="6"/>
      <x:c r="W128" s="6"/>
      <x:c r="X128" s="6"/>
      <x:c r="Y128" s="6"/>
      <x:c r="Z128" s="6"/>
      <x:c r="AA128" s="6"/>
      <x:c r="AB128" s="6"/>
      <x:c r="AC128" s="53"/>
      <x:c r="AD128" s="53"/>
    </x:row>
    <x:row r="129" ht="14.399999618530273">
      <x:c r="A129" s="3" t="s">
        <x:v>139</x:v>
      </x:c>
      <x:c r="B129" s="8">
        <x:v>2742514</x:v>
      </x:c>
      <x:c r="C129" s="8">
        <x:v>155753</x:v>
      </x:c>
      <x:c r="D129" s="8">
        <x:v>110142</x:v>
      </x:c>
      <x:c r="E129" s="24"/>
      <x:c r="F129" s="9">
        <x:v>254605</x:v>
      </x:c>
      <x:c r="G129" s="9">
        <x:v>214274</x:v>
      </x:c>
      <x:c r="H129" s="9">
        <x:v>373896</x:v>
      </x:c>
      <x:c r="I129" s="9">
        <x:v>140139</x:v>
      </x:c>
      <x:c r="J129" s="9">
        <x:v>251945</x:v>
      </x:c>
      <x:c r="K129" s="9">
        <x:v>235977</x:v>
      </x:c>
      <x:c r="L129" s="9">
        <x:v>123165</x:v>
      </x:c>
      <x:c r="M129" s="9">
        <x:v>256537</x:v>
      </x:c>
      <x:c r="N129" s="9">
        <x:v>267837</x:v>
      </x:c>
      <x:c r="O129" s="9">
        <x:v>220525</x:v>
      </x:c>
      <x:c r="P129" s="9">
        <x:v>98365</x:v>
      </x:c>
      <x:c r="Q129" s="9">
        <x:v>334249</x:v>
      </x:c>
      <x:c r="R129" s="10"/>
      <x:c r="S129" s="10"/>
      <x:c r="T129" s="10"/>
      <x:c r="U129" s="28"/>
      <x:c r="V129" s="7" t="n">
        <x:f>SUM(F129:T129)</x:f>
        <x:v>2771514</x:v>
      </x:c>
      <x:c r="W129" s="7" t="n">
        <x:f>SUM(F130:T130)</x:f>
        <x:v>155753</x:v>
      </x:c>
      <x:c r="X129" s="7" t="n">
        <x:f>SUM(F131:T131)</x:f>
        <x:v>110142</x:v>
      </x:c>
      <x:c r="Y129" s="7"/>
      <x:c r="Z129" s="7" t="n">
        <x:f>V129-B129</x:f>
        <x:v>29000</x:v>
      </x:c>
      <x:c r="AA129" s="7" t="n">
        <x:f>W129-C129</x:f>
        <x:v>0</x:v>
      </x:c>
      <x:c r="AB129" s="7" t="n">
        <x:f>X129-D129</x:f>
        <x:v>0</x:v>
      </x:c>
      <x:c r="AC129" s="53" t="n">
        <x:v>56.8</x:v>
      </x:c>
      <x:c r="AD129" s="53" t="n">
        <x:v>40.1</x:v>
      </x:c>
    </x:row>
    <x:row r="130" ht="14.399999618530273">
      <x:c r="A130" s="4" t="s">
        <x:v>140</x:v>
      </x:c>
      <x:c r="B130" s="11"/>
      <x:c r="C130" s="11"/>
      <x:c r="D130" s="11"/>
      <x:c r="E130" s="25"/>
      <x:c r="F130" s="13">
        <x:v>12721</x:v>
      </x:c>
      <x:c r="G130" s="13">
        <x:v>12307</x:v>
      </x:c>
      <x:c r="H130" s="13">
        <x:v>21665</x:v>
      </x:c>
      <x:c r="I130" s="13">
        <x:v>8171</x:v>
      </x:c>
      <x:c r="J130" s="13">
        <x:v>14833</x:v>
      </x:c>
      <x:c r="K130" s="13">
        <x:v>12974</x:v>
      </x:c>
      <x:c r="L130" s="13">
        <x:v>8165</x:v>
      </x:c>
      <x:c r="M130" s="13">
        <x:v>13084</x:v>
      </x:c>
      <x:c r="N130" s="13">
        <x:v>16024</x:v>
      </x:c>
      <x:c r="O130" s="13">
        <x:v>12244</x:v>
      </x:c>
      <x:c r="P130" s="13">
        <x:v>5088</x:v>
      </x:c>
      <x:c r="Q130" s="13">
        <x:v>18477</x:v>
      </x:c>
      <x:c r="R130" s="12"/>
      <x:c r="S130" s="12"/>
      <x:c r="T130" s="12"/>
      <x:c r="U130" s="28"/>
      <x:c r="V130" s="6"/>
      <x:c r="W130" s="6"/>
      <x:c r="X130" s="6"/>
      <x:c r="Y130" s="6"/>
      <x:c r="Z130" s="6"/>
      <x:c r="AA130" s="6"/>
      <x:c r="AB130" s="6"/>
      <x:c r="AC130" s="53"/>
      <x:c r="AD130" s="53"/>
    </x:row>
    <x:row r="131" ht="14.399999618530273">
      <x:c r="A131" s="4" t="s">
        <x:v>141</x:v>
      </x:c>
      <x:c r="B131" s="11"/>
      <x:c r="C131" s="11"/>
      <x:c r="D131" s="11"/>
      <x:c r="E131" s="25"/>
      <x:c r="F131" s="13">
        <x:v>9428</x:v>
      </x:c>
      <x:c r="G131" s="13">
        <x:v>8519</x:v>
      </x:c>
      <x:c r="H131" s="13">
        <x:v>15421</x:v>
      </x:c>
      <x:c r="I131" s="13">
        <x:v>6656</x:v>
      </x:c>
      <x:c r="J131" s="13">
        <x:v>11153</x:v>
      </x:c>
      <x:c r="K131" s="13">
        <x:v>8244</x:v>
      </x:c>
      <x:c r="L131" s="13">
        <x:v>6422</x:v>
      </x:c>
      <x:c r="M131" s="13">
        <x:v>9067</x:v>
      </x:c>
      <x:c r="N131" s="13">
        <x:v>10699</x:v>
      </x:c>
      <x:c r="O131" s="13">
        <x:v>7845</x:v>
      </x:c>
      <x:c r="P131" s="13">
        <x:v>3163</x:v>
      </x:c>
      <x:c r="Q131" s="13">
        <x:v>13525</x:v>
      </x:c>
      <x:c r="R131" s="12"/>
      <x:c r="S131" s="12"/>
      <x:c r="T131" s="12"/>
      <x:c r="U131" s="28"/>
      <x:c r="V131" s="6"/>
      <x:c r="W131" s="6"/>
      <x:c r="X131" s="6"/>
      <x:c r="Y131" s="6"/>
      <x:c r="Z131" s="6"/>
      <x:c r="AA131" s="6"/>
      <x:c r="AB131" s="6"/>
      <x:c r="AC131" s="53"/>
      <x:c r="AD131" s="53"/>
    </x:row>
    <x:row r="132" ht="14.399999618530273">
      <x:c r="A132" s="3" t="s">
        <x:v>142</x:v>
      </x:c>
      <x:c r="B132" s="8">
        <x:v>2848307</x:v>
      </x:c>
      <x:c r="C132" s="8">
        <x:v>133410</x:v>
      </x:c>
      <x:c r="D132" s="8">
        <x:v>78641</x:v>
      </x:c>
      <x:c r="E132" s="24"/>
      <x:c r="F132" s="9">
        <x:v>224302</x:v>
      </x:c>
      <x:c r="G132" s="9">
        <x:v>166554</x:v>
      </x:c>
      <x:c r="H132" s="9">
        <x:v>227830</x:v>
      </x:c>
      <x:c r="I132" s="9">
        <x:v>146475</x:v>
      </x:c>
      <x:c r="J132" s="9">
        <x:v>243565</x:v>
      </x:c>
      <x:c r="K132" s="9">
        <x:v>202986</x:v>
      </x:c>
      <x:c r="L132" s="9">
        <x:v>248619</x:v>
      </x:c>
      <x:c r="M132" s="9">
        <x:v>147430</x:v>
      </x:c>
      <x:c r="N132" s="9">
        <x:v>129442</x:v>
      </x:c>
      <x:c r="O132" s="9">
        <x:v>159305</x:v>
      </x:c>
      <x:c r="P132" s="9">
        <x:v>196929</x:v>
      </x:c>
      <x:c r="Q132" s="9">
        <x:v>166052</x:v>
      </x:c>
      <x:c r="R132" s="9">
        <x:v>212361</x:v>
      </x:c>
      <x:c r="S132" s="9">
        <x:v>205286</x:v>
      </x:c>
      <x:c r="T132" s="9">
        <x:v>171171</x:v>
      </x:c>
      <x:c r="U132" s="28"/>
      <x:c r="V132" s="7" t="n">
        <x:f>SUM(F132:T132)</x:f>
        <x:v>2848307</x:v>
      </x:c>
      <x:c r="W132" s="7" t="n">
        <x:f>SUM(F133:T133)</x:f>
        <x:v>133410</x:v>
      </x:c>
      <x:c r="X132" s="7" t="n">
        <x:f>SUM(F134:T134)</x:f>
        <x:v>78641</x:v>
      </x:c>
      <x:c r="Y132" s="7"/>
      <x:c r="Z132" s="7" t="n">
        <x:f>V132-B132</x:f>
        <x:v>0</x:v>
      </x:c>
      <x:c r="AA132" s="7" t="n">
        <x:f>W132-C132</x:f>
        <x:v>0</x:v>
      </x:c>
      <x:c r="AB132" s="7" t="n">
        <x:f>X132-D132</x:f>
        <x:v>0</x:v>
      </x:c>
      <x:c r="AC132" s="53" t="n">
        <x:v>46.8</x:v>
      </x:c>
      <x:c r="AD132" s="53" t="n">
        <x:v>27.6</x:v>
      </x:c>
    </x:row>
    <x:row r="133" ht="14.399999618530273">
      <x:c r="A133" s="4" t="s">
        <x:v>143</x:v>
      </x:c>
      <x:c r="B133" s="11"/>
      <x:c r="C133" s="11"/>
      <x:c r="D133" s="11"/>
      <x:c r="E133" s="25"/>
      <x:c r="F133" s="13">
        <x:v>10724</x:v>
      </x:c>
      <x:c r="G133" s="13">
        <x:v>7262</x:v>
      </x:c>
      <x:c r="H133" s="13">
        <x:v>11542</x:v>
      </x:c>
      <x:c r="I133" s="13">
        <x:v>6877</x:v>
      </x:c>
      <x:c r="J133" s="13">
        <x:v>9684</x:v>
      </x:c>
      <x:c r="K133" s="13">
        <x:v>10987</x:v>
      </x:c>
      <x:c r="L133" s="13">
        <x:v>11693</x:v>
      </x:c>
      <x:c r="M133" s="13">
        <x:v>7665</x:v>
      </x:c>
      <x:c r="N133" s="13">
        <x:v>5315</x:v>
      </x:c>
      <x:c r="O133" s="13">
        <x:v>7642</x:v>
      </x:c>
      <x:c r="P133" s="13">
        <x:v>8782</x:v>
      </x:c>
      <x:c r="Q133" s="13">
        <x:v>8359</x:v>
      </x:c>
      <x:c r="R133" s="13">
        <x:v>9551</x:v>
      </x:c>
      <x:c r="S133" s="13">
        <x:v>8858</x:v>
      </x:c>
      <x:c r="T133" s="13">
        <x:v>8469</x:v>
      </x:c>
      <x:c r="U133" s="28"/>
      <x:c r="V133" s="6"/>
      <x:c r="W133" s="6"/>
      <x:c r="X133" s="6"/>
      <x:c r="Y133" s="6"/>
      <x:c r="Z133" s="6"/>
      <x:c r="AA133" s="6"/>
      <x:c r="AB133" s="6"/>
      <x:c r="AC133" s="53"/>
      <x:c r="AD133" s="53"/>
    </x:row>
    <x:row r="134" ht="14.399999618530273">
      <x:c r="A134" s="4" t="s">
        <x:v>144</x:v>
      </x:c>
      <x:c r="B134" s="11"/>
      <x:c r="C134" s="11"/>
      <x:c r="D134" s="11"/>
      <x:c r="E134" s="25"/>
      <x:c r="F134" s="13">
        <x:v>7334</x:v>
      </x:c>
      <x:c r="G134" s="13">
        <x:v>4457</x:v>
      </x:c>
      <x:c r="H134" s="13">
        <x:v>7694</x:v>
      </x:c>
      <x:c r="I134" s="13">
        <x:v>4959</x:v>
      </x:c>
      <x:c r="J134" s="13">
        <x:v>4964</x:v>
      </x:c>
      <x:c r="K134" s="13">
        <x:v>5293</x:v>
      </x:c>
      <x:c r="L134" s="13">
        <x:v>5882</x:v>
      </x:c>
      <x:c r="M134" s="13">
        <x:v>4649</x:v>
      </x:c>
      <x:c r="N134" s="13">
        <x:v>3451</x:v>
      </x:c>
      <x:c r="O134" s="13">
        <x:v>4812</x:v>
      </x:c>
      <x:c r="P134" s="13">
        <x:v>5616</x:v>
      </x:c>
      <x:c r="Q134" s="13">
        <x:v>4456</x:v>
      </x:c>
      <x:c r="R134" s="13">
        <x:v>4877</x:v>
      </x:c>
      <x:c r="S134" s="13">
        <x:v>5361</x:v>
      </x:c>
      <x:c r="T134" s="13">
        <x:v>4836</x:v>
      </x:c>
      <x:c r="U134" s="28"/>
      <x:c r="V134" s="6"/>
      <x:c r="W134" s="6"/>
      <x:c r="X134" s="6"/>
      <x:c r="Y134" s="6"/>
      <x:c r="Z134" s="6"/>
      <x:c r="AA134" s="6"/>
      <x:c r="AB134" s="6"/>
      <x:c r="AC134" s="53"/>
      <x:c r="AD134" s="53"/>
    </x:row>
    <x:row r="135" ht="14.399999618530273">
      <x:c r="A135" s="3" t="s">
        <x:v>145</x:v>
      </x:c>
      <x:c r="B135" s="8">
        <x:v>980182</x:v>
      </x:c>
      <x:c r="C135" s="8">
        <x:v>50752</x:v>
      </x:c>
      <x:c r="D135" s="8">
        <x:v>32854</x:v>
      </x:c>
      <x:c r="E135" s="24"/>
      <x:c r="F135" s="9">
        <x:v>208953</x:v>
      </x:c>
      <x:c r="G135" s="9">
        <x:v>105311</x:v>
      </x:c>
      <x:c r="H135" s="9">
        <x:v>97404</x:v>
      </x:c>
      <x:c r="I135" s="9">
        <x:v>119080</x:v>
      </x:c>
      <x:c r="J135" s="9">
        <x:v>149337</x:v>
      </x:c>
      <x:c r="K135" s="9">
        <x:v>158725</x:v>
      </x:c>
      <x:c r="L135" s="9">
        <x:v>71605</x:v>
      </x:c>
      <x:c r="M135" s="9">
        <x:v>69767</x:v>
      </x:c>
      <x:c r="N135" s="10"/>
      <x:c r="O135" s="10"/>
      <x:c r="P135" s="10"/>
      <x:c r="Q135" s="10"/>
      <x:c r="R135" s="10"/>
      <x:c r="S135" s="10"/>
      <x:c r="T135" s="10"/>
      <x:c r="U135" s="28"/>
      <x:c r="V135" s="7" t="n">
        <x:f>SUM(F135:T135)</x:f>
        <x:v>980182</x:v>
      </x:c>
      <x:c r="W135" s="7" t="n">
        <x:f>SUM(F136:T136)</x:f>
        <x:v>50752</x:v>
      </x:c>
      <x:c r="X135" s="7" t="n">
        <x:f>SUM(F137:T137)</x:f>
        <x:v>32848</x:v>
      </x:c>
      <x:c r="Y135" s="7"/>
      <x:c r="Z135" s="7" t="n">
        <x:f>V135-B135</x:f>
        <x:v>0</x:v>
      </x:c>
      <x:c r="AA135" s="7" t="n">
        <x:f>W135-C135</x:f>
        <x:v>0</x:v>
      </x:c>
      <x:c r="AB135" s="7" t="n">
        <x:f>X135-D135</x:f>
        <x:v>-6</x:v>
      </x:c>
      <x:c r="AC135" s="53" t="n">
        <x:v>51.7</x:v>
      </x:c>
      <x:c r="AD135" s="53" t="n">
        <x:v>35.5</x:v>
      </x:c>
    </x:row>
    <x:row r="136" ht="14.399999618530273">
      <x:c r="A136" s="4" t="s">
        <x:v>146</x:v>
      </x:c>
      <x:c r="B136" s="11"/>
      <x:c r="C136" s="11"/>
      <x:c r="D136" s="11"/>
      <x:c r="E136" s="25"/>
      <x:c r="F136" s="13">
        <x:v>9942</x:v>
      </x:c>
      <x:c r="G136" s="13">
        <x:v>6130</x:v>
      </x:c>
      <x:c r="H136" s="13">
        <x:v>4899</x:v>
      </x:c>
      <x:c r="I136" s="13">
        <x:v>6094</x:v>
      </x:c>
      <x:c r="J136" s="13">
        <x:v>7308</x:v>
      </x:c>
      <x:c r="K136" s="13">
        <x:v>7681</x:v>
      </x:c>
      <x:c r="L136" s="13">
        <x:v>4439</x:v>
      </x:c>
      <x:c r="M136" s="13">
        <x:v>4259</x:v>
      </x:c>
      <x:c r="N136" s="12"/>
      <x:c r="O136" s="12"/>
      <x:c r="P136" s="12"/>
      <x:c r="Q136" s="12"/>
      <x:c r="R136" s="12"/>
      <x:c r="S136" s="12"/>
      <x:c r="T136" s="12"/>
      <x:c r="U136" s="28"/>
      <x:c r="V136" s="6"/>
      <x:c r="W136" s="6"/>
      <x:c r="X136" s="6"/>
      <x:c r="Y136" s="6"/>
      <x:c r="Z136" s="6"/>
      <x:c r="AA136" s="6"/>
      <x:c r="AB136" s="6"/>
      <x:c r="AC136" s="53"/>
      <x:c r="AD136" s="53"/>
    </x:row>
    <x:row r="137" ht="14.399999618530273">
      <x:c r="A137" s="4" t="s">
        <x:v>147</x:v>
      </x:c>
      <x:c r="B137" s="11"/>
      <x:c r="C137" s="11"/>
      <x:c r="D137" s="11"/>
      <x:c r="E137" s="25"/>
      <x:c r="F137" s="13">
        <x:v>6296</x:v>
      </x:c>
      <x:c r="G137" s="13">
        <x:v>4102</x:v>
      </x:c>
      <x:c r="H137" s="13">
        <x:v>3210</x:v>
      </x:c>
      <x:c r="I137" s="13">
        <x:v>3638</x:v>
      </x:c>
      <x:c r="J137" s="13">
        <x:v>4655</x:v>
      </x:c>
      <x:c r="K137" s="13">
        <x:v>5211</x:v>
      </x:c>
      <x:c r="L137" s="13">
        <x:v>2649</x:v>
      </x:c>
      <x:c r="M137" s="13">
        <x:v>3087</x:v>
      </x:c>
      <x:c r="N137" s="12"/>
      <x:c r="O137" s="12"/>
      <x:c r="P137" s="12"/>
      <x:c r="Q137" s="12"/>
      <x:c r="R137" s="12"/>
      <x:c r="S137" s="12"/>
      <x:c r="T137" s="12"/>
      <x:c r="U137" s="28"/>
      <x:c r="V137" s="6"/>
      <x:c r="W137" s="6"/>
      <x:c r="X137" s="6"/>
      <x:c r="Y137" s="6"/>
      <x:c r="Z137" s="6"/>
      <x:c r="AA137" s="6"/>
      <x:c r="AB137" s="6"/>
      <x:c r="AC137" s="53"/>
      <x:c r="AD137" s="53"/>
    </x:row>
    <x:row r="138" ht="14.399999618530273">
      <x:c r="A138" s="3" t="s">
        <x:v>148</x:v>
      </x:c>
      <x:c r="B138" s="8">
        <x:v>1876581</x:v>
      </x:c>
      <x:c r="C138" s="8">
        <x:v>94003</x:v>
      </x:c>
      <x:c r="D138" s="8">
        <x:v>60567</x:v>
      </x:c>
      <x:c r="E138" s="24"/>
      <x:c r="F138" s="9">
        <x:v>212865</x:v>
      </x:c>
      <x:c r="G138" s="9">
        <x:v>119225</x:v>
      </x:c>
      <x:c r="H138" s="9">
        <x:v>144464</x:v>
      </x:c>
      <x:c r="I138" s="9">
        <x:v>133475</x:v>
      </x:c>
      <x:c r="J138" s="9">
        <x:v>176404</x:v>
      </x:c>
      <x:c r="K138" s="9">
        <x:v>160755</x:v>
      </x:c>
      <x:c r="L138" s="9">
        <x:v>120853</x:v>
      </x:c>
      <x:c r="M138" s="9">
        <x:v>154208</x:v>
      </x:c>
      <x:c r="N138" s="9">
        <x:v>142986</x:v>
      </x:c>
      <x:c r="O138" s="9">
        <x:v>167280</x:v>
      </x:c>
      <x:c r="P138" s="9">
        <x:v>189363</x:v>
      </x:c>
      <x:c r="Q138" s="9">
        <x:v>163703</x:v>
      </x:c>
      <x:c r="R138" s="10"/>
      <x:c r="S138" s="10"/>
      <x:c r="T138" s="10"/>
      <x:c r="U138" s="28"/>
      <x:c r="V138" s="7" t="n">
        <x:f>SUM(F138:T138)</x:f>
        <x:v>1885581</x:v>
      </x:c>
      <x:c r="W138" s="7" t="n">
        <x:f>SUM(F139:T139)</x:f>
        <x:v>93603</x:v>
      </x:c>
      <x:c r="X138" s="7" t="n">
        <x:f>SUM(F140:T140)</x:f>
        <x:v>60567</x:v>
      </x:c>
      <x:c r="Y138" s="7"/>
      <x:c r="Z138" s="7" t="n">
        <x:f>V138-B138</x:f>
        <x:v>9000</x:v>
      </x:c>
      <x:c r="AA138" s="7" t="n">
        <x:f>W138-C138</x:f>
        <x:v>-400</x:v>
      </x:c>
      <x:c r="AB138" s="7" t="n">
        <x:f>X138-D138</x:f>
        <x:v>0</x:v>
      </x:c>
      <x:c r="AC138" s="53" t="n">
        <x:v>50.1</x:v>
      </x:c>
      <x:c r="AD138" s="53" t="n">
        <x:v>31.7</x:v>
      </x:c>
    </x:row>
    <x:row r="139" ht="14.399999618530273">
      <x:c r="A139" s="4" t="s">
        <x:v>149</x:v>
      </x:c>
      <x:c r="B139" s="11"/>
      <x:c r="C139" s="11"/>
      <x:c r="D139" s="11"/>
      <x:c r="E139" s="25"/>
      <x:c r="F139" s="13">
        <x:v>9768</x:v>
      </x:c>
      <x:c r="G139" s="13">
        <x:v>5642</x:v>
      </x:c>
      <x:c r="H139" s="13">
        <x:v>7202</x:v>
      </x:c>
      <x:c r="I139" s="13">
        <x:v>5465</x:v>
      </x:c>
      <x:c r="J139" s="13">
        <x:v>8185</x:v>
      </x:c>
      <x:c r="K139" s="13">
        <x:v>7932</x:v>
      </x:c>
      <x:c r="L139" s="13">
        <x:v>5789</x:v>
      </x:c>
      <x:c r="M139" s="13">
        <x:v>8755</x:v>
      </x:c>
      <x:c r="N139" s="13">
        <x:v>8366</x:v>
      </x:c>
      <x:c r="O139" s="13">
        <x:v>8954</x:v>
      </x:c>
      <x:c r="P139" s="13">
        <x:v>9583</x:v>
      </x:c>
      <x:c r="Q139" s="13">
        <x:v>7962</x:v>
      </x:c>
      <x:c r="R139" s="12"/>
      <x:c r="S139" s="12"/>
      <x:c r="T139" s="12"/>
      <x:c r="U139" s="28"/>
      <x:c r="V139" s="6"/>
      <x:c r="W139" s="6"/>
      <x:c r="X139" s="6"/>
      <x:c r="Y139" s="6"/>
      <x:c r="Z139" s="6"/>
      <x:c r="AA139" s="6"/>
      <x:c r="AB139" s="6"/>
      <x:c r="AC139" s="53"/>
      <x:c r="AD139" s="53"/>
    </x:row>
    <x:row r="140" ht="14.399999618530273">
      <x:c r="A140" s="4" t="s">
        <x:v>150</x:v>
      </x:c>
      <x:c r="B140" s="11"/>
      <x:c r="C140" s="11"/>
      <x:c r="D140" s="11"/>
      <x:c r="E140" s="25"/>
      <x:c r="F140" s="13">
        <x:v>6675</x:v>
      </x:c>
      <x:c r="G140" s="13">
        <x:v>3475</x:v>
      </x:c>
      <x:c r="H140" s="13">
        <x:v>4438</x:v>
      </x:c>
      <x:c r="I140" s="13">
        <x:v>3410</x:v>
      </x:c>
      <x:c r="J140" s="13">
        <x:v>7394</x:v>
      </x:c>
      <x:c r="K140" s="13">
        <x:v>4849</x:v>
      </x:c>
      <x:c r="L140" s="13">
        <x:v>3083</x:v>
      </x:c>
      <x:c r="M140" s="13">
        <x:v>5956</x:v>
      </x:c>
      <x:c r="N140" s="13">
        <x:v>5022</x:v>
      </x:c>
      <x:c r="O140" s="13">
        <x:v>5579</x:v>
      </x:c>
      <x:c r="P140" s="13">
        <x:v>5754</x:v>
      </x:c>
      <x:c r="Q140" s="13">
        <x:v>4932</x:v>
      </x:c>
      <x:c r="R140" s="12"/>
      <x:c r="S140" s="12"/>
      <x:c r="T140" s="12"/>
      <x:c r="U140" s="28"/>
      <x:c r="V140" s="6"/>
      <x:c r="W140" s="6"/>
      <x:c r="X140" s="6"/>
      <x:c r="Y140" s="6"/>
      <x:c r="Z140" s="6"/>
      <x:c r="AA140" s="6"/>
      <x:c r="AB140" s="6"/>
      <x:c r="AC140" s="53"/>
      <x:c r="AD140" s="53"/>
    </x:row>
    <x:row r="141" ht="14.399999618530273">
      <x:c r="A141" s="3" t="s">
        <x:v>151</x:v>
      </x:c>
      <x:c r="B141" s="8">
        <x:v>2570800</x:v>
      </x:c>
      <x:c r="C141" s="8">
        <x:v>154781</x:v>
      </x:c>
      <x:c r="D141" s="8">
        <x:v>101773</x:v>
      </x:c>
      <x:c r="E141" s="24"/>
      <x:c r="F141" s="9">
        <x:v>351375</x:v>
      </x:c>
      <x:c r="G141" s="9">
        <x:v>279055</x:v>
      </x:c>
      <x:c r="H141" s="9">
        <x:v>349754</x:v>
      </x:c>
      <x:c r="I141" s="9">
        <x:v>446600</x:v>
      </x:c>
      <x:c r="J141" s="9">
        <x:v>477802</x:v>
      </x:c>
      <x:c r="K141" s="9">
        <x:v>380666</x:v>
      </x:c>
      <x:c r="L141" s="9">
        <x:v>274548</x:v>
      </x:c>
      <x:c r="M141" s="10"/>
      <x:c r="N141" s="10"/>
      <x:c r="O141" s="10"/>
      <x:c r="P141" s="10"/>
      <x:c r="Q141" s="10"/>
      <x:c r="R141" s="10"/>
      <x:c r="S141" s="10"/>
      <x:c r="T141" s="10"/>
      <x:c r="U141" s="28"/>
      <x:c r="V141" s="7" t="n">
        <x:f>SUM(F141:T141)</x:f>
        <x:v>2559800</x:v>
      </x:c>
      <x:c r="W141" s="7" t="n">
        <x:f>SUM(F142:T142)</x:f>
        <x:v>154781</x:v>
      </x:c>
      <x:c r="X141" s="7" t="n">
        <x:f>SUM(F143:T143)</x:f>
        <x:v>101763</x:v>
      </x:c>
      <x:c r="Y141" s="7"/>
      <x:c r="Z141" s="7" t="n">
        <x:f>V141-B141</x:f>
        <x:v>-11000</x:v>
      </x:c>
      <x:c r="AA141" s="7" t="n">
        <x:f>W141-C141</x:f>
        <x:v>0</x:v>
      </x:c>
      <x:c r="AB141" s="7" t="n">
        <x:f>X141-D141</x:f>
        <x:v>-10</x:v>
      </x:c>
      <x:c r="AC141" s="53" t="n">
        <x:v>60.2</x:v>
      </x:c>
      <x:c r="AD141" s="53" t="n">
        <x:v>39.6</x:v>
      </x:c>
    </x:row>
    <x:row r="142" ht="14.399999618530273">
      <x:c r="A142" s="4" t="s">
        <x:v>152</x:v>
      </x:c>
      <x:c r="B142" s="11"/>
      <x:c r="C142" s="11"/>
      <x:c r="D142" s="11"/>
      <x:c r="E142" s="25"/>
      <x:c r="F142" s="13">
        <x:v>18629</x:v>
      </x:c>
      <x:c r="G142" s="13">
        <x:v>14334</x:v>
      </x:c>
      <x:c r="H142" s="13">
        <x:v>21428</x:v>
      </x:c>
      <x:c r="I142" s="13">
        <x:v>29795</x:v>
      </x:c>
      <x:c r="J142" s="13">
        <x:v>30817</x:v>
      </x:c>
      <x:c r="K142" s="13">
        <x:v>23851</x:v>
      </x:c>
      <x:c r="L142" s="13">
        <x:v>15927</x:v>
      </x:c>
      <x:c r="M142" s="12"/>
      <x:c r="N142" s="12"/>
      <x:c r="O142" s="12"/>
      <x:c r="P142" s="12"/>
      <x:c r="Q142" s="12"/>
      <x:c r="R142" s="12"/>
      <x:c r="S142" s="12"/>
      <x:c r="T142" s="12"/>
      <x:c r="U142" s="28"/>
      <x:c r="V142" s="6"/>
      <x:c r="W142" s="6"/>
      <x:c r="X142" s="6"/>
      <x:c r="Y142" s="6"/>
      <x:c r="Z142" s="6"/>
      <x:c r="AA142" s="6"/>
      <x:c r="AB142" s="6"/>
      <x:c r="AC142" s="53"/>
      <x:c r="AD142" s="53"/>
    </x:row>
    <x:row r="143" ht="14.399999618530273">
      <x:c r="A143" s="4" t="s">
        <x:v>153</x:v>
      </x:c>
      <x:c r="B143" s="11"/>
      <x:c r="C143" s="11"/>
      <x:c r="D143" s="11"/>
      <x:c r="E143" s="25"/>
      <x:c r="F143" s="13">
        <x:v>13873</x:v>
      </x:c>
      <x:c r="G143" s="13">
        <x:v>8687</x:v>
      </x:c>
      <x:c r="H143" s="13">
        <x:v>14764</x:v>
      </x:c>
      <x:c r="I143" s="13">
        <x:v>18767</x:v>
      </x:c>
      <x:c r="J143" s="13">
        <x:v>20327</x:v>
      </x:c>
      <x:c r="K143" s="13">
        <x:v>16109</x:v>
      </x:c>
      <x:c r="L143" s="13">
        <x:v>9236</x:v>
      </x:c>
      <x:c r="M143" s="12"/>
      <x:c r="N143" s="12"/>
      <x:c r="O143" s="12"/>
      <x:c r="P143" s="12"/>
      <x:c r="Q143" s="12"/>
      <x:c r="R143" s="12"/>
      <x:c r="S143" s="12"/>
      <x:c r="T143" s="12"/>
      <x:c r="U143" s="28"/>
      <x:c r="V143" s="6"/>
      <x:c r="W143" s="6"/>
      <x:c r="X143" s="6"/>
      <x:c r="Y143" s="6"/>
      <x:c r="Z143" s="6"/>
      <x:c r="AA143" s="6"/>
      <x:c r="AB143" s="6"/>
      <x:c r="AC143" s="53"/>
      <x:c r="AD143" s="53"/>
    </x:row>
    <x:row r="144" ht="14.399999618530273">
      <x:c r="A144" s="3" t="s">
        <x:v>154</x:v>
      </x:c>
      <x:c r="B144" s="8">
        <x:v>867607</x:v>
      </x:c>
      <x:c r="C144" s="8">
        <x:v>27199</x:v>
      </x:c>
      <x:c r="D144" s="8">
        <x:v>26033</x:v>
      </x:c>
      <x:c r="E144" s="24"/>
      <x:c r="F144" s="10"/>
      <x:c r="G144" s="10"/>
      <x:c r="H144" s="10"/>
      <x:c r="I144" s="10"/>
      <x:c r="J144" s="10"/>
      <x:c r="K144" s="10"/>
      <x:c r="L144" s="10"/>
      <x:c r="M144" s="10"/>
      <x:c r="N144" s="10"/>
      <x:c r="O144" s="10"/>
      <x:c r="P144" s="10"/>
      <x:c r="Q144" s="10"/>
      <x:c r="R144" s="10"/>
      <x:c r="S144" s="10"/>
      <x:c r="T144" s="10"/>
      <x:c r="U144" s="28"/>
      <x:c r="V144" s="7"/>
      <x:c r="W144" s="7"/>
      <x:c r="X144" s="7"/>
      <x:c r="Y144" s="7"/>
      <x:c r="Z144" s="7"/>
      <x:c r="AA144" s="7"/>
      <x:c r="AB144" s="7"/>
      <x:c r="AC144" s="53" t="n">
        <x:v>31.3</x:v>
      </x:c>
      <x:c r="AD144" s="53" t="n">
        <x:v>30</x:v>
      </x:c>
    </x:row>
    <x:row r="145" ht="14.399999618530273">
      <x:c r="A145" s="3" t="s">
        <x:v>155</x:v>
      </x:c>
      <x:c r="B145" s="8">
        <x:v>824129</x:v>
      </x:c>
      <x:c r="C145" s="8">
        <x:v>30246</x:v>
      </x:c>
      <x:c r="D145" s="8">
        <x:v>25048</x:v>
      </x:c>
      <x:c r="E145" s="24"/>
      <x:c r="F145" s="15" t="s">
        <x:v>16</x:v>
      </x:c>
      <x:c r="G145" s="15" t="s">
        <x:v>16</x:v>
      </x:c>
      <x:c r="H145" s="15" t="s">
        <x:v>16</x:v>
      </x:c>
      <x:c r="I145" s="15" t="s">
        <x:v>16</x:v>
      </x:c>
      <x:c r="J145" s="15" t="s">
        <x:v>16</x:v>
      </x:c>
      <x:c r="K145" s="15" t="s">
        <x:v>16</x:v>
      </x:c>
      <x:c r="L145" s="15" t="s">
        <x:v>16</x:v>
      </x:c>
      <x:c r="M145" s="15" t="s">
        <x:v>16</x:v>
      </x:c>
      <x:c r="N145" s="10"/>
      <x:c r="O145" s="10"/>
      <x:c r="P145" s="10"/>
      <x:c r="Q145" s="10"/>
      <x:c r="R145" s="10"/>
      <x:c r="S145" s="10"/>
      <x:c r="T145" s="10"/>
      <x:c r="U145" s="28"/>
      <x:c r="V145" s="7" t="n">
        <x:f>SUM(F145:T145)</x:f>
        <x:v>0</x:v>
      </x:c>
      <x:c r="W145" s="7" t="n">
        <x:f>SUM(F146:T146)</x:f>
        <x:v>30246</x:v>
      </x:c>
      <x:c r="X145" s="7" t="n">
        <x:f>SUM(F147:T147)</x:f>
        <x:v>25048</x:v>
      </x:c>
      <x:c r="Y145" s="7"/>
      <x:c r="Z145" s="7"/>
      <x:c r="AA145" s="7" t="n">
        <x:f>W145-C145</x:f>
        <x:v>0</x:v>
      </x:c>
      <x:c r="AB145" s="7" t="n">
        <x:f>X145-D145</x:f>
        <x:v>0</x:v>
      </x:c>
      <x:c r="AC145" s="53" t="n">
        <x:v>36.4</x:v>
      </x:c>
      <x:c r="AD145" s="53" t="n">
        <x:v>30</x:v>
      </x:c>
    </x:row>
    <x:row r="146" ht="14.399999618530273">
      <x:c r="A146" s="4" t="s">
        <x:v>156</x:v>
      </x:c>
      <x:c r="B146" s="11"/>
      <x:c r="C146" s="11"/>
      <x:c r="D146" s="11"/>
      <x:c r="E146" s="25"/>
      <x:c r="F146" s="13">
        <x:v>4288</x:v>
      </x:c>
      <x:c r="G146" s="13">
        <x:v>4849</x:v>
      </x:c>
      <x:c r="H146" s="13">
        <x:v>5664</x:v>
      </x:c>
      <x:c r="I146" s="13">
        <x:v>3632</x:v>
      </x:c>
      <x:c r="J146" s="13">
        <x:v>2734</x:v>
      </x:c>
      <x:c r="K146" s="13">
        <x:v>3958</x:v>
      </x:c>
      <x:c r="L146" s="13">
        <x:v>2080</x:v>
      </x:c>
      <x:c r="M146" s="13">
        <x:v>3041</x:v>
      </x:c>
      <x:c r="N146" s="12"/>
      <x:c r="O146" s="12"/>
      <x:c r="P146" s="12"/>
      <x:c r="Q146" s="12"/>
      <x:c r="R146" s="12"/>
      <x:c r="S146" s="12"/>
      <x:c r="T146" s="12"/>
      <x:c r="U146" s="28"/>
      <x:c r="V146" s="6"/>
      <x:c r="W146" s="6"/>
      <x:c r="X146" s="6"/>
      <x:c r="Y146" s="6"/>
      <x:c r="Z146" s="6"/>
      <x:c r="AA146" s="6"/>
      <x:c r="AB146" s="6"/>
      <x:c r="AC146" s="53"/>
      <x:c r="AD146" s="53"/>
    </x:row>
    <x:row r="147" ht="14.399999618530273">
      <x:c r="A147" s="4" t="s">
        <x:v>157</x:v>
      </x:c>
      <x:c r="B147" s="11"/>
      <x:c r="C147" s="11"/>
      <x:c r="D147" s="11"/>
      <x:c r="E147" s="25"/>
      <x:c r="F147" s="13">
        <x:v>3386</x:v>
      </x:c>
      <x:c r="G147" s="13">
        <x:v>4471</x:v>
      </x:c>
      <x:c r="H147" s="13">
        <x:v>4301</x:v>
      </x:c>
      <x:c r="I147" s="13">
        <x:v>2724</x:v>
      </x:c>
      <x:c r="J147" s="13">
        <x:v>2296</x:v>
      </x:c>
      <x:c r="K147" s="13">
        <x:v>3337</x:v>
      </x:c>
      <x:c r="L147" s="13">
        <x:v>1943</x:v>
      </x:c>
      <x:c r="M147" s="13">
        <x:v>2590</x:v>
      </x:c>
      <x:c r="N147" s="12"/>
      <x:c r="O147" s="12"/>
      <x:c r="P147" s="12"/>
      <x:c r="Q147" s="12"/>
      <x:c r="R147" s="12"/>
      <x:c r="S147" s="12"/>
      <x:c r="T147" s="12"/>
      <x:c r="U147" s="28"/>
      <x:c r="V147" s="6"/>
      <x:c r="W147" s="6"/>
      <x:c r="X147" s="6"/>
      <x:c r="Y147" s="6"/>
      <x:c r="Z147" s="6"/>
      <x:c r="AA147" s="6"/>
      <x:c r="AB147" s="6"/>
      <x:c r="AC147" s="53"/>
      <x:c r="AD147" s="53"/>
    </x:row>
    <x:row r="148" ht="14.399999618530273">
      <x:c r="A148" s="3" t="s">
        <x:v>158</x:v>
      </x:c>
      <x:c r="B148" s="8">
        <x:v>2351077</x:v>
      </x:c>
      <x:c r="C148" s="8">
        <x:v>126534</x:v>
      </x:c>
      <x:c r="D148" s="8">
        <x:v>86678</x:v>
      </x:c>
      <x:c r="E148" s="24"/>
      <x:c r="F148" s="9">
        <x:v>301992</x:v>
      </x:c>
      <x:c r="G148" s="9">
        <x:v>281746</x:v>
      </x:c>
      <x:c r="H148" s="9">
        <x:v>285737</x:v>
      </x:c>
      <x:c r="I148" s="9">
        <x:v>197818</x:v>
      </x:c>
      <x:c r="J148" s="9">
        <x:v>324951</x:v>
      </x:c>
      <x:c r="K148" s="9">
        <x:v>163694</x:v>
      </x:c>
      <x:c r="L148" s="9">
        <x:v>259862</x:v>
      </x:c>
      <x:c r="M148" s="9">
        <x:v>199677</x:v>
      </x:c>
      <x:c r="N148" s="9">
        <x:v>205316</x:v>
      </x:c>
      <x:c r="O148" s="9">
        <x:v>130284</x:v>
      </x:c>
      <x:c r="P148" s="10"/>
      <x:c r="Q148" s="10"/>
      <x:c r="R148" s="10"/>
      <x:c r="S148" s="10"/>
      <x:c r="T148" s="10"/>
      <x:c r="U148" s="28"/>
      <x:c r="V148" s="7" t="n">
        <x:f>SUM(F148:T148)</x:f>
        <x:v>2351077</x:v>
      </x:c>
      <x:c r="W148" s="7" t="n">
        <x:f>SUM(F149:T149)</x:f>
        <x:v>126534</x:v>
      </x:c>
      <x:c r="X148" s="7" t="n">
        <x:f>SUM(F150:T150)</x:f>
        <x:v>86678</x:v>
      </x:c>
      <x:c r="Y148" s="7"/>
      <x:c r="Z148" s="7" t="n">
        <x:f>V148-B148</x:f>
        <x:v>0</x:v>
      </x:c>
      <x:c r="AA148" s="7" t="n">
        <x:f>W148-C148</x:f>
        <x:v>0</x:v>
      </x:c>
      <x:c r="AB148" s="7" t="n">
        <x:f>X148-D148</x:f>
        <x:v>0</x:v>
      </x:c>
      <x:c r="AC148" s="53" t="n">
        <x:v>53.8</x:v>
      </x:c>
      <x:c r="AD148" s="53" t="n">
        <x:v>36.8</x:v>
      </x:c>
    </x:row>
    <x:row r="149" ht="14.399999618530273">
      <x:c r="A149" s="4" t="s">
        <x:v>159</x:v>
      </x:c>
      <x:c r="B149" s="11"/>
      <x:c r="C149" s="11"/>
      <x:c r="D149" s="11"/>
      <x:c r="E149" s="25"/>
      <x:c r="F149" s="13">
        <x:v>17061</x:v>
      </x:c>
      <x:c r="G149" s="13">
        <x:v>15877</x:v>
      </x:c>
      <x:c r="H149" s="13">
        <x:v>16483</x:v>
      </x:c>
      <x:c r="I149" s="13">
        <x:v>9501</x:v>
      </x:c>
      <x:c r="J149" s="13">
        <x:v>17771</x:v>
      </x:c>
      <x:c r="K149" s="13">
        <x:v>9199</x:v>
      </x:c>
      <x:c r="L149" s="13">
        <x:v>11887</x:v>
      </x:c>
      <x:c r="M149" s="13">
        <x:v>12064</x:v>
      </x:c>
      <x:c r="N149" s="13">
        <x:v>9725</x:v>
      </x:c>
      <x:c r="O149" s="13">
        <x:v>6966</x:v>
      </x:c>
      <x:c r="P149" s="12"/>
      <x:c r="Q149" s="12"/>
      <x:c r="R149" s="12"/>
      <x:c r="S149" s="12"/>
      <x:c r="T149" s="12"/>
      <x:c r="U149" s="28"/>
      <x:c r="V149" s="6"/>
      <x:c r="W149" s="6"/>
      <x:c r="X149" s="6"/>
      <x:c r="Y149" s="6"/>
      <x:c r="Z149" s="6"/>
      <x:c r="AA149" s="6"/>
      <x:c r="AB149" s="6"/>
      <x:c r="AC149" s="53"/>
      <x:c r="AD149" s="53"/>
    </x:row>
    <x:row r="150" ht="14.399999618530273">
      <x:c r="A150" s="4" t="s">
        <x:v>160</x:v>
      </x:c>
      <x:c r="B150" s="11"/>
      <x:c r="C150" s="11"/>
      <x:c r="D150" s="11"/>
      <x:c r="E150" s="25"/>
      <x:c r="F150" s="13">
        <x:v>13049</x:v>
      </x:c>
      <x:c r="G150" s="13">
        <x:v>9418</x:v>
      </x:c>
      <x:c r="H150" s="13">
        <x:v>11247</x:v>
      </x:c>
      <x:c r="I150" s="13">
        <x:v>7080</x:v>
      </x:c>
      <x:c r="J150" s="13">
        <x:v>9819</x:v>
      </x:c>
      <x:c r="K150" s="13">
        <x:v>6208</x:v>
      </x:c>
      <x:c r="L150" s="13">
        <x:v>9461</x:v>
      </x:c>
      <x:c r="M150" s="13">
        <x:v>8637</x:v>
      </x:c>
      <x:c r="N150" s="13">
        <x:v>7106</x:v>
      </x:c>
      <x:c r="O150" s="13">
        <x:v>4653</x:v>
      </x:c>
      <x:c r="P150" s="12"/>
      <x:c r="Q150" s="12"/>
      <x:c r="R150" s="12"/>
      <x:c r="S150" s="12"/>
      <x:c r="T150" s="12"/>
      <x:c r="U150" s="28"/>
      <x:c r="V150" s="6"/>
      <x:c r="W150" s="6"/>
      <x:c r="X150" s="6"/>
      <x:c r="Y150" s="6"/>
      <x:c r="Z150" s="6"/>
      <x:c r="AA150" s="6"/>
      <x:c r="AB150" s="6"/>
      <x:c r="AC150" s="53"/>
      <x:c r="AD150" s="53"/>
    </x:row>
    <x:row r="151" ht="14.399999618530273">
      <x:c r="A151" s="3" t="s">
        <x:v>161</x:v>
      </x:c>
      <x:c r="B151" s="8">
        <x:v>1605335</x:v>
      </x:c>
      <x:c r="C151" s="8">
        <x:v>80877</x:v>
      </x:c>
      <x:c r="D151" s="8">
        <x:v>54493</x:v>
      </x:c>
      <x:c r="E151" s="24"/>
      <x:c r="F151" s="9">
        <x:v>220465</x:v>
      </x:c>
      <x:c r="G151" s="9">
        <x:v>168325</x:v>
      </x:c>
      <x:c r="H151" s="9">
        <x:v>212626</x:v>
      </x:c>
      <x:c r="I151" s="9">
        <x:v>186330</x:v>
      </x:c>
      <x:c r="J151" s="9">
        <x:v>239321</x:v>
      </x:c>
      <x:c r="K151" s="9">
        <x:v>163403</x:v>
      </x:c>
      <x:c r="L151" s="9">
        <x:v>158364</x:v>
      </x:c>
      <x:c r="M151" s="9">
        <x:v>256501</x:v>
      </x:c>
      <x:c r="N151" s="10"/>
      <x:c r="O151" s="10"/>
      <x:c r="P151" s="10"/>
      <x:c r="Q151" s="10"/>
      <x:c r="R151" s="10"/>
      <x:c r="S151" s="10"/>
      <x:c r="T151" s="10"/>
      <x:c r="U151" s="28"/>
      <x:c r="V151" s="7" t="n">
        <x:f>SUM(F151:T151)</x:f>
        <x:v>1605335</x:v>
      </x:c>
      <x:c r="W151" s="7" t="n">
        <x:f>SUM(F152:T152)</x:f>
        <x:v>80877</x:v>
      </x:c>
      <x:c r="X151" s="7" t="n">
        <x:f>SUM(F153:T153)</x:f>
        <x:v>53833</x:v>
      </x:c>
      <x:c r="Y151" s="7"/>
      <x:c r="Z151" s="7" t="n">
        <x:f>V151-B151</x:f>
        <x:v>0</x:v>
      </x:c>
      <x:c r="AA151" s="7" t="n">
        <x:f>W151-C151</x:f>
        <x:v>0</x:v>
      </x:c>
      <x:c r="AB151" s="7" t="n">
        <x:f>X151-D151</x:f>
        <x:v>-660</x:v>
      </x:c>
      <x:c r="AC151" s="53" t="n">
        <x:v>50.3</x:v>
      </x:c>
      <x:c r="AD151" s="53" t="n">
        <x:v>33.9</x:v>
      </x:c>
    </x:row>
    <x:row r="152" ht="14.399999618530273">
      <x:c r="A152" s="4" t="s">
        <x:v>162</x:v>
      </x:c>
      <x:c r="B152" s="11"/>
      <x:c r="C152" s="11"/>
      <x:c r="D152" s="11"/>
      <x:c r="E152" s="25"/>
      <x:c r="F152" s="13">
        <x:v>11642</x:v>
      </x:c>
      <x:c r="G152" s="13">
        <x:v>8074</x:v>
      </x:c>
      <x:c r="H152" s="13">
        <x:v>10797</x:v>
      </x:c>
      <x:c r="I152" s="13">
        <x:v>9018</x:v>
      </x:c>
      <x:c r="J152" s="13">
        <x:v>11738</x:v>
      </x:c>
      <x:c r="K152" s="13">
        <x:v>8174</x:v>
      </x:c>
      <x:c r="L152" s="13">
        <x:v>8363</x:v>
      </x:c>
      <x:c r="M152" s="13">
        <x:v>13071</x:v>
      </x:c>
      <x:c r="N152" s="12"/>
      <x:c r="O152" s="12"/>
      <x:c r="P152" s="12"/>
      <x:c r="Q152" s="12"/>
      <x:c r="R152" s="12"/>
      <x:c r="S152" s="12"/>
      <x:c r="T152" s="12"/>
      <x:c r="U152" s="28"/>
      <x:c r="V152" s="6"/>
      <x:c r="W152" s="6"/>
      <x:c r="X152" s="6"/>
      <x:c r="Y152" s="6"/>
      <x:c r="Z152" s="6"/>
      <x:c r="AA152" s="6"/>
      <x:c r="AB152" s="6"/>
      <x:c r="AC152" s="53"/>
      <x:c r="AD152" s="53"/>
    </x:row>
    <x:row r="153" ht="14.399999618530273">
      <x:c r="A153" s="4" t="s">
        <x:v>163</x:v>
      </x:c>
      <x:c r="B153" s="11"/>
      <x:c r="C153" s="11"/>
      <x:c r="D153" s="11"/>
      <x:c r="E153" s="25"/>
      <x:c r="F153" s="13">
        <x:v>7738</x:v>
      </x:c>
      <x:c r="G153" s="13">
        <x:v>5133</x:v>
      </x:c>
      <x:c r="H153" s="13">
        <x:v>6998</x:v>
      </x:c>
      <x:c r="I153" s="13">
        <x:v>5404</x:v>
      </x:c>
      <x:c r="J153" s="13">
        <x:v>8460</x:v>
      </x:c>
      <x:c r="K153" s="13">
        <x:v>5129</x:v>
      </x:c>
      <x:c r="L153" s="13">
        <x:v>6636</x:v>
      </x:c>
      <x:c r="M153" s="13">
        <x:v>8335</x:v>
      </x:c>
      <x:c r="N153" s="12"/>
      <x:c r="O153" s="12"/>
      <x:c r="P153" s="12"/>
      <x:c r="Q153" s="12"/>
      <x:c r="R153" s="12"/>
      <x:c r="S153" s="12"/>
      <x:c r="T153" s="12"/>
      <x:c r="U153" s="28"/>
      <x:c r="V153" s="6"/>
      <x:c r="W153" s="6"/>
      <x:c r="X153" s="6"/>
      <x:c r="Y153" s="6"/>
      <x:c r="Z153" s="6"/>
      <x:c r="AA153" s="6"/>
      <x:c r="AB153" s="6"/>
      <x:c r="AC153" s="53"/>
      <x:c r="AD153" s="53"/>
    </x:row>
    <x:row r="154" ht="14.399999618530273">
      <x:c r="A154" s="3" t="s">
        <x:v>164</x:v>
      </x:c>
      <x:c r="B154" s="8">
        <x:v>1358756</x:v>
      </x:c>
      <x:c r="C154" s="8">
        <x:v>78652</x:v>
      </x:c>
      <x:c r="D154" s="8">
        <x:v>49496</x:v>
      </x:c>
      <x:c r="E154" s="24"/>
      <x:c r="F154" s="9">
        <x:v>137538</x:v>
      </x:c>
      <x:c r="G154" s="9">
        <x:v>119132</x:v>
      </x:c>
      <x:c r="H154" s="9">
        <x:v>83493</x:v>
      </x:c>
      <x:c r="I154" s="9">
        <x:v>134729</x:v>
      </x:c>
      <x:c r="J154" s="9">
        <x:v>85954</x:v>
      </x:c>
      <x:c r="K154" s="9">
        <x:v>96867</x:v>
      </x:c>
      <x:c r="L154" s="9">
        <x:v>118302</x:v>
      </x:c>
      <x:c r="M154" s="9">
        <x:v>89827</x:v>
      </x:c>
      <x:c r="N154" s="9">
        <x:v>104249</x:v>
      </x:c>
      <x:c r="O154" s="9">
        <x:v>152244</x:v>
      </x:c>
      <x:c r="P154" s="9">
        <x:v>116351</x:v>
      </x:c>
      <x:c r="Q154" s="9">
        <x:v>120070</x:v>
      </x:c>
      <x:c r="R154" s="10"/>
      <x:c r="S154" s="10"/>
      <x:c r="T154" s="10"/>
      <x:c r="U154" s="28"/>
      <x:c r="V154" s="7" t="n">
        <x:f>SUM(F154:T154)</x:f>
        <x:v>1358756</x:v>
      </x:c>
      <x:c r="W154" s="7" t="n">
        <x:f>SUM(F155:T155)</x:f>
        <x:v>78652</x:v>
      </x:c>
      <x:c r="X154" s="7" t="n">
        <x:f>SUM(F156:T156)</x:f>
        <x:v>49396</x:v>
      </x:c>
      <x:c r="Y154" s="7"/>
      <x:c r="Z154" s="7" t="n">
        <x:f>V154-B154</x:f>
        <x:v>0</x:v>
      </x:c>
      <x:c r="AA154" s="7" t="n">
        <x:f>W154-C154</x:f>
        <x:v>0</x:v>
      </x:c>
      <x:c r="AB154" s="7" t="n">
        <x:f>X154-D154</x:f>
        <x:v>-100</x:v>
      </x:c>
      <x:c r="AC154" s="53" t="n">
        <x:v>57.8</x:v>
      </x:c>
      <x:c r="AD154" s="53" t="n">
        <x:v>36.4</x:v>
      </x:c>
    </x:row>
    <x:row r="155" ht="14.399999618530273">
      <x:c r="A155" s="4" t="s">
        <x:v>165</x:v>
      </x:c>
      <x:c r="B155" s="11"/>
      <x:c r="C155" s="11"/>
      <x:c r="D155" s="11"/>
      <x:c r="E155" s="25"/>
      <x:c r="F155" s="13">
        <x:v>6541</x:v>
      </x:c>
      <x:c r="G155" s="13">
        <x:v>8627</x:v>
      </x:c>
      <x:c r="H155" s="13">
        <x:v>5397</x:v>
      </x:c>
      <x:c r="I155" s="13">
        <x:v>5051</x:v>
      </x:c>
      <x:c r="J155" s="13">
        <x:v>5726</x:v>
      </x:c>
      <x:c r="K155" s="13">
        <x:v>6710</x:v>
      </x:c>
      <x:c r="L155" s="13">
        <x:v>7489</x:v>
      </x:c>
      <x:c r="M155" s="13">
        <x:v>5092</x:v>
      </x:c>
      <x:c r="N155" s="13">
        <x:v>6799</x:v>
      </x:c>
      <x:c r="O155" s="13">
        <x:v>9181</x:v>
      </x:c>
      <x:c r="P155" s="13">
        <x:v>5321</x:v>
      </x:c>
      <x:c r="Q155" s="13">
        <x:v>6718</x:v>
      </x:c>
      <x:c r="R155" s="12"/>
      <x:c r="S155" s="12"/>
      <x:c r="T155" s="12"/>
      <x:c r="U155" s="28"/>
      <x:c r="V155" s="6"/>
      <x:c r="W155" s="6"/>
      <x:c r="X155" s="6"/>
      <x:c r="Y155" s="6"/>
      <x:c r="Z155" s="6"/>
      <x:c r="AA155" s="6"/>
      <x:c r="AB155" s="6"/>
      <x:c r="AC155" s="53"/>
      <x:c r="AD155" s="53"/>
    </x:row>
    <x:row r="156" ht="14.399999618530273">
      <x:c r="A156" s="4" t="s">
        <x:v>166</x:v>
      </x:c>
      <x:c r="B156" s="11"/>
      <x:c r="C156" s="11"/>
      <x:c r="D156" s="11"/>
      <x:c r="E156" s="25"/>
      <x:c r="F156" s="13">
        <x:v>4382</x:v>
      </x:c>
      <x:c r="G156" s="13">
        <x:v>5342</x:v>
      </x:c>
      <x:c r="H156" s="13">
        <x:v>3493</x:v>
      </x:c>
      <x:c r="I156" s="13">
        <x:v>4707</x:v>
      </x:c>
      <x:c r="J156" s="13">
        <x:v>3286</x:v>
      </x:c>
      <x:c r="K156" s="13">
        <x:v>3979</x:v>
      </x:c>
      <x:c r="L156" s="13">
        <x:v>4063</x:v>
      </x:c>
      <x:c r="M156" s="13">
        <x:v>2739</x:v>
      </x:c>
      <x:c r="N156" s="13">
        <x:v>4298</x:v>
      </x:c>
      <x:c r="O156" s="13">
        <x:v>5033</x:v>
      </x:c>
      <x:c r="P156" s="13">
        <x:v>3886</x:v>
      </x:c>
      <x:c r="Q156" s="13">
        <x:v>4188</x:v>
      </x:c>
      <x:c r="R156" s="12"/>
      <x:c r="S156" s="12"/>
      <x:c r="T156" s="12"/>
      <x:c r="U156" s="28"/>
      <x:c r="V156" s="6"/>
      <x:c r="W156" s="6"/>
      <x:c r="X156" s="6"/>
      <x:c r="Y156" s="6"/>
      <x:c r="Z156" s="6"/>
      <x:c r="AA156" s="6"/>
      <x:c r="AB156" s="6"/>
      <x:c r="AC156" s="53"/>
      <x:c r="AD156" s="53"/>
    </x:row>
    <x:row r="157" ht="14.399999618530273">
      <x:c r="A157" s="3" t="s">
        <x:v>167</x:v>
      </x:c>
      <x:c r="B157" s="8">
        <x:v>1104314</x:v>
      </x:c>
      <x:c r="C157" s="8">
        <x:v>54265</x:v>
      </x:c>
      <x:c r="D157" s="8">
        <x:v>35313</x:v>
      </x:c>
      <x:c r="E157" s="24"/>
      <x:c r="F157" s="15" t="s">
        <x:v>16</x:v>
      </x:c>
      <x:c r="G157" s="10"/>
      <x:c r="H157" s="10"/>
      <x:c r="I157" s="10"/>
      <x:c r="J157" s="10"/>
      <x:c r="K157" s="10"/>
      <x:c r="L157" s="10"/>
      <x:c r="M157" s="10"/>
      <x:c r="N157" s="10"/>
      <x:c r="O157" s="10"/>
      <x:c r="P157" s="10"/>
      <x:c r="Q157" s="10"/>
      <x:c r="R157" s="10"/>
      <x:c r="S157" s="10"/>
      <x:c r="T157" s="10"/>
      <x:c r="U157" s="28"/>
      <x:c r="V157" s="7"/>
      <x:c r="W157" s="7"/>
      <x:c r="X157" s="7"/>
      <x:c r="Y157" s="7"/>
      <x:c r="Z157" s="7"/>
      <x:c r="AA157" s="7"/>
      <x:c r="AB157" s="7"/>
      <x:c r="AC157" s="53" t="n">
        <x:v>49.1</x:v>
      </x:c>
      <x:c r="AD157" s="53" t="n">
        <x:v>31</x:v>
      </x:c>
    </x:row>
    <x:row r="158" ht="14.399999618530273">
      <x:c r="A158" s="4" t="s">
        <x:v>168</x:v>
      </x:c>
      <x:c r="B158" s="11"/>
      <x:c r="C158" s="11"/>
      <x:c r="D158" s="11"/>
      <x:c r="E158" s="25"/>
      <x:c r="F158" s="14" t="s">
        <x:v>16</x:v>
      </x:c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28"/>
      <x:c r="V158" s="6"/>
      <x:c r="W158" s="6"/>
      <x:c r="X158" s="6"/>
      <x:c r="Y158" s="6"/>
      <x:c r="Z158" s="6"/>
      <x:c r="AA158" s="6"/>
      <x:c r="AB158" s="6"/>
      <x:c r="AC158" s="53"/>
      <x:c r="AD158" s="53"/>
    </x:row>
    <x:row r="159" ht="14.399999618530273">
      <x:c r="A159" s="4" t="s">
        <x:v>169</x:v>
      </x:c>
      <x:c r="B159" s="11"/>
      <x:c r="C159" s="11"/>
      <x:c r="D159" s="11"/>
      <x:c r="E159" s="25"/>
      <x:c r="F159" s="14" t="s">
        <x:v>16</x:v>
      </x:c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28"/>
      <x:c r="V159" s="6"/>
      <x:c r="W159" s="6"/>
      <x:c r="X159" s="6"/>
      <x:c r="Y159" s="6"/>
      <x:c r="Z159" s="6"/>
      <x:c r="AA159" s="6"/>
      <x:c r="AB159" s="6"/>
      <x:c r="AC159" s="53"/>
      <x:c r="AD159" s="53"/>
    </x:row>
    <x:row r="160" ht="14.399999618530273">
      <x:c r="A160" s="3" t="s">
        <x:v>170</x:v>
      </x:c>
      <x:c r="B160" s="8">
        <x:v>2782788</x:v>
      </x:c>
      <x:c r="C160" s="8">
        <x:v>141051</x:v>
      </x:c>
      <x:c r="D160" s="8">
        <x:v>89139</x:v>
      </x:c>
      <x:c r="E160" s="24"/>
      <x:c r="F160" s="9">
        <x:v>388195</x:v>
      </x:c>
      <x:c r="G160" s="9">
        <x:v>301130</x:v>
      </x:c>
      <x:c r="H160" s="9">
        <x:v>182749</x:v>
      </x:c>
      <x:c r="I160" s="9">
        <x:v>269842</x:v>
      </x:c>
      <x:c r="J160" s="9">
        <x:v>379357</x:v>
      </x:c>
      <x:c r="K160" s="9">
        <x:v>154001</x:v>
      </x:c>
      <x:c r="L160" s="9">
        <x:v>181379</x:v>
      </x:c>
      <x:c r="M160" s="9">
        <x:v>271871</x:v>
      </x:c>
      <x:c r="N160" s="9">
        <x:v>133754</x:v>
      </x:c>
      <x:c r="O160" s="9">
        <x:v>144223</x:v>
      </x:c>
      <x:c r="P160" s="9">
        <x:v>206869</x:v>
      </x:c>
      <x:c r="Q160" s="9">
        <x:v>162255</x:v>
      </x:c>
      <x:c r="R160" s="10"/>
      <x:c r="S160" s="10"/>
      <x:c r="T160" s="10"/>
      <x:c r="U160" s="28"/>
      <x:c r="V160" s="7" t="n">
        <x:f>SUM(F160:T160)</x:f>
        <x:v>2775625</x:v>
      </x:c>
      <x:c r="W160" s="7" t="n">
        <x:f>SUM(F161:T161)</x:f>
        <x:v>141051</x:v>
      </x:c>
      <x:c r="X160" s="7" t="n">
        <x:f>SUM(F162:T162)</x:f>
        <x:v>89149</x:v>
      </x:c>
      <x:c r="Y160" s="7"/>
      <x:c r="Z160" s="7" t="n">
        <x:f>V160-B160</x:f>
        <x:v>-7163</x:v>
      </x:c>
      <x:c r="AA160" s="7" t="n">
        <x:f>W160-C160</x:f>
        <x:v>0</x:v>
      </x:c>
      <x:c r="AB160" s="7" t="n">
        <x:f>X160-D160</x:f>
        <x:v>10</x:v>
      </x:c>
      <x:c r="AC160" s="53" t="n">
        <x:v>50.7</x:v>
      </x:c>
      <x:c r="AD160" s="53" t="n">
        <x:v>32</x:v>
      </x:c>
    </x:row>
    <x:row r="161" ht="14.399999618530273">
      <x:c r="A161" s="4" t="s">
        <x:v>171</x:v>
      </x:c>
      <x:c r="B161" s="11"/>
      <x:c r="C161" s="11"/>
      <x:c r="D161" s="11"/>
      <x:c r="E161" s="25"/>
      <x:c r="F161" s="13">
        <x:v>20658</x:v>
      </x:c>
      <x:c r="G161" s="13">
        <x:v>15918</x:v>
      </x:c>
      <x:c r="H161" s="13">
        <x:v>7251</x:v>
      </x:c>
      <x:c r="I161" s="13">
        <x:v>14954</x:v>
      </x:c>
      <x:c r="J161" s="13">
        <x:v>17497</x:v>
      </x:c>
      <x:c r="K161" s="13">
        <x:v>7913</x:v>
      </x:c>
      <x:c r="L161" s="13">
        <x:v>8540</x:v>
      </x:c>
      <x:c r="M161" s="13">
        <x:v>14044</x:v>
      </x:c>
      <x:c r="N161" s="13">
        <x:v>7338</x:v>
      </x:c>
      <x:c r="O161" s="13">
        <x:v>7654</x:v>
      </x:c>
      <x:c r="P161" s="13">
        <x:v>10822</x:v>
      </x:c>
      <x:c r="Q161" s="13">
        <x:v>8462</x:v>
      </x:c>
      <x:c r="R161" s="12"/>
      <x:c r="S161" s="12"/>
      <x:c r="T161" s="12"/>
      <x:c r="U161" s="28"/>
      <x:c r="V161" s="6"/>
      <x:c r="W161" s="6"/>
      <x:c r="X161" s="6"/>
      <x:c r="Y161" s="6"/>
      <x:c r="Z161" s="6"/>
      <x:c r="AA161" s="6"/>
      <x:c r="AB161" s="6"/>
      <x:c r="AC161" s="53"/>
      <x:c r="AD161" s="53"/>
    </x:row>
    <x:row r="162" ht="14.399999618530273">
      <x:c r="A162" s="4" t="s">
        <x:v>172</x:v>
      </x:c>
      <x:c r="B162" s="11"/>
      <x:c r="C162" s="11"/>
      <x:c r="D162" s="11"/>
      <x:c r="E162" s="25"/>
      <x:c r="F162" s="13">
        <x:v>12288</x:v>
      </x:c>
      <x:c r="G162" s="13">
        <x:v>9804</x:v>
      </x:c>
      <x:c r="H162" s="13">
        <x:v>5297</x:v>
      </x:c>
      <x:c r="I162" s="13">
        <x:v>8435</x:v>
      </x:c>
      <x:c r="J162" s="13">
        <x:v>12602</x:v>
      </x:c>
      <x:c r="K162" s="13">
        <x:v>4699</x:v>
      </x:c>
      <x:c r="L162" s="13">
        <x:v>4777</x:v>
      </x:c>
      <x:c r="M162" s="13">
        <x:v>8818</x:v>
      </x:c>
      <x:c r="N162" s="13">
        <x:v>5533</x:v>
      </x:c>
      <x:c r="O162" s="13">
        <x:v>5917</x:v>
      </x:c>
      <x:c r="P162" s="13">
        <x:v>5968</x:v>
      </x:c>
      <x:c r="Q162" s="13">
        <x:v>5011</x:v>
      </x:c>
      <x:c r="R162" s="12"/>
      <x:c r="S162" s="12"/>
      <x:c r="T162" s="12"/>
      <x:c r="U162" s="28"/>
      <x:c r="V162" s="6"/>
      <x:c r="W162" s="6"/>
      <x:c r="X162" s="6"/>
      <x:c r="Y162" s="6"/>
      <x:c r="Z162" s="6"/>
      <x:c r="AA162" s="6"/>
      <x:c r="AB162" s="6"/>
      <x:c r="AC162" s="53"/>
      <x:c r="AD162" s="53"/>
    </x:row>
    <x:row r="163" ht="14.399999618530273">
      <x:c r="A163" s="3" t="s">
        <x:v>173</x:v>
      </x:c>
      <x:c r="B163" s="8">
        <x:v>1813631</x:v>
      </x:c>
      <x:c r="C163" s="8">
        <x:v>86639</x:v>
      </x:c>
      <x:c r="D163" s="8">
        <x:v>54869</x:v>
      </x:c>
      <x:c r="E163" s="24"/>
      <x:c r="F163" s="9">
        <x:v>162251</x:v>
      </x:c>
      <x:c r="G163" s="9">
        <x:v>239370</x:v>
      </x:c>
      <x:c r="H163" s="9">
        <x:v>150767</x:v>
      </x:c>
      <x:c r="I163" s="9">
        <x:v>170764</x:v>
      </x:c>
      <x:c r="J163" s="9">
        <x:v>113734</x:v>
      </x:c>
      <x:c r="K163" s="9">
        <x:v>135511</x:v>
      </x:c>
      <x:c r="L163" s="9">
        <x:v>139121</x:v>
      </x:c>
      <x:c r="M163" s="9">
        <x:v>127366</x:v>
      </x:c>
      <x:c r="N163" s="9">
        <x:v>120377</x:v>
      </x:c>
      <x:c r="O163" s="9">
        <x:v>137492</x:v>
      </x:c>
      <x:c r="P163" s="9">
        <x:v>153952</x:v>
      </x:c>
      <x:c r="Q163" s="9">
        <x:v>162926</x:v>
      </x:c>
      <x:c r="R163" s="10"/>
      <x:c r="S163" s="10"/>
      <x:c r="T163" s="10"/>
      <x:c r="U163" s="28"/>
      <x:c r="V163" s="7" t="n">
        <x:f>SUM(F163:T163)</x:f>
        <x:v>1813631</x:v>
      </x:c>
      <x:c r="W163" s="7" t="n">
        <x:f>SUM(F164:T164)</x:f>
        <x:v>86639</x:v>
      </x:c>
      <x:c r="X163" s="7" t="n">
        <x:f>SUM(F165:T165)</x:f>
        <x:v>54867</x:v>
      </x:c>
      <x:c r="Y163" s="7"/>
      <x:c r="Z163" s="7" t="n">
        <x:f>V163-B163</x:f>
        <x:v>0</x:v>
      </x:c>
      <x:c r="AA163" s="7" t="n">
        <x:f>W163-C163</x:f>
        <x:v>0</x:v>
      </x:c>
      <x:c r="AB163" s="7" t="n">
        <x:f>X163-D163</x:f>
        <x:v>-2</x:v>
      </x:c>
      <x:c r="AC163" s="53" t="n">
        <x:v>47.7</x:v>
      </x:c>
      <x:c r="AD163" s="53" t="n">
        <x:v>30.2</x:v>
      </x:c>
    </x:row>
    <x:row r="164" ht="14.399999618530273">
      <x:c r="A164" s="4" t="s">
        <x:v>174</x:v>
      </x:c>
      <x:c r="B164" s="11"/>
      <x:c r="C164" s="11"/>
      <x:c r="D164" s="11"/>
      <x:c r="E164" s="25"/>
      <x:c r="F164" s="13">
        <x:v>7574</x:v>
      </x:c>
      <x:c r="G164" s="13">
        <x:v>12140</x:v>
      </x:c>
      <x:c r="H164" s="13">
        <x:v>7362</x:v>
      </x:c>
      <x:c r="I164" s="13">
        <x:v>7520</x:v>
      </x:c>
      <x:c r="J164" s="13">
        <x:v>5234</x:v>
      </x:c>
      <x:c r="K164" s="13">
        <x:v>6187</x:v>
      </x:c>
      <x:c r="L164" s="13">
        <x:v>6364</x:v>
      </x:c>
      <x:c r="M164" s="13">
        <x:v>5926</x:v>
      </x:c>
      <x:c r="N164" s="13">
        <x:v>6624</x:v>
      </x:c>
      <x:c r="O164" s="13">
        <x:v>7415</x:v>
      </x:c>
      <x:c r="P164" s="13">
        <x:v>7415</x:v>
      </x:c>
      <x:c r="Q164" s="13">
        <x:v>6878</x:v>
      </x:c>
      <x:c r="R164" s="12"/>
      <x:c r="S164" s="12"/>
      <x:c r="T164" s="12"/>
      <x:c r="U164" s="28"/>
      <x:c r="V164" s="6"/>
      <x:c r="W164" s="6"/>
      <x:c r="X164" s="6"/>
      <x:c r="Y164" s="6"/>
      <x:c r="Z164" s="6"/>
      <x:c r="AA164" s="6"/>
      <x:c r="AB164" s="6"/>
      <x:c r="AC164" s="53"/>
      <x:c r="AD164" s="53"/>
    </x:row>
    <x:row r="165" ht="14.399999618530273">
      <x:c r="A165" s="4" t="s">
        <x:v>175</x:v>
      </x:c>
      <x:c r="B165" s="11"/>
      <x:c r="C165" s="11"/>
      <x:c r="D165" s="11"/>
      <x:c r="E165" s="25"/>
      <x:c r="F165" s="13">
        <x:v>4827</x:v>
      </x:c>
      <x:c r="G165" s="13">
        <x:v>7053</x:v>
      </x:c>
      <x:c r="H165" s="13">
        <x:v>4342</x:v>
      </x:c>
      <x:c r="I165" s="13">
        <x:v>4784</x:v>
      </x:c>
      <x:c r="J165" s="13">
        <x:v>3216</x:v>
      </x:c>
      <x:c r="K165" s="13">
        <x:v>3655</x:v>
      </x:c>
      <x:c r="L165" s="13">
        <x:v>4168</x:v>
      </x:c>
      <x:c r="M165" s="13">
        <x:v>3473</x:v>
      </x:c>
      <x:c r="N165" s="13">
        <x:v>4046</x:v>
      </x:c>
      <x:c r="O165" s="13">
        <x:v>4541</x:v>
      </x:c>
      <x:c r="P165" s="13">
        <x:v>5995</x:v>
      </x:c>
      <x:c r="Q165" s="13">
        <x:v>4767</x:v>
      </x:c>
      <x:c r="R165" s="12"/>
      <x:c r="S165" s="12"/>
      <x:c r="T165" s="12"/>
      <x:c r="U165" s="28"/>
      <x:c r="V165" s="6"/>
      <x:c r="W165" s="6"/>
      <x:c r="X165" s="6"/>
      <x:c r="Y165" s="6"/>
      <x:c r="Z165" s="6"/>
      <x:c r="AA165" s="6"/>
      <x:c r="AB165" s="6"/>
      <x:c r="AC165" s="53"/>
      <x:c r="AD165" s="53"/>
    </x:row>
    <x:row r="166" ht="14.399999618530273">
      <x:c r="A166" s="3" t="s">
        <x:v>176</x:v>
      </x:c>
      <x:c r="B166" s="8">
        <x:v>1475183</x:v>
      </x:c>
      <x:c r="C166" s="8">
        <x:v>76217</x:v>
      </x:c>
      <x:c r="D166" s="8">
        <x:v>51590</x:v>
      </x:c>
      <x:c r="E166" s="24"/>
      <x:c r="F166" s="9">
        <x:v>164964</x:v>
      </x:c>
      <x:c r="G166" s="9">
        <x:v>89527</x:v>
      </x:c>
      <x:c r="H166" s="9">
        <x:v>158676</x:v>
      </x:c>
      <x:c r="I166" s="9">
        <x:v>75241</x:v>
      </x:c>
      <x:c r="J166" s="9">
        <x:v>123691</x:v>
      </x:c>
      <x:c r="K166" s="9">
        <x:v>133635</x:v>
      </x:c>
      <x:c r="L166" s="9">
        <x:v>165993</x:v>
      </x:c>
      <x:c r="M166" s="9">
        <x:v>79088</x:v>
      </x:c>
      <x:c r="N166" s="9">
        <x:v>105376</x:v>
      </x:c>
      <x:c r="O166" s="9">
        <x:v>145430</x:v>
      </x:c>
      <x:c r="P166" s="9">
        <x:v>101373</x:v>
      </x:c>
      <x:c r="Q166" s="9">
        <x:v>112099</x:v>
      </x:c>
      <x:c r="R166" s="10"/>
      <x:c r="S166" s="10"/>
      <x:c r="T166" s="10"/>
      <x:c r="U166" s="28"/>
      <x:c r="V166" s="7" t="n">
        <x:f>SUM(F166:T166)</x:f>
        <x:v>1455093</x:v>
      </x:c>
      <x:c r="W166" s="7" t="n">
        <x:f>SUM(F167:T167)</x:f>
        <x:v>76210</x:v>
      </x:c>
      <x:c r="X166" s="7" t="n">
        <x:f>SUM(F168:T168)</x:f>
        <x:v>51590</x:v>
      </x:c>
      <x:c r="Y166" s="7"/>
      <x:c r="Z166" s="7" t="n">
        <x:f>V166-B166</x:f>
        <x:v>-20090</x:v>
      </x:c>
      <x:c r="AA166" s="7" t="n">
        <x:f>W166-C166</x:f>
        <x:v>-7</x:v>
      </x:c>
      <x:c r="AB166" s="7" t="n">
        <x:f>X166-D166</x:f>
        <x:v>0</x:v>
      </x:c>
      <x:c r="AC166" s="53" t="n">
        <x:v>51.5</x:v>
      </x:c>
      <x:c r="AD166" s="53" t="n">
        <x:v>34.9</x:v>
      </x:c>
    </x:row>
    <x:row r="167" ht="14.399999618530273">
      <x:c r="A167" s="4" t="s">
        <x:v>177</x:v>
      </x:c>
      <x:c r="B167" s="11"/>
      <x:c r="C167" s="11"/>
      <x:c r="D167" s="11"/>
      <x:c r="E167" s="25"/>
      <x:c r="F167" s="13">
        <x:v>8567</x:v>
      </x:c>
      <x:c r="G167" s="13">
        <x:v>4053</x:v>
      </x:c>
      <x:c r="H167" s="13">
        <x:v>9455</x:v>
      </x:c>
      <x:c r="I167" s="13">
        <x:v>3854</x:v>
      </x:c>
      <x:c r="J167" s="13">
        <x:v>5821</x:v>
      </x:c>
      <x:c r="K167" s="13">
        <x:v>6561</x:v>
      </x:c>
      <x:c r="L167" s="13">
        <x:v>9366</x:v>
      </x:c>
      <x:c r="M167" s="13">
        <x:v>3797</x:v>
      </x:c>
      <x:c r="N167" s="13">
        <x:v>5692</x:v>
      </x:c>
      <x:c r="O167" s="13">
        <x:v>8248</x:v>
      </x:c>
      <x:c r="P167" s="13">
        <x:v>4934</x:v>
      </x:c>
      <x:c r="Q167" s="13">
        <x:v>5862</x:v>
      </x:c>
      <x:c r="R167" s="12"/>
      <x:c r="S167" s="12"/>
      <x:c r="T167" s="12"/>
      <x:c r="U167" s="28"/>
      <x:c r="V167" s="6"/>
      <x:c r="W167" s="6"/>
      <x:c r="X167" s="6"/>
      <x:c r="Y167" s="6"/>
      <x:c r="Z167" s="6"/>
      <x:c r="AA167" s="6"/>
      <x:c r="AB167" s="6"/>
      <x:c r="AC167" s="53"/>
      <x:c r="AD167" s="53"/>
    </x:row>
    <x:row r="168" ht="14.399999618530273">
      <x:c r="A168" s="4" t="s">
        <x:v>178</x:v>
      </x:c>
      <x:c r="B168" s="11"/>
      <x:c r="C168" s="11"/>
      <x:c r="D168" s="11"/>
      <x:c r="E168" s="25"/>
      <x:c r="F168" s="13">
        <x:v>7024</x:v>
      </x:c>
      <x:c r="G168" s="13">
        <x:v>2722</x:v>
      </x:c>
      <x:c r="H168" s="13">
        <x:v>5752</x:v>
      </x:c>
      <x:c r="I168" s="13">
        <x:v>2329</x:v>
      </x:c>
      <x:c r="J168" s="13">
        <x:v>3462</x:v>
      </x:c>
      <x:c r="K168" s="13">
        <x:v>4399</x:v>
      </x:c>
      <x:c r="L168" s="13">
        <x:v>7197</x:v>
      </x:c>
      <x:c r="M168" s="13">
        <x:v>2781</x:v>
      </x:c>
      <x:c r="N168" s="13">
        <x:v>3711</x:v>
      </x:c>
      <x:c r="O168" s="13">
        <x:v>5282</x:v>
      </x:c>
      <x:c r="P168" s="13">
        <x:v>3112</x:v>
      </x:c>
      <x:c r="Q168" s="13">
        <x:v>3819</x:v>
      </x:c>
      <x:c r="R168" s="12"/>
      <x:c r="S168" s="12"/>
      <x:c r="T168" s="12"/>
      <x:c r="U168" s="28"/>
      <x:c r="V168" s="6"/>
      <x:c r="W168" s="6"/>
      <x:c r="X168" s="6"/>
      <x:c r="Y168" s="6"/>
      <x:c r="Z168" s="6"/>
      <x:c r="AA168" s="6"/>
      <x:c r="AB168" s="6"/>
      <x:c r="AC168" s="53"/>
      <x:c r="AD168" s="53"/>
    </x:row>
    <x:row r="169" ht="14.399999618530273">
      <x:c r="A169" s="3" t="s">
        <x:v>179</x:v>
      </x:c>
      <x:c r="B169" s="8">
        <x:v>1980301</x:v>
      </x:c>
      <x:c r="C169" s="8">
        <x:v>96188</x:v>
      </x:c>
      <x:c r="D169" s="8">
        <x:v>63512</x:v>
      </x:c>
      <x:c r="E169" s="24"/>
      <x:c r="F169" s="9">
        <x:v>317863</x:v>
      </x:c>
      <x:c r="G169" s="9">
        <x:v>379316</x:v>
      </x:c>
      <x:c r="H169" s="9">
        <x:v>445665</x:v>
      </x:c>
      <x:c r="I169" s="9">
        <x:v>167436</x:v>
      </x:c>
      <x:c r="J169" s="9">
        <x:v>363922</x:v>
      </x:c>
      <x:c r="K169" s="9">
        <x:v>306099</x:v>
      </x:c>
      <x:c r="L169" s="10"/>
      <x:c r="M169" s="10"/>
      <x:c r="N169" s="10"/>
      <x:c r="O169" s="10"/>
      <x:c r="P169" s="10"/>
      <x:c r="Q169" s="10"/>
      <x:c r="R169" s="10"/>
      <x:c r="S169" s="10"/>
      <x:c r="T169" s="10"/>
      <x:c r="U169" s="28"/>
      <x:c r="V169" s="7" t="n">
        <x:f>SUM(F169:T169)</x:f>
        <x:v>1980301</x:v>
      </x:c>
      <x:c r="W169" s="7" t="n">
        <x:f>SUM(F170:T170)</x:f>
        <x:v>96188</x:v>
      </x:c>
      <x:c r="X169" s="7" t="n">
        <x:f>SUM(F171:T171)</x:f>
        <x:v>63512</x:v>
      </x:c>
      <x:c r="Y169" s="7"/>
      <x:c r="Z169" s="7" t="n">
        <x:f>V169-B169</x:f>
        <x:v>0</x:v>
      </x:c>
      <x:c r="AA169" s="7" t="n">
        <x:f>W169-C169</x:f>
        <x:v>0</x:v>
      </x:c>
      <x:c r="AB169" s="7" t="n">
        <x:f>X169-D169</x:f>
        <x:v>0</x:v>
      </x:c>
      <x:c r="AC169" s="53" t="n">
        <x:v>48.5</x:v>
      </x:c>
      <x:c r="AD169" s="53" t="n">
        <x:v>32</x:v>
      </x:c>
    </x:row>
    <x:row r="170" ht="14.399999618530273">
      <x:c r="A170" s="4" t="s">
        <x:v>180</x:v>
      </x:c>
      <x:c r="B170" s="11"/>
      <x:c r="C170" s="11"/>
      <x:c r="D170" s="11"/>
      <x:c r="E170" s="25"/>
      <x:c r="F170" s="13">
        <x:v>16189</x:v>
      </x:c>
      <x:c r="G170" s="13">
        <x:v>17055</x:v>
      </x:c>
      <x:c r="H170" s="13">
        <x:v>22472</x:v>
      </x:c>
      <x:c r="I170" s="13">
        <x:v>9125</x:v>
      </x:c>
      <x:c r="J170" s="13">
        <x:v>17483</x:v>
      </x:c>
      <x:c r="K170" s="13">
        <x:v>13864</x:v>
      </x:c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28"/>
      <x:c r="V170" s="6"/>
      <x:c r="W170" s="6"/>
      <x:c r="X170" s="6"/>
      <x:c r="Y170" s="6"/>
      <x:c r="Z170" s="6"/>
      <x:c r="AA170" s="6"/>
      <x:c r="AB170" s="6"/>
      <x:c r="AC170" s="53"/>
      <x:c r="AD170" s="53"/>
    </x:row>
    <x:row r="171" ht="14.399999618530273">
      <x:c r="A171" s="4" t="s">
        <x:v>181</x:v>
      </x:c>
      <x:c r="B171" s="11"/>
      <x:c r="C171" s="11"/>
      <x:c r="D171" s="11"/>
      <x:c r="E171" s="25"/>
      <x:c r="F171" s="13">
        <x:v>12320</x:v>
      </x:c>
      <x:c r="G171" s="13">
        <x:v>10434</x:v>
      </x:c>
      <x:c r="H171" s="13">
        <x:v>15045</x:v>
      </x:c>
      <x:c r="I171" s="13">
        <x:v>6293</x:v>
      </x:c>
      <x:c r="J171" s="13">
        <x:v>11127</x:v>
      </x:c>
      <x:c r="K171" s="13">
        <x:v>8293</x:v>
      </x:c>
      <x:c r="L171" s="12"/>
      <x:c r="M171" s="12"/>
      <x:c r="N171" s="12"/>
      <x:c r="O171" s="12"/>
      <x:c r="P171" s="12"/>
      <x:c r="Q171" s="12"/>
      <x:c r="R171" s="12"/>
      <x:c r="S171" s="12"/>
      <x:c r="T171" s="12"/>
      <x:c r="U171" s="28"/>
      <x:c r="V171" s="6"/>
      <x:c r="W171" s="6"/>
      <x:c r="X171" s="6"/>
      <x:c r="Y171" s="6"/>
      <x:c r="Z171" s="6"/>
      <x:c r="AA171" s="6"/>
      <x:c r="AB171" s="6"/>
      <x:c r="AC171" s="53"/>
      <x:c r="AD171" s="53"/>
    </x:row>
    <x:row r="172" ht="14.399999618530273">
      <x:c r="A172" s="3" t="s">
        <x:v>182</x:v>
      </x:c>
      <x:c r="B172" s="8">
        <x:v>2366587</x:v>
      </x:c>
      <x:c r="C172" s="8">
        <x:v>123618</x:v>
      </x:c>
      <x:c r="D172" s="8">
        <x:v>76772</x:v>
      </x:c>
      <x:c r="E172" s="24"/>
      <x:c r="F172" s="9">
        <x:v>251501</x:v>
      </x:c>
      <x:c r="G172" s="9">
        <x:v>134217</x:v>
      </x:c>
      <x:c r="H172" s="9">
        <x:v>149056</x:v>
      </x:c>
      <x:c r="I172" s="9">
        <x:v>124143</x:v>
      </x:c>
      <x:c r="J172" s="9">
        <x:v>160519</x:v>
      </x:c>
      <x:c r="K172" s="9">
        <x:v>219533</x:v>
      </x:c>
      <x:c r="L172" s="9">
        <x:v>277134</x:v>
      </x:c>
      <x:c r="M172" s="9">
        <x:v>220492</x:v>
      </x:c>
      <x:c r="N172" s="9">
        <x:v>156995</x:v>
      </x:c>
      <x:c r="O172" s="9">
        <x:v>368722</x:v>
      </x:c>
      <x:c r="P172" s="9">
        <x:v>204275</x:v>
      </x:c>
      <x:c r="Q172" s="10"/>
      <x:c r="R172" s="10"/>
      <x:c r="S172" s="10"/>
      <x:c r="T172" s="10"/>
      <x:c r="U172" s="28"/>
      <x:c r="V172" s="7" t="n">
        <x:f>SUM(F172:T172)</x:f>
        <x:v>2266587</x:v>
      </x:c>
      <x:c r="W172" s="7" t="n">
        <x:f>SUM(F173:T173)</x:f>
        <x:v>123618</x:v>
      </x:c>
      <x:c r="X172" s="7" t="n">
        <x:f>SUM(F174:T174)</x:f>
        <x:v>75772</x:v>
      </x:c>
      <x:c r="Y172" s="7"/>
      <x:c r="Z172" s="7" t="n">
        <x:f>V172-B172</x:f>
        <x:v>-100000</x:v>
      </x:c>
      <x:c r="AA172" s="7" t="n">
        <x:f>W172-C172</x:f>
        <x:v>0</x:v>
      </x:c>
      <x:c r="AB172" s="7" t="n">
        <x:f>X172-D172</x:f>
        <x:v>-1000</x:v>
      </x:c>
      <x:c r="AC172" s="53" t="n">
        <x:v>56.4</x:v>
      </x:c>
      <x:c r="AD172" s="53" t="n">
        <x:v>32.4</x:v>
      </x:c>
    </x:row>
    <x:row r="173" ht="14.399999618530273">
      <x:c r="A173" s="4" t="s">
        <x:v>183</x:v>
      </x:c>
      <x:c r="B173" s="11"/>
      <x:c r="C173" s="11"/>
      <x:c r="D173" s="11"/>
      <x:c r="E173" s="25"/>
      <x:c r="F173" s="13">
        <x:v>14087</x:v>
      </x:c>
      <x:c r="G173" s="13">
        <x:v>7708</x:v>
      </x:c>
      <x:c r="H173" s="13">
        <x:v>8272</x:v>
      </x:c>
      <x:c r="I173" s="13">
        <x:v>6757</x:v>
      </x:c>
      <x:c r="J173" s="13">
        <x:v>8271</x:v>
      </x:c>
      <x:c r="K173" s="13">
        <x:v>11415</x:v>
      </x:c>
      <x:c r="L173" s="13">
        <x:v>15115</x:v>
      </x:c>
      <x:c r="M173" s="13">
        <x:v>11470</x:v>
      </x:c>
      <x:c r="N173" s="13">
        <x:v>8527</x:v>
      </x:c>
      <x:c r="O173" s="13">
        <x:v>21234</x:v>
      </x:c>
      <x:c r="P173" s="13">
        <x:v>10762</x:v>
      </x:c>
      <x:c r="Q173" s="12"/>
      <x:c r="R173" s="12"/>
      <x:c r="S173" s="12"/>
      <x:c r="T173" s="12"/>
      <x:c r="U173" s="28"/>
      <x:c r="V173" s="6"/>
      <x:c r="W173" s="6"/>
      <x:c r="X173" s="6"/>
      <x:c r="Y173" s="6"/>
      <x:c r="Z173" s="6"/>
      <x:c r="AA173" s="6"/>
      <x:c r="AB173" s="6"/>
      <x:c r="AC173" s="53"/>
      <x:c r="AD173" s="53"/>
    </x:row>
    <x:row r="174" ht="14.399999618530273">
      <x:c r="A174" s="4" t="s">
        <x:v>184</x:v>
      </x:c>
      <x:c r="B174" s="11"/>
      <x:c r="C174" s="11"/>
      <x:c r="D174" s="11"/>
      <x:c r="E174" s="25"/>
      <x:c r="F174" s="13">
        <x:v>8544</x:v>
      </x:c>
      <x:c r="G174" s="13">
        <x:v>4386</x:v>
      </x:c>
      <x:c r="H174" s="13">
        <x:v>4547</x:v>
      </x:c>
      <x:c r="I174" s="13">
        <x:v>3694</x:v>
      </x:c>
      <x:c r="J174" s="13">
        <x:v>6062</x:v>
      </x:c>
      <x:c r="K174" s="13">
        <x:v>6873</x:v>
      </x:c>
      <x:c r="L174" s="13">
        <x:v>7021</x:v>
      </x:c>
      <x:c r="M174" s="13">
        <x:v>8547</x:v>
      </x:c>
      <x:c r="N174" s="13">
        <x:v>5177</x:v>
      </x:c>
      <x:c r="O174" s="13">
        <x:v>14852</x:v>
      </x:c>
      <x:c r="P174" s="13">
        <x:v>6069</x:v>
      </x:c>
      <x:c r="Q174" s="12"/>
      <x:c r="R174" s="12"/>
      <x:c r="S174" s="12"/>
      <x:c r="T174" s="12"/>
      <x:c r="U174" s="28"/>
      <x:c r="V174" s="6"/>
      <x:c r="W174" s="6"/>
      <x:c r="X174" s="6"/>
      <x:c r="Y174" s="6"/>
      <x:c r="Z174" s="6"/>
      <x:c r="AA174" s="6"/>
      <x:c r="AB174" s="6"/>
      <x:c r="AC174" s="53"/>
      <x:c r="AD174" s="53"/>
    </x:row>
    <x:row r="175" ht="14.399999618530273">
      <x:c r="A175" s="3" t="s">
        <x:v>185</x:v>
      </x:c>
      <x:c r="B175" s="8">
        <x:v>1792163</x:v>
      </x:c>
      <x:c r="C175" s="8">
        <x:v>101170</x:v>
      </x:c>
      <x:c r="D175" s="8">
        <x:v>57900</x:v>
      </x:c>
      <x:c r="E175" s="24"/>
      <x:c r="F175" s="9">
        <x:v>370456</x:v>
      </x:c>
      <x:c r="G175" s="9">
        <x:v>334368</x:v>
      </x:c>
      <x:c r="H175" s="9">
        <x:v>196721</x:v>
      </x:c>
      <x:c r="I175" s="9">
        <x:v>482095</x:v>
      </x:c>
      <x:c r="J175" s="9">
        <x:v>175392</x:v>
      </x:c>
      <x:c r="K175" s="9">
        <x:v>204342</x:v>
      </x:c>
      <x:c r="L175" s="10"/>
      <x:c r="M175" s="10"/>
      <x:c r="N175" s="10"/>
      <x:c r="O175" s="10"/>
      <x:c r="P175" s="10"/>
      <x:c r="Q175" s="10"/>
      <x:c r="R175" s="10"/>
      <x:c r="S175" s="10"/>
      <x:c r="T175" s="10"/>
      <x:c r="U175" s="28"/>
      <x:c r="V175" s="7" t="n">
        <x:f>SUM(F175:T175)</x:f>
        <x:v>1763374</x:v>
      </x:c>
      <x:c r="W175" s="7" t="n">
        <x:f>SUM(F176:T176)</x:f>
        <x:v>101170</x:v>
      </x:c>
      <x:c r="X175" s="7" t="n">
        <x:f>SUM(F177:T177)</x:f>
        <x:v>57900</x:v>
      </x:c>
      <x:c r="Y175" s="7"/>
      <x:c r="Z175" s="7" t="n">
        <x:f>V175-B175</x:f>
        <x:v>-28789</x:v>
      </x:c>
      <x:c r="AA175" s="7" t="n">
        <x:f>W175-C175</x:f>
        <x:v>0</x:v>
      </x:c>
      <x:c r="AB175" s="7" t="n">
        <x:f>X175-D175</x:f>
        <x:v>0</x:v>
      </x:c>
      <x:c r="AC175" s="53" t="n">
        <x:v>56.4</x:v>
      </x:c>
      <x:c r="AD175" s="53" t="n">
        <x:v>32.3</x:v>
      </x:c>
    </x:row>
    <x:row r="176" ht="14.399999618530273">
      <x:c r="A176" s="4" t="s">
        <x:v>186</x:v>
      </x:c>
      <x:c r="B176" s="11"/>
      <x:c r="C176" s="11"/>
      <x:c r="D176" s="11"/>
      <x:c r="E176" s="25"/>
      <x:c r="F176" s="13">
        <x:v>21513</x:v>
      </x:c>
      <x:c r="G176" s="13">
        <x:v>19843</x:v>
      </x:c>
      <x:c r="H176" s="13">
        <x:v>11746</x:v>
      </x:c>
      <x:c r="I176" s="13">
        <x:v>26854</x:v>
      </x:c>
      <x:c r="J176" s="13">
        <x:v>11128</x:v>
      </x:c>
      <x:c r="K176" s="13">
        <x:v>10086</x:v>
      </x:c>
      <x:c r="L176" s="12"/>
      <x:c r="M176" s="12"/>
      <x:c r="N176" s="12"/>
      <x:c r="O176" s="12"/>
      <x:c r="P176" s="12"/>
      <x:c r="Q176" s="12"/>
      <x:c r="R176" s="12"/>
      <x:c r="S176" s="12"/>
      <x:c r="T176" s="12"/>
      <x:c r="U176" s="28"/>
      <x:c r="V176" s="6"/>
      <x:c r="W176" s="6"/>
      <x:c r="X176" s="6"/>
      <x:c r="Y176" s="6"/>
      <x:c r="Z176" s="6"/>
      <x:c r="AA176" s="6"/>
      <x:c r="AB176" s="6"/>
      <x:c r="AC176" s="53"/>
      <x:c r="AD176" s="53"/>
    </x:row>
    <x:row r="177" ht="14.399999618530273">
      <x:c r="A177" s="4" t="s">
        <x:v>187</x:v>
      </x:c>
      <x:c r="B177" s="11"/>
      <x:c r="C177" s="11"/>
      <x:c r="D177" s="11"/>
      <x:c r="E177" s="25"/>
      <x:c r="F177" s="13">
        <x:v>12273</x:v>
      </x:c>
      <x:c r="G177" s="13">
        <x:v>12510</x:v>
      </x:c>
      <x:c r="H177" s="13">
        <x:v>6580</x:v>
      </x:c>
      <x:c r="I177" s="13">
        <x:v>15484</x:v>
      </x:c>
      <x:c r="J177" s="13">
        <x:v>5158</x:v>
      </x:c>
      <x:c r="K177" s="13">
        <x:v>5895</x:v>
      </x:c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28"/>
      <x:c r="V177" s="6"/>
      <x:c r="W177" s="6"/>
      <x:c r="X177" s="6"/>
      <x:c r="Y177" s="6"/>
      <x:c r="Z177" s="6"/>
      <x:c r="AA177" s="6"/>
      <x:c r="AB177" s="6"/>
      <x:c r="AC177" s="53"/>
      <x:c r="AD177" s="53"/>
    </x:row>
    <x:row r="178" ht="14.399999618530273">
      <x:c r="A178" s="3" t="s">
        <x:v>188</x:v>
      </x:c>
      <x:c r="B178" s="8">
        <x:v>73694</x:v>
      </x:c>
      <x:c r="C178" s="8">
        <x:v>3178</x:v>
      </x:c>
      <x:c r="D178" s="8">
        <x:v>2473</x:v>
      </x:c>
      <x:c r="E178" s="24"/>
      <x:c r="F178" s="10"/>
      <x:c r="G178" s="10"/>
      <x:c r="H178" s="10"/>
      <x:c r="I178" s="10"/>
      <x:c r="J178" s="10"/>
      <x:c r="K178" s="10"/>
      <x:c r="L178" s="10"/>
      <x:c r="M178" s="10"/>
      <x:c r="N178" s="10"/>
      <x:c r="O178" s="10"/>
      <x:c r="P178" s="10"/>
      <x:c r="Q178" s="10"/>
      <x:c r="R178" s="10"/>
      <x:c r="S178" s="10"/>
      <x:c r="T178" s="10"/>
      <x:c r="U178" s="28"/>
      <x:c r="V178" s="7"/>
      <x:c r="W178" s="7"/>
      <x:c r="X178" s="7"/>
      <x:c r="Y178" s="7"/>
      <x:c r="Z178" s="7"/>
      <x:c r="AA178" s="7"/>
      <x:c r="AB178" s="7"/>
      <x:c r="AC178" s="53" t="n">
        <x:v>39</x:v>
      </x:c>
      <x:c r="AD178" s="53" t="n">
        <x:v>33.8</x:v>
      </x:c>
    </x:row>
    <x:row r="179" ht="14.399999618530273">
      <x:c r="A179" s="3" t="s">
        <x:v>189</x:v>
      </x:c>
      <x:c r="B179" s="8">
        <x:v>274209</x:v>
      </x:c>
      <x:c r="C179" s="8">
        <x:v>10500</x:v>
      </x:c>
      <x:c r="D179" s="8">
        <x:v>7459</x:v>
      </x:c>
      <x:c r="E179" s="24"/>
      <x:c r="F179" s="10"/>
      <x:c r="G179" s="10"/>
      <x:c r="H179" s="10"/>
      <x:c r="I179" s="10"/>
      <x:c r="J179" s="10"/>
      <x:c r="K179" s="10"/>
      <x:c r="L179" s="10"/>
      <x:c r="M179" s="10"/>
      <x:c r="N179" s="10"/>
      <x:c r="O179" s="10"/>
      <x:c r="P179" s="10"/>
      <x:c r="Q179" s="10"/>
      <x:c r="R179" s="10"/>
      <x:c r="S179" s="10"/>
      <x:c r="T179" s="10"/>
      <x:c r="U179" s="28"/>
      <x:c r="V179" s="7"/>
      <x:c r="W179" s="7"/>
      <x:c r="X179" s="7"/>
      <x:c r="Y179" s="7"/>
      <x:c r="Z179" s="7"/>
      <x:c r="AA179" s="7"/>
      <x:c r="AB179" s="7"/>
      <x:c r="AC179" s="53" t="n">
        <x:v>43.5</x:v>
      </x:c>
      <x:c r="AD179" s="53" t="n">
        <x:v>27</x:v>
      </x:c>
    </x:row>
    <x:row r="180" ht="14.399999618530273">
      <x:c r="A180" s="3" t="s">
        <x:v>190</x:v>
      </x:c>
      <x:c r="B180" s="8">
        <x:v>2174352</x:v>
      </x:c>
      <x:c r="C180" s="8">
        <x:v>109530</x:v>
      </x:c>
      <x:c r="D180" s="8">
        <x:v>64974</x:v>
      </x:c>
      <x:c r="E180" s="24"/>
      <x:c r="F180" s="9">
        <x:v>153540</x:v>
      </x:c>
      <x:c r="G180" s="9">
        <x:v>138621</x:v>
      </x:c>
      <x:c r="H180" s="9">
        <x:v>130573</x:v>
      </x:c>
      <x:c r="I180" s="9">
        <x:v>131894</x:v>
      </x:c>
      <x:c r="J180" s="9">
        <x:v>126794</x:v>
      </x:c>
      <x:c r="K180" s="9">
        <x:v>146491</x:v>
      </x:c>
      <x:c r="L180" s="9">
        <x:v>123973</x:v>
      </x:c>
      <x:c r="M180" s="9">
        <x:v>131649</x:v>
      </x:c>
      <x:c r="N180" s="9">
        <x:v>130653</x:v>
      </x:c>
      <x:c r="O180" s="9">
        <x:v>171401</x:v>
      </x:c>
      <x:c r="P180" s="9">
        <x:v>166288</x:v>
      </x:c>
      <x:c r="Q180" s="9">
        <x:v>131603</x:v>
      </x:c>
      <x:c r="R180" s="9">
        <x:v>168629</x:v>
      </x:c>
      <x:c r="S180" s="9">
        <x:v>149032</x:v>
      </x:c>
      <x:c r="T180" s="9">
        <x:v>173211</x:v>
      </x:c>
      <x:c r="U180" s="28"/>
      <x:c r="V180" s="7" t="n">
        <x:f>SUM(F180:T180)</x:f>
        <x:v>2174352</x:v>
      </x:c>
      <x:c r="W180" s="7" t="n">
        <x:f>SUM(F181:T181)</x:f>
        <x:v>109530</x:v>
      </x:c>
      <x:c r="X180" s="7" t="n">
        <x:f>SUM(F182:T182)</x:f>
        <x:v>64974</x:v>
      </x:c>
      <x:c r="Y180" s="7"/>
      <x:c r="Z180" s="7" t="n">
        <x:f>V180-B180</x:f>
        <x:v>0</x:v>
      </x:c>
      <x:c r="AA180" s="7" t="n">
        <x:f>W180-C180</x:f>
        <x:v>0</x:v>
      </x:c>
      <x:c r="AB180" s="7" t="n">
        <x:f>X180-D180</x:f>
        <x:v>0</x:v>
      </x:c>
      <x:c r="AC180" s="53" t="n">
        <x:v>50.2</x:v>
      </x:c>
      <x:c r="AD180" s="53" t="n">
        <x:v>29.8</x:v>
      </x:c>
    </x:row>
    <x:row r="181" ht="14.399999618530273">
      <x:c r="A181" s="4" t="s">
        <x:v>191</x:v>
      </x:c>
      <x:c r="B181" s="11"/>
      <x:c r="C181" s="11"/>
      <x:c r="D181" s="11"/>
      <x:c r="E181" s="25"/>
      <x:c r="F181" s="13">
        <x:v>7168</x:v>
      </x:c>
      <x:c r="G181" s="13">
        <x:v>7771</x:v>
      </x:c>
      <x:c r="H181" s="13">
        <x:v>6079</x:v>
      </x:c>
      <x:c r="I181" s="13">
        <x:v>6996</x:v>
      </x:c>
      <x:c r="J181" s="13">
        <x:v>7115</x:v>
      </x:c>
      <x:c r="K181" s="13">
        <x:v>6944</x:v>
      </x:c>
      <x:c r="L181" s="13">
        <x:v>5685</x:v>
      </x:c>
      <x:c r="M181" s="13">
        <x:v>6469</x:v>
      </x:c>
      <x:c r="N181" s="13">
        <x:v>7075</x:v>
      </x:c>
      <x:c r="O181" s="13">
        <x:v>8584</x:v>
      </x:c>
      <x:c r="P181" s="13">
        <x:v>8221</x:v>
      </x:c>
      <x:c r="Q181" s="13">
        <x:v>7618</x:v>
      </x:c>
      <x:c r="R181" s="13">
        <x:v>6862</x:v>
      </x:c>
      <x:c r="S181" s="13">
        <x:v>7309</x:v>
      </x:c>
      <x:c r="T181" s="13">
        <x:v>9634</x:v>
      </x:c>
      <x:c r="U181" s="28"/>
      <x:c r="V181" s="6"/>
      <x:c r="W181" s="6"/>
      <x:c r="X181" s="6"/>
      <x:c r="Y181" s="6"/>
      <x:c r="Z181" s="6"/>
      <x:c r="AA181" s="6"/>
      <x:c r="AB181" s="6"/>
      <x:c r="AC181" s="53"/>
      <x:c r="AD181" s="53"/>
    </x:row>
    <x:row r="182" ht="14.399999618530273">
      <x:c r="A182" s="4" t="s">
        <x:v>192</x:v>
      </x:c>
      <x:c r="B182" s="11"/>
      <x:c r="C182" s="11"/>
      <x:c r="D182" s="11"/>
      <x:c r="E182" s="25"/>
      <x:c r="F182" s="13">
        <x:v>5056</x:v>
      </x:c>
      <x:c r="G182" s="13">
        <x:v>5016</x:v>
      </x:c>
      <x:c r="H182" s="13">
        <x:v>4158</x:v>
      </x:c>
      <x:c r="I182" s="13">
        <x:v>4661</x:v>
      </x:c>
      <x:c r="J182" s="13">
        <x:v>3944</x:v>
      </x:c>
      <x:c r="K182" s="13">
        <x:v>4258</x:v>
      </x:c>
      <x:c r="L182" s="13">
        <x:v>3096</x:v>
      </x:c>
      <x:c r="M182" s="13">
        <x:v>3037</x:v>
      </x:c>
      <x:c r="N182" s="13">
        <x:v>4028</x:v>
      </x:c>
      <x:c r="O182" s="13">
        <x:v>5583</x:v>
      </x:c>
      <x:c r="P182" s="13">
        <x:v>5280</x:v>
      </x:c>
      <x:c r="Q182" s="13">
        <x:v>4759</x:v>
      </x:c>
      <x:c r="R182" s="13">
        <x:v>3732</x:v>
      </x:c>
      <x:c r="S182" s="13">
        <x:v>4231</x:v>
      </x:c>
      <x:c r="T182" s="13">
        <x:v>4135</x:v>
      </x:c>
      <x:c r="U182" s="28"/>
      <x:c r="V182" s="6"/>
      <x:c r="W182" s="6"/>
      <x:c r="X182" s="6"/>
      <x:c r="Y182" s="6"/>
      <x:c r="Z182" s="6"/>
      <x:c r="AA182" s="6"/>
      <x:c r="AB182" s="6"/>
      <x:c r="AC182" s="53"/>
      <x:c r="AD182" s="53"/>
    </x:row>
    <x:row r="183" ht="14.399999618530273">
      <x:c r="A183" s="3" t="s">
        <x:v>193</x:v>
      </x:c>
      <x:c r="B183" s="8">
        <x:v>1149452</x:v>
      </x:c>
      <x:c r="C183" s="8">
        <x:v>46434</x:v>
      </x:c>
      <x:c r="D183" s="8">
        <x:v>31671</x:v>
      </x:c>
      <x:c r="E183" s="24"/>
      <x:c r="F183" s="9">
        <x:v>195000</x:v>
      </x:c>
      <x:c r="G183" s="9">
        <x:v>76161</x:v>
      </x:c>
      <x:c r="H183" s="9">
        <x:v>72974</x:v>
      </x:c>
      <x:c r="I183" s="9">
        <x:v>120425</x:v>
      </x:c>
      <x:c r="J183" s="9">
        <x:v>87305</x:v>
      </x:c>
      <x:c r="K183" s="9">
        <x:v>113420</x:v>
      </x:c>
      <x:c r="L183" s="9">
        <x:v>78228</x:v>
      </x:c>
      <x:c r="M183" s="9">
        <x:v>166725</x:v>
      </x:c>
      <x:c r="N183" s="9">
        <x:v>126335</x:v>
      </x:c>
      <x:c r="O183" s="9">
        <x:v>112889</x:v>
      </x:c>
      <x:c r="P183" s="10"/>
      <x:c r="Q183" s="10"/>
      <x:c r="R183" s="10"/>
      <x:c r="S183" s="10"/>
      <x:c r="T183" s="10"/>
      <x:c r="U183" s="28"/>
      <x:c r="V183" s="7" t="n">
        <x:f>SUM(F183:T183)</x:f>
        <x:v>1149462</x:v>
      </x:c>
      <x:c r="W183" s="7" t="n">
        <x:f>SUM(F184:T184)</x:f>
        <x:v>46451</x:v>
      </x:c>
      <x:c r="X183" s="7" t="n">
        <x:f>SUM(F185:T185)</x:f>
        <x:v>31671</x:v>
      </x:c>
      <x:c r="Y183" s="7"/>
      <x:c r="Z183" s="7" t="n">
        <x:f>V183-B183</x:f>
        <x:v>10</x:v>
      </x:c>
      <x:c r="AA183" s="7" t="n">
        <x:f>W183-C183</x:f>
        <x:v>17</x:v>
      </x:c>
      <x:c r="AB183" s="7" t="n">
        <x:f>X183-D183</x:f>
        <x:v>0</x:v>
      </x:c>
      <x:c r="AC183" s="53" t="n">
        <x:v>40.5</x:v>
      </x:c>
      <x:c r="AD183" s="53" t="n">
        <x:v>27.5</x:v>
      </x:c>
    </x:row>
    <x:row r="184" ht="14.399999618530273">
      <x:c r="A184" s="4" t="s">
        <x:v>194</x:v>
      </x:c>
      <x:c r="B184" s="11"/>
      <x:c r="C184" s="11"/>
      <x:c r="D184" s="11"/>
      <x:c r="E184" s="25"/>
      <x:c r="F184" s="13">
        <x:v>8688</x:v>
      </x:c>
      <x:c r="G184" s="13">
        <x:v>2740</x:v>
      </x:c>
      <x:c r="H184" s="13">
        <x:v>2475</x:v>
      </x:c>
      <x:c r="I184" s="13">
        <x:v>5835</x:v>
      </x:c>
      <x:c r="J184" s="13">
        <x:v>4326</x:v>
      </x:c>
      <x:c r="K184" s="13">
        <x:v>4478</x:v>
      </x:c>
      <x:c r="L184" s="13">
        <x:v>3188</x:v>
      </x:c>
      <x:c r="M184" s="13">
        <x:v>7070</x:v>
      </x:c>
      <x:c r="N184" s="13">
        <x:v>3643</x:v>
      </x:c>
      <x:c r="O184" s="13">
        <x:v>4008</x:v>
      </x:c>
      <x:c r="P184" s="12"/>
      <x:c r="Q184" s="12"/>
      <x:c r="R184" s="12"/>
      <x:c r="S184" s="12"/>
      <x:c r="T184" s="12"/>
      <x:c r="U184" s="28"/>
      <x:c r="V184" s="6"/>
      <x:c r="W184" s="6"/>
      <x:c r="X184" s="6"/>
      <x:c r="Y184" s="6"/>
      <x:c r="Z184" s="6"/>
      <x:c r="AA184" s="6"/>
      <x:c r="AB184" s="6"/>
      <x:c r="AC184" s="53"/>
      <x:c r="AD184" s="53"/>
    </x:row>
    <x:row r="185" ht="14.399999618530273">
      <x:c r="A185" s="4" t="s">
        <x:v>195</x:v>
      </x:c>
      <x:c r="B185" s="11"/>
      <x:c r="C185" s="11"/>
      <x:c r="D185" s="11"/>
      <x:c r="E185" s="25"/>
      <x:c r="F185" s="13">
        <x:v>6206</x:v>
      </x:c>
      <x:c r="G185" s="13">
        <x:v>2047</x:v>
      </x:c>
      <x:c r="H185" s="13">
        <x:v>1878</x:v>
      </x:c>
      <x:c r="I185" s="13">
        <x:v>3420</x:v>
      </x:c>
      <x:c r="J185" s="13">
        <x:v>2595</x:v>
      </x:c>
      <x:c r="K185" s="13">
        <x:v>3067</x:v>
      </x:c>
      <x:c r="L185" s="13">
        <x:v>2435</x:v>
      </x:c>
      <x:c r="M185" s="13">
        <x:v>4732</x:v>
      </x:c>
      <x:c r="N185" s="13">
        <x:v>2641</x:v>
      </x:c>
      <x:c r="O185" s="13">
        <x:v>2650</x:v>
      </x:c>
      <x:c r="P185" s="12"/>
      <x:c r="Q185" s="12"/>
      <x:c r="R185" s="12"/>
      <x:c r="S185" s="12"/>
      <x:c r="T185" s="12"/>
      <x:c r="U185" s="28"/>
      <x:c r="V185" s="6"/>
      <x:c r="W185" s="6"/>
      <x:c r="X185" s="6"/>
      <x:c r="Y185" s="6"/>
      <x:c r="Z185" s="6"/>
      <x:c r="AA185" s="6"/>
      <x:c r="AB185" s="6"/>
      <x:c r="AC185" s="53"/>
      <x:c r="AD185" s="53"/>
    </x:row>
    <x:row r="186" ht="14.399999618530273">
      <x:c r="A186" s="19" t="s">
        <x:v>196</x:v>
      </x:c>
      <x:c r="B186" s="20">
        <x:v>62629449</x:v>
      </x:c>
      <x:c r="C186" s="20">
        <x:v>3175386</x:v>
      </x:c>
      <x:c r="D186" s="20">
        <x:v>2084554</x:v>
      </x:c>
      <x:c r="E186" s="24"/>
      <x:c r="F186" s="21"/>
      <x:c r="G186" s="21"/>
      <x:c r="H186" s="21"/>
      <x:c r="I186" s="21"/>
      <x:c r="J186" s="21"/>
      <x:c r="K186" s="21"/>
      <x:c r="L186" s="21"/>
      <x:c r="M186" s="21"/>
      <x:c r="N186" s="21"/>
      <x:c r="O186" s="21"/>
      <x:c r="P186" s="21"/>
      <x:c r="Q186" s="21"/>
      <x:c r="R186" s="21"/>
      <x:c r="S186" s="21"/>
      <x:c r="T186" s="21"/>
      <x:c r="U186" s="28"/>
      <x:c r="V186" s="22"/>
      <x:c r="W186" s="22"/>
      <x:c r="X186" s="22"/>
      <x:c r="Y186" s="22"/>
      <x:c r="Z186" s="22"/>
      <x:c r="AA186" s="22"/>
      <x:c r="AB186" s="22"/>
      <x:c r="AC186" s="53" t="n">
        <x:v>50.7</x:v>
      </x:c>
      <x:c r="AD186" s="53" t="n">
        <x:v>33.3</x:v>
      </x:c>
    </x:row>
    <x:row r="187" ht="14.399999618530273">
      <x:c r="A187" s="4" t="s">
        <x:v>197</x:v>
      </x:c>
      <x:c r="B187" s="16">
        <x:v>1962369</x:v>
      </x:c>
      <x:c r="C187" s="16">
        <x:v>147277</x:v>
      </x:c>
      <x:c r="D187" s="16">
        <x:v>67072</x:v>
      </x:c>
      <x:c r="E187" s="24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  <x:c r="U187" s="28"/>
      <x:c r="V187" s="6"/>
      <x:c r="W187" s="6"/>
      <x:c r="X187" s="6"/>
      <x:c r="Y187" s="6"/>
      <x:c r="Z187" s="6"/>
      <x:c r="AA187" s="6"/>
      <x:c r="AB187" s="6"/>
      <x:c r="AC187" s="53" t="n">
        <x:v>59.7</x:v>
      </x:c>
      <x:c r="AD187" s="53" t="n">
        <x:v>34.1</x:v>
      </x:c>
    </x:row>
    <x:row r="188" ht="14.399999618530273">
      <x:c r="A188" s="4" t="s">
        <x:v>198</x:v>
      </x:c>
      <x:c r="B188" s="16">
        <x:v>94289057</x:v>
      </x:c>
      <x:c r="C188" s="16">
        <x:v>4579693</x:v>
      </x:c>
      <x:c r="D188" s="16">
        <x:v>2960486</x:v>
      </x:c>
      <x:c r="E188" s="24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  <x:c r="U188" s="28"/>
      <x:c r="V188" s="6"/>
      <x:c r="W188" s="6"/>
      <x:c r="X188" s="6"/>
      <x:c r="Y188" s="6"/>
      <x:c r="Z188" s="6"/>
      <x:c r="AA188" s="6"/>
      <x:c r="AB188" s="6"/>
      <x:c r="AC188" s="53" t="n">
        <x:v>48.6</x:v>
      </x:c>
      <x:c r="AD188" s="53" t="n">
        <x:v>31.4</x:v>
      </x:c>
    </x:row>
    <x:row r="189" ht="14.399999618530273">
      <x:c r="A189" s="3" t="s">
        <x:v>199</x:v>
      </x:c>
      <x:c r="B189" s="8">
        <x:v>749089</x:v>
      </x:c>
      <x:c r="C189" s="8">
        <x:v>19110</x:v>
      </x:c>
      <x:c r="D189" s="8">
        <x:v>16636</x:v>
      </x:c>
      <x:c r="E189" s="24"/>
      <x:c r="F189" s="9">
        <x:v>132560</x:v>
      </x:c>
      <x:c r="G189" s="9">
        <x:v>98077</x:v>
      </x:c>
      <x:c r="H189" s="9">
        <x:v>96237</x:v>
      </x:c>
      <x:c r="I189" s="9">
        <x:v>198879</x:v>
      </x:c>
      <x:c r="J189" s="9">
        <x:v>130126</x:v>
      </x:c>
      <x:c r="K189" s="9">
        <x:v>148425</x:v>
      </x:c>
      <x:c r="L189" s="9">
        <x:v>14185</x:v>
      </x:c>
      <x:c r="M189" s="10"/>
      <x:c r="N189" s="10"/>
      <x:c r="O189" s="10"/>
      <x:c r="P189" s="10"/>
      <x:c r="Q189" s="10"/>
      <x:c r="R189" s="10"/>
      <x:c r="S189" s="10"/>
      <x:c r="T189" s="10"/>
      <x:c r="U189" s="28"/>
      <x:c r="V189" s="7" t="n">
        <x:f>SUM(F189:T189)</x:f>
        <x:v>818489</x:v>
      </x:c>
      <x:c r="W189" s="7" t="n">
        <x:f>SUM(F190:T190)</x:f>
        <x:v>19110</x:v>
      </x:c>
      <x:c r="X189" s="7" t="n">
        <x:f>SUM(F191:T191)</x:f>
        <x:v>16636</x:v>
      </x:c>
      <x:c r="Y189" s="7"/>
      <x:c r="Z189" s="7" t="n">
        <x:f>V189-B189</x:f>
        <x:v>69400</x:v>
      </x:c>
      <x:c r="AA189" s="7" t="n">
        <x:f>W189-C189</x:f>
        <x:v>0</x:v>
      </x:c>
      <x:c r="AB189" s="7" t="n">
        <x:f>X189-D189</x:f>
        <x:v>0</x:v>
      </x:c>
      <x:c r="AC189" s="53" t="n">
        <x:v>25.5</x:v>
      </x:c>
      <x:c r="AD189" s="53" t="n">
        <x:v>22.2</x:v>
      </x:c>
    </x:row>
    <x:row r="190" ht="14.399999618530273">
      <x:c r="A190" s="4" t="s">
        <x:v>200</x:v>
      </x:c>
      <x:c r="B190" s="11"/>
      <x:c r="C190" s="11"/>
      <x:c r="D190" s="11"/>
      <x:c r="E190" s="25"/>
      <x:c r="F190" s="13">
        <x:v>1843</x:v>
      </x:c>
      <x:c r="G190" s="13">
        <x:v>2810</x:v>
      </x:c>
      <x:c r="H190" s="13">
        <x:v>2835</x:v>
      </x:c>
      <x:c r="I190" s="13">
        <x:v>4496</x:v>
      </x:c>
      <x:c r="J190" s="13">
        <x:v>3716</x:v>
      </x:c>
      <x:c r="K190" s="13">
        <x:v>2933</x:v>
      </x:c>
      <x:c r="L190" s="13">
        <x:v>477</x:v>
      </x:c>
      <x:c r="M190" s="12"/>
      <x:c r="N190" s="12"/>
      <x:c r="O190" s="12"/>
      <x:c r="P190" s="12"/>
      <x:c r="Q190" s="12"/>
      <x:c r="R190" s="12"/>
      <x:c r="S190" s="12"/>
      <x:c r="T190" s="12"/>
      <x:c r="U190" s="28"/>
      <x:c r="V190" s="6"/>
      <x:c r="W190" s="6"/>
      <x:c r="X190" s="6"/>
      <x:c r="Y190" s="6"/>
      <x:c r="Z190" s="6"/>
      <x:c r="AA190" s="6"/>
      <x:c r="AB190" s="6"/>
      <x:c r="AC190" s="53"/>
      <x:c r="AD190" s="53"/>
    </x:row>
    <x:row r="191" ht="14.399999618530273">
      <x:c r="A191" s="4" t="s">
        <x:v>201</x:v>
      </x:c>
      <x:c r="B191" s="11"/>
      <x:c r="C191" s="11"/>
      <x:c r="D191" s="11"/>
      <x:c r="E191" s="25"/>
      <x:c r="F191" s="13">
        <x:v>1551</x:v>
      </x:c>
      <x:c r="G191" s="13">
        <x:v>2439</x:v>
      </x:c>
      <x:c r="H191" s="13">
        <x:v>2158</x:v>
      </x:c>
      <x:c r="I191" s="13">
        <x:v>4158</x:v>
      </x:c>
      <x:c r="J191" s="13">
        <x:v>3448</x:v>
      </x:c>
      <x:c r="K191" s="13">
        <x:v>2442</x:v>
      </x:c>
      <x:c r="L191" s="13">
        <x:v>440</x:v>
      </x:c>
      <x:c r="M191" s="12"/>
      <x:c r="N191" s="12"/>
      <x:c r="O191" s="12"/>
      <x:c r="P191" s="12"/>
      <x:c r="Q191" s="12"/>
      <x:c r="R191" s="12"/>
      <x:c r="S191" s="12"/>
      <x:c r="T191" s="12"/>
      <x:c r="U191" s="28"/>
      <x:c r="V191" s="6"/>
      <x:c r="W191" s="6"/>
      <x:c r="X191" s="6"/>
      <x:c r="Y191" s="6"/>
      <x:c r="Z191" s="6"/>
      <x:c r="AA191" s="6"/>
      <x:c r="AB191" s="6"/>
      <x:c r="AC191" s="53"/>
      <x:c r="AD191" s="53"/>
    </x:row>
    <x:row r="192" ht="14.399999618530273">
      <x:c r="A192" s="4" t="s">
        <x:v>202</x:v>
      </x:c>
      <x:c r="B192" s="16">
        <x:v>601987</x:v>
      </x:c>
      <x:c r="C192" s="16">
        <x:v>13874</x:v>
      </x:c>
      <x:c r="D192" s="16">
        <x:v>13378</x:v>
      </x:c>
      <x:c r="E192" s="24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  <x:c r="U192" s="28"/>
      <x:c r="V192" s="6"/>
      <x:c r="W192" s="6"/>
      <x:c r="X192" s="6"/>
      <x:c r="Y192" s="6"/>
      <x:c r="Z192" s="6"/>
      <x:c r="AA192" s="6"/>
      <x:c r="AB192" s="6"/>
      <x:c r="AC192" s="53" t="n">
        <x:v>23</x:v>
      </x:c>
      <x:c r="AD192" s="53" t="n">
        <x:v>22.2</x:v>
      </x:c>
    </x:row>
    <x:row r="193" ht="14.399999618530273">
      <x:c r="A193" s="3" t="s">
        <x:v>203</x:v>
      </x:c>
      <x:c r="B193" s="8">
        <x:v>755226</x:v>
      </x:c>
      <x:c r="C193" s="8">
        <x:v>19719</x:v>
      </x:c>
      <x:c r="D193" s="8">
        <x:v>14961</x:v>
      </x:c>
      <x:c r="E193" s="24"/>
      <x:c r="F193" s="9">
        <x:v>126857</x:v>
      </x:c>
      <x:c r="G193" s="9">
        <x:v>54839</x:v>
      </x:c>
      <x:c r="H193" s="9">
        <x:v>49166</x:v>
      </x:c>
      <x:c r="I193" s="9">
        <x:v>56799</x:v>
      </x:c>
      <x:c r="J193" s="9">
        <x:v>125873</x:v>
      </x:c>
      <x:c r="K193" s="9">
        <x:v>86253</x:v>
      </x:c>
      <x:c r="L193" s="9">
        <x:v>117867</x:v>
      </x:c>
      <x:c r="M193" s="9">
        <x:v>137572</x:v>
      </x:c>
      <x:c r="N193" s="10"/>
      <x:c r="O193" s="10"/>
      <x:c r="P193" s="10"/>
      <x:c r="Q193" s="10"/>
      <x:c r="R193" s="10"/>
      <x:c r="S193" s="10"/>
      <x:c r="T193" s="10"/>
      <x:c r="U193" s="28"/>
      <x:c r="V193" s="7" t="n">
        <x:f>SUM(F193:T193)</x:f>
        <x:v>755226</x:v>
      </x:c>
      <x:c r="W193" s="7" t="n">
        <x:f>SUM(F194:T194)</x:f>
        <x:v>19719</x:v>
      </x:c>
      <x:c r="X193" s="7" t="n">
        <x:f>SUM(F195:T195)</x:f>
        <x:v>14961</x:v>
      </x:c>
      <x:c r="Y193" s="7"/>
      <x:c r="Z193" s="7" t="n">
        <x:f>V193-B193</x:f>
        <x:v>0</x:v>
      </x:c>
      <x:c r="AA193" s="7" t="n">
        <x:f>W193-C193</x:f>
        <x:v>0</x:v>
      </x:c>
      <x:c r="AB193" s="7" t="n">
        <x:f>X193-D193</x:f>
        <x:v>0</x:v>
      </x:c>
      <x:c r="AC193" s="53" t="n">
        <x:v>26.1</x:v>
      </x:c>
      <x:c r="AD193" s="53" t="n">
        <x:v>19.3</x:v>
      </x:c>
    </x:row>
    <x:row r="194" ht="14.399999618530273">
      <x:c r="A194" s="4" t="s">
        <x:v>204</x:v>
      </x:c>
      <x:c r="B194" s="11"/>
      <x:c r="C194" s="11"/>
      <x:c r="D194" s="11"/>
      <x:c r="E194" s="25"/>
      <x:c r="F194" s="13">
        <x:v>3297</x:v>
      </x:c>
      <x:c r="G194" s="13">
        <x:v>1566</x:v>
      </x:c>
      <x:c r="H194" s="13">
        <x:v>952</x:v>
      </x:c>
      <x:c r="I194" s="13">
        <x:v>1360</x:v>
      </x:c>
      <x:c r="J194" s="13">
        <x:v>2885</x:v>
      </x:c>
      <x:c r="K194" s="13">
        <x:v>2953</x:v>
      </x:c>
      <x:c r="L194" s="13">
        <x:v>3720</x:v>
      </x:c>
      <x:c r="M194" s="13">
        <x:v>2986</x:v>
      </x:c>
      <x:c r="N194" s="12"/>
      <x:c r="O194" s="12"/>
      <x:c r="P194" s="12"/>
      <x:c r="Q194" s="12"/>
      <x:c r="R194" s="12"/>
      <x:c r="S194" s="12"/>
      <x:c r="T194" s="12"/>
      <x:c r="U194" s="28"/>
      <x:c r="V194" s="6"/>
      <x:c r="W194" s="6"/>
      <x:c r="X194" s="6"/>
      <x:c r="Y194" s="6"/>
      <x:c r="Z194" s="6"/>
      <x:c r="AA194" s="6"/>
      <x:c r="AB194" s="6"/>
      <x:c r="AC194" s="53"/>
      <x:c r="AD194" s="53"/>
    </x:row>
    <x:row r="195" ht="14.399999618530273">
      <x:c r="A195" s="4" t="s">
        <x:v>205</x:v>
      </x:c>
      <x:c r="B195" s="11"/>
      <x:c r="C195" s="11"/>
      <x:c r="D195" s="11"/>
      <x:c r="E195" s="25"/>
      <x:c r="F195" s="13">
        <x:v>2922</x:v>
      </x:c>
      <x:c r="G195" s="13">
        <x:v>1361</x:v>
      </x:c>
      <x:c r="H195" s="13">
        <x:v>861</x:v>
      </x:c>
      <x:c r="I195" s="13">
        <x:v>1076</x:v>
      </x:c>
      <x:c r="J195" s="13">
        <x:v>2009</x:v>
      </x:c>
      <x:c r="K195" s="13">
        <x:v>1588</x:v>
      </x:c>
      <x:c r="L195" s="13">
        <x:v>2876</x:v>
      </x:c>
      <x:c r="M195" s="13">
        <x:v>2268</x:v>
      </x:c>
      <x:c r="N195" s="12"/>
      <x:c r="O195" s="12"/>
      <x:c r="P195" s="12"/>
      <x:c r="Q195" s="12"/>
      <x:c r="R195" s="12"/>
      <x:c r="S195" s="12"/>
      <x:c r="T195" s="12"/>
      <x:c r="U195" s="28"/>
      <x:c r="V195" s="6"/>
      <x:c r="W195" s="6"/>
      <x:c r="X195" s="6"/>
      <x:c r="Y195" s="6"/>
      <x:c r="Z195" s="6"/>
      <x:c r="AA195" s="6"/>
      <x:c r="AB195" s="6"/>
      <x:c r="AC195" s="53"/>
      <x:c r="AD195" s="53"/>
    </x:row>
    <x:row r="196" ht="14.399999618530273">
      <x:c r="A196" s="4" t="s">
        <x:v>206</x:v>
      </x:c>
      <x:c r="B196" s="16">
        <x:v>237114</x:v>
      </x:c>
      <x:c r="C196" s="17" t="s">
        <x:v>16</x:v>
      </x:c>
      <x:c r="D196" s="17" t="s">
        <x:v>16</x:v>
      </x:c>
      <x:c r="E196" s="24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  <x:c r="U196" s="28"/>
      <x:c r="V196" s="6"/>
      <x:c r="W196" s="6"/>
      <x:c r="X196" s="6"/>
      <x:c r="Y196" s="6"/>
      <x:c r="Z196" s="6"/>
      <x:c r="AA196" s="6"/>
      <x:c r="AB196" s="6"/>
      <x:c r="AC196" s="53"/>
      <x:c r="AD196" s="53"/>
    </x:row>
    <x:row r="197" ht="14.399999618530273">
      <x:c r="A197" s="4" t="s">
        <x:v>207</x:v>
      </x:c>
      <x:c r="B197" s="16">
        <x:v>1350054</x:v>
      </x:c>
      <x:c r="C197" s="16">
        <x:v>83293</x:v>
      </x:c>
      <x:c r="D197" s="16">
        <x:v>52845</x:v>
      </x:c>
      <x:c r="E197" s="24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  <x:c r="U197" s="28"/>
      <x:c r="V197" s="6"/>
      <x:c r="W197" s="6"/>
      <x:c r="X197" s="6"/>
      <x:c r="Y197" s="6"/>
      <x:c r="Z197" s="6"/>
      <x:c r="AA197" s="6"/>
      <x:c r="AB197" s="6"/>
      <x:c r="AC197" s="53" t="n">
        <x:v>61.6</x:v>
      </x:c>
      <x:c r="AD197" s="53" t="n">
        <x:v>39.1</x:v>
      </x:c>
    </x:row>
    <x:row r="198" ht="14.399999618530273">
      <x:c r="A198" s="3" t="s">
        <x:v>208</x:v>
      </x:c>
      <x:c r="B198" s="8">
        <x:v>959715</x:v>
      </x:c>
      <x:c r="C198" s="8">
        <x:v>26825</x:v>
      </x:c>
      <x:c r="D198" s="8">
        <x:v>13075</x:v>
      </x:c>
      <x:c r="E198" s="24"/>
      <x:c r="F198" s="9">
        <x:v>198432</x:v>
      </x:c>
      <x:c r="G198" s="9">
        <x:v>55081</x:v>
      </x:c>
      <x:c r="H198" s="9">
        <x:v>62512</x:v>
      </x:c>
      <x:c r="I198" s="9">
        <x:v>110517</x:v>
      </x:c>
      <x:c r="J198" s="9">
        <x:v>47785</x:v>
      </x:c>
      <x:c r="K198" s="9">
        <x:v>81624</x:v>
      </x:c>
      <x:c r="L198" s="9">
        <x:v>68492</x:v>
      </x:c>
      <x:c r="M198" s="9">
        <x:v>103273</x:v>
      </x:c>
      <x:c r="N198" s="9">
        <x:v>80823</x:v>
      </x:c>
      <x:c r="O198" s="9">
        <x:v>149916</x:v>
      </x:c>
      <x:c r="P198" s="10"/>
      <x:c r="Q198" s="10"/>
      <x:c r="R198" s="10"/>
      <x:c r="S198" s="10"/>
      <x:c r="T198" s="10"/>
      <x:c r="U198" s="28"/>
      <x:c r="V198" s="7" t="n">
        <x:f>SUM(F198:T198)</x:f>
        <x:v>958455</x:v>
      </x:c>
      <x:c r="W198" s="7" t="n">
        <x:f>SUM(F199:T199)</x:f>
        <x:v>26768</x:v>
      </x:c>
      <x:c r="X198" s="7" t="n">
        <x:f>SUM(F200:T200)</x:f>
        <x:v>12973</x:v>
      </x:c>
      <x:c r="Y198" s="7"/>
      <x:c r="Z198" s="7" t="n">
        <x:f>V198-B198</x:f>
        <x:v>-1260</x:v>
      </x:c>
      <x:c r="AA198" s="7" t="n">
        <x:f>W198-C198</x:f>
        <x:v>-57</x:v>
      </x:c>
      <x:c r="AB198" s="7" t="n">
        <x:f>X198-D198</x:f>
        <x:v>-102</x:v>
      </x:c>
      <x:c r="AC198" s="53" t="n">
        <x:v>27.9</x:v>
      </x:c>
      <x:c r="AD198" s="53" t="n">
        <x:v>13.6</x:v>
      </x:c>
    </x:row>
    <x:row r="199" ht="14.399999618530273">
      <x:c r="A199" s="4" t="s">
        <x:v>209</x:v>
      </x:c>
      <x:c r="B199" s="11"/>
      <x:c r="C199" s="11"/>
      <x:c r="D199" s="11"/>
      <x:c r="E199" s="25"/>
      <x:c r="F199" s="13">
        <x:v>5774</x:v>
      </x:c>
      <x:c r="G199" s="13">
        <x:v>1412</x:v>
      </x:c>
      <x:c r="H199" s="13">
        <x:v>1474</x:v>
      </x:c>
      <x:c r="I199" s="13">
        <x:v>2818</x:v>
      </x:c>
      <x:c r="J199" s="13">
        <x:v>1393</x:v>
      </x:c>
      <x:c r="K199" s="13">
        <x:v>2486</x:v>
      </x:c>
      <x:c r="L199" s="13">
        <x:v>2316</x:v>
      </x:c>
      <x:c r="M199" s="13">
        <x:v>3065</x:v>
      </x:c>
      <x:c r="N199" s="13">
        <x:v>2583</x:v>
      </x:c>
      <x:c r="O199" s="13">
        <x:v>3447</x:v>
      </x:c>
      <x:c r="P199" s="12"/>
      <x:c r="Q199" s="12"/>
      <x:c r="R199" s="12"/>
      <x:c r="S199" s="12"/>
      <x:c r="T199" s="12"/>
      <x:c r="U199" s="28"/>
      <x:c r="V199" s="6"/>
      <x:c r="W199" s="6"/>
      <x:c r="X199" s="6"/>
      <x:c r="Y199" s="6"/>
      <x:c r="Z199" s="6"/>
      <x:c r="AA199" s="6"/>
      <x:c r="AB199" s="6"/>
      <x:c r="AC199" s="53"/>
      <x:c r="AD199" s="53"/>
    </x:row>
    <x:row r="200" ht="14.399999618530273">
      <x:c r="A200" s="4" t="s">
        <x:v>210</x:v>
      </x:c>
      <x:c r="B200" s="11"/>
      <x:c r="C200" s="11"/>
      <x:c r="D200" s="11"/>
      <x:c r="E200" s="25"/>
      <x:c r="F200" s="13">
        <x:v>2774</x:v>
      </x:c>
      <x:c r="G200" s="13">
        <x:v>831</x:v>
      </x:c>
      <x:c r="H200" s="13">
        <x:v>1089</x:v>
      </x:c>
      <x:c r="I200" s="13">
        <x:v>1442</x:v>
      </x:c>
      <x:c r="J200" s="13">
        <x:v>695</x:v>
      </x:c>
      <x:c r="K200" s="13">
        <x:v>1037</x:v>
      </x:c>
      <x:c r="L200" s="13">
        <x:v>927</x:v>
      </x:c>
      <x:c r="M200" s="13">
        <x:v>1545</x:v>
      </x:c>
      <x:c r="N200" s="13">
        <x:v>877</x:v>
      </x:c>
      <x:c r="O200" s="13">
        <x:v>1756</x:v>
      </x:c>
      <x:c r="P200" s="12"/>
      <x:c r="Q200" s="12"/>
      <x:c r="R200" s="12"/>
      <x:c r="S200" s="12"/>
      <x:c r="T200" s="12"/>
      <x:c r="U200" s="28"/>
      <x:c r="V200" s="6"/>
      <x:c r="W200" s="6"/>
      <x:c r="X200" s="6"/>
      <x:c r="Y200" s="6"/>
      <x:c r="Z200" s="6"/>
      <x:c r="AA200" s="6"/>
      <x:c r="AB200" s="6"/>
      <x:c r="AC200" s="53"/>
      <x:c r="AD200" s="53"/>
    </x:row>
    <x:row r="201" ht="14.399999618530273">
      <x:c r="A201" s="3" t="s">
        <x:v>211</x:v>
      </x:c>
      <x:c r="B201" s="8">
        <x:v>670648</x:v>
      </x:c>
      <x:c r="C201" s="8">
        <x:v>43139</x:v>
      </x:c>
      <x:c r="D201" s="8">
        <x:v>24945</x:v>
      </x:c>
      <x:c r="E201" s="24"/>
      <x:c r="F201" s="9">
        <x:v>129762</x:v>
      </x:c>
      <x:c r="G201" s="9">
        <x:v>135481</x:v>
      </x:c>
      <x:c r="H201" s="9">
        <x:v>161456</x:v>
      </x:c>
      <x:c r="I201" s="9">
        <x:v>185546</x:v>
      </x:c>
      <x:c r="J201" s="9">
        <x:v>58398</x:v>
      </x:c>
      <x:c r="K201" s="10"/>
      <x:c r="L201" s="10"/>
      <x:c r="M201" s="10"/>
      <x:c r="N201" s="10"/>
      <x:c r="O201" s="10"/>
      <x:c r="P201" s="10"/>
      <x:c r="Q201" s="10"/>
      <x:c r="R201" s="10"/>
      <x:c r="S201" s="10"/>
      <x:c r="T201" s="10"/>
      <x:c r="U201" s="28"/>
      <x:c r="V201" s="7" t="n">
        <x:f>SUM(F201:T201)</x:f>
        <x:v>670643</x:v>
      </x:c>
      <x:c r="W201" s="7" t="n">
        <x:f>SUM(F202:T202)</x:f>
        <x:v>43139</x:v>
      </x:c>
      <x:c r="X201" s="7" t="n">
        <x:f>SUM(F203:T203)</x:f>
        <x:v>24945</x:v>
      </x:c>
      <x:c r="Y201" s="7"/>
      <x:c r="Z201" s="7" t="n">
        <x:f>V201-B201</x:f>
        <x:v>-5</x:v>
      </x:c>
      <x:c r="AA201" s="7" t="n">
        <x:f>W201-C201</x:f>
        <x:v>0</x:v>
      </x:c>
      <x:c r="AB201" s="7" t="n">
        <x:f>X201-D201</x:f>
        <x:v>0</x:v>
      </x:c>
      <x:c r="AC201" s="53" t="n">
        <x:v>64.3</x:v>
      </x:c>
      <x:c r="AD201" s="53" t="n">
        <x:v>37.2</x:v>
      </x:c>
    </x:row>
    <x:row r="202" ht="14.399999618530273">
      <x:c r="A202" s="4" t="s">
        <x:v>212</x:v>
      </x:c>
      <x:c r="B202" s="11"/>
      <x:c r="C202" s="11"/>
      <x:c r="D202" s="11"/>
      <x:c r="E202" s="25"/>
      <x:c r="F202" s="13">
        <x:v>7645</x:v>
      </x:c>
      <x:c r="G202" s="13">
        <x:v>9138</x:v>
      </x:c>
      <x:c r="H202" s="13">
        <x:v>12770</x:v>
      </x:c>
      <x:c r="I202" s="13">
        <x:v>12387</x:v>
      </x:c>
      <x:c r="J202" s="13">
        <x:v>1199</x:v>
      </x:c>
      <x:c r="K202" s="12"/>
      <x:c r="L202" s="12"/>
      <x:c r="M202" s="12"/>
      <x:c r="N202" s="12"/>
      <x:c r="O202" s="12"/>
      <x:c r="P202" s="12"/>
      <x:c r="Q202" s="12"/>
      <x:c r="R202" s="12"/>
      <x:c r="S202" s="12"/>
      <x:c r="T202" s="12"/>
      <x:c r="U202" s="28"/>
      <x:c r="V202" s="6"/>
      <x:c r="W202" s="6"/>
      <x:c r="X202" s="6"/>
      <x:c r="Y202" s="6"/>
      <x:c r="Z202" s="6"/>
      <x:c r="AA202" s="6"/>
      <x:c r="AB202" s="6"/>
      <x:c r="AC202" s="53"/>
      <x:c r="AD202" s="53"/>
    </x:row>
    <x:row r="203" ht="14.399999618530273">
      <x:c r="A203" s="4" t="s">
        <x:v>213</x:v>
      </x:c>
      <x:c r="B203" s="11"/>
      <x:c r="C203" s="11"/>
      <x:c r="D203" s="11"/>
      <x:c r="E203" s="25"/>
      <x:c r="F203" s="13">
        <x:v>4556</x:v>
      </x:c>
      <x:c r="G203" s="13">
        <x:v>5643</x:v>
      </x:c>
      <x:c r="H203" s="13">
        <x:v>6080</x:v>
      </x:c>
      <x:c r="I203" s="13">
        <x:v>7585</x:v>
      </x:c>
      <x:c r="J203" s="13">
        <x:v>1081</x:v>
      </x:c>
      <x:c r="K203" s="12"/>
      <x:c r="L203" s="12"/>
      <x:c r="M203" s="12"/>
      <x:c r="N203" s="12"/>
      <x:c r="O203" s="12"/>
      <x:c r="P203" s="12"/>
      <x:c r="Q203" s="12"/>
      <x:c r="R203" s="12"/>
      <x:c r="S203" s="12"/>
      <x:c r="T203" s="12"/>
      <x:c r="U203" s="28"/>
      <x:c r="V203" s="6"/>
      <x:c r="W203" s="6"/>
      <x:c r="X203" s="6"/>
      <x:c r="Y203" s="6"/>
      <x:c r="Z203" s="6"/>
      <x:c r="AA203" s="6"/>
      <x:c r="AB203" s="6"/>
      <x:c r="AC203" s="53"/>
      <x:c r="AD203" s="53"/>
    </x:row>
    <x:row r="204" ht="14.399999618530273">
      <x:c r="A204" s="4" t="s">
        <x:v>214</x:v>
      </x:c>
      <x:c r="B204" s="16">
        <x:v>705616</x:v>
      </x:c>
      <x:c r="C204" s="16">
        <x:v>22719</x:v>
      </x:c>
      <x:c r="D204" s="16">
        <x:v>16794</x:v>
      </x:c>
      <x:c r="E204" s="24"/>
      <x:c r="F204" s="12"/>
      <x:c r="G204" s="12"/>
      <x:c r="H204" s="12"/>
      <x:c r="I204" s="12"/>
      <x:c r="J204" s="12"/>
      <x:c r="K204" s="12"/>
      <x:c r="L204" s="12"/>
      <x:c r="M204" s="12"/>
      <x:c r="N204" s="12"/>
      <x:c r="O204" s="12"/>
      <x:c r="P204" s="12"/>
      <x:c r="Q204" s="12"/>
      <x:c r="R204" s="12"/>
      <x:c r="S204" s="12"/>
      <x:c r="T204" s="12"/>
      <x:c r="U204" s="28"/>
      <x:c r="V204" s="6"/>
      <x:c r="W204" s="6"/>
      <x:c r="X204" s="6"/>
      <x:c r="Y204" s="6"/>
      <x:c r="Z204" s="6"/>
      <x:c r="AA204" s="6"/>
      <x:c r="AB204" s="6"/>
      <x:c r="AC204" s="53" t="n">
        <x:v>32.2</x:v>
      </x:c>
      <x:c r="AD204" s="53" t="n">
        <x:v>23.8</x:v>
      </x:c>
    </x:row>
    <x:row r="205" ht="14.399999618530273">
      <x:c r="A205" s="3" t="s">
        <x:v>215</x:v>
      </x:c>
      <x:c r="B205" s="8">
        <x:v>823537</x:v>
      </x:c>
      <x:c r="C205" s="8">
        <x:v>28629</x:v>
      </x:c>
      <x:c r="D205" s="8">
        <x:v>15520</x:v>
      </x:c>
      <x:c r="E205" s="24"/>
      <x:c r="F205" s="9">
        <x:v>171713</x:v>
      </x:c>
      <x:c r="G205" s="9">
        <x:v>65407</x:v>
      </x:c>
      <x:c r="H205" s="9">
        <x:v>57771</x:v>
      </x:c>
      <x:c r="I205" s="9">
        <x:v>107874</x:v>
      </x:c>
      <x:c r="J205" s="9">
        <x:v>156105</x:v>
      </x:c>
      <x:c r="K205" s="9">
        <x:v>67228</x:v>
      </x:c>
      <x:c r="L205" s="9">
        <x:v>93474</x:v>
      </x:c>
      <x:c r="M205" s="9">
        <x:v>68566</x:v>
      </x:c>
      <x:c r="N205" s="9">
        <x:v>35399</x:v>
      </x:c>
      <x:c r="O205" s="10"/>
      <x:c r="P205" s="10"/>
      <x:c r="Q205" s="10"/>
      <x:c r="R205" s="10"/>
      <x:c r="S205" s="10"/>
      <x:c r="T205" s="10"/>
      <x:c r="U205" s="28"/>
      <x:c r="V205" s="7" t="n">
        <x:f>SUM(F205:T205)</x:f>
        <x:v>823537</x:v>
      </x:c>
      <x:c r="W205" s="7" t="n">
        <x:f>SUM(F206:T206)</x:f>
        <x:v>28629</x:v>
      </x:c>
      <x:c r="X205" s="7" t="n">
        <x:f>SUM(F207:T207)</x:f>
        <x:v>15520</x:v>
      </x:c>
      <x:c r="Y205" s="7"/>
      <x:c r="Z205" s="7" t="n">
        <x:f>V205-B205</x:f>
        <x:v>0</x:v>
      </x:c>
      <x:c r="AA205" s="7" t="n">
        <x:f>W205-C205</x:f>
        <x:v>0</x:v>
      </x:c>
      <x:c r="AB205" s="7" t="n">
        <x:f>X205-D205</x:f>
        <x:v>0</x:v>
      </x:c>
      <x:c r="AC205" s="53" t="n">
        <x:v>34.7</x:v>
      </x:c>
      <x:c r="AD205" s="53" t="n">
        <x:v>18.8</x:v>
      </x:c>
    </x:row>
    <x:row r="206" ht="14.399999618530273">
      <x:c r="A206" s="4" t="s">
        <x:v>216</x:v>
      </x:c>
      <x:c r="B206" s="11"/>
      <x:c r="C206" s="11"/>
      <x:c r="D206" s="11"/>
      <x:c r="E206" s="25"/>
      <x:c r="F206" s="13">
        <x:v>7023</x:v>
      </x:c>
      <x:c r="G206" s="13">
        <x:v>3352</x:v>
      </x:c>
      <x:c r="H206" s="13">
        <x:v>2318</x:v>
      </x:c>
      <x:c r="I206" s="13">
        <x:v>2820</x:v>
      </x:c>
      <x:c r="J206" s="13">
        <x:v>3428</x:v>
      </x:c>
      <x:c r="K206" s="13">
        <x:v>2287</x:v>
      </x:c>
      <x:c r="L206" s="13">
        <x:v>3799</x:v>
      </x:c>
      <x:c r="M206" s="13">
        <x:v>2622</x:v>
      </x:c>
      <x:c r="N206" s="13">
        <x:v>980</x:v>
      </x:c>
      <x:c r="O206" s="12"/>
      <x:c r="P206" s="12"/>
      <x:c r="Q206" s="12"/>
      <x:c r="R206" s="12"/>
      <x:c r="S206" s="12"/>
      <x:c r="T206" s="12"/>
      <x:c r="U206" s="28"/>
      <x:c r="V206" s="6"/>
      <x:c r="W206" s="6"/>
      <x:c r="X206" s="6"/>
      <x:c r="Y206" s="6"/>
      <x:c r="Z206" s="6"/>
      <x:c r="AA206" s="6"/>
      <x:c r="AB206" s="6"/>
      <x:c r="AC206" s="53"/>
      <x:c r="AD206" s="53"/>
    </x:row>
    <x:row r="207" ht="14.399999618530273">
      <x:c r="A207" s="4" t="s">
        <x:v>217</x:v>
      </x:c>
      <x:c r="B207" s="11"/>
      <x:c r="C207" s="11"/>
      <x:c r="D207" s="11"/>
      <x:c r="E207" s="25"/>
      <x:c r="F207" s="13">
        <x:v>4464</x:v>
      </x:c>
      <x:c r="G207" s="13">
        <x:v>1744</x:v>
      </x:c>
      <x:c r="H207" s="13">
        <x:v>998</x:v>
      </x:c>
      <x:c r="I207" s="13">
        <x:v>1480</x:v>
      </x:c>
      <x:c r="J207" s="13">
        <x:v>1290</x:v>
      </x:c>
      <x:c r="K207" s="13">
        <x:v>1057</x:v>
      </x:c>
      <x:c r="L207" s="13">
        <x:v>1908</x:v>
      </x:c>
      <x:c r="M207" s="13">
        <x:v>1994</x:v>
      </x:c>
      <x:c r="N207" s="13">
        <x:v>585</x:v>
      </x:c>
      <x:c r="O207" s="12"/>
      <x:c r="P207" s="12"/>
      <x:c r="Q207" s="12"/>
      <x:c r="R207" s="12"/>
      <x:c r="S207" s="12"/>
      <x:c r="T207" s="12"/>
      <x:c r="U207" s="28"/>
      <x:c r="V207" s="6"/>
      <x:c r="W207" s="6"/>
      <x:c r="X207" s="6"/>
      <x:c r="Y207" s="6"/>
      <x:c r="Z207" s="6"/>
      <x:c r="AA207" s="6"/>
      <x:c r="AB207" s="6"/>
      <x:c r="AC207" s="53"/>
      <x:c r="AD207" s="53"/>
    </x:row>
    <x:row r="208" ht="14.399999618530273">
      <x:c r="A208" s="3" t="s">
        <x:v>218</x:v>
      </x:c>
      <x:c r="B208" s="8">
        <x:v>677491</x:v>
      </x:c>
      <x:c r="C208" s="18" t="s">
        <x:v>16</x:v>
      </x:c>
      <x:c r="D208" s="18" t="s">
        <x:v>16</x:v>
      </x:c>
      <x:c r="E208" s="26"/>
      <x:c r="F208" s="15" t="s">
        <x:v>16</x:v>
      </x:c>
      <x:c r="G208" s="15" t="s">
        <x:v>16</x:v>
      </x:c>
      <x:c r="H208" s="15" t="s">
        <x:v>16</x:v>
      </x:c>
      <x:c r="I208" s="15" t="s">
        <x:v>16</x:v>
      </x:c>
      <x:c r="J208" s="15" t="s">
        <x:v>16</x:v>
      </x:c>
      <x:c r="K208" s="15" t="s">
        <x:v>16</x:v>
      </x:c>
      <x:c r="L208" s="15" t="s">
        <x:v>16</x:v>
      </x:c>
      <x:c r="M208" s="10"/>
      <x:c r="N208" s="10"/>
      <x:c r="O208" s="10"/>
      <x:c r="P208" s="10"/>
      <x:c r="Q208" s="10"/>
      <x:c r="R208" s="10"/>
      <x:c r="S208" s="10"/>
      <x:c r="T208" s="10"/>
      <x:c r="U208" s="28"/>
      <x:c r="V208" s="7"/>
      <x:c r="W208" s="7"/>
      <x:c r="X208" s="7"/>
      <x:c r="Y208" s="7"/>
      <x:c r="Z208" s="7"/>
      <x:c r="AA208" s="7"/>
      <x:c r="AB208" s="7"/>
      <x:c r="AC208" s="53"/>
      <x:c r="AD208" s="53"/>
    </x:row>
    <x:row r="209" ht="14.399999618530273">
      <x:c r="A209" s="4" t="s">
        <x:v>219</x:v>
      </x:c>
      <x:c r="B209" s="11"/>
      <x:c r="C209" s="11"/>
      <x:c r="D209" s="11"/>
      <x:c r="E209" s="25"/>
      <x:c r="F209" s="14" t="s">
        <x:v>16</x:v>
      </x:c>
      <x:c r="G209" s="14" t="s">
        <x:v>16</x:v>
      </x:c>
      <x:c r="H209" s="14" t="s">
        <x:v>16</x:v>
      </x:c>
      <x:c r="I209" s="14" t="s">
        <x:v>16</x:v>
      </x:c>
      <x:c r="J209" s="14" t="s">
        <x:v>16</x:v>
      </x:c>
      <x:c r="K209" s="14" t="s">
        <x:v>16</x:v>
      </x:c>
      <x:c r="L209" s="14" t="s">
        <x:v>16</x:v>
      </x:c>
      <x:c r="M209" s="12"/>
      <x:c r="N209" s="12"/>
      <x:c r="O209" s="12"/>
      <x:c r="P209" s="12"/>
      <x:c r="Q209" s="12"/>
      <x:c r="R209" s="12"/>
      <x:c r="S209" s="12"/>
      <x:c r="T209" s="12"/>
      <x:c r="U209" s="28"/>
      <x:c r="V209" s="6"/>
      <x:c r="W209" s="6"/>
      <x:c r="X209" s="6"/>
      <x:c r="Y209" s="6"/>
      <x:c r="Z209" s="6"/>
      <x:c r="AA209" s="6"/>
      <x:c r="AB209" s="6"/>
      <x:c r="AC209" s="53"/>
      <x:c r="AD209" s="53"/>
    </x:row>
    <x:row r="210" ht="14.399999618530273">
      <x:c r="A210" s="4" t="s">
        <x:v>220</x:v>
      </x:c>
      <x:c r="B210" s="11"/>
      <x:c r="C210" s="11"/>
      <x:c r="D210" s="11"/>
      <x:c r="E210" s="25"/>
      <x:c r="F210" s="14" t="s">
        <x:v>16</x:v>
      </x:c>
      <x:c r="G210" s="14" t="s">
        <x:v>16</x:v>
      </x:c>
      <x:c r="H210" s="14" t="s">
        <x:v>16</x:v>
      </x:c>
      <x:c r="I210" s="14" t="s">
        <x:v>16</x:v>
      </x:c>
      <x:c r="J210" s="14" t="s">
        <x:v>16</x:v>
      </x:c>
      <x:c r="K210" s="14" t="s">
        <x:v>16</x:v>
      </x:c>
      <x:c r="L210" s="14" t="s">
        <x:v>16</x:v>
      </x:c>
      <x:c r="M210" s="12"/>
      <x:c r="N210" s="12"/>
      <x:c r="O210" s="12"/>
      <x:c r="P210" s="12"/>
      <x:c r="Q210" s="12"/>
      <x:c r="R210" s="12"/>
      <x:c r="S210" s="12"/>
      <x:c r="T210" s="12"/>
      <x:c r="U210" s="28"/>
      <x:c r="V210" s="6"/>
      <x:c r="W210" s="6"/>
      <x:c r="X210" s="6"/>
      <x:c r="Y210" s="6"/>
      <x:c r="Z210" s="6"/>
      <x:c r="AA210" s="6"/>
      <x:c r="AB210" s="6"/>
      <x:c r="AC210" s="53"/>
      <x:c r="AD210" s="53"/>
    </x:row>
    <x:row r="211" ht="14.399999618530273">
      <x:c r="A211" s="19" t="s">
        <x:v>221</x:v>
      </x:c>
      <x:c r="B211" s="20">
        <x:v>7530477</x:v>
      </x:c>
      <x:c r="C211" s="20">
        <x:v>257308</x:v>
      </x:c>
      <x:c r="D211" s="20">
        <x:v>168154</x:v>
      </x:c>
      <x:c r="E211" s="24"/>
      <x:c r="F211" s="21"/>
      <x:c r="G211" s="21"/>
      <x:c r="H211" s="21"/>
      <x:c r="I211" s="21"/>
      <x:c r="J211" s="21"/>
      <x:c r="K211" s="21"/>
      <x:c r="L211" s="21"/>
      <x:c r="M211" s="21"/>
      <x:c r="N211" s="21"/>
      <x:c r="O211" s="21"/>
      <x:c r="P211" s="21"/>
      <x:c r="Q211" s="21"/>
      <x:c r="R211" s="21"/>
      <x:c r="S211" s="21"/>
      <x:c r="T211" s="21"/>
      <x:c r="U211" s="28"/>
      <x:c r="V211" s="22"/>
      <x:c r="W211" s="22"/>
      <x:c r="X211" s="22"/>
      <x:c r="Y211" s="22"/>
      <x:c r="Z211" s="22"/>
      <x:c r="AA211" s="22"/>
      <x:c r="AB211" s="22"/>
      <x:c r="AC211" s="53" t="n">
        <x:v>38.9</x:v>
      </x:c>
      <x:c r="AD211" s="53" t="n">
        <x:v>25.4</x:v>
      </x:c>
    </x:row>
    <x:row r="212" ht="14.399999618530273">
      <x:c r="A212" s="3" t="s">
        <x:v>222</x:v>
      </x:c>
      <x:c r="B212" s="8">
        <x:v>63221</x:v>
      </x:c>
      <x:c r="C212" s="18" t="s">
        <x:v>16</x:v>
      </x:c>
      <x:c r="D212" s="18" t="s">
        <x:v>16</x:v>
      </x:c>
      <x:c r="E212" s="24"/>
      <x:c r="F212" s="10"/>
      <x:c r="G212" s="10"/>
      <x:c r="H212" s="10"/>
      <x:c r="I212" s="10"/>
      <x:c r="J212" s="10"/>
      <x:c r="K212" s="10"/>
      <x:c r="L212" s="10"/>
      <x:c r="M212" s="10"/>
      <x:c r="N212" s="10"/>
      <x:c r="O212" s="10"/>
      <x:c r="P212" s="10"/>
      <x:c r="Q212" s="10"/>
      <x:c r="R212" s="10"/>
      <x:c r="S212" s="10"/>
      <x:c r="T212" s="10"/>
      <x:c r="U212" s="28"/>
      <x:c r="V212" s="7"/>
      <x:c r="W212" s="7"/>
      <x:c r="X212" s="7"/>
      <x:c r="Y212" s="7"/>
      <x:c r="Z212" s="7"/>
      <x:c r="AA212" s="7"/>
      <x:c r="AB212" s="7"/>
      <x:c r="AC212" s="53"/>
      <x:c r="AD212" s="53"/>
    </x:row>
    <x:row r="213" ht="14.399999618530273">
      <x:c r="A213" s="3" t="s">
        <x:v>223</x:v>
      </x:c>
      <x:c r="B213" s="8">
        <x:v>472811</x:v>
      </x:c>
      <x:c r="C213" s="8">
        <x:v>23617</x:v>
      </x:c>
      <x:c r="D213" s="8">
        <x:v>16764</x:v>
      </x:c>
      <x:c r="E213" s="24"/>
      <x:c r="F213" s="9">
        <x:v>109530</x:v>
      </x:c>
      <x:c r="G213" s="9">
        <x:v>81245</x:v>
      </x:c>
      <x:c r="H213" s="9">
        <x:v>69231</x:v>
      </x:c>
      <x:c r="I213" s="9">
        <x:v>72206</x:v>
      </x:c>
      <x:c r="J213" s="9">
        <x:v>140599</x:v>
      </x:c>
      <x:c r="K213" s="10"/>
      <x:c r="L213" s="10"/>
      <x:c r="M213" s="10"/>
      <x:c r="N213" s="10"/>
      <x:c r="O213" s="10"/>
      <x:c r="P213" s="10"/>
      <x:c r="Q213" s="10"/>
      <x:c r="R213" s="10"/>
      <x:c r="S213" s="10"/>
      <x:c r="T213" s="10"/>
      <x:c r="U213" s="28"/>
      <x:c r="V213" s="7" t="n">
        <x:f>SUM(F213:T213)</x:f>
        <x:v>472811</x:v>
      </x:c>
      <x:c r="W213" s="7" t="n">
        <x:f>SUM(F214:T214)</x:f>
        <x:v>24617</x:v>
      </x:c>
      <x:c r="X213" s="7" t="n">
        <x:f>SUM(F215:T215)</x:f>
        <x:v>16764</x:v>
      </x:c>
      <x:c r="Y213" s="7"/>
      <x:c r="Z213" s="7" t="n">
        <x:f>V213-B213</x:f>
        <x:v>0</x:v>
      </x:c>
      <x:c r="AA213" s="7" t="n">
        <x:f>W213-C213</x:f>
        <x:v>1000</x:v>
      </x:c>
      <x:c r="AB213" s="7" t="n">
        <x:f>X213-D213</x:f>
        <x:v>0</x:v>
      </x:c>
      <x:c r="AC213" s="53" t="n">
        <x:v>50</x:v>
      </x:c>
      <x:c r="AD213" s="53" t="n">
        <x:v>35.5</x:v>
      </x:c>
    </x:row>
    <x:row r="214" ht="14.399999618530273">
      <x:c r="A214" s="4" t="s">
        <x:v>224</x:v>
      </x:c>
      <x:c r="B214" s="11"/>
      <x:c r="C214" s="11"/>
      <x:c r="D214" s="11"/>
      <x:c r="E214" s="25"/>
      <x:c r="F214" s="13">
        <x:v>3973</x:v>
      </x:c>
      <x:c r="G214" s="13">
        <x:v>4684</x:v>
      </x:c>
      <x:c r="H214" s="13">
        <x:v>3398</x:v>
      </x:c>
      <x:c r="I214" s="13">
        <x:v>4729</x:v>
      </x:c>
      <x:c r="J214" s="13">
        <x:v>7833</x:v>
      </x:c>
      <x:c r="K214" s="12"/>
      <x:c r="L214" s="12"/>
      <x:c r="M214" s="12"/>
      <x:c r="N214" s="12"/>
      <x:c r="O214" s="12"/>
      <x:c r="P214" s="12"/>
      <x:c r="Q214" s="12"/>
      <x:c r="R214" s="12"/>
      <x:c r="S214" s="12"/>
      <x:c r="T214" s="12"/>
      <x:c r="U214" s="28"/>
      <x:c r="V214" s="6"/>
      <x:c r="W214" s="6"/>
      <x:c r="X214" s="6"/>
      <x:c r="Y214" s="6"/>
      <x:c r="Z214" s="6"/>
      <x:c r="AA214" s="6"/>
      <x:c r="AB214" s="6"/>
      <x:c r="AC214" s="53"/>
      <x:c r="AD214" s="53"/>
    </x:row>
    <x:row r="215" ht="14.399999618530273">
      <x:c r="A215" s="4" t="s">
        <x:v>225</x:v>
      </x:c>
      <x:c r="B215" s="11"/>
      <x:c r="C215" s="11"/>
      <x:c r="D215" s="11"/>
      <x:c r="E215" s="25"/>
      <x:c r="F215" s="13">
        <x:v>3408</x:v>
      </x:c>
      <x:c r="G215" s="13">
        <x:v>2950</x:v>
      </x:c>
      <x:c r="H215" s="13">
        <x:v>2425</x:v>
      </x:c>
      <x:c r="I215" s="13">
        <x:v>2716</x:v>
      </x:c>
      <x:c r="J215" s="13">
        <x:v>5265</x:v>
      </x:c>
      <x:c r="K215" s="12"/>
      <x:c r="L215" s="12"/>
      <x:c r="M215" s="12"/>
      <x:c r="N215" s="12"/>
      <x:c r="O215" s="12"/>
      <x:c r="P215" s="12"/>
      <x:c r="Q215" s="12"/>
      <x:c r="R215" s="12"/>
      <x:c r="S215" s="12"/>
      <x:c r="T215" s="12"/>
      <x:c r="U215" s="28"/>
      <x:c r="V215" s="6"/>
      <x:c r="W215" s="6"/>
      <x:c r="X215" s="6"/>
      <x:c r="Y215" s="6"/>
      <x:c r="Z215" s="6"/>
      <x:c r="AA215" s="6"/>
      <x:c r="AB215" s="6"/>
      <x:c r="AC215" s="53"/>
      <x:c r="AD215" s="53"/>
    </x:row>
    <x:row r="216" ht="14.399999618530273">
      <x:c r="A216" s="3" t="s">
        <x:v>226</x:v>
      </x:c>
      <x:c r="B216" s="8">
        <x:v>545338</x:v>
      </x:c>
      <x:c r="C216" s="18" t="s">
        <x:v>16</x:v>
      </x:c>
      <x:c r="D216" s="18" t="s">
        <x:v>16</x:v>
      </x:c>
      <x:c r="E216" s="24"/>
      <x:c r="F216" s="10"/>
      <x:c r="G216" s="10"/>
      <x:c r="H216" s="10"/>
      <x:c r="I216" s="10"/>
      <x:c r="J216" s="10"/>
      <x:c r="K216" s="10"/>
      <x:c r="L216" s="10"/>
      <x:c r="M216" s="10"/>
      <x:c r="N216" s="10"/>
      <x:c r="O216" s="10"/>
      <x:c r="P216" s="10"/>
      <x:c r="Q216" s="10"/>
      <x:c r="R216" s="10"/>
      <x:c r="S216" s="10"/>
      <x:c r="T216" s="10"/>
      <x:c r="U216" s="28"/>
      <x:c r="V216" s="7"/>
      <x:c r="W216" s="7"/>
      <x:c r="X216" s="7"/>
      <x:c r="Y216" s="7"/>
      <x:c r="Z216" s="7"/>
      <x:c r="AA216" s="7"/>
      <x:c r="AB216" s="7"/>
      <x:c r="AC216" s="53"/>
      <x:c r="AD216" s="53"/>
    </x:row>
    <x:row r="217" ht="14.399999618530273">
      <x:c r="A217" s="3" t="s">
        <x:v>227</x:v>
      </x:c>
      <x:c r="B217" s="8">
        <x:v>428962</x:v>
      </x:c>
      <x:c r="C217" s="8">
        <x:v>20048</x:v>
      </x:c>
      <x:c r="D217" s="8">
        <x:v>17313</x:v>
      </x:c>
      <x:c r="E217" s="24"/>
      <x:c r="F217" s="9">
        <x:v>146461</x:v>
      </x:c>
      <x:c r="G217" s="9">
        <x:v>125611</x:v>
      </x:c>
      <x:c r="H217" s="9">
        <x:v>59382</x:v>
      </x:c>
      <x:c r="I217" s="9">
        <x:v>44845</x:v>
      </x:c>
      <x:c r="J217" s="9">
        <x:v>52663</x:v>
      </x:c>
      <x:c r="K217" s="10"/>
      <x:c r="L217" s="10"/>
      <x:c r="M217" s="10"/>
      <x:c r="N217" s="10"/>
      <x:c r="O217" s="10"/>
      <x:c r="P217" s="10"/>
      <x:c r="Q217" s="10"/>
      <x:c r="R217" s="10"/>
      <x:c r="S217" s="10"/>
      <x:c r="T217" s="10"/>
      <x:c r="U217" s="28"/>
      <x:c r="V217" s="7" t="n">
        <x:f>SUM(F217:T217)</x:f>
        <x:v>428962</x:v>
      </x:c>
      <x:c r="W217" s="7" t="n">
        <x:f>SUM(F218:T218)</x:f>
        <x:v>20048</x:v>
      </x:c>
      <x:c r="X217" s="7" t="n">
        <x:f>SUM(F219:T219)</x:f>
        <x:v>17313</x:v>
      </x:c>
      <x:c r="Y217" s="7"/>
      <x:c r="Z217" s="7" t="n">
        <x:f>V217-B217</x:f>
        <x:v>0</x:v>
      </x:c>
      <x:c r="AA217" s="7" t="n">
        <x:f>W217-C217</x:f>
        <x:v>0</x:v>
      </x:c>
      <x:c r="AB217" s="7" t="n">
        <x:f>X217-D217</x:f>
        <x:v>0</x:v>
      </x:c>
      <x:c r="AC217" s="53" t="n">
        <x:v>46.8</x:v>
      </x:c>
      <x:c r="AD217" s="53" t="n">
        <x:v>40.4</x:v>
      </x:c>
    </x:row>
    <x:row r="218" ht="14.399999618530273">
      <x:c r="A218" s="4" t="s">
        <x:v>228</x:v>
      </x:c>
      <x:c r="B218" s="11"/>
      <x:c r="C218" s="11"/>
      <x:c r="D218" s="11"/>
      <x:c r="E218" s="25"/>
      <x:c r="F218" s="13">
        <x:v>5891</x:v>
      </x:c>
      <x:c r="G218" s="13">
        <x:v>5892</x:v>
      </x:c>
      <x:c r="H218" s="13">
        <x:v>3060</x:v>
      </x:c>
      <x:c r="I218" s="13">
        <x:v>1967</x:v>
      </x:c>
      <x:c r="J218" s="13">
        <x:v>3238</x:v>
      </x:c>
      <x:c r="K218" s="12"/>
      <x:c r="L218" s="12"/>
      <x:c r="M218" s="12"/>
      <x:c r="N218" s="12"/>
      <x:c r="O218" s="12"/>
      <x:c r="P218" s="12"/>
      <x:c r="Q218" s="12"/>
      <x:c r="R218" s="12"/>
      <x:c r="S218" s="12"/>
      <x:c r="T218" s="12"/>
      <x:c r="U218" s="28"/>
      <x:c r="V218" s="6"/>
      <x:c r="W218" s="6"/>
      <x:c r="X218" s="6"/>
      <x:c r="Y218" s="6"/>
      <x:c r="Z218" s="6"/>
      <x:c r="AA218" s="6"/>
      <x:c r="AB218" s="6"/>
      <x:c r="AC218" s="53"/>
      <x:c r="AD218" s="53"/>
    </x:row>
    <x:row r="219" ht="14.399999618530273">
      <x:c r="A219" s="4" t="s">
        <x:v>229</x:v>
      </x:c>
      <x:c r="B219" s="11"/>
      <x:c r="C219" s="11"/>
      <x:c r="D219" s="11"/>
      <x:c r="E219" s="25"/>
      <x:c r="F219" s="13">
        <x:v>5312</x:v>
      </x:c>
      <x:c r="G219" s="13">
        <x:v>5293</x:v>
      </x:c>
      <x:c r="H219" s="13">
        <x:v>2358</x:v>
      </x:c>
      <x:c r="I219" s="13">
        <x:v>1560</x:v>
      </x:c>
      <x:c r="J219" s="13">
        <x:v>2790</x:v>
      </x:c>
      <x:c r="K219" s="12"/>
      <x:c r="L219" s="12"/>
      <x:c r="M219" s="12"/>
      <x:c r="N219" s="12"/>
      <x:c r="O219" s="12"/>
      <x:c r="P219" s="12"/>
      <x:c r="Q219" s="12"/>
      <x:c r="R219" s="12"/>
      <x:c r="S219" s="12"/>
      <x:c r="T219" s="12"/>
      <x:c r="U219" s="28"/>
      <x:c r="V219" s="6"/>
      <x:c r="W219" s="6"/>
      <x:c r="X219" s="6"/>
      <x:c r="Y219" s="6"/>
      <x:c r="Z219" s="6"/>
      <x:c r="AA219" s="6"/>
      <x:c r="AB219" s="6"/>
      <x:c r="AC219" s="53"/>
      <x:c r="AD219" s="53"/>
    </x:row>
    <x:row r="220" ht="14.399999618530273">
      <x:c r="A220" s="3" t="s">
        <x:v>230</x:v>
      </x:c>
      <x:c r="B220" s="8">
        <x:v>102786</x:v>
      </x:c>
      <x:c r="C220" s="18" t="s">
        <x:v>16</x:v>
      </x:c>
      <x:c r="D220" s="18" t="s">
        <x:v>16</x:v>
      </x:c>
      <x:c r="E220" s="24"/>
      <x:c r="F220" s="10"/>
      <x:c r="G220" s="10"/>
      <x:c r="H220" s="10"/>
      <x:c r="I220" s="10"/>
      <x:c r="J220" s="10"/>
      <x:c r="K220" s="10"/>
      <x:c r="L220" s="10"/>
      <x:c r="M220" s="10"/>
      <x:c r="N220" s="10"/>
      <x:c r="O220" s="10"/>
      <x:c r="P220" s="10"/>
      <x:c r="Q220" s="10"/>
      <x:c r="R220" s="10"/>
      <x:c r="S220" s="10"/>
      <x:c r="T220" s="10"/>
      <x:c r="U220" s="28"/>
      <x:c r="V220" s="7"/>
      <x:c r="W220" s="7"/>
      <x:c r="X220" s="7"/>
      <x:c r="Y220" s="7"/>
      <x:c r="Z220" s="7"/>
      <x:c r="AA220" s="7"/>
      <x:c r="AB220" s="7"/>
      <x:c r="AC220" s="53"/>
      <x:c r="AD220" s="53"/>
    </x:row>
    <x:row r="221" ht="14.399999618530273">
      <x:c r="A221" s="3" t="s">
        <x:v>231</x:v>
      </x:c>
      <x:c r="B221" s="8">
        <x:v>1396310</x:v>
      </x:c>
      <x:c r="C221" s="8">
        <x:v>72606</x:v>
      </x:c>
      <x:c r="D221" s="8">
        <x:v>63817</x:v>
      </x:c>
      <x:c r="E221" s="24"/>
      <x:c r="F221" s="9">
        <x:v>132724</x:v>
      </x:c>
      <x:c r="G221" s="9">
        <x:v>32254</x:v>
      </x:c>
      <x:c r="H221" s="9">
        <x:v>265765</x:v>
      </x:c>
      <x:c r="I221" s="9">
        <x:v>258883</x:v>
      </x:c>
      <x:c r="J221" s="9">
        <x:v>9159</x:v>
      </x:c>
      <x:c r="K221" s="9">
        <x:v>154143</x:v>
      </x:c>
      <x:c r="L221" s="9">
        <x:v>70285</x:v>
      </x:c>
      <x:c r="M221" s="9">
        <x:v>155355</x:v>
      </x:c>
      <x:c r="N221" s="9">
        <x:v>119606</x:v>
      </x:c>
      <x:c r="O221" s="9">
        <x:v>198136</x:v>
      </x:c>
      <x:c r="P221" s="10"/>
      <x:c r="Q221" s="10"/>
      <x:c r="R221" s="10"/>
      <x:c r="S221" s="10"/>
      <x:c r="T221" s="10"/>
      <x:c r="U221" s="28"/>
      <x:c r="V221" s="7" t="n">
        <x:f>SUM(F221:T221)</x:f>
        <x:v>1396310</x:v>
      </x:c>
      <x:c r="W221" s="7" t="n">
        <x:f>SUM(F222:T222)</x:f>
        <x:v>72606</x:v>
      </x:c>
      <x:c r="X221" s="7" t="n">
        <x:f>SUM(F223:T223)</x:f>
        <x:v>63817</x:v>
      </x:c>
      <x:c r="Y221" s="7"/>
      <x:c r="Z221" s="7" t="n">
        <x:f>V221-B221</x:f>
        <x:v>0</x:v>
      </x:c>
      <x:c r="AA221" s="7" t="n">
        <x:f>W221-C221</x:f>
        <x:v>0</x:v>
      </x:c>
      <x:c r="AB221" s="7" t="n">
        <x:f>X221-D221</x:f>
        <x:v>0</x:v>
      </x:c>
      <x:c r="AC221" s="53" t="n">
        <x:v>52</x:v>
      </x:c>
      <x:c r="AD221" s="53" t="n">
        <x:v>45.7</x:v>
      </x:c>
    </x:row>
    <x:row r="222" ht="14.399999618530273">
      <x:c r="A222" s="4" t="s">
        <x:v>232</x:v>
      </x:c>
      <x:c r="B222" s="11"/>
      <x:c r="C222" s="11"/>
      <x:c r="D222" s="11"/>
      <x:c r="E222" s="25"/>
      <x:c r="F222" s="13">
        <x:v>5696</x:v>
      </x:c>
      <x:c r="G222" s="13">
        <x:v>1329</x:v>
      </x:c>
      <x:c r="H222" s="13">
        <x:v>15680</x:v>
      </x:c>
      <x:c r="I222" s="13">
        <x:v>15890</x:v>
      </x:c>
      <x:c r="J222" s="13">
        <x:v>303</x:v>
      </x:c>
      <x:c r="K222" s="13">
        <x:v>7233</x:v>
      </x:c>
      <x:c r="L222" s="13">
        <x:v>3765</x:v>
      </x:c>
      <x:c r="M222" s="13">
        <x:v>8434</x:v>
      </x:c>
      <x:c r="N222" s="13">
        <x:v>4359</x:v>
      </x:c>
      <x:c r="O222" s="13">
        <x:v>9917</x:v>
      </x:c>
      <x:c r="P222" s="12"/>
      <x:c r="Q222" s="12"/>
      <x:c r="R222" s="12"/>
      <x:c r="S222" s="12"/>
      <x:c r="T222" s="12"/>
      <x:c r="U222" s="28"/>
      <x:c r="V222" s="6"/>
      <x:c r="W222" s="6"/>
      <x:c r="X222" s="6"/>
      <x:c r="Y222" s="6"/>
      <x:c r="Z222" s="6"/>
      <x:c r="AA222" s="6"/>
      <x:c r="AB222" s="6"/>
      <x:c r="AC222" s="53"/>
      <x:c r="AD222" s="53"/>
    </x:row>
    <x:row r="223" ht="14.399999618530273">
      <x:c r="A223" s="4" t="s">
        <x:v>233</x:v>
      </x:c>
      <x:c r="B223" s="11"/>
      <x:c r="C223" s="11"/>
      <x:c r="D223" s="11"/>
      <x:c r="E223" s="25"/>
      <x:c r="F223" s="13">
        <x:v>5553</x:v>
      </x:c>
      <x:c r="G223" s="13">
        <x:v>768</x:v>
      </x:c>
      <x:c r="H223" s="13">
        <x:v>13840</x:v>
      </x:c>
      <x:c r="I223" s="13">
        <x:v>12530</x:v>
      </x:c>
      <x:c r="J223" s="13">
        <x:v>205</x:v>
      </x:c>
      <x:c r="K223" s="13">
        <x:v>5757</x:v>
      </x:c>
      <x:c r="L223" s="13">
        <x:v>4001</x:v>
      </x:c>
      <x:c r="M223" s="13">
        <x:v>7148</x:v>
      </x:c>
      <x:c r="N223" s="13">
        <x:v>5189</x:v>
      </x:c>
      <x:c r="O223" s="13">
        <x:v>8826</x:v>
      </x:c>
      <x:c r="P223" s="12"/>
      <x:c r="Q223" s="12"/>
      <x:c r="R223" s="12"/>
      <x:c r="S223" s="12"/>
      <x:c r="T223" s="12"/>
      <x:c r="U223" s="28"/>
      <x:c r="V223" s="6"/>
      <x:c r="W223" s="6"/>
      <x:c r="X223" s="6"/>
      <x:c r="Y223" s="6"/>
      <x:c r="Z223" s="6"/>
      <x:c r="AA223" s="6"/>
      <x:c r="AB223" s="6"/>
      <x:c r="AC223" s="53"/>
      <x:c r="AD223" s="53"/>
    </x:row>
    <x:row r="224" ht="14.399999618530273">
      <x:c r="A224" s="3" t="s">
        <x:v>234</x:v>
      </x:c>
      <x:c r="B224" s="8">
        <x:v>1328225</x:v>
      </x:c>
      <x:c r="C224" s="8">
        <x:v>64076</x:v>
      </x:c>
      <x:c r="D224" s="8">
        <x:v>38149</x:v>
      </x:c>
      <x:c r="E224" s="24"/>
      <x:c r="F224" s="9">
        <x:v>221656</x:v>
      </x:c>
      <x:c r="G224" s="9">
        <x:v>309368</x:v>
      </x:c>
      <x:c r="H224" s="9">
        <x:v>357121</x:v>
      </x:c>
      <x:c r="I224" s="9">
        <x:v>151310</x:v>
      </x:c>
      <x:c r="J224" s="9">
        <x:v>170605</x:v>
      </x:c>
      <x:c r="K224" s="9">
        <x:v>118165</x:v>
      </x:c>
      <x:c r="L224" s="10"/>
      <x:c r="M224" s="10"/>
      <x:c r="N224" s="10"/>
      <x:c r="O224" s="10"/>
      <x:c r="P224" s="10"/>
      <x:c r="Q224" s="10"/>
      <x:c r="R224" s="10"/>
      <x:c r="S224" s="10"/>
      <x:c r="T224" s="10"/>
      <x:c r="U224" s="28"/>
      <x:c r="V224" s="7" t="n">
        <x:f>SUM(F224:T224)</x:f>
        <x:v>1328225</x:v>
      </x:c>
      <x:c r="W224" s="7" t="n">
        <x:f>SUM(F225:T225)</x:f>
        <x:v>64076</x:v>
      </x:c>
      <x:c r="X224" s="7" t="n">
        <x:f>SUM(F226:T226)</x:f>
        <x:v>37149</x:v>
      </x:c>
      <x:c r="Y224" s="7"/>
      <x:c r="Z224" s="7" t="n">
        <x:f>V224-B224</x:f>
        <x:v>0</x:v>
      </x:c>
      <x:c r="AA224" s="7" t="n">
        <x:f>W224-C224</x:f>
        <x:v>0</x:v>
      </x:c>
      <x:c r="AB224" s="7" t="n">
        <x:f>X224-D224</x:f>
        <x:v>-1000</x:v>
      </x:c>
      <x:c r="AC224" s="53" t="n">
        <x:v>48.2</x:v>
      </x:c>
      <x:c r="AD224" s="53" t="n">
        <x:v>28.7</x:v>
      </x:c>
    </x:row>
    <x:row r="225" ht="14.399999618530273">
      <x:c r="A225" s="4" t="s">
        <x:v>235</x:v>
      </x:c>
      <x:c r="B225" s="11"/>
      <x:c r="C225" s="11"/>
      <x:c r="D225" s="11"/>
      <x:c r="E225" s="25"/>
      <x:c r="F225" s="13">
        <x:v>10860</x:v>
      </x:c>
      <x:c r="G225" s="13">
        <x:v>14428</x:v>
      </x:c>
      <x:c r="H225" s="13">
        <x:v>20127</x:v>
      </x:c>
      <x:c r="I225" s="13">
        <x:v>6337</x:v>
      </x:c>
      <x:c r="J225" s="13">
        <x:v>6897</x:v>
      </x:c>
      <x:c r="K225" s="13">
        <x:v>5427</x:v>
      </x:c>
      <x:c r="L225" s="12"/>
      <x:c r="M225" s="12"/>
      <x:c r="N225" s="12"/>
      <x:c r="O225" s="12"/>
      <x:c r="P225" s="12"/>
      <x:c r="Q225" s="12"/>
      <x:c r="R225" s="12"/>
      <x:c r="S225" s="12"/>
      <x:c r="T225" s="12"/>
      <x:c r="U225" s="28"/>
      <x:c r="V225" s="6"/>
      <x:c r="W225" s="6"/>
      <x:c r="X225" s="6"/>
      <x:c r="Y225" s="6"/>
      <x:c r="Z225" s="6"/>
      <x:c r="AA225" s="6"/>
      <x:c r="AB225" s="6"/>
      <x:c r="AC225" s="53"/>
      <x:c r="AD225" s="53"/>
    </x:row>
    <x:row r="226" ht="14.399999618530273">
      <x:c r="A226" s="4" t="s">
        <x:v>236</x:v>
      </x:c>
      <x:c r="B226" s="11"/>
      <x:c r="C226" s="11"/>
      <x:c r="D226" s="11"/>
      <x:c r="E226" s="25"/>
      <x:c r="F226" s="13">
        <x:v>7270</x:v>
      </x:c>
      <x:c r="G226" s="13">
        <x:v>6751</x:v>
      </x:c>
      <x:c r="H226" s="13">
        <x:v>10953</x:v>
      </x:c>
      <x:c r="I226" s="13">
        <x:v>5500</x:v>
      </x:c>
      <x:c r="J226" s="13">
        <x:v>3237</x:v>
      </x:c>
      <x:c r="K226" s="13">
        <x:v>3438</x:v>
      </x:c>
      <x:c r="L226" s="12"/>
      <x:c r="M226" s="12"/>
      <x:c r="N226" s="12"/>
      <x:c r="O226" s="12"/>
      <x:c r="P226" s="12"/>
      <x:c r="Q226" s="12"/>
      <x:c r="R226" s="12"/>
      <x:c r="S226" s="12"/>
      <x:c r="T226" s="12"/>
      <x:c r="U226" s="28"/>
      <x:c r="V226" s="6"/>
      <x:c r="W226" s="6"/>
      <x:c r="X226" s="6"/>
      <x:c r="Y226" s="6"/>
      <x:c r="Z226" s="6"/>
      <x:c r="AA226" s="6"/>
      <x:c r="AB226" s="6"/>
      <x:c r="AC226" s="53"/>
      <x:c r="AD226" s="53"/>
    </x:row>
    <x:row r="227" ht="14.399999618530273">
      <x:c r="A227" s="3" t="s">
        <x:v>237</x:v>
      </x:c>
      <x:c r="B227" s="8">
        <x:v>256488</x:v>
      </x:c>
      <x:c r="C227" s="8">
        <x:v>6239</x:v>
      </x:c>
      <x:c r="D227" s="8">
        <x:v>5678</x:v>
      </x:c>
      <x:c r="E227" s="24"/>
      <x:c r="F227" s="10"/>
      <x:c r="G227" s="10"/>
      <x:c r="H227" s="10"/>
      <x:c r="I227" s="10"/>
      <x:c r="J227" s="10"/>
      <x:c r="K227" s="10"/>
      <x:c r="L227" s="10"/>
      <x:c r="M227" s="10"/>
      <x:c r="N227" s="10"/>
      <x:c r="O227" s="10"/>
      <x:c r="P227" s="10"/>
      <x:c r="Q227" s="10"/>
      <x:c r="R227" s="10"/>
      <x:c r="S227" s="10"/>
      <x:c r="T227" s="10"/>
      <x:c r="U227" s="28"/>
      <x:c r="V227" s="7"/>
      <x:c r="W227" s="7"/>
      <x:c r="X227" s="7"/>
      <x:c r="Y227" s="7"/>
      <x:c r="Z227" s="7"/>
      <x:c r="AA227" s="7"/>
      <x:c r="AB227" s="7"/>
      <x:c r="AC227" s="53" t="n">
        <x:v>24.3</x:v>
      </x:c>
      <x:c r="AD227" s="53" t="n">
        <x:v>22.1</x:v>
      </x:c>
    </x:row>
    <x:row r="228" ht="14.399999618530273">
      <x:c r="A228" s="3" t="s">
        <x:v>238</x:v>
      </x:c>
      <x:c r="B228" s="8">
        <x:v>15358</x:v>
      </x:c>
      <x:c r="C228" s="8">
        <x:v>460</x:v>
      </x:c>
      <x:c r="D228" s="8">
        <x:v>194</x:v>
      </x:c>
      <x:c r="E228" s="24"/>
      <x:c r="F228" s="10"/>
      <x:c r="G228" s="10"/>
      <x:c r="H228" s="10"/>
      <x:c r="I228" s="10"/>
      <x:c r="J228" s="10"/>
      <x:c r="K228" s="10"/>
      <x:c r="L228" s="10"/>
      <x:c r="M228" s="10"/>
      <x:c r="N228" s="10"/>
      <x:c r="O228" s="10"/>
      <x:c r="P228" s="10"/>
      <x:c r="Q228" s="10"/>
      <x:c r="R228" s="10"/>
      <x:c r="S228" s="10"/>
      <x:c r="T228" s="10"/>
      <x:c r="U228" s="28"/>
      <x:c r="V228" s="7"/>
      <x:c r="W228" s="7"/>
      <x:c r="X228" s="7"/>
      <x:c r="Y228" s="7"/>
      <x:c r="Z228" s="7"/>
      <x:c r="AA228" s="7"/>
      <x:c r="AB228" s="7"/>
      <x:c r="AC228" s="53" t="n">
        <x:v>30.6</x:v>
      </x:c>
      <x:c r="AD228" s="53" t="n">
        <x:v>12.9</x:v>
      </x:c>
    </x:row>
    <x:row r="229" ht="14.399999618530273">
      <x:c r="A229" s="19" t="s">
        <x:v>239</x:v>
      </x:c>
      <x:c r="B229" s="20">
        <x:v>4609499</x:v>
      </x:c>
      <x:c r="C229" s="20">
        <x:v>187046</x:v>
      </x:c>
      <x:c r="D229" s="20">
        <x:v>141915</x:v>
      </x:c>
      <x:c r="E229" s="24"/>
      <x:c r="F229" s="21"/>
      <x:c r="G229" s="21"/>
      <x:c r="H229" s="21"/>
      <x:c r="I229" s="21"/>
      <x:c r="J229" s="21"/>
      <x:c r="K229" s="21"/>
      <x:c r="L229" s="21"/>
      <x:c r="M229" s="21"/>
      <x:c r="N229" s="21"/>
      <x:c r="O229" s="21"/>
      <x:c r="P229" s="21"/>
      <x:c r="Q229" s="21"/>
      <x:c r="R229" s="21"/>
      <x:c r="S229" s="21"/>
      <x:c r="T229" s="21"/>
      <x:c r="U229" s="28"/>
      <x:c r="V229" s="22"/>
      <x:c r="W229" s="22"/>
      <x:c r="X229" s="22"/>
      <x:c r="Y229" s="22"/>
      <x:c r="Z229" s="22"/>
      <x:c r="AA229" s="22"/>
      <x:c r="AB229" s="22"/>
      <x:c r="AC229" s="53" t="n">
        <x:v>48</x:v>
      </x:c>
      <x:c r="AD229" s="53" t="n">
        <x:v>36.4</x:v>
      </x:c>
    </x:row>
    <x:row r="230" ht="14.399999618530273">
      <x:c r="A230" s="4" t="s">
        <x:v>240</x:v>
      </x:c>
      <x:c r="B230" s="16">
        <x:v>485700</x:v>
      </x:c>
      <x:c r="C230" s="16">
        <x:v>14591</x:v>
      </x:c>
      <x:c r="D230" s="16">
        <x:v>10324</x:v>
      </x:c>
      <x:c r="E230" s="24"/>
      <x:c r="F230" s="12"/>
      <x:c r="G230" s="12"/>
      <x:c r="H230" s="12"/>
      <x:c r="I230" s="12"/>
      <x:c r="J230" s="12"/>
      <x:c r="K230" s="12"/>
      <x:c r="L230" s="12"/>
      <x:c r="M230" s="12"/>
      <x:c r="N230" s="12"/>
      <x:c r="O230" s="12"/>
      <x:c r="P230" s="12"/>
      <x:c r="Q230" s="12"/>
      <x:c r="R230" s="12"/>
      <x:c r="S230" s="12"/>
      <x:c r="T230" s="12"/>
      <x:c r="U230" s="28"/>
      <x:c r="V230" s="6"/>
      <x:c r="W230" s="6"/>
      <x:c r="X230" s="6"/>
      <x:c r="Y230" s="6"/>
      <x:c r="Z230" s="6"/>
      <x:c r="AA230" s="6"/>
      <x:c r="AB230" s="6"/>
      <x:c r="AC230" s="53" t="n">
        <x:v>30</x:v>
      </x:c>
      <x:c r="AD230" s="53" t="n">
        <x:v>21.2</x:v>
      </x:c>
    </x:row>
    <x:row r="231" ht="14.399999618530273">
      <x:c r="A231" s="4" t="s">
        <x:v>241</x:v>
      </x:c>
      <x:c r="B231" s="16">
        <x:v>695922</x:v>
      </x:c>
      <x:c r="C231" s="17" t="s">
        <x:v>16</x:v>
      </x:c>
      <x:c r="D231" s="17" t="s">
        <x:v>16</x:v>
      </x:c>
      <x:c r="E231" s="24"/>
      <x:c r="F231" s="12"/>
      <x:c r="G231" s="12"/>
      <x:c r="H231" s="12"/>
      <x:c r="I231" s="12"/>
      <x:c r="J231" s="12"/>
      <x:c r="K231" s="12"/>
      <x:c r="L231" s="12"/>
      <x:c r="M231" s="12"/>
      <x:c r="N231" s="12"/>
      <x:c r="O231" s="12"/>
      <x:c r="P231" s="12"/>
      <x:c r="Q231" s="12"/>
      <x:c r="R231" s="12"/>
      <x:c r="S231" s="12"/>
      <x:c r="T231" s="12"/>
      <x:c r="U231" s="28"/>
      <x:c r="V231" s="6"/>
      <x:c r="W231" s="6"/>
      <x:c r="X231" s="6"/>
      <x:c r="Y231" s="6"/>
      <x:c r="Z231" s="6"/>
      <x:c r="AA231" s="6"/>
      <x:c r="AB231" s="6"/>
      <x:c r="AC231" s="53"/>
      <x:c r="AD231" s="53"/>
    </x:row>
    <x:row r="232" ht="14.399999618530273">
      <x:c r="A232" s="4" t="s">
        <x:v>242</x:v>
      </x:c>
      <x:c r="B232" s="16">
        <x:v>703637</x:v>
      </x:c>
      <x:c r="C232" s="17" t="s">
        <x:v>16</x:v>
      </x:c>
      <x:c r="D232" s="17" t="s">
        <x:v>16</x:v>
      </x:c>
      <x:c r="E232" s="24"/>
      <x:c r="F232" s="12"/>
      <x:c r="G232" s="12"/>
      <x:c r="H232" s="12"/>
      <x:c r="I232" s="12"/>
      <x:c r="J232" s="12"/>
      <x:c r="K232" s="12"/>
      <x:c r="L232" s="12"/>
      <x:c r="M232" s="12"/>
      <x:c r="N232" s="12"/>
      <x:c r="O232" s="12"/>
      <x:c r="P232" s="12"/>
      <x:c r="Q232" s="12"/>
      <x:c r="R232" s="12"/>
      <x:c r="S232" s="12"/>
      <x:c r="T232" s="12"/>
      <x:c r="U232" s="28"/>
      <x:c r="V232" s="6"/>
      <x:c r="W232" s="6"/>
      <x:c r="X232" s="6"/>
      <x:c r="Y232" s="6"/>
      <x:c r="Z232" s="6"/>
      <x:c r="AA232" s="6"/>
      <x:c r="AB232" s="6"/>
      <x:c r="AC232" s="53"/>
      <x:c r="AD232" s="53"/>
    </x:row>
    <x:row r="233" ht="14.399999618530273">
      <x:c r="A233" s="4" t="s">
        <x:v>243</x:v>
      </x:c>
      <x:c r="B233" s="16">
        <x:v>576578</x:v>
      </x:c>
      <x:c r="C233" s="16">
        <x:v>10000</x:v>
      </x:c>
      <x:c r="D233" s="16">
        <x:v>9753</x:v>
      </x:c>
      <x:c r="E233" s="24"/>
      <x:c r="F233" s="12"/>
      <x:c r="G233" s="12"/>
      <x:c r="H233" s="12"/>
      <x:c r="I233" s="12"/>
      <x:c r="J233" s="12"/>
      <x:c r="K233" s="12"/>
      <x:c r="L233" s="12"/>
      <x:c r="M233" s="12"/>
      <x:c r="N233" s="12"/>
      <x:c r="O233" s="12"/>
      <x:c r="P233" s="12"/>
      <x:c r="Q233" s="12"/>
      <x:c r="R233" s="12"/>
      <x:c r="S233" s="12"/>
      <x:c r="T233" s="12"/>
      <x:c r="U233" s="28"/>
      <x:c r="V233" s="6"/>
      <x:c r="W233" s="6"/>
      <x:c r="X233" s="6"/>
      <x:c r="Y233" s="6"/>
      <x:c r="Z233" s="6"/>
      <x:c r="AA233" s="6"/>
      <x:c r="AB233" s="6"/>
      <x:c r="AC233" s="53" t="n">
        <x:v>17.3</x:v>
      </x:c>
      <x:c r="AD233" s="53" t="n">
        <x:v>16.9</x:v>
      </x:c>
    </x:row>
    <x:row r="234" ht="14.399999618530273">
      <x:c r="A234" s="4" t="s">
        <x:v>244</x:v>
      </x:c>
      <x:c r="B234" s="16">
        <x:v>554205</x:v>
      </x:c>
      <x:c r="C234" s="16">
        <x:v>16381</x:v>
      </x:c>
      <x:c r="D234" s="16">
        <x:v>11969</x:v>
      </x:c>
      <x:c r="E234" s="24"/>
      <x:c r="F234" s="12"/>
      <x:c r="G234" s="12"/>
      <x:c r="H234" s="12"/>
      <x:c r="I234" s="12"/>
      <x:c r="J234" s="12"/>
      <x:c r="K234" s="12"/>
      <x:c r="L234" s="12"/>
      <x:c r="M234" s="12"/>
      <x:c r="N234" s="12"/>
      <x:c r="O234" s="12"/>
      <x:c r="P234" s="12"/>
      <x:c r="Q234" s="12"/>
      <x:c r="R234" s="12"/>
      <x:c r="S234" s="12"/>
      <x:c r="T234" s="12"/>
      <x:c r="U234" s="28"/>
      <x:c r="V234" s="6"/>
      <x:c r="W234" s="6"/>
      <x:c r="X234" s="6"/>
      <x:c r="Y234" s="6"/>
      <x:c r="Z234" s="6"/>
      <x:c r="AA234" s="6"/>
      <x:c r="AB234" s="6"/>
      <x:c r="AC234" s="53" t="n">
        <x:v>29.5</x:v>
      </x:c>
      <x:c r="AD234" s="53" t="n">
        <x:v>21.6</x:v>
      </x:c>
    </x:row>
    <x:row r="235" ht="14.399999618530273">
      <x:c r="A235" s="4" t="s">
        <x:v>245</x:v>
      </x:c>
      <x:c r="B235" s="16">
        <x:v>1183344</x:v>
      </x:c>
      <x:c r="C235" s="17" t="s">
        <x:v>16</x:v>
      </x:c>
      <x:c r="D235" s="17" t="s">
        <x:v>16</x:v>
      </x:c>
      <x:c r="E235" s="24"/>
      <x:c r="F235" s="12"/>
      <x:c r="G235" s="12"/>
      <x:c r="H235" s="12"/>
      <x:c r="I235" s="12"/>
      <x:c r="J235" s="12"/>
      <x:c r="K235" s="12"/>
      <x:c r="L235" s="12"/>
      <x:c r="M235" s="12"/>
      <x:c r="N235" s="12"/>
      <x:c r="O235" s="12"/>
      <x:c r="P235" s="12"/>
      <x:c r="Q235" s="12"/>
      <x:c r="R235" s="12"/>
      <x:c r="S235" s="12"/>
      <x:c r="T235" s="12"/>
      <x:c r="U235" s="28"/>
      <x:c r="V235" s="6"/>
      <x:c r="W235" s="6"/>
      <x:c r="X235" s="6"/>
      <x:c r="Y235" s="6"/>
      <x:c r="Z235" s="6"/>
      <x:c r="AA235" s="6"/>
      <x:c r="AB235" s="6"/>
      <x:c r="AC235" s="53"/>
      <x:c r="AD235" s="53"/>
    </x:row>
    <x:row r="236" ht="14.399999618530273">
      <x:c r="A236" s="4" t="s">
        <x:v>246</x:v>
      </x:c>
      <x:c r="B236" s="16">
        <x:v>351243</x:v>
      </x:c>
      <x:c r="C236" s="16">
        <x:v>1523</x:v>
      </x:c>
      <x:c r="D236" s="16">
        <x:v>842</x:v>
      </x:c>
      <x:c r="E236" s="24"/>
      <x:c r="F236" s="12"/>
      <x:c r="G236" s="12"/>
      <x:c r="H236" s="12"/>
      <x:c r="I236" s="12"/>
      <x:c r="J236" s="12"/>
      <x:c r="K236" s="12"/>
      <x:c r="L236" s="12"/>
      <x:c r="M236" s="12"/>
      <x:c r="N236" s="12"/>
      <x:c r="O236" s="12"/>
      <x:c r="P236" s="12"/>
      <x:c r="Q236" s="12"/>
      <x:c r="R236" s="12"/>
      <x:c r="S236" s="12"/>
      <x:c r="T236" s="12"/>
      <x:c r="U236" s="28"/>
      <x:c r="V236" s="6"/>
      <x:c r="W236" s="6"/>
      <x:c r="X236" s="6"/>
      <x:c r="Y236" s="6"/>
      <x:c r="Z236" s="6"/>
      <x:c r="AA236" s="6"/>
      <x:c r="AB236" s="6"/>
      <x:c r="AC236" s="53"/>
      <x:c r="AD236" s="53"/>
    </x:row>
    <x:row r="237" ht="14.399999618530273">
      <x:c r="A237" s="4" t="s">
        <x:v>247</x:v>
      </x:c>
      <x:c r="B237" s="16">
        <x:v>547162</x:v>
      </x:c>
      <x:c r="C237" s="16">
        <x:v>6921</x:v>
      </x:c>
      <x:c r="D237" s="16">
        <x:v>4511</x:v>
      </x:c>
      <x:c r="E237" s="24"/>
      <x:c r="F237" s="12"/>
      <x:c r="G237" s="12"/>
      <x:c r="H237" s="12"/>
      <x:c r="I237" s="12"/>
      <x:c r="J237" s="12"/>
      <x:c r="K237" s="12"/>
      <x:c r="L237" s="12"/>
      <x:c r="M237" s="12"/>
      <x:c r="N237" s="12"/>
      <x:c r="O237" s="12"/>
      <x:c r="P237" s="12"/>
      <x:c r="Q237" s="12"/>
      <x:c r="R237" s="12"/>
      <x:c r="S237" s="12"/>
      <x:c r="T237" s="12"/>
      <x:c r="U237" s="28"/>
      <x:c r="V237" s="6"/>
      <x:c r="W237" s="6"/>
      <x:c r="X237" s="6"/>
      <x:c r="Y237" s="6"/>
      <x:c r="Z237" s="6"/>
      <x:c r="AA237" s="6"/>
      <x:c r="AB237" s="6"/>
      <x:c r="AC237" s="53" t="n">
        <x:v>12.6</x:v>
      </x:c>
      <x:c r="AD237" s="53"/>
    </x:row>
    <x:row r="238" ht="14.399999618530273">
      <x:c r="A238" s="4" t="s">
        <x:v>248</x:v>
      </x:c>
      <x:c r="B238" s="16">
        <x:v>815934</x:v>
      </x:c>
      <x:c r="C238" s="16">
        <x:v>42533</x:v>
      </x:c>
      <x:c r="D238" s="16">
        <x:v>27557</x:v>
      </x:c>
      <x:c r="E238" s="24"/>
      <x:c r="F238" s="12"/>
      <x:c r="G238" s="12"/>
      <x:c r="H238" s="12"/>
      <x:c r="I238" s="12"/>
      <x:c r="J238" s="12"/>
      <x:c r="K238" s="12"/>
      <x:c r="L238" s="12"/>
      <x:c r="M238" s="12"/>
      <x:c r="N238" s="12"/>
      <x:c r="O238" s="12"/>
      <x:c r="P238" s="12"/>
      <x:c r="Q238" s="12"/>
      <x:c r="R238" s="12"/>
      <x:c r="S238" s="12"/>
      <x:c r="T238" s="12"/>
      <x:c r="U238" s="28"/>
      <x:c r="V238" s="6"/>
      <x:c r="W238" s="6"/>
      <x:c r="X238" s="6"/>
      <x:c r="Y238" s="6"/>
      <x:c r="Z238" s="6"/>
      <x:c r="AA238" s="6"/>
      <x:c r="AB238" s="6"/>
      <x:c r="AC238" s="53" t="n">
        <x:v>53</x:v>
      </x:c>
      <x:c r="AD238" s="53" t="n">
        <x:v>33.8</x:v>
      </x:c>
    </x:row>
    <x:row r="239" ht="14.399999618530273">
      <x:c r="A239" s="19" t="s">
        <x:v>249</x:v>
      </x:c>
      <x:c r="B239" s="20">
        <x:v>5913725</x:v>
      </x:c>
      <x:c r="C239" s="20">
        <x:v>92949</x:v>
      </x:c>
      <x:c r="D239" s="20">
        <x:v>64963</x:v>
      </x:c>
      <x:c r="E239" s="24"/>
      <x:c r="F239" s="21"/>
      <x:c r="G239" s="21"/>
      <x:c r="H239" s="21"/>
      <x:c r="I239" s="21"/>
      <x:c r="J239" s="21"/>
      <x:c r="K239" s="21"/>
      <x:c r="L239" s="21"/>
      <x:c r="M239" s="21"/>
      <x:c r="N239" s="21"/>
      <x:c r="O239" s="21"/>
      <x:c r="P239" s="21"/>
      <x:c r="Q239" s="21"/>
      <x:c r="R239" s="21"/>
      <x:c r="S239" s="21"/>
      <x:c r="T239" s="21"/>
      <x:c r="U239" s="28"/>
      <x:c r="V239" s="22"/>
      <x:c r="W239" s="22"/>
      <x:c r="X239" s="22"/>
      <x:c r="Y239" s="22"/>
      <x:c r="Z239" s="22"/>
      <x:c r="AA239" s="22"/>
      <x:c r="AB239" s="22"/>
      <x:c r="AC239" s="53" t="n">
        <x:v>34.7</x:v>
      </x:c>
      <x:c r="AD239" s="53" t="n">
        <x:v>24.5</x:v>
      </x:c>
    </x:row>
    <x:row r="240" ht="14.399999618530273">
      <x:c r="A240" s="19" t="s">
        <x:v>250</x:v>
      </x:c>
      <x:c r="B240" s="20">
        <x:v>112342758</x:v>
      </x:c>
      <x:c r="C240" s="20">
        <x:v>5116996</x:v>
      </x:c>
      <x:c r="D240" s="20">
        <x:v>3335518</x:v>
      </x:c>
      <x:c r="E240" s="24"/>
      <x:c r="F240" s="21"/>
      <x:c r="G240" s="21"/>
      <x:c r="H240" s="21"/>
      <x:c r="I240" s="21"/>
      <x:c r="J240" s="21"/>
      <x:c r="K240" s="21"/>
      <x:c r="L240" s="21"/>
      <x:c r="M240" s="21"/>
      <x:c r="N240" s="21"/>
      <x:c r="O240" s="21"/>
      <x:c r="P240" s="21"/>
      <x:c r="Q240" s="21"/>
      <x:c r="R240" s="21"/>
      <x:c r="S240" s="21"/>
      <x:c r="T240" s="21"/>
      <x:c r="U240" s="28"/>
      <x:c r="V240" s="22"/>
      <x:c r="W240" s="22"/>
      <x:c r="X240" s="22"/>
      <x:c r="Y240" s="22"/>
      <x:c r="Z240" s="22"/>
      <x:c r="AA240" s="22"/>
      <x:c r="AB240" s="22"/>
      <x:c r="AC240" s="53" t="n">
        <x:v>47.6</x:v>
      </x:c>
      <x:c r="AD240" s="53" t="n">
        <x:v>31</x:v>
      </x:c>
    </x:row>
  </x:sheetData>
  <x:mergeCells>
    <x:mergeCell ref="F1:T1"/>
  </x:mergeCells>
  <x:pageMargins left="0.7" right="0.7" top="0.75" bottom="0.75" header="0.3" footer="0.3"/>
</x:worksheet>
</file>