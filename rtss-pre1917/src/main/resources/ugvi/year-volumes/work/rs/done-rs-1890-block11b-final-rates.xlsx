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1906daff4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a814385be824d97"/>
  </x:sheets>
</x:workbook>
</file>

<file path=xl/sharedStrings.xml><?xml version="1.0" encoding="utf-8"?>
<x:sst xmlns:x="http://schemas.openxmlformats.org/spreadsheetml/2006/main">
  <x:si>
    <x:t xml:space="preserve">губ</x:t>
  </x:si>
  <x:si>
    <x:t xml:space="preserve">чж NYY</x:t>
  </x:si>
  <x:si>
    <x:t xml:space="preserve">чр YY</x:t>
  </x:si>
  <x:si>
    <x:t xml:space="preserve">чу YY</x:t>
  </x:si>
  <x:si>
    <x:t xml:space="preserve">чж-гор NYY</x:t>
  </x:si>
  <x:si>
    <x:t xml:space="preserve">чр-гор YY</x:t>
  </x:si>
  <x:si>
    <x:t xml:space="preserve">чу-гор YY</x:t>
  </x:si>
  <x:si>
    <x:t xml:space="preserve">ср-чж 1887-1889</x:t>
  </x:si>
  <x:si>
    <x:t xml:space="preserve">ср-чр 1887-1889</x:t>
  </x:si>
  <x:si>
    <x:t xml:space="preserve">ср-чу 1887-1889</x:t>
  </x:si>
  <x:si>
    <x:t xml:space="preserve">уезды</x:t>
  </x:si>
  <x:si>
    <x:t xml:space="preserve">v-sum-уезды</x:t>
  </x:si>
  <x:si>
    <x:t xml:space="preserve">v-diff-уезды</x:t>
  </x:si>
  <x:si>
    <x:t xml:space="preserve">v-чж NYY</x:t>
  </x:si>
  <x:si>
    <x:t xml:space="preserve">v-чр YY</x:t>
  </x:si>
  <x:si>
    <x:t xml:space="preserve">v-чу YY</x:t>
  </x:si>
  <x:si>
    <x:t xml:space="preserve">v-чж-гор NYY</x:t>
  </x:si>
  <x:si>
    <x:t xml:space="preserve">v-чр-гор YY</x:t>
  </x:si>
  <x:si>
    <x:t xml:space="preserve">v-чу-гор YY</x:t>
  </x:si>
  <x:si>
    <x:t xml:space="preserve">v-ср-чж 1887-1889</x:t>
  </x:si>
  <x:si>
    <x:t xml:space="preserve">v-ср-чр 1887-1889</x:t>
  </x:si>
  <x:si>
    <x:t xml:space="preserve">v-ср-чу 1887-1889</x:t>
  </x:si>
  <x:si>
    <x:t xml:space="preserve">v-d-чж NYY</x:t>
  </x:si>
  <x:si>
    <x:t xml:space="preserve">v-d-чр YY</x:t>
  </x:si>
  <x:si>
    <x:t xml:space="preserve">v-d-чу YY</x:t>
  </x:si>
  <x:si>
    <x:t xml:space="preserve">v-d-чж-гор NYY</x:t>
  </x:si>
  <x:si>
    <x:t xml:space="preserve">v-d-чр-гор YY</x:t>
  </x:si>
  <x:si>
    <x:t xml:space="preserve">v-d-чу-гор YY</x:t>
  </x:si>
  <x:si>
    <x:t xml:space="preserve">v-d-ср-чж 1887-1889</x:t>
  </x:si>
  <x:si>
    <x:t xml:space="preserve">v-d-ср-чр 1887-1889</x:t>
  </x:si>
  <x:si>
    <x:t xml:space="preserve">v-d-ср-чу 1887-1889</x:t>
  </x:si>
  <x:si>
    <x:t xml:space="preserve">Архангельская</x:t>
  </x:si>
  <x:si>
    <x:t xml:space="preserve">[Архангельская род.]</x:t>
  </x:si>
  <x:si>
    <x:t xml:space="preserve">[Архангельская ум.]</x:t>
  </x:si>
  <x:si>
    <x:t xml:space="preserve">Астраханская</x:t>
  </x:si>
  <x:si>
    <x:t xml:space="preserve">[Астраханская род.]</x:t>
  </x:si>
  <x:si>
    <x:t xml:space="preserve">—</x:t>
  </x:si>
  <x:si>
    <x:t xml:space="preserve">[Астраханская ум.]</x:t>
  </x:si>
  <x:si>
    <x:t xml:space="preserve">Виленская</x:t>
  </x:si>
  <x:si>
    <x:t xml:space="preserve">[Виленская род.]</x:t>
  </x:si>
  <x:si>
    <x:t xml:space="preserve">[Виленская ум.]</x:t>
  </x:si>
  <x:si>
    <x:t xml:space="preserve">Витебская</x:t>
  </x:si>
  <x:si>
    <x:t xml:space="preserve">[Витебская род.]</x:t>
  </x:si>
  <x:si>
    <x:t xml:space="preserve">[Витебская ум.]</x:t>
  </x:si>
  <x:si>
    <x:t xml:space="preserve">Волынская</x:t>
  </x:si>
  <x:si>
    <x:t xml:space="preserve">[Волынская род.]</x:t>
  </x:si>
  <x:si>
    <x:t xml:space="preserve">[Волынская ум.]</x:t>
  </x:si>
  <x:si>
    <x:t xml:space="preserve">Гродненская</x:t>
  </x:si>
  <x:si>
    <x:t xml:space="preserve">[Гродненская род.]</x:t>
  </x:si>
  <x:si>
    <x:t xml:space="preserve">[Гродненская ум.]</x:t>
  </x:si>
  <x:si>
    <x:t xml:space="preserve">Киевская</x:t>
  </x:si>
  <x:si>
    <x:t xml:space="preserve">[Киевская род.]</x:t>
  </x:si>
  <x:si>
    <x:t xml:space="preserve">[Киевская ум.]</x:t>
  </x:si>
  <x:si>
    <x:t xml:space="preserve">Ковенская</x:t>
  </x:si>
  <x:si>
    <x:t xml:space="preserve">[Ковенская род.]</x:t>
  </x:si>
  <x:si>
    <x:t xml:space="preserve">[Ковенская ум.]</x:t>
  </x:si>
  <x:si>
    <x:t xml:space="preserve">Минская</x:t>
  </x:si>
  <x:si>
    <x:t xml:space="preserve">[Минская род.]</x:t>
  </x:si>
  <x:si>
    <x:t xml:space="preserve">[Минская ум.]</x:t>
  </x:si>
  <x:si>
    <x:t xml:space="preserve">Могилевская</x:t>
  </x:si>
  <x:si>
    <x:t xml:space="preserve">[Могилевская род.]</x:t>
  </x:si>
  <x:si>
    <x:t xml:space="preserve">[Могилевская ум.]</x:t>
  </x:si>
  <x:si>
    <x:t xml:space="preserve">Оренбургская</x:t>
  </x:si>
  <x:si>
    <x:t xml:space="preserve">[Оренбургская род.]</x:t>
  </x:si>
  <x:si>
    <x:t xml:space="preserve">[Оренбургская ум.]</x:t>
  </x:si>
  <x:si>
    <x:t xml:space="preserve">Подольская</x:t>
  </x:si>
  <x:si>
    <x:t xml:space="preserve">[Подольская род.]</x:t>
  </x:si>
  <x:si>
    <x:t xml:space="preserve">[Подольская ум.]</x:t>
  </x:si>
  <x:si>
    <x:t xml:space="preserve">Итого в неземских губерниях</x:t>
  </x:si>
  <x:si>
    <x:t xml:space="preserve">Г. Варшава</x:t>
  </x:si>
  <x:si>
    <x:t xml:space="preserve">Варшавская</x:t>
  </x:si>
  <x:si>
    <x:t xml:space="preserve">[Варшавская род.]</x:t>
  </x:si>
  <x:si>
    <x:t xml:space="preserve">[Варшавская ум.]</x:t>
  </x:si>
  <x:si>
    <x:t xml:space="preserve">Калишская</x:t>
  </x:si>
  <x:si>
    <x:t xml:space="preserve">[Калишская род.]</x:t>
  </x:si>
  <x:si>
    <x:t xml:space="preserve">[Калишская ум.]</x:t>
  </x:si>
  <x:si>
    <x:t xml:space="preserve">Келецкая</x:t>
  </x:si>
  <x:si>
    <x:t xml:space="preserve">[Келецкая род.]</x:t>
  </x:si>
  <x:si>
    <x:t xml:space="preserve">[Келецкая ум.]</x:t>
  </x:si>
  <x:si>
    <x:t xml:space="preserve">Ломжинская</x:t>
  </x:si>
  <x:si>
    <x:t xml:space="preserve">[Ломжинская род.]</x:t>
  </x:si>
  <x:si>
    <x:t xml:space="preserve">[Ломжинская ум.]</x:t>
  </x:si>
  <x:si>
    <x:t xml:space="preserve">Люблинская</x:t>
  </x:si>
  <x:si>
    <x:t xml:space="preserve">[Люблинская род.]</x:t>
  </x:si>
  <x:si>
    <x:t xml:space="preserve">[Люблинская ум.]</x:t>
  </x:si>
  <x:si>
    <x:t xml:space="preserve">Петроковская</x:t>
  </x:si>
  <x:si>
    <x:t xml:space="preserve">[Петроковская род.]</x:t>
  </x:si>
  <x:si>
    <x:t xml:space="preserve">[Петроковская ум.]</x:t>
  </x:si>
  <x:si>
    <x:t xml:space="preserve">Плоцкая</x:t>
  </x:si>
  <x:si>
    <x:t xml:space="preserve">[Плоцкая род.]</x:t>
  </x:si>
  <x:si>
    <x:t xml:space="preserve">[Плоцкая ум.]</x:t>
  </x:si>
  <x:si>
    <x:t xml:space="preserve">Радомская</x:t>
  </x:si>
  <x:si>
    <x:t xml:space="preserve">[Радомская род.]</x:t>
  </x:si>
  <x:si>
    <x:t xml:space="preserve">[Радомская ум.]</x:t>
  </x:si>
  <x:si>
    <x:t xml:space="preserve">Сувалкская</x:t>
  </x:si>
  <x:si>
    <x:t xml:space="preserve">[Сувалкская род.]</x:t>
  </x:si>
  <x:si>
    <x:t xml:space="preserve">[Сувалкская ум.]</x:t>
  </x:si>
  <x:si>
    <x:t xml:space="preserve">Седлецкая</x:t>
  </x:si>
  <x:si>
    <x:t xml:space="preserve">[Седлецкая род.]</x:t>
  </x:si>
  <x:si>
    <x:t xml:space="preserve">[Седлецкая ум.]</x:t>
  </x:si>
  <x:si>
    <x:t xml:space="preserve">Итого в привислинских губерниях</x:t>
  </x:si>
  <x:si>
    <x:t xml:space="preserve">Курляндская</x:t>
  </x:si>
  <x:si>
    <x:t xml:space="preserve">[Курляндская род.]</x:t>
  </x:si>
  <x:si>
    <x:t xml:space="preserve">[Курляндская ум.]</x:t>
  </x:si>
  <x:si>
    <x:t xml:space="preserve">Лифляндская</x:t>
  </x:si>
  <x:si>
    <x:t xml:space="preserve">[Лифляндская род.]</x:t>
  </x:si>
  <x:si>
    <x:t xml:space="preserve">[Лифляндская ум.]</x:t>
  </x:si>
  <x:si>
    <x:t xml:space="preserve">Эстляндская</x:t>
  </x:si>
  <x:si>
    <x:t xml:space="preserve">[Эстляндская род.]</x:t>
  </x:si>
  <x:si>
    <x:t xml:space="preserve">[Эстляндская ум.]</x:t>
  </x:si>
  <x:si>
    <x:t xml:space="preserve">Итого в остзейских губерниях</x:t>
  </x:si>
  <x:si>
    <x:t xml:space="preserve">Бессарабская</x:t>
  </x:si>
  <x:si>
    <x:t xml:space="preserve">[Бессарабская род.]</x:t>
  </x:si>
  <x:si>
    <x:t xml:space="preserve">[Бессарабская ум.]</x:t>
  </x:si>
  <x:si>
    <x:t xml:space="preserve">Владимирская</x:t>
  </x:si>
  <x:si>
    <x:t xml:space="preserve">[Владимирская род.]</x:t>
  </x:si>
  <x:si>
    <x:t xml:space="preserve">[Владимирская ум.]</x:t>
  </x:si>
  <x:si>
    <x:t xml:space="preserve">Вологодская</x:t>
  </x:si>
  <x:si>
    <x:t xml:space="preserve">[Вологодская род.]</x:t>
  </x:si>
  <x:si>
    <x:t xml:space="preserve">[Вологодская ум.]</x:t>
  </x:si>
  <x:si>
    <x:t xml:space="preserve">Воронежская</x:t>
  </x:si>
  <x:si>
    <x:t xml:space="preserve">[Воронежская род.]</x:t>
  </x:si>
  <x:si>
    <x:t xml:space="preserve">[Воронежская ум.]</x:t>
  </x:si>
  <x:si>
    <x:t xml:space="preserve">Вятская</x:t>
  </x:si>
  <x:si>
    <x:t xml:space="preserve">[Вятская род.]</x:t>
  </x:si>
  <x:si>
    <x:t xml:space="preserve">[Вятская ум.]</x:t>
  </x:si>
  <x:si>
    <x:t xml:space="preserve">Екатеринославская</x:t>
  </x:si>
  <x:si>
    <x:t xml:space="preserve">[Екатеринославская род.]</x:t>
  </x:si>
  <x:si>
    <x:t xml:space="preserve">[Екатеринославская ум.]</x:t>
  </x:si>
  <x:si>
    <x:t xml:space="preserve">Казанская</x:t>
  </x:si>
  <x:si>
    <x:t xml:space="preserve">[Казанская род.]</x:t>
  </x:si>
  <x:si>
    <x:t xml:space="preserve">[Казанская ум.]</x:t>
  </x:si>
  <x:si>
    <x:t xml:space="preserve">Калужская</x:t>
  </x:si>
  <x:si>
    <x:t xml:space="preserve">[Калужская род.]</x:t>
  </x:si>
  <x:si>
    <x:t xml:space="preserve">[Калужская ум.]</x:t>
  </x:si>
  <x:si>
    <x:t xml:space="preserve">Костромская</x:t>
  </x:si>
  <x:si>
    <x:t xml:space="preserve">[Костромская род.]</x:t>
  </x:si>
  <x:si>
    <x:t xml:space="preserve">[Костромская ум.]</x:t>
  </x:si>
  <x:si>
    <x:t xml:space="preserve">Курская</x:t>
  </x:si>
  <x:si>
    <x:t xml:space="preserve">[Курская род.]</x:t>
  </x:si>
  <x:si>
    <x:t xml:space="preserve">[Курская ум.]</x:t>
  </x:si>
  <x:si>
    <x:t xml:space="preserve">Московская</x:t>
  </x:si>
  <x:si>
    <x:t xml:space="preserve">[Московская род.]</x:t>
  </x:si>
  <x:si>
    <x:t xml:space="preserve">[Московская ум.]</x:t>
  </x:si>
  <x:si>
    <x:t xml:space="preserve">Нижегородская</x:t>
  </x:si>
  <x:si>
    <x:t xml:space="preserve">[Нижегородская род.]</x:t>
  </x:si>
  <x:si>
    <x:t xml:space="preserve">[Нижегородская ум.]</x:t>
  </x:si>
  <x:si>
    <x:t xml:space="preserve">Новгородская</x:t>
  </x:si>
  <x:si>
    <x:t xml:space="preserve">[Новгородская род.]</x:t>
  </x:si>
  <x:si>
    <x:t xml:space="preserve">[Новгородская ум.]</x:t>
  </x:si>
  <x:si>
    <x:t xml:space="preserve">Олонецкая</x:t>
  </x:si>
  <x:si>
    <x:t xml:space="preserve">[Олонецкая род.]</x:t>
  </x:si>
  <x:si>
    <x:t xml:space="preserve">[Олонецкая ум.]</x:t>
  </x:si>
  <x:si>
    <x:t xml:space="preserve">Орловская</x:t>
  </x:si>
  <x:si>
    <x:t xml:space="preserve">[Орловская род.]</x:t>
  </x:si>
  <x:si>
    <x:t xml:space="preserve">[Орловская ум.]</x:t>
  </x:si>
  <x:si>
    <x:t xml:space="preserve">Пензенская</x:t>
  </x:si>
  <x:si>
    <x:t xml:space="preserve">[Пензенская род.]</x:t>
  </x:si>
  <x:si>
    <x:t xml:space="preserve">[Пензенская ум.]</x:t>
  </x:si>
  <x:si>
    <x:t xml:space="preserve">Пермская</x:t>
  </x:si>
  <x:si>
    <x:t xml:space="preserve">[Пермская род.]</x:t>
  </x:si>
  <x:si>
    <x:t xml:space="preserve">[Пермская ум.]</x:t>
  </x:si>
  <x:si>
    <x:t xml:space="preserve">Полтавская</x:t>
  </x:si>
  <x:si>
    <x:t xml:space="preserve">[Полтавская род.]</x:t>
  </x:si>
  <x:si>
    <x:t xml:space="preserve">[Полтавская ум.]</x:t>
  </x:si>
  <x:si>
    <x:t xml:space="preserve">Псковская</x:t>
  </x:si>
  <x:si>
    <x:t xml:space="preserve">[Псковская род.]</x:t>
  </x:si>
  <x:si>
    <x:t xml:space="preserve">[Псковская ум.]</x:t>
  </x:si>
  <x:si>
    <x:t xml:space="preserve">Рязанская</x:t>
  </x:si>
  <x:si>
    <x:t xml:space="preserve">[Рязанская род.]</x:t>
  </x:si>
  <x:si>
    <x:t xml:space="preserve">[Рязанская ум.]</x:t>
  </x:si>
  <x:si>
    <x:t xml:space="preserve">Самарская</x:t>
  </x:si>
  <x:si>
    <x:t xml:space="preserve">[Самарская род.]</x:t>
  </x:si>
  <x:si>
    <x:t xml:space="preserve">[Самарская ум.]</x:t>
  </x:si>
  <x:si>
    <x:t xml:space="preserve">Г. Москва</x:t>
  </x:si>
  <x:si>
    <x:t xml:space="preserve">Г. С.-Петербург</x:t>
  </x:si>
  <x:si>
    <x:t xml:space="preserve">С.-Петербургская</x:t>
  </x:si>
  <x:si>
    <x:t xml:space="preserve">[С.-Петербургская род.]</x:t>
  </x:si>
  <x:si>
    <x:t xml:space="preserve">[С.-Петербургская ум.]</x:t>
  </x:si>
  <x:si>
    <x:t xml:space="preserve">Саратовская</x:t>
  </x:si>
  <x:si>
    <x:t xml:space="preserve">[Саратовская род.]</x:t>
  </x:si>
  <x:si>
    <x:t xml:space="preserve">[Саратовская ум.]</x:t>
  </x:si>
  <x:si>
    <x:t xml:space="preserve">Симбирская</x:t>
  </x:si>
  <x:si>
    <x:t xml:space="preserve">[Симбирская род.]</x:t>
  </x:si>
  <x:si>
    <x:t xml:space="preserve">[Симбирская ум.]</x:t>
  </x:si>
  <x:si>
    <x:t xml:space="preserve">Смоленская</x:t>
  </x:si>
  <x:si>
    <x:t xml:space="preserve">[Смоленская род.]</x:t>
  </x:si>
  <x:si>
    <x:t xml:space="preserve">[Смоленская ум.]</x:t>
  </x:si>
  <x:si>
    <x:t xml:space="preserve">Таврическая</x:t>
  </x:si>
  <x:si>
    <x:t xml:space="preserve">[Таврическая род.]</x:t>
  </x:si>
  <x:si>
    <x:t xml:space="preserve">[Таврическая ум.]</x:t>
  </x:si>
  <x:si>
    <x:t xml:space="preserve">Тамбовская</x:t>
  </x:si>
  <x:si>
    <x:t xml:space="preserve">[Тамбовская род.]</x:t>
  </x:si>
  <x:si>
    <x:t xml:space="preserve">[Тамбовская ум.]</x:t>
  </x:si>
  <x:si>
    <x:t xml:space="preserve">Тверская</x:t>
  </x:si>
  <x:si>
    <x:t xml:space="preserve">[Тверская род.]</x:t>
  </x:si>
  <x:si>
    <x:t xml:space="preserve">[Тверская ум.]</x:t>
  </x:si>
  <x:si>
    <x:t xml:space="preserve">Тульская</x:t>
  </x:si>
  <x:si>
    <x:t xml:space="preserve">[Тульская род.]</x:t>
  </x:si>
  <x:si>
    <x:t xml:space="preserve">[Тульская ум.]</x:t>
  </x:si>
  <x:si>
    <x:t xml:space="preserve">Уфимская</x:t>
  </x:si>
  <x:si>
    <x:t xml:space="preserve">[Уфимская род.]</x:t>
  </x:si>
  <x:si>
    <x:t xml:space="preserve">[Уфимская ум.]</x:t>
  </x:si>
  <x:si>
    <x:t xml:space="preserve">Харьковская</x:t>
  </x:si>
  <x:si>
    <x:t xml:space="preserve">[Харьковская род.]</x:t>
  </x:si>
  <x:si>
    <x:t xml:space="preserve">[Харьковская ум.]</x:t>
  </x:si>
  <x:si>
    <x:t xml:space="preserve">Херсонская</x:t>
  </x:si>
  <x:si>
    <x:t xml:space="preserve">[Херсонская род.]</x:t>
  </x:si>
  <x:si>
    <x:t xml:space="preserve">[Херсонская ум.]</x:t>
  </x:si>
  <x:si>
    <x:t xml:space="preserve">Черниговская</x:t>
  </x:si>
  <x:si>
    <x:t xml:space="preserve">[Черниговская род.]</x:t>
  </x:si>
  <x:si>
    <x:t xml:space="preserve">[Черниговская ум.]</x:t>
  </x:si>
  <x:si>
    <x:t xml:space="preserve">Ярославская</x:t>
  </x:si>
  <x:si>
    <x:t xml:space="preserve">[Ярославская род.]</x:t>
  </x:si>
  <x:si>
    <x:t xml:space="preserve">[Ярославская ум.]</x:t>
  </x:si>
  <x:si>
    <x:t xml:space="preserve">Итого в земских губерниях</x:t>
  </x:si>
  <x:si>
    <x:t xml:space="preserve">Область Войска Донского</x:t>
  </x:si>
  <x:si>
    <x:t xml:space="preserve">[Область Войска Донского род.]</x:t>
  </x:si>
  <x:si>
    <x:t xml:space="preserve">[Область Войска Донского ум.]</x:t>
  </x:si>
  <x:si>
    <x:t xml:space="preserve">Итого в Европейской России</x:t>
  </x:si>
  <x:si>
    <x:t xml:space="preserve">Бакинская</x:t>
  </x:si>
  <x:si>
    <x:t xml:space="preserve">[Бакинская род.]</x:t>
  </x:si>
  <x:si>
    <x:t xml:space="preserve">[Бакинская ум.]</x:t>
  </x:si>
  <x:si>
    <x:t xml:space="preserve">Дагестанская</x:t>
  </x:si>
  <x:si>
    <x:t xml:space="preserve">[Дагестанская род.]</x:t>
  </x:si>
  <x:si>
    <x:t xml:space="preserve">[Дагестанская ум.]</x:t>
  </x:si>
  <x:si>
    <x:t xml:space="preserve">Елисаветпольская</x:t>
  </x:si>
  <x:si>
    <x:t xml:space="preserve">[Елисаветпольская род.]</x:t>
  </x:si>
  <x:si>
    <x:t xml:space="preserve">[Елисаветпольская ум.]</x:t>
  </x:si>
  <x:si>
    <x:t xml:space="preserve">Карсская область</x:t>
  </x:si>
  <x:si>
    <x:t xml:space="preserve">Кубанская</x:t>
  </x:si>
  <x:si>
    <x:t xml:space="preserve">[Кубанская род.]</x:t>
  </x:si>
  <x:si>
    <x:t xml:space="preserve">[Кубанская ум.]</x:t>
  </x:si>
  <x:si>
    <x:t xml:space="preserve">Кутаисская</x:t>
  </x:si>
  <x:si>
    <x:t xml:space="preserve">[Кутаисская род.]</x:t>
  </x:si>
  <x:si>
    <x:t xml:space="preserve">[Кутаисская ум.]</x:t>
  </x:si>
  <x:si>
    <x:t xml:space="preserve">Ставропольская</x:t>
  </x:si>
  <x:si>
    <x:t xml:space="preserve">[Ставропольская род.]</x:t>
  </x:si>
  <x:si>
    <x:t xml:space="preserve">[Ставропольская ум.]</x:t>
  </x:si>
  <x:si>
    <x:t xml:space="preserve">Терская</x:t>
  </x:si>
  <x:si>
    <x:t xml:space="preserve">[Терская род.]</x:t>
  </x:si>
  <x:si>
    <x:t xml:space="preserve">[Терская ум.]</x:t>
  </x:si>
  <x:si>
    <x:t xml:space="preserve">Тифлисская</x:t>
  </x:si>
  <x:si>
    <x:t xml:space="preserve">[Тифлисская род.]</x:t>
  </x:si>
  <x:si>
    <x:t xml:space="preserve">[Тифлисская ум.]</x:t>
  </x:si>
  <x:si>
    <x:t xml:space="preserve">Эриванская</x:t>
  </x:si>
  <x:si>
    <x:t xml:space="preserve">[Эриванская род.]</x:t>
  </x:si>
  <x:si>
    <x:t xml:space="preserve">[Эриванская ум.]</x:t>
  </x:si>
  <x:si>
    <x:t xml:space="preserve">Итого на Кавказе</x:t>
  </x:si>
  <x:si>
    <x:t xml:space="preserve">Амурская область</x:t>
  </x:si>
  <x:si>
    <x:t xml:space="preserve">Енисейская</x:t>
  </x:si>
  <x:si>
    <x:t xml:space="preserve">[Енисейская род.]</x:t>
  </x:si>
  <x:si>
    <x:t xml:space="preserve">[Енисейская ум.]</x:t>
  </x:si>
  <x:si>
    <x:t xml:space="preserve">Забайкальская</x:t>
  </x:si>
  <x:si>
    <x:t xml:space="preserve">[Забайкальская род.]</x:t>
  </x:si>
  <x:si>
    <x:t xml:space="preserve">[Забайкальская ум.]</x:t>
  </x:si>
  <x:si>
    <x:t xml:space="preserve">Иркутская</x:t>
  </x:si>
  <x:si>
    <x:t xml:space="preserve">[Иркутская род.]</x:t>
  </x:si>
  <x:si>
    <x:t xml:space="preserve">[Иркутская ум.]</x:t>
  </x:si>
  <x:si>
    <x:t xml:space="preserve">Приморская</x:t>
  </x:si>
  <x:si>
    <x:t xml:space="preserve">[Приморская род.]</x:t>
  </x:si>
  <x:si>
    <x:t xml:space="preserve">[Приморская ум.]</x:t>
  </x:si>
  <x:si>
    <x:t xml:space="preserve">Тобольская</x:t>
  </x:si>
  <x:si>
    <x:t xml:space="preserve">[Тобольская род.]</x:t>
  </x:si>
  <x:si>
    <x:t xml:space="preserve">[Тобольская ум.]</x:t>
  </x:si>
  <x:si>
    <x:t xml:space="preserve">Томская</x:t>
  </x:si>
  <x:si>
    <x:t xml:space="preserve">[Томская род.]</x:t>
  </x:si>
  <x:si>
    <x:t xml:space="preserve">[Томская ум.]</x:t>
  </x:si>
  <x:si>
    <x:t xml:space="preserve">Якутская</x:t>
  </x:si>
  <x:si>
    <x:t xml:space="preserve">[Якутская род.]</x:t>
  </x:si>
  <x:si>
    <x:t xml:space="preserve">[Якутская ум.]</x:t>
  </x:si>
  <x:si>
    <x:t xml:space="preserve">Сахалинская</x:t>
  </x:si>
  <x:si>
    <x:t xml:space="preserve">[Сахалинская род.]</x:t>
  </x:si>
  <x:si>
    <x:t xml:space="preserve">[Сахалинская ум.]</x:t>
  </x:si>
  <x:si>
    <x:t xml:space="preserve">Итого в Сибири</x:t>
  </x:si>
  <x:si>
    <x:t xml:space="preserve">Акмолинская</x:t>
  </x:si>
  <x:si>
    <x:t xml:space="preserve">Закаспийская область</x:t>
  </x:si>
  <x:si>
    <x:t xml:space="preserve">Самаркандская</x:t>
  </x:si>
  <x:si>
    <x:t xml:space="preserve">[Самаркандская род.]</x:t>
  </x:si>
  <x:si>
    <x:t xml:space="preserve">[Самаркандская ум.]</x:t>
  </x:si>
  <x:si>
    <x:t xml:space="preserve">Семипалатинская</x:t>
  </x:si>
  <x:si>
    <x:t xml:space="preserve">[Семипалатинская род.]</x:t>
  </x:si>
  <x:si>
    <x:t xml:space="preserve">[Семипалатинская ум.]</x:t>
  </x:si>
  <x:si>
    <x:t xml:space="preserve">Семиреченская</x:t>
  </x:si>
  <x:si>
    <x:t xml:space="preserve">[Семиреченская род.]</x:t>
  </x:si>
  <x:si>
    <x:t xml:space="preserve">[Семиреченская ум.]</x:t>
  </x:si>
  <x:si>
    <x:t xml:space="preserve">Сыр-Дарьинская</x:t>
  </x:si>
  <x:si>
    <x:t xml:space="preserve">[Сыр-Дарьинская род.]</x:t>
  </x:si>
  <x:si>
    <x:t xml:space="preserve">[Сыр-Дарьинская ум.]</x:t>
  </x:si>
  <x:si>
    <x:t xml:space="preserve">Тургайская</x:t>
  </x:si>
  <x:si>
    <x:t xml:space="preserve">[Тургайская род.]</x:t>
  </x:si>
  <x:si>
    <x:t xml:space="preserve">[Тургайская ум.]</x:t>
  </x:si>
  <x:si>
    <x:t xml:space="preserve">Уральская</x:t>
  </x:si>
  <x:si>
    <x:t xml:space="preserve">[Уральская род.]</x:t>
  </x:si>
  <x:si>
    <x:t xml:space="preserve">[Уральская ум.]</x:t>
  </x:si>
  <x:si>
    <x:t xml:space="preserve">Ферганская</x:t>
  </x:si>
  <x:si>
    <x:t xml:space="preserve">[Ферганская род.]</x:t>
  </x:si>
  <x:si>
    <x:t xml:space="preserve">[Ферганская ум.]</x:t>
  </x:si>
  <x:si>
    <x:t xml:space="preserve">Итого в средне-азиатских областях</x:t>
  </x:si>
  <x:si>
    <x:t xml:space="preserve">Итого во всей Империи</x:t>
  </x:si>
</x:sst>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theme="0" tint="-0.15"/>
      </x:patternFill>
    </x:fill>
    <x:fill>
      <x:patternFill patternType="solid">
        <x:fgColor theme="8" tint="0.79992"/>
      </x:patternFill>
    </x:fill>
    <x:fill>
      <x:patternFill patternType="solid">
        <x:fgColor theme="9" tint="0.79992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3" fillId="0" borderId="0" xfId="0" applyFont="1" applyAlignment="1">
      <x:alignment horizontal="left"/>
    </x:xf>
    <x:xf numFmtId="0" fontId="3" fillId="0" borderId="0" xfId="0" applyFont="1"/>
    <x:xf numFmtId="3" fontId="3" fillId="0" borderId="0" xfId="0" applyNumberFormat="1" applyFont="1" applyAlignment="1">
      <x:alignment horizontal="right"/>
    </x:xf>
    <x:xf numFmtId="3" fontId="3" fillId="0" borderId="0" xfId="0" applyNumberFormat="1" applyFont="1" applyAlignment="1">
      <x:alignment horizontal="center"/>
    </x:xf>
    <x:xf numFmtId="3" fontId="3" fillId="0" borderId="0" xfId="0" applyNumberFormat="1" applyFont="1"/>
    <x:xf numFmtId="0" fontId="3" fillId="3" borderId="0" xfId="0" applyFont="1" applyFill="1" applyAlignment="1">
      <x:alignment horizontal="left"/>
    </x:xf>
    <x:xf numFmtId="3" fontId="3" fillId="3" borderId="0" xfId="0" applyNumberFormat="1" applyFont="1" applyFill="1" applyAlignment="1">
      <x:alignment horizontal="right"/>
    </x:xf>
    <x:xf numFmtId="0" fontId="3" fillId="3" borderId="0" xfId="0" applyFont="1" applyFill="1"/>
    <x:xf numFmtId="3" fontId="3" fillId="3" borderId="0" xfId="0" applyNumberFormat="1" applyFont="1" applyFill="1"/>
    <x:xf numFmtId="3" fontId="3" fillId="3" borderId="0" xfId="0" applyNumberFormat="1" applyFont="1" applyFill="1" applyAlignment="1">
      <x:alignment horizontal="center"/>
    </x:xf>
    <x:xf numFmtId="0" fontId="3" fillId="4" borderId="0" xfId="0" applyFont="1" applyFill="1" applyAlignment="1">
      <x:alignment horizontal="left"/>
    </x:xf>
    <x:xf numFmtId="3" fontId="3" fillId="4" borderId="0" xfId="0" applyNumberFormat="1" applyFont="1" applyFill="1" applyAlignment="1">
      <x:alignment horizontal="right"/>
    </x:xf>
    <x:xf numFmtId="0" fontId="3" fillId="4" borderId="0" xfId="0" applyFont="1" applyFill="1"/>
    <x:xf numFmtId="3" fontId="3" fillId="4" borderId="0" xfId="0" applyNumberFormat="1" applyFont="1" applyFill="1"/>
    <x:xf numFmtId="3" fontId="3" fillId="4" borderId="0" xfId="0" applyNumberFormat="1" applyFont="1" applyFill="1" applyAlignment="1">
      <x:alignment horizontal="center"/>
    </x:xf>
    <x:xf numFmtId="0" fontId="1" fillId="5" borderId="0" xfId="0" applyFont="1" applyFill="1" applyAlignment="1">
      <x:alignment vertical="center"/>
    </x:xf>
    <x:xf numFmtId="0" fontId="1" fillId="5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0" borderId="0" xfId="0" applyFont="1" applyAlignment="1">
      <x:alignment horizontal="center" vertical="center" wrapText="1"/>
    </x:xf>
    <x:xf numFmtId="3" fontId="0" fillId="0" borderId="0" xfId="0" applyNumberFormat="1" applyAlignment="1">
      <x:alignment horizontal="right"/>
    </x:xf>
    <x:xf numFmtId="0" fontId="3" fillId="3" borderId="0" xfId="0" applyFont="1" applyFill="1" applyAlignment="1">
      <x:alignment horizontal="left" vertical="center"/>
    </x:xf>
    <x:xf numFmtId="3" fontId="3" fillId="3" borderId="0" xfId="0" applyNumberFormat="1" applyFont="1" applyFill="1" applyAlignment="1">
      <x:alignment horizontal="right" vertical="center"/>
    </x:xf>
    <x:xf numFmtId="3" fontId="3" fillId="3" borderId="0" xfId="0" applyNumberFormat="1" applyFont="1" applyFill="1" applyAlignment="1">
      <x:alignment horizontal="center" vertical="center"/>
    </x:xf>
    <x:xf numFmtId="0" fontId="3" fillId="0" borderId="0" xfId="0" applyFont="1" applyAlignment="1">
      <x:alignment horizontal="left" vertical="center"/>
    </x:xf>
    <x:xf numFmtId="3" fontId="3" fillId="0" borderId="0" xfId="0" applyNumberFormat="1" applyFont="1" applyAlignment="1">
      <x:alignment horizontal="right" vertical="center"/>
    </x:xf>
    <x:xf numFmtId="3" fontId="3" fillId="0" borderId="0" xfId="0" applyNumberFormat="1" applyFont="1" applyAlignment="1">
      <x:alignment horizontal="center" vertical="center"/>
    </x:xf>
    <x:xf numFmtId="0" fontId="3" fillId="4" borderId="0" xfId="0" applyFont="1" applyFill="1" applyAlignment="1">
      <x:alignment horizontal="left" vertical="center"/>
    </x:xf>
    <x:xf numFmtId="3" fontId="3" fillId="4" borderId="0" xfId="0" applyNumberFormat="1" applyFont="1" applyFill="1" applyAlignment="1">
      <x:alignment horizontal="right" vertical="center"/>
    </x:xf>
    <x:xf numFmtId="0" fontId="2" fillId="2" borderId="0" xfId="0" applyFont="1" applyFill="1" applyAlignment="1">
      <x:alignment horizontal="center" vertical="center" wrapText="1"/>
    </x:xf>
    <x:xf numFmtId="0" fontId="0" fillId="0" borderId="0" xfId="0"/>
    <x:xf numFmtId="0" fontId="0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3" fontId="3" fillId="0" borderId="1" xfId="0" applyNumberFormat="1" applyFont="1" applyFill="1" applyBorder="1" applyAlignment="1">
      <x:alignment horizontal="right"/>
    </x:xf>
    <x:xf numFmtId="3" fontId="3" fillId="0" borderId="1" xfId="0" applyNumberFormat="1" applyFont="1" applyFill="1" applyBorder="1" applyAlignment="1">
      <x:alignment horizontal="center"/>
    </x:xf>
    <x:xf numFmtId="3" fontId="3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3" fontId="3" fillId="3" borderId="1" xfId="0" applyNumberFormat="1" applyFont="1" applyFill="1" applyBorder="1" applyAlignment="1">
      <x:alignment horizontal="right"/>
    </x:xf>
    <x:xf numFmtId="0" fontId="3" fillId="3" borderId="1" xfId="0" applyNumberFormat="1" applyFont="1" applyFill="1" applyBorder="1"/>
    <x:xf numFmtId="3" fontId="3" fillId="3" borderId="1" xfId="0" applyNumberFormat="1" applyFont="1" applyFill="1" applyBorder="1"/>
    <x:xf numFmtId="3" fontId="3" fillId="3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left"/>
    </x:xf>
    <x:xf numFmtId="3" fontId="3" fillId="4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/>
    <x:xf numFmtId="3" fontId="3" fillId="4" borderId="1" xfId="0" applyNumberFormat="1" applyFont="1" applyFill="1" applyBorder="1"/>
    <x:xf numFmtId="3" fontId="3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 wrapText="1"/>
    </x:xf>
    <x:xf numFmtId="3" fontId="0" fillId="0" borderId="1" xfId="0" applyNumberFormat="1" applyFont="1" applyFill="1" applyBorder="1" applyAlignment="1">
      <x:alignment horizontal="right"/>
    </x:xf>
    <x:xf numFmtId="0" fontId="3" fillId="3" borderId="1" xfId="0" applyNumberFormat="1" applyFont="1" applyFill="1" applyBorder="1" applyAlignment="1">
      <x:alignment horizontal="left" vertical="center"/>
    </x:xf>
    <x:xf numFmtId="3" fontId="3" fillId="3" borderId="1" xfId="0" applyNumberFormat="1" applyFont="1" applyFill="1" applyBorder="1" applyAlignment="1">
      <x:alignment horizontal="right" vertical="center"/>
    </x:xf>
    <x:xf numFmtId="3" fontId="3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left" vertical="center"/>
    </x:xf>
    <x:xf numFmtId="3" fontId="3" fillId="0" borderId="1" xfId="0" applyNumberFormat="1" applyFont="1" applyFill="1" applyBorder="1" applyAlignment="1">
      <x:alignment horizontal="right" vertical="center"/>
    </x:xf>
    <x:xf numFmtId="3" fontId="3" fillId="0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left" vertical="center"/>
    </x:xf>
    <x:xf numFmtId="3" fontId="3" fillId="4" borderId="1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21e82b55f48c4" /><Relationship Type="http://schemas.openxmlformats.org/officeDocument/2006/relationships/theme" Target="/xl/theme/theme1.xml" Id="Ra0ca1c5eb4674947" /><Relationship Type="http://schemas.openxmlformats.org/officeDocument/2006/relationships/sharedStrings" Target="/xl/sharedStrings.xml" Id="R7378bcaeaf1b4293" /><Relationship Type="http://schemas.openxmlformats.org/officeDocument/2006/relationships/worksheet" Target="/xl/worksheets/sheet1.xml" Id="Rda814385be82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30.734375" customWidth="1"/>
    <x:col min="2" max="2" width="10.62890625" customWidth="1"/>
    <x:col min="3" max="4" width="8.62890625" customWidth="1"/>
    <x:col min="5" max="5" width="9.62890625" customWidth="1"/>
    <x:col min="6" max="7" width="7.15625" customWidth="1"/>
    <x:col min="8" max="8" width="10.62890625" customWidth="1"/>
    <x:col min="9" max="9" width="10.1015625" customWidth="1"/>
    <x:col min="10" max="10" width="10" customWidth="1"/>
    <x:col min="11" max="11" width="5.3671875" customWidth="1"/>
    <x:col min="12" max="25" width="7.15625" customWidth="1"/>
    <x:col min="26" max="26" width="7.68359375" customWidth="1"/>
    <x:col min="27" max="27" width="11.89453125" customWidth="1"/>
    <x:col min="28" max="28" width="11.3671875" customWidth="1"/>
    <x:col min="30" max="30" width="10.62890625" customWidth="1"/>
    <x:col min="31" max="32" width="8.62890625" customWidth="1"/>
    <x:col min="33" max="33" width="12.05078125" customWidth="1"/>
    <x:col min="34" max="34" width="10.3125" customWidth="1"/>
    <x:col min="35" max="35" width="10.20703125" customWidth="1"/>
    <x:col min="36" max="36" width="16.05078125" customWidth="1"/>
    <x:col min="37" max="37" width="15.68359375" customWidth="1"/>
    <x:col min="38" max="38" width="15.578125" customWidth="1"/>
    <x:col min="40" max="40" width="10.3125" customWidth="1"/>
    <x:col min="41" max="41" width="8.62890625" customWidth="1"/>
    <x:col min="42" max="42" width="8.47265625" customWidth="1"/>
    <x:col min="43" max="43" width="13.89453125" customWidth="1"/>
    <x:col min="44" max="44" width="12.05078125" customWidth="1"/>
    <x:col min="45" max="45" width="11.89453125" customWidth="1"/>
    <x:col min="46" max="46" width="17.734375" customWidth="1"/>
    <x:col min="47" max="47" width="17.3671875" customWidth="1"/>
    <x:col min="48" max="48" width="17.26171875" customWidth="1"/>
    <x:col min="49" max="49" width="8" hidden="0" customWidth="1"/>
    <x:col min="50" max="50" width="8" hidden="0" customWidth="1"/>
  </x:cols>
  <x:sheetData>
    <x:row r="1" ht="11.5" customHeight="1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20"/>
      <x:c r="L1" s="30" t="s">
        <x:v>10</x:v>
      </x:c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19"/>
      <x:c r="AA1" s="16" t="s">
        <x:v>11</x:v>
      </x:c>
      <x:c r="AB1" s="17" t="s">
        <x:v>12</x:v>
      </x:c>
      <x:c r="AD1" s="18" t="s">
        <x:v>13</x:v>
      </x:c>
      <x:c r="AE1" s="18" t="s">
        <x:v>14</x:v>
      </x:c>
      <x:c r="AF1" s="18" t="s">
        <x:v>15</x:v>
      </x:c>
      <x:c r="AG1" s="18" t="s">
        <x:v>16</x:v>
      </x:c>
      <x:c r="AH1" s="18" t="s">
        <x:v>17</x:v>
      </x:c>
      <x:c r="AI1" s="18" t="s">
        <x:v>18</x:v>
      </x:c>
      <x:c r="AJ1" s="18" t="s">
        <x:v>19</x:v>
      </x:c>
      <x:c r="AK1" s="18" t="s">
        <x:v>20</x:v>
      </x:c>
      <x:c r="AL1" s="18" t="s">
        <x:v>21</x:v>
      </x:c>
      <x:c r="AN1" s="18" t="s">
        <x:v>22</x:v>
      </x:c>
      <x:c r="AO1" s="18" t="s">
        <x:v>23</x:v>
      </x:c>
      <x:c r="AP1" s="18" t="s">
        <x:v>24</x:v>
      </x:c>
      <x:c r="AQ1" s="18" t="s">
        <x:v>25</x:v>
      </x:c>
      <x:c r="AR1" s="18" t="s">
        <x:v>26</x:v>
      </x:c>
      <x:c r="AS1" s="18" t="s">
        <x:v>27</x:v>
      </x:c>
      <x:c r="AT1" s="18" t="s">
        <x:v>28</x:v>
      </x:c>
      <x:c r="AU1" s="18" t="s">
        <x:v>29</x:v>
      </x:c>
      <x:c r="AV1" s="18" t="s">
        <x:v>30</x:v>
      </x:c>
      <x:c r="AW1" s="65" t="str">
        <x:v>р YY</x:v>
      </x:c>
      <x:c r="AX1" s="65" t="str">
        <x:v>с YY</x:v>
      </x:c>
    </x:row>
    <x:row r="2" s="8" customFormat="1">
      <x:c r="A2" s="6" t="s">
        <x:v>31</x:v>
      </x:c>
      <x:c r="B2" s="7">
        <x:v>354411</x:v>
      </x:c>
      <x:c r="C2" s="7">
        <x:v>13729</x:v>
      </x:c>
      <x:c r="D2" s="7">
        <x:v>10318</x:v>
      </x:c>
      <x:c r="E2" s="7">
        <x:v>28715</x:v>
      </x:c>
      <x:c r="F2" s="7">
        <x:v>947</x:v>
      </x:c>
      <x:c r="G2" s="7">
        <x:v>922</x:v>
      </x:c>
      <x:c r="H2" s="7">
        <x:v>345874</x:v>
      </x:c>
      <x:c r="I2" s="7">
        <x:v>13342</x:v>
      </x:c>
      <x:c r="J2" s="7">
        <x:v>8283</x:v>
      </x:c>
      <x:c r="K2" s="3"/>
      <x:c r="L2" s="7">
        <x:v>53432</x:v>
      </x:c>
      <x:c r="M2" s="7">
        <x:v>44162</x:v>
      </x:c>
      <x:c r="N2" s="7">
        <x:v>15542</x:v>
      </x:c>
      <x:c r="O2" s="7">
        <x:v>51652</x:v>
      </x:c>
      <x:c r="P2" s="7">
        <x:v>39775</x:v>
      </x:c>
      <x:c r="Q2" s="7">
        <x:v>28823</x:v>
      </x:c>
      <x:c r="R2" s="7">
        <x:v>39380</x:v>
      </x:c>
      <x:c r="S2" s="7">
        <x:v>81645</x:v>
      </x:c>
      <x:c r="T2" s="7"/>
      <x:c r="U2" s="7"/>
      <x:c r="V2" s="7"/>
      <x:c r="W2" s="7"/>
      <x:c r="X2" s="7"/>
      <x:c r="Y2" s="7"/>
      <x:c r="AA2" s="9" t="n">
        <x:f t="shared" ref="AA2:AA37" si="0">SUM(L2:Y2)</x:f>
        <x:v>354411</x:v>
      </x:c>
      <x:c r="AB2" s="9" t="n">
        <x:f>AA2-B2</x:f>
        <x:v>0</x:v>
      </x:c>
      <x:c r="AW2" s="72" t="n">
        <x:v>38.7</x:v>
      </x:c>
      <x:c r="AX2" s="72" t="n">
        <x:v>29.1</x:v>
      </x:c>
    </x:row>
    <x:row r="3" s="2" customFormat="1">
      <x:c r="A3" s="1" t="s">
        <x:v>32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>
        <x:v>1946</x:v>
      </x:c>
      <x:c r="M3" s="3">
        <x:v>1262</x:v>
      </x:c>
      <x:c r="N3" s="3">
        <x:v>371</x:v>
      </x:c>
      <x:c r="O3" s="3">
        <x:v>2378</x:v>
      </x:c>
      <x:c r="P3" s="3">
        <x:v>1564</x:v>
      </x:c>
      <x:c r="Q3" s="3">
        <x:v>1284</x:v>
      </x:c>
      <x:c r="R3" s="3">
        <x:v>1660</x:v>
      </x:c>
      <x:c r="S3" s="3">
        <x:v>3264</x:v>
      </x:c>
      <x:c r="T3" s="3"/>
      <x:c r="U3" s="3"/>
      <x:c r="V3" s="3"/>
      <x:c r="W3" s="3"/>
      <x:c r="X3" s="3"/>
      <x:c r="Y3" s="3"/>
      <x:c r="AA3" s="5">
        <x:f t="shared" si="0"/>
        <x:v>13729</x:v>
      </x:c>
      <x:c r="AB3" s="5" t="n">
        <x:f>C2-AA3</x:f>
        <x:v>0</x:v>
      </x:c>
      <x:c r="AW3" s="72" t="str">
        <x:v>—</x:v>
      </x:c>
      <x:c r="AX3" s="72" t="str">
        <x:v>—</x:v>
      </x:c>
    </x:row>
    <x:row r="4" s="2" customFormat="1">
      <x:c r="A4" s="1" t="s">
        <x:v>33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>
        <x:v>1691</x:v>
      </x:c>
      <x:c r="M4" s="3">
        <x:v>614</x:v>
      </x:c>
      <x:c r="N4" s="3">
        <x:v>258</x:v>
      </x:c>
      <x:c r="O4" s="3">
        <x:v>1879</x:v>
      </x:c>
      <x:c r="P4" s="3">
        <x:v>1221</x:v>
      </x:c>
      <x:c r="Q4" s="3">
        <x:v>875</x:v>
      </x:c>
      <x:c r="R4" s="3">
        <x:v>1228</x:v>
      </x:c>
      <x:c r="S4" s="3">
        <x:v>2552</x:v>
      </x:c>
      <x:c r="T4" s="3"/>
      <x:c r="U4" s="3"/>
      <x:c r="V4" s="3"/>
      <x:c r="W4" s="3"/>
      <x:c r="X4" s="3"/>
      <x:c r="Y4" s="3"/>
      <x:c r="AA4" s="5">
        <x:f t="shared" si="0"/>
        <x:v>10318</x:v>
      </x:c>
      <x:c r="AB4" s="5" t="n">
        <x:f>AA4-D2</x:f>
        <x:v>0</x:v>
      </x:c>
      <x:c r="AW4" s="72" t="str">
        <x:v>—</x:v>
      </x:c>
      <x:c r="AX4" s="72" t="str">
        <x:v>—</x:v>
      </x:c>
    </x:row>
    <x:row r="5" s="8" customFormat="1">
      <x:c r="A5" s="6" t="s">
        <x:v>34</x:v>
      </x:c>
      <x:c r="B5" s="7">
        <x:v>878991</x:v>
      </x:c>
      <x:c r="C5" s="7">
        <x:v>29427</x:v>
      </x:c>
      <x:c r="D5" s="7">
        <x:v>21582</x:v>
      </x:c>
      <x:c r="E5" s="7">
        <x:v>111080</x:v>
      </x:c>
      <x:c r="F5" s="7">
        <x:v>5106</x:v>
      </x:c>
      <x:c r="G5" s="7">
        <x:v>5038</x:v>
      </x:c>
      <x:c r="H5" s="7">
        <x:v>867265</x:v>
      </x:c>
      <x:c r="I5" s="7">
        <x:v>27797</x:v>
      </x:c>
      <x:c r="J5" s="7">
        <x:v>19234</x:v>
      </x:c>
      <x:c r="K5" s="3"/>
      <x:c r="L5" s="7">
        <x:v>151523</x:v>
      </x:c>
      <x:c r="M5" s="7">
        <x:v>68801</x:v>
      </x:c>
      <x:c r="N5" s="7">
        <x:v>32856</x:v>
      </x:c>
      <x:c r="O5" s="7">
        <x:v>87135</x:v>
      </x:c>
      <x:c r="P5" s="7">
        <x:v>177177</x:v>
      </x:c>
      <x:c r="Q5" s="7">
        <x:v>141647</x:v>
      </x:c>
      <x:c r="R5" s="7">
        <x:v>219852</x:v>
      </x:c>
      <x:c r="S5" s="7"/>
      <x:c r="T5" s="7"/>
      <x:c r="U5" s="7"/>
      <x:c r="V5" s="7"/>
      <x:c r="W5" s="7"/>
      <x:c r="X5" s="7"/>
      <x:c r="Y5" s="7"/>
      <x:c r="AA5" s="9">
        <x:f t="shared" si="0"/>
        <x:v>878991</x:v>
      </x:c>
      <x:c r="AB5" s="9" t="n">
        <x:f>AA5-B5</x:f>
        <x:v>0</x:v>
      </x:c>
      <x:c r="AW5" s="72" t="n">
        <x:v>56.9</x:v>
      </x:c>
      <x:c r="AX5" s="72" t="n">
        <x:v>41.7</x:v>
      </x:c>
    </x:row>
    <x:row r="6" s="2" customFormat="1">
      <x:c r="A6" s="1" t="s">
        <x:v>35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>
        <x:v>7987</x:v>
      </x:c>
      <x:c r="M6" s="3">
        <x:v>3987</x:v>
      </x:c>
      <x:c r="N6" s="3">
        <x:v>1695</x:v>
      </x:c>
      <x:c r="O6" s="3">
        <x:v>5435</x:v>
      </x:c>
      <x:c r="P6" s="3">
        <x:v>10323</x:v>
      </x:c>
      <x:c r="Q6" s="4" t="s">
        <x:v>36</x:v>
      </x:c>
      <x:c r="R6" s="4" t="s">
        <x:v>36</x:v>
      </x:c>
      <x:c r="S6" s="3"/>
      <x:c r="T6" s="3"/>
      <x:c r="U6" s="3"/>
      <x:c r="V6" s="3"/>
      <x:c r="W6" s="3"/>
      <x:c r="X6" s="3"/>
      <x:c r="Y6" s="3"/>
      <x:c r="AA6" s="5">
        <x:f t="shared" si="0"/>
        <x:v>29427</x:v>
      </x:c>
      <x:c r="AB6" s="5" t="n">
        <x:f>C5-AA6</x:f>
        <x:v>0</x:v>
      </x:c>
      <x:c r="AW6" s="72" t="str">
        <x:v>—</x:v>
      </x:c>
      <x:c r="AX6" s="72" t="str">
        <x:v>—</x:v>
      </x:c>
    </x:row>
    <x:row r="7" s="2" customFormat="1">
      <x:c r="A7" s="1" t="s">
        <x:v>37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>
        <x:v>7564</x:v>
      </x:c>
      <x:c r="M7" s="3">
        <x:v>2376</x:v>
      </x:c>
      <x:c r="N7" s="3">
        <x:v>1475</x:v>
      </x:c>
      <x:c r="O7" s="3">
        <x:v>2808</x:v>
      </x:c>
      <x:c r="P7" s="3">
        <x:v>7359</x:v>
      </x:c>
      <x:c r="Q7" s="4" t="s">
        <x:v>36</x:v>
      </x:c>
      <x:c r="R7" s="4" t="s">
        <x:v>36</x:v>
      </x:c>
      <x:c r="S7" s="3"/>
      <x:c r="T7" s="3"/>
      <x:c r="U7" s="3"/>
      <x:c r="V7" s="3"/>
      <x:c r="W7" s="3"/>
      <x:c r="X7" s="3"/>
      <x:c r="Y7" s="3"/>
      <x:c r="AA7" s="5">
        <x:f t="shared" si="0"/>
        <x:v>21582</x:v>
      </x:c>
      <x:c r="AB7" s="5" t="n">
        <x:f>AA7-D5</x:f>
        <x:v>0</x:v>
      </x:c>
      <x:c r="AW7" s="72" t="str">
        <x:v>—</x:v>
      </x:c>
      <x:c r="AX7" s="72" t="str">
        <x:v>—</x:v>
      </x:c>
    </x:row>
    <x:row r="8" s="8" customFormat="1">
      <x:c r="A8" s="6" t="s">
        <x:v>38</x:v>
      </x:c>
      <x:c r="B8" s="7">
        <x:v>1361850</x:v>
      </x:c>
      <x:c r="C8" s="7">
        <x:v>58709</x:v>
      </x:c>
      <x:c r="D8" s="7">
        <x:v>32542</x:v>
      </x:c>
      <x:c r="E8" s="7">
        <x:v>144729</x:v>
      </x:c>
      <x:c r="F8" s="7">
        <x:v>4606</x:v>
      </x:c>
      <x:c r="G8" s="7">
        <x:v>3588</x:v>
      </x:c>
      <x:c r="H8" s="7">
        <x:v>1316572</x:v>
      </x:c>
      <x:c r="I8" s="7">
        <x:v>54452</x:v>
      </x:c>
      <x:c r="J8" s="7">
        <x:v>34603</x:v>
      </x:c>
      <x:c r="K8" s="3"/>
      <x:c r="L8" s="7">
        <x:v>302873</x:v>
      </x:c>
      <x:c r="M8" s="7">
        <x:v>197222</x:v>
      </x:c>
      <x:c r="N8" s="7">
        <x:v>181111</x:v>
      </x:c>
      <x:c r="O8" s="7">
        <x:v>175164</x:v>
      </x:c>
      <x:c r="P8" s="7">
        <x:v>209109</x:v>
      </x:c>
      <x:c r="Q8" s="7">
        <x:v>158077</x:v>
      </x:c>
      <x:c r="R8" s="7">
        <x:v>138264</x:v>
      </x:c>
      <x:c r="S8" s="7"/>
      <x:c r="T8" s="7"/>
      <x:c r="U8" s="7"/>
      <x:c r="V8" s="7"/>
      <x:c r="W8" s="7"/>
      <x:c r="X8" s="7"/>
      <x:c r="Y8" s="7"/>
      <x:c r="AA8" s="9">
        <x:f t="shared" si="0"/>
        <x:v>1361820</x:v>
      </x:c>
      <x:c r="AB8" s="9" t="n">
        <x:f>AA8-B8</x:f>
        <x:v>-30</x:v>
      </x:c>
      <x:c r="AW8" s="72" t="n">
        <x:v>43.1</x:v>
      </x:c>
      <x:c r="AX8" s="72" t="n">
        <x:v>23.9</x:v>
      </x:c>
    </x:row>
    <x:row r="9" s="2" customFormat="1">
      <x:c r="A9" s="1" t="s">
        <x:v>39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>
        <x:v>10862</x:v>
      </x:c>
      <x:c r="M9" s="3">
        <x:v>8321</x:v>
      </x:c>
      <x:c r="N9" s="3">
        <x:v>7520</x:v>
      </x:c>
      <x:c r="O9" s="3">
        <x:v>8122</x:v>
      </x:c>
      <x:c r="P9" s="3">
        <x:v>8704</x:v>
      </x:c>
      <x:c r="Q9" s="3">
        <x:v>6926</x:v>
      </x:c>
      <x:c r="R9" s="3">
        <x:v>8254</x:v>
      </x:c>
      <x:c r="S9" s="3"/>
      <x:c r="T9" s="3"/>
      <x:c r="U9" s="3"/>
      <x:c r="V9" s="3"/>
      <x:c r="W9" s="3"/>
      <x:c r="X9" s="3"/>
      <x:c r="Y9" s="3"/>
      <x:c r="AA9" s="5">
        <x:f t="shared" si="0"/>
        <x:v>58709</x:v>
      </x:c>
      <x:c r="AB9" s="5" t="n">
        <x:f>C8-AA9</x:f>
        <x:v>0</x:v>
      </x:c>
      <x:c r="AW9" s="72" t="str">
        <x:v>—</x:v>
      </x:c>
      <x:c r="AX9" s="72" t="str">
        <x:v>—</x:v>
      </x:c>
    </x:row>
    <x:row r="10" s="2" customFormat="1">
      <x:c r="A10" s="1" t="s">
        <x:v>40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>
        <x:v>6926</x:v>
      </x:c>
      <x:c r="M10" s="3">
        <x:v>4555</x:v>
      </x:c>
      <x:c r="N10" s="3">
        <x:v>3984</x:v>
      </x:c>
      <x:c r="O10" s="3">
        <x:v>4815</x:v>
      </x:c>
      <x:c r="P10" s="3">
        <x:v>4210</x:v>
      </x:c>
      <x:c r="Q10" s="3">
        <x:v>3659</x:v>
      </x:c>
      <x:c r="R10" s="3">
        <x:v>4393</x:v>
      </x:c>
      <x:c r="S10" s="3"/>
      <x:c r="T10" s="3"/>
      <x:c r="U10" s="3"/>
      <x:c r="V10" s="3"/>
      <x:c r="W10" s="3"/>
      <x:c r="X10" s="3"/>
      <x:c r="Y10" s="3"/>
      <x:c r="AA10" s="5">
        <x:f t="shared" si="0"/>
        <x:v>32542</x:v>
      </x:c>
      <x:c r="AB10" s="5" t="n">
        <x:f>AA10-D8</x:f>
        <x:v>0</x:v>
      </x:c>
      <x:c r="AW10" s="72" t="str">
        <x:v>—</x:v>
      </x:c>
      <x:c r="AX10" s="72" t="str">
        <x:v>—</x:v>
      </x:c>
    </x:row>
    <x:row r="11" s="8" customFormat="1">
      <x:c r="A11" s="6" t="s">
        <x:v>41</x:v>
      </x:c>
      <x:c r="B11" s="7">
        <x:v>1369473</x:v>
      </x:c>
      <x:c r="C11" s="7">
        <x:v>58044</x:v>
      </x:c>
      <x:c r="D11" s="7">
        <x:v>34462</x:v>
      </x:c>
      <x:c r="E11" s="7">
        <x:v>215135</x:v>
      </x:c>
      <x:c r="F11" s="7">
        <x:v>5897</x:v>
      </x:c>
      <x:c r="G11" s="7">
        <x:v>3964</x:v>
      </x:c>
      <x:c r="H11" s="7">
        <x:v>1308736</x:v>
      </x:c>
      <x:c r="I11" s="7">
        <x:v>57001</x:v>
      </x:c>
      <x:c r="J11" s="7">
        <x:v>32735</x:v>
      </x:c>
      <x:c r="K11" s="3"/>
      <x:c r="L11" s="7">
        <x:v>149724</x:v>
      </x:c>
      <x:c r="M11" s="7">
        <x:v>89229</x:v>
      </x:c>
      <x:c r="N11" s="7">
        <x:v>97936</x:v>
      </x:c>
      <x:c r="O11" s="7">
        <x:v>227946</x:v>
      </x:c>
      <x:c r="P11" s="7">
        <x:v>82030</x:v>
      </x:c>
      <x:c r="Q11" s="7">
        <x:v>138165</x:v>
      </x:c>
      <x:c r="R11" s="7">
        <x:v>119112</x:v>
      </x:c>
      <x:c r="S11" s="7">
        <x:v>112849</x:v>
      </x:c>
      <x:c r="T11" s="7">
        <x:v>118867</x:v>
      </x:c>
      <x:c r="U11" s="7">
        <x:v>136061</x:v>
      </x:c>
      <x:c r="V11" s="7">
        <x:v>92554</x:v>
      </x:c>
      <x:c r="W11" s="7"/>
      <x:c r="X11" s="7"/>
      <x:c r="Y11" s="7"/>
      <x:c r="AA11" s="9">
        <x:f t="shared" si="0"/>
        <x:v>1364473</x:v>
      </x:c>
      <x:c r="AB11" s="9" t="n">
        <x:f>AA11-B11</x:f>
        <x:v>-5000</x:v>
      </x:c>
      <x:c r="AW11" s="72" t="n">
        <x:v>42.5</x:v>
      </x:c>
      <x:c r="AX11" s="72" t="n">
        <x:v>25.2</x:v>
      </x:c>
    </x:row>
    <x:row r="12" s="2" customFormat="1">
      <x:c r="A12" s="1" t="s">
        <x:v>42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>
        <x:v>7114</x:v>
      </x:c>
      <x:c r="M12" s="3">
        <x:v>4769</x:v>
      </x:c>
      <x:c r="N12" s="3">
        <x:v>4834</x:v>
      </x:c>
      <x:c r="O12" s="3">
        <x:v>7057</x:v>
      </x:c>
      <x:c r="P12" s="3">
        <x:v>4130</x:v>
      </x:c>
      <x:c r="Q12" s="3">
        <x:v>6359</x:v>
      </x:c>
      <x:c r="R12" s="3">
        <x:v>4630</x:v>
      </x:c>
      <x:c r="S12" s="3">
        <x:v>4767</x:v>
      </x:c>
      <x:c r="T12" s="3">
        <x:v>5813</x:v>
      </x:c>
      <x:c r="U12" s="3">
        <x:v>4368</x:v>
      </x:c>
      <x:c r="V12" s="3">
        <x:v>4203</x:v>
      </x:c>
      <x:c r="W12" s="3"/>
      <x:c r="X12" s="3"/>
      <x:c r="Y12" s="3"/>
      <x:c r="AA12" s="5">
        <x:f t="shared" si="0"/>
        <x:v>58044</x:v>
      </x:c>
      <x:c r="AB12" s="5" t="n">
        <x:f>C11-AA12</x:f>
        <x:v>0</x:v>
      </x:c>
      <x:c r="AW12" s="72" t="str">
        <x:v>—</x:v>
      </x:c>
      <x:c r="AX12" s="72" t="str">
        <x:v>—</x:v>
      </x:c>
    </x:row>
    <x:row r="13" s="2" customFormat="1">
      <x:c r="A13" s="1" t="s">
        <x:v>43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>
        <x:v>3893</x:v>
      </x:c>
      <x:c r="M13" s="3">
        <x:v>3326</x:v>
      </x:c>
      <x:c r="N13" s="3">
        <x:v>2652</x:v>
      </x:c>
      <x:c r="O13" s="3">
        <x:v>4633</x:v>
      </x:c>
      <x:c r="P13" s="3">
        <x:v>2509</x:v>
      </x:c>
      <x:c r="Q13" s="3">
        <x:v>4123</x:v>
      </x:c>
      <x:c r="R13" s="3">
        <x:v>2701</x:v>
      </x:c>
      <x:c r="S13" s="3">
        <x:v>2880</x:v>
      </x:c>
      <x:c r="T13" s="3">
        <x:v>3011</x:v>
      </x:c>
      <x:c r="U13" s="3">
        <x:v>2490</x:v>
      </x:c>
      <x:c r="V13" s="3">
        <x:v>2247</x:v>
      </x:c>
      <x:c r="W13" s="3"/>
      <x:c r="X13" s="3"/>
      <x:c r="Y13" s="3"/>
      <x:c r="AA13" s="5">
        <x:f t="shared" si="0"/>
        <x:v>34465</x:v>
      </x:c>
      <x:c r="AB13" s="5" t="n">
        <x:f>AA13-D11</x:f>
        <x:v>3</x:v>
      </x:c>
      <x:c r="AW13" s="72" t="str">
        <x:v>—</x:v>
      </x:c>
      <x:c r="AX13" s="72" t="str">
        <x:v>—</x:v>
      </x:c>
    </x:row>
    <x:row r="14" s="8" customFormat="1">
      <x:c r="A14" s="6" t="s">
        <x:v>44</x:v>
      </x:c>
      <x:c r="B14" s="7">
        <x:v>2395608</x:v>
      </x:c>
      <x:c r="C14" s="7">
        <x:v>121128</x:v>
      </x:c>
      <x:c r="D14" s="7">
        <x:v>76050</x:v>
      </x:c>
      <x:c r="E14" s="7">
        <x:v>190692</x:v>
      </x:c>
      <x:c r="F14" s="7">
        <x:v>6686</x:v>
      </x:c>
      <x:c r="G14" s="7">
        <x:v>4585</x:v>
      </x:c>
      <x:c r="H14" s="7">
        <x:v>2306507</x:v>
      </x:c>
      <x:c r="I14" s="7">
        <x:v>120181</x:v>
      </x:c>
      <x:c r="J14" s="7">
        <x:v>76895</x:v>
      </x:c>
      <x:c r="K14" s="3"/>
      <x:c r="L14" s="7">
        <x:v>330423</x:v>
      </x:c>
      <x:c r="M14" s="7">
        <x:v>212093</x:v>
      </x:c>
      <x:c r="N14" s="7">
        <x:v>161914</x:v>
      </x:c>
      <x:c r="O14" s="7">
        <x:v>173159</x:v>
      </x:c>
      <x:c r="P14" s="7">
        <x:v>184468</x:v>
      </x:c>
      <x:c r="Q14" s="7">
        <x:v>181984</x:v>
      </x:c>
      <x:c r="R14" s="7">
        <x:v>184778</x:v>
      </x:c>
      <x:c r="S14" s="7">
        <x:v>256441</x:v>
      </x:c>
      <x:c r="T14" s="7">
        <x:v>175529</x:v>
      </x:c>
      <x:c r="U14" s="7">
        <x:v>152938</x:v>
      </x:c>
      <x:c r="V14" s="7">
        <x:v>210842</x:v>
      </x:c>
      <x:c r="W14" s="7">
        <x:v>171039</x:v>
      </x:c>
      <x:c r="X14" s="7"/>
      <x:c r="Y14" s="7"/>
      <x:c r="AA14" s="9">
        <x:f t="shared" si="0"/>
        <x:v>2395608</x:v>
      </x:c>
      <x:c r="AB14" s="9" t="n">
        <x:f>AA14-B14</x:f>
        <x:v>0</x:v>
      </x:c>
      <x:c r="AW14" s="72" t="n">
        <x:v>50.5</x:v>
      </x:c>
      <x:c r="AX14" s="72" t="n">
        <x:v>31.7</x:v>
      </x:c>
    </x:row>
    <x:row r="15" s="2" customFormat="1">
      <x:c r="A15" s="1" t="s">
        <x:v>45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>
        <x:v>16897</x:v>
      </x:c>
      <x:c r="M15" s="3">
        <x:v>11405</x:v>
      </x:c>
      <x:c r="N15" s="3">
        <x:v>7623</x:v>
      </x:c>
      <x:c r="O15" s="3">
        <x:v>8564</x:v>
      </x:c>
      <x:c r="P15" s="3">
        <x:v>8411</x:v>
      </x:c>
      <x:c r="Q15" s="3">
        <x:v>8701</x:v>
      </x:c>
      <x:c r="R15" s="3">
        <x:v>9681</x:v>
      </x:c>
      <x:c r="S15" s="3">
        <x:v>14435</x:v>
      </x:c>
      <x:c r="T15" s="3">
        <x:v>8984</x:v>
      </x:c>
      <x:c r="U15" s="3">
        <x:v>7094</x:v>
      </x:c>
      <x:c r="V15" s="3">
        <x:v>11109</x:v>
      </x:c>
      <x:c r="W15" s="3">
        <x:v>8220</x:v>
      </x:c>
      <x:c r="X15" s="3"/>
      <x:c r="Y15" s="3"/>
      <x:c r="AA15" s="5">
        <x:f t="shared" si="0"/>
        <x:v>121124</x:v>
      </x:c>
      <x:c r="AB15" s="5" t="n">
        <x:f>C14-AA15</x:f>
        <x:v>4</x:v>
      </x:c>
      <x:c r="AW15" s="72" t="str">
        <x:v>—</x:v>
      </x:c>
      <x:c r="AX15" s="72" t="str">
        <x:v>—</x:v>
      </x:c>
    </x:row>
    <x:row r="16" s="2" customFormat="1">
      <x:c r="A16" s="1" t="s">
        <x:v>46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>
        <x:v>9945</x:v>
      </x:c>
      <x:c r="M16" s="3">
        <x:v>7071</x:v>
      </x:c>
      <x:c r="N16" s="3">
        <x:v>5131</x:v>
      </x:c>
      <x:c r="O16" s="3">
        <x:v>6171</x:v>
      </x:c>
      <x:c r="P16" s="3">
        <x:v>5413</x:v>
      </x:c>
      <x:c r="Q16" s="3">
        <x:v>6242</x:v>
      </x:c>
      <x:c r="R16" s="3">
        <x:v>5242</x:v>
      </x:c>
      <x:c r="S16" s="3">
        <x:v>9539</x:v>
      </x:c>
      <x:c r="T16" s="3">
        <x:v>5172</x:v>
      </x:c>
      <x:c r="U16" s="3">
        <x:v>4699</x:v>
      </x:c>
      <x:c r="V16" s="3">
        <x:v>6046</x:v>
      </x:c>
      <x:c r="W16" s="3">
        <x:v>5379</x:v>
      </x:c>
      <x:c r="X16" s="3"/>
      <x:c r="Y16" s="3"/>
      <x:c r="AA16" s="5">
        <x:f t="shared" si="0"/>
        <x:v>76050</x:v>
      </x:c>
      <x:c r="AB16" s="5" t="n">
        <x:f>AA16-D14</x:f>
        <x:v>0</x:v>
      </x:c>
      <x:c r="AW16" s="72" t="str">
        <x:v>—</x:v>
      </x:c>
      <x:c r="AX16" s="72" t="str">
        <x:v>—</x:v>
      </x:c>
    </x:row>
    <x:row r="17" s="8" customFormat="1">
      <x:c r="A17" s="6" t="s">
        <x:v>47</x:v>
      </x:c>
      <x:c r="B17" s="7">
        <x:v>1483518</x:v>
      </x:c>
      <x:c r="C17" s="7">
        <x:v>60982</x:v>
      </x:c>
      <x:c r="D17" s="7">
        <x:v>42063</x:v>
      </x:c>
      <x:c r="E17" s="7">
        <x:v>216259</x:v>
      </x:c>
      <x:c r="F17" s="7">
        <x:v>6064</x:v>
      </x:c>
      <x:c r="G17" s="7">
        <x:v>3977</x:v>
      </x:c>
      <x:c r="H17" s="7">
        <x:v>1357065</x:v>
      </x:c>
      <x:c r="I17" s="7">
        <x:v>56683</x:v>
      </x:c>
      <x:c r="J17" s="7">
        <x:v>37073</x:v>
      </x:c>
      <x:c r="K17" s="3"/>
      <x:c r="L17" s="7">
        <x:v>185925</x:v>
      </x:c>
      <x:c r="M17" s="7">
        <x:v>196326</x:v>
      </x:c>
      <x:c r="N17" s="7">
        <x:v>182703</x:v>
      </x:c>
      <x:c r="O17" s="7">
        <x:v>181801</x:v>
      </x:c>
      <x:c r="P17" s="7">
        <x:v>136022</x:v>
      </x:c>
      <x:c r="Q17" s="7">
        <x:v>154393</x:v>
      </x:c>
      <x:c r="R17" s="7">
        <x:v>132990</x:v>
      </x:c>
      <x:c r="S17" s="7">
        <x:v>207307</x:v>
      </x:c>
      <x:c r="T17" s="7">
        <x:v>106051</x:v>
      </x:c>
      <x:c r="U17" s="7"/>
      <x:c r="V17" s="7"/>
      <x:c r="W17" s="7"/>
      <x:c r="X17" s="7"/>
      <x:c r="Y17" s="7"/>
      <x:c r="AA17" s="9">
        <x:f t="shared" si="0"/>
        <x:v>1483518</x:v>
      </x:c>
      <x:c r="AB17" s="9" t="n">
        <x:f>AA17-B17</x:f>
        <x:v>0</x:v>
      </x:c>
      <x:c r="AW17" s="72" t="n">
        <x:v>41.1</x:v>
      </x:c>
      <x:c r="AX17" s="72" t="n">
        <x:v>28.3</x:v>
      </x:c>
    </x:row>
    <x:row r="18" s="2" customFormat="1">
      <x:c r="A18" s="1" t="s">
        <x:v>48</x:v>
      </x:c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>
        <x:v>6634</x:v>
      </x:c>
      <x:c r="M18" s="3">
        <x:v>8637</x:v>
      </x:c>
      <x:c r="N18" s="3">
        <x:v>6525</x:v>
      </x:c>
      <x:c r="O18" s="3">
        <x:v>6396</x:v>
      </x:c>
      <x:c r="P18" s="3">
        <x:v>6551</x:v>
      </x:c>
      <x:c r="Q18" s="3">
        <x:v>7183</x:v>
      </x:c>
      <x:c r="R18" s="3">
        <x:v>5946</x:v>
      </x:c>
      <x:c r="S18" s="3">
        <x:v>9332</x:v>
      </x:c>
      <x:c r="T18" s="3">
        <x:v>3778</x:v>
      </x:c>
      <x:c r="U18" s="3"/>
      <x:c r="V18" s="3"/>
      <x:c r="W18" s="3"/>
      <x:c r="X18" s="3"/>
      <x:c r="Y18" s="3"/>
      <x:c r="AA18" s="5">
        <x:f t="shared" si="0"/>
        <x:v>60982</x:v>
      </x:c>
      <x:c r="AB18" s="5" t="n">
        <x:f>C17-AA18</x:f>
        <x:v>0</x:v>
      </x:c>
      <x:c r="AW18" s="72" t="str">
        <x:v>—</x:v>
      </x:c>
      <x:c r="AX18" s="72" t="str">
        <x:v>—</x:v>
      </x:c>
    </x:row>
    <x:row r="19" s="2" customFormat="1">
      <x:c r="A19" s="1" t="s">
        <x:v>49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>
        <x:v>4159</x:v>
      </x:c>
      <x:c r="M19" s="3">
        <x:v>5922</x:v>
      </x:c>
      <x:c r="N19" s="3">
        <x:v>4240</x:v>
      </x:c>
      <x:c r="O19" s="3">
        <x:v>3986</x:v>
      </x:c>
      <x:c r="P19" s="3">
        <x:v>3953</x:v>
      </x:c>
      <x:c r="Q19" s="3">
        <x:v>7226</x:v>
      </x:c>
      <x:c r="R19" s="3">
        <x:v>3986</x:v>
      </x:c>
      <x:c r="S19" s="3">
        <x:v>6144</x:v>
      </x:c>
      <x:c r="T19" s="3">
        <x:v>2447</x:v>
      </x:c>
      <x:c r="U19" s="3"/>
      <x:c r="V19" s="3"/>
      <x:c r="W19" s="3"/>
      <x:c r="X19" s="3"/>
      <x:c r="Y19" s="3"/>
      <x:c r="AA19" s="5">
        <x:f t="shared" si="0"/>
        <x:v>42063</x:v>
      </x:c>
      <x:c r="AB19" s="5" t="n">
        <x:f>AA19-D17</x:f>
        <x:v>0</x:v>
      </x:c>
      <x:c r="AW19" s="72" t="str">
        <x:v>—</x:v>
      </x:c>
      <x:c r="AX19" s="72" t="str">
        <x:v>—</x:v>
      </x:c>
    </x:row>
    <x:row r="20" s="8" customFormat="1">
      <x:c r="A20" s="6" t="s">
        <x:v>50</x:v>
      </x:c>
      <x:c r="B20" s="7">
        <x:v>3139937</x:v>
      </x:c>
      <x:c r="C20" s="7">
        <x:v>157126</x:v>
      </x:c>
      <x:c r="D20" s="7">
        <x:v>105987</x:v>
      </x:c>
      <x:c r="E20" s="7">
        <x:v>427840</x:v>
      </x:c>
      <x:c r="F20" s="7">
        <x:v>15053</x:v>
      </x:c>
      <x:c r="G20" s="7">
        <x:v>10465</x:v>
      </x:c>
      <x:c r="H20" s="7">
        <x:v>2973616</x:v>
      </x:c>
      <x:c r="I20" s="7">
        <x:v>156408</x:v>
      </x:c>
      <x:c r="J20" s="7">
        <x:v>97869</x:v>
      </x:c>
      <x:c r="K20" s="3"/>
      <x:c r="L20" s="7">
        <x:v>441182</x:v>
      </x:c>
      <x:c r="M20" s="7">
        <x:v>283286</x:v>
      </x:c>
      <x:c r="N20" s="7">
        <x:v>279895</x:v>
      </x:c>
      <x:c r="O20" s="7">
        <x:v>250465</x:v>
      </x:c>
      <x:c r="P20" s="7">
        <x:v>250503</x:v>
      </x:c>
      <x:c r="Q20" s="7">
        <x:v>206823</x:v>
      </x:c>
      <x:c r="R20" s="7">
        <x:v>235785</x:v>
      </x:c>
      <x:c r="S20" s="7">
        <x:v>215927</x:v>
      </x:c>
      <x:c r="T20" s="7">
        <x:v>212872</x:v>
      </x:c>
      <x:c r="U20" s="7">
        <x:v>285045</x:v>
      </x:c>
      <x:c r="V20" s="7">
        <x:v>269129</x:v>
      </x:c>
      <x:c r="W20" s="7">
        <x:v>209025</x:v>
      </x:c>
      <x:c r="X20" s="7"/>
      <x:c r="Y20" s="7"/>
      <x:c r="AA20" s="9">
        <x:f t="shared" si="0"/>
        <x:v>3139937</x:v>
      </x:c>
      <x:c r="AB20" s="9" t="n">
        <x:f>AA20-B20</x:f>
        <x:v>0</x:v>
      </x:c>
      <x:c r="AW20" s="72" t="n">
        <x:v>50</x:v>
      </x:c>
      <x:c r="AX20" s="72" t="n">
        <x:v>33.7</x:v>
      </x:c>
    </x:row>
    <x:row r="21" s="2" customFormat="1">
      <x:c r="A21" s="1" t="s">
        <x:v>51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>
        <x:v>20211</x:v>
      </x:c>
      <x:c r="M21" s="3">
        <x:v>12502</x:v>
      </x:c>
      <x:c r="N21" s="3">
        <x:v>14101</x:v>
      </x:c>
      <x:c r="O21" s="3">
        <x:v>12264</x:v>
      </x:c>
      <x:c r="P21" s="3">
        <x:v>12725</x:v>
      </x:c>
      <x:c r="Q21" s="3">
        <x:v>9891</x:v>
      </x:c>
      <x:c r="R21" s="3">
        <x:v>12950</x:v>
      </x:c>
      <x:c r="S21" s="3">
        <x:v>11020</x:v>
      </x:c>
      <x:c r="T21" s="3">
        <x:v>11151</x:v>
      </x:c>
      <x:c r="U21" s="3">
        <x:v>14603</x:v>
      </x:c>
      <x:c r="V21" s="3">
        <x:v>14774</x:v>
      </x:c>
      <x:c r="W21" s="3">
        <x:v>10934</x:v>
      </x:c>
      <x:c r="X21" s="3"/>
      <x:c r="Y21" s="3"/>
      <x:c r="AA21" s="5">
        <x:f t="shared" si="0"/>
        <x:v>157126</x:v>
      </x:c>
      <x:c r="AB21" s="5" t="n">
        <x:f>C20-AA21</x:f>
        <x:v>0</x:v>
      </x:c>
      <x:c r="AW21" s="72" t="str">
        <x:v>—</x:v>
      </x:c>
      <x:c r="AX21" s="72" t="str">
        <x:v>—</x:v>
      </x:c>
    </x:row>
    <x:row r="22" s="2" customFormat="1">
      <x:c r="A22" s="1" t="s">
        <x:v>52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>
        <x:v>15082</x:v>
      </x:c>
      <x:c r="M22" s="3">
        <x:v>7459</x:v>
      </x:c>
      <x:c r="N22" s="3">
        <x:v>10274</x:v>
      </x:c>
      <x:c r="O22" s="3">
        <x:v>8614</x:v>
      </x:c>
      <x:c r="P22" s="3">
        <x:v>8855</x:v>
      </x:c>
      <x:c r="Q22" s="3">
        <x:v>5922</x:v>
      </x:c>
      <x:c r="R22" s="3">
        <x:v>8089</x:v>
      </x:c>
      <x:c r="S22" s="3">
        <x:v>6565</x:v>
      </x:c>
      <x:c r="T22" s="3">
        <x:v>7584</x:v>
      </x:c>
      <x:c r="U22" s="3">
        <x:v>9070</x:v>
      </x:c>
      <x:c r="V22" s="3">
        <x:v>10697</x:v>
      </x:c>
      <x:c r="W22" s="3">
        <x:v>7776</x:v>
      </x:c>
      <x:c r="X22" s="3"/>
      <x:c r="Y22" s="3"/>
      <x:c r="AA22" s="5">
        <x:f t="shared" si="0"/>
        <x:v>105987</x:v>
      </x:c>
      <x:c r="AB22" s="5" t="n">
        <x:f>AA22-D20</x:f>
        <x:v>0</x:v>
      </x:c>
      <x:c r="AW22" s="72" t="str">
        <x:v>—</x:v>
      </x:c>
      <x:c r="AX22" s="72" t="str">
        <x:v>—</x:v>
      </x:c>
    </x:row>
    <x:row r="23" s="8" customFormat="1">
      <x:c r="A23" s="6" t="s">
        <x:v>53</x:v>
      </x:c>
      <x:c r="B23" s="7">
        <x:v>1587582</x:v>
      </x:c>
      <x:c r="C23" s="7">
        <x:v>55872</x:v>
      </x:c>
      <x:c r="D23" s="7">
        <x:v>35912</x:v>
      </x:c>
      <x:c r="E23" s="7">
        <x:v>145717</x:v>
      </x:c>
      <x:c r="F23" s="7">
        <x:v>3868</x:v>
      </x:c>
      <x:c r="G23" s="7">
        <x:v>2659</x:v>
      </x:c>
      <x:c r="H23" s="7">
        <x:v>1551707</x:v>
      </x:c>
      <x:c r="I23" s="7">
        <x:v>54150</x:v>
      </x:c>
      <x:c r="J23" s="7">
        <x:v>37143</x:v>
      </x:c>
      <x:c r="K23" s="3"/>
      <x:c r="L23" s="7">
        <x:v>222383</x:v>
      </x:c>
      <x:c r="M23" s="7">
        <x:v>242173</x:v>
      </x:c>
      <x:c r="N23" s="7">
        <x:v>210790</x:v>
      </x:c>
      <x:c r="O23" s="7">
        <x:v>221661</x:v>
      </x:c>
      <x:c r="P23" s="7">
        <x:v>245171</x:v>
      </x:c>
      <x:c r="Q23" s="7">
        <x:v>195013</x:v>
      </x:c>
      <x:c r="R23" s="7">
        <x:v>250391</x:v>
      </x:c>
      <x:c r="S23" s="7"/>
      <x:c r="T23" s="7"/>
      <x:c r="U23" s="7"/>
      <x:c r="V23" s="7"/>
      <x:c r="W23" s="7"/>
      <x:c r="X23" s="7"/>
      <x:c r="Y23" s="7"/>
      <x:c r="AA23" s="9">
        <x:f t="shared" si="0"/>
        <x:v>1587582</x:v>
      </x:c>
      <x:c r="AB23" s="9" t="n">
        <x:f>AA23-B23</x:f>
        <x:v>0</x:v>
      </x:c>
      <x:c r="AW23" s="72" t="n">
        <x:v>35.2</x:v>
      </x:c>
      <x:c r="AX23" s="72" t="n">
        <x:v>22.6</x:v>
      </x:c>
    </x:row>
    <x:row r="24" s="2" customFormat="1">
      <x:c r="A24" s="1" t="s">
        <x:v>54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>
        <x:v>7915</x:v>
      </x:c>
      <x:c r="M24" s="3">
        <x:v>8489</x:v>
      </x:c>
      <x:c r="N24" s="3">
        <x:v>7009</x:v>
      </x:c>
      <x:c r="O24" s="3">
        <x:v>7716</x:v>
      </x:c>
      <x:c r="P24" s="3">
        <x:v>9238</x:v>
      </x:c>
      <x:c r="Q24" s="3">
        <x:v>7453</x:v>
      </x:c>
      <x:c r="R24" s="3">
        <x:v>8052</x:v>
      </x:c>
      <x:c r="S24" s="3"/>
      <x:c r="T24" s="3"/>
      <x:c r="U24" s="3"/>
      <x:c r="V24" s="3"/>
      <x:c r="W24" s="3"/>
      <x:c r="X24" s="3"/>
      <x:c r="Y24" s="3"/>
      <x:c r="AA24" s="5">
        <x:f t="shared" si="0"/>
        <x:v>55872</x:v>
      </x:c>
      <x:c r="AB24" s="5" t="n">
        <x:f>C23-AA24</x:f>
        <x:v>0</x:v>
      </x:c>
      <x:c r="AW24" s="72" t="str">
        <x:v>—</x:v>
      </x:c>
      <x:c r="AX24" s="72" t="str">
        <x:v>—</x:v>
      </x:c>
    </x:row>
    <x:row r="25" s="2" customFormat="1">
      <x:c r="A25" s="1" t="s">
        <x:v>55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>
        <x:v>4797</x:v>
      </x:c>
      <x:c r="M25" s="3">
        <x:v>5571</x:v>
      </x:c>
      <x:c r="N25" s="3">
        <x:v>4711</x:v>
      </x:c>
      <x:c r="O25" s="3">
        <x:v>4956</x:v>
      </x:c>
      <x:c r="P25" s="3">
        <x:v>5552</x:v>
      </x:c>
      <x:c r="Q25" s="3">
        <x:v>5195</x:v>
      </x:c>
      <x:c r="R25" s="3">
        <x:v>5130</x:v>
      </x:c>
      <x:c r="S25" s="3"/>
      <x:c r="T25" s="3"/>
      <x:c r="U25" s="3"/>
      <x:c r="V25" s="3"/>
      <x:c r="W25" s="3"/>
      <x:c r="X25" s="3"/>
      <x:c r="Y25" s="3"/>
      <x:c r="AA25" s="5">
        <x:f t="shared" si="0"/>
        <x:v>35912</x:v>
      </x:c>
      <x:c r="AB25" s="5" t="n">
        <x:f>AA25-D23</x:f>
        <x:v>0</x:v>
      </x:c>
      <x:c r="AW25" s="72" t="str">
        <x:v>—</x:v>
      </x:c>
      <x:c r="AX25" s="72" t="str">
        <x:v>—</x:v>
      </x:c>
    </x:row>
    <x:row r="26" s="8" customFormat="1">
      <x:c r="A26" s="6" t="s">
        <x:v>56</x:v>
      </x:c>
      <x:c r="B26" s="7">
        <x:v>1794560</x:v>
      </x:c>
      <x:c r="C26" s="7">
        <x:v>84804</x:v>
      </x:c>
      <x:c r="D26" s="7">
        <x:v>49170</x:v>
      </x:c>
      <x:c r="E26" s="7">
        <x:v>238232</x:v>
      </x:c>
      <x:c r="F26" s="7">
        <x:v>6131</x:v>
      </x:c>
      <x:c r="G26" s="7">
        <x:v>4186</x:v>
      </x:c>
      <x:c r="H26" s="7">
        <x:v>1714790</x:v>
      </x:c>
      <x:c r="I26" s="7">
        <x:v>77950</x:v>
      </x:c>
      <x:c r="J26" s="7">
        <x:v>43383</x:v>
      </x:c>
      <x:c r="K26" s="3"/>
      <x:c r="L26" s="7">
        <x:v>221289</x:v>
      </x:c>
      <x:c r="M26" s="7">
        <x:v>224994</x:v>
      </x:c>
      <x:c r="N26" s="7">
        <x:v>186329</x:v>
      </x:c>
      <x:c r="O26" s="7">
        <x:v>191281</x:v>
      </x:c>
      <x:c r="P26" s="7">
        <x:v>136486</x:v>
      </x:c>
      <x:c r="Q26" s="7">
        <x:v>235525</x:v>
      </x:c>
      <x:c r="R26" s="7">
        <x:v>209242</x:v>
      </x:c>
      <x:c r="S26" s="7">
        <x:v>171761</x:v>
      </x:c>
      <x:c r="T26" s="7">
        <x:v>217653</x:v>
      </x:c>
      <x:c r="U26" s="7"/>
      <x:c r="V26" s="7"/>
      <x:c r="W26" s="7"/>
      <x:c r="X26" s="7"/>
      <x:c r="Y26" s="7"/>
      <x:c r="AA26" s="9">
        <x:f t="shared" si="0"/>
        <x:v>1794560</x:v>
      </x:c>
      <x:c r="AB26" s="9" t="n">
        <x:f>AA26-B26</x:f>
        <x:v>0</x:v>
      </x:c>
      <x:c r="AW26" s="72" t="n">
        <x:v>47.2</x:v>
      </x:c>
      <x:c r="AX26" s="72" t="n">
        <x:v>27.4</x:v>
      </x:c>
    </x:row>
    <x:row r="27" s="2" customFormat="1">
      <x:c r="A27" s="1" t="s">
        <x:v>57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>
        <x:v>9708</x:v>
      </x:c>
      <x:c r="M27" s="3">
        <x:v>10262</x:v>
      </x:c>
      <x:c r="N27" s="3">
        <x:v>9920</x:v>
      </x:c>
      <x:c r="O27" s="3">
        <x:v>9365</x:v>
      </x:c>
      <x:c r="P27" s="3">
        <x:v>7161</x:v>
      </x:c>
      <x:c r="Q27" s="3">
        <x:v>9852</x:v>
      </x:c>
      <x:c r="R27" s="3">
        <x:v>9453</x:v>
      </x:c>
      <x:c r="S27" s="3">
        <x:v>9135</x:v>
      </x:c>
      <x:c r="T27" s="3">
        <x:v>9948</x:v>
      </x:c>
      <x:c r="U27" s="3"/>
      <x:c r="V27" s="3"/>
      <x:c r="W27" s="3"/>
      <x:c r="X27" s="3"/>
      <x:c r="Y27" s="3"/>
      <x:c r="AA27" s="5">
        <x:f t="shared" si="0"/>
        <x:v>84804</x:v>
      </x:c>
      <x:c r="AB27" s="5" t="n">
        <x:f>C26-AA27</x:f>
        <x:v>0</x:v>
      </x:c>
      <x:c r="AW27" s="72" t="str">
        <x:v>—</x:v>
      </x:c>
      <x:c r="AX27" s="72" t="str">
        <x:v>—</x:v>
      </x:c>
    </x:row>
    <x:row r="28" s="2" customFormat="1">
      <x:c r="A28" s="1" t="s">
        <x:v>58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>
        <x:v>5300</x:v>
      </x:c>
      <x:c r="M28" s="3">
        <x:v>5850</x:v>
      </x:c>
      <x:c r="N28" s="3">
        <x:v>6026</x:v>
      </x:c>
      <x:c r="O28" s="3">
        <x:v>4707</x:v>
      </x:c>
      <x:c r="P28" s="3">
        <x:v>4146</x:v>
      </x:c>
      <x:c r="Q28" s="3">
        <x:v>5714</x:v>
      </x:c>
      <x:c r="R28" s="3">
        <x:v>5959</x:v>
      </x:c>
      <x:c r="S28" s="3">
        <x:v>5045</x:v>
      </x:c>
      <x:c r="T28" s="3">
        <x:v>6423</x:v>
      </x:c>
      <x:c r="U28" s="3"/>
      <x:c r="V28" s="3"/>
      <x:c r="W28" s="3"/>
      <x:c r="X28" s="3"/>
      <x:c r="Y28" s="3"/>
      <x:c r="AA28" s="5">
        <x:f t="shared" si="0"/>
        <x:v>49170</x:v>
      </x:c>
      <x:c r="AB28" s="5" t="n">
        <x:f>AA28-D26</x:f>
        <x:v>0</x:v>
      </x:c>
      <x:c r="AW28" s="72" t="str">
        <x:v>—</x:v>
      </x:c>
      <x:c r="AX28" s="72" t="str">
        <x:v>—</x:v>
      </x:c>
    </x:row>
    <x:row r="29" s="8" customFormat="1">
      <x:c r="A29" s="6" t="s">
        <x:v>59</x:v>
      </x:c>
      <x:c r="B29" s="7">
        <x:v>1415258</x:v>
      </x:c>
      <x:c r="C29" s="7">
        <x:v>69583</x:v>
      </x:c>
      <x:c r="D29" s="7">
        <x:v>40393</x:v>
      </x:c>
      <x:c r="E29" s="7">
        <x:v>125913</x:v>
      </x:c>
      <x:c r="F29" s="7">
        <x:v>4236</x:v>
      </x:c>
      <x:c r="G29" s="7">
        <x:v>2634</x:v>
      </x:c>
      <x:c r="H29" s="7">
        <x:v>1325567</x:v>
      </x:c>
      <x:c r="I29" s="7">
        <x:v>66796</x:v>
      </x:c>
      <x:c r="J29" s="7">
        <x:v>35242</x:v>
      </x:c>
      <x:c r="K29" s="3"/>
      <x:c r="L29" s="7">
        <x:v>149871</x:v>
      </x:c>
      <x:c r="M29" s="7">
        <x:v>99888</x:v>
      </x:c>
      <x:c r="N29" s="7">
        <x:v>199188</x:v>
      </x:c>
      <x:c r="O29" s="7">
        <x:v>101586</x:v>
      </x:c>
      <x:c r="P29" s="7">
        <x:v>124797</x:v>
      </x:c>
      <x:c r="Q29" s="7">
        <x:v>94984</x:v>
      </x:c>
      <x:c r="R29" s="7">
        <x:v>130436</x:v>
      </x:c>
      <x:c r="S29" s="7">
        <x:v>179179</x:v>
      </x:c>
      <x:c r="T29" s="7">
        <x:v>134882</x:v>
      </x:c>
      <x:c r="U29" s="7">
        <x:v>77647</x:v>
      </x:c>
      <x:c r="V29" s="7">
        <x:v>132800</x:v>
      </x:c>
      <x:c r="W29" s="7"/>
      <x:c r="X29" s="7"/>
      <x:c r="Y29" s="7"/>
      <x:c r="AA29" s="9">
        <x:f t="shared" si="0"/>
        <x:v>1425258</x:v>
      </x:c>
      <x:c r="AB29" s="9" t="n">
        <x:f>AA29-B29</x:f>
        <x:v>10000</x:v>
      </x:c>
      <x:c r="AW29" s="72" t="n">
        <x:v>49.1</x:v>
      </x:c>
      <x:c r="AX29" s="72" t="n">
        <x:v>28.6</x:v>
      </x:c>
    </x:row>
    <x:row r="30" s="2" customFormat="1">
      <x:c r="A30" s="1" t="s">
        <x:v>60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>
        <x:v>5739</x:v>
      </x:c>
      <x:c r="M30" s="3">
        <x:v>5278</x:v>
      </x:c>
      <x:c r="N30" s="3">
        <x:v>9544</x:v>
      </x:c>
      <x:c r="O30" s="3">
        <x:v>5104</x:v>
      </x:c>
      <x:c r="P30" s="3">
        <x:v>5959</x:v>
      </x:c>
      <x:c r="Q30" s="3">
        <x:v>4426</x:v>
      </x:c>
      <x:c r="R30" s="3">
        <x:v>7439</x:v>
      </x:c>
      <x:c r="S30" s="3">
        <x:v>9824</x:v>
      </x:c>
      <x:c r="T30" s="3">
        <x:v>6587</x:v>
      </x:c>
      <x:c r="U30" s="3">
        <x:v>3504</x:v>
      </x:c>
      <x:c r="V30" s="3">
        <x:v>6179</x:v>
      </x:c>
      <x:c r="W30" s="3"/>
      <x:c r="X30" s="3"/>
      <x:c r="Y30" s="3"/>
      <x:c r="AA30" s="5">
        <x:f t="shared" si="0"/>
        <x:v>69583</x:v>
      </x:c>
      <x:c r="AB30" s="5" t="n">
        <x:f>C29-AA30</x:f>
        <x:v>0</x:v>
      </x:c>
      <x:c r="AW30" s="72" t="str">
        <x:v>—</x:v>
      </x:c>
      <x:c r="AX30" s="72" t="str">
        <x:v>—</x:v>
      </x:c>
    </x:row>
    <x:row r="31" s="2" customFormat="1">
      <x:c r="A31" s="1" t="s">
        <x:v>61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>
        <x:v>3383</x:v>
      </x:c>
      <x:c r="M31" s="3">
        <x:v>3080</x:v>
      </x:c>
      <x:c r="N31" s="3">
        <x:v>5891</x:v>
      </x:c>
      <x:c r="O31" s="3">
        <x:v>2638</x:v>
      </x:c>
      <x:c r="P31" s="3">
        <x:v>3315</x:v>
      </x:c>
      <x:c r="Q31" s="3">
        <x:v>2382</x:v>
      </x:c>
      <x:c r="R31" s="3">
        <x:v>4007</x:v>
      </x:c>
      <x:c r="S31" s="3">
        <x:v>6446</x:v>
      </x:c>
      <x:c r="T31" s="3">
        <x:v>3821</x:v>
      </x:c>
      <x:c r="U31" s="3">
        <x:v>1938</x:v>
      </x:c>
      <x:c r="V31" s="3">
        <x:v>3492</x:v>
      </x:c>
      <x:c r="W31" s="3"/>
      <x:c r="X31" s="3"/>
      <x:c r="Y31" s="3"/>
      <x:c r="AA31" s="5">
        <x:f t="shared" si="0"/>
        <x:v>40393</x:v>
      </x:c>
      <x:c r="AB31" s="5" t="n">
        <x:f>AA31-D29</x:f>
        <x:v>0</x:v>
      </x:c>
      <x:c r="AW31" s="72" t="str">
        <x:v>—</x:v>
      </x:c>
      <x:c r="AX31" s="72" t="str">
        <x:v>—</x:v>
      </x:c>
    </x:row>
    <x:row r="32" s="8" customFormat="1">
      <x:c r="A32" s="6" t="s">
        <x:v>62</x:v>
      </x:c>
      <x:c r="B32" s="7">
        <x:v>1380944</x:v>
      </x:c>
      <x:c r="C32" s="7">
        <x:v>81294</x:v>
      </x:c>
      <x:c r="D32" s="7">
        <x:v>60350</x:v>
      </x:c>
      <x:c r="E32" s="7">
        <x:v>110000</x:v>
      </x:c>
      <x:c r="F32" s="7">
        <x:v>6381</x:v>
      </x:c>
      <x:c r="G32" s="7">
        <x:v>5958</x:v>
      </x:c>
      <x:c r="H32" s="7">
        <x:v>1337913</x:v>
      </x:c>
      <x:c r="I32" s="7">
        <x:v>80457</x:v>
      </x:c>
      <x:c r="J32" s="7">
        <x:v>53449</x:v>
      </x:c>
      <x:c r="K32" s="3"/>
      <x:c r="L32" s="7">
        <x:v>403969</x:v>
      </x:c>
      <x:c r="M32" s="7">
        <x:v>204216</x:v>
      </x:c>
      <x:c r="N32" s="7">
        <x:v>199301</x:v>
      </x:c>
      <x:c r="O32" s="7">
        <x:v>179824</x:v>
      </x:c>
      <x:c r="P32" s="7">
        <x:v>390634</x:v>
      </x:c>
      <x:c r="Q32" s="7"/>
      <x:c r="R32" s="7"/>
      <x:c r="S32" s="7"/>
      <x:c r="T32" s="7"/>
      <x:c r="U32" s="7"/>
      <x:c r="V32" s="7"/>
      <x:c r="W32" s="7"/>
      <x:c r="X32" s="7"/>
      <x:c r="Y32" s="7"/>
      <x:c r="AA32" s="9">
        <x:f t="shared" si="0"/>
        <x:v>1377944</x:v>
      </x:c>
      <x:c r="AB32" s="9" t="n">
        <x:f>AA32-B32</x:f>
        <x:v>-3000</x:v>
      </x:c>
      <x:c r="AW32" s="72" t="n">
        <x:v>58.8</x:v>
      </x:c>
      <x:c r="AX32" s="72" t="n">
        <x:v>43.7</x:v>
      </x:c>
    </x:row>
    <x:row r="33" s="2" customFormat="1">
      <x:c r="A33" s="1" t="s">
        <x:v>63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>
        <x:v>27756</x:v>
      </x:c>
      <x:c r="M33" s="3">
        <x:v>10602</x:v>
      </x:c>
      <x:c r="N33" s="3">
        <x:v>9093</x:v>
      </x:c>
      <x:c r="O33" s="3">
        <x:v>10163</x:v>
      </x:c>
      <x:c r="P33" s="3">
        <x:v>23680</x:v>
      </x:c>
      <x:c r="Q33" s="3"/>
      <x:c r="R33" s="3"/>
      <x:c r="S33" s="3"/>
      <x:c r="T33" s="3"/>
      <x:c r="U33" s="3"/>
      <x:c r="V33" s="3"/>
      <x:c r="W33" s="3"/>
      <x:c r="X33" s="3"/>
      <x:c r="Y33" s="3"/>
      <x:c r="AA33" s="5">
        <x:f t="shared" si="0"/>
        <x:v>81294</x:v>
      </x:c>
      <x:c r="AB33" s="5" t="n">
        <x:f>C32-AA33</x:f>
        <x:v>0</x:v>
      </x:c>
      <x:c r="AW33" s="72" t="str">
        <x:v>—</x:v>
      </x:c>
      <x:c r="AX33" s="72" t="str">
        <x:v>—</x:v>
      </x:c>
    </x:row>
    <x:row r="34" s="2" customFormat="1">
      <x:c r="A34" s="1" t="s">
        <x:v>64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>
        <x:v>20965</x:v>
      </x:c>
      <x:c r="M34" s="3">
        <x:v>6164</x:v>
      </x:c>
      <x:c r="N34" s="3">
        <x:v>7622</x:v>
      </x:c>
      <x:c r="O34" s="3">
        <x:v>7441</x:v>
      </x:c>
      <x:c r="P34" s="3">
        <x:v>18158</x:v>
      </x:c>
      <x:c r="Q34" s="3"/>
      <x:c r="R34" s="3"/>
      <x:c r="S34" s="3"/>
      <x:c r="T34" s="3"/>
      <x:c r="U34" s="3"/>
      <x:c r="V34" s="3"/>
      <x:c r="W34" s="3"/>
      <x:c r="X34" s="3"/>
      <x:c r="Y34" s="3"/>
      <x:c r="AA34" s="5">
        <x:f t="shared" si="0"/>
        <x:v>60350</x:v>
      </x:c>
      <x:c r="AB34" s="5" t="n">
        <x:f>AA34-D32</x:f>
        <x:v>0</x:v>
      </x:c>
      <x:c r="AW34" s="72" t="str">
        <x:v>—</x:v>
      </x:c>
      <x:c r="AX34" s="72" t="str">
        <x:v>—</x:v>
      </x:c>
    </x:row>
    <x:row r="35" s="8" customFormat="1">
      <x:c r="A35" s="6" t="s">
        <x:v>65</x:v>
      </x:c>
      <x:c r="B35" s="7">
        <x:v>2617253</x:v>
      </x:c>
      <x:c r="C35" s="7">
        <x:v>120433</x:v>
      </x:c>
      <x:c r="D35" s="7">
        <x:v>79121</x:v>
      </x:c>
      <x:c r="E35" s="7">
        <x:v>200341</x:v>
      </x:c>
      <x:c r="F35" s="7">
        <x:v>6133</x:v>
      </x:c>
      <x:c r="G35" s="7">
        <x:v>4723</x:v>
      </x:c>
      <x:c r="H35" s="7">
        <x:v>2494034</x:v>
      </x:c>
      <x:c r="I35" s="7">
        <x:v>124031</x:v>
      </x:c>
      <x:c r="J35" s="7">
        <x:v>77269</x:v>
      </x:c>
      <x:c r="K35" s="3"/>
      <x:c r="L35" s="7">
        <x:v>225462</x:v>
      </x:c>
      <x:c r="M35" s="7">
        <x:v>315118</x:v>
      </x:c>
      <x:c r="N35" s="7">
        <x:v>214576</x:v>
      </x:c>
      <x:c r="O35" s="7">
        <x:v>208717</x:v>
      </x:c>
      <x:c r="P35" s="7">
        <x:v>216571</x:v>
      </x:c>
      <x:c r="Q35" s="7">
        <x:v>139229</x:v>
      </x:c>
      <x:c r="R35" s="7">
        <x:v>183336</x:v>
      </x:c>
      <x:c r="S35" s="7">
        <x:v>198263</x:v>
      </x:c>
      <x:c r="T35" s="7">
        <x:v>267822</x:v>
      </x:c>
      <x:c r="U35" s="7">
        <x:v>246334</x:v>
      </x:c>
      <x:c r="V35" s="7">
        <x:v>181842</x:v>
      </x:c>
      <x:c r="W35" s="7">
        <x:v>219983</x:v>
      </x:c>
      <x:c r="X35" s="7"/>
      <x:c r="Y35" s="7"/>
      <x:c r="AA35" s="9">
        <x:f t="shared" si="0"/>
        <x:v>2617253</x:v>
      </x:c>
      <x:c r="AB35" s="9" t="n">
        <x:f>AA35-B35</x:f>
        <x:v>0</x:v>
      </x:c>
      <x:c r="AW35" s="72" t="n">
        <x:v>46</x:v>
      </x:c>
      <x:c r="AX35" s="72" t="n">
        <x:v>30.2</x:v>
      </x:c>
    </x:row>
    <x:row r="36" s="2" customFormat="1">
      <x:c r="A36" s="1" t="s">
        <x:v>66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>
        <x:v>9392</x:v>
      </x:c>
      <x:c r="M36" s="3">
        <x:v>16657</x:v>
      </x:c>
      <x:c r="N36" s="3">
        <x:v>9755</x:v>
      </x:c>
      <x:c r="O36" s="3">
        <x:v>9488</x:v>
      </x:c>
      <x:c r="P36" s="3">
        <x:v>10264</x:v>
      </x:c>
      <x:c r="Q36" s="3">
        <x:v>7218</x:v>
      </x:c>
      <x:c r="R36" s="3">
        <x:v>8551</x:v>
      </x:c>
      <x:c r="S36" s="3">
        <x:v>8807</x:v>
      </x:c>
      <x:c r="T36" s="3">
        <x:v>9186</x:v>
      </x:c>
      <x:c r="U36" s="3">
        <x:v>11947</x:v>
      </x:c>
      <x:c r="V36" s="3">
        <x:v>8897</x:v>
      </x:c>
      <x:c r="W36" s="3">
        <x:v>10271</x:v>
      </x:c>
      <x:c r="X36" s="3"/>
      <x:c r="Y36" s="3"/>
      <x:c r="AA36" s="5">
        <x:f t="shared" si="0"/>
        <x:v>120433</x:v>
      </x:c>
      <x:c r="AB36" s="5" t="n">
        <x:f>C35-AA36</x:f>
        <x:v>0</x:v>
      </x:c>
      <x:c r="AW36" s="72" t="str">
        <x:v>—</x:v>
      </x:c>
      <x:c r="AX36" s="72" t="str">
        <x:v>—</x:v>
      </x:c>
    </x:row>
    <x:row r="37" s="2" customFormat="1">
      <x:c r="A37" s="1" t="s">
        <x:v>67</x:v>
      </x:c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>
        <x:v>7648</x:v>
      </x:c>
      <x:c r="M37" s="3">
        <x:v>10808</x:v>
      </x:c>
      <x:c r="N37" s="3">
        <x:v>5459</x:v>
      </x:c>
      <x:c r="O37" s="3">
        <x:v>5585</x:v>
      </x:c>
      <x:c r="P37" s="3">
        <x:v>6912</x:v>
      </x:c>
      <x:c r="Q37" s="3">
        <x:v>4349</x:v>
      </x:c>
      <x:c r="R37" s="3">
        <x:v>5542</x:v>
      </x:c>
      <x:c r="S37" s="3">
        <x:v>6891</x:v>
      </x:c>
      <x:c r="T37" s="3">
        <x:v>5448</x:v>
      </x:c>
      <x:c r="U37" s="3">
        <x:v>7867</x:v>
      </x:c>
      <x:c r="V37" s="3">
        <x:v>5764</x:v>
      </x:c>
      <x:c r="W37" s="3">
        <x:v>6848</x:v>
      </x:c>
      <x:c r="X37" s="3"/>
      <x:c r="Y37" s="3"/>
      <x:c r="AA37" s="5">
        <x:f t="shared" si="0"/>
        <x:v>79121</x:v>
      </x:c>
      <x:c r="AB37" s="5" t="n">
        <x:f>AA37-D35</x:f>
        <x:v>0</x:v>
      </x:c>
      <x:c r="AW37" s="72" t="str">
        <x:v>—</x:v>
      </x:c>
      <x:c r="AX37" s="72" t="str">
        <x:v>—</x:v>
      </x:c>
    </x:row>
    <x:row r="38" s="13" customFormat="1">
      <x:c r="A38" s="11" t="s">
        <x:v>68</x:v>
      </x:c>
      <x:c r="B38" s="12">
        <x:v>19774385</x:v>
      </x:c>
      <x:c r="C38" s="12">
        <x:v>911131</x:v>
      </x:c>
      <x:c r="D38" s="12">
        <x:v>587950</x:v>
      </x:c>
      <x:c r="E38" s="12">
        <x:v>2125938</x:v>
      </x:c>
      <x:c r="F38" s="12">
        <x:v>70161</x:v>
      </x:c>
      <x:c r="G38" s="12">
        <x:v>51777</x:v>
      </x:c>
      <x:c r="H38" s="12">
        <x:v>18920612</x:v>
      </x:c>
      <x:c r="I38" s="12">
        <x:v>889247</x:v>
      </x:c>
      <x:c r="J38" s="12">
        <x:v>553178</x:v>
      </x:c>
      <x:c r="K38" s="3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AA38" s="14"/>
      <x:c r="AB38" s="14"/>
      <x:c r="AD38" s="14" t="n">
        <x:f t="shared" ref="AD38:AL38" si="1">SUM(B2:B37)</x:f>
        <x:v>19779385</x:v>
      </x:c>
      <x:c r="AE38" s="14">
        <x:f t="shared" si="1"/>
        <x:v>911131</x:v>
      </x:c>
      <x:c r="AF38" s="14">
        <x:f t="shared" si="1"/>
        <x:v>587950</x:v>
      </x:c>
      <x:c r="AG38" s="14">
        <x:f t="shared" si="1"/>
        <x:v>2154653</x:v>
      </x:c>
      <x:c r="AH38" s="14">
        <x:f t="shared" si="1"/>
        <x:v>71108</x:v>
      </x:c>
      <x:c r="AI38" s="14">
        <x:f t="shared" si="1"/>
        <x:v>52699</x:v>
      </x:c>
      <x:c r="AJ38" s="14">
        <x:f t="shared" si="1"/>
        <x:v>18899646</x:v>
      </x:c>
      <x:c r="AK38" s="14">
        <x:f t="shared" si="1"/>
        <x:v>889248</x:v>
      </x:c>
      <x:c r="AL38" s="14">
        <x:f t="shared" si="1"/>
        <x:v>553178</x:v>
      </x:c>
      <x:c r="AN38" s="14" t="n">
        <x:f t="shared" ref="AN38:AT38" si="2">AD38-B38</x:f>
        <x:v>5000</x:v>
      </x:c>
      <x:c r="AO38" s="14">
        <x:f t="shared" si="2"/>
        <x:v>0</x:v>
      </x:c>
      <x:c r="AP38" s="14">
        <x:f t="shared" si="2"/>
        <x:v>0</x:v>
      </x:c>
      <x:c r="AQ38" s="14">
        <x:f t="shared" si="2"/>
        <x:v>28715</x:v>
      </x:c>
      <x:c r="AR38" s="14">
        <x:f t="shared" si="2"/>
        <x:v>947</x:v>
      </x:c>
      <x:c r="AS38" s="14">
        <x:f t="shared" si="2"/>
        <x:v>922</x:v>
      </x:c>
      <x:c r="AT38" s="14">
        <x:f t="shared" si="2"/>
        <x:v>-20966</x:v>
      </x:c>
      <x:c r="AW38" s="72" t="n">
        <x:v>46.9</x:v>
      </x:c>
      <x:c r="AX38" s="72" t="n">
        <x:v>30.3</x:v>
      </x:c>
    </x:row>
    <x:row r="39" s="8" customFormat="1">
      <x:c r="A39" s="6" t="s">
        <x:v>69</x:v>
      </x:c>
      <x:c r="B39" s="7">
        <x:v>455852</x:v>
      </x:c>
      <x:c r="C39" s="7">
        <x:v>20777</x:v>
      </x:c>
      <x:c r="D39" s="7">
        <x:v>13302</x:v>
      </x:c>
      <x:c r="E39" s="10" t="s">
        <x:v>36</x:v>
      </x:c>
      <x:c r="F39" s="10" t="s">
        <x:v>36</x:v>
      </x:c>
      <x:c r="G39" s="10" t="s">
        <x:v>36</x:v>
      </x:c>
      <x:c r="H39" s="7">
        <x:v>449919</x:v>
      </x:c>
      <x:c r="I39" s="7">
        <x:v>19106</x:v>
      </x:c>
      <x:c r="J39" s="7">
        <x:v>12274</x:v>
      </x:c>
      <x:c r="K39" s="3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AA39" s="9"/>
      <x:c r="AB39" s="9"/>
      <x:c r="AW39" s="72" t="n">
        <x:v>45.5</x:v>
      </x:c>
      <x:c r="AX39" s="72" t="n">
        <x:v>29.2</x:v>
      </x:c>
    </x:row>
    <x:row r="40" s="8" customFormat="1">
      <x:c r="A40" s="6" t="s">
        <x:v>70</x:v>
      </x:c>
      <x:c r="B40" s="7">
        <x:v>1043412</x:v>
      </x:c>
      <x:c r="C40" s="7">
        <x:v>41044</x:v>
      </x:c>
      <x:c r="D40" s="7">
        <x:v>26410</x:v>
      </x:c>
      <x:c r="E40" s="7">
        <x:v>63476</x:v>
      </x:c>
      <x:c r="F40" s="7">
        <x:v>2425</x:v>
      </x:c>
      <x:c r="G40" s="7">
        <x:v>1797</x:v>
      </x:c>
      <x:c r="H40" s="7">
        <x:v>1010031</x:v>
      </x:c>
      <x:c r="I40" s="7">
        <x:v>42909</x:v>
      </x:c>
      <x:c r="J40" s="7">
        <x:v>25196</x:v>
      </x:c>
      <x:c r="K40" s="3"/>
      <x:c r="L40" s="7">
        <x:v>128408</x:v>
      </x:c>
      <x:c r="M40" s="7">
        <x:v>85816</x:v>
      </x:c>
      <x:c r="N40" s="7">
        <x:v>86450</x:v>
      </x:c>
      <x:c r="O40" s="7">
        <x:v>109232</x:v>
      </x:c>
      <x:c r="P40" s="7">
        <x:v>87073</x:v>
      </x:c>
      <x:c r="Q40" s="7">
        <x:v>88095</x:v>
      </x:c>
      <x:c r="R40" s="7">
        <x:v>84188</x:v>
      </x:c>
      <x:c r="S40" s="7">
        <x:v>92913</x:v>
      </x:c>
      <x:c r="T40" s="7">
        <x:v>86994</x:v>
      </x:c>
      <x:c r="U40" s="7">
        <x:v>64946</x:v>
      </x:c>
      <x:c r="V40" s="7">
        <x:v>49744</x:v>
      </x:c>
      <x:c r="W40" s="7">
        <x:v>79553</x:v>
      </x:c>
      <x:c r="X40" s="7"/>
      <x:c r="Y40" s="7"/>
      <x:c r="AA40" s="9" t="n">
        <x:f t="shared" ref="AA40:AA69" si="3">SUM(L40:Y40)</x:f>
        <x:v>1043412</x:v>
      </x:c>
      <x:c r="AB40" s="9" t="n">
        <x:f>AA40-B40</x:f>
        <x:v>0</x:v>
      </x:c>
      <x:c r="AW40" s="72" t="n">
        <x:v>39.1</x:v>
      </x:c>
      <x:c r="AX40" s="72" t="n">
        <x:v>25.2</x:v>
      </x:c>
    </x:row>
    <x:row r="41" s="2" customFormat="1">
      <x:c r="A41" s="1" t="s">
        <x:v>71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>
        <x:v>4479</x:v>
      </x:c>
      <x:c r="M41" s="3">
        <x:v>4189</x:v>
      </x:c>
      <x:c r="N41" s="3">
        <x:v>4373</x:v>
      </x:c>
      <x:c r="O41" s="3">
        <x:v>4396</x:v>
      </x:c>
      <x:c r="P41" s="3">
        <x:v>2879</x:v>
      </x:c>
      <x:c r="Q41" s="3">
        <x:v>3733</x:v>
      </x:c>
      <x:c r="R41" s="3">
        <x:v>2871</x:v>
      </x:c>
      <x:c r="S41" s="3">
        <x:v>3566</x:v>
      </x:c>
      <x:c r="T41" s="3">
        <x:v>2964</x:v>
      </x:c>
      <x:c r="U41" s="3">
        <x:v>2981</x:v>
      </x:c>
      <x:c r="V41" s="3">
        <x:v>1700</x:v>
      </x:c>
      <x:c r="W41" s="3">
        <x:v>2913</x:v>
      </x:c>
      <x:c r="X41" s="3"/>
      <x:c r="Y41" s="3"/>
      <x:c r="AA41" s="5">
        <x:f t="shared" si="3"/>
        <x:v>41044</x:v>
      </x:c>
      <x:c r="AB41" s="5" t="n">
        <x:f>C40-AA41</x:f>
        <x:v>0</x:v>
      </x:c>
      <x:c r="AW41" s="72" t="str">
        <x:v>—</x:v>
      </x:c>
      <x:c r="AX41" s="72" t="str">
        <x:v>—</x:v>
      </x:c>
    </x:row>
    <x:row r="42" s="2" customFormat="1">
      <x:c r="A42" s="1" t="s">
        <x:v>72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>
        <x:v>2221</x:v>
      </x:c>
      <x:c r="M42" s="3">
        <x:v>2897</x:v>
      </x:c>
      <x:c r="N42" s="3">
        <x:v>3115</x:v>
      </x:c>
      <x:c r="O42" s="3">
        <x:v>2624</x:v>
      </x:c>
      <x:c r="P42" s="3">
        <x:v>2014</x:v>
      </x:c>
      <x:c r="Q42" s="3">
        <x:v>2470</x:v>
      </x:c>
      <x:c r="R42" s="3">
        <x:v>1877</x:v>
      </x:c>
      <x:c r="S42" s="3">
        <x:v>2338</x:v>
      </x:c>
      <x:c r="T42" s="3">
        <x:v>2235</x:v>
      </x:c>
      <x:c r="U42" s="3">
        <x:v>1936</x:v>
      </x:c>
      <x:c r="V42" s="3">
        <x:v>1054</x:v>
      </x:c>
      <x:c r="W42" s="3">
        <x:v>1629</x:v>
      </x:c>
      <x:c r="X42" s="3"/>
      <x:c r="Y42" s="3"/>
      <x:c r="AA42" s="5">
        <x:f t="shared" si="3"/>
        <x:v>26410</x:v>
      </x:c>
      <x:c r="AB42" s="5" t="n">
        <x:f>AA42-D40</x:f>
        <x:v>0</x:v>
      </x:c>
      <x:c r="AW42" s="72" t="str">
        <x:v>—</x:v>
      </x:c>
      <x:c r="AX42" s="72" t="str">
        <x:v>—</x:v>
      </x:c>
    </x:row>
    <x:row r="43" s="8" customFormat="1">
      <x:c r="A43" s="6" t="s">
        <x:v>73</x:v>
      </x:c>
      <x:c r="B43" s="7">
        <x:v>881798</x:v>
      </x:c>
      <x:c r="C43" s="7">
        <x:v>35951</x:v>
      </x:c>
      <x:c r="D43" s="7">
        <x:v>20553</x:v>
      </x:c>
      <x:c r="E43" s="7">
        <x:v>65454</x:v>
      </x:c>
      <x:c r="F43" s="7">
        <x:v>1832</x:v>
      </x:c>
      <x:c r="G43" s="7">
        <x:v>1198</x:v>
      </x:c>
      <x:c r="H43" s="7">
        <x:v>848501</x:v>
      </x:c>
      <x:c r="I43" s="7">
        <x:v>33773</x:v>
      </x:c>
      <x:c r="J43" s="7">
        <x:v>20458</x:v>
      </x:c>
      <x:c r="K43" s="3"/>
      <x:c r="L43" s="7">
        <x:v>118511</x:v>
      </x:c>
      <x:c r="M43" s="7">
        <x:v>134550</x:v>
      </x:c>
      <x:c r="N43" s="7">
        <x:v>105448</x:v>
      </x:c>
      <x:c r="O43" s="7">
        <x:v>89210</x:v>
      </x:c>
      <x:c r="P43" s="7">
        <x:v>117341</x:v>
      </x:c>
      <x:c r="Q43" s="7">
        <x:v>86814</x:v>
      </x:c>
      <x:c r="R43" s="7">
        <x:v>129360</x:v>
      </x:c>
      <x:c r="S43" s="7">
        <x:v>100564</x:v>
      </x:c>
      <x:c r="T43" s="7"/>
      <x:c r="U43" s="7"/>
      <x:c r="V43" s="7"/>
      <x:c r="W43" s="7"/>
      <x:c r="X43" s="7"/>
      <x:c r="Y43" s="7"/>
      <x:c r="AA43" s="9">
        <x:f t="shared" si="3"/>
        <x:v>881798</x:v>
      </x:c>
      <x:c r="AB43" s="9" t="n">
        <x:f>AA43-B43</x:f>
        <x:v>0</x:v>
      </x:c>
      <x:c r="AW43" s="72" t="n">
        <x:v>40.7</x:v>
      </x:c>
      <x:c r="AX43" s="72" t="n">
        <x:v>23.3</x:v>
      </x:c>
    </x:row>
    <x:row r="44" s="2" customFormat="1">
      <x:c r="A44" s="1" t="s">
        <x:v>74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>
        <x:v>3774</x:v>
      </x:c>
      <x:c r="M44" s="3">
        <x:v>5168</x:v>
      </x:c>
      <x:c r="N44" s="3">
        <x:v>4141</x:v>
      </x:c>
      <x:c r="O44" s="3">
        <x:v>3477</x:v>
      </x:c>
      <x:c r="P44" s="3">
        <x:v>4088</x:v>
      </x:c>
      <x:c r="Q44" s="3">
        <x:v>3670</x:v>
      </x:c>
      <x:c r="R44" s="3">
        <x:v>4139</x:v>
      </x:c>
      <x:c r="S44" s="3">
        <x:v>7494</x:v>
      </x:c>
      <x:c r="T44" s="3"/>
      <x:c r="U44" s="3"/>
      <x:c r="V44" s="3"/>
      <x:c r="W44" s="3"/>
      <x:c r="X44" s="3"/>
      <x:c r="Y44" s="3"/>
      <x:c r="AA44" s="5">
        <x:f t="shared" si="3"/>
        <x:v>35951</x:v>
      </x:c>
      <x:c r="AB44" s="5" t="n">
        <x:f>C43-AA44</x:f>
        <x:v>0</x:v>
      </x:c>
      <x:c r="AW44" s="72" t="str">
        <x:v>—</x:v>
      </x:c>
      <x:c r="AX44" s="72" t="str">
        <x:v>—</x:v>
      </x:c>
    </x:row>
    <x:row r="45" s="2" customFormat="1">
      <x:c r="A45" s="1" t="s">
        <x:v>75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>
        <x:v>2066</x:v>
      </x:c>
      <x:c r="M45" s="3">
        <x:v>3041</x:v>
      </x:c>
      <x:c r="N45" s="3">
        <x:v>2110</x:v>
      </x:c>
      <x:c r="O45" s="3">
        <x:v>1969</x:v>
      </x:c>
      <x:c r="P45" s="3">
        <x:v>2197</x:v>
      </x:c>
      <x:c r="Q45" s="3">
        <x:v>2110</x:v>
      </x:c>
      <x:c r="R45" s="3">
        <x:v>2624</x:v>
      </x:c>
      <x:c r="S45" s="3">
        <x:v>4436</x:v>
      </x:c>
      <x:c r="T45" s="3"/>
      <x:c r="U45" s="3"/>
      <x:c r="V45" s="3"/>
      <x:c r="W45" s="3"/>
      <x:c r="X45" s="3"/>
      <x:c r="Y45" s="3"/>
      <x:c r="AA45" s="5">
        <x:f t="shared" si="3"/>
        <x:v>20553</x:v>
      </x:c>
      <x:c r="AB45" s="5" t="n">
        <x:f>AA45-D43</x:f>
        <x:v>0</x:v>
      </x:c>
      <x:c r="AW45" s="72" t="str">
        <x:v>—</x:v>
      </x:c>
      <x:c r="AX45" s="72" t="str">
        <x:v>—</x:v>
      </x:c>
    </x:row>
    <x:row r="46" s="8" customFormat="1">
      <x:c r="A46" s="6" t="s">
        <x:v>76</x:v>
      </x:c>
      <x:c r="B46" s="7">
        <x:v>737663</x:v>
      </x:c>
      <x:c r="C46" s="7">
        <x:v>27849</x:v>
      </x:c>
      <x:c r="D46" s="7">
        <x:v>17978</x:v>
      </x:c>
      <x:c r="E46" s="7">
        <x:v>46973</x:v>
      </x:c>
      <x:c r="F46" s="7">
        <x:v>1574</x:v>
      </x:c>
      <x:c r="G46" s="7">
        <x:v>951</x:v>
      </x:c>
      <x:c r="H46" s="7">
        <x:v>706451</x:v>
      </x:c>
      <x:c r="I46" s="7">
        <x:v>28394</x:v>
      </x:c>
      <x:c r="J46" s="7">
        <x:v>14742</x:v>
      </x:c>
      <x:c r="K46" s="3"/>
      <x:c r="L46" s="7">
        <x:v>120792</x:v>
      </x:c>
      <x:c r="M46" s="7">
        <x:v>78226</x:v>
      </x:c>
      <x:c r="N46" s="7">
        <x:v>92159</x:v>
      </x:c>
      <x:c r="O46" s="7">
        <x:v>104839</x:v>
      </x:c>
      <x:c r="P46" s="7">
        <x:v>113785</x:v>
      </x:c>
      <x:c r="Q46" s="7">
        <x:v>103350</x:v>
      </x:c>
      <x:c r="R46" s="7">
        <x:v>124512</x:v>
      </x:c>
      <x:c r="S46" s="7"/>
      <x:c r="T46" s="7"/>
      <x:c r="U46" s="7"/>
      <x:c r="V46" s="7"/>
      <x:c r="W46" s="7"/>
      <x:c r="X46" s="7"/>
      <x:c r="Y46" s="7"/>
      <x:c r="AA46" s="9">
        <x:f t="shared" si="3"/>
        <x:v>737663</x:v>
      </x:c>
      <x:c r="AB46" s="9" t="n">
        <x:f>AA46-B46</x:f>
        <x:v>0</x:v>
      </x:c>
      <x:c r="AW46" s="72" t="n">
        <x:v>37.7</x:v>
      </x:c>
      <x:c r="AX46" s="72" t="n">
        <x:v>24.3</x:v>
      </x:c>
    </x:row>
    <x:row r="47" s="2" customFormat="1">
      <x:c r="A47" s="1" t="s">
        <x:v>77</x:v>
      </x:c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>
        <x:v>3409</x:v>
      </x:c>
      <x:c r="M47" s="3">
        <x:v>3450</x:v>
      </x:c>
      <x:c r="N47" s="3">
        <x:v>3438</x:v>
      </x:c>
      <x:c r="O47" s="3">
        <x:v>4234</x:v>
      </x:c>
      <x:c r="P47" s="3">
        <x:v>4308</x:v>
      </x:c>
      <x:c r="Q47" s="3">
        <x:v>4069</x:v>
      </x:c>
      <x:c r="R47" s="3">
        <x:v>4939</x:v>
      </x:c>
      <x:c r="S47" s="3"/>
      <x:c r="T47" s="3"/>
      <x:c r="U47" s="3"/>
      <x:c r="V47" s="3"/>
      <x:c r="W47" s="3"/>
      <x:c r="X47" s="3"/>
      <x:c r="Y47" s="3"/>
      <x:c r="AA47" s="5">
        <x:f t="shared" si="3"/>
        <x:v>27847</x:v>
      </x:c>
      <x:c r="AB47" s="5" t="n">
        <x:f>C46-AA47</x:f>
        <x:v>2</x:v>
      </x:c>
      <x:c r="AW47" s="72" t="str">
        <x:v>—</x:v>
      </x:c>
      <x:c r="AX47" s="72" t="str">
        <x:v>—</x:v>
      </x:c>
    </x:row>
    <x:row r="48" s="2" customFormat="1">
      <x:c r="A48" s="1" t="s">
        <x:v>78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>
        <x:v>2131</x:v>
      </x:c>
      <x:c r="M48" s="3">
        <x:v>1799</x:v>
      </x:c>
      <x:c r="N48" s="3">
        <x:v>2158</x:v>
      </x:c>
      <x:c r="O48" s="3">
        <x:v>2777</x:v>
      </x:c>
      <x:c r="P48" s="3">
        <x:v>2634</x:v>
      </x:c>
      <x:c r="Q48" s="3">
        <x:v>3016</x:v>
      </x:c>
      <x:c r="R48" s="3">
        <x:v>3463</x:v>
      </x:c>
      <x:c r="S48" s="3"/>
      <x:c r="T48" s="3"/>
      <x:c r="U48" s="3"/>
      <x:c r="V48" s="3"/>
      <x:c r="W48" s="3"/>
      <x:c r="X48" s="3"/>
      <x:c r="Y48" s="3"/>
      <x:c r="AA48" s="5">
        <x:f t="shared" si="3"/>
        <x:v>17978</x:v>
      </x:c>
      <x:c r="AB48" s="5" t="n">
        <x:f>AA48-D46</x:f>
        <x:v>0</x:v>
      </x:c>
      <x:c r="AW48" s="72" t="str">
        <x:v>—</x:v>
      </x:c>
      <x:c r="AX48" s="72" t="str">
        <x:v>—</x:v>
      </x:c>
    </x:row>
    <x:row r="49" s="8" customFormat="1">
      <x:c r="A49" s="6" t="s">
        <x:v>79</x:v>
      </x:c>
      <x:c r="B49" s="7">
        <x:v>643795</x:v>
      </x:c>
      <x:c r="C49" s="7">
        <x:v>25903</x:v>
      </x:c>
      <x:c r="D49" s="7">
        <x:v>18319</x:v>
      </x:c>
      <x:c r="E49" s="7">
        <x:v>62399</x:v>
      </x:c>
      <x:c r="F49" s="7">
        <x:v>2594</x:v>
      </x:c>
      <x:c r="G49" s="7">
        <x:v>2034</x:v>
      </x:c>
      <x:c r="H49" s="7">
        <x:v>619509</x:v>
      </x:c>
      <x:c r="I49" s="7">
        <x:v>24982</x:v>
      </x:c>
      <x:c r="J49" s="7">
        <x:v>17571</x:v>
      </x:c>
      <x:c r="K49" s="3"/>
      <x:c r="L49" s="7">
        <x:v>101779</x:v>
      </x:c>
      <x:c r="M49" s="7">
        <x:v>76830</x:v>
      </x:c>
      <x:c r="N49" s="7">
        <x:v>76882</x:v>
      </x:c>
      <x:c r="O49" s="7">
        <x:v>59396</x:v>
      </x:c>
      <x:c r="P49" s="7">
        <x:v>92420</x:v>
      </x:c>
      <x:c r="Q49" s="7">
        <x:v>76071</x:v>
      </x:c>
      <x:c r="R49" s="7">
        <x:v>96962</x:v>
      </x:c>
      <x:c r="S49" s="7">
        <x:v>63455</x:v>
      </x:c>
      <x:c r="T49" s="7"/>
      <x:c r="U49" s="7"/>
      <x:c r="V49" s="7"/>
      <x:c r="W49" s="7"/>
      <x:c r="X49" s="7"/>
      <x:c r="Y49" s="7"/>
      <x:c r="AA49" s="9">
        <x:f t="shared" si="3"/>
        <x:v>643795</x:v>
      </x:c>
      <x:c r="AB49" s="9" t="n">
        <x:f>AA49-B49</x:f>
        <x:v>0</x:v>
      </x:c>
      <x:c r="AW49" s="72" t="n">
        <x:v>40.2</x:v>
      </x:c>
      <x:c r="AX49" s="72" t="n">
        <x:v>28.4</x:v>
      </x:c>
    </x:row>
    <x:row r="50" s="2" customFormat="1">
      <x:c r="A50" s="1" t="s">
        <x:v>80</x:v>
      </x:c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>
        <x:v>4392</x:v>
      </x:c>
      <x:c r="M50" s="3">
        <x:v>3296</x:v>
      </x:c>
      <x:c r="N50" s="3">
        <x:v>2370</x:v>
      </x:c>
      <x:c r="O50" s="3">
        <x:v>2594</x:v>
      </x:c>
      <x:c r="P50" s="3">
        <x:v>3606</x:v>
      </x:c>
      <x:c r="Q50" s="3">
        <x:v>3441</x:v>
      </x:c>
      <x:c r="R50" s="3">
        <x:v>3259</x:v>
      </x:c>
      <x:c r="S50" s="3">
        <x:v>2945</x:v>
      </x:c>
      <x:c r="T50" s="3"/>
      <x:c r="U50" s="3"/>
      <x:c r="V50" s="3"/>
      <x:c r="W50" s="3"/>
      <x:c r="X50" s="3"/>
      <x:c r="Y50" s="3"/>
      <x:c r="AA50" s="5">
        <x:f t="shared" si="3"/>
        <x:v>25903</x:v>
      </x:c>
      <x:c r="AB50" s="5" t="n">
        <x:f>C49-AA50</x:f>
        <x:v>0</x:v>
      </x:c>
      <x:c r="AW50" s="72" t="str">
        <x:v>—</x:v>
      </x:c>
      <x:c r="AX50" s="72" t="str">
        <x:v>—</x:v>
      </x:c>
    </x:row>
    <x:row r="51" s="2" customFormat="1">
      <x:c r="A51" s="1" t="s">
        <x:v>81</x:v>
      </x:c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>
        <x:v>3257</x:v>
      </x:c>
      <x:c r="M51" s="3">
        <x:v>3083</x:v>
      </x:c>
      <x:c r="N51" s="3">
        <x:v>1734</x:v>
      </x:c>
      <x:c r="O51" s="3">
        <x:v>1619</x:v>
      </x:c>
      <x:c r="P51" s="3">
        <x:v>2254</x:v>
      </x:c>
      <x:c r="Q51" s="3">
        <x:v>2031</x:v>
      </x:c>
      <x:c r="R51" s="3">
        <x:v>2214</x:v>
      </x:c>
      <x:c r="S51" s="3">
        <x:v>2127</x:v>
      </x:c>
      <x:c r="T51" s="3"/>
      <x:c r="U51" s="3"/>
      <x:c r="V51" s="3"/>
      <x:c r="W51" s="3"/>
      <x:c r="X51" s="3"/>
      <x:c r="Y51" s="3"/>
      <x:c r="AA51" s="5">
        <x:f t="shared" si="3"/>
        <x:v>18319</x:v>
      </x:c>
      <x:c r="AB51" s="5" t="n">
        <x:f>AA51-D49</x:f>
        <x:v>0</x:v>
      </x:c>
      <x:c r="AW51" s="72" t="str">
        <x:v>—</x:v>
      </x:c>
      <x:c r="AX51" s="72" t="str">
        <x:v>—</x:v>
      </x:c>
    </x:row>
    <x:row r="52" s="8" customFormat="1">
      <x:c r="A52" s="6" t="s">
        <x:v>82</x:v>
      </x:c>
      <x:c r="B52" s="7">
        <x:v>1059959</x:v>
      </x:c>
      <x:c r="C52" s="7">
        <x:v>43814</x:v>
      </x:c>
      <x:c r="D52" s="7">
        <x:v>26245</x:v>
      </x:c>
      <x:c r="E52" s="7">
        <x:v>123761</x:v>
      </x:c>
      <x:c r="F52" s="7">
        <x:v>3829</x:v>
      </x:c>
      <x:c r="G52" s="7">
        <x:v>2465</x:v>
      </x:c>
      <x:c r="H52" s="7">
        <x:v>1048621</x:v>
      </x:c>
      <x:c r="I52" s="7">
        <x:v>41454</x:v>
      </x:c>
      <x:c r="J52" s="7">
        <x:v>25161</x:v>
      </x:c>
      <x:c r="K52" s="3"/>
      <x:c r="L52" s="7">
        <x:v>148788</x:v>
      </x:c>
      <x:c r="M52" s="7">
        <x:v>106738</x:v>
      </x:c>
      <x:c r="N52" s="7">
        <x:v>102166</x:v>
      </x:c>
      <x:c r="O52" s="7">
        <x:v>105451</x:v>
      </x:c>
      <x:c r="P52" s="7">
        <x:v>89754</x:v>
      </x:c>
      <x:c r="Q52" s="7">
        <x:v>87898</x:v>
      </x:c>
      <x:c r="R52" s="7">
        <x:v>113390</x:v>
      </x:c>
      <x:c r="S52" s="7">
        <x:v>85401</x:v>
      </x:c>
      <x:c r="T52" s="7">
        <x:v>118232</x:v>
      </x:c>
      <x:c r="U52" s="7">
        <x:v>102141</x:v>
      </x:c>
      <x:c r="V52" s="7"/>
      <x:c r="W52" s="7"/>
      <x:c r="X52" s="7"/>
      <x:c r="Y52" s="7"/>
      <x:c r="AA52" s="9">
        <x:f t="shared" si="3"/>
        <x:v>1059959</x:v>
      </x:c>
      <x:c r="AB52" s="9" t="n">
        <x:f>AA52-B52</x:f>
        <x:v>0</x:v>
      </x:c>
      <x:c r="AW52" s="72" t="n">
        <x:v>41.3</x:v>
      </x:c>
      <x:c r="AX52" s="72" t="n">
        <x:v>24.7</x:v>
      </x:c>
    </x:row>
    <x:row r="53" s="2" customFormat="1">
      <x:c r="A53" s="1" t="s">
        <x:v>83</x:v>
      </x:c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>
        <x:v>5754</x:v>
      </x:c>
      <x:c r="M53" s="3">
        <x:v>3962</x:v>
      </x:c>
      <x:c r="N53" s="3">
        <x:v>4313</x:v>
      </x:c>
      <x:c r="O53" s="3">
        <x:v>4245</x:v>
      </x:c>
      <x:c r="P53" s="3">
        <x:v>3865</x:v>
      </x:c>
      <x:c r="Q53" s="3">
        <x:v>3476</x:v>
      </x:c>
      <x:c r="R53" s="3">
        <x:v>4639</x:v>
      </x:c>
      <x:c r="S53" s="3">
        <x:v>4249</x:v>
      </x:c>
      <x:c r="T53" s="3">
        <x:v>5012</x:v>
      </x:c>
      <x:c r="U53" s="3">
        <x:v>4299</x:v>
      </x:c>
      <x:c r="V53" s="3"/>
      <x:c r="W53" s="3"/>
      <x:c r="X53" s="3"/>
      <x:c r="Y53" s="3"/>
      <x:c r="AA53" s="5">
        <x:f t="shared" si="3"/>
        <x:v>43814</x:v>
      </x:c>
      <x:c r="AB53" s="5" t="n">
        <x:f>C52-AA53</x:f>
        <x:v>0</x:v>
      </x:c>
      <x:c r="AW53" s="72" t="str">
        <x:v>—</x:v>
      </x:c>
      <x:c r="AX53" s="72" t="str">
        <x:v>—</x:v>
      </x:c>
    </x:row>
    <x:row r="54" s="2" customFormat="1">
      <x:c r="A54" s="1" t="s">
        <x:v>84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>
        <x:v>3455</x:v>
      </x:c>
      <x:c r="M54" s="3">
        <x:v>2694</x:v>
      </x:c>
      <x:c r="N54" s="3">
        <x:v>2197</x:v>
      </x:c>
      <x:c r="O54" s="3">
        <x:v>2261</x:v>
      </x:c>
      <x:c r="P54" s="3">
        <x:v>2104</x:v>
      </x:c>
      <x:c r="Q54" s="3">
        <x:v>2009</x:v>
      </x:c>
      <x:c r="R54" s="3">
        <x:v>2882</x:v>
      </x:c>
      <x:c r="S54" s="3">
        <x:v>2651</x:v>
      </x:c>
      <x:c r="T54" s="3">
        <x:v>3066</x:v>
      </x:c>
      <x:c r="U54" s="3">
        <x:v>2926</x:v>
      </x:c>
      <x:c r="V54" s="3"/>
      <x:c r="W54" s="3"/>
      <x:c r="X54" s="3"/>
      <x:c r="Y54" s="3"/>
      <x:c r="AA54" s="5">
        <x:f t="shared" si="3"/>
        <x:v>26245</x:v>
      </x:c>
      <x:c r="AB54" s="5" t="n">
        <x:f>AA54-D52</x:f>
        <x:v>0</x:v>
      </x:c>
      <x:c r="AW54" s="72" t="str">
        <x:v>—</x:v>
      </x:c>
      <x:c r="AX54" s="72" t="str">
        <x:v>—</x:v>
      </x:c>
    </x:row>
    <x:row r="55" s="8" customFormat="1">
      <x:c r="A55" s="6" t="s">
        <x:v>85</x:v>
      </x:c>
      <x:c r="B55" s="7">
        <x:v>1200197</x:v>
      </x:c>
      <x:c r="C55" s="7">
        <x:v>47337</x:v>
      </x:c>
      <x:c r="D55" s="7">
        <x:v>27567</x:v>
      </x:c>
      <x:c r="E55" s="7">
        <x:v>230156</x:v>
      </x:c>
      <x:c r="F55" s="7">
        <x:v>9947</x:v>
      </x:c>
      <x:c r="G55" s="7">
        <x:v>6608</x:v>
      </x:c>
      <x:c r="H55" s="7">
        <x:v>1140208</x:v>
      </x:c>
      <x:c r="I55" s="7">
        <x:v>40843</x:v>
      </x:c>
      <x:c r="J55" s="7">
        <x:v>23343</x:v>
      </x:c>
      <x:c r="K55" s="3"/>
      <x:c r="L55" s="7">
        <x:v>166622</x:v>
      </x:c>
      <x:c r="M55" s="7">
        <x:v>178675</x:v>
      </x:c>
      <x:c r="N55" s="7">
        <x:v>108231</x:v>
      </x:c>
      <x:c r="O55" s="7">
        <x:v>119835</x:v>
      </x:c>
      <x:c r="P55" s="7">
        <x:v>263248</x:v>
      </x:c>
      <x:c r="Q55" s="7">
        <x:v>138245</x:v>
      </x:c>
      <x:c r="R55" s="7">
        <x:v>78072</x:v>
      </x:c>
      <x:c r="S55" s="7">
        <x:v>147269</x:v>
      </x:c>
      <x:c r="T55" s="7"/>
      <x:c r="U55" s="7"/>
      <x:c r="V55" s="7"/>
      <x:c r="W55" s="7"/>
      <x:c r="X55" s="7"/>
      <x:c r="Y55" s="7"/>
      <x:c r="AA55" s="9">
        <x:f t="shared" si="3"/>
        <x:v>1200197</x:v>
      </x:c>
      <x:c r="AB55" s="9" t="n">
        <x:f>AA55-B55</x:f>
        <x:v>0</x:v>
      </x:c>
      <x:c r="AW55" s="72" t="n">
        <x:v>39.4</x:v>
      </x:c>
      <x:c r="AX55" s="72" t="n">
        <x:v>22.9</x:v>
      </x:c>
    </x:row>
    <x:row r="56" s="2" customFormat="1">
      <x:c r="A56" s="1" t="s">
        <x:v>86</x:v>
      </x:c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>
        <x:v>6034</x:v>
      </x:c>
      <x:c r="M56" s="3">
        <x:v>6910</x:v>
      </x:c>
      <x:c r="N56" s="3">
        <x:v>4483</x:v>
      </x:c>
      <x:c r="O56" s="3">
        <x:v>5149</x:v>
      </x:c>
      <x:c r="P56" s="4">
        <x:v>10605</x:v>
      </x:c>
      <x:c r="Q56" s="3">
        <x:v>5256</x:v>
      </x:c>
      <x:c r="R56" s="3">
        <x:v>2966</x:v>
      </x:c>
      <x:c r="S56" s="3">
        <x:v>5934</x:v>
      </x:c>
      <x:c r="T56" s="3"/>
      <x:c r="U56" s="3"/>
      <x:c r="V56" s="3"/>
      <x:c r="W56" s="3"/>
      <x:c r="X56" s="3"/>
      <x:c r="Y56" s="3"/>
      <x:c r="AA56" s="5">
        <x:f t="shared" si="3"/>
        <x:v>47337</x:v>
      </x:c>
      <x:c r="AB56" s="5" t="n">
        <x:f>C55-AA56</x:f>
        <x:v>0</x:v>
      </x:c>
      <x:c r="AW56" s="72" t="str">
        <x:v>—</x:v>
      </x:c>
      <x:c r="AX56" s="72" t="str">
        <x:v>—</x:v>
      </x:c>
    </x:row>
    <x:row r="57" s="2" customFormat="1">
      <x:c r="A57" s="1" t="s">
        <x:v>87</x:v>
      </x:c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>
        <x:v>3220</x:v>
      </x:c>
      <x:c r="M57" s="3">
        <x:v>4052</x:v>
      </x:c>
      <x:c r="N57" s="3">
        <x:v>2114</x:v>
      </x:c>
      <x:c r="O57" s="3">
        <x:v>2920</x:v>
      </x:c>
      <x:c r="P57" s="3">
        <x:v>6860</x:v>
      </x:c>
      <x:c r="Q57" s="3">
        <x:v>3056</x:v>
      </x:c>
      <x:c r="R57" s="3">
        <x:v>1569</x:v>
      </x:c>
      <x:c r="S57" s="3">
        <x:v>3776</x:v>
      </x:c>
      <x:c r="T57" s="3"/>
      <x:c r="U57" s="3"/>
      <x:c r="V57" s="3"/>
      <x:c r="W57" s="3"/>
      <x:c r="X57" s="3"/>
      <x:c r="Y57" s="3"/>
      <x:c r="AA57" s="5">
        <x:f t="shared" si="3"/>
        <x:v>27567</x:v>
      </x:c>
      <x:c r="AB57" s="5" t="n">
        <x:f>AA57-D55</x:f>
        <x:v>0</x:v>
      </x:c>
      <x:c r="AW57" s="72" t="str">
        <x:v>—</x:v>
      </x:c>
      <x:c r="AX57" s="72" t="str">
        <x:v>—</x:v>
      </x:c>
    </x:row>
    <x:row r="58" s="8" customFormat="1">
      <x:c r="A58" s="6" t="s">
        <x:v>88</x:v>
      </x:c>
      <x:c r="B58" s="7">
        <x:v>660457</x:v>
      </x:c>
      <x:c r="C58" s="7">
        <x:v>26392</x:v>
      </x:c>
      <x:c r="D58" s="7">
        <x:v>17902</x:v>
      </x:c>
      <x:c r="E58" s="10" t="s">
        <x:v>36</x:v>
      </x:c>
      <x:c r="F58" s="10" t="s">
        <x:v>36</x:v>
      </x:c>
      <x:c r="G58" s="10" t="s">
        <x:v>36</x:v>
      </x:c>
      <x:c r="H58" s="7">
        <x:v>621650</x:v>
      </x:c>
      <x:c r="I58" s="7">
        <x:v>24788</x:v>
      </x:c>
      <x:c r="J58" s="7">
        <x:v>15042</x:v>
      </x:c>
      <x:c r="K58" s="3"/>
      <x:c r="L58" s="7">
        <x:v>98757</x:v>
      </x:c>
      <x:c r="M58" s="7">
        <x:v>99353</x:v>
      </x:c>
      <x:c r="N58" s="7">
        <x:v>87568</x:v>
      </x:c>
      <x:c r="O58" s="7">
        <x:v>107538</x:v>
      </x:c>
      <x:c r="P58" s="7">
        <x:v>61440</x:v>
      </x:c>
      <x:c r="Q58" s="7">
        <x:v>67310</x:v>
      </x:c>
      <x:c r="R58" s="7">
        <x:v>68001</x:v>
      </x:c>
      <x:c r="S58" s="7">
        <x:v>70490</x:v>
      </x:c>
      <x:c r="T58" s="7"/>
      <x:c r="U58" s="7"/>
      <x:c r="V58" s="7"/>
      <x:c r="W58" s="7"/>
      <x:c r="X58" s="7"/>
      <x:c r="Y58" s="7"/>
      <x:c r="AA58" s="9">
        <x:f t="shared" si="3"/>
        <x:v>660457</x:v>
      </x:c>
      <x:c r="AB58" s="9" t="n">
        <x:f>AA58-B58</x:f>
        <x:v>0</x:v>
      </x:c>
      <x:c r="AW58" s="72" t="n">
        <x:v>39.8</x:v>
      </x:c>
      <x:c r="AX58" s="72" t="n">
        <x:v>27.1</x:v>
      </x:c>
    </x:row>
    <x:row r="59" s="2" customFormat="1">
      <x:c r="A59" s="1" t="s">
        <x:v>89</x:v>
      </x:c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>
        <x:v>4342</x:v>
      </x:c>
      <x:c r="M59" s="3">
        <x:v>3485</x:v>
      </x:c>
      <x:c r="N59" s="3">
        <x:v>4008</x:v>
      </x:c>
      <x:c r="O59" s="3">
        <x:v>3872</x:v>
      </x:c>
      <x:c r="P59" s="3">
        <x:v>2791</x:v>
      </x:c>
      <x:c r="Q59" s="3">
        <x:v>2422</x:v>
      </x:c>
      <x:c r="R59" s="3">
        <x:v>2786</x:v>
      </x:c>
      <x:c r="S59" s="3">
        <x:v>2686</x:v>
      </x:c>
      <x:c r="T59" s="3"/>
      <x:c r="U59" s="3"/>
      <x:c r="V59" s="3"/>
      <x:c r="W59" s="3"/>
      <x:c r="X59" s="3"/>
      <x:c r="Y59" s="3"/>
      <x:c r="AA59" s="5">
        <x:f t="shared" si="3"/>
        <x:v>26392</x:v>
      </x:c>
      <x:c r="AB59" s="5" t="n">
        <x:f>C58-AA59</x:f>
        <x:v>0</x:v>
      </x:c>
      <x:c r="AW59" s="72" t="str">
        <x:v>—</x:v>
      </x:c>
      <x:c r="AX59" s="72" t="str">
        <x:v>—</x:v>
      </x:c>
    </x:row>
    <x:row r="60" s="2" customFormat="1">
      <x:c r="A60" s="1" t="s">
        <x:v>90</x:v>
      </x:c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>
        <x:v>3326</x:v>
      </x:c>
      <x:c r="M60" s="3">
        <x:v>1845</x:v>
      </x:c>
      <x:c r="N60" s="3">
        <x:v>2706</x:v>
      </x:c>
      <x:c r="O60" s="3">
        <x:v>2075</x:v>
      </x:c>
      <x:c r="P60" s="3">
        <x:v>2590</x:v>
      </x:c>
      <x:c r="Q60" s="3">
        <x:v>1265</x:v>
      </x:c>
      <x:c r="R60" s="3">
        <x:v>2080</x:v>
      </x:c>
      <x:c r="S60" s="3">
        <x:v>2015</x:v>
      </x:c>
      <x:c r="T60" s="3"/>
      <x:c r="U60" s="3"/>
      <x:c r="V60" s="3"/>
      <x:c r="W60" s="3"/>
      <x:c r="X60" s="3"/>
      <x:c r="Y60" s="3"/>
      <x:c r="AA60" s="5">
        <x:f t="shared" si="3"/>
        <x:v>17902</x:v>
      </x:c>
      <x:c r="AB60" s="5" t="n">
        <x:f>AA60-D58</x:f>
        <x:v>0</x:v>
      </x:c>
      <x:c r="AW60" s="72" t="str">
        <x:v>—</x:v>
      </x:c>
      <x:c r="AX60" s="72" t="str">
        <x:v>—</x:v>
      </x:c>
    </x:row>
    <x:row r="61" s="8" customFormat="1">
      <x:c r="A61" s="6" t="s">
        <x:v>91</x:v>
      </x:c>
      <x:c r="B61" s="7">
        <x:v>769229</x:v>
      </x:c>
      <x:c r="C61" s="7">
        <x:v>29099</x:v>
      </x:c>
      <x:c r="D61" s="7">
        <x:v>18240</x:v>
      </x:c>
      <x:c r="E61" s="7">
        <x:v>48559</x:v>
      </x:c>
      <x:c r="F61" s="7">
        <x:v>1421</x:v>
      </x:c>
      <x:c r="G61" s="7">
        <x:v>888</x:v>
      </x:c>
      <x:c r="H61" s="7">
        <x:v>736979</x:v>
      </x:c>
      <x:c r="I61" s="7">
        <x:v>30648</x:v>
      </x:c>
      <x:c r="J61" s="7">
        <x:v>16916</x:v>
      </x:c>
      <x:c r="K61" s="3"/>
      <x:c r="L61" s="7">
        <x:v>129953</x:v>
      </x:c>
      <x:c r="M61" s="7">
        <x:v>101925</x:v>
      </x:c>
      <x:c r="N61" s="7">
        <x:v>108805</x:v>
      </x:c>
      <x:c r="O61" s="7">
        <x:v>110724</x:v>
      </x:c>
      <x:c r="P61" s="7">
        <x:v>114754</x:v>
      </x:c>
      <x:c r="Q61" s="7">
        <x:v>100033</x:v>
      </x:c>
      <x:c r="R61" s="7">
        <x:v>103035</x:v>
      </x:c>
      <x:c r="S61" s="7"/>
      <x:c r="T61" s="7"/>
      <x:c r="U61" s="7"/>
      <x:c r="V61" s="7"/>
      <x:c r="W61" s="7"/>
      <x:c r="X61" s="7"/>
      <x:c r="Y61" s="7"/>
      <x:c r="AA61" s="9">
        <x:f t="shared" si="3"/>
        <x:v>769229</x:v>
      </x:c>
      <x:c r="AB61" s="9" t="n">
        <x:f>AA61-B61</x:f>
        <x:v>0</x:v>
      </x:c>
      <x:c r="AW61" s="72" t="n">
        <x:v>37.8</x:v>
      </x:c>
      <x:c r="AX61" s="72" t="n">
        <x:v>23.7</x:v>
      </x:c>
    </x:row>
    <x:row r="62" s="2" customFormat="1">
      <x:c r="A62" s="1" t="s">
        <x:v>92</x:v>
      </x:c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>
        <x:v>5021</x:v>
      </x:c>
      <x:c r="M62" s="3">
        <x:v>4403</x:v>
      </x:c>
      <x:c r="N62" s="3">
        <x:v>3693</x:v>
      </x:c>
      <x:c r="O62" s="3">
        <x:v>3855</x:v>
      </x:c>
      <x:c r="P62" s="3">
        <x:v>4850</x:v>
      </x:c>
      <x:c r="Q62" s="3">
        <x:v>3778</x:v>
      </x:c>
      <x:c r="R62" s="3">
        <x:v>3499</x:v>
      </x:c>
      <x:c r="S62" s="3"/>
      <x:c r="T62" s="3"/>
      <x:c r="U62" s="3"/>
      <x:c r="V62" s="3"/>
      <x:c r="W62" s="3"/>
      <x:c r="X62" s="3"/>
      <x:c r="Y62" s="3"/>
      <x:c r="AA62" s="5">
        <x:f t="shared" si="3"/>
        <x:v>29099</x:v>
      </x:c>
      <x:c r="AB62" s="5" t="n">
        <x:f>C61-AA62</x:f>
        <x:v>0</x:v>
      </x:c>
      <x:c r="AW62" s="72" t="str">
        <x:v>—</x:v>
      </x:c>
      <x:c r="AX62" s="72" t="str">
        <x:v>—</x:v>
      </x:c>
    </x:row>
    <x:row r="63" s="2" customFormat="1">
      <x:c r="A63" s="1" t="s">
        <x:v>93</x:v>
      </x:c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>
        <x:v>2919</x:v>
      </x:c>
      <x:c r="M63" s="3">
        <x:v>2044</x:v>
      </x:c>
      <x:c r="N63" s="3">
        <x:v>2458</x:v>
      </x:c>
      <x:c r="O63" s="3">
        <x:v>2183</x:v>
      </x:c>
      <x:c r="P63" s="3">
        <x:v>3223</x:v>
      </x:c>
      <x:c r="Q63" s="3">
        <x:v>2181</x:v>
      </x:c>
      <x:c r="R63" s="3">
        <x:v>3232</x:v>
      </x:c>
      <x:c r="S63" s="3"/>
      <x:c r="T63" s="3"/>
      <x:c r="U63" s="3"/>
      <x:c r="V63" s="3"/>
      <x:c r="W63" s="3"/>
      <x:c r="X63" s="3"/>
      <x:c r="Y63" s="3"/>
      <x:c r="AA63" s="5">
        <x:f t="shared" si="3"/>
        <x:v>18240</x:v>
      </x:c>
      <x:c r="AB63" s="5" t="n">
        <x:f>AA63-D61</x:f>
        <x:v>0</x:v>
      </x:c>
      <x:c r="AW63" s="72" t="str">
        <x:v>—</x:v>
      </x:c>
      <x:c r="AX63" s="72" t="str">
        <x:v>—</x:v>
      </x:c>
    </x:row>
    <x:row r="64" s="8" customFormat="1">
      <x:c r="A64" s="6" t="s">
        <x:v>94</x:v>
      </x:c>
      <x:c r="B64" s="7">
        <x:v>693904</x:v>
      </x:c>
      <x:c r="C64" s="7">
        <x:v>20045</x:v>
      </x:c>
      <x:c r="D64" s="7">
        <x:v>13906</x:v>
      </x:c>
      <x:c r="E64" s="7">
        <x:v>73140</x:v>
      </x:c>
      <x:c r="F64" s="7">
        <x:v>1280</x:v>
      </x:c>
      <x:c r="G64" s="7">
        <x:v>909</x:v>
      </x:c>
      <x:c r="H64" s="7">
        <x:v>678338</x:v>
      </x:c>
      <x:c r="I64" s="7">
        <x:v>21146</x:v>
      </x:c>
      <x:c r="J64" s="7">
        <x:v>15985</x:v>
      </x:c>
      <x:c r="K64" s="3"/>
      <x:c r="L64" s="7">
        <x:v>108696</x:v>
      </x:c>
      <x:c r="M64" s="7">
        <x:v>93153</x:v>
      </x:c>
      <x:c r="N64" s="7">
        <x:v>91571</x:v>
      </x:c>
      <x:c r="O64" s="7">
        <x:v>92810</x:v>
      </x:c>
      <x:c r="P64" s="7">
        <x:v>82969</x:v>
      </x:c>
      <x:c r="Q64" s="7">
        <x:v>123756</x:v>
      </x:c>
      <x:c r="R64" s="7">
        <x:v>102949</x:v>
      </x:c>
      <x:c r="S64" s="7"/>
      <x:c r="T64" s="7"/>
      <x:c r="U64" s="7"/>
      <x:c r="V64" s="7"/>
      <x:c r="W64" s="7"/>
      <x:c r="X64" s="7"/>
      <x:c r="Y64" s="7"/>
      <x:c r="AA64" s="9">
        <x:f t="shared" si="3"/>
        <x:v>695904</x:v>
      </x:c>
      <x:c r="AB64" s="9" t="n">
        <x:f>AA64-B64</x:f>
        <x:v>2000</x:v>
      </x:c>
      <x:c r="AW64" s="72" t="n">
        <x:v>28.6</x:v>
      </x:c>
      <x:c r="AX64" s="72" t="n">
        <x:v>20</x:v>
      </x:c>
    </x:row>
    <x:row r="65" s="2" customFormat="1">
      <x:c r="A65" s="1" t="s">
        <x:v>95</x:v>
      </x:c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>
        <x:v>3201</x:v>
      </x:c>
      <x:c r="M65" s="3">
        <x:v>2439</x:v>
      </x:c>
      <x:c r="N65" s="3">
        <x:v>2322</x:v>
      </x:c>
      <x:c r="O65" s="3">
        <x:v>2612</x:v>
      </x:c>
      <x:c r="P65" s="3">
        <x:v>2281</x:v>
      </x:c>
      <x:c r="Q65" s="3">
        <x:v>3917</x:v>
      </x:c>
      <x:c r="R65" s="3">
        <x:v>3273</x:v>
      </x:c>
      <x:c r="S65" s="3"/>
      <x:c r="T65" s="3"/>
      <x:c r="U65" s="3"/>
      <x:c r="V65" s="3"/>
      <x:c r="W65" s="3"/>
      <x:c r="X65" s="3"/>
      <x:c r="Y65" s="3"/>
      <x:c r="AA65" s="5">
        <x:f t="shared" si="3"/>
        <x:v>20045</x:v>
      </x:c>
      <x:c r="AB65" s="5" t="n">
        <x:f>C64-AA65</x:f>
        <x:v>0</x:v>
      </x:c>
      <x:c r="AW65" s="72" t="str">
        <x:v>—</x:v>
      </x:c>
      <x:c r="AX65" s="72" t="str">
        <x:v>—</x:v>
      </x:c>
    </x:row>
    <x:row r="66" s="2" customFormat="1">
      <x:c r="A66" s="1" t="s">
        <x:v>96</x:v>
      </x:c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>
        <x:v>2184</x:v>
      </x:c>
      <x:c r="M66" s="3">
        <x:v>1556</x:v>
      </x:c>
      <x:c r="N66" s="3">
        <x:v>1709</x:v>
      </x:c>
      <x:c r="O66" s="3">
        <x:v>1684</x:v>
      </x:c>
      <x:c r="P66" s="3">
        <x:v>1690</x:v>
      </x:c>
      <x:c r="Q66" s="3">
        <x:v>2763</x:v>
      </x:c>
      <x:c r="R66" s="3">
        <x:v>2320</x:v>
      </x:c>
      <x:c r="S66" s="3"/>
      <x:c r="T66" s="3"/>
      <x:c r="U66" s="3"/>
      <x:c r="V66" s="3"/>
      <x:c r="W66" s="3"/>
      <x:c r="X66" s="3"/>
      <x:c r="Y66" s="3"/>
      <x:c r="AA66" s="5">
        <x:f t="shared" si="3"/>
        <x:v>13906</x:v>
      </x:c>
      <x:c r="AB66" s="5" t="n">
        <x:f>AA66-D64</x:f>
        <x:v>0</x:v>
      </x:c>
      <x:c r="AW66" s="72" t="str">
        <x:v>—</x:v>
      </x:c>
      <x:c r="AX66" s="72" t="str">
        <x:v>—</x:v>
      </x:c>
    </x:row>
    <x:row r="67" s="8" customFormat="1">
      <x:c r="A67" s="6" t="s">
        <x:v>97</x:v>
      </x:c>
      <x:c r="B67" s="7">
        <x:v>752152</x:v>
      </x:c>
      <x:c r="C67" s="7">
        <x:v>30906</x:v>
      </x:c>
      <x:c r="D67" s="7">
        <x:v>16039</x:v>
      </x:c>
      <x:c r="E67" s="7">
        <x:v>66094</x:v>
      </x:c>
      <x:c r="F67" s="7">
        <x:v>2710</x:v>
      </x:c>
      <x:c r="G67" s="7">
        <x:v>1435</x:v>
      </x:c>
      <x:c r="H67" s="7">
        <x:v>696527</x:v>
      </x:c>
      <x:c r="I67" s="7">
        <x:v>26091</x:v>
      </x:c>
      <x:c r="J67" s="7">
        <x:v>17334</x:v>
      </x:c>
      <x:c r="K67" s="3"/>
      <x:c r="L67" s="7">
        <x:v>74932</x:v>
      </x:c>
      <x:c r="M67" s="7">
        <x:v>73623</x:v>
      </x:c>
      <x:c r="N67" s="7">
        <x:v>74109</x:v>
      </x:c>
      <x:c r="O67" s="7">
        <x:v>98186</x:v>
      </x:c>
      <x:c r="P67" s="7">
        <x:v>118678</x:v>
      </x:c>
      <x:c r="Q67" s="7">
        <x:v>60523</x:v>
      </x:c>
      <x:c r="R67" s="7">
        <x:v>98788</x:v>
      </x:c>
      <x:c r="S67" s="7">
        <x:v>78104</x:v>
      </x:c>
      <x:c r="T67" s="7">
        <x:v>75209</x:v>
      </x:c>
      <x:c r="U67" s="7"/>
      <x:c r="V67" s="7"/>
      <x:c r="W67" s="7"/>
      <x:c r="X67" s="7"/>
      <x:c r="Y67" s="7"/>
      <x:c r="AA67" s="9">
        <x:f t="shared" si="3"/>
        <x:v>752152</x:v>
      </x:c>
      <x:c r="AB67" s="9" t="n">
        <x:f>AA67-B67</x:f>
        <x:v>0</x:v>
      </x:c>
      <x:c r="AW67" s="72" t="n">
        <x:v>41.1</x:v>
      </x:c>
      <x:c r="AX67" s="72" t="n">
        <x:v>21.2</x:v>
      </x:c>
    </x:row>
    <x:row r="68" s="2" customFormat="1">
      <x:c r="A68" s="1" t="s">
        <x:v>98</x:v>
      </x:c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>
        <x:v>3341</x:v>
      </x:c>
      <x:c r="M68" s="3">
        <x:v>3060</x:v>
      </x:c>
      <x:c r="N68" s="3">
        <x:v>2473</x:v>
      </x:c>
      <x:c r="O68" s="3">
        <x:v>3693</x:v>
      </x:c>
      <x:c r="P68" s="3">
        <x:v>6603</x:v>
      </x:c>
      <x:c r="Q68" s="3">
        <x:v>2928</x:v>
      </x:c>
      <x:c r="R68" s="3">
        <x:v>3678</x:v>
      </x:c>
      <x:c r="S68" s="3">
        <x:v>2698</x:v>
      </x:c>
      <x:c r="T68" s="3">
        <x:v>2432</x:v>
      </x:c>
      <x:c r="U68" s="3"/>
      <x:c r="V68" s="3"/>
      <x:c r="W68" s="3"/>
      <x:c r="X68" s="3"/>
      <x:c r="Y68" s="3"/>
      <x:c r="AA68" s="5">
        <x:f t="shared" si="3"/>
        <x:v>30906</x:v>
      </x:c>
      <x:c r="AB68" s="5" t="n">
        <x:f>C67-AA68</x:f>
        <x:v>0</x:v>
      </x:c>
      <x:c r="AW68" s="72" t="str">
        <x:v>—</x:v>
      </x:c>
      <x:c r="AX68" s="72" t="str">
        <x:v>—</x:v>
      </x:c>
    </x:row>
    <x:row r="69" s="2" customFormat="1">
      <x:c r="A69" s="1" t="s">
        <x:v>99</x:v>
      </x:c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>
        <x:v>1859</x:v>
      </x:c>
      <x:c r="M69" s="3">
        <x:v>1498</x:v>
      </x:c>
      <x:c r="N69" s="3">
        <x:v>1548</x:v>
      </x:c>
      <x:c r="O69" s="3">
        <x:v>2210</x:v>
      </x:c>
      <x:c r="P69" s="3">
        <x:v>2542</x:v>
      </x:c>
      <x:c r="Q69" s="3">
        <x:v>1588</x:v>
      </x:c>
      <x:c r="R69" s="3">
        <x:v>2484</x:v>
      </x:c>
      <x:c r="S69" s="3">
        <x:v>810</x:v>
      </x:c>
      <x:c r="T69" s="3">
        <x:v>1500</x:v>
      </x:c>
      <x:c r="U69" s="3"/>
      <x:c r="V69" s="3"/>
      <x:c r="W69" s="3"/>
      <x:c r="X69" s="3"/>
      <x:c r="Y69" s="3"/>
      <x:c r="AA69" s="5">
        <x:f t="shared" si="3"/>
        <x:v>16039</x:v>
      </x:c>
      <x:c r="AB69" s="5" t="n">
        <x:f>AA69-D67</x:f>
        <x:v>0</x:v>
      </x:c>
      <x:c r="AW69" s="72" t="str">
        <x:v>—</x:v>
      </x:c>
      <x:c r="AX69" s="72" t="str">
        <x:v>—</x:v>
      </x:c>
    </x:row>
    <x:row r="70" s="13" customFormat="1">
      <x:c r="A70" s="11" t="s">
        <x:v>100</x:v>
      </x:c>
      <x:c r="B70" s="15">
        <x:v>8906418</x:v>
      </x:c>
      <x:c r="C70" s="15">
        <x:v>349115</x:v>
      </x:c>
      <x:c r="D70" s="15">
        <x:v>216461</x:v>
      </x:c>
      <x:c r="E70" s="12">
        <x:v>1125415</x:v>
      </x:c>
      <x:c r="F70" s="12">
        <x:v>44390</x:v>
      </x:c>
      <x:c r="G70" s="12">
        <x:v>28829</x:v>
      </x:c>
      <x:c r="H70" s="12">
        <x:v>8515839</x:v>
      </x:c>
      <x:c r="I70" s="12">
        <x:v>333517</x:v>
      </x:c>
      <x:c r="J70" s="12">
        <x:v>204566</x:v>
      </x:c>
      <x:c r="K70" s="3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AA70" s="14"/>
      <x:c r="AB70" s="14"/>
      <x:c r="AD70" s="14" t="n">
        <x:f t="shared" ref="AD70:AL70" si="4">SUM(B39:B68)</x:f>
        <x:v>8898418</x:v>
      </x:c>
      <x:c r="AE70" s="14">
        <x:f t="shared" si="4"/>
        <x:v>349117</x:v>
      </x:c>
      <x:c r="AF70" s="14">
        <x:f t="shared" si="4"/>
        <x:v>216461</x:v>
      </x:c>
      <x:c r="AG70" s="14">
        <x:f t="shared" si="4"/>
        <x:v>780012</x:v>
      </x:c>
      <x:c r="AH70" s="14">
        <x:f t="shared" si="4"/>
        <x:v>27612</x:v>
      </x:c>
      <x:c r="AI70" s="14">
        <x:f t="shared" si="4"/>
        <x:v>18285</x:v>
      </x:c>
      <x:c r="AJ70" s="14">
        <x:f t="shared" si="4"/>
        <x:v>8556734</x:v>
      </x:c>
      <x:c r="AK70" s="14">
        <x:f t="shared" si="4"/>
        <x:v>334134</x:v>
      </x:c>
      <x:c r="AL70" s="14">
        <x:f t="shared" si="4"/>
        <x:v>204022</x:v>
      </x:c>
      <x:c r="AN70" s="14" t="n">
        <x:f t="shared" ref="AN70:AT70" si="5">AD70-B70</x:f>
        <x:v>-8000</x:v>
      </x:c>
      <x:c r="AO70" s="14">
        <x:f t="shared" si="5"/>
        <x:v>2</x:v>
      </x:c>
      <x:c r="AP70" s="14">
        <x:f t="shared" si="5"/>
        <x:v>0</x:v>
      </x:c>
      <x:c r="AQ70" s="14">
        <x:f t="shared" si="5"/>
        <x:v>-345403</x:v>
      </x:c>
      <x:c r="AR70" s="14">
        <x:f t="shared" si="5"/>
        <x:v>-16778</x:v>
      </x:c>
      <x:c r="AS70" s="14">
        <x:f t="shared" si="5"/>
        <x:v>-10544</x:v>
      </x:c>
      <x:c r="AT70" s="14">
        <x:f t="shared" si="5"/>
        <x:v>40895</x:v>
      </x:c>
      <x:c r="AW70" s="72" t="n">
        <x:v>39.2</x:v>
      </x:c>
      <x:c r="AX70" s="72" t="n">
        <x:v>24.3</x:v>
      </x:c>
    </x:row>
    <x:row r="71" s="8" customFormat="1">
      <x:c r="A71" s="6" t="s">
        <x:v>101</x:v>
      </x:c>
      <x:c r="B71" s="7">
        <x:v>712700</x:v>
      </x:c>
      <x:c r="C71" s="7">
        <x:v>19825</x:v>
      </x:c>
      <x:c r="D71" s="7">
        <x:v>12125</x:v>
      </x:c>
      <x:c r="E71" s="7">
        <x:v>110990</x:v>
      </x:c>
      <x:c r="F71" s="7">
        <x:v>4175</x:v>
      </x:c>
      <x:c r="G71" s="7">
        <x:v>2685</x:v>
      </x:c>
      <x:c r="H71" s="7">
        <x:v>690151</x:v>
      </x:c>
      <x:c r="I71" s="7">
        <x:v>18974</x:v>
      </x:c>
      <x:c r="J71" s="7">
        <x:v>12202</x:v>
      </x:c>
      <x:c r="K71" s="3"/>
      <x:c r="L71" s="7">
        <x:v>105560</x:v>
      </x:c>
      <x:c r="M71" s="7">
        <x:v>59960</x:v>
      </x:c>
      <x:c r="N71" s="7">
        <x:v>49320</x:v>
      </x:c>
      <x:c r="O71" s="7">
        <x:v>93140</x:v>
      </x:c>
      <x:c r="P71" s="7">
        <x:v>72190</x:v>
      </x:c>
      <x:c r="Q71" s="7">
        <x:v>51740</x:v>
      </x:c>
      <x:c r="R71" s="7">
        <x:v>81500</x:v>
      </x:c>
      <x:c r="S71" s="7">
        <x:v>70600</x:v>
      </x:c>
      <x:c r="T71" s="7">
        <x:v>57990</x:v>
      </x:c>
      <x:c r="U71" s="7">
        <x:v>70730</x:v>
      </x:c>
      <x:c r="V71" s="7"/>
      <x:c r="W71" s="7"/>
      <x:c r="X71" s="7"/>
      <x:c r="Y71" s="7"/>
      <x:c r="AA71" s="9" t="n">
        <x:f t="shared" ref="AA71:AA79" si="6">SUM(L71:Y71)</x:f>
        <x:v>712730</x:v>
      </x:c>
      <x:c r="AB71" s="9" t="n">
        <x:f>AA71-B71</x:f>
        <x:v>30</x:v>
      </x:c>
      <x:c r="AW71" s="72" t="n">
        <x:v>27.8</x:v>
      </x:c>
      <x:c r="AX71" s="72" t="n">
        <x:v>17</x:v>
      </x:c>
    </x:row>
    <x:row r="72" s="2" customFormat="1">
      <x:c r="A72" s="1" t="s">
        <x:v>102</x:v>
      </x:c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>
        <x:v>2980</x:v>
      </x:c>
      <x:c r="M72" s="3">
        <x:v>1510</x:v>
      </x:c>
      <x:c r="N72" s="3">
        <x:v>1210</x:v>
      </x:c>
      <x:c r="O72" s="3">
        <x:v>3120</x:v>
      </x:c>
      <x:c r="P72" s="3">
        <x:v>2000</x:v>
      </x:c>
      <x:c r="Q72" s="3">
        <x:v>1525</x:v>
      </x:c>
      <x:c r="R72" s="3">
        <x:v>2080</x:v>
      </x:c>
      <x:c r="S72" s="3">
        <x:v>2020</x:v>
      </x:c>
      <x:c r="T72" s="3">
        <x:v>1560</x:v>
      </x:c>
      <x:c r="U72" s="3">
        <x:v>1820</x:v>
      </x:c>
      <x:c r="V72" s="3"/>
      <x:c r="W72" s="3"/>
      <x:c r="X72" s="3"/>
      <x:c r="Y72" s="3"/>
      <x:c r="AA72" s="5">
        <x:f t="shared" si="6"/>
        <x:v>19825</x:v>
      </x:c>
      <x:c r="AB72" s="5" t="n">
        <x:f>C71-AA72</x:f>
        <x:v>0</x:v>
      </x:c>
      <x:c r="AW72" s="72" t="str">
        <x:v>—</x:v>
      </x:c>
      <x:c r="AX72" s="72" t="str">
        <x:v>—</x:v>
      </x:c>
    </x:row>
    <x:row r="73" s="2" customFormat="1">
      <x:c r="A73" s="1" t="s">
        <x:v>103</x:v>
      </x:c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>
        <x:v>2200</x:v>
      </x:c>
      <x:c r="M73" s="3">
        <x:v>1030</x:v>
      </x:c>
      <x:c r="N73" s="3">
        <x:v>810</x:v>
      </x:c>
      <x:c r="O73" s="3">
        <x:v>1800</x:v>
      </x:c>
      <x:c r="P73" s="3">
        <x:v>1155</x:v>
      </x:c>
      <x:c r="Q73" s="3">
        <x:v>920</x:v>
      </x:c>
      <x:c r="R73" s="3">
        <x:v>1080</x:v>
      </x:c>
      <x:c r="S73" s="3">
        <x:v>1200</x:v>
      </x:c>
      <x:c r="T73" s="3">
        <x:v>875</x:v>
      </x:c>
      <x:c r="U73" s="3">
        <x:v>1055</x:v>
      </x:c>
      <x:c r="V73" s="3"/>
      <x:c r="W73" s="3"/>
      <x:c r="X73" s="3"/>
      <x:c r="Y73" s="3"/>
      <x:c r="AA73" s="5">
        <x:f t="shared" si="6"/>
        <x:v>12125</x:v>
      </x:c>
      <x:c r="AB73" s="5" t="n">
        <x:f>AA73-D71</x:f>
        <x:v>0</x:v>
      </x:c>
      <x:c r="AW73" s="72" t="str">
        <x:v>—</x:v>
      </x:c>
      <x:c r="AX73" s="72" t="str">
        <x:v>—</x:v>
      </x:c>
    </x:row>
    <x:row r="74" s="8" customFormat="1">
      <x:c r="A74" s="6" t="s">
        <x:v>104</x:v>
      </x:c>
      <x:c r="B74" s="7">
        <x:v>1260653</x:v>
      </x:c>
      <x:c r="C74" s="7">
        <x:v>36361</x:v>
      </x:c>
      <x:c r="D74" s="7">
        <x:v>25016</x:v>
      </x:c>
      <x:c r="E74" s="7">
        <x:v>248574</x:v>
      </x:c>
      <x:c r="F74" s="7">
        <x:v>7737</x:v>
      </x:c>
      <x:c r="G74" s="7">
        <x:v>6502</x:v>
      </x:c>
      <x:c r="H74" s="7">
        <x:v>1239268</x:v>
      </x:c>
      <x:c r="I74" s="7">
        <x:v>36781</x:v>
      </x:c>
      <x:c r="J74" s="7">
        <x:v>26740</x:v>
      </x:c>
      <x:c r="K74" s="3"/>
      <x:c r="L74" s="7">
        <x:v>322941</x:v>
      </x:c>
      <x:c r="M74" s="7">
        <x:v>121393</x:v>
      </x:c>
      <x:c r="N74" s="7">
        <x:v>134812</x:v>
      </x:c>
      <x:c r="O74" s="7">
        <x:v>100655</x:v>
      </x:c>
      <x:c r="P74" s="7">
        <x:v>122398</x:v>
      </x:c>
      <x:c r="Q74" s="7">
        <x:v>192893</x:v>
      </x:c>
      <x:c r="R74" s="7">
        <x:v>102650</x:v>
      </x:c>
      <x:c r="S74" s="7">
        <x:v>102205</x:v>
      </x:c>
      <x:c r="T74" s="7">
        <x:v>60706</x:v>
      </x:c>
      <x:c r="U74" s="7"/>
      <x:c r="V74" s="7"/>
      <x:c r="W74" s="7"/>
      <x:c r="X74" s="7"/>
      <x:c r="Y74" s="7"/>
      <x:c r="AA74" s="9">
        <x:f t="shared" si="6"/>
        <x:v>1260653</x:v>
      </x:c>
      <x:c r="AB74" s="9" t="n">
        <x:f>AA74-B74</x:f>
        <x:v>0</x:v>
      </x:c>
      <x:c r="AW74" s="72" t="n">
        <x:v>28.8</x:v>
      </x:c>
      <x:c r="AX74" s="72" t="n">
        <x:v>19.8</x:v>
      </x:c>
    </x:row>
    <x:row r="75" s="2" customFormat="1">
      <x:c r="A75" s="1" t="s">
        <x:v>105</x:v>
      </x:c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>
        <x:v>9384</x:v>
      </x:c>
      <x:c r="M75" s="3">
        <x:v>3627</x:v>
      </x:c>
      <x:c r="N75" s="3">
        <x:v>3080</x:v>
      </x:c>
      <x:c r="O75" s="3">
        <x:v>3319</x:v>
      </x:c>
      <x:c r="P75" s="3">
        <x:v>3859</x:v>
      </x:c>
      <x:c r="Q75" s="3">
        <x:v>5580</x:v>
      </x:c>
      <x:c r="R75" s="3">
        <x:v>2929</x:v>
      </x:c>
      <x:c r="S75" s="3">
        <x:v>2794</x:v>
      </x:c>
      <x:c r="T75" s="3">
        <x:v>1789</x:v>
      </x:c>
      <x:c r="U75" s="3"/>
      <x:c r="V75" s="3"/>
      <x:c r="W75" s="3"/>
      <x:c r="X75" s="3"/>
      <x:c r="Y75" s="3"/>
      <x:c r="AA75" s="5">
        <x:f t="shared" si="6"/>
        <x:v>36361</x:v>
      </x:c>
      <x:c r="AB75" s="5" t="n">
        <x:f>C74-AA75</x:f>
        <x:v>0</x:v>
      </x:c>
      <x:c r="AW75" s="72" t="str">
        <x:v>—</x:v>
      </x:c>
      <x:c r="AX75" s="72" t="str">
        <x:v>—</x:v>
      </x:c>
    </x:row>
    <x:row r="76" s="2" customFormat="1">
      <x:c r="A76" s="1" t="s">
        <x:v>106</x:v>
      </x:c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>
        <x:v>7035</x:v>
      </x:c>
      <x:c r="M76" s="3">
        <x:v>2390</x:v>
      </x:c>
      <x:c r="N76" s="3">
        <x:v>2064</x:v>
      </x:c>
      <x:c r="O76" s="3">
        <x:v>1779</x:v>
      </x:c>
      <x:c r="P76" s="3">
        <x:v>2656</x:v>
      </x:c>
      <x:c r="Q76" s="3">
        <x:v>3769</x:v>
      </x:c>
      <x:c r="R76" s="3">
        <x:v>2051</x:v>
      </x:c>
      <x:c r="S76" s="3">
        <x:v>1795</x:v>
      </x:c>
      <x:c r="T76" s="3">
        <x:v>1477</x:v>
      </x:c>
      <x:c r="U76" s="3"/>
      <x:c r="V76" s="3"/>
      <x:c r="W76" s="3"/>
      <x:c r="X76" s="3"/>
      <x:c r="Y76" s="3"/>
      <x:c r="AA76" s="5">
        <x:f t="shared" si="6"/>
        <x:v>25016</x:v>
      </x:c>
      <x:c r="AB76" s="5" t="n">
        <x:f>AA76-D74</x:f>
        <x:v>0</x:v>
      </x:c>
      <x:c r="AW76" s="72" t="str">
        <x:v>—</x:v>
      </x:c>
      <x:c r="AX76" s="72" t="str">
        <x:v>—</x:v>
      </x:c>
    </x:row>
    <x:row r="77" s="8" customFormat="1">
      <x:c r="A77" s="6" t="s">
        <x:v>107</x:v>
      </x:c>
      <x:c r="B77" s="7">
        <x:v>404709</x:v>
      </x:c>
      <x:c r="C77" s="7">
        <x:v>11872</x:v>
      </x:c>
      <x:c r="D77" s="7">
        <x:v>7255</x:v>
      </x:c>
      <x:c r="E77" s="7">
        <x:v>61687</x:v>
      </x:c>
      <x:c r="F77" s="7">
        <x:v>1778</x:v>
      </x:c>
      <x:c r="G77" s="7">
        <x:v>1422</x:v>
      </x:c>
      <x:c r="H77" s="7">
        <x:v>396539</x:v>
      </x:c>
      <x:c r="I77" s="7">
        <x:v>11852</x:v>
      </x:c>
      <x:c r="J77" s="7">
        <x:v>8592</x:v>
      </x:c>
      <x:c r="K77" s="3"/>
      <x:c r="L77" s="7">
        <x:v>146946</x:v>
      </x:c>
      <x:c r="M77" s="7">
        <x:v>120167</x:v>
      </x:c>
      <x:c r="N77" s="7">
        <x:v>53655</x:v>
      </x:c>
      <x:c r="O77" s="7">
        <x:v>83941</x:v>
      </x:c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AA77" s="9">
        <x:f t="shared" si="6"/>
        <x:v>404709</x:v>
      </x:c>
      <x:c r="AB77" s="9" t="n">
        <x:f>AA77-B77</x:f>
        <x:v>0</x:v>
      </x:c>
      <x:c r="AW77" s="72" t="n">
        <x:v>29.3</x:v>
      </x:c>
      <x:c r="AX77" s="72" t="n">
        <x:v>18</x:v>
      </x:c>
    </x:row>
    <x:row r="78" s="2" customFormat="1">
      <x:c r="A78" s="1" t="s">
        <x:v>108</x:v>
      </x:c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>
        <x:v>4301</x:v>
      </x:c>
      <x:c r="M78" s="3">
        <x:v>3749</x:v>
      </x:c>
      <x:c r="N78" s="3">
        <x:v>1509</x:v>
      </x:c>
      <x:c r="O78" s="3">
        <x:v>2313</x:v>
      </x:c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AA78" s="5">
        <x:f t="shared" si="6"/>
        <x:v>11872</x:v>
      </x:c>
      <x:c r="AB78" s="5" t="n">
        <x:f>C77-AA78</x:f>
        <x:v>0</x:v>
      </x:c>
      <x:c r="AW78" s="72" t="str">
        <x:v>—</x:v>
      </x:c>
      <x:c r="AX78" s="72" t="str">
        <x:v>—</x:v>
      </x:c>
    </x:row>
    <x:row r="79" s="2" customFormat="1">
      <x:c r="A79" s="1" t="s">
        <x:v>109</x:v>
      </x:c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>
        <x:v>2742</x:v>
      </x:c>
      <x:c r="M79" s="3">
        <x:v>2222</x:v>
      </x:c>
      <x:c r="N79" s="3">
        <x:v>925</x:v>
      </x:c>
      <x:c r="O79" s="3">
        <x:v>1366</x:v>
      </x:c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AA79" s="5">
        <x:f t="shared" si="6"/>
        <x:v>7255</x:v>
      </x:c>
      <x:c r="AB79" s="5" t="n">
        <x:f>AA79-D77</x:f>
        <x:v>0</x:v>
      </x:c>
      <x:c r="AW79" s="72" t="str">
        <x:v>—</x:v>
      </x:c>
      <x:c r="AX79" s="72" t="str">
        <x:v>—</x:v>
      </x:c>
    </x:row>
    <x:row r="80" s="13" customFormat="1">
      <x:c r="A80" s="11" t="s">
        <x:v>110</x:v>
      </x:c>
      <x:c r="B80" s="12">
        <x:v>2378062</x:v>
      </x:c>
      <x:c r="C80" s="12">
        <x:v>68058</x:v>
      </x:c>
      <x:c r="D80" s="12">
        <x:v>44396</x:v>
      </x:c>
      <x:c r="E80" s="12">
        <x:v>420651</x:v>
      </x:c>
      <x:c r="F80" s="12">
        <x:v>13690</x:v>
      </x:c>
      <x:c r="G80" s="12">
        <x:v>10609</x:v>
      </x:c>
      <x:c r="H80" s="12">
        <x:v>2325955</x:v>
      </x:c>
      <x:c r="I80" s="12">
        <x:v>67607</x:v>
      </x:c>
      <x:c r="J80" s="12">
        <x:v>47537</x:v>
      </x:c>
      <x:c r="K80" s="3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AA80" s="14"/>
      <x:c r="AB80" s="14"/>
      <x:c r="AD80" s="14" t="n">
        <x:f t="shared" ref="AD80:AL80" si="7">SUM(B71:B79)</x:f>
        <x:v>2378062</x:v>
      </x:c>
      <x:c r="AE80" s="14">
        <x:f t="shared" si="7"/>
        <x:v>68058</x:v>
      </x:c>
      <x:c r="AF80" s="14">
        <x:f t="shared" si="7"/>
        <x:v>44396</x:v>
      </x:c>
      <x:c r="AG80" s="14">
        <x:f t="shared" si="7"/>
        <x:v>421251</x:v>
      </x:c>
      <x:c r="AH80" s="14">
        <x:f t="shared" si="7"/>
        <x:v>13690</x:v>
      </x:c>
      <x:c r="AI80" s="14">
        <x:f t="shared" si="7"/>
        <x:v>10609</x:v>
      </x:c>
      <x:c r="AJ80" s="14">
        <x:f t="shared" si="7"/>
        <x:v>2325958</x:v>
      </x:c>
      <x:c r="AK80" s="14">
        <x:f t="shared" si="7"/>
        <x:v>67607</x:v>
      </x:c>
      <x:c r="AL80" s="14">
        <x:f t="shared" si="7"/>
        <x:v>47534</x:v>
      </x:c>
      <x:c r="AN80" s="14" t="n">
        <x:f t="shared" ref="AN80:AT80" si="8">AD80-B80</x:f>
        <x:v>0</x:v>
      </x:c>
      <x:c r="AO80" s="14">
        <x:f t="shared" si="8"/>
        <x:v>0</x:v>
      </x:c>
      <x:c r="AP80" s="14">
        <x:f t="shared" si="8"/>
        <x:v>0</x:v>
      </x:c>
      <x:c r="AQ80" s="14">
        <x:f t="shared" si="8"/>
        <x:v>600</x:v>
      </x:c>
      <x:c r="AR80" s="14">
        <x:f t="shared" si="8"/>
        <x:v>0</x:v>
      </x:c>
      <x:c r="AS80" s="14">
        <x:f t="shared" si="8"/>
        <x:v>0</x:v>
      </x:c>
      <x:c r="AT80" s="14">
        <x:f t="shared" si="8"/>
        <x:v>3</x:v>
      </x:c>
      <x:c r="AW80" s="72" t="n">
        <x:v>28.6</x:v>
      </x:c>
      <x:c r="AX80" s="72" t="n">
        <x:v>18.6</x:v>
      </x:c>
    </x:row>
    <x:row r="81" s="8" customFormat="1">
      <x:c r="A81" s="6" t="s">
        <x:v>111</x:v>
      </x:c>
      <x:c r="B81" s="7">
        <x:v>1579766</x:v>
      </x:c>
      <x:c r="C81" s="7">
        <x:v>74644</x:v>
      </x:c>
      <x:c r="D81" s="7">
        <x:v>50841</x:v>
      </x:c>
      <x:c r="E81" s="7">
        <x:v>276917</x:v>
      </x:c>
      <x:c r="F81" s="7">
        <x:v>8897</x:v>
      </x:c>
      <x:c r="G81" s="7">
        <x:v>6349</x:v>
      </x:c>
      <x:c r="H81" s="7">
        <x:v>1556699</x:v>
      </x:c>
      <x:c r="I81" s="7">
        <x:v>73585</x:v>
      </x:c>
      <x:c r="J81" s="7">
        <x:v>49630</x:v>
      </x:c>
      <x:c r="K81" s="3"/>
      <x:c r="L81" s="7">
        <x:v>258185</x:v>
      </x:c>
      <x:c r="M81" s="7">
        <x:v>276569</x:v>
      </x:c>
      <x:c r="N81" s="7">
        <x:v>163711</x:v>
      </x:c>
      <x:c r="O81" s="7">
        <x:v>185350</x:v>
      </x:c>
      <x:c r="P81" s="7">
        <x:v>165527</x:v>
      </x:c>
      <x:c r="Q81" s="7">
        <x:v>174979</x:v>
      </x:c>
      <x:c r="R81" s="7">
        <x:v>202354</x:v>
      </x:c>
      <x:c r="S81" s="7">
        <x:v>153091</x:v>
      </x:c>
      <x:c r="T81" s="7"/>
      <x:c r="U81" s="7"/>
      <x:c r="V81" s="7"/>
      <x:c r="W81" s="7"/>
      <x:c r="X81" s="7"/>
      <x:c r="Y81" s="7"/>
      <x:c r="AA81" s="9" t="n">
        <x:f t="shared" ref="AA81:AA112" si="9">SUM(L81:Y81)</x:f>
        <x:v>1579766</x:v>
      </x:c>
      <x:c r="AB81" s="9" t="n">
        <x:f>AA81-B81</x:f>
        <x:v>0</x:v>
      </x:c>
      <x:c r="AW81" s="72" t="n">
        <x:v>47.2</x:v>
      </x:c>
      <x:c r="AX81" s="72" t="n">
        <x:v>32.2</x:v>
      </x:c>
    </x:row>
    <x:row r="82" s="2" customFormat="1">
      <x:c r="A82" s="1" t="s">
        <x:v>112</x:v>
      </x:c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>
        <x:v>10389</x:v>
      </x:c>
      <x:c r="M82" s="3">
        <x:v>11741</x:v>
      </x:c>
      <x:c r="N82" s="3">
        <x:v>8429</x:v>
      </x:c>
      <x:c r="O82" s="3">
        <x:v>9595</x:v>
      </x:c>
      <x:c r="P82" s="3">
        <x:v>7791</x:v>
      </x:c>
      <x:c r="Q82" s="3">
        <x:v>7534</x:v>
      </x:c>
      <x:c r="R82" s="3">
        <x:v>11144</x:v>
      </x:c>
      <x:c r="S82" s="3">
        <x:v>8024</x:v>
      </x:c>
      <x:c r="T82" s="3"/>
      <x:c r="U82" s="3"/>
      <x:c r="V82" s="3"/>
      <x:c r="W82" s="3"/>
      <x:c r="X82" s="3"/>
      <x:c r="Y82" s="3"/>
      <x:c r="AA82" s="5">
        <x:f t="shared" si="9"/>
        <x:v>74647</x:v>
      </x:c>
      <x:c r="AB82" s="5" t="n">
        <x:f>C81-AA82</x:f>
        <x:v>-3</x:v>
      </x:c>
      <x:c r="AW82" s="72" t="str">
        <x:v>—</x:v>
      </x:c>
      <x:c r="AX82" s="72" t="str">
        <x:v>—</x:v>
      </x:c>
    </x:row>
    <x:row r="83" s="2" customFormat="1">
      <x:c r="A83" s="1" t="s">
        <x:v>113</x:v>
      </x:c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>
        <x:v>6983</x:v>
      </x:c>
      <x:c r="M83" s="3">
        <x:v>6745</x:v>
      </x:c>
      <x:c r="N83" s="3">
        <x:v>5954</x:v>
      </x:c>
      <x:c r="O83" s="3">
        <x:v>5630</x:v>
      </x:c>
      <x:c r="P83" s="3">
        <x:v>5495</x:v>
      </x:c>
      <x:c r="Q83" s="3">
        <x:v>5689</x:v>
      </x:c>
      <x:c r="R83" s="3">
        <x:v>8265</x:v>
      </x:c>
      <x:c r="S83" s="3">
        <x:v>6080</x:v>
      </x:c>
      <x:c r="T83" s="3"/>
      <x:c r="U83" s="3"/>
      <x:c r="V83" s="3"/>
      <x:c r="W83" s="3"/>
      <x:c r="X83" s="3"/>
      <x:c r="Y83" s="3"/>
      <x:c r="AA83" s="5">
        <x:f t="shared" si="9"/>
        <x:v>50841</x:v>
      </x:c>
      <x:c r="AB83" s="5" t="n">
        <x:f>AA83-D81</x:f>
        <x:v>0</x:v>
      </x:c>
      <x:c r="AW83" s="72" t="str">
        <x:v>—</x:v>
      </x:c>
      <x:c r="AX83" s="72" t="str">
        <x:v>—</x:v>
      </x:c>
    </x:row>
    <x:row r="84" s="8" customFormat="1">
      <x:c r="A84" s="6" t="s">
        <x:v>114</x:v>
      </x:c>
      <x:c r="B84" s="7">
        <x:v>1511926</x:v>
      </x:c>
      <x:c r="C84" s="7">
        <x:v>78774</x:v>
      </x:c>
      <x:c r="D84" s="7">
        <x:v>65493</x:v>
      </x:c>
      <x:c r="E84" s="7">
        <x:v>108816</x:v>
      </x:c>
      <x:c r="F84" s="7">
        <x:v>7110</x:v>
      </x:c>
      <x:c r="G84" s="7">
        <x:v>4932</x:v>
      </x:c>
      <x:c r="H84" s="7">
        <x:v>1441398</x:v>
      </x:c>
      <x:c r="I84" s="7">
        <x:v>75901</x:v>
      </x:c>
      <x:c r="J84" s="7">
        <x:v>58278</x:v>
      </x:c>
      <x:c r="K84" s="3"/>
      <x:c r="L84" s="7">
        <x:v>164831</x:v>
      </x:c>
      <x:c r="M84" s="7">
        <x:v>103255</x:v>
      </x:c>
      <x:c r="N84" s="7">
        <x:v>90937</x:v>
      </x:c>
      <x:c r="O84" s="7">
        <x:v>106235</x:v>
      </x:c>
      <x:c r="P84" s="7">
        <x:v>120456</x:v>
      </x:c>
      <x:c r="Q84" s="7">
        <x:v>134355</x:v>
      </x:c>
      <x:c r="R84" s="7">
        <x:v>119250</x:v>
      </x:c>
      <x:c r="S84" s="7">
        <x:v>93700</x:v>
      </x:c>
      <x:c r="T84" s="7">
        <x:v>120236</x:v>
      </x:c>
      <x:c r="U84" s="7">
        <x:v>87766</x:v>
      </x:c>
      <x:c r="V84" s="7">
        <x:v>115721</x:v>
      </x:c>
      <x:c r="W84" s="7">
        <x:v>148341</x:v>
      </x:c>
      <x:c r="X84" s="7">
        <x:v>106843</x:v>
      </x:c>
      <x:c r="Y84" s="7"/>
      <x:c r="AA84" s="9">
        <x:f t="shared" si="9"/>
        <x:v>1511926</x:v>
      </x:c>
      <x:c r="AB84" s="9" t="n">
        <x:f>AA84-B84</x:f>
        <x:v>0</x:v>
      </x:c>
      <x:c r="AW84" s="72" t="n">
        <x:v>52.1</x:v>
      </x:c>
      <x:c r="AX84" s="72" t="n">
        <x:v>43.3</x:v>
      </x:c>
    </x:row>
    <x:row r="85" s="2" customFormat="1">
      <x:c r="A85" s="1" t="s">
        <x:v>115</x:v>
      </x:c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>
        <x:v>7765</x:v>
      </x:c>
      <x:c r="M85" s="3">
        <x:v>4014</x:v>
      </x:c>
      <x:c r="N85" s="3">
        <x:v>4684</x:v>
      </x:c>
      <x:c r="O85" s="3">
        <x:v>5079</x:v>
      </x:c>
      <x:c r="P85" s="3">
        <x:v>6098</x:v>
      </x:c>
      <x:c r="Q85" s="3">
        <x:v>9580</x:v>
      </x:c>
      <x:c r="R85" s="3">
        <x:v>6933</x:v>
      </x:c>
      <x:c r="S85" s="3">
        <x:v>4704</x:v>
      </x:c>
      <x:c r="T85" s="3">
        <x:v>7972</x:v>
      </x:c>
      <x:c r="U85" s="3">
        <x:v>4824</x:v>
      </x:c>
      <x:c r="V85" s="3">
        <x:v>6449</x:v>
      </x:c>
      <x:c r="W85" s="3">
        <x:v>7158</x:v>
      </x:c>
      <x:c r="X85" s="3">
        <x:v>5517</x:v>
      </x:c>
      <x:c r="Y85" s="3"/>
      <x:c r="AA85" s="5">
        <x:f t="shared" si="9"/>
        <x:v>80777</x:v>
      </x:c>
      <x:c r="AB85" s="5" t="n">
        <x:f>C84-AA85</x:f>
        <x:v>-2003</x:v>
      </x:c>
      <x:c r="AW85" s="72" t="str">
        <x:v>—</x:v>
      </x:c>
      <x:c r="AX85" s="72" t="str">
        <x:v>—</x:v>
      </x:c>
    </x:row>
    <x:row r="86" s="2" customFormat="1">
      <x:c r="A86" s="1" t="s">
        <x:v>116</x:v>
      </x:c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>
        <x:v>6854</x:v>
      </x:c>
      <x:c r="M86" s="3">
        <x:v>3675</x:v>
      </x:c>
      <x:c r="N86" s="3">
        <x:v>3879</x:v>
      </x:c>
      <x:c r="O86" s="3">
        <x:v>3504</x:v>
      </x:c>
      <x:c r="P86" s="3">
        <x:v>4951</x:v>
      </x:c>
      <x:c r="Q86" s="3">
        <x:v>6173</x:v>
      </x:c>
      <x:c r="R86" s="3">
        <x:v>5635</x:v>
      </x:c>
      <x:c r="S86" s="3">
        <x:v>4148</x:v>
      </x:c>
      <x:c r="T86" s="3">
        <x:v>6678</x:v>
      </x:c>
      <x:c r="U86" s="3">
        <x:v>3925</x:v>
      </x:c>
      <x:c r="V86" s="3">
        <x:v>5334</x:v>
      </x:c>
      <x:c r="W86" s="3">
        <x:v>6060</x:v>
      </x:c>
      <x:c r="X86" s="3">
        <x:v>4677</x:v>
      </x:c>
      <x:c r="Y86" s="3"/>
      <x:c r="AA86" s="5">
        <x:f t="shared" si="9"/>
        <x:v>65493</x:v>
      </x:c>
      <x:c r="AB86" s="5" t="n">
        <x:f>AA86-D84</x:f>
        <x:v>0</x:v>
      </x:c>
      <x:c r="AW86" s="72" t="str">
        <x:v>—</x:v>
      </x:c>
      <x:c r="AX86" s="72" t="str">
        <x:v>—</x:v>
      </x:c>
    </x:row>
    <x:row r="87" s="8" customFormat="1">
      <x:c r="A87" s="6" t="s">
        <x:v>117</x:v>
      </x:c>
      <x:c r="B87" s="7">
        <x:v>1282886</x:v>
      </x:c>
      <x:c r="C87" s="7">
        <x:v>56538</x:v>
      </x:c>
      <x:c r="D87" s="7">
        <x:v>43009</x:v>
      </x:c>
      <x:c r="E87" s="7">
        <x:v>43968</x:v>
      </x:c>
      <x:c r="F87" s="7">
        <x:v>1738</x:v>
      </x:c>
      <x:c r="G87" s="7">
        <x:v>1586</x:v>
      </x:c>
      <x:c r="H87" s="7">
        <x:v>1255613</x:v>
      </x:c>
      <x:c r="I87" s="7">
        <x:v>55161</x:v>
      </x:c>
      <x:c r="J87" s="7">
        <x:v>39459</x:v>
      </x:c>
      <x:c r="K87" s="3"/>
      <x:c r="L87" s="7">
        <x:v>163549</x:v>
      </x:c>
      <x:c r="M87" s="7">
        <x:v>102418</x:v>
      </x:c>
      <x:c r="N87" s="7">
        <x:v>103969</x:v>
      </x:c>
      <x:c r="O87" s="7">
        <x:v>181689</x:v>
      </x:c>
      <x:c r="P87" s="7">
        <x:v>181918</x:v>
      </x:c>
      <x:c r="Q87" s="7">
        <x:v>119151</x:v>
      </x:c>
      <x:c r="R87" s="7">
        <x:v>147062</x:v>
      </x:c>
      <x:c r="S87" s="7">
        <x:v>100154</x:v>
      </x:c>
      <x:c r="T87" s="7">
        <x:v>134993</x:v>
      </x:c>
      <x:c r="U87" s="7">
        <x:v>47983</x:v>
      </x:c>
      <x:c r="V87" s="7"/>
      <x:c r="W87" s="7"/>
      <x:c r="X87" s="7"/>
      <x:c r="Y87" s="7"/>
      <x:c r="AA87" s="9">
        <x:f t="shared" si="9"/>
        <x:v>1282886</x:v>
      </x:c>
      <x:c r="AB87" s="9" t="n">
        <x:f>AA87-B87</x:f>
        <x:v>0</x:v>
      </x:c>
      <x:c r="AW87" s="72" t="n">
        <x:v>44.1</x:v>
      </x:c>
      <x:c r="AX87" s="72" t="n">
        <x:v>33.5</x:v>
      </x:c>
    </x:row>
    <x:row r="88" s="2" customFormat="1">
      <x:c r="A88" s="1" t="s">
        <x:v>118</x:v>
      </x:c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>
        <x:v>6233</x:v>
      </x:c>
      <x:c r="M88" s="3">
        <x:v>4207</x:v>
      </x:c>
      <x:c r="N88" s="3">
        <x:v>4417</x:v>
      </x:c>
      <x:c r="O88" s="3">
        <x:v>8052</x:v>
      </x:c>
      <x:c r="P88" s="3">
        <x:v>9285</x:v>
      </x:c>
      <x:c r="Q88" s="3">
        <x:v>5362</x:v>
      </x:c>
      <x:c r="R88" s="3">
        <x:v>6471</x:v>
      </x:c>
      <x:c r="S88" s="3">
        <x:v>4103</x:v>
      </x:c>
      <x:c r="T88" s="3">
        <x:v>6414</x:v>
      </x:c>
      <x:c r="U88" s="3">
        <x:v>1994</x:v>
      </x:c>
      <x:c r="V88" s="3"/>
      <x:c r="W88" s="3"/>
      <x:c r="X88" s="3"/>
      <x:c r="Y88" s="3"/>
      <x:c r="AA88" s="5">
        <x:f t="shared" si="9"/>
        <x:v>56538</x:v>
      </x:c>
      <x:c r="AB88" s="5" t="n">
        <x:f>C87-AA88</x:f>
        <x:v>0</x:v>
      </x:c>
      <x:c r="AW88" s="72" t="str">
        <x:v>—</x:v>
      </x:c>
      <x:c r="AX88" s="72" t="str">
        <x:v>—</x:v>
      </x:c>
    </x:row>
    <x:row r="89" s="2" customFormat="1">
      <x:c r="A89" s="1" t="s">
        <x:v>119</x:v>
      </x:c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>
        <x:v>4684</x:v>
      </x:c>
      <x:c r="M89" s="3">
        <x:v>3445</x:v>
      </x:c>
      <x:c r="N89" s="3">
        <x:v>3552</x:v>
      </x:c>
      <x:c r="O89" s="3">
        <x:v>7279</x:v>
      </x:c>
      <x:c r="P89" s="3">
        <x:v>7044</x:v>
      </x:c>
      <x:c r="Q89" s="3">
        <x:v>3399</x:v>
      </x:c>
      <x:c r="R89" s="3">
        <x:v>5305</x:v>
      </x:c>
      <x:c r="S89" s="3">
        <x:v>2712</x:v>
      </x:c>
      <x:c r="T89" s="3">
        <x:v>4193</x:v>
      </x:c>
      <x:c r="U89" s="3">
        <x:v>1396</x:v>
      </x:c>
      <x:c r="V89" s="3"/>
      <x:c r="W89" s="3"/>
      <x:c r="X89" s="3"/>
      <x:c r="Y89" s="3"/>
      <x:c r="AA89" s="5">
        <x:f t="shared" si="9"/>
        <x:v>43009</x:v>
      </x:c>
      <x:c r="AB89" s="5" t="n">
        <x:f>AA89-D87</x:f>
        <x:v>0</x:v>
      </x:c>
      <x:c r="AW89" s="72" t="str">
        <x:v>—</x:v>
      </x:c>
      <x:c r="AX89" s="72" t="str">
        <x:v>—</x:v>
      </x:c>
    </x:row>
    <x:row r="90" s="8" customFormat="1">
      <x:c r="A90" s="6" t="s">
        <x:v>120</x:v>
      </x:c>
      <x:c r="B90" s="7">
        <x:v>2689790</x:v>
      </x:c>
      <x:c r="C90" s="7">
        <x:v>134898</x:v>
      </x:c>
      <x:c r="D90" s="7">
        <x:v>107953</x:v>
      </x:c>
      <x:c r="E90" s="7">
        <x:v>107786</x:v>
      </x:c>
      <x:c r="F90" s="7">
        <x:v>4289</x:v>
      </x:c>
      <x:c r="G90" s="7">
        <x:v>4049</x:v>
      </x:c>
      <x:c r="H90" s="7">
        <x:v>2652608</x:v>
      </x:c>
      <x:c r="I90" s="7">
        <x:v>138837</x:v>
      </x:c>
      <x:c r="J90" s="7">
        <x:v>95929</x:v>
      </x:c>
      <x:c r="K90" s="3"/>
      <x:c r="L90" s="7">
        <x:v>250180</x:v>
      </x:c>
      <x:c r="M90" s="7">
        <x:v>261546</x:v>
      </x:c>
      <x:c r="N90" s="7">
        <x:v>278490</x:v>
      </x:c>
      <x:c r="O90" s="7">
        <x:v>351951</x:v>
      </x:c>
      <x:c r="P90" s="7">
        <x:v>206149</x:v>
      </x:c>
      <x:c r="Q90" s="7">
        <x:v>130730</x:v>
      </x:c>
      <x:c r="R90" s="7">
        <x:v>210280</x:v>
      </x:c>
      <x:c r="S90" s="7">
        <x:v>171505</x:v>
      </x:c>
      <x:c r="T90" s="7">
        <x:v>187620</x:v>
      </x:c>
      <x:c r="U90" s="7">
        <x:v>186923</x:v>
      </x:c>
      <x:c r="V90" s="7">
        <x:v>269334</x:v>
      </x:c>
      <x:c r="W90" s="7">
        <x:v>185082</x:v>
      </x:c>
      <x:c r="X90" s="7"/>
      <x:c r="Y90" s="7"/>
      <x:c r="AA90" s="9">
        <x:f t="shared" si="9"/>
        <x:v>2689790</x:v>
      </x:c>
      <x:c r="AB90" s="9" t="n">
        <x:f>AA90-B90</x:f>
        <x:v>0</x:v>
      </x:c>
      <x:c r="AW90" s="72" t="n">
        <x:v>50.1</x:v>
      </x:c>
      <x:c r="AX90" s="72" t="n">
        <x:v>40.1</x:v>
      </x:c>
    </x:row>
    <x:row r="91" s="2" customFormat="1">
      <x:c r="A91" s="1" t="s">
        <x:v>121</x:v>
      </x:c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>
        <x:v>13487</x:v>
      </x:c>
      <x:c r="M91" s="3">
        <x:v>11489</x:v>
      </x:c>
      <x:c r="N91" s="3">
        <x:v>15350</x:v>
      </x:c>
      <x:c r="O91" s="3">
        <x:v>16045</x:v>
      </x:c>
      <x:c r="P91" s="3">
        <x:v>9276</x:v>
      </x:c>
      <x:c r="Q91" s="3">
        <x:v>5716</x:v>
      </x:c>
      <x:c r="R91" s="3">
        <x:v>11678</x:v>
      </x:c>
      <x:c r="S91" s="3">
        <x:v>9004</x:v>
      </x:c>
      <x:c r="T91" s="3">
        <x:v>9795</x:v>
      </x:c>
      <x:c r="U91" s="3">
        <x:v>9991</x:v>
      </x:c>
      <x:c r="V91" s="3">
        <x:v>14680</x:v>
      </x:c>
      <x:c r="W91" s="3">
        <x:v>8387</x:v>
      </x:c>
      <x:c r="X91" s="3"/>
      <x:c r="Y91" s="3"/>
      <x:c r="AA91" s="5">
        <x:f t="shared" si="9"/>
        <x:v>134898</x:v>
      </x:c>
      <x:c r="AB91" s="5" t="n">
        <x:f>C90-AA91</x:f>
        <x:v>0</x:v>
      </x:c>
      <x:c r="AW91" s="72" t="str">
        <x:v>—</x:v>
      </x:c>
      <x:c r="AX91" s="72" t="str">
        <x:v>—</x:v>
      </x:c>
    </x:row>
    <x:row r="92" s="2" customFormat="1">
      <x:c r="A92" s="1" t="s">
        <x:v>122</x:v>
      </x:c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>
        <x:v>11078</x:v>
      </x:c>
      <x:c r="M92" s="3">
        <x:v>9410</x:v>
      </x:c>
      <x:c r="N92" s="3">
        <x:v>13362</x:v>
      </x:c>
      <x:c r="O92" s="3">
        <x:v>12157</x:v>
      </x:c>
      <x:c r="P92" s="3">
        <x:v>8327</x:v>
      </x:c>
      <x:c r="Q92" s="3">
        <x:v>5728</x:v>
      </x:c>
      <x:c r="R92" s="3">
        <x:v>7899</x:v>
      </x:c>
      <x:c r="S92" s="3">
        <x:v>6294</x:v>
      </x:c>
      <x:c r="T92" s="3">
        <x:v>7864</x:v>
      </x:c>
      <x:c r="U92" s="3">
        <x:v>7405</x:v>
      </x:c>
      <x:c r="V92" s="3">
        <x:v>12391</x:v>
      </x:c>
      <x:c r="W92" s="3">
        <x:v>6038</x:v>
      </x:c>
      <x:c r="X92" s="3"/>
      <x:c r="Y92" s="3"/>
      <x:c r="AA92" s="5">
        <x:f t="shared" si="9"/>
        <x:v>107953</x:v>
      </x:c>
      <x:c r="AB92" s="5" t="n">
        <x:f>AA92-D90</x:f>
        <x:v>0</x:v>
      </x:c>
      <x:c r="AW92" s="72" t="str">
        <x:v>—</x:v>
      </x:c>
      <x:c r="AX92" s="72" t="str">
        <x:v>—</x:v>
      </x:c>
    </x:row>
    <x:row r="93" s="8" customFormat="1">
      <x:c r="A93" s="6" t="s">
        <x:v>123</x:v>
      </x:c>
      <x:c r="B93" s="7">
        <x:v>3005795</x:v>
      </x:c>
      <x:c r="C93" s="7">
        <x:v>158150</x:v>
      </x:c>
      <x:c r="D93" s="7">
        <x:v>140937</x:v>
      </x:c>
      <x:c r="E93" s="7">
        <x:v>87643</x:v>
      </x:c>
      <x:c r="F93" s="7">
        <x:v>2610</x:v>
      </x:c>
      <x:c r="G93" s="7">
        <x:v>2443</x:v>
      </x:c>
      <x:c r="H93" s="7">
        <x:v>2943281</x:v>
      </x:c>
      <x:c r="I93" s="7">
        <x:v>152115</x:v>
      </x:c>
      <x:c r="J93" s="7">
        <x:v>113200</x:v>
      </x:c>
      <x:c r="K93" s="3"/>
      <x:c r="L93" s="7">
        <x:v>205506</x:v>
      </x:c>
      <x:c r="M93" s="7">
        <x:v>366874</x:v>
      </x:c>
      <x:c r="N93" s="7">
        <x:v>217185</x:v>
      </x:c>
      <x:c r="O93" s="7">
        <x:v>277979</x:v>
      </x:c>
      <x:c r="P93" s="7">
        <x:v>268666</x:v>
      </x:c>
      <x:c r="Q93" s="7">
        <x:v>217497</x:v>
      </x:c>
      <x:c r="R93" s="7">
        <x:v>224102</x:v>
      </x:c>
      <x:c r="S93" s="7">
        <x:v>368611</x:v>
      </x:c>
      <x:c r="T93" s="7">
        <x:v>209682</x:v>
      </x:c>
      <x:c r="U93" s="7">
        <x:v>287241</x:v>
      </x:c>
      <x:c r="V93" s="7">
        <x:v>365452</x:v>
      </x:c>
      <x:c r="W93" s="7"/>
      <x:c r="X93" s="7"/>
      <x:c r="Y93" s="7"/>
      <x:c r="AA93" s="9">
        <x:f t="shared" si="9"/>
        <x:v>3008795</x:v>
      </x:c>
      <x:c r="AB93" s="9" t="n">
        <x:f>AA93-B93</x:f>
        <x:v>3000</x:v>
      </x:c>
      <x:c r="AW93" s="72" t="n">
        <x:v>52.2</x:v>
      </x:c>
      <x:c r="AX93" s="72" t="n">
        <x:v>46.8</x:v>
      </x:c>
    </x:row>
    <x:row r="94" s="2" customFormat="1">
      <x:c r="A94" s="1" t="s">
        <x:v>124</x:v>
      </x:c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>
        <x:v>10430</x:v>
      </x:c>
      <x:c r="M94" s="3">
        <x:v>19141</x:v>
      </x:c>
      <x:c r="N94" s="3">
        <x:v>11338</x:v>
      </x:c>
      <x:c r="O94" s="3">
        <x:v>13648</x:v>
      </x:c>
      <x:c r="P94" s="3">
        <x:v>13566</x:v>
      </x:c>
      <x:c r="Q94" s="3">
        <x:v>11702</x:v>
      </x:c>
      <x:c r="R94" s="3">
        <x:v>10878</x:v>
      </x:c>
      <x:c r="S94" s="3">
        <x:v>19275</x:v>
      </x:c>
      <x:c r="T94" s="3">
        <x:v>10943</x:v>
      </x:c>
      <x:c r="U94" s="3">
        <x:v>16179</x:v>
      </x:c>
      <x:c r="V94" s="3">
        <x:v>21050</x:v>
      </x:c>
      <x:c r="W94" s="3"/>
      <x:c r="X94" s="3"/>
      <x:c r="Y94" s="3"/>
      <x:c r="AA94" s="5">
        <x:f t="shared" si="9"/>
        <x:v>158150</x:v>
      </x:c>
      <x:c r="AB94" s="5" t="n">
        <x:f>C93-AA94</x:f>
        <x:v>0</x:v>
      </x:c>
      <x:c r="AW94" s="72" t="str">
        <x:v>—</x:v>
      </x:c>
      <x:c r="AX94" s="72" t="str">
        <x:v>—</x:v>
      </x:c>
    </x:row>
    <x:row r="95" s="2" customFormat="1">
      <x:c r="A95" s="1" t="s">
        <x:v>125</x:v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>
        <x:v>10405</x:v>
      </x:c>
      <x:c r="M95" s="3">
        <x:v>18040</x:v>
      </x:c>
      <x:c r="N95" s="3">
        <x:v>8997</x:v>
      </x:c>
      <x:c r="O95" s="3">
        <x:v>11923</x:v>
      </x:c>
      <x:c r="P95" s="3">
        <x:v>12599</x:v>
      </x:c>
      <x:c r="Q95" s="3">
        <x:v>11999</x:v>
      </x:c>
      <x:c r="R95" s="3">
        <x:v>10333</x:v>
      </x:c>
      <x:c r="S95" s="3">
        <x:v>15982</x:v>
      </x:c>
      <x:c r="T95" s="3">
        <x:v>9455</x:v>
      </x:c>
      <x:c r="U95" s="3">
        <x:v>13035</x:v>
      </x:c>
      <x:c r="V95" s="3">
        <x:v>18169</x:v>
      </x:c>
      <x:c r="W95" s="3"/>
      <x:c r="X95" s="3"/>
      <x:c r="Y95" s="3"/>
      <x:c r="AA95" s="5">
        <x:f t="shared" si="9"/>
        <x:v>140937</x:v>
      </x:c>
      <x:c r="AB95" s="5" t="n">
        <x:f>AA95-D93</x:f>
        <x:v>0</x:v>
      </x:c>
      <x:c r="AW95" s="72" t="str">
        <x:v>—</x:v>
      </x:c>
      <x:c r="AX95" s="72" t="str">
        <x:v>—</x:v>
      </x:c>
    </x:row>
    <x:row r="96" s="8" customFormat="1">
      <x:c r="A96" s="6" t="s">
        <x:v>126</x:v>
      </x:c>
      <x:c r="B96" s="7">
        <x:v>1653543</x:v>
      </x:c>
      <x:c r="C96" s="7">
        <x:v>90972</x:v>
      </x:c>
      <x:c r="D96" s="7">
        <x:v>64854</x:v>
      </x:c>
      <x:c r="E96" s="7">
        <x:v>159246</x:v>
      </x:c>
      <x:c r="F96" s="7">
        <x:v>8280</x:v>
      </x:c>
      <x:c r="G96" s="7">
        <x:v>6933</x:v>
      </x:c>
      <x:c r="H96" s="7">
        <x:v>1696196</x:v>
      </x:c>
      <x:c r="I96" s="7">
        <x:v>94627</x:v>
      </x:c>
      <x:c r="J96" s="7">
        <x:v>57147</x:v>
      </x:c>
      <x:c r="K96" s="3"/>
      <x:c r="L96" s="7">
        <x:v>234104</x:v>
      </x:c>
      <x:c r="M96" s="7">
        <x:v>231956</x:v>
      </x:c>
      <x:c r="N96" s="7">
        <x:v>231913</x:v>
      </x:c>
      <x:c r="O96" s="7">
        <x:v>168262</x:v>
      </x:c>
      <x:c r="P96" s="7">
        <x:v>213252</x:v>
      </x:c>
      <x:c r="Q96" s="7">
        <x:v>220736</x:v>
      </x:c>
      <x:c r="R96" s="7">
        <x:v>199395</x:v>
      </x:c>
      <x:c r="S96" s="7">
        <x:v>153925</x:v>
      </x:c>
      <x:c r="T96" s="7"/>
      <x:c r="U96" s="7"/>
      <x:c r="V96" s="7"/>
      <x:c r="W96" s="7"/>
      <x:c r="X96" s="7"/>
      <x:c r="Y96" s="7"/>
      <x:c r="AA96" s="9">
        <x:f t="shared" si="9"/>
        <x:v>1653543</x:v>
      </x:c>
      <x:c r="AB96" s="9" t="n">
        <x:f>AA96-B96</x:f>
        <x:v>0</x:v>
      </x:c>
      <x:c r="AW96" s="72" t="n">
        <x:v>55</x:v>
      </x:c>
      <x:c r="AX96" s="72" t="n">
        <x:v>39.2</x:v>
      </x:c>
    </x:row>
    <x:row r="97" s="2" customFormat="1">
      <x:c r="A97" s="1" t="s">
        <x:v>127</x:v>
      </x:c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>
        <x:v>12964</x:v>
      </x:c>
      <x:c r="M97" s="3">
        <x:v>12478</x:v>
      </x:c>
      <x:c r="N97" s="3">
        <x:v>12818</x:v>
      </x:c>
      <x:c r="O97" s="3">
        <x:v>9427</x:v>
      </x:c>
      <x:c r="P97" s="3">
        <x:v>11720</x:v>
      </x:c>
      <x:c r="Q97" s="3">
        <x:v>12418</x:v>
      </x:c>
      <x:c r="R97" s="3">
        <x:v>11719</x:v>
      </x:c>
      <x:c r="S97" s="3">
        <x:v>9729</x:v>
      </x:c>
      <x:c r="T97" s="3"/>
      <x:c r="U97" s="3"/>
      <x:c r="V97" s="3"/>
      <x:c r="W97" s="3"/>
      <x:c r="X97" s="3"/>
      <x:c r="Y97" s="3"/>
      <x:c r="AA97" s="5">
        <x:f t="shared" si="9"/>
        <x:v>93273</x:v>
      </x:c>
      <x:c r="AB97" s="5" t="n">
        <x:f>C96-AA97</x:f>
        <x:v>-2301</x:v>
      </x:c>
      <x:c r="AW97" s="72" t="str">
        <x:v>—</x:v>
      </x:c>
      <x:c r="AX97" s="72" t="str">
        <x:v>—</x:v>
      </x:c>
    </x:row>
    <x:row r="98" s="2" customFormat="1">
      <x:c r="A98" s="1" t="s">
        <x:v>128</x:v>
      </x:c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>
        <x:v>8807</x:v>
      </x:c>
      <x:c r="M98" s="3">
        <x:v>9000</x:v>
      </x:c>
      <x:c r="N98" s="3">
        <x:v>9570</x:v>
      </x:c>
      <x:c r="O98" s="3">
        <x:v>5474</x:v>
      </x:c>
      <x:c r="P98" s="3">
        <x:v>8178</x:v>
      </x:c>
      <x:c r="Q98" s="3">
        <x:v>10222</x:v>
      </x:c>
      <x:c r="R98" s="3">
        <x:v>8986</x:v>
      </x:c>
      <x:c r="S98" s="3">
        <x:v>4617</x:v>
      </x:c>
      <x:c r="T98" s="3"/>
      <x:c r="U98" s="3"/>
      <x:c r="V98" s="3"/>
      <x:c r="W98" s="3"/>
      <x:c r="X98" s="3"/>
      <x:c r="Y98" s="3"/>
      <x:c r="AA98" s="5">
        <x:f t="shared" si="9"/>
        <x:v>64854</x:v>
      </x:c>
      <x:c r="AB98" s="5" t="n">
        <x:f>AA98-D96</x:f>
        <x:v>0</x:v>
      </x:c>
      <x:c r="AW98" s="72" t="str">
        <x:v>—</x:v>
      </x:c>
      <x:c r="AX98" s="72" t="str">
        <x:v>—</x:v>
      </x:c>
    </x:row>
    <x:row r="99" s="8" customFormat="1">
      <x:c r="A99" s="6" t="s">
        <x:v>129</x:v>
      </x:c>
      <x:c r="B99" s="7">
        <x:v>2195414</x:v>
      </x:c>
      <x:c r="C99" s="7">
        <x:v>102519</x:v>
      </x:c>
      <x:c r="D99" s="7">
        <x:v>76454</x:v>
      </x:c>
      <x:c r="E99" s="7">
        <x:v>196441</x:v>
      </x:c>
      <x:c r="F99" s="7">
        <x:v>6349</x:v>
      </x:c>
      <x:c r="G99" s="7">
        <x:v>6576</x:v>
      </x:c>
      <x:c r="H99" s="7">
        <x:v>2175965</x:v>
      </x:c>
      <x:c r="I99" s="7">
        <x:v>106063</x:v>
      </x:c>
      <x:c r="J99" s="7">
        <x:v>70766</x:v>
      </x:c>
      <x:c r="K99" s="3"/>
      <x:c r="L99" s="7">
        <x:v>371782</x:v>
      </x:c>
      <x:c r="M99" s="7">
        <x:v>97400</x:v>
      </x:c>
      <x:c r="N99" s="7">
        <x:v>196437</x:v>
      </x:c>
      <x:c r="O99" s="7">
        <x:v>197585</x:v>
      </x:c>
      <x:c r="P99" s="7">
        <x:v>127714</x:v>
      </x:c>
      <x:c r="Q99" s="7">
        <x:v>176024</x:v>
      </x:c>
      <x:c r="R99" s="7">
        <x:v>195424</x:v>
      </x:c>
      <x:c r="S99" s="7">
        <x:v>109475</x:v>
      </x:c>
      <x:c r="T99" s="7">
        <x:v>160256</x:v>
      </x:c>
      <x:c r="U99" s="7">
        <x:v>117481</x:v>
      </x:c>
      <x:c r="V99" s="7">
        <x:v>308513</x:v>
      </x:c>
      <x:c r="W99" s="7">
        <x:v>137323</x:v>
      </x:c>
      <x:c r="X99" s="7"/>
      <x:c r="Y99" s="7"/>
      <x:c r="AA99" s="9">
        <x:f t="shared" si="9"/>
        <x:v>2195414</x:v>
      </x:c>
      <x:c r="AB99" s="9" t="n">
        <x:f>AA99-B99</x:f>
        <x:v>0</x:v>
      </x:c>
      <x:c r="AW99" s="72" t="n">
        <x:v>46.7</x:v>
      </x:c>
      <x:c r="AX99" s="72" t="n">
        <x:v>34.8</x:v>
      </x:c>
    </x:row>
    <x:row r="100" s="2" customFormat="1">
      <x:c r="A100" s="1" t="s">
        <x:v>130</x:v>
      </x:c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>
        <x:v>14755</x:v>
      </x:c>
      <x:c r="M100" s="3">
        <x:v>4463</x:v>
      </x:c>
      <x:c r="N100" s="3">
        <x:v>8653</x:v>
      </x:c>
      <x:c r="O100" s="3">
        <x:v>8191</x:v>
      </x:c>
      <x:c r="P100" s="3">
        <x:v>6256</x:v>
      </x:c>
      <x:c r="Q100" s="3">
        <x:v>9375</x:v>
      </x:c>
      <x:c r="R100" s="3">
        <x:v>9025</x:v>
      </x:c>
      <x:c r="S100" s="3">
        <x:v>5590</x:v>
      </x:c>
      <x:c r="T100" s="3">
        <x:v>7817</x:v>
      </x:c>
      <x:c r="U100" s="3">
        <x:v>5877</x:v>
      </x:c>
      <x:c r="V100" s="3">
        <x:v>15439</x:v>
      </x:c>
      <x:c r="W100" s="3">
        <x:v>7078</x:v>
      </x:c>
      <x:c r="X100" s="3"/>
      <x:c r="Y100" s="3"/>
      <x:c r="AA100" s="5">
        <x:f t="shared" si="9"/>
        <x:v>102519</x:v>
      </x:c>
      <x:c r="AB100" s="5" t="n">
        <x:f>C99-AA100</x:f>
        <x:v>0</x:v>
      </x:c>
      <x:c r="AW100" s="72" t="str">
        <x:v>—</x:v>
      </x:c>
      <x:c r="AX100" s="72" t="str">
        <x:v>—</x:v>
      </x:c>
    </x:row>
    <x:row r="101" s="2" customFormat="1">
      <x:c r="A101" s="1" t="s">
        <x:v>131</x:v>
      </x:c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>
        <x:v>12582</x:v>
      </x:c>
      <x:c r="M101" s="3">
        <x:v>3251</x:v>
      </x:c>
      <x:c r="N101" s="3">
        <x:v>7047</x:v>
      </x:c>
      <x:c r="O101" s="3">
        <x:v>6720</x:v>
      </x:c>
      <x:c r="P101" s="3">
        <x:v>5154</x:v>
      </x:c>
      <x:c r="Q101" s="3">
        <x:v>6429</x:v>
      </x:c>
      <x:c r="R101" s="3">
        <x:v>6898</x:v>
      </x:c>
      <x:c r="S101" s="3">
        <x:v>3962</x:v>
      </x:c>
      <x:c r="T101" s="3">
        <x:v>5073</x:v>
      </x:c>
      <x:c r="U101" s="3">
        <x:v>3675</x:v>
      </x:c>
      <x:c r="V101" s="3">
        <x:v>10901</x:v>
      </x:c>
      <x:c r="W101" s="3">
        <x:v>4762</x:v>
      </x:c>
      <x:c r="X101" s="3"/>
      <x:c r="Y101" s="3"/>
      <x:c r="AA101" s="5">
        <x:f t="shared" si="9"/>
        <x:v>76454</x:v>
      </x:c>
      <x:c r="AB101" s="5" t="n">
        <x:f>AA101-D99</x:f>
        <x:v>0</x:v>
      </x:c>
      <x:c r="AW101" s="72" t="str">
        <x:v>—</x:v>
      </x:c>
      <x:c r="AX101" s="72" t="str">
        <x:v>—</x:v>
      </x:c>
    </x:row>
    <x:row r="102" s="8" customFormat="1">
      <x:c r="A102" s="6" t="s">
        <x:v>132</x:v>
      </x:c>
      <x:c r="B102" s="7">
        <x:v>1244018</x:v>
      </x:c>
      <x:c r="C102" s="7">
        <x:v>61106</x:v>
      </x:c>
      <x:c r="D102" s="7">
        <x:v>50620</x:v>
      </x:c>
      <x:c r="E102" s="7">
        <x:v>96995</x:v>
      </x:c>
      <x:c r="F102" s="7">
        <x:v>2854</x:v>
      </x:c>
      <x:c r="G102" s="7">
        <x:v>2807</x:v>
      </x:c>
      <x:c r="H102" s="7">
        <x:v>1218260</x:v>
      </x:c>
      <x:c r="I102" s="7">
        <x:v>57593</x:v>
      </x:c>
      <x:c r="J102" s="7">
        <x:v>42228</x:v>
      </x:c>
      <x:c r="K102" s="3"/>
      <x:c r="L102" s="7">
        <x:v>111510</x:v>
      </x:c>
      <x:c r="M102" s="7">
        <x:v>77226</x:v>
      </x:c>
      <x:c r="N102" s="7">
        <x:v>233713</x:v>
      </x:c>
      <x:c r="O102" s="7">
        <x:v>130844</x:v>
      </x:c>
      <x:c r="P102" s="7">
        <x:v>91558</x:v>
      </x:c>
      <x:c r="Q102" s="7">
        <x:v>50845</x:v>
      </x:c>
      <x:c r="R102" s="7">
        <x:v>125314</x:v>
      </x:c>
      <x:c r="S102" s="7">
        <x:v>119734</x:v>
      </x:c>
      <x:c r="T102" s="7">
        <x:v>162042</x:v>
      </x:c>
      <x:c r="U102" s="7">
        <x:v>70325</x:v>
      </x:c>
      <x:c r="V102" s="7">
        <x:v>70907</x:v>
      </x:c>
      <x:c r="W102" s="7"/>
      <x:c r="X102" s="7"/>
      <x:c r="Y102" s="7"/>
      <x:c r="AA102" s="9">
        <x:f t="shared" si="9"/>
        <x:v>1244018</x:v>
      </x:c>
      <x:c r="AB102" s="9" t="n">
        <x:f>AA102-B102</x:f>
        <x:v>0</x:v>
      </x:c>
      <x:c r="AW102" s="72" t="n">
        <x:v>49.1</x:v>
      </x:c>
      <x:c r="AX102" s="72" t="n">
        <x:v>40.7</x:v>
      </x:c>
    </x:row>
    <x:row r="103" s="2" customFormat="1">
      <x:c r="A103" s="1" t="s">
        <x:v>133</x:v>
      </x:c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>
        <x:v>4794</x:v>
      </x:c>
      <x:c r="M103" s="3">
        <x:v>3064</x:v>
      </x:c>
      <x:c r="N103" s="3">
        <x:v>14152</x:v>
      </x:c>
      <x:c r="O103" s="3">
        <x:v>6156</x:v>
      </x:c>
      <x:c r="P103" s="3">
        <x:v>4666</x:v>
      </x:c>
      <x:c r="Q103" s="3">
        <x:v>2214</x:v>
      </x:c>
      <x:c r="R103" s="3">
        <x:v>6443</x:v>
      </x:c>
      <x:c r="S103" s="3">
        <x:v>4820</x:v>
      </x:c>
      <x:c r="T103" s="3">
        <x:v>8539</x:v>
      </x:c>
      <x:c r="U103" s="3">
        <x:v>3239</x:v>
      </x:c>
      <x:c r="V103" s="3">
        <x:v>3019</x:v>
      </x:c>
      <x:c r="W103" s="3"/>
      <x:c r="X103" s="3"/>
      <x:c r="Y103" s="3"/>
      <x:c r="AA103" s="5">
        <x:f t="shared" si="9"/>
        <x:v>61106</x:v>
      </x:c>
      <x:c r="AB103" s="5" t="n">
        <x:f>C102-AA103</x:f>
        <x:v>0</x:v>
      </x:c>
      <x:c r="AW103" s="72" t="str">
        <x:v>—</x:v>
      </x:c>
      <x:c r="AX103" s="72" t="str">
        <x:v>—</x:v>
      </x:c>
    </x:row>
    <x:row r="104" s="2" customFormat="1">
      <x:c r="A104" s="1" t="s">
        <x:v>134</x:v>
      </x:c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>
        <x:v>4011</x:v>
      </x:c>
      <x:c r="M104" s="3">
        <x:v>2679</x:v>
      </x:c>
      <x:c r="N104" s="3">
        <x:v>10783</x:v>
      </x:c>
      <x:c r="O104" s="3">
        <x:v>5706</x:v>
      </x:c>
      <x:c r="P104" s="3">
        <x:v>4228</x:v>
      </x:c>
      <x:c r="Q104" s="3">
        <x:v>2145</x:v>
      </x:c>
      <x:c r="R104" s="3">
        <x:v>5479</x:v>
      </x:c>
      <x:c r="S104" s="3">
        <x:v>3913</x:v>
      </x:c>
      <x:c r="T104" s="3">
        <x:v>6552</x:v>
      </x:c>
      <x:c r="U104" s="3">
        <x:v>2623</x:v>
      </x:c>
      <x:c r="V104" s="3">
        <x:v>2501</x:v>
      </x:c>
      <x:c r="W104" s="3"/>
      <x:c r="X104" s="3"/>
      <x:c r="Y104" s="3"/>
      <x:c r="AA104" s="5">
        <x:f t="shared" si="9"/>
        <x:v>50620</x:v>
      </x:c>
      <x:c r="AB104" s="5" t="n">
        <x:f>AA104-D102</x:f>
        <x:v>0</x:v>
      </x:c>
      <x:c r="AW104" s="72" t="str">
        <x:v>—</x:v>
      </x:c>
      <x:c r="AX104" s="72" t="str">
        <x:v>—</x:v>
      </x:c>
    </x:row>
    <x:row r="105" s="8" customFormat="1">
      <x:c r="A105" s="6" t="s">
        <x:v>135</x:v>
      </x:c>
      <x:c r="B105" s="7">
        <x:v>1394572</x:v>
      </x:c>
      <x:c r="C105" s="7">
        <x:v>66118</x:v>
      </x:c>
      <x:c r="D105" s="7">
        <x:v>53333</x:v>
      </x:c>
      <x:c r="E105" s="7">
        <x:v>69772</x:v>
      </x:c>
      <x:c r="F105" s="7">
        <x:v>3042</x:v>
      </x:c>
      <x:c r="G105" s="7">
        <x:v>2950</x:v>
      </x:c>
      <x:c r="H105" s="7">
        <x:v>1367953</x:v>
      </x:c>
      <x:c r="I105" s="7">
        <x:v>63149</x:v>
      </x:c>
      <x:c r="J105" s="7">
        <x:v>50274</x:v>
      </x:c>
      <x:c r="K105" s="3"/>
      <x:c r="L105" s="7">
        <x:v>172699</x:v>
      </x:c>
      <x:c r="M105" s="7">
        <x:v>73078</x:v>
      </x:c>
      <x:c r="N105" s="7">
        <x:v>114696</x:v>
      </x:c>
      <x:c r="O105" s="7">
        <x:v>107562</x:v>
      </x:c>
      <x:c r="P105" s="7">
        <x:v>112905</x:v>
      </x:c>
      <x:c r="Q105" s="7">
        <x:v>134388</x:v>
      </x:c>
      <x:c r="R105" s="7">
        <x:v>106793</x:v>
      </x:c>
      <x:c r="S105" s="7">
        <x:v>141955</x:v>
      </x:c>
      <x:c r="T105" s="7">
        <x:v>175516</x:v>
      </x:c>
      <x:c r="U105" s="7">
        <x:v>63792</x:v>
      </x:c>
      <x:c r="V105" s="7">
        <x:v>56938</x:v>
      </x:c>
      <x:c r="W105" s="7">
        <x:v>134250</x:v>
      </x:c>
      <x:c r="X105" s="7"/>
      <x:c r="Y105" s="7"/>
      <x:c r="AA105" s="9">
        <x:f t="shared" si="9"/>
        <x:v>1394572</x:v>
      </x:c>
      <x:c r="AB105" s="9" t="n">
        <x:f>AA105-B105</x:f>
        <x:v>0</x:v>
      </x:c>
      <x:c r="AW105" s="72" t="n">
        <x:v>47.9</x:v>
      </x:c>
      <x:c r="AX105" s="72" t="n">
        <x:v>38.6</x:v>
      </x:c>
    </x:row>
    <x:row r="106" s="2" customFormat="1">
      <x:c r="A106" s="1" t="s">
        <x:v>136</x:v>
      </x:c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>
        <x:v>7589</x:v>
      </x:c>
      <x:c r="M106" s="3">
        <x:v>3313</x:v>
      </x:c>
      <x:c r="N106" s="3">
        <x:v>5118</x:v>
      </x:c>
      <x:c r="O106" s="3">
        <x:v>6818</x:v>
      </x:c>
      <x:c r="P106" s="3">
        <x:v>4585</x:v>
      </x:c>
      <x:c r="Q106" s="3">
        <x:v>6713</x:v>
      </x:c>
      <x:c r="R106" s="3">
        <x:v>5614</x:v>
      </x:c>
      <x:c r="S106" s="3">
        <x:v>6932</x:v>
      </x:c>
      <x:c r="T106" s="3">
        <x:v>8144</x:v>
      </x:c>
      <x:c r="U106" s="3">
        <x:v>2336</x:v>
      </x:c>
      <x:c r="V106" s="3">
        <x:v>2271</x:v>
      </x:c>
      <x:c r="W106" s="3">
        <x:v>6685</x:v>
      </x:c>
      <x:c r="X106" s="3"/>
      <x:c r="Y106" s="3"/>
      <x:c r="AA106" s="5">
        <x:f t="shared" si="9"/>
        <x:v>66118</x:v>
      </x:c>
      <x:c r="AB106" s="5" t="n">
        <x:f>C105-AA106</x:f>
        <x:v>0</x:v>
      </x:c>
      <x:c r="AW106" s="72" t="str">
        <x:v>—</x:v>
      </x:c>
      <x:c r="AX106" s="72" t="str">
        <x:v>—</x:v>
      </x:c>
    </x:row>
    <x:row r="107" s="2" customFormat="1">
      <x:c r="A107" s="1" t="s">
        <x:v>137</x:v>
      </x:c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>
        <x:v>7032</x:v>
      </x:c>
      <x:c r="M107" s="3">
        <x:v>2581</x:v>
      </x:c>
      <x:c r="N107" s="3">
        <x:v>3550</x:v>
      </x:c>
      <x:c r="O107" s="3">
        <x:v>5868</x:v>
      </x:c>
      <x:c r="P107" s="3">
        <x:v>3696</x:v>
      </x:c>
      <x:c r="Q107" s="3">
        <x:v>5280</x:v>
      </x:c>
      <x:c r="R107" s="3">
        <x:v>3444</x:v>
      </x:c>
      <x:c r="S107" s="3">
        <x:v>5714</x:v>
      </x:c>
      <x:c r="T107" s="3">
        <x:v>7119</x:v>
      </x:c>
      <x:c r="U107" s="3">
        <x:v>1682</x:v>
      </x:c>
      <x:c r="V107" s="3">
        <x:v>1883</x:v>
      </x:c>
      <x:c r="W107" s="3">
        <x:v>5484</x:v>
      </x:c>
      <x:c r="X107" s="3"/>
      <x:c r="Y107" s="3"/>
      <x:c r="AA107" s="5">
        <x:f t="shared" si="9"/>
        <x:v>53333</x:v>
      </x:c>
      <x:c r="AB107" s="5" t="n">
        <x:f>AA107-D105</x:f>
        <x:v>0</x:v>
      </x:c>
      <x:c r="AW107" s="72" t="str">
        <x:v>—</x:v>
      </x:c>
      <x:c r="AX107" s="72" t="str">
        <x:v>—</x:v>
      </x:c>
    </x:row>
    <x:row r="108" s="8" customFormat="1">
      <x:c r="A108" s="6" t="s">
        <x:v>138</x:v>
      </x:c>
      <x:c r="B108" s="7">
        <x:v>2561031</x:v>
      </x:c>
      <x:c r="C108" s="7">
        <x:v>113684</x:v>
      </x:c>
      <x:c r="D108" s="7">
        <x:v>89245</x:v>
      </x:c>
      <x:c r="E108" s="7">
        <x:v>172091</x:v>
      </x:c>
      <x:c r="F108" s="7">
        <x:v>8918</x:v>
      </x:c>
      <x:c r="G108" s="7">
        <x:v>7692</x:v>
      </x:c>
      <x:c r="H108" s="7">
        <x:v>2497973</x:v>
      </x:c>
      <x:c r="I108" s="7">
        <x:v>119789</x:v>
      </x:c>
      <x:c r="J108" s="7">
        <x:v>75295</x:v>
      </x:c>
      <x:c r="K108" s="3"/>
      <x:c r="L108" s="7">
        <x:v>238253</x:v>
      </x:c>
      <x:c r="M108" s="7">
        <x:v>185798</x:v>
      </x:c>
      <x:c r="N108" s="7">
        <x:v>201653</x:v>
      </x:c>
      <x:c r="O108" s="7">
        <x:v>121245</x:v>
      </x:c>
      <x:c r="P108" s="7">
        <x:v>186569</x:v>
      </x:c>
      <x:c r="Q108" s="7">
        <x:v>132173</x:v>
      </x:c>
      <x:c r="R108" s="7">
        <x:v>182865</x:v>
      </x:c>
      <x:c r="S108" s="7">
        <x:v>192526</x:v>
      </x:c>
      <x:c r="T108" s="7">
        <x:v>168565</x:v>
      </x:c>
      <x:c r="U108" s="7">
        <x:v>160407</x:v>
      </x:c>
      <x:c r="V108" s="7">
        <x:v>167923</x:v>
      </x:c>
      <x:c r="W108" s="7">
        <x:v>157588</x:v>
      </x:c>
      <x:c r="X108" s="7">
        <x:v>172109</x:v>
      </x:c>
      <x:c r="Y108" s="7">
        <x:v>139143</x:v>
      </x:c>
      <x:c r="Z108" s="21">
        <x:v>154214</x:v>
      </x:c>
      <x:c r="AA108" s="9">
        <x:f t="shared" si="9"/>
        <x:v>2406817</x:v>
      </x:c>
      <x:c r="AB108" s="9" t="n">
        <x:f>AA108-B108</x:f>
        <x:v>-154214</x:v>
      </x:c>
      <x:c r="AW108" s="72" t="n">
        <x:v>44.4</x:v>
      </x:c>
      <x:c r="AX108" s="72" t="n">
        <x:v>34.8</x:v>
      </x:c>
    </x:row>
    <x:row r="109" s="2" customFormat="1">
      <x:c r="A109" s="1" t="s">
        <x:v>139</x:v>
      </x:c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>
        <x:v>10699</x:v>
      </x:c>
      <x:c r="M109" s="3">
        <x:v>8252</x:v>
      </x:c>
      <x:c r="N109" s="3">
        <x:v>8009</x:v>
      </x:c>
      <x:c r="O109" s="3">
        <x:v>5874</x:v>
      </x:c>
      <x:c r="P109" s="3">
        <x:v>7971</x:v>
      </x:c>
      <x:c r="Q109" s="3">
        <x:v>6247</x:v>
      </x:c>
      <x:c r="R109" s="3">
        <x:v>7688</x:v>
      </x:c>
      <x:c r="S109" s="3">
        <x:v>9100</x:v>
      </x:c>
      <x:c r="T109" s="3">
        <x:v>7585</x:v>
      </x:c>
      <x:c r="U109" s="3">
        <x:v>7568</x:v>
      </x:c>
      <x:c r="V109" s="3">
        <x:v>7478</x:v>
      </x:c>
      <x:c r="W109" s="3">
        <x:v>6981</x:v>
      </x:c>
      <x:c r="X109" s="3">
        <x:v>7089</x:v>
      </x:c>
      <x:c r="Y109" s="3">
        <x:v>5740</x:v>
      </x:c>
      <x:c r="Z109" s="21">
        <x:v>7403</x:v>
      </x:c>
      <x:c r="AA109" s="5">
        <x:f t="shared" si="9"/>
        <x:v>106281</x:v>
      </x:c>
      <x:c r="AB109" s="5" t="n">
        <x:f>C108-AA109</x:f>
        <x:v>7403</x:v>
      </x:c>
      <x:c r="AW109" s="72" t="str">
        <x:v>—</x:v>
      </x:c>
      <x:c r="AX109" s="72" t="str">
        <x:v>—</x:v>
      </x:c>
    </x:row>
    <x:row r="110" s="2" customFormat="1">
      <x:c r="A110" s="1" t="s">
        <x:v>140</x:v>
      </x:c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>
        <x:v>8859</x:v>
      </x:c>
      <x:c r="M110" s="3">
        <x:v>6761</x:v>
      </x:c>
      <x:c r="N110" s="3">
        <x:v>5840</x:v>
      </x:c>
      <x:c r="O110" s="3">
        <x:v>4675</x:v>
      </x:c>
      <x:c r="P110" s="3">
        <x:v>6857</x:v>
      </x:c>
      <x:c r="Q110" s="3">
        <x:v>4569</x:v>
      </x:c>
      <x:c r="R110" s="3">
        <x:v>7319</x:v>
      </x:c>
      <x:c r="S110" s="3">
        <x:v>7909</x:v>
      </x:c>
      <x:c r="T110" s="3">
        <x:v>5138</x:v>
      </x:c>
      <x:c r="U110" s="3">
        <x:v>4871</x:v>
      </x:c>
      <x:c r="V110" s="3">
        <x:v>5487</x:v>
      </x:c>
      <x:c r="W110" s="3">
        <x:v>4953</x:v>
      </x:c>
      <x:c r="X110" s="3">
        <x:v>4917</x:v>
      </x:c>
      <x:c r="Y110" s="3">
        <x:v>4521</x:v>
      </x:c>
      <x:c r="Z110" s="21">
        <x:v>6569</x:v>
      </x:c>
      <x:c r="AA110" s="5">
        <x:f t="shared" si="9"/>
        <x:v>82676</x:v>
      </x:c>
      <x:c r="AB110" s="5" t="n">
        <x:f>AA110-D108</x:f>
        <x:v>-6569</x:v>
      </x:c>
      <x:c r="AW110" s="72" t="str">
        <x:v>—</x:v>
      </x:c>
      <x:c r="AX110" s="72" t="str">
        <x:v>—</x:v>
      </x:c>
    </x:row>
    <x:row r="111" s="8" customFormat="1">
      <x:c r="A111" s="6" t="s">
        <x:v>141</x:v>
      </x:c>
      <x:c r="B111" s="7">
        <x:v>1513792</x:v>
      </x:c>
      <x:c r="C111" s="7">
        <x:v>69504</x:v>
      </x:c>
      <x:c r="D111" s="7">
        <x:v>63336</x:v>
      </x:c>
      <x:c r="E111" s="10" t="s">
        <x:v>36</x:v>
      </x:c>
      <x:c r="F111" s="10" t="s">
        <x:v>36</x:v>
      </x:c>
      <x:c r="G111" s="10" t="s">
        <x:v>36</x:v>
      </x:c>
      <x:c r="H111" s="7">
        <x:v>1476540</x:v>
      </x:c>
      <x:c r="I111" s="7">
        <x:v>67468</x:v>
      </x:c>
      <x:c r="J111" s="7">
        <x:v>56273</x:v>
      </x:c>
      <x:c r="K111" s="3"/>
      <x:c r="L111" s="7">
        <x:v>142263</x:v>
      </x:c>
      <x:c r="M111" s="7">
        <x:v>178766</x:v>
      </x:c>
      <x:c r="N111" s="7">
        <x:v>148772</x:v>
      </x:c>
      <x:c r="O111" s="7">
        <x:v>58684</x:v>
      </x:c>
      <x:c r="P111" s="7">
        <x:v>95136</x:v>
      </x:c>
      <x:c r="Q111" s="7">
        <x:v>152614</x:v>
      </x:c>
      <x:c r="R111" s="7">
        <x:v>93183</x:v>
      </x:c>
      <x:c r="S111" s="7">
        <x:v>123713</x:v>
      </x:c>
      <x:c r="T111" s="7">
        <x:v>134717</x:v>
      </x:c>
      <x:c r="U111" s="7">
        <x:v>69861</x:v>
      </x:c>
      <x:c r="V111" s="7">
        <x:v>100487</x:v>
      </x:c>
      <x:c r="W111" s="7">
        <x:v>72693</x:v>
      </x:c>
      <x:c r="X111" s="7">
        <x:v>136785</x:v>
      </x:c>
      <x:c r="Y111" s="7"/>
      <x:c r="AA111" s="9">
        <x:f t="shared" si="9"/>
        <x:v>1507674</x:v>
      </x:c>
      <x:c r="AB111" s="9" t="n">
        <x:f>AA111-B111</x:f>
        <x:v>-6118</x:v>
      </x:c>
      <x:c r="AW111" s="72" t="n">
        <x:v>45.8</x:v>
      </x:c>
      <x:c r="AX111" s="72" t="n">
        <x:v>41.8</x:v>
      </x:c>
    </x:row>
    <x:row r="112" s="2" customFormat="1">
      <x:c r="A112" s="1" t="s">
        <x:v>142</x:v>
      </x:c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>
        <x:v>8714</x:v>
      </x:c>
      <x:c r="M112" s="3">
        <x:v>9283</x:v>
      </x:c>
      <x:c r="N112" s="3">
        <x:v>6351</x:v>
      </x:c>
      <x:c r="O112" s="3">
        <x:v>3076</x:v>
      </x:c>
      <x:c r="P112" s="3">
        <x:v>4193</x:v>
      </x:c>
      <x:c r="Q112" s="3">
        <x:v>6051</x:v>
      </x:c>
      <x:c r="R112" s="3">
        <x:v>4454</x:v>
      </x:c>
      <x:c r="S112" s="3">
        <x:v>6087</x:v>
      </x:c>
      <x:c r="T112" s="3">
        <x:v>5096</x:v>
      </x:c>
      <x:c r="U112" s="3">
        <x:v>3354</x:v>
      </x:c>
      <x:c r="V112" s="3">
        <x:v>4330</x:v>
      </x:c>
      <x:c r="W112" s="3">
        <x:v>3487</x:v>
      </x:c>
      <x:c r="X112" s="3">
        <x:v>5028</x:v>
      </x:c>
      <x:c r="Y112" s="3"/>
      <x:c r="AA112" s="5">
        <x:f t="shared" si="9"/>
        <x:v>69504</x:v>
      </x:c>
      <x:c r="AB112" s="5" t="n">
        <x:f>C111-AA112</x:f>
        <x:v>0</x:v>
      </x:c>
      <x:c r="AW112" s="72" t="str">
        <x:v>—</x:v>
      </x:c>
      <x:c r="AX112" s="72" t="str">
        <x:v>—</x:v>
      </x:c>
    </x:row>
    <x:row r="113" s="2" customFormat="1">
      <x:c r="A113" s="1" t="s">
        <x:v>143</x:v>
      </x:c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>
        <x:v>7909</x:v>
      </x:c>
      <x:c r="M113" s="3">
        <x:v>8396</x:v>
      </x:c>
      <x:c r="N113" s="3">
        <x:v>6274</x:v>
      </x:c>
      <x:c r="O113" s="3">
        <x:v>2781</x:v>
      </x:c>
      <x:c r="P113" s="3">
        <x:v>3436</x:v>
      </x:c>
      <x:c r="Q113" s="3">
        <x:v>5816</x:v>
      </x:c>
      <x:c r="R113" s="3">
        <x:v>3994</x:v>
      </x:c>
      <x:c r="S113" s="3">
        <x:v>5070</x:v>
      </x:c>
      <x:c r="T113" s="3">
        <x:v>4384</x:v>
      </x:c>
      <x:c r="U113" s="3">
        <x:v>3436</x:v>
      </x:c>
      <x:c r="V113" s="3">
        <x:v>3664</x:v>
      </x:c>
      <x:c r="W113" s="3">
        <x:v>3437</x:v>
      </x:c>
      <x:c r="X113" s="3">
        <x:v>4589</x:v>
      </x:c>
      <x:c r="Y113" s="3"/>
      <x:c r="AA113" s="5" t="n">
        <x:f t="shared" ref="AA113:AA143" si="10">SUM(L113:Y113)</x:f>
        <x:v>63186</x:v>
      </x:c>
      <x:c r="AB113" s="5" t="n">
        <x:f>AA113-D111</x:f>
        <x:v>-150</x:v>
      </x:c>
      <x:c r="AW113" s="72" t="str">
        <x:v>—</x:v>
      </x:c>
      <x:c r="AX113" s="72" t="str">
        <x:v>—</x:v>
      </x:c>
    </x:row>
    <x:row r="114" s="8" customFormat="1">
      <x:c r="A114" s="6" t="s">
        <x:v>144</x:v>
      </x:c>
      <x:c r="B114" s="7">
        <x:v>1551458</x:v>
      </x:c>
      <x:c r="C114" s="7">
        <x:v>82265</x:v>
      </x:c>
      <x:c r="D114" s="7">
        <x:v>69179</x:v>
      </x:c>
      <x:c r="E114" s="7">
        <x:v>106247</x:v>
      </x:c>
      <x:c r="F114" s="7">
        <x:v>4198</x:v>
      </x:c>
      <x:c r="G114" s="7">
        <x:v>4192</x:v>
      </x:c>
      <x:c r="H114" s="7">
        <x:v>1529359</x:v>
      </x:c>
      <x:c r="I114" s="7">
        <x:v>83191</x:v>
      </x:c>
      <x:c r="J114" s="7">
        <x:v>64621</x:v>
      </x:c>
      <x:c r="K114" s="3"/>
      <x:c r="L114" s="7">
        <x:v>205752</x:v>
      </x:c>
      <x:c r="M114" s="7">
        <x:v>139041</x:v>
      </x:c>
      <x:c r="N114" s="7">
        <x:v>146843</x:v>
      </x:c>
      <x:c r="O114" s="7">
        <x:v>112125</x:v>
      </x:c>
      <x:c r="P114" s="7">
        <x:v>127628</x:v>
      </x:c>
      <x:c r="Q114" s="7">
        <x:v>130170</x:v>
      </x:c>
      <x:c r="R114" s="7">
        <x:v>118317</x:v>
      </x:c>
      <x:c r="S114" s="7">
        <x:v>192722</x:v>
      </x:c>
      <x:c r="T114" s="7">
        <x:v>104350</x:v>
      </x:c>
      <x:c r="U114" s="7">
        <x:v>108201</x:v>
      </x:c>
      <x:c r="V114" s="7">
        <x:v>166301</x:v>
      </x:c>
      <x:c r="W114" s="7"/>
      <x:c r="X114" s="7"/>
      <x:c r="Y114" s="7"/>
      <x:c r="AA114" s="9">
        <x:f t="shared" si="10"/>
        <x:v>1551450</x:v>
      </x:c>
      <x:c r="AB114" s="9" t="n">
        <x:f>AA114-B114</x:f>
        <x:v>-8</x:v>
      </x:c>
      <x:c r="AW114" s="72" t="n">
        <x:v>53</x:v>
      </x:c>
      <x:c r="AX114" s="72" t="n">
        <x:v>44.6</x:v>
      </x:c>
    </x:row>
    <x:row r="115" s="2" customFormat="1">
      <x:c r="A115" s="1" t="s">
        <x:v>145</x:v>
      </x:c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>
        <x:v>10357</x:v>
      </x:c>
      <x:c r="M115" s="3">
        <x:v>8049</x:v>
      </x:c>
      <x:c r="N115" s="3">
        <x:v>8421</x:v>
      </x:c>
      <x:c r="O115" s="3">
        <x:v>5885</x:v>
      </x:c>
      <x:c r="P115" s="3">
        <x:v>6857</x:v>
      </x:c>
      <x:c r="Q115" s="3">
        <x:v>6588</x:v>
      </x:c>
      <x:c r="R115" s="3">
        <x:v>6396</x:v>
      </x:c>
      <x:c r="S115" s="3">
        <x:v>10506</x:v>
      </x:c>
      <x:c r="T115" s="3">
        <x:v>5768</x:v>
      </x:c>
      <x:c r="U115" s="3">
        <x:v>5102</x:v>
      </x:c>
      <x:c r="V115" s="3">
        <x:v>8336</x:v>
      </x:c>
      <x:c r="W115" s="3"/>
      <x:c r="X115" s="3"/>
      <x:c r="Y115" s="3"/>
      <x:c r="AA115" s="5">
        <x:f t="shared" si="10"/>
        <x:v>82265</x:v>
      </x:c>
      <x:c r="AB115" s="5" t="n">
        <x:f>C114-AA115</x:f>
        <x:v>0</x:v>
      </x:c>
      <x:c r="AW115" s="72" t="str">
        <x:v>—</x:v>
      </x:c>
      <x:c r="AX115" s="72" t="str">
        <x:v>—</x:v>
      </x:c>
    </x:row>
    <x:row r="116" s="2" customFormat="1">
      <x:c r="A116" s="1" t="s">
        <x:v>146</x:v>
      </x:c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>
        <x:v>8708</x:v>
      </x:c>
      <x:c r="M116" s="3">
        <x:v>6911</x:v>
      </x:c>
      <x:c r="N116" s="3">
        <x:v>7758</x:v>
      </x:c>
      <x:c r="O116" s="3">
        <x:v>4724</x:v>
      </x:c>
      <x:c r="P116" s="3">
        <x:v>5223</x:v>
      </x:c>
      <x:c r="Q116" s="3">
        <x:v>4800</x:v>
      </x:c>
      <x:c r="R116" s="3">
        <x:v>5185</x:v>
      </x:c>
      <x:c r="S116" s="3">
        <x:v>10418</x:v>
      </x:c>
      <x:c r="T116" s="3">
        <x:v>4423</x:v>
      </x:c>
      <x:c r="U116" s="3">
        <x:v>3915</x:v>
      </x:c>
      <x:c r="V116" s="3">
        <x:v>7114</x:v>
      </x:c>
      <x:c r="W116" s="3"/>
      <x:c r="X116" s="3"/>
      <x:c r="Y116" s="3"/>
      <x:c r="AA116" s="5">
        <x:f t="shared" si="10"/>
        <x:v>69179</x:v>
      </x:c>
      <x:c r="AB116" s="5" t="n">
        <x:f>AA116-D114</x:f>
        <x:v>0</x:v>
      </x:c>
      <x:c r="AW116" s="72" t="str">
        <x:v>—</x:v>
      </x:c>
      <x:c r="AX116" s="72" t="str">
        <x:v>—</x:v>
      </x:c>
    </x:row>
    <x:row r="117" s="8" customFormat="1">
      <x:c r="A117" s="6" t="s">
        <x:v>147</x:v>
      </x:c>
      <x:c r="B117" s="7">
        <x:v>1290507</x:v>
      </x:c>
      <x:c r="C117" s="7">
        <x:v>55572</x:v>
      </x:c>
      <x:c r="D117" s="7">
        <x:v>41175</x:v>
      </x:c>
      <x:c r="E117" s="7">
        <x:v>88761</x:v>
      </x:c>
      <x:c r="F117" s="7">
        <x:v>2446</x:v>
      </x:c>
      <x:c r="G117" s="7">
        <x:v>2291</x:v>
      </x:c>
      <x:c r="H117" s="7">
        <x:v>1237464</x:v>
      </x:c>
      <x:c r="I117" s="7">
        <x:v>53773</x:v>
      </x:c>
      <x:c r="J117" s="7">
        <x:v>39346</x:v>
      </x:c>
      <x:c r="K117" s="3"/>
      <x:c r="L117" s="7">
        <x:v>172689</x:v>
      </x:c>
      <x:c r="M117" s="7">
        <x:v>142564</x:v>
      </x:c>
      <x:c r="N117" s="7">
        <x:v>78225</x:v>
      </x:c>
      <x:c r="O117" s="7">
        <x:v>90708</x:v>
      </x:c>
      <x:c r="P117" s="7">
        <x:v>71809</x:v>
      </x:c>
      <x:c r="Q117" s="7">
        <x:v>113128</x:v>
      </x:c>
      <x:c r="R117" s="7">
        <x:v>87569</x:v>
      </x:c>
      <x:c r="S117" s="7">
        <x:v>187612</x:v>
      </x:c>
      <x:c r="T117" s="7">
        <x:v>94609</x:v>
      </x:c>
      <x:c r="U117" s="7">
        <x:v>92627</x:v>
      </x:c>
      <x:c r="V117" s="7">
        <x:v>144570</x:v>
      </x:c>
      <x:c r="W117" s="7"/>
      <x:c r="X117" s="7"/>
      <x:c r="Y117" s="7"/>
      <x:c r="AA117" s="9">
        <x:f t="shared" si="10"/>
        <x:v>1276110</x:v>
      </x:c>
      <x:c r="AB117" s="9" t="n">
        <x:f>AA117-B117</x:f>
        <x:v>-14397</x:v>
      </x:c>
      <x:c r="AW117" s="72" t="n">
        <x:v>48.1</x:v>
      </x:c>
      <x:c r="AX117" s="72" t="n">
        <x:v>31.9</x:v>
      </x:c>
    </x:row>
    <x:row r="118" s="2" customFormat="1">
      <x:c r="A118" s="1" t="s">
        <x:v>148</x:v>
      </x:c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>
        <x:v>6817</x:v>
      </x:c>
      <x:c r="M118" s="3">
        <x:v>5973</x:v>
      </x:c>
      <x:c r="N118" s="3">
        <x:v>3676</x:v>
      </x:c>
      <x:c r="O118" s="3">
        <x:v>3834</x:v>
      </x:c>
      <x:c r="P118" s="3">
        <x:v>3880</x:v>
      </x:c>
      <x:c r="Q118" s="3">
        <x:v>5347</x:v>
      </x:c>
      <x:c r="R118" s="3">
        <x:v>3445</x:v>
      </x:c>
      <x:c r="S118" s="3">
        <x:v>7410</x:v>
      </x:c>
      <x:c r="T118" s="3">
        <x:v>4207</x:v>
      </x:c>
      <x:c r="U118" s="3">
        <x:v>4374</x:v>
      </x:c>
      <x:c r="V118" s="3">
        <x:v>6609</x:v>
      </x:c>
      <x:c r="W118" s="3"/>
      <x:c r="X118" s="3"/>
      <x:c r="Y118" s="3"/>
      <x:c r="AA118" s="5">
        <x:f t="shared" si="10"/>
        <x:v>55572</x:v>
      </x:c>
      <x:c r="AB118" s="5" t="n">
        <x:f>C117-AA118</x:f>
        <x:v>0</x:v>
      </x:c>
      <x:c r="AW118" s="72" t="str">
        <x:v>—</x:v>
      </x:c>
      <x:c r="AX118" s="72" t="str">
        <x:v>—</x:v>
      </x:c>
    </x:row>
    <x:row r="119" s="2" customFormat="1">
      <x:c r="A119" s="1" t="s">
        <x:v>149</x:v>
      </x:c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>
        <x:v>4774</x:v>
      </x:c>
      <x:c r="M119" s="3">
        <x:v>4564</x:v>
      </x:c>
      <x:c r="N119" s="3">
        <x:v>2363</x:v>
      </x:c>
      <x:c r="O119" s="3">
        <x:v>3004</x:v>
      </x:c>
      <x:c r="P119" s="3">
        <x:v>2899</x:v>
      </x:c>
      <x:c r="Q119" s="3">
        <x:v>4325</x:v>
      </x:c>
      <x:c r="R119" s="3">
        <x:v>3164</x:v>
      </x:c>
      <x:c r="S119" s="3">
        <x:v>5320</x:v>
      </x:c>
      <x:c r="T119" s="3">
        <x:v>2667</x:v>
      </x:c>
      <x:c r="U119" s="3">
        <x:v>2997</x:v>
      </x:c>
      <x:c r="V119" s="3">
        <x:v>5098</x:v>
      </x:c>
      <x:c r="W119" s="3"/>
      <x:c r="X119" s="3"/>
      <x:c r="Y119" s="3"/>
      <x:c r="AA119" s="5">
        <x:f t="shared" si="10"/>
        <x:v>41175</x:v>
      </x:c>
      <x:c r="AB119" s="5" t="n">
        <x:f>AA119-D117</x:f>
        <x:v>0</x:v>
      </x:c>
      <x:c r="AW119" s="72" t="str">
        <x:v>—</x:v>
      </x:c>
      <x:c r="AX119" s="72" t="str">
        <x:v>—</x:v>
      </x:c>
    </x:row>
    <x:row r="120" s="8" customFormat="1">
      <x:c r="A120" s="6" t="s">
        <x:v>150</x:v>
      </x:c>
      <x:c r="B120" s="7">
        <x:v>362131</x:v>
      </x:c>
      <x:c r="C120" s="7">
        <x:v>17367</x:v>
      </x:c>
      <x:c r="D120" s="7">
        <x:v>12258</x:v>
      </x:c>
      <x:c r="E120" s="7">
        <x:v>23405</x:v>
      </x:c>
      <x:c r="F120" s="7">
        <x:v>914</x:v>
      </x:c>
      <x:c r="G120" s="7">
        <x:v>852</x:v>
      </x:c>
      <x:c r="H120" s="7">
        <x:v>346141</x:v>
      </x:c>
      <x:c r="I120" s="7">
        <x:v>16784</x:v>
      </x:c>
      <x:c r="J120" s="7">
        <x:v>12076</x:v>
      </x:c>
      <x:c r="K120" s="3"/>
      <x:c r="L120" s="7">
        <x:v>83467</x:v>
      </x:c>
      <x:c r="M120" s="7">
        <x:v>51987</x:v>
      </x:c>
      <x:c r="N120" s="7">
        <x:v>78502</x:v>
      </x:c>
      <x:c r="O120" s="7">
        <x:v>45705</x:v>
      </x:c>
      <x:c r="P120" s="7">
        <x:v>28315</x:v>
      </x:c>
      <x:c r="Q120" s="7">
        <x:v>40075</x:v>
      </x:c>
      <x:c r="R120" s="7">
        <x:v>34080</x:v>
      </x:c>
      <x:c r="S120" s="7"/>
      <x:c r="T120" s="7"/>
      <x:c r="U120" s="7"/>
      <x:c r="V120" s="7"/>
      <x:c r="W120" s="7"/>
      <x:c r="X120" s="7"/>
      <x:c r="Y120" s="7"/>
      <x:c r="AA120" s="9">
        <x:f t="shared" si="10"/>
        <x:v>362131</x:v>
      </x:c>
      <x:c r="AB120" s="9" t="n">
        <x:f>AA120-B120</x:f>
        <x:v>0</x:v>
      </x:c>
      <x:c r="AW120" s="72" t="n">
        <x:v>47.9</x:v>
      </x:c>
      <x:c r="AX120" s="72" t="n">
        <x:v>33.9</x:v>
      </x:c>
    </x:row>
    <x:row r="121" s="2" customFormat="1">
      <x:c r="A121" s="1" t="s">
        <x:v>151</x:v>
      </x:c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>
        <x:v>3786</x:v>
      </x:c>
      <x:c r="M121" s="3">
        <x:v>2567</x:v>
      </x:c>
      <x:c r="N121" s="3">
        <x:v>4010</x:v>
      </x:c>
      <x:c r="O121" s="3">
        <x:v>2222</x:v>
      </x:c>
      <x:c r="P121" s="3">
        <x:v>1140</x:v>
      </x:c>
      <x:c r="Q121" s="3">
        <x:v>1868</x:v>
      </x:c>
      <x:c r="R121" s="3">
        <x:v>1774</x:v>
      </x:c>
      <x:c r="S121" s="3"/>
      <x:c r="T121" s="3"/>
      <x:c r="U121" s="3"/>
      <x:c r="V121" s="3"/>
      <x:c r="W121" s="3"/>
      <x:c r="X121" s="3"/>
      <x:c r="Y121" s="3"/>
      <x:c r="AA121" s="5">
        <x:f t="shared" si="10"/>
        <x:v>17367</x:v>
      </x:c>
      <x:c r="AB121" s="5" t="n">
        <x:f>C120-AA121</x:f>
        <x:v>0</x:v>
      </x:c>
      <x:c r="AW121" s="72" t="str">
        <x:v>—</x:v>
      </x:c>
      <x:c r="AX121" s="72" t="str">
        <x:v>—</x:v>
      </x:c>
    </x:row>
    <x:row r="122" s="2" customFormat="1">
      <x:c r="A122" s="1" t="s">
        <x:v>152</x:v>
      </x:c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>
        <x:v>2676</x:v>
      </x:c>
      <x:c r="M122" s="3">
        <x:v>1868</x:v>
      </x:c>
      <x:c r="N122" s="3">
        <x:v>2816</x:v>
      </x:c>
      <x:c r="O122" s="3">
        <x:v>1365</x:v>
      </x:c>
      <x:c r="P122" s="3">
        <x:v>739</x:v>
      </x:c>
      <x:c r="Q122" s="3">
        <x:v>1259</x:v>
      </x:c>
      <x:c r="R122" s="3">
        <x:v>1535</x:v>
      </x:c>
      <x:c r="S122" s="3"/>
      <x:c r="T122" s="3"/>
      <x:c r="U122" s="3"/>
      <x:c r="V122" s="3"/>
      <x:c r="W122" s="3"/>
      <x:c r="X122" s="3"/>
      <x:c r="Y122" s="3"/>
      <x:c r="AA122" s="5">
        <x:f t="shared" si="10"/>
        <x:v>12258</x:v>
      </x:c>
      <x:c r="AB122" s="5" t="n">
        <x:f>AA122-D120</x:f>
        <x:v>0</x:v>
      </x:c>
      <x:c r="AW122" s="72" t="str">
        <x:v>—</x:v>
      </x:c>
      <x:c r="AX122" s="72" t="str">
        <x:v>—</x:v>
      </x:c>
    </x:row>
    <x:row r="123" s="8" customFormat="1">
      <x:c r="A123" s="6" t="s">
        <x:v>153</x:v>
      </x:c>
      <x:c r="B123" s="7">
        <x:v>2107442</x:v>
      </x:c>
      <x:c r="C123" s="7">
        <x:v>106674</x:v>
      </x:c>
      <x:c r="D123" s="7">
        <x:v>85609</x:v>
      </x:c>
      <x:c r="E123" s="10" t="s">
        <x:v>36</x:v>
      </x:c>
      <x:c r="F123" s="10" t="s">
        <x:v>36</x:v>
      </x:c>
      <x:c r="G123" s="10" t="s">
        <x:v>36</x:v>
      </x:c>
      <x:c r="H123" s="7">
        <x:v>2029477</x:v>
      </x:c>
      <x:c r="I123" s="7">
        <x:v>105529</x:v>
      </x:c>
      <x:c r="J123" s="7">
        <x:v>71707</x:v>
      </x:c>
      <x:c r="K123" s="3"/>
      <x:c r="L123" s="7">
        <x:v>224635</x:v>
      </x:c>
      <x:c r="M123" s="7">
        <x:v>151832</x:v>
      </x:c>
      <x:c r="N123" s="7">
        <x:v>163163</x:v>
      </x:c>
      <x:c r="O123" s="7">
        <x:v>104561</x:v>
      </x:c>
      <x:c r="P123" s="7">
        <x:v>291845</x:v>
      </x:c>
      <x:c r="Q123" s="7">
        <x:v>131389</x:v>
      </x:c>
      <x:c r="R123" s="7">
        <x:v>116193</x:v>
      </x:c>
      <x:c r="S123" s="7">
        <x:v>352235</x:v>
      </x:c>
      <x:c r="T123" s="7">
        <x:v>189690</x:v>
      </x:c>
      <x:c r="U123" s="7">
        <x:v>108213</x:v>
      </x:c>
      <x:c r="V123" s="7">
        <x:v>143480</x:v>
      </x:c>
      <x:c r="W123" s="7">
        <x:v>130206</x:v>
      </x:c>
      <x:c r="X123" s="7"/>
      <x:c r="Y123" s="7"/>
      <x:c r="AA123" s="9">
        <x:f t="shared" si="10"/>
        <x:v>2107442</x:v>
      </x:c>
      <x:c r="AB123" s="9" t="n">
        <x:f>AA123-B123</x:f>
        <x:v>0</x:v>
      </x:c>
      <x:c r="AW123" s="72" t="n">
        <x:v>50.6</x:v>
      </x:c>
      <x:c r="AX123" s="72" t="n">
        <x:v>40.6</x:v>
      </x:c>
    </x:row>
    <x:row r="124" s="2" customFormat="1">
      <x:c r="A124" s="1" t="s">
        <x:v>154</x:v>
      </x:c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>
        <x:v>10289</x:v>
      </x:c>
      <x:c r="M124" s="3">
        <x:v>7171</x:v>
      </x:c>
      <x:c r="N124" s="3">
        <x:v>9475</x:v>
      </x:c>
      <x:c r="O124" s="3">
        <x:v>5117</x:v>
      </x:c>
      <x:c r="P124" s="3">
        <x:v>15703</x:v>
      </x:c>
      <x:c r="Q124" s="3">
        <x:v>6954</x:v>
      </x:c>
      <x:c r="R124" s="3">
        <x:v>5654</x:v>
      </x:c>
      <x:c r="S124" s="3">
        <x:v>16746</x:v>
      </x:c>
      <x:c r="T124" s="3">
        <x:v>9833</x:v>
      </x:c>
      <x:c r="U124" s="3">
        <x:v>5546</x:v>
      </x:c>
      <x:c r="V124" s="3">
        <x:v>7511</x:v>
      </x:c>
      <x:c r="W124" s="3">
        <x:v>6675</x:v>
      </x:c>
      <x:c r="X124" s="3"/>
      <x:c r="Y124" s="3"/>
      <x:c r="AA124" s="5">
        <x:f t="shared" si="10"/>
        <x:v>106674</x:v>
      </x:c>
      <x:c r="AB124" s="5" t="n">
        <x:f>C123-AA124</x:f>
        <x:v>0</x:v>
      </x:c>
      <x:c r="AW124" s="72" t="str">
        <x:v>—</x:v>
      </x:c>
      <x:c r="AX124" s="72" t="str">
        <x:v>—</x:v>
      </x:c>
    </x:row>
    <x:row r="125" s="2" customFormat="1">
      <x:c r="A125" s="1" t="s">
        <x:v>155</x:v>
      </x:c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>
        <x:v>8863</x:v>
      </x:c>
      <x:c r="M125" s="3">
        <x:v>6597</x:v>
      </x:c>
      <x:c r="N125" s="3">
        <x:v>6199</x:v>
      </x:c>
      <x:c r="O125" s="3">
        <x:v>4049</x:v>
      </x:c>
      <x:c r="P125" s="3">
        <x:v>12270</x:v>
      </x:c>
      <x:c r="Q125" s="3">
        <x:v>5614</x:v>
      </x:c>
      <x:c r="R125" s="3">
        <x:v>4784</x:v>
      </x:c>
      <x:c r="S125" s="3">
        <x:v>14103</x:v>
      </x:c>
      <x:c r="T125" s="3">
        <x:v>8567</x:v>
      </x:c>
      <x:c r="U125" s="3">
        <x:v>5198</x:v>
      </x:c>
      <x:c r="V125" s="3">
        <x:v>4509</x:v>
      </x:c>
      <x:c r="W125" s="3">
        <x:v>3956</x:v>
      </x:c>
      <x:c r="X125" s="3"/>
      <x:c r="Y125" s="3"/>
      <x:c r="AA125" s="5">
        <x:f t="shared" si="10"/>
        <x:v>84709</x:v>
      </x:c>
      <x:c r="AB125" s="5" t="n">
        <x:f>AA125-D123</x:f>
        <x:v>-900</x:v>
      </x:c>
      <x:c r="AW125" s="72" t="str">
        <x:v>—</x:v>
      </x:c>
      <x:c r="AX125" s="72" t="str">
        <x:v>—</x:v>
      </x:c>
    </x:row>
    <x:row r="126" s="8" customFormat="1">
      <x:c r="A126" s="6" t="s">
        <x:v>156</x:v>
      </x:c>
      <x:c r="B126" s="7">
        <x:v>1601458</x:v>
      </x:c>
      <x:c r="C126" s="7">
        <x:v>80120</x:v>
      </x:c>
      <x:c r="D126" s="7">
        <x:v>64064</x:v>
      </x:c>
      <x:c r="E126" s="10" t="s">
        <x:v>36</x:v>
      </x:c>
      <x:c r="F126" s="10" t="s">
        <x:v>36</x:v>
      </x:c>
      <x:c r="G126" s="10" t="s">
        <x:v>36</x:v>
      </x:c>
      <x:c r="H126" s="7">
        <x:v>1550070</x:v>
      </x:c>
      <x:c r="I126" s="7">
        <x:v>81995</x:v>
      </x:c>
      <x:c r="J126" s="7">
        <x:v>59319</x:v>
      </x:c>
      <x:c r="K126" s="3"/>
      <x:c r="L126" s="7">
        <x:v>163872</x:v>
      </x:c>
      <x:c r="M126" s="7">
        <x:v>173509</x:v>
      </x:c>
      <x:c r="N126" s="7">
        <x:v>203181</x:v>
      </x:c>
      <x:c r="O126" s="7">
        <x:v>134573</x:v>
      </x:c>
      <x:c r="P126" s="7">
        <x:v>182123</x:v>
      </x:c>
      <x:c r="Q126" s="7">
        <x:v>114370</x:v>
      </x:c>
      <x:c r="R126" s="7">
        <x:v>137430</x:v>
      </x:c>
      <x:c r="S126" s="7">
        <x:v>174539</x:v>
      </x:c>
      <x:c r="T126" s="7">
        <x:v>158960</x:v>
      </x:c>
      <x:c r="U126" s="7">
        <x:v>158900</x:v>
      </x:c>
      <x:c r="V126" s="7"/>
      <x:c r="W126" s="7"/>
      <x:c r="X126" s="7"/>
      <x:c r="Y126" s="7"/>
      <x:c r="AA126" s="9">
        <x:f t="shared" si="10"/>
        <x:v>1601457</x:v>
      </x:c>
      <x:c r="AB126" s="9" t="n">
        <x:f>AA126-B126</x:f>
        <x:v>-1</x:v>
      </x:c>
      <x:c r="AW126" s="72" t="n">
        <x:v>50</x:v>
      </x:c>
      <x:c r="AX126" s="72" t="n">
        <x:v>40</x:v>
      </x:c>
    </x:row>
    <x:row r="127" s="2" customFormat="1">
      <x:c r="A127" s="1" t="s">
        <x:v>157</x:v>
      </x:c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>
        <x:v>8959</x:v>
      </x:c>
      <x:c r="M127" s="3">
        <x:v>9189</x:v>
      </x:c>
      <x:c r="N127" s="3">
        <x:v>9953</x:v>
      </x:c>
      <x:c r="O127" s="3">
        <x:v>5737</x:v>
      </x:c>
      <x:c r="P127" s="3">
        <x:v>8835</x:v>
      </x:c>
      <x:c r="Q127" s="3">
        <x:v>6900</x:v>
      </x:c>
      <x:c r="R127" s="3">
        <x:v>6613</x:v>
      </x:c>
      <x:c r="S127" s="3">
        <x:v>7889</x:v>
      </x:c>
      <x:c r="T127" s="3">
        <x:v>7816</x:v>
      </x:c>
      <x:c r="U127" s="3">
        <x:v>8229</x:v>
      </x:c>
      <x:c r="V127" s="3"/>
      <x:c r="W127" s="3"/>
      <x:c r="X127" s="3"/>
      <x:c r="Y127" s="3"/>
      <x:c r="AA127" s="5">
        <x:f t="shared" si="10"/>
        <x:v>80120</x:v>
      </x:c>
      <x:c r="AB127" s="5" t="n">
        <x:f>C126-AA127</x:f>
        <x:v>0</x:v>
      </x:c>
      <x:c r="AW127" s="72" t="str">
        <x:v>—</x:v>
      </x:c>
      <x:c r="AX127" s="72" t="str">
        <x:v>—</x:v>
      </x:c>
    </x:row>
    <x:row r="128" s="2" customFormat="1">
      <x:c r="A128" s="1" t="s">
        <x:v>158</x:v>
      </x:c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>
        <x:v>7231</x:v>
      </x:c>
      <x:c r="M128" s="3">
        <x:v>6391</x:v>
      </x:c>
      <x:c r="N128" s="3">
        <x:v>8308</x:v>
      </x:c>
      <x:c r="O128" s="3">
        <x:v>4607</x:v>
      </x:c>
      <x:c r="P128" s="3">
        <x:v>7011</x:v>
      </x:c>
      <x:c r="Q128" s="3">
        <x:v>6063</x:v>
      </x:c>
      <x:c r="R128" s="3">
        <x:v>5354</x:v>
      </x:c>
      <x:c r="S128" s="3">
        <x:v>6423</x:v>
      </x:c>
      <x:c r="T128" s="3">
        <x:v>6502</x:v>
      </x:c>
      <x:c r="U128" s="3">
        <x:v>6174</x:v>
      </x:c>
      <x:c r="V128" s="3"/>
      <x:c r="W128" s="3"/>
      <x:c r="X128" s="3"/>
      <x:c r="Y128" s="3"/>
      <x:c r="AA128" s="5">
        <x:f t="shared" si="10"/>
        <x:v>64064</x:v>
      </x:c>
      <x:c r="AB128" s="5" t="n">
        <x:f>AA128-D126</x:f>
        <x:v>0</x:v>
      </x:c>
      <x:c r="AW128" s="72" t="str">
        <x:v>—</x:v>
      </x:c>
      <x:c r="AX128" s="72" t="str">
        <x:v>—</x:v>
      </x:c>
    </x:row>
    <x:row r="129" s="8" customFormat="1">
      <x:c r="A129" s="6" t="s">
        <x:v>159</x:v>
      </x:c>
      <x:c r="B129" s="7">
        <x:v>2794922</x:v>
      </x:c>
      <x:c r="C129" s="7">
        <x:v>152416</x:v>
      </x:c>
      <x:c r="D129" s="7">
        <x:v>136331</x:v>
      </x:c>
      <x:c r="E129" s="7">
        <x:v>132950</x:v>
      </x:c>
      <x:c r="F129" s="7">
        <x:v>5672</x:v>
      </x:c>
      <x:c r="G129" s="7">
        <x:v>5798</x:v>
      </x:c>
      <x:c r="H129" s="7">
        <x:v>2741779</x:v>
      </x:c>
      <x:c r="I129" s="7">
        <x:v>152342</x:v>
      </x:c>
      <x:c r="J129" s="7">
        <x:v>116549</x:v>
      </x:c>
      <x:c r="K129" s="3"/>
      <x:c r="L129" s="7">
        <x:v>228221</x:v>
      </x:c>
      <x:c r="M129" s="7">
        <x:v>223418</x:v>
      </x:c>
      <x:c r="N129" s="7">
        <x:v>383883</x:v>
      </x:c>
      <x:c r="O129" s="7">
        <x:v>140922</x:v>
      </x:c>
      <x:c r="P129" s="7">
        <x:v>259487</x:v>
      </x:c>
      <x:c r="Q129" s="7">
        <x:v>232448</x:v>
      </x:c>
      <x:c r="R129" s="7">
        <x:v>123741</x:v>
      </x:c>
      <x:c r="S129" s="7">
        <x:v>283694</x:v>
      </x:c>
      <x:c r="T129" s="7">
        <x:v>258003</x:v>
      </x:c>
      <x:c r="U129" s="7">
        <x:v>211877</x:v>
      </x:c>
      <x:c r="V129" s="7">
        <x:v>92880</x:v>
      </x:c>
      <x:c r="W129" s="7">
        <x:v>341263</x:v>
      </x:c>
      <x:c r="X129" s="7"/>
      <x:c r="Y129" s="7"/>
      <x:c r="AA129" s="9">
        <x:f t="shared" si="10"/>
        <x:v>2779837</x:v>
      </x:c>
      <x:c r="AB129" s="9" t="n">
        <x:f>AA129-B129</x:f>
        <x:v>-15085</x:v>
      </x:c>
      <x:c r="AW129" s="72" t="n">
        <x:v>54.5</x:v>
      </x:c>
      <x:c r="AX129" s="72" t="n">
        <x:v>48.7</x:v>
      </x:c>
    </x:row>
    <x:row r="130" s="2" customFormat="1">
      <x:c r="A130" s="1" t="s">
        <x:v>160</x:v>
      </x:c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>
        <x:v>12335</x:v>
      </x:c>
      <x:c r="M130" s="3">
        <x:v>12370</x:v>
      </x:c>
      <x:c r="N130" s="3">
        <x:v>21397</x:v>
      </x:c>
      <x:c r="O130" s="3">
        <x:v>7961</x:v>
      </x:c>
      <x:c r="P130" s="3">
        <x:v>14195</x:v>
      </x:c>
      <x:c r="Q130" s="3">
        <x:v>12620</x:v>
      </x:c>
      <x:c r="R130" s="3">
        <x:v>7674</x:v>
      </x:c>
      <x:c r="S130" s="3">
        <x:v>15339</x:v>
      </x:c>
      <x:c r="T130" s="3">
        <x:v>12826</x:v>
      </x:c>
      <x:c r="U130" s="3">
        <x:v>11544</x:v>
      </x:c>
      <x:c r="V130" s="3">
        <x:v>5356</x:v>
      </x:c>
      <x:c r="W130" s="3">
        <x:v>18799</x:v>
      </x:c>
      <x:c r="X130" s="3"/>
      <x:c r="Y130" s="3"/>
      <x:c r="AA130" s="5">
        <x:f t="shared" si="10"/>
        <x:v>152416</x:v>
      </x:c>
      <x:c r="AB130" s="5" t="n">
        <x:f>C129-AA130</x:f>
        <x:v>0</x:v>
      </x:c>
      <x:c r="AW130" s="72" t="str">
        <x:v>—</x:v>
      </x:c>
      <x:c r="AX130" s="72" t="str">
        <x:v>—</x:v>
      </x:c>
    </x:row>
    <x:row r="131" s="2" customFormat="1">
      <x:c r="A131" s="1" t="s">
        <x:v>161</x:v>
      </x:c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>
        <x:v>12989</x:v>
      </x:c>
      <x:c r="M131" s="3">
        <x:v>9773</x:v>
      </x:c>
      <x:c r="N131" s="3">
        <x:v>17307</x:v>
      </x:c>
      <x:c r="O131" s="3">
        <x:v>7943</x:v>
      </x:c>
      <x:c r="P131" s="3">
        <x:v>13091</x:v>
      </x:c>
      <x:c r="Q131" s="3">
        <x:v>10017</x:v>
      </x:c>
      <x:c r="R131" s="3">
        <x:v>7843</x:v>
      </x:c>
      <x:c r="S131" s="3">
        <x:v>13187</x:v>
      </x:c>
      <x:c r="T131" s="3">
        <x:v>12021</x:v>
      </x:c>
      <x:c r="U131" s="3">
        <x:v>11174</x:v>
      </x:c>
      <x:c r="V131" s="3">
        <x:v>2818</x:v>
      </x:c>
      <x:c r="W131" s="3">
        <x:v>18168</x:v>
      </x:c>
      <x:c r="X131" s="3"/>
      <x:c r="Y131" s="3"/>
      <x:c r="AA131" s="5">
        <x:f t="shared" si="10"/>
        <x:v>136331</x:v>
      </x:c>
      <x:c r="AB131" s="5" t="n">
        <x:f>AA131-D129</x:f>
        <x:v>0</x:v>
      </x:c>
      <x:c r="AW131" s="72" t="str">
        <x:v>—</x:v>
      </x:c>
      <x:c r="AX131" s="72" t="str">
        <x:v>—</x:v>
      </x:c>
    </x:row>
    <x:row r="132" s="8" customFormat="1">
      <x:c r="A132" s="6" t="s">
        <x:v>162</x:v>
      </x:c>
      <x:c r="B132" s="7">
        <x:v>2894095</x:v>
      </x:c>
      <x:c r="C132" s="7">
        <x:v>127556</x:v>
      </x:c>
      <x:c r="D132" s="7">
        <x:v>93984</x:v>
      </x:c>
      <x:c r="E132" s="7">
        <x:v>253214</x:v>
      </x:c>
      <x:c r="F132" s="7">
        <x:v>10589</x:v>
      </x:c>
      <x:c r="G132" s="7">
        <x:v>8021</x:v>
      </x:c>
      <x:c r="H132" s="7">
        <x:v>2834523</x:v>
      </x:c>
      <x:c r="I132" s="7">
        <x:v>131207</x:v>
      </x:c>
      <x:c r="J132" s="7">
        <x:v>78200</x:v>
      </x:c>
      <x:c r="K132" s="3"/>
      <x:c r="L132" s="7">
        <x:v>232195</x:v>
      </x:c>
      <x:c r="M132" s="7">
        <x:v>170624</x:v>
      </x:c>
      <x:c r="N132" s="7">
        <x:v>233783</x:v>
      </x:c>
      <x:c r="O132" s="7">
        <x:v>149398</x:v>
      </x:c>
      <x:c r="P132" s="7">
        <x:v>248171</x:v>
      </x:c>
      <x:c r="Q132" s="7">
        <x:v>203579</x:v>
      </x:c>
      <x:c r="R132" s="7">
        <x:v>242774</x:v>
      </x:c>
      <x:c r="S132" s="7">
        <x:v>150617</x:v>
      </x:c>
      <x:c r="T132" s="7">
        <x:v>134478</x:v>
      </x:c>
      <x:c r="U132" s="7">
        <x:v>163543</x:v>
      </x:c>
      <x:c r="V132" s="7">
        <x:v>200511</x:v>
      </x:c>
      <x:c r="W132" s="7">
        <x:v>169027</x:v>
      </x:c>
      <x:c r="X132" s="7">
        <x:v>214841</x:v>
      </x:c>
      <x:c r="Y132" s="7">
        <x:v>208986</x:v>
      </x:c>
      <x:c r="Z132" s="21">
        <x:v>171568</x:v>
      </x:c>
      <x:c r="AA132" s="9">
        <x:f t="shared" si="10"/>
        <x:v>2722527</x:v>
      </x:c>
      <x:c r="AB132" s="9" t="n">
        <x:f>AA132-B132</x:f>
        <x:v>-171568</x:v>
      </x:c>
      <x:c r="AW132" s="72" t="n">
        <x:v>44.1</x:v>
      </x:c>
      <x:c r="AX132" s="72" t="n">
        <x:v>32.4</x:v>
      </x:c>
    </x:row>
    <x:row r="133" s="2" customFormat="1">
      <x:c r="A133" s="1" t="s">
        <x:v>163</x:v>
      </x:c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>
        <x:v>10187</x:v>
      </x:c>
      <x:c r="M133" s="3">
        <x:v>7225</x:v>
      </x:c>
      <x:c r="N133" s="3">
        <x:v>10345</x:v>
      </x:c>
      <x:c r="O133" s="3">
        <x:v>6280</x:v>
      </x:c>
      <x:c r="P133" s="3">
        <x:v>9619</x:v>
      </x:c>
      <x:c r="Q133" s="3">
        <x:v>10872</x:v>
      </x:c>
      <x:c r="R133" s="3">
        <x:v>10877</x:v>
      </x:c>
      <x:c r="S133" s="3">
        <x:v>6798</x:v>
      </x:c>
      <x:c r="T133" s="3">
        <x:v>6532</x:v>
      </x:c>
      <x:c r="U133" s="3">
        <x:v>7255</x:v>
      </x:c>
      <x:c r="V133" s="3">
        <x:v>8923</x:v>
      </x:c>
      <x:c r="W133" s="3">
        <x:v>7401</x:v>
      </x:c>
      <x:c r="X133" s="3">
        <x:v>8796</x:v>
      </x:c>
      <x:c r="Y133" s="3">
        <x:v>8109</x:v>
      </x:c>
      <x:c r="Z133" s="21">
        <x:v>8337</x:v>
      </x:c>
      <x:c r="AA133" s="5">
        <x:f t="shared" si="10"/>
        <x:v>119219</x:v>
      </x:c>
      <x:c r="AB133" s="5" t="n">
        <x:f>C132-AA133</x:f>
        <x:v>8337</x:v>
      </x:c>
      <x:c r="AW133" s="72" t="str">
        <x:v>—</x:v>
      </x:c>
      <x:c r="AX133" s="72" t="str">
        <x:v>—</x:v>
      </x:c>
    </x:row>
    <x:row r="134" s="2" customFormat="1">
      <x:c r="A134" s="1" t="s">
        <x:v>164</x:v>
      </x:c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>
        <x:v>8492</x:v>
      </x:c>
      <x:c r="M134" s="3">
        <x:v>4988</x:v>
      </x:c>
      <x:c r="N134" s="3">
        <x:v>6583</x:v>
      </x:c>
      <x:c r="O134" s="3">
        <x:v>5841</x:v>
      </x:c>
      <x:c r="P134" s="3">
        <x:v>6027</x:v>
      </x:c>
      <x:c r="Q134" s="3">
        <x:v>10512</x:v>
      </x:c>
      <x:c r="R134" s="3">
        <x:v>7314</x:v>
      </x:c>
      <x:c r="S134" s="3">
        <x:v>4970</x:v>
      </x:c>
      <x:c r="T134" s="3">
        <x:v>4007</x:v>
      </x:c>
      <x:c r="U134" s="3">
        <x:v>4868</x:v>
      </x:c>
      <x:c r="V134" s="3">
        <x:v>7359</x:v>
      </x:c>
      <x:c r="W134" s="3">
        <x:v>5463</x:v>
      </x:c>
      <x:c r="X134" s="3">
        <x:v>6323</x:v>
      </x:c>
      <x:c r="Y134" s="3">
        <x:v>5395</x:v>
      </x:c>
      <x:c r="Z134" s="21">
        <x:v>5842</x:v>
      </x:c>
      <x:c r="AA134" s="5">
        <x:f t="shared" si="10"/>
        <x:v>88142</x:v>
      </x:c>
      <x:c r="AB134" s="5" t="n">
        <x:f>AA134-D132</x:f>
        <x:v>-5842</x:v>
      </x:c>
      <x:c r="AW134" s="72" t="str">
        <x:v>—</x:v>
      </x:c>
      <x:c r="AX134" s="72" t="str">
        <x:v>—</x:v>
      </x:c>
    </x:row>
    <x:row r="135" s="8" customFormat="1">
      <x:c r="A135" s="6" t="s">
        <x:v>165</x:v>
      </x:c>
      <x:c r="B135" s="7">
        <x:v>1029053</x:v>
      </x:c>
      <x:c r="C135" s="7">
        <x:v>50312</x:v>
      </x:c>
      <x:c r="D135" s="7">
        <x:v>32442</x:v>
      </x:c>
      <x:c r="E135" s="7">
        <x:v>60405</x:v>
      </x:c>
      <x:c r="F135" s="7">
        <x:v>1769</x:v>
      </x:c>
      <x:c r="G135" s="7">
        <x:v>1570</x:v>
      </x:c>
      <x:c r="H135" s="7">
        <x:v>989039</x:v>
      </x:c>
      <x:c r="I135" s="7">
        <x:v>48774</x:v>
      </x:c>
      <x:c r="J135" s="7">
        <x:v>34608</x:v>
      </x:c>
      <x:c r="K135" s="3"/>
      <x:c r="L135" s="7">
        <x:v>217611</x:v>
      </x:c>
      <x:c r="M135" s="7">
        <x:v>110602</x:v>
      </x:c>
      <x:c r="N135" s="7">
        <x:v>102649</x:v>
      </x:c>
      <x:c r="O135" s="7">
        <x:v>126769</x:v>
      </x:c>
      <x:c r="P135" s="7">
        <x:v>157179</x:v>
      </x:c>
      <x:c r="Q135" s="7">
        <x:v>164744</x:v>
      </x:c>
      <x:c r="R135" s="7">
        <x:v>75896</x:v>
      </x:c>
      <x:c r="S135" s="7">
        <x:v>73603</x:v>
      </x:c>
      <x:c r="T135" s="7"/>
      <x:c r="U135" s="7"/>
      <x:c r="V135" s="7"/>
      <x:c r="W135" s="7"/>
      <x:c r="X135" s="7"/>
      <x:c r="Y135" s="7"/>
      <x:c r="AA135" s="9">
        <x:f t="shared" si="10"/>
        <x:v>1029053</x:v>
      </x:c>
      <x:c r="AB135" s="9" t="n">
        <x:f>AA135-B135</x:f>
        <x:v>0</x:v>
      </x:c>
      <x:c r="AW135" s="72" t="n">
        <x:v>48.9</x:v>
      </x:c>
      <x:c r="AX135" s="72" t="n">
        <x:v>31.5</x:v>
      </x:c>
    </x:row>
    <x:row r="136" s="2" customFormat="1">
      <x:c r="A136" s="1" t="s">
        <x:v>166</x:v>
      </x:c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>
        <x:v>9740</x:v>
      </x:c>
      <x:c r="M136" s="3">
        <x:v>5984</x:v>
      </x:c>
      <x:c r="N136" s="3">
        <x:v>5063</x:v>
      </x:c>
      <x:c r="O136" s="3">
        <x:v>6179</x:v>
      </x:c>
      <x:c r="P136" s="3">
        <x:v>7255</x:v>
      </x:c>
      <x:c r="Q136" s="3">
        <x:v>7226</x:v>
      </x:c>
      <x:c r="R136" s="3">
        <x:v>4435</x:v>
      </x:c>
      <x:c r="S136" s="3">
        <x:v>4430</x:v>
      </x:c>
      <x:c r="T136" s="3"/>
      <x:c r="U136" s="3"/>
      <x:c r="V136" s="3"/>
      <x:c r="W136" s="3"/>
      <x:c r="X136" s="3"/>
      <x:c r="Y136" s="3"/>
      <x:c r="AA136" s="5">
        <x:f t="shared" si="10"/>
        <x:v>50312</x:v>
      </x:c>
      <x:c r="AB136" s="5" t="n">
        <x:f>C135-AA136</x:f>
        <x:v>0</x:v>
      </x:c>
      <x:c r="AW136" s="72" t="str">
        <x:v>—</x:v>
      </x:c>
      <x:c r="AX136" s="72" t="str">
        <x:v>—</x:v>
      </x:c>
    </x:row>
    <x:row r="137" s="2" customFormat="1">
      <x:c r="A137" s="1" t="s">
        <x:v>167</x:v>
      </x:c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>
        <x:v>6400</x:v>
      </x:c>
      <x:c r="M137" s="3">
        <x:v>4047</x:v>
      </x:c>
      <x:c r="N137" s="3">
        <x:v>3043</x:v>
      </x:c>
      <x:c r="O137" s="3">
        <x:v>3392</x:v>
      </x:c>
      <x:c r="P137" s="3">
        <x:v>4744</x:v>
      </x:c>
      <x:c r="Q137" s="3">
        <x:v>4970</x:v>
      </x:c>
      <x:c r="R137" s="3">
        <x:v>3053</x:v>
      </x:c>
      <x:c r="S137" s="3">
        <x:v>2793</x:v>
      </x:c>
      <x:c r="T137" s="3"/>
      <x:c r="U137" s="3"/>
      <x:c r="V137" s="3"/>
      <x:c r="W137" s="3"/>
      <x:c r="X137" s="3"/>
      <x:c r="Y137" s="3"/>
      <x:c r="AA137" s="5">
        <x:f t="shared" si="10"/>
        <x:v>32442</x:v>
      </x:c>
      <x:c r="AB137" s="5" t="n">
        <x:f>AA137-D135</x:f>
        <x:v>0</x:v>
      </x:c>
      <x:c r="AW137" s="72" t="str">
        <x:v>—</x:v>
      </x:c>
      <x:c r="AX137" s="72" t="str">
        <x:v>—</x:v>
      </x:c>
    </x:row>
    <x:row r="138" s="8" customFormat="1">
      <x:c r="A138" s="6" t="s">
        <x:v>168</x:v>
      </x:c>
      <x:c r="B138" s="7">
        <x:v>1928786</x:v>
      </x:c>
      <x:c r="C138" s="7">
        <x:v>94449</x:v>
      </x:c>
      <x:c r="D138" s="7">
        <x:v>70492</x:v>
      </x:c>
      <x:c r="E138" s="7">
        <x:v>96139</x:v>
      </x:c>
      <x:c r="F138" s="7">
        <x:v>5405</x:v>
      </x:c>
      <x:c r="G138" s="7">
        <x:v>4860</x:v>
      </x:c>
      <x:c r="H138" s="7">
        <x:v>1874939</x:v>
      </x:c>
      <x:c r="I138" s="7">
        <x:v>91397</x:v>
      </x:c>
      <x:c r="J138" s="7">
        <x:v>59971</x:v>
      </x:c>
      <x:c r="K138" s="3"/>
      <x:c r="L138" s="7">
        <x:v>218091</x:v>
      </x:c>
      <x:c r="M138" s="7">
        <x:v>121604</x:v>
      </x:c>
      <x:c r="N138" s="7">
        <x:v>147857</x:v>
      </x:c>
      <x:c r="O138" s="7">
        <x:v>136548</x:v>
      </x:c>
      <x:c r="P138" s="7">
        <x:v>180794</x:v>
      </x:c>
      <x:c r="Q138" s="7">
        <x:v>166445</x:v>
      </x:c>
      <x:c r="R138" s="7">
        <x:v>124077</x:v>
      </x:c>
      <x:c r="S138" s="7">
        <x:v>158534</x:v>
      </x:c>
      <x:c r="T138" s="7">
        <x:v>147681</x:v>
      </x:c>
      <x:c r="U138" s="7">
        <x:v>172393</x:v>
      </x:c>
      <x:c r="V138" s="7">
        <x:v>186624</x:v>
      </x:c>
      <x:c r="W138" s="7">
        <x:v>168138</x:v>
      </x:c>
      <x:c r="X138" s="7"/>
      <x:c r="Y138" s="7"/>
      <x:c r="AA138" s="9">
        <x:f t="shared" si="10"/>
        <x:v>1928786</x:v>
      </x:c>
      <x:c r="AB138" s="9" t="n">
        <x:f>AA138-B138</x:f>
        <x:v>0</x:v>
      </x:c>
      <x:c r="AW138" s="72" t="n">
        <x:v>48.9</x:v>
      </x:c>
      <x:c r="AX138" s="72" t="n">
        <x:v>36.5</x:v>
      </x:c>
    </x:row>
    <x:row r="139" s="2" customFormat="1">
      <x:c r="A139" s="1" t="s">
        <x:v>169</x:v>
      </x:c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>
        <x:v>9848</x:v>
      </x:c>
      <x:c r="M139" s="3">
        <x:v>5679</x:v>
      </x:c>
      <x:c r="N139" s="3">
        <x:v>7884</x:v>
      </x:c>
      <x:c r="O139" s="3">
        <x:v>5869</x:v>
      </x:c>
      <x:c r="P139" s="3">
        <x:v>8182</x:v>
      </x:c>
      <x:c r="Q139" s="3">
        <x:v>8439</x:v>
      </x:c>
      <x:c r="R139" s="3">
        <x:v>5910</x:v>
      </x:c>
      <x:c r="S139" s="3">
        <x:v>8788</x:v>
      </x:c>
      <x:c r="T139" s="3">
        <x:v>7861</x:v>
      </x:c>
      <x:c r="U139" s="3">
        <x:v>8733</x:v>
      </x:c>
      <x:c r="V139" s="3">
        <x:v>9530</x:v>
      </x:c>
      <x:c r="W139" s="3">
        <x:v>7726</x:v>
      </x:c>
      <x:c r="X139" s="3"/>
      <x:c r="Y139" s="3"/>
      <x:c r="AA139" s="5">
        <x:f t="shared" si="10"/>
        <x:v>94449</x:v>
      </x:c>
      <x:c r="AB139" s="5" t="n">
        <x:f>C138-AA139</x:f>
        <x:v>0</x:v>
      </x:c>
      <x:c r="AW139" s="72" t="str">
        <x:v>—</x:v>
      </x:c>
      <x:c r="AX139" s="72" t="str">
        <x:v>—</x:v>
      </x:c>
    </x:row>
    <x:row r="140" s="2" customFormat="1">
      <x:c r="A140" s="1" t="s">
        <x:v>170</x:v>
      </x:c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>
        <x:v>7462</x:v>
      </x:c>
      <x:c r="M140" s="3">
        <x:v>4312</x:v>
      </x:c>
      <x:c r="N140" s="3">
        <x:v>7003</x:v>
      </x:c>
      <x:c r="O140" s="3">
        <x:v>4180</x:v>
      </x:c>
      <x:c r="P140" s="3">
        <x:v>6673</x:v>
      </x:c>
      <x:c r="Q140" s="3">
        <x:v>5386</x:v>
      </x:c>
      <x:c r="R140" s="3">
        <x:v>4114</x:v>
      </x:c>
      <x:c r="S140" s="3">
        <x:v>6967</x:v>
      </x:c>
      <x:c r="T140" s="3">
        <x:v>5816</x:v>
      </x:c>
      <x:c r="U140" s="3">
        <x:v>6065</x:v>
      </x:c>
      <x:c r="V140" s="3">
        <x:v>6597</x:v>
      </x:c>
      <x:c r="W140" s="3">
        <x:v>5913</x:v>
      </x:c>
      <x:c r="X140" s="3"/>
      <x:c r="Y140" s="3"/>
      <x:c r="AA140" s="5">
        <x:f t="shared" si="10"/>
        <x:v>70488</x:v>
      </x:c>
      <x:c r="AB140" s="5" t="n">
        <x:f>AA140-D138</x:f>
        <x:v>-4</x:v>
      </x:c>
      <x:c r="AW140" s="72" t="str">
        <x:v>—</x:v>
      </x:c>
      <x:c r="AX140" s="72" t="str">
        <x:v>—</x:v>
      </x:c>
    </x:row>
    <x:row r="141" s="8" customFormat="1">
      <x:c r="A141" s="6" t="s">
        <x:v>171</x:v>
      </x:c>
      <x:c r="B141" s="7">
        <x:v>2657611</x:v>
      </x:c>
      <x:c r="C141" s="7">
        <x:v>149972</x:v>
      </x:c>
      <x:c r="D141" s="7">
        <x:v>106766</x:v>
      </x:c>
      <x:c r="E141" s="7">
        <x:v>163596</x:v>
      </x:c>
      <x:c r="F141" s="7">
        <x:v>7035</x:v>
      </x:c>
      <x:c r="G141" s="7">
        <x:v>6560</x:v>
      </x:c>
      <x:c r="H141" s="7">
        <x:v>2567671</x:v>
      </x:c>
      <x:c r="I141" s="7">
        <x:v>150960</x:v>
      </x:c>
      <x:c r="J141" s="7">
        <x:v>101186</x:v>
      </x:c>
      <x:c r="K141" s="3"/>
      <x:c r="L141" s="7">
        <x:v>335144</x:v>
      </x:c>
      <x:c r="M141" s="7">
        <x:v>279943</x:v>
      </x:c>
      <x:c r="N141" s="7">
        <x:v>372524</x:v>
      </x:c>
      <x:c r="O141" s="7">
        <x:v>452599</x:v>
      </x:c>
      <x:c r="P141" s="7">
        <x:v>493630</x:v>
      </x:c>
      <x:c r="Q141" s="7">
        <x:v>395148</x:v>
      </x:c>
      <x:c r="R141" s="7">
        <x:v>281417</x:v>
      </x:c>
      <x:c r="S141" s="7"/>
      <x:c r="T141" s="7"/>
      <x:c r="U141" s="7"/>
      <x:c r="V141" s="7"/>
      <x:c r="W141" s="7"/>
      <x:c r="X141" s="7"/>
      <x:c r="Y141" s="7"/>
      <x:c r="AA141" s="9">
        <x:f t="shared" si="10"/>
        <x:v>2610405</x:v>
      </x:c>
      <x:c r="AB141" s="9" t="n">
        <x:f>AA141-B141</x:f>
        <x:v>-47206</x:v>
      </x:c>
      <x:c r="AW141" s="72" t="n">
        <x:v>56.4</x:v>
      </x:c>
      <x:c r="AX141" s="72" t="n">
        <x:v>40.2</x:v>
      </x:c>
    </x:row>
    <x:row r="142" s="2" customFormat="1">
      <x:c r="A142" s="1" t="s">
        <x:v>172</x:v>
      </x:c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>
        <x:v>18396</x:v>
      </x:c>
      <x:c r="M142" s="3">
        <x:v>14837</x:v>
      </x:c>
      <x:c r="N142" s="3">
        <x:v>22791</x:v>
      </x:c>
      <x:c r="O142" s="3">
        <x:v>28150</x:v>
      </x:c>
      <x:c r="P142" s="3">
        <x:v>27462</x:v>
      </x:c>
      <x:c r="Q142" s="3">
        <x:v>22375</x:v>
      </x:c>
      <x:c r="R142" s="3">
        <x:v>15951</x:v>
      </x:c>
      <x:c r="S142" s="3"/>
      <x:c r="T142" s="3"/>
      <x:c r="U142" s="3"/>
      <x:c r="V142" s="3"/>
      <x:c r="W142" s="3"/>
      <x:c r="X142" s="3"/>
      <x:c r="Y142" s="3"/>
      <x:c r="AA142" s="5">
        <x:f t="shared" si="10"/>
        <x:v>149962</x:v>
      </x:c>
      <x:c r="AB142" s="5" t="n">
        <x:f>C141-AA142</x:f>
        <x:v>10</x:v>
      </x:c>
      <x:c r="AW142" s="72" t="str">
        <x:v>—</x:v>
      </x:c>
      <x:c r="AX142" s="72" t="str">
        <x:v>—</x:v>
      </x:c>
    </x:row>
    <x:row r="143" s="2" customFormat="1">
      <x:c r="A143" s="1" t="s">
        <x:v>173</x:v>
      </x:c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>
        <x:v>13802</x:v>
      </x:c>
      <x:c r="M143" s="3">
        <x:v>10456</x:v>
      </x:c>
      <x:c r="N143" s="3">
        <x:v>15679</x:v>
      </x:c>
      <x:c r="O143" s="3">
        <x:v>22469</x:v>
      </x:c>
      <x:c r="P143" s="3">
        <x:v>18912</x:v>
      </x:c>
      <x:c r="Q143" s="3">
        <x:v>13358</x:v>
      </x:c>
      <x:c r="R143" s="3">
        <x:v>12090</x:v>
      </x:c>
      <x:c r="S143" s="3"/>
      <x:c r="T143" s="3"/>
      <x:c r="U143" s="3"/>
      <x:c r="V143" s="3"/>
      <x:c r="W143" s="3"/>
      <x:c r="X143" s="3"/>
      <x:c r="Y143" s="3"/>
      <x:c r="AA143" s="5">
        <x:f t="shared" si="10"/>
        <x:v>106766</x:v>
      </x:c>
      <x:c r="AB143" s="5" t="n">
        <x:f>AA143-D141</x:f>
        <x:v>0</x:v>
      </x:c>
      <x:c r="AW143" s="72" t="str">
        <x:v>—</x:v>
      </x:c>
      <x:c r="AX143" s="72" t="str">
        <x:v>—</x:v>
      </x:c>
    </x:row>
    <x:row r="144" s="8" customFormat="1">
      <x:c r="A144" s="6" t="s">
        <x:v>174</x:v>
      </x:c>
      <x:c r="B144" s="7">
        <x:v>822397</x:v>
      </x:c>
      <x:c r="C144" s="7">
        <x:v>33362</x:v>
      </x:c>
      <x:c r="D144" s="7">
        <x:v>30393</x:v>
      </x:c>
      <x:c r="E144" s="10" t="s">
        <x:v>36</x:v>
      </x:c>
      <x:c r="F144" s="10" t="s">
        <x:v>36</x:v>
      </x:c>
      <x:c r="G144" s="10" t="s">
        <x:v>36</x:v>
      </x:c>
      <x:c r="H144" s="7">
        <x:v>777207</x:v>
      </x:c>
      <x:c r="I144" s="7">
        <x:v>32979</x:v>
      </x:c>
      <x:c r="J144" s="7">
        <x:v>27737</x:v>
      </x:c>
      <x:c r="K144" s="3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AA144" s="9"/>
      <x:c r="AB144" s="9"/>
      <x:c r="AW144" s="72" t="n">
        <x:v>40.6</x:v>
      </x:c>
      <x:c r="AX144" s="72" t="n">
        <x:v>36.9</x:v>
      </x:c>
    </x:row>
    <x:row r="145" s="8" customFormat="1">
      <x:c r="A145" s="6" t="s">
        <x:v>175</x:v>
      </x:c>
      <x:c r="B145" s="7">
        <x:v>1035439</x:v>
      </x:c>
      <x:c r="C145" s="7">
        <x:v>30970</x:v>
      </x:c>
      <x:c r="D145" s="7">
        <x:v>26499</x:v>
      </x:c>
      <x:c r="E145" s="10" t="s">
        <x:v>36</x:v>
      </x:c>
      <x:c r="F145" s="10" t="s">
        <x:v>36</x:v>
      </x:c>
      <x:c r="G145" s="10" t="s">
        <x:v>36</x:v>
      </x:c>
      <x:c r="H145" s="7">
        <x:v>930863</x:v>
      </x:c>
      <x:c r="I145" s="7">
        <x:v>28025</x:v>
      </x:c>
      <x:c r="J145" s="7">
        <x:v>25811</x:v>
      </x:c>
      <x:c r="K145" s="3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AA145" s="9"/>
      <x:c r="AB145" s="9"/>
      <x:c r="AW145" s="72" t="n">
        <x:v>29.9</x:v>
      </x:c>
      <x:c r="AX145" s="72" t="n">
        <x:v>25.6</x:v>
      </x:c>
    </x:row>
    <x:row r="146" s="8" customFormat="1">
      <x:c r="A146" s="6" t="s">
        <x:v>176</x:v>
      </x:c>
      <x:c r="B146" s="7">
        <x:v>834318</x:v>
      </x:c>
      <x:c r="C146" s="7">
        <x:v>30505</x:v>
      </x:c>
      <x:c r="D146" s="7">
        <x:v>25031</x:v>
      </x:c>
      <x:c r="E146" s="10" t="s">
        <x:v>36</x:v>
      </x:c>
      <x:c r="F146" s="10" t="s">
        <x:v>36</x:v>
      </x:c>
      <x:c r="G146" s="10" t="s">
        <x:v>36</x:v>
      </x:c>
      <x:c r="H146" s="7">
        <x:v>824107</x:v>
      </x:c>
      <x:c r="I146" s="7">
        <x:v>30873</x:v>
      </x:c>
      <x:c r="J146" s="7">
        <x:v>25723</x:v>
      </x:c>
      <x:c r="K146" s="3"/>
      <x:c r="L146" s="7">
        <x:v>130732</x:v>
      </x:c>
      <x:c r="M146" s="7">
        <x:v>134072</x:v>
      </x:c>
      <x:c r="N146" s="7">
        <x:v>112656</x:v>
      </x:c>
      <x:c r="O146" s="7">
        <x:v>87673</x:v>
      </x:c>
      <x:c r="P146" s="7">
        <x:v>59243</x:v>
      </x:c>
      <x:c r="Q146" s="7">
        <x:v>83964</x:v>
      </x:c>
      <x:c r="R146" s="7">
        <x:v>47191</x:v>
      </x:c>
      <x:c r="S146" s="7">
        <x:v>23645</x:v>
      </x:c>
      <x:c r="T146" s="7"/>
      <x:c r="U146" s="7"/>
      <x:c r="V146" s="7"/>
      <x:c r="W146" s="7"/>
      <x:c r="X146" s="7"/>
      <x:c r="Y146" s="7"/>
      <x:c r="AA146" s="9" t="n">
        <x:f t="shared" ref="AA146:AA160" si="11">SUM(L146:Y146)</x:f>
        <x:v>679176</x:v>
      </x:c>
      <x:c r="AB146" s="9" t="n">
        <x:f>AA146-B146</x:f>
        <x:v>-155142</x:v>
      </x:c>
      <x:c r="AW146" s="72" t="n">
        <x:v>44.8</x:v>
      </x:c>
      <x:c r="AX146" s="72" t="n">
        <x:v>36.8</x:v>
      </x:c>
    </x:row>
    <x:row r="147" s="2" customFormat="1">
      <x:c r="A147" s="1" t="s">
        <x:v>177</x:v>
      </x:c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>
        <x:v>4290</x:v>
      </x:c>
      <x:c r="M147" s="3">
        <x:v>5648</x:v>
      </x:c>
      <x:c r="N147" s="3">
        <x:v>5209</x:v>
      </x:c>
      <x:c r="O147" s="3">
        <x:v>3637</x:v>
      </x:c>
      <x:c r="P147" s="3">
        <x:v>2709</x:v>
      </x:c>
      <x:c r="Q147" s="3">
        <x:v>3964</x:v>
      </x:c>
      <x:c r="R147" s="3">
        <x:v>2013</x:v>
      </x:c>
      <x:c r="S147" s="3">
        <x:v>3035</x:v>
      </x:c>
      <x:c r="T147" s="3"/>
      <x:c r="U147" s="3"/>
      <x:c r="V147" s="3"/>
      <x:c r="W147" s="3"/>
      <x:c r="X147" s="3"/>
      <x:c r="Y147" s="3"/>
      <x:c r="AA147" s="5">
        <x:f t="shared" si="11"/>
        <x:v>30505</x:v>
      </x:c>
      <x:c r="AB147" s="5" t="n">
        <x:f>C146-AA147</x:f>
        <x:v>0</x:v>
      </x:c>
      <x:c r="AW147" s="72" t="str">
        <x:v>—</x:v>
      </x:c>
      <x:c r="AX147" s="72" t="str">
        <x:v>—</x:v>
      </x:c>
    </x:row>
    <x:row r="148" s="2" customFormat="1">
      <x:c r="A148" s="1" t="s">
        <x:v>178</x:v>
      </x:c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>
        <x:v>3405</x:v>
      </x:c>
      <x:c r="M148" s="3">
        <x:v>4373</x:v>
      </x:c>
      <x:c r="N148" s="3">
        <x:v>4259</x:v>
      </x:c>
      <x:c r="O148" s="3">
        <x:v>2737</x:v>
      </x:c>
      <x:c r="P148" s="3">
        <x:v>2348</x:v>
      </x:c>
      <x:c r="Q148" s="3">
        <x:v>3343</x:v>
      </x:c>
      <x:c r="R148" s="3">
        <x:v>1916</x:v>
      </x:c>
      <x:c r="S148" s="3">
        <x:v>2650</x:v>
      </x:c>
      <x:c r="T148" s="3"/>
      <x:c r="U148" s="3"/>
      <x:c r="V148" s="3"/>
      <x:c r="W148" s="3"/>
      <x:c r="X148" s="3"/>
      <x:c r="Y148" s="3"/>
      <x:c r="AA148" s="5">
        <x:f t="shared" si="11"/>
        <x:v>25031</x:v>
      </x:c>
      <x:c r="AB148" s="5" t="n">
        <x:f>AA148-D146</x:f>
        <x:v>0</x:v>
      </x:c>
      <x:c r="AW148" s="72" t="str">
        <x:v>—</x:v>
      </x:c>
      <x:c r="AX148" s="72" t="str">
        <x:v>—</x:v>
      </x:c>
    </x:row>
    <x:row r="149" s="8" customFormat="1">
      <x:c r="A149" s="6" t="s">
        <x:v>179</x:v>
      </x:c>
      <x:c r="B149" s="7">
        <x:v>2433445</x:v>
      </x:c>
      <x:c r="C149" s="7">
        <x:v>125198</x:v>
      </x:c>
      <x:c r="D149" s="7">
        <x:v>95643</x:v>
      </x:c>
      <x:c r="E149" s="7">
        <x:v>314782</x:v>
      </x:c>
      <x:c r="F149" s="7">
        <x:v>14008</x:v>
      </x:c>
      <x:c r="G149" s="7">
        <x:v>12128</x:v>
      </x:c>
      <x:c r="H149" s="7">
        <x:v>2351123</x:v>
      </x:c>
      <x:c r="I149" s="7">
        <x:v>124763</x:v>
      </x:c>
      <x:c r="J149" s="7">
        <x:v>84066</x:v>
      </x:c>
      <x:c r="K149" s="3"/>
      <x:c r="L149" s="7">
        <x:v>310783</x:v>
      </x:c>
      <x:c r="M149" s="7">
        <x:v>286878</x:v>
      </x:c>
      <x:c r="N149" s="7">
        <x:v>292791</x:v>
      </x:c>
      <x:c r="O149" s="7">
        <x:v>194683</x:v>
      </x:c>
      <x:c r="P149" s="7">
        <x:v>340792</x:v>
      </x:c>
      <x:c r="Q149" s="7">
        <x:v>182729</x:v>
      </x:c>
      <x:c r="R149" s="7">
        <x:v>251362</x:v>
      </x:c>
      <x:c r="S149" s="7">
        <x:v>222611</x:v>
      </x:c>
      <x:c r="T149" s="7">
        <x:v>203669</x:v>
      </x:c>
      <x:c r="U149" s="7">
        <x:v>142147</x:v>
      </x:c>
      <x:c r="V149" s="7"/>
      <x:c r="W149" s="7"/>
      <x:c r="X149" s="7"/>
      <x:c r="Y149" s="7"/>
      <x:c r="AA149" s="9">
        <x:f t="shared" si="11"/>
        <x:v>2428445</x:v>
      </x:c>
      <x:c r="AB149" s="9" t="n">
        <x:f>AA149-B149</x:f>
        <x:v>-5000</x:v>
      </x:c>
      <x:c r="AW149" s="72" t="n">
        <x:v>51.1</x:v>
      </x:c>
      <x:c r="AX149" s="72" t="n">
        <x:v>39.3</x:v>
      </x:c>
    </x:row>
    <x:row r="150" s="2" customFormat="1">
      <x:c r="A150" s="1" t="s">
        <x:v>180</x:v>
      </x:c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>
        <x:v>15232</x:v>
      </x:c>
      <x:c r="M150" s="3">
        <x:v>16264</x:v>
      </x:c>
      <x:c r="N150" s="3">
        <x:v>15816</x:v>
      </x:c>
      <x:c r="O150" s="3">
        <x:v>9428</x:v>
      </x:c>
      <x:c r="P150" s="3">
        <x:v>17729</x:v>
      </x:c>
      <x:c r="Q150" s="3">
        <x:v>9566</x:v>
      </x:c>
      <x:c r="R150" s="3">
        <x:v>11934</x:v>
      </x:c>
      <x:c r="S150" s="3">
        <x:v>12028</x:v>
      </x:c>
      <x:c r="T150" s="3">
        <x:v>9534</x:v>
      </x:c>
      <x:c r="U150" s="3">
        <x:v>7667</x:v>
      </x:c>
      <x:c r="V150" s="3"/>
      <x:c r="W150" s="3"/>
      <x:c r="X150" s="3"/>
      <x:c r="Y150" s="3"/>
      <x:c r="AA150" s="5">
        <x:f t="shared" si="11"/>
        <x:v>125198</x:v>
      </x:c>
      <x:c r="AB150" s="5" t="n">
        <x:f>C149-AA150</x:f>
        <x:v>0</x:v>
      </x:c>
      <x:c r="AW150" s="72" t="str">
        <x:v>—</x:v>
      </x:c>
      <x:c r="AX150" s="72" t="str">
        <x:v>—</x:v>
      </x:c>
    </x:row>
    <x:row r="151" s="2" customFormat="1">
      <x:c r="A151" s="1" t="s">
        <x:v>181</x:v>
      </x:c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>
        <x:v>12268</x:v>
      </x:c>
      <x:c r="M151" s="3">
        <x:v>14289</x:v>
      </x:c>
      <x:c r="N151" s="3">
        <x:v>11982</x:v>
      </x:c>
      <x:c r="O151" s="3">
        <x:v>5673</x:v>
      </x:c>
      <x:c r="P151" s="3">
        <x:v>12681</x:v>
      </x:c>
      <x:c r="Q151" s="3">
        <x:v>6855</x:v>
      </x:c>
      <x:c r="R151" s="3">
        <x:v>9601</x:v>
      </x:c>
      <x:c r="S151" s="3">
        <x:v>10494</x:v>
      </x:c>
      <x:c r="T151" s="3">
        <x:v>6404</x:v>
      </x:c>
      <x:c r="U151" s="3">
        <x:v>5396</x:v>
      </x:c>
      <x:c r="V151" s="3"/>
      <x:c r="W151" s="3"/>
      <x:c r="X151" s="3"/>
      <x:c r="Y151" s="3"/>
      <x:c r="AA151" s="5">
        <x:f t="shared" si="11"/>
        <x:v>95643</x:v>
      </x:c>
      <x:c r="AB151" s="5" t="n">
        <x:f>AA151-D149</x:f>
        <x:v>0</x:v>
      </x:c>
      <x:c r="AW151" s="72" t="str">
        <x:v>—</x:v>
      </x:c>
      <x:c r="AX151" s="72" t="str">
        <x:v>—</x:v>
      </x:c>
    </x:row>
    <x:row r="152" s="8" customFormat="1">
      <x:c r="A152" s="6" t="s">
        <x:v>182</x:v>
      </x:c>
      <x:c r="B152" s="7">
        <x:v>1638211</x:v>
      </x:c>
      <x:c r="C152" s="7">
        <x:v>76638</x:v>
      </x:c>
      <x:c r="D152" s="7">
        <x:v>64533</x:v>
      </x:c>
      <x:c r="E152" s="10" t="s">
        <x:v>36</x:v>
      </x:c>
      <x:c r="F152" s="10" t="s">
        <x:v>36</x:v>
      </x:c>
      <x:c r="G152" s="10" t="s">
        <x:v>36</x:v>
      </x:c>
      <x:c r="H152" s="7">
        <x:v>1603763</x:v>
      </x:c>
      <x:c r="I152" s="7">
        <x:v>79881</x:v>
      </x:c>
      <x:c r="J152" s="7">
        <x:v>53513</x:v>
      </x:c>
      <x:c r="K152" s="3"/>
      <x:c r="L152" s="7">
        <x:v>221522</x:v>
      </x:c>
      <x:c r="M152" s="7">
        <x:v>164211</x:v>
      </x:c>
      <x:c r="N152" s="7">
        <x:v>199650</x:v>
      </x:c>
      <x:c r="O152" s="7">
        <x:v>183651</x:v>
      </x:c>
      <x:c r="P152" s="7">
        <x:v>223613</x:v>
      </x:c>
      <x:c r="Q152" s="7">
        <x:v>154610</x:v>
      </x:c>
      <x:c r="R152" s="7">
        <x:v>153556</x:v>
      </x:c>
      <x:c r="S152" s="7">
        <x:v>225795</x:v>
      </x:c>
      <x:c r="T152" s="7"/>
      <x:c r="U152" s="7"/>
      <x:c r="V152" s="7"/>
      <x:c r="W152" s="7"/>
      <x:c r="X152" s="7"/>
      <x:c r="Y152" s="7"/>
      <x:c r="AA152" s="9">
        <x:f t="shared" si="11"/>
        <x:v>1526608</x:v>
      </x:c>
      <x:c r="AB152" s="9" t="n">
        <x:f>AA152-B152</x:f>
        <x:v>-111603</x:v>
      </x:c>
      <x:c r="AW152" s="72" t="n">
        <x:v>46.7</x:v>
      </x:c>
      <x:c r="AX152" s="72" t="n">
        <x:v>39.4</x:v>
      </x:c>
    </x:row>
    <x:row r="153" s="2" customFormat="1">
      <x:c r="A153" s="1" t="s">
        <x:v>183</x:v>
      </x:c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>
        <x:v>11146</x:v>
      </x:c>
      <x:c r="M153" s="3">
        <x:v>7754</x:v>
      </x:c>
      <x:c r="N153" s="3">
        <x:v>9593</x:v>
      </x:c>
      <x:c r="O153" s="3">
        <x:v>8399</x:v>
      </x:c>
      <x:c r="P153" s="3">
        <x:v>11469</x:v>
      </x:c>
      <x:c r="Q153" s="3">
        <x:v>7879</x:v>
      </x:c>
      <x:c r="R153" s="3">
        <x:v>7778</x:v>
      </x:c>
      <x:c r="S153" s="3">
        <x:v>12620</x:v>
      </x:c>
      <x:c r="T153" s="3"/>
      <x:c r="U153" s="3"/>
      <x:c r="V153" s="3"/>
      <x:c r="W153" s="3"/>
      <x:c r="X153" s="3"/>
      <x:c r="Y153" s="3"/>
      <x:c r="AA153" s="5">
        <x:f t="shared" si="11"/>
        <x:v>76638</x:v>
      </x:c>
      <x:c r="AB153" s="5" t="n">
        <x:f>C152-AA153</x:f>
        <x:v>0</x:v>
      </x:c>
      <x:c r="AW153" s="72" t="str">
        <x:v>—</x:v>
      </x:c>
      <x:c r="AX153" s="72" t="str">
        <x:v>—</x:v>
      </x:c>
    </x:row>
    <x:row r="154" s="2" customFormat="1">
      <x:c r="A154" s="1" t="s">
        <x:v>184</x:v>
      </x:c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>
        <x:v>9829</x:v>
      </x:c>
      <x:c r="M154" s="3">
        <x:v>6592</x:v>
      </x:c>
      <x:c r="N154" s="3">
        <x:v>8913</x:v>
      </x:c>
      <x:c r="O154" s="3">
        <x:v>6525</x:v>
      </x:c>
      <x:c r="P154" s="3">
        <x:v>9515</x:v>
      </x:c>
      <x:c r="Q154" s="3">
        <x:v>6589</x:v>
      </x:c>
      <x:c r="R154" s="3">
        <x:v>6714</x:v>
      </x:c>
      <x:c r="S154" s="3">
        <x:v>9856</x:v>
      </x:c>
      <x:c r="T154" s="3"/>
      <x:c r="U154" s="3"/>
      <x:c r="V154" s="3"/>
      <x:c r="W154" s="3"/>
      <x:c r="X154" s="3"/>
      <x:c r="Y154" s="3"/>
      <x:c r="AA154" s="5">
        <x:f t="shared" si="11"/>
        <x:v>64533</x:v>
      </x:c>
      <x:c r="AB154" s="5" t="n">
        <x:f>AA154-D152</x:f>
        <x:v>0</x:v>
      </x:c>
      <x:c r="AW154" s="72" t="str">
        <x:v>—</x:v>
      </x:c>
      <x:c r="AX154" s="72" t="str">
        <x:v>—</x:v>
      </x:c>
    </x:row>
    <x:row r="155" s="8" customFormat="1">
      <x:c r="A155" s="6" t="s">
        <x:v>185</x:v>
      </x:c>
      <x:c r="B155" s="7">
        <x:v>1432371</x:v>
      </x:c>
      <x:c r="C155" s="7">
        <x:v>77397</x:v>
      </x:c>
      <x:c r="D155" s="7">
        <x:v>57188</x:v>
      </x:c>
      <x:c r="E155" s="7">
        <x:v>119553</x:v>
      </x:c>
      <x:c r="F155" s="7">
        <x:v>3180</x:v>
      </x:c>
      <x:c r="G155" s="7">
        <x:v>2837</x:v>
      </x:c>
      <x:c r="H155" s="7">
        <x:v>1365943</x:v>
      </x:c>
      <x:c r="I155" s="7">
        <x:v>73982</x:v>
      </x:c>
      <x:c r="J155" s="7">
        <x:v>52395</x:v>
      </x:c>
      <x:c r="K155" s="3"/>
      <x:c r="L155" s="7">
        <x:v>144643</x:v>
      </x:c>
      <x:c r="M155" s="7">
        <x:v>122114</x:v>
      </x:c>
      <x:c r="N155" s="7">
        <x:v>100787</x:v>
      </x:c>
      <x:c r="O155" s="7">
        <x:v>138523</x:v>
      </x:c>
      <x:c r="P155" s="7">
        <x:v>101217</x:v>
      </x:c>
      <x:c r="Q155" s="7">
        <x:v>100298</x:v>
      </x:c>
      <x:c r="R155" s="7">
        <x:v>122024</x:v>
      </x:c>
      <x:c r="S155" s="7">
        <x:v>95896</x:v>
      </x:c>
      <x:c r="T155" s="7">
        <x:v>111095</x:v>
      </x:c>
      <x:c r="U155" s="7">
        <x:v>166718</x:v>
      </x:c>
      <x:c r="V155" s="7">
        <x:v>113171</x:v>
      </x:c>
      <x:c r="W155" s="7">
        <x:v>115885</x:v>
      </x:c>
      <x:c r="X155" s="7"/>
      <x:c r="Y155" s="7"/>
      <x:c r="AA155" s="9">
        <x:f t="shared" si="11"/>
        <x:v>1432371</x:v>
      </x:c>
      <x:c r="AB155" s="9" t="n">
        <x:f>AA155-B155</x:f>
        <x:v>0</x:v>
      </x:c>
      <x:c r="AW155" s="72" t="n">
        <x:v>54</x:v>
      </x:c>
      <x:c r="AX155" s="72" t="n">
        <x:v>39.9</x:v>
      </x:c>
    </x:row>
    <x:row r="156" s="2" customFormat="1">
      <x:c r="A156" s="1" t="s">
        <x:v>186</x:v>
      </x:c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>
        <x:v>6318</x:v>
      </x:c>
      <x:c r="M156" s="3">
        <x:v>8568</x:v>
      </x:c>
      <x:c r="N156" s="3">
        <x:v>4975</x:v>
      </x:c>
      <x:c r="O156" s="3">
        <x:v>5268</x:v>
      </x:c>
      <x:c r="P156" s="3">
        <x:v>5654</x:v>
      </x:c>
      <x:c r="Q156" s="3">
        <x:v>7109</x:v>
      </x:c>
      <x:c r="R156" s="3">
        <x:v>7261</x:v>
      </x:c>
      <x:c r="S156" s="3">
        <x:v>5137</x:v>
      </x:c>
      <x:c r="T156" s="3">
        <x:v>6515</x:v>
      </x:c>
      <x:c r="U156" s="3">
        <x:v>9294</x:v>
      </x:c>
      <x:c r="V156" s="3">
        <x:v>4731</x:v>
      </x:c>
      <x:c r="W156" s="3">
        <x:v>6567</x:v>
      </x:c>
      <x:c r="X156" s="3"/>
      <x:c r="Y156" s="3"/>
      <x:c r="AA156" s="5">
        <x:f t="shared" si="11"/>
        <x:v>77397</x:v>
      </x:c>
      <x:c r="AB156" s="5" t="n">
        <x:f>C155-AA156</x:f>
        <x:v>0</x:v>
      </x:c>
      <x:c r="AW156" s="72" t="str">
        <x:v>—</x:v>
      </x:c>
      <x:c r="AX156" s="72" t="str">
        <x:v>—</x:v>
      </x:c>
    </x:row>
    <x:row r="157" s="2" customFormat="1">
      <x:c r="A157" s="1" t="s">
        <x:v>187</x:v>
      </x:c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>
        <x:v>4516</x:v>
      </x:c>
      <x:c r="M157" s="3">
        <x:v>6908</x:v>
      </x:c>
      <x:c r="N157" s="3">
        <x:v>3986</x:v>
      </x:c>
      <x:c r="O157" s="3">
        <x:v>4892</x:v>
      </x:c>
      <x:c r="P157" s="3">
        <x:v>4420</x:v>
      </x:c>
      <x:c r="Q157" s="3">
        <x:v>4749</x:v>
      </x:c>
      <x:c r="R157" s="3">
        <x:v>5191</x:v>
      </x:c>
      <x:c r="S157" s="3">
        <x:v>3274</x:v>
      </x:c>
      <x:c r="T157" s="3">
        <x:v>4557</x:v>
      </x:c>
      <x:c r="U157" s="3">
        <x:v>6175</x:v>
      </x:c>
      <x:c r="V157" s="3">
        <x:v>4058</x:v>
      </x:c>
      <x:c r="W157" s="3">
        <x:v>4462</x:v>
      </x:c>
      <x:c r="X157" s="3"/>
      <x:c r="Y157" s="3"/>
      <x:c r="AA157" s="5">
        <x:f t="shared" si="11"/>
        <x:v>57188</x:v>
      </x:c>
      <x:c r="AB157" s="5" t="n">
        <x:f>AA157-D155</x:f>
        <x:v>0</x:v>
      </x:c>
      <x:c r="AW157" s="72" t="str">
        <x:v>—</x:v>
      </x:c>
      <x:c r="AX157" s="72" t="str">
        <x:v>—</x:v>
      </x:c>
    </x:row>
    <x:row r="158" s="8" customFormat="1">
      <x:c r="A158" s="6" t="s">
        <x:v>188</x:v>
      </x:c>
      <x:c r="B158" s="7">
        <x:v>1141751</x:v>
      </x:c>
      <x:c r="C158" s="7">
        <x:v>59522</x:v>
      </x:c>
      <x:c r="D158" s="7">
        <x:v>34918</x:v>
      </x:c>
      <x:c r="E158" s="7">
        <x:v>199523</x:v>
      </x:c>
      <x:c r="F158" s="7">
        <x:v>9011</x:v>
      </x:c>
      <x:c r="G158" s="7">
        <x:v>6002</x:v>
      </x:c>
      <x:c r="H158" s="7">
        <x:v>1093620</x:v>
      </x:c>
      <x:c r="I158" s="7">
        <x:v>54952</x:v>
      </x:c>
      <x:c r="J158" s="7">
        <x:v>33882</x:v>
      </x:c>
      <x:c r="K158" s="3"/>
      <x:c r="L158" s="7">
        <x:v>117038</x:v>
      </x:c>
      <x:c r="M158" s="7">
        <x:v>286181</x:v>
      </x:c>
      <x:c r="N158" s="7">
        <x:v>183985</x:v>
      </x:c>
      <x:c r="O158" s="7">
        <x:v>47052</x:v>
      </x:c>
      <x:c r="P158" s="7">
        <x:v>319835</x:v>
      </x:c>
      <x:c r="Q158" s="7">
        <x:v>31174</x:v>
      </x:c>
      <x:c r="R158" s="7">
        <x:v>81833</x:v>
      </x:c>
      <x:c r="S158" s="7">
        <x:v>47514</x:v>
      </x:c>
      <x:c r="T158" s="7"/>
      <x:c r="U158" s="7"/>
      <x:c r="V158" s="7"/>
      <x:c r="W158" s="7"/>
      <x:c r="X158" s="7"/>
      <x:c r="Y158" s="7"/>
      <x:c r="AA158" s="9">
        <x:f t="shared" si="11"/>
        <x:v>1114612</x:v>
      </x:c>
      <x:c r="AB158" s="9" t="n">
        <x:f>AA158-B158</x:f>
        <x:v>-27139</x:v>
      </x:c>
      <x:c r="AW158" s="72" t="n">
        <x:v>52.1</x:v>
      </x:c>
      <x:c r="AX158" s="72" t="n">
        <x:v>30.6</x:v>
      </x:c>
    </x:row>
    <x:row r="159" s="2" customFormat="1">
      <x:c r="A159" s="1" t="s">
        <x:v>189</x:v>
      </x:c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>
        <x:v>4680</x:v>
      </x:c>
      <x:c r="M159" s="3">
        <x:v>15436</x:v>
      </x:c>
      <x:c r="N159" s="3">
        <x:v>10361</x:v>
      </x:c>
      <x:c r="O159" s="3">
        <x:v>1541</x:v>
      </x:c>
      <x:c r="P159" s="3">
        <x:v>17335</x:v>
      </x:c>
      <x:c r="Q159" s="3">
        <x:v>2019</x:v>
      </x:c>
      <x:c r="R159" s="3">
        <x:v>4120</x:v>
      </x:c>
      <x:c r="S159" s="3">
        <x:v>2110</x:v>
      </x:c>
      <x:c r="T159" s="3"/>
      <x:c r="U159" s="3"/>
      <x:c r="V159" s="3"/>
      <x:c r="W159" s="3"/>
      <x:c r="X159" s="3"/>
      <x:c r="Y159" s="3"/>
      <x:c r="AA159" s="5">
        <x:f t="shared" si="11"/>
        <x:v>57602</x:v>
      </x:c>
      <x:c r="AB159" s="5" t="n">
        <x:f>C158-AA159</x:f>
        <x:v>1920</x:v>
      </x:c>
      <x:c r="AW159" s="72" t="str">
        <x:v>—</x:v>
      </x:c>
      <x:c r="AX159" s="72" t="str">
        <x:v>—</x:v>
      </x:c>
    </x:row>
    <x:row r="160" s="2" customFormat="1">
      <x:c r="A160" s="1" t="s">
        <x:v>190</x:v>
      </x:c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>
        <x:v>2990</x:v>
      </x:c>
      <x:c r="M160" s="3">
        <x:v>10267</x:v>
      </x:c>
      <x:c r="N160" s="3">
        <x:v>4632</x:v>
      </x:c>
      <x:c r="O160" s="3">
        <x:v>648</x:v>
      </x:c>
      <x:c r="P160" s="3">
        <x:v>10746</x:v>
      </x:c>
      <x:c r="Q160" s="3">
        <x:v>898</x:v>
      </x:c>
      <x:c r="R160" s="3">
        <x:v>2521</x:v>
      </x:c>
      <x:c r="S160" s="3">
        <x:v>1071</x:v>
      </x:c>
      <x:c r="T160" s="3"/>
      <x:c r="U160" s="3"/>
      <x:c r="V160" s="3"/>
      <x:c r="W160" s="3"/>
      <x:c r="X160" s="3"/>
      <x:c r="Y160" s="3"/>
      <x:c r="AA160" s="5">
        <x:f t="shared" si="11"/>
        <x:v>33773</x:v>
      </x:c>
      <x:c r="AB160" s="5" t="n">
        <x:f>AA160-D158</x:f>
        <x:v>-1145</x:v>
      </x:c>
      <x:c r="AW160" s="72" t="str">
        <x:v>—</x:v>
      </x:c>
      <x:c r="AX160" s="72" t="str">
        <x:v>—</x:v>
      </x:c>
    </x:row>
    <x:row r="161" s="8" customFormat="1">
      <x:c r="A161" s="6" t="s">
        <x:v>191</x:v>
      </x:c>
      <x:c r="B161" s="7">
        <x:v>2900646</x:v>
      </x:c>
      <x:c r="C161" s="7">
        <x:v>133938</x:v>
      </x:c>
      <x:c r="D161" s="7">
        <x:v>105819</x:v>
      </x:c>
      <x:c r="E161" s="10" t="s">
        <x:v>36</x:v>
      </x:c>
      <x:c r="F161" s="10" t="s">
        <x:v>36</x:v>
      </x:c>
      <x:c r="G161" s="10" t="s">
        <x:v>36</x:v>
      </x:c>
      <x:c r="H161" s="7">
        <x:v>2780130</x:v>
      </x:c>
      <x:c r="I161" s="7">
        <x:v>139738</x:v>
      </x:c>
      <x:c r="J161" s="7">
        <x:v>90522</x:v>
      </x:c>
      <x:c r="K161" s="3"/>
      <x:c r="L161" s="7">
        <x:v>404590</x:v>
      </x:c>
      <x:c r="M161" s="7">
        <x:v>309244</x:v>
      </x:c>
      <x:c r="N161" s="7">
        <x:v>186213</x:v>
      </x:c>
      <x:c r="O161" s="7">
        <x:v>286077</x:v>
      </x:c>
      <x:c r="P161" s="7">
        <x:v>389122</x:v>
      </x:c>
      <x:c r="Q161" s="7">
        <x:v>158289</x:v>
      </x:c>
      <x:c r="R161" s="7">
        <x:v>185309</x:v>
      </x:c>
      <x:c r="S161" s="7">
        <x:v>277436</x:v>
      </x:c>
      <x:c r="T161" s="7">
        <x:v>137804</x:v>
      </x:c>
      <x:c r="U161" s="7">
        <x:v>155691</x:v>
      </x:c>
      <x:c r="V161" s="7">
        <x:v>212204</x:v>
      </x:c>
      <x:c r="W161" s="7">
        <x:v>169547</x:v>
      </x:c>
      <x:c r="X161" s="7"/>
      <x:c r="Y161" s="7"/>
      <x:c r="AA161" s="9"/>
      <x:c r="AB161" s="9" t="n">
        <x:f>AA161-B161</x:f>
        <x:v>-2900646</x:v>
      </x:c>
      <x:c r="AW161" s="72" t="n">
        <x:v>46.5</x:v>
      </x:c>
      <x:c r="AX161" s="72" t="n">
        <x:v>36.4</x:v>
      </x:c>
    </x:row>
    <x:row r="162" s="2" customFormat="1">
      <x:c r="A162" s="1" t="s">
        <x:v>192</x:v>
      </x:c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>
        <x:v>19780</x:v>
      </x:c>
      <x:c r="M162" s="3">
        <x:v>15055</x:v>
      </x:c>
      <x:c r="N162" s="3">
        <x:v>7031</x:v>
      </x:c>
      <x:c r="O162" s="3">
        <x:v>14122</x:v>
      </x:c>
      <x:c r="P162" s="3">
        <x:v>17417</x:v>
      </x:c>
      <x:c r="Q162" s="3">
        <x:v>7807</x:v>
      </x:c>
      <x:c r="R162" s="3">
        <x:v>8414</x:v>
      </x:c>
      <x:c r="S162" s="3">
        <x:v>13290</x:v>
      </x:c>
      <x:c r="T162" s="3">
        <x:v>6725</x:v>
      </x:c>
      <x:c r="U162" s="3">
        <x:v>6801</x:v>
      </x:c>
      <x:c r="V162" s="3">
        <x:v>9465</x:v>
      </x:c>
      <x:c r="W162" s="3">
        <x:v>8031</x:v>
      </x:c>
      <x:c r="X162" s="3"/>
      <x:c r="Y162" s="3"/>
      <x:c r="AA162" s="5"/>
      <x:c r="AB162" s="5" t="n">
        <x:f>C161-AA162</x:f>
        <x:v>133938</x:v>
      </x:c>
      <x:c r="AW162" s="72" t="str">
        <x:v>—</x:v>
      </x:c>
      <x:c r="AX162" s="72" t="str">
        <x:v>—</x:v>
      </x:c>
    </x:row>
    <x:row r="163" s="2" customFormat="1">
      <x:c r="A163" s="1" t="s">
        <x:v>193</x:v>
      </x:c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>
        <x:v>15434</x:v>
      </x:c>
      <x:c r="M163" s="3">
        <x:v>10139</x:v>
      </x:c>
      <x:c r="N163" s="3">
        <x:v>6071</x:v>
      </x:c>
      <x:c r="O163" s="3">
        <x:v>13115</x:v>
      </x:c>
      <x:c r="P163" s="3">
        <x:v>13362</x:v>
      </x:c>
      <x:c r="Q163" s="3">
        <x:v>6260</x:v>
      </x:c>
      <x:c r="R163" s="3">
        <x:v>6408</x:v>
      </x:c>
      <x:c r="S163" s="3">
        <x:v>10131</x:v>
      </x:c>
      <x:c r="T163" s="3">
        <x:v>5048</x:v>
      </x:c>
      <x:c r="U163" s="3">
        <x:v>5458</x:v>
      </x:c>
      <x:c r="V163" s="3">
        <x:v>8505</x:v>
      </x:c>
      <x:c r="W163" s="3">
        <x:v>5788</x:v>
      </x:c>
      <x:c r="X163" s="3"/>
      <x:c r="Y163" s="3"/>
      <x:c r="AA163" s="5"/>
      <x:c r="AB163" s="5" t="n">
        <x:f>AA163-D161</x:f>
        <x:v>-105819</x:v>
      </x:c>
      <x:c r="AW163" s="72" t="str">
        <x:v>—</x:v>
      </x:c>
      <x:c r="AX163" s="72" t="str">
        <x:v>—</x:v>
      </x:c>
    </x:row>
    <x:row r="164" s="8" customFormat="1">
      <x:c r="A164" s="6" t="s">
        <x:v>194</x:v>
      </x:c>
      <x:c r="B164" s="7">
        <x:v>1851150</x:v>
      </x:c>
      <x:c r="C164" s="7">
        <x:v>85187</x:v>
      </x:c>
      <x:c r="D164" s="7">
        <x:v>62036</x:v>
      </x:c>
      <x:c r="E164" s="7">
        <x:v>151156</x:v>
      </x:c>
      <x:c r="F164" s="7">
        <x:v>4900</x:v>
      </x:c>
      <x:c r="G164" s="7">
        <x:v>4313</x:v>
      </x:c>
      <x:c r="H164" s="7">
        <x:v>1807497</x:v>
      </x:c>
      <x:c r="I164" s="7">
        <x:v>82938</x:v>
      </x:c>
      <x:c r="J164" s="7">
        <x:v>59246</x:v>
      </x:c>
      <x:c r="K164" s="3"/>
      <x:c r="L164" s="7">
        <x:v>165985</x:v>
      </x:c>
      <x:c r="M164" s="7">
        <x:v>244799</x:v>
      </x:c>
      <x:c r="N164" s="7">
        <x:v>153179</x:v>
      </x:c>
      <x:c r="O164" s="7">
        <x:v>174729</x:v>
      </x:c>
      <x:c r="P164" s="7">
        <x:v>116521</x:v>
      </x:c>
      <x:c r="Q164" s="7">
        <x:v>136814</x:v>
      </x:c>
      <x:c r="R164" s="7">
        <x:v>139951</x:v>
      </x:c>
      <x:c r="S164" s="7">
        <x:v>129805</x:v>
      </x:c>
      <x:c r="T164" s="7">
        <x:v>123917</x:v>
      </x:c>
      <x:c r="U164" s="7">
        <x:v>140821</x:v>
      </x:c>
      <x:c r="V164" s="7">
        <x:v>158064</x:v>
      </x:c>
      <x:c r="W164" s="7">
        <x:v>166565</x:v>
      </x:c>
      <x:c r="X164" s="7"/>
      <x:c r="Y164" s="7"/>
      <x:c r="AA164" s="9"/>
      <x:c r="AB164" s="9" t="n">
        <x:f>AA164-B164</x:f>
        <x:v>-1851150</x:v>
      </x:c>
      <x:c r="AW164" s="72" t="n">
        <x:v>46</x:v>
      </x:c>
      <x:c r="AX164" s="72" t="n">
        <x:v>34.1</x:v>
      </x:c>
    </x:row>
    <x:row r="165" s="2" customFormat="1">
      <x:c r="A165" s="1" t="s">
        <x:v>195</x:v>
      </x:c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>
        <x:v>7567</x:v>
      </x:c>
      <x:c r="M165" s="3">
        <x:v>12365</x:v>
      </x:c>
      <x:c r="N165" s="3">
        <x:v>6928</x:v>
      </x:c>
      <x:c r="O165" s="3">
        <x:v>7823</x:v>
      </x:c>
      <x:c r="P165" s="3">
        <x:v>5011</x:v>
      </x:c>
      <x:c r="Q165" s="3">
        <x:v>6035</x:v>
      </x:c>
      <x:c r="R165" s="3">
        <x:v>5896</x:v>
      </x:c>
      <x:c r="S165" s="3">
        <x:v>6020</x:v>
      </x:c>
      <x:c r="T165" s="3">
        <x:v>6192</x:v>
      </x:c>
      <x:c r="U165" s="3">
        <x:v>7330</x:v>
      </x:c>
      <x:c r="V165" s="3">
        <x:v>7111</x:v>
      </x:c>
      <x:c r="W165" s="3">
        <x:v>6909</x:v>
      </x:c>
      <x:c r="X165" s="3"/>
      <x:c r="Y165" s="3"/>
      <x:c r="AA165" s="5"/>
      <x:c r="AB165" s="5" t="n">
        <x:f>C164-AA165</x:f>
        <x:v>85187</x:v>
      </x:c>
      <x:c r="AW165" s="72" t="str">
        <x:v>—</x:v>
      </x:c>
      <x:c r="AX165" s="72" t="str">
        <x:v>—</x:v>
      </x:c>
    </x:row>
    <x:row r="166" s="2" customFormat="1">
      <x:c r="A166" s="1" t="s">
        <x:v>196</x:v>
      </x:c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>
        <x:v>5619</x:v>
      </x:c>
      <x:c r="M166" s="3">
        <x:v>8455</x:v>
      </x:c>
      <x:c r="N166" s="3">
        <x:v>5509</x:v>
      </x:c>
      <x:c r="O166" s="3">
        <x:v>5085</x:v>
      </x:c>
      <x:c r="P166" s="3">
        <x:v>3704</x:v>
      </x:c>
      <x:c r="Q166" s="3">
        <x:v>4696</x:v>
      </x:c>
      <x:c r="R166" s="3">
        <x:v>4887</x:v>
      </x:c>
      <x:c r="S166" s="3">
        <x:v>4451</x:v>
      </x:c>
      <x:c r="T166" s="3">
        <x:v>4477</x:v>
      </x:c>
      <x:c r="U166" s="3">
        <x:v>5312</x:v>
      </x:c>
      <x:c r="V166" s="3">
        <x:v>5054</x:v>
      </x:c>
      <x:c r="W166" s="3">
        <x:v>4787</x:v>
      </x:c>
      <x:c r="X166" s="3"/>
      <x:c r="Y166" s="3"/>
      <x:c r="AA166" s="5"/>
      <x:c r="AB166" s="5" t="n">
        <x:f>AA166-D164</x:f>
        <x:v>-62036</x:v>
      </x:c>
      <x:c r="AW166" s="72" t="str">
        <x:v>—</x:v>
      </x:c>
      <x:c r="AX166" s="72" t="str">
        <x:v>—</x:v>
      </x:c>
    </x:row>
    <x:row r="167" s="8" customFormat="1">
      <x:c r="A167" s="6" t="s">
        <x:v>197</x:v>
      </x:c>
      <x:c r="B167" s="7">
        <x:v>1515881</x:v>
      </x:c>
      <x:c r="C167" s="7">
        <x:v>79257</x:v>
      </x:c>
      <x:c r="D167" s="7">
        <x:v>60358</x:v>
      </x:c>
      <x:c r="E167" s="7">
        <x:v>128298</x:v>
      </x:c>
      <x:c r="F167" s="7">
        <x:v>5091</x:v>
      </x:c>
      <x:c r="G167" s="7">
        <x:v>4845</x:v>
      </x:c>
      <x:c r="H167" s="7">
        <x:v>1463993</x:v>
      </x:c>
      <x:c r="I167" s="7">
        <x:v>74533</x:v>
      </x:c>
      <x:c r="J167" s="7">
        <x:v>55740</x:v>
      </x:c>
      <x:c r="K167" s="3"/>
      <x:c r="L167" s="7">
        <x:v>164814</x:v>
      </x:c>
      <x:c r="M167" s="7">
        <x:v>91556</x:v>
      </x:c>
      <x:c r="N167" s="7">
        <x:v>173412</x:v>
      </x:c>
      <x:c r="O167" s="7">
        <x:v>87370</x:v>
      </x:c>
      <x:c r="P167" s="7">
        <x:v>126248</x:v>
      </x:c>
      <x:c r="Q167" s="7">
        <x:v>138791</x:v>
      </x:c>
      <x:c r="R167" s="7">
        <x:v>174518</x:v>
      </x:c>
      <x:c r="S167" s="7">
        <x:v>82219</x:v>
      </x:c>
      <x:c r="T167" s="7">
        <x:v>107751</x:v>
      </x:c>
      <x:c r="U167" s="7">
        <x:v>152079</x:v>
      </x:c>
      <x:c r="V167" s="7">
        <x:v>102478</x:v>
      </x:c>
      <x:c r="W167" s="7">
        <x:v>114645</x:v>
      </x:c>
      <x:c r="X167" s="7"/>
      <x:c r="Y167" s="7"/>
      <x:c r="AA167" s="9"/>
      <x:c r="AB167" s="9" t="n">
        <x:f>AA167-B167</x:f>
        <x:v>-1515881</x:v>
      </x:c>
      <x:c r="AW167" s="72" t="n">
        <x:v>52.3</x:v>
      </x:c>
      <x:c r="AX167" s="72" t="n">
        <x:v>39.8</x:v>
      </x:c>
    </x:row>
    <x:row r="168" s="2" customFormat="1">
      <x:c r="A168" s="1" t="s">
        <x:v>198</x:v>
      </x:c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>
        <x:v>8712</x:v>
      </x:c>
      <x:c r="M168" s="3">
        <x:v>4222</x:v>
      </x:c>
      <x:c r="N168" s="3">
        <x:v>9858</x:v>
      </x:c>
      <x:c r="O168" s="3">
        <x:v>3753</x:v>
      </x:c>
      <x:c r="P168" s="3">
        <x:v>5998</x:v>
      </x:c>
      <x:c r="Q168" s="3">
        <x:v>6953</x:v>
      </x:c>
      <x:c r="R168" s="3">
        <x:v>9521</x:v>
      </x:c>
      <x:c r="S168" s="3">
        <x:v>4086</x:v>
      </x:c>
      <x:c r="T168" s="3">
        <x:v>6051</x:v>
      </x:c>
      <x:c r="U168" s="3">
        <x:v>8469</x:v>
      </x:c>
      <x:c r="V168" s="3">
        <x:v>5299</x:v>
      </x:c>
      <x:c r="W168" s="3">
        <x:v>6335</x:v>
      </x:c>
      <x:c r="X168" s="3"/>
      <x:c r="Y168" s="3"/>
      <x:c r="AA168" s="5"/>
      <x:c r="AB168" s="5" t="n">
        <x:f>C167-AA168</x:f>
        <x:v>79257</x:v>
      </x:c>
      <x:c r="AW168" s="72" t="str">
        <x:v>—</x:v>
      </x:c>
      <x:c r="AX168" s="72" t="str">
        <x:v>—</x:v>
      </x:c>
    </x:row>
    <x:row r="169" s="2" customFormat="1">
      <x:c r="A169" s="1" t="s">
        <x:v>199</x:v>
      </x:c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>
        <x:v>8383</x:v>
      </x:c>
      <x:c r="M169" s="3">
        <x:v>2865</x:v>
      </x:c>
      <x:c r="N169" s="3">
        <x:v>7410</x:v>
      </x:c>
      <x:c r="O169" s="3">
        <x:v>2864</x:v>
      </x:c>
      <x:c r="P169" s="3">
        <x:v>4066</x:v>
      </x:c>
      <x:c r="Q169" s="3">
        <x:v>4982</x:v>
      </x:c>
      <x:c r="R169" s="3">
        <x:v>7504</x:v>
      </x:c>
      <x:c r="S169" s="3">
        <x:v>3715</x:v>
      </x:c>
      <x:c r="T169" s="3">
        <x:v>4611</x:v>
      </x:c>
      <x:c r="U169" s="3">
        <x:v>5712</x:v>
      </x:c>
      <x:c r="V169" s="3">
        <x:v>4243</x:v>
      </x:c>
      <x:c r="W169" s="3">
        <x:v>4003</x:v>
      </x:c>
      <x:c r="X169" s="3"/>
      <x:c r="Y169" s="3"/>
      <x:c r="AA169" s="5"/>
      <x:c r="AB169" s="5" t="n">
        <x:f>AA169-D167</x:f>
        <x:v>-60358</x:v>
      </x:c>
      <x:c r="AW169" s="72" t="str">
        <x:v>—</x:v>
      </x:c>
      <x:c r="AX169" s="72" t="str">
        <x:v>—</x:v>
      </x:c>
    </x:row>
    <x:row r="170" s="8" customFormat="1">
      <x:c r="A170" s="6" t="s">
        <x:v>200</x:v>
      </x:c>
      <x:c r="B170" s="7">
        <x:v>2057807</x:v>
      </x:c>
      <x:c r="C170" s="7">
        <x:v>98722</x:v>
      </x:c>
      <x:c r="D170" s="7">
        <x:v>6300</x:v>
      </x:c>
      <x:c r="E170" s="7">
        <x:v>82923</x:v>
      </x:c>
      <x:c r="F170" s="7">
        <x:v>4095</x:v>
      </x:c>
      <x:c r="G170" s="7">
        <x:v>3189</x:v>
      </x:c>
      <x:c r="H170" s="7">
        <x:v>1980113</x:v>
      </x:c>
      <x:c r="I170" s="7">
        <x:v>93603</x:v>
      </x:c>
      <x:c r="J170" s="7">
        <x:v>62562</x:v>
      </x:c>
      <x:c r="K170" s="3"/>
      <x:c r="L170" s="7">
        <x:v>330397</x:v>
      </x:c>
      <x:c r="M170" s="7">
        <x:v>392742</x:v>
      </x:c>
      <x:c r="N170" s="7">
        <x:v>463249</x:v>
      </x:c>
      <x:c r="O170" s="7">
        <x:v>173047</x:v>
      </x:c>
      <x:c r="P170" s="7">
        <x:v>375068</x:v>
      </x:c>
      <x:c r="Q170" s="7">
        <x:v>316590</x:v>
      </x:c>
      <x:c r="R170" s="7"/>
      <x:c r="S170" s="7"/>
      <x:c r="T170" s="7"/>
      <x:c r="U170" s="7"/>
      <x:c r="V170" s="7"/>
      <x:c r="W170" s="7"/>
      <x:c r="X170" s="7"/>
      <x:c r="Y170" s="7"/>
      <x:c r="AA170" s="9"/>
      <x:c r="AB170" s="9" t="n">
        <x:f>AA170-B170</x:f>
        <x:v>-2057807</x:v>
      </x:c>
      <x:c r="AW170" s="72" t="n">
        <x:v>47.4</x:v>
      </x:c>
      <x:c r="AX170" s="72" t="n">
        <x:v>32.6</x:v>
      </x:c>
    </x:row>
    <x:row r="171" s="2" customFormat="1">
      <x:c r="A171" s="1" t="s">
        <x:v>201</x:v>
      </x:c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>
        <x:v>17022</x:v>
      </x:c>
      <x:c r="M171" s="3">
        <x:v>18579</x:v>
      </x:c>
      <x:c r="N171" s="3">
        <x:v>21386</x:v>
      </x:c>
      <x:c r="O171" s="3">
        <x:v>9067</x:v>
      </x:c>
      <x:c r="P171" s="3">
        <x:v>17275</x:v>
      </x:c>
      <x:c r="Q171" s="3">
        <x:v>15394</x:v>
      </x:c>
      <x:c r="R171" s="3"/>
      <x:c r="S171" s="3"/>
      <x:c r="T171" s="3"/>
      <x:c r="U171" s="3"/>
      <x:c r="V171" s="3"/>
      <x:c r="W171" s="3"/>
      <x:c r="X171" s="3"/>
      <x:c r="Y171" s="3"/>
      <x:c r="AA171" s="5"/>
      <x:c r="AB171" s="5" t="n">
        <x:f>C170-AA171</x:f>
        <x:v>98722</x:v>
      </x:c>
      <x:c r="AW171" s="72" t="str">
        <x:v>—</x:v>
      </x:c>
      <x:c r="AX171" s="72" t="str">
        <x:v>—</x:v>
      </x:c>
    </x:row>
    <x:row r="172" s="2" customFormat="1">
      <x:c r="A172" s="1" t="s">
        <x:v>202</x:v>
      </x:c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>
        <x:v>1186</x:v>
      </x:c>
      <x:c r="M172" s="3">
        <x:v>12393</x:v>
      </x:c>
      <x:c r="N172" s="3">
        <x:v>13799</x:v>
      </x:c>
      <x:c r="O172" s="3">
        <x:v>7669</x:v>
      </x:c>
      <x:c r="P172" s="3">
        <x:v>12159</x:v>
      </x:c>
      <x:c r="Q172" s="3">
        <x:v>10123</x:v>
      </x:c>
      <x:c r="R172" s="3"/>
      <x:c r="S172" s="3"/>
      <x:c r="T172" s="3"/>
      <x:c r="U172" s="3"/>
      <x:c r="V172" s="3"/>
      <x:c r="W172" s="3"/>
      <x:c r="X172" s="3"/>
      <x:c r="Y172" s="3"/>
      <x:c r="AA172" s="5"/>
      <x:c r="AB172" s="5" t="n">
        <x:f>AA172-D170</x:f>
        <x:v>-6300</x:v>
      </x:c>
      <x:c r="AW172" s="72" t="str">
        <x:v>—</x:v>
      </x:c>
      <x:c r="AX172" s="72" t="str">
        <x:v>—</x:v>
      </x:c>
    </x:row>
    <x:row r="173" s="8" customFormat="1">
      <x:c r="A173" s="6" t="s">
        <x:v>203</x:v>
      </x:c>
      <x:c r="B173" s="7">
        <x:v>2465668</x:v>
      </x:c>
      <x:c r="C173" s="7">
        <x:v>118718</x:v>
      </x:c>
      <x:c r="D173" s="7">
        <x:v>93117</x:v>
      </x:c>
      <x:c r="E173" s="7">
        <x:v>327309</x:v>
      </x:c>
      <x:c r="F173" s="10" t="s">
        <x:v>36</x:v>
      </x:c>
      <x:c r="G173" s="10" t="s">
        <x:v>36</x:v>
      </x:c>
      <x:c r="H173" s="7">
        <x:v>2366337</x:v>
      </x:c>
      <x:c r="I173" s="7">
        <x:v>118072</x:v>
      </x:c>
      <x:c r="J173" s="7">
        <x:v>83439</x:v>
      </x:c>
      <x:c r="K173" s="3"/>
      <x:c r="L173" s="7">
        <x:v>363328</x:v>
      </x:c>
      <x:c r="M173" s="7">
        <x:v>143178</x:v>
      </x:c>
      <x:c r="N173" s="7">
        <x:v>154827</x:v>
      </x:c>
      <x:c r="O173" s="7">
        <x:v>125548</x:v>
      </x:c>
      <x:c r="P173" s="7">
        <x:v>161645</x:v>
      </x:c>
      <x:c r="Q173" s="7">
        <x:v>222205</x:v>
      </x:c>
      <x:c r="R173" s="7">
        <x:v>307733</x:v>
      </x:c>
      <x:c r="S173" s="7">
        <x:v>231620</x:v>
      </x:c>
      <x:c r="T173" s="7">
        <x:v>167719</x:v>
      </x:c>
      <x:c r="U173" s="7">
        <x:v>382086</x:v>
      </x:c>
      <x:c r="V173" s="7">
        <x:v>205779</x:v>
      </x:c>
      <x:c r="W173" s="7"/>
      <x:c r="X173" s="7"/>
      <x:c r="Y173" s="7"/>
      <x:c r="AA173" s="9"/>
      <x:c r="AB173" s="9" t="n">
        <x:f>AA173-B173</x:f>
        <x:v>-2465668</x:v>
      </x:c>
      <x:c r="AW173" s="72" t="n">
        <x:v>48.1</x:v>
      </x:c>
      <x:c r="AX173" s="72" t="n">
        <x:v>37.7</x:v>
      </x:c>
    </x:row>
    <x:row r="174" s="2" customFormat="1">
      <x:c r="A174" s="1" t="s">
        <x:v>204</x:v>
      </x:c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>
        <x:v>13556</x:v>
      </x:c>
      <x:c r="M174" s="3">
        <x:v>7113</x:v>
      </x:c>
      <x:c r="N174" s="3">
        <x:v>7253</x:v>
      </x:c>
      <x:c r="O174" s="3">
        <x:v>6498</x:v>
      </x:c>
      <x:c r="P174" s="3">
        <x:v>8974</x:v>
      </x:c>
      <x:c r="Q174" s="3">
        <x:v>11078</x:v>
      </x:c>
      <x:c r="R174" s="3">
        <x:v>14454</x:v>
      </x:c>
      <x:c r="S174" s="3">
        <x:v>10974</x:v>
      </x:c>
      <x:c r="T174" s="3">
        <x:v>8568</x:v>
      </x:c>
      <x:c r="U174" s="3">
        <x:v>19978</x:v>
      </x:c>
      <x:c r="V174" s="3">
        <x:v>10272</x:v>
      </x:c>
      <x:c r="W174" s="3"/>
      <x:c r="X174" s="3"/>
      <x:c r="Y174" s="3"/>
      <x:c r="AA174" s="5"/>
      <x:c r="AB174" s="5" t="n">
        <x:f>C173-AA174</x:f>
        <x:v>118718</x:v>
      </x:c>
      <x:c r="AW174" s="72" t="str">
        <x:v>—</x:v>
      </x:c>
      <x:c r="AX174" s="72" t="str">
        <x:v>—</x:v>
      </x:c>
    </x:row>
    <x:row r="175" s="2" customFormat="1">
      <x:c r="A175" s="1" t="s">
        <x:v>205</x:v>
      </x:c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>
        <x:v>9629</x:v>
      </x:c>
      <x:c r="M175" s="3">
        <x:v>4714</x:v>
      </x:c>
      <x:c r="N175" s="3">
        <x:v>5330</x:v>
      </x:c>
      <x:c r="O175" s="3">
        <x:v>4797</x:v>
      </x:c>
      <x:c r="P175" s="3">
        <x:v>7199</x:v>
      </x:c>
      <x:c r="Q175" s="3">
        <x:v>9283</x:v>
      </x:c>
      <x:c r="R175" s="3">
        <x:v>10792</x:v>
      </x:c>
      <x:c r="S175" s="3">
        <x:v>9587</x:v>
      </x:c>
      <x:c r="T175" s="3">
        <x:v>6361</x:v>
      </x:c>
      <x:c r="U175" s="3">
        <x:v>16822</x:v>
      </x:c>
      <x:c r="V175" s="3">
        <x:v>8603</x:v>
      </x:c>
      <x:c r="W175" s="3"/>
      <x:c r="X175" s="3"/>
      <x:c r="Y175" s="3"/>
      <x:c r="AA175" s="5"/>
      <x:c r="AB175" s="5" t="n">
        <x:f>AA175-D173</x:f>
        <x:v>-93117</x:v>
      </x:c>
      <x:c r="AW175" s="72" t="str">
        <x:v>—</x:v>
      </x:c>
      <x:c r="AX175" s="72" t="str">
        <x:v>—</x:v>
      </x:c>
    </x:row>
    <x:row r="176" s="8" customFormat="1">
      <x:c r="A176" s="6" t="s">
        <x:v>206</x:v>
      </x:c>
      <x:c r="B176" s="7">
        <x:v>1849664</x:v>
      </x:c>
      <x:c r="C176" s="7">
        <x:v>97498</x:v>
      </x:c>
      <x:c r="D176" s="7">
        <x:v>60257</x:v>
      </x:c>
      <x:c r="E176" s="7">
        <x:v>290205</x:v>
      </x:c>
      <x:c r="F176" s="7">
        <x:v>14825</x:v>
      </x:c>
      <x:c r="G176" s="7">
        <x:v>9717</x:v>
      </x:c>
      <x:c r="H176" s="7">
        <x:v>1788319</x:v>
      </x:c>
      <x:c r="I176" s="7">
        <x:v>98970</x:v>
      </x:c>
      <x:c r="J176" s="7">
        <x:v>56301</x:v>
      </x:c>
      <x:c r="K176" s="3"/>
      <x:c r="L176" s="7">
        <x:v>424667</x:v>
      </x:c>
      <x:c r="M176" s="7">
        <x:v>359676</x:v>
      </x:c>
      <x:c r="N176" s="7">
        <x:v>193924</x:v>
      </x:c>
      <x:c r="O176" s="7">
        <x:v>499934</x:v>
      </x:c>
      <x:c r="P176" s="7">
        <x:v>165567</x:v>
      </x:c>
      <x:c r="Q176" s="7">
        <x:v>205896</x:v>
      </x:c>
      <x:c r="R176" s="7"/>
      <x:c r="S176" s="7"/>
      <x:c r="T176" s="7"/>
      <x:c r="U176" s="7"/>
      <x:c r="V176" s="7"/>
      <x:c r="W176" s="7"/>
      <x:c r="X176" s="7"/>
      <x:c r="Y176" s="7"/>
      <x:c r="AA176" s="9"/>
      <x:c r="AB176" s="9" t="n">
        <x:f>AA176-B176</x:f>
        <x:v>-1849664</x:v>
      </x:c>
      <x:c r="AW176" s="72" t="n">
        <x:v>52.7</x:v>
      </x:c>
      <x:c r="AX176" s="72" t="n">
        <x:v>32.5</x:v>
      </x:c>
    </x:row>
    <x:row r="177" s="2" customFormat="1">
      <x:c r="A177" s="1" t="s">
        <x:v>207</x:v>
      </x:c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>
        <x:v>21717</x:v>
      </x:c>
      <x:c r="M177" s="3">
        <x:v>18868</x:v>
      </x:c>
      <x:c r="N177" s="3">
        <x:v>10992</x:v>
      </x:c>
      <x:c r="O177" s="3">
        <x:v>26115</x:v>
      </x:c>
      <x:c r="P177" s="3">
        <x:v>10054</x:v>
      </x:c>
      <x:c r="Q177" s="3">
        <x:v>9752</x:v>
      </x:c>
      <x:c r="R177" s="3"/>
      <x:c r="S177" s="3"/>
      <x:c r="T177" s="3"/>
      <x:c r="U177" s="3"/>
      <x:c r="V177" s="3"/>
      <x:c r="W177" s="3"/>
      <x:c r="X177" s="3"/>
      <x:c r="Y177" s="3"/>
      <x:c r="AA177" s="5"/>
      <x:c r="AB177" s="5" t="n">
        <x:f>C176-AA177</x:f>
        <x:v>97498</x:v>
      </x:c>
      <x:c r="AW177" s="72" t="str">
        <x:v>—</x:v>
      </x:c>
      <x:c r="AX177" s="72" t="str">
        <x:v>—</x:v>
      </x:c>
    </x:row>
    <x:row r="178" s="2" customFormat="1">
      <x:c r="A178" s="1" t="s">
        <x:v>208</x:v>
      </x:c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>
        <x:v>14164</x:v>
      </x:c>
      <x:c r="M178" s="3">
        <x:v>12741</x:v>
      </x:c>
      <x:c r="N178" s="3">
        <x:v>6958</x:v>
      </x:c>
      <x:c r="O178" s="3">
        <x:v>15760</x:v>
      </x:c>
      <x:c r="P178" s="3">
        <x:v>5159</x:v>
      </x:c>
      <x:c r="Q178" s="3">
        <x:v>5475</x:v>
      </x:c>
      <x:c r="R178" s="3"/>
      <x:c r="S178" s="3"/>
      <x:c r="T178" s="3"/>
      <x:c r="U178" s="3"/>
      <x:c r="V178" s="3"/>
      <x:c r="W178" s="3"/>
      <x:c r="X178" s="3"/>
      <x:c r="Y178" s="3"/>
      <x:c r="AA178" s="5"/>
      <x:c r="AB178" s="5" t="n">
        <x:f>AA178-D176</x:f>
        <x:v>-60257</x:v>
      </x:c>
      <x:c r="AW178" s="72" t="str">
        <x:v>—</x:v>
      </x:c>
      <x:c r="AX178" s="72" t="str">
        <x:v>—</x:v>
      </x:c>
    </x:row>
    <x:row r="179" s="8" customFormat="1">
      <x:c r="A179" s="6" t="s">
        <x:v>209</x:v>
      </x:c>
      <x:c r="B179" s="7">
        <x:v>2244377</x:v>
      </x:c>
      <x:c r="C179" s="7">
        <x:v>105242</x:v>
      </x:c>
      <x:c r="D179" s="7">
        <x:v>77254</x:v>
      </x:c>
      <x:c r="E179" s="7">
        <x:v>212547</x:v>
      </x:c>
      <x:c r="F179" s="7">
        <x:v>6874</x:v>
      </x:c>
      <x:c r="G179" s="7">
        <x:v>5169</x:v>
      </x:c>
      <x:c r="H179" s="7">
        <x:v>2162199</x:v>
      </x:c>
      <x:c r="I179" s="7">
        <x:v>106631</x:v>
      </x:c>
      <x:c r="J179" s="7">
        <x:v>67074</x:v>
      </x:c>
      <x:c r="K179" s="3"/>
      <x:c r="L179" s="7">
        <x:v>161199</x:v>
      </x:c>
      <x:c r="M179" s="7">
        <x:v>153923</x:v>
      </x:c>
      <x:c r="N179" s="7">
        <x:v>137594</x:v>
      </x:c>
      <x:c r="O179" s="7">
        <x:v>133428</x:v>
      </x:c>
      <x:c r="P179" s="7">
        <x:v>170182</x:v>
      </x:c>
      <x:c r="Q179" s="7">
        <x:v>148145</x:v>
      </x:c>
      <x:c r="R179" s="7">
        <x:v>124246</x:v>
      </x:c>
      <x:c r="S179" s="7">
        <x:v>135456</x:v>
      </x:c>
      <x:c r="T179" s="7">
        <x:v>138090</x:v>
      </x:c>
      <x:c r="U179" s="7">
        <x:v>177089</x:v>
      </x:c>
      <x:c r="V179" s="7">
        <x:v>173173</x:v>
      </x:c>
      <x:c r="W179" s="7">
        <x:v>136310</x:v>
      </x:c>
      <x:c r="X179" s="7">
        <x:v>149793</x:v>
      </x:c>
      <x:c r="Y179" s="7">
        <x:v>166979</x:v>
      </x:c>
      <x:c r="Z179" s="21">
        <x:v>178770</x:v>
      </x:c>
      <x:c r="AA179" s="9"/>
      <x:c r="AB179" s="9" t="n">
        <x:f>AA179-B179</x:f>
        <x:v>-2244377</x:v>
      </x:c>
      <x:c r="AW179" s="72" t="n">
        <x:v>46.9</x:v>
      </x:c>
      <x:c r="AX179" s="72" t="n">
        <x:v>34.4</x:v>
      </x:c>
    </x:row>
    <x:row r="180" s="2" customFormat="1">
      <x:c r="A180" s="1" t="s">
        <x:v>210</x:v>
      </x:c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>
        <x:v>7137</x:v>
      </x:c>
      <x:c r="M180" s="3">
        <x:v>6706</x:v>
      </x:c>
      <x:c r="N180" s="3">
        <x:v>6099</x:v>
      </x:c>
      <x:c r="O180" s="3">
        <x:v>7070</x:v>
      </x:c>
      <x:c r="P180" s="3">
        <x:v>6232</x:v>
      </x:c>
      <x:c r="Q180" s="3">
        <x:v>6579</x:v>
      </x:c>
      <x:c r="R180" s="3">
        <x:v>5827</x:v>
      </x:c>
      <x:c r="S180" s="3">
        <x:v>6447</x:v>
      </x:c>
      <x:c r="T180" s="3">
        <x:v>7186</x:v>
      </x:c>
      <x:c r="U180" s="3">
        <x:v>8182</x:v>
      </x:c>
      <x:c r="V180" s="3">
        <x:v>7525</x:v>
      </x:c>
      <x:c r="W180" s="3">
        <x:v>6788</x:v>
      </x:c>
      <x:c r="X180" s="3">
        <x:v>7384</x:v>
      </x:c>
      <x:c r="Y180" s="3">
        <x:v>6973</x:v>
      </x:c>
      <x:c r="Z180" s="21">
        <x:v>9107</x:v>
      </x:c>
      <x:c r="AA180" s="5"/>
      <x:c r="AB180" s="5" t="n">
        <x:f>C179-AA180</x:f>
        <x:v>105242</x:v>
      </x:c>
      <x:c r="AW180" s="72" t="str">
        <x:v>—</x:v>
      </x:c>
      <x:c r="AX180" s="72" t="str">
        <x:v>—</x:v>
      </x:c>
    </x:row>
    <x:row r="181" s="2" customFormat="1">
      <x:c r="A181" s="1" t="s">
        <x:v>211</x:v>
      </x:c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>
        <x:v>5758</x:v>
      </x:c>
      <x:c r="M181" s="3">
        <x:v>6068</x:v>
      </x:c>
      <x:c r="N181" s="3">
        <x:v>4151</x:v>
      </x:c>
      <x:c r="O181" s="3">
        <x:v>4671</x:v>
      </x:c>
      <x:c r="P181" s="3">
        <x:v>5397</x:v>
      </x:c>
      <x:c r="Q181" s="3">
        <x:v>5428</x:v>
      </x:c>
      <x:c r="R181" s="3">
        <x:v>3925</x:v>
      </x:c>
      <x:c r="S181" s="3">
        <x:v>4772</x:v>
      </x:c>
      <x:c r="T181" s="3">
        <x:v>4473</x:v>
      </x:c>
      <x:c r="U181" s="3">
        <x:v>5250</x:v>
      </x:c>
      <x:c r="V181" s="3">
        <x:v>6557</x:v>
      </x:c>
      <x:c r="W181" s="3">
        <x:v>5114</x:v>
      </x:c>
      <x:c r="X181" s="3">
        <x:v>5827</x:v>
      </x:c>
      <x:c r="Y181" s="3">
        <x:v>4525</x:v>
      </x:c>
      <x:c r="Z181" s="21">
        <x:v>5338</x:v>
      </x:c>
      <x:c r="AA181" s="5"/>
      <x:c r="AB181" s="5" t="n">
        <x:f>AA181-D179</x:f>
        <x:v>-77254</x:v>
      </x:c>
      <x:c r="AW181" s="72" t="str">
        <x:v>—</x:v>
      </x:c>
      <x:c r="AX181" s="72" t="str">
        <x:v>—</x:v>
      </x:c>
    </x:row>
    <x:row r="182" s="8" customFormat="1">
      <x:c r="A182" s="6" t="s">
        <x:v>212</x:v>
      </x:c>
      <x:c r="B182" s="7">
        <x:v>1198269</x:v>
      </x:c>
      <x:c r="C182" s="7">
        <x:v>44232</x:v>
      </x:c>
      <x:c r="D182" s="7">
        <x:v>39027</x:v>
      </x:c>
      <x:c r="E182" s="7">
        <x:v>170309</x:v>
      </x:c>
      <x:c r="F182" s="7">
        <x:v>4708</x:v>
      </x:c>
      <x:c r="G182" s="7">
        <x:v>5046</x:v>
      </x:c>
      <x:c r="H182" s="7">
        <x:v>1156469</x:v>
      </x:c>
      <x:c r="I182" s="7">
        <x:v>44190</x:v>
      </x:c>
      <x:c r="J182" s="7">
        <x:v>35264</x:v>
      </x:c>
      <x:c r="K182" s="3"/>
      <x:c r="L182" s="7">
        <x:v>220266</x:v>
      </x:c>
      <x:c r="M182" s="7">
        <x:v>76957</x:v>
      </x:c>
      <x:c r="N182" s="7">
        <x:v>70002</x:v>
      </x:c>
      <x:c r="O182" s="7">
        <x:v>123921</x:v>
      </x:c>
      <x:c r="P182" s="7">
        <x:v>86093</x:v>
      </x:c>
      <x:c r="Q182" s="7">
        <x:v>111120</x:v>
      </x:c>
      <x:c r="R182" s="7">
        <x:v>82088</x:v>
      </x:c>
      <x:c r="S182" s="7">
        <x:v>167893</x:v>
      </x:c>
      <x:c r="T182" s="7">
        <x:v>119382</x:v>
      </x:c>
      <x:c r="U182" s="7">
        <x:v>110470</x:v>
      </x:c>
      <x:c r="V182" s="7"/>
      <x:c r="W182" s="7"/>
      <x:c r="X182" s="7"/>
      <x:c r="Y182" s="7"/>
      <x:c r="AA182" s="9"/>
      <x:c r="AB182" s="9" t="n">
        <x:f>AA182-B182</x:f>
        <x:v>-1198269</x:v>
      </x:c>
      <x:c r="AW182" s="72" t="n">
        <x:v>36.9</x:v>
      </x:c>
      <x:c r="AX182" s="72" t="n">
        <x:v>32.6</x:v>
      </x:c>
    </x:row>
    <x:row r="183" s="2" customFormat="1">
      <x:c r="A183" s="1" t="s">
        <x:v>213</x:v>
      </x:c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>
        <x:v>8712</x:v>
      </x:c>
      <x:c r="M183" s="3">
        <x:v>2586</x:v>
      </x:c>
      <x:c r="N183" s="3">
        <x:v>2367</x:v>
      </x:c>
      <x:c r="O183" s="3">
        <x:v>5402</x:v>
      </x:c>
      <x:c r="P183" s="3">
        <x:v>3774</x:v>
      </x:c>
      <x:c r="Q183" s="3">
        <x:v>4260</x:v>
      </x:c>
      <x:c r="R183" s="3">
        <x:v>3111</x:v>
      </x:c>
      <x:c r="S183" s="3">
        <x:v>6625</x:v>
      </x:c>
      <x:c r="T183" s="3">
        <x:v>3323</x:v>
      </x:c>
      <x:c r="U183" s="3">
        <x:v>4072</x:v>
      </x:c>
      <x:c r="V183" s="3"/>
      <x:c r="W183" s="3"/>
      <x:c r="X183" s="3"/>
      <x:c r="Y183" s="3"/>
      <x:c r="AA183" s="5"/>
      <x:c r="AB183" s="5" t="n">
        <x:f>C182-AA183</x:f>
        <x:v>44232</x:v>
      </x:c>
      <x:c r="AW183" s="72" t="str">
        <x:v>—</x:v>
      </x:c>
      <x:c r="AX183" s="72" t="str">
        <x:v>—</x:v>
      </x:c>
    </x:row>
    <x:row r="184" s="2" customFormat="1">
      <x:c r="A184" s="1" t="s">
        <x:v>214</x:v>
      </x:c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>
        <x:v>8471</x:v>
      </x:c>
      <x:c r="M184" s="3">
        <x:v>2393</x:v>
      </x:c>
      <x:c r="N184" s="3">
        <x:v>1986</x:v>
      </x:c>
      <x:c r="O184" s="3">
        <x:v>4582</x:v>
      </x:c>
      <x:c r="P184" s="3">
        <x:v>2905</x:v>
      </x:c>
      <x:c r="Q184" s="3">
        <x:v>3731</x:v>
      </x:c>
      <x:c r="R184" s="3">
        <x:v>2584</x:v>
      </x:c>
      <x:c r="S184" s="3">
        <x:v>5964</x:v>
      </x:c>
      <x:c r="T184" s="3">
        <x:v>3029</x:v>
      </x:c>
      <x:c r="U184" s="3">
        <x:v>3382</x:v>
      </x:c>
      <x:c r="V184" s="3"/>
      <x:c r="W184" s="3"/>
      <x:c r="X184" s="3"/>
      <x:c r="Y184" s="3"/>
      <x:c r="AA184" s="5"/>
      <x:c r="AB184" s="5" t="n">
        <x:f>AA184-D182</x:f>
        <x:v>-39027</x:v>
      </x:c>
      <x:c r="AW184" s="72" t="str">
        <x:v>—</x:v>
      </x:c>
      <x:c r="AX184" s="72" t="str">
        <x:v>—</x:v>
      </x:c>
    </x:row>
    <x:row r="185" s="13" customFormat="1">
      <x:c r="A185" s="11" t="s">
        <x:v>215</x:v>
      </x:c>
      <x:c r="B185" s="12">
        <x:v>64669596</x:v>
      </x:c>
      <x:c r="C185" s="12">
        <x:v>3135222</x:v>
      </x:c>
      <x:c r="D185" s="12">
        <x:v>2429404</x:v>
      </x:c>
      <x:c r="E185" s="12">
        <x:v>6473046</x:v>
      </x:c>
      <x:c r="F185" s="12">
        <x:v>237662</x:v>
      </x:c>
      <x:c r="G185" s="12">
        <x:v>200792</x:v>
      </x:c>
      <x:c r="H185" s="12">
        <x:v>62750615</x:v>
      </x:c>
      <x:c r="I185" s="12">
        <x:v>3114518</x:v>
      </x:c>
      <x:c r="J185" s="12">
        <x:v>2162627</x:v>
      </x:c>
      <x:c r="K185" s="3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AA185" s="14"/>
      <x:c r="AB185" s="14"/>
      <x:c r="AD185" s="14" t="n">
        <x:f t="shared" ref="AD185:AL185" si="12">SUM(B81:B184)</x:f>
        <x:v>64271390</x:v>
      </x:c>
      <x:c r="AE185" s="14">
        <x:f t="shared" si="12"/>
        <x:v>3119996</x:v>
      </x:c>
      <x:c r="AF185" s="14">
        <x:f t="shared" si="12"/>
        <x:v>2356748</x:v>
      </x:c>
      <x:c r="AG185" s="14">
        <x:f t="shared" si="12"/>
        <x:v>4240997</x:v>
      </x:c>
      <x:c r="AH185" s="14">
        <x:f t="shared" si="12"/>
        <x:v>158807</x:v>
      </x:c>
      <x:c r="AI185" s="14">
        <x:f t="shared" si="12"/>
        <x:v>133707</x:v>
      </x:c>
      <x:c r="AJ185" s="14">
        <x:f t="shared" si="12"/>
        <x:v>62434631</x:v>
      </x:c>
      <x:c r="AK185" s="14">
        <x:f t="shared" si="12"/>
        <x:v>3104370</x:v>
      </x:c>
      <x:c r="AL185" s="14">
        <x:f t="shared" si="12"/>
        <x:v>2159337</x:v>
      </x:c>
      <x:c r="AN185" s="14" t="n">
        <x:f t="shared" ref="AN185:AV185" si="13">AD185-B185</x:f>
        <x:v>-398206</x:v>
      </x:c>
      <x:c r="AO185" s="14">
        <x:f t="shared" si="13"/>
        <x:v>-15226</x:v>
      </x:c>
      <x:c r="AP185" s="14">
        <x:f t="shared" si="13"/>
        <x:v>-72656</x:v>
      </x:c>
      <x:c r="AQ185" s="14">
        <x:f t="shared" si="13"/>
        <x:v>-2232049</x:v>
      </x:c>
      <x:c r="AR185" s="14">
        <x:f t="shared" si="13"/>
        <x:v>-78855</x:v>
      </x:c>
      <x:c r="AS185" s="14">
        <x:f t="shared" si="13"/>
        <x:v>-67085</x:v>
      </x:c>
      <x:c r="AT185" s="14">
        <x:f t="shared" si="13"/>
        <x:v>-315984</x:v>
      </x:c>
      <x:c r="AU185" s="14">
        <x:f t="shared" si="13"/>
        <x:v>-10148</x:v>
      </x:c>
      <x:c r="AV185" s="14">
        <x:f t="shared" si="13"/>
        <x:v>-3290</x:v>
      </x:c>
      <x:c r="AW185" s="72" t="n">
        <x:v>48.5</x:v>
      </x:c>
      <x:c r="AX185" s="72" t="n">
        <x:v>37.6</x:v>
      </x:c>
    </x:row>
    <x:row r="186" s="2" customFormat="1">
      <x:c r="A186" s="1" t="s">
        <x:v>216</x:v>
      </x:c>
      <x:c r="B186" s="3">
        <x:v>2078878</x:v>
      </x:c>
      <x:c r="C186" s="3">
        <x:v>116779</x:v>
      </x:c>
      <x:c r="D186" s="3">
        <x:v>69145</x:v>
      </x:c>
      <x:c r="E186" s="4" t="s">
        <x:v>36</x:v>
      </x:c>
      <x:c r="F186" s="4" t="s">
        <x:v>36</x:v>
      </x:c>
      <x:c r="G186" s="4" t="s">
        <x:v>36</x:v>
      </x:c>
      <x:c r="H186" s="3">
        <x:v>1860630</x:v>
      </x:c>
      <x:c r="I186" s="3">
        <x:v>115632</x:v>
      </x:c>
      <x:c r="J186" s="3">
        <x:v>68804</x:v>
      </x:c>
      <x:c r="K186" s="3"/>
      <x:c r="L186" s="3">
        <x:v>138476</x:v>
      </x:c>
      <x:c r="M186" s="3">
        <x:v>215617</x:v>
      </x:c>
      <x:c r="N186" s="3">
        <x:v>193743</x:v>
      </x:c>
      <x:c r="O186" s="3">
        <x:v>401782</x:v>
      </x:c>
      <x:c r="P186" s="3">
        <x:v>296391</x:v>
      </x:c>
      <x:c r="Q186" s="3">
        <x:v>60515</x:v>
      </x:c>
      <x:c r="R186" s="3">
        <x:v>363563</x:v>
      </x:c>
      <x:c r="S186" s="3">
        <x:v>201459</x:v>
      </x:c>
      <x:c r="T186" s="3">
        <x:v>207232</x:v>
      </x:c>
      <x:c r="U186" s="3"/>
      <x:c r="V186" s="3"/>
      <x:c r="W186" s="3"/>
      <x:c r="X186" s="3"/>
      <x:c r="Y186" s="3"/>
      <x:c r="AA186" s="5"/>
      <x:c r="AB186" s="5" t="n">
        <x:f>AA186-B186</x:f>
        <x:v>-2078878</x:v>
      </x:c>
      <x:c r="AW186" s="72" t="n">
        <x:v>56.1</x:v>
      </x:c>
      <x:c r="AX186" s="72" t="n">
        <x:v>33.3</x:v>
      </x:c>
    </x:row>
    <x:row r="187" s="2" customFormat="1">
      <x:c r="A187" s="1" t="s">
        <x:v>217</x:v>
      </x:c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>
        <x:v>11303</x:v>
      </x:c>
      <x:c r="M187" s="3">
        <x:v>13581</x:v>
      </x:c>
      <x:c r="N187" s="3">
        <x:v>9250</x:v>
      </x:c>
      <x:c r="O187" s="3">
        <x:v>22621</x:v>
      </x:c>
      <x:c r="P187" s="3">
        <x:v>16776</x:v>
      </x:c>
      <x:c r="Q187" s="3">
        <x:v>2732</x:v>
      </x:c>
      <x:c r="R187" s="3">
        <x:v>18195</x:v>
      </x:c>
      <x:c r="S187" s="3">
        <x:v>10601</x:v>
      </x:c>
      <x:c r="T187" s="3">
        <x:v>11820</x:v>
      </x:c>
      <x:c r="U187" s="3"/>
      <x:c r="V187" s="3"/>
      <x:c r="W187" s="3"/>
      <x:c r="X187" s="3"/>
      <x:c r="Y187" s="3"/>
      <x:c r="AA187" s="5"/>
      <x:c r="AB187" s="5" t="n">
        <x:f>C186-AA187</x:f>
        <x:v>116779</x:v>
      </x:c>
      <x:c r="AW187" s="72" t="str">
        <x:v>—</x:v>
      </x:c>
      <x:c r="AX187" s="72" t="str">
        <x:v>—</x:v>
      </x:c>
    </x:row>
    <x:row r="188" s="2" customFormat="1">
      <x:c r="A188" s="1" t="s">
        <x:v>218</x:v>
      </x:c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>
        <x:v>6741</x:v>
      </x:c>
      <x:c r="M188" s="3">
        <x:v>6337</x:v>
      </x:c>
      <x:c r="N188" s="3">
        <x:v>4276</x:v>
      </x:c>
      <x:c r="O188" s="3">
        <x:v>12499</x:v>
      </x:c>
      <x:c r="P188" s="3">
        <x:v>10755</x:v>
      </x:c>
      <x:c r="Q188" s="3">
        <x:v>1696</x:v>
      </x:c>
      <x:c r="R188" s="3">
        <x:v>13139</x:v>
      </x:c>
      <x:c r="S188" s="3">
        <x:v>5671</x:v>
      </x:c>
      <x:c r="T188" s="3">
        <x:v>8031</x:v>
      </x:c>
      <x:c r="U188" s="3"/>
      <x:c r="V188" s="3"/>
      <x:c r="W188" s="3"/>
      <x:c r="X188" s="3"/>
      <x:c r="Y188" s="3"/>
      <x:c r="AA188" s="5"/>
      <x:c r="AB188" s="5" t="n">
        <x:f>AA188-D186</x:f>
        <x:v>-69145</x:v>
      </x:c>
      <x:c r="AW188" s="72" t="str">
        <x:v>—</x:v>
      </x:c>
      <x:c r="AX188" s="72" t="str">
        <x:v>—</x:v>
      </x:c>
    </x:row>
    <x:row r="189" s="13" customFormat="1">
      <x:c r="A189" s="11" t="s">
        <x:v>219</x:v>
      </x:c>
      <x:c r="B189" s="12">
        <x:v>97807339</x:v>
      </x:c>
      <x:c r="C189" s="12">
        <x:v>4580305</x:v>
      </x:c>
      <x:c r="D189" s="12">
        <x:v>3347356</x:v>
      </x:c>
      <x:c r="E189" s="12">
        <x:v>10145059</x:v>
      </x:c>
      <x:c r="F189" s="12">
        <x:v>365903</x:v>
      </x:c>
      <x:c r="G189" s="12">
        <x:v>292007</x:v>
      </x:c>
      <x:c r="H189" s="12">
        <x:v>94373651</x:v>
      </x:c>
      <x:c r="I189" s="12">
        <x:v>4510521</x:v>
      </x:c>
      <x:c r="J189" s="12">
        <x:v>2703375</x:v>
      </x:c>
      <x:c r="K189" s="3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AA189" s="14"/>
      <x:c r="AB189" s="14"/>
      <x:c r="AD189" s="14" t="n">
        <x:f t="shared" ref="AD189:AL189" si="14">SUM(AD38:AD185)</x:f>
        <x:v>95327255</x:v>
      </x:c>
      <x:c r="AE189" s="14">
        <x:f t="shared" si="14"/>
        <x:v>4448302</x:v>
      </x:c>
      <x:c r="AF189" s="14">
        <x:f t="shared" si="14"/>
        <x:v>3205555</x:v>
      </x:c>
      <x:c r="AG189" s="14">
        <x:f t="shared" si="14"/>
        <x:v>7596913</x:v>
      </x:c>
      <x:c r="AH189" s="14">
        <x:f t="shared" si="14"/>
        <x:v>271217</x:v>
      </x:c>
      <x:c r="AI189" s="14">
        <x:f t="shared" si="14"/>
        <x:v>215300</x:v>
      </x:c>
      <x:c r="AJ189" s="14">
        <x:f t="shared" si="14"/>
        <x:v>92216969</x:v>
      </x:c>
      <x:c r="AK189" s="14">
        <x:f t="shared" si="14"/>
        <x:v>4395359</x:v>
      </x:c>
      <x:c r="AL189" s="14">
        <x:f t="shared" si="14"/>
        <x:v>2964071</x:v>
      </x:c>
      <x:c r="AN189" s="14" t="n">
        <x:f t="shared" ref="AN189:AV189" si="15">AD189-B189</x:f>
        <x:v>-2480084</x:v>
      </x:c>
      <x:c r="AO189" s="14">
        <x:f t="shared" si="15"/>
        <x:v>-132003</x:v>
      </x:c>
      <x:c r="AP189" s="14">
        <x:f t="shared" si="15"/>
        <x:v>-141801</x:v>
      </x:c>
      <x:c r="AQ189" s="14">
        <x:f t="shared" si="15"/>
        <x:v>-2548146</x:v>
      </x:c>
      <x:c r="AR189" s="14">
        <x:f t="shared" si="15"/>
        <x:v>-94686</x:v>
      </x:c>
      <x:c r="AS189" s="14">
        <x:f t="shared" si="15"/>
        <x:v>-76707</x:v>
      </x:c>
      <x:c r="AT189" s="14">
        <x:f t="shared" si="15"/>
        <x:v>-2156682</x:v>
      </x:c>
      <x:c r="AU189" s="14">
        <x:f t="shared" si="15"/>
        <x:v>-115162</x:v>
      </x:c>
      <x:c r="AV189" s="14">
        <x:f t="shared" si="15"/>
        <x:v>260696</x:v>
      </x:c>
      <x:c r="AW189" s="72" t="n">
        <x:v>46.8</x:v>
      </x:c>
      <x:c r="AX189" s="72" t="n">
        <x:v>34.2</x:v>
      </x:c>
    </x:row>
    <x:row r="190" s="8" customFormat="1">
      <x:c r="A190" s="6" t="s">
        <x:v>220</x:v>
      </x:c>
      <x:c r="B190" s="7">
        <x:v>820308</x:v>
      </x:c>
      <x:c r="C190" s="7">
        <x:v>22979</x:v>
      </x:c>
      <x:c r="D190" s="7">
        <x:v>19460</x:v>
      </x:c>
      <x:c r="E190" s="7">
        <x:v>151005</x:v>
      </x:c>
      <x:c r="F190" s="7">
        <x:v>4447</x:v>
      </x:c>
      <x:c r="G190" s="7">
        <x:v>4469</x:v>
      </x:c>
      <x:c r="H190" s="7">
        <x:v>763805</x:v>
      </x:c>
      <x:c r="I190" s="7">
        <x:v>17766</x:v>
      </x:c>
      <x:c r="J190" s="7">
        <x:v>14471</x:v>
      </x:c>
      <x:c r="K190" s="3"/>
      <x:c r="L190" s="7">
        <x:v>156729</x:v>
      </x:c>
      <x:c r="M190" s="7">
        <x:v>78223</x:v>
      </x:c>
      <x:c r="N190" s="7">
        <x:v>98437</x:v>
      </x:c>
      <x:c r="O190" s="7">
        <x:v>160338</x:v>
      </x:c>
      <x:c r="P190" s="7">
        <x:v>107310</x:v>
      </x:c>
      <x:c r="Q190" s="7">
        <x:v>120553</x:v>
      </x:c>
      <x:c r="R190" s="7">
        <x:v>14036</x:v>
      </x:c>
      <x:c r="S190" s="7"/>
      <x:c r="T190" s="7"/>
      <x:c r="U190" s="7"/>
      <x:c r="V190" s="7"/>
      <x:c r="W190" s="7"/>
      <x:c r="X190" s="7"/>
      <x:c r="Y190" s="7"/>
      <x:c r="AA190" s="9"/>
      <x:c r="AB190" s="9"/>
      <x:c r="AW190" s="72" t="n">
        <x:v>28</x:v>
      </x:c>
      <x:c r="AX190" s="72" t="n">
        <x:v>23.7</x:v>
      </x:c>
    </x:row>
    <x:row r="191" s="2" customFormat="1">
      <x:c r="A191" s="1" t="s">
        <x:v>221</x:v>
      </x:c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>
        <x:v>4009</x:v>
      </x:c>
      <x:c r="M191" s="3">
        <x:v>2491</x:v>
      </x:c>
      <x:c r="N191" s="3">
        <x:v>1912</x:v>
      </x:c>
      <x:c r="O191" s="3">
        <x:v>5591</x:v>
      </x:c>
      <x:c r="P191" s="3">
        <x:v>3990</x:v>
      </x:c>
      <x:c r="Q191" s="3">
        <x:v>4606</x:v>
      </x:c>
      <x:c r="R191" s="3">
        <x:v>380</x:v>
      </x:c>
      <x:c r="S191" s="3"/>
      <x:c r="T191" s="3"/>
      <x:c r="U191" s="3"/>
      <x:c r="V191" s="3"/>
      <x:c r="W191" s="3"/>
      <x:c r="X191" s="3"/>
      <x:c r="Y191" s="3"/>
      <x:c r="AA191" s="5"/>
      <x:c r="AB191" s="5"/>
      <x:c r="AW191" s="72" t="str">
        <x:v>—</x:v>
      </x:c>
      <x:c r="AX191" s="72" t="str">
        <x:v>—</x:v>
      </x:c>
    </x:row>
    <x:row r="192" s="2" customFormat="1">
      <x:c r="A192" s="1" t="s">
        <x:v>222</x:v>
      </x:c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>
        <x:v>3822</x:v>
      </x:c>
      <x:c r="M192" s="3">
        <x:v>2259</x:v>
      </x:c>
      <x:c r="N192" s="3">
        <x:v>1823</x:v>
      </x:c>
      <x:c r="O192" s="3">
        <x:v>4496</x:v>
      </x:c>
      <x:c r="P192" s="3">
        <x:v>3538</x:v>
      </x:c>
      <x:c r="Q192" s="3">
        <x:v>3163</x:v>
      </x:c>
      <x:c r="R192" s="3">
        <x:v>359</x:v>
      </x:c>
      <x:c r="S192" s="3"/>
      <x:c r="T192" s="3"/>
      <x:c r="U192" s="3"/>
      <x:c r="V192" s="3"/>
      <x:c r="W192" s="3"/>
      <x:c r="X192" s="3"/>
      <x:c r="Y192" s="3"/>
      <x:c r="AA192" s="5"/>
      <x:c r="AB192" s="5"/>
      <x:c r="AW192" s="72" t="str">
        <x:v>—</x:v>
      </x:c>
      <x:c r="AX192" s="72" t="str">
        <x:v>—</x:v>
      </x:c>
    </x:row>
    <x:row r="193" s="8" customFormat="1">
      <x:c r="A193" s="6" t="s">
        <x:v>223</x:v>
      </x:c>
      <x:c r="B193" s="7">
        <x:v>661444</x:v>
      </x:c>
      <x:c r="C193" s="7">
        <x:v>16183</x:v>
      </x:c>
      <x:c r="D193" s="7">
        <x:v>14489</x:v>
      </x:c>
      <x:c r="E193" s="10" t="s">
        <x:v>36</x:v>
      </x:c>
      <x:c r="F193" s="10" t="s">
        <x:v>36</x:v>
      </x:c>
      <x:c r="G193" s="10" t="s">
        <x:v>36</x:v>
      </x:c>
      <x:c r="H193" s="7">
        <x:v>615493</x:v>
      </x:c>
      <x:c r="I193" s="7">
        <x:v>13149</x:v>
      </x:c>
      <x:c r="J193" s="7">
        <x:v>11596</x:v>
      </x:c>
      <x:c r="K193" s="3"/>
      <x:c r="L193" s="7">
        <x:v>35362</x:v>
      </x:c>
      <x:c r="M193" s="7">
        <x:v>49508</x:v>
      </x:c>
      <x:c r="N193" s="7">
        <x:v>60541</x:v>
      </x:c>
      <x:c r="O193" s="7">
        <x:v>80667</x:v>
      </x:c>
      <x:c r="P193" s="7">
        <x:v>73218</x:v>
      </x:c>
      <x:c r="Q193" s="7">
        <x:v>79597</x:v>
      </x:c>
      <x:c r="R193" s="7">
        <x:v>52168</x:v>
      </x:c>
      <x:c r="S193" s="7">
        <x:v>79998</x:v>
      </x:c>
      <x:c r="T193" s="7">
        <x:v>70160</x:v>
      </x:c>
      <x:c r="U193" s="7">
        <x:v>80225</x:v>
      </x:c>
      <x:c r="V193" s="7"/>
      <x:c r="W193" s="7"/>
      <x:c r="X193" s="7"/>
      <x:c r="Y193" s="7"/>
      <x:c r="AA193" s="9"/>
      <x:c r="AB193" s="9"/>
      <x:c r="AW193" s="72" t="n">
        <x:v>24.4</x:v>
      </x:c>
      <x:c r="AX193" s="72" t="n">
        <x:v>21.9</x:v>
      </x:c>
    </x:row>
    <x:row r="194" s="2" customFormat="1">
      <x:c r="A194" s="1" t="s">
        <x:v>224</x:v>
      </x:c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>
        <x:v>694</x:v>
      </x:c>
      <x:c r="M194" s="3">
        <x:v>1172</x:v>
      </x:c>
      <x:c r="N194" s="3">
        <x:v>1400</x:v>
      </x:c>
      <x:c r="O194" s="3">
        <x:v>1333</x:v>
      </x:c>
      <x:c r="P194" s="3">
        <x:v>1327</x:v>
      </x:c>
      <x:c r="Q194" s="3">
        <x:v>2290</x:v>
      </x:c>
      <x:c r="R194" s="3">
        <x:v>1321</x:v>
      </x:c>
      <x:c r="S194" s="3">
        <x:v>2281</x:v>
      </x:c>
      <x:c r="T194" s="3">
        <x:v>2727</x:v>
      </x:c>
      <x:c r="U194" s="3">
        <x:v>1638</x:v>
      </x:c>
      <x:c r="V194" s="3"/>
      <x:c r="W194" s="3"/>
      <x:c r="X194" s="3"/>
      <x:c r="Y194" s="3"/>
      <x:c r="AA194" s="5"/>
      <x:c r="AB194" s="5"/>
      <x:c r="AW194" s="72" t="str">
        <x:v>—</x:v>
      </x:c>
      <x:c r="AX194" s="72" t="str">
        <x:v>—</x:v>
      </x:c>
    </x:row>
    <x:row r="195" s="2" customFormat="1">
      <x:c r="A195" s="1" t="s">
        <x:v>225</x:v>
      </x:c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>
        <x:v>579</x:v>
      </x:c>
      <x:c r="M195" s="3">
        <x:v>958</x:v>
      </x:c>
      <x:c r="N195" s="3">
        <x:v>1120</x:v>
      </x:c>
      <x:c r="O195" s="3">
        <x:v>1274</x:v>
      </x:c>
      <x:c r="P195" s="3">
        <x:v>1943</x:v>
      </x:c>
      <x:c r="Q195" s="3">
        <x:v>1911</x:v>
      </x:c>
      <x:c r="R195" s="3">
        <x:v>1177</x:v>
      </x:c>
      <x:c r="S195" s="3">
        <x:v>2590</x:v>
      </x:c>
      <x:c r="T195" s="3">
        <x:v>1233</x:v>
      </x:c>
      <x:c r="U195" s="3">
        <x:v>1704</x:v>
      </x:c>
      <x:c r="V195" s="3"/>
      <x:c r="W195" s="3"/>
      <x:c r="X195" s="3"/>
      <x:c r="Y195" s="3"/>
      <x:c r="AA195" s="5"/>
      <x:c r="AB195" s="5"/>
      <x:c r="AW195" s="72" t="str">
        <x:v>—</x:v>
      </x:c>
      <x:c r="AX195" s="72" t="str">
        <x:v>—</x:v>
      </x:c>
    </x:row>
    <x:row r="196" s="8" customFormat="1">
      <x:c r="A196" s="6" t="s">
        <x:v>226</x:v>
      </x:c>
      <x:c r="B196" s="7">
        <x:v>850623</x:v>
      </x:c>
      <x:c r="C196" s="7">
        <x:v>21326</x:v>
      </x:c>
      <x:c r="D196" s="7">
        <x:v>15726</x:v>
      </x:c>
      <x:c r="E196" s="7">
        <x:v>83497</x:v>
      </x:c>
      <x:c r="F196" s="7">
        <x:v>2157</x:v>
      </x:c>
      <x:c r="G196" s="7">
        <x:v>1635</x:v>
      </x:c>
      <x:c r="H196" s="7">
        <x:v>757553</x:v>
      </x:c>
      <x:c r="I196" s="7">
        <x:v>19984</x:v>
      </x:c>
      <x:c r="J196" s="7">
        <x:v>13238</x:v>
      </x:c>
      <x:c r="K196" s="3"/>
      <x:c r="L196" s="7">
        <x:v>131165</x:v>
      </x:c>
      <x:c r="M196" s="7">
        <x:v>54437</x:v>
      </x:c>
      <x:c r="N196" s="7">
        <x:v>54994</x:v>
      </x:c>
      <x:c r="O196" s="7">
        <x:v>55705</x:v>
      </x:c>
      <x:c r="P196" s="7">
        <x:v>126219</x:v>
      </x:c>
      <x:c r="Q196" s="7">
        <x:v>90017</x:v>
      </x:c>
      <x:c r="R196" s="7">
        <x:v>117203</x:v>
      </x:c>
      <x:c r="S196" s="7">
        <x:v>137386</x:v>
      </x:c>
      <x:c r="T196" s="7"/>
      <x:c r="U196" s="7"/>
      <x:c r="V196" s="7"/>
      <x:c r="W196" s="7"/>
      <x:c r="X196" s="7"/>
      <x:c r="Y196" s="7"/>
      <x:c r="AA196" s="9"/>
      <x:c r="AB196" s="9"/>
      <x:c r="AW196" s="72" t="n">
        <x:v>25.1</x:v>
      </x:c>
      <x:c r="AX196" s="72" t="n">
        <x:v>18.5</x:v>
      </x:c>
    </x:row>
    <x:row r="197" s="2" customFormat="1">
      <x:c r="A197" s="1" t="s">
        <x:v>227</x:v>
      </x:c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>
        <x:v>2925</x:v>
      </x:c>
      <x:c r="M197" s="3">
        <x:v>2829</x:v>
      </x:c>
      <x:c r="N197" s="3">
        <x:v>1408</x:v>
      </x:c>
      <x:c r="O197" s="3">
        <x:v>2370</x:v>
      </x:c>
      <x:c r="P197" s="3">
        <x:v>2098</x:v>
      </x:c>
      <x:c r="Q197" s="3">
        <x:v>2895</x:v>
      </x:c>
      <x:c r="R197" s="3">
        <x:v>3470</x:v>
      </x:c>
      <x:c r="S197" s="3">
        <x:v>3331</x:v>
      </x:c>
      <x:c r="T197" s="3"/>
      <x:c r="U197" s="3"/>
      <x:c r="V197" s="3"/>
      <x:c r="W197" s="3"/>
      <x:c r="X197" s="3"/>
      <x:c r="Y197" s="3"/>
      <x:c r="AA197" s="5"/>
      <x:c r="AB197" s="5"/>
      <x:c r="AW197" s="72" t="str">
        <x:v>—</x:v>
      </x:c>
      <x:c r="AX197" s="72" t="str">
        <x:v>—</x:v>
      </x:c>
    </x:row>
    <x:row r="198" s="2" customFormat="1">
      <x:c r="A198" s="1" t="s">
        <x:v>228</x:v>
      </x:c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>
        <x:v>1790</x:v>
      </x:c>
      <x:c r="M198" s="3">
        <x:v>1867</x:v>
      </x:c>
      <x:c r="N198" s="3">
        <x:v>908</x:v>
      </x:c>
      <x:c r="O198" s="3">
        <x:v>1520</x:v>
      </x:c>
      <x:c r="P198" s="3">
        <x:v>1456</x:v>
      </x:c>
      <x:c r="Q198" s="3">
        <x:v>2335</x:v>
      </x:c>
      <x:c r="R198" s="3">
        <x:v>3175</x:v>
      </x:c>
      <x:c r="S198" s="3">
        <x:v>2675</x:v>
      </x:c>
      <x:c r="T198" s="3"/>
      <x:c r="U198" s="3"/>
      <x:c r="V198" s="3"/>
      <x:c r="W198" s="3"/>
      <x:c r="X198" s="3"/>
      <x:c r="Y198" s="3"/>
      <x:c r="AA198" s="5"/>
      <x:c r="AB198" s="5"/>
      <x:c r="AW198" s="72" t="str">
        <x:v>—</x:v>
      </x:c>
      <x:c r="AX198" s="72" t="str">
        <x:v>—</x:v>
      </x:c>
    </x:row>
    <x:row r="199" s="8" customFormat="1">
      <x:c r="A199" s="6" t="s">
        <x:v>229</x:v>
      </x:c>
      <x:c r="B199" s="7">
        <x:v>237114</x:v>
      </x:c>
      <x:c r="C199" s="7">
        <x:v>3804</x:v>
      </x:c>
      <x:c r="D199" s="7">
        <x:v>1383</x:v>
      </x:c>
      <x:c r="E199" s="10" t="s">
        <x:v>36</x:v>
      </x:c>
      <x:c r="F199" s="10" t="s">
        <x:v>36</x:v>
      </x:c>
      <x:c r="G199" s="10" t="s">
        <x:v>36</x:v>
      </x:c>
      <x:c r="H199" s="10" t="s">
        <x:v>36</x:v>
      </x:c>
      <x:c r="I199" s="10" t="s">
        <x:v>36</x:v>
      </x:c>
      <x:c r="J199" s="10" t="s">
        <x:v>36</x:v>
      </x:c>
      <x:c r="K199" s="4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AA199" s="9"/>
      <x:c r="AB199" s="9"/>
      <x:c r="AW199" s="72" t="str">
        <x:v>—</x:v>
      </x:c>
      <x:c r="AX199" s="72" t="str">
        <x:v>—</x:v>
      </x:c>
    </x:row>
    <x:row r="200" s="8" customFormat="1">
      <x:c r="A200" s="6" t="s">
        <x:v>230</x:v>
      </x:c>
      <x:c r="B200" s="7">
        <x:v>1482889</x:v>
      </x:c>
      <x:c r="C200" s="7">
        <x:v>90231</x:v>
      </x:c>
      <x:c r="D200" s="7">
        <x:v>63243</x:v>
      </x:c>
      <x:c r="E200" s="7">
        <x:v>176226</x:v>
      </x:c>
      <x:c r="F200" s="7">
        <x:v>8136</x:v>
      </x:c>
      <x:c r="G200" s="7">
        <x:v>4710</x:v>
      </x:c>
      <x:c r="H200" s="7">
        <x:v>1353036</x:v>
      </x:c>
      <x:c r="I200" s="7">
        <x:v>83468</x:v>
      </x:c>
      <x:c r="J200" s="7">
        <x:v>55101</x:v>
      </x:c>
      <x:c r="K200" s="3"/>
      <x:c r="L200" s="7">
        <x:v>186693</x:v>
      </x:c>
      <x:c r="M200" s="7">
        <x:v>174347</x:v>
      </x:c>
      <x:c r="N200" s="7">
        <x:v>204850</x:v>
      </x:c>
      <x:c r="O200" s="7">
        <x:v>250433</x:v>
      </x:c>
      <x:c r="P200" s="7">
        <x:v>231569</x:v>
      </x:c>
      <x:c r="Q200" s="7">
        <x:v>159218</x:v>
      </x:c>
      <x:c r="R200" s="7">
        <x:v>228402</x:v>
      </x:c>
      <x:c r="S200" s="7">
        <x:v>47377</x:v>
      </x:c>
      <x:c r="T200" s="7"/>
      <x:c r="U200" s="7"/>
      <x:c r="V200" s="7"/>
      <x:c r="W200" s="7"/>
      <x:c r="X200" s="7"/>
      <x:c r="Y200" s="7"/>
      <x:c r="AA200" s="9"/>
      <x:c r="AB200" s="9"/>
      <x:c r="AW200" s="72" t="n">
        <x:v>60.8</x:v>
      </x:c>
      <x:c r="AX200" s="72" t="n">
        <x:v>42.6</x:v>
      </x:c>
    </x:row>
    <x:row r="201" s="2" customFormat="1">
      <x:c r="A201" s="1" t="s">
        <x:v>231</x:v>
      </x:c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>
        <x:v>9567</x:v>
      </x:c>
      <x:c r="M201" s="3">
        <x:v>13418</x:v>
      </x:c>
      <x:c r="N201" s="3">
        <x:v>14044</x:v>
      </x:c>
      <x:c r="O201" s="3">
        <x:v>16311</x:v>
      </x:c>
      <x:c r="P201" s="3">
        <x:v>14141</x:v>
      </x:c>
      <x:c r="Q201" s="3">
        <x:v>9096</x:v>
      </x:c>
      <x:c r="R201" s="3">
        <x:v>12122</x:v>
      </x:c>
      <x:c r="S201" s="3">
        <x:v>1532</x:v>
      </x:c>
      <x:c r="T201" s="3"/>
      <x:c r="U201" s="3"/>
      <x:c r="V201" s="3"/>
      <x:c r="W201" s="3"/>
      <x:c r="X201" s="3"/>
      <x:c r="Y201" s="3"/>
      <x:c r="AA201" s="5"/>
      <x:c r="AB201" s="5"/>
      <x:c r="AW201" s="72" t="str">
        <x:v>—</x:v>
      </x:c>
      <x:c r="AX201" s="72" t="str">
        <x:v>—</x:v>
      </x:c>
    </x:row>
    <x:row r="202" s="2" customFormat="1">
      <x:c r="A202" s="1" t="s">
        <x:v>232</x:v>
      </x:c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>
        <x:v>7548</x:v>
      </x:c>
      <x:c r="M202" s="3">
        <x:v>7551</x:v>
      </x:c>
      <x:c r="N202" s="3">
        <x:v>9359</x:v>
      </x:c>
      <x:c r="O202" s="3">
        <x:v>12549</x:v>
      </x:c>
      <x:c r="P202" s="3">
        <x:v>10901</x:v>
      </x:c>
      <x:c r="Q202" s="3">
        <x:v>6717</x:v>
      </x:c>
      <x:c r="R202" s="3">
        <x:v>7704</x:v>
      </x:c>
      <x:c r="S202" s="3">
        <x:v>914</x:v>
      </x:c>
      <x:c r="T202" s="3"/>
      <x:c r="U202" s="3"/>
      <x:c r="V202" s="3"/>
      <x:c r="W202" s="3"/>
      <x:c r="X202" s="3"/>
      <x:c r="Y202" s="3"/>
      <x:c r="AA202" s="5"/>
      <x:c r="AB202" s="5"/>
      <x:c r="AW202" s="72" t="str">
        <x:v>—</x:v>
      </x:c>
      <x:c r="AX202" s="72" t="str">
        <x:v>—</x:v>
      </x:c>
    </x:row>
    <x:row r="203" s="8" customFormat="1">
      <x:c r="A203" s="6" t="s">
        <x:v>233</x:v>
      </x:c>
      <x:c r="B203" s="7">
        <x:v>953870</x:v>
      </x:c>
      <x:c r="C203" s="7">
        <x:v>30108</x:v>
      </x:c>
      <x:c r="D203" s="7">
        <x:v>18909</x:v>
      </x:c>
      <x:c r="E203" s="10" t="s">
        <x:v>36</x:v>
      </x:c>
      <x:c r="F203" s="10" t="s">
        <x:v>36</x:v>
      </x:c>
      <x:c r="G203" s="10" t="s">
        <x:v>36</x:v>
      </x:c>
      <x:c r="H203" s="7">
        <x:v>954253</x:v>
      </x:c>
      <x:c r="I203" s="7">
        <x:v>26463</x:v>
      </x:c>
      <x:c r="J203" s="7">
        <x:v>13135</x:v>
      </x:c>
      <x:c r="K203" s="3"/>
      <x:c r="L203" s="7">
        <x:v>194413</x:v>
      </x:c>
      <x:c r="M203" s="7">
        <x:v>53504</x:v>
      </x:c>
      <x:c r="N203" s="7">
        <x:v>70361</x:v>
      </x:c>
      <x:c r="O203" s="7">
        <x:v>103454</x:v>
      </x:c>
      <x:c r="P203" s="7">
        <x:v>46421</x:v>
      </x:c>
      <x:c r="Q203" s="7">
        <x:v>77331</x:v>
      </x:c>
      <x:c r="R203" s="7">
        <x:v>69372</x:v>
      </x:c>
      <x:c r="S203" s="7">
        <x:v>104011</x:v>
      </x:c>
      <x:c r="T203" s="7">
        <x:v>84356</x:v>
      </x:c>
      <x:c r="U203" s="7">
        <x:v>150647</x:v>
      </x:c>
      <x:c r="V203" s="7"/>
      <x:c r="W203" s="7"/>
      <x:c r="X203" s="7"/>
      <x:c r="Y203" s="7"/>
      <x:c r="AA203" s="9"/>
      <x:c r="AB203" s="9"/>
      <x:c r="AW203" s="72" t="n">
        <x:v>31.5</x:v>
      </x:c>
      <x:c r="AX203" s="72" t="n">
        <x:v>19.8</x:v>
      </x:c>
    </x:row>
    <x:row r="204" s="2" customFormat="1">
      <x:c r="A204" s="1" t="s">
        <x:v>234</x:v>
      </x:c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>
        <x:v>6226</x:v>
      </x:c>
      <x:c r="M204" s="3">
        <x:v>1595</x:v>
      </x:c>
      <x:c r="N204" s="3">
        <x:v>1732</x:v>
      </x:c>
      <x:c r="O204" s="3">
        <x:v>3401</x:v>
      </x:c>
      <x:c r="P204" s="3">
        <x:v>1498</x:v>
      </x:c>
      <x:c r="Q204" s="3">
        <x:v>3128</x:v>
      </x:c>
      <x:c r="R204" s="3">
        <x:v>2479</x:v>
      </x:c>
      <x:c r="S204" s="3">
        <x:v>3584</x:v>
      </x:c>
      <x:c r="T204" s="3">
        <x:v>2030</x:v>
      </x:c>
      <x:c r="U204" s="3">
        <x:v>4435</x:v>
      </x:c>
      <x:c r="V204" s="3"/>
      <x:c r="W204" s="3"/>
      <x:c r="X204" s="3"/>
      <x:c r="Y204" s="3"/>
      <x:c r="AA204" s="5"/>
      <x:c r="AB204" s="5"/>
      <x:c r="AW204" s="72" t="str">
        <x:v>—</x:v>
      </x:c>
      <x:c r="AX204" s="72" t="str">
        <x:v>—</x:v>
      </x:c>
    </x:row>
    <x:row r="205" s="2" customFormat="1">
      <x:c r="A205" s="1" t="s">
        <x:v>235</x:v>
      </x:c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>
        <x:v>4003</x:v>
      </x:c>
      <x:c r="M205" s="3">
        <x:v>1257</x:v>
      </x:c>
      <x:c r="N205" s="3">
        <x:v>838</x:v>
      </x:c>
      <x:c r="O205" s="3">
        <x:v>2071</x:v>
      </x:c>
      <x:c r="P205" s="3">
        <x:v>899</x:v>
      </x:c>
      <x:c r="Q205" s="3">
        <x:v>1610</x:v>
      </x:c>
      <x:c r="R205" s="3">
        <x:v>1314</x:v>
      </x:c>
      <x:c r="S205" s="3">
        <x:v>1882</x:v>
      </x:c>
      <x:c r="T205" s="3">
        <x:v>1772</x:v>
      </x:c>
      <x:c r="U205" s="3">
        <x:v>3263</x:v>
      </x:c>
      <x:c r="V205" s="3"/>
      <x:c r="W205" s="3"/>
      <x:c r="X205" s="3"/>
      <x:c r="Y205" s="3"/>
      <x:c r="AA205" s="5"/>
      <x:c r="AB205" s="5"/>
      <x:c r="AW205" s="72" t="str">
        <x:v>—</x:v>
      </x:c>
      <x:c r="AX205" s="72" t="str">
        <x:v>—</x:v>
      </x:c>
    </x:row>
    <x:row r="206" s="8" customFormat="1">
      <x:c r="A206" s="6" t="s">
        <x:v>236</x:v>
      </x:c>
      <x:c r="B206" s="7">
        <x:v>685943</x:v>
      </x:c>
      <x:c r="C206" s="7">
        <x:v>45449</x:v>
      </x:c>
      <x:c r="D206" s="7">
        <x:v>31455</x:v>
      </x:c>
      <x:c r="E206" s="10" t="s">
        <x:v>36</x:v>
      </x:c>
      <x:c r="F206" s="10" t="s">
        <x:v>36</x:v>
      </x:c>
      <x:c r="G206" s="10" t="s">
        <x:v>36</x:v>
      </x:c>
      <x:c r="H206" s="7">
        <x:v>670335</x:v>
      </x:c>
      <x:c r="I206" s="7">
        <x:v>40836</x:v>
      </x:c>
      <x:c r="J206" s="7">
        <x:v>27851</x:v>
      </x:c>
      <x:c r="K206" s="4"/>
      <x:c r="L206" s="7">
        <x:v>135969</x:v>
      </x:c>
      <x:c r="M206" s="7">
        <x:v>140360</x:v>
      </x:c>
      <x:c r="N206" s="7">
        <x:v>170151</x:v>
      </x:c>
      <x:c r="O206" s="7">
        <x:v>193226</x:v>
      </x:c>
      <x:c r="P206" s="7">
        <x:v>46237</x:v>
      </x:c>
      <x:c r="Q206" s="7"/>
      <x:c r="R206" s="7"/>
      <x:c r="S206" s="7"/>
      <x:c r="T206" s="7"/>
      <x:c r="U206" s="7"/>
      <x:c r="V206" s="7"/>
      <x:c r="W206" s="7"/>
      <x:c r="X206" s="7"/>
      <x:c r="Y206" s="7"/>
      <x:c r="AA206" s="9"/>
      <x:c r="AB206" s="9"/>
      <x:c r="AW206" s="72" t="n">
        <x:v>66.2</x:v>
      </x:c>
      <x:c r="AX206" s="72" t="n">
        <x:v>45.8</x:v>
      </x:c>
    </x:row>
    <x:row r="207" s="2" customFormat="1">
      <x:c r="A207" s="1" t="s">
        <x:v>237</x:v>
      </x:c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>
        <x:v>9024</x:v>
      </x:c>
      <x:c r="M207" s="3">
        <x:v>9396</x:v>
      </x:c>
      <x:c r="N207" s="3">
        <x:v>12816</x:v>
      </x:c>
      <x:c r="O207" s="3">
        <x:v>12921</x:v>
      </x:c>
      <x:c r="P207" s="3">
        <x:v>1292</x:v>
      </x:c>
      <x:c r="Q207" s="3"/>
      <x:c r="R207" s="3"/>
      <x:c r="S207" s="3"/>
      <x:c r="T207" s="3"/>
      <x:c r="U207" s="3"/>
      <x:c r="V207" s="3"/>
      <x:c r="W207" s="3"/>
      <x:c r="X207" s="3"/>
      <x:c r="Y207" s="3"/>
      <x:c r="AA207" s="5"/>
      <x:c r="AB207" s="5"/>
      <x:c r="AW207" s="72" t="str">
        <x:v>—</x:v>
      </x:c>
      <x:c r="AX207" s="72" t="str">
        <x:v>—</x:v>
      </x:c>
    </x:row>
    <x:row r="208" s="2" customFormat="1">
      <x:c r="A208" s="1" t="s">
        <x:v>238</x:v>
      </x:c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>
        <x:v>6210</x:v>
      </x:c>
      <x:c r="M208" s="3">
        <x:v>5715</x:v>
      </x:c>
      <x:c r="N208" s="3">
        <x:v>8607</x:v>
      </x:c>
      <x:c r="O208" s="3">
        <x:v>9582</x:v>
      </x:c>
      <x:c r="P208" s="3">
        <x:v>1323</x:v>
      </x:c>
      <x:c r="Q208" s="3"/>
      <x:c r="R208" s="3"/>
      <x:c r="S208" s="3"/>
      <x:c r="T208" s="3"/>
      <x:c r="U208" s="3"/>
      <x:c r="V208" s="3"/>
      <x:c r="W208" s="3"/>
      <x:c r="X208" s="3"/>
      <x:c r="Y208" s="3"/>
      <x:c r="AA208" s="5"/>
      <x:c r="AB208" s="5"/>
      <x:c r="AW208" s="72" t="str">
        <x:v>—</x:v>
      </x:c>
      <x:c r="AX208" s="72" t="str">
        <x:v>—</x:v>
      </x:c>
    </x:row>
    <x:row r="209" s="8" customFormat="1">
      <x:c r="A209" s="6" t="s">
        <x:v>239</x:v>
      </x:c>
      <x:c r="B209" s="7">
        <x:v>775978</x:v>
      </x:c>
      <x:c r="C209" s="7">
        <x:v>26995</x:v>
      </x:c>
      <x:c r="D209" s="7">
        <x:v>18098</x:v>
      </x:c>
      <x:c r="E209" s="7">
        <x:v>93792</x:v>
      </x:c>
      <x:c r="F209" s="7">
        <x:v>3572</x:v>
      </x:c>
      <x:c r="G209" s="7">
        <x:v>2415</x:v>
      </x:c>
      <x:c r="H209" s="7">
        <x:v>714391</x:v>
      </x:c>
      <x:c r="I209" s="7">
        <x:v>22670</x:v>
      </x:c>
      <x:c r="J209" s="7">
        <x:v>16135</x:v>
      </x:c>
      <x:c r="K209" s="3"/>
      <x:c r="L209" s="7">
        <x:v>133855</x:v>
      </x:c>
      <x:c r="M209" s="7">
        <x:v>184618</x:v>
      </x:c>
      <x:c r="N209" s="7">
        <x:v>71769</x:v>
      </x:c>
      <x:c r="O209" s="7">
        <x:v>96619</x:v>
      </x:c>
      <x:c r="P209" s="7">
        <x:v>125003</x:v>
      </x:c>
      <x:c r="Q209" s="7">
        <x:v>104818</x:v>
      </x:c>
      <x:c r="R209" s="7">
        <x:v>59296</x:v>
      </x:c>
      <x:c r="S209" s="7"/>
      <x:c r="T209" s="7"/>
      <x:c r="U209" s="7"/>
      <x:c r="V209" s="7"/>
      <x:c r="W209" s="7"/>
      <x:c r="X209" s="7"/>
      <x:c r="Y209" s="7"/>
      <x:c r="AA209" s="9"/>
      <x:c r="AB209" s="9"/>
      <x:c r="AW209" s="72" t="n">
        <x:v>34.8</x:v>
      </x:c>
      <x:c r="AX209" s="72" t="n">
        <x:v>23.3</x:v>
      </x:c>
    </x:row>
    <x:row r="210" s="2" customFormat="1">
      <x:c r="A210" s="1" t="s">
        <x:v>240</x:v>
      </x:c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>
        <x:v>4756</x:v>
      </x:c>
      <x:c r="M210" s="3">
        <x:v>3958</x:v>
      </x:c>
      <x:c r="N210" s="3">
        <x:v>2871</x:v>
      </x:c>
      <x:c r="O210" s="3">
        <x:v>2791</x:v>
      </x:c>
      <x:c r="P210" s="3">
        <x:v>7621</x:v>
      </x:c>
      <x:c r="Q210" s="3">
        <x:v>3530</x:v>
      </x:c>
      <x:c r="R210" s="3">
        <x:v>1468</x:v>
      </x:c>
      <x:c r="S210" s="3"/>
      <x:c r="T210" s="3"/>
      <x:c r="U210" s="3"/>
      <x:c r="V210" s="3"/>
      <x:c r="W210" s="3"/>
      <x:c r="X210" s="3"/>
      <x:c r="Y210" s="3"/>
      <x:c r="AA210" s="5"/>
      <x:c r="AB210" s="5"/>
      <x:c r="AW210" s="72" t="str">
        <x:v>—</x:v>
      </x:c>
      <x:c r="AX210" s="72" t="str">
        <x:v>—</x:v>
      </x:c>
    </x:row>
    <x:row r="211" s="2" customFormat="1">
      <x:c r="A211" s="1" t="s">
        <x:v>241</x:v>
      </x:c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>
        <x:v>1870</x:v>
      </x:c>
      <x:c r="M211" s="3">
        <x:v>3037</x:v>
      </x:c>
      <x:c r="N211" s="3">
        <x:v>2075</x:v>
      </x:c>
      <x:c r="O211" s="3">
        <x:v>1789</x:v>
      </x:c>
      <x:c r="P211" s="3">
        <x:v>5409</x:v>
      </x:c>
      <x:c r="Q211" s="3">
        <x:v>2416</x:v>
      </x:c>
      <x:c r="R211" s="3">
        <x:v>1502</x:v>
      </x:c>
      <x:c r="S211" s="3"/>
      <x:c r="T211" s="3"/>
      <x:c r="U211" s="3"/>
      <x:c r="V211" s="3"/>
      <x:c r="W211" s="3"/>
      <x:c r="X211" s="3"/>
      <x:c r="Y211" s="3"/>
      <x:c r="AA211" s="5"/>
      <x:c r="AB211" s="5"/>
      <x:c r="AW211" s="72" t="str">
        <x:v>—</x:v>
      </x:c>
      <x:c r="AX211" s="72" t="str">
        <x:v>—</x:v>
      </x:c>
    </x:row>
    <x:row r="212" s="8" customFormat="1">
      <x:c r="A212" s="6" t="s">
        <x:v>242</x:v>
      </x:c>
      <x:c r="B212" s="7">
        <x:v>800875</x:v>
      </x:c>
      <x:c r="C212" s="7">
        <x:v>26999</x:v>
      </x:c>
      <x:c r="D212" s="7">
        <x:v>19113</x:v>
      </x:c>
      <x:c r="E212" s="7">
        <x:v>148102</x:v>
      </x:c>
      <x:c r="F212" s="7">
        <x:v>5012</x:v>
      </x:c>
      <x:c r="G212" s="7">
        <x:v>4482</x:v>
      </x:c>
      <x:c r="H212" s="7">
        <x:v>823974</x:v>
      </x:c>
      <x:c r="I212" s="7">
        <x:v>29389</x:v>
      </x:c>
      <x:c r="J212" s="7">
        <x:v>16861</x:v>
      </x:c>
      <x:c r="K212" s="3"/>
      <x:c r="L212" s="7">
        <x:v>163172</x:v>
      </x:c>
      <x:c r="M212" s="7">
        <x:v>63799</x:v>
      </x:c>
      <x:c r="N212" s="7">
        <x:v>54548</x:v>
      </x:c>
      <x:c r="O212" s="7">
        <x:v>106534</x:v>
      </x:c>
      <x:c r="P212" s="7">
        <x:v>153499</x:v>
      </x:c>
      <x:c r="Q212" s="7">
        <x:v>65619</x:v>
      </x:c>
      <x:c r="R212" s="7">
        <x:v>91583</x:v>
      </x:c>
      <x:c r="S212" s="7">
        <x:v>67117</x:v>
      </x:c>
      <x:c r="T212" s="7">
        <x:v>35004</x:v>
      </x:c>
      <x:c r="U212" s="7"/>
      <x:c r="V212" s="7"/>
      <x:c r="W212" s="7"/>
      <x:c r="X212" s="7"/>
      <x:c r="Y212" s="7"/>
      <x:c r="AA212" s="9"/>
      <x:c r="AB212" s="9"/>
      <x:c r="AW212" s="72" t="n">
        <x:v>33.7</x:v>
      </x:c>
      <x:c r="AX212" s="72" t="n">
        <x:v>23.9</x:v>
      </x:c>
    </x:row>
    <x:row r="213" s="2" customFormat="1">
      <x:c r="A213" s="1" t="s">
        <x:v>243</x:v>
      </x:c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>
        <x:v>5713</x:v>
      </x:c>
      <x:c r="M213" s="3">
        <x:v>3291</x:v>
      </x:c>
      <x:c r="N213" s="3">
        <x:v>2136</x:v>
      </x:c>
      <x:c r="O213" s="3">
        <x:v>1806</x:v>
      </x:c>
      <x:c r="P213" s="3">
        <x:v>5739</x:v>
      </x:c>
      <x:c r="Q213" s="3">
        <x:v>2343</x:v>
      </x:c>
      <x:c r="R213" s="3">
        <x:v>3040</x:v>
      </x:c>
      <x:c r="S213" s="3">
        <x:v>2112</x:v>
      </x:c>
      <x:c r="T213" s="3">
        <x:v>819</x:v>
      </x:c>
      <x:c r="U213" s="3"/>
      <x:c r="V213" s="3"/>
      <x:c r="W213" s="3"/>
      <x:c r="X213" s="3"/>
      <x:c r="Y213" s="3"/>
      <x:c r="AA213" s="5"/>
      <x:c r="AB213" s="5"/>
      <x:c r="AW213" s="72" t="str">
        <x:v>—</x:v>
      </x:c>
      <x:c r="AX213" s="72" t="str">
        <x:v>—</x:v>
      </x:c>
    </x:row>
    <x:row r="214" s="2" customFormat="1">
      <x:c r="A214" s="1" t="s">
        <x:v>244</x:v>
      </x:c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>
        <x:v>4395</x:v>
      </x:c>
      <x:c r="M214" s="3">
        <x:v>1719</x:v>
      </x:c>
      <x:c r="N214" s="3">
        <x:v>1105</x:v>
      </x:c>
      <x:c r="O214" s="3">
        <x:v>1196</x:v>
      </x:c>
      <x:c r="P214" s="3">
        <x:v>3538</x:v>
      </x:c>
      <x:c r="Q214" s="3">
        <x:v>1515</x:v>
      </x:c>
      <x:c r="R214" s="3">
        <x:v>2864</x:v>
      </x:c>
      <x:c r="S214" s="3">
        <x:v>2045</x:v>
      </x:c>
      <x:c r="T214" s="3">
        <x:v>736</x:v>
      </x:c>
      <x:c r="U214" s="3"/>
      <x:c r="V214" s="3"/>
      <x:c r="W214" s="3"/>
      <x:c r="X214" s="3"/>
      <x:c r="Y214" s="3"/>
      <x:c r="AA214" s="5"/>
      <x:c r="AB214" s="5"/>
      <x:c r="AW214" s="72" t="str">
        <x:v>—</x:v>
      </x:c>
      <x:c r="AX214" s="72" t="str">
        <x:v>—</x:v>
      </x:c>
    </x:row>
    <x:row r="215" s="8" customFormat="1">
      <x:c r="A215" s="6" t="s">
        <x:v>245</x:v>
      </x:c>
      <x:c r="B215" s="7">
        <x:v>686671</x:v>
      </x:c>
      <x:c r="C215" s="7">
        <x:v>22717</x:v>
      </x:c>
      <x:c r="D215" s="7">
        <x:v>13537</x:v>
      </x:c>
      <x:c r="E215" s="10" t="s">
        <x:v>36</x:v>
      </x:c>
      <x:c r="F215" s="7">
        <x:v>2027</x:v>
      </x:c>
      <x:c r="G215" s="7">
        <x:v>1583</x:v>
      </x:c>
      <x:c r="H215" s="7">
        <x:v>677327</x:v>
      </x:c>
      <x:c r="I215" s="7">
        <x:v>22173</x:v>
      </x:c>
      <x:c r="J215" s="7">
        <x:v>13837</x:v>
      </x:c>
      <x:c r="K215" s="4"/>
      <x:c r="L215" s="10" t="s">
        <x:v>36</x:v>
      </x:c>
      <x:c r="M215" s="10" t="s">
        <x:v>36</x:v>
      </x:c>
      <x:c r="N215" s="10" t="s">
        <x:v>36</x:v>
      </x:c>
      <x:c r="O215" s="10" t="s">
        <x:v>36</x:v>
      </x:c>
      <x:c r="P215" s="10" t="s">
        <x:v>36</x:v>
      </x:c>
      <x:c r="Q215" s="10" t="s">
        <x:v>36</x:v>
      </x:c>
      <x:c r="R215" s="10" t="s">
        <x:v>36</x:v>
      </x:c>
      <x:c r="S215" s="7"/>
      <x:c r="T215" s="7"/>
      <x:c r="U215" s="7"/>
      <x:c r="V215" s="7"/>
      <x:c r="W215" s="7"/>
      <x:c r="X215" s="7"/>
      <x:c r="Y215" s="7"/>
      <x:c r="AA215" s="9"/>
      <x:c r="AB215" s="9"/>
      <x:c r="AW215" s="72" t="n">
        <x:v>33.1</x:v>
      </x:c>
      <x:c r="AX215" s="72" t="n">
        <x:v>19.7</x:v>
      </x:c>
    </x:row>
    <x:row r="216" s="2" customFormat="1">
      <x:c r="A216" s="1" t="s">
        <x:v>246</x:v>
      </x:c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>
        <x:v>3371</x:v>
      </x:c>
      <x:c r="M216" s="3">
        <x:v>6498</x:v>
      </x:c>
      <x:c r="N216" s="3">
        <x:v>2006</x:v>
      </x:c>
      <x:c r="O216" s="3">
        <x:v>3699</x:v>
      </x:c>
      <x:c r="P216" s="3">
        <x:v>2475</x:v>
      </x:c>
      <x:c r="Q216" s="3">
        <x:v>2004</x:v>
      </x:c>
      <x:c r="R216" s="3">
        <x:v>2664</x:v>
      </x:c>
      <x:c r="S216" s="3"/>
      <x:c r="T216" s="3"/>
      <x:c r="U216" s="3"/>
      <x:c r="V216" s="3"/>
      <x:c r="W216" s="3"/>
      <x:c r="X216" s="3"/>
      <x:c r="Y216" s="3"/>
      <x:c r="AA216" s="5"/>
      <x:c r="AB216" s="5"/>
      <x:c r="AW216" s="72" t="str">
        <x:v>—</x:v>
      </x:c>
      <x:c r="AX216" s="72" t="str">
        <x:v>—</x:v>
      </x:c>
    </x:row>
    <x:row r="217" s="2" customFormat="1">
      <x:c r="A217" s="1" t="s">
        <x:v>247</x:v>
      </x:c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>
        <x:v>2303</x:v>
      </x:c>
      <x:c r="M217" s="3">
        <x:v>3005</x:v>
      </x:c>
      <x:c r="N217" s="3">
        <x:v>1464</x:v>
      </x:c>
      <x:c r="O217" s="3">
        <x:v>2185</x:v>
      </x:c>
      <x:c r="P217" s="3">
        <x:v>1538</x:v>
      </x:c>
      <x:c r="Q217" s="3">
        <x:v>921</x:v>
      </x:c>
      <x:c r="R217" s="3">
        <x:v>2121</x:v>
      </x:c>
      <x:c r="S217" s="3"/>
      <x:c r="T217" s="3"/>
      <x:c r="U217" s="3"/>
      <x:c r="V217" s="3"/>
      <x:c r="W217" s="3"/>
      <x:c r="X217" s="3"/>
      <x:c r="Y217" s="3"/>
      <x:c r="AA217" s="5"/>
      <x:c r="AB217" s="5"/>
      <x:c r="AW217" s="72" t="str">
        <x:v>—</x:v>
      </x:c>
      <x:c r="AX217" s="72" t="str">
        <x:v>—</x:v>
      </x:c>
    </x:row>
    <x:row r="218" s="13" customFormat="1">
      <x:c r="A218" s="11" t="s">
        <x:v>248</x:v>
      </x:c>
      <x:c r="B218" s="12">
        <x:v>7955725</x:v>
      </x:c>
      <x:c r="C218" s="12">
        <x:v>306791</x:v>
      </x:c>
      <x:c r="D218" s="12">
        <x:v>215408</x:v>
      </x:c>
      <x:c r="E218" s="12">
        <x:v>653152</x:v>
      </x:c>
      <x:c r="F218" s="12">
        <x:v>25351</x:v>
      </x:c>
      <x:c r="G218" s="12">
        <x:v>19294</x:v>
      </x:c>
      <x:c r="H218" s="12">
        <x:v>7560264</x:v>
      </x:c>
      <x:c r="I218" s="12">
        <x:v>368202</x:v>
      </x:c>
      <x:c r="J218" s="12">
        <x:v>177337</x:v>
      </x:c>
      <x:c r="K218" s="3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AA218" s="14"/>
      <x:c r="AB218" s="14"/>
      <x:c r="AD218" s="14" t="n">
        <x:f t="shared" ref="AD218:AL218" si="16">SUM(B190:B217)</x:f>
        <x:v>7955715</x:v>
      </x:c>
      <x:c r="AE218" s="14">
        <x:f t="shared" si="16"/>
        <x:v>306791</x:v>
      </x:c>
      <x:c r="AF218" s="14">
        <x:f t="shared" si="16"/>
        <x:v>215413</x:v>
      </x:c>
      <x:c r="AG218" s="14">
        <x:f t="shared" si="16"/>
        <x:v>652622</x:v>
      </x:c>
      <x:c r="AH218" s="14">
        <x:f t="shared" si="16"/>
        <x:v>25351</x:v>
      </x:c>
      <x:c r="AI218" s="14">
        <x:f t="shared" si="16"/>
        <x:v>19294</x:v>
      </x:c>
      <x:c r="AJ218" s="14">
        <x:f t="shared" si="16"/>
        <x:v>7330167</x:v>
      </x:c>
      <x:c r="AK218" s="14">
        <x:f t="shared" si="16"/>
        <x:v>275898</x:v>
      </x:c>
      <x:c r="AL218" s="14">
        <x:f t="shared" si="16"/>
        <x:v>182225</x:v>
      </x:c>
      <x:c r="AN218" s="14" t="n">
        <x:f t="shared" ref="AN218:AV218" si="17">AD218-B218</x:f>
        <x:v>-10</x:v>
      </x:c>
      <x:c r="AO218" s="14">
        <x:f t="shared" si="17"/>
        <x:v>0</x:v>
      </x:c>
      <x:c r="AP218" s="14">
        <x:f t="shared" si="17"/>
        <x:v>5</x:v>
      </x:c>
      <x:c r="AQ218" s="14">
        <x:f t="shared" si="17"/>
        <x:v>-530</x:v>
      </x:c>
      <x:c r="AR218" s="14">
        <x:f t="shared" si="17"/>
        <x:v>0</x:v>
      </x:c>
      <x:c r="AS218" s="14">
        <x:f t="shared" si="17"/>
        <x:v>0</x:v>
      </x:c>
      <x:c r="AT218" s="14">
        <x:f t="shared" si="17"/>
        <x:v>-230097</x:v>
      </x:c>
      <x:c r="AU218" s="14">
        <x:f t="shared" si="17"/>
        <x:v>-92304</x:v>
      </x:c>
      <x:c r="AV218" s="14">
        <x:f t="shared" si="17"/>
        <x:v>4888</x:v>
      </x:c>
      <x:c r="AW218" s="72" t="n">
        <x:v>38.8</x:v>
      </x:c>
      <x:c r="AX218" s="72" t="n">
        <x:v>27.2</x:v>
      </x:c>
    </x:row>
    <x:row r="219" s="8" customFormat="1">
      <x:c r="A219" s="22" t="s">
        <x:v>249</x:v>
      </x:c>
      <x:c r="B219" s="23">
        <x:v>63221</x:v>
      </x:c>
      <x:c r="C219" s="24" t="s">
        <x:v>36</x:v>
      </x:c>
      <x:c r="D219" s="24" t="s">
        <x:v>36</x:v>
      </x:c>
      <x:c r="E219" s="24" t="s">
        <x:v>36</x:v>
      </x:c>
      <x:c r="F219" s="24" t="s">
        <x:v>36</x:v>
      </x:c>
      <x:c r="G219" s="24" t="s">
        <x:v>36</x:v>
      </x:c>
      <x:c r="H219" s="24" t="s">
        <x:v>36</x:v>
      </x:c>
      <x:c r="I219" s="24" t="s">
        <x:v>36</x:v>
      </x:c>
      <x:c r="J219" s="24" t="s">
        <x:v>36</x:v>
      </x:c>
      <x:c r="K219" s="4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AA219" s="9"/>
      <x:c r="AB219" s="9"/>
      <x:c r="AW219" s="72" t="str">
        <x:v>—</x:v>
      </x:c>
      <x:c r="AX219" s="72" t="str">
        <x:v>—</x:v>
      </x:c>
    </x:row>
    <x:row r="220" s="8" customFormat="1">
      <x:c r="A220" s="22" t="s">
        <x:v>250</x:v>
      </x:c>
      <x:c r="B220" s="23">
        <x:v>480546</x:v>
      </x:c>
      <x:c r="C220" s="23">
        <x:v>22847</x:v>
      </x:c>
      <x:c r="D220" s="23">
        <x:v>17185</x:v>
      </x:c>
      <x:c r="E220" s="23">
        <x:v>39822</x:v>
      </x:c>
      <x:c r="F220" s="23">
        <x:v>1923</x:v>
      </x:c>
      <x:c r="G220" s="23">
        <x:v>1960</x:v>
      </x:c>
      <x:c r="H220" s="23">
        <x:v>468898</x:v>
      </x:c>
      <x:c r="I220" s="23">
        <x:v>23300</x:v>
      </x:c>
      <x:c r="J220" s="23">
        <x:v>17587</x:v>
      </x:c>
      <x:c r="K220" s="3"/>
      <x:c r="L220" s="23">
        <x:v>86548</x:v>
      </x:c>
      <x:c r="M220" s="23">
        <x:v>85989</x:v>
      </x:c>
      <x:c r="N220" s="23">
        <x:v>67534</x:v>
      </x:c>
      <x:c r="O220" s="23">
        <x:v>79027</x:v>
      </x:c>
      <x:c r="P220" s="23">
        <x:v>132358</x:v>
      </x:c>
      <x:c r="Q220" s="23">
        <x:v>9223</x:v>
      </x:c>
      <x:c r="R220" s="7"/>
      <x:c r="S220" s="7"/>
      <x:c r="T220" s="7"/>
      <x:c r="U220" s="7"/>
      <x:c r="V220" s="7"/>
      <x:c r="W220" s="7"/>
      <x:c r="X220" s="7"/>
      <x:c r="Y220" s="7"/>
      <x:c r="AA220" s="9" t="n">
        <x:f t="shared" ref="AA220:AA243" si="18">SUM(L220:Y220)</x:f>
        <x:v>460679</x:v>
      </x:c>
      <x:c r="AB220" s="9" t="n">
        <x:f>AA220-B220</x:f>
        <x:v>-19867</x:v>
      </x:c>
      <x:c r="AW220" s="72" t="n">
        <x:v>47.5</x:v>
      </x:c>
      <x:c r="AX220" s="72" t="n">
        <x:v>35.7</x:v>
      </x:c>
    </x:row>
    <x:row r="221" s="2" customFormat="1">
      <x:c r="A221" s="25" t="s">
        <x:v>251</x:v>
      </x:c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26">
        <x:v>3747</x:v>
      </x:c>
      <x:c r="M221" s="26">
        <x:v>4660</x:v>
      </x:c>
      <x:c r="N221" s="26">
        <x:v>2939</x:v>
      </x:c>
      <x:c r="O221" s="26">
        <x:v>3539</x:v>
      </x:c>
      <x:c r="P221" s="26">
        <x:v>7721</x:v>
      </x:c>
      <x:c r="Q221" s="26">
        <x:v>241</x:v>
      </x:c>
      <x:c r="R221" s="3"/>
      <x:c r="S221" s="3"/>
      <x:c r="T221" s="3"/>
      <x:c r="U221" s="3"/>
      <x:c r="V221" s="3"/>
      <x:c r="W221" s="3"/>
      <x:c r="X221" s="3"/>
      <x:c r="Y221" s="3"/>
      <x:c r="AA221" s="5">
        <x:f t="shared" si="18"/>
        <x:v>22847</x:v>
      </x:c>
      <x:c r="AB221" s="5" t="n">
        <x:f>C220-AA221</x:f>
        <x:v>0</x:v>
      </x:c>
      <x:c r="AW221" s="72" t="str">
        <x:v>—</x:v>
      </x:c>
      <x:c r="AX221" s="72" t="str">
        <x:v>—</x:v>
      </x:c>
    </x:row>
    <x:row r="222" s="2" customFormat="1">
      <x:c r="A222" s="25" t="s">
        <x:v>252</x:v>
      </x:c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26">
        <x:v>3263</x:v>
      </x:c>
      <x:c r="M222" s="26">
        <x:v>3497</x:v>
      </x:c>
      <x:c r="N222" s="26">
        <x:v>2431</x:v>
      </x:c>
      <x:c r="O222" s="26">
        <x:v>2366</x:v>
      </x:c>
      <x:c r="P222" s="26">
        <x:v>5615</x:v>
      </x:c>
      <x:c r="Q222" s="26">
        <x:v>213</x:v>
      </x:c>
      <x:c r="R222" s="3"/>
      <x:c r="S222" s="3"/>
      <x:c r="T222" s="3"/>
      <x:c r="U222" s="3"/>
      <x:c r="V222" s="3"/>
      <x:c r="W222" s="3"/>
      <x:c r="X222" s="3"/>
      <x:c r="Y222" s="3"/>
      <x:c r="AA222" s="5">
        <x:f t="shared" si="18"/>
        <x:v>17385</x:v>
      </x:c>
      <x:c r="AB222" s="5" t="n">
        <x:f>AA222-D220</x:f>
        <x:v>200</x:v>
      </x:c>
      <x:c r="AW222" s="72" t="str">
        <x:v>—</x:v>
      </x:c>
      <x:c r="AX222" s="72" t="str">
        <x:v>—</x:v>
      </x:c>
    </x:row>
    <x:row r="223" s="8" customFormat="1">
      <x:c r="A223" s="22" t="s">
        <x:v>253</x:v>
      </x:c>
      <x:c r="B223" s="23">
        <x:v>565477</x:v>
      </x:c>
      <x:c r="C223" s="23">
        <x:v>16344</x:v>
      </x:c>
      <x:c r="D223" s="23">
        <x:v>14410</x:v>
      </x:c>
      <x:c r="E223" s="24" t="s">
        <x:v>36</x:v>
      </x:c>
      <x:c r="F223" s="24" t="s">
        <x:v>36</x:v>
      </x:c>
      <x:c r="G223" s="24" t="s">
        <x:v>36</x:v>
      </x:c>
      <x:c r="H223" s="23">
        <x:v>512727</x:v>
      </x:c>
      <x:c r="I223" s="23">
        <x:v>19157</x:v>
      </x:c>
      <x:c r="J223" s="23">
        <x:v>13832</x:v>
      </x:c>
      <x:c r="K223" s="3"/>
      <x:c r="L223" s="23">
        <x:v>114632</x:v>
      </x:c>
      <x:c r="M223" s="23">
        <x:v>28179</x:v>
      </x:c>
      <x:c r="N223" s="23">
        <x:v>19994</x:v>
      </x:c>
      <x:c r="O223" s="23">
        <x:v>145476</x:v>
      </x:c>
      <x:c r="P223" s="23">
        <x:v>72438</x:v>
      </x:c>
      <x:c r="Q223" s="23">
        <x:v>61112</x:v>
      </x:c>
      <x:c r="R223" s="23">
        <x:v>94124</x:v>
      </x:c>
      <x:c r="S223" s="23">
        <x:v>29522</x:v>
      </x:c>
      <x:c r="T223" s="7"/>
      <x:c r="U223" s="7"/>
      <x:c r="V223" s="7"/>
      <x:c r="W223" s="7"/>
      <x:c r="X223" s="7"/>
      <x:c r="Y223" s="7"/>
      <x:c r="AA223" s="9">
        <x:f t="shared" si="18"/>
        <x:v>565477</x:v>
      </x:c>
      <x:c r="AB223" s="9" t="n">
        <x:f>AA223-B223</x:f>
        <x:v>0</x:v>
      </x:c>
      <x:c r="AW223" s="72" t="n">
        <x:v>29</x:v>
      </x:c>
      <x:c r="AX223" s="72" t="n">
        <x:v>16.6</x:v>
      </x:c>
    </x:row>
    <x:row r="224" s="2" customFormat="1">
      <x:c r="A224" s="25" t="s">
        <x:v>254</x:v>
      </x:c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26">
        <x:v>4078</x:v>
      </x:c>
      <x:c r="M224" s="26">
        <x:v>1021</x:v>
      </x:c>
      <x:c r="N224" s="26">
        <x:v>569</x:v>
      </x:c>
      <x:c r="O224" s="27" t="s">
        <x:v>36</x:v>
      </x:c>
      <x:c r="P224" s="26">
        <x:v>3654</x:v>
      </x:c>
      <x:c r="Q224" s="26">
        <x:v>2870</x:v>
      </x:c>
      <x:c r="R224" s="26">
        <x:v>4183</x:v>
      </x:c>
      <x:c r="S224" s="26">
        <x:v>969</x:v>
      </x:c>
      <x:c r="T224" s="3"/>
      <x:c r="U224" s="3"/>
      <x:c r="V224" s="3"/>
      <x:c r="W224" s="3"/>
      <x:c r="X224" s="3"/>
      <x:c r="Y224" s="3"/>
      <x:c r="AA224" s="5">
        <x:f t="shared" si="18"/>
        <x:v>17344</x:v>
      </x:c>
      <x:c r="AB224" s="5" t="n">
        <x:f>C223-AA224</x:f>
        <x:v>-1000</x:v>
      </x:c>
      <x:c r="AW224" s="72" t="str">
        <x:v>—</x:v>
      </x:c>
      <x:c r="AX224" s="72" t="str">
        <x:v>—</x:v>
      </x:c>
    </x:row>
    <x:row r="225" s="2" customFormat="1">
      <x:c r="A225" s="25" t="s">
        <x:v>255</x:v>
      </x:c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26">
        <x:v>1167</x:v>
      </x:c>
      <x:c r="M225" s="26">
        <x:v>320</x:v>
      </x:c>
      <x:c r="N225" s="26">
        <x:v>860</x:v>
      </x:c>
      <x:c r="O225" s="26">
        <x:v>2011</x:v>
      </x:c>
      <x:c r="P225" s="26">
        <x:v>8150</x:v>
      </x:c>
      <x:c r="Q225" s="26">
        <x:v>672</x:v>
      </x:c>
      <x:c r="R225" s="26">
        <x:v>360</x:v>
      </x:c>
      <x:c r="S225" s="26">
        <x:v>870</x:v>
      </x:c>
      <x:c r="T225" s="3"/>
      <x:c r="U225" s="3"/>
      <x:c r="V225" s="3"/>
      <x:c r="W225" s="3"/>
      <x:c r="X225" s="3"/>
      <x:c r="Y225" s="3"/>
      <x:c r="AA225" s="5">
        <x:f t="shared" si="18"/>
        <x:v>14410</x:v>
      </x:c>
      <x:c r="AB225" s="5" t="n">
        <x:f>AA225-D223</x:f>
        <x:v>0</x:v>
      </x:c>
      <x:c r="AW225" s="72" t="str">
        <x:v>—</x:v>
      </x:c>
      <x:c r="AX225" s="72" t="str">
        <x:v>—</x:v>
      </x:c>
    </x:row>
    <x:row r="226" s="8" customFormat="1">
      <x:c r="A226" s="22" t="s">
        <x:v>256</x:v>
      </x:c>
      <x:c r="B226" s="23">
        <x:v>444704</x:v>
      </x:c>
      <x:c r="C226" s="23">
        <x:v>20131</x:v>
      </x:c>
      <x:c r="D226" s="23">
        <x:v>14077</x:v>
      </x:c>
      <x:c r="E226" s="23">
        <x:v>58190</x:v>
      </x:c>
      <x:c r="F226" s="23">
        <x:v>2112</x:v>
      </x:c>
      <x:c r="G226" s="23">
        <x:v>1976</x:v>
      </x:c>
      <x:c r="H226" s="23">
        <x:v>427879</x:v>
      </x:c>
      <x:c r="I226" s="23">
        <x:v>20377</x:v>
      </x:c>
      <x:c r="J226" s="23">
        <x:v>17073</x:v>
      </x:c>
      <x:c r="K226" s="3"/>
      <x:c r="L226" s="23">
        <x:v>146915</x:v>
      </x:c>
      <x:c r="M226" s="23">
        <x:v>128600</x:v>
      </x:c>
      <x:c r="N226" s="23">
        <x:v>64470</x:v>
      </x:c>
      <x:c r="O226" s="23">
        <x:v>49026</x:v>
      </x:c>
      <x:c r="P226" s="23">
        <x:v>55693</x:v>
      </x:c>
      <x:c r="Q226" s="7"/>
      <x:c r="R226" s="7"/>
      <x:c r="S226" s="7"/>
      <x:c r="T226" s="7"/>
      <x:c r="U226" s="7"/>
      <x:c r="V226" s="7"/>
      <x:c r="W226" s="7"/>
      <x:c r="X226" s="7"/>
      <x:c r="Y226" s="7"/>
      <x:c r="AA226" s="9">
        <x:f t="shared" si="18"/>
        <x:v>444704</x:v>
      </x:c>
      <x:c r="AB226" s="9" t="n">
        <x:f>AA226-B226</x:f>
        <x:v>0</x:v>
      </x:c>
      <x:c r="AW226" s="72" t="n">
        <x:v>45.2</x:v>
      </x:c>
      <x:c r="AX226" s="72" t="n">
        <x:v>31.4</x:v>
      </x:c>
    </x:row>
    <x:row r="227" s="2" customFormat="1">
      <x:c r="A227" s="25" t="s">
        <x:v>257</x:v>
      </x:c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26">
        <x:v>5971</x:v>
      </x:c>
      <x:c r="M227" s="26">
        <x:v>5459</x:v>
      </x:c>
      <x:c r="N227" s="26">
        <x:v>3096</x:v>
      </x:c>
      <x:c r="O227" s="26">
        <x:v>2340</x:v>
      </x:c>
      <x:c r="P227" s="26">
        <x:v>3265</x:v>
      </x:c>
      <x:c r="Q227" s="3"/>
      <x:c r="R227" s="3"/>
      <x:c r="S227" s="3"/>
      <x:c r="T227" s="3"/>
      <x:c r="U227" s="3"/>
      <x:c r="V227" s="3"/>
      <x:c r="W227" s="3"/>
      <x:c r="X227" s="3"/>
      <x:c r="Y227" s="3"/>
      <x:c r="AA227" s="5">
        <x:f t="shared" si="18"/>
        <x:v>20131</x:v>
      </x:c>
      <x:c r="AB227" s="5" t="n">
        <x:f>C226-AA227</x:f>
        <x:v>0</x:v>
      </x:c>
      <x:c r="AW227" s="72" t="str">
        <x:v>—</x:v>
      </x:c>
      <x:c r="AX227" s="72" t="str">
        <x:v>—</x:v>
      </x:c>
    </x:row>
    <x:row r="228" s="2" customFormat="1">
      <x:c r="A228" s="25" t="s">
        <x:v>258</x:v>
      </x:c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26">
        <x:v>4375</x:v>
      </x:c>
      <x:c r="M228" s="26">
        <x:v>3994</x:v>
      </x:c>
      <x:c r="N228" s="26">
        <x:v>1879</x:v>
      </x:c>
      <x:c r="O228" s="26">
        <x:v>1366</x:v>
      </x:c>
      <x:c r="P228" s="26">
        <x:v>2463</x:v>
      </x:c>
      <x:c r="Q228" s="3"/>
      <x:c r="R228" s="3"/>
      <x:c r="S228" s="3"/>
      <x:c r="T228" s="3"/>
      <x:c r="U228" s="3"/>
      <x:c r="V228" s="3"/>
      <x:c r="W228" s="3"/>
      <x:c r="X228" s="3"/>
      <x:c r="Y228" s="3"/>
      <x:c r="AA228" s="5">
        <x:f t="shared" si="18"/>
        <x:v>14077</x:v>
      </x:c>
      <x:c r="AB228" s="5" t="n">
        <x:f>AA228-D226</x:f>
        <x:v>0</x:v>
      </x:c>
      <x:c r="AW228" s="72" t="str">
        <x:v>—</x:v>
      </x:c>
      <x:c r="AX228" s="72" t="str">
        <x:v>—</x:v>
      </x:c>
    </x:row>
    <x:row r="229" s="8" customFormat="1">
      <x:c r="A229" s="22" t="s">
        <x:v>259</x:v>
      </x:c>
      <x:c r="B229" s="23">
        <x:v>119744</x:v>
      </x:c>
      <x:c r="C229" s="23">
        <x:v>3311</x:v>
      </x:c>
      <x:c r="D229" s="23">
        <x:v>1769</x:v>
      </x:c>
      <x:c r="E229" s="24" t="s">
        <x:v>36</x:v>
      </x:c>
      <x:c r="F229" s="24" t="s">
        <x:v>36</x:v>
      </x:c>
      <x:c r="G229" s="24" t="s">
        <x:v>36</x:v>
      </x:c>
      <x:c r="H229" s="23">
        <x:v>102857</x:v>
      </x:c>
      <x:c r="I229" s="23">
        <x:v>2962</x:v>
      </x:c>
      <x:c r="J229" s="23">
        <x:v>1840</x:v>
      </x:c>
      <x:c r="K229" s="3"/>
      <x:c r="L229" s="23">
        <x:v>14606</x:v>
      </x:c>
      <x:c r="M229" s="23">
        <x:v>10350</x:v>
      </x:c>
      <x:c r="N229" s="23">
        <x:v>5399</x:v>
      </x:c>
      <x:c r="O229" s="23">
        <x:v>675</x:v>
      </x:c>
      <x:c r="P229" s="23">
        <x:v>9561</x:v>
      </x:c>
      <x:c r="Q229" s="23">
        <x:v>4040</x:v>
      </x:c>
      <x:c r="R229" s="23">
        <x:v>6644</x:v>
      </x:c>
      <x:c r="S229" s="23">
        <x:v>6460</x:v>
      </x:c>
      <x:c r="T229" s="23">
        <x:v>62009</x:v>
      </x:c>
      <x:c r="U229" s="7"/>
      <x:c r="V229" s="7"/>
      <x:c r="W229" s="7"/>
      <x:c r="X229" s="7"/>
      <x:c r="Y229" s="7"/>
      <x:c r="AA229" s="9">
        <x:f t="shared" si="18"/>
        <x:v>119744</x:v>
      </x:c>
      <x:c r="AB229" s="9" t="n">
        <x:f>AA229-B229</x:f>
        <x:v>0</x:v>
      </x:c>
      <x:c r="AW229" s="72" t="str">
        <x:v>—</x:v>
      </x:c>
      <x:c r="AX229" s="72" t="str">
        <x:v>—</x:v>
      </x:c>
    </x:row>
    <x:row r="230" s="2" customFormat="1">
      <x:c r="A230" s="25" t="s">
        <x:v>260</x:v>
      </x:c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26">
        <x:v>538</x:v>
      </x:c>
      <x:c r="M230" s="27" t="s">
        <x:v>36</x:v>
      </x:c>
      <x:c r="N230" s="26">
        <x:v>24</x:v>
      </x:c>
      <x:c r="O230" s="26">
        <x:v>26</x:v>
      </x:c>
      <x:c r="P230" s="26">
        <x:v>192</x:v>
      </x:c>
      <x:c r="Q230" s="26">
        <x:v>122</x:v>
      </x:c>
      <x:c r="R230" s="26">
        <x:v>197</x:v>
      </x:c>
      <x:c r="S230" s="26">
        <x:v>284</x:v>
      </x:c>
      <x:c r="T230" s="26">
        <x:v>1928</x:v>
      </x:c>
      <x:c r="U230" s="3"/>
      <x:c r="V230" s="3"/>
      <x:c r="W230" s="3"/>
      <x:c r="X230" s="3"/>
      <x:c r="Y230" s="3"/>
      <x:c r="AA230" s="5">
        <x:f t="shared" si="18"/>
        <x:v>3311</x:v>
      </x:c>
      <x:c r="AB230" s="5" t="n">
        <x:f>C229-AA230</x:f>
        <x:v>0</x:v>
      </x:c>
      <x:c r="AW230" s="72" t="str">
        <x:v>—</x:v>
      </x:c>
      <x:c r="AX230" s="72" t="str">
        <x:v>—</x:v>
      </x:c>
    </x:row>
    <x:row r="231" s="2" customFormat="1">
      <x:c r="A231" s="25" t="s">
        <x:v>261</x:v>
      </x:c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26">
        <x:v>222</x:v>
      </x:c>
      <x:c r="M231" s="27" t="s">
        <x:v>36</x:v>
      </x:c>
      <x:c r="N231" s="26">
        <x:v>26</x:v>
      </x:c>
      <x:c r="O231" s="26">
        <x:v>14</x:v>
      </x:c>
      <x:c r="P231" s="26">
        <x:v>179</x:v>
      </x:c>
      <x:c r="Q231" s="26">
        <x:v>164</x:v>
      </x:c>
      <x:c r="R231" s="26">
        <x:v>86</x:v>
      </x:c>
      <x:c r="S231" s="26">
        <x:v>128</x:v>
      </x:c>
      <x:c r="T231" s="26">
        <x:v>950</x:v>
      </x:c>
      <x:c r="U231" s="3"/>
      <x:c r="V231" s="3"/>
      <x:c r="W231" s="3"/>
      <x:c r="X231" s="3"/>
      <x:c r="Y231" s="3"/>
      <x:c r="AA231" s="5">
        <x:f t="shared" si="18"/>
        <x:v>1769</x:v>
      </x:c>
      <x:c r="AB231" s="5" t="n">
        <x:f>AA231-D229</x:f>
        <x:v>0</x:v>
      </x:c>
      <x:c r="AW231" s="72" t="str">
        <x:v>—</x:v>
      </x:c>
      <x:c r="AX231" s="72" t="str">
        <x:v>—</x:v>
      </x:c>
    </x:row>
    <x:row r="232" s="8" customFormat="1">
      <x:c r="A232" s="22" t="s">
        <x:v>262</x:v>
      </x:c>
      <x:c r="B232" s="23">
        <x:v>1411475</x:v>
      </x:c>
      <x:c r="C232" s="23">
        <x:v>73772</x:v>
      </x:c>
      <x:c r="D232" s="23">
        <x:v>58271</x:v>
      </x:c>
      <x:c r="E232" s="23">
        <x:v>99804</x:v>
      </x:c>
      <x:c r="F232" s="23">
        <x:v>2262</x:v>
      </x:c>
      <x:c r="G232" s="23">
        <x:v>2550</x:v>
      </x:c>
      <x:c r="H232" s="23">
        <x:v>1393432</x:v>
      </x:c>
      <x:c r="I232" s="23">
        <x:v>76165</x:v>
      </x:c>
      <x:c r="J232" s="23">
        <x:v>61052</x:v>
      </x:c>
      <x:c r="K232" s="3"/>
      <x:c r="L232" s="23">
        <x:v>126707</x:v>
      </x:c>
      <x:c r="M232" s="23">
        <x:v>31452</x:v>
      </x:c>
      <x:c r="N232" s="23">
        <x:v>274400</x:v>
      </x:c>
      <x:c r="O232" s="23">
        <x:v>266295</x:v>
      </x:c>
      <x:c r="P232" s="23">
        <x:v>8544</x:v>
      </x:c>
      <x:c r="Q232" s="23">
        <x:v>148902</x:v>
      </x:c>
      <x:c r="R232" s="23">
        <x:v>71444</x:v>
      </x:c>
      <x:c r="S232" s="23">
        <x:v>158211</x:v>
      </x:c>
      <x:c r="T232" s="23">
        <x:v>124624</x:v>
      </x:c>
      <x:c r="U232" s="23">
        <x:v>200886</x:v>
      </x:c>
      <x:c r="V232" s="7"/>
      <x:c r="W232" s="7"/>
      <x:c r="X232" s="7"/>
      <x:c r="Y232" s="7"/>
      <x:c r="AA232" s="9">
        <x:f t="shared" si="18"/>
        <x:v>1411465</x:v>
      </x:c>
      <x:c r="AB232" s="9" t="n">
        <x:f>AA232-B232</x:f>
        <x:v>-10</x:v>
      </x:c>
      <x:c r="AW232" s="72" t="n">
        <x:v>52.3</x:v>
      </x:c>
      <x:c r="AX232" s="72" t="n">
        <x:v>41.3</x:v>
      </x:c>
    </x:row>
    <x:row r="233" s="2" customFormat="1">
      <x:c r="A233" s="25" t="s">
        <x:v>263</x:v>
      </x:c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26">
        <x:v>5642</x:v>
      </x:c>
      <x:c r="M233" s="27" t="s">
        <x:v>36</x:v>
      </x:c>
      <x:c r="N233" s="26">
        <x:v>16521</x:v>
      </x:c>
      <x:c r="O233" s="26">
        <x:v>16788</x:v>
      </x:c>
      <x:c r="P233" s="26">
        <x:v>334</x:v>
      </x:c>
      <x:c r="Q233" s="26">
        <x:v>7099</x:v>
      </x:c>
      <x:c r="R233" s="26">
        <x:v>3483</x:v>
      </x:c>
      <x:c r="S233" s="26">
        <x:v>7973</x:v>
      </x:c>
      <x:c r="T233" s="26">
        <x:v>4673</x:v>
      </x:c>
      <x:c r="U233" s="26">
        <x:v>9954</x:v>
      </x:c>
      <x:c r="V233" s="3"/>
      <x:c r="W233" s="3"/>
      <x:c r="X233" s="3"/>
      <x:c r="Y233" s="3"/>
      <x:c r="AA233" s="5">
        <x:f t="shared" si="18"/>
        <x:v>72467</x:v>
      </x:c>
      <x:c r="AB233" s="5" t="n">
        <x:f>C232-AA233</x:f>
        <x:v>1305</x:v>
      </x:c>
      <x:c r="AW233" s="72" t="str">
        <x:v>—</x:v>
      </x:c>
      <x:c r="AX233" s="72" t="str">
        <x:v>—</x:v>
      </x:c>
    </x:row>
    <x:row r="234" s="2" customFormat="1">
      <x:c r="A234" s="25" t="s">
        <x:v>264</x:v>
      </x:c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26">
        <x:v>4568</x:v>
      </x:c>
      <x:c r="M234" s="26">
        <x:v>1200</x:v>
      </x:c>
      <x:c r="N234" s="26">
        <x:v>12987</x:v>
      </x:c>
      <x:c r="O234" s="26">
        <x:v>12737</x:v>
      </x:c>
      <x:c r="P234" s="26">
        <x:v>336</x:v>
      </x:c>
      <x:c r="Q234" s="26">
        <x:v>4727</x:v>
      </x:c>
      <x:c r="R234" s="26">
        <x:v>3333</x:v>
      </x:c>
      <x:c r="S234" s="26">
        <x:v>5279</x:v>
      </x:c>
      <x:c r="T234" s="26">
        <x:v>4518</x:v>
      </x:c>
      <x:c r="U234" s="26">
        <x:v>8586</x:v>
      </x:c>
      <x:c r="V234" s="3"/>
      <x:c r="W234" s="3"/>
      <x:c r="X234" s="3"/>
      <x:c r="Y234" s="3"/>
      <x:c r="AA234" s="5">
        <x:f t="shared" si="18"/>
        <x:v>58271</x:v>
      </x:c>
      <x:c r="AB234" s="5" t="n">
        <x:f>AA234-D232</x:f>
        <x:v>0</x:v>
      </x:c>
      <x:c r="AW234" s="72" t="str">
        <x:v>—</x:v>
      </x:c>
      <x:c r="AX234" s="72" t="str">
        <x:v>—</x:v>
      </x:c>
    </x:row>
    <x:row r="235" s="8" customFormat="1">
      <x:c r="A235" s="22" t="s">
        <x:v>265</x:v>
      </x:c>
      <x:c r="B235" s="23">
        <x:v>1422681</x:v>
      </x:c>
      <x:c r="C235" s="23">
        <x:v>67604</x:v>
      </x:c>
      <x:c r="D235" s="23">
        <x:v>38492</x:v>
      </x:c>
      <x:c r="E235" s="24" t="s">
        <x:v>36</x:v>
      </x:c>
      <x:c r="F235" s="24" t="s">
        <x:v>36</x:v>
      </x:c>
      <x:c r="G235" s="24" t="s">
        <x:v>36</x:v>
      </x:c>
      <x:c r="H235" s="23">
        <x:v>1326265</x:v>
      </x:c>
      <x:c r="I235" s="23">
        <x:v>63453</x:v>
      </x:c>
      <x:c r="J235" s="23">
        <x:v>35157</x:v>
      </x:c>
      <x:c r="K235" s="3"/>
      <x:c r="L235" s="23">
        <x:v>214609</x:v>
      </x:c>
      <x:c r="M235" s="23">
        <x:v>318785</x:v>
      </x:c>
      <x:c r="N235" s="23">
        <x:v>366358</x:v>
      </x:c>
      <x:c r="O235" s="23">
        <x:v>167569</x:v>
      </x:c>
      <x:c r="P235" s="23">
        <x:v>174104</x:v>
      </x:c>
      <x:c r="Q235" s="23">
        <x:v>121338</x:v>
      </x:c>
      <x:c r="R235" s="7"/>
      <x:c r="S235" s="7"/>
      <x:c r="T235" s="7"/>
      <x:c r="U235" s="7"/>
      <x:c r="V235" s="7"/>
      <x:c r="W235" s="7"/>
      <x:c r="X235" s="7"/>
      <x:c r="Y235" s="7"/>
      <x:c r="AA235" s="9">
        <x:f t="shared" si="18"/>
        <x:v>1362763</x:v>
      </x:c>
      <x:c r="AB235" s="9" t="n">
        <x:f>AA235-B235</x:f>
        <x:v>-59918</x:v>
      </x:c>
      <x:c r="AW235" s="72" t="n">
        <x:v>47.5</x:v>
      </x:c>
      <x:c r="AX235" s="72" t="n">
        <x:v>27</x:v>
      </x:c>
    </x:row>
    <x:row r="236" s="2" customFormat="1">
      <x:c r="A236" s="25" t="s">
        <x:v>266</x:v>
      </x:c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26">
        <x:v>11309</x:v>
      </x:c>
      <x:c r="M236" s="26">
        <x:v>17664</x:v>
      </x:c>
      <x:c r="N236" s="26">
        <x:v>18927</x:v>
      </x:c>
      <x:c r="O236" s="26">
        <x:v>7219</x:v>
      </x:c>
      <x:c r="P236" s="26">
        <x:v>6594</x:v>
      </x:c>
      <x:c r="Q236" s="26">
        <x:v>5891</x:v>
      </x:c>
      <x:c r="R236" s="3"/>
      <x:c r="S236" s="3"/>
      <x:c r="T236" s="3"/>
      <x:c r="U236" s="3"/>
      <x:c r="V236" s="3"/>
      <x:c r="W236" s="3"/>
      <x:c r="X236" s="3"/>
      <x:c r="Y236" s="3"/>
      <x:c r="AA236" s="5">
        <x:f t="shared" si="18"/>
        <x:v>67604</x:v>
      </x:c>
      <x:c r="AB236" s="5" t="n">
        <x:f>C235-AA236</x:f>
        <x:v>0</x:v>
      </x:c>
      <x:c r="AW236" s="72" t="str">
        <x:v>—</x:v>
      </x:c>
      <x:c r="AX236" s="72" t="str">
        <x:v>—</x:v>
      </x:c>
    </x:row>
    <x:row r="237" s="2" customFormat="1">
      <x:c r="A237" s="25" t="s">
        <x:v>267</x:v>
      </x:c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26">
        <x:v>8440</x:v>
      </x:c>
      <x:c r="M237" s="26">
        <x:v>8247</x:v>
      </x:c>
      <x:c r="N237" s="26">
        <x:v>9690</x:v>
      </x:c>
      <x:c r="O237" s="26">
        <x:v>4559</x:v>
      </x:c>
      <x:c r="P237" s="26">
        <x:v>3095</x:v>
      </x:c>
      <x:c r="Q237" s="26">
        <x:v>4461</x:v>
      </x:c>
      <x:c r="R237" s="3"/>
      <x:c r="S237" s="3"/>
      <x:c r="T237" s="3"/>
      <x:c r="U237" s="3"/>
      <x:c r="V237" s="3"/>
      <x:c r="W237" s="3"/>
      <x:c r="X237" s="3"/>
      <x:c r="Y237" s="3"/>
      <x:c r="AA237" s="5">
        <x:f t="shared" si="18"/>
        <x:v>38492</x:v>
      </x:c>
      <x:c r="AB237" s="5" t="n">
        <x:f>AA237-D235</x:f>
        <x:v>0</x:v>
      </x:c>
      <x:c r="AW237" s="72" t="str">
        <x:v>—</x:v>
      </x:c>
      <x:c r="AX237" s="72" t="str">
        <x:v>—</x:v>
      </x:c>
    </x:row>
    <x:row r="238" s="8" customFormat="1">
      <x:c r="A238" s="22" t="s">
        <x:v>268</x:v>
      </x:c>
      <x:c r="B238" s="23">
        <x:v>257753</x:v>
      </x:c>
      <x:c r="C238" s="23">
        <x:v>8202</x:v>
      </x:c>
      <x:c r="D238" s="23">
        <x:v>5111</x:v>
      </x:c>
      <x:c r="E238" s="24" t="s">
        <x:v>36</x:v>
      </x:c>
      <x:c r="F238" s="24" t="s">
        <x:v>36</x:v>
      </x:c>
      <x:c r="G238" s="24" t="s">
        <x:v>36</x:v>
      </x:c>
      <x:c r="H238" s="23">
        <x:v>255661</x:v>
      </x:c>
      <x:c r="I238" s="23">
        <x:v>6924</x:v>
      </x:c>
      <x:c r="J238" s="23">
        <x:v>6467</x:v>
      </x:c>
      <x:c r="K238" s="3"/>
      <x:c r="L238" s="23">
        <x:v>150924</x:v>
      </x:c>
      <x:c r="M238" s="23">
        <x:v>12985</x:v>
      </x:c>
      <x:c r="N238" s="23">
        <x:v>72855</x:v>
      </x:c>
      <x:c r="O238" s="23">
        <x:v>6102</x:v>
      </x:c>
      <x:c r="P238" s="23">
        <x:v>14887</x:v>
      </x:c>
      <x:c r="Q238" s="7"/>
      <x:c r="R238" s="7"/>
      <x:c r="S238" s="7"/>
      <x:c r="T238" s="7"/>
      <x:c r="U238" s="7"/>
      <x:c r="V238" s="7"/>
      <x:c r="W238" s="7"/>
      <x:c r="X238" s="7"/>
      <x:c r="Y238" s="7"/>
      <x:c r="AA238" s="9">
        <x:f t="shared" si="18"/>
        <x:v>257753</x:v>
      </x:c>
      <x:c r="AB238" s="9" t="n">
        <x:f>AA238-B238</x:f>
        <x:v>0</x:v>
      </x:c>
      <x:c r="AW238" s="72" t="n">
        <x:v>31.8</x:v>
      </x:c>
      <x:c r="AX238" s="72" t="n">
        <x:v>20</x:v>
      </x:c>
    </x:row>
    <x:row r="239" s="2" customFormat="1">
      <x:c r="A239" s="25" t="s">
        <x:v>269</x:v>
      </x:c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26">
        <x:v>4963</x:v>
      </x:c>
      <x:c r="M239" s="26">
        <x:v>319</x:v>
      </x:c>
      <x:c r="N239" s="26">
        <x:v>2142</x:v>
      </x:c>
      <x:c r="O239" s="26">
        <x:v>135</x:v>
      </x:c>
      <x:c r="P239" s="26">
        <x:v>643</x:v>
      </x:c>
      <x:c r="Q239" s="3"/>
      <x:c r="R239" s="3"/>
      <x:c r="S239" s="3"/>
      <x:c r="T239" s="3"/>
      <x:c r="U239" s="3"/>
      <x:c r="V239" s="3"/>
      <x:c r="W239" s="3"/>
      <x:c r="X239" s="3"/>
      <x:c r="Y239" s="3"/>
      <x:c r="AA239" s="5">
        <x:f t="shared" si="18"/>
        <x:v>8202</x:v>
      </x:c>
      <x:c r="AB239" s="5" t="n">
        <x:f>C238-AA239</x:f>
        <x:v>0</x:v>
      </x:c>
      <x:c r="AW239" s="72" t="str">
        <x:v>—</x:v>
      </x:c>
      <x:c r="AX239" s="72" t="str">
        <x:v>—</x:v>
      </x:c>
    </x:row>
    <x:row r="240" s="2" customFormat="1">
      <x:c r="A240" s="25" t="s">
        <x:v>270</x:v>
      </x:c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26">
        <x:v>3105</x:v>
      </x:c>
      <x:c r="M240" s="26">
        <x:v>265</x:v>
      </x:c>
      <x:c r="N240" s="26">
        <x:v>1217</x:v>
      </x:c>
      <x:c r="O240" s="26">
        <x:v>83</x:v>
      </x:c>
      <x:c r="P240" s="26">
        <x:v>441</x:v>
      </x:c>
      <x:c r="Q240" s="3"/>
      <x:c r="R240" s="3"/>
      <x:c r="S240" s="3"/>
      <x:c r="T240" s="3"/>
      <x:c r="U240" s="3"/>
      <x:c r="V240" s="3"/>
      <x:c r="W240" s="3"/>
      <x:c r="X240" s="3"/>
      <x:c r="Y240" s="3"/>
      <x:c r="AA240" s="5">
        <x:f t="shared" si="18"/>
        <x:v>5111</x:v>
      </x:c>
      <x:c r="AB240" s="5" t="n">
        <x:f>AA240-D238</x:f>
        <x:v>0</x:v>
      </x:c>
      <x:c r="AW240" s="72" t="str">
        <x:v>—</x:v>
      </x:c>
      <x:c r="AX240" s="72" t="str">
        <x:v>—</x:v>
      </x:c>
    </x:row>
    <x:row r="241" s="8" customFormat="1">
      <x:c r="A241" s="22" t="s">
        <x:v>271</x:v>
      </x:c>
      <x:c r="B241" s="23">
        <x:v>17051</x:v>
      </x:c>
      <x:c r="C241" s="23">
        <x:v>342</x:v>
      </x:c>
      <x:c r="D241" s="23">
        <x:v>335</x:v>
      </x:c>
      <x:c r="E241" s="24" t="s">
        <x:v>36</x:v>
      </x:c>
      <x:c r="F241" s="24" t="s">
        <x:v>36</x:v>
      </x:c>
      <x:c r="G241" s="24" t="s">
        <x:v>36</x:v>
      </x:c>
      <x:c r="H241" s="23">
        <x:v>15244</x:v>
      </x:c>
      <x:c r="I241" s="23">
        <x:v>356</x:v>
      </x:c>
      <x:c r="J241" s="23">
        <x:v>241</x:v>
      </x:c>
      <x:c r="K241" s="3"/>
      <x:c r="L241" s="23">
        <x:v>7546</x:v>
      </x:c>
      <x:c r="M241" s="23">
        <x:v>4156</x:v>
      </x:c>
      <x:c r="N241" s="23">
        <x:v>5349</x:v>
      </x:c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AA241" s="9">
        <x:f t="shared" si="18"/>
        <x:v>17051</x:v>
      </x:c>
      <x:c r="AB241" s="9" t="n">
        <x:f>AA241-B241</x:f>
        <x:v>0</x:v>
      </x:c>
      <x:c r="AW241" s="72" t="n">
        <x:v>20.1</x:v>
      </x:c>
      <x:c r="AX241" s="72" t="n">
        <x:v>19.7</x:v>
      </x:c>
    </x:row>
    <x:row r="242" s="2" customFormat="1">
      <x:c r="A242" s="25" t="s">
        <x:v>272</x:v>
      </x:c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26">
        <x:v>163</x:v>
      </x:c>
      <x:c r="M242" s="26">
        <x:v>67</x:v>
      </x:c>
      <x:c r="N242" s="26">
        <x:v>112</x:v>
      </x:c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AA242" s="5">
        <x:f t="shared" si="18"/>
        <x:v>342</x:v>
      </x:c>
      <x:c r="AB242" s="5" t="n">
        <x:f>C241-AA242</x:f>
        <x:v>0</x:v>
      </x:c>
      <x:c r="AW242" s="72" t="str">
        <x:v>—</x:v>
      </x:c>
      <x:c r="AX242" s="72" t="str">
        <x:v>—</x:v>
      </x:c>
    </x:row>
    <x:row r="243" s="2" customFormat="1">
      <x:c r="A243" s="25" t="s">
        <x:v>273</x:v>
      </x:c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26">
        <x:v>98</x:v>
      </x:c>
      <x:c r="M243" s="26">
        <x:v>16</x:v>
      </x:c>
      <x:c r="N243" s="26">
        <x:v>70</x:v>
      </x:c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AA243" s="5">
        <x:f t="shared" si="18"/>
        <x:v>184</x:v>
      </x:c>
      <x:c r="AB243" s="5" t="n">
        <x:f>AA243-D241</x:f>
        <x:v>-151</x:v>
      </x:c>
      <x:c r="AW243" s="72" t="str">
        <x:v>—</x:v>
      </x:c>
      <x:c r="AX243" s="72" t="str">
        <x:v>—</x:v>
      </x:c>
    </x:row>
    <x:row r="244" s="13" customFormat="1">
      <x:c r="A244" s="28" t="s">
        <x:v>274</x:v>
      </x:c>
      <x:c r="B244" s="29">
        <x:v>4782652</x:v>
      </x:c>
      <x:c r="C244" s="29">
        <x:v>209242</x:v>
      </x:c>
      <x:c r="D244" s="29">
        <x:v>142871</x:v>
      </x:c>
      <x:c r="E244" s="29">
        <x:v>197816</x:v>
      </x:c>
      <x:c r="F244" s="29">
        <x:v>6297</x:v>
      </x:c>
      <x:c r="G244" s="29">
        <x:v>6486</x:v>
      </x:c>
      <x:c r="H244" s="29">
        <x:v>4545114</x:v>
      </x:c>
      <x:c r="I244" s="29">
        <x:v>201988</x:v>
      </x:c>
      <x:c r="J244" s="29">
        <x:v>148026</x:v>
      </x:c>
      <x:c r="K244" s="4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AA244" s="14"/>
      <x:c r="AB244" s="14"/>
      <x:c r="AD244" s="14" t="n">
        <x:f t="shared" ref="AD244:AL244" si="19">SUM(B219:B243)</x:f>
        <x:v>4782652</x:v>
      </x:c>
      <x:c r="AE244" s="14">
        <x:f t="shared" si="19"/>
        <x:v>212553</x:v>
      </x:c>
      <x:c r="AF244" s="14">
        <x:f t="shared" si="19"/>
        <x:v>149650</x:v>
      </x:c>
      <x:c r="AG244" s="14">
        <x:f t="shared" si="19"/>
        <x:v>197816</x:v>
      </x:c>
      <x:c r="AH244" s="14">
        <x:f t="shared" si="19"/>
        <x:v>6297</x:v>
      </x:c>
      <x:c r="AI244" s="14">
        <x:f t="shared" si="19"/>
        <x:v>6486</x:v>
      </x:c>
      <x:c r="AJ244" s="14">
        <x:f t="shared" si="19"/>
        <x:v>4502963</x:v>
      </x:c>
      <x:c r="AK244" s="14">
        <x:f t="shared" si="19"/>
        <x:v>212694</x:v>
      </x:c>
      <x:c r="AL244" s="14">
        <x:f t="shared" si="19"/>
        <x:v>153249</x:v>
      </x:c>
      <x:c r="AN244" s="14" t="n">
        <x:f t="shared" ref="AN244:AV244" si="20">AD244-B244</x:f>
        <x:v>0</x:v>
      </x:c>
      <x:c r="AO244" s="14">
        <x:f t="shared" si="20"/>
        <x:v>3311</x:v>
      </x:c>
      <x:c r="AP244" s="14">
        <x:f t="shared" si="20"/>
        <x:v>6779</x:v>
      </x:c>
      <x:c r="AQ244" s="14">
        <x:f t="shared" si="20"/>
        <x:v>0</x:v>
      </x:c>
      <x:c r="AR244" s="14">
        <x:f t="shared" si="20"/>
        <x:v>0</x:v>
      </x:c>
      <x:c r="AS244" s="14">
        <x:f t="shared" si="20"/>
        <x:v>0</x:v>
      </x:c>
      <x:c r="AT244" s="14">
        <x:f t="shared" si="20"/>
        <x:v>-42151</x:v>
      </x:c>
      <x:c r="AU244" s="14">
        <x:f t="shared" si="20"/>
        <x:v>10706</x:v>
      </x:c>
      <x:c r="AV244" s="14">
        <x:f t="shared" si="20"/>
        <x:v>5223</x:v>
      </x:c>
      <x:c r="AW244" s="72" t="n">
        <x:v>45.5</x:v>
      </x:c>
      <x:c r="AX244" s="72" t="n">
        <x:v>31</x:v>
      </x:c>
    </x:row>
    <x:row r="245" s="8" customFormat="1">
      <x:c r="A245" s="6" t="s">
        <x:v>275</x:v>
      </x:c>
      <x:c r="B245" s="7">
        <x:v>519784</x:v>
      </x:c>
      <x:c r="C245" s="7">
        <x:v>15344</x:v>
      </x:c>
      <x:c r="D245" s="7">
        <x:v>10343</x:v>
      </x:c>
      <x:c r="E245" s="10" t="s">
        <x:v>36</x:v>
      </x:c>
      <x:c r="F245" s="10" t="s">
        <x:v>36</x:v>
      </x:c>
      <x:c r="G245" s="10" t="s">
        <x:v>36</x:v>
      </x:c>
      <x:c r="H245" s="7">
        <x:v>488958</x:v>
      </x:c>
      <x:c r="I245" s="7">
        <x:v>14765</x:v>
      </x:c>
      <x:c r="J245" s="7">
        <x:v>10204</x:v>
      </x:c>
      <x:c r="K245" s="3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/>
      <x:c r="AA245" s="9"/>
      <x:c r="AB245" s="9"/>
      <x:c r="AW245" s="72" t="n">
        <x:v>29.5</x:v>
      </x:c>
      <x:c r="AX245" s="72" t="n">
        <x:v>19.9</x:v>
      </x:c>
    </x:row>
    <x:row r="246" s="8" customFormat="1">
      <x:c r="A246" s="6" t="s">
        <x:v>276</x:v>
      </x:c>
      <x:c r="B246" s="7">
        <x:v>700000</x:v>
      </x:c>
      <x:c r="C246" s="7">
        <x:v>2377</x:v>
      </x:c>
      <x:c r="D246" s="7">
        <x:v>1438</x:v>
      </x:c>
      <x:c r="E246" s="10" t="s">
        <x:v>36</x:v>
      </x:c>
      <x:c r="F246" s="10" t="s">
        <x:v>36</x:v>
      </x:c>
      <x:c r="G246" s="10" t="s">
        <x:v>36</x:v>
      </x:c>
      <x:c r="H246" s="10" t="s">
        <x:v>36</x:v>
      </x:c>
      <x:c r="I246" s="10" t="s">
        <x:v>36</x:v>
      </x:c>
      <x:c r="J246" s="10" t="s">
        <x:v>36</x:v>
      </x:c>
      <x:c r="K246" s="4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/>
      <x:c r="AA246" s="9"/>
      <x:c r="AB246" s="9"/>
      <x:c r="AW246" s="72" t="str">
        <x:v>—</x:v>
      </x:c>
      <x:c r="AX246" s="72" t="str">
        <x:v>—</x:v>
      </x:c>
    </x:row>
    <x:row r="247" s="8" customFormat="1">
      <x:c r="A247" s="6" t="s">
        <x:v>277</x:v>
      </x:c>
      <x:c r="B247" s="7">
        <x:v>712420</x:v>
      </x:c>
      <x:c r="C247" s="7">
        <x:v>3140</x:v>
      </x:c>
      <x:c r="D247" s="7">
        <x:v>2663</x:v>
      </x:c>
      <x:c r="E247" s="7">
        <x:v>94235</x:v>
      </x:c>
      <x:c r="F247" s="10" t="s">
        <x:v>36</x:v>
      </x:c>
      <x:c r="G247" s="10" t="s">
        <x:v>36</x:v>
      </x:c>
      <x:c r="H247" s="7">
        <x:v>702696</x:v>
      </x:c>
      <x:c r="I247" s="10" t="s">
        <x:v>36</x:v>
      </x:c>
      <x:c r="J247" s="10" t="s">
        <x:v>36</x:v>
      </x:c>
      <x:c r="K247" s="4"/>
      <x:c r="L247" s="7">
        <x:v>290686</x:v>
      </x:c>
      <x:c r="M247" s="7">
        <x:v>146339</x:v>
      </x:c>
      <x:c r="N247" s="7">
        <x:v>168684</x:v>
      </x:c>
      <x:c r="O247" s="7">
        <x:v>106711</x:v>
      </x:c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/>
      <x:c r="AA247" s="9" t="n">
        <x:f t="shared" ref="AA247:AA267" si="21">SUM(L247:Y247)</x:f>
        <x:v>712420</x:v>
      </x:c>
      <x:c r="AB247" s="9" t="n">
        <x:f>AA247-B247</x:f>
        <x:v>0</x:v>
      </x:c>
      <x:c r="AW247" s="72" t="str">
        <x:v>—</x:v>
      </x:c>
      <x:c r="AX247" s="72" t="str">
        <x:v>—</x:v>
      </x:c>
    </x:row>
    <x:row r="248" s="2" customFormat="1">
      <x:c r="A248" s="1" t="s">
        <x:v>278</x:v>
      </x:c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>
        <x:v>1219</x:v>
      </x:c>
      <x:c r="M248" s="4" t="s">
        <x:v>36</x:v>
      </x:c>
      <x:c r="N248" s="4" t="s">
        <x:v>36</x:v>
      </x:c>
      <x:c r="O248" s="3">
        <x:v>1921</x:v>
      </x:c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/>
      <x:c r="AA248" s="5">
        <x:f t="shared" si="21"/>
        <x:v>3140</x:v>
      </x:c>
      <x:c r="AB248" s="5" t="n">
        <x:f>C247-AA248</x:f>
        <x:v>0</x:v>
      </x:c>
      <x:c r="AW248" s="72" t="str">
        <x:v>—</x:v>
      </x:c>
      <x:c r="AX248" s="72" t="str">
        <x:v>—</x:v>
      </x:c>
    </x:row>
    <x:row r="249" s="2" customFormat="1">
      <x:c r="A249" s="1" t="s">
        <x:v>279</x:v>
      </x:c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>
        <x:v>1182</x:v>
      </x:c>
      <x:c r="M249" s="4" t="s">
        <x:v>36</x:v>
      </x:c>
      <x:c r="N249" s="4" t="s">
        <x:v>36</x:v>
      </x:c>
      <x:c r="O249" s="3">
        <x:v>1481</x:v>
      </x:c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/>
      <x:c r="AA249" s="5">
        <x:f t="shared" si="21"/>
        <x:v>2663</x:v>
      </x:c>
      <x:c r="AB249" s="5" t="n">
        <x:f>AA249-D247</x:f>
        <x:v>0</x:v>
      </x:c>
      <x:c r="AW249" s="72" t="str">
        <x:v>—</x:v>
      </x:c>
      <x:c r="AX249" s="72" t="str">
        <x:v>—</x:v>
      </x:c>
    </x:row>
    <x:row r="250" s="8" customFormat="1">
      <x:c r="A250" s="6" t="s">
        <x:v>280</x:v>
      </x:c>
      <x:c r="B250" s="7">
        <x:v>585903</x:v>
      </x:c>
      <x:c r="C250" s="7">
        <x:v>8966</x:v>
      </x:c>
      <x:c r="D250" s="7">
        <x:v>7688</x:v>
      </x:c>
      <x:c r="E250" s="7">
        <x:v>36194</x:v>
      </x:c>
      <x:c r="F250" s="7">
        <x:v>1451</x:v>
      </x:c>
      <x:c r="G250" s="7">
        <x:v>1117</x:v>
      </x:c>
      <x:c r="H250" s="7">
        <x:v>576719</x:v>
      </x:c>
      <x:c r="I250" s="10" t="s">
        <x:v>36</x:v>
      </x:c>
      <x:c r="J250" s="10" t="s">
        <x:v>36</x:v>
      </x:c>
      <x:c r="K250" s="4"/>
      <x:c r="L250" s="7">
        <x:v>158662</x:v>
      </x:c>
      <x:c r="M250" s="7">
        <x:v>73529</x:v>
      </x:c>
      <x:c r="N250" s="7">
        <x:v>132805</x:v>
      </x:c>
      <x:c r="O250" s="7">
        <x:v>115139</x:v>
      </x:c>
      <x:c r="P250" s="7">
        <x:v>94084</x:v>
      </x:c>
      <x:c r="Q250" s="7"/>
      <x:c r="R250" s="7"/>
      <x:c r="S250" s="7"/>
      <x:c r="T250" s="7"/>
      <x:c r="U250" s="7"/>
      <x:c r="V250" s="7"/>
      <x:c r="W250" s="7"/>
      <x:c r="X250" s="7"/>
      <x:c r="Y250" s="7"/>
      <x:c r="Z250"/>
      <x:c r="AA250" s="9">
        <x:f t="shared" si="21"/>
        <x:v>574219</x:v>
      </x:c>
      <x:c r="AB250" s="9" t="n">
        <x:f>AA250-B250</x:f>
        <x:v>-11684</x:v>
      </x:c>
      <x:c r="AW250" s="72" t="n">
        <x:v>15.3</x:v>
      </x:c>
      <x:c r="AX250" s="72" t="n">
        <x:v>13.1</x:v>
      </x:c>
    </x:row>
    <x:row r="251" s="2" customFormat="1">
      <x:c r="A251" s="1" t="s">
        <x:v>281</x:v>
      </x:c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>
        <x:v>2865</x:v>
      </x:c>
      <x:c r="M251" s="3">
        <x:v>1081</x:v>
      </x:c>
      <x:c r="N251" s="3">
        <x:v>1453</x:v>
      </x:c>
      <x:c r="O251" s="3">
        <x:v>1768</x:v>
      </x:c>
      <x:c r="P251" s="3">
        <x:v>1797</x:v>
      </x:c>
      <x:c r="Q251" s="3"/>
      <x:c r="R251" s="3"/>
      <x:c r="S251" s="3"/>
      <x:c r="T251" s="3"/>
      <x:c r="U251" s="3"/>
      <x:c r="V251" s="3"/>
      <x:c r="W251" s="3"/>
      <x:c r="X251" s="3"/>
      <x:c r="Y251" s="3"/>
      <x:c r="Z251"/>
      <x:c r="AA251" s="5">
        <x:f t="shared" si="21"/>
        <x:v>8964</x:v>
      </x:c>
      <x:c r="AB251" s="5" t="n">
        <x:f>C250-AA251</x:f>
        <x:v>2</x:v>
      </x:c>
      <x:c r="AW251" s="72" t="str">
        <x:v>—</x:v>
      </x:c>
      <x:c r="AX251" s="72" t="str">
        <x:v>—</x:v>
      </x:c>
    </x:row>
    <x:row r="252" s="2" customFormat="1">
      <x:c r="A252" s="1" t="s">
        <x:v>282</x:v>
      </x:c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>
        <x:v>2501</x:v>
      </x:c>
      <x:c r="M252" s="3">
        <x:v>980</x:v>
      </x:c>
      <x:c r="N252" s="3">
        <x:v>1046</x:v>
      </x:c>
      <x:c r="O252" s="3">
        <x:v>1284</x:v>
      </x:c>
      <x:c r="P252" s="3">
        <x:v>1877</x:v>
      </x:c>
      <x:c r="Q252" s="3"/>
      <x:c r="R252" s="3"/>
      <x:c r="S252" s="3"/>
      <x:c r="T252" s="3"/>
      <x:c r="U252" s="3"/>
      <x:c r="V252" s="3"/>
      <x:c r="W252" s="3"/>
      <x:c r="X252" s="3"/>
      <x:c r="Y252" s="3"/>
      <x:c r="Z252"/>
      <x:c r="AA252" s="5">
        <x:f t="shared" si="21"/>
        <x:v>7688</x:v>
      </x:c>
      <x:c r="AB252" s="5" t="n">
        <x:f>AA252-D250</x:f>
        <x:v>0</x:v>
      </x:c>
      <x:c r="AW252" s="72" t="str">
        <x:v>—</x:v>
      </x:c>
      <x:c r="AX252" s="72" t="str">
        <x:v>—</x:v>
      </x:c>
    </x:row>
    <x:row r="253" s="8" customFormat="1">
      <x:c r="A253" s="6" t="s">
        <x:v>283</x:v>
      </x:c>
      <x:c r="B253" s="7">
        <x:v>679810</x:v>
      </x:c>
      <x:c r="C253" s="7">
        <x:v>15346</x:v>
      </x:c>
      <x:c r="D253" s="7">
        <x:v>10650</x:v>
      </x:c>
      <x:c r="E253" s="7">
        <x:v>27547</x:v>
      </x:c>
      <x:c r="F253" s="7">
        <x:v>990</x:v>
      </x:c>
      <x:c r="G253" s="7">
        <x:v>742</x:v>
      </x:c>
      <x:c r="H253" s="7">
        <x:v>632406</x:v>
      </x:c>
      <x:c r="I253" s="7">
        <x:v>12353</x:v>
      </x:c>
      <x:c r="J253" s="7">
        <x:v>8897</x:v>
      </x:c>
      <x:c r="K253" s="3"/>
      <x:c r="L253" s="7">
        <x:v>201770</x:v>
      </x:c>
      <x:c r="M253" s="7">
        <x:v>80932</x:v>
      </x:c>
      <x:c r="N253" s="7">
        <x:v>60000</x:v>
      </x:c>
      <x:c r="O253" s="7">
        <x:v>114961</x:v>
      </x:c>
      <x:c r="P253" s="7">
        <x:v>100167</x:v>
      </x:c>
      <x:c r="Q253" s="7">
        <x:v>100411</x:v>
      </x:c>
      <x:c r="R253" s="7"/>
      <x:c r="S253" s="7"/>
      <x:c r="T253" s="7"/>
      <x:c r="U253" s="7"/>
      <x:c r="V253" s="7"/>
      <x:c r="W253" s="7"/>
      <x:c r="X253" s="7"/>
      <x:c r="Y253" s="7"/>
      <x:c r="Z253"/>
      <x:c r="AA253" s="9">
        <x:f t="shared" si="21"/>
        <x:v>658241</x:v>
      </x:c>
      <x:c r="AB253" s="9" t="n">
        <x:f>AA253-B253</x:f>
        <x:v>-21569</x:v>
      </x:c>
      <x:c r="AW253" s="72" t="n">
        <x:v>22.5</x:v>
      </x:c>
      <x:c r="AX253" s="72" t="n">
        <x:v>15.9</x:v>
      </x:c>
    </x:row>
    <x:row r="254" s="2" customFormat="1">
      <x:c r="A254" s="1" t="s">
        <x:v>284</x:v>
      </x:c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>
        <x:v>5983</x:v>
      </x:c>
      <x:c r="M254" s="3">
        <x:v>281</x:v>
      </x:c>
      <x:c r="N254" s="3">
        <x:v>468</x:v>
      </x:c>
      <x:c r="O254" s="3">
        <x:v>2774</x:v>
      </x:c>
      <x:c r="P254" s="3">
        <x:v>2642</x:v>
      </x:c>
      <x:c r="Q254" s="3">
        <x:v>3137</x:v>
      </x:c>
      <x:c r="R254" s="3"/>
      <x:c r="S254" s="3"/>
      <x:c r="T254" s="3"/>
      <x:c r="U254" s="3"/>
      <x:c r="V254" s="3"/>
      <x:c r="W254" s="3"/>
      <x:c r="X254" s="3"/>
      <x:c r="Y254" s="3"/>
      <x:c r="Z254"/>
      <x:c r="AA254" s="5">
        <x:f t="shared" si="21"/>
        <x:v>15285</x:v>
      </x:c>
      <x:c r="AB254" s="5" t="n">
        <x:f>C253-AA254</x:f>
        <x:v>61</x:v>
      </x:c>
      <x:c r="AW254" s="72" t="str">
        <x:v>—</x:v>
      </x:c>
      <x:c r="AX254" s="72" t="str">
        <x:v>—</x:v>
      </x:c>
    </x:row>
    <x:row r="255" s="2" customFormat="1">
      <x:c r="A255" s="1" t="s">
        <x:v>285</x:v>
      </x:c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>
        <x:v>4319</x:v>
      </x:c>
      <x:c r="M255" s="3">
        <x:v>143</x:v>
      </x:c>
      <x:c r="N255" s="3">
        <x:v>85</x:v>
      </x:c>
      <x:c r="O255" s="3">
        <x:v>2370</x:v>
      </x:c>
      <x:c r="P255" s="3">
        <x:v>2022</x:v>
      </x:c>
      <x:c r="Q255" s="3">
        <x:v>1711</x:v>
      </x:c>
      <x:c r="R255" s="3"/>
      <x:c r="S255" s="3"/>
      <x:c r="T255" s="3"/>
      <x:c r="U255" s="3"/>
      <x:c r="V255" s="3"/>
      <x:c r="W255" s="3"/>
      <x:c r="X255" s="3"/>
      <x:c r="Y255" s="3"/>
      <x:c r="Z255"/>
      <x:c r="AA255" s="5">
        <x:f t="shared" si="21"/>
        <x:v>10650</x:v>
      </x:c>
      <x:c r="AB255" s="5" t="n">
        <x:f>AA255-D253</x:f>
        <x:v>0</x:v>
      </x:c>
      <x:c r="AW255" s="72" t="str">
        <x:v>—</x:v>
      </x:c>
      <x:c r="AX255" s="72" t="str">
        <x:v>—</x:v>
      </x:c>
    </x:row>
    <x:row r="256" s="8" customFormat="1">
      <x:c r="A256" s="6" t="s">
        <x:v>286</x:v>
      </x:c>
      <x:c r="B256" s="7">
        <x:v>1143584</x:v>
      </x:c>
      <x:c r="C256" s="7">
        <x:v>7525</x:v>
      </x:c>
      <x:c r="D256" s="7">
        <x:v>4334</x:v>
      </x:c>
      <x:c r="E256" s="7">
        <x:v>133108</x:v>
      </x:c>
      <x:c r="F256" s="10" t="s">
        <x:v>36</x:v>
      </x:c>
      <x:c r="G256" s="10" t="s">
        <x:v>36</x:v>
      </x:c>
      <x:c r="H256" s="7">
        <x:v>1114309</x:v>
      </x:c>
      <x:c r="I256" s="10" t="s">
        <x:v>36</x:v>
      </x:c>
      <x:c r="J256" s="10" t="s">
        <x:v>36</x:v>
      </x:c>
      <x:c r="K256" s="4"/>
      <x:c r="L256" s="7">
        <x:v>370275</x:v>
      </x:c>
      <x:c r="M256" s="7">
        <x:v>186509</x:v>
      </x:c>
      <x:c r="N256" s="7">
        <x:v>128375</x:v>
      </x:c>
      <x:c r="O256" s="7">
        <x:v>105253</x:v>
      </x:c>
      <x:c r="P256" s="7">
        <x:v>199340</x:v>
      </x:c>
      <x:c r="Q256" s="7">
        <x:v>149310</x:v>
      </x:c>
      <x:c r="R256" s="7"/>
      <x:c r="S256" s="7"/>
      <x:c r="T256" s="7"/>
      <x:c r="U256" s="7"/>
      <x:c r="V256" s="7"/>
      <x:c r="W256" s="7"/>
      <x:c r="X256" s="7"/>
      <x:c r="Y256" s="7"/>
      <x:c r="Z256"/>
      <x:c r="AA256" s="9">
        <x:f t="shared" si="21"/>
        <x:v>1139062</x:v>
      </x:c>
      <x:c r="AB256" s="9" t="n">
        <x:f>AA256-B256</x:f>
        <x:v>-4522</x:v>
      </x:c>
      <x:c r="AW256" s="72" t="str">
        <x:v>—</x:v>
      </x:c>
      <x:c r="AX256" s="72" t="str">
        <x:v>—</x:v>
      </x:c>
    </x:row>
    <x:row r="257" s="2" customFormat="1">
      <x:c r="A257" s="1" t="s">
        <x:v>287</x:v>
      </x:c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>
        <x:v>262</x:v>
      </x:c>
      <x:c r="M257" s="3">
        <x:v>7263</x:v>
      </x:c>
      <x:c r="N257" s="4" t="s">
        <x:v>36</x:v>
      </x:c>
      <x:c r="O257" s="4" t="s">
        <x:v>36</x:v>
      </x:c>
      <x:c r="P257" s="4" t="s">
        <x:v>36</x:v>
      </x:c>
      <x:c r="Q257" s="4" t="s">
        <x:v>36</x:v>
      </x:c>
      <x:c r="R257" s="3"/>
      <x:c r="S257" s="3"/>
      <x:c r="T257" s="3"/>
      <x:c r="U257" s="3"/>
      <x:c r="V257" s="3"/>
      <x:c r="W257" s="3"/>
      <x:c r="X257" s="3"/>
      <x:c r="Y257" s="3"/>
      <x:c r="Z257"/>
      <x:c r="AA257" s="5">
        <x:f t="shared" si="21"/>
        <x:v>7525</x:v>
      </x:c>
      <x:c r="AB257" s="5" t="n">
        <x:f>C256-AA257</x:f>
        <x:v>0</x:v>
      </x:c>
      <x:c r="AW257" s="72" t="str">
        <x:v>—</x:v>
      </x:c>
      <x:c r="AX257" s="72" t="str">
        <x:v>—</x:v>
      </x:c>
    </x:row>
    <x:row r="258" s="2" customFormat="1">
      <x:c r="A258" s="1" t="s">
        <x:v>288</x:v>
      </x:c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>
        <x:v>206</x:v>
      </x:c>
      <x:c r="M258" s="3">
        <x:v>4128</x:v>
      </x:c>
      <x:c r="N258" s="4" t="s">
        <x:v>36</x:v>
      </x:c>
      <x:c r="O258" s="4" t="s">
        <x:v>36</x:v>
      </x:c>
      <x:c r="P258" s="4" t="s">
        <x:v>36</x:v>
      </x:c>
      <x:c r="Q258" s="4" t="s">
        <x:v>36</x:v>
      </x:c>
      <x:c r="R258" s="3"/>
      <x:c r="S258" s="3"/>
      <x:c r="T258" s="3"/>
      <x:c r="U258" s="3"/>
      <x:c r="V258" s="3"/>
      <x:c r="W258" s="3"/>
      <x:c r="X258" s="3"/>
      <x:c r="Y258" s="3"/>
      <x:c r="Z258"/>
      <x:c r="AA258" s="5">
        <x:f t="shared" si="21"/>
        <x:v>4334</x:v>
      </x:c>
      <x:c r="AB258" s="5" t="n">
        <x:f>AA258-D256</x:f>
        <x:v>0</x:v>
      </x:c>
      <x:c r="AW258" s="72" t="str">
        <x:v>—</x:v>
      </x:c>
      <x:c r="AX258" s="72" t="str">
        <x:v>—</x:v>
      </x:c>
    </x:row>
    <x:row r="259" s="8" customFormat="1">
      <x:c r="A259" s="6" t="s">
        <x:v>289</x:v>
      </x:c>
      <x:c r="B259" s="7">
        <x:v>397959</x:v>
      </x:c>
      <x:c r="C259" s="7">
        <x:v>11648</x:v>
      </x:c>
      <x:c r="D259" s="7">
        <x:v>7437</x:v>
      </x:c>
      <x:c r="E259" s="10" t="s">
        <x:v>36</x:v>
      </x:c>
      <x:c r="F259" s="10" t="s">
        <x:v>36</x:v>
      </x:c>
      <x:c r="G259" s="10" t="s">
        <x:v>36</x:v>
      </x:c>
      <x:c r="H259" s="7">
        <x:v>354965</x:v>
      </x:c>
      <x:c r="I259" s="7">
        <x:v>3475</x:v>
      </x:c>
      <x:c r="J259" s="7">
        <x:v>2269</x:v>
      </x:c>
      <x:c r="K259" s="3"/>
      <x:c r="L259" s="7">
        <x:v>70611</x:v>
      </x:c>
      <x:c r="M259" s="7">
        <x:v>88208</x:v>
      </x:c>
      <x:c r="N259" s="7">
        <x:v>84320</x:v>
      </x:c>
      <x:c r="O259" s="7">
        <x:v>154820</x:v>
      </x:c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/>
      <x:c r="AA259" s="9">
        <x:f t="shared" si="21"/>
        <x:v>397959</x:v>
      </x:c>
      <x:c r="AB259" s="9" t="n">
        <x:f>AA259-B259</x:f>
        <x:v>0</x:v>
      </x:c>
      <x:c r="AW259" s="72" t="str">
        <x:v>—</x:v>
      </x:c>
      <x:c r="AX259" s="72" t="str">
        <x:v>—</x:v>
      </x:c>
    </x:row>
    <x:row r="260" s="2" customFormat="1">
      <x:c r="A260" s="1" t="s">
        <x:v>290</x:v>
      </x:c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>
        <x:v>2069</x:v>
      </x:c>
      <x:c r="M260" s="3">
        <x:v>152</x:v>
      </x:c>
      <x:c r="N260" s="3">
        <x:v>1970</x:v>
      </x:c>
      <x:c r="O260" s="3">
        <x:v>7457</x:v>
      </x:c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/>
      <x:c r="AA260" s="5">
        <x:f t="shared" si="21"/>
        <x:v>11648</x:v>
      </x:c>
      <x:c r="AB260" s="5" t="n">
        <x:f>C259-AA260</x:f>
        <x:v>0</x:v>
      </x:c>
      <x:c r="AW260" s="72" t="str">
        <x:v>—</x:v>
      </x:c>
      <x:c r="AX260" s="72" t="str">
        <x:v>—</x:v>
      </x:c>
    </x:row>
    <x:row r="261" s="2" customFormat="1">
      <x:c r="A261" s="1" t="s">
        <x:v>291</x:v>
      </x:c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>
        <x:v>1538</x:v>
      </x:c>
      <x:c r="M261" s="3">
        <x:v>66</x:v>
      </x:c>
      <x:c r="N261" s="3">
        <x:v>1546</x:v>
      </x:c>
      <x:c r="O261" s="3">
        <x:v>4287</x:v>
      </x:c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/>
      <x:c r="AA261" s="5">
        <x:f t="shared" si="21"/>
        <x:v>7437</x:v>
      </x:c>
      <x:c r="AB261" s="5" t="n">
        <x:f>AA261-D259</x:f>
        <x:v>0</x:v>
      </x:c>
      <x:c r="AW261" s="72" t="str">
        <x:v>—</x:v>
      </x:c>
      <x:c r="AX261" s="72" t="str">
        <x:v>—</x:v>
      </x:c>
    </x:row>
    <x:row r="262" s="8" customFormat="1">
      <x:c r="A262" s="6" t="s">
        <x:v>292</x:v>
      </x:c>
      <x:c r="B262" s="7">
        <x:v>562485</x:v>
      </x:c>
      <x:c r="C262" s="7">
        <x:v>7889</x:v>
      </x:c>
      <x:c r="D262" s="7">
        <x:v>4448</x:v>
      </x:c>
      <x:c r="E262" s="10" t="s">
        <x:v>36</x:v>
      </x:c>
      <x:c r="F262" s="10" t="s">
        <x:v>36</x:v>
      </x:c>
      <x:c r="G262" s="10" t="s">
        <x:v>36</x:v>
      </x:c>
      <x:c r="H262" s="7">
        <x:v>551235</x:v>
      </x:c>
      <x:c r="I262" s="7">
        <x:v>6383</x:v>
      </x:c>
      <x:c r="J262" s="7">
        <x:v>4380</x:v>
      </x:c>
      <x:c r="K262" s="3"/>
      <x:c r="L262" s="7">
        <x:v>226868</x:v>
      </x:c>
      <x:c r="M262" s="7">
        <x:v>102678</x:v>
      </x:c>
      <x:c r="N262" s="7">
        <x:v>136603</x:v>
      </x:c>
      <x:c r="O262" s="7">
        <x:v>96336</x:v>
      </x:c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/>
      <x:c r="AA262" s="9">
        <x:f t="shared" si="21"/>
        <x:v>562485</x:v>
      </x:c>
      <x:c r="AB262" s="9" t="n">
        <x:f>AA262-B262</x:f>
        <x:v>0</x:v>
      </x:c>
      <x:c r="AW262" s="72" t="str">
        <x:v>—</x:v>
      </x:c>
      <x:c r="AX262" s="72" t="str">
        <x:v>—</x:v>
      </x:c>
    </x:row>
    <x:row r="263" s="2" customFormat="1">
      <x:c r="A263" s="1" t="s">
        <x:v>293</x:v>
      </x:c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>
        <x:v>5849</x:v>
      </x:c>
      <x:c r="M263" s="3">
        <x:v>655</x:v>
      </x:c>
      <x:c r="N263" s="3">
        <x:v>1361</x:v>
      </x:c>
      <x:c r="O263" s="3">
        <x:v>24</x:v>
      </x:c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/>
      <x:c r="AA263" s="5">
        <x:f t="shared" si="21"/>
        <x:v>7889</x:v>
      </x:c>
      <x:c r="AB263" s="5" t="n">
        <x:f>C262-AA263</x:f>
        <x:v>0</x:v>
      </x:c>
      <x:c r="AW263" s="72" t="str">
        <x:v>—</x:v>
      </x:c>
      <x:c r="AX263" s="72" t="str">
        <x:v>—</x:v>
      </x:c>
    </x:row>
    <x:row r="264" s="2" customFormat="1">
      <x:c r="A264" s="1" t="s">
        <x:v>294</x:v>
      </x:c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>
        <x:v>3566</x:v>
      </x:c>
      <x:c r="M264" s="3">
        <x:v>296</x:v>
      </x:c>
      <x:c r="N264" s="3">
        <x:v>579</x:v>
      </x:c>
      <x:c r="O264" s="3">
        <x:v>7</x:v>
      </x:c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/>
      <x:c r="AA264" s="5">
        <x:f t="shared" si="21"/>
        <x:v>4448</x:v>
      </x:c>
      <x:c r="AB264" s="5" t="n">
        <x:f>AA264-D262</x:f>
        <x:v>0</x:v>
      </x:c>
      <x:c r="AW264" s="72" t="str">
        <x:v>—</x:v>
      </x:c>
      <x:c r="AX264" s="72" t="str">
        <x:v>—</x:v>
      </x:c>
    </x:row>
    <x:row r="265" s="8" customFormat="1">
      <x:c r="A265" s="6" t="s">
        <x:v>295</x:v>
      </x:c>
      <x:c r="B265" s="7">
        <x:v>804949</x:v>
      </x:c>
      <x:c r="C265" s="7">
        <x:v>48145</x:v>
      </x:c>
      <x:c r="D265" s="7">
        <x:v>36045</x:v>
      </x:c>
      <x:c r="E265" s="7">
        <x:v>142459</x:v>
      </x:c>
      <x:c r="F265" s="10" t="s">
        <x:v>36</x:v>
      </x:c>
      <x:c r="G265" s="10" t="s">
        <x:v>36</x:v>
      </x:c>
      <x:c r="H265" s="7">
        <x:v>782623</x:v>
      </x:c>
      <x:c r="I265" s="7">
        <x:v>18921</x:v>
      </x:c>
      <x:c r="J265" s="7">
        <x:v>12445</x:v>
      </x:c>
      <x:c r="K265" s="3"/>
      <x:c r="L265" s="7">
        <x:v>178692</x:v>
      </x:c>
      <x:c r="M265" s="7">
        <x:v>134096</x:v>
      </x:c>
      <x:c r="N265" s="7">
        <x:v>254000</x:v>
      </x:c>
      <x:c r="O265" s="7">
        <x:v>197209</x:v>
      </x:c>
      <x:c r="P265" s="7">
        <x:v>40952</x:v>
      </x:c>
      <x:c r="Q265" s="7"/>
      <x:c r="R265" s="7"/>
      <x:c r="S265" s="7"/>
      <x:c r="T265" s="7"/>
      <x:c r="U265" s="7"/>
      <x:c r="V265" s="7"/>
      <x:c r="W265" s="7"/>
      <x:c r="X265" s="7"/>
      <x:c r="Y265" s="7"/>
      <x:c r="Z265"/>
      <x:c r="AA265" s="9">
        <x:f t="shared" si="21"/>
        <x:v>804949</x:v>
      </x:c>
      <x:c r="AB265" s="9" t="n">
        <x:f>AA265-B265</x:f>
        <x:v>0</x:v>
      </x:c>
      <x:c r="AW265" s="72" t="n">
        <x:v>59.8</x:v>
      </x:c>
      <x:c r="AX265" s="72" t="n">
        <x:v>44.8</x:v>
      </x:c>
    </x:row>
    <x:row r="266" s="2" customFormat="1">
      <x:c r="A266" s="1" t="s">
        <x:v>296</x:v>
      </x:c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>
        <x:v>21817</x:v>
      </x:c>
      <x:c r="M266" s="3">
        <x:v>10760</x:v>
      </x:c>
      <x:c r="N266" s="3">
        <x:v>5757</x:v>
      </x:c>
      <x:c r="O266" s="3">
        <x:v>7168</x:v>
      </x:c>
      <x:c r="P266" s="3">
        <x:v>2643</x:v>
      </x:c>
      <x:c r="Q266" s="3"/>
      <x:c r="R266" s="3"/>
      <x:c r="S266" s="3"/>
      <x:c r="T266" s="3"/>
      <x:c r="U266" s="3"/>
      <x:c r="V266" s="3"/>
      <x:c r="W266" s="3"/>
      <x:c r="X266" s="3"/>
      <x:c r="Y266" s="3"/>
      <x:c r="Z266"/>
      <x:c r="AA266" s="5">
        <x:f t="shared" si="21"/>
        <x:v>48145</x:v>
      </x:c>
      <x:c r="AB266" s="5" t="n">
        <x:f>C265-AA266</x:f>
        <x:v>0</x:v>
      </x:c>
      <x:c r="AW266" s="72" t="str">
        <x:v>—</x:v>
      </x:c>
      <x:c r="AX266" s="72" t="str">
        <x:v>—</x:v>
      </x:c>
    </x:row>
    <x:row r="267" s="2" customFormat="1">
      <x:c r="A267" s="1" t="s">
        <x:v>297</x:v>
      </x:c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>
        <x:v>19392</x:v>
      </x:c>
      <x:c r="M267" s="3">
        <x:v>6721</x:v>
      </x:c>
      <x:c r="N267" s="3">
        <x:v>3902</x:v>
      </x:c>
      <x:c r="O267" s="3">
        <x:v>5241</x:v>
      </x:c>
      <x:c r="P267" s="3">
        <x:v>789</x:v>
      </x:c>
      <x:c r="Q267" s="3"/>
      <x:c r="R267" s="3"/>
      <x:c r="S267" s="3"/>
      <x:c r="T267" s="3"/>
      <x:c r="U267" s="3"/>
      <x:c r="V267" s="3"/>
      <x:c r="W267" s="3"/>
      <x:c r="X267" s="3"/>
      <x:c r="Y267" s="3"/>
      <x:c r="Z267"/>
      <x:c r="AA267" s="5">
        <x:f t="shared" si="21"/>
        <x:v>36045</x:v>
      </x:c>
      <x:c r="AB267" s="5" t="n">
        <x:f>AA267-D265</x:f>
        <x:v>0</x:v>
      </x:c>
      <x:c r="AD267" s="5"/>
      <x:c r="AW267" s="72" t="str">
        <x:v>—</x:v>
      </x:c>
      <x:c r="AX267" s="72" t="str">
        <x:v>—</x:v>
      </x:c>
    </x:row>
    <x:row r="268" s="13" customFormat="1">
      <x:c r="A268" s="11" t="s">
        <x:v>298</x:v>
      </x:c>
      <x:c r="B268" s="12">
        <x:v>6106894</x:v>
      </x:c>
      <x:c r="C268" s="12">
        <x:v>130780</x:v>
      </x:c>
      <x:c r="D268" s="12">
        <x:v>85046</x:v>
      </x:c>
      <x:c r="E268" s="12">
        <x:v>433543</x:v>
      </x:c>
      <x:c r="F268" s="12" t="s">
        <x:v>36</x:v>
      </x:c>
      <x:c r="G268" s="12" t="s">
        <x:v>36</x:v>
      </x:c>
      <x:c r="H268" s="12">
        <x:v>5901196</x:v>
      </x:c>
      <x:c r="I268" s="12">
        <x:v>62717</x:v>
      </x:c>
      <x:c r="J268" s="12">
        <x:v>44227</x:v>
      </x:c>
      <x:c r="K268" s="3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/>
      <x:c r="AA268" s="14"/>
      <x:c r="AB268" s="14"/>
      <x:c r="AD268" s="14" t="n">
        <x:f t="shared" ref="AD268:AL268" si="22">SUM(B245:B267)</x:f>
        <x:v>6106894</x:v>
      </x:c>
      <x:c r="AE268" s="14">
        <x:f t="shared" si="22"/>
        <x:v>120380</x:v>
      </x:c>
      <x:c r="AF268" s="14">
        <x:f t="shared" si="22"/>
        <x:v>85046</x:v>
      </x:c>
      <x:c r="AG268" s="14">
        <x:f t="shared" si="22"/>
        <x:v>433543</x:v>
      </x:c>
      <x:c r="AH268" s="14">
        <x:f t="shared" si="22"/>
        <x:v>2441</x:v>
      </x:c>
      <x:c r="AI268" s="14">
        <x:f t="shared" si="22"/>
        <x:v>1859</x:v>
      </x:c>
      <x:c r="AJ268" s="14">
        <x:f t="shared" si="22"/>
        <x:v>5203911</x:v>
      </x:c>
      <x:c r="AK268" s="14">
        <x:f t="shared" si="22"/>
        <x:v>55897</x:v>
      </x:c>
      <x:c r="AL268" s="14">
        <x:f t="shared" si="22"/>
        <x:v>38195</x:v>
      </x:c>
      <x:c r="AN268" s="14" t="n">
        <x:f t="shared" ref="AN268:AV269" si="23">AD268-B268</x:f>
        <x:v>0</x:v>
      </x:c>
      <x:c r="AO268" s="14">
        <x:f t="shared" si="23"/>
        <x:v>-10400</x:v>
      </x:c>
      <x:c r="AP268" s="14">
        <x:f t="shared" si="23"/>
        <x:v>0</x:v>
      </x:c>
      <x:c r="AQ268" s="14">
        <x:f t="shared" si="23"/>
        <x:v>0</x:v>
      </x:c>
      <x:c r="AR268" s="14" t="e">
        <x:f t="shared" si="23"/>
      </x:c>
      <x:c r="AS268" s="14" t="e">
        <x:f t="shared" si="23"/>
      </x:c>
      <x:c r="AT268" s="14">
        <x:f t="shared" si="23"/>
        <x:v>-697285</x:v>
      </x:c>
      <x:c r="AU268" s="14">
        <x:f t="shared" si="23"/>
        <x:v>-6820</x:v>
      </x:c>
      <x:c r="AV268" s="14">
        <x:f t="shared" si="23"/>
        <x:v>-6032</x:v>
      </x:c>
      <x:c r="AW268" s="72" t="n">
        <x:v>37.7</x:v>
      </x:c>
      <x:c r="AX268" s="72" t="n">
        <x:v>26.9</x:v>
      </x:c>
    </x:row>
    <x:row r="269" s="13" customFormat="1">
      <x:c r="A269" s="11" t="s">
        <x:v>299</x:v>
      </x:c>
      <x:c r="B269" s="12">
        <x:v>116652610</x:v>
      </x:c>
      <x:c r="C269" s="12">
        <x:v>5227118</x:v>
      </x:c>
      <x:c r="D269" s="12">
        <x:v>3790861</x:v>
      </x:c>
      <x:c r="E269" s="12">
        <x:v>11429561</x:v>
      </x:c>
      <x:c r="F269" s="12">
        <x:v>397551</x:v>
      </x:c>
      <x:c r="G269" s="12">
        <x:v>317787</x:v>
      </x:c>
      <x:c r="H269" s="12">
        <x:v>112401300</x:v>
      </x:c>
      <x:c r="I269" s="12">
        <x:v>5042328</x:v>
      </x:c>
      <x:c r="J269" s="12">
        <x:v>3406239</x:v>
      </x:c>
      <x:c r="K269" s="3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/>
      <x:c r="AA269" s="14"/>
      <x:c r="AB269" s="14"/>
      <x:c r="AD269" s="14" t="n">
        <x:f t="shared" ref="AD269:AL269" si="24">SUM(AD189:AD268)</x:f>
        <x:v>114172516</x:v>
      </x:c>
      <x:c r="AE269" s="14">
        <x:f t="shared" si="24"/>
        <x:v>5088026</x:v>
      </x:c>
      <x:c r="AF269" s="14">
        <x:f t="shared" si="24"/>
        <x:v>3655664</x:v>
      </x:c>
      <x:c r="AG269" s="14">
        <x:f t="shared" si="24"/>
        <x:v>8880894</x:v>
      </x:c>
      <x:c r="AH269" s="14">
        <x:f t="shared" si="24"/>
        <x:v>305306</x:v>
      </x:c>
      <x:c r="AI269" s="14">
        <x:f t="shared" si="24"/>
        <x:v>242939</x:v>
      </x:c>
      <x:c r="AJ269" s="14">
        <x:f t="shared" si="24"/>
        <x:v>109254010</x:v>
      </x:c>
      <x:c r="AK269" s="14">
        <x:f t="shared" si="24"/>
        <x:v>4939848</x:v>
      </x:c>
      <x:c r="AL269" s="14">
        <x:f t="shared" si="24"/>
        <x:v>3337740</x:v>
      </x:c>
      <x:c r="AN269" s="14">
        <x:f t="shared" si="23"/>
        <x:v>-2480094</x:v>
      </x:c>
      <x:c r="AO269" s="14">
        <x:f t="shared" si="23"/>
        <x:v>-139092</x:v>
      </x:c>
      <x:c r="AP269" s="14">
        <x:f t="shared" si="23"/>
        <x:v>-135197</x:v>
      </x:c>
      <x:c r="AQ269" s="14">
        <x:f t="shared" si="23"/>
        <x:v>-2548667</x:v>
      </x:c>
      <x:c r="AR269" s="14">
        <x:f t="shared" si="23"/>
        <x:v>-92245</x:v>
      </x:c>
      <x:c r="AS269" s="14">
        <x:f t="shared" si="23"/>
        <x:v>-74848</x:v>
      </x:c>
      <x:c r="AT269" s="14">
        <x:f t="shared" si="23"/>
        <x:v>-3147290</x:v>
      </x:c>
      <x:c r="AU269" s="14">
        <x:f t="shared" si="23"/>
        <x:v>-102480</x:v>
      </x:c>
      <x:c r="AV269" s="14">
        <x:f t="shared" si="23"/>
        <x:v>-68499</x:v>
      </x:c>
      <x:c r="AW269" s="72" t="n">
        <x:v>46.1</x:v>
      </x:c>
      <x:c r="AX269" s="72" t="n">
        <x:v>33.5</x:v>
      </x:c>
    </x:row>
  </x:sheetData>
  <x:mergeCells>
    <x:mergeCell ref="L1:Y1"/>
  </x:mergeCells>
  <x:pageMargins left="0.7" right="0.7" top="0.75" bottom="0.75" header="0.3" footer="0.3"/>
</x:worksheet>
</file>