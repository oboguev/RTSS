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work\1888\"/>
    </mc:Choice>
  </mc:AlternateContent>
  <xr:revisionPtr revIDLastSave="0" documentId="13_ncr:1_{365AE20F-80DD-4A3B-9D19-74B1AE7A5D6F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1888-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24" i="1" l="1"/>
  <c r="AB224" i="1" s="1"/>
  <c r="W224" i="1"/>
  <c r="AA224" i="1" s="1"/>
  <c r="V224" i="1"/>
  <c r="Z224" i="1" s="1"/>
  <c r="AB221" i="1"/>
  <c r="Z221" i="1"/>
  <c r="X221" i="1"/>
  <c r="W221" i="1"/>
  <c r="AA221" i="1" s="1"/>
  <c r="V221" i="1"/>
  <c r="X217" i="1"/>
  <c r="AB217" i="1" s="1"/>
  <c r="W217" i="1"/>
  <c r="AA217" i="1" s="1"/>
  <c r="V217" i="1"/>
  <c r="Z217" i="1" s="1"/>
  <c r="AB213" i="1"/>
  <c r="X213" i="1"/>
  <c r="W213" i="1"/>
  <c r="AA213" i="1" s="1"/>
  <c r="V213" i="1"/>
  <c r="Z213" i="1" s="1"/>
  <c r="X205" i="1"/>
  <c r="AB205" i="1" s="1"/>
  <c r="W205" i="1"/>
  <c r="AA205" i="1" s="1"/>
  <c r="V205" i="1"/>
  <c r="Z205" i="1" s="1"/>
  <c r="X201" i="1"/>
  <c r="AB201" i="1" s="1"/>
  <c r="W201" i="1"/>
  <c r="AA201" i="1" s="1"/>
  <c r="V201" i="1"/>
  <c r="Z201" i="1" s="1"/>
  <c r="AA198" i="1"/>
  <c r="X198" i="1"/>
  <c r="AB198" i="1" s="1"/>
  <c r="W198" i="1"/>
  <c r="V198" i="1"/>
  <c r="Z198" i="1" s="1"/>
  <c r="X193" i="1"/>
  <c r="AB193" i="1" s="1"/>
  <c r="W193" i="1"/>
  <c r="AA193" i="1" s="1"/>
  <c r="V193" i="1"/>
  <c r="Z193" i="1" s="1"/>
  <c r="X189" i="1"/>
  <c r="AB189" i="1" s="1"/>
  <c r="W189" i="1"/>
  <c r="AA189" i="1" s="1"/>
  <c r="V189" i="1"/>
  <c r="Z189" i="1" s="1"/>
  <c r="X183" i="1"/>
  <c r="AB183" i="1" s="1"/>
  <c r="W183" i="1"/>
  <c r="AA183" i="1" s="1"/>
  <c r="V183" i="1"/>
  <c r="Z183" i="1" s="1"/>
  <c r="X180" i="1"/>
  <c r="AB180" i="1" s="1"/>
  <c r="W180" i="1"/>
  <c r="AA180" i="1" s="1"/>
  <c r="V180" i="1"/>
  <c r="Z180" i="1" s="1"/>
  <c r="X175" i="1"/>
  <c r="AB175" i="1" s="1"/>
  <c r="W175" i="1"/>
  <c r="AA175" i="1" s="1"/>
  <c r="V175" i="1"/>
  <c r="Z175" i="1" s="1"/>
  <c r="X172" i="1"/>
  <c r="AB172" i="1" s="1"/>
  <c r="W172" i="1"/>
  <c r="AA172" i="1" s="1"/>
  <c r="V172" i="1"/>
  <c r="Z172" i="1" s="1"/>
  <c r="X169" i="1"/>
  <c r="AB169" i="1" s="1"/>
  <c r="W169" i="1"/>
  <c r="AA169" i="1" s="1"/>
  <c r="V169" i="1"/>
  <c r="Z169" i="1" s="1"/>
  <c r="X166" i="1"/>
  <c r="AB166" i="1" s="1"/>
  <c r="W166" i="1"/>
  <c r="AA166" i="1" s="1"/>
  <c r="V166" i="1"/>
  <c r="Z166" i="1" s="1"/>
  <c r="X163" i="1"/>
  <c r="AB163" i="1" s="1"/>
  <c r="W163" i="1"/>
  <c r="AA163" i="1" s="1"/>
  <c r="V163" i="1"/>
  <c r="Z163" i="1" s="1"/>
  <c r="AA160" i="1"/>
  <c r="X160" i="1"/>
  <c r="AB160" i="1" s="1"/>
  <c r="W160" i="1"/>
  <c r="V160" i="1"/>
  <c r="Z160" i="1" s="1"/>
  <c r="X154" i="1"/>
  <c r="AB154" i="1" s="1"/>
  <c r="W154" i="1"/>
  <c r="AA154" i="1" s="1"/>
  <c r="V154" i="1"/>
  <c r="Z154" i="1" s="1"/>
  <c r="X151" i="1"/>
  <c r="AB151" i="1" s="1"/>
  <c r="W151" i="1"/>
  <c r="AA151" i="1" s="1"/>
  <c r="V151" i="1"/>
  <c r="Z151" i="1" s="1"/>
  <c r="Z148" i="1"/>
  <c r="X148" i="1"/>
  <c r="AB148" i="1" s="1"/>
  <c r="W148" i="1"/>
  <c r="AA148" i="1" s="1"/>
  <c r="V148" i="1"/>
  <c r="X145" i="1"/>
  <c r="AB145" i="1" s="1"/>
  <c r="W145" i="1"/>
  <c r="AA145" i="1" s="1"/>
  <c r="V145" i="1"/>
  <c r="X141" i="1"/>
  <c r="AB141" i="1" s="1"/>
  <c r="W141" i="1"/>
  <c r="AA141" i="1" s="1"/>
  <c r="V141" i="1"/>
  <c r="Z141" i="1" s="1"/>
  <c r="X138" i="1"/>
  <c r="AB138" i="1" s="1"/>
  <c r="W138" i="1"/>
  <c r="AA138" i="1" s="1"/>
  <c r="V138" i="1"/>
  <c r="Z138" i="1" s="1"/>
  <c r="X135" i="1"/>
  <c r="AB135" i="1" s="1"/>
  <c r="W135" i="1"/>
  <c r="AA135" i="1" s="1"/>
  <c r="V135" i="1"/>
  <c r="Z135" i="1" s="1"/>
  <c r="X132" i="1"/>
  <c r="AB132" i="1" s="1"/>
  <c r="W132" i="1"/>
  <c r="AA132" i="1" s="1"/>
  <c r="V132" i="1"/>
  <c r="Z132" i="1" s="1"/>
  <c r="AB129" i="1"/>
  <c r="AA129" i="1"/>
  <c r="X129" i="1"/>
  <c r="W129" i="1"/>
  <c r="V129" i="1"/>
  <c r="Z129" i="1" s="1"/>
  <c r="AB126" i="1"/>
  <c r="X126" i="1"/>
  <c r="W126" i="1"/>
  <c r="AA126" i="1" s="1"/>
  <c r="V126" i="1"/>
  <c r="Z126" i="1" s="1"/>
  <c r="AB123" i="1"/>
  <c r="Z123" i="1"/>
  <c r="X123" i="1"/>
  <c r="W123" i="1"/>
  <c r="AA123" i="1" s="1"/>
  <c r="V123" i="1"/>
  <c r="X120" i="1"/>
  <c r="AB120" i="1" s="1"/>
  <c r="W120" i="1"/>
  <c r="AA120" i="1" s="1"/>
  <c r="V120" i="1"/>
  <c r="Z120" i="1" s="1"/>
  <c r="X117" i="1"/>
  <c r="AB117" i="1" s="1"/>
  <c r="W117" i="1"/>
  <c r="AA117" i="1" s="1"/>
  <c r="V117" i="1"/>
  <c r="Z117" i="1" s="1"/>
  <c r="X114" i="1"/>
  <c r="AB114" i="1" s="1"/>
  <c r="W114" i="1"/>
  <c r="AA114" i="1" s="1"/>
  <c r="V114" i="1"/>
  <c r="Z114" i="1" s="1"/>
  <c r="X111" i="1"/>
  <c r="AB111" i="1" s="1"/>
  <c r="W111" i="1"/>
  <c r="AA111" i="1" s="1"/>
  <c r="V111" i="1"/>
  <c r="Z111" i="1" s="1"/>
  <c r="AB107" i="1"/>
  <c r="AA107" i="1"/>
  <c r="X107" i="1"/>
  <c r="W107" i="1"/>
  <c r="V107" i="1"/>
  <c r="Z107" i="1" s="1"/>
  <c r="X104" i="1"/>
  <c r="AB104" i="1" s="1"/>
  <c r="W104" i="1"/>
  <c r="AA104" i="1" s="1"/>
  <c r="V104" i="1"/>
  <c r="Z104" i="1" s="1"/>
  <c r="AB101" i="1"/>
  <c r="AA101" i="1"/>
  <c r="Z101" i="1"/>
  <c r="X101" i="1"/>
  <c r="W101" i="1"/>
  <c r="V101" i="1"/>
  <c r="Z98" i="1"/>
  <c r="X98" i="1"/>
  <c r="AB98" i="1" s="1"/>
  <c r="W98" i="1"/>
  <c r="AA98" i="1" s="1"/>
  <c r="V98" i="1"/>
  <c r="X95" i="1"/>
  <c r="AB95" i="1" s="1"/>
  <c r="W95" i="1"/>
  <c r="AA95" i="1" s="1"/>
  <c r="V95" i="1"/>
  <c r="Z95" i="1" s="1"/>
  <c r="AA92" i="1"/>
  <c r="X92" i="1"/>
  <c r="AB92" i="1" s="1"/>
  <c r="W92" i="1"/>
  <c r="V92" i="1"/>
  <c r="Z92" i="1" s="1"/>
  <c r="X89" i="1"/>
  <c r="AB89" i="1" s="1"/>
  <c r="W89" i="1"/>
  <c r="AA89" i="1" s="1"/>
  <c r="V89" i="1"/>
  <c r="Z89" i="1" s="1"/>
  <c r="Z86" i="1"/>
  <c r="X86" i="1"/>
  <c r="AB86" i="1" s="1"/>
  <c r="W86" i="1"/>
  <c r="AA86" i="1" s="1"/>
  <c r="V86" i="1"/>
  <c r="X83" i="1"/>
  <c r="AB83" i="1" s="1"/>
  <c r="W83" i="1"/>
  <c r="AA83" i="1" s="1"/>
  <c r="V83" i="1"/>
  <c r="Z83" i="1" s="1"/>
  <c r="X80" i="1"/>
  <c r="AB80" i="1" s="1"/>
  <c r="W80" i="1"/>
  <c r="AA80" i="1" s="1"/>
  <c r="V80" i="1"/>
  <c r="Z80" i="1" s="1"/>
  <c r="X76" i="1"/>
  <c r="AB76" i="1" s="1"/>
  <c r="W76" i="1"/>
  <c r="AA76" i="1" s="1"/>
  <c r="V76" i="1"/>
  <c r="Z76" i="1" s="1"/>
  <c r="X73" i="1"/>
  <c r="AB73" i="1" s="1"/>
  <c r="W73" i="1"/>
  <c r="AA73" i="1" s="1"/>
  <c r="V73" i="1"/>
  <c r="Z73" i="1" s="1"/>
  <c r="X70" i="1"/>
  <c r="AB70" i="1" s="1"/>
  <c r="W70" i="1"/>
  <c r="AA70" i="1" s="1"/>
  <c r="V70" i="1"/>
  <c r="Z70" i="1" s="1"/>
  <c r="X67" i="1"/>
  <c r="AB67" i="1" s="1"/>
  <c r="W67" i="1"/>
  <c r="AA67" i="1" s="1"/>
  <c r="V67" i="1"/>
  <c r="Z67" i="1" s="1"/>
  <c r="X64" i="1"/>
  <c r="AB64" i="1" s="1"/>
  <c r="W64" i="1"/>
  <c r="AA64" i="1" s="1"/>
  <c r="V64" i="1"/>
  <c r="Z64" i="1" s="1"/>
  <c r="X61" i="1"/>
  <c r="AB61" i="1" s="1"/>
  <c r="W61" i="1"/>
  <c r="AA61" i="1" s="1"/>
  <c r="V61" i="1"/>
  <c r="Z61" i="1" s="1"/>
  <c r="X58" i="1"/>
  <c r="AB58" i="1" s="1"/>
  <c r="W58" i="1"/>
  <c r="AA58" i="1" s="1"/>
  <c r="V58" i="1"/>
  <c r="Z58" i="1" s="1"/>
  <c r="AA55" i="1"/>
  <c r="X55" i="1"/>
  <c r="AB55" i="1" s="1"/>
  <c r="W55" i="1"/>
  <c r="V55" i="1"/>
  <c r="Z55" i="1" s="1"/>
  <c r="X52" i="1"/>
  <c r="AB52" i="1" s="1"/>
  <c r="W52" i="1"/>
  <c r="AA52" i="1" s="1"/>
  <c r="V52" i="1"/>
  <c r="Z52" i="1" s="1"/>
  <c r="X49" i="1"/>
  <c r="AB49" i="1" s="1"/>
  <c r="W49" i="1"/>
  <c r="AA49" i="1" s="1"/>
  <c r="V49" i="1"/>
  <c r="Z49" i="1" s="1"/>
  <c r="X46" i="1"/>
  <c r="AB46" i="1" s="1"/>
  <c r="W46" i="1"/>
  <c r="AA46" i="1" s="1"/>
  <c r="V46" i="1"/>
  <c r="Z46" i="1" s="1"/>
  <c r="AA43" i="1"/>
  <c r="Z43" i="1"/>
  <c r="X43" i="1"/>
  <c r="AB43" i="1" s="1"/>
  <c r="W43" i="1"/>
  <c r="V43" i="1"/>
  <c r="X39" i="1"/>
  <c r="AB39" i="1" s="1"/>
  <c r="W39" i="1"/>
  <c r="AA39" i="1" s="1"/>
  <c r="V39" i="1"/>
  <c r="Z39" i="1" s="1"/>
  <c r="X35" i="1"/>
  <c r="AB35" i="1" s="1"/>
  <c r="W35" i="1"/>
  <c r="AA35" i="1" s="1"/>
  <c r="V35" i="1"/>
  <c r="AA32" i="1"/>
  <c r="X32" i="1"/>
  <c r="AB32" i="1" s="1"/>
  <c r="W32" i="1"/>
  <c r="V32" i="1"/>
  <c r="Z32" i="1" s="1"/>
  <c r="Z29" i="1"/>
  <c r="X29" i="1"/>
  <c r="AB29" i="1" s="1"/>
  <c r="W29" i="1"/>
  <c r="AA29" i="1" s="1"/>
  <c r="V29" i="1"/>
  <c r="X26" i="1"/>
  <c r="AB26" i="1" s="1"/>
  <c r="W26" i="1"/>
  <c r="AA26" i="1" s="1"/>
  <c r="V26" i="1"/>
  <c r="Z26" i="1" s="1"/>
  <c r="AB23" i="1"/>
  <c r="AA23" i="1"/>
  <c r="X23" i="1"/>
  <c r="W23" i="1"/>
  <c r="V23" i="1"/>
  <c r="Z23" i="1" s="1"/>
  <c r="X20" i="1"/>
  <c r="AB20" i="1" s="1"/>
  <c r="W20" i="1"/>
  <c r="AA20" i="1" s="1"/>
  <c r="V20" i="1"/>
  <c r="Z20" i="1" s="1"/>
  <c r="X17" i="1"/>
  <c r="AB17" i="1" s="1"/>
  <c r="W17" i="1"/>
  <c r="AA17" i="1" s="1"/>
  <c r="V17" i="1"/>
  <c r="Z17" i="1" s="1"/>
  <c r="AA14" i="1"/>
  <c r="X14" i="1"/>
  <c r="AB14" i="1" s="1"/>
  <c r="W14" i="1"/>
  <c r="V14" i="1"/>
  <c r="Z14" i="1" s="1"/>
  <c r="X11" i="1"/>
  <c r="AB11" i="1" s="1"/>
  <c r="W11" i="1"/>
  <c r="AA11" i="1" s="1"/>
  <c r="V11" i="1"/>
  <c r="Z11" i="1" s="1"/>
  <c r="X8" i="1"/>
  <c r="AB8" i="1" s="1"/>
  <c r="W8" i="1"/>
  <c r="AA8" i="1" s="1"/>
  <c r="V8" i="1"/>
  <c r="Z8" i="1" s="1"/>
  <c r="X5" i="1"/>
  <c r="AB5" i="1" s="1"/>
  <c r="W5" i="1"/>
  <c r="AA5" i="1" s="1"/>
  <c r="V5" i="1"/>
  <c r="Z5" i="1" s="1"/>
  <c r="AB2" i="1"/>
  <c r="AA2" i="1"/>
  <c r="Z2" i="1"/>
  <c r="X2" i="1"/>
  <c r="W2" i="1"/>
  <c r="V2" i="1"/>
</calcChain>
</file>

<file path=xl/sharedStrings.xml><?xml version="1.0" encoding="utf-8"?>
<sst xmlns="http://schemas.openxmlformats.org/spreadsheetml/2006/main" count="326" uniqueCount="251">
  <si>
    <t>губ</t>
  </si>
  <si>
    <t>Архангельская</t>
  </si>
  <si>
    <t>[Архангельская род.]</t>
  </si>
  <si>
    <t>[Архангельская ум.]</t>
  </si>
  <si>
    <t>Астраханская</t>
  </si>
  <si>
    <t>[Астраханская род.]</t>
  </si>
  <si>
    <t>—</t>
  </si>
  <si>
    <t>[Aстраханская ум.]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</si>
  <si>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</si>
  <si>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</si>
  <si>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</si>
  <si>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</si>
  <si>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</si>
  <si>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</si>
  <si>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</si>
  <si>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</si>
  <si>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</si>
  <si>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</si>
  <si>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</si>
  <si>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</si>
  <si>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Кіевская</t>
  </si>
  <si>
    <t>[Кіевская род.]</t>
  </si>
  <si>
    <t>[Кіевская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</si>
  <si>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</si>
  <si>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</si>
  <si>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</si>
  <si>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</si>
  <si>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</si>
  <si>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</si>
  <si>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</si>
  <si>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</si>
  <si>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</si>
  <si>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Оренбургская</t>
  </si>
  <si>
    <t>[Оренбургская род.]</t>
  </si>
  <si>
    <t>[Оренбургская ум.]</t>
  </si>
  <si>
    <t>Подольская</t>
  </si>
  <si>
    <t>[Подольская род.]</t>
  </si>
  <si>
    <t>[Подольская ум.]</t>
  </si>
  <si>
    <t>Итого въ неземскихъ губерніяхъ</t>
  </si>
  <si>
    <t>Варшавская</t>
  </si>
  <si>
    <t>[Варшавская род.]</t>
  </si>
  <si>
    <t>[Варшавская ум.]</t>
  </si>
  <si>
    <t>Г. Варшава</t>
  </si>
  <si>
    <t>Калишская</t>
  </si>
  <si>
    <t>[Калишская род.]</t>
  </si>
  <si>
    <t>[Калишская ум.]</t>
  </si>
  <si>
    <t>Кѣлецкая</t>
  </si>
  <si>
    <t>[Кѣлецкая род.]</t>
  </si>
  <si>
    <t>[Кѣлецкая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</si>
  <si>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</si>
  <si>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</si>
  <si>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</si>
  <si>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</si>
  <si>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</si>
  <si>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</si>
  <si>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</si>
  <si>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</si>
  <si>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</si>
  <si>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</si>
  <si>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</si>
  <si>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</si>
  <si>
    <t>Радомская</t>
  </si>
  <si>
    <t>[Радомская род.]</t>
  </si>
  <si>
    <t>[Радомская ум.]</t>
  </si>
  <si>
    <t>Сувалкская</t>
  </si>
  <si>
    <t>[Сувалкская род.]</t>
  </si>
  <si>
    <t>[Сувалкская ум.]</t>
  </si>
  <si>
    <t>Сѣдлецкая</t>
  </si>
  <si>
    <t>[Сѣдлецкая род.]</t>
  </si>
  <si>
    <t>[Сѣдлецкая ум.]</t>
  </si>
  <si>
    <t>Курляндская</t>
  </si>
  <si>
    <t>[Курляндская род.]</t>
  </si>
  <si>
    <t>[Курляндская ум.]</t>
  </si>
  <si>
    <t>Лифляндская</t>
  </si>
  <si>
    <t>[Лифляндская род.]</t>
  </si>
  <si>
    <t>[Лифляндская ум.]</t>
  </si>
  <si>
    <t>Эстляндская</t>
  </si>
  <si>
    <t>[Эстляндская род.]</t>
  </si>
  <si>
    <t>[Эстляндская ум.]</t>
  </si>
  <si>
    <t>Итого въ привислянскихъ и остзейскихъ губерніяхъ</t>
  </si>
  <si>
    <t>Бессарабская</t>
  </si>
  <si>
    <t>[Бессарабская род.]</t>
  </si>
  <si>
    <t>[Бессарабская ум.]</t>
  </si>
  <si>
    <t>Владимірская</t>
  </si>
  <si>
    <t>[Владимірская род.]</t>
  </si>
  <si>
    <t>[Владимірская ум.]</t>
  </si>
  <si>
    <t>Вологодская</t>
  </si>
  <si>
    <t>[Вологодская род.]</t>
  </si>
  <si>
    <t>[Вологодская ум.]</t>
  </si>
  <si>
    <t>Воронежская</t>
  </si>
  <si>
    <t>[Воронежская род.]</t>
  </si>
  <si>
    <t>[Воронежская ум.]</t>
  </si>
  <si>
    <t>Вятская</t>
  </si>
  <si>
    <t>[Вятская род.]</t>
  </si>
  <si>
    <t>[Вятская ум.]</t>
  </si>
  <si>
    <t>Екатеринославская</t>
  </si>
  <si>
    <t>[Екатеринославская род.]</t>
  </si>
  <si>
    <t>[Екатеринославская ум.]</t>
  </si>
  <si>
    <t>Казанская</t>
  </si>
  <si>
    <t>[Казанская род.]</t>
  </si>
  <si>
    <t>[Казанская ум.]</t>
  </si>
  <si>
    <t>Калужская</t>
  </si>
  <si>
    <t>[Калужская род.]</t>
  </si>
  <si>
    <t>[Калужская ум.]</t>
  </si>
  <si>
    <t>Костромская</t>
  </si>
  <si>
    <t>[Костромская род.]</t>
  </si>
  <si>
    <t>[Костромская ум.]</t>
  </si>
  <si>
    <t>Курская</t>
  </si>
  <si>
    <t>[Курская род.]</t>
  </si>
  <si>
    <t>[Курская ум.]</t>
  </si>
  <si>
    <t>Гор. Москва</t>
  </si>
  <si>
    <t>Московская</t>
  </si>
  <si>
    <t>[Московская род.]</t>
  </si>
  <si>
    <t>[Московская ум.]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</si>
  <si>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</si>
  <si>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</si>
  <si>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</si>
  <si>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</si>
  <si>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</si>
  <si>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</si>
  <si>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</si>
  <si>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</si>
  <si>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</si>
  <si>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</si>
  <si>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</si>
  <si>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</si>
  <si>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</si>
  <si>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</si>
  <si>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</si>
  <si>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</si>
  <si>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</si>
  <si>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</si>
  <si>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</si>
  <si>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</si>
  <si>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</si>
  <si>
    <t>Псковская</t>
  </si>
  <si>
    <t>[Псковская род.]</t>
  </si>
  <si>
    <t>[Псковская ум.]</t>
  </si>
  <si>
    <t>Рязанская</t>
  </si>
  <si>
    <t>[Рязанская род.]</t>
  </si>
  <si>
    <t>[Рязанская ум.]</t>
  </si>
  <si>
    <t>Самарская</t>
  </si>
  <si>
    <t>[Самарская род.]</t>
  </si>
  <si>
    <t>[Самарская ум.]</t>
  </si>
  <si>
    <t>Г. С.-Петербургъ</t>
  </si>
  <si>
    <t>С.-Петербургская</t>
  </si>
  <si>
    <t>[С.-Петербургская род.]</t>
  </si>
  <si>
    <t>[С.-Петербургская ум.]</t>
  </si>
  <si>
    <t>Саратовская</t>
  </si>
  <si>
    <t>[Саратовская род.]</t>
  </si>
  <si>
    <t>[Саратовская ум.]</t>
  </si>
  <si>
    <t>Симбирская</t>
  </si>
  <si>
    <t>[Симбирская род.]</t>
  </si>
  <si>
    <t>[Симбирская ум.]</t>
  </si>
  <si>
    <t>Смоленская</t>
  </si>
  <si>
    <t>[Смоленская род.]</t>
  </si>
  <si>
    <t>[Смоленская ум.]</t>
  </si>
  <si>
    <t>Таврическая</t>
  </si>
  <si>
    <t>[Таврическая род.]</t>
  </si>
  <si>
    <t>[Таврическая ум.]</t>
  </si>
  <si>
    <t>Тамбовская</t>
  </si>
  <si>
    <t>[Тамбовская род.]</t>
  </si>
  <si>
    <t>[Тамбовская ум.]</t>
  </si>
  <si>
    <t>Тверская</t>
  </si>
  <si>
    <t>[Тверская род.]</t>
  </si>
  <si>
    <t>[Тверская ум.]</t>
  </si>
  <si>
    <t>Тульская</t>
  </si>
  <si>
    <t>[Тульская род.]</t>
  </si>
  <si>
    <t>[Тульская ум.]</t>
  </si>
  <si>
    <t>Уфимская</t>
  </si>
  <si>
    <t>[Уфимская род.]</t>
  </si>
  <si>
    <t>[Уфимская ум.]</t>
  </si>
  <si>
    <t>Харьковская</t>
  </si>
  <si>
    <t>[Харьковская род.]</t>
  </si>
  <si>
    <t>[Харьковская ум.]</t>
  </si>
  <si>
    <t>Херсонская</t>
  </si>
  <si>
    <t>[Херсонская род.]</t>
  </si>
  <si>
    <t>[Херсонская ум.]</t>
  </si>
  <si>
    <t>Г. Николаевъ</t>
  </si>
  <si>
    <t>Г. Одесса</t>
  </si>
  <si>
    <t>Черниговская</t>
  </si>
  <si>
    <t>[Черниговская род.]</t>
  </si>
  <si>
    <t>[Черниговская ум.]</t>
  </si>
  <si>
    <t>Ярославская</t>
  </si>
  <si>
    <t>[Ярославская род.]</t>
  </si>
  <si>
    <t>[Ярославская ум.]</t>
  </si>
  <si>
    <t>Итого въ земскихъ губерніяхъ</t>
  </si>
  <si>
    <t>Обл. Войска Донскаго.</t>
  </si>
  <si>
    <t>Итого въ Европейской Россіи</t>
  </si>
  <si>
    <t>Бакинская</t>
  </si>
  <si>
    <t>[Бакинская род.]</t>
  </si>
  <si>
    <t>[Бакинская ум.]</t>
  </si>
  <si>
    <t>Дагестанская обл.</t>
  </si>
  <si>
    <t>Елисаветпольская</t>
  </si>
  <si>
    <t>[Елисаветпольская род.]</t>
  </si>
  <si>
    <t>[Елисаветпольская ум.]</t>
  </si>
  <si>
    <t>Карсская обл.</t>
  </si>
  <si>
    <t>Кубанская обл.</t>
  </si>
  <si>
    <t>Кутаисская</t>
  </si>
  <si>
    <t>[Кутаисская род.]</t>
  </si>
  <si>
    <t>[Кутаисская ум.]</t>
  </si>
  <si>
    <t>Ставропольская</t>
  </si>
  <si>
    <t>[Ставропольская род.]</t>
  </si>
  <si>
    <t>[Ставропольская ум.]</t>
  </si>
  <si>
    <t>Терская обл.</t>
  </si>
  <si>
    <t>Тифлисская</t>
  </si>
  <si>
    <t>[Тифлисская род.]</t>
  </si>
  <si>
    <t>[Тифлисская ум.]</t>
  </si>
  <si>
    <t>Эриванская</t>
  </si>
  <si>
    <t>[Эриванская род.]</t>
  </si>
  <si>
    <t>[Эриванская ум.]</t>
  </si>
  <si>
    <t>Итого на Кавказѣ</t>
  </si>
  <si>
    <t>Амурская обл.</t>
  </si>
  <si>
    <t>Енисейская</t>
  </si>
  <si>
    <t>[Енисейская род.]</t>
  </si>
  <si>
    <t>[Енисейская ум.]</t>
  </si>
  <si>
    <t>Забайкальская обл.</t>
  </si>
  <si>
    <t>Иркутская</t>
  </si>
  <si>
    <t>[Иркутская род.]</t>
  </si>
  <si>
    <t>[Иркутская ум.]</t>
  </si>
  <si>
    <t>Приморская обл.</t>
  </si>
  <si>
    <t>Тобольская</t>
  </si>
  <si>
    <t>[Тобольская род.]</t>
  </si>
  <si>
    <t>[Тобольская ум.]</t>
  </si>
  <si>
    <t>[Томская род.]</t>
  </si>
  <si>
    <t>[Томская ум.]</t>
  </si>
  <si>
    <t>Якутская обл.</t>
  </si>
  <si>
    <t>Остр. Сахалинъ</t>
  </si>
  <si>
    <t>Итого въ Сибири</t>
  </si>
  <si>
    <t>Акмолинская обл.</t>
  </si>
  <si>
    <t>Закаспійская обл.</t>
  </si>
  <si>
    <t>Самаркандская обл.</t>
  </si>
  <si>
    <t>Семипалатинская обл.</t>
  </si>
  <si>
    <t>Семирѣченская обл.</t>
  </si>
  <si>
    <t>Сыръ-Дарьинская обл.</t>
  </si>
  <si>
    <t>Тургайская обл.</t>
  </si>
  <si>
    <t>Уральская обл.</t>
  </si>
  <si>
    <t>Ферганская обл.</t>
  </si>
  <si>
    <t>Итого въ Средне-Азіатскихъ обл.</t>
  </si>
  <si>
    <t>Итого во всей Имперіи</t>
  </si>
  <si>
    <t>уезды</t>
  </si>
  <si>
    <t>чж NYY</t>
  </si>
  <si>
    <t>чр YY</t>
  </si>
  <si>
    <t>чу YY</t>
  </si>
  <si>
    <t>v-чж</t>
  </si>
  <si>
    <t>v-чр</t>
  </si>
  <si>
    <t>v-чу</t>
  </si>
  <si>
    <t>v-d-чж</t>
  </si>
  <si>
    <t>v-d-чр</t>
  </si>
  <si>
    <t>v-d-чу</t>
  </si>
  <si>
    <t>Toмская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</si>
</sst>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0" fillId="0" borderId="0" xfId="0" applyNumberFormat="1"/>
    <xf numFmtId="3" fontId="0" fillId="2" borderId="0" xfId="0" applyNumberFormat="1" applyFill="1"/>
    <xf numFmtId="3" fontId="4" fillId="2" borderId="0" xfId="0" applyNumberFormat="1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3" fontId="0" fillId="2" borderId="0" xfId="0" applyNumberFormat="1" applyFill="1" applyAlignment="1">
      <alignment vertical="center"/>
    </xf>
    <xf numFmtId="3" fontId="5" fillId="0" borderId="0" xfId="0" applyNumberFormat="1" applyFont="1" applyAlignment="1">
      <alignment vertical="center"/>
    </xf>
    <xf numFmtId="3" fontId="0" fillId="0" borderId="0" xfId="0" applyNumberFormat="1" applyAlignment="1">
      <alignment vertical="center"/>
    </xf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3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3" fontId="4" fillId="3" borderId="0" xfId="0" applyNumberFormat="1" applyFont="1" applyFill="1" applyAlignment="1">
      <alignment vertical="center"/>
    </xf>
    <xf numFmtId="3" fontId="0" fillId="3" borderId="0" xfId="0" applyNumberFormat="1" applyFill="1" applyAlignment="1">
      <alignment vertical="center"/>
    </xf>
    <xf numFmtId="3" fontId="0" fillId="3" borderId="0" xfId="0" applyNumberFormat="1" applyFill="1"/>
    <xf numFmtId="0" fontId="1" fillId="0" borderId="0" xfId="0" applyFont="1" applyFill="1" applyAlignment="1">
      <alignment vertical="center"/>
    </xf>
    <xf numFmtId="3" fontId="1" fillId="0" borderId="0" xfId="0" applyNumberFormat="1" applyFont="1" applyFill="1" applyAlignment="1">
      <alignment vertical="center"/>
    </xf>
    <xf numFmtId="3" fontId="0" fillId="0" borderId="0" xfId="0" applyNumberFormat="1" applyFill="1" applyAlignment="1">
      <alignment vertical="center"/>
    </xf>
    <xf numFmtId="3" fontId="1" fillId="0" borderId="0" xfId="0" applyNumberFormat="1" applyFont="1" applyFill="1" applyAlignment="1">
      <alignment horizontal="center" vertical="center"/>
    </xf>
    <xf numFmtId="0" fontId="0" fillId="0" borderId="0" xfId="0" applyFill="1"/>
    <xf numFmtId="3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40"/>
  <sheetViews>
    <sheetView tabSelected="1" workbookViewId="0">
      <selection activeCell="AI12" sqref="AI12"/>
    </sheetView>
  </sheetViews>
  <sheetFormatPr defaultColWidth="12.609375" defaultRowHeight="15.75" customHeight="1" x14ac:dyDescent="0.4"/>
  <cols>
    <col min="1" max="1" width="47.5546875" bestFit="1" customWidth="1"/>
    <col min="2" max="2" width="11.21875" bestFit="1" customWidth="1"/>
    <col min="3" max="4" width="9.109375" bestFit="1" customWidth="1"/>
    <col min="5" max="5" width="5.609375" style="27" customWidth="1"/>
    <col min="6" max="20" width="7.27734375" bestFit="1" customWidth="1"/>
    <col min="21" max="21" width="5.109375" style="27" customWidth="1"/>
    <col min="22" max="22" width="8.83203125" bestFit="1" customWidth="1"/>
    <col min="23" max="24" width="7.27734375" bestFit="1" customWidth="1"/>
    <col min="26" max="26" width="9.38671875" bestFit="1" customWidth="1"/>
    <col min="27" max="27" width="6.44140625" bestFit="1" customWidth="1"/>
    <col min="28" max="28" width="6.33203125" bestFit="1" customWidth="1"/>
  </cols>
  <sheetData>
    <row r="1" spans="1:28" ht="15.75" customHeight="1" x14ac:dyDescent="0.4">
      <c r="A1" s="2" t="s">
        <v>0</v>
      </c>
      <c r="B1" s="2" t="s">
        <v>241</v>
      </c>
      <c r="C1" s="2" t="s">
        <v>242</v>
      </c>
      <c r="D1" s="2" t="s">
        <v>243</v>
      </c>
      <c r="E1" s="23"/>
      <c r="F1" s="1" t="s">
        <v>240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V1" s="5" t="s">
        <v>244</v>
      </c>
      <c r="W1" s="5" t="s">
        <v>245</v>
      </c>
      <c r="X1" s="5" t="s">
        <v>246</v>
      </c>
      <c r="Z1" s="5" t="s">
        <v>247</v>
      </c>
      <c r="AA1" s="5" t="s">
        <v>248</v>
      </c>
      <c r="AB1" s="5" t="s">
        <v>249</v>
      </c>
    </row>
    <row r="2" spans="1:28" ht="15.75" customHeight="1" x14ac:dyDescent="0.4">
      <c r="A2" s="3" t="s">
        <v>1</v>
      </c>
      <c r="B2" s="8">
        <v>346371</v>
      </c>
      <c r="C2" s="8">
        <v>12733</v>
      </c>
      <c r="D2" s="8">
        <v>8018</v>
      </c>
      <c r="E2" s="24"/>
      <c r="F2" s="9">
        <v>56402</v>
      </c>
      <c r="G2" s="9">
        <v>38585</v>
      </c>
      <c r="H2" s="9">
        <v>9140</v>
      </c>
      <c r="I2" s="9">
        <v>51532</v>
      </c>
      <c r="J2" s="9">
        <v>39793</v>
      </c>
      <c r="K2" s="9">
        <v>29477</v>
      </c>
      <c r="L2" s="9">
        <v>40224</v>
      </c>
      <c r="M2" s="9">
        <v>81218</v>
      </c>
      <c r="N2" s="10"/>
      <c r="O2" s="10"/>
      <c r="P2" s="10"/>
      <c r="Q2" s="10"/>
      <c r="R2" s="10"/>
      <c r="S2" s="10"/>
      <c r="T2" s="10"/>
      <c r="U2" s="28"/>
      <c r="V2" s="7">
        <f>SUM(F2:T2)</f>
        <v>346371</v>
      </c>
      <c r="W2" s="7">
        <f>SUM(F3:T3)</f>
        <v>12733</v>
      </c>
      <c r="X2" s="7">
        <f>SUM(F4:T4)</f>
        <v>8018</v>
      </c>
      <c r="Y2" s="7"/>
      <c r="Z2" s="7">
        <f>V2-B2</f>
        <v>0</v>
      </c>
      <c r="AA2" s="7">
        <f>W2-C2</f>
        <v>0</v>
      </c>
      <c r="AB2" s="7">
        <f>X2-D2</f>
        <v>0</v>
      </c>
    </row>
    <row r="3" spans="1:28" ht="15.75" customHeight="1" x14ac:dyDescent="0.4">
      <c r="A3" s="4" t="s">
        <v>2</v>
      </c>
      <c r="B3" s="11"/>
      <c r="C3" s="11"/>
      <c r="D3" s="11"/>
      <c r="E3" s="25"/>
      <c r="F3" s="13">
        <v>1896</v>
      </c>
      <c r="G3" s="13">
        <v>1281</v>
      </c>
      <c r="H3" s="13">
        <v>283</v>
      </c>
      <c r="I3" s="13">
        <v>2165</v>
      </c>
      <c r="J3" s="13">
        <v>1466</v>
      </c>
      <c r="K3" s="13">
        <v>1125</v>
      </c>
      <c r="L3" s="13">
        <v>1321</v>
      </c>
      <c r="M3" s="13">
        <v>3196</v>
      </c>
      <c r="N3" s="12"/>
      <c r="O3" s="12"/>
      <c r="P3" s="12"/>
      <c r="Q3" s="12"/>
      <c r="R3" s="12"/>
      <c r="S3" s="12"/>
      <c r="T3" s="12"/>
      <c r="U3" s="28"/>
      <c r="V3" s="6"/>
      <c r="W3" s="6"/>
      <c r="X3" s="6"/>
      <c r="Y3" s="6"/>
      <c r="Z3" s="6"/>
      <c r="AA3" s="6"/>
      <c r="AB3" s="6"/>
    </row>
    <row r="4" spans="1:28" ht="15.75" customHeight="1" x14ac:dyDescent="0.4">
      <c r="A4" s="4" t="s">
        <v>3</v>
      </c>
      <c r="B4" s="11"/>
      <c r="C4" s="11"/>
      <c r="D4" s="11"/>
      <c r="E4" s="25"/>
      <c r="F4" s="13">
        <v>1256</v>
      </c>
      <c r="G4" s="13">
        <v>567</v>
      </c>
      <c r="H4" s="13">
        <v>191</v>
      </c>
      <c r="I4" s="13">
        <v>1650</v>
      </c>
      <c r="J4" s="13">
        <v>869</v>
      </c>
      <c r="K4" s="13">
        <v>657</v>
      </c>
      <c r="L4" s="13">
        <v>730</v>
      </c>
      <c r="M4" s="13">
        <v>2098</v>
      </c>
      <c r="N4" s="12"/>
      <c r="O4" s="12"/>
      <c r="P4" s="12"/>
      <c r="Q4" s="12"/>
      <c r="R4" s="12"/>
      <c r="S4" s="12"/>
      <c r="T4" s="12"/>
      <c r="U4" s="28"/>
      <c r="V4" s="6"/>
      <c r="W4" s="6"/>
      <c r="X4" s="6"/>
      <c r="Y4" s="6"/>
      <c r="Z4" s="6"/>
      <c r="AA4" s="6"/>
      <c r="AB4" s="6"/>
    </row>
    <row r="5" spans="1:28" ht="15.75" customHeight="1" x14ac:dyDescent="0.4">
      <c r="A5" s="3" t="s">
        <v>4</v>
      </c>
      <c r="B5" s="8">
        <v>833276</v>
      </c>
      <c r="C5" s="8">
        <v>26860</v>
      </c>
      <c r="D5" s="8">
        <v>19429</v>
      </c>
      <c r="E5" s="24"/>
      <c r="F5" s="9">
        <v>129300</v>
      </c>
      <c r="G5" s="9">
        <v>63430</v>
      </c>
      <c r="H5" s="9">
        <v>32640</v>
      </c>
      <c r="I5" s="9">
        <v>169400</v>
      </c>
      <c r="J5" s="9">
        <v>83460</v>
      </c>
      <c r="K5" s="9">
        <v>138046</v>
      </c>
      <c r="L5" s="9">
        <v>217000</v>
      </c>
      <c r="M5" s="10"/>
      <c r="N5" s="10"/>
      <c r="O5" s="10"/>
      <c r="P5" s="10"/>
      <c r="Q5" s="10"/>
      <c r="R5" s="10"/>
      <c r="S5" s="10"/>
      <c r="T5" s="10"/>
      <c r="U5" s="28"/>
      <c r="V5" s="7">
        <f>SUM(F5:T5)</f>
        <v>833276</v>
      </c>
      <c r="W5" s="7">
        <f>SUM(F6:T6)</f>
        <v>26860</v>
      </c>
      <c r="X5" s="7">
        <f>SUM(F7:T7)</f>
        <v>19429</v>
      </c>
      <c r="Y5" s="7"/>
      <c r="Z5" s="7">
        <f>V5-B5</f>
        <v>0</v>
      </c>
      <c r="AA5" s="7">
        <f>W5-C5</f>
        <v>0</v>
      </c>
      <c r="AB5" s="7">
        <f>X5-D5</f>
        <v>0</v>
      </c>
    </row>
    <row r="6" spans="1:28" ht="15.75" customHeight="1" x14ac:dyDescent="0.4">
      <c r="A6" s="4" t="s">
        <v>5</v>
      </c>
      <c r="B6" s="11"/>
      <c r="C6" s="11"/>
      <c r="D6" s="11"/>
      <c r="E6" s="25"/>
      <c r="F6" s="13">
        <v>7599</v>
      </c>
      <c r="G6" s="13">
        <v>3433</v>
      </c>
      <c r="H6" s="13">
        <v>1689</v>
      </c>
      <c r="I6" s="13">
        <v>9453</v>
      </c>
      <c r="J6" s="13">
        <v>4686</v>
      </c>
      <c r="K6" s="14" t="s">
        <v>6</v>
      </c>
      <c r="L6" s="14" t="s">
        <v>6</v>
      </c>
      <c r="M6" s="12"/>
      <c r="N6" s="12"/>
      <c r="O6" s="12"/>
      <c r="P6" s="12"/>
      <c r="Q6" s="12"/>
      <c r="R6" s="12"/>
      <c r="S6" s="12"/>
      <c r="T6" s="12"/>
      <c r="U6" s="28"/>
      <c r="V6" s="6"/>
      <c r="W6" s="6"/>
      <c r="X6" s="6"/>
      <c r="Y6" s="6"/>
      <c r="Z6" s="6"/>
      <c r="AA6" s="6"/>
      <c r="AB6" s="6"/>
    </row>
    <row r="7" spans="1:28" ht="15.75" customHeight="1" x14ac:dyDescent="0.4">
      <c r="A7" s="4" t="s">
        <v>7</v>
      </c>
      <c r="B7" s="11"/>
      <c r="C7" s="11"/>
      <c r="D7" s="11"/>
      <c r="E7" s="25"/>
      <c r="F7" s="13">
        <v>6562</v>
      </c>
      <c r="G7" s="13">
        <v>2618</v>
      </c>
      <c r="H7" s="13">
        <v>978</v>
      </c>
      <c r="I7" s="13">
        <v>6295</v>
      </c>
      <c r="J7" s="13">
        <v>2976</v>
      </c>
      <c r="K7" s="14" t="s">
        <v>6</v>
      </c>
      <c r="L7" s="14" t="s">
        <v>6</v>
      </c>
      <c r="M7" s="12"/>
      <c r="N7" s="12"/>
      <c r="O7" s="12"/>
      <c r="P7" s="12"/>
      <c r="Q7" s="12"/>
      <c r="R7" s="12"/>
      <c r="S7" s="12"/>
      <c r="T7" s="12"/>
      <c r="U7" s="28"/>
      <c r="V7" s="6"/>
      <c r="W7" s="6"/>
      <c r="X7" s="6"/>
      <c r="Y7" s="6"/>
      <c r="Z7" s="6"/>
      <c r="AA7" s="6"/>
      <c r="AB7" s="6"/>
    </row>
    <row r="8" spans="1:28" ht="15.75" customHeight="1" x14ac:dyDescent="0.4">
      <c r="A8" s="3" t="s">
        <v>8</v>
      </c>
      <c r="B8" s="8">
        <v>1309304</v>
      </c>
      <c r="C8" s="8">
        <v>54761</v>
      </c>
      <c r="D8" s="8">
        <v>33408</v>
      </c>
      <c r="E8" s="24"/>
      <c r="F8" s="9">
        <v>301680</v>
      </c>
      <c r="G8" s="9">
        <v>186858</v>
      </c>
      <c r="H8" s="9">
        <v>173214</v>
      </c>
      <c r="I8" s="9">
        <v>169857</v>
      </c>
      <c r="J8" s="9">
        <v>193742</v>
      </c>
      <c r="K8" s="9">
        <v>155668</v>
      </c>
      <c r="L8" s="9">
        <v>128285</v>
      </c>
      <c r="M8" s="10"/>
      <c r="N8" s="10"/>
      <c r="O8" s="10"/>
      <c r="P8" s="10"/>
      <c r="Q8" s="10"/>
      <c r="R8" s="10"/>
      <c r="S8" s="10"/>
      <c r="T8" s="10"/>
      <c r="U8" s="28"/>
      <c r="V8" s="7">
        <f>SUM(F8:T8)</f>
        <v>1309304</v>
      </c>
      <c r="W8" s="7">
        <f>SUM(F9:T9)</f>
        <v>54761</v>
      </c>
      <c r="X8" s="7">
        <f>SUM(F10:T10)</f>
        <v>33408</v>
      </c>
      <c r="Y8" s="7"/>
      <c r="Z8" s="7">
        <f>V8-B8</f>
        <v>0</v>
      </c>
      <c r="AA8" s="7">
        <f>W8-C8</f>
        <v>0</v>
      </c>
      <c r="AB8" s="7">
        <f>X8-D8</f>
        <v>0</v>
      </c>
    </row>
    <row r="9" spans="1:28" ht="15.75" customHeight="1" x14ac:dyDescent="0.4">
      <c r="A9" s="4" t="s">
        <v>9</v>
      </c>
      <c r="B9" s="11"/>
      <c r="C9" s="11"/>
      <c r="D9" s="11"/>
      <c r="E9" s="25"/>
      <c r="F9" s="13">
        <v>10377</v>
      </c>
      <c r="G9" s="13">
        <v>7721</v>
      </c>
      <c r="H9" s="13">
        <v>7337</v>
      </c>
      <c r="I9" s="13">
        <v>7368</v>
      </c>
      <c r="J9" s="13">
        <v>7805</v>
      </c>
      <c r="K9" s="13">
        <v>6341</v>
      </c>
      <c r="L9" s="13">
        <v>7812</v>
      </c>
      <c r="M9" s="12"/>
      <c r="N9" s="12"/>
      <c r="O9" s="12"/>
      <c r="P9" s="12"/>
      <c r="Q9" s="12"/>
      <c r="R9" s="12"/>
      <c r="S9" s="12"/>
      <c r="T9" s="12"/>
      <c r="U9" s="28"/>
      <c r="V9" s="6"/>
      <c r="W9" s="6"/>
      <c r="X9" s="6"/>
      <c r="Y9" s="6"/>
      <c r="Z9" s="6"/>
      <c r="AA9" s="6"/>
      <c r="AB9" s="6"/>
    </row>
    <row r="10" spans="1:28" ht="15.75" customHeight="1" x14ac:dyDescent="0.4">
      <c r="A10" s="4" t="s">
        <v>10</v>
      </c>
      <c r="B10" s="11"/>
      <c r="C10" s="11"/>
      <c r="D10" s="11"/>
      <c r="E10" s="25"/>
      <c r="F10" s="13">
        <v>7131</v>
      </c>
      <c r="G10" s="13">
        <v>4920</v>
      </c>
      <c r="H10" s="13">
        <v>4086</v>
      </c>
      <c r="I10" s="13">
        <v>4211</v>
      </c>
      <c r="J10" s="13">
        <v>4602</v>
      </c>
      <c r="K10" s="13">
        <v>3678</v>
      </c>
      <c r="L10" s="13">
        <v>4780</v>
      </c>
      <c r="M10" s="12"/>
      <c r="N10" s="12"/>
      <c r="O10" s="12"/>
      <c r="P10" s="12"/>
      <c r="Q10" s="12"/>
      <c r="R10" s="12"/>
      <c r="S10" s="12"/>
      <c r="T10" s="12"/>
      <c r="U10" s="28"/>
      <c r="V10" s="6"/>
      <c r="W10" s="6"/>
      <c r="X10" s="6"/>
      <c r="Y10" s="6"/>
      <c r="Z10" s="6"/>
      <c r="AA10" s="6"/>
      <c r="AB10" s="6"/>
    </row>
    <row r="11" spans="1:28" ht="15.75" customHeight="1" x14ac:dyDescent="0.4">
      <c r="A11" s="3" t="s">
        <v>11</v>
      </c>
      <c r="B11" s="8">
        <v>1309304</v>
      </c>
      <c r="C11" s="8">
        <v>55587</v>
      </c>
      <c r="D11" s="8">
        <v>32912</v>
      </c>
      <c r="E11" s="24"/>
      <c r="F11" s="9">
        <v>139176</v>
      </c>
      <c r="G11" s="9">
        <v>85858</v>
      </c>
      <c r="H11" s="9">
        <v>93715</v>
      </c>
      <c r="I11" s="9">
        <v>223664</v>
      </c>
      <c r="J11" s="9">
        <v>78685</v>
      </c>
      <c r="K11" s="9">
        <v>133477</v>
      </c>
      <c r="L11" s="9">
        <v>115309</v>
      </c>
      <c r="M11" s="9">
        <v>109448</v>
      </c>
      <c r="N11" s="9">
        <v>113374</v>
      </c>
      <c r="O11" s="9">
        <v>132694</v>
      </c>
      <c r="P11" s="9">
        <v>93904</v>
      </c>
      <c r="Q11" s="10"/>
      <c r="R11" s="10"/>
      <c r="S11" s="10"/>
      <c r="T11" s="10"/>
      <c r="U11" s="28"/>
      <c r="V11" s="7">
        <f>SUM(F11:T11)</f>
        <v>1319304</v>
      </c>
      <c r="W11" s="7">
        <f>SUM(F12:T12)</f>
        <v>55587</v>
      </c>
      <c r="X11" s="7">
        <f>SUM(F13:T13)</f>
        <v>32912</v>
      </c>
      <c r="Y11" s="7"/>
      <c r="Z11" s="7">
        <f>V11-B11</f>
        <v>10000</v>
      </c>
      <c r="AA11" s="7">
        <f>W11-C11</f>
        <v>0</v>
      </c>
      <c r="AB11" s="7">
        <f>X11-D11</f>
        <v>0</v>
      </c>
    </row>
    <row r="12" spans="1:28" ht="15.75" customHeight="1" x14ac:dyDescent="0.4">
      <c r="A12" s="4" t="s">
        <v>12</v>
      </c>
      <c r="B12" s="11"/>
      <c r="C12" s="11"/>
      <c r="D12" s="11"/>
      <c r="E12" s="25"/>
      <c r="F12" s="13">
        <v>6517</v>
      </c>
      <c r="G12" s="13">
        <v>4645</v>
      </c>
      <c r="H12" s="13">
        <v>4854</v>
      </c>
      <c r="I12" s="13">
        <v>6442</v>
      </c>
      <c r="J12" s="13">
        <v>4007</v>
      </c>
      <c r="K12" s="13">
        <v>6116</v>
      </c>
      <c r="L12" s="13">
        <v>4581</v>
      </c>
      <c r="M12" s="13">
        <v>4842</v>
      </c>
      <c r="N12" s="13">
        <v>5512</v>
      </c>
      <c r="O12" s="13">
        <v>4045</v>
      </c>
      <c r="P12" s="13">
        <v>4026</v>
      </c>
      <c r="Q12" s="12"/>
      <c r="R12" s="12"/>
      <c r="S12" s="12"/>
      <c r="T12" s="12"/>
      <c r="U12" s="28"/>
      <c r="V12" s="6"/>
      <c r="W12" s="6"/>
      <c r="X12" s="6"/>
      <c r="Y12" s="6"/>
      <c r="Z12" s="6"/>
      <c r="AA12" s="6"/>
      <c r="AB12" s="6"/>
    </row>
    <row r="13" spans="1:28" ht="15.75" customHeight="1" x14ac:dyDescent="0.4">
      <c r="A13" s="4" t="s">
        <v>13</v>
      </c>
      <c r="B13" s="11"/>
      <c r="C13" s="11"/>
      <c r="D13" s="11"/>
      <c r="E13" s="25"/>
      <c r="F13" s="13">
        <v>3579</v>
      </c>
      <c r="G13" s="13">
        <v>2506</v>
      </c>
      <c r="H13" s="13">
        <v>2179</v>
      </c>
      <c r="I13" s="13">
        <v>4358</v>
      </c>
      <c r="J13" s="13">
        <v>2757</v>
      </c>
      <c r="K13" s="13">
        <v>3627</v>
      </c>
      <c r="L13" s="13">
        <v>2759</v>
      </c>
      <c r="M13" s="13">
        <v>3043</v>
      </c>
      <c r="N13" s="13">
        <v>3094</v>
      </c>
      <c r="O13" s="13">
        <v>2687</v>
      </c>
      <c r="P13" s="13">
        <v>2323</v>
      </c>
      <c r="Q13" s="12"/>
      <c r="R13" s="12"/>
      <c r="S13" s="12"/>
      <c r="T13" s="12"/>
      <c r="U13" s="28"/>
      <c r="V13" s="6"/>
      <c r="W13" s="6"/>
      <c r="X13" s="6"/>
      <c r="Y13" s="6"/>
      <c r="Z13" s="6"/>
      <c r="AA13" s="6"/>
      <c r="AB13" s="6"/>
    </row>
    <row r="14" spans="1:28" ht="15.75" customHeight="1" x14ac:dyDescent="0.4">
      <c r="A14" s="3" t="s">
        <v>14</v>
      </c>
      <c r="B14" s="8">
        <v>2303602</v>
      </c>
      <c r="C14" s="8">
        <v>119051</v>
      </c>
      <c r="D14" s="8">
        <v>80316</v>
      </c>
      <c r="E14" s="24"/>
      <c r="F14" s="9">
        <v>316471</v>
      </c>
      <c r="G14" s="9">
        <v>202645</v>
      </c>
      <c r="H14" s="9">
        <v>156193</v>
      </c>
      <c r="I14" s="9">
        <v>167709</v>
      </c>
      <c r="J14" s="9">
        <v>178831</v>
      </c>
      <c r="K14" s="9">
        <v>175635</v>
      </c>
      <c r="L14" s="9">
        <v>177029</v>
      </c>
      <c r="M14" s="9">
        <v>247202</v>
      </c>
      <c r="N14" s="9">
        <v>167085</v>
      </c>
      <c r="O14" s="9">
        <v>147720</v>
      </c>
      <c r="P14" s="9">
        <v>201718</v>
      </c>
      <c r="Q14" s="9">
        <v>165354</v>
      </c>
      <c r="R14" s="10"/>
      <c r="S14" s="10"/>
      <c r="T14" s="10"/>
      <c r="U14" s="28"/>
      <c r="V14" s="7">
        <f>SUM(F14:T14)</f>
        <v>2303592</v>
      </c>
      <c r="W14" s="7">
        <f>SUM(F15:T15)</f>
        <v>119051</v>
      </c>
      <c r="X14" s="7">
        <f>SUM(F16:T16)</f>
        <v>80316</v>
      </c>
      <c r="Y14" s="7"/>
      <c r="Z14" s="7">
        <f>V14-B14</f>
        <v>-10</v>
      </c>
      <c r="AA14" s="7">
        <f>W14-C14</f>
        <v>0</v>
      </c>
      <c r="AB14" s="7">
        <f>X14-D14</f>
        <v>0</v>
      </c>
    </row>
    <row r="15" spans="1:28" ht="15.75" customHeight="1" x14ac:dyDescent="0.4">
      <c r="A15" s="4" t="s">
        <v>15</v>
      </c>
      <c r="B15" s="11"/>
      <c r="C15" s="11"/>
      <c r="D15" s="11"/>
      <c r="E15" s="25"/>
      <c r="F15" s="13">
        <v>16194</v>
      </c>
      <c r="G15" s="13">
        <v>11165</v>
      </c>
      <c r="H15" s="13">
        <v>7607</v>
      </c>
      <c r="I15" s="13">
        <v>9058</v>
      </c>
      <c r="J15" s="13">
        <v>8392</v>
      </c>
      <c r="K15" s="13">
        <v>8986</v>
      </c>
      <c r="L15" s="13">
        <v>9962</v>
      </c>
      <c r="M15" s="13">
        <v>12946</v>
      </c>
      <c r="N15" s="13">
        <v>9391</v>
      </c>
      <c r="O15" s="13">
        <v>7157</v>
      </c>
      <c r="P15" s="13">
        <v>10003</v>
      </c>
      <c r="Q15" s="13">
        <v>8190</v>
      </c>
      <c r="R15" s="12"/>
      <c r="S15" s="12"/>
      <c r="T15" s="12"/>
      <c r="U15" s="28"/>
      <c r="V15" s="6"/>
      <c r="W15" s="6"/>
      <c r="X15" s="6"/>
      <c r="Y15" s="6"/>
      <c r="Z15" s="6"/>
      <c r="AA15" s="6"/>
      <c r="AB15" s="6"/>
    </row>
    <row r="16" spans="1:28" ht="15.75" customHeight="1" x14ac:dyDescent="0.4">
      <c r="A16" s="4" t="s">
        <v>16</v>
      </c>
      <c r="B16" s="11"/>
      <c r="C16" s="11"/>
      <c r="D16" s="11"/>
      <c r="E16" s="25"/>
      <c r="F16" s="13">
        <v>10113</v>
      </c>
      <c r="G16" s="13">
        <v>7263</v>
      </c>
      <c r="H16" s="13">
        <v>4135</v>
      </c>
      <c r="I16" s="13">
        <v>6721</v>
      </c>
      <c r="J16" s="13">
        <v>5307</v>
      </c>
      <c r="K16" s="13">
        <v>6880</v>
      </c>
      <c r="L16" s="13">
        <v>6556</v>
      </c>
      <c r="M16" s="13">
        <v>8970</v>
      </c>
      <c r="N16" s="13">
        <v>6169</v>
      </c>
      <c r="O16" s="13">
        <v>5167</v>
      </c>
      <c r="P16" s="13">
        <v>7114</v>
      </c>
      <c r="Q16" s="13">
        <v>5921</v>
      </c>
      <c r="R16" s="12"/>
      <c r="S16" s="12"/>
      <c r="T16" s="12"/>
      <c r="U16" s="28"/>
      <c r="V16" s="6"/>
      <c r="W16" s="6"/>
      <c r="X16" s="6"/>
      <c r="Y16" s="6"/>
      <c r="Z16" s="6"/>
      <c r="AA16" s="6"/>
      <c r="AB16" s="6"/>
    </row>
    <row r="17" spans="1:28" ht="15.75" customHeight="1" x14ac:dyDescent="0.4">
      <c r="A17" s="3" t="s">
        <v>17</v>
      </c>
      <c r="B17" s="8">
        <v>1329494</v>
      </c>
      <c r="C17" s="8">
        <v>56147</v>
      </c>
      <c r="D17" s="8">
        <v>37791</v>
      </c>
      <c r="E17" s="24"/>
      <c r="F17" s="9">
        <v>175317</v>
      </c>
      <c r="G17" s="9">
        <v>190585</v>
      </c>
      <c r="H17" s="9">
        <v>155345</v>
      </c>
      <c r="I17" s="9">
        <v>136470</v>
      </c>
      <c r="J17" s="9">
        <v>132499</v>
      </c>
      <c r="K17" s="9">
        <v>146879</v>
      </c>
      <c r="L17" s="9">
        <v>118178</v>
      </c>
      <c r="M17" s="9">
        <v>188656</v>
      </c>
      <c r="N17" s="9">
        <v>85565</v>
      </c>
      <c r="O17" s="10"/>
      <c r="P17" s="10"/>
      <c r="Q17" s="10"/>
      <c r="R17" s="10"/>
      <c r="S17" s="10"/>
      <c r="T17" s="10"/>
      <c r="U17" s="28"/>
      <c r="V17" s="7">
        <f>SUM(F17:T17)</f>
        <v>1329494</v>
      </c>
      <c r="W17" s="7">
        <f>SUM(F18:T18)</f>
        <v>56147</v>
      </c>
      <c r="X17" s="7">
        <f>SUM(F19:T19)</f>
        <v>37791</v>
      </c>
      <c r="Y17" s="7"/>
      <c r="Z17" s="7">
        <f>V17-B17</f>
        <v>0</v>
      </c>
      <c r="AA17" s="7">
        <f>W17-C17</f>
        <v>0</v>
      </c>
      <c r="AB17" s="7">
        <f>X17-D17</f>
        <v>0</v>
      </c>
    </row>
    <row r="18" spans="1:28" ht="15.75" customHeight="1" x14ac:dyDescent="0.4">
      <c r="A18" s="4" t="s">
        <v>18</v>
      </c>
      <c r="B18" s="11"/>
      <c r="C18" s="11"/>
      <c r="D18" s="11"/>
      <c r="E18" s="25"/>
      <c r="F18" s="13">
        <v>6603</v>
      </c>
      <c r="G18" s="13">
        <v>7755</v>
      </c>
      <c r="H18" s="13">
        <v>5437</v>
      </c>
      <c r="I18" s="13">
        <v>5796</v>
      </c>
      <c r="J18" s="13">
        <v>5300</v>
      </c>
      <c r="K18" s="13">
        <v>7146</v>
      </c>
      <c r="L18" s="13">
        <v>5516</v>
      </c>
      <c r="M18" s="13">
        <v>8175</v>
      </c>
      <c r="N18" s="13">
        <v>4419</v>
      </c>
      <c r="O18" s="12"/>
      <c r="P18" s="12"/>
      <c r="Q18" s="12"/>
      <c r="R18" s="12"/>
      <c r="S18" s="12"/>
      <c r="T18" s="12"/>
      <c r="U18" s="28"/>
      <c r="V18" s="6"/>
      <c r="W18" s="6"/>
      <c r="X18" s="6"/>
      <c r="Y18" s="6"/>
      <c r="Z18" s="6"/>
      <c r="AA18" s="6"/>
      <c r="AB18" s="6"/>
    </row>
    <row r="19" spans="1:28" ht="15.75" customHeight="1" x14ac:dyDescent="0.4">
      <c r="A19" s="4" t="s">
        <v>19</v>
      </c>
      <c r="B19" s="11"/>
      <c r="C19" s="11"/>
      <c r="D19" s="11"/>
      <c r="E19" s="25"/>
      <c r="F19" s="13">
        <v>4780</v>
      </c>
      <c r="G19" s="13">
        <v>5060</v>
      </c>
      <c r="H19" s="13">
        <v>4297</v>
      </c>
      <c r="I19" s="13">
        <v>3643</v>
      </c>
      <c r="J19" s="13">
        <v>3979</v>
      </c>
      <c r="K19" s="13">
        <v>4717</v>
      </c>
      <c r="L19" s="13">
        <v>3652</v>
      </c>
      <c r="M19" s="13">
        <v>4699</v>
      </c>
      <c r="N19" s="13">
        <v>2964</v>
      </c>
      <c r="O19" s="12"/>
      <c r="P19" s="12"/>
      <c r="Q19" s="12"/>
      <c r="R19" s="12"/>
      <c r="S19" s="12"/>
      <c r="T19" s="12"/>
      <c r="U19" s="28"/>
      <c r="V19" s="6"/>
      <c r="W19" s="6"/>
      <c r="X19" s="6"/>
      <c r="Y19" s="6"/>
      <c r="Z19" s="6"/>
      <c r="AA19" s="6"/>
      <c r="AB19" s="6"/>
    </row>
    <row r="20" spans="1:28" ht="15.75" customHeight="1" x14ac:dyDescent="0.4">
      <c r="A20" s="3" t="s">
        <v>20</v>
      </c>
      <c r="B20" s="8">
        <v>2995133</v>
      </c>
      <c r="C20" s="8">
        <v>157321</v>
      </c>
      <c r="D20" s="8">
        <v>95868</v>
      </c>
      <c r="E20" s="24"/>
      <c r="F20" s="9">
        <v>422562</v>
      </c>
      <c r="G20" s="9">
        <v>250313</v>
      </c>
      <c r="H20" s="9">
        <v>266861</v>
      </c>
      <c r="I20" s="9">
        <v>233731</v>
      </c>
      <c r="J20" s="9">
        <v>246842</v>
      </c>
      <c r="K20" s="9">
        <v>196626</v>
      </c>
      <c r="L20" s="9">
        <v>248629</v>
      </c>
      <c r="M20" s="9">
        <v>203650</v>
      </c>
      <c r="N20" s="9">
        <v>204034</v>
      </c>
      <c r="O20" s="9">
        <v>268606</v>
      </c>
      <c r="P20" s="9">
        <v>255947</v>
      </c>
      <c r="Q20" s="9">
        <v>197332</v>
      </c>
      <c r="R20" s="10"/>
      <c r="S20" s="10"/>
      <c r="T20" s="10"/>
      <c r="U20" s="28"/>
      <c r="V20" s="7">
        <f>SUM(F20:T20)</f>
        <v>2995133</v>
      </c>
      <c r="W20" s="7">
        <f>SUM(F21:T21)</f>
        <v>157321</v>
      </c>
      <c r="X20" s="7">
        <f>SUM(F22:T22)</f>
        <v>95868</v>
      </c>
      <c r="Y20" s="7"/>
      <c r="Z20" s="7">
        <f>V20-B20</f>
        <v>0</v>
      </c>
      <c r="AA20" s="7">
        <f>W20-C20</f>
        <v>0</v>
      </c>
      <c r="AB20" s="7">
        <f>X20-D20</f>
        <v>0</v>
      </c>
    </row>
    <row r="21" spans="1:28" ht="15.75" customHeight="1" x14ac:dyDescent="0.4">
      <c r="A21" s="4" t="s">
        <v>21</v>
      </c>
      <c r="B21" s="11"/>
      <c r="C21" s="11"/>
      <c r="D21" s="11"/>
      <c r="E21" s="25"/>
      <c r="F21" s="13">
        <v>19762</v>
      </c>
      <c r="G21" s="13">
        <v>11841</v>
      </c>
      <c r="H21" s="13">
        <v>14461</v>
      </c>
      <c r="I21" s="13">
        <v>12892</v>
      </c>
      <c r="J21" s="13">
        <v>12976</v>
      </c>
      <c r="K21" s="13">
        <v>9702</v>
      </c>
      <c r="L21" s="13">
        <v>13278</v>
      </c>
      <c r="M21" s="13">
        <v>11079</v>
      </c>
      <c r="N21" s="13">
        <v>11047</v>
      </c>
      <c r="O21" s="13">
        <v>14518</v>
      </c>
      <c r="P21" s="13">
        <v>14687</v>
      </c>
      <c r="Q21" s="13">
        <v>11078</v>
      </c>
      <c r="R21" s="12"/>
      <c r="S21" s="12"/>
      <c r="T21" s="12"/>
      <c r="U21" s="28"/>
      <c r="V21" s="6"/>
      <c r="W21" s="6"/>
      <c r="X21" s="6"/>
      <c r="Y21" s="6"/>
      <c r="Z21" s="6"/>
      <c r="AA21" s="6"/>
      <c r="AB21" s="6"/>
    </row>
    <row r="22" spans="1:28" ht="15.75" customHeight="1" x14ac:dyDescent="0.4">
      <c r="A22" s="4" t="s">
        <v>22</v>
      </c>
      <c r="B22" s="11"/>
      <c r="C22" s="11"/>
      <c r="D22" s="11"/>
      <c r="E22" s="25"/>
      <c r="F22" s="13">
        <v>13294</v>
      </c>
      <c r="G22" s="13">
        <v>8201</v>
      </c>
      <c r="H22" s="13">
        <v>8387</v>
      </c>
      <c r="I22" s="13">
        <v>6980</v>
      </c>
      <c r="J22" s="13">
        <v>7585</v>
      </c>
      <c r="K22" s="13">
        <v>6575</v>
      </c>
      <c r="L22" s="13">
        <v>7974</v>
      </c>
      <c r="M22" s="13">
        <v>7192</v>
      </c>
      <c r="N22" s="13">
        <v>6399</v>
      </c>
      <c r="O22" s="13">
        <v>9380</v>
      </c>
      <c r="P22" s="13">
        <v>7141</v>
      </c>
      <c r="Q22" s="13">
        <v>6760</v>
      </c>
      <c r="R22" s="12"/>
      <c r="S22" s="12"/>
      <c r="T22" s="12"/>
      <c r="U22" s="28"/>
      <c r="V22" s="6"/>
      <c r="W22" s="6"/>
      <c r="X22" s="6"/>
      <c r="Y22" s="6"/>
      <c r="Z22" s="6"/>
      <c r="AA22" s="6"/>
      <c r="AB22" s="6"/>
    </row>
    <row r="23" spans="1:28" ht="15.75" customHeight="1" x14ac:dyDescent="0.4">
      <c r="A23" s="3" t="s">
        <v>23</v>
      </c>
      <c r="B23" s="8">
        <v>1554752</v>
      </c>
      <c r="C23" s="8">
        <v>54319</v>
      </c>
      <c r="D23" s="8">
        <v>35604</v>
      </c>
      <c r="E23" s="24"/>
      <c r="F23" s="9">
        <v>216415</v>
      </c>
      <c r="G23" s="9">
        <v>236669</v>
      </c>
      <c r="H23" s="9">
        <v>206697</v>
      </c>
      <c r="I23" s="9">
        <v>216705</v>
      </c>
      <c r="J23" s="9">
        <v>242833</v>
      </c>
      <c r="K23" s="9">
        <v>190692</v>
      </c>
      <c r="L23" s="9">
        <v>244741</v>
      </c>
      <c r="M23" s="10"/>
      <c r="N23" s="10"/>
      <c r="O23" s="10"/>
      <c r="P23" s="10"/>
      <c r="Q23" s="10"/>
      <c r="R23" s="10"/>
      <c r="S23" s="10"/>
      <c r="T23" s="10"/>
      <c r="U23" s="28"/>
      <c r="V23" s="7">
        <f>SUM(F23:T23)</f>
        <v>1554752</v>
      </c>
      <c r="W23" s="7">
        <f>SUM(F24:T24)</f>
        <v>54319</v>
      </c>
      <c r="X23" s="7">
        <f>SUM(F25:T25)</f>
        <v>35604</v>
      </c>
      <c r="Y23" s="7"/>
      <c r="Z23" s="7">
        <f>V23-B23</f>
        <v>0</v>
      </c>
      <c r="AA23" s="7">
        <f>W23-C23</f>
        <v>0</v>
      </c>
      <c r="AB23" s="7">
        <f>X23-D23</f>
        <v>0</v>
      </c>
    </row>
    <row r="24" spans="1:28" ht="15.75" customHeight="1" x14ac:dyDescent="0.4">
      <c r="A24" s="4" t="s">
        <v>24</v>
      </c>
      <c r="B24" s="11"/>
      <c r="C24" s="11"/>
      <c r="D24" s="11"/>
      <c r="E24" s="25"/>
      <c r="F24" s="13">
        <v>7637</v>
      </c>
      <c r="G24" s="13">
        <v>7995</v>
      </c>
      <c r="H24" s="13">
        <v>6522</v>
      </c>
      <c r="I24" s="13">
        <v>7577</v>
      </c>
      <c r="J24" s="13">
        <v>9454</v>
      </c>
      <c r="K24" s="13">
        <v>7043</v>
      </c>
      <c r="L24" s="13">
        <v>8091</v>
      </c>
      <c r="M24" s="12"/>
      <c r="N24" s="12"/>
      <c r="O24" s="12"/>
      <c r="P24" s="12"/>
      <c r="Q24" s="12"/>
      <c r="R24" s="12"/>
      <c r="S24" s="12"/>
      <c r="T24" s="12"/>
      <c r="U24" s="28"/>
      <c r="V24" s="6"/>
      <c r="W24" s="6"/>
      <c r="X24" s="6"/>
      <c r="Y24" s="6"/>
      <c r="Z24" s="6"/>
      <c r="AA24" s="6"/>
      <c r="AB24" s="6"/>
    </row>
    <row r="25" spans="1:28" ht="15.75" customHeight="1" x14ac:dyDescent="0.4">
      <c r="A25" s="4" t="s">
        <v>25</v>
      </c>
      <c r="B25" s="11"/>
      <c r="C25" s="11"/>
      <c r="D25" s="11"/>
      <c r="E25" s="25"/>
      <c r="F25" s="13">
        <v>4892</v>
      </c>
      <c r="G25" s="13">
        <v>5018</v>
      </c>
      <c r="H25" s="13">
        <v>4677</v>
      </c>
      <c r="I25" s="13">
        <v>5444</v>
      </c>
      <c r="J25" s="13">
        <v>6208</v>
      </c>
      <c r="K25" s="13">
        <v>4211</v>
      </c>
      <c r="L25" s="13">
        <v>5154</v>
      </c>
      <c r="M25" s="12"/>
      <c r="N25" s="12"/>
      <c r="O25" s="12"/>
      <c r="P25" s="12"/>
      <c r="Q25" s="12"/>
      <c r="R25" s="12"/>
      <c r="S25" s="12"/>
      <c r="T25" s="12"/>
      <c r="U25" s="28"/>
      <c r="V25" s="6"/>
      <c r="W25" s="6"/>
      <c r="X25" s="6"/>
      <c r="Y25" s="6"/>
      <c r="Z25" s="6"/>
      <c r="AA25" s="6"/>
      <c r="AB25" s="6"/>
    </row>
    <row r="26" spans="1:28" ht="15.75" customHeight="1" x14ac:dyDescent="0.4">
      <c r="A26" s="3" t="s">
        <v>26</v>
      </c>
      <c r="B26" s="8">
        <v>1712274</v>
      </c>
      <c r="C26" s="8">
        <v>75862</v>
      </c>
      <c r="D26" s="8">
        <v>45253</v>
      </c>
      <c r="E26" s="24"/>
      <c r="F26" s="9">
        <v>211203</v>
      </c>
      <c r="G26" s="9">
        <v>212253</v>
      </c>
      <c r="H26" s="9">
        <v>181295</v>
      </c>
      <c r="I26" s="9">
        <v>179564</v>
      </c>
      <c r="J26" s="9">
        <v>128389</v>
      </c>
      <c r="K26" s="9">
        <v>227222</v>
      </c>
      <c r="L26" s="9">
        <v>188418</v>
      </c>
      <c r="M26" s="9">
        <v>148758</v>
      </c>
      <c r="N26" s="9">
        <v>235172</v>
      </c>
      <c r="O26" s="10"/>
      <c r="P26" s="10"/>
      <c r="Q26" s="10"/>
      <c r="R26" s="10"/>
      <c r="S26" s="10"/>
      <c r="T26" s="10"/>
      <c r="U26" s="28"/>
      <c r="V26" s="7">
        <f>SUM(F26:T26)</f>
        <v>1712274</v>
      </c>
      <c r="W26" s="7">
        <f>SUM(F27:T27)</f>
        <v>75862</v>
      </c>
      <c r="X26" s="7">
        <f>SUM(F28:T28)</f>
        <v>45253</v>
      </c>
      <c r="Y26" s="7"/>
      <c r="Z26" s="7">
        <f>V26-B26</f>
        <v>0</v>
      </c>
      <c r="AA26" s="7">
        <f>W26-C26</f>
        <v>0</v>
      </c>
      <c r="AB26" s="7">
        <f>X26-D26</f>
        <v>0</v>
      </c>
    </row>
    <row r="27" spans="1:28" ht="15.75" customHeight="1" x14ac:dyDescent="0.4">
      <c r="A27" s="4" t="s">
        <v>27</v>
      </c>
      <c r="B27" s="11"/>
      <c r="C27" s="11"/>
      <c r="D27" s="11"/>
      <c r="E27" s="25"/>
      <c r="F27" s="13">
        <v>8412</v>
      </c>
      <c r="G27" s="13">
        <v>9372</v>
      </c>
      <c r="H27" s="13">
        <v>8518</v>
      </c>
      <c r="I27" s="13">
        <v>8443</v>
      </c>
      <c r="J27" s="13">
        <v>6926</v>
      </c>
      <c r="K27" s="13">
        <v>8522</v>
      </c>
      <c r="L27" s="13">
        <v>8444</v>
      </c>
      <c r="M27" s="13">
        <v>8756</v>
      </c>
      <c r="N27" s="13">
        <v>8469</v>
      </c>
      <c r="O27" s="12"/>
      <c r="P27" s="12"/>
      <c r="Q27" s="12"/>
      <c r="R27" s="12"/>
      <c r="S27" s="12"/>
      <c r="T27" s="12"/>
      <c r="U27" s="28"/>
      <c r="V27" s="6"/>
      <c r="W27" s="6"/>
      <c r="X27" s="6"/>
      <c r="Y27" s="6"/>
      <c r="Z27" s="6"/>
      <c r="AA27" s="6"/>
      <c r="AB27" s="6"/>
    </row>
    <row r="28" spans="1:28" ht="15.75" customHeight="1" x14ac:dyDescent="0.4">
      <c r="A28" s="4" t="s">
        <v>28</v>
      </c>
      <c r="B28" s="11"/>
      <c r="C28" s="11"/>
      <c r="D28" s="11"/>
      <c r="E28" s="25"/>
      <c r="F28" s="13">
        <v>4989</v>
      </c>
      <c r="G28" s="13">
        <v>4733</v>
      </c>
      <c r="H28" s="13">
        <v>4748</v>
      </c>
      <c r="I28" s="13">
        <v>4568</v>
      </c>
      <c r="J28" s="13">
        <v>3716</v>
      </c>
      <c r="K28" s="13">
        <v>5646</v>
      </c>
      <c r="L28" s="13">
        <v>4708</v>
      </c>
      <c r="M28" s="13">
        <v>5739</v>
      </c>
      <c r="N28" s="13">
        <v>6406</v>
      </c>
      <c r="O28" s="12"/>
      <c r="P28" s="12"/>
      <c r="Q28" s="12"/>
      <c r="R28" s="12"/>
      <c r="S28" s="12"/>
      <c r="T28" s="12"/>
      <c r="U28" s="28"/>
      <c r="V28" s="6"/>
      <c r="W28" s="6"/>
      <c r="X28" s="6"/>
      <c r="Y28" s="6"/>
      <c r="Z28" s="6"/>
      <c r="AA28" s="6"/>
      <c r="AB28" s="6"/>
    </row>
    <row r="29" spans="1:28" ht="15.75" customHeight="1" x14ac:dyDescent="0.4">
      <c r="A29" s="3" t="s">
        <v>29</v>
      </c>
      <c r="B29" s="8">
        <v>1326468</v>
      </c>
      <c r="C29" s="8">
        <v>69060</v>
      </c>
      <c r="D29" s="8">
        <v>33339</v>
      </c>
      <c r="E29" s="24"/>
      <c r="F29" s="9">
        <v>145332</v>
      </c>
      <c r="G29" s="9">
        <v>93080</v>
      </c>
      <c r="H29" s="9">
        <v>192129</v>
      </c>
      <c r="I29" s="9">
        <v>95200</v>
      </c>
      <c r="J29" s="9">
        <v>116482</v>
      </c>
      <c r="K29" s="9">
        <v>78572</v>
      </c>
      <c r="L29" s="9">
        <v>122851</v>
      </c>
      <c r="M29" s="9">
        <v>162724</v>
      </c>
      <c r="N29" s="9">
        <v>126588</v>
      </c>
      <c r="O29" s="9">
        <v>72677</v>
      </c>
      <c r="P29" s="9">
        <v>120833</v>
      </c>
      <c r="Q29" s="10"/>
      <c r="R29" s="10"/>
      <c r="S29" s="10"/>
      <c r="T29" s="10"/>
      <c r="U29" s="28"/>
      <c r="V29" s="7">
        <f>SUM(F29:T29)</f>
        <v>1326468</v>
      </c>
      <c r="W29" s="7">
        <f>SUM(F30:T30)</f>
        <v>69060</v>
      </c>
      <c r="X29" s="7">
        <f>SUM(F31:T31)</f>
        <v>33339</v>
      </c>
      <c r="Y29" s="7"/>
      <c r="Z29" s="7">
        <f>V29-B29</f>
        <v>0</v>
      </c>
      <c r="AA29" s="7">
        <f>W29-C29</f>
        <v>0</v>
      </c>
      <c r="AB29" s="7">
        <f>X29-D29</f>
        <v>0</v>
      </c>
    </row>
    <row r="30" spans="1:28" ht="15.75" customHeight="1" x14ac:dyDescent="0.4">
      <c r="A30" s="4" t="s">
        <v>30</v>
      </c>
      <c r="B30" s="11"/>
      <c r="C30" s="11"/>
      <c r="D30" s="11"/>
      <c r="E30" s="25"/>
      <c r="F30" s="13">
        <v>5767</v>
      </c>
      <c r="G30" s="13">
        <v>5268</v>
      </c>
      <c r="H30" s="13">
        <v>9746</v>
      </c>
      <c r="I30" s="13">
        <v>5081</v>
      </c>
      <c r="J30" s="13">
        <v>5962</v>
      </c>
      <c r="K30" s="13">
        <v>4488</v>
      </c>
      <c r="L30" s="13">
        <v>7139</v>
      </c>
      <c r="M30" s="13">
        <v>9802</v>
      </c>
      <c r="N30" s="13">
        <v>5991</v>
      </c>
      <c r="O30" s="13">
        <v>3416</v>
      </c>
      <c r="P30" s="13">
        <v>6400</v>
      </c>
      <c r="Q30" s="12"/>
      <c r="R30" s="12"/>
      <c r="S30" s="12"/>
      <c r="T30" s="12"/>
      <c r="U30" s="28"/>
      <c r="V30" s="6"/>
      <c r="W30" s="6"/>
      <c r="X30" s="6"/>
      <c r="Y30" s="6"/>
      <c r="Z30" s="6"/>
      <c r="AA30" s="6"/>
      <c r="AB30" s="6"/>
    </row>
    <row r="31" spans="1:28" ht="15.75" customHeight="1" x14ac:dyDescent="0.4">
      <c r="A31" s="4" t="s">
        <v>31</v>
      </c>
      <c r="B31" s="11"/>
      <c r="C31" s="11"/>
      <c r="D31" s="11"/>
      <c r="E31" s="25"/>
      <c r="F31" s="13">
        <v>2978</v>
      </c>
      <c r="G31" s="13">
        <v>2636</v>
      </c>
      <c r="H31" s="13">
        <v>4618</v>
      </c>
      <c r="I31" s="13">
        <v>2494</v>
      </c>
      <c r="J31" s="13">
        <v>2688</v>
      </c>
      <c r="K31" s="13">
        <v>2098</v>
      </c>
      <c r="L31" s="13">
        <v>3930</v>
      </c>
      <c r="M31" s="13">
        <v>3843</v>
      </c>
      <c r="N31" s="13">
        <v>3117</v>
      </c>
      <c r="O31" s="13">
        <v>1988</v>
      </c>
      <c r="P31" s="13">
        <v>2949</v>
      </c>
      <c r="Q31" s="12"/>
      <c r="R31" s="12"/>
      <c r="S31" s="12"/>
      <c r="T31" s="12"/>
      <c r="U31" s="28"/>
      <c r="V31" s="6"/>
      <c r="W31" s="6"/>
      <c r="X31" s="6"/>
      <c r="Y31" s="6"/>
      <c r="Z31" s="6"/>
      <c r="AA31" s="6"/>
      <c r="AB31" s="6"/>
    </row>
    <row r="32" spans="1:28" ht="15.75" customHeight="1" x14ac:dyDescent="0.4">
      <c r="A32" s="3" t="s">
        <v>32</v>
      </c>
      <c r="B32" s="8">
        <v>1337913</v>
      </c>
      <c r="C32" s="8">
        <v>81236</v>
      </c>
      <c r="D32" s="8">
        <v>49862</v>
      </c>
      <c r="E32" s="24"/>
      <c r="F32" s="9">
        <v>461718</v>
      </c>
      <c r="G32" s="9">
        <v>177500</v>
      </c>
      <c r="H32" s="9">
        <v>173489</v>
      </c>
      <c r="I32" s="9">
        <v>152299</v>
      </c>
      <c r="J32" s="9">
        <v>372907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28"/>
      <c r="V32" s="7">
        <f>SUM(F32:T32)</f>
        <v>1337913</v>
      </c>
      <c r="W32" s="7">
        <f>SUM(F33:T33)</f>
        <v>81236</v>
      </c>
      <c r="X32" s="7">
        <f>SUM(F34:T34)</f>
        <v>49862</v>
      </c>
      <c r="Y32" s="7"/>
      <c r="Z32" s="7">
        <f>V32-B32</f>
        <v>0</v>
      </c>
      <c r="AA32" s="7">
        <f>W32-C32</f>
        <v>0</v>
      </c>
      <c r="AB32" s="7">
        <f>X32-D32</f>
        <v>0</v>
      </c>
    </row>
    <row r="33" spans="1:28" ht="15.75" customHeight="1" x14ac:dyDescent="0.4">
      <c r="A33" s="4" t="s">
        <v>33</v>
      </c>
      <c r="B33" s="11"/>
      <c r="C33" s="11"/>
      <c r="D33" s="11"/>
      <c r="E33" s="25"/>
      <c r="F33" s="13">
        <v>28426</v>
      </c>
      <c r="G33" s="13">
        <v>10683</v>
      </c>
      <c r="H33" s="13">
        <v>10052</v>
      </c>
      <c r="I33" s="13">
        <v>10408</v>
      </c>
      <c r="J33" s="13">
        <v>21667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28"/>
      <c r="V33" s="6"/>
      <c r="W33" s="6"/>
      <c r="X33" s="6"/>
      <c r="Y33" s="6"/>
      <c r="Z33" s="6"/>
      <c r="AA33" s="6"/>
      <c r="AB33" s="6"/>
    </row>
    <row r="34" spans="1:28" ht="15.75" customHeight="1" x14ac:dyDescent="0.4">
      <c r="A34" s="4" t="s">
        <v>34</v>
      </c>
      <c r="B34" s="11"/>
      <c r="C34" s="11"/>
      <c r="D34" s="11"/>
      <c r="E34" s="25"/>
      <c r="F34" s="13">
        <v>15535</v>
      </c>
      <c r="G34" s="13">
        <v>7915</v>
      </c>
      <c r="H34" s="13">
        <v>5912</v>
      </c>
      <c r="I34" s="13">
        <v>6732</v>
      </c>
      <c r="J34" s="13">
        <v>13768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28"/>
      <c r="V34" s="6"/>
      <c r="W34" s="6"/>
      <c r="X34" s="6"/>
      <c r="Y34" s="6"/>
      <c r="Z34" s="6"/>
      <c r="AA34" s="6"/>
      <c r="AB34" s="6"/>
    </row>
    <row r="35" spans="1:28" ht="15.75" customHeight="1" x14ac:dyDescent="0.4">
      <c r="A35" s="3" t="s">
        <v>35</v>
      </c>
      <c r="B35" s="8">
        <v>2500435</v>
      </c>
      <c r="C35" s="8">
        <v>124380</v>
      </c>
      <c r="D35" s="8">
        <v>81485</v>
      </c>
      <c r="E35" s="24"/>
      <c r="F35" s="15" t="s">
        <v>6</v>
      </c>
      <c r="G35" s="15" t="s">
        <v>6</v>
      </c>
      <c r="H35" s="15" t="s">
        <v>6</v>
      </c>
      <c r="I35" s="15" t="s">
        <v>6</v>
      </c>
      <c r="J35" s="15" t="s">
        <v>6</v>
      </c>
      <c r="K35" s="15" t="s">
        <v>6</v>
      </c>
      <c r="L35" s="15" t="s">
        <v>6</v>
      </c>
      <c r="M35" s="15" t="s">
        <v>6</v>
      </c>
      <c r="N35" s="15" t="s">
        <v>6</v>
      </c>
      <c r="O35" s="15" t="s">
        <v>6</v>
      </c>
      <c r="P35" s="15" t="s">
        <v>6</v>
      </c>
      <c r="Q35" s="15" t="s">
        <v>6</v>
      </c>
      <c r="R35" s="10"/>
      <c r="S35" s="10"/>
      <c r="T35" s="10"/>
      <c r="U35" s="28"/>
      <c r="V35" s="7">
        <f>SUM(F35:T35)</f>
        <v>0</v>
      </c>
      <c r="W35" s="7">
        <f>SUM(F36:T36)</f>
        <v>124400</v>
      </c>
      <c r="X35" s="7">
        <f>SUM(F37:T37)</f>
        <v>81583</v>
      </c>
      <c r="Y35" s="7"/>
      <c r="Z35" s="7"/>
      <c r="AA35" s="7">
        <f>W35-C35</f>
        <v>20</v>
      </c>
      <c r="AB35" s="7">
        <f>X35-D35</f>
        <v>98</v>
      </c>
    </row>
    <row r="36" spans="1:28" ht="15.75" customHeight="1" x14ac:dyDescent="0.4">
      <c r="A36" s="4" t="s">
        <v>36</v>
      </c>
      <c r="B36" s="11"/>
      <c r="C36" s="11"/>
      <c r="D36" s="11"/>
      <c r="E36" s="25"/>
      <c r="F36" s="13">
        <v>10194</v>
      </c>
      <c r="G36" s="13">
        <v>16469</v>
      </c>
      <c r="H36" s="13">
        <v>10583</v>
      </c>
      <c r="I36" s="13">
        <v>9801</v>
      </c>
      <c r="J36" s="13">
        <v>10703</v>
      </c>
      <c r="K36" s="13">
        <v>7116</v>
      </c>
      <c r="L36" s="13">
        <v>8642</v>
      </c>
      <c r="M36" s="13">
        <v>9256</v>
      </c>
      <c r="N36" s="13">
        <v>9152</v>
      </c>
      <c r="O36" s="13">
        <v>12204</v>
      </c>
      <c r="P36" s="13">
        <v>9244</v>
      </c>
      <c r="Q36" s="13">
        <v>11036</v>
      </c>
      <c r="R36" s="12"/>
      <c r="S36" s="12"/>
      <c r="T36" s="12"/>
      <c r="U36" s="28"/>
      <c r="V36" s="6"/>
      <c r="W36" s="6"/>
      <c r="X36" s="6"/>
      <c r="Y36" s="6"/>
      <c r="Z36" s="6"/>
      <c r="AA36" s="6"/>
      <c r="AB36" s="6"/>
    </row>
    <row r="37" spans="1:28" ht="15.75" customHeight="1" x14ac:dyDescent="0.4">
      <c r="A37" s="4" t="s">
        <v>37</v>
      </c>
      <c r="B37" s="11"/>
      <c r="C37" s="11"/>
      <c r="D37" s="11"/>
      <c r="E37" s="25"/>
      <c r="F37" s="13">
        <v>6425</v>
      </c>
      <c r="G37" s="13">
        <v>10389</v>
      </c>
      <c r="H37" s="13">
        <v>7820</v>
      </c>
      <c r="I37" s="13">
        <v>6176</v>
      </c>
      <c r="J37" s="13">
        <v>6888</v>
      </c>
      <c r="K37" s="13">
        <v>5183</v>
      </c>
      <c r="L37" s="13">
        <v>6161</v>
      </c>
      <c r="M37" s="13">
        <v>6546</v>
      </c>
      <c r="N37" s="13">
        <v>6247</v>
      </c>
      <c r="O37" s="13">
        <v>6598</v>
      </c>
      <c r="P37" s="13">
        <v>6394</v>
      </c>
      <c r="Q37" s="13">
        <v>6756</v>
      </c>
      <c r="R37" s="12"/>
      <c r="S37" s="12"/>
      <c r="T37" s="12"/>
      <c r="U37" s="28"/>
      <c r="V37" s="6"/>
      <c r="W37" s="6"/>
      <c r="X37" s="6"/>
      <c r="Y37" s="6"/>
      <c r="Z37" s="6"/>
      <c r="AA37" s="6"/>
      <c r="AB37" s="6"/>
    </row>
    <row r="38" spans="1:28" ht="15.75" customHeight="1" x14ac:dyDescent="0.4">
      <c r="A38" s="19" t="s">
        <v>38</v>
      </c>
      <c r="B38" s="20">
        <v>18858326</v>
      </c>
      <c r="C38" s="20">
        <v>887317</v>
      </c>
      <c r="D38" s="20">
        <v>553285</v>
      </c>
      <c r="E38" s="24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8"/>
      <c r="V38" s="22"/>
      <c r="W38" s="22"/>
      <c r="X38" s="22"/>
      <c r="Y38" s="22"/>
      <c r="Z38" s="22"/>
      <c r="AA38" s="22"/>
      <c r="AB38" s="22"/>
    </row>
    <row r="39" spans="1:28" ht="15.75" customHeight="1" x14ac:dyDescent="0.4">
      <c r="A39" s="3" t="s">
        <v>39</v>
      </c>
      <c r="B39" s="8">
        <v>1030571</v>
      </c>
      <c r="C39" s="8">
        <v>43631</v>
      </c>
      <c r="D39" s="8">
        <v>25802</v>
      </c>
      <c r="E39" s="24"/>
      <c r="F39" s="9">
        <v>111259</v>
      </c>
      <c r="G39" s="9">
        <v>100546</v>
      </c>
      <c r="H39" s="9">
        <v>77361</v>
      </c>
      <c r="I39" s="9">
        <v>102857</v>
      </c>
      <c r="J39" s="9">
        <v>82631</v>
      </c>
      <c r="K39" s="9">
        <v>79681</v>
      </c>
      <c r="L39" s="9">
        <v>82000</v>
      </c>
      <c r="M39" s="9">
        <v>77332</v>
      </c>
      <c r="N39" s="9">
        <v>111674</v>
      </c>
      <c r="O39" s="9">
        <v>59930</v>
      </c>
      <c r="P39" s="9">
        <v>47562</v>
      </c>
      <c r="Q39" s="9">
        <v>98748</v>
      </c>
      <c r="R39" s="10"/>
      <c r="S39" s="10"/>
      <c r="T39" s="10"/>
      <c r="U39" s="28"/>
      <c r="V39" s="7">
        <f>SUM(F39:T39)</f>
        <v>1031581</v>
      </c>
      <c r="W39" s="7">
        <f>SUM(F40:T40)</f>
        <v>43631</v>
      </c>
      <c r="X39" s="7">
        <f>SUM(F41:T41)</f>
        <v>25712</v>
      </c>
      <c r="Y39" s="7"/>
      <c r="Z39" s="7">
        <f>V39-B39</f>
        <v>1010</v>
      </c>
      <c r="AA39" s="7">
        <f>W39-C39</f>
        <v>0</v>
      </c>
      <c r="AB39" s="7">
        <f>X39-D39</f>
        <v>-90</v>
      </c>
    </row>
    <row r="40" spans="1:28" ht="15.75" customHeight="1" x14ac:dyDescent="0.4">
      <c r="A40" s="4" t="s">
        <v>40</v>
      </c>
      <c r="B40" s="11"/>
      <c r="C40" s="11"/>
      <c r="D40" s="11"/>
      <c r="E40" s="25"/>
      <c r="F40" s="13">
        <v>6596</v>
      </c>
      <c r="G40" s="13">
        <v>4257</v>
      </c>
      <c r="H40" s="13">
        <v>4011</v>
      </c>
      <c r="I40" s="13">
        <v>3984</v>
      </c>
      <c r="J40" s="13">
        <v>3746</v>
      </c>
      <c r="K40" s="13">
        <v>3721</v>
      </c>
      <c r="L40" s="13">
        <v>3309</v>
      </c>
      <c r="M40" s="13">
        <v>3577</v>
      </c>
      <c r="N40" s="13">
        <v>2697</v>
      </c>
      <c r="O40" s="13">
        <v>2327</v>
      </c>
      <c r="P40" s="13">
        <v>1991</v>
      </c>
      <c r="Q40" s="13">
        <v>3415</v>
      </c>
      <c r="R40" s="12"/>
      <c r="S40" s="12"/>
      <c r="T40" s="12"/>
      <c r="U40" s="28"/>
      <c r="V40" s="6"/>
      <c r="W40" s="6"/>
      <c r="X40" s="6"/>
      <c r="Y40" s="6"/>
      <c r="Z40" s="6"/>
      <c r="AA40" s="6"/>
      <c r="AB40" s="6"/>
    </row>
    <row r="41" spans="1:28" ht="15.75" customHeight="1" x14ac:dyDescent="0.4">
      <c r="A41" s="4" t="s">
        <v>41</v>
      </c>
      <c r="B41" s="11"/>
      <c r="C41" s="11"/>
      <c r="D41" s="11"/>
      <c r="E41" s="25"/>
      <c r="F41" s="13">
        <v>4484</v>
      </c>
      <c r="G41" s="13">
        <v>2243</v>
      </c>
      <c r="H41" s="13">
        <v>2444</v>
      </c>
      <c r="I41" s="13">
        <v>2759</v>
      </c>
      <c r="J41" s="13">
        <v>2006</v>
      </c>
      <c r="K41" s="13">
        <v>1919</v>
      </c>
      <c r="L41" s="13">
        <v>2024</v>
      </c>
      <c r="M41" s="13">
        <v>2124</v>
      </c>
      <c r="N41" s="13">
        <v>1428</v>
      </c>
      <c r="O41" s="13">
        <v>1228</v>
      </c>
      <c r="P41" s="13">
        <v>1287</v>
      </c>
      <c r="Q41" s="13">
        <v>1766</v>
      </c>
      <c r="R41" s="12"/>
      <c r="S41" s="12"/>
      <c r="T41" s="12"/>
      <c r="U41" s="28"/>
      <c r="V41" s="6"/>
      <c r="W41" s="6"/>
      <c r="X41" s="6"/>
      <c r="Y41" s="6"/>
      <c r="Z41" s="6"/>
      <c r="AA41" s="6"/>
      <c r="AB41" s="6"/>
    </row>
    <row r="42" spans="1:28" ht="15.75" customHeight="1" x14ac:dyDescent="0.4">
      <c r="A42" s="3" t="s">
        <v>42</v>
      </c>
      <c r="B42" s="8">
        <v>444814</v>
      </c>
      <c r="C42" s="8">
        <v>17569</v>
      </c>
      <c r="D42" s="8">
        <v>11042</v>
      </c>
      <c r="E42" s="24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28"/>
      <c r="V42" s="7"/>
      <c r="W42" s="7"/>
      <c r="X42" s="7"/>
      <c r="Y42" s="7"/>
      <c r="Z42" s="7"/>
      <c r="AA42" s="7"/>
      <c r="AB42" s="7"/>
    </row>
    <row r="43" spans="1:28" ht="15.75" customHeight="1" x14ac:dyDescent="0.4">
      <c r="A43" s="3" t="s">
        <v>43</v>
      </c>
      <c r="B43" s="8">
        <v>844446</v>
      </c>
      <c r="C43" s="8">
        <v>32320</v>
      </c>
      <c r="D43" s="8">
        <v>22301</v>
      </c>
      <c r="E43" s="24"/>
      <c r="F43" s="9">
        <v>114288</v>
      </c>
      <c r="G43" s="9">
        <v>127030</v>
      </c>
      <c r="H43" s="9">
        <v>103558</v>
      </c>
      <c r="I43" s="9">
        <v>86407</v>
      </c>
      <c r="J43" s="9">
        <v>109633</v>
      </c>
      <c r="K43" s="9">
        <v>82946</v>
      </c>
      <c r="L43" s="9">
        <v>123714</v>
      </c>
      <c r="M43" s="9">
        <v>96870</v>
      </c>
      <c r="N43" s="10"/>
      <c r="O43" s="10"/>
      <c r="P43" s="10"/>
      <c r="Q43" s="10"/>
      <c r="R43" s="10"/>
      <c r="S43" s="10"/>
      <c r="T43" s="10"/>
      <c r="U43" s="28"/>
      <c r="V43" s="7">
        <f>SUM(F43:T43)</f>
        <v>844446</v>
      </c>
      <c r="W43" s="7">
        <f>SUM(F44:T44)</f>
        <v>32320</v>
      </c>
      <c r="X43" s="7">
        <f>SUM(F45:T45)</f>
        <v>22301</v>
      </c>
      <c r="Y43" s="7"/>
      <c r="Z43" s="7">
        <f>V43-B43</f>
        <v>0</v>
      </c>
      <c r="AA43" s="7">
        <f>W43-C43</f>
        <v>0</v>
      </c>
      <c r="AB43" s="7">
        <f>X43-D43</f>
        <v>0</v>
      </c>
    </row>
    <row r="44" spans="1:28" ht="15.75" customHeight="1" x14ac:dyDescent="0.4">
      <c r="A44" s="4" t="s">
        <v>44</v>
      </c>
      <c r="B44" s="11"/>
      <c r="C44" s="11"/>
      <c r="D44" s="11"/>
      <c r="E44" s="25"/>
      <c r="F44" s="13">
        <v>4402</v>
      </c>
      <c r="G44" s="13">
        <v>3464</v>
      </c>
      <c r="H44" s="13">
        <v>4545</v>
      </c>
      <c r="I44" s="13">
        <v>3607</v>
      </c>
      <c r="J44" s="13">
        <v>4491</v>
      </c>
      <c r="K44" s="13">
        <v>3796</v>
      </c>
      <c r="L44" s="13">
        <v>3949</v>
      </c>
      <c r="M44" s="13">
        <v>4066</v>
      </c>
      <c r="N44" s="12"/>
      <c r="O44" s="12"/>
      <c r="P44" s="12"/>
      <c r="Q44" s="12"/>
      <c r="R44" s="12"/>
      <c r="S44" s="12"/>
      <c r="T44" s="12"/>
      <c r="U44" s="28"/>
      <c r="V44" s="6"/>
      <c r="W44" s="6"/>
      <c r="X44" s="6"/>
      <c r="Y44" s="6"/>
      <c r="Z44" s="6"/>
      <c r="AA44" s="6"/>
      <c r="AB44" s="6"/>
    </row>
    <row r="45" spans="1:28" ht="15.75" customHeight="1" x14ac:dyDescent="0.4">
      <c r="A45" s="4" t="s">
        <v>45</v>
      </c>
      <c r="B45" s="11"/>
      <c r="C45" s="11"/>
      <c r="D45" s="11"/>
      <c r="E45" s="25"/>
      <c r="F45" s="13">
        <v>2857</v>
      </c>
      <c r="G45" s="13">
        <v>2693</v>
      </c>
      <c r="H45" s="13">
        <v>4235</v>
      </c>
      <c r="I45" s="13">
        <v>2393</v>
      </c>
      <c r="J45" s="13">
        <v>2709</v>
      </c>
      <c r="K45" s="13">
        <v>2693</v>
      </c>
      <c r="L45" s="13">
        <v>2279</v>
      </c>
      <c r="M45" s="13">
        <v>2442</v>
      </c>
      <c r="N45" s="12"/>
      <c r="O45" s="12"/>
      <c r="P45" s="12"/>
      <c r="Q45" s="12"/>
      <c r="R45" s="12"/>
      <c r="S45" s="12"/>
      <c r="T45" s="12"/>
      <c r="U45" s="28"/>
      <c r="V45" s="6"/>
      <c r="W45" s="6"/>
      <c r="X45" s="6"/>
      <c r="Y45" s="6"/>
      <c r="Z45" s="6"/>
      <c r="AA45" s="6"/>
      <c r="AB45" s="6"/>
    </row>
    <row r="46" spans="1:28" ht="15.75" customHeight="1" x14ac:dyDescent="0.4">
      <c r="A46" s="3" t="s">
        <v>46</v>
      </c>
      <c r="B46" s="8">
        <v>706860</v>
      </c>
      <c r="C46" s="8">
        <v>29051</v>
      </c>
      <c r="D46" s="8">
        <v>15256</v>
      </c>
      <c r="E46" s="24"/>
      <c r="F46" s="9">
        <v>126248</v>
      </c>
      <c r="G46" s="9">
        <v>70432</v>
      </c>
      <c r="H46" s="9">
        <v>71427</v>
      </c>
      <c r="I46" s="9">
        <v>102059</v>
      </c>
      <c r="J46" s="9">
        <v>108312</v>
      </c>
      <c r="K46" s="9">
        <v>104258</v>
      </c>
      <c r="L46" s="9">
        <v>124124</v>
      </c>
      <c r="M46" s="10"/>
      <c r="N46" s="10"/>
      <c r="O46" s="10"/>
      <c r="P46" s="10"/>
      <c r="Q46" s="10"/>
      <c r="R46" s="10"/>
      <c r="S46" s="10"/>
      <c r="T46" s="10"/>
      <c r="U46" s="28"/>
      <c r="V46" s="7">
        <f>SUM(F46:T46)</f>
        <v>706860</v>
      </c>
      <c r="W46" s="7">
        <f>SUM(F47:T47)</f>
        <v>29051</v>
      </c>
      <c r="X46" s="7">
        <f>SUM(F48:T48)</f>
        <v>15256</v>
      </c>
      <c r="Y46" s="7"/>
      <c r="Z46" s="7">
        <f>V46-B46</f>
        <v>0</v>
      </c>
      <c r="AA46" s="7">
        <f>W46-C46</f>
        <v>0</v>
      </c>
      <c r="AB46" s="7">
        <f>X46-D46</f>
        <v>0</v>
      </c>
    </row>
    <row r="47" spans="1:28" ht="15.75" customHeight="1" x14ac:dyDescent="0.4">
      <c r="A47" s="4" t="s">
        <v>47</v>
      </c>
      <c r="B47" s="11"/>
      <c r="C47" s="11"/>
      <c r="D47" s="11"/>
      <c r="E47" s="25"/>
      <c r="F47" s="13">
        <v>5347</v>
      </c>
      <c r="G47" s="13">
        <v>2703</v>
      </c>
      <c r="H47" s="13">
        <v>3235</v>
      </c>
      <c r="I47" s="13">
        <v>4091</v>
      </c>
      <c r="J47" s="13">
        <v>4584</v>
      </c>
      <c r="K47" s="13">
        <v>3826</v>
      </c>
      <c r="L47" s="13">
        <v>5265</v>
      </c>
      <c r="M47" s="12"/>
      <c r="N47" s="12"/>
      <c r="O47" s="12"/>
      <c r="P47" s="12"/>
      <c r="Q47" s="12"/>
      <c r="R47" s="12"/>
      <c r="S47" s="12"/>
      <c r="T47" s="12"/>
      <c r="U47" s="28"/>
      <c r="V47" s="6"/>
      <c r="W47" s="6"/>
      <c r="X47" s="6"/>
      <c r="Y47" s="6"/>
      <c r="Z47" s="6"/>
      <c r="AA47" s="6"/>
      <c r="AB47" s="6"/>
    </row>
    <row r="48" spans="1:28" ht="14.4" x14ac:dyDescent="0.4">
      <c r="A48" s="4" t="s">
        <v>48</v>
      </c>
      <c r="B48" s="11"/>
      <c r="C48" s="11"/>
      <c r="D48" s="11"/>
      <c r="E48" s="25"/>
      <c r="F48" s="13">
        <v>3226</v>
      </c>
      <c r="G48" s="13">
        <v>1325</v>
      </c>
      <c r="H48" s="13">
        <v>1797</v>
      </c>
      <c r="I48" s="13">
        <v>1754</v>
      </c>
      <c r="J48" s="13">
        <v>2529</v>
      </c>
      <c r="K48" s="13">
        <v>2001</v>
      </c>
      <c r="L48" s="13">
        <v>2624</v>
      </c>
      <c r="M48" s="12"/>
      <c r="N48" s="12"/>
      <c r="O48" s="12"/>
      <c r="P48" s="12"/>
      <c r="Q48" s="12"/>
      <c r="R48" s="12"/>
      <c r="S48" s="12"/>
      <c r="T48" s="12"/>
      <c r="U48" s="28"/>
      <c r="V48" s="6"/>
      <c r="W48" s="6"/>
      <c r="X48" s="6"/>
      <c r="Y48" s="6"/>
      <c r="Z48" s="6"/>
      <c r="AA48" s="6"/>
      <c r="AB48" s="6"/>
    </row>
    <row r="49" spans="1:28" ht="14.4" x14ac:dyDescent="0.4">
      <c r="A49" s="3" t="s">
        <v>49</v>
      </c>
      <c r="B49" s="8">
        <v>611798</v>
      </c>
      <c r="C49" s="8">
        <v>24364</v>
      </c>
      <c r="D49" s="8">
        <v>17620</v>
      </c>
      <c r="E49" s="24"/>
      <c r="F49" s="9">
        <v>97541</v>
      </c>
      <c r="G49" s="9">
        <v>75441</v>
      </c>
      <c r="H49" s="9">
        <v>73463</v>
      </c>
      <c r="I49" s="9">
        <v>57453</v>
      </c>
      <c r="J49" s="9">
        <v>83168</v>
      </c>
      <c r="K49" s="9">
        <v>73926</v>
      </c>
      <c r="L49" s="9">
        <v>87334</v>
      </c>
      <c r="M49" s="9">
        <v>63467</v>
      </c>
      <c r="N49" s="10"/>
      <c r="O49" s="10"/>
      <c r="P49" s="10"/>
      <c r="Q49" s="10"/>
      <c r="R49" s="10"/>
      <c r="S49" s="10"/>
      <c r="T49" s="10"/>
      <c r="U49" s="28"/>
      <c r="V49" s="7">
        <f>SUM(F49:T49)</f>
        <v>611793</v>
      </c>
      <c r="W49" s="7">
        <f>SUM(F50:T50)</f>
        <v>24364</v>
      </c>
      <c r="X49" s="7">
        <f>SUM(F51:T51)</f>
        <v>17660</v>
      </c>
      <c r="Y49" s="7"/>
      <c r="Z49" s="7">
        <f>V49-B49</f>
        <v>-5</v>
      </c>
      <c r="AA49" s="7">
        <f>W49-C49</f>
        <v>0</v>
      </c>
      <c r="AB49" s="7">
        <f>X49-D49</f>
        <v>40</v>
      </c>
    </row>
    <row r="50" spans="1:28" ht="14.4" x14ac:dyDescent="0.4">
      <c r="A50" s="4" t="s">
        <v>50</v>
      </c>
      <c r="B50" s="11"/>
      <c r="C50" s="11"/>
      <c r="D50" s="11"/>
      <c r="E50" s="25"/>
      <c r="F50" s="13">
        <v>3853</v>
      </c>
      <c r="G50" s="13">
        <v>3541</v>
      </c>
      <c r="H50" s="13">
        <v>2461</v>
      </c>
      <c r="I50" s="13">
        <v>2070</v>
      </c>
      <c r="J50" s="13">
        <v>2687</v>
      </c>
      <c r="K50" s="13">
        <v>3525</v>
      </c>
      <c r="L50" s="13">
        <v>3646</v>
      </c>
      <c r="M50" s="13">
        <v>2581</v>
      </c>
      <c r="N50" s="12"/>
      <c r="O50" s="12"/>
      <c r="P50" s="12"/>
      <c r="Q50" s="12"/>
      <c r="R50" s="12"/>
      <c r="S50" s="12"/>
      <c r="T50" s="12"/>
      <c r="U50" s="28"/>
      <c r="V50" s="6"/>
      <c r="W50" s="6"/>
      <c r="X50" s="6"/>
      <c r="Y50" s="6"/>
      <c r="Z50" s="6"/>
      <c r="AA50" s="6"/>
      <c r="AB50" s="6"/>
    </row>
    <row r="51" spans="1:28" ht="14.4" x14ac:dyDescent="0.4">
      <c r="A51" s="4" t="s">
        <v>51</v>
      </c>
      <c r="B51" s="11"/>
      <c r="C51" s="11"/>
      <c r="D51" s="11"/>
      <c r="E51" s="25"/>
      <c r="F51" s="13">
        <v>2971</v>
      </c>
      <c r="G51" s="13">
        <v>2748</v>
      </c>
      <c r="H51" s="13">
        <v>2148</v>
      </c>
      <c r="I51" s="13">
        <v>1233</v>
      </c>
      <c r="J51" s="13">
        <v>1975</v>
      </c>
      <c r="K51" s="13">
        <v>2164</v>
      </c>
      <c r="L51" s="13">
        <v>2779</v>
      </c>
      <c r="M51" s="13">
        <v>1642</v>
      </c>
      <c r="N51" s="12"/>
      <c r="O51" s="12"/>
      <c r="P51" s="12"/>
      <c r="Q51" s="12"/>
      <c r="R51" s="12"/>
      <c r="S51" s="12"/>
      <c r="T51" s="12"/>
      <c r="U51" s="28"/>
      <c r="V51" s="6"/>
      <c r="W51" s="6"/>
      <c r="X51" s="6"/>
      <c r="Y51" s="6"/>
      <c r="Z51" s="6"/>
      <c r="AA51" s="6"/>
      <c r="AB51" s="6"/>
    </row>
    <row r="52" spans="1:28" ht="14.4" x14ac:dyDescent="0.4">
      <c r="A52" s="3" t="s">
        <v>52</v>
      </c>
      <c r="B52" s="8">
        <v>1004900</v>
      </c>
      <c r="C52" s="8">
        <v>40623</v>
      </c>
      <c r="D52" s="8">
        <v>25914</v>
      </c>
      <c r="E52" s="24"/>
      <c r="F52" s="9">
        <v>142506</v>
      </c>
      <c r="G52" s="9">
        <v>91096</v>
      </c>
      <c r="H52" s="9">
        <v>93731</v>
      </c>
      <c r="I52" s="9">
        <v>100836</v>
      </c>
      <c r="J52" s="9">
        <v>87586</v>
      </c>
      <c r="K52" s="9">
        <v>84027</v>
      </c>
      <c r="L52" s="9">
        <v>113738</v>
      </c>
      <c r="M52" s="9">
        <v>79402</v>
      </c>
      <c r="N52" s="9">
        <v>175659</v>
      </c>
      <c r="O52" s="9">
        <v>96319</v>
      </c>
      <c r="P52" s="10"/>
      <c r="Q52" s="10"/>
      <c r="R52" s="10"/>
      <c r="S52" s="10"/>
      <c r="T52" s="10"/>
      <c r="U52" s="28"/>
      <c r="V52" s="7">
        <f>SUM(F52:T52)</f>
        <v>1064900</v>
      </c>
      <c r="W52" s="7">
        <f>SUM(F53:T53)</f>
        <v>40623</v>
      </c>
      <c r="X52" s="7">
        <f>SUM(F54:T54)</f>
        <v>25914</v>
      </c>
      <c r="Y52" s="7"/>
      <c r="Z52" s="7">
        <f>V52-B52</f>
        <v>60000</v>
      </c>
      <c r="AA52" s="7">
        <f>W52-C52</f>
        <v>0</v>
      </c>
      <c r="AB52" s="7">
        <f>X52-D52</f>
        <v>0</v>
      </c>
    </row>
    <row r="53" spans="1:28" ht="14.4" x14ac:dyDescent="0.4">
      <c r="A53" s="4" t="s">
        <v>53</v>
      </c>
      <c r="B53" s="11"/>
      <c r="C53" s="11"/>
      <c r="D53" s="11"/>
      <c r="E53" s="25"/>
      <c r="F53" s="13">
        <v>4937</v>
      </c>
      <c r="G53" s="13">
        <v>3370</v>
      </c>
      <c r="H53" s="13">
        <v>3271</v>
      </c>
      <c r="I53" s="13">
        <v>4399</v>
      </c>
      <c r="J53" s="13">
        <v>3798</v>
      </c>
      <c r="K53" s="13">
        <v>3514</v>
      </c>
      <c r="L53" s="13">
        <v>4472</v>
      </c>
      <c r="M53" s="13">
        <v>3225</v>
      </c>
      <c r="N53" s="13">
        <v>5424</v>
      </c>
      <c r="O53" s="13">
        <v>4213</v>
      </c>
      <c r="P53" s="12"/>
      <c r="Q53" s="12"/>
      <c r="R53" s="12"/>
      <c r="S53" s="12"/>
      <c r="T53" s="12"/>
      <c r="U53" s="28"/>
      <c r="V53" s="6"/>
      <c r="W53" s="6"/>
      <c r="X53" s="6"/>
      <c r="Y53" s="6"/>
      <c r="Z53" s="6"/>
      <c r="AA53" s="6"/>
      <c r="AB53" s="6"/>
    </row>
    <row r="54" spans="1:28" ht="14.4" x14ac:dyDescent="0.4">
      <c r="A54" s="4" t="s">
        <v>54</v>
      </c>
      <c r="B54" s="11"/>
      <c r="C54" s="11"/>
      <c r="D54" s="11"/>
      <c r="E54" s="25"/>
      <c r="F54" s="13">
        <v>3654</v>
      </c>
      <c r="G54" s="13">
        <v>2564</v>
      </c>
      <c r="H54" s="13">
        <v>2125</v>
      </c>
      <c r="I54" s="13">
        <v>2312</v>
      </c>
      <c r="J54" s="13">
        <v>2279</v>
      </c>
      <c r="K54" s="13">
        <v>1983</v>
      </c>
      <c r="L54" s="13">
        <v>2713</v>
      </c>
      <c r="M54" s="13">
        <v>2298</v>
      </c>
      <c r="N54" s="13">
        <v>3336</v>
      </c>
      <c r="O54" s="13">
        <v>2650</v>
      </c>
      <c r="P54" s="12"/>
      <c r="Q54" s="12"/>
      <c r="R54" s="12"/>
      <c r="S54" s="12"/>
      <c r="T54" s="12"/>
      <c r="U54" s="28"/>
      <c r="V54" s="6"/>
      <c r="W54" s="6"/>
      <c r="X54" s="6"/>
      <c r="Y54" s="6"/>
      <c r="Z54" s="6"/>
      <c r="AA54" s="6"/>
      <c r="AB54" s="6"/>
    </row>
    <row r="55" spans="1:28" ht="14.4" x14ac:dyDescent="0.4">
      <c r="A55" s="3" t="s">
        <v>55</v>
      </c>
      <c r="B55" s="8">
        <v>1146668</v>
      </c>
      <c r="C55" s="8">
        <v>44246</v>
      </c>
      <c r="D55" s="8">
        <v>25386</v>
      </c>
      <c r="E55" s="24"/>
      <c r="F55" s="9">
        <v>162533</v>
      </c>
      <c r="G55" s="9">
        <v>169882</v>
      </c>
      <c r="H55" s="9">
        <v>103840</v>
      </c>
      <c r="I55" s="9">
        <v>247284</v>
      </c>
      <c r="J55" s="9">
        <v>113751</v>
      </c>
      <c r="K55" s="9">
        <v>134135</v>
      </c>
      <c r="L55" s="9">
        <v>74599</v>
      </c>
      <c r="M55" s="9">
        <v>140644</v>
      </c>
      <c r="N55" s="10"/>
      <c r="O55" s="10"/>
      <c r="P55" s="10"/>
      <c r="Q55" s="10"/>
      <c r="R55" s="10"/>
      <c r="S55" s="10"/>
      <c r="T55" s="10"/>
      <c r="U55" s="28"/>
      <c r="V55" s="7">
        <f>SUM(F55:T55)</f>
        <v>1146668</v>
      </c>
      <c r="W55" s="7">
        <f>SUM(F56:T56)</f>
        <v>44246</v>
      </c>
      <c r="X55" s="7">
        <f>SUM(F57:T57)</f>
        <v>25386</v>
      </c>
      <c r="Y55" s="7"/>
      <c r="Z55" s="7">
        <f>V55-B55</f>
        <v>0</v>
      </c>
      <c r="AA55" s="7">
        <f>W55-C55</f>
        <v>0</v>
      </c>
      <c r="AB55" s="7">
        <f>X55-D55</f>
        <v>0</v>
      </c>
    </row>
    <row r="56" spans="1:28" ht="14.4" x14ac:dyDescent="0.4">
      <c r="A56" s="4" t="s">
        <v>56</v>
      </c>
      <c r="B56" s="11"/>
      <c r="C56" s="11"/>
      <c r="D56" s="11"/>
      <c r="E56" s="25"/>
      <c r="F56" s="13">
        <v>5863</v>
      </c>
      <c r="G56" s="13">
        <v>6067</v>
      </c>
      <c r="H56" s="13">
        <v>3781</v>
      </c>
      <c r="I56" s="13">
        <v>4783</v>
      </c>
      <c r="J56" s="13">
        <v>10171</v>
      </c>
      <c r="K56" s="13">
        <v>5123</v>
      </c>
      <c r="L56" s="13">
        <v>2614</v>
      </c>
      <c r="M56" s="13">
        <v>5844</v>
      </c>
      <c r="N56" s="12"/>
      <c r="O56" s="12"/>
      <c r="P56" s="12"/>
      <c r="Q56" s="12"/>
      <c r="R56" s="12"/>
      <c r="S56" s="12"/>
      <c r="T56" s="12"/>
      <c r="U56" s="28"/>
      <c r="V56" s="6"/>
      <c r="W56" s="6"/>
      <c r="X56" s="6"/>
      <c r="Y56" s="6"/>
      <c r="Z56" s="6"/>
      <c r="AA56" s="6"/>
      <c r="AB56" s="6"/>
    </row>
    <row r="57" spans="1:28" ht="14.4" x14ac:dyDescent="0.4">
      <c r="A57" s="4" t="s">
        <v>57</v>
      </c>
      <c r="B57" s="11"/>
      <c r="C57" s="11"/>
      <c r="D57" s="11"/>
      <c r="E57" s="25"/>
      <c r="F57" s="13">
        <v>3135</v>
      </c>
      <c r="G57" s="13">
        <v>3609</v>
      </c>
      <c r="H57" s="13">
        <v>2061</v>
      </c>
      <c r="I57" s="13">
        <v>2479</v>
      </c>
      <c r="J57" s="13">
        <v>6689</v>
      </c>
      <c r="K57" s="13">
        <v>2711</v>
      </c>
      <c r="L57" s="13">
        <v>1372</v>
      </c>
      <c r="M57" s="13">
        <v>3330</v>
      </c>
      <c r="N57" s="12"/>
      <c r="O57" s="12"/>
      <c r="P57" s="12"/>
      <c r="Q57" s="12"/>
      <c r="R57" s="12"/>
      <c r="S57" s="12"/>
      <c r="T57" s="12"/>
      <c r="U57" s="28"/>
      <c r="V57" s="6"/>
      <c r="W57" s="6"/>
      <c r="X57" s="6"/>
      <c r="Y57" s="6"/>
      <c r="Z57" s="6"/>
      <c r="AA57" s="6"/>
      <c r="AB57" s="6"/>
    </row>
    <row r="58" spans="1:28" ht="14.4" x14ac:dyDescent="0.4">
      <c r="A58" s="3" t="s">
        <v>58</v>
      </c>
      <c r="B58" s="8">
        <v>612322</v>
      </c>
      <c r="C58" s="8">
        <v>24445</v>
      </c>
      <c r="D58" s="8">
        <v>14339</v>
      </c>
      <c r="E58" s="24"/>
      <c r="F58" s="9">
        <v>100325</v>
      </c>
      <c r="G58" s="9">
        <v>82187</v>
      </c>
      <c r="H58" s="9">
        <v>73940</v>
      </c>
      <c r="I58" s="9">
        <v>89632</v>
      </c>
      <c r="J58" s="9">
        <v>62804</v>
      </c>
      <c r="K58" s="9">
        <v>69491</v>
      </c>
      <c r="L58" s="9">
        <v>64950</v>
      </c>
      <c r="M58" s="9">
        <v>68993</v>
      </c>
      <c r="N58" s="10"/>
      <c r="O58" s="10"/>
      <c r="P58" s="10"/>
      <c r="Q58" s="10"/>
      <c r="R58" s="10"/>
      <c r="S58" s="10"/>
      <c r="T58" s="10"/>
      <c r="U58" s="28"/>
      <c r="V58" s="7">
        <f>SUM(F58:T58)</f>
        <v>612322</v>
      </c>
      <c r="W58" s="7">
        <f>SUM(F59:T59)</f>
        <v>24445</v>
      </c>
      <c r="X58" s="7">
        <f>SUM(F60:T60)</f>
        <v>14339</v>
      </c>
      <c r="Y58" s="7"/>
      <c r="Z58" s="7">
        <f>V58-B58</f>
        <v>0</v>
      </c>
      <c r="AA58" s="7">
        <f>W58-C58</f>
        <v>0</v>
      </c>
      <c r="AB58" s="7">
        <f>X58-D58</f>
        <v>0</v>
      </c>
    </row>
    <row r="59" spans="1:28" ht="14.4" x14ac:dyDescent="0.4">
      <c r="A59" s="4" t="s">
        <v>59</v>
      </c>
      <c r="B59" s="11"/>
      <c r="C59" s="11"/>
      <c r="D59" s="11"/>
      <c r="E59" s="25"/>
      <c r="F59" s="13">
        <v>3597</v>
      </c>
      <c r="G59" s="13">
        <v>2495</v>
      </c>
      <c r="H59" s="13">
        <v>3799</v>
      </c>
      <c r="I59" s="13">
        <v>3315</v>
      </c>
      <c r="J59" s="13">
        <v>2339</v>
      </c>
      <c r="K59" s="13">
        <v>2732</v>
      </c>
      <c r="L59" s="13">
        <v>3073</v>
      </c>
      <c r="M59" s="13">
        <v>3095</v>
      </c>
      <c r="N59" s="12"/>
      <c r="O59" s="12"/>
      <c r="P59" s="12"/>
      <c r="Q59" s="12"/>
      <c r="R59" s="12"/>
      <c r="S59" s="12"/>
      <c r="T59" s="12"/>
      <c r="U59" s="28"/>
      <c r="V59" s="6"/>
      <c r="W59" s="6"/>
      <c r="X59" s="6"/>
      <c r="Y59" s="6"/>
      <c r="Z59" s="6"/>
      <c r="AA59" s="6"/>
      <c r="AB59" s="6"/>
    </row>
    <row r="60" spans="1:28" ht="14.4" x14ac:dyDescent="0.4">
      <c r="A60" s="4" t="s">
        <v>60</v>
      </c>
      <c r="B60" s="11"/>
      <c r="C60" s="11"/>
      <c r="D60" s="11"/>
      <c r="E60" s="25"/>
      <c r="F60" s="13">
        <v>2144</v>
      </c>
      <c r="G60" s="13">
        <v>1823</v>
      </c>
      <c r="H60" s="13">
        <v>1921</v>
      </c>
      <c r="I60" s="13">
        <v>1932</v>
      </c>
      <c r="J60" s="13">
        <v>1873</v>
      </c>
      <c r="K60" s="13">
        <v>1659</v>
      </c>
      <c r="L60" s="13">
        <v>1578</v>
      </c>
      <c r="M60" s="13">
        <v>1409</v>
      </c>
      <c r="N60" s="12"/>
      <c r="O60" s="12"/>
      <c r="P60" s="12"/>
      <c r="Q60" s="12"/>
      <c r="R60" s="12"/>
      <c r="S60" s="12"/>
      <c r="T60" s="12"/>
      <c r="U60" s="28"/>
      <c r="V60" s="6"/>
      <c r="W60" s="6"/>
      <c r="X60" s="6"/>
      <c r="Y60" s="6"/>
      <c r="Z60" s="6"/>
      <c r="AA60" s="6"/>
      <c r="AB60" s="6"/>
    </row>
    <row r="61" spans="1:28" ht="14.4" x14ac:dyDescent="0.4">
      <c r="A61" s="3" t="s">
        <v>61</v>
      </c>
      <c r="B61" s="8">
        <v>742032</v>
      </c>
      <c r="C61" s="8">
        <v>30815</v>
      </c>
      <c r="D61" s="8">
        <v>16922</v>
      </c>
      <c r="E61" s="24"/>
      <c r="F61" s="9">
        <v>129803</v>
      </c>
      <c r="G61" s="9">
        <v>99037</v>
      </c>
      <c r="H61" s="9">
        <v>106898</v>
      </c>
      <c r="I61" s="9">
        <v>107062</v>
      </c>
      <c r="J61" s="9">
        <v>107664</v>
      </c>
      <c r="K61" s="9">
        <v>99292</v>
      </c>
      <c r="L61" s="9">
        <v>92276</v>
      </c>
      <c r="M61" s="10"/>
      <c r="N61" s="10"/>
      <c r="O61" s="10"/>
      <c r="P61" s="10"/>
      <c r="Q61" s="10"/>
      <c r="R61" s="10"/>
      <c r="S61" s="10"/>
      <c r="T61" s="10"/>
      <c r="U61" s="28"/>
      <c r="V61" s="7">
        <f>SUM(F61:T61)</f>
        <v>742032</v>
      </c>
      <c r="W61" s="7">
        <f>SUM(F62:T62)</f>
        <v>30815</v>
      </c>
      <c r="X61" s="7">
        <f>SUM(F63:T63)</f>
        <v>16922</v>
      </c>
      <c r="Y61" s="7"/>
      <c r="Z61" s="7">
        <f>V61-B61</f>
        <v>0</v>
      </c>
      <c r="AA61" s="7">
        <f>W61-C61</f>
        <v>0</v>
      </c>
      <c r="AB61" s="7">
        <f>X61-D61</f>
        <v>0</v>
      </c>
    </row>
    <row r="62" spans="1:28" ht="14.4" x14ac:dyDescent="0.4">
      <c r="A62" s="4" t="s">
        <v>62</v>
      </c>
      <c r="B62" s="11"/>
      <c r="C62" s="11"/>
      <c r="D62" s="11"/>
      <c r="E62" s="25"/>
      <c r="F62" s="13">
        <v>4252</v>
      </c>
      <c r="G62" s="13">
        <v>3703</v>
      </c>
      <c r="H62" s="13">
        <v>4867</v>
      </c>
      <c r="I62" s="13">
        <v>4875</v>
      </c>
      <c r="J62" s="13">
        <v>5172</v>
      </c>
      <c r="K62" s="13">
        <v>4105</v>
      </c>
      <c r="L62" s="13">
        <v>3841</v>
      </c>
      <c r="M62" s="12"/>
      <c r="N62" s="12"/>
      <c r="O62" s="12"/>
      <c r="P62" s="12"/>
      <c r="Q62" s="12"/>
      <c r="R62" s="12"/>
      <c r="S62" s="12"/>
      <c r="T62" s="12"/>
      <c r="U62" s="28"/>
      <c r="V62" s="6"/>
      <c r="W62" s="6"/>
      <c r="X62" s="6"/>
      <c r="Y62" s="6"/>
      <c r="Z62" s="6"/>
      <c r="AA62" s="6"/>
      <c r="AB62" s="6"/>
    </row>
    <row r="63" spans="1:28" ht="14.4" x14ac:dyDescent="0.4">
      <c r="A63" s="4" t="s">
        <v>63</v>
      </c>
      <c r="B63" s="11"/>
      <c r="C63" s="11"/>
      <c r="D63" s="11"/>
      <c r="E63" s="25"/>
      <c r="F63" s="13">
        <v>2394</v>
      </c>
      <c r="G63" s="13">
        <v>2112</v>
      </c>
      <c r="H63" s="13">
        <v>2418</v>
      </c>
      <c r="I63" s="13">
        <v>2640</v>
      </c>
      <c r="J63" s="13">
        <v>2255</v>
      </c>
      <c r="K63" s="13">
        <v>2658</v>
      </c>
      <c r="L63" s="13">
        <v>2445</v>
      </c>
      <c r="M63" s="12"/>
      <c r="N63" s="12"/>
      <c r="O63" s="12"/>
      <c r="P63" s="12"/>
      <c r="Q63" s="12"/>
      <c r="R63" s="12"/>
      <c r="S63" s="12"/>
      <c r="T63" s="12"/>
      <c r="U63" s="28"/>
      <c r="V63" s="6"/>
      <c r="W63" s="6"/>
      <c r="X63" s="6"/>
      <c r="Y63" s="6"/>
      <c r="Z63" s="6"/>
      <c r="AA63" s="6"/>
      <c r="AB63" s="6"/>
    </row>
    <row r="64" spans="1:28" ht="14.4" x14ac:dyDescent="0.4">
      <c r="A64" s="3" t="s">
        <v>64</v>
      </c>
      <c r="B64" s="8">
        <v>688317</v>
      </c>
      <c r="C64" s="8">
        <v>21370</v>
      </c>
      <c r="D64" s="8">
        <v>16295</v>
      </c>
      <c r="E64" s="24"/>
      <c r="F64" s="9">
        <v>105309</v>
      </c>
      <c r="G64" s="9">
        <v>80301</v>
      </c>
      <c r="H64" s="9">
        <v>88105</v>
      </c>
      <c r="I64" s="9">
        <v>88652</v>
      </c>
      <c r="J64" s="9">
        <v>91156</v>
      </c>
      <c r="K64" s="9">
        <v>133314</v>
      </c>
      <c r="L64" s="9">
        <v>101480</v>
      </c>
      <c r="M64" s="10"/>
      <c r="N64" s="10"/>
      <c r="O64" s="10"/>
      <c r="P64" s="10"/>
      <c r="Q64" s="10"/>
      <c r="R64" s="10"/>
      <c r="S64" s="10"/>
      <c r="T64" s="10"/>
      <c r="U64" s="28"/>
      <c r="V64" s="7">
        <f>SUM(F64:T64)</f>
        <v>688317</v>
      </c>
      <c r="W64" s="7">
        <f>SUM(F65:T65)</f>
        <v>21370</v>
      </c>
      <c r="X64" s="7">
        <f>SUM(F66:T66)</f>
        <v>16295</v>
      </c>
      <c r="Y64" s="7"/>
      <c r="Z64" s="7">
        <f>V64-B64</f>
        <v>0</v>
      </c>
      <c r="AA64" s="7">
        <f>W64-C64</f>
        <v>0</v>
      </c>
      <c r="AB64" s="7">
        <f>X64-D64</f>
        <v>0</v>
      </c>
    </row>
    <row r="65" spans="1:28" ht="14.4" x14ac:dyDescent="0.4">
      <c r="A65" s="4" t="s">
        <v>65</v>
      </c>
      <c r="B65" s="11"/>
      <c r="C65" s="11"/>
      <c r="D65" s="11"/>
      <c r="E65" s="25"/>
      <c r="F65" s="13">
        <v>3419</v>
      </c>
      <c r="G65" s="13">
        <v>2492</v>
      </c>
      <c r="H65" s="13">
        <v>2736</v>
      </c>
      <c r="I65" s="13">
        <v>2502</v>
      </c>
      <c r="J65" s="13">
        <v>3023</v>
      </c>
      <c r="K65" s="13">
        <v>4008</v>
      </c>
      <c r="L65" s="13">
        <v>3190</v>
      </c>
      <c r="M65" s="12"/>
      <c r="N65" s="12"/>
      <c r="O65" s="12"/>
      <c r="P65" s="12"/>
      <c r="Q65" s="12"/>
      <c r="R65" s="12"/>
      <c r="S65" s="12"/>
      <c r="T65" s="12"/>
      <c r="U65" s="28"/>
      <c r="V65" s="6"/>
      <c r="W65" s="6"/>
      <c r="X65" s="6"/>
      <c r="Y65" s="6"/>
      <c r="Z65" s="6"/>
      <c r="AA65" s="6"/>
      <c r="AB65" s="6"/>
    </row>
    <row r="66" spans="1:28" ht="14.4" x14ac:dyDescent="0.4">
      <c r="A66" s="4" t="s">
        <v>66</v>
      </c>
      <c r="B66" s="11"/>
      <c r="C66" s="11"/>
      <c r="D66" s="11"/>
      <c r="E66" s="25"/>
      <c r="F66" s="13">
        <v>2464</v>
      </c>
      <c r="G66" s="13">
        <v>1643</v>
      </c>
      <c r="H66" s="13">
        <v>1932</v>
      </c>
      <c r="I66" s="13">
        <v>1776</v>
      </c>
      <c r="J66" s="13">
        <v>2315</v>
      </c>
      <c r="K66" s="13">
        <v>3324</v>
      </c>
      <c r="L66" s="13">
        <v>2841</v>
      </c>
      <c r="M66" s="12"/>
      <c r="N66" s="12"/>
      <c r="O66" s="12"/>
      <c r="P66" s="12"/>
      <c r="Q66" s="12"/>
      <c r="R66" s="12"/>
      <c r="S66" s="12"/>
      <c r="T66" s="12"/>
      <c r="U66" s="28"/>
      <c r="V66" s="6"/>
      <c r="W66" s="6"/>
      <c r="X66" s="6"/>
      <c r="Y66" s="6"/>
      <c r="Z66" s="6"/>
      <c r="AA66" s="6"/>
      <c r="AB66" s="6"/>
    </row>
    <row r="67" spans="1:28" ht="14.4" x14ac:dyDescent="0.4">
      <c r="A67" s="3" t="s">
        <v>67</v>
      </c>
      <c r="B67" s="8">
        <v>680689</v>
      </c>
      <c r="C67" s="8">
        <v>25198</v>
      </c>
      <c r="D67" s="8">
        <v>16813</v>
      </c>
      <c r="E67" s="24"/>
      <c r="F67" s="9">
        <v>70673</v>
      </c>
      <c r="G67" s="9">
        <v>68355</v>
      </c>
      <c r="H67" s="9">
        <v>71826</v>
      </c>
      <c r="I67" s="9">
        <v>78587</v>
      </c>
      <c r="J67" s="9">
        <v>106780</v>
      </c>
      <c r="K67" s="9">
        <v>57344</v>
      </c>
      <c r="L67" s="9">
        <v>89339</v>
      </c>
      <c r="M67" s="9">
        <v>73303</v>
      </c>
      <c r="N67" s="9">
        <v>64482</v>
      </c>
      <c r="O67" s="10"/>
      <c r="P67" s="10"/>
      <c r="Q67" s="10"/>
      <c r="R67" s="10"/>
      <c r="S67" s="10"/>
      <c r="T67" s="10"/>
      <c r="U67" s="28"/>
      <c r="V67" s="7">
        <f>SUM(F67:T67)</f>
        <v>680689</v>
      </c>
      <c r="W67" s="7">
        <f>SUM(F68:T68)</f>
        <v>25198</v>
      </c>
      <c r="X67" s="7">
        <f>SUM(F69:T69)</f>
        <v>16813</v>
      </c>
      <c r="Y67" s="7"/>
      <c r="Z67" s="7">
        <f>V67-B67</f>
        <v>0</v>
      </c>
      <c r="AA67" s="7">
        <f>W67-C67</f>
        <v>0</v>
      </c>
      <c r="AB67" s="7">
        <f>X67-D67</f>
        <v>0</v>
      </c>
    </row>
    <row r="68" spans="1:28" ht="14.4" x14ac:dyDescent="0.4">
      <c r="A68" s="4" t="s">
        <v>68</v>
      </c>
      <c r="B68" s="11"/>
      <c r="C68" s="11"/>
      <c r="D68" s="11"/>
      <c r="E68" s="25"/>
      <c r="F68" s="13">
        <v>2656</v>
      </c>
      <c r="G68" s="13">
        <v>2278</v>
      </c>
      <c r="H68" s="13">
        <v>2308</v>
      </c>
      <c r="I68" s="13">
        <v>2801</v>
      </c>
      <c r="J68" s="13">
        <v>3848</v>
      </c>
      <c r="K68" s="13">
        <v>2389</v>
      </c>
      <c r="L68" s="13">
        <v>3854</v>
      </c>
      <c r="M68" s="13">
        <v>2672</v>
      </c>
      <c r="N68" s="13">
        <v>2392</v>
      </c>
      <c r="O68" s="12"/>
      <c r="P68" s="12"/>
      <c r="Q68" s="12"/>
      <c r="R68" s="12"/>
      <c r="S68" s="12"/>
      <c r="T68" s="12"/>
      <c r="U68" s="28"/>
      <c r="V68" s="6"/>
      <c r="W68" s="6"/>
      <c r="X68" s="6"/>
      <c r="Y68" s="6"/>
      <c r="Z68" s="6"/>
      <c r="AA68" s="6"/>
      <c r="AB68" s="6"/>
    </row>
    <row r="69" spans="1:28" ht="14.4" x14ac:dyDescent="0.4">
      <c r="A69" s="4" t="s">
        <v>69</v>
      </c>
      <c r="B69" s="11"/>
      <c r="C69" s="11"/>
      <c r="D69" s="11"/>
      <c r="E69" s="25"/>
      <c r="F69" s="13">
        <v>1763</v>
      </c>
      <c r="G69" s="13">
        <v>1820</v>
      </c>
      <c r="H69" s="13">
        <v>1338</v>
      </c>
      <c r="I69" s="13">
        <v>2137</v>
      </c>
      <c r="J69" s="13">
        <v>2185</v>
      </c>
      <c r="K69" s="13">
        <v>1415</v>
      </c>
      <c r="L69" s="13">
        <v>2568</v>
      </c>
      <c r="M69" s="13">
        <v>1976</v>
      </c>
      <c r="N69" s="13">
        <v>1611</v>
      </c>
      <c r="O69" s="12"/>
      <c r="P69" s="12"/>
      <c r="Q69" s="12"/>
      <c r="R69" s="12"/>
      <c r="S69" s="12"/>
      <c r="T69" s="12"/>
      <c r="U69" s="28"/>
      <c r="V69" s="6"/>
      <c r="W69" s="6"/>
      <c r="X69" s="6"/>
      <c r="Y69" s="6"/>
      <c r="Z69" s="6"/>
      <c r="AA69" s="6"/>
      <c r="AB69" s="6"/>
    </row>
    <row r="70" spans="1:28" ht="14.4" x14ac:dyDescent="0.4">
      <c r="A70" s="3" t="s">
        <v>70</v>
      </c>
      <c r="B70" s="8">
        <v>688953</v>
      </c>
      <c r="C70" s="8">
        <v>17877</v>
      </c>
      <c r="D70" s="8">
        <v>12570</v>
      </c>
      <c r="E70" s="24"/>
      <c r="F70" s="9">
        <v>105411</v>
      </c>
      <c r="G70" s="9">
        <v>58077</v>
      </c>
      <c r="H70" s="9">
        <v>49723</v>
      </c>
      <c r="I70" s="9">
        <v>58221</v>
      </c>
      <c r="J70" s="9">
        <v>69875</v>
      </c>
      <c r="K70" s="9">
        <v>81869</v>
      </c>
      <c r="L70" s="9">
        <v>76103</v>
      </c>
      <c r="M70" s="9">
        <v>68500</v>
      </c>
      <c r="N70" s="9">
        <v>52511</v>
      </c>
      <c r="O70" s="9">
        <v>68663</v>
      </c>
      <c r="P70" s="10"/>
      <c r="Q70" s="10"/>
      <c r="R70" s="10"/>
      <c r="S70" s="10"/>
      <c r="T70" s="10"/>
      <c r="U70" s="28"/>
      <c r="V70" s="7">
        <f>SUM(F70:T70)</f>
        <v>688953</v>
      </c>
      <c r="W70" s="7">
        <f>SUM(F71:T71)</f>
        <v>17877</v>
      </c>
      <c r="X70" s="7">
        <f>SUM(F72:T72)</f>
        <v>12570</v>
      </c>
      <c r="Y70" s="7"/>
      <c r="Z70" s="7">
        <f>V70-B70</f>
        <v>0</v>
      </c>
      <c r="AA70" s="7">
        <f>W70-C70</f>
        <v>0</v>
      </c>
      <c r="AB70" s="7">
        <f>X70-D70</f>
        <v>0</v>
      </c>
    </row>
    <row r="71" spans="1:28" ht="14.4" x14ac:dyDescent="0.4">
      <c r="A71" s="4" t="s">
        <v>71</v>
      </c>
      <c r="B71" s="11"/>
      <c r="C71" s="11"/>
      <c r="D71" s="11"/>
      <c r="E71" s="25"/>
      <c r="F71" s="13">
        <v>2444</v>
      </c>
      <c r="G71" s="13">
        <v>1375</v>
      </c>
      <c r="H71" s="13">
        <v>1251</v>
      </c>
      <c r="I71" s="13">
        <v>1588</v>
      </c>
      <c r="J71" s="13">
        <v>1801</v>
      </c>
      <c r="K71" s="13">
        <v>2745</v>
      </c>
      <c r="L71" s="13">
        <v>2023</v>
      </c>
      <c r="M71" s="13">
        <v>1583</v>
      </c>
      <c r="N71" s="13">
        <v>1360</v>
      </c>
      <c r="O71" s="13">
        <v>1707</v>
      </c>
      <c r="P71" s="12"/>
      <c r="Q71" s="12"/>
      <c r="R71" s="12"/>
      <c r="S71" s="12"/>
      <c r="T71" s="12"/>
      <c r="U71" s="28"/>
      <c r="V71" s="6"/>
      <c r="W71" s="6"/>
      <c r="X71" s="6"/>
      <c r="Y71" s="6"/>
      <c r="Z71" s="6"/>
      <c r="AA71" s="6"/>
      <c r="AB71" s="6"/>
    </row>
    <row r="72" spans="1:28" ht="14.4" x14ac:dyDescent="0.4">
      <c r="A72" s="4" t="s">
        <v>72</v>
      </c>
      <c r="B72" s="11"/>
      <c r="C72" s="11"/>
      <c r="D72" s="11"/>
      <c r="E72" s="25"/>
      <c r="F72" s="13">
        <v>2032</v>
      </c>
      <c r="G72" s="13">
        <v>1002</v>
      </c>
      <c r="H72" s="13">
        <v>1034</v>
      </c>
      <c r="I72" s="13">
        <v>968</v>
      </c>
      <c r="J72" s="13">
        <v>1124</v>
      </c>
      <c r="K72" s="13">
        <v>1848</v>
      </c>
      <c r="L72" s="13">
        <v>1290</v>
      </c>
      <c r="M72" s="13">
        <v>957</v>
      </c>
      <c r="N72" s="13">
        <v>1032</v>
      </c>
      <c r="O72" s="13">
        <v>1283</v>
      </c>
      <c r="P72" s="12"/>
      <c r="Q72" s="12"/>
      <c r="R72" s="12"/>
      <c r="S72" s="12"/>
      <c r="T72" s="12"/>
      <c r="U72" s="28"/>
      <c r="V72" s="6"/>
      <c r="W72" s="6"/>
      <c r="X72" s="6"/>
      <c r="Y72" s="6"/>
      <c r="Z72" s="6"/>
      <c r="AA72" s="6"/>
      <c r="AB72" s="6"/>
    </row>
    <row r="73" spans="1:28" ht="14.4" x14ac:dyDescent="0.4">
      <c r="A73" s="3" t="s">
        <v>73</v>
      </c>
      <c r="B73" s="8">
        <v>1239758</v>
      </c>
      <c r="C73" s="8">
        <v>36395</v>
      </c>
      <c r="D73" s="8">
        <v>26105</v>
      </c>
      <c r="E73" s="24"/>
      <c r="F73" s="9">
        <v>318258</v>
      </c>
      <c r="G73" s="9">
        <v>119061</v>
      </c>
      <c r="H73" s="9">
        <v>133617</v>
      </c>
      <c r="I73" s="9">
        <v>98087</v>
      </c>
      <c r="J73" s="9">
        <v>120582</v>
      </c>
      <c r="K73" s="9">
        <v>188960</v>
      </c>
      <c r="L73" s="9">
        <v>100835</v>
      </c>
      <c r="M73" s="9">
        <v>100628</v>
      </c>
      <c r="N73" s="9">
        <v>59722</v>
      </c>
      <c r="O73" s="10"/>
      <c r="P73" s="10"/>
      <c r="Q73" s="10"/>
      <c r="R73" s="10"/>
      <c r="S73" s="10"/>
      <c r="T73" s="10"/>
      <c r="U73" s="28"/>
      <c r="V73" s="7">
        <f>SUM(F73:T73)</f>
        <v>1239750</v>
      </c>
      <c r="W73" s="7">
        <f>SUM(F74:T74)</f>
        <v>36395</v>
      </c>
      <c r="X73" s="7">
        <f>SUM(F75:T75)</f>
        <v>26105</v>
      </c>
      <c r="Y73" s="7"/>
      <c r="Z73" s="7">
        <f>V73-B73</f>
        <v>-8</v>
      </c>
      <c r="AA73" s="7">
        <f>W73-C73</f>
        <v>0</v>
      </c>
      <c r="AB73" s="7">
        <f>X73-D73</f>
        <v>0</v>
      </c>
    </row>
    <row r="74" spans="1:28" ht="14.4" x14ac:dyDescent="0.4">
      <c r="A74" s="4" t="s">
        <v>74</v>
      </c>
      <c r="B74" s="11"/>
      <c r="C74" s="11"/>
      <c r="D74" s="11"/>
      <c r="E74" s="25"/>
      <c r="F74" s="13">
        <v>9465</v>
      </c>
      <c r="G74" s="13">
        <v>3675</v>
      </c>
      <c r="H74" s="13">
        <v>3223</v>
      </c>
      <c r="I74" s="13">
        <v>3286</v>
      </c>
      <c r="J74" s="13">
        <v>3740</v>
      </c>
      <c r="K74" s="13">
        <v>5679</v>
      </c>
      <c r="L74" s="13">
        <v>2891</v>
      </c>
      <c r="M74" s="13">
        <v>2740</v>
      </c>
      <c r="N74" s="13">
        <v>1696</v>
      </c>
      <c r="O74" s="12"/>
      <c r="P74" s="12"/>
      <c r="Q74" s="12"/>
      <c r="R74" s="12"/>
      <c r="S74" s="12"/>
      <c r="T74" s="12"/>
      <c r="U74" s="28"/>
      <c r="V74" s="6"/>
      <c r="W74" s="6"/>
      <c r="X74" s="6"/>
      <c r="Y74" s="6"/>
      <c r="Z74" s="6"/>
      <c r="AA74" s="6"/>
      <c r="AB74" s="6"/>
    </row>
    <row r="75" spans="1:28" ht="14.4" x14ac:dyDescent="0.4">
      <c r="A75" s="4" t="s">
        <v>75</v>
      </c>
      <c r="B75" s="11"/>
      <c r="C75" s="11"/>
      <c r="D75" s="11"/>
      <c r="E75" s="25"/>
      <c r="F75" s="13">
        <v>6807</v>
      </c>
      <c r="G75" s="13">
        <v>2591</v>
      </c>
      <c r="H75" s="13">
        <v>2489</v>
      </c>
      <c r="I75" s="13">
        <v>2379</v>
      </c>
      <c r="J75" s="13">
        <v>2257</v>
      </c>
      <c r="K75" s="13">
        <v>4249</v>
      </c>
      <c r="L75" s="13">
        <v>1848</v>
      </c>
      <c r="M75" s="13">
        <v>2271</v>
      </c>
      <c r="N75" s="13">
        <v>1214</v>
      </c>
      <c r="O75" s="12"/>
      <c r="P75" s="12"/>
      <c r="Q75" s="12"/>
      <c r="R75" s="12"/>
      <c r="S75" s="12"/>
      <c r="T75" s="12"/>
      <c r="U75" s="28"/>
      <c r="V75" s="6"/>
      <c r="W75" s="6"/>
      <c r="X75" s="6"/>
      <c r="Y75" s="6"/>
      <c r="Z75" s="6"/>
      <c r="AA75" s="6"/>
      <c r="AB75" s="6"/>
    </row>
    <row r="76" spans="1:28" ht="14.4" x14ac:dyDescent="0.4">
      <c r="A76" s="3" t="s">
        <v>76</v>
      </c>
      <c r="B76" s="8">
        <v>396785</v>
      </c>
      <c r="C76" s="8">
        <v>11809</v>
      </c>
      <c r="D76" s="8">
        <v>9200</v>
      </c>
      <c r="E76" s="24"/>
      <c r="F76" s="9">
        <v>143439</v>
      </c>
      <c r="G76" s="9">
        <v>117276</v>
      </c>
      <c r="H76" s="9">
        <v>52704</v>
      </c>
      <c r="I76" s="9">
        <v>83366</v>
      </c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28"/>
      <c r="V76" s="7">
        <f>SUM(F76:T76)</f>
        <v>396785</v>
      </c>
      <c r="W76" s="7">
        <f>SUM(F77:T77)</f>
        <v>11809</v>
      </c>
      <c r="X76" s="7">
        <f>SUM(F78:T78)</f>
        <v>9200</v>
      </c>
      <c r="Y76" s="7"/>
      <c r="Z76" s="7">
        <f>V76-B76</f>
        <v>0</v>
      </c>
      <c r="AA76" s="7">
        <f>W76-C76</f>
        <v>0</v>
      </c>
      <c r="AB76" s="7">
        <f>X76-D76</f>
        <v>0</v>
      </c>
    </row>
    <row r="77" spans="1:28" ht="14.4" x14ac:dyDescent="0.4">
      <c r="A77" s="4" t="s">
        <v>77</v>
      </c>
      <c r="B77" s="11"/>
      <c r="C77" s="11"/>
      <c r="D77" s="11"/>
      <c r="E77" s="25"/>
      <c r="F77" s="13">
        <v>4149</v>
      </c>
      <c r="G77" s="13">
        <v>3772</v>
      </c>
      <c r="H77" s="13">
        <v>1585</v>
      </c>
      <c r="I77" s="13">
        <v>2303</v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28"/>
      <c r="V77" s="6"/>
      <c r="W77" s="6"/>
      <c r="X77" s="6"/>
      <c r="Y77" s="6"/>
      <c r="Z77" s="6"/>
      <c r="AA77" s="6"/>
      <c r="AB77" s="6"/>
    </row>
    <row r="78" spans="1:28" ht="14.4" x14ac:dyDescent="0.4">
      <c r="A78" s="4" t="s">
        <v>78</v>
      </c>
      <c r="B78" s="11"/>
      <c r="C78" s="11"/>
      <c r="D78" s="11"/>
      <c r="E78" s="25"/>
      <c r="F78" s="13">
        <v>3685</v>
      </c>
      <c r="G78" s="13">
        <v>2618</v>
      </c>
      <c r="H78" s="13">
        <v>1231</v>
      </c>
      <c r="I78" s="13">
        <v>1666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28"/>
      <c r="V78" s="6"/>
      <c r="W78" s="6"/>
      <c r="X78" s="6"/>
      <c r="Y78" s="6"/>
      <c r="Z78" s="6"/>
      <c r="AA78" s="6"/>
      <c r="AB78" s="6"/>
    </row>
    <row r="79" spans="1:28" ht="14.4" x14ac:dyDescent="0.4">
      <c r="A79" s="19" t="s">
        <v>79</v>
      </c>
      <c r="B79" s="20">
        <v>10838913</v>
      </c>
      <c r="C79" s="20">
        <v>399713</v>
      </c>
      <c r="D79" s="20">
        <v>255575</v>
      </c>
      <c r="E79" s="24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8"/>
      <c r="V79" s="22"/>
      <c r="W79" s="22"/>
      <c r="X79" s="22"/>
      <c r="Y79" s="22"/>
      <c r="Z79" s="22"/>
      <c r="AA79" s="22"/>
      <c r="AB79" s="22"/>
    </row>
    <row r="80" spans="1:28" ht="14.4" x14ac:dyDescent="0.4">
      <c r="A80" s="3" t="s">
        <v>80</v>
      </c>
      <c r="B80" s="8">
        <v>1525804</v>
      </c>
      <c r="C80" s="8">
        <v>73064</v>
      </c>
      <c r="D80" s="8">
        <v>43634</v>
      </c>
      <c r="E80" s="24"/>
      <c r="F80" s="9">
        <v>250670</v>
      </c>
      <c r="G80" s="9">
        <v>267837</v>
      </c>
      <c r="H80" s="9">
        <v>157256</v>
      </c>
      <c r="I80" s="9">
        <v>178463</v>
      </c>
      <c r="J80" s="9">
        <v>160069</v>
      </c>
      <c r="K80" s="9">
        <v>170007</v>
      </c>
      <c r="L80" s="9">
        <v>193630</v>
      </c>
      <c r="M80" s="9">
        <v>147872</v>
      </c>
      <c r="N80" s="10"/>
      <c r="O80" s="10"/>
      <c r="P80" s="10"/>
      <c r="Q80" s="10"/>
      <c r="R80" s="10"/>
      <c r="S80" s="10"/>
      <c r="T80" s="10"/>
      <c r="U80" s="28"/>
      <c r="V80" s="7">
        <f>SUM(F80:T80)</f>
        <v>1525804</v>
      </c>
      <c r="W80" s="7">
        <f>SUM(F81:T81)</f>
        <v>73064</v>
      </c>
      <c r="X80" s="7">
        <f>SUM(F82:T82)</f>
        <v>43634</v>
      </c>
      <c r="Y80" s="7"/>
      <c r="Z80" s="7">
        <f>V80-B80</f>
        <v>0</v>
      </c>
      <c r="AA80" s="7">
        <f>W80-C80</f>
        <v>0</v>
      </c>
      <c r="AB80" s="7">
        <f>X80-D80</f>
        <v>0</v>
      </c>
    </row>
    <row r="81" spans="1:28" ht="14.4" x14ac:dyDescent="0.4">
      <c r="A81" s="4" t="s">
        <v>81</v>
      </c>
      <c r="B81" s="11"/>
      <c r="C81" s="11"/>
      <c r="D81" s="11"/>
      <c r="E81" s="25"/>
      <c r="F81" s="13">
        <v>10441</v>
      </c>
      <c r="G81" s="13">
        <v>10747</v>
      </c>
      <c r="H81" s="13">
        <v>8094</v>
      </c>
      <c r="I81" s="13">
        <v>11221</v>
      </c>
      <c r="J81" s="13">
        <v>7448</v>
      </c>
      <c r="K81" s="13">
        <v>5760</v>
      </c>
      <c r="L81" s="13">
        <v>11949</v>
      </c>
      <c r="M81" s="13">
        <v>7404</v>
      </c>
      <c r="N81" s="12"/>
      <c r="O81" s="12"/>
      <c r="P81" s="12"/>
      <c r="Q81" s="12"/>
      <c r="R81" s="12"/>
      <c r="S81" s="12"/>
      <c r="T81" s="12"/>
      <c r="U81" s="28"/>
      <c r="V81" s="6"/>
      <c r="W81" s="6"/>
      <c r="X81" s="6"/>
      <c r="Y81" s="6"/>
      <c r="Z81" s="6"/>
      <c r="AA81" s="6"/>
      <c r="AB81" s="6"/>
    </row>
    <row r="82" spans="1:28" ht="14.4" x14ac:dyDescent="0.4">
      <c r="A82" s="4" t="s">
        <v>82</v>
      </c>
      <c r="B82" s="11"/>
      <c r="C82" s="11"/>
      <c r="D82" s="11"/>
      <c r="E82" s="25"/>
      <c r="F82" s="13">
        <v>6769</v>
      </c>
      <c r="G82" s="13">
        <v>6997</v>
      </c>
      <c r="H82" s="13">
        <v>4724</v>
      </c>
      <c r="I82" s="13">
        <v>8142</v>
      </c>
      <c r="J82" s="13">
        <v>3721</v>
      </c>
      <c r="K82" s="13">
        <v>3252</v>
      </c>
      <c r="L82" s="13">
        <v>6260</v>
      </c>
      <c r="M82" s="13">
        <v>3769</v>
      </c>
      <c r="N82" s="12"/>
      <c r="O82" s="12"/>
      <c r="P82" s="12"/>
      <c r="Q82" s="12"/>
      <c r="R82" s="12"/>
      <c r="S82" s="12"/>
      <c r="T82" s="12"/>
      <c r="U82" s="28"/>
      <c r="V82" s="6"/>
      <c r="W82" s="6"/>
      <c r="X82" s="6"/>
      <c r="Y82" s="6"/>
      <c r="Z82" s="6"/>
      <c r="AA82" s="6"/>
      <c r="AB82" s="6"/>
    </row>
    <row r="83" spans="1:28" ht="14.4" x14ac:dyDescent="0.4">
      <c r="A83" s="3" t="s">
        <v>83</v>
      </c>
      <c r="B83" s="8">
        <v>1434942</v>
      </c>
      <c r="C83" s="8">
        <v>79540</v>
      </c>
      <c r="D83" s="8">
        <v>54191</v>
      </c>
      <c r="E83" s="24"/>
      <c r="F83" s="9">
        <v>163812</v>
      </c>
      <c r="G83" s="9">
        <v>87762</v>
      </c>
      <c r="H83" s="9">
        <v>86302</v>
      </c>
      <c r="I83" s="9">
        <v>101080</v>
      </c>
      <c r="J83" s="9">
        <v>112986</v>
      </c>
      <c r="K83" s="9">
        <v>127061</v>
      </c>
      <c r="L83" s="9">
        <v>120464</v>
      </c>
      <c r="M83" s="9">
        <v>92006</v>
      </c>
      <c r="N83" s="9">
        <v>116558</v>
      </c>
      <c r="O83" s="9">
        <v>86795</v>
      </c>
      <c r="P83" s="9">
        <v>105374</v>
      </c>
      <c r="Q83" s="9">
        <v>123683</v>
      </c>
      <c r="R83" s="9">
        <v>101100</v>
      </c>
      <c r="S83" s="10"/>
      <c r="T83" s="10"/>
      <c r="U83" s="28"/>
      <c r="V83" s="7">
        <f>SUM(F83:T83)</f>
        <v>1424983</v>
      </c>
      <c r="W83" s="7">
        <f>SUM(F84:T84)</f>
        <v>79540</v>
      </c>
      <c r="X83" s="7">
        <f>SUM(F85:T85)</f>
        <v>54191</v>
      </c>
      <c r="Y83" s="7"/>
      <c r="Z83" s="7">
        <f>V83-B83</f>
        <v>-9959</v>
      </c>
      <c r="AA83" s="7">
        <f>W83-C83</f>
        <v>0</v>
      </c>
      <c r="AB83" s="7">
        <f>X83-D83</f>
        <v>0</v>
      </c>
    </row>
    <row r="84" spans="1:28" ht="14.4" x14ac:dyDescent="0.4">
      <c r="A84" s="4" t="s">
        <v>84</v>
      </c>
      <c r="B84" s="11"/>
      <c r="C84" s="11"/>
      <c r="D84" s="11"/>
      <c r="E84" s="25"/>
      <c r="F84" s="13">
        <v>7914</v>
      </c>
      <c r="G84" s="13">
        <v>5646</v>
      </c>
      <c r="H84" s="13">
        <v>4211</v>
      </c>
      <c r="I84" s="13">
        <v>4785</v>
      </c>
      <c r="J84" s="13">
        <v>5770</v>
      </c>
      <c r="K84" s="13">
        <v>7359</v>
      </c>
      <c r="L84" s="13">
        <v>6778</v>
      </c>
      <c r="M84" s="13">
        <v>4914</v>
      </c>
      <c r="N84" s="13">
        <v>7909</v>
      </c>
      <c r="O84" s="13">
        <v>4955</v>
      </c>
      <c r="P84" s="13">
        <v>6437</v>
      </c>
      <c r="Q84" s="13">
        <v>6879</v>
      </c>
      <c r="R84" s="13">
        <v>5983</v>
      </c>
      <c r="S84" s="12"/>
      <c r="T84" s="12"/>
      <c r="U84" s="28"/>
      <c r="V84" s="6"/>
      <c r="W84" s="6"/>
      <c r="X84" s="6"/>
      <c r="Y84" s="6"/>
      <c r="Z84" s="6"/>
      <c r="AA84" s="6"/>
      <c r="AB84" s="6"/>
    </row>
    <row r="85" spans="1:28" ht="14.4" x14ac:dyDescent="0.4">
      <c r="A85" s="4" t="s">
        <v>85</v>
      </c>
      <c r="B85" s="11"/>
      <c r="C85" s="11"/>
      <c r="D85" s="11"/>
      <c r="E85" s="25"/>
      <c r="F85" s="13">
        <v>5504</v>
      </c>
      <c r="G85" s="13">
        <v>4058</v>
      </c>
      <c r="H85" s="13">
        <v>2845</v>
      </c>
      <c r="I85" s="13">
        <v>3195</v>
      </c>
      <c r="J85" s="13">
        <v>3899</v>
      </c>
      <c r="K85" s="13">
        <v>5043</v>
      </c>
      <c r="L85" s="13">
        <v>4690</v>
      </c>
      <c r="M85" s="13">
        <v>3275</v>
      </c>
      <c r="N85" s="13">
        <v>5188</v>
      </c>
      <c r="O85" s="13">
        <v>3079</v>
      </c>
      <c r="P85" s="13">
        <v>3963</v>
      </c>
      <c r="Q85" s="13">
        <v>5017</v>
      </c>
      <c r="R85" s="13">
        <v>4435</v>
      </c>
      <c r="S85" s="12"/>
      <c r="T85" s="12"/>
      <c r="U85" s="28"/>
      <c r="V85" s="6"/>
      <c r="W85" s="6"/>
      <c r="X85" s="6"/>
      <c r="Y85" s="6"/>
      <c r="Z85" s="6"/>
      <c r="AA85" s="6"/>
      <c r="AB85" s="6"/>
    </row>
    <row r="86" spans="1:28" ht="14.4" x14ac:dyDescent="0.4">
      <c r="A86" s="3" t="s">
        <v>86</v>
      </c>
      <c r="B86" s="8">
        <v>1258718</v>
      </c>
      <c r="C86" s="8">
        <v>54974</v>
      </c>
      <c r="D86" s="8">
        <v>36583</v>
      </c>
      <c r="E86" s="24"/>
      <c r="F86" s="9">
        <v>161457</v>
      </c>
      <c r="G86" s="9">
        <v>100655</v>
      </c>
      <c r="H86" s="9">
        <v>102383</v>
      </c>
      <c r="I86" s="9">
        <v>181073</v>
      </c>
      <c r="J86" s="9">
        <v>176744</v>
      </c>
      <c r="K86" s="9">
        <v>116122</v>
      </c>
      <c r="L86" s="9">
        <v>145030</v>
      </c>
      <c r="M86" s="9">
        <v>97298</v>
      </c>
      <c r="N86" s="9">
        <v>131349</v>
      </c>
      <c r="O86" s="9">
        <v>46607</v>
      </c>
      <c r="P86" s="10"/>
      <c r="Q86" s="10"/>
      <c r="R86" s="10"/>
      <c r="S86" s="10"/>
      <c r="T86" s="10"/>
      <c r="U86" s="28"/>
      <c r="V86" s="7">
        <f>SUM(F86:T86)</f>
        <v>1258718</v>
      </c>
      <c r="W86" s="7">
        <f>SUM(F87:T87)</f>
        <v>54974</v>
      </c>
      <c r="X86" s="7">
        <f>SUM(F88:T88)</f>
        <v>36583</v>
      </c>
      <c r="Y86" s="7"/>
      <c r="Z86" s="7">
        <f>V86-B86</f>
        <v>0</v>
      </c>
      <c r="AA86" s="7">
        <f>W86-C86</f>
        <v>0</v>
      </c>
      <c r="AB86" s="7">
        <f>X86-D86</f>
        <v>0</v>
      </c>
    </row>
    <row r="87" spans="1:28" ht="14.4" x14ac:dyDescent="0.4">
      <c r="A87" s="4" t="s">
        <v>87</v>
      </c>
      <c r="B87" s="11"/>
      <c r="C87" s="11"/>
      <c r="D87" s="11"/>
      <c r="E87" s="25"/>
      <c r="F87" s="13">
        <v>6589</v>
      </c>
      <c r="G87" s="13">
        <v>3937</v>
      </c>
      <c r="H87" s="13">
        <v>4387</v>
      </c>
      <c r="I87" s="13">
        <v>7498</v>
      </c>
      <c r="J87" s="13">
        <v>8646</v>
      </c>
      <c r="K87" s="13">
        <v>5316</v>
      </c>
      <c r="L87" s="13">
        <v>6220</v>
      </c>
      <c r="M87" s="13">
        <v>3930</v>
      </c>
      <c r="N87" s="13">
        <v>6396</v>
      </c>
      <c r="O87" s="13">
        <v>2055</v>
      </c>
      <c r="P87" s="12"/>
      <c r="Q87" s="12"/>
      <c r="R87" s="12"/>
      <c r="S87" s="12"/>
      <c r="T87" s="12"/>
      <c r="U87" s="28"/>
      <c r="V87" s="6"/>
      <c r="W87" s="6"/>
      <c r="X87" s="6"/>
      <c r="Y87" s="6"/>
      <c r="Z87" s="6"/>
      <c r="AA87" s="6"/>
      <c r="AB87" s="6"/>
    </row>
    <row r="88" spans="1:28" ht="14.4" x14ac:dyDescent="0.4">
      <c r="A88" s="4" t="s">
        <v>88</v>
      </c>
      <c r="B88" s="11"/>
      <c r="C88" s="11"/>
      <c r="D88" s="11"/>
      <c r="E88" s="25"/>
      <c r="F88" s="13">
        <v>4664</v>
      </c>
      <c r="G88" s="13">
        <v>2532</v>
      </c>
      <c r="H88" s="13">
        <v>3489</v>
      </c>
      <c r="I88" s="13">
        <v>5078</v>
      </c>
      <c r="J88" s="13">
        <v>5750</v>
      </c>
      <c r="K88" s="13">
        <v>3165</v>
      </c>
      <c r="L88" s="13">
        <v>4239</v>
      </c>
      <c r="M88" s="13">
        <v>2109</v>
      </c>
      <c r="N88" s="13">
        <v>4385</v>
      </c>
      <c r="O88" s="13">
        <v>1172</v>
      </c>
      <c r="P88" s="12"/>
      <c r="Q88" s="12"/>
      <c r="R88" s="12"/>
      <c r="S88" s="12"/>
      <c r="T88" s="12"/>
      <c r="U88" s="28"/>
      <c r="V88" s="6"/>
      <c r="W88" s="6"/>
      <c r="X88" s="6"/>
      <c r="Y88" s="6"/>
      <c r="Z88" s="6"/>
      <c r="AA88" s="6"/>
      <c r="AB88" s="6"/>
    </row>
    <row r="89" spans="1:28" ht="14.4" x14ac:dyDescent="0.4">
      <c r="A89" s="3" t="s">
        <v>89</v>
      </c>
      <c r="B89" s="8">
        <v>2650756</v>
      </c>
      <c r="C89" s="8">
        <v>139267</v>
      </c>
      <c r="D89" s="8">
        <v>89062</v>
      </c>
      <c r="E89" s="24"/>
      <c r="F89" s="9">
        <v>246899</v>
      </c>
      <c r="G89" s="9">
        <v>255859</v>
      </c>
      <c r="H89" s="9">
        <v>274926</v>
      </c>
      <c r="I89" s="9">
        <v>336312</v>
      </c>
      <c r="J89" s="9">
        <v>201058</v>
      </c>
      <c r="K89" s="9">
        <v>126593</v>
      </c>
      <c r="L89" s="9">
        <v>205842</v>
      </c>
      <c r="M89" s="9">
        <v>170375</v>
      </c>
      <c r="N89" s="9">
        <v>183232</v>
      </c>
      <c r="O89" s="9">
        <v>182142</v>
      </c>
      <c r="P89" s="9">
        <v>288525</v>
      </c>
      <c r="Q89" s="9">
        <v>178993</v>
      </c>
      <c r="R89" s="10"/>
      <c r="S89" s="10"/>
      <c r="T89" s="10"/>
      <c r="U89" s="28"/>
      <c r="V89" s="7">
        <f>SUM(F89:T89)</f>
        <v>2650756</v>
      </c>
      <c r="W89" s="7">
        <f>SUM(F90:T90)</f>
        <v>139267</v>
      </c>
      <c r="X89" s="7">
        <f>SUM(F91:T91)</f>
        <v>89062</v>
      </c>
      <c r="Y89" s="7"/>
      <c r="Z89" s="7">
        <f>V89-B89</f>
        <v>0</v>
      </c>
      <c r="AA89" s="7">
        <f>W89-C89</f>
        <v>0</v>
      </c>
      <c r="AB89" s="7">
        <f>X89-D89</f>
        <v>0</v>
      </c>
    </row>
    <row r="90" spans="1:28" ht="14.4" x14ac:dyDescent="0.4">
      <c r="A90" s="4" t="s">
        <v>90</v>
      </c>
      <c r="B90" s="11"/>
      <c r="C90" s="11"/>
      <c r="D90" s="11"/>
      <c r="E90" s="25"/>
      <c r="F90" s="13">
        <v>13218</v>
      </c>
      <c r="G90" s="13">
        <v>12184</v>
      </c>
      <c r="H90" s="13">
        <v>15226</v>
      </c>
      <c r="I90" s="13">
        <v>17838</v>
      </c>
      <c r="J90" s="13">
        <v>9821</v>
      </c>
      <c r="K90" s="13">
        <v>5302</v>
      </c>
      <c r="L90" s="13">
        <v>11937</v>
      </c>
      <c r="M90" s="13">
        <v>9013</v>
      </c>
      <c r="N90" s="13">
        <v>9998</v>
      </c>
      <c r="O90" s="13">
        <v>10159</v>
      </c>
      <c r="P90" s="13">
        <v>15118</v>
      </c>
      <c r="Q90" s="13">
        <v>9453</v>
      </c>
      <c r="R90" s="12"/>
      <c r="S90" s="12"/>
      <c r="T90" s="12"/>
      <c r="U90" s="28"/>
      <c r="V90" s="6"/>
      <c r="W90" s="6"/>
      <c r="X90" s="6"/>
      <c r="Y90" s="6"/>
      <c r="Z90" s="6"/>
      <c r="AA90" s="6"/>
      <c r="AB90" s="6"/>
    </row>
    <row r="91" spans="1:28" ht="14.4" x14ac:dyDescent="0.4">
      <c r="A91" s="4" t="s">
        <v>91</v>
      </c>
      <c r="B91" s="11"/>
      <c r="C91" s="11"/>
      <c r="D91" s="11"/>
      <c r="E91" s="25"/>
      <c r="F91" s="13">
        <v>9555</v>
      </c>
      <c r="G91" s="13">
        <v>9049</v>
      </c>
      <c r="H91" s="13">
        <v>8712</v>
      </c>
      <c r="I91" s="13">
        <v>10137</v>
      </c>
      <c r="J91" s="13">
        <v>7576</v>
      </c>
      <c r="K91" s="13">
        <v>3598</v>
      </c>
      <c r="L91" s="13">
        <v>8837</v>
      </c>
      <c r="M91" s="13">
        <v>5455</v>
      </c>
      <c r="N91" s="13">
        <v>5846</v>
      </c>
      <c r="O91" s="13">
        <v>5246</v>
      </c>
      <c r="P91" s="13">
        <v>9768</v>
      </c>
      <c r="Q91" s="13">
        <v>5283</v>
      </c>
      <c r="R91" s="12"/>
      <c r="S91" s="12"/>
      <c r="T91" s="12"/>
      <c r="U91" s="28"/>
      <c r="V91" s="6"/>
      <c r="W91" s="6"/>
      <c r="X91" s="6"/>
      <c r="Y91" s="6"/>
      <c r="Z91" s="6"/>
      <c r="AA91" s="6"/>
      <c r="AB91" s="6"/>
    </row>
    <row r="92" spans="1:28" ht="14.4" x14ac:dyDescent="0.4">
      <c r="A92" s="3" t="s">
        <v>92</v>
      </c>
      <c r="B92" s="8">
        <v>2924015</v>
      </c>
      <c r="C92" s="8">
        <v>153745</v>
      </c>
      <c r="D92" s="8">
        <v>101070</v>
      </c>
      <c r="E92" s="24"/>
      <c r="F92" s="9">
        <v>202353</v>
      </c>
      <c r="G92" s="9">
        <v>356805</v>
      </c>
      <c r="H92" s="9">
        <v>211877</v>
      </c>
      <c r="I92" s="9">
        <v>270897</v>
      </c>
      <c r="J92" s="9">
        <v>264920</v>
      </c>
      <c r="K92" s="9">
        <v>213615</v>
      </c>
      <c r="L92" s="9">
        <v>218218</v>
      </c>
      <c r="M92" s="9">
        <v>348894</v>
      </c>
      <c r="N92" s="9">
        <v>202571</v>
      </c>
      <c r="O92" s="9">
        <v>279865</v>
      </c>
      <c r="P92" s="9">
        <v>354000</v>
      </c>
      <c r="Q92" s="10"/>
      <c r="R92" s="10"/>
      <c r="S92" s="10"/>
      <c r="T92" s="10"/>
      <c r="U92" s="28"/>
      <c r="V92" s="7">
        <f>SUM(F92:T92)</f>
        <v>2924015</v>
      </c>
      <c r="W92" s="7">
        <f>SUM(F93:T93)</f>
        <v>153745</v>
      </c>
      <c r="X92" s="7">
        <f>SUM(F94:T94)</f>
        <v>101070</v>
      </c>
      <c r="Y92" s="7"/>
      <c r="Z92" s="7">
        <f>V92-B92</f>
        <v>0</v>
      </c>
      <c r="AA92" s="7">
        <f>W92-C92</f>
        <v>0</v>
      </c>
      <c r="AB92" s="7">
        <f>X92-D92</f>
        <v>0</v>
      </c>
    </row>
    <row r="93" spans="1:28" ht="14.4" x14ac:dyDescent="0.4">
      <c r="A93" s="4" t="s">
        <v>93</v>
      </c>
      <c r="B93" s="11"/>
      <c r="C93" s="11"/>
      <c r="D93" s="11"/>
      <c r="E93" s="25"/>
      <c r="F93" s="13">
        <v>9502</v>
      </c>
      <c r="G93" s="13">
        <v>18121</v>
      </c>
      <c r="H93" s="13">
        <v>12242</v>
      </c>
      <c r="I93" s="13">
        <v>12739</v>
      </c>
      <c r="J93" s="13">
        <v>13972</v>
      </c>
      <c r="K93" s="13">
        <v>10953</v>
      </c>
      <c r="L93" s="13">
        <v>10149</v>
      </c>
      <c r="M93" s="13">
        <v>19703</v>
      </c>
      <c r="N93" s="13">
        <v>10300</v>
      </c>
      <c r="O93" s="13">
        <v>16146</v>
      </c>
      <c r="P93" s="13">
        <v>19918</v>
      </c>
      <c r="Q93" s="12"/>
      <c r="R93" s="12"/>
      <c r="S93" s="12"/>
      <c r="T93" s="12"/>
      <c r="U93" s="28"/>
      <c r="V93" s="6"/>
      <c r="W93" s="6"/>
      <c r="X93" s="6"/>
      <c r="Y93" s="6"/>
      <c r="Z93" s="6"/>
      <c r="AA93" s="6"/>
      <c r="AB93" s="6"/>
    </row>
    <row r="94" spans="1:28" ht="14.4" x14ac:dyDescent="0.4">
      <c r="A94" s="4" t="s">
        <v>94</v>
      </c>
      <c r="B94" s="11"/>
      <c r="C94" s="11"/>
      <c r="D94" s="11"/>
      <c r="E94" s="25"/>
      <c r="F94" s="13">
        <v>6951</v>
      </c>
      <c r="G94" s="13">
        <v>11260</v>
      </c>
      <c r="H94" s="13">
        <v>8511</v>
      </c>
      <c r="I94" s="13">
        <v>7897</v>
      </c>
      <c r="J94" s="13">
        <v>9238</v>
      </c>
      <c r="K94" s="13">
        <v>8465</v>
      </c>
      <c r="L94" s="13">
        <v>6319</v>
      </c>
      <c r="M94" s="13">
        <v>13301</v>
      </c>
      <c r="N94" s="13">
        <v>6705</v>
      </c>
      <c r="O94" s="13">
        <v>10166</v>
      </c>
      <c r="P94" s="13">
        <v>12257</v>
      </c>
      <c r="Q94" s="12"/>
      <c r="R94" s="12"/>
      <c r="S94" s="12"/>
      <c r="T94" s="12"/>
      <c r="U94" s="28"/>
      <c r="V94" s="6"/>
      <c r="W94" s="6"/>
      <c r="X94" s="6"/>
      <c r="Y94" s="6"/>
      <c r="Z94" s="6"/>
      <c r="AA94" s="6"/>
      <c r="AB94" s="6"/>
    </row>
    <row r="95" spans="1:28" ht="14.4" x14ac:dyDescent="0.4">
      <c r="A95" s="3" t="s">
        <v>95</v>
      </c>
      <c r="B95" s="8">
        <v>1587278</v>
      </c>
      <c r="C95" s="8">
        <v>92192</v>
      </c>
      <c r="D95" s="8">
        <v>49802</v>
      </c>
      <c r="E95" s="24"/>
      <c r="F95" s="9">
        <v>224576</v>
      </c>
      <c r="G95" s="9">
        <v>216619</v>
      </c>
      <c r="H95" s="9">
        <v>225105</v>
      </c>
      <c r="I95" s="9">
        <v>159509</v>
      </c>
      <c r="J95" s="9">
        <v>204950</v>
      </c>
      <c r="K95" s="9">
        <v>213371</v>
      </c>
      <c r="L95" s="9">
        <v>194642</v>
      </c>
      <c r="M95" s="9">
        <v>148506</v>
      </c>
      <c r="N95" s="10"/>
      <c r="O95" s="10"/>
      <c r="P95" s="10"/>
      <c r="Q95" s="10"/>
      <c r="R95" s="10"/>
      <c r="S95" s="10"/>
      <c r="T95" s="10"/>
      <c r="U95" s="28"/>
      <c r="V95" s="7">
        <f>SUM(F95:T95)</f>
        <v>1587278</v>
      </c>
      <c r="W95" s="7">
        <f>SUM(F96:T96)</f>
        <v>92192</v>
      </c>
      <c r="X95" s="7">
        <f>SUM(F97:T97)</f>
        <v>49802</v>
      </c>
      <c r="Y95" s="7"/>
      <c r="Z95" s="7">
        <f>V95-B95</f>
        <v>0</v>
      </c>
      <c r="AA95" s="7">
        <f>W95-C95</f>
        <v>0</v>
      </c>
      <c r="AB95" s="7">
        <f>X95-D95</f>
        <v>0</v>
      </c>
    </row>
    <row r="96" spans="1:28" ht="14.4" x14ac:dyDescent="0.4">
      <c r="A96" s="4" t="s">
        <v>96</v>
      </c>
      <c r="B96" s="11"/>
      <c r="C96" s="11"/>
      <c r="D96" s="11"/>
      <c r="E96" s="25"/>
      <c r="F96" s="13">
        <v>12093</v>
      </c>
      <c r="G96" s="13">
        <v>10086</v>
      </c>
      <c r="H96" s="13">
        <v>12849</v>
      </c>
      <c r="I96" s="13">
        <v>10128</v>
      </c>
      <c r="J96" s="13">
        <v>12427</v>
      </c>
      <c r="K96" s="13">
        <v>11008</v>
      </c>
      <c r="L96" s="13">
        <v>12089</v>
      </c>
      <c r="M96" s="13">
        <v>11512</v>
      </c>
      <c r="N96" s="12"/>
      <c r="O96" s="12"/>
      <c r="P96" s="12"/>
      <c r="Q96" s="12"/>
      <c r="R96" s="12"/>
      <c r="S96" s="12"/>
      <c r="T96" s="12"/>
      <c r="U96" s="28"/>
      <c r="V96" s="6"/>
      <c r="W96" s="6"/>
      <c r="X96" s="6"/>
      <c r="Y96" s="6"/>
      <c r="Z96" s="6"/>
      <c r="AA96" s="6"/>
      <c r="AB96" s="6"/>
    </row>
    <row r="97" spans="1:28" ht="14.4" x14ac:dyDescent="0.4">
      <c r="A97" s="4" t="s">
        <v>97</v>
      </c>
      <c r="B97" s="11"/>
      <c r="C97" s="11"/>
      <c r="D97" s="11"/>
      <c r="E97" s="25"/>
      <c r="F97" s="13">
        <v>5862</v>
      </c>
      <c r="G97" s="13">
        <v>5522</v>
      </c>
      <c r="H97" s="13">
        <v>8593</v>
      </c>
      <c r="I97" s="13">
        <v>4998</v>
      </c>
      <c r="J97" s="13">
        <v>7424</v>
      </c>
      <c r="K97" s="13">
        <v>5007</v>
      </c>
      <c r="L97" s="13">
        <v>5349</v>
      </c>
      <c r="M97" s="13">
        <v>7047</v>
      </c>
      <c r="N97" s="12"/>
      <c r="O97" s="12"/>
      <c r="P97" s="12"/>
      <c r="Q97" s="12"/>
      <c r="R97" s="12"/>
      <c r="S97" s="12"/>
      <c r="T97" s="12"/>
      <c r="U97" s="28"/>
      <c r="V97" s="6"/>
      <c r="W97" s="6"/>
      <c r="X97" s="6"/>
      <c r="Y97" s="6"/>
      <c r="Z97" s="6"/>
      <c r="AA97" s="6"/>
      <c r="AB97" s="6"/>
    </row>
    <row r="98" spans="1:28" ht="14.4" x14ac:dyDescent="0.4">
      <c r="A98" s="3" t="s">
        <v>98</v>
      </c>
      <c r="B98" s="8">
        <v>2149445</v>
      </c>
      <c r="C98" s="8">
        <v>104595</v>
      </c>
      <c r="D98" s="8">
        <v>69104</v>
      </c>
      <c r="E98" s="24"/>
      <c r="F98" s="9">
        <v>365165</v>
      </c>
      <c r="G98" s="9">
        <v>99880</v>
      </c>
      <c r="H98" s="9">
        <v>191684</v>
      </c>
      <c r="I98" s="9">
        <v>190539</v>
      </c>
      <c r="J98" s="9">
        <v>122362</v>
      </c>
      <c r="K98" s="9">
        <v>174589</v>
      </c>
      <c r="L98" s="9">
        <v>182199</v>
      </c>
      <c r="M98" s="9">
        <v>105702</v>
      </c>
      <c r="N98" s="9">
        <v>159667</v>
      </c>
      <c r="O98" s="9">
        <v>115985</v>
      </c>
      <c r="P98" s="9">
        <v>297636</v>
      </c>
      <c r="Q98" s="9">
        <v>144037</v>
      </c>
      <c r="R98" s="10"/>
      <c r="S98" s="10"/>
      <c r="T98" s="10"/>
      <c r="U98" s="28"/>
      <c r="V98" s="7">
        <f>SUM(F98:T98)</f>
        <v>2149445</v>
      </c>
      <c r="W98" s="7">
        <f>SUM(F99:T99)</f>
        <v>104595</v>
      </c>
      <c r="X98" s="7">
        <f>SUM(F100:T100)</f>
        <v>69104</v>
      </c>
      <c r="Y98" s="7"/>
      <c r="Z98" s="7">
        <f>V98-B98</f>
        <v>0</v>
      </c>
      <c r="AA98" s="7">
        <f>W98-C98</f>
        <v>0</v>
      </c>
      <c r="AB98" s="7">
        <f>X98-D98</f>
        <v>0</v>
      </c>
    </row>
    <row r="99" spans="1:28" ht="14.4" x14ac:dyDescent="0.4">
      <c r="A99" s="4" t="s">
        <v>99</v>
      </c>
      <c r="B99" s="11"/>
      <c r="C99" s="11"/>
      <c r="D99" s="11"/>
      <c r="E99" s="25"/>
      <c r="F99" s="13">
        <v>15234</v>
      </c>
      <c r="G99" s="13">
        <v>4444</v>
      </c>
      <c r="H99" s="13">
        <v>9199</v>
      </c>
      <c r="I99" s="13">
        <v>9288</v>
      </c>
      <c r="J99" s="13">
        <v>6358</v>
      </c>
      <c r="K99" s="13">
        <v>9404</v>
      </c>
      <c r="L99" s="13">
        <v>9424</v>
      </c>
      <c r="M99" s="13">
        <v>5608</v>
      </c>
      <c r="N99" s="13">
        <v>7673</v>
      </c>
      <c r="O99" s="13">
        <v>5846</v>
      </c>
      <c r="P99" s="13">
        <v>14870</v>
      </c>
      <c r="Q99" s="13">
        <v>7247</v>
      </c>
      <c r="R99" s="12"/>
      <c r="S99" s="12"/>
      <c r="T99" s="12"/>
      <c r="U99" s="28"/>
      <c r="V99" s="6"/>
      <c r="W99" s="6"/>
      <c r="X99" s="6"/>
      <c r="Y99" s="6"/>
      <c r="Z99" s="6"/>
      <c r="AA99" s="6"/>
      <c r="AB99" s="6"/>
    </row>
    <row r="100" spans="1:28" ht="14.4" x14ac:dyDescent="0.4">
      <c r="A100" s="4" t="s">
        <v>100</v>
      </c>
      <c r="B100" s="11"/>
      <c r="C100" s="11"/>
      <c r="D100" s="11"/>
      <c r="E100" s="25"/>
      <c r="F100" s="13">
        <v>11808</v>
      </c>
      <c r="G100" s="13">
        <v>3603</v>
      </c>
      <c r="H100" s="13">
        <v>6418</v>
      </c>
      <c r="I100" s="13">
        <v>5693</v>
      </c>
      <c r="J100" s="13">
        <v>4134</v>
      </c>
      <c r="K100" s="13">
        <v>5605</v>
      </c>
      <c r="L100" s="13">
        <v>5327</v>
      </c>
      <c r="M100" s="13">
        <v>3608</v>
      </c>
      <c r="N100" s="13">
        <v>4778</v>
      </c>
      <c r="O100" s="13">
        <v>3602</v>
      </c>
      <c r="P100" s="13">
        <v>9526</v>
      </c>
      <c r="Q100" s="13">
        <v>5002</v>
      </c>
      <c r="R100" s="12"/>
      <c r="S100" s="12"/>
      <c r="T100" s="12"/>
      <c r="U100" s="28"/>
      <c r="V100" s="6"/>
      <c r="W100" s="6"/>
      <c r="X100" s="6"/>
      <c r="Y100" s="6"/>
      <c r="Z100" s="6"/>
      <c r="AA100" s="6"/>
      <c r="AB100" s="6"/>
    </row>
    <row r="101" spans="1:28" ht="14.4" x14ac:dyDescent="0.4">
      <c r="A101" s="3" t="s">
        <v>101</v>
      </c>
      <c r="B101" s="8">
        <v>1221377</v>
      </c>
      <c r="C101" s="8">
        <v>59813</v>
      </c>
      <c r="D101" s="8">
        <v>38318</v>
      </c>
      <c r="E101" s="24"/>
      <c r="F101" s="9">
        <v>110174</v>
      </c>
      <c r="G101" s="9">
        <v>76844</v>
      </c>
      <c r="H101" s="9">
        <v>225763</v>
      </c>
      <c r="I101" s="9">
        <v>128761</v>
      </c>
      <c r="J101" s="9">
        <v>90306</v>
      </c>
      <c r="K101" s="9">
        <v>51170</v>
      </c>
      <c r="L101" s="9">
        <v>123828</v>
      </c>
      <c r="M101" s="9">
        <v>117510</v>
      </c>
      <c r="N101" s="9">
        <v>157993</v>
      </c>
      <c r="O101" s="9">
        <v>69188</v>
      </c>
      <c r="P101" s="9">
        <v>69840</v>
      </c>
      <c r="Q101" s="10"/>
      <c r="R101" s="10"/>
      <c r="S101" s="10"/>
      <c r="T101" s="10"/>
      <c r="U101" s="28"/>
      <c r="V101" s="7">
        <f>SUM(F101:T101)</f>
        <v>1221377</v>
      </c>
      <c r="W101" s="7">
        <f>SUM(F102:T102)</f>
        <v>59813</v>
      </c>
      <c r="X101" s="7">
        <f>SUM(F103:T103)</f>
        <v>38318</v>
      </c>
      <c r="Y101" s="7"/>
      <c r="Z101" s="7">
        <f>V101-B101</f>
        <v>0</v>
      </c>
      <c r="AA101" s="7">
        <f>W101-C101</f>
        <v>0</v>
      </c>
      <c r="AB101" s="7">
        <f>X101-D101</f>
        <v>0</v>
      </c>
    </row>
    <row r="102" spans="1:28" ht="14.4" x14ac:dyDescent="0.4">
      <c r="A102" s="4" t="s">
        <v>102</v>
      </c>
      <c r="B102" s="11"/>
      <c r="C102" s="11"/>
      <c r="D102" s="11"/>
      <c r="E102" s="25"/>
      <c r="F102" s="13">
        <v>4658</v>
      </c>
      <c r="G102" s="13">
        <v>3021</v>
      </c>
      <c r="H102" s="13">
        <v>12935</v>
      </c>
      <c r="I102" s="13">
        <v>6609</v>
      </c>
      <c r="J102" s="13">
        <v>4850</v>
      </c>
      <c r="K102" s="13">
        <v>2157</v>
      </c>
      <c r="L102" s="13">
        <v>6408</v>
      </c>
      <c r="M102" s="13">
        <v>4839</v>
      </c>
      <c r="N102" s="13">
        <v>8143</v>
      </c>
      <c r="O102" s="13">
        <v>3326</v>
      </c>
      <c r="P102" s="13">
        <v>2867</v>
      </c>
      <c r="Q102" s="12"/>
      <c r="R102" s="12"/>
      <c r="S102" s="12"/>
      <c r="T102" s="12"/>
      <c r="U102" s="28"/>
      <c r="V102" s="6"/>
      <c r="W102" s="6"/>
      <c r="X102" s="6"/>
      <c r="Y102" s="6"/>
      <c r="Z102" s="6"/>
      <c r="AA102" s="6"/>
      <c r="AB102" s="6"/>
    </row>
    <row r="103" spans="1:28" ht="14.4" x14ac:dyDescent="0.4">
      <c r="A103" s="4" t="s">
        <v>103</v>
      </c>
      <c r="B103" s="11"/>
      <c r="C103" s="11"/>
      <c r="D103" s="11"/>
      <c r="E103" s="25"/>
      <c r="F103" s="13">
        <v>3252</v>
      </c>
      <c r="G103" s="13">
        <v>2812</v>
      </c>
      <c r="H103" s="13">
        <v>6887</v>
      </c>
      <c r="I103" s="13">
        <v>3708</v>
      </c>
      <c r="J103" s="13">
        <v>2958</v>
      </c>
      <c r="K103" s="13">
        <v>2013</v>
      </c>
      <c r="L103" s="13">
        <v>4770</v>
      </c>
      <c r="M103" s="13">
        <v>2837</v>
      </c>
      <c r="N103" s="13">
        <v>4895</v>
      </c>
      <c r="O103" s="13">
        <v>2223</v>
      </c>
      <c r="P103" s="13">
        <v>1963</v>
      </c>
      <c r="Q103" s="12"/>
      <c r="R103" s="12"/>
      <c r="S103" s="12"/>
      <c r="T103" s="12"/>
      <c r="U103" s="28"/>
      <c r="V103" s="6"/>
      <c r="W103" s="6"/>
      <c r="X103" s="6"/>
      <c r="Y103" s="6"/>
      <c r="Z103" s="6"/>
      <c r="AA103" s="6"/>
      <c r="AB103" s="6"/>
    </row>
    <row r="104" spans="1:28" ht="14.4" x14ac:dyDescent="0.4">
      <c r="A104" s="3" t="s">
        <v>104</v>
      </c>
      <c r="B104" s="8">
        <v>1367905</v>
      </c>
      <c r="C104" s="8">
        <v>64132</v>
      </c>
      <c r="D104" s="8">
        <v>50244</v>
      </c>
      <c r="E104" s="24"/>
      <c r="F104" s="9">
        <v>170885</v>
      </c>
      <c r="G104" s="9">
        <v>72361</v>
      </c>
      <c r="H104" s="9">
        <v>112017</v>
      </c>
      <c r="I104" s="9">
        <v>104465</v>
      </c>
      <c r="J104" s="9">
        <v>110974</v>
      </c>
      <c r="K104" s="9">
        <v>131930</v>
      </c>
      <c r="L104" s="9">
        <v>103168</v>
      </c>
      <c r="M104" s="9">
        <v>140072</v>
      </c>
      <c r="N104" s="9">
        <v>172426</v>
      </c>
      <c r="O104" s="9">
        <v>62302</v>
      </c>
      <c r="P104" s="9">
        <v>56010</v>
      </c>
      <c r="Q104" s="9">
        <v>131295</v>
      </c>
      <c r="R104" s="10"/>
      <c r="S104" s="10"/>
      <c r="T104" s="10"/>
      <c r="U104" s="28"/>
      <c r="V104" s="7">
        <f>SUM(F104:T104)</f>
        <v>1367905</v>
      </c>
      <c r="W104" s="7">
        <f>SUM(F105:T105)</f>
        <v>64132</v>
      </c>
      <c r="X104" s="7">
        <f>SUM(F106:T106)</f>
        <v>50244</v>
      </c>
      <c r="Y104" s="7"/>
      <c r="Z104" s="7">
        <f>V104-B104</f>
        <v>0</v>
      </c>
      <c r="AA104" s="7">
        <f>W104-C104</f>
        <v>0</v>
      </c>
      <c r="AB104" s="7">
        <f>X104-D104</f>
        <v>0</v>
      </c>
    </row>
    <row r="105" spans="1:28" ht="14.4" x14ac:dyDescent="0.4">
      <c r="A105" s="4" t="s">
        <v>105</v>
      </c>
      <c r="B105" s="11"/>
      <c r="C105" s="11"/>
      <c r="D105" s="11"/>
      <c r="E105" s="25"/>
      <c r="F105" s="13">
        <v>7536</v>
      </c>
      <c r="G105" s="13">
        <v>3380</v>
      </c>
      <c r="H105" s="13">
        <v>4655</v>
      </c>
      <c r="I105" s="13">
        <v>6080</v>
      </c>
      <c r="J105" s="13">
        <v>4681</v>
      </c>
      <c r="K105" s="13">
        <v>6360</v>
      </c>
      <c r="L105" s="13">
        <v>4849</v>
      </c>
      <c r="M105" s="13">
        <v>7119</v>
      </c>
      <c r="N105" s="13">
        <v>8006</v>
      </c>
      <c r="O105" s="13">
        <v>2459</v>
      </c>
      <c r="P105" s="13">
        <v>2366</v>
      </c>
      <c r="Q105" s="13">
        <v>6641</v>
      </c>
      <c r="R105" s="12"/>
      <c r="S105" s="12"/>
      <c r="T105" s="12"/>
      <c r="U105" s="28"/>
      <c r="V105" s="6"/>
      <c r="W105" s="6"/>
      <c r="X105" s="6"/>
      <c r="Y105" s="6"/>
      <c r="Z105" s="6"/>
      <c r="AA105" s="6"/>
      <c r="AB105" s="6"/>
    </row>
    <row r="106" spans="1:28" ht="14.4" x14ac:dyDescent="0.4">
      <c r="A106" s="4" t="s">
        <v>106</v>
      </c>
      <c r="B106" s="11"/>
      <c r="C106" s="11"/>
      <c r="D106" s="11"/>
      <c r="E106" s="25"/>
      <c r="F106" s="13">
        <v>6246</v>
      </c>
      <c r="G106" s="13">
        <v>2903</v>
      </c>
      <c r="H106" s="13">
        <v>3528</v>
      </c>
      <c r="I106" s="13">
        <v>4080</v>
      </c>
      <c r="J106" s="13">
        <v>3613</v>
      </c>
      <c r="K106" s="13">
        <v>5759</v>
      </c>
      <c r="L106" s="13">
        <v>3081</v>
      </c>
      <c r="M106" s="13">
        <v>6518</v>
      </c>
      <c r="N106" s="13">
        <v>6036</v>
      </c>
      <c r="O106" s="13">
        <v>1502</v>
      </c>
      <c r="P106" s="13">
        <v>1744</v>
      </c>
      <c r="Q106" s="13">
        <v>5234</v>
      </c>
      <c r="R106" s="12"/>
      <c r="S106" s="12"/>
      <c r="T106" s="12"/>
      <c r="U106" s="28"/>
      <c r="V106" s="6"/>
      <c r="W106" s="6"/>
      <c r="X106" s="6"/>
      <c r="Y106" s="6"/>
      <c r="Z106" s="6"/>
      <c r="AA106" s="6"/>
      <c r="AB106" s="6"/>
    </row>
    <row r="107" spans="1:28" ht="14.4" x14ac:dyDescent="0.4">
      <c r="A107" s="3" t="s">
        <v>107</v>
      </c>
      <c r="B107" s="8">
        <v>2513700</v>
      </c>
      <c r="C107" s="8">
        <v>121877</v>
      </c>
      <c r="D107" s="8">
        <v>73397</v>
      </c>
      <c r="E107" s="24"/>
      <c r="F107" s="9">
        <v>232000</v>
      </c>
      <c r="G107" s="9">
        <v>182000</v>
      </c>
      <c r="H107" s="9">
        <v>193200</v>
      </c>
      <c r="I107" s="9">
        <v>117550</v>
      </c>
      <c r="J107" s="9">
        <v>184600</v>
      </c>
      <c r="K107" s="9">
        <v>129000</v>
      </c>
      <c r="L107" s="9">
        <v>180100</v>
      </c>
      <c r="M107" s="9">
        <v>191150</v>
      </c>
      <c r="N107" s="9">
        <v>165200</v>
      </c>
      <c r="O107" s="9">
        <v>155800</v>
      </c>
      <c r="P107" s="9">
        <v>162700</v>
      </c>
      <c r="Q107" s="9">
        <v>156300</v>
      </c>
      <c r="R107" s="9">
        <v>168600</v>
      </c>
      <c r="S107" s="9">
        <v>137900</v>
      </c>
      <c r="T107" s="9">
        <v>57600</v>
      </c>
      <c r="U107" s="28"/>
      <c r="V107" s="7">
        <f>SUM(F107:T107)</f>
        <v>2413700</v>
      </c>
      <c r="W107" s="7">
        <f>SUM(F108:T108)</f>
        <v>121802</v>
      </c>
      <c r="X107" s="7">
        <f>SUM(F109:T109)</f>
        <v>73397</v>
      </c>
      <c r="Y107" s="7"/>
      <c r="Z107" s="7">
        <f>V107-B107</f>
        <v>-100000</v>
      </c>
      <c r="AA107" s="7">
        <f>W107-C107</f>
        <v>-75</v>
      </c>
      <c r="AB107" s="7">
        <f>X107-D107</f>
        <v>0</v>
      </c>
    </row>
    <row r="108" spans="1:28" ht="14.4" x14ac:dyDescent="0.4">
      <c r="A108" s="4" t="s">
        <v>108</v>
      </c>
      <c r="B108" s="11"/>
      <c r="C108" s="11"/>
      <c r="D108" s="11"/>
      <c r="E108" s="25"/>
      <c r="F108" s="13">
        <v>10881</v>
      </c>
      <c r="G108" s="13">
        <v>9062</v>
      </c>
      <c r="H108" s="13">
        <v>8922</v>
      </c>
      <c r="I108" s="13">
        <v>6752</v>
      </c>
      <c r="J108" s="13">
        <v>8712</v>
      </c>
      <c r="K108" s="13">
        <v>6757</v>
      </c>
      <c r="L108" s="13">
        <v>8134</v>
      </c>
      <c r="M108" s="13">
        <v>10517</v>
      </c>
      <c r="N108" s="13">
        <v>7535</v>
      </c>
      <c r="O108" s="13">
        <v>8048</v>
      </c>
      <c r="P108" s="13">
        <v>7693</v>
      </c>
      <c r="Q108" s="13">
        <v>7678</v>
      </c>
      <c r="R108" s="13">
        <v>7225</v>
      </c>
      <c r="S108" s="13">
        <v>6242</v>
      </c>
      <c r="T108" s="13">
        <v>7644</v>
      </c>
      <c r="U108" s="28"/>
      <c r="V108" s="6"/>
      <c r="W108" s="6"/>
      <c r="X108" s="6"/>
      <c r="Y108" s="6"/>
      <c r="Z108" s="6"/>
      <c r="AA108" s="6"/>
      <c r="AB108" s="6"/>
    </row>
    <row r="109" spans="1:28" ht="14.4" x14ac:dyDescent="0.4">
      <c r="A109" s="4" t="s">
        <v>109</v>
      </c>
      <c r="B109" s="11"/>
      <c r="C109" s="11"/>
      <c r="D109" s="11"/>
      <c r="E109" s="25"/>
      <c r="F109" s="13">
        <v>7534</v>
      </c>
      <c r="G109" s="13">
        <v>5344</v>
      </c>
      <c r="H109" s="13">
        <v>4715</v>
      </c>
      <c r="I109" s="13">
        <v>4077</v>
      </c>
      <c r="J109" s="13">
        <v>4706</v>
      </c>
      <c r="K109" s="13">
        <v>4546</v>
      </c>
      <c r="L109" s="13">
        <v>5088</v>
      </c>
      <c r="M109" s="13">
        <v>5950</v>
      </c>
      <c r="N109" s="13">
        <v>5500</v>
      </c>
      <c r="O109" s="13">
        <v>5108</v>
      </c>
      <c r="P109" s="13">
        <v>4311</v>
      </c>
      <c r="Q109" s="13">
        <v>4937</v>
      </c>
      <c r="R109" s="13">
        <v>3822</v>
      </c>
      <c r="S109" s="13">
        <v>3269</v>
      </c>
      <c r="T109" s="13">
        <v>4490</v>
      </c>
      <c r="U109" s="28"/>
      <c r="V109" s="6"/>
      <c r="W109" s="6"/>
      <c r="X109" s="6"/>
      <c r="Y109" s="6"/>
      <c r="Z109" s="6"/>
      <c r="AA109" s="6"/>
      <c r="AB109" s="6"/>
    </row>
    <row r="110" spans="1:28" ht="14.4" x14ac:dyDescent="0.4">
      <c r="A110" s="3" t="s">
        <v>110</v>
      </c>
      <c r="B110" s="8">
        <v>779410</v>
      </c>
      <c r="C110" s="8">
        <v>33557</v>
      </c>
      <c r="D110" s="8">
        <v>27696</v>
      </c>
      <c r="E110" s="24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28"/>
      <c r="V110" s="7"/>
      <c r="W110" s="7"/>
      <c r="X110" s="7"/>
      <c r="Y110" s="7"/>
      <c r="Z110" s="7"/>
      <c r="AA110" s="7"/>
      <c r="AB110" s="7"/>
    </row>
    <row r="111" spans="1:28" ht="14.4" x14ac:dyDescent="0.4">
      <c r="A111" s="3" t="s">
        <v>111</v>
      </c>
      <c r="B111" s="8">
        <v>1479259</v>
      </c>
      <c r="C111" s="8">
        <v>69416</v>
      </c>
      <c r="D111" s="8">
        <v>52131</v>
      </c>
      <c r="E111" s="24"/>
      <c r="F111" s="9">
        <v>141102</v>
      </c>
      <c r="G111" s="9">
        <v>173239</v>
      </c>
      <c r="H111" s="9">
        <v>146596</v>
      </c>
      <c r="I111" s="9">
        <v>57490</v>
      </c>
      <c r="J111" s="9">
        <v>92005</v>
      </c>
      <c r="K111" s="9">
        <v>147673</v>
      </c>
      <c r="L111" s="9">
        <v>92769</v>
      </c>
      <c r="M111" s="9">
        <v>121329</v>
      </c>
      <c r="N111" s="9">
        <v>132269</v>
      </c>
      <c r="O111" s="9">
        <v>70112</v>
      </c>
      <c r="P111" s="9">
        <v>104155</v>
      </c>
      <c r="Q111" s="9">
        <v>70596</v>
      </c>
      <c r="R111" s="9">
        <v>129934</v>
      </c>
      <c r="S111" s="10"/>
      <c r="T111" s="10"/>
      <c r="U111" s="28"/>
      <c r="V111" s="7">
        <f>SUM(F111:T111)</f>
        <v>1479269</v>
      </c>
      <c r="W111" s="7">
        <f>SUM(F112:T112)</f>
        <v>72406</v>
      </c>
      <c r="X111" s="7">
        <f>SUM(F113:T113)</f>
        <v>52031</v>
      </c>
      <c r="Y111" s="7"/>
      <c r="Z111" s="7">
        <f>V111-B111</f>
        <v>10</v>
      </c>
      <c r="AA111" s="7">
        <f>W111-C111</f>
        <v>2990</v>
      </c>
      <c r="AB111" s="7">
        <f>X111-D111</f>
        <v>-100</v>
      </c>
    </row>
    <row r="112" spans="1:28" ht="14.4" x14ac:dyDescent="0.4">
      <c r="A112" s="4" t="s">
        <v>112</v>
      </c>
      <c r="B112" s="11"/>
      <c r="C112" s="11"/>
      <c r="D112" s="11"/>
      <c r="E112" s="25"/>
      <c r="F112" s="13">
        <v>8764</v>
      </c>
      <c r="G112" s="13">
        <v>9962</v>
      </c>
      <c r="H112" s="13">
        <v>6577</v>
      </c>
      <c r="I112" s="13">
        <v>2906</v>
      </c>
      <c r="J112" s="13">
        <v>4052</v>
      </c>
      <c r="K112" s="13">
        <v>6065</v>
      </c>
      <c r="L112" s="13">
        <v>4340</v>
      </c>
      <c r="M112" s="13">
        <v>6024</v>
      </c>
      <c r="N112" s="13">
        <v>5126</v>
      </c>
      <c r="O112" s="13">
        <v>2928</v>
      </c>
      <c r="P112" s="13">
        <v>4231</v>
      </c>
      <c r="Q112" s="13">
        <v>3252</v>
      </c>
      <c r="R112" s="13">
        <v>8179</v>
      </c>
      <c r="S112" s="12"/>
      <c r="T112" s="12"/>
      <c r="U112" s="28"/>
      <c r="V112" s="6"/>
      <c r="W112" s="6"/>
      <c r="X112" s="6"/>
      <c r="Y112" s="6"/>
      <c r="Z112" s="6"/>
      <c r="AA112" s="6"/>
      <c r="AB112" s="6"/>
    </row>
    <row r="113" spans="1:28" ht="14.4" x14ac:dyDescent="0.4">
      <c r="A113" s="4" t="s">
        <v>113</v>
      </c>
      <c r="B113" s="11"/>
      <c r="C113" s="11"/>
      <c r="D113" s="11"/>
      <c r="E113" s="25"/>
      <c r="F113" s="13">
        <v>6638</v>
      </c>
      <c r="G113" s="13">
        <v>7269</v>
      </c>
      <c r="H113" s="13">
        <v>4221</v>
      </c>
      <c r="I113" s="13">
        <v>2272</v>
      </c>
      <c r="J113" s="13">
        <v>3362</v>
      </c>
      <c r="K113" s="13">
        <v>4519</v>
      </c>
      <c r="L113" s="13">
        <v>3239</v>
      </c>
      <c r="M113" s="13">
        <v>4685</v>
      </c>
      <c r="N113" s="13">
        <v>3103</v>
      </c>
      <c r="O113" s="13">
        <v>2769</v>
      </c>
      <c r="P113" s="13">
        <v>3051</v>
      </c>
      <c r="Q113" s="13">
        <v>3339</v>
      </c>
      <c r="R113" s="13">
        <v>3564</v>
      </c>
      <c r="S113" s="12"/>
      <c r="T113" s="12"/>
      <c r="U113" s="28"/>
      <c r="V113" s="6"/>
      <c r="W113" s="6"/>
      <c r="X113" s="6"/>
      <c r="Y113" s="6"/>
      <c r="Z113" s="6"/>
      <c r="AA113" s="6"/>
      <c r="AB113" s="6"/>
    </row>
    <row r="114" spans="1:28" ht="14.4" x14ac:dyDescent="0.4">
      <c r="A114" s="3" t="s">
        <v>114</v>
      </c>
      <c r="B114" s="8">
        <v>1523529</v>
      </c>
      <c r="C114" s="8">
        <v>85519</v>
      </c>
      <c r="D114" s="8">
        <v>62216</v>
      </c>
      <c r="E114" s="24"/>
      <c r="F114" s="9">
        <v>202200</v>
      </c>
      <c r="G114" s="9">
        <v>137354</v>
      </c>
      <c r="H114" s="9">
        <v>145008</v>
      </c>
      <c r="I114" s="9">
        <v>110633</v>
      </c>
      <c r="J114" s="9">
        <v>124413</v>
      </c>
      <c r="K114" s="9">
        <v>124133</v>
      </c>
      <c r="L114" s="9">
        <v>116439</v>
      </c>
      <c r="M114" s="9">
        <v>194673</v>
      </c>
      <c r="N114" s="9">
        <v>102146</v>
      </c>
      <c r="O114" s="9">
        <v>104613</v>
      </c>
      <c r="P114" s="9">
        <v>161917</v>
      </c>
      <c r="Q114" s="10"/>
      <c r="R114" s="10"/>
      <c r="S114" s="10"/>
      <c r="T114" s="10"/>
      <c r="U114" s="28"/>
      <c r="V114" s="7">
        <f>SUM(F114:T114)</f>
        <v>1523529</v>
      </c>
      <c r="W114" s="7">
        <f>SUM(F115:T115)</f>
        <v>85519</v>
      </c>
      <c r="X114" s="7">
        <f>SUM(F116:T116)</f>
        <v>62216</v>
      </c>
      <c r="Y114" s="7"/>
      <c r="Z114" s="7">
        <f>V114-B114</f>
        <v>0</v>
      </c>
      <c r="AA114" s="7">
        <f>W114-C114</f>
        <v>0</v>
      </c>
      <c r="AB114" s="7">
        <f>X114-D114</f>
        <v>0</v>
      </c>
    </row>
    <row r="115" spans="1:28" ht="14.4" x14ac:dyDescent="0.4">
      <c r="A115" s="4" t="s">
        <v>115</v>
      </c>
      <c r="B115" s="11"/>
      <c r="C115" s="11"/>
      <c r="D115" s="11"/>
      <c r="E115" s="25"/>
      <c r="F115" s="13">
        <v>10704</v>
      </c>
      <c r="G115" s="13">
        <v>8286</v>
      </c>
      <c r="H115" s="13">
        <v>8647</v>
      </c>
      <c r="I115" s="13">
        <v>6014</v>
      </c>
      <c r="J115" s="13">
        <v>6928</v>
      </c>
      <c r="K115" s="13">
        <v>6762</v>
      </c>
      <c r="L115" s="13">
        <v>6488</v>
      </c>
      <c r="M115" s="13">
        <v>11693</v>
      </c>
      <c r="N115" s="13">
        <v>5865</v>
      </c>
      <c r="O115" s="13">
        <v>5075</v>
      </c>
      <c r="P115" s="13">
        <v>9057</v>
      </c>
      <c r="Q115" s="12"/>
      <c r="R115" s="12"/>
      <c r="S115" s="12"/>
      <c r="T115" s="12"/>
      <c r="U115" s="28"/>
      <c r="V115" s="6"/>
      <c r="W115" s="6"/>
      <c r="X115" s="6"/>
      <c r="Y115" s="6"/>
      <c r="Z115" s="6"/>
      <c r="AA115" s="6"/>
      <c r="AB115" s="6"/>
    </row>
    <row r="116" spans="1:28" ht="14.4" x14ac:dyDescent="0.4">
      <c r="A116" s="4" t="s">
        <v>116</v>
      </c>
      <c r="B116" s="11"/>
      <c r="C116" s="11"/>
      <c r="D116" s="11"/>
      <c r="E116" s="25"/>
      <c r="F116" s="13">
        <v>8328</v>
      </c>
      <c r="G116" s="13">
        <v>5648</v>
      </c>
      <c r="H116" s="13">
        <v>6778</v>
      </c>
      <c r="I116" s="13">
        <v>4823</v>
      </c>
      <c r="J116" s="13">
        <v>4633</v>
      </c>
      <c r="K116" s="13">
        <v>4637</v>
      </c>
      <c r="L116" s="13">
        <v>4965</v>
      </c>
      <c r="M116" s="13">
        <v>7861</v>
      </c>
      <c r="N116" s="13">
        <v>4373</v>
      </c>
      <c r="O116" s="13">
        <v>4418</v>
      </c>
      <c r="P116" s="13">
        <v>5752</v>
      </c>
      <c r="Q116" s="12"/>
      <c r="R116" s="12"/>
      <c r="S116" s="12"/>
      <c r="T116" s="12"/>
      <c r="U116" s="28"/>
      <c r="V116" s="6"/>
      <c r="W116" s="6"/>
      <c r="X116" s="6"/>
      <c r="Y116" s="6"/>
      <c r="Z116" s="6"/>
      <c r="AA116" s="6"/>
      <c r="AB116" s="6"/>
    </row>
    <row r="117" spans="1:28" ht="14.4" x14ac:dyDescent="0.4">
      <c r="A117" s="3" t="s">
        <v>117</v>
      </c>
      <c r="B117" s="8">
        <v>1240665</v>
      </c>
      <c r="C117" s="8">
        <v>53415</v>
      </c>
      <c r="D117" s="8">
        <v>36752</v>
      </c>
      <c r="E117" s="24"/>
      <c r="F117" s="9">
        <v>169215</v>
      </c>
      <c r="G117" s="9">
        <v>137861</v>
      </c>
      <c r="H117" s="9">
        <v>75887</v>
      </c>
      <c r="I117" s="9">
        <v>89011</v>
      </c>
      <c r="J117" s="9">
        <v>70881</v>
      </c>
      <c r="K117" s="9">
        <v>110106</v>
      </c>
      <c r="L117" s="9">
        <v>85470</v>
      </c>
      <c r="M117" s="9">
        <v>184440</v>
      </c>
      <c r="N117" s="9">
        <v>87932</v>
      </c>
      <c r="O117" s="9">
        <v>87263</v>
      </c>
      <c r="P117" s="9">
        <v>142599</v>
      </c>
      <c r="Q117" s="10"/>
      <c r="R117" s="10"/>
      <c r="S117" s="10"/>
      <c r="T117" s="10"/>
      <c r="U117" s="28"/>
      <c r="V117" s="7">
        <f>SUM(F117:T117)</f>
        <v>1240665</v>
      </c>
      <c r="W117" s="7">
        <f>SUM(F118:T118)</f>
        <v>53415</v>
      </c>
      <c r="X117" s="7">
        <f>SUM(F119:T119)</f>
        <v>36752</v>
      </c>
      <c r="Y117" s="7"/>
      <c r="Z117" s="7">
        <f>V117-B117</f>
        <v>0</v>
      </c>
      <c r="AA117" s="7">
        <f>W117-C117</f>
        <v>0</v>
      </c>
      <c r="AB117" s="7">
        <f>X117-D117</f>
        <v>0</v>
      </c>
    </row>
    <row r="118" spans="1:28" ht="14.4" x14ac:dyDescent="0.4">
      <c r="A118" s="4" t="s">
        <v>118</v>
      </c>
      <c r="B118" s="11"/>
      <c r="C118" s="11"/>
      <c r="D118" s="11"/>
      <c r="E118" s="25"/>
      <c r="F118" s="13">
        <v>6963</v>
      </c>
      <c r="G118" s="13">
        <v>6107</v>
      </c>
      <c r="H118" s="13">
        <v>3411</v>
      </c>
      <c r="I118" s="13">
        <v>4127</v>
      </c>
      <c r="J118" s="13">
        <v>3964</v>
      </c>
      <c r="K118" s="13">
        <v>4881</v>
      </c>
      <c r="L118" s="13">
        <v>2215</v>
      </c>
      <c r="M118" s="13">
        <v>7597</v>
      </c>
      <c r="N118" s="13">
        <v>4180</v>
      </c>
      <c r="O118" s="13">
        <v>3459</v>
      </c>
      <c r="P118" s="13">
        <v>6511</v>
      </c>
      <c r="Q118" s="12"/>
      <c r="R118" s="12"/>
      <c r="S118" s="12"/>
      <c r="T118" s="12"/>
      <c r="U118" s="28"/>
      <c r="V118" s="6"/>
      <c r="W118" s="6"/>
      <c r="X118" s="6"/>
      <c r="Y118" s="6"/>
      <c r="Z118" s="6"/>
      <c r="AA118" s="6"/>
      <c r="AB118" s="6"/>
    </row>
    <row r="119" spans="1:28" ht="14.4" x14ac:dyDescent="0.4">
      <c r="A119" s="4" t="s">
        <v>119</v>
      </c>
      <c r="B119" s="11"/>
      <c r="C119" s="11"/>
      <c r="D119" s="11"/>
      <c r="E119" s="25"/>
      <c r="F119" s="13">
        <v>4878</v>
      </c>
      <c r="G119" s="13">
        <v>4713</v>
      </c>
      <c r="H119" s="13">
        <v>2206</v>
      </c>
      <c r="I119" s="13">
        <v>3343</v>
      </c>
      <c r="J119" s="13">
        <v>2503</v>
      </c>
      <c r="K119" s="13">
        <v>3713</v>
      </c>
      <c r="L119" s="13">
        <v>1665</v>
      </c>
      <c r="M119" s="13">
        <v>5045</v>
      </c>
      <c r="N119" s="13">
        <v>2837</v>
      </c>
      <c r="O119" s="13">
        <v>2236</v>
      </c>
      <c r="P119" s="13">
        <v>3613</v>
      </c>
      <c r="Q119" s="12"/>
      <c r="R119" s="12"/>
      <c r="S119" s="12"/>
      <c r="T119" s="12"/>
      <c r="U119" s="28"/>
      <c r="V119" s="6"/>
      <c r="W119" s="6"/>
      <c r="X119" s="6"/>
      <c r="Y119" s="6"/>
      <c r="Z119" s="6"/>
      <c r="AA119" s="6"/>
      <c r="AB119" s="6"/>
    </row>
    <row r="120" spans="1:28" ht="14.4" x14ac:dyDescent="0.4">
      <c r="A120" s="3" t="s">
        <v>120</v>
      </c>
      <c r="B120" s="8">
        <v>345283</v>
      </c>
      <c r="C120" s="8">
        <v>16797</v>
      </c>
      <c r="D120" s="8">
        <v>12080</v>
      </c>
      <c r="E120" s="24"/>
      <c r="F120" s="9">
        <v>80300</v>
      </c>
      <c r="G120" s="9">
        <v>48109</v>
      </c>
      <c r="H120" s="9">
        <v>76334</v>
      </c>
      <c r="I120" s="9">
        <v>41762</v>
      </c>
      <c r="J120" s="9">
        <v>38871</v>
      </c>
      <c r="K120" s="9">
        <v>27016</v>
      </c>
      <c r="L120" s="9">
        <v>32901</v>
      </c>
      <c r="M120" s="10"/>
      <c r="N120" s="10"/>
      <c r="O120" s="10"/>
      <c r="P120" s="10"/>
      <c r="Q120" s="10"/>
      <c r="R120" s="10"/>
      <c r="S120" s="10"/>
      <c r="T120" s="10"/>
      <c r="U120" s="28"/>
      <c r="V120" s="7">
        <f>SUM(F120:T120)</f>
        <v>345293</v>
      </c>
      <c r="W120" s="7">
        <f>SUM(F121:T121)</f>
        <v>16797</v>
      </c>
      <c r="X120" s="7">
        <f>SUM(F122:T122)</f>
        <v>12080</v>
      </c>
      <c r="Y120" s="7"/>
      <c r="Z120" s="7">
        <f>V120-B120</f>
        <v>10</v>
      </c>
      <c r="AA120" s="7">
        <f>W120-C120</f>
        <v>0</v>
      </c>
      <c r="AB120" s="7">
        <f>X120-D120</f>
        <v>0</v>
      </c>
    </row>
    <row r="121" spans="1:28" ht="14.4" x14ac:dyDescent="0.4">
      <c r="A121" s="4" t="s">
        <v>121</v>
      </c>
      <c r="B121" s="11"/>
      <c r="C121" s="11"/>
      <c r="D121" s="11"/>
      <c r="E121" s="25"/>
      <c r="F121" s="13">
        <v>3731</v>
      </c>
      <c r="G121" s="13">
        <v>2436</v>
      </c>
      <c r="H121" s="13">
        <v>3745</v>
      </c>
      <c r="I121" s="13">
        <v>2123</v>
      </c>
      <c r="J121" s="13">
        <v>1915</v>
      </c>
      <c r="K121" s="13">
        <v>1115</v>
      </c>
      <c r="L121" s="13">
        <v>1732</v>
      </c>
      <c r="M121" s="12"/>
      <c r="N121" s="12"/>
      <c r="O121" s="12"/>
      <c r="P121" s="12"/>
      <c r="Q121" s="12"/>
      <c r="R121" s="12"/>
      <c r="S121" s="12"/>
      <c r="T121" s="12"/>
      <c r="U121" s="28"/>
      <c r="V121" s="6"/>
      <c r="W121" s="6"/>
      <c r="X121" s="6"/>
      <c r="Y121" s="6"/>
      <c r="Z121" s="6"/>
      <c r="AA121" s="6"/>
      <c r="AB121" s="6"/>
    </row>
    <row r="122" spans="1:28" ht="14.4" x14ac:dyDescent="0.4">
      <c r="A122" s="4" t="s">
        <v>122</v>
      </c>
      <c r="B122" s="11"/>
      <c r="C122" s="11"/>
      <c r="D122" s="11"/>
      <c r="E122" s="25"/>
      <c r="F122" s="13">
        <v>2729</v>
      </c>
      <c r="G122" s="13">
        <v>1874</v>
      </c>
      <c r="H122" s="13">
        <v>2584</v>
      </c>
      <c r="I122" s="13">
        <v>1580</v>
      </c>
      <c r="J122" s="13">
        <v>1547</v>
      </c>
      <c r="K122" s="13">
        <v>654</v>
      </c>
      <c r="L122" s="13">
        <v>1112</v>
      </c>
      <c r="M122" s="12"/>
      <c r="N122" s="12"/>
      <c r="O122" s="12"/>
      <c r="P122" s="12"/>
      <c r="Q122" s="12"/>
      <c r="R122" s="12"/>
      <c r="S122" s="12"/>
      <c r="T122" s="12"/>
      <c r="U122" s="28"/>
      <c r="V122" s="6"/>
      <c r="W122" s="6"/>
      <c r="X122" s="6"/>
      <c r="Y122" s="6"/>
      <c r="Z122" s="6"/>
      <c r="AA122" s="6"/>
      <c r="AB122" s="6"/>
    </row>
    <row r="123" spans="1:28" ht="14.4" x14ac:dyDescent="0.4">
      <c r="A123" s="3" t="s">
        <v>123</v>
      </c>
      <c r="B123" s="8">
        <v>2071964</v>
      </c>
      <c r="C123" s="8">
        <v>108526</v>
      </c>
      <c r="D123" s="8">
        <v>67264</v>
      </c>
      <c r="E123" s="24"/>
      <c r="F123" s="15" t="s">
        <v>6</v>
      </c>
      <c r="G123" s="15" t="s">
        <v>6</v>
      </c>
      <c r="H123" s="15" t="s">
        <v>6</v>
      </c>
      <c r="I123" s="15" t="s">
        <v>6</v>
      </c>
      <c r="J123" s="15" t="s">
        <v>6</v>
      </c>
      <c r="K123" s="15" t="s">
        <v>6</v>
      </c>
      <c r="L123" s="15" t="s">
        <v>6</v>
      </c>
      <c r="M123" s="15" t="s">
        <v>6</v>
      </c>
      <c r="N123" s="15" t="s">
        <v>6</v>
      </c>
      <c r="O123" s="15" t="s">
        <v>6</v>
      </c>
      <c r="P123" s="15" t="s">
        <v>6</v>
      </c>
      <c r="Q123" s="15" t="s">
        <v>6</v>
      </c>
      <c r="R123" s="10"/>
      <c r="S123" s="10"/>
      <c r="T123" s="10"/>
      <c r="U123" s="28"/>
      <c r="V123" s="7">
        <f>SUM(F123:T123)</f>
        <v>0</v>
      </c>
      <c r="W123" s="7">
        <f>SUM(F124:T124)</f>
        <v>108426</v>
      </c>
      <c r="X123" s="7">
        <f>SUM(F125:T125)</f>
        <v>67264</v>
      </c>
      <c r="Y123" s="7"/>
      <c r="Z123" s="7">
        <f>V123-B123</f>
        <v>-2071964</v>
      </c>
      <c r="AA123" s="7">
        <f>W123-C123</f>
        <v>-100</v>
      </c>
      <c r="AB123" s="7">
        <f>X123-D123</f>
        <v>0</v>
      </c>
    </row>
    <row r="124" spans="1:28" ht="14.4" x14ac:dyDescent="0.4">
      <c r="A124" s="4" t="s">
        <v>124</v>
      </c>
      <c r="B124" s="11"/>
      <c r="C124" s="11"/>
      <c r="D124" s="11"/>
      <c r="E124" s="25"/>
      <c r="F124" s="13">
        <v>10727</v>
      </c>
      <c r="G124" s="13">
        <v>7446</v>
      </c>
      <c r="H124" s="13">
        <v>9291</v>
      </c>
      <c r="I124" s="13">
        <v>5431</v>
      </c>
      <c r="J124" s="13">
        <v>15670</v>
      </c>
      <c r="K124" s="13">
        <v>7338</v>
      </c>
      <c r="L124" s="13">
        <v>5774</v>
      </c>
      <c r="M124" s="13">
        <v>16631</v>
      </c>
      <c r="N124" s="13">
        <v>9827</v>
      </c>
      <c r="O124" s="13">
        <v>5557</v>
      </c>
      <c r="P124" s="13">
        <v>7804</v>
      </c>
      <c r="Q124" s="13">
        <v>6930</v>
      </c>
      <c r="R124" s="12"/>
      <c r="S124" s="12"/>
      <c r="T124" s="12"/>
      <c r="U124" s="28"/>
      <c r="V124" s="6"/>
      <c r="W124" s="6"/>
      <c r="X124" s="6"/>
      <c r="Y124" s="6"/>
      <c r="Z124" s="6"/>
      <c r="AA124" s="6"/>
      <c r="AB124" s="6"/>
    </row>
    <row r="125" spans="1:28" ht="14.4" x14ac:dyDescent="0.4">
      <c r="A125" s="4" t="s">
        <v>125</v>
      </c>
      <c r="B125" s="11"/>
      <c r="C125" s="11"/>
      <c r="D125" s="11"/>
      <c r="E125" s="25"/>
      <c r="F125" s="13">
        <v>7622</v>
      </c>
      <c r="G125" s="13">
        <v>3735</v>
      </c>
      <c r="H125" s="13">
        <v>4136</v>
      </c>
      <c r="I125" s="13">
        <v>2849</v>
      </c>
      <c r="J125" s="13">
        <v>10487</v>
      </c>
      <c r="K125" s="13">
        <v>4575</v>
      </c>
      <c r="L125" s="13">
        <v>3650</v>
      </c>
      <c r="M125" s="13">
        <v>10907</v>
      </c>
      <c r="N125" s="13">
        <v>5956</v>
      </c>
      <c r="O125" s="13">
        <v>3917</v>
      </c>
      <c r="P125" s="13">
        <v>5247</v>
      </c>
      <c r="Q125" s="13">
        <v>4183</v>
      </c>
      <c r="R125" s="12"/>
      <c r="S125" s="12"/>
      <c r="T125" s="12"/>
      <c r="U125" s="28"/>
      <c r="V125" s="6"/>
      <c r="W125" s="6"/>
      <c r="X125" s="6"/>
      <c r="Y125" s="6"/>
      <c r="Z125" s="6"/>
      <c r="AA125" s="6"/>
      <c r="AB125" s="6"/>
    </row>
    <row r="126" spans="1:28" ht="14.4" x14ac:dyDescent="0.4">
      <c r="A126" s="3" t="s">
        <v>126</v>
      </c>
      <c r="B126" s="8">
        <v>1543427</v>
      </c>
      <c r="C126" s="8">
        <v>83960</v>
      </c>
      <c r="D126" s="8">
        <v>59613</v>
      </c>
      <c r="E126" s="24"/>
      <c r="F126" s="9">
        <v>154997</v>
      </c>
      <c r="G126" s="9">
        <v>167638</v>
      </c>
      <c r="H126" s="9">
        <v>191253</v>
      </c>
      <c r="I126" s="9">
        <v>130737</v>
      </c>
      <c r="J126" s="9">
        <v>175275</v>
      </c>
      <c r="K126" s="9">
        <v>111300</v>
      </c>
      <c r="L126" s="9">
        <v>132005</v>
      </c>
      <c r="M126" s="9">
        <v>170791</v>
      </c>
      <c r="N126" s="9">
        <v>152761</v>
      </c>
      <c r="O126" s="9">
        <v>156670</v>
      </c>
      <c r="P126" s="10"/>
      <c r="Q126" s="10"/>
      <c r="R126" s="10"/>
      <c r="S126" s="10"/>
      <c r="T126" s="10"/>
      <c r="U126" s="28"/>
      <c r="V126" s="7">
        <f>SUM(F126:T126)</f>
        <v>1543427</v>
      </c>
      <c r="W126" s="7">
        <f>SUM(F127:T127)</f>
        <v>83960</v>
      </c>
      <c r="X126" s="7">
        <f>SUM(F128:T128)</f>
        <v>59613</v>
      </c>
      <c r="Y126" s="7"/>
      <c r="Z126" s="7">
        <f>V126-B126</f>
        <v>0</v>
      </c>
      <c r="AA126" s="7">
        <f>W126-C126</f>
        <v>0</v>
      </c>
      <c r="AB126" s="7">
        <f>X126-D126</f>
        <v>0</v>
      </c>
    </row>
    <row r="127" spans="1:28" ht="14.4" x14ac:dyDescent="0.4">
      <c r="A127" s="4" t="s">
        <v>127</v>
      </c>
      <c r="B127" s="11"/>
      <c r="C127" s="11"/>
      <c r="D127" s="11"/>
      <c r="E127" s="25"/>
      <c r="F127" s="13">
        <v>8879</v>
      </c>
      <c r="G127" s="13">
        <v>9255</v>
      </c>
      <c r="H127" s="13">
        <v>11058</v>
      </c>
      <c r="I127" s="13">
        <v>5962</v>
      </c>
      <c r="J127" s="13">
        <v>9787</v>
      </c>
      <c r="K127" s="13">
        <v>6994</v>
      </c>
      <c r="L127" s="13">
        <v>7105</v>
      </c>
      <c r="M127" s="13">
        <v>8238</v>
      </c>
      <c r="N127" s="13">
        <v>7662</v>
      </c>
      <c r="O127" s="13">
        <v>9020</v>
      </c>
      <c r="P127" s="12"/>
      <c r="Q127" s="12"/>
      <c r="R127" s="12"/>
      <c r="S127" s="12"/>
      <c r="T127" s="12"/>
      <c r="U127" s="28"/>
      <c r="V127" s="6"/>
      <c r="W127" s="6"/>
      <c r="X127" s="6"/>
      <c r="Y127" s="6"/>
      <c r="Z127" s="6"/>
      <c r="AA127" s="6"/>
      <c r="AB127" s="6"/>
    </row>
    <row r="128" spans="1:28" ht="14.4" x14ac:dyDescent="0.4">
      <c r="A128" s="4" t="s">
        <v>128</v>
      </c>
      <c r="B128" s="11"/>
      <c r="C128" s="11"/>
      <c r="D128" s="11"/>
      <c r="E128" s="25"/>
      <c r="F128" s="13">
        <v>6440</v>
      </c>
      <c r="G128" s="13">
        <v>6811</v>
      </c>
      <c r="H128" s="13">
        <v>7832</v>
      </c>
      <c r="I128" s="13">
        <v>4205</v>
      </c>
      <c r="J128" s="13">
        <v>5911</v>
      </c>
      <c r="K128" s="13">
        <v>4735</v>
      </c>
      <c r="L128" s="13">
        <v>4574</v>
      </c>
      <c r="M128" s="13">
        <v>6488</v>
      </c>
      <c r="N128" s="13">
        <v>5286</v>
      </c>
      <c r="O128" s="13">
        <v>7331</v>
      </c>
      <c r="P128" s="12"/>
      <c r="Q128" s="12"/>
      <c r="R128" s="12"/>
      <c r="S128" s="12"/>
      <c r="T128" s="12"/>
      <c r="U128" s="28"/>
      <c r="V128" s="6"/>
      <c r="W128" s="6"/>
      <c r="X128" s="6"/>
      <c r="Y128" s="6"/>
      <c r="Z128" s="6"/>
      <c r="AA128" s="6"/>
      <c r="AB128" s="6"/>
    </row>
    <row r="129" spans="1:28" ht="14.4" x14ac:dyDescent="0.4">
      <c r="A129" s="3" t="s">
        <v>129</v>
      </c>
      <c r="B129" s="8">
        <v>2742514</v>
      </c>
      <c r="C129" s="8">
        <v>155753</v>
      </c>
      <c r="D129" s="8">
        <v>110142</v>
      </c>
      <c r="E129" s="24"/>
      <c r="F129" s="9">
        <v>254605</v>
      </c>
      <c r="G129" s="9">
        <v>214274</v>
      </c>
      <c r="H129" s="9">
        <v>373896</v>
      </c>
      <c r="I129" s="9">
        <v>140139</v>
      </c>
      <c r="J129" s="9">
        <v>251945</v>
      </c>
      <c r="K129" s="9">
        <v>235977</v>
      </c>
      <c r="L129" s="9">
        <v>123165</v>
      </c>
      <c r="M129" s="9">
        <v>256537</v>
      </c>
      <c r="N129" s="9">
        <v>267837</v>
      </c>
      <c r="O129" s="9">
        <v>220525</v>
      </c>
      <c r="P129" s="9">
        <v>98365</v>
      </c>
      <c r="Q129" s="9">
        <v>334249</v>
      </c>
      <c r="R129" s="10"/>
      <c r="S129" s="10"/>
      <c r="T129" s="10"/>
      <c r="U129" s="28"/>
      <c r="V129" s="7">
        <f>SUM(F129:T129)</f>
        <v>2771514</v>
      </c>
      <c r="W129" s="7">
        <f>SUM(F130:T130)</f>
        <v>155753</v>
      </c>
      <c r="X129" s="7">
        <f>SUM(F131:T131)</f>
        <v>110142</v>
      </c>
      <c r="Y129" s="7"/>
      <c r="Z129" s="7">
        <f>V129-B129</f>
        <v>29000</v>
      </c>
      <c r="AA129" s="7">
        <f>W129-C129</f>
        <v>0</v>
      </c>
      <c r="AB129" s="7">
        <f>X129-D129</f>
        <v>0</v>
      </c>
    </row>
    <row r="130" spans="1:28" ht="14.4" x14ac:dyDescent="0.4">
      <c r="A130" s="4" t="s">
        <v>130</v>
      </c>
      <c r="B130" s="11"/>
      <c r="C130" s="11"/>
      <c r="D130" s="11"/>
      <c r="E130" s="25"/>
      <c r="F130" s="13">
        <v>12721</v>
      </c>
      <c r="G130" s="13">
        <v>12307</v>
      </c>
      <c r="H130" s="13">
        <v>21665</v>
      </c>
      <c r="I130" s="13">
        <v>8171</v>
      </c>
      <c r="J130" s="13">
        <v>14833</v>
      </c>
      <c r="K130" s="13">
        <v>12974</v>
      </c>
      <c r="L130" s="13">
        <v>8165</v>
      </c>
      <c r="M130" s="13">
        <v>13084</v>
      </c>
      <c r="N130" s="13">
        <v>16024</v>
      </c>
      <c r="O130" s="13">
        <v>12244</v>
      </c>
      <c r="P130" s="13">
        <v>5088</v>
      </c>
      <c r="Q130" s="13">
        <v>18477</v>
      </c>
      <c r="R130" s="12"/>
      <c r="S130" s="12"/>
      <c r="T130" s="12"/>
      <c r="U130" s="28"/>
      <c r="V130" s="6"/>
      <c r="W130" s="6"/>
      <c r="X130" s="6"/>
      <c r="Y130" s="6"/>
      <c r="Z130" s="6"/>
      <c r="AA130" s="6"/>
      <c r="AB130" s="6"/>
    </row>
    <row r="131" spans="1:28" ht="14.4" x14ac:dyDescent="0.4">
      <c r="A131" s="4" t="s">
        <v>131</v>
      </c>
      <c r="B131" s="11"/>
      <c r="C131" s="11"/>
      <c r="D131" s="11"/>
      <c r="E131" s="25"/>
      <c r="F131" s="13">
        <v>9428</v>
      </c>
      <c r="G131" s="13">
        <v>8519</v>
      </c>
      <c r="H131" s="13">
        <v>15421</v>
      </c>
      <c r="I131" s="13">
        <v>6656</v>
      </c>
      <c r="J131" s="13">
        <v>11153</v>
      </c>
      <c r="K131" s="13">
        <v>8244</v>
      </c>
      <c r="L131" s="13">
        <v>6422</v>
      </c>
      <c r="M131" s="13">
        <v>9067</v>
      </c>
      <c r="N131" s="13">
        <v>10699</v>
      </c>
      <c r="O131" s="13">
        <v>7845</v>
      </c>
      <c r="P131" s="13">
        <v>3163</v>
      </c>
      <c r="Q131" s="13">
        <v>13525</v>
      </c>
      <c r="R131" s="12"/>
      <c r="S131" s="12"/>
      <c r="T131" s="12"/>
      <c r="U131" s="28"/>
      <c r="V131" s="6"/>
      <c r="W131" s="6"/>
      <c r="X131" s="6"/>
      <c r="Y131" s="6"/>
      <c r="Z131" s="6"/>
      <c r="AA131" s="6"/>
      <c r="AB131" s="6"/>
    </row>
    <row r="132" spans="1:28" ht="14.4" x14ac:dyDescent="0.4">
      <c r="A132" s="3" t="s">
        <v>132</v>
      </c>
      <c r="B132" s="8">
        <v>2848307</v>
      </c>
      <c r="C132" s="8">
        <v>133410</v>
      </c>
      <c r="D132" s="8">
        <v>78641</v>
      </c>
      <c r="E132" s="24"/>
      <c r="F132" s="9">
        <v>224302</v>
      </c>
      <c r="G132" s="9">
        <v>166554</v>
      </c>
      <c r="H132" s="9">
        <v>227830</v>
      </c>
      <c r="I132" s="9">
        <v>146475</v>
      </c>
      <c r="J132" s="9">
        <v>243565</v>
      </c>
      <c r="K132" s="9">
        <v>202986</v>
      </c>
      <c r="L132" s="9">
        <v>248619</v>
      </c>
      <c r="M132" s="9">
        <v>147430</v>
      </c>
      <c r="N132" s="9">
        <v>129442</v>
      </c>
      <c r="O132" s="9">
        <v>159305</v>
      </c>
      <c r="P132" s="9">
        <v>196929</v>
      </c>
      <c r="Q132" s="9">
        <v>166052</v>
      </c>
      <c r="R132" s="9">
        <v>212361</v>
      </c>
      <c r="S132" s="9">
        <v>205286</v>
      </c>
      <c r="T132" s="9">
        <v>171171</v>
      </c>
      <c r="U132" s="28"/>
      <c r="V132" s="7">
        <f>SUM(F132:T132)</f>
        <v>2848307</v>
      </c>
      <c r="W132" s="7">
        <f>SUM(F133:T133)</f>
        <v>133410</v>
      </c>
      <c r="X132" s="7">
        <f>SUM(F134:T134)</f>
        <v>78641</v>
      </c>
      <c r="Y132" s="7"/>
      <c r="Z132" s="7">
        <f>V132-B132</f>
        <v>0</v>
      </c>
      <c r="AA132" s="7">
        <f>W132-C132</f>
        <v>0</v>
      </c>
      <c r="AB132" s="7">
        <f>X132-D132</f>
        <v>0</v>
      </c>
    </row>
    <row r="133" spans="1:28" ht="14.4" x14ac:dyDescent="0.4">
      <c r="A133" s="4" t="s">
        <v>133</v>
      </c>
      <c r="B133" s="11"/>
      <c r="C133" s="11"/>
      <c r="D133" s="11"/>
      <c r="E133" s="25"/>
      <c r="F133" s="13">
        <v>10724</v>
      </c>
      <c r="G133" s="13">
        <v>7262</v>
      </c>
      <c r="H133" s="13">
        <v>11542</v>
      </c>
      <c r="I133" s="13">
        <v>6877</v>
      </c>
      <c r="J133" s="13">
        <v>9684</v>
      </c>
      <c r="K133" s="13">
        <v>10987</v>
      </c>
      <c r="L133" s="13">
        <v>11693</v>
      </c>
      <c r="M133" s="13">
        <v>7665</v>
      </c>
      <c r="N133" s="13">
        <v>5315</v>
      </c>
      <c r="O133" s="13">
        <v>7642</v>
      </c>
      <c r="P133" s="13">
        <v>8782</v>
      </c>
      <c r="Q133" s="13">
        <v>8359</v>
      </c>
      <c r="R133" s="13">
        <v>9551</v>
      </c>
      <c r="S133" s="13">
        <v>8858</v>
      </c>
      <c r="T133" s="13">
        <v>8469</v>
      </c>
      <c r="U133" s="28"/>
      <c r="V133" s="6"/>
      <c r="W133" s="6"/>
      <c r="X133" s="6"/>
      <c r="Y133" s="6"/>
      <c r="Z133" s="6"/>
      <c r="AA133" s="6"/>
      <c r="AB133" s="6"/>
    </row>
    <row r="134" spans="1:28" ht="14.4" x14ac:dyDescent="0.4">
      <c r="A134" s="4" t="s">
        <v>134</v>
      </c>
      <c r="B134" s="11"/>
      <c r="C134" s="11"/>
      <c r="D134" s="11"/>
      <c r="E134" s="25"/>
      <c r="F134" s="13">
        <v>7334</v>
      </c>
      <c r="G134" s="13">
        <v>4457</v>
      </c>
      <c r="H134" s="13">
        <v>7694</v>
      </c>
      <c r="I134" s="13">
        <v>4959</v>
      </c>
      <c r="J134" s="13">
        <v>4964</v>
      </c>
      <c r="K134" s="13">
        <v>5293</v>
      </c>
      <c r="L134" s="13">
        <v>5882</v>
      </c>
      <c r="M134" s="13">
        <v>4649</v>
      </c>
      <c r="N134" s="13">
        <v>3451</v>
      </c>
      <c r="O134" s="13">
        <v>4812</v>
      </c>
      <c r="P134" s="13">
        <v>5616</v>
      </c>
      <c r="Q134" s="13">
        <v>4456</v>
      </c>
      <c r="R134" s="13">
        <v>4877</v>
      </c>
      <c r="S134" s="13">
        <v>5361</v>
      </c>
      <c r="T134" s="13">
        <v>4836</v>
      </c>
      <c r="U134" s="28"/>
      <c r="V134" s="6"/>
      <c r="W134" s="6"/>
      <c r="X134" s="6"/>
      <c r="Y134" s="6"/>
      <c r="Z134" s="6"/>
      <c r="AA134" s="6"/>
      <c r="AB134" s="6"/>
    </row>
    <row r="135" spans="1:28" ht="14.4" x14ac:dyDescent="0.4">
      <c r="A135" s="3" t="s">
        <v>135</v>
      </c>
      <c r="B135" s="8">
        <v>980182</v>
      </c>
      <c r="C135" s="8">
        <v>50752</v>
      </c>
      <c r="D135" s="8">
        <v>32854</v>
      </c>
      <c r="E135" s="24"/>
      <c r="F135" s="9">
        <v>208953</v>
      </c>
      <c r="G135" s="9">
        <v>105311</v>
      </c>
      <c r="H135" s="9">
        <v>97404</v>
      </c>
      <c r="I135" s="9">
        <v>119080</v>
      </c>
      <c r="J135" s="9">
        <v>149337</v>
      </c>
      <c r="K135" s="9">
        <v>158725</v>
      </c>
      <c r="L135" s="9">
        <v>71605</v>
      </c>
      <c r="M135" s="9">
        <v>69767</v>
      </c>
      <c r="N135" s="10"/>
      <c r="O135" s="10"/>
      <c r="P135" s="10"/>
      <c r="Q135" s="10"/>
      <c r="R135" s="10"/>
      <c r="S135" s="10"/>
      <c r="T135" s="10"/>
      <c r="U135" s="28"/>
      <c r="V135" s="7">
        <f>SUM(F135:T135)</f>
        <v>980182</v>
      </c>
      <c r="W135" s="7">
        <f>SUM(F136:T136)</f>
        <v>50752</v>
      </c>
      <c r="X135" s="7">
        <f>SUM(F137:T137)</f>
        <v>32848</v>
      </c>
      <c r="Y135" s="7"/>
      <c r="Z135" s="7">
        <f>V135-B135</f>
        <v>0</v>
      </c>
      <c r="AA135" s="7">
        <f>W135-C135</f>
        <v>0</v>
      </c>
      <c r="AB135" s="7">
        <f>X135-D135</f>
        <v>-6</v>
      </c>
    </row>
    <row r="136" spans="1:28" ht="14.4" x14ac:dyDescent="0.4">
      <c r="A136" s="4" t="s">
        <v>136</v>
      </c>
      <c r="B136" s="11"/>
      <c r="C136" s="11"/>
      <c r="D136" s="11"/>
      <c r="E136" s="25"/>
      <c r="F136" s="13">
        <v>9942</v>
      </c>
      <c r="G136" s="13">
        <v>6130</v>
      </c>
      <c r="H136" s="13">
        <v>4899</v>
      </c>
      <c r="I136" s="13">
        <v>6094</v>
      </c>
      <c r="J136" s="13">
        <v>7308</v>
      </c>
      <c r="K136" s="13">
        <v>7681</v>
      </c>
      <c r="L136" s="13">
        <v>4439</v>
      </c>
      <c r="M136" s="13">
        <v>4259</v>
      </c>
      <c r="N136" s="12"/>
      <c r="O136" s="12"/>
      <c r="P136" s="12"/>
      <c r="Q136" s="12"/>
      <c r="R136" s="12"/>
      <c r="S136" s="12"/>
      <c r="T136" s="12"/>
      <c r="U136" s="28"/>
      <c r="V136" s="6"/>
      <c r="W136" s="6"/>
      <c r="X136" s="6"/>
      <c r="Y136" s="6"/>
      <c r="Z136" s="6"/>
      <c r="AA136" s="6"/>
      <c r="AB136" s="6"/>
    </row>
    <row r="137" spans="1:28" ht="14.4" x14ac:dyDescent="0.4">
      <c r="A137" s="4" t="s">
        <v>137</v>
      </c>
      <c r="B137" s="11"/>
      <c r="C137" s="11"/>
      <c r="D137" s="11"/>
      <c r="E137" s="25"/>
      <c r="F137" s="13">
        <v>6296</v>
      </c>
      <c r="G137" s="13">
        <v>4102</v>
      </c>
      <c r="H137" s="13">
        <v>3210</v>
      </c>
      <c r="I137" s="13">
        <v>3638</v>
      </c>
      <c r="J137" s="13">
        <v>4655</v>
      </c>
      <c r="K137" s="13">
        <v>5211</v>
      </c>
      <c r="L137" s="13">
        <v>2649</v>
      </c>
      <c r="M137" s="13">
        <v>3087</v>
      </c>
      <c r="N137" s="12"/>
      <c r="O137" s="12"/>
      <c r="P137" s="12"/>
      <c r="Q137" s="12"/>
      <c r="R137" s="12"/>
      <c r="S137" s="12"/>
      <c r="T137" s="12"/>
      <c r="U137" s="28"/>
      <c r="V137" s="6"/>
      <c r="W137" s="6"/>
      <c r="X137" s="6"/>
      <c r="Y137" s="6"/>
      <c r="Z137" s="6"/>
      <c r="AA137" s="6"/>
      <c r="AB137" s="6"/>
    </row>
    <row r="138" spans="1:28" ht="14.4" x14ac:dyDescent="0.4">
      <c r="A138" s="3" t="s">
        <v>138</v>
      </c>
      <c r="B138" s="8">
        <v>1876581</v>
      </c>
      <c r="C138" s="8">
        <v>94003</v>
      </c>
      <c r="D138" s="8">
        <v>60567</v>
      </c>
      <c r="E138" s="24"/>
      <c r="F138" s="9">
        <v>212865</v>
      </c>
      <c r="G138" s="9">
        <v>119225</v>
      </c>
      <c r="H138" s="9">
        <v>144464</v>
      </c>
      <c r="I138" s="9">
        <v>133475</v>
      </c>
      <c r="J138" s="9">
        <v>176404</v>
      </c>
      <c r="K138" s="9">
        <v>160755</v>
      </c>
      <c r="L138" s="9">
        <v>120853</v>
      </c>
      <c r="M138" s="9">
        <v>154208</v>
      </c>
      <c r="N138" s="9">
        <v>142986</v>
      </c>
      <c r="O138" s="9">
        <v>167280</v>
      </c>
      <c r="P138" s="9">
        <v>189363</v>
      </c>
      <c r="Q138" s="9">
        <v>163703</v>
      </c>
      <c r="R138" s="10"/>
      <c r="S138" s="10"/>
      <c r="T138" s="10"/>
      <c r="U138" s="28"/>
      <c r="V138" s="7">
        <f>SUM(F138:T138)</f>
        <v>1885581</v>
      </c>
      <c r="W138" s="7">
        <f>SUM(F139:T139)</f>
        <v>93603</v>
      </c>
      <c r="X138" s="7">
        <f>SUM(F140:T140)</f>
        <v>60567</v>
      </c>
      <c r="Y138" s="7"/>
      <c r="Z138" s="7">
        <f>V138-B138</f>
        <v>9000</v>
      </c>
      <c r="AA138" s="7">
        <f>W138-C138</f>
        <v>-400</v>
      </c>
      <c r="AB138" s="7">
        <f>X138-D138</f>
        <v>0</v>
      </c>
    </row>
    <row r="139" spans="1:28" ht="14.4" x14ac:dyDescent="0.4">
      <c r="A139" s="4" t="s">
        <v>139</v>
      </c>
      <c r="B139" s="11"/>
      <c r="C139" s="11"/>
      <c r="D139" s="11"/>
      <c r="E139" s="25"/>
      <c r="F139" s="13">
        <v>9768</v>
      </c>
      <c r="G139" s="13">
        <v>5642</v>
      </c>
      <c r="H139" s="13">
        <v>7202</v>
      </c>
      <c r="I139" s="13">
        <v>5465</v>
      </c>
      <c r="J139" s="13">
        <v>8185</v>
      </c>
      <c r="K139" s="13">
        <v>7932</v>
      </c>
      <c r="L139" s="13">
        <v>5789</v>
      </c>
      <c r="M139" s="13">
        <v>8755</v>
      </c>
      <c r="N139" s="13">
        <v>8366</v>
      </c>
      <c r="O139" s="13">
        <v>8954</v>
      </c>
      <c r="P139" s="13">
        <v>9583</v>
      </c>
      <c r="Q139" s="13">
        <v>7962</v>
      </c>
      <c r="R139" s="12"/>
      <c r="S139" s="12"/>
      <c r="T139" s="12"/>
      <c r="U139" s="28"/>
      <c r="V139" s="6"/>
      <c r="W139" s="6"/>
      <c r="X139" s="6"/>
      <c r="Y139" s="6"/>
      <c r="Z139" s="6"/>
      <c r="AA139" s="6"/>
      <c r="AB139" s="6"/>
    </row>
    <row r="140" spans="1:28" ht="14.4" x14ac:dyDescent="0.4">
      <c r="A140" s="4" t="s">
        <v>140</v>
      </c>
      <c r="B140" s="11"/>
      <c r="C140" s="11"/>
      <c r="D140" s="11"/>
      <c r="E140" s="25"/>
      <c r="F140" s="13">
        <v>6675</v>
      </c>
      <c r="G140" s="13">
        <v>3475</v>
      </c>
      <c r="H140" s="13">
        <v>4438</v>
      </c>
      <c r="I140" s="13">
        <v>3410</v>
      </c>
      <c r="J140" s="13">
        <v>7394</v>
      </c>
      <c r="K140" s="13">
        <v>4849</v>
      </c>
      <c r="L140" s="13">
        <v>3083</v>
      </c>
      <c r="M140" s="13">
        <v>5956</v>
      </c>
      <c r="N140" s="13">
        <v>5022</v>
      </c>
      <c r="O140" s="13">
        <v>5579</v>
      </c>
      <c r="P140" s="13">
        <v>5754</v>
      </c>
      <c r="Q140" s="13">
        <v>4932</v>
      </c>
      <c r="R140" s="12"/>
      <c r="S140" s="12"/>
      <c r="T140" s="12"/>
      <c r="U140" s="28"/>
      <c r="V140" s="6"/>
      <c r="W140" s="6"/>
      <c r="X140" s="6"/>
      <c r="Y140" s="6"/>
      <c r="Z140" s="6"/>
      <c r="AA140" s="6"/>
      <c r="AB140" s="6"/>
    </row>
    <row r="141" spans="1:28" ht="14.4" x14ac:dyDescent="0.4">
      <c r="A141" s="3" t="s">
        <v>141</v>
      </c>
      <c r="B141" s="8">
        <v>2570800</v>
      </c>
      <c r="C141" s="8">
        <v>154781</v>
      </c>
      <c r="D141" s="8">
        <v>101773</v>
      </c>
      <c r="E141" s="24"/>
      <c r="F141" s="9">
        <v>351375</v>
      </c>
      <c r="G141" s="9">
        <v>279055</v>
      </c>
      <c r="H141" s="9">
        <v>349754</v>
      </c>
      <c r="I141" s="9">
        <v>446600</v>
      </c>
      <c r="J141" s="9">
        <v>477802</v>
      </c>
      <c r="K141" s="9">
        <v>380666</v>
      </c>
      <c r="L141" s="9">
        <v>274548</v>
      </c>
      <c r="M141" s="10"/>
      <c r="N141" s="10"/>
      <c r="O141" s="10"/>
      <c r="P141" s="10"/>
      <c r="Q141" s="10"/>
      <c r="R141" s="10"/>
      <c r="S141" s="10"/>
      <c r="T141" s="10"/>
      <c r="U141" s="28"/>
      <c r="V141" s="7">
        <f>SUM(F141:T141)</f>
        <v>2559800</v>
      </c>
      <c r="W141" s="7">
        <f>SUM(F142:T142)</f>
        <v>154781</v>
      </c>
      <c r="X141" s="7">
        <f>SUM(F143:T143)</f>
        <v>101763</v>
      </c>
      <c r="Y141" s="7"/>
      <c r="Z141" s="7">
        <f>V141-B141</f>
        <v>-11000</v>
      </c>
      <c r="AA141" s="7">
        <f>W141-C141</f>
        <v>0</v>
      </c>
      <c r="AB141" s="7">
        <f>X141-D141</f>
        <v>-10</v>
      </c>
    </row>
    <row r="142" spans="1:28" ht="14.4" x14ac:dyDescent="0.4">
      <c r="A142" s="4" t="s">
        <v>142</v>
      </c>
      <c r="B142" s="11"/>
      <c r="C142" s="11"/>
      <c r="D142" s="11"/>
      <c r="E142" s="25"/>
      <c r="F142" s="13">
        <v>18629</v>
      </c>
      <c r="G142" s="13">
        <v>14334</v>
      </c>
      <c r="H142" s="13">
        <v>21428</v>
      </c>
      <c r="I142" s="13">
        <v>29795</v>
      </c>
      <c r="J142" s="13">
        <v>30817</v>
      </c>
      <c r="K142" s="13">
        <v>23851</v>
      </c>
      <c r="L142" s="13">
        <v>15927</v>
      </c>
      <c r="M142" s="12"/>
      <c r="N142" s="12"/>
      <c r="O142" s="12"/>
      <c r="P142" s="12"/>
      <c r="Q142" s="12"/>
      <c r="R142" s="12"/>
      <c r="S142" s="12"/>
      <c r="T142" s="12"/>
      <c r="U142" s="28"/>
      <c r="V142" s="6"/>
      <c r="W142" s="6"/>
      <c r="X142" s="6"/>
      <c r="Y142" s="6"/>
      <c r="Z142" s="6"/>
      <c r="AA142" s="6"/>
      <c r="AB142" s="6"/>
    </row>
    <row r="143" spans="1:28" ht="14.4" x14ac:dyDescent="0.4">
      <c r="A143" s="4" t="s">
        <v>143</v>
      </c>
      <c r="B143" s="11"/>
      <c r="C143" s="11"/>
      <c r="D143" s="11"/>
      <c r="E143" s="25"/>
      <c r="F143" s="13">
        <v>13873</v>
      </c>
      <c r="G143" s="13">
        <v>8687</v>
      </c>
      <c r="H143" s="13">
        <v>14764</v>
      </c>
      <c r="I143" s="13">
        <v>18767</v>
      </c>
      <c r="J143" s="13">
        <v>20327</v>
      </c>
      <c r="K143" s="13">
        <v>16109</v>
      </c>
      <c r="L143" s="13">
        <v>9236</v>
      </c>
      <c r="M143" s="12"/>
      <c r="N143" s="12"/>
      <c r="O143" s="12"/>
      <c r="P143" s="12"/>
      <c r="Q143" s="12"/>
      <c r="R143" s="12"/>
      <c r="S143" s="12"/>
      <c r="T143" s="12"/>
      <c r="U143" s="28"/>
      <c r="V143" s="6"/>
      <c r="W143" s="6"/>
      <c r="X143" s="6"/>
      <c r="Y143" s="6"/>
      <c r="Z143" s="6"/>
      <c r="AA143" s="6"/>
      <c r="AB143" s="6"/>
    </row>
    <row r="144" spans="1:28" ht="14.4" x14ac:dyDescent="0.4">
      <c r="A144" s="3" t="s">
        <v>144</v>
      </c>
      <c r="B144" s="8">
        <v>867607</v>
      </c>
      <c r="C144" s="8">
        <v>27199</v>
      </c>
      <c r="D144" s="8">
        <v>26033</v>
      </c>
      <c r="E144" s="24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28"/>
      <c r="V144" s="7"/>
      <c r="W144" s="7"/>
      <c r="X144" s="7"/>
      <c r="Y144" s="7"/>
      <c r="Z144" s="7"/>
      <c r="AA144" s="7"/>
      <c r="AB144" s="7"/>
    </row>
    <row r="145" spans="1:28" ht="14.4" x14ac:dyDescent="0.4">
      <c r="A145" s="3" t="s">
        <v>145</v>
      </c>
      <c r="B145" s="8">
        <v>824129</v>
      </c>
      <c r="C145" s="8">
        <v>30246</v>
      </c>
      <c r="D145" s="8">
        <v>25048</v>
      </c>
      <c r="E145" s="24"/>
      <c r="F145" s="15" t="s">
        <v>6</v>
      </c>
      <c r="G145" s="15" t="s">
        <v>6</v>
      </c>
      <c r="H145" s="15" t="s">
        <v>6</v>
      </c>
      <c r="I145" s="15" t="s">
        <v>6</v>
      </c>
      <c r="J145" s="15" t="s">
        <v>6</v>
      </c>
      <c r="K145" s="15" t="s">
        <v>6</v>
      </c>
      <c r="L145" s="15" t="s">
        <v>6</v>
      </c>
      <c r="M145" s="15" t="s">
        <v>6</v>
      </c>
      <c r="N145" s="10"/>
      <c r="O145" s="10"/>
      <c r="P145" s="10"/>
      <c r="Q145" s="10"/>
      <c r="R145" s="10"/>
      <c r="S145" s="10"/>
      <c r="T145" s="10"/>
      <c r="U145" s="28"/>
      <c r="V145" s="7">
        <f>SUM(F145:T145)</f>
        <v>0</v>
      </c>
      <c r="W145" s="7">
        <f>SUM(F146:T146)</f>
        <v>30246</v>
      </c>
      <c r="X145" s="7">
        <f>SUM(F147:T147)</f>
        <v>25048</v>
      </c>
      <c r="Y145" s="7"/>
      <c r="Z145" s="7"/>
      <c r="AA145" s="7">
        <f>W145-C145</f>
        <v>0</v>
      </c>
      <c r="AB145" s="7">
        <f>X145-D145</f>
        <v>0</v>
      </c>
    </row>
    <row r="146" spans="1:28" ht="14.4" x14ac:dyDescent="0.4">
      <c r="A146" s="4" t="s">
        <v>146</v>
      </c>
      <c r="B146" s="11"/>
      <c r="C146" s="11"/>
      <c r="D146" s="11"/>
      <c r="E146" s="25"/>
      <c r="F146" s="13">
        <v>4288</v>
      </c>
      <c r="G146" s="13">
        <v>4849</v>
      </c>
      <c r="H146" s="13">
        <v>5664</v>
      </c>
      <c r="I146" s="13">
        <v>3632</v>
      </c>
      <c r="J146" s="13">
        <v>2734</v>
      </c>
      <c r="K146" s="13">
        <v>3958</v>
      </c>
      <c r="L146" s="13">
        <v>2080</v>
      </c>
      <c r="M146" s="13">
        <v>3041</v>
      </c>
      <c r="N146" s="12"/>
      <c r="O146" s="12"/>
      <c r="P146" s="12"/>
      <c r="Q146" s="12"/>
      <c r="R146" s="12"/>
      <c r="S146" s="12"/>
      <c r="T146" s="12"/>
      <c r="U146" s="28"/>
      <c r="V146" s="6"/>
      <c r="W146" s="6"/>
      <c r="X146" s="6"/>
      <c r="Y146" s="6"/>
      <c r="Z146" s="6"/>
      <c r="AA146" s="6"/>
      <c r="AB146" s="6"/>
    </row>
    <row r="147" spans="1:28" ht="14.4" x14ac:dyDescent="0.4">
      <c r="A147" s="4" t="s">
        <v>147</v>
      </c>
      <c r="B147" s="11"/>
      <c r="C147" s="11"/>
      <c r="D147" s="11"/>
      <c r="E147" s="25"/>
      <c r="F147" s="13">
        <v>3386</v>
      </c>
      <c r="G147" s="13">
        <v>4471</v>
      </c>
      <c r="H147" s="13">
        <v>4301</v>
      </c>
      <c r="I147" s="13">
        <v>2724</v>
      </c>
      <c r="J147" s="13">
        <v>2296</v>
      </c>
      <c r="K147" s="13">
        <v>3337</v>
      </c>
      <c r="L147" s="13">
        <v>1943</v>
      </c>
      <c r="M147" s="13">
        <v>2590</v>
      </c>
      <c r="N147" s="12"/>
      <c r="O147" s="12"/>
      <c r="P147" s="12"/>
      <c r="Q147" s="12"/>
      <c r="R147" s="12"/>
      <c r="S147" s="12"/>
      <c r="T147" s="12"/>
      <c r="U147" s="28"/>
      <c r="V147" s="6"/>
      <c r="W147" s="6"/>
      <c r="X147" s="6"/>
      <c r="Y147" s="6"/>
      <c r="Z147" s="6"/>
      <c r="AA147" s="6"/>
      <c r="AB147" s="6"/>
    </row>
    <row r="148" spans="1:28" ht="14.4" x14ac:dyDescent="0.4">
      <c r="A148" s="3" t="s">
        <v>148</v>
      </c>
      <c r="B148" s="8">
        <v>2351077</v>
      </c>
      <c r="C148" s="8">
        <v>126534</v>
      </c>
      <c r="D148" s="8">
        <v>86678</v>
      </c>
      <c r="E148" s="24"/>
      <c r="F148" s="9">
        <v>301992</v>
      </c>
      <c r="G148" s="9">
        <v>281746</v>
      </c>
      <c r="H148" s="9">
        <v>285737</v>
      </c>
      <c r="I148" s="9">
        <v>197818</v>
      </c>
      <c r="J148" s="9">
        <v>324951</v>
      </c>
      <c r="K148" s="9">
        <v>163694</v>
      </c>
      <c r="L148" s="9">
        <v>259862</v>
      </c>
      <c r="M148" s="9">
        <v>199677</v>
      </c>
      <c r="N148" s="9">
        <v>205316</v>
      </c>
      <c r="O148" s="9">
        <v>130284</v>
      </c>
      <c r="P148" s="10"/>
      <c r="Q148" s="10"/>
      <c r="R148" s="10"/>
      <c r="S148" s="10"/>
      <c r="T148" s="10"/>
      <c r="U148" s="28"/>
      <c r="V148" s="7">
        <f>SUM(F148:T148)</f>
        <v>2351077</v>
      </c>
      <c r="W148" s="7">
        <f>SUM(F149:T149)</f>
        <v>126534</v>
      </c>
      <c r="X148" s="7">
        <f>SUM(F150:T150)</f>
        <v>86678</v>
      </c>
      <c r="Y148" s="7"/>
      <c r="Z148" s="7">
        <f>V148-B148</f>
        <v>0</v>
      </c>
      <c r="AA148" s="7">
        <f>W148-C148</f>
        <v>0</v>
      </c>
      <c r="AB148" s="7">
        <f>X148-D148</f>
        <v>0</v>
      </c>
    </row>
    <row r="149" spans="1:28" ht="14.4" x14ac:dyDescent="0.4">
      <c r="A149" s="4" t="s">
        <v>149</v>
      </c>
      <c r="B149" s="11"/>
      <c r="C149" s="11"/>
      <c r="D149" s="11"/>
      <c r="E149" s="25"/>
      <c r="F149" s="13">
        <v>17061</v>
      </c>
      <c r="G149" s="13">
        <v>15877</v>
      </c>
      <c r="H149" s="13">
        <v>16483</v>
      </c>
      <c r="I149" s="13">
        <v>9501</v>
      </c>
      <c r="J149" s="13">
        <v>17771</v>
      </c>
      <c r="K149" s="13">
        <v>9199</v>
      </c>
      <c r="L149" s="13">
        <v>11887</v>
      </c>
      <c r="M149" s="13">
        <v>12064</v>
      </c>
      <c r="N149" s="13">
        <v>9725</v>
      </c>
      <c r="O149" s="13">
        <v>6966</v>
      </c>
      <c r="P149" s="12"/>
      <c r="Q149" s="12"/>
      <c r="R149" s="12"/>
      <c r="S149" s="12"/>
      <c r="T149" s="12"/>
      <c r="U149" s="28"/>
      <c r="V149" s="6"/>
      <c r="W149" s="6"/>
      <c r="X149" s="6"/>
      <c r="Y149" s="6"/>
      <c r="Z149" s="6"/>
      <c r="AA149" s="6"/>
      <c r="AB149" s="6"/>
    </row>
    <row r="150" spans="1:28" ht="14.4" x14ac:dyDescent="0.4">
      <c r="A150" s="4" t="s">
        <v>150</v>
      </c>
      <c r="B150" s="11"/>
      <c r="C150" s="11"/>
      <c r="D150" s="11"/>
      <c r="E150" s="25"/>
      <c r="F150" s="13">
        <v>13049</v>
      </c>
      <c r="G150" s="13">
        <v>9418</v>
      </c>
      <c r="H150" s="13">
        <v>11247</v>
      </c>
      <c r="I150" s="13">
        <v>7080</v>
      </c>
      <c r="J150" s="13">
        <v>9819</v>
      </c>
      <c r="K150" s="13">
        <v>6208</v>
      </c>
      <c r="L150" s="13">
        <v>9461</v>
      </c>
      <c r="M150" s="13">
        <v>8637</v>
      </c>
      <c r="N150" s="13">
        <v>7106</v>
      </c>
      <c r="O150" s="13">
        <v>4653</v>
      </c>
      <c r="P150" s="12"/>
      <c r="Q150" s="12"/>
      <c r="R150" s="12"/>
      <c r="S150" s="12"/>
      <c r="T150" s="12"/>
      <c r="U150" s="28"/>
      <c r="V150" s="6"/>
      <c r="W150" s="6"/>
      <c r="X150" s="6"/>
      <c r="Y150" s="6"/>
      <c r="Z150" s="6"/>
      <c r="AA150" s="6"/>
      <c r="AB150" s="6"/>
    </row>
    <row r="151" spans="1:28" ht="14.4" x14ac:dyDescent="0.4">
      <c r="A151" s="3" t="s">
        <v>151</v>
      </c>
      <c r="B151" s="8">
        <v>1605335</v>
      </c>
      <c r="C151" s="8">
        <v>80877</v>
      </c>
      <c r="D151" s="8">
        <v>54493</v>
      </c>
      <c r="E151" s="24"/>
      <c r="F151" s="9">
        <v>220465</v>
      </c>
      <c r="G151" s="9">
        <v>168325</v>
      </c>
      <c r="H151" s="9">
        <v>212626</v>
      </c>
      <c r="I151" s="9">
        <v>186330</v>
      </c>
      <c r="J151" s="9">
        <v>239321</v>
      </c>
      <c r="K151" s="9">
        <v>163403</v>
      </c>
      <c r="L151" s="9">
        <v>158364</v>
      </c>
      <c r="M151" s="9">
        <v>256501</v>
      </c>
      <c r="N151" s="10"/>
      <c r="O151" s="10"/>
      <c r="P151" s="10"/>
      <c r="Q151" s="10"/>
      <c r="R151" s="10"/>
      <c r="S151" s="10"/>
      <c r="T151" s="10"/>
      <c r="U151" s="28"/>
      <c r="V151" s="7">
        <f>SUM(F151:T151)</f>
        <v>1605335</v>
      </c>
      <c r="W151" s="7">
        <f>SUM(F152:T152)</f>
        <v>80877</v>
      </c>
      <c r="X151" s="7">
        <f>SUM(F153:T153)</f>
        <v>53833</v>
      </c>
      <c r="Y151" s="7"/>
      <c r="Z151" s="7">
        <f>V151-B151</f>
        <v>0</v>
      </c>
      <c r="AA151" s="7">
        <f>W151-C151</f>
        <v>0</v>
      </c>
      <c r="AB151" s="7">
        <f>X151-D151</f>
        <v>-660</v>
      </c>
    </row>
    <row r="152" spans="1:28" ht="14.4" x14ac:dyDescent="0.4">
      <c r="A152" s="4" t="s">
        <v>152</v>
      </c>
      <c r="B152" s="11"/>
      <c r="C152" s="11"/>
      <c r="D152" s="11"/>
      <c r="E152" s="25"/>
      <c r="F152" s="13">
        <v>11642</v>
      </c>
      <c r="G152" s="13">
        <v>8074</v>
      </c>
      <c r="H152" s="13">
        <v>10797</v>
      </c>
      <c r="I152" s="13">
        <v>9018</v>
      </c>
      <c r="J152" s="13">
        <v>11738</v>
      </c>
      <c r="K152" s="13">
        <v>8174</v>
      </c>
      <c r="L152" s="13">
        <v>8363</v>
      </c>
      <c r="M152" s="13">
        <v>13071</v>
      </c>
      <c r="N152" s="12"/>
      <c r="O152" s="12"/>
      <c r="P152" s="12"/>
      <c r="Q152" s="12"/>
      <c r="R152" s="12"/>
      <c r="S152" s="12"/>
      <c r="T152" s="12"/>
      <c r="U152" s="28"/>
      <c r="V152" s="6"/>
      <c r="W152" s="6"/>
      <c r="X152" s="6"/>
      <c r="Y152" s="6"/>
      <c r="Z152" s="6"/>
      <c r="AA152" s="6"/>
      <c r="AB152" s="6"/>
    </row>
    <row r="153" spans="1:28" ht="14.4" x14ac:dyDescent="0.4">
      <c r="A153" s="4" t="s">
        <v>153</v>
      </c>
      <c r="B153" s="11"/>
      <c r="C153" s="11"/>
      <c r="D153" s="11"/>
      <c r="E153" s="25"/>
      <c r="F153" s="13">
        <v>7738</v>
      </c>
      <c r="G153" s="13">
        <v>5133</v>
      </c>
      <c r="H153" s="13">
        <v>6998</v>
      </c>
      <c r="I153" s="13">
        <v>5404</v>
      </c>
      <c r="J153" s="13">
        <v>8460</v>
      </c>
      <c r="K153" s="13">
        <v>5129</v>
      </c>
      <c r="L153" s="13">
        <v>6636</v>
      </c>
      <c r="M153" s="13">
        <v>8335</v>
      </c>
      <c r="N153" s="12"/>
      <c r="O153" s="12"/>
      <c r="P153" s="12"/>
      <c r="Q153" s="12"/>
      <c r="R153" s="12"/>
      <c r="S153" s="12"/>
      <c r="T153" s="12"/>
      <c r="U153" s="28"/>
      <c r="V153" s="6"/>
      <c r="W153" s="6"/>
      <c r="X153" s="6"/>
      <c r="Y153" s="6"/>
      <c r="Z153" s="6"/>
      <c r="AA153" s="6"/>
      <c r="AB153" s="6"/>
    </row>
    <row r="154" spans="1:28" ht="14.4" x14ac:dyDescent="0.4">
      <c r="A154" s="3" t="s">
        <v>154</v>
      </c>
      <c r="B154" s="8">
        <v>1358756</v>
      </c>
      <c r="C154" s="8">
        <v>78652</v>
      </c>
      <c r="D154" s="8">
        <v>49496</v>
      </c>
      <c r="E154" s="24"/>
      <c r="F154" s="9">
        <v>137538</v>
      </c>
      <c r="G154" s="9">
        <v>119132</v>
      </c>
      <c r="H154" s="9">
        <v>83493</v>
      </c>
      <c r="I154" s="9">
        <v>134729</v>
      </c>
      <c r="J154" s="9">
        <v>85954</v>
      </c>
      <c r="K154" s="9">
        <v>96867</v>
      </c>
      <c r="L154" s="9">
        <v>118302</v>
      </c>
      <c r="M154" s="9">
        <v>89827</v>
      </c>
      <c r="N154" s="9">
        <v>104249</v>
      </c>
      <c r="O154" s="9">
        <v>152244</v>
      </c>
      <c r="P154" s="9">
        <v>116351</v>
      </c>
      <c r="Q154" s="9">
        <v>120070</v>
      </c>
      <c r="R154" s="10"/>
      <c r="S154" s="10"/>
      <c r="T154" s="10"/>
      <c r="U154" s="28"/>
      <c r="V154" s="7">
        <f>SUM(F154:T154)</f>
        <v>1358756</v>
      </c>
      <c r="W154" s="7">
        <f>SUM(F155:T155)</f>
        <v>78652</v>
      </c>
      <c r="X154" s="7">
        <f>SUM(F156:T156)</f>
        <v>49396</v>
      </c>
      <c r="Y154" s="7"/>
      <c r="Z154" s="7">
        <f>V154-B154</f>
        <v>0</v>
      </c>
      <c r="AA154" s="7">
        <f>W154-C154</f>
        <v>0</v>
      </c>
      <c r="AB154" s="7">
        <f>X154-D154</f>
        <v>-100</v>
      </c>
    </row>
    <row r="155" spans="1:28" ht="14.4" x14ac:dyDescent="0.4">
      <c r="A155" s="4" t="s">
        <v>155</v>
      </c>
      <c r="B155" s="11"/>
      <c r="C155" s="11"/>
      <c r="D155" s="11"/>
      <c r="E155" s="25"/>
      <c r="F155" s="13">
        <v>6541</v>
      </c>
      <c r="G155" s="13">
        <v>8627</v>
      </c>
      <c r="H155" s="13">
        <v>5397</v>
      </c>
      <c r="I155" s="13">
        <v>5051</v>
      </c>
      <c r="J155" s="13">
        <v>5726</v>
      </c>
      <c r="K155" s="13">
        <v>6710</v>
      </c>
      <c r="L155" s="13">
        <v>7489</v>
      </c>
      <c r="M155" s="13">
        <v>5092</v>
      </c>
      <c r="N155" s="13">
        <v>6799</v>
      </c>
      <c r="O155" s="13">
        <v>9181</v>
      </c>
      <c r="P155" s="13">
        <v>5321</v>
      </c>
      <c r="Q155" s="13">
        <v>6718</v>
      </c>
      <c r="R155" s="12"/>
      <c r="S155" s="12"/>
      <c r="T155" s="12"/>
      <c r="U155" s="28"/>
      <c r="V155" s="6"/>
      <c r="W155" s="6"/>
      <c r="X155" s="6"/>
      <c r="Y155" s="6"/>
      <c r="Z155" s="6"/>
      <c r="AA155" s="6"/>
      <c r="AB155" s="6"/>
    </row>
    <row r="156" spans="1:28" ht="14.4" x14ac:dyDescent="0.4">
      <c r="A156" s="4" t="s">
        <v>156</v>
      </c>
      <c r="B156" s="11"/>
      <c r="C156" s="11"/>
      <c r="D156" s="11"/>
      <c r="E156" s="25"/>
      <c r="F156" s="13">
        <v>4382</v>
      </c>
      <c r="G156" s="13">
        <v>5342</v>
      </c>
      <c r="H156" s="13">
        <v>3493</v>
      </c>
      <c r="I156" s="13">
        <v>4707</v>
      </c>
      <c r="J156" s="13">
        <v>3286</v>
      </c>
      <c r="K156" s="13">
        <v>3979</v>
      </c>
      <c r="L156" s="13">
        <v>4063</v>
      </c>
      <c r="M156" s="13">
        <v>2739</v>
      </c>
      <c r="N156" s="13">
        <v>4298</v>
      </c>
      <c r="O156" s="13">
        <v>5033</v>
      </c>
      <c r="P156" s="13">
        <v>3886</v>
      </c>
      <c r="Q156" s="13">
        <v>4188</v>
      </c>
      <c r="R156" s="12"/>
      <c r="S156" s="12"/>
      <c r="T156" s="12"/>
      <c r="U156" s="28"/>
      <c r="V156" s="6"/>
      <c r="W156" s="6"/>
      <c r="X156" s="6"/>
      <c r="Y156" s="6"/>
      <c r="Z156" s="6"/>
      <c r="AA156" s="6"/>
      <c r="AB156" s="6"/>
    </row>
    <row r="157" spans="1:28" ht="14.4" x14ac:dyDescent="0.4">
      <c r="A157" s="3" t="s">
        <v>157</v>
      </c>
      <c r="B157" s="8">
        <v>1104314</v>
      </c>
      <c r="C157" s="8">
        <v>54265</v>
      </c>
      <c r="D157" s="8">
        <v>35313</v>
      </c>
      <c r="E157" s="24"/>
      <c r="F157" s="15" t="s">
        <v>6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28"/>
      <c r="V157" s="7"/>
      <c r="W157" s="7"/>
      <c r="X157" s="7"/>
      <c r="Y157" s="7"/>
      <c r="Z157" s="7"/>
      <c r="AA157" s="7"/>
      <c r="AB157" s="7"/>
    </row>
    <row r="158" spans="1:28" ht="14.4" x14ac:dyDescent="0.4">
      <c r="A158" s="4" t="s">
        <v>158</v>
      </c>
      <c r="B158" s="11"/>
      <c r="C158" s="11"/>
      <c r="D158" s="11"/>
      <c r="E158" s="25"/>
      <c r="F158" s="14" t="s">
        <v>6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28"/>
      <c r="V158" s="6"/>
      <c r="W158" s="6"/>
      <c r="X158" s="6"/>
      <c r="Y158" s="6"/>
      <c r="Z158" s="6"/>
      <c r="AA158" s="6"/>
      <c r="AB158" s="6"/>
    </row>
    <row r="159" spans="1:28" ht="14.4" x14ac:dyDescent="0.4">
      <c r="A159" s="4" t="s">
        <v>159</v>
      </c>
      <c r="B159" s="11"/>
      <c r="C159" s="11"/>
      <c r="D159" s="11"/>
      <c r="E159" s="25"/>
      <c r="F159" s="14" t="s">
        <v>6</v>
      </c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28"/>
      <c r="V159" s="6"/>
      <c r="W159" s="6"/>
      <c r="X159" s="6"/>
      <c r="Y159" s="6"/>
      <c r="Z159" s="6"/>
      <c r="AA159" s="6"/>
      <c r="AB159" s="6"/>
    </row>
    <row r="160" spans="1:28" ht="14.4" x14ac:dyDescent="0.4">
      <c r="A160" s="3" t="s">
        <v>160</v>
      </c>
      <c r="B160" s="8">
        <v>2782788</v>
      </c>
      <c r="C160" s="8">
        <v>141051</v>
      </c>
      <c r="D160" s="8">
        <v>89139</v>
      </c>
      <c r="E160" s="24"/>
      <c r="F160" s="9">
        <v>388195</v>
      </c>
      <c r="G160" s="9">
        <v>301130</v>
      </c>
      <c r="H160" s="9">
        <v>182749</v>
      </c>
      <c r="I160" s="9">
        <v>269842</v>
      </c>
      <c r="J160" s="9">
        <v>379357</v>
      </c>
      <c r="K160" s="9">
        <v>154001</v>
      </c>
      <c r="L160" s="9">
        <v>181379</v>
      </c>
      <c r="M160" s="9">
        <v>271871</v>
      </c>
      <c r="N160" s="9">
        <v>133754</v>
      </c>
      <c r="O160" s="9">
        <v>144223</v>
      </c>
      <c r="P160" s="9">
        <v>206869</v>
      </c>
      <c r="Q160" s="9">
        <v>162255</v>
      </c>
      <c r="R160" s="10"/>
      <c r="S160" s="10"/>
      <c r="T160" s="10"/>
      <c r="U160" s="28"/>
      <c r="V160" s="7">
        <f>SUM(F160:T160)</f>
        <v>2775625</v>
      </c>
      <c r="W160" s="7">
        <f>SUM(F161:T161)</f>
        <v>141051</v>
      </c>
      <c r="X160" s="7">
        <f>SUM(F162:T162)</f>
        <v>89149</v>
      </c>
      <c r="Y160" s="7"/>
      <c r="Z160" s="7">
        <f>V160-B160</f>
        <v>-7163</v>
      </c>
      <c r="AA160" s="7">
        <f>W160-C160</f>
        <v>0</v>
      </c>
      <c r="AB160" s="7">
        <f>X160-D160</f>
        <v>10</v>
      </c>
    </row>
    <row r="161" spans="1:28" ht="14.4" x14ac:dyDescent="0.4">
      <c r="A161" s="4" t="s">
        <v>161</v>
      </c>
      <c r="B161" s="11"/>
      <c r="C161" s="11"/>
      <c r="D161" s="11"/>
      <c r="E161" s="25"/>
      <c r="F161" s="13">
        <v>20658</v>
      </c>
      <c r="G161" s="13">
        <v>15918</v>
      </c>
      <c r="H161" s="13">
        <v>7251</v>
      </c>
      <c r="I161" s="13">
        <v>14954</v>
      </c>
      <c r="J161" s="13">
        <v>17497</v>
      </c>
      <c r="K161" s="13">
        <v>7913</v>
      </c>
      <c r="L161" s="13">
        <v>8540</v>
      </c>
      <c r="M161" s="13">
        <v>14044</v>
      </c>
      <c r="N161" s="13">
        <v>7338</v>
      </c>
      <c r="O161" s="13">
        <v>7654</v>
      </c>
      <c r="P161" s="13">
        <v>10822</v>
      </c>
      <c r="Q161" s="13">
        <v>8462</v>
      </c>
      <c r="R161" s="12"/>
      <c r="S161" s="12"/>
      <c r="T161" s="12"/>
      <c r="U161" s="28"/>
      <c r="V161" s="6"/>
      <c r="W161" s="6"/>
      <c r="X161" s="6"/>
      <c r="Y161" s="6"/>
      <c r="Z161" s="6"/>
      <c r="AA161" s="6"/>
      <c r="AB161" s="6"/>
    </row>
    <row r="162" spans="1:28" ht="14.4" x14ac:dyDescent="0.4">
      <c r="A162" s="4" t="s">
        <v>162</v>
      </c>
      <c r="B162" s="11"/>
      <c r="C162" s="11"/>
      <c r="D162" s="11"/>
      <c r="E162" s="25"/>
      <c r="F162" s="13">
        <v>12288</v>
      </c>
      <c r="G162" s="13">
        <v>9804</v>
      </c>
      <c r="H162" s="13">
        <v>5297</v>
      </c>
      <c r="I162" s="13">
        <v>8435</v>
      </c>
      <c r="J162" s="13">
        <v>12602</v>
      </c>
      <c r="K162" s="13">
        <v>4699</v>
      </c>
      <c r="L162" s="13">
        <v>4777</v>
      </c>
      <c r="M162" s="13">
        <v>8818</v>
      </c>
      <c r="N162" s="13">
        <v>5533</v>
      </c>
      <c r="O162" s="13">
        <v>5917</v>
      </c>
      <c r="P162" s="13">
        <v>5968</v>
      </c>
      <c r="Q162" s="13">
        <v>5011</v>
      </c>
      <c r="R162" s="12"/>
      <c r="S162" s="12"/>
      <c r="T162" s="12"/>
      <c r="U162" s="28"/>
      <c r="V162" s="6"/>
      <c r="W162" s="6"/>
      <c r="X162" s="6"/>
      <c r="Y162" s="6"/>
      <c r="Z162" s="6"/>
      <c r="AA162" s="6"/>
      <c r="AB162" s="6"/>
    </row>
    <row r="163" spans="1:28" ht="14.4" x14ac:dyDescent="0.4">
      <c r="A163" s="3" t="s">
        <v>163</v>
      </c>
      <c r="B163" s="8">
        <v>1813631</v>
      </c>
      <c r="C163" s="8">
        <v>86639</v>
      </c>
      <c r="D163" s="8">
        <v>54869</v>
      </c>
      <c r="E163" s="24"/>
      <c r="F163" s="9">
        <v>162251</v>
      </c>
      <c r="G163" s="9">
        <v>239370</v>
      </c>
      <c r="H163" s="9">
        <v>150767</v>
      </c>
      <c r="I163" s="9">
        <v>170764</v>
      </c>
      <c r="J163" s="9">
        <v>113734</v>
      </c>
      <c r="K163" s="9">
        <v>135511</v>
      </c>
      <c r="L163" s="9">
        <v>139121</v>
      </c>
      <c r="M163" s="9">
        <v>127366</v>
      </c>
      <c r="N163" s="9">
        <v>120377</v>
      </c>
      <c r="O163" s="9">
        <v>137492</v>
      </c>
      <c r="P163" s="9">
        <v>153952</v>
      </c>
      <c r="Q163" s="9">
        <v>162926</v>
      </c>
      <c r="R163" s="10"/>
      <c r="S163" s="10"/>
      <c r="T163" s="10"/>
      <c r="U163" s="28"/>
      <c r="V163" s="7">
        <f>SUM(F163:T163)</f>
        <v>1813631</v>
      </c>
      <c r="W163" s="7">
        <f>SUM(F164:T164)</f>
        <v>86639</v>
      </c>
      <c r="X163" s="7">
        <f>SUM(F165:T165)</f>
        <v>54867</v>
      </c>
      <c r="Y163" s="7"/>
      <c r="Z163" s="7">
        <f>V163-B163</f>
        <v>0</v>
      </c>
      <c r="AA163" s="7">
        <f>W163-C163</f>
        <v>0</v>
      </c>
      <c r="AB163" s="7">
        <f>X163-D163</f>
        <v>-2</v>
      </c>
    </row>
    <row r="164" spans="1:28" ht="14.4" x14ac:dyDescent="0.4">
      <c r="A164" s="4" t="s">
        <v>164</v>
      </c>
      <c r="B164" s="11"/>
      <c r="C164" s="11"/>
      <c r="D164" s="11"/>
      <c r="E164" s="25"/>
      <c r="F164" s="13">
        <v>7574</v>
      </c>
      <c r="G164" s="13">
        <v>12140</v>
      </c>
      <c r="H164" s="13">
        <v>7362</v>
      </c>
      <c r="I164" s="13">
        <v>7520</v>
      </c>
      <c r="J164" s="13">
        <v>5234</v>
      </c>
      <c r="K164" s="13">
        <v>6187</v>
      </c>
      <c r="L164" s="13">
        <v>6364</v>
      </c>
      <c r="M164" s="13">
        <v>5926</v>
      </c>
      <c r="N164" s="13">
        <v>6624</v>
      </c>
      <c r="O164" s="13">
        <v>7415</v>
      </c>
      <c r="P164" s="13">
        <v>7415</v>
      </c>
      <c r="Q164" s="13">
        <v>6878</v>
      </c>
      <c r="R164" s="12"/>
      <c r="S164" s="12"/>
      <c r="T164" s="12"/>
      <c r="U164" s="28"/>
      <c r="V164" s="6"/>
      <c r="W164" s="6"/>
      <c r="X164" s="6"/>
      <c r="Y164" s="6"/>
      <c r="Z164" s="6"/>
      <c r="AA164" s="6"/>
      <c r="AB164" s="6"/>
    </row>
    <row r="165" spans="1:28" ht="14.4" x14ac:dyDescent="0.4">
      <c r="A165" s="4" t="s">
        <v>165</v>
      </c>
      <c r="B165" s="11"/>
      <c r="C165" s="11"/>
      <c r="D165" s="11"/>
      <c r="E165" s="25"/>
      <c r="F165" s="13">
        <v>4827</v>
      </c>
      <c r="G165" s="13">
        <v>7053</v>
      </c>
      <c r="H165" s="13">
        <v>4342</v>
      </c>
      <c r="I165" s="13">
        <v>4784</v>
      </c>
      <c r="J165" s="13">
        <v>3216</v>
      </c>
      <c r="K165" s="13">
        <v>3655</v>
      </c>
      <c r="L165" s="13">
        <v>4168</v>
      </c>
      <c r="M165" s="13">
        <v>3473</v>
      </c>
      <c r="N165" s="13">
        <v>4046</v>
      </c>
      <c r="O165" s="13">
        <v>4541</v>
      </c>
      <c r="P165" s="13">
        <v>5995</v>
      </c>
      <c r="Q165" s="13">
        <v>4767</v>
      </c>
      <c r="R165" s="12"/>
      <c r="S165" s="12"/>
      <c r="T165" s="12"/>
      <c r="U165" s="28"/>
      <c r="V165" s="6"/>
      <c r="W165" s="6"/>
      <c r="X165" s="6"/>
      <c r="Y165" s="6"/>
      <c r="Z165" s="6"/>
      <c r="AA165" s="6"/>
      <c r="AB165" s="6"/>
    </row>
    <row r="166" spans="1:28" ht="14.4" x14ac:dyDescent="0.4">
      <c r="A166" s="3" t="s">
        <v>166</v>
      </c>
      <c r="B166" s="8">
        <v>1475183</v>
      </c>
      <c r="C166" s="8">
        <v>76217</v>
      </c>
      <c r="D166" s="8">
        <v>51590</v>
      </c>
      <c r="E166" s="24"/>
      <c r="F166" s="9">
        <v>164964</v>
      </c>
      <c r="G166" s="9">
        <v>89527</v>
      </c>
      <c r="H166" s="9">
        <v>158676</v>
      </c>
      <c r="I166" s="9">
        <v>75241</v>
      </c>
      <c r="J166" s="9">
        <v>123691</v>
      </c>
      <c r="K166" s="9">
        <v>133635</v>
      </c>
      <c r="L166" s="9">
        <v>165993</v>
      </c>
      <c r="M166" s="9">
        <v>79088</v>
      </c>
      <c r="N166" s="9">
        <v>105376</v>
      </c>
      <c r="O166" s="9">
        <v>145430</v>
      </c>
      <c r="P166" s="9">
        <v>101373</v>
      </c>
      <c r="Q166" s="9">
        <v>112099</v>
      </c>
      <c r="R166" s="10"/>
      <c r="S166" s="10"/>
      <c r="T166" s="10"/>
      <c r="U166" s="28"/>
      <c r="V166" s="7">
        <f>SUM(F166:T166)</f>
        <v>1455093</v>
      </c>
      <c r="W166" s="7">
        <f>SUM(F167:T167)</f>
        <v>76210</v>
      </c>
      <c r="X166" s="7">
        <f>SUM(F168:T168)</f>
        <v>51590</v>
      </c>
      <c r="Y166" s="7"/>
      <c r="Z166" s="7">
        <f>V166-B166</f>
        <v>-20090</v>
      </c>
      <c r="AA166" s="7">
        <f>W166-C166</f>
        <v>-7</v>
      </c>
      <c r="AB166" s="7">
        <f>X166-D166</f>
        <v>0</v>
      </c>
    </row>
    <row r="167" spans="1:28" ht="14.4" x14ac:dyDescent="0.4">
      <c r="A167" s="4" t="s">
        <v>167</v>
      </c>
      <c r="B167" s="11"/>
      <c r="C167" s="11"/>
      <c r="D167" s="11"/>
      <c r="E167" s="25"/>
      <c r="F167" s="13">
        <v>8567</v>
      </c>
      <c r="G167" s="13">
        <v>4053</v>
      </c>
      <c r="H167" s="13">
        <v>9455</v>
      </c>
      <c r="I167" s="13">
        <v>3854</v>
      </c>
      <c r="J167" s="13">
        <v>5821</v>
      </c>
      <c r="K167" s="13">
        <v>6561</v>
      </c>
      <c r="L167" s="13">
        <v>9366</v>
      </c>
      <c r="M167" s="13">
        <v>3797</v>
      </c>
      <c r="N167" s="13">
        <v>5692</v>
      </c>
      <c r="O167" s="13">
        <v>8248</v>
      </c>
      <c r="P167" s="13">
        <v>4934</v>
      </c>
      <c r="Q167" s="13">
        <v>5862</v>
      </c>
      <c r="R167" s="12"/>
      <c r="S167" s="12"/>
      <c r="T167" s="12"/>
      <c r="U167" s="28"/>
      <c r="V167" s="6"/>
      <c r="W167" s="6"/>
      <c r="X167" s="6"/>
      <c r="Y167" s="6"/>
      <c r="Z167" s="6"/>
      <c r="AA167" s="6"/>
      <c r="AB167" s="6"/>
    </row>
    <row r="168" spans="1:28" ht="14.4" x14ac:dyDescent="0.4">
      <c r="A168" s="4" t="s">
        <v>168</v>
      </c>
      <c r="B168" s="11"/>
      <c r="C168" s="11"/>
      <c r="D168" s="11"/>
      <c r="E168" s="25"/>
      <c r="F168" s="13">
        <v>7024</v>
      </c>
      <c r="G168" s="13">
        <v>2722</v>
      </c>
      <c r="H168" s="13">
        <v>5752</v>
      </c>
      <c r="I168" s="13">
        <v>2329</v>
      </c>
      <c r="J168" s="13">
        <v>3462</v>
      </c>
      <c r="K168" s="13">
        <v>4399</v>
      </c>
      <c r="L168" s="13">
        <v>7197</v>
      </c>
      <c r="M168" s="13">
        <v>2781</v>
      </c>
      <c r="N168" s="13">
        <v>3711</v>
      </c>
      <c r="O168" s="13">
        <v>5282</v>
      </c>
      <c r="P168" s="13">
        <v>3112</v>
      </c>
      <c r="Q168" s="13">
        <v>3819</v>
      </c>
      <c r="R168" s="12"/>
      <c r="S168" s="12"/>
      <c r="T168" s="12"/>
      <c r="U168" s="28"/>
      <c r="V168" s="6"/>
      <c r="W168" s="6"/>
      <c r="X168" s="6"/>
      <c r="Y168" s="6"/>
      <c r="Z168" s="6"/>
      <c r="AA168" s="6"/>
      <c r="AB168" s="6"/>
    </row>
    <row r="169" spans="1:28" ht="14.4" x14ac:dyDescent="0.4">
      <c r="A169" s="3" t="s">
        <v>169</v>
      </c>
      <c r="B169" s="8">
        <v>1980301</v>
      </c>
      <c r="C169" s="8">
        <v>96188</v>
      </c>
      <c r="D169" s="8">
        <v>63512</v>
      </c>
      <c r="E169" s="24"/>
      <c r="F169" s="9">
        <v>317863</v>
      </c>
      <c r="G169" s="9">
        <v>379316</v>
      </c>
      <c r="H169" s="9">
        <v>445665</v>
      </c>
      <c r="I169" s="9">
        <v>167436</v>
      </c>
      <c r="J169" s="9">
        <v>363922</v>
      </c>
      <c r="K169" s="9">
        <v>306099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28"/>
      <c r="V169" s="7">
        <f>SUM(F169:T169)</f>
        <v>1980301</v>
      </c>
      <c r="W169" s="7">
        <f>SUM(F170:T170)</f>
        <v>96188</v>
      </c>
      <c r="X169" s="7">
        <f>SUM(F171:T171)</f>
        <v>63512</v>
      </c>
      <c r="Y169" s="7"/>
      <c r="Z169" s="7">
        <f>V169-B169</f>
        <v>0</v>
      </c>
      <c r="AA169" s="7">
        <f>W169-C169</f>
        <v>0</v>
      </c>
      <c r="AB169" s="7">
        <f>X169-D169</f>
        <v>0</v>
      </c>
    </row>
    <row r="170" spans="1:28" ht="14.4" x14ac:dyDescent="0.4">
      <c r="A170" s="4" t="s">
        <v>170</v>
      </c>
      <c r="B170" s="11"/>
      <c r="C170" s="11"/>
      <c r="D170" s="11"/>
      <c r="E170" s="25"/>
      <c r="F170" s="13">
        <v>16189</v>
      </c>
      <c r="G170" s="13">
        <v>17055</v>
      </c>
      <c r="H170" s="13">
        <v>22472</v>
      </c>
      <c r="I170" s="13">
        <v>9125</v>
      </c>
      <c r="J170" s="13">
        <v>17483</v>
      </c>
      <c r="K170" s="13">
        <v>13864</v>
      </c>
      <c r="L170" s="12"/>
      <c r="M170" s="12"/>
      <c r="N170" s="12"/>
      <c r="O170" s="12"/>
      <c r="P170" s="12"/>
      <c r="Q170" s="12"/>
      <c r="R170" s="12"/>
      <c r="S170" s="12"/>
      <c r="T170" s="12"/>
      <c r="U170" s="28"/>
      <c r="V170" s="6"/>
      <c r="W170" s="6"/>
      <c r="X170" s="6"/>
      <c r="Y170" s="6"/>
      <c r="Z170" s="6"/>
      <c r="AA170" s="6"/>
      <c r="AB170" s="6"/>
    </row>
    <row r="171" spans="1:28" ht="14.4" x14ac:dyDescent="0.4">
      <c r="A171" s="4" t="s">
        <v>171</v>
      </c>
      <c r="B171" s="11"/>
      <c r="C171" s="11"/>
      <c r="D171" s="11"/>
      <c r="E171" s="25"/>
      <c r="F171" s="13">
        <v>12320</v>
      </c>
      <c r="G171" s="13">
        <v>10434</v>
      </c>
      <c r="H171" s="13">
        <v>15045</v>
      </c>
      <c r="I171" s="13">
        <v>6293</v>
      </c>
      <c r="J171" s="13">
        <v>11127</v>
      </c>
      <c r="K171" s="13">
        <v>8293</v>
      </c>
      <c r="L171" s="12"/>
      <c r="M171" s="12"/>
      <c r="N171" s="12"/>
      <c r="O171" s="12"/>
      <c r="P171" s="12"/>
      <c r="Q171" s="12"/>
      <c r="R171" s="12"/>
      <c r="S171" s="12"/>
      <c r="T171" s="12"/>
      <c r="U171" s="28"/>
      <c r="V171" s="6"/>
      <c r="W171" s="6"/>
      <c r="X171" s="6"/>
      <c r="Y171" s="6"/>
      <c r="Z171" s="6"/>
      <c r="AA171" s="6"/>
      <c r="AB171" s="6"/>
    </row>
    <row r="172" spans="1:28" ht="14.4" x14ac:dyDescent="0.4">
      <c r="A172" s="3" t="s">
        <v>172</v>
      </c>
      <c r="B172" s="8">
        <v>2366587</v>
      </c>
      <c r="C172" s="8">
        <v>123618</v>
      </c>
      <c r="D172" s="8">
        <v>76772</v>
      </c>
      <c r="E172" s="24"/>
      <c r="F172" s="9">
        <v>251501</v>
      </c>
      <c r="G172" s="9">
        <v>134217</v>
      </c>
      <c r="H172" s="9">
        <v>149056</v>
      </c>
      <c r="I172" s="9">
        <v>124143</v>
      </c>
      <c r="J172" s="9">
        <v>160519</v>
      </c>
      <c r="K172" s="9">
        <v>219533</v>
      </c>
      <c r="L172" s="9">
        <v>277134</v>
      </c>
      <c r="M172" s="9">
        <v>220492</v>
      </c>
      <c r="N172" s="9">
        <v>156995</v>
      </c>
      <c r="O172" s="9">
        <v>368722</v>
      </c>
      <c r="P172" s="9">
        <v>204275</v>
      </c>
      <c r="Q172" s="10"/>
      <c r="R172" s="10"/>
      <c r="S172" s="10"/>
      <c r="T172" s="10"/>
      <c r="U172" s="28"/>
      <c r="V172" s="7">
        <f>SUM(F172:T172)</f>
        <v>2266587</v>
      </c>
      <c r="W172" s="7">
        <f>SUM(F173:T173)</f>
        <v>123618</v>
      </c>
      <c r="X172" s="7">
        <f>SUM(F174:T174)</f>
        <v>75772</v>
      </c>
      <c r="Y172" s="7"/>
      <c r="Z172" s="7">
        <f>V172-B172</f>
        <v>-100000</v>
      </c>
      <c r="AA172" s="7">
        <f>W172-C172</f>
        <v>0</v>
      </c>
      <c r="AB172" s="7">
        <f>X172-D172</f>
        <v>-1000</v>
      </c>
    </row>
    <row r="173" spans="1:28" ht="14.4" x14ac:dyDescent="0.4">
      <c r="A173" s="4" t="s">
        <v>173</v>
      </c>
      <c r="B173" s="11"/>
      <c r="C173" s="11"/>
      <c r="D173" s="11"/>
      <c r="E173" s="25"/>
      <c r="F173" s="13">
        <v>14087</v>
      </c>
      <c r="G173" s="13">
        <v>7708</v>
      </c>
      <c r="H173" s="13">
        <v>8272</v>
      </c>
      <c r="I173" s="13">
        <v>6757</v>
      </c>
      <c r="J173" s="13">
        <v>8271</v>
      </c>
      <c r="K173" s="13">
        <v>11415</v>
      </c>
      <c r="L173" s="13">
        <v>15115</v>
      </c>
      <c r="M173" s="13">
        <v>11470</v>
      </c>
      <c r="N173" s="13">
        <v>8527</v>
      </c>
      <c r="O173" s="13">
        <v>21234</v>
      </c>
      <c r="P173" s="13">
        <v>10762</v>
      </c>
      <c r="Q173" s="12"/>
      <c r="R173" s="12"/>
      <c r="S173" s="12"/>
      <c r="T173" s="12"/>
      <c r="U173" s="28"/>
      <c r="V173" s="6"/>
      <c r="W173" s="6"/>
      <c r="X173" s="6"/>
      <c r="Y173" s="6"/>
      <c r="Z173" s="6"/>
      <c r="AA173" s="6"/>
      <c r="AB173" s="6"/>
    </row>
    <row r="174" spans="1:28" ht="14.4" x14ac:dyDescent="0.4">
      <c r="A174" s="4" t="s">
        <v>174</v>
      </c>
      <c r="B174" s="11"/>
      <c r="C174" s="11"/>
      <c r="D174" s="11"/>
      <c r="E174" s="25"/>
      <c r="F174" s="13">
        <v>8544</v>
      </c>
      <c r="G174" s="13">
        <v>4386</v>
      </c>
      <c r="H174" s="13">
        <v>4547</v>
      </c>
      <c r="I174" s="13">
        <v>3694</v>
      </c>
      <c r="J174" s="13">
        <v>6062</v>
      </c>
      <c r="K174" s="13">
        <v>6873</v>
      </c>
      <c r="L174" s="13">
        <v>7021</v>
      </c>
      <c r="M174" s="13">
        <v>8547</v>
      </c>
      <c r="N174" s="13">
        <v>5177</v>
      </c>
      <c r="O174" s="13">
        <v>14852</v>
      </c>
      <c r="P174" s="13">
        <v>6069</v>
      </c>
      <c r="Q174" s="12"/>
      <c r="R174" s="12"/>
      <c r="S174" s="12"/>
      <c r="T174" s="12"/>
      <c r="U174" s="28"/>
      <c r="V174" s="6"/>
      <c r="W174" s="6"/>
      <c r="X174" s="6"/>
      <c r="Y174" s="6"/>
      <c r="Z174" s="6"/>
      <c r="AA174" s="6"/>
      <c r="AB174" s="6"/>
    </row>
    <row r="175" spans="1:28" ht="14.4" x14ac:dyDescent="0.4">
      <c r="A175" s="3" t="s">
        <v>175</v>
      </c>
      <c r="B175" s="8">
        <v>1792163</v>
      </c>
      <c r="C175" s="8">
        <v>101170</v>
      </c>
      <c r="D175" s="8">
        <v>57900</v>
      </c>
      <c r="E175" s="24"/>
      <c r="F175" s="9">
        <v>370456</v>
      </c>
      <c r="G175" s="9">
        <v>334368</v>
      </c>
      <c r="H175" s="9">
        <v>196721</v>
      </c>
      <c r="I175" s="9">
        <v>482095</v>
      </c>
      <c r="J175" s="9">
        <v>175392</v>
      </c>
      <c r="K175" s="9">
        <v>204342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28"/>
      <c r="V175" s="7">
        <f>SUM(F175:T175)</f>
        <v>1763374</v>
      </c>
      <c r="W175" s="7">
        <f>SUM(F176:T176)</f>
        <v>101170</v>
      </c>
      <c r="X175" s="7">
        <f>SUM(F177:T177)</f>
        <v>57900</v>
      </c>
      <c r="Y175" s="7"/>
      <c r="Z175" s="7">
        <f>V175-B175</f>
        <v>-28789</v>
      </c>
      <c r="AA175" s="7">
        <f>W175-C175</f>
        <v>0</v>
      </c>
      <c r="AB175" s="7">
        <f>X175-D175</f>
        <v>0</v>
      </c>
    </row>
    <row r="176" spans="1:28" ht="14.4" x14ac:dyDescent="0.4">
      <c r="A176" s="4" t="s">
        <v>176</v>
      </c>
      <c r="B176" s="11"/>
      <c r="C176" s="11"/>
      <c r="D176" s="11"/>
      <c r="E176" s="25"/>
      <c r="F176" s="13">
        <v>21513</v>
      </c>
      <c r="G176" s="13">
        <v>19843</v>
      </c>
      <c r="H176" s="13">
        <v>11746</v>
      </c>
      <c r="I176" s="13">
        <v>26854</v>
      </c>
      <c r="J176" s="13">
        <v>11128</v>
      </c>
      <c r="K176" s="13">
        <v>10086</v>
      </c>
      <c r="L176" s="12"/>
      <c r="M176" s="12"/>
      <c r="N176" s="12"/>
      <c r="O176" s="12"/>
      <c r="P176" s="12"/>
      <c r="Q176" s="12"/>
      <c r="R176" s="12"/>
      <c r="S176" s="12"/>
      <c r="T176" s="12"/>
      <c r="U176" s="28"/>
      <c r="V176" s="6"/>
      <c r="W176" s="6"/>
      <c r="X176" s="6"/>
      <c r="Y176" s="6"/>
      <c r="Z176" s="6"/>
      <c r="AA176" s="6"/>
      <c r="AB176" s="6"/>
    </row>
    <row r="177" spans="1:28" ht="14.4" x14ac:dyDescent="0.4">
      <c r="A177" s="4" t="s">
        <v>177</v>
      </c>
      <c r="B177" s="11"/>
      <c r="C177" s="11"/>
      <c r="D177" s="11"/>
      <c r="E177" s="25"/>
      <c r="F177" s="13">
        <v>12273</v>
      </c>
      <c r="G177" s="13">
        <v>12510</v>
      </c>
      <c r="H177" s="13">
        <v>6580</v>
      </c>
      <c r="I177" s="13">
        <v>15484</v>
      </c>
      <c r="J177" s="13">
        <v>5158</v>
      </c>
      <c r="K177" s="13">
        <v>5895</v>
      </c>
      <c r="L177" s="12"/>
      <c r="M177" s="12"/>
      <c r="N177" s="12"/>
      <c r="O177" s="12"/>
      <c r="P177" s="12"/>
      <c r="Q177" s="12"/>
      <c r="R177" s="12"/>
      <c r="S177" s="12"/>
      <c r="T177" s="12"/>
      <c r="U177" s="28"/>
      <c r="V177" s="6"/>
      <c r="W177" s="6"/>
      <c r="X177" s="6"/>
      <c r="Y177" s="6"/>
      <c r="Z177" s="6"/>
      <c r="AA177" s="6"/>
      <c r="AB177" s="6"/>
    </row>
    <row r="178" spans="1:28" ht="14.4" x14ac:dyDescent="0.4">
      <c r="A178" s="3" t="s">
        <v>178</v>
      </c>
      <c r="B178" s="8">
        <v>73694</v>
      </c>
      <c r="C178" s="8">
        <v>3178</v>
      </c>
      <c r="D178" s="8">
        <v>2473</v>
      </c>
      <c r="E178" s="24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28"/>
      <c r="V178" s="7"/>
      <c r="W178" s="7"/>
      <c r="X178" s="7"/>
      <c r="Y178" s="7"/>
      <c r="Z178" s="7"/>
      <c r="AA178" s="7"/>
      <c r="AB178" s="7"/>
    </row>
    <row r="179" spans="1:28" ht="14.4" x14ac:dyDescent="0.4">
      <c r="A179" s="3" t="s">
        <v>179</v>
      </c>
      <c r="B179" s="8">
        <v>274209</v>
      </c>
      <c r="C179" s="8">
        <v>10500</v>
      </c>
      <c r="D179" s="8">
        <v>7459</v>
      </c>
      <c r="E179" s="24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28"/>
      <c r="V179" s="7"/>
      <c r="W179" s="7"/>
      <c r="X179" s="7"/>
      <c r="Y179" s="7"/>
      <c r="Z179" s="7"/>
      <c r="AA179" s="7"/>
      <c r="AB179" s="7"/>
    </row>
    <row r="180" spans="1:28" ht="14.4" x14ac:dyDescent="0.4">
      <c r="A180" s="3" t="s">
        <v>180</v>
      </c>
      <c r="B180" s="8">
        <v>2174352</v>
      </c>
      <c r="C180" s="8">
        <v>109530</v>
      </c>
      <c r="D180" s="8">
        <v>64974</v>
      </c>
      <c r="E180" s="24"/>
      <c r="F180" s="9">
        <v>153540</v>
      </c>
      <c r="G180" s="9">
        <v>138621</v>
      </c>
      <c r="H180" s="9">
        <v>130573</v>
      </c>
      <c r="I180" s="9">
        <v>131894</v>
      </c>
      <c r="J180" s="9">
        <v>126794</v>
      </c>
      <c r="K180" s="9">
        <v>146491</v>
      </c>
      <c r="L180" s="9">
        <v>123973</v>
      </c>
      <c r="M180" s="9">
        <v>131649</v>
      </c>
      <c r="N180" s="9">
        <v>130653</v>
      </c>
      <c r="O180" s="9">
        <v>171401</v>
      </c>
      <c r="P180" s="9">
        <v>166288</v>
      </c>
      <c r="Q180" s="9">
        <v>131603</v>
      </c>
      <c r="R180" s="9">
        <v>168629</v>
      </c>
      <c r="S180" s="9">
        <v>149032</v>
      </c>
      <c r="T180" s="9">
        <v>173211</v>
      </c>
      <c r="U180" s="28"/>
      <c r="V180" s="7">
        <f>SUM(F180:T180)</f>
        <v>2174352</v>
      </c>
      <c r="W180" s="7">
        <f>SUM(F181:T181)</f>
        <v>109530</v>
      </c>
      <c r="X180" s="7">
        <f>SUM(F182:T182)</f>
        <v>64974</v>
      </c>
      <c r="Y180" s="7"/>
      <c r="Z180" s="7">
        <f>V180-B180</f>
        <v>0</v>
      </c>
      <c r="AA180" s="7">
        <f>W180-C180</f>
        <v>0</v>
      </c>
      <c r="AB180" s="7">
        <f>X180-D180</f>
        <v>0</v>
      </c>
    </row>
    <row r="181" spans="1:28" ht="14.4" x14ac:dyDescent="0.4">
      <c r="A181" s="4" t="s">
        <v>181</v>
      </c>
      <c r="B181" s="11"/>
      <c r="C181" s="11"/>
      <c r="D181" s="11"/>
      <c r="E181" s="25"/>
      <c r="F181" s="13">
        <v>7168</v>
      </c>
      <c r="G181" s="13">
        <v>7771</v>
      </c>
      <c r="H181" s="13">
        <v>6079</v>
      </c>
      <c r="I181" s="13">
        <v>6996</v>
      </c>
      <c r="J181" s="13">
        <v>7115</v>
      </c>
      <c r="K181" s="13">
        <v>6944</v>
      </c>
      <c r="L181" s="13">
        <v>5685</v>
      </c>
      <c r="M181" s="13">
        <v>6469</v>
      </c>
      <c r="N181" s="13">
        <v>7075</v>
      </c>
      <c r="O181" s="13">
        <v>8584</v>
      </c>
      <c r="P181" s="13">
        <v>8221</v>
      </c>
      <c r="Q181" s="13">
        <v>7618</v>
      </c>
      <c r="R181" s="13">
        <v>6862</v>
      </c>
      <c r="S181" s="13">
        <v>7309</v>
      </c>
      <c r="T181" s="13">
        <v>9634</v>
      </c>
      <c r="U181" s="28"/>
      <c r="V181" s="6"/>
      <c r="W181" s="6"/>
      <c r="X181" s="6"/>
      <c r="Y181" s="6"/>
      <c r="Z181" s="6"/>
      <c r="AA181" s="6"/>
      <c r="AB181" s="6"/>
    </row>
    <row r="182" spans="1:28" ht="14.4" x14ac:dyDescent="0.4">
      <c r="A182" s="4" t="s">
        <v>182</v>
      </c>
      <c r="B182" s="11"/>
      <c r="C182" s="11"/>
      <c r="D182" s="11"/>
      <c r="E182" s="25"/>
      <c r="F182" s="13">
        <v>5056</v>
      </c>
      <c r="G182" s="13">
        <v>5016</v>
      </c>
      <c r="H182" s="13">
        <v>4158</v>
      </c>
      <c r="I182" s="13">
        <v>4661</v>
      </c>
      <c r="J182" s="13">
        <v>3944</v>
      </c>
      <c r="K182" s="13">
        <v>4258</v>
      </c>
      <c r="L182" s="13">
        <v>3096</v>
      </c>
      <c r="M182" s="13">
        <v>3037</v>
      </c>
      <c r="N182" s="13">
        <v>4028</v>
      </c>
      <c r="O182" s="13">
        <v>5583</v>
      </c>
      <c r="P182" s="13">
        <v>5280</v>
      </c>
      <c r="Q182" s="13">
        <v>4759</v>
      </c>
      <c r="R182" s="13">
        <v>3732</v>
      </c>
      <c r="S182" s="13">
        <v>4231</v>
      </c>
      <c r="T182" s="13">
        <v>4135</v>
      </c>
      <c r="U182" s="28"/>
      <c r="V182" s="6"/>
      <c r="W182" s="6"/>
      <c r="X182" s="6"/>
      <c r="Y182" s="6"/>
      <c r="Z182" s="6"/>
      <c r="AA182" s="6"/>
      <c r="AB182" s="6"/>
    </row>
    <row r="183" spans="1:28" ht="14.4" x14ac:dyDescent="0.4">
      <c r="A183" s="3" t="s">
        <v>183</v>
      </c>
      <c r="B183" s="8">
        <v>1149452</v>
      </c>
      <c r="C183" s="8">
        <v>46434</v>
      </c>
      <c r="D183" s="8">
        <v>31671</v>
      </c>
      <c r="E183" s="24"/>
      <c r="F183" s="9">
        <v>195000</v>
      </c>
      <c r="G183" s="9">
        <v>76161</v>
      </c>
      <c r="H183" s="9">
        <v>72974</v>
      </c>
      <c r="I183" s="9">
        <v>120425</v>
      </c>
      <c r="J183" s="9">
        <v>87305</v>
      </c>
      <c r="K183" s="9">
        <v>113420</v>
      </c>
      <c r="L183" s="9">
        <v>78228</v>
      </c>
      <c r="M183" s="9">
        <v>166725</v>
      </c>
      <c r="N183" s="9">
        <v>126335</v>
      </c>
      <c r="O183" s="9">
        <v>112889</v>
      </c>
      <c r="P183" s="10"/>
      <c r="Q183" s="10"/>
      <c r="R183" s="10"/>
      <c r="S183" s="10"/>
      <c r="T183" s="10"/>
      <c r="U183" s="28"/>
      <c r="V183" s="7">
        <f>SUM(F183:T183)</f>
        <v>1149462</v>
      </c>
      <c r="W183" s="7">
        <f>SUM(F184:T184)</f>
        <v>46451</v>
      </c>
      <c r="X183" s="7">
        <f>SUM(F185:T185)</f>
        <v>31671</v>
      </c>
      <c r="Y183" s="7"/>
      <c r="Z183" s="7">
        <f>V183-B183</f>
        <v>10</v>
      </c>
      <c r="AA183" s="7">
        <f>W183-C183</f>
        <v>17</v>
      </c>
      <c r="AB183" s="7">
        <f>X183-D183</f>
        <v>0</v>
      </c>
    </row>
    <row r="184" spans="1:28" ht="14.4" x14ac:dyDescent="0.4">
      <c r="A184" s="4" t="s">
        <v>184</v>
      </c>
      <c r="B184" s="11"/>
      <c r="C184" s="11"/>
      <c r="D184" s="11"/>
      <c r="E184" s="25"/>
      <c r="F184" s="13">
        <v>8688</v>
      </c>
      <c r="G184" s="13">
        <v>2740</v>
      </c>
      <c r="H184" s="13">
        <v>2475</v>
      </c>
      <c r="I184" s="13">
        <v>5835</v>
      </c>
      <c r="J184" s="13">
        <v>4326</v>
      </c>
      <c r="K184" s="13">
        <v>4478</v>
      </c>
      <c r="L184" s="13">
        <v>3188</v>
      </c>
      <c r="M184" s="13">
        <v>7070</v>
      </c>
      <c r="N184" s="13">
        <v>3643</v>
      </c>
      <c r="O184" s="13">
        <v>4008</v>
      </c>
      <c r="P184" s="12"/>
      <c r="Q184" s="12"/>
      <c r="R184" s="12"/>
      <c r="S184" s="12"/>
      <c r="T184" s="12"/>
      <c r="U184" s="28"/>
      <c r="V184" s="6"/>
      <c r="W184" s="6"/>
      <c r="X184" s="6"/>
      <c r="Y184" s="6"/>
      <c r="Z184" s="6"/>
      <c r="AA184" s="6"/>
      <c r="AB184" s="6"/>
    </row>
    <row r="185" spans="1:28" ht="14.4" x14ac:dyDescent="0.4">
      <c r="A185" s="4" t="s">
        <v>185</v>
      </c>
      <c r="B185" s="11"/>
      <c r="C185" s="11"/>
      <c r="D185" s="11"/>
      <c r="E185" s="25"/>
      <c r="F185" s="13">
        <v>6206</v>
      </c>
      <c r="G185" s="13">
        <v>2047</v>
      </c>
      <c r="H185" s="13">
        <v>1878</v>
      </c>
      <c r="I185" s="13">
        <v>3420</v>
      </c>
      <c r="J185" s="13">
        <v>2595</v>
      </c>
      <c r="K185" s="13">
        <v>3067</v>
      </c>
      <c r="L185" s="13">
        <v>2435</v>
      </c>
      <c r="M185" s="13">
        <v>4732</v>
      </c>
      <c r="N185" s="13">
        <v>2641</v>
      </c>
      <c r="O185" s="13">
        <v>2650</v>
      </c>
      <c r="P185" s="12"/>
      <c r="Q185" s="12"/>
      <c r="R185" s="12"/>
      <c r="S185" s="12"/>
      <c r="T185" s="12"/>
      <c r="U185" s="28"/>
      <c r="V185" s="6"/>
      <c r="W185" s="6"/>
      <c r="X185" s="6"/>
      <c r="Y185" s="6"/>
      <c r="Z185" s="6"/>
      <c r="AA185" s="6"/>
      <c r="AB185" s="6"/>
    </row>
    <row r="186" spans="1:28" ht="14.4" x14ac:dyDescent="0.4">
      <c r="A186" s="19" t="s">
        <v>186</v>
      </c>
      <c r="B186" s="20">
        <v>62629449</v>
      </c>
      <c r="C186" s="20">
        <v>3175386</v>
      </c>
      <c r="D186" s="20">
        <v>2084554</v>
      </c>
      <c r="E186" s="24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8"/>
      <c r="V186" s="22"/>
      <c r="W186" s="22"/>
      <c r="X186" s="22"/>
      <c r="Y186" s="22"/>
      <c r="Z186" s="22"/>
      <c r="AA186" s="22"/>
      <c r="AB186" s="22"/>
    </row>
    <row r="187" spans="1:28" ht="14.4" x14ac:dyDescent="0.4">
      <c r="A187" s="4" t="s">
        <v>187</v>
      </c>
      <c r="B187" s="16">
        <v>1962369</v>
      </c>
      <c r="C187" s="16">
        <v>147277</v>
      </c>
      <c r="D187" s="16">
        <v>67072</v>
      </c>
      <c r="E187" s="24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28"/>
      <c r="V187" s="6"/>
      <c r="W187" s="6"/>
      <c r="X187" s="6"/>
      <c r="Y187" s="6"/>
      <c r="Z187" s="6"/>
      <c r="AA187" s="6"/>
      <c r="AB187" s="6"/>
    </row>
    <row r="188" spans="1:28" ht="14.4" x14ac:dyDescent="0.4">
      <c r="A188" s="4" t="s">
        <v>188</v>
      </c>
      <c r="B188" s="16">
        <v>94289057</v>
      </c>
      <c r="C188" s="16">
        <v>4579693</v>
      </c>
      <c r="D188" s="16">
        <v>2960486</v>
      </c>
      <c r="E188" s="24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28"/>
      <c r="V188" s="6"/>
      <c r="W188" s="6"/>
      <c r="X188" s="6"/>
      <c r="Y188" s="6"/>
      <c r="Z188" s="6"/>
      <c r="AA188" s="6"/>
      <c r="AB188" s="6"/>
    </row>
    <row r="189" spans="1:28" ht="14.4" x14ac:dyDescent="0.4">
      <c r="A189" s="3" t="s">
        <v>189</v>
      </c>
      <c r="B189" s="8">
        <v>749089</v>
      </c>
      <c r="C189" s="8">
        <v>19110</v>
      </c>
      <c r="D189" s="8">
        <v>16636</v>
      </c>
      <c r="E189" s="24"/>
      <c r="F189" s="9">
        <v>132560</v>
      </c>
      <c r="G189" s="9">
        <v>98077</v>
      </c>
      <c r="H189" s="9">
        <v>96237</v>
      </c>
      <c r="I189" s="9">
        <v>198879</v>
      </c>
      <c r="J189" s="9">
        <v>130126</v>
      </c>
      <c r="K189" s="9">
        <v>148425</v>
      </c>
      <c r="L189" s="9">
        <v>14185</v>
      </c>
      <c r="M189" s="10"/>
      <c r="N189" s="10"/>
      <c r="O189" s="10"/>
      <c r="P189" s="10"/>
      <c r="Q189" s="10"/>
      <c r="R189" s="10"/>
      <c r="S189" s="10"/>
      <c r="T189" s="10"/>
      <c r="U189" s="28"/>
      <c r="V189" s="7">
        <f>SUM(F189:T189)</f>
        <v>818489</v>
      </c>
      <c r="W189" s="7">
        <f>SUM(F190:T190)</f>
        <v>19110</v>
      </c>
      <c r="X189" s="7">
        <f>SUM(F191:T191)</f>
        <v>16636</v>
      </c>
      <c r="Y189" s="7"/>
      <c r="Z189" s="7">
        <f>V189-B189</f>
        <v>69400</v>
      </c>
      <c r="AA189" s="7">
        <f>W189-C189</f>
        <v>0</v>
      </c>
      <c r="AB189" s="7">
        <f>X189-D189</f>
        <v>0</v>
      </c>
    </row>
    <row r="190" spans="1:28" ht="14.4" x14ac:dyDescent="0.4">
      <c r="A190" s="4" t="s">
        <v>190</v>
      </c>
      <c r="B190" s="11"/>
      <c r="C190" s="11"/>
      <c r="D190" s="11"/>
      <c r="E190" s="25"/>
      <c r="F190" s="13">
        <v>1843</v>
      </c>
      <c r="G190" s="13">
        <v>2810</v>
      </c>
      <c r="H190" s="13">
        <v>2835</v>
      </c>
      <c r="I190" s="13">
        <v>4496</v>
      </c>
      <c r="J190" s="13">
        <v>3716</v>
      </c>
      <c r="K190" s="13">
        <v>2933</v>
      </c>
      <c r="L190" s="13">
        <v>477</v>
      </c>
      <c r="M190" s="12"/>
      <c r="N190" s="12"/>
      <c r="O190" s="12"/>
      <c r="P190" s="12"/>
      <c r="Q190" s="12"/>
      <c r="R190" s="12"/>
      <c r="S190" s="12"/>
      <c r="T190" s="12"/>
      <c r="U190" s="28"/>
      <c r="V190" s="6"/>
      <c r="W190" s="6"/>
      <c r="X190" s="6"/>
      <c r="Y190" s="6"/>
      <c r="Z190" s="6"/>
      <c r="AA190" s="6"/>
      <c r="AB190" s="6"/>
    </row>
    <row r="191" spans="1:28" ht="14.4" x14ac:dyDescent="0.4">
      <c r="A191" s="4" t="s">
        <v>191</v>
      </c>
      <c r="B191" s="11"/>
      <c r="C191" s="11"/>
      <c r="D191" s="11"/>
      <c r="E191" s="25"/>
      <c r="F191" s="13">
        <v>1551</v>
      </c>
      <c r="G191" s="13">
        <v>2439</v>
      </c>
      <c r="H191" s="13">
        <v>2158</v>
      </c>
      <c r="I191" s="13">
        <v>4158</v>
      </c>
      <c r="J191" s="13">
        <v>3448</v>
      </c>
      <c r="K191" s="13">
        <v>2442</v>
      </c>
      <c r="L191" s="13">
        <v>440</v>
      </c>
      <c r="M191" s="12"/>
      <c r="N191" s="12"/>
      <c r="O191" s="12"/>
      <c r="P191" s="12"/>
      <c r="Q191" s="12"/>
      <c r="R191" s="12"/>
      <c r="S191" s="12"/>
      <c r="T191" s="12"/>
      <c r="U191" s="28"/>
      <c r="V191" s="6"/>
      <c r="W191" s="6"/>
      <c r="X191" s="6"/>
      <c r="Y191" s="6"/>
      <c r="Z191" s="6"/>
      <c r="AA191" s="6"/>
      <c r="AB191" s="6"/>
    </row>
    <row r="192" spans="1:28" ht="14.4" x14ac:dyDescent="0.4">
      <c r="A192" s="4" t="s">
        <v>192</v>
      </c>
      <c r="B192" s="16">
        <v>601987</v>
      </c>
      <c r="C192" s="16">
        <v>13874</v>
      </c>
      <c r="D192" s="16">
        <v>13378</v>
      </c>
      <c r="E192" s="24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28"/>
      <c r="V192" s="6"/>
      <c r="W192" s="6"/>
      <c r="X192" s="6"/>
      <c r="Y192" s="6"/>
      <c r="Z192" s="6"/>
      <c r="AA192" s="6"/>
      <c r="AB192" s="6"/>
    </row>
    <row r="193" spans="1:28" ht="14.4" x14ac:dyDescent="0.4">
      <c r="A193" s="3" t="s">
        <v>193</v>
      </c>
      <c r="B193" s="8">
        <v>755226</v>
      </c>
      <c r="C193" s="8">
        <v>19719</v>
      </c>
      <c r="D193" s="8">
        <v>14961</v>
      </c>
      <c r="E193" s="24"/>
      <c r="F193" s="9">
        <v>126857</v>
      </c>
      <c r="G193" s="9">
        <v>54839</v>
      </c>
      <c r="H193" s="9">
        <v>49166</v>
      </c>
      <c r="I193" s="9">
        <v>56799</v>
      </c>
      <c r="J193" s="9">
        <v>125873</v>
      </c>
      <c r="K193" s="9">
        <v>86253</v>
      </c>
      <c r="L193" s="9">
        <v>117867</v>
      </c>
      <c r="M193" s="9">
        <v>137572</v>
      </c>
      <c r="N193" s="10"/>
      <c r="O193" s="10"/>
      <c r="P193" s="10"/>
      <c r="Q193" s="10"/>
      <c r="R193" s="10"/>
      <c r="S193" s="10"/>
      <c r="T193" s="10"/>
      <c r="U193" s="28"/>
      <c r="V193" s="7">
        <f>SUM(F193:T193)</f>
        <v>755226</v>
      </c>
      <c r="W193" s="7">
        <f>SUM(F194:T194)</f>
        <v>19719</v>
      </c>
      <c r="X193" s="7">
        <f>SUM(F195:T195)</f>
        <v>14961</v>
      </c>
      <c r="Y193" s="7"/>
      <c r="Z193" s="7">
        <f>V193-B193</f>
        <v>0</v>
      </c>
      <c r="AA193" s="7">
        <f>W193-C193</f>
        <v>0</v>
      </c>
      <c r="AB193" s="7">
        <f>X193-D193</f>
        <v>0</v>
      </c>
    </row>
    <row r="194" spans="1:28" ht="14.4" x14ac:dyDescent="0.4">
      <c r="A194" s="4" t="s">
        <v>194</v>
      </c>
      <c r="B194" s="11"/>
      <c r="C194" s="11"/>
      <c r="D194" s="11"/>
      <c r="E194" s="25"/>
      <c r="F194" s="13">
        <v>3297</v>
      </c>
      <c r="G194" s="13">
        <v>1566</v>
      </c>
      <c r="H194" s="13">
        <v>952</v>
      </c>
      <c r="I194" s="13">
        <v>1360</v>
      </c>
      <c r="J194" s="13">
        <v>2885</v>
      </c>
      <c r="K194" s="13">
        <v>2953</v>
      </c>
      <c r="L194" s="13">
        <v>3720</v>
      </c>
      <c r="M194" s="13">
        <v>2986</v>
      </c>
      <c r="N194" s="12"/>
      <c r="O194" s="12"/>
      <c r="P194" s="12"/>
      <c r="Q194" s="12"/>
      <c r="R194" s="12"/>
      <c r="S194" s="12"/>
      <c r="T194" s="12"/>
      <c r="U194" s="28"/>
      <c r="V194" s="6"/>
      <c r="W194" s="6"/>
      <c r="X194" s="6"/>
      <c r="Y194" s="6"/>
      <c r="Z194" s="6"/>
      <c r="AA194" s="6"/>
      <c r="AB194" s="6"/>
    </row>
    <row r="195" spans="1:28" ht="14.4" x14ac:dyDescent="0.4">
      <c r="A195" s="4" t="s">
        <v>195</v>
      </c>
      <c r="B195" s="11"/>
      <c r="C195" s="11"/>
      <c r="D195" s="11"/>
      <c r="E195" s="25"/>
      <c r="F195" s="13">
        <v>2922</v>
      </c>
      <c r="G195" s="13">
        <v>1361</v>
      </c>
      <c r="H195" s="13">
        <v>861</v>
      </c>
      <c r="I195" s="13">
        <v>1076</v>
      </c>
      <c r="J195" s="13">
        <v>2009</v>
      </c>
      <c r="K195" s="13">
        <v>1588</v>
      </c>
      <c r="L195" s="13">
        <v>2876</v>
      </c>
      <c r="M195" s="13">
        <v>2268</v>
      </c>
      <c r="N195" s="12"/>
      <c r="O195" s="12"/>
      <c r="P195" s="12"/>
      <c r="Q195" s="12"/>
      <c r="R195" s="12"/>
      <c r="S195" s="12"/>
      <c r="T195" s="12"/>
      <c r="U195" s="28"/>
      <c r="V195" s="6"/>
      <c r="W195" s="6"/>
      <c r="X195" s="6"/>
      <c r="Y195" s="6"/>
      <c r="Z195" s="6"/>
      <c r="AA195" s="6"/>
      <c r="AB195" s="6"/>
    </row>
    <row r="196" spans="1:28" ht="14.4" x14ac:dyDescent="0.4">
      <c r="A196" s="4" t="s">
        <v>196</v>
      </c>
      <c r="B196" s="16">
        <v>237114</v>
      </c>
      <c r="C196" s="17" t="s">
        <v>6</v>
      </c>
      <c r="D196" s="17" t="s">
        <v>6</v>
      </c>
      <c r="E196" s="24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28"/>
      <c r="V196" s="6"/>
      <c r="W196" s="6"/>
      <c r="X196" s="6"/>
      <c r="Y196" s="6"/>
      <c r="Z196" s="6"/>
      <c r="AA196" s="6"/>
      <c r="AB196" s="6"/>
    </row>
    <row r="197" spans="1:28" ht="14.4" x14ac:dyDescent="0.4">
      <c r="A197" s="4" t="s">
        <v>197</v>
      </c>
      <c r="B197" s="16">
        <v>1350054</v>
      </c>
      <c r="C197" s="16">
        <v>83293</v>
      </c>
      <c r="D197" s="16">
        <v>52845</v>
      </c>
      <c r="E197" s="24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28"/>
      <c r="V197" s="6"/>
      <c r="W197" s="6"/>
      <c r="X197" s="6"/>
      <c r="Y197" s="6"/>
      <c r="Z197" s="6"/>
      <c r="AA197" s="6"/>
      <c r="AB197" s="6"/>
    </row>
    <row r="198" spans="1:28" ht="14.4" x14ac:dyDescent="0.4">
      <c r="A198" s="3" t="s">
        <v>198</v>
      </c>
      <c r="B198" s="8">
        <v>959715</v>
      </c>
      <c r="C198" s="8">
        <v>26825</v>
      </c>
      <c r="D198" s="8">
        <v>13075</v>
      </c>
      <c r="E198" s="24"/>
      <c r="F198" s="9">
        <v>198432</v>
      </c>
      <c r="G198" s="9">
        <v>55081</v>
      </c>
      <c r="H198" s="9">
        <v>62512</v>
      </c>
      <c r="I198" s="9">
        <v>110517</v>
      </c>
      <c r="J198" s="9">
        <v>47785</v>
      </c>
      <c r="K198" s="9">
        <v>81624</v>
      </c>
      <c r="L198" s="9">
        <v>68492</v>
      </c>
      <c r="M198" s="9">
        <v>103273</v>
      </c>
      <c r="N198" s="9">
        <v>80823</v>
      </c>
      <c r="O198" s="9">
        <v>149916</v>
      </c>
      <c r="P198" s="10"/>
      <c r="Q198" s="10"/>
      <c r="R198" s="10"/>
      <c r="S198" s="10"/>
      <c r="T198" s="10"/>
      <c r="U198" s="28"/>
      <c r="V198" s="7">
        <f>SUM(F198:T198)</f>
        <v>958455</v>
      </c>
      <c r="W198" s="7">
        <f>SUM(F199:T199)</f>
        <v>26768</v>
      </c>
      <c r="X198" s="7">
        <f>SUM(F200:T200)</f>
        <v>12973</v>
      </c>
      <c r="Y198" s="7"/>
      <c r="Z198" s="7">
        <f>V198-B198</f>
        <v>-1260</v>
      </c>
      <c r="AA198" s="7">
        <f>W198-C198</f>
        <v>-57</v>
      </c>
      <c r="AB198" s="7">
        <f>X198-D198</f>
        <v>-102</v>
      </c>
    </row>
    <row r="199" spans="1:28" ht="14.4" x14ac:dyDescent="0.4">
      <c r="A199" s="4" t="s">
        <v>199</v>
      </c>
      <c r="B199" s="11"/>
      <c r="C199" s="11"/>
      <c r="D199" s="11"/>
      <c r="E199" s="25"/>
      <c r="F199" s="13">
        <v>5774</v>
      </c>
      <c r="G199" s="13">
        <v>1412</v>
      </c>
      <c r="H199" s="13">
        <v>1474</v>
      </c>
      <c r="I199" s="13">
        <v>2818</v>
      </c>
      <c r="J199" s="13">
        <v>1393</v>
      </c>
      <c r="K199" s="13">
        <v>2486</v>
      </c>
      <c r="L199" s="13">
        <v>2316</v>
      </c>
      <c r="M199" s="13">
        <v>3065</v>
      </c>
      <c r="N199" s="13">
        <v>2583</v>
      </c>
      <c r="O199" s="13">
        <v>3447</v>
      </c>
      <c r="P199" s="12"/>
      <c r="Q199" s="12"/>
      <c r="R199" s="12"/>
      <c r="S199" s="12"/>
      <c r="T199" s="12"/>
      <c r="U199" s="28"/>
      <c r="V199" s="6"/>
      <c r="W199" s="6"/>
      <c r="X199" s="6"/>
      <c r="Y199" s="6"/>
      <c r="Z199" s="6"/>
      <c r="AA199" s="6"/>
      <c r="AB199" s="6"/>
    </row>
    <row r="200" spans="1:28" ht="14.4" x14ac:dyDescent="0.4">
      <c r="A200" s="4" t="s">
        <v>200</v>
      </c>
      <c r="B200" s="11"/>
      <c r="C200" s="11"/>
      <c r="D200" s="11"/>
      <c r="E200" s="25"/>
      <c r="F200" s="13">
        <v>2774</v>
      </c>
      <c r="G200" s="13">
        <v>831</v>
      </c>
      <c r="H200" s="13">
        <v>1089</v>
      </c>
      <c r="I200" s="13">
        <v>1442</v>
      </c>
      <c r="J200" s="13">
        <v>695</v>
      </c>
      <c r="K200" s="13">
        <v>1037</v>
      </c>
      <c r="L200" s="13">
        <v>927</v>
      </c>
      <c r="M200" s="13">
        <v>1545</v>
      </c>
      <c r="N200" s="13">
        <v>877</v>
      </c>
      <c r="O200" s="13">
        <v>1756</v>
      </c>
      <c r="P200" s="12"/>
      <c r="Q200" s="12"/>
      <c r="R200" s="12"/>
      <c r="S200" s="12"/>
      <c r="T200" s="12"/>
      <c r="U200" s="28"/>
      <c r="V200" s="6"/>
      <c r="W200" s="6"/>
      <c r="X200" s="6"/>
      <c r="Y200" s="6"/>
      <c r="Z200" s="6"/>
      <c r="AA200" s="6"/>
      <c r="AB200" s="6"/>
    </row>
    <row r="201" spans="1:28" ht="14.4" x14ac:dyDescent="0.4">
      <c r="A201" s="3" t="s">
        <v>201</v>
      </c>
      <c r="B201" s="8">
        <v>670648</v>
      </c>
      <c r="C201" s="8">
        <v>43139</v>
      </c>
      <c r="D201" s="8">
        <v>24945</v>
      </c>
      <c r="E201" s="24"/>
      <c r="F201" s="9">
        <v>129762</v>
      </c>
      <c r="G201" s="9">
        <v>135481</v>
      </c>
      <c r="H201" s="9">
        <v>161456</v>
      </c>
      <c r="I201" s="9">
        <v>185546</v>
      </c>
      <c r="J201" s="9">
        <v>58398</v>
      </c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28"/>
      <c r="V201" s="7">
        <f>SUM(F201:T201)</f>
        <v>670643</v>
      </c>
      <c r="W201" s="7">
        <f>SUM(F202:T202)</f>
        <v>43139</v>
      </c>
      <c r="X201" s="7">
        <f>SUM(F203:T203)</f>
        <v>24945</v>
      </c>
      <c r="Y201" s="7"/>
      <c r="Z201" s="7">
        <f>V201-B201</f>
        <v>-5</v>
      </c>
      <c r="AA201" s="7">
        <f>W201-C201</f>
        <v>0</v>
      </c>
      <c r="AB201" s="7">
        <f>X201-D201</f>
        <v>0</v>
      </c>
    </row>
    <row r="202" spans="1:28" ht="14.4" x14ac:dyDescent="0.4">
      <c r="A202" s="4" t="s">
        <v>202</v>
      </c>
      <c r="B202" s="11"/>
      <c r="C202" s="11"/>
      <c r="D202" s="11"/>
      <c r="E202" s="25"/>
      <c r="F202" s="13">
        <v>7645</v>
      </c>
      <c r="G202" s="13">
        <v>9138</v>
      </c>
      <c r="H202" s="13">
        <v>12770</v>
      </c>
      <c r="I202" s="13">
        <v>12387</v>
      </c>
      <c r="J202" s="13">
        <v>1199</v>
      </c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28"/>
      <c r="V202" s="6"/>
      <c r="W202" s="6"/>
      <c r="X202" s="6"/>
      <c r="Y202" s="6"/>
      <c r="Z202" s="6"/>
      <c r="AA202" s="6"/>
      <c r="AB202" s="6"/>
    </row>
    <row r="203" spans="1:28" ht="14.4" x14ac:dyDescent="0.4">
      <c r="A203" s="4" t="s">
        <v>203</v>
      </c>
      <c r="B203" s="11"/>
      <c r="C203" s="11"/>
      <c r="D203" s="11"/>
      <c r="E203" s="25"/>
      <c r="F203" s="13">
        <v>4556</v>
      </c>
      <c r="G203" s="13">
        <v>5643</v>
      </c>
      <c r="H203" s="13">
        <v>6080</v>
      </c>
      <c r="I203" s="13">
        <v>7585</v>
      </c>
      <c r="J203" s="13">
        <v>1081</v>
      </c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28"/>
      <c r="V203" s="6"/>
      <c r="W203" s="6"/>
      <c r="X203" s="6"/>
      <c r="Y203" s="6"/>
      <c r="Z203" s="6"/>
      <c r="AA203" s="6"/>
      <c r="AB203" s="6"/>
    </row>
    <row r="204" spans="1:28" ht="14.4" x14ac:dyDescent="0.4">
      <c r="A204" s="4" t="s">
        <v>204</v>
      </c>
      <c r="B204" s="16">
        <v>705616</v>
      </c>
      <c r="C204" s="16">
        <v>22719</v>
      </c>
      <c r="D204" s="16">
        <v>16794</v>
      </c>
      <c r="E204" s="24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28"/>
      <c r="V204" s="6"/>
      <c r="W204" s="6"/>
      <c r="X204" s="6"/>
      <c r="Y204" s="6"/>
      <c r="Z204" s="6"/>
      <c r="AA204" s="6"/>
      <c r="AB204" s="6"/>
    </row>
    <row r="205" spans="1:28" ht="14.4" x14ac:dyDescent="0.4">
      <c r="A205" s="3" t="s">
        <v>205</v>
      </c>
      <c r="B205" s="8">
        <v>823537</v>
      </c>
      <c r="C205" s="8">
        <v>28629</v>
      </c>
      <c r="D205" s="8">
        <v>15520</v>
      </c>
      <c r="E205" s="24"/>
      <c r="F205" s="9">
        <v>171713</v>
      </c>
      <c r="G205" s="9">
        <v>65407</v>
      </c>
      <c r="H205" s="9">
        <v>57771</v>
      </c>
      <c r="I205" s="9">
        <v>107874</v>
      </c>
      <c r="J205" s="9">
        <v>156105</v>
      </c>
      <c r="K205" s="9">
        <v>67228</v>
      </c>
      <c r="L205" s="9">
        <v>93474</v>
      </c>
      <c r="M205" s="9">
        <v>68566</v>
      </c>
      <c r="N205" s="9">
        <v>35399</v>
      </c>
      <c r="O205" s="10"/>
      <c r="P205" s="10"/>
      <c r="Q205" s="10"/>
      <c r="R205" s="10"/>
      <c r="S205" s="10"/>
      <c r="T205" s="10"/>
      <c r="U205" s="28"/>
      <c r="V205" s="7">
        <f>SUM(F205:T205)</f>
        <v>823537</v>
      </c>
      <c r="W205" s="7">
        <f>SUM(F206:T206)</f>
        <v>28629</v>
      </c>
      <c r="X205" s="7">
        <f>SUM(F207:T207)</f>
        <v>15520</v>
      </c>
      <c r="Y205" s="7"/>
      <c r="Z205" s="7">
        <f>V205-B205</f>
        <v>0</v>
      </c>
      <c r="AA205" s="7">
        <f>W205-C205</f>
        <v>0</v>
      </c>
      <c r="AB205" s="7">
        <f>X205-D205</f>
        <v>0</v>
      </c>
    </row>
    <row r="206" spans="1:28" ht="14.4" x14ac:dyDescent="0.4">
      <c r="A206" s="4" t="s">
        <v>206</v>
      </c>
      <c r="B206" s="11"/>
      <c r="C206" s="11"/>
      <c r="D206" s="11"/>
      <c r="E206" s="25"/>
      <c r="F206" s="13">
        <v>7023</v>
      </c>
      <c r="G206" s="13">
        <v>3352</v>
      </c>
      <c r="H206" s="13">
        <v>2318</v>
      </c>
      <c r="I206" s="13">
        <v>2820</v>
      </c>
      <c r="J206" s="13">
        <v>3428</v>
      </c>
      <c r="K206" s="13">
        <v>2287</v>
      </c>
      <c r="L206" s="13">
        <v>3799</v>
      </c>
      <c r="M206" s="13">
        <v>2622</v>
      </c>
      <c r="N206" s="13">
        <v>980</v>
      </c>
      <c r="O206" s="12"/>
      <c r="P206" s="12"/>
      <c r="Q206" s="12"/>
      <c r="R206" s="12"/>
      <c r="S206" s="12"/>
      <c r="T206" s="12"/>
      <c r="U206" s="28"/>
      <c r="V206" s="6"/>
      <c r="W206" s="6"/>
      <c r="X206" s="6"/>
      <c r="Y206" s="6"/>
      <c r="Z206" s="6"/>
      <c r="AA206" s="6"/>
      <c r="AB206" s="6"/>
    </row>
    <row r="207" spans="1:28" ht="14.4" x14ac:dyDescent="0.4">
      <c r="A207" s="4" t="s">
        <v>207</v>
      </c>
      <c r="B207" s="11"/>
      <c r="C207" s="11"/>
      <c r="D207" s="11"/>
      <c r="E207" s="25"/>
      <c r="F207" s="13">
        <v>4464</v>
      </c>
      <c r="G207" s="13">
        <v>1744</v>
      </c>
      <c r="H207" s="13">
        <v>998</v>
      </c>
      <c r="I207" s="13">
        <v>1480</v>
      </c>
      <c r="J207" s="13">
        <v>1290</v>
      </c>
      <c r="K207" s="13">
        <v>1057</v>
      </c>
      <c r="L207" s="13">
        <v>1908</v>
      </c>
      <c r="M207" s="13">
        <v>1994</v>
      </c>
      <c r="N207" s="13">
        <v>585</v>
      </c>
      <c r="O207" s="12"/>
      <c r="P207" s="12"/>
      <c r="Q207" s="12"/>
      <c r="R207" s="12"/>
      <c r="S207" s="12"/>
      <c r="T207" s="12"/>
      <c r="U207" s="28"/>
      <c r="V207" s="6"/>
      <c r="W207" s="6"/>
      <c r="X207" s="6"/>
      <c r="Y207" s="6"/>
      <c r="Z207" s="6"/>
      <c r="AA207" s="6"/>
      <c r="AB207" s="6"/>
    </row>
    <row r="208" spans="1:28" ht="14.4" x14ac:dyDescent="0.4">
      <c r="A208" s="3" t="s">
        <v>208</v>
      </c>
      <c r="B208" s="8">
        <v>677491</v>
      </c>
      <c r="C208" s="18" t="s">
        <v>6</v>
      </c>
      <c r="D208" s="18" t="s">
        <v>6</v>
      </c>
      <c r="E208" s="26"/>
      <c r="F208" s="15" t="s">
        <v>6</v>
      </c>
      <c r="G208" s="15" t="s">
        <v>6</v>
      </c>
      <c r="H208" s="15" t="s">
        <v>6</v>
      </c>
      <c r="I208" s="15" t="s">
        <v>6</v>
      </c>
      <c r="J208" s="15" t="s">
        <v>6</v>
      </c>
      <c r="K208" s="15" t="s">
        <v>6</v>
      </c>
      <c r="L208" s="15" t="s">
        <v>6</v>
      </c>
      <c r="M208" s="10"/>
      <c r="N208" s="10"/>
      <c r="O208" s="10"/>
      <c r="P208" s="10"/>
      <c r="Q208" s="10"/>
      <c r="R208" s="10"/>
      <c r="S208" s="10"/>
      <c r="T208" s="10"/>
      <c r="U208" s="28"/>
      <c r="V208" s="7"/>
      <c r="W208" s="7"/>
      <c r="X208" s="7"/>
      <c r="Y208" s="7"/>
      <c r="Z208" s="7"/>
      <c r="AA208" s="7"/>
      <c r="AB208" s="7"/>
    </row>
    <row r="209" spans="1:28" ht="14.4" x14ac:dyDescent="0.4">
      <c r="A209" s="4" t="s">
        <v>209</v>
      </c>
      <c r="B209" s="11"/>
      <c r="C209" s="11"/>
      <c r="D209" s="11"/>
      <c r="E209" s="25"/>
      <c r="F209" s="14" t="s">
        <v>6</v>
      </c>
      <c r="G209" s="14" t="s">
        <v>6</v>
      </c>
      <c r="H209" s="14" t="s">
        <v>6</v>
      </c>
      <c r="I209" s="14" t="s">
        <v>6</v>
      </c>
      <c r="J209" s="14" t="s">
        <v>6</v>
      </c>
      <c r="K209" s="14" t="s">
        <v>6</v>
      </c>
      <c r="L209" s="14" t="s">
        <v>6</v>
      </c>
      <c r="M209" s="12"/>
      <c r="N209" s="12"/>
      <c r="O209" s="12"/>
      <c r="P209" s="12"/>
      <c r="Q209" s="12"/>
      <c r="R209" s="12"/>
      <c r="S209" s="12"/>
      <c r="T209" s="12"/>
      <c r="U209" s="28"/>
      <c r="V209" s="6"/>
      <c r="W209" s="6"/>
      <c r="X209" s="6"/>
      <c r="Y209" s="6"/>
      <c r="Z209" s="6"/>
      <c r="AA209" s="6"/>
      <c r="AB209" s="6"/>
    </row>
    <row r="210" spans="1:28" ht="14.4" x14ac:dyDescent="0.4">
      <c r="A210" s="4" t="s">
        <v>210</v>
      </c>
      <c r="B210" s="11"/>
      <c r="C210" s="11"/>
      <c r="D210" s="11"/>
      <c r="E210" s="25"/>
      <c r="F210" s="14" t="s">
        <v>6</v>
      </c>
      <c r="G210" s="14" t="s">
        <v>6</v>
      </c>
      <c r="H210" s="14" t="s">
        <v>6</v>
      </c>
      <c r="I210" s="14" t="s">
        <v>6</v>
      </c>
      <c r="J210" s="14" t="s">
        <v>6</v>
      </c>
      <c r="K210" s="14" t="s">
        <v>6</v>
      </c>
      <c r="L210" s="14" t="s">
        <v>6</v>
      </c>
      <c r="M210" s="12"/>
      <c r="N210" s="12"/>
      <c r="O210" s="12"/>
      <c r="P210" s="12"/>
      <c r="Q210" s="12"/>
      <c r="R210" s="12"/>
      <c r="S210" s="12"/>
      <c r="T210" s="12"/>
      <c r="U210" s="28"/>
      <c r="V210" s="6"/>
      <c r="W210" s="6"/>
      <c r="X210" s="6"/>
      <c r="Y210" s="6"/>
      <c r="Z210" s="6"/>
      <c r="AA210" s="6"/>
      <c r="AB210" s="6"/>
    </row>
    <row r="211" spans="1:28" ht="14.4" x14ac:dyDescent="0.4">
      <c r="A211" s="19" t="s">
        <v>211</v>
      </c>
      <c r="B211" s="20">
        <v>7530477</v>
      </c>
      <c r="C211" s="20">
        <v>257308</v>
      </c>
      <c r="D211" s="20">
        <v>168154</v>
      </c>
      <c r="E211" s="24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8"/>
      <c r="V211" s="22"/>
      <c r="W211" s="22"/>
      <c r="X211" s="22"/>
      <c r="Y211" s="22"/>
      <c r="Z211" s="22"/>
      <c r="AA211" s="22"/>
      <c r="AB211" s="22"/>
    </row>
    <row r="212" spans="1:28" ht="14.4" x14ac:dyDescent="0.4">
      <c r="A212" s="3" t="s">
        <v>212</v>
      </c>
      <c r="B212" s="8">
        <v>63221</v>
      </c>
      <c r="C212" s="18" t="s">
        <v>6</v>
      </c>
      <c r="D212" s="18" t="s">
        <v>6</v>
      </c>
      <c r="E212" s="24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28"/>
      <c r="V212" s="7"/>
      <c r="W212" s="7"/>
      <c r="X212" s="7"/>
      <c r="Y212" s="7"/>
      <c r="Z212" s="7"/>
      <c r="AA212" s="7"/>
      <c r="AB212" s="7"/>
    </row>
    <row r="213" spans="1:28" ht="14.4" x14ac:dyDescent="0.4">
      <c r="A213" s="3" t="s">
        <v>213</v>
      </c>
      <c r="B213" s="8">
        <v>472811</v>
      </c>
      <c r="C213" s="8">
        <v>23617</v>
      </c>
      <c r="D213" s="8">
        <v>16764</v>
      </c>
      <c r="E213" s="24"/>
      <c r="F213" s="9">
        <v>109530</v>
      </c>
      <c r="G213" s="9">
        <v>81245</v>
      </c>
      <c r="H213" s="9">
        <v>69231</v>
      </c>
      <c r="I213" s="9">
        <v>72206</v>
      </c>
      <c r="J213" s="9">
        <v>140599</v>
      </c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28"/>
      <c r="V213" s="7">
        <f>SUM(F213:T213)</f>
        <v>472811</v>
      </c>
      <c r="W213" s="7">
        <f>SUM(F214:T214)</f>
        <v>24617</v>
      </c>
      <c r="X213" s="7">
        <f>SUM(F215:T215)</f>
        <v>16764</v>
      </c>
      <c r="Y213" s="7"/>
      <c r="Z213" s="7">
        <f>V213-B213</f>
        <v>0</v>
      </c>
      <c r="AA213" s="7">
        <f>W213-C213</f>
        <v>1000</v>
      </c>
      <c r="AB213" s="7">
        <f>X213-D213</f>
        <v>0</v>
      </c>
    </row>
    <row r="214" spans="1:28" ht="14.4" x14ac:dyDescent="0.4">
      <c r="A214" s="4" t="s">
        <v>214</v>
      </c>
      <c r="B214" s="11"/>
      <c r="C214" s="11"/>
      <c r="D214" s="11"/>
      <c r="E214" s="25"/>
      <c r="F214" s="13">
        <v>3973</v>
      </c>
      <c r="G214" s="13">
        <v>4684</v>
      </c>
      <c r="H214" s="13">
        <v>3398</v>
      </c>
      <c r="I214" s="13">
        <v>4729</v>
      </c>
      <c r="J214" s="13">
        <v>7833</v>
      </c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28"/>
      <c r="V214" s="6"/>
      <c r="W214" s="6"/>
      <c r="X214" s="6"/>
      <c r="Y214" s="6"/>
      <c r="Z214" s="6"/>
      <c r="AA214" s="6"/>
      <c r="AB214" s="6"/>
    </row>
    <row r="215" spans="1:28" ht="14.4" x14ac:dyDescent="0.4">
      <c r="A215" s="4" t="s">
        <v>215</v>
      </c>
      <c r="B215" s="11"/>
      <c r="C215" s="11"/>
      <c r="D215" s="11"/>
      <c r="E215" s="25"/>
      <c r="F215" s="13">
        <v>3408</v>
      </c>
      <c r="G215" s="13">
        <v>2950</v>
      </c>
      <c r="H215" s="13">
        <v>2425</v>
      </c>
      <c r="I215" s="13">
        <v>2716</v>
      </c>
      <c r="J215" s="13">
        <v>5265</v>
      </c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28"/>
      <c r="V215" s="6"/>
      <c r="W215" s="6"/>
      <c r="X215" s="6"/>
      <c r="Y215" s="6"/>
      <c r="Z215" s="6"/>
      <c r="AA215" s="6"/>
      <c r="AB215" s="6"/>
    </row>
    <row r="216" spans="1:28" ht="14.4" x14ac:dyDescent="0.4">
      <c r="A216" s="3" t="s">
        <v>216</v>
      </c>
      <c r="B216" s="8">
        <v>545338</v>
      </c>
      <c r="C216" s="18" t="s">
        <v>6</v>
      </c>
      <c r="D216" s="18" t="s">
        <v>6</v>
      </c>
      <c r="E216" s="24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28"/>
      <c r="V216" s="7"/>
      <c r="W216" s="7"/>
      <c r="X216" s="7"/>
      <c r="Y216" s="7"/>
      <c r="Z216" s="7"/>
      <c r="AA216" s="7"/>
      <c r="AB216" s="7"/>
    </row>
    <row r="217" spans="1:28" ht="14.4" x14ac:dyDescent="0.4">
      <c r="A217" s="3" t="s">
        <v>217</v>
      </c>
      <c r="B217" s="8">
        <v>428962</v>
      </c>
      <c r="C217" s="8">
        <v>20048</v>
      </c>
      <c r="D217" s="8">
        <v>17313</v>
      </c>
      <c r="E217" s="24"/>
      <c r="F217" s="9">
        <v>146461</v>
      </c>
      <c r="G217" s="9">
        <v>125611</v>
      </c>
      <c r="H217" s="9">
        <v>59382</v>
      </c>
      <c r="I217" s="9">
        <v>44845</v>
      </c>
      <c r="J217" s="9">
        <v>52663</v>
      </c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28"/>
      <c r="V217" s="7">
        <f>SUM(F217:T217)</f>
        <v>428962</v>
      </c>
      <c r="W217" s="7">
        <f>SUM(F218:T218)</f>
        <v>20048</v>
      </c>
      <c r="X217" s="7">
        <f>SUM(F219:T219)</f>
        <v>17313</v>
      </c>
      <c r="Y217" s="7"/>
      <c r="Z217" s="7">
        <f>V217-B217</f>
        <v>0</v>
      </c>
      <c r="AA217" s="7">
        <f>W217-C217</f>
        <v>0</v>
      </c>
      <c r="AB217" s="7">
        <f>X217-D217</f>
        <v>0</v>
      </c>
    </row>
    <row r="218" spans="1:28" ht="14.4" x14ac:dyDescent="0.4">
      <c r="A218" s="4" t="s">
        <v>218</v>
      </c>
      <c r="B218" s="11"/>
      <c r="C218" s="11"/>
      <c r="D218" s="11"/>
      <c r="E218" s="25"/>
      <c r="F218" s="13">
        <v>5891</v>
      </c>
      <c r="G218" s="13">
        <v>5892</v>
      </c>
      <c r="H218" s="13">
        <v>3060</v>
      </c>
      <c r="I218" s="13">
        <v>1967</v>
      </c>
      <c r="J218" s="13">
        <v>3238</v>
      </c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28"/>
      <c r="V218" s="6"/>
      <c r="W218" s="6"/>
      <c r="X218" s="6"/>
      <c r="Y218" s="6"/>
      <c r="Z218" s="6"/>
      <c r="AA218" s="6"/>
      <c r="AB218" s="6"/>
    </row>
    <row r="219" spans="1:28" ht="14.4" x14ac:dyDescent="0.4">
      <c r="A219" s="4" t="s">
        <v>219</v>
      </c>
      <c r="B219" s="11"/>
      <c r="C219" s="11"/>
      <c r="D219" s="11"/>
      <c r="E219" s="25"/>
      <c r="F219" s="13">
        <v>5312</v>
      </c>
      <c r="G219" s="13">
        <v>5293</v>
      </c>
      <c r="H219" s="13">
        <v>2358</v>
      </c>
      <c r="I219" s="13">
        <v>1560</v>
      </c>
      <c r="J219" s="13">
        <v>2790</v>
      </c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28"/>
      <c r="V219" s="6"/>
      <c r="W219" s="6"/>
      <c r="X219" s="6"/>
      <c r="Y219" s="6"/>
      <c r="Z219" s="6"/>
      <c r="AA219" s="6"/>
      <c r="AB219" s="6"/>
    </row>
    <row r="220" spans="1:28" ht="14.4" x14ac:dyDescent="0.4">
      <c r="A220" s="3" t="s">
        <v>220</v>
      </c>
      <c r="B220" s="8">
        <v>102786</v>
      </c>
      <c r="C220" s="18" t="s">
        <v>6</v>
      </c>
      <c r="D220" s="18" t="s">
        <v>6</v>
      </c>
      <c r="E220" s="24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28"/>
      <c r="V220" s="7"/>
      <c r="W220" s="7"/>
      <c r="X220" s="7"/>
      <c r="Y220" s="7"/>
      <c r="Z220" s="7"/>
      <c r="AA220" s="7"/>
      <c r="AB220" s="7"/>
    </row>
    <row r="221" spans="1:28" ht="14.4" x14ac:dyDescent="0.4">
      <c r="A221" s="3" t="s">
        <v>221</v>
      </c>
      <c r="B221" s="8">
        <v>1396310</v>
      </c>
      <c r="C221" s="8">
        <v>72606</v>
      </c>
      <c r="D221" s="8">
        <v>63817</v>
      </c>
      <c r="E221" s="24"/>
      <c r="F221" s="9">
        <v>132724</v>
      </c>
      <c r="G221" s="9">
        <v>32254</v>
      </c>
      <c r="H221" s="9">
        <v>265765</v>
      </c>
      <c r="I221" s="9">
        <v>258883</v>
      </c>
      <c r="J221" s="9">
        <v>9159</v>
      </c>
      <c r="K221" s="9">
        <v>154143</v>
      </c>
      <c r="L221" s="9">
        <v>70285</v>
      </c>
      <c r="M221" s="9">
        <v>155355</v>
      </c>
      <c r="N221" s="9">
        <v>119606</v>
      </c>
      <c r="O221" s="9">
        <v>198136</v>
      </c>
      <c r="P221" s="10"/>
      <c r="Q221" s="10"/>
      <c r="R221" s="10"/>
      <c r="S221" s="10"/>
      <c r="T221" s="10"/>
      <c r="U221" s="28"/>
      <c r="V221" s="7">
        <f>SUM(F221:T221)</f>
        <v>1396310</v>
      </c>
      <c r="W221" s="7">
        <f>SUM(F222:T222)</f>
        <v>72606</v>
      </c>
      <c r="X221" s="7">
        <f>SUM(F223:T223)</f>
        <v>63817</v>
      </c>
      <c r="Y221" s="7"/>
      <c r="Z221" s="7">
        <f>V221-B221</f>
        <v>0</v>
      </c>
      <c r="AA221" s="7">
        <f>W221-C221</f>
        <v>0</v>
      </c>
      <c r="AB221" s="7">
        <f>X221-D221</f>
        <v>0</v>
      </c>
    </row>
    <row r="222" spans="1:28" ht="14.4" x14ac:dyDescent="0.4">
      <c r="A222" s="4" t="s">
        <v>222</v>
      </c>
      <c r="B222" s="11"/>
      <c r="C222" s="11"/>
      <c r="D222" s="11"/>
      <c r="E222" s="25"/>
      <c r="F222" s="13">
        <v>5696</v>
      </c>
      <c r="G222" s="13">
        <v>1329</v>
      </c>
      <c r="H222" s="13">
        <v>15680</v>
      </c>
      <c r="I222" s="13">
        <v>15890</v>
      </c>
      <c r="J222" s="13">
        <v>303</v>
      </c>
      <c r="K222" s="13">
        <v>7233</v>
      </c>
      <c r="L222" s="13">
        <v>3765</v>
      </c>
      <c r="M222" s="13">
        <v>8434</v>
      </c>
      <c r="N222" s="13">
        <v>4359</v>
      </c>
      <c r="O222" s="13">
        <v>9917</v>
      </c>
      <c r="P222" s="12"/>
      <c r="Q222" s="12"/>
      <c r="R222" s="12"/>
      <c r="S222" s="12"/>
      <c r="T222" s="12"/>
      <c r="U222" s="28"/>
      <c r="V222" s="6"/>
      <c r="W222" s="6"/>
      <c r="X222" s="6"/>
      <c r="Y222" s="6"/>
      <c r="Z222" s="6"/>
      <c r="AA222" s="6"/>
      <c r="AB222" s="6"/>
    </row>
    <row r="223" spans="1:28" ht="14.4" x14ac:dyDescent="0.4">
      <c r="A223" s="4" t="s">
        <v>223</v>
      </c>
      <c r="B223" s="11"/>
      <c r="C223" s="11"/>
      <c r="D223" s="11"/>
      <c r="E223" s="25"/>
      <c r="F223" s="13">
        <v>5553</v>
      </c>
      <c r="G223" s="13">
        <v>768</v>
      </c>
      <c r="H223" s="13">
        <v>13840</v>
      </c>
      <c r="I223" s="13">
        <v>12530</v>
      </c>
      <c r="J223" s="13">
        <v>205</v>
      </c>
      <c r="K223" s="13">
        <v>5757</v>
      </c>
      <c r="L223" s="13">
        <v>4001</v>
      </c>
      <c r="M223" s="13">
        <v>7148</v>
      </c>
      <c r="N223" s="13">
        <v>5189</v>
      </c>
      <c r="O223" s="13">
        <v>8826</v>
      </c>
      <c r="P223" s="12"/>
      <c r="Q223" s="12"/>
      <c r="R223" s="12"/>
      <c r="S223" s="12"/>
      <c r="T223" s="12"/>
      <c r="U223" s="28"/>
      <c r="V223" s="6"/>
      <c r="W223" s="6"/>
      <c r="X223" s="6"/>
      <c r="Y223" s="6"/>
      <c r="Z223" s="6"/>
      <c r="AA223" s="6"/>
      <c r="AB223" s="6"/>
    </row>
    <row r="224" spans="1:28" ht="14.4" x14ac:dyDescent="0.4">
      <c r="A224" s="3" t="s">
        <v>250</v>
      </c>
      <c r="B224" s="8">
        <v>1328225</v>
      </c>
      <c r="C224" s="8">
        <v>64076</v>
      </c>
      <c r="D224" s="8">
        <v>38149</v>
      </c>
      <c r="E224" s="24"/>
      <c r="F224" s="9">
        <v>221656</v>
      </c>
      <c r="G224" s="9">
        <v>309368</v>
      </c>
      <c r="H224" s="9">
        <v>357121</v>
      </c>
      <c r="I224" s="9">
        <v>151310</v>
      </c>
      <c r="J224" s="9">
        <v>170605</v>
      </c>
      <c r="K224" s="9">
        <v>118165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28"/>
      <c r="V224" s="7">
        <f>SUM(F224:T224)</f>
        <v>1328225</v>
      </c>
      <c r="W224" s="7">
        <f>SUM(F225:T225)</f>
        <v>64076</v>
      </c>
      <c r="X224" s="7">
        <f>SUM(F226:T226)</f>
        <v>37149</v>
      </c>
      <c r="Y224" s="7"/>
      <c r="Z224" s="7">
        <f>V224-B224</f>
        <v>0</v>
      </c>
      <c r="AA224" s="7">
        <f>W224-C224</f>
        <v>0</v>
      </c>
      <c r="AB224" s="7">
        <f>X224-D224</f>
        <v>-1000</v>
      </c>
    </row>
    <row r="225" spans="1:28" ht="14.4" x14ac:dyDescent="0.4">
      <c r="A225" s="4" t="s">
        <v>224</v>
      </c>
      <c r="B225" s="11"/>
      <c r="C225" s="11"/>
      <c r="D225" s="11"/>
      <c r="E225" s="25"/>
      <c r="F225" s="13">
        <v>10860</v>
      </c>
      <c r="G225" s="13">
        <v>14428</v>
      </c>
      <c r="H225" s="13">
        <v>20127</v>
      </c>
      <c r="I225" s="13">
        <v>6337</v>
      </c>
      <c r="J225" s="13">
        <v>6897</v>
      </c>
      <c r="K225" s="13">
        <v>5427</v>
      </c>
      <c r="L225" s="12"/>
      <c r="M225" s="12"/>
      <c r="N225" s="12"/>
      <c r="O225" s="12"/>
      <c r="P225" s="12"/>
      <c r="Q225" s="12"/>
      <c r="R225" s="12"/>
      <c r="S225" s="12"/>
      <c r="T225" s="12"/>
      <c r="U225" s="28"/>
      <c r="V225" s="6"/>
      <c r="W225" s="6"/>
      <c r="X225" s="6"/>
      <c r="Y225" s="6"/>
      <c r="Z225" s="6"/>
      <c r="AA225" s="6"/>
      <c r="AB225" s="6"/>
    </row>
    <row r="226" spans="1:28" ht="14.4" x14ac:dyDescent="0.4">
      <c r="A226" s="4" t="s">
        <v>225</v>
      </c>
      <c r="B226" s="11"/>
      <c r="C226" s="11"/>
      <c r="D226" s="11"/>
      <c r="E226" s="25"/>
      <c r="F226" s="13">
        <v>7270</v>
      </c>
      <c r="G226" s="13">
        <v>6751</v>
      </c>
      <c r="H226" s="13">
        <v>10953</v>
      </c>
      <c r="I226" s="13">
        <v>5500</v>
      </c>
      <c r="J226" s="13">
        <v>3237</v>
      </c>
      <c r="K226" s="13">
        <v>3438</v>
      </c>
      <c r="L226" s="12"/>
      <c r="M226" s="12"/>
      <c r="N226" s="12"/>
      <c r="O226" s="12"/>
      <c r="P226" s="12"/>
      <c r="Q226" s="12"/>
      <c r="R226" s="12"/>
      <c r="S226" s="12"/>
      <c r="T226" s="12"/>
      <c r="U226" s="28"/>
      <c r="V226" s="6"/>
      <c r="W226" s="6"/>
      <c r="X226" s="6"/>
      <c r="Y226" s="6"/>
      <c r="Z226" s="6"/>
      <c r="AA226" s="6"/>
      <c r="AB226" s="6"/>
    </row>
    <row r="227" spans="1:28" ht="14.4" x14ac:dyDescent="0.4">
      <c r="A227" s="3" t="s">
        <v>226</v>
      </c>
      <c r="B227" s="8">
        <v>256488</v>
      </c>
      <c r="C227" s="8">
        <v>6239</v>
      </c>
      <c r="D227" s="8">
        <v>5678</v>
      </c>
      <c r="E227" s="24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28"/>
      <c r="V227" s="7"/>
      <c r="W227" s="7"/>
      <c r="X227" s="7"/>
      <c r="Y227" s="7"/>
      <c r="Z227" s="7"/>
      <c r="AA227" s="7"/>
      <c r="AB227" s="7"/>
    </row>
    <row r="228" spans="1:28" ht="14.4" x14ac:dyDescent="0.4">
      <c r="A228" s="3" t="s">
        <v>227</v>
      </c>
      <c r="B228" s="8">
        <v>15358</v>
      </c>
      <c r="C228" s="8">
        <v>460</v>
      </c>
      <c r="D228" s="8">
        <v>194</v>
      </c>
      <c r="E228" s="24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28"/>
      <c r="V228" s="7"/>
      <c r="W228" s="7"/>
      <c r="X228" s="7"/>
      <c r="Y228" s="7"/>
      <c r="Z228" s="7"/>
      <c r="AA228" s="7"/>
      <c r="AB228" s="7"/>
    </row>
    <row r="229" spans="1:28" ht="14.4" x14ac:dyDescent="0.4">
      <c r="A229" s="19" t="s">
        <v>228</v>
      </c>
      <c r="B229" s="20">
        <v>4609499</v>
      </c>
      <c r="C229" s="20">
        <v>187046</v>
      </c>
      <c r="D229" s="20">
        <v>141915</v>
      </c>
      <c r="E229" s="24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8"/>
      <c r="V229" s="22"/>
      <c r="W229" s="22"/>
      <c r="X229" s="22"/>
      <c r="Y229" s="22"/>
      <c r="Z229" s="22"/>
      <c r="AA229" s="22"/>
      <c r="AB229" s="22"/>
    </row>
    <row r="230" spans="1:28" ht="14.4" x14ac:dyDescent="0.4">
      <c r="A230" s="4" t="s">
        <v>229</v>
      </c>
      <c r="B230" s="16">
        <v>485700</v>
      </c>
      <c r="C230" s="16">
        <v>14591</v>
      </c>
      <c r="D230" s="16">
        <v>10324</v>
      </c>
      <c r="E230" s="24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28"/>
      <c r="V230" s="6"/>
      <c r="W230" s="6"/>
      <c r="X230" s="6"/>
      <c r="Y230" s="6"/>
      <c r="Z230" s="6"/>
      <c r="AA230" s="6"/>
      <c r="AB230" s="6"/>
    </row>
    <row r="231" spans="1:28" ht="14.4" x14ac:dyDescent="0.4">
      <c r="A231" s="4" t="s">
        <v>230</v>
      </c>
      <c r="B231" s="16">
        <v>695922</v>
      </c>
      <c r="C231" s="17" t="s">
        <v>6</v>
      </c>
      <c r="D231" s="17" t="s">
        <v>6</v>
      </c>
      <c r="E231" s="24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28"/>
      <c r="V231" s="6"/>
      <c r="W231" s="6"/>
      <c r="X231" s="6"/>
      <c r="Y231" s="6"/>
      <c r="Z231" s="6"/>
      <c r="AA231" s="6"/>
      <c r="AB231" s="6"/>
    </row>
    <row r="232" spans="1:28" ht="14.4" x14ac:dyDescent="0.4">
      <c r="A232" s="4" t="s">
        <v>231</v>
      </c>
      <c r="B232" s="16">
        <v>703637</v>
      </c>
      <c r="C232" s="17" t="s">
        <v>6</v>
      </c>
      <c r="D232" s="17" t="s">
        <v>6</v>
      </c>
      <c r="E232" s="24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28"/>
      <c r="V232" s="6"/>
      <c r="W232" s="6"/>
      <c r="X232" s="6"/>
      <c r="Y232" s="6"/>
      <c r="Z232" s="6"/>
      <c r="AA232" s="6"/>
      <c r="AB232" s="6"/>
    </row>
    <row r="233" spans="1:28" ht="14.4" x14ac:dyDescent="0.4">
      <c r="A233" s="4" t="s">
        <v>232</v>
      </c>
      <c r="B233" s="16">
        <v>576578</v>
      </c>
      <c r="C233" s="16">
        <v>10000</v>
      </c>
      <c r="D233" s="16">
        <v>9753</v>
      </c>
      <c r="E233" s="24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28"/>
      <c r="V233" s="6"/>
      <c r="W233" s="6"/>
      <c r="X233" s="6"/>
      <c r="Y233" s="6"/>
      <c r="Z233" s="6"/>
      <c r="AA233" s="6"/>
      <c r="AB233" s="6"/>
    </row>
    <row r="234" spans="1:28" ht="14.4" x14ac:dyDescent="0.4">
      <c r="A234" s="4" t="s">
        <v>233</v>
      </c>
      <c r="B234" s="16">
        <v>554205</v>
      </c>
      <c r="C234" s="16">
        <v>16381</v>
      </c>
      <c r="D234" s="16">
        <v>11969</v>
      </c>
      <c r="E234" s="24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28"/>
      <c r="V234" s="6"/>
      <c r="W234" s="6"/>
      <c r="X234" s="6"/>
      <c r="Y234" s="6"/>
      <c r="Z234" s="6"/>
      <c r="AA234" s="6"/>
      <c r="AB234" s="6"/>
    </row>
    <row r="235" spans="1:28" ht="14.4" x14ac:dyDescent="0.4">
      <c r="A235" s="4" t="s">
        <v>234</v>
      </c>
      <c r="B235" s="16">
        <v>1183344</v>
      </c>
      <c r="C235" s="17" t="s">
        <v>6</v>
      </c>
      <c r="D235" s="17" t="s">
        <v>6</v>
      </c>
      <c r="E235" s="24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28"/>
      <c r="V235" s="6"/>
      <c r="W235" s="6"/>
      <c r="X235" s="6"/>
      <c r="Y235" s="6"/>
      <c r="Z235" s="6"/>
      <c r="AA235" s="6"/>
      <c r="AB235" s="6"/>
    </row>
    <row r="236" spans="1:28" ht="14.4" x14ac:dyDescent="0.4">
      <c r="A236" s="4" t="s">
        <v>235</v>
      </c>
      <c r="B236" s="16">
        <v>351243</v>
      </c>
      <c r="C236" s="16">
        <v>1523</v>
      </c>
      <c r="D236" s="16">
        <v>842</v>
      </c>
      <c r="E236" s="24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28"/>
      <c r="V236" s="6"/>
      <c r="W236" s="6"/>
      <c r="X236" s="6"/>
      <c r="Y236" s="6"/>
      <c r="Z236" s="6"/>
      <c r="AA236" s="6"/>
      <c r="AB236" s="6"/>
    </row>
    <row r="237" spans="1:28" ht="14.4" x14ac:dyDescent="0.4">
      <c r="A237" s="4" t="s">
        <v>236</v>
      </c>
      <c r="B237" s="16">
        <v>547162</v>
      </c>
      <c r="C237" s="16">
        <v>6921</v>
      </c>
      <c r="D237" s="16">
        <v>4511</v>
      </c>
      <c r="E237" s="24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28"/>
      <c r="V237" s="6"/>
      <c r="W237" s="6"/>
      <c r="X237" s="6"/>
      <c r="Y237" s="6"/>
      <c r="Z237" s="6"/>
      <c r="AA237" s="6"/>
      <c r="AB237" s="6"/>
    </row>
    <row r="238" spans="1:28" ht="14.4" x14ac:dyDescent="0.4">
      <c r="A238" s="4" t="s">
        <v>237</v>
      </c>
      <c r="B238" s="16">
        <v>815934</v>
      </c>
      <c r="C238" s="16">
        <v>42533</v>
      </c>
      <c r="D238" s="16">
        <v>27557</v>
      </c>
      <c r="E238" s="24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28"/>
      <c r="V238" s="6"/>
      <c r="W238" s="6"/>
      <c r="X238" s="6"/>
      <c r="Y238" s="6"/>
      <c r="Z238" s="6"/>
      <c r="AA238" s="6"/>
      <c r="AB238" s="6"/>
    </row>
    <row r="239" spans="1:28" ht="14.4" x14ac:dyDescent="0.4">
      <c r="A239" s="19" t="s">
        <v>238</v>
      </c>
      <c r="B239" s="20">
        <v>5913725</v>
      </c>
      <c r="C239" s="20">
        <v>92949</v>
      </c>
      <c r="D239" s="20">
        <v>64963</v>
      </c>
      <c r="E239" s="24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8"/>
      <c r="V239" s="22"/>
      <c r="W239" s="22"/>
      <c r="X239" s="22"/>
      <c r="Y239" s="22"/>
      <c r="Z239" s="22"/>
      <c r="AA239" s="22"/>
      <c r="AB239" s="22"/>
    </row>
    <row r="240" spans="1:28" ht="14.4" x14ac:dyDescent="0.4">
      <c r="A240" s="19" t="s">
        <v>239</v>
      </c>
      <c r="B240" s="20">
        <v>112342758</v>
      </c>
      <c r="C240" s="20">
        <v>5116996</v>
      </c>
      <c r="D240" s="20">
        <v>3335518</v>
      </c>
      <c r="E240" s="24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8"/>
      <c r="V240" s="22"/>
      <c r="W240" s="22"/>
      <c r="X240" s="22"/>
      <c r="Y240" s="22"/>
      <c r="Z240" s="22"/>
      <c r="AA240" s="22"/>
      <c r="AB240" s="22"/>
    </row>
  </sheetData>
  <mergeCells count="1">
    <mergeCell ref="F1:T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1888-final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2026-06-23T01:50:45Z</dcterms:modified>
</cp:coreProperties>
</file>