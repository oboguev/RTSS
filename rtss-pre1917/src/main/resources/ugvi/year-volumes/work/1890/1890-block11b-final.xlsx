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github\RTSS\rtss-pre1917\src\main\resources\ugvi\year-volumes\work\1890\"/>
    </mc:Choice>
  </mc:AlternateContent>
  <xr:revisionPtr revIDLastSave="0" documentId="13_ncr:1_{717C3994-F994-492B-8844-EE075046E1D7}" xr6:coauthVersionLast="47" xr6:coauthVersionMax="47" xr10:uidLastSave="{00000000-0000-0000-0000-000000000000}"/>
  <bookViews>
    <workbookView xWindow="57480" yWindow="-120" windowWidth="51840" windowHeight="2112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C269" i="1" l="1"/>
  <c r="BB269" i="1"/>
  <c r="BA269" i="1"/>
  <c r="AZ269" i="1"/>
  <c r="AY269" i="1"/>
  <c r="AX269" i="1"/>
  <c r="BC268" i="1"/>
  <c r="BB268" i="1"/>
  <c r="BA268" i="1"/>
  <c r="AX268" i="1"/>
  <c r="BC244" i="1"/>
  <c r="BB244" i="1"/>
  <c r="BA244" i="1"/>
  <c r="AZ244" i="1"/>
  <c r="AY244" i="1"/>
  <c r="AX244" i="1"/>
  <c r="BC218" i="1"/>
  <c r="BB218" i="1"/>
  <c r="BA218" i="1"/>
  <c r="AZ218" i="1"/>
  <c r="AY218" i="1"/>
  <c r="AX218" i="1"/>
  <c r="BC189" i="1"/>
  <c r="BB189" i="1"/>
  <c r="BA189" i="1"/>
  <c r="AZ189" i="1"/>
  <c r="AY189" i="1"/>
  <c r="AX189" i="1"/>
  <c r="BC185" i="1"/>
  <c r="BB185" i="1"/>
  <c r="BA185" i="1"/>
  <c r="AZ185" i="1"/>
  <c r="AY185" i="1"/>
  <c r="AX185" i="1"/>
  <c r="BC80" i="1"/>
  <c r="BB80" i="1"/>
  <c r="BA80" i="1"/>
  <c r="AZ80" i="1"/>
  <c r="AY80" i="1"/>
  <c r="AX80" i="1"/>
  <c r="BC70" i="1"/>
  <c r="BB70" i="1"/>
  <c r="BA70" i="1"/>
  <c r="AZ70" i="1"/>
  <c r="AY70" i="1"/>
  <c r="AX70" i="1"/>
  <c r="BC38" i="1"/>
  <c r="BB38" i="1"/>
  <c r="BA38" i="1"/>
  <c r="AZ38" i="1"/>
  <c r="AY38" i="1"/>
  <c r="AX38" i="1"/>
  <c r="AL269" i="1"/>
  <c r="AK269" i="1"/>
  <c r="AJ269" i="1"/>
  <c r="AI269" i="1"/>
  <c r="AH269" i="1"/>
  <c r="AG269" i="1"/>
  <c r="AF269" i="1"/>
  <c r="AE269" i="1"/>
  <c r="AD269" i="1"/>
  <c r="AL268" i="1"/>
  <c r="AK268" i="1"/>
  <c r="AJ268" i="1"/>
  <c r="AI268" i="1"/>
  <c r="AH268" i="1"/>
  <c r="AG268" i="1"/>
  <c r="AF268" i="1"/>
  <c r="AE268" i="1"/>
  <c r="AO268" i="1" s="1"/>
  <c r="AD268" i="1"/>
  <c r="AL244" i="1"/>
  <c r="AK244" i="1"/>
  <c r="AJ244" i="1"/>
  <c r="AI244" i="1"/>
  <c r="AH244" i="1"/>
  <c r="AG244" i="1"/>
  <c r="AF244" i="1"/>
  <c r="AE244" i="1"/>
  <c r="AD244" i="1"/>
  <c r="AL218" i="1"/>
  <c r="AK218" i="1"/>
  <c r="AJ218" i="1"/>
  <c r="AI218" i="1"/>
  <c r="AH218" i="1"/>
  <c r="AG218" i="1"/>
  <c r="AF218" i="1"/>
  <c r="AE218" i="1"/>
  <c r="AD218" i="1"/>
  <c r="AD185" i="1"/>
  <c r="AL189" i="1"/>
  <c r="AK189" i="1"/>
  <c r="AJ189" i="1"/>
  <c r="AI189" i="1"/>
  <c r="AH189" i="1"/>
  <c r="AG189" i="1"/>
  <c r="AF189" i="1"/>
  <c r="AE189" i="1"/>
  <c r="AD189" i="1"/>
  <c r="AL185" i="1"/>
  <c r="AK185" i="1"/>
  <c r="AJ185" i="1"/>
  <c r="AI185" i="1"/>
  <c r="AH185" i="1"/>
  <c r="AG185" i="1"/>
  <c r="AF185" i="1"/>
  <c r="AE185" i="1"/>
  <c r="AL80" i="1"/>
  <c r="AK80" i="1"/>
  <c r="AJ80" i="1"/>
  <c r="AI80" i="1"/>
  <c r="AH80" i="1"/>
  <c r="AG80" i="1"/>
  <c r="AF80" i="1"/>
  <c r="AE80" i="1"/>
  <c r="AO80" i="1" s="1"/>
  <c r="AD80" i="1"/>
  <c r="AL70" i="1"/>
  <c r="AK70" i="1"/>
  <c r="AJ70" i="1"/>
  <c r="AI70" i="1"/>
  <c r="AH70" i="1"/>
  <c r="AG70" i="1"/>
  <c r="AF70" i="1"/>
  <c r="AE70" i="1"/>
  <c r="AD70" i="1"/>
  <c r="AL38" i="1"/>
  <c r="AK38" i="1"/>
  <c r="AJ38" i="1"/>
  <c r="AI38" i="1"/>
  <c r="AH38" i="1"/>
  <c r="AG38" i="1"/>
  <c r="AF38" i="1"/>
  <c r="AE38" i="1"/>
  <c r="AD38" i="1"/>
  <c r="AS40" i="1"/>
  <c r="AV40" i="1" s="1"/>
  <c r="AR40" i="1"/>
  <c r="AU40" i="1" s="1"/>
  <c r="AV39" i="1"/>
  <c r="AS39" i="1"/>
  <c r="AR39" i="1"/>
  <c r="AU39" i="1" s="1"/>
  <c r="AS38" i="1"/>
  <c r="AV38" i="1" s="1"/>
  <c r="AR38" i="1"/>
  <c r="AU38" i="1" s="1"/>
  <c r="AS269" i="1"/>
  <c r="AV269" i="1" s="1"/>
  <c r="AR269" i="1"/>
  <c r="AU269" i="1" s="1"/>
  <c r="AS268" i="1"/>
  <c r="AV268" i="1" s="1"/>
  <c r="AR268" i="1"/>
  <c r="AU268" i="1" s="1"/>
  <c r="AV265" i="1"/>
  <c r="AS265" i="1"/>
  <c r="AR265" i="1"/>
  <c r="AU265" i="1" s="1"/>
  <c r="AS262" i="1"/>
  <c r="AR262" i="1"/>
  <c r="AS259" i="1"/>
  <c r="AR259" i="1"/>
  <c r="AS256" i="1"/>
  <c r="AR256" i="1"/>
  <c r="AS253" i="1"/>
  <c r="AV253" i="1" s="1"/>
  <c r="AR253" i="1"/>
  <c r="AU253" i="1" s="1"/>
  <c r="AV250" i="1"/>
  <c r="AS250" i="1"/>
  <c r="AR250" i="1"/>
  <c r="AU250" i="1" s="1"/>
  <c r="AS247" i="1"/>
  <c r="AR247" i="1"/>
  <c r="AS246" i="1"/>
  <c r="AR246" i="1"/>
  <c r="AS245" i="1"/>
  <c r="AV245" i="1" s="1"/>
  <c r="AR245" i="1"/>
  <c r="AU245" i="1" s="1"/>
  <c r="AS244" i="1"/>
  <c r="AV244" i="1" s="1"/>
  <c r="AR244" i="1"/>
  <c r="AU244" i="1" s="1"/>
  <c r="AU241" i="1"/>
  <c r="AS241" i="1"/>
  <c r="AV241" i="1" s="1"/>
  <c r="AR241" i="1"/>
  <c r="AS238" i="1"/>
  <c r="AV238" i="1" s="1"/>
  <c r="AR238" i="1"/>
  <c r="AU238" i="1" s="1"/>
  <c r="AU235" i="1"/>
  <c r="AS235" i="1"/>
  <c r="AV235" i="1" s="1"/>
  <c r="AR235" i="1"/>
  <c r="AV232" i="1"/>
  <c r="AS232" i="1"/>
  <c r="AR232" i="1"/>
  <c r="AU232" i="1" s="1"/>
  <c r="AS229" i="1"/>
  <c r="AR229" i="1"/>
  <c r="AS226" i="1"/>
  <c r="AV226" i="1" s="1"/>
  <c r="AR226" i="1"/>
  <c r="AU226" i="1" s="1"/>
  <c r="AS223" i="1"/>
  <c r="AV223" i="1" s="1"/>
  <c r="AR223" i="1"/>
  <c r="AU223" i="1" s="1"/>
  <c r="AU220" i="1"/>
  <c r="AS220" i="1"/>
  <c r="AV220" i="1" s="1"/>
  <c r="AR220" i="1"/>
  <c r="AS218" i="1"/>
  <c r="AV218" i="1" s="1"/>
  <c r="AR218" i="1"/>
  <c r="AU218" i="1" s="1"/>
  <c r="AV215" i="1"/>
  <c r="AU215" i="1"/>
  <c r="AS215" i="1"/>
  <c r="AR215" i="1"/>
  <c r="AS212" i="1"/>
  <c r="AV212" i="1" s="1"/>
  <c r="AR212" i="1"/>
  <c r="AU212" i="1" s="1"/>
  <c r="AS209" i="1"/>
  <c r="AV209" i="1" s="1"/>
  <c r="AR209" i="1"/>
  <c r="AU209" i="1" s="1"/>
  <c r="AV206" i="1"/>
  <c r="AS206" i="1"/>
  <c r="AR206" i="1"/>
  <c r="AU206" i="1" s="1"/>
  <c r="AS203" i="1"/>
  <c r="AV203" i="1" s="1"/>
  <c r="AR203" i="1"/>
  <c r="AU203" i="1" s="1"/>
  <c r="AU200" i="1"/>
  <c r="AS200" i="1"/>
  <c r="AV200" i="1" s="1"/>
  <c r="AR200" i="1"/>
  <c r="AS199" i="1"/>
  <c r="AR199" i="1"/>
  <c r="AS196" i="1"/>
  <c r="AV196" i="1" s="1"/>
  <c r="AR196" i="1"/>
  <c r="AU196" i="1" s="1"/>
  <c r="AU193" i="1"/>
  <c r="AS193" i="1"/>
  <c r="AV193" i="1" s="1"/>
  <c r="AR193" i="1"/>
  <c r="AU190" i="1"/>
  <c r="AS190" i="1"/>
  <c r="AV190" i="1" s="1"/>
  <c r="AR190" i="1"/>
  <c r="AS189" i="1"/>
  <c r="AV189" i="1" s="1"/>
  <c r="AR189" i="1"/>
  <c r="AU189" i="1" s="1"/>
  <c r="AS185" i="1"/>
  <c r="AV185" i="1" s="1"/>
  <c r="AR185" i="1"/>
  <c r="AU185" i="1" s="1"/>
  <c r="AS182" i="1"/>
  <c r="AV182" i="1" s="1"/>
  <c r="AR182" i="1"/>
  <c r="AU182" i="1" s="1"/>
  <c r="AV179" i="1"/>
  <c r="AU179" i="1"/>
  <c r="AS179" i="1"/>
  <c r="AR179" i="1"/>
  <c r="AS176" i="1"/>
  <c r="AV176" i="1" s="1"/>
  <c r="AR176" i="1"/>
  <c r="AU176" i="1" s="1"/>
  <c r="AS173" i="1"/>
  <c r="AV173" i="1" s="1"/>
  <c r="AR173" i="1"/>
  <c r="AU173" i="1" s="1"/>
  <c r="AS170" i="1"/>
  <c r="AV170" i="1" s="1"/>
  <c r="AR170" i="1"/>
  <c r="AU170" i="1" s="1"/>
  <c r="AU167" i="1"/>
  <c r="AS167" i="1"/>
  <c r="AV167" i="1" s="1"/>
  <c r="AR167" i="1"/>
  <c r="AS164" i="1"/>
  <c r="AV164" i="1" s="1"/>
  <c r="AR164" i="1"/>
  <c r="AU164" i="1" s="1"/>
  <c r="AV161" i="1"/>
  <c r="AU161" i="1"/>
  <c r="AS161" i="1"/>
  <c r="AR161" i="1"/>
  <c r="AS158" i="1"/>
  <c r="AV158" i="1" s="1"/>
  <c r="AR158" i="1"/>
  <c r="AU158" i="1" s="1"/>
  <c r="AV155" i="1"/>
  <c r="AS155" i="1"/>
  <c r="AR155" i="1"/>
  <c r="AU155" i="1" s="1"/>
  <c r="AV152" i="1"/>
  <c r="AS152" i="1"/>
  <c r="AR152" i="1"/>
  <c r="AU152" i="1" s="1"/>
  <c r="AS149" i="1"/>
  <c r="AV149" i="1" s="1"/>
  <c r="AR149" i="1"/>
  <c r="AU149" i="1" s="1"/>
  <c r="AU146" i="1"/>
  <c r="AS146" i="1"/>
  <c r="AV146" i="1" s="1"/>
  <c r="AR146" i="1"/>
  <c r="AS145" i="1"/>
  <c r="AV145" i="1" s="1"/>
  <c r="AR145" i="1"/>
  <c r="AU145" i="1" s="1"/>
  <c r="AS144" i="1"/>
  <c r="AV144" i="1" s="1"/>
  <c r="AR144" i="1"/>
  <c r="AU144" i="1" s="1"/>
  <c r="AU141" i="1"/>
  <c r="AS141" i="1"/>
  <c r="AV141" i="1" s="1"/>
  <c r="AR141" i="1"/>
  <c r="AS138" i="1"/>
  <c r="AV138" i="1" s="1"/>
  <c r="AR138" i="1"/>
  <c r="AU138" i="1" s="1"/>
  <c r="AU135" i="1"/>
  <c r="AS135" i="1"/>
  <c r="AV135" i="1" s="1"/>
  <c r="AR135" i="1"/>
  <c r="AV132" i="1"/>
  <c r="AS132" i="1"/>
  <c r="AR132" i="1"/>
  <c r="AU132" i="1" s="1"/>
  <c r="AU129" i="1"/>
  <c r="AS129" i="1"/>
  <c r="AV129" i="1" s="1"/>
  <c r="AR129" i="1"/>
  <c r="AS126" i="1"/>
  <c r="AV126" i="1" s="1"/>
  <c r="AR126" i="1"/>
  <c r="AU126" i="1" s="1"/>
  <c r="AS123" i="1"/>
  <c r="AV123" i="1" s="1"/>
  <c r="AR123" i="1"/>
  <c r="AU123" i="1" s="1"/>
  <c r="AS120" i="1"/>
  <c r="AV120" i="1" s="1"/>
  <c r="AR120" i="1"/>
  <c r="AU120" i="1" s="1"/>
  <c r="AU117" i="1"/>
  <c r="AS117" i="1"/>
  <c r="AV117" i="1" s="1"/>
  <c r="AR117" i="1"/>
  <c r="AS114" i="1"/>
  <c r="AV114" i="1" s="1"/>
  <c r="AR114" i="1"/>
  <c r="AU114" i="1" s="1"/>
  <c r="AV111" i="1"/>
  <c r="AU111" i="1"/>
  <c r="AS111" i="1"/>
  <c r="AR111" i="1"/>
  <c r="AS108" i="1"/>
  <c r="AV108" i="1" s="1"/>
  <c r="AR108" i="1"/>
  <c r="AU108" i="1" s="1"/>
  <c r="AS105" i="1"/>
  <c r="AV105" i="1" s="1"/>
  <c r="AR105" i="1"/>
  <c r="AU105" i="1" s="1"/>
  <c r="AS102" i="1"/>
  <c r="AV102" i="1" s="1"/>
  <c r="AR102" i="1"/>
  <c r="AU102" i="1" s="1"/>
  <c r="AV99" i="1"/>
  <c r="AS99" i="1"/>
  <c r="AR99" i="1"/>
  <c r="AU99" i="1" s="1"/>
  <c r="AU96" i="1"/>
  <c r="AS96" i="1"/>
  <c r="AV96" i="1" s="1"/>
  <c r="AR96" i="1"/>
  <c r="AV93" i="1"/>
  <c r="AS93" i="1"/>
  <c r="AR93" i="1"/>
  <c r="AU93" i="1" s="1"/>
  <c r="AS90" i="1"/>
  <c r="AV90" i="1" s="1"/>
  <c r="AR90" i="1"/>
  <c r="AU90" i="1" s="1"/>
  <c r="AS87" i="1"/>
  <c r="AV87" i="1" s="1"/>
  <c r="AR87" i="1"/>
  <c r="AU87" i="1" s="1"/>
  <c r="AS84" i="1"/>
  <c r="AV84" i="1" s="1"/>
  <c r="AR84" i="1"/>
  <c r="AU84" i="1" s="1"/>
  <c r="AV81" i="1"/>
  <c r="AU81" i="1"/>
  <c r="AS81" i="1"/>
  <c r="AR81" i="1"/>
  <c r="AS80" i="1"/>
  <c r="AV80" i="1" s="1"/>
  <c r="AR80" i="1"/>
  <c r="AU80" i="1" s="1"/>
  <c r="AS77" i="1"/>
  <c r="AV77" i="1" s="1"/>
  <c r="AR77" i="1"/>
  <c r="AU77" i="1" s="1"/>
  <c r="AS74" i="1"/>
  <c r="AV74" i="1" s="1"/>
  <c r="AR74" i="1"/>
  <c r="AU74" i="1" s="1"/>
  <c r="AS71" i="1"/>
  <c r="AV71" i="1" s="1"/>
  <c r="AR71" i="1"/>
  <c r="AU71" i="1" s="1"/>
  <c r="AU70" i="1"/>
  <c r="AS70" i="1"/>
  <c r="AV70" i="1" s="1"/>
  <c r="AR70" i="1"/>
  <c r="AS67" i="1"/>
  <c r="AV67" i="1" s="1"/>
  <c r="AR67" i="1"/>
  <c r="AU67" i="1" s="1"/>
  <c r="AS64" i="1"/>
  <c r="AV64" i="1" s="1"/>
  <c r="AR64" i="1"/>
  <c r="AU64" i="1" s="1"/>
  <c r="AS61" i="1"/>
  <c r="AV61" i="1" s="1"/>
  <c r="AR61" i="1"/>
  <c r="AU61" i="1" s="1"/>
  <c r="AV58" i="1"/>
  <c r="AU58" i="1"/>
  <c r="AS58" i="1"/>
  <c r="AR58" i="1"/>
  <c r="AU55" i="1"/>
  <c r="AS55" i="1"/>
  <c r="AV55" i="1" s="1"/>
  <c r="AR55" i="1"/>
  <c r="AS52" i="1"/>
  <c r="AV52" i="1" s="1"/>
  <c r="AR52" i="1"/>
  <c r="AU52" i="1" s="1"/>
  <c r="AS49" i="1"/>
  <c r="AV49" i="1" s="1"/>
  <c r="AR49" i="1"/>
  <c r="AU49" i="1" s="1"/>
  <c r="AS46" i="1"/>
  <c r="AV46" i="1" s="1"/>
  <c r="AR46" i="1"/>
  <c r="AU46" i="1" s="1"/>
  <c r="AS43" i="1"/>
  <c r="AV43" i="1" s="1"/>
  <c r="AR43" i="1"/>
  <c r="AU43" i="1" s="1"/>
  <c r="AU35" i="1"/>
  <c r="AS35" i="1"/>
  <c r="AV35" i="1" s="1"/>
  <c r="AR35" i="1"/>
  <c r="AS32" i="1"/>
  <c r="AV32" i="1" s="1"/>
  <c r="AR32" i="1"/>
  <c r="AU32" i="1" s="1"/>
  <c r="AS29" i="1"/>
  <c r="AV29" i="1" s="1"/>
  <c r="AR29" i="1"/>
  <c r="AU29" i="1" s="1"/>
  <c r="AS26" i="1"/>
  <c r="AV26" i="1" s="1"/>
  <c r="AR26" i="1"/>
  <c r="AU26" i="1" s="1"/>
  <c r="AU23" i="1"/>
  <c r="AS23" i="1"/>
  <c r="AV23" i="1" s="1"/>
  <c r="AR23" i="1"/>
  <c r="AV20" i="1"/>
  <c r="AS20" i="1"/>
  <c r="AR20" i="1"/>
  <c r="AU20" i="1" s="1"/>
  <c r="AU17" i="1"/>
  <c r="AS17" i="1"/>
  <c r="AV17" i="1" s="1"/>
  <c r="AR17" i="1"/>
  <c r="AV14" i="1"/>
  <c r="AS14" i="1"/>
  <c r="AR14" i="1"/>
  <c r="AU14" i="1" s="1"/>
  <c r="AU11" i="1"/>
  <c r="AS11" i="1"/>
  <c r="AV11" i="1" s="1"/>
  <c r="AR11" i="1"/>
  <c r="AV8" i="1"/>
  <c r="AS8" i="1"/>
  <c r="AR8" i="1"/>
  <c r="AU8" i="1" s="1"/>
  <c r="AS5" i="1"/>
  <c r="AV5" i="1" s="1"/>
  <c r="AR5" i="1"/>
  <c r="AU5" i="1" s="1"/>
  <c r="AV2" i="1"/>
  <c r="AU2" i="1"/>
  <c r="AS2" i="1"/>
  <c r="AR2" i="1"/>
  <c r="AL246" i="1"/>
  <c r="AK246" i="1"/>
  <c r="AJ246" i="1"/>
  <c r="AI246" i="1"/>
  <c r="AH246" i="1"/>
  <c r="AG246" i="1"/>
  <c r="AF246" i="1"/>
  <c r="AE246" i="1"/>
  <c r="AD246" i="1"/>
  <c r="AL245" i="1"/>
  <c r="AK245" i="1"/>
  <c r="AJ245" i="1"/>
  <c r="AI245" i="1"/>
  <c r="AH245" i="1"/>
  <c r="AG245" i="1"/>
  <c r="AF245" i="1"/>
  <c r="AE245" i="1"/>
  <c r="AD245" i="1"/>
  <c r="AL219" i="1"/>
  <c r="AK219" i="1"/>
  <c r="AJ219" i="1"/>
  <c r="AI219" i="1"/>
  <c r="AH219" i="1"/>
  <c r="AG219" i="1"/>
  <c r="AF219" i="1"/>
  <c r="AE219" i="1"/>
  <c r="AD219" i="1"/>
  <c r="AL199" i="1"/>
  <c r="AK199" i="1"/>
  <c r="AJ199" i="1"/>
  <c r="AI199" i="1"/>
  <c r="AH199" i="1"/>
  <c r="AG199" i="1"/>
  <c r="AF199" i="1"/>
  <c r="AE199" i="1"/>
  <c r="AD199" i="1"/>
  <c r="AL186" i="1"/>
  <c r="AK186" i="1"/>
  <c r="AJ186" i="1"/>
  <c r="AI186" i="1"/>
  <c r="AH186" i="1"/>
  <c r="AG186" i="1"/>
  <c r="AF186" i="1"/>
  <c r="AE186" i="1"/>
  <c r="AD186" i="1"/>
  <c r="AL145" i="1"/>
  <c r="AK145" i="1"/>
  <c r="AJ145" i="1"/>
  <c r="AI145" i="1"/>
  <c r="AH145" i="1"/>
  <c r="AG145" i="1"/>
  <c r="AF145" i="1"/>
  <c r="AE145" i="1"/>
  <c r="AD145" i="1"/>
  <c r="AL144" i="1"/>
  <c r="AK144" i="1"/>
  <c r="AJ144" i="1"/>
  <c r="AI144" i="1"/>
  <c r="AH144" i="1"/>
  <c r="AG144" i="1"/>
  <c r="AF144" i="1"/>
  <c r="AE144" i="1"/>
  <c r="AD144" i="1"/>
  <c r="AL87" i="1"/>
  <c r="AK87" i="1"/>
  <c r="AJ87" i="1"/>
  <c r="AI87" i="1"/>
  <c r="AH87" i="1"/>
  <c r="AG87" i="1"/>
  <c r="AF87" i="1"/>
  <c r="AP87" i="1" s="1"/>
  <c r="AE87" i="1"/>
  <c r="AO87" i="1" s="1"/>
  <c r="AD87" i="1"/>
  <c r="AN87" i="1" s="1"/>
  <c r="AL39" i="1"/>
  <c r="AK39" i="1"/>
  <c r="AJ39" i="1"/>
  <c r="AI39" i="1"/>
  <c r="AH39" i="1"/>
  <c r="AG39" i="1"/>
  <c r="AF39" i="1"/>
  <c r="AE39" i="1"/>
  <c r="AD39" i="1"/>
  <c r="AL265" i="1"/>
  <c r="AK265" i="1"/>
  <c r="AJ265" i="1"/>
  <c r="AI265" i="1"/>
  <c r="AH265" i="1"/>
  <c r="AG265" i="1"/>
  <c r="AF265" i="1"/>
  <c r="AP265" i="1" s="1"/>
  <c r="AE265" i="1"/>
  <c r="AO265" i="1" s="1"/>
  <c r="AD265" i="1"/>
  <c r="AN265" i="1" s="1"/>
  <c r="AL262" i="1"/>
  <c r="AK262" i="1"/>
  <c r="AJ262" i="1"/>
  <c r="AI262" i="1"/>
  <c r="AH262" i="1"/>
  <c r="AG262" i="1"/>
  <c r="AF262" i="1"/>
  <c r="AP262" i="1" s="1"/>
  <c r="AE262" i="1"/>
  <c r="AO262" i="1" s="1"/>
  <c r="AD262" i="1"/>
  <c r="AN262" i="1" s="1"/>
  <c r="AL259" i="1"/>
  <c r="AK259" i="1"/>
  <c r="AJ259" i="1"/>
  <c r="AI259" i="1"/>
  <c r="AH259" i="1"/>
  <c r="AG259" i="1"/>
  <c r="AF259" i="1"/>
  <c r="AP259" i="1" s="1"/>
  <c r="AE259" i="1"/>
  <c r="AO259" i="1" s="1"/>
  <c r="AD259" i="1"/>
  <c r="AN259" i="1" s="1"/>
  <c r="AL256" i="1"/>
  <c r="AK256" i="1"/>
  <c r="AJ256" i="1"/>
  <c r="AI256" i="1"/>
  <c r="AH256" i="1"/>
  <c r="AG256" i="1"/>
  <c r="AF256" i="1"/>
  <c r="AP256" i="1" s="1"/>
  <c r="AE256" i="1"/>
  <c r="AO256" i="1" s="1"/>
  <c r="AD256" i="1"/>
  <c r="AN256" i="1" s="1"/>
  <c r="AL253" i="1"/>
  <c r="AK253" i="1"/>
  <c r="AJ253" i="1"/>
  <c r="AI253" i="1"/>
  <c r="AH253" i="1"/>
  <c r="AG253" i="1"/>
  <c r="AF253" i="1"/>
  <c r="AP253" i="1" s="1"/>
  <c r="AE253" i="1"/>
  <c r="AO253" i="1" s="1"/>
  <c r="AD253" i="1"/>
  <c r="AN253" i="1" s="1"/>
  <c r="AL250" i="1"/>
  <c r="AK250" i="1"/>
  <c r="AJ250" i="1"/>
  <c r="AI250" i="1"/>
  <c r="AH250" i="1"/>
  <c r="AG250" i="1"/>
  <c r="AF250" i="1"/>
  <c r="AP250" i="1" s="1"/>
  <c r="AE250" i="1"/>
  <c r="AO250" i="1" s="1"/>
  <c r="AD250" i="1"/>
  <c r="AN250" i="1" s="1"/>
  <c r="AL247" i="1"/>
  <c r="AK247" i="1"/>
  <c r="AJ247" i="1"/>
  <c r="AI247" i="1"/>
  <c r="AH247" i="1"/>
  <c r="AG247" i="1"/>
  <c r="AF247" i="1"/>
  <c r="AP247" i="1" s="1"/>
  <c r="AE247" i="1"/>
  <c r="AO247" i="1" s="1"/>
  <c r="AD247" i="1"/>
  <c r="AN247" i="1" s="1"/>
  <c r="AL241" i="1"/>
  <c r="AK241" i="1"/>
  <c r="AJ241" i="1"/>
  <c r="AI241" i="1"/>
  <c r="AH241" i="1"/>
  <c r="AG241" i="1"/>
  <c r="AF241" i="1"/>
  <c r="AP241" i="1" s="1"/>
  <c r="AE241" i="1"/>
  <c r="AO241" i="1" s="1"/>
  <c r="AD241" i="1"/>
  <c r="AN241" i="1" s="1"/>
  <c r="AL238" i="1"/>
  <c r="AK238" i="1"/>
  <c r="AJ238" i="1"/>
  <c r="AI238" i="1"/>
  <c r="AH238" i="1"/>
  <c r="AG238" i="1"/>
  <c r="AF238" i="1"/>
  <c r="AP238" i="1" s="1"/>
  <c r="AE238" i="1"/>
  <c r="AO238" i="1" s="1"/>
  <c r="AD238" i="1"/>
  <c r="AN238" i="1" s="1"/>
  <c r="AL235" i="1"/>
  <c r="AK235" i="1"/>
  <c r="AJ235" i="1"/>
  <c r="AI235" i="1"/>
  <c r="AH235" i="1"/>
  <c r="AG235" i="1"/>
  <c r="AF235" i="1"/>
  <c r="AP235" i="1" s="1"/>
  <c r="AE235" i="1"/>
  <c r="AO235" i="1" s="1"/>
  <c r="AD235" i="1"/>
  <c r="AN235" i="1" s="1"/>
  <c r="AL232" i="1"/>
  <c r="AK232" i="1"/>
  <c r="AJ232" i="1"/>
  <c r="AI232" i="1"/>
  <c r="AH232" i="1"/>
  <c r="AG232" i="1"/>
  <c r="AF232" i="1"/>
  <c r="AP232" i="1" s="1"/>
  <c r="AE232" i="1"/>
  <c r="AO232" i="1" s="1"/>
  <c r="AD232" i="1"/>
  <c r="AN232" i="1" s="1"/>
  <c r="AL229" i="1"/>
  <c r="AK229" i="1"/>
  <c r="AJ229" i="1"/>
  <c r="AI229" i="1"/>
  <c r="AH229" i="1"/>
  <c r="AG229" i="1"/>
  <c r="AF229" i="1"/>
  <c r="AP229" i="1" s="1"/>
  <c r="AE229" i="1"/>
  <c r="AO229" i="1" s="1"/>
  <c r="AD229" i="1"/>
  <c r="AN229" i="1" s="1"/>
  <c r="AL226" i="1"/>
  <c r="AK226" i="1"/>
  <c r="AJ226" i="1"/>
  <c r="AI226" i="1"/>
  <c r="AH226" i="1"/>
  <c r="AG226" i="1"/>
  <c r="AF226" i="1"/>
  <c r="AP226" i="1" s="1"/>
  <c r="AE226" i="1"/>
  <c r="AO226" i="1" s="1"/>
  <c r="AD226" i="1"/>
  <c r="AN226" i="1" s="1"/>
  <c r="AL223" i="1"/>
  <c r="AK223" i="1"/>
  <c r="AJ223" i="1"/>
  <c r="AI223" i="1"/>
  <c r="AH223" i="1"/>
  <c r="AG223" i="1"/>
  <c r="AF223" i="1"/>
  <c r="AP223" i="1" s="1"/>
  <c r="AE223" i="1"/>
  <c r="AO223" i="1" s="1"/>
  <c r="AD223" i="1"/>
  <c r="AN223" i="1" s="1"/>
  <c r="AL220" i="1"/>
  <c r="AK220" i="1"/>
  <c r="AJ220" i="1"/>
  <c r="AI220" i="1"/>
  <c r="AH220" i="1"/>
  <c r="AG220" i="1"/>
  <c r="AF220" i="1"/>
  <c r="AP220" i="1" s="1"/>
  <c r="AE220" i="1"/>
  <c r="AO220" i="1" s="1"/>
  <c r="AD220" i="1"/>
  <c r="AN220" i="1" s="1"/>
  <c r="AL215" i="1"/>
  <c r="AK215" i="1"/>
  <c r="AJ215" i="1"/>
  <c r="AI215" i="1"/>
  <c r="AH215" i="1"/>
  <c r="AG215" i="1"/>
  <c r="AF215" i="1"/>
  <c r="AP215" i="1" s="1"/>
  <c r="AE215" i="1"/>
  <c r="AO215" i="1" s="1"/>
  <c r="AD215" i="1"/>
  <c r="AN215" i="1" s="1"/>
  <c r="AL212" i="1"/>
  <c r="AK212" i="1"/>
  <c r="AJ212" i="1"/>
  <c r="AI212" i="1"/>
  <c r="AH212" i="1"/>
  <c r="AG212" i="1"/>
  <c r="AF212" i="1"/>
  <c r="AP212" i="1" s="1"/>
  <c r="AE212" i="1"/>
  <c r="AO212" i="1" s="1"/>
  <c r="AD212" i="1"/>
  <c r="AN212" i="1" s="1"/>
  <c r="AL209" i="1"/>
  <c r="AK209" i="1"/>
  <c r="AJ209" i="1"/>
  <c r="AI209" i="1"/>
  <c r="AH209" i="1"/>
  <c r="AG209" i="1"/>
  <c r="AF209" i="1"/>
  <c r="AP209" i="1" s="1"/>
  <c r="AE209" i="1"/>
  <c r="AO209" i="1" s="1"/>
  <c r="AD209" i="1"/>
  <c r="AN209" i="1" s="1"/>
  <c r="AL206" i="1"/>
  <c r="AK206" i="1"/>
  <c r="AJ206" i="1"/>
  <c r="AI206" i="1"/>
  <c r="AH206" i="1"/>
  <c r="AG206" i="1"/>
  <c r="AF206" i="1"/>
  <c r="AP206" i="1" s="1"/>
  <c r="AE206" i="1"/>
  <c r="AO206" i="1" s="1"/>
  <c r="AD206" i="1"/>
  <c r="AN206" i="1" s="1"/>
  <c r="AL203" i="1"/>
  <c r="AK203" i="1"/>
  <c r="AJ203" i="1"/>
  <c r="AI203" i="1"/>
  <c r="AH203" i="1"/>
  <c r="AG203" i="1"/>
  <c r="AF203" i="1"/>
  <c r="AP203" i="1" s="1"/>
  <c r="AE203" i="1"/>
  <c r="AO203" i="1" s="1"/>
  <c r="AD203" i="1"/>
  <c r="AN203" i="1" s="1"/>
  <c r="AL200" i="1"/>
  <c r="AK200" i="1"/>
  <c r="AJ200" i="1"/>
  <c r="AI200" i="1"/>
  <c r="AH200" i="1"/>
  <c r="AG200" i="1"/>
  <c r="AF200" i="1"/>
  <c r="AP200" i="1" s="1"/>
  <c r="AE200" i="1"/>
  <c r="AO200" i="1" s="1"/>
  <c r="AD200" i="1"/>
  <c r="AN200" i="1" s="1"/>
  <c r="AL196" i="1"/>
  <c r="AK196" i="1"/>
  <c r="AJ196" i="1"/>
  <c r="AI196" i="1"/>
  <c r="AH196" i="1"/>
  <c r="AG196" i="1"/>
  <c r="AF196" i="1"/>
  <c r="AP196" i="1" s="1"/>
  <c r="AE196" i="1"/>
  <c r="AO196" i="1" s="1"/>
  <c r="AD196" i="1"/>
  <c r="AN196" i="1" s="1"/>
  <c r="AL193" i="1"/>
  <c r="AK193" i="1"/>
  <c r="AJ193" i="1"/>
  <c r="AI193" i="1"/>
  <c r="AH193" i="1"/>
  <c r="AG193" i="1"/>
  <c r="AF193" i="1"/>
  <c r="AP193" i="1" s="1"/>
  <c r="AE193" i="1"/>
  <c r="AO193" i="1" s="1"/>
  <c r="AD193" i="1"/>
  <c r="AN193" i="1" s="1"/>
  <c r="AL190" i="1"/>
  <c r="AK190" i="1"/>
  <c r="AJ190" i="1"/>
  <c r="AI190" i="1"/>
  <c r="AH190" i="1"/>
  <c r="AG190" i="1"/>
  <c r="AF190" i="1"/>
  <c r="AP190" i="1" s="1"/>
  <c r="AE190" i="1"/>
  <c r="AO190" i="1" s="1"/>
  <c r="AD190" i="1"/>
  <c r="AN190" i="1" s="1"/>
  <c r="AL182" i="1"/>
  <c r="AK182" i="1"/>
  <c r="AJ182" i="1"/>
  <c r="AI182" i="1"/>
  <c r="AH182" i="1"/>
  <c r="AG182" i="1"/>
  <c r="AF182" i="1"/>
  <c r="AP182" i="1" s="1"/>
  <c r="AE182" i="1"/>
  <c r="AO182" i="1" s="1"/>
  <c r="AD182" i="1"/>
  <c r="AN182" i="1" s="1"/>
  <c r="AL179" i="1"/>
  <c r="AK179" i="1"/>
  <c r="AJ179" i="1"/>
  <c r="AI179" i="1"/>
  <c r="AH179" i="1"/>
  <c r="AG179" i="1"/>
  <c r="AF179" i="1"/>
  <c r="AP179" i="1" s="1"/>
  <c r="AE179" i="1"/>
  <c r="AO179" i="1" s="1"/>
  <c r="AD179" i="1"/>
  <c r="AN179" i="1" s="1"/>
  <c r="AL176" i="1"/>
  <c r="AK176" i="1"/>
  <c r="AJ176" i="1"/>
  <c r="AI176" i="1"/>
  <c r="AH176" i="1"/>
  <c r="AG176" i="1"/>
  <c r="AF176" i="1"/>
  <c r="AP176" i="1" s="1"/>
  <c r="AE176" i="1"/>
  <c r="AO176" i="1" s="1"/>
  <c r="AD176" i="1"/>
  <c r="AN176" i="1" s="1"/>
  <c r="AL173" i="1"/>
  <c r="AK173" i="1"/>
  <c r="AJ173" i="1"/>
  <c r="AI173" i="1"/>
  <c r="AH173" i="1"/>
  <c r="AG173" i="1"/>
  <c r="AF173" i="1"/>
  <c r="AP173" i="1" s="1"/>
  <c r="AE173" i="1"/>
  <c r="AO173" i="1" s="1"/>
  <c r="AD173" i="1"/>
  <c r="AN173" i="1" s="1"/>
  <c r="AL170" i="1"/>
  <c r="AK170" i="1"/>
  <c r="AJ170" i="1"/>
  <c r="AI170" i="1"/>
  <c r="AH170" i="1"/>
  <c r="AG170" i="1"/>
  <c r="AF170" i="1"/>
  <c r="AP170" i="1" s="1"/>
  <c r="AE170" i="1"/>
  <c r="AO170" i="1" s="1"/>
  <c r="AD170" i="1"/>
  <c r="AN170" i="1" s="1"/>
  <c r="AL167" i="1"/>
  <c r="AK167" i="1"/>
  <c r="AJ167" i="1"/>
  <c r="AI167" i="1"/>
  <c r="AH167" i="1"/>
  <c r="AG167" i="1"/>
  <c r="AF167" i="1"/>
  <c r="AP167" i="1" s="1"/>
  <c r="AE167" i="1"/>
  <c r="AO167" i="1" s="1"/>
  <c r="AD167" i="1"/>
  <c r="AN167" i="1" s="1"/>
  <c r="AL164" i="1"/>
  <c r="AK164" i="1"/>
  <c r="AJ164" i="1"/>
  <c r="AI164" i="1"/>
  <c r="AH164" i="1"/>
  <c r="AG164" i="1"/>
  <c r="AF164" i="1"/>
  <c r="AP164" i="1" s="1"/>
  <c r="AE164" i="1"/>
  <c r="AO164" i="1" s="1"/>
  <c r="AD164" i="1"/>
  <c r="AN164" i="1" s="1"/>
  <c r="AL161" i="1"/>
  <c r="AK161" i="1"/>
  <c r="AJ161" i="1"/>
  <c r="AI161" i="1"/>
  <c r="AH161" i="1"/>
  <c r="AG161" i="1"/>
  <c r="AF161" i="1"/>
  <c r="AP161" i="1" s="1"/>
  <c r="AE161" i="1"/>
  <c r="AO161" i="1" s="1"/>
  <c r="AD161" i="1"/>
  <c r="AN161" i="1" s="1"/>
  <c r="AL158" i="1"/>
  <c r="AK158" i="1"/>
  <c r="AJ158" i="1"/>
  <c r="AI158" i="1"/>
  <c r="AH158" i="1"/>
  <c r="AG158" i="1"/>
  <c r="AF158" i="1"/>
  <c r="AP158" i="1" s="1"/>
  <c r="AE158" i="1"/>
  <c r="AO158" i="1" s="1"/>
  <c r="AD158" i="1"/>
  <c r="AN158" i="1" s="1"/>
  <c r="AL155" i="1"/>
  <c r="AK155" i="1"/>
  <c r="AJ155" i="1"/>
  <c r="AI155" i="1"/>
  <c r="AH155" i="1"/>
  <c r="AG155" i="1"/>
  <c r="AF155" i="1"/>
  <c r="AP155" i="1" s="1"/>
  <c r="AE155" i="1"/>
  <c r="AO155" i="1" s="1"/>
  <c r="AD155" i="1"/>
  <c r="AN155" i="1" s="1"/>
  <c r="AL152" i="1"/>
  <c r="AK152" i="1"/>
  <c r="AJ152" i="1"/>
  <c r="AI152" i="1"/>
  <c r="AH152" i="1"/>
  <c r="AG152" i="1"/>
  <c r="AF152" i="1"/>
  <c r="AP152" i="1" s="1"/>
  <c r="AE152" i="1"/>
  <c r="AO152" i="1" s="1"/>
  <c r="AD152" i="1"/>
  <c r="AN152" i="1" s="1"/>
  <c r="AL149" i="1"/>
  <c r="AK149" i="1"/>
  <c r="AJ149" i="1"/>
  <c r="AI149" i="1"/>
  <c r="AH149" i="1"/>
  <c r="AG149" i="1"/>
  <c r="AF149" i="1"/>
  <c r="AP149" i="1" s="1"/>
  <c r="AE149" i="1"/>
  <c r="AO149" i="1" s="1"/>
  <c r="AD149" i="1"/>
  <c r="AN149" i="1" s="1"/>
  <c r="AL146" i="1"/>
  <c r="AK146" i="1"/>
  <c r="AJ146" i="1"/>
  <c r="AI146" i="1"/>
  <c r="AH146" i="1"/>
  <c r="AG146" i="1"/>
  <c r="AF146" i="1"/>
  <c r="AP146" i="1" s="1"/>
  <c r="AE146" i="1"/>
  <c r="AO146" i="1" s="1"/>
  <c r="AD146" i="1"/>
  <c r="AN146" i="1" s="1"/>
  <c r="AL141" i="1"/>
  <c r="AK141" i="1"/>
  <c r="AJ141" i="1"/>
  <c r="AI141" i="1"/>
  <c r="AH141" i="1"/>
  <c r="AG141" i="1"/>
  <c r="AF141" i="1"/>
  <c r="AP141" i="1" s="1"/>
  <c r="AE141" i="1"/>
  <c r="AO141" i="1" s="1"/>
  <c r="AD141" i="1"/>
  <c r="AN141" i="1" s="1"/>
  <c r="AL138" i="1"/>
  <c r="AK138" i="1"/>
  <c r="AJ138" i="1"/>
  <c r="AI138" i="1"/>
  <c r="AH138" i="1"/>
  <c r="AG138" i="1"/>
  <c r="AF138" i="1"/>
  <c r="AP138" i="1" s="1"/>
  <c r="AE138" i="1"/>
  <c r="AO138" i="1" s="1"/>
  <c r="AD138" i="1"/>
  <c r="AN138" i="1" s="1"/>
  <c r="AL135" i="1"/>
  <c r="AK135" i="1"/>
  <c r="AJ135" i="1"/>
  <c r="AI135" i="1"/>
  <c r="AH135" i="1"/>
  <c r="AG135" i="1"/>
  <c r="AF135" i="1"/>
  <c r="AP135" i="1" s="1"/>
  <c r="AE135" i="1"/>
  <c r="AO135" i="1" s="1"/>
  <c r="AD135" i="1"/>
  <c r="AN135" i="1" s="1"/>
  <c r="AL132" i="1"/>
  <c r="AK132" i="1"/>
  <c r="AJ132" i="1"/>
  <c r="AI132" i="1"/>
  <c r="AH132" i="1"/>
  <c r="AG132" i="1"/>
  <c r="AF132" i="1"/>
  <c r="AP132" i="1" s="1"/>
  <c r="AE132" i="1"/>
  <c r="AO132" i="1" s="1"/>
  <c r="AD132" i="1"/>
  <c r="AN132" i="1" s="1"/>
  <c r="AL129" i="1"/>
  <c r="AK129" i="1"/>
  <c r="AJ129" i="1"/>
  <c r="AI129" i="1"/>
  <c r="AH129" i="1"/>
  <c r="AG129" i="1"/>
  <c r="AF129" i="1"/>
  <c r="AP129" i="1" s="1"/>
  <c r="AE129" i="1"/>
  <c r="AO129" i="1" s="1"/>
  <c r="AD129" i="1"/>
  <c r="AN129" i="1" s="1"/>
  <c r="AL126" i="1"/>
  <c r="AK126" i="1"/>
  <c r="AJ126" i="1"/>
  <c r="AI126" i="1"/>
  <c r="AH126" i="1"/>
  <c r="AG126" i="1"/>
  <c r="AF126" i="1"/>
  <c r="AP126" i="1" s="1"/>
  <c r="AE126" i="1"/>
  <c r="AO126" i="1" s="1"/>
  <c r="AD126" i="1"/>
  <c r="AN126" i="1" s="1"/>
  <c r="AL123" i="1"/>
  <c r="AK123" i="1"/>
  <c r="AJ123" i="1"/>
  <c r="AI123" i="1"/>
  <c r="AH123" i="1"/>
  <c r="AG123" i="1"/>
  <c r="AF123" i="1"/>
  <c r="AP123" i="1" s="1"/>
  <c r="AE123" i="1"/>
  <c r="AO123" i="1" s="1"/>
  <c r="AD123" i="1"/>
  <c r="AN123" i="1" s="1"/>
  <c r="AN120" i="1"/>
  <c r="AL120" i="1"/>
  <c r="AK120" i="1"/>
  <c r="AJ120" i="1"/>
  <c r="AI120" i="1"/>
  <c r="AH120" i="1"/>
  <c r="AG120" i="1"/>
  <c r="AF120" i="1"/>
  <c r="AP120" i="1" s="1"/>
  <c r="AE120" i="1"/>
  <c r="AO120" i="1" s="1"/>
  <c r="AD120" i="1"/>
  <c r="AL117" i="1"/>
  <c r="AK117" i="1"/>
  <c r="AJ117" i="1"/>
  <c r="AI117" i="1"/>
  <c r="AH117" i="1"/>
  <c r="AG117" i="1"/>
  <c r="AF117" i="1"/>
  <c r="AP117" i="1" s="1"/>
  <c r="AE117" i="1"/>
  <c r="AO117" i="1" s="1"/>
  <c r="AD117" i="1"/>
  <c r="AN117" i="1" s="1"/>
  <c r="AL114" i="1"/>
  <c r="AK114" i="1"/>
  <c r="AJ114" i="1"/>
  <c r="AI114" i="1"/>
  <c r="AH114" i="1"/>
  <c r="AG114" i="1"/>
  <c r="AF114" i="1"/>
  <c r="AP114" i="1" s="1"/>
  <c r="AE114" i="1"/>
  <c r="AO114" i="1" s="1"/>
  <c r="AD114" i="1"/>
  <c r="AN114" i="1" s="1"/>
  <c r="AL111" i="1"/>
  <c r="AK111" i="1"/>
  <c r="AJ111" i="1"/>
  <c r="AI111" i="1"/>
  <c r="AH111" i="1"/>
  <c r="AG111" i="1"/>
  <c r="AF111" i="1"/>
  <c r="AP111" i="1" s="1"/>
  <c r="AE111" i="1"/>
  <c r="AO111" i="1" s="1"/>
  <c r="AD111" i="1"/>
  <c r="AN111" i="1" s="1"/>
  <c r="AL108" i="1"/>
  <c r="AK108" i="1"/>
  <c r="AJ108" i="1"/>
  <c r="AI108" i="1"/>
  <c r="AH108" i="1"/>
  <c r="AG108" i="1"/>
  <c r="AF108" i="1"/>
  <c r="AP108" i="1" s="1"/>
  <c r="AE108" i="1"/>
  <c r="AO108" i="1" s="1"/>
  <c r="AD108" i="1"/>
  <c r="AN108" i="1" s="1"/>
  <c r="AL105" i="1"/>
  <c r="AK105" i="1"/>
  <c r="AJ105" i="1"/>
  <c r="AI105" i="1"/>
  <c r="AH105" i="1"/>
  <c r="AG105" i="1"/>
  <c r="AF105" i="1"/>
  <c r="AP105" i="1" s="1"/>
  <c r="AE105" i="1"/>
  <c r="AO105" i="1" s="1"/>
  <c r="AD105" i="1"/>
  <c r="AN105" i="1" s="1"/>
  <c r="AL102" i="1"/>
  <c r="AK102" i="1"/>
  <c r="AJ102" i="1"/>
  <c r="AI102" i="1"/>
  <c r="AH102" i="1"/>
  <c r="AG102" i="1"/>
  <c r="AF102" i="1"/>
  <c r="AP102" i="1" s="1"/>
  <c r="AE102" i="1"/>
  <c r="AO102" i="1" s="1"/>
  <c r="AD102" i="1"/>
  <c r="AN102" i="1" s="1"/>
  <c r="AL99" i="1"/>
  <c r="AK99" i="1"/>
  <c r="AJ99" i="1"/>
  <c r="AI99" i="1"/>
  <c r="AH99" i="1"/>
  <c r="AG99" i="1"/>
  <c r="AF99" i="1"/>
  <c r="AP99" i="1" s="1"/>
  <c r="AE99" i="1"/>
  <c r="AO99" i="1" s="1"/>
  <c r="AD99" i="1"/>
  <c r="AN99" i="1" s="1"/>
  <c r="AL96" i="1"/>
  <c r="AK96" i="1"/>
  <c r="AJ96" i="1"/>
  <c r="AI96" i="1"/>
  <c r="AH96" i="1"/>
  <c r="AG96" i="1"/>
  <c r="AF96" i="1"/>
  <c r="AP96" i="1" s="1"/>
  <c r="AE96" i="1"/>
  <c r="AO96" i="1" s="1"/>
  <c r="AD96" i="1"/>
  <c r="AN96" i="1" s="1"/>
  <c r="AL93" i="1"/>
  <c r="AK93" i="1"/>
  <c r="AJ93" i="1"/>
  <c r="AI93" i="1"/>
  <c r="AH93" i="1"/>
  <c r="AG93" i="1"/>
  <c r="AF93" i="1"/>
  <c r="AP93" i="1" s="1"/>
  <c r="AE93" i="1"/>
  <c r="AO93" i="1" s="1"/>
  <c r="AD93" i="1"/>
  <c r="AN93" i="1" s="1"/>
  <c r="AL90" i="1"/>
  <c r="AK90" i="1"/>
  <c r="AJ90" i="1"/>
  <c r="AI90" i="1"/>
  <c r="AH90" i="1"/>
  <c r="AG90" i="1"/>
  <c r="AF90" i="1"/>
  <c r="AP90" i="1" s="1"/>
  <c r="AE90" i="1"/>
  <c r="AO90" i="1" s="1"/>
  <c r="AD90" i="1"/>
  <c r="AN90" i="1" s="1"/>
  <c r="AL84" i="1"/>
  <c r="AK84" i="1"/>
  <c r="AJ84" i="1"/>
  <c r="AI84" i="1"/>
  <c r="AH84" i="1"/>
  <c r="AG84" i="1"/>
  <c r="AF84" i="1"/>
  <c r="AP84" i="1" s="1"/>
  <c r="AE84" i="1"/>
  <c r="AO84" i="1" s="1"/>
  <c r="AD84" i="1"/>
  <c r="AN84" i="1" s="1"/>
  <c r="AL81" i="1"/>
  <c r="AK81" i="1"/>
  <c r="AJ81" i="1"/>
  <c r="AI81" i="1"/>
  <c r="AH81" i="1"/>
  <c r="AG81" i="1"/>
  <c r="AF81" i="1"/>
  <c r="AP81" i="1" s="1"/>
  <c r="AE81" i="1"/>
  <c r="AO81" i="1" s="1"/>
  <c r="AD81" i="1"/>
  <c r="AN81" i="1" s="1"/>
  <c r="AL77" i="1"/>
  <c r="AK77" i="1"/>
  <c r="AJ77" i="1"/>
  <c r="AI77" i="1"/>
  <c r="AH77" i="1"/>
  <c r="AG77" i="1"/>
  <c r="AF77" i="1"/>
  <c r="AP77" i="1" s="1"/>
  <c r="AE77" i="1"/>
  <c r="AO77" i="1" s="1"/>
  <c r="AD77" i="1"/>
  <c r="AN77" i="1" s="1"/>
  <c r="AL74" i="1"/>
  <c r="AK74" i="1"/>
  <c r="AJ74" i="1"/>
  <c r="AI74" i="1"/>
  <c r="AH74" i="1"/>
  <c r="AG74" i="1"/>
  <c r="AF74" i="1"/>
  <c r="AP74" i="1" s="1"/>
  <c r="AE74" i="1"/>
  <c r="AO74" i="1" s="1"/>
  <c r="AD74" i="1"/>
  <c r="AN74" i="1" s="1"/>
  <c r="AL71" i="1"/>
  <c r="AK71" i="1"/>
  <c r="AJ71" i="1"/>
  <c r="AI71" i="1"/>
  <c r="AH71" i="1"/>
  <c r="AG71" i="1"/>
  <c r="AF71" i="1"/>
  <c r="AP71" i="1" s="1"/>
  <c r="AE71" i="1"/>
  <c r="AO71" i="1" s="1"/>
  <c r="AD71" i="1"/>
  <c r="AN71" i="1" s="1"/>
  <c r="AL67" i="1"/>
  <c r="AK67" i="1"/>
  <c r="AJ67" i="1"/>
  <c r="AI67" i="1"/>
  <c r="AH67" i="1"/>
  <c r="AG67" i="1"/>
  <c r="AF67" i="1"/>
  <c r="AP67" i="1" s="1"/>
  <c r="AE67" i="1"/>
  <c r="AO67" i="1" s="1"/>
  <c r="AD67" i="1"/>
  <c r="AN67" i="1" s="1"/>
  <c r="AL64" i="1"/>
  <c r="AK64" i="1"/>
  <c r="AJ64" i="1"/>
  <c r="AI64" i="1"/>
  <c r="AH64" i="1"/>
  <c r="AG64" i="1"/>
  <c r="AF64" i="1"/>
  <c r="AP64" i="1" s="1"/>
  <c r="AE64" i="1"/>
  <c r="AO64" i="1" s="1"/>
  <c r="AD64" i="1"/>
  <c r="AN64" i="1" s="1"/>
  <c r="AL61" i="1"/>
  <c r="AK61" i="1"/>
  <c r="AJ61" i="1"/>
  <c r="AI61" i="1"/>
  <c r="AH61" i="1"/>
  <c r="AG61" i="1"/>
  <c r="AF61" i="1"/>
  <c r="AP61" i="1" s="1"/>
  <c r="AE61" i="1"/>
  <c r="AO61" i="1" s="1"/>
  <c r="AD61" i="1"/>
  <c r="AN61" i="1" s="1"/>
  <c r="AL58" i="1"/>
  <c r="AK58" i="1"/>
  <c r="AJ58" i="1"/>
  <c r="AI58" i="1"/>
  <c r="AH58" i="1"/>
  <c r="AG58" i="1"/>
  <c r="AF58" i="1"/>
  <c r="AP58" i="1" s="1"/>
  <c r="AE58" i="1"/>
  <c r="AO58" i="1" s="1"/>
  <c r="AD58" i="1"/>
  <c r="AN58" i="1" s="1"/>
  <c r="AL55" i="1"/>
  <c r="AK55" i="1"/>
  <c r="AJ55" i="1"/>
  <c r="AI55" i="1"/>
  <c r="AH55" i="1"/>
  <c r="AG55" i="1"/>
  <c r="AF55" i="1"/>
  <c r="AP55" i="1" s="1"/>
  <c r="AE55" i="1"/>
  <c r="AO55" i="1" s="1"/>
  <c r="AD55" i="1"/>
  <c r="AN55" i="1" s="1"/>
  <c r="AL52" i="1"/>
  <c r="AK52" i="1"/>
  <c r="AJ52" i="1"/>
  <c r="AI52" i="1"/>
  <c r="AH52" i="1"/>
  <c r="AG52" i="1"/>
  <c r="AF52" i="1"/>
  <c r="AP52" i="1" s="1"/>
  <c r="AE52" i="1"/>
  <c r="AO52" i="1" s="1"/>
  <c r="AD52" i="1"/>
  <c r="AN52" i="1" s="1"/>
  <c r="AL49" i="1"/>
  <c r="AK49" i="1"/>
  <c r="AJ49" i="1"/>
  <c r="AI49" i="1"/>
  <c r="AH49" i="1"/>
  <c r="AG49" i="1"/>
  <c r="AF49" i="1"/>
  <c r="AP49" i="1" s="1"/>
  <c r="AE49" i="1"/>
  <c r="AO49" i="1" s="1"/>
  <c r="AD49" i="1"/>
  <c r="AN49" i="1" s="1"/>
  <c r="AL46" i="1"/>
  <c r="AK46" i="1"/>
  <c r="AJ46" i="1"/>
  <c r="AI46" i="1"/>
  <c r="AH46" i="1"/>
  <c r="AG46" i="1"/>
  <c r="AF46" i="1"/>
  <c r="AP46" i="1" s="1"/>
  <c r="AE46" i="1"/>
  <c r="AO46" i="1" s="1"/>
  <c r="AD46" i="1"/>
  <c r="AN46" i="1" s="1"/>
  <c r="AL43" i="1"/>
  <c r="AK43" i="1"/>
  <c r="AJ43" i="1"/>
  <c r="AI43" i="1"/>
  <c r="AH43" i="1"/>
  <c r="AG43" i="1"/>
  <c r="AF43" i="1"/>
  <c r="AP43" i="1" s="1"/>
  <c r="AE43" i="1"/>
  <c r="AO43" i="1" s="1"/>
  <c r="AD43" i="1"/>
  <c r="AN43" i="1" s="1"/>
  <c r="AL40" i="1"/>
  <c r="AK40" i="1"/>
  <c r="AJ40" i="1"/>
  <c r="AI40" i="1"/>
  <c r="AH40" i="1"/>
  <c r="AG40" i="1"/>
  <c r="AF40" i="1"/>
  <c r="AP40" i="1" s="1"/>
  <c r="AE40" i="1"/>
  <c r="AO40" i="1" s="1"/>
  <c r="AD40" i="1"/>
  <c r="AN40" i="1" s="1"/>
  <c r="AL35" i="1"/>
  <c r="AK35" i="1"/>
  <c r="AJ35" i="1"/>
  <c r="AI35" i="1"/>
  <c r="AH35" i="1"/>
  <c r="AG35" i="1"/>
  <c r="AF35" i="1"/>
  <c r="AP35" i="1" s="1"/>
  <c r="AE35" i="1"/>
  <c r="AO35" i="1" s="1"/>
  <c r="AD35" i="1"/>
  <c r="AN35" i="1" s="1"/>
  <c r="AL32" i="1"/>
  <c r="AK32" i="1"/>
  <c r="AJ32" i="1"/>
  <c r="AI32" i="1"/>
  <c r="AH32" i="1"/>
  <c r="AG32" i="1"/>
  <c r="AF32" i="1"/>
  <c r="AP32" i="1" s="1"/>
  <c r="AE32" i="1"/>
  <c r="AO32" i="1" s="1"/>
  <c r="AD32" i="1"/>
  <c r="AN32" i="1" s="1"/>
  <c r="AL29" i="1"/>
  <c r="AK29" i="1"/>
  <c r="AJ29" i="1"/>
  <c r="AI29" i="1"/>
  <c r="AH29" i="1"/>
  <c r="AG29" i="1"/>
  <c r="AF29" i="1"/>
  <c r="AP29" i="1" s="1"/>
  <c r="AE29" i="1"/>
  <c r="AO29" i="1" s="1"/>
  <c r="AD29" i="1"/>
  <c r="AN29" i="1" s="1"/>
  <c r="AL26" i="1"/>
  <c r="AK26" i="1"/>
  <c r="AJ26" i="1"/>
  <c r="AI26" i="1"/>
  <c r="AH26" i="1"/>
  <c r="AG26" i="1"/>
  <c r="AF26" i="1"/>
  <c r="AP26" i="1" s="1"/>
  <c r="AE26" i="1"/>
  <c r="AO26" i="1" s="1"/>
  <c r="AD26" i="1"/>
  <c r="AN26" i="1" s="1"/>
  <c r="AL23" i="1"/>
  <c r="AK23" i="1"/>
  <c r="AJ23" i="1"/>
  <c r="AI23" i="1"/>
  <c r="AH23" i="1"/>
  <c r="AG23" i="1"/>
  <c r="AF23" i="1"/>
  <c r="AP23" i="1" s="1"/>
  <c r="AE23" i="1"/>
  <c r="AO23" i="1" s="1"/>
  <c r="AD23" i="1"/>
  <c r="AN23" i="1" s="1"/>
  <c r="AL20" i="1"/>
  <c r="AK20" i="1"/>
  <c r="AJ20" i="1"/>
  <c r="AI20" i="1"/>
  <c r="AH20" i="1"/>
  <c r="AG20" i="1"/>
  <c r="AF20" i="1"/>
  <c r="AP20" i="1" s="1"/>
  <c r="AE20" i="1"/>
  <c r="AO20" i="1" s="1"/>
  <c r="AD20" i="1"/>
  <c r="AN20" i="1" s="1"/>
  <c r="AL17" i="1"/>
  <c r="AK17" i="1"/>
  <c r="AJ17" i="1"/>
  <c r="AI17" i="1"/>
  <c r="AH17" i="1"/>
  <c r="AG17" i="1"/>
  <c r="AF17" i="1"/>
  <c r="AP17" i="1" s="1"/>
  <c r="AE17" i="1"/>
  <c r="AO17" i="1" s="1"/>
  <c r="AD17" i="1"/>
  <c r="AN17" i="1" s="1"/>
  <c r="AL14" i="1"/>
  <c r="AK14" i="1"/>
  <c r="AJ14" i="1"/>
  <c r="AI14" i="1"/>
  <c r="AH14" i="1"/>
  <c r="AG14" i="1"/>
  <c r="AF14" i="1"/>
  <c r="AP14" i="1" s="1"/>
  <c r="AE14" i="1"/>
  <c r="AO14" i="1" s="1"/>
  <c r="AD14" i="1"/>
  <c r="AN14" i="1" s="1"/>
  <c r="AL11" i="1"/>
  <c r="AK11" i="1"/>
  <c r="AJ11" i="1"/>
  <c r="AI11" i="1"/>
  <c r="AH11" i="1"/>
  <c r="AG11" i="1"/>
  <c r="AF11" i="1"/>
  <c r="AP11" i="1" s="1"/>
  <c r="AE11" i="1"/>
  <c r="AO11" i="1" s="1"/>
  <c r="AD11" i="1"/>
  <c r="AN11" i="1" s="1"/>
  <c r="AL8" i="1"/>
  <c r="AK8" i="1"/>
  <c r="AJ8" i="1"/>
  <c r="AI8" i="1"/>
  <c r="AH8" i="1"/>
  <c r="AG8" i="1"/>
  <c r="AF8" i="1"/>
  <c r="AP8" i="1" s="1"/>
  <c r="AE8" i="1"/>
  <c r="AO8" i="1" s="1"/>
  <c r="AD8" i="1"/>
  <c r="AN8" i="1" s="1"/>
  <c r="AL5" i="1"/>
  <c r="AK5" i="1"/>
  <c r="AJ5" i="1"/>
  <c r="AI5" i="1"/>
  <c r="AH5" i="1"/>
  <c r="AG5" i="1"/>
  <c r="AF5" i="1"/>
  <c r="AP5" i="1" s="1"/>
  <c r="AE5" i="1"/>
  <c r="AO5" i="1" s="1"/>
  <c r="AD5" i="1"/>
  <c r="AN5" i="1" s="1"/>
  <c r="AL2" i="1"/>
  <c r="AK2" i="1"/>
  <c r="AJ2" i="1"/>
  <c r="AI2" i="1"/>
  <c r="AH2" i="1"/>
  <c r="AG2" i="1"/>
  <c r="AF2" i="1"/>
  <c r="AP2" i="1" s="1"/>
  <c r="AE2" i="1"/>
  <c r="AO2" i="1" s="1"/>
  <c r="AD2" i="1"/>
  <c r="AN2" i="1" s="1"/>
  <c r="AP268" i="1"/>
  <c r="AN268" i="1"/>
  <c r="AP244" i="1"/>
  <c r="AO244" i="1"/>
  <c r="AN244" i="1"/>
  <c r="AP218" i="1"/>
  <c r="AO218" i="1"/>
  <c r="AN218" i="1"/>
  <c r="AP185" i="1"/>
  <c r="AO185" i="1"/>
  <c r="AN185" i="1"/>
  <c r="AP80" i="1"/>
  <c r="AN80" i="1"/>
  <c r="AP70" i="1"/>
  <c r="AO70" i="1"/>
  <c r="AN70" i="1"/>
  <c r="AP38" i="1"/>
  <c r="AN38" i="1"/>
  <c r="AO269" i="1" l="1"/>
  <c r="AO38" i="1"/>
  <c r="AN189" i="1"/>
  <c r="AN269" i="1" l="1"/>
  <c r="AO189" i="1"/>
  <c r="AP189" i="1"/>
  <c r="AP269" i="1"/>
</calcChain>
</file>

<file path=xl/sharedStrings.xml><?xml version="1.0" encoding="utf-8"?>
<sst xmlns="http://schemas.openxmlformats.org/spreadsheetml/2006/main" count="449" uniqueCount="304">
  <si>
    <t>губ</t>
  </si>
  <si>
    <t>чж NYY</t>
  </si>
  <si>
    <t>чр YY</t>
  </si>
  <si>
    <t>чу YY</t>
  </si>
  <si>
    <t>чж-гор NYY</t>
  </si>
  <si>
    <t>чр-гор YY</t>
  </si>
  <si>
    <t>чу-гор YY</t>
  </si>
  <si>
    <t>ср-чж 1887-1889</t>
  </si>
  <si>
    <t>ср-чр 1887-1889</t>
  </si>
  <si>
    <t>ср-чу 1887-1889</t>
  </si>
  <si>
    <t>уезды</t>
  </si>
  <si>
    <t>v-чж NYY</t>
  </si>
  <si>
    <t>v-чр YY</t>
  </si>
  <si>
    <t>v-чу YY</t>
  </si>
  <si>
    <t>v-чж-гор NYY</t>
  </si>
  <si>
    <t>v-чр-гор YY</t>
  </si>
  <si>
    <t>v-чу-гор YY</t>
  </si>
  <si>
    <t>v-ср-чж 1887-1889</t>
  </si>
  <si>
    <t>v-ср-чр 1887-1889</t>
  </si>
  <si>
    <t>v-ср-чу 1887-1889</t>
  </si>
  <si>
    <t>Архангельская</t>
  </si>
  <si>
    <t>[Архангельская род.]</t>
  </si>
  <si>
    <t>[Архангельская ум.]</t>
  </si>
  <si>
    <t>Астраханская</t>
  </si>
  <si>
    <t>[Астраханская род.]</t>
  </si>
  <si>
    <t>—</t>
  </si>
  <si>
    <t>[Астраханская ум.]</t>
  </si>
  <si>
    <t>Виленская</t>
  </si>
  <si>
    <t>[Виленская род.]</t>
  </si>
  <si>
    <t>[Виленская ум.]</t>
  </si>
  <si>
    <t>Витебская</t>
  </si>
  <si>
    <t>[Витебская род.]</t>
  </si>
  <si>
    <t>[Витебская ум.]</t>
  </si>
  <si>
    <t>Волынская</t>
  </si>
  <si>
    <t>[Волынская род.]</t>
  </si>
  <si>
    <t>[Волынская ум.]</t>
  </si>
  <si>
    <t>Гродненская</t>
  </si>
  <si>
    <t>[Гродненская род.]</t>
  </si>
  <si>
    <t>[Гродненская ум.]</t>
  </si>
  <si>
    <t>Киевская</t>
  </si>
  <si>
    <t>[Киевская род.]</t>
  </si>
  <si>
    <t>[Киевская ум.]</t>
  </si>
  <si>
    <t>Ковенская</t>
  </si>
  <si>
    <t>[Ковенская род.]</t>
  </si>
  <si>
    <t>[Ковенская ум.]</t>
  </si>
  <si>
    <t>Минская</t>
  </si>
  <si>
    <t>[Минская род.]</t>
  </si>
  <si>
    <t>[Минская ум.]</t>
  </si>
  <si>
    <t>Могилевская</t>
  </si>
  <si>
    <t>[Могилевская род.]</t>
  </si>
  <si>
    <t>[Могилевская ум.]</t>
  </si>
  <si>
    <t>Оренбургская</t>
  </si>
  <si>
    <t>[Оренбургская род.]</t>
  </si>
  <si>
    <t>[Оренбургская ум.]</t>
  </si>
  <si>
    <t>Подольская</t>
  </si>
  <si>
    <t>[Подольская род.]</t>
  </si>
  <si>
    <t>[Подольская ум.]</t>
  </si>
  <si>
    <t>Итого в неземских губерниях</t>
  </si>
  <si>
    <t>Г. Варшава</t>
  </si>
  <si>
    <t>Варшавская</t>
  </si>
  <si>
    <t>[Варшавская род.]</t>
  </si>
  <si>
    <t>[Варшавская ум.]</t>
  </si>
  <si>
    <t>Калишская</t>
  </si>
  <si>
    <t>[Калишская род.]</t>
  </si>
  <si>
    <t>[Калишская ум.]</t>
  </si>
  <si>
    <t>Келецкая</t>
  </si>
  <si>
    <t>[Келецкая род.]</t>
  </si>
  <si>
    <t>[Келецкая ум.]</t>
  </si>
  <si>
    <t>Ломжинская</t>
  </si>
  <si>
    <t>[Ломжинская род.]</t>
  </si>
  <si>
    <t>[Ломжинская ум.]</t>
  </si>
  <si>
    <t>Люблинская</t>
  </si>
  <si>
    <t>[Люблинская род.]</t>
  </si>
  <si>
    <t>[Люблинская ум.]</t>
  </si>
  <si>
    <t>Петроковская</t>
  </si>
  <si>
    <t>[Петроковская род.]</t>
  </si>
  <si>
    <t>[Петроковская ум.]</t>
  </si>
  <si>
    <t>Плоцкая</t>
  </si>
  <si>
    <t>[Плоцкая род.]</t>
  </si>
  <si>
    <t>[Плоцкая ум.]</t>
  </si>
  <si>
    <t>Радомская</t>
  </si>
  <si>
    <t>[Радомская род.]</t>
  </si>
  <si>
    <t>[Радомская ум.]</t>
  </si>
  <si>
    <t>Сувалкская</t>
  </si>
  <si>
    <t>[Сувалкская род.]</t>
  </si>
  <si>
    <t>[Сувалкская ум.]</t>
  </si>
  <si>
    <t>Седлецкая</t>
  </si>
  <si>
    <t>[Седлецкая род.]</t>
  </si>
  <si>
    <t>[Седлецкая ум.]</t>
  </si>
  <si>
    <t>Итого в привислинских губерниях</t>
  </si>
  <si>
    <t>Курляндская</t>
  </si>
  <si>
    <t>[Курляндская род.]</t>
  </si>
  <si>
    <t>[Курляндская ум.]</t>
  </si>
  <si>
    <t>Лифляндская</t>
  </si>
  <si>
    <t>[Лифляндская род.]</t>
  </si>
  <si>
    <t>[Лифляндская ум.]</t>
  </si>
  <si>
    <t>Эстляндская</t>
  </si>
  <si>
    <t>[Эстляндская род.]</t>
  </si>
  <si>
    <t>[Эстляндская ум.]</t>
  </si>
  <si>
    <t>Итого в остзейских губерниях</t>
  </si>
  <si>
    <t>Бессарабская</t>
  </si>
  <si>
    <t>[Бессарабская род.]</t>
  </si>
  <si>
    <t>[Бессарабская ум.]</t>
  </si>
  <si>
    <t>Владимирская</t>
  </si>
  <si>
    <t>[Владимирская род.]</t>
  </si>
  <si>
    <t>[Владимирская ум.]</t>
  </si>
  <si>
    <t>Вологодская</t>
  </si>
  <si>
    <t>[Вологодская род.]</t>
  </si>
  <si>
    <t>[Вологодская ум.]</t>
  </si>
  <si>
    <t>Воронежская</t>
  </si>
  <si>
    <t>[Воронежская род.]</t>
  </si>
  <si>
    <t>[Воронежская ум.]</t>
  </si>
  <si>
    <t>Вятская</t>
  </si>
  <si>
    <t>[Вятская род.]</t>
  </si>
  <si>
    <t>[Вятская ум.]</t>
  </si>
  <si>
    <t>Екатеринославская</t>
  </si>
  <si>
    <t>[Екатеринославская род.]</t>
  </si>
  <si>
    <t>[Екатеринославская ум.]</t>
  </si>
  <si>
    <t>Казанская</t>
  </si>
  <si>
    <t>[Казанская род.]</t>
  </si>
  <si>
    <t>[Казанская ум.]</t>
  </si>
  <si>
    <t>Калужская</t>
  </si>
  <si>
    <t>[Калужская род.]</t>
  </si>
  <si>
    <t>[Калужская ум.]</t>
  </si>
  <si>
    <t>Костромская</t>
  </si>
  <si>
    <t>[Костромская род.]</t>
  </si>
  <si>
    <t>[Костромская ум.]</t>
  </si>
  <si>
    <t>Курская</t>
  </si>
  <si>
    <t>[Курская род.]</t>
  </si>
  <si>
    <t>[Курская ум.]</t>
  </si>
  <si>
    <t>Московская</t>
  </si>
  <si>
    <t>[Московская род.]</t>
  </si>
  <si>
    <t>[Московская ум.]</t>
  </si>
  <si>
    <t>Нижегородская</t>
  </si>
  <si>
    <t>[Нижегородская род.]</t>
  </si>
  <si>
    <t>[Нижегородская ум.]</t>
  </si>
  <si>
    <t>Новгородская</t>
  </si>
  <si>
    <t>[Новгородская род.]</t>
  </si>
  <si>
    <t>[Новгородская ум.]</t>
  </si>
  <si>
    <t>Олонецкая</t>
  </si>
  <si>
    <t>[Олонецкая род.]</t>
  </si>
  <si>
    <t>[Олонецкая ум.]</t>
  </si>
  <si>
    <t>Орловская</t>
  </si>
  <si>
    <t>[Орловская род.]</t>
  </si>
  <si>
    <t>[Орловская ум.]</t>
  </si>
  <si>
    <t>Пензенская</t>
  </si>
  <si>
    <t>[Пензенская род.]</t>
  </si>
  <si>
    <t>[Пензенская ум.]</t>
  </si>
  <si>
    <t>Пермская</t>
  </si>
  <si>
    <t>[Пермская род.]</t>
  </si>
  <si>
    <t>[Пермская ум.]</t>
  </si>
  <si>
    <t>Полтавская</t>
  </si>
  <si>
    <t>[Полтавская род.]</t>
  </si>
  <si>
    <t>[Полтавская ум.]</t>
  </si>
  <si>
    <t>Псковская</t>
  </si>
  <si>
    <t>[Псковская род.]</t>
  </si>
  <si>
    <t>[Псковская ум.]</t>
  </si>
  <si>
    <t>Рязанская</t>
  </si>
  <si>
    <t>[Рязанская род.]</t>
  </si>
  <si>
    <t>[Рязанская ум.]</t>
  </si>
  <si>
    <t>Самарская</t>
  </si>
  <si>
    <t>[Самарская род.]</t>
  </si>
  <si>
    <t>[Самарская ум.]</t>
  </si>
  <si>
    <t>Г. Москва</t>
  </si>
  <si>
    <t>Г. С.-Петербург</t>
  </si>
  <si>
    <t>С.-Петербургская</t>
  </si>
  <si>
    <t>[С.-Петербургская род.]</t>
  </si>
  <si>
    <t>[С.-Петербургская ум.]</t>
  </si>
  <si>
    <t>Саратовская</t>
  </si>
  <si>
    <t>[Саратовская род.]</t>
  </si>
  <si>
    <t>[Саратовская ум.]</t>
  </si>
  <si>
    <t>Симбирская</t>
  </si>
  <si>
    <t>[Симбирская род.]</t>
  </si>
  <si>
    <t>[Симбирская ум.]</t>
  </si>
  <si>
    <t>Смоленская</t>
  </si>
  <si>
    <t>[Смоленская род.]</t>
  </si>
  <si>
    <t>[Смоленская ум.]</t>
  </si>
  <si>
    <t>Таврическая</t>
  </si>
  <si>
    <t>[Таврическая род.]</t>
  </si>
  <si>
    <t>[Таврическая ум.]</t>
  </si>
  <si>
    <t>Тамбовская</t>
  </si>
  <si>
    <t>[Тамбовская род.]</t>
  </si>
  <si>
    <t>[Тамбовская ум.]</t>
  </si>
  <si>
    <t>Тверская</t>
  </si>
  <si>
    <t>[Тверская род.]</t>
  </si>
  <si>
    <t>[Тверская ум.]</t>
  </si>
  <si>
    <t>Тульская</t>
  </si>
  <si>
    <t>[Тульская род.]</t>
  </si>
  <si>
    <t>[Тульская ум.]</t>
  </si>
  <si>
    <t>Уфимская</t>
  </si>
  <si>
    <t>[Уфимская род.]</t>
  </si>
  <si>
    <t>[Уфимская ум.]</t>
  </si>
  <si>
    <t>Харьковская</t>
  </si>
  <si>
    <t>[Харьковская род.]</t>
  </si>
  <si>
    <t>[Харьковская ум.]</t>
  </si>
  <si>
    <t>Херсонская</t>
  </si>
  <si>
    <t>[Херсонская род.]</t>
  </si>
  <si>
    <t>[Херсонская ум.]</t>
  </si>
  <si>
    <t>Черниговская</t>
  </si>
  <si>
    <t>[Черниговская род.]</t>
  </si>
  <si>
    <t>[Черниговская ум.]</t>
  </si>
  <si>
    <t>Ярославская</t>
  </si>
  <si>
    <t>[Ярославская род.]</t>
  </si>
  <si>
    <t>[Ярославская ум.]</t>
  </si>
  <si>
    <t>Итого в земских губерниях</t>
  </si>
  <si>
    <t>Область Войска Донского</t>
  </si>
  <si>
    <t>[Область Войска Донского род.]</t>
  </si>
  <si>
    <t>[Область Войска Донского ум.]</t>
  </si>
  <si>
    <t>Итого в Европейской России</t>
  </si>
  <si>
    <t>Бакинская</t>
  </si>
  <si>
    <t>[Бакинская род.]</t>
  </si>
  <si>
    <t>[Бакинская ум.]</t>
  </si>
  <si>
    <t>Дагестанская</t>
  </si>
  <si>
    <t>[Дагестанская род.]</t>
  </si>
  <si>
    <t>[Дагестанская ум.]</t>
  </si>
  <si>
    <t>Елисаветпольская</t>
  </si>
  <si>
    <t>[Елисаветпольская род.]</t>
  </si>
  <si>
    <t>[Елисаветпольская ум.]</t>
  </si>
  <si>
    <t>Карсская область</t>
  </si>
  <si>
    <t>Кубанская</t>
  </si>
  <si>
    <t>[Кубанская род.]</t>
  </si>
  <si>
    <t>[Кубанская ум.]</t>
  </si>
  <si>
    <t>Кутаисская</t>
  </si>
  <si>
    <t>[Кутаисская род.]</t>
  </si>
  <si>
    <t>[Кутаисская ум.]</t>
  </si>
  <si>
    <t>Ставропольская</t>
  </si>
  <si>
    <t>[Ставропольская род.]</t>
  </si>
  <si>
    <t>[Ставропольская ум.]</t>
  </si>
  <si>
    <t>Терская</t>
  </si>
  <si>
    <t>[Терская род.]</t>
  </si>
  <si>
    <t>[Терская ум.]</t>
  </si>
  <si>
    <t>Тифлисская</t>
  </si>
  <si>
    <t>[Тифлисская род.]</t>
  </si>
  <si>
    <t>[Тифлисская ум.]</t>
  </si>
  <si>
    <t>Эриванская</t>
  </si>
  <si>
    <t>[Эриванская род.]</t>
  </si>
  <si>
    <t>[Эриванская ум.]</t>
  </si>
  <si>
    <t>Итого на Кавказе</t>
  </si>
  <si>
    <t>Амурская область</t>
  </si>
  <si>
    <t>Енисейская</t>
  </si>
  <si>
    <t>[Енисейская род.]</t>
  </si>
  <si>
    <t>[Енисейская ум.]</t>
  </si>
  <si>
    <t>Забайкальская</t>
  </si>
  <si>
    <t>[Забайкальская род.]</t>
  </si>
  <si>
    <t>[Забайкальская ум.]</t>
  </si>
  <si>
    <t>Иркутская</t>
  </si>
  <si>
    <t>[Иркутская род.]</t>
  </si>
  <si>
    <t>[Иркутская ум.]</t>
  </si>
  <si>
    <t>Приморская</t>
  </si>
  <si>
    <t>[Приморская род.]</t>
  </si>
  <si>
    <t>[Приморская ум.]</t>
  </si>
  <si>
    <t>Тобольская</t>
  </si>
  <si>
    <t>[Тобольская род.]</t>
  </si>
  <si>
    <t>[Тобольская ум.]</t>
  </si>
  <si>
    <t>Томская</t>
  </si>
  <si>
    <t>[Томская род.]</t>
  </si>
  <si>
    <t>[Томская ум.]</t>
  </si>
  <si>
    <t>Якутская</t>
  </si>
  <si>
    <t>[Якутская род.]</t>
  </si>
  <si>
    <t>[Якутская ум.]</t>
  </si>
  <si>
    <t>Сахалинская</t>
  </si>
  <si>
    <t>[Сахалинская род.]</t>
  </si>
  <si>
    <t>[Сахалинская ум.]</t>
  </si>
  <si>
    <t>Итого в Сибири</t>
  </si>
  <si>
    <t>Акмолинская</t>
  </si>
  <si>
    <t>Закаспийская область</t>
  </si>
  <si>
    <t>Самаркандская</t>
  </si>
  <si>
    <t>[Самаркандская род.]</t>
  </si>
  <si>
    <t>[Самаркандская ум.]</t>
  </si>
  <si>
    <t>Семипалатинская</t>
  </si>
  <si>
    <t>[Семипалатинская род.]</t>
  </si>
  <si>
    <t>[Семипалатинская ум.]</t>
  </si>
  <si>
    <t>Семиреченская</t>
  </si>
  <si>
    <t>[Семиреченская род.]</t>
  </si>
  <si>
    <t>[Семиреченская ум.]</t>
  </si>
  <si>
    <t>Сыр-Дарьинская</t>
  </si>
  <si>
    <t>[Сыр-Дарьинская род.]</t>
  </si>
  <si>
    <t>[Сыр-Дарьинская ум.]</t>
  </si>
  <si>
    <t>Тургайская</t>
  </si>
  <si>
    <t>[Тургайская род.]</t>
  </si>
  <si>
    <t>[Тургайская ум.]</t>
  </si>
  <si>
    <t>Уральская</t>
  </si>
  <si>
    <t>[Уральская род.]</t>
  </si>
  <si>
    <t>[Уральская ум.]</t>
  </si>
  <si>
    <t>Ферганская</t>
  </si>
  <si>
    <t>[Ферганская род.]</t>
  </si>
  <si>
    <t>[Ферганская ум.]</t>
  </si>
  <si>
    <t>Итого в средне-азиатских областях</t>
  </si>
  <si>
    <t>Итого во всей Империи</t>
  </si>
  <si>
    <t>р YY</t>
  </si>
  <si>
    <t>с YY</t>
  </si>
  <si>
    <t>v-р</t>
  </si>
  <si>
    <t>v-с</t>
  </si>
  <si>
    <t>vd-чж NYY</t>
  </si>
  <si>
    <t>vd-чр YY</t>
  </si>
  <si>
    <t>vd-чу YY</t>
  </si>
  <si>
    <t>vd-чж-гор</t>
  </si>
  <si>
    <t>vd-чр-гор</t>
  </si>
  <si>
    <t>vd-р</t>
  </si>
  <si>
    <t>vd-с</t>
  </si>
  <si>
    <t>vd-ср-чу 1887-1889</t>
  </si>
  <si>
    <t>vd-ср-чр 1887-1889</t>
  </si>
  <si>
    <t>vd-ср-чж 1887-1889</t>
  </si>
  <si>
    <t>vd-чу-гор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</si>
</sst>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name val="Carlito"/>
    </font>
    <font>
      <b/>
      <sz val="11"/>
      <name val="Calibri"/>
    </font>
    <font>
      <sz val="11"/>
      <name val="Calibri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8" tint="0.79992065187536243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/>
    <xf numFmtId="3" fontId="2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0" fontId="2" fillId="3" borderId="0" xfId="0" applyFont="1" applyFill="1" applyAlignment="1">
      <alignment horizontal="left"/>
    </xf>
    <xf numFmtId="3" fontId="2" fillId="3" borderId="0" xfId="0" applyNumberFormat="1" applyFont="1" applyFill="1" applyAlignment="1">
      <alignment horizontal="right"/>
    </xf>
    <xf numFmtId="0" fontId="2" fillId="3" borderId="0" xfId="0" applyFont="1" applyFill="1"/>
    <xf numFmtId="3" fontId="2" fillId="3" borderId="0" xfId="0" applyNumberFormat="1" applyFont="1" applyFill="1"/>
    <xf numFmtId="3" fontId="2" fillId="3" borderId="0" xfId="0" applyNumberFormat="1" applyFont="1" applyFill="1" applyAlignment="1">
      <alignment horizontal="center"/>
    </xf>
    <xf numFmtId="0" fontId="2" fillId="4" borderId="0" xfId="0" applyFont="1" applyFill="1" applyAlignment="1">
      <alignment horizontal="left"/>
    </xf>
    <xf numFmtId="3" fontId="2" fillId="4" borderId="0" xfId="0" applyNumberFormat="1" applyFont="1" applyFill="1" applyAlignment="1">
      <alignment horizontal="right"/>
    </xf>
    <xf numFmtId="0" fontId="2" fillId="4" borderId="0" xfId="0" applyFont="1" applyFill="1"/>
    <xf numFmtId="3" fontId="2" fillId="4" borderId="0" xfId="0" applyNumberFormat="1" applyFont="1" applyFill="1"/>
    <xf numFmtId="3" fontId="2" fillId="4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3" fontId="0" fillId="0" borderId="0" xfId="0" applyNumberFormat="1" applyAlignment="1">
      <alignment horizontal="right"/>
    </xf>
    <xf numFmtId="0" fontId="2" fillId="3" borderId="0" xfId="0" applyFont="1" applyFill="1" applyAlignment="1">
      <alignment horizontal="left" vertical="center"/>
    </xf>
    <xf numFmtId="3" fontId="2" fillId="3" borderId="0" xfId="0" applyNumberFormat="1" applyFont="1" applyFill="1" applyAlignment="1">
      <alignment horizontal="right" vertical="center"/>
    </xf>
    <xf numFmtId="3" fontId="2" fillId="3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center" vertical="center"/>
    </xf>
    <xf numFmtId="0" fontId="2" fillId="4" borderId="0" xfId="0" applyFont="1" applyFill="1" applyAlignment="1">
      <alignment horizontal="left" vertical="center"/>
    </xf>
    <xf numFmtId="3" fontId="2" fillId="4" borderId="0" xfId="0" applyNumberFormat="1" applyFont="1" applyFill="1" applyAlignment="1">
      <alignment horizontal="right" vertical="center"/>
    </xf>
    <xf numFmtId="0" fontId="3" fillId="2" borderId="0" xfId="0" applyFont="1" applyFill="1" applyAlignment="1">
      <alignment horizontal="center" wrapText="1"/>
    </xf>
    <xf numFmtId="164" fontId="4" fillId="0" borderId="0" xfId="0" applyNumberFormat="1" applyFont="1" applyAlignment="1">
      <alignment horizontal="center"/>
    </xf>
    <xf numFmtId="0" fontId="4" fillId="0" borderId="0" xfId="0" applyFont="1"/>
    <xf numFmtId="164" fontId="4" fillId="5" borderId="0" xfId="0" applyNumberFormat="1" applyFont="1" applyFill="1" applyAlignment="1">
      <alignment horizontal="center"/>
    </xf>
    <xf numFmtId="164" fontId="4" fillId="6" borderId="0" xfId="0" applyNumberFormat="1" applyFont="1" applyFill="1" applyAlignment="1">
      <alignment horizontal="center"/>
    </xf>
    <xf numFmtId="164" fontId="4" fillId="7" borderId="0" xfId="0" applyNumberFormat="1" applyFont="1" applyFill="1" applyAlignment="1">
      <alignment horizontal="center"/>
    </xf>
    <xf numFmtId="3" fontId="2" fillId="5" borderId="0" xfId="0" applyNumberFormat="1" applyFont="1" applyFill="1" applyAlignment="1">
      <alignment horizontal="right"/>
    </xf>
    <xf numFmtId="3" fontId="2" fillId="5" borderId="0" xfId="0" applyNumberFormat="1" applyFont="1" applyFill="1" applyAlignment="1">
      <alignment horizontal="center"/>
    </xf>
    <xf numFmtId="0" fontId="1" fillId="8" borderId="0" xfId="0" applyFont="1" applyFill="1" applyAlignment="1">
      <alignment horizontal="center" vertical="center" wrapText="1"/>
    </xf>
    <xf numFmtId="0" fontId="0" fillId="8" borderId="0" xfId="0" applyFill="1"/>
    <xf numFmtId="0" fontId="0" fillId="8" borderId="0" xfId="0" applyFill="1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Fill="1" applyAlignment="1">
      <alignment vertical="center"/>
    </xf>
    <xf numFmtId="0" fontId="2" fillId="0" borderId="0" xfId="0" applyFont="1" applyFill="1"/>
    <xf numFmtId="3" fontId="0" fillId="0" borderId="0" xfId="0" applyNumberFormat="1" applyFill="1" applyAlignment="1">
      <alignment horizontal="right"/>
    </xf>
    <xf numFmtId="0" fontId="0" fillId="0" borderId="0" xfId="0" applyFill="1"/>
    <xf numFmtId="3" fontId="2" fillId="0" borderId="0" xfId="0" applyNumberFormat="1" applyFont="1" applyFill="1"/>
    <xf numFmtId="0" fontId="2" fillId="5" borderId="0" xfId="0" applyFont="1" applyFill="1"/>
    <xf numFmtId="3" fontId="2" fillId="5" borderId="0" xfId="0" applyNumberFormat="1" applyFont="1" applyFill="1"/>
    <xf numFmtId="0" fontId="5" fillId="2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164" fontId="2" fillId="3" borderId="0" xfId="0" applyNumberFormat="1" applyFont="1" applyFill="1"/>
    <xf numFmtId="164" fontId="2" fillId="0" borderId="0" xfId="0" applyNumberFormat="1" applyFont="1" applyFill="1"/>
    <xf numFmtId="0" fontId="2" fillId="5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69"/>
  <sheetViews>
    <sheetView tabSelected="1" workbookViewId="0">
      <pane xSplit="1" ySplit="1" topLeftCell="B152" activePane="bottomRight" state="frozen"/>
      <selection pane="topRight" activeCell="B1" sqref="B1"/>
      <selection pane="bottomLeft" activeCell="A2" sqref="A2"/>
      <selection pane="bottomRight" activeCell="AF170" sqref="AF170"/>
    </sheetView>
  </sheetViews>
  <sheetFormatPr defaultRowHeight="14.4" x14ac:dyDescent="0.55000000000000004"/>
  <cols>
    <col min="1" max="1" width="30.734375" bestFit="1" customWidth="1"/>
    <col min="2" max="2" width="10.62890625" bestFit="1" customWidth="1"/>
    <col min="3" max="4" width="8.62890625" bestFit="1" customWidth="1"/>
    <col min="5" max="5" width="9.62890625" bestFit="1" customWidth="1"/>
    <col min="6" max="7" width="7.15625" bestFit="1" customWidth="1"/>
    <col min="8" max="8" width="10.62890625" bestFit="1" customWidth="1"/>
    <col min="9" max="9" width="10.1015625" bestFit="1" customWidth="1"/>
    <col min="10" max="10" width="10" bestFit="1" customWidth="1"/>
    <col min="11" max="11" width="4.41796875" style="29" bestFit="1" customWidth="1"/>
    <col min="12" max="12" width="4.15625" style="29" bestFit="1" customWidth="1"/>
    <col min="13" max="13" width="2.47265625" customWidth="1"/>
    <col min="14" max="27" width="7.15625" bestFit="1" customWidth="1"/>
    <col min="28" max="28" width="7.68359375" bestFit="1" customWidth="1"/>
    <col min="29" max="29" width="2.9453125" style="42" customWidth="1"/>
    <col min="30" max="30" width="10.62890625" bestFit="1" customWidth="1"/>
    <col min="31" max="32" width="8.62890625" bestFit="1" customWidth="1"/>
    <col min="33" max="33" width="12.05078125" bestFit="1" customWidth="1"/>
    <col min="34" max="34" width="10" bestFit="1" customWidth="1"/>
    <col min="35" max="35" width="10.20703125" bestFit="1" customWidth="1"/>
    <col min="36" max="36" width="16.05078125" bestFit="1" customWidth="1"/>
    <col min="37" max="37" width="15.68359375" bestFit="1" customWidth="1"/>
    <col min="38" max="38" width="15.578125" bestFit="1" customWidth="1"/>
    <col min="39" max="39" width="4.3671875" style="42" customWidth="1"/>
    <col min="40" max="40" width="9.89453125" bestFit="1" customWidth="1"/>
    <col min="41" max="42" width="9.20703125" bestFit="1" customWidth="1"/>
    <col min="43" max="43" width="3.20703125" style="42" customWidth="1"/>
    <col min="44" max="45" width="4.15625" bestFit="1" customWidth="1"/>
    <col min="46" max="46" width="3.3125" style="42" customWidth="1"/>
    <col min="47" max="47" width="5.20703125" bestFit="1" customWidth="1"/>
    <col min="48" max="48" width="4.9453125" bestFit="1" customWidth="1"/>
    <col min="49" max="49" width="2.7890625" style="42" customWidth="1"/>
    <col min="50" max="50" width="9.9453125" bestFit="1" customWidth="1"/>
    <col min="51" max="51" width="9.5234375" bestFit="1" customWidth="1"/>
    <col min="52" max="52" width="9.41796875" bestFit="1" customWidth="1"/>
    <col min="53" max="53" width="17.734375" bestFit="1" customWidth="1"/>
    <col min="54" max="54" width="17.3671875" bestFit="1" customWidth="1"/>
    <col min="55" max="55" width="17.26171875" bestFit="1" customWidth="1"/>
  </cols>
  <sheetData>
    <row r="1" spans="1:55" ht="11.5" customHeight="1" x14ac:dyDescent="0.55000000000000004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27" t="s">
        <v>289</v>
      </c>
      <c r="L1" s="27" t="s">
        <v>290</v>
      </c>
      <c r="M1" s="17"/>
      <c r="N1" s="35" t="s">
        <v>10</v>
      </c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7"/>
      <c r="AC1" s="39"/>
      <c r="AD1" s="16" t="s">
        <v>11</v>
      </c>
      <c r="AE1" s="16" t="s">
        <v>12</v>
      </c>
      <c r="AF1" s="16" t="s">
        <v>13</v>
      </c>
      <c r="AG1" s="16" t="s">
        <v>14</v>
      </c>
      <c r="AH1" s="16" t="s">
        <v>15</v>
      </c>
      <c r="AI1" s="16" t="s">
        <v>16</v>
      </c>
      <c r="AJ1" s="16" t="s">
        <v>17</v>
      </c>
      <c r="AK1" s="16" t="s">
        <v>18</v>
      </c>
      <c r="AL1" s="16" t="s">
        <v>19</v>
      </c>
      <c r="AN1" s="46" t="s">
        <v>293</v>
      </c>
      <c r="AO1" s="46" t="s">
        <v>294</v>
      </c>
      <c r="AP1" s="46" t="s">
        <v>295</v>
      </c>
      <c r="AQ1" s="47"/>
      <c r="AR1" s="46" t="s">
        <v>291</v>
      </c>
      <c r="AS1" s="46" t="s">
        <v>292</v>
      </c>
      <c r="AT1" s="47"/>
      <c r="AU1" s="46" t="s">
        <v>298</v>
      </c>
      <c r="AV1" s="46" t="s">
        <v>299</v>
      </c>
      <c r="AW1" s="47"/>
      <c r="AX1" s="46" t="s">
        <v>296</v>
      </c>
      <c r="AY1" s="46" t="s">
        <v>297</v>
      </c>
      <c r="AZ1" s="46" t="s">
        <v>303</v>
      </c>
      <c r="BA1" s="46" t="s">
        <v>302</v>
      </c>
      <c r="BB1" s="46" t="s">
        <v>301</v>
      </c>
      <c r="BC1" s="46" t="s">
        <v>300</v>
      </c>
    </row>
    <row r="2" spans="1:55" s="8" customFormat="1" x14ac:dyDescent="0.55000000000000004">
      <c r="A2" s="6" t="s">
        <v>20</v>
      </c>
      <c r="B2" s="7">
        <v>354411</v>
      </c>
      <c r="C2" s="7">
        <v>13729</v>
      </c>
      <c r="D2" s="7">
        <v>10318</v>
      </c>
      <c r="E2" s="7">
        <v>28715</v>
      </c>
      <c r="F2" s="7">
        <v>947</v>
      </c>
      <c r="G2" s="7">
        <v>922</v>
      </c>
      <c r="H2" s="7">
        <v>345874</v>
      </c>
      <c r="I2" s="7">
        <v>13342</v>
      </c>
      <c r="J2" s="7">
        <v>8283</v>
      </c>
      <c r="K2" s="31">
        <v>38.700000000000003</v>
      </c>
      <c r="L2" s="31">
        <v>29.1</v>
      </c>
      <c r="M2" s="3"/>
      <c r="N2" s="7">
        <v>53432</v>
      </c>
      <c r="O2" s="7">
        <v>44162</v>
      </c>
      <c r="P2" s="7">
        <v>15542</v>
      </c>
      <c r="Q2" s="7">
        <v>51652</v>
      </c>
      <c r="R2" s="7">
        <v>39775</v>
      </c>
      <c r="S2" s="7">
        <v>28823</v>
      </c>
      <c r="T2" s="7">
        <v>39380</v>
      </c>
      <c r="U2" s="7">
        <v>81645</v>
      </c>
      <c r="V2" s="7"/>
      <c r="W2" s="7"/>
      <c r="X2" s="7"/>
      <c r="Y2" s="7"/>
      <c r="Z2" s="7"/>
      <c r="AA2" s="7"/>
      <c r="AC2" s="40"/>
      <c r="AD2" s="9">
        <f>SUM(N2:AB2)</f>
        <v>354411</v>
      </c>
      <c r="AE2" s="9">
        <f>SUM(N3:AB3)</f>
        <v>13729</v>
      </c>
      <c r="AF2" s="9">
        <f>SUM(N4:AB4)</f>
        <v>10318</v>
      </c>
      <c r="AG2" s="9">
        <f>E2</f>
        <v>28715</v>
      </c>
      <c r="AH2" s="9">
        <f>F2</f>
        <v>947</v>
      </c>
      <c r="AI2" s="9">
        <f>G2</f>
        <v>922</v>
      </c>
      <c r="AJ2" s="9">
        <f>H2</f>
        <v>345874</v>
      </c>
      <c r="AK2" s="9">
        <f>I2</f>
        <v>13342</v>
      </c>
      <c r="AL2" s="9">
        <f>J2</f>
        <v>8283</v>
      </c>
      <c r="AM2" s="40"/>
      <c r="AN2" s="9">
        <f>AD2-B2</f>
        <v>0</v>
      </c>
      <c r="AO2" s="9">
        <f>AE2-C2</f>
        <v>0</v>
      </c>
      <c r="AP2" s="9">
        <f>AF2-D2</f>
        <v>0</v>
      </c>
      <c r="AQ2" s="43"/>
      <c r="AR2" s="48">
        <f>C2/B2*1000</f>
        <v>38.737510968903337</v>
      </c>
      <c r="AS2" s="48">
        <f>D2/B2*1000</f>
        <v>29.113091862272899</v>
      </c>
      <c r="AT2" s="49"/>
      <c r="AU2" s="48">
        <f>AR2-K2</f>
        <v>3.7510968903333719E-2</v>
      </c>
      <c r="AV2" s="48">
        <f>AS2-L2</f>
        <v>1.3091862272897714E-2</v>
      </c>
      <c r="AW2" s="43"/>
    </row>
    <row r="3" spans="1:55" s="2" customFormat="1" x14ac:dyDescent="0.55000000000000004">
      <c r="A3" s="1" t="s">
        <v>21</v>
      </c>
      <c r="B3" s="3"/>
      <c r="C3" s="3"/>
      <c r="D3" s="3"/>
      <c r="E3" s="3"/>
      <c r="F3" s="3"/>
      <c r="G3" s="3"/>
      <c r="H3" s="3"/>
      <c r="I3" s="3"/>
      <c r="J3" s="3"/>
      <c r="K3" s="28"/>
      <c r="L3" s="28"/>
      <c r="M3" s="3"/>
      <c r="N3" s="3">
        <v>1946</v>
      </c>
      <c r="O3" s="3">
        <v>1262</v>
      </c>
      <c r="P3" s="3">
        <v>371</v>
      </c>
      <c r="Q3" s="3">
        <v>2378</v>
      </c>
      <c r="R3" s="3">
        <v>1564</v>
      </c>
      <c r="S3" s="3">
        <v>1284</v>
      </c>
      <c r="T3" s="3">
        <v>1660</v>
      </c>
      <c r="U3" s="3">
        <v>3264</v>
      </c>
      <c r="V3" s="3"/>
      <c r="W3" s="3"/>
      <c r="X3" s="3"/>
      <c r="Y3" s="3"/>
      <c r="Z3" s="3"/>
      <c r="AA3" s="3"/>
      <c r="AC3" s="40"/>
      <c r="AM3" s="40"/>
      <c r="AQ3" s="40"/>
      <c r="AT3" s="40"/>
      <c r="AW3" s="40"/>
    </row>
    <row r="4" spans="1:55" s="2" customFormat="1" x14ac:dyDescent="0.55000000000000004">
      <c r="A4" s="1" t="s">
        <v>22</v>
      </c>
      <c r="B4" s="3"/>
      <c r="C4" s="3"/>
      <c r="D4" s="3"/>
      <c r="E4" s="3"/>
      <c r="F4" s="3"/>
      <c r="G4" s="3"/>
      <c r="H4" s="3"/>
      <c r="I4" s="3"/>
      <c r="J4" s="3"/>
      <c r="K4" s="28"/>
      <c r="L4" s="28"/>
      <c r="M4" s="3"/>
      <c r="N4" s="3">
        <v>1691</v>
      </c>
      <c r="O4" s="3">
        <v>614</v>
      </c>
      <c r="P4" s="3">
        <v>258</v>
      </c>
      <c r="Q4" s="3">
        <v>1879</v>
      </c>
      <c r="R4" s="3">
        <v>1221</v>
      </c>
      <c r="S4" s="3">
        <v>875</v>
      </c>
      <c r="T4" s="3">
        <v>1228</v>
      </c>
      <c r="U4" s="3">
        <v>2552</v>
      </c>
      <c r="V4" s="3"/>
      <c r="W4" s="3"/>
      <c r="X4" s="3"/>
      <c r="Y4" s="3"/>
      <c r="Z4" s="3"/>
      <c r="AA4" s="3"/>
      <c r="AC4" s="40"/>
      <c r="AM4" s="40"/>
      <c r="AQ4" s="40"/>
      <c r="AT4" s="40"/>
      <c r="AW4" s="40"/>
    </row>
    <row r="5" spans="1:55" s="8" customFormat="1" x14ac:dyDescent="0.55000000000000004">
      <c r="A5" s="6" t="s">
        <v>23</v>
      </c>
      <c r="B5" s="7">
        <v>878991</v>
      </c>
      <c r="C5" s="7">
        <v>29427</v>
      </c>
      <c r="D5" s="7">
        <v>21582</v>
      </c>
      <c r="E5" s="7">
        <v>111080</v>
      </c>
      <c r="F5" s="7">
        <v>5106</v>
      </c>
      <c r="G5" s="7">
        <v>5038</v>
      </c>
      <c r="H5" s="7">
        <v>867265</v>
      </c>
      <c r="I5" s="7">
        <v>27797</v>
      </c>
      <c r="J5" s="7">
        <v>19234</v>
      </c>
      <c r="K5" s="31">
        <v>56.9</v>
      </c>
      <c r="L5" s="31">
        <v>41.7</v>
      </c>
      <c r="M5" s="3"/>
      <c r="N5" s="7">
        <v>151523</v>
      </c>
      <c r="O5" s="7">
        <v>68801</v>
      </c>
      <c r="P5" s="7">
        <v>32856</v>
      </c>
      <c r="Q5" s="7">
        <v>87135</v>
      </c>
      <c r="R5" s="7">
        <v>177177</v>
      </c>
      <c r="S5" s="7">
        <v>141647</v>
      </c>
      <c r="T5" s="7">
        <v>219852</v>
      </c>
      <c r="U5" s="7"/>
      <c r="V5" s="7"/>
      <c r="W5" s="7"/>
      <c r="X5" s="7"/>
      <c r="Y5" s="7"/>
      <c r="Z5" s="7"/>
      <c r="AA5" s="7"/>
      <c r="AC5" s="40"/>
      <c r="AD5" s="9">
        <f>SUM(N5:AB5)</f>
        <v>878991</v>
      </c>
      <c r="AE5" s="9">
        <f>SUM(N6:AB6)</f>
        <v>29427</v>
      </c>
      <c r="AF5" s="9">
        <f>SUM(N7:AB7)</f>
        <v>21582</v>
      </c>
      <c r="AG5" s="9">
        <f>E5</f>
        <v>111080</v>
      </c>
      <c r="AH5" s="9">
        <f>F5</f>
        <v>5106</v>
      </c>
      <c r="AI5" s="9">
        <f>G5</f>
        <v>5038</v>
      </c>
      <c r="AJ5" s="9">
        <f>H5</f>
        <v>867265</v>
      </c>
      <c r="AK5" s="9">
        <f>I5</f>
        <v>27797</v>
      </c>
      <c r="AL5" s="9">
        <f>J5</f>
        <v>19234</v>
      </c>
      <c r="AM5" s="40"/>
      <c r="AN5" s="9">
        <f>AD5-B5</f>
        <v>0</v>
      </c>
      <c r="AO5" s="9">
        <f>AE5-C5</f>
        <v>0</v>
      </c>
      <c r="AP5" s="9">
        <f>AF5-D5</f>
        <v>0</v>
      </c>
      <c r="AQ5" s="43"/>
      <c r="AR5" s="48">
        <f>C5/B5*1000</f>
        <v>33.478158479438356</v>
      </c>
      <c r="AS5" s="48">
        <f>D5/B5*1000</f>
        <v>24.553152421355851</v>
      </c>
      <c r="AT5" s="49"/>
      <c r="AU5" s="48">
        <f>AR5-K5</f>
        <v>-23.421841520561642</v>
      </c>
      <c r="AV5" s="48">
        <f>AS5-L5</f>
        <v>-17.146847578644152</v>
      </c>
      <c r="AW5" s="43"/>
    </row>
    <row r="6" spans="1:55" s="2" customFormat="1" x14ac:dyDescent="0.55000000000000004">
      <c r="A6" s="1" t="s">
        <v>24</v>
      </c>
      <c r="B6" s="3"/>
      <c r="C6" s="3"/>
      <c r="D6" s="3"/>
      <c r="E6" s="3"/>
      <c r="F6" s="3"/>
      <c r="G6" s="3"/>
      <c r="H6" s="3"/>
      <c r="I6" s="3"/>
      <c r="J6" s="3"/>
      <c r="K6" s="28"/>
      <c r="L6" s="28"/>
      <c r="M6" s="3"/>
      <c r="N6" s="3">
        <v>7987</v>
      </c>
      <c r="O6" s="3">
        <v>3987</v>
      </c>
      <c r="P6" s="3">
        <v>1695</v>
      </c>
      <c r="Q6" s="3">
        <v>5435</v>
      </c>
      <c r="R6" s="3">
        <v>10323</v>
      </c>
      <c r="S6" s="4" t="s">
        <v>25</v>
      </c>
      <c r="T6" s="4" t="s">
        <v>25</v>
      </c>
      <c r="U6" s="3"/>
      <c r="V6" s="3"/>
      <c r="W6" s="3"/>
      <c r="X6" s="3"/>
      <c r="Y6" s="3"/>
      <c r="Z6" s="3"/>
      <c r="AA6" s="3"/>
      <c r="AC6" s="40"/>
      <c r="AM6" s="40"/>
      <c r="AQ6" s="40"/>
      <c r="AT6" s="40"/>
      <c r="AW6" s="40"/>
    </row>
    <row r="7" spans="1:55" s="2" customFormat="1" x14ac:dyDescent="0.55000000000000004">
      <c r="A7" s="1" t="s">
        <v>26</v>
      </c>
      <c r="B7" s="3"/>
      <c r="C7" s="3"/>
      <c r="D7" s="3"/>
      <c r="E7" s="3"/>
      <c r="F7" s="3"/>
      <c r="G7" s="3"/>
      <c r="H7" s="3"/>
      <c r="I7" s="3"/>
      <c r="J7" s="3"/>
      <c r="K7" s="28"/>
      <c r="L7" s="28"/>
      <c r="M7" s="3"/>
      <c r="N7" s="3">
        <v>7564</v>
      </c>
      <c r="O7" s="3">
        <v>2376</v>
      </c>
      <c r="P7" s="3">
        <v>1475</v>
      </c>
      <c r="Q7" s="3">
        <v>2808</v>
      </c>
      <c r="R7" s="3">
        <v>7359</v>
      </c>
      <c r="S7" s="4" t="s">
        <v>25</v>
      </c>
      <c r="T7" s="4" t="s">
        <v>25</v>
      </c>
      <c r="U7" s="3"/>
      <c r="V7" s="3"/>
      <c r="W7" s="3"/>
      <c r="X7" s="3"/>
      <c r="Y7" s="3"/>
      <c r="Z7" s="3"/>
      <c r="AA7" s="3"/>
      <c r="AC7" s="40"/>
      <c r="AM7" s="40"/>
      <c r="AQ7" s="40"/>
      <c r="AT7" s="40"/>
      <c r="AW7" s="40"/>
    </row>
    <row r="8" spans="1:55" s="8" customFormat="1" x14ac:dyDescent="0.55000000000000004">
      <c r="A8" s="6" t="s">
        <v>27</v>
      </c>
      <c r="B8" s="7">
        <v>1361850</v>
      </c>
      <c r="C8" s="7">
        <v>58709</v>
      </c>
      <c r="D8" s="7">
        <v>32542</v>
      </c>
      <c r="E8" s="7">
        <v>144729</v>
      </c>
      <c r="F8" s="7">
        <v>4606</v>
      </c>
      <c r="G8" s="7">
        <v>3588</v>
      </c>
      <c r="H8" s="7">
        <v>1316572</v>
      </c>
      <c r="I8" s="7">
        <v>54452</v>
      </c>
      <c r="J8" s="7">
        <v>34603</v>
      </c>
      <c r="K8" s="31">
        <v>43.1</v>
      </c>
      <c r="L8" s="31">
        <v>23.9</v>
      </c>
      <c r="M8" s="3"/>
      <c r="N8" s="7">
        <v>302873</v>
      </c>
      <c r="O8" s="7">
        <v>197222</v>
      </c>
      <c r="P8" s="7">
        <v>181111</v>
      </c>
      <c r="Q8" s="7">
        <v>175164</v>
      </c>
      <c r="R8" s="7">
        <v>209109</v>
      </c>
      <c r="S8" s="7">
        <v>158077</v>
      </c>
      <c r="T8" s="7">
        <v>138264</v>
      </c>
      <c r="U8" s="7"/>
      <c r="V8" s="7"/>
      <c r="W8" s="7"/>
      <c r="X8" s="7"/>
      <c r="Y8" s="7"/>
      <c r="Z8" s="7"/>
      <c r="AA8" s="7"/>
      <c r="AC8" s="40"/>
      <c r="AD8" s="9">
        <f>SUM(N8:AB8)</f>
        <v>1361820</v>
      </c>
      <c r="AE8" s="9">
        <f>SUM(N9:AB9)</f>
        <v>58709</v>
      </c>
      <c r="AF8" s="9">
        <f>SUM(N10:AB10)</f>
        <v>32542</v>
      </c>
      <c r="AG8" s="9">
        <f>E8</f>
        <v>144729</v>
      </c>
      <c r="AH8" s="9">
        <f>F8</f>
        <v>4606</v>
      </c>
      <c r="AI8" s="9">
        <f>G8</f>
        <v>3588</v>
      </c>
      <c r="AJ8" s="9">
        <f>H8</f>
        <v>1316572</v>
      </c>
      <c r="AK8" s="9">
        <f>I8</f>
        <v>54452</v>
      </c>
      <c r="AL8" s="9">
        <f>J8</f>
        <v>34603</v>
      </c>
      <c r="AM8" s="40"/>
      <c r="AN8" s="9">
        <f>AD8-B8</f>
        <v>-30</v>
      </c>
      <c r="AO8" s="9">
        <f>AE8-C8</f>
        <v>0</v>
      </c>
      <c r="AP8" s="9">
        <f>AF8-D8</f>
        <v>0</v>
      </c>
      <c r="AQ8" s="43"/>
      <c r="AR8" s="48">
        <f>C8/B8*1000</f>
        <v>43.10974042662555</v>
      </c>
      <c r="AS8" s="48">
        <f>D8/B8*1000</f>
        <v>23.895436354958328</v>
      </c>
      <c r="AT8" s="49"/>
      <c r="AU8" s="48">
        <f>AR8-K8</f>
        <v>9.740426625548082E-3</v>
      </c>
      <c r="AV8" s="48">
        <f>AS8-L8</f>
        <v>-4.5636450416708385E-3</v>
      </c>
      <c r="AW8" s="43"/>
    </row>
    <row r="9" spans="1:55" s="2" customFormat="1" x14ac:dyDescent="0.55000000000000004">
      <c r="A9" s="1" t="s">
        <v>28</v>
      </c>
      <c r="B9" s="3"/>
      <c r="C9" s="3"/>
      <c r="D9" s="3"/>
      <c r="E9" s="3"/>
      <c r="F9" s="3"/>
      <c r="G9" s="3"/>
      <c r="H9" s="3"/>
      <c r="I9" s="3"/>
      <c r="J9" s="3"/>
      <c r="K9" s="28"/>
      <c r="L9" s="28"/>
      <c r="M9" s="3"/>
      <c r="N9" s="3">
        <v>10862</v>
      </c>
      <c r="O9" s="3">
        <v>8321</v>
      </c>
      <c r="P9" s="3">
        <v>7520</v>
      </c>
      <c r="Q9" s="3">
        <v>8122</v>
      </c>
      <c r="R9" s="3">
        <v>8704</v>
      </c>
      <c r="S9" s="3">
        <v>6926</v>
      </c>
      <c r="T9" s="3">
        <v>8254</v>
      </c>
      <c r="U9" s="3"/>
      <c r="V9" s="3"/>
      <c r="W9" s="3"/>
      <c r="X9" s="3"/>
      <c r="Y9" s="3"/>
      <c r="Z9" s="3"/>
      <c r="AA9" s="3"/>
      <c r="AC9" s="40"/>
      <c r="AM9" s="40"/>
      <c r="AQ9" s="40"/>
      <c r="AT9" s="40"/>
      <c r="AW9" s="40"/>
    </row>
    <row r="10" spans="1:55" s="2" customFormat="1" x14ac:dyDescent="0.55000000000000004">
      <c r="A10" s="1" t="s">
        <v>29</v>
      </c>
      <c r="B10" s="3"/>
      <c r="C10" s="3"/>
      <c r="D10" s="3"/>
      <c r="E10" s="3"/>
      <c r="F10" s="3"/>
      <c r="G10" s="3"/>
      <c r="H10" s="3"/>
      <c r="I10" s="3"/>
      <c r="J10" s="3"/>
      <c r="K10" s="28"/>
      <c r="L10" s="28"/>
      <c r="M10" s="3"/>
      <c r="N10" s="3">
        <v>6926</v>
      </c>
      <c r="O10" s="3">
        <v>4555</v>
      </c>
      <c r="P10" s="3">
        <v>3984</v>
      </c>
      <c r="Q10" s="3">
        <v>4815</v>
      </c>
      <c r="R10" s="3">
        <v>4210</v>
      </c>
      <c r="S10" s="3">
        <v>3659</v>
      </c>
      <c r="T10" s="3">
        <v>4393</v>
      </c>
      <c r="U10" s="3"/>
      <c r="V10" s="3"/>
      <c r="W10" s="3"/>
      <c r="X10" s="3"/>
      <c r="Y10" s="3"/>
      <c r="Z10" s="3"/>
      <c r="AA10" s="3"/>
      <c r="AC10" s="40"/>
      <c r="AM10" s="40"/>
      <c r="AQ10" s="40"/>
      <c r="AT10" s="40"/>
      <c r="AW10" s="40"/>
    </row>
    <row r="11" spans="1:55" s="8" customFormat="1" x14ac:dyDescent="0.55000000000000004">
      <c r="A11" s="6" t="s">
        <v>30</v>
      </c>
      <c r="B11" s="7">
        <v>1369473</v>
      </c>
      <c r="C11" s="7">
        <v>58044</v>
      </c>
      <c r="D11" s="7">
        <v>34462</v>
      </c>
      <c r="E11" s="7">
        <v>215135</v>
      </c>
      <c r="F11" s="7">
        <v>5897</v>
      </c>
      <c r="G11" s="7">
        <v>3964</v>
      </c>
      <c r="H11" s="7">
        <v>1308736</v>
      </c>
      <c r="I11" s="7">
        <v>57001</v>
      </c>
      <c r="J11" s="7">
        <v>32735</v>
      </c>
      <c r="K11" s="31">
        <v>42.5</v>
      </c>
      <c r="L11" s="31">
        <v>25.2</v>
      </c>
      <c r="M11" s="3"/>
      <c r="N11" s="7">
        <v>149724</v>
      </c>
      <c r="O11" s="7">
        <v>89229</v>
      </c>
      <c r="P11" s="7">
        <v>97936</v>
      </c>
      <c r="Q11" s="7">
        <v>227946</v>
      </c>
      <c r="R11" s="7">
        <v>82030</v>
      </c>
      <c r="S11" s="7">
        <v>138165</v>
      </c>
      <c r="T11" s="7">
        <v>119112</v>
      </c>
      <c r="U11" s="7">
        <v>112849</v>
      </c>
      <c r="V11" s="7">
        <v>118867</v>
      </c>
      <c r="W11" s="7">
        <v>136061</v>
      </c>
      <c r="X11" s="7">
        <v>92554</v>
      </c>
      <c r="Y11" s="7"/>
      <c r="Z11" s="7"/>
      <c r="AA11" s="7"/>
      <c r="AC11" s="40"/>
      <c r="AD11" s="9">
        <f>SUM(N11:AB11)</f>
        <v>1364473</v>
      </c>
      <c r="AE11" s="9">
        <f>SUM(N12:AB12)</f>
        <v>58044</v>
      </c>
      <c r="AF11" s="9">
        <f>SUM(N13:AB13)</f>
        <v>34465</v>
      </c>
      <c r="AG11" s="9">
        <f>E11</f>
        <v>215135</v>
      </c>
      <c r="AH11" s="9">
        <f>F11</f>
        <v>5897</v>
      </c>
      <c r="AI11" s="9">
        <f>G11</f>
        <v>3964</v>
      </c>
      <c r="AJ11" s="9">
        <f>H11</f>
        <v>1308736</v>
      </c>
      <c r="AK11" s="9">
        <f>I11</f>
        <v>57001</v>
      </c>
      <c r="AL11" s="9">
        <f>J11</f>
        <v>32735</v>
      </c>
      <c r="AM11" s="40"/>
      <c r="AN11" s="9">
        <f>AD11-B11</f>
        <v>-5000</v>
      </c>
      <c r="AO11" s="9">
        <f>AE11-C11</f>
        <v>0</v>
      </c>
      <c r="AP11" s="9">
        <f>AF11-D11</f>
        <v>3</v>
      </c>
      <c r="AQ11" s="43"/>
      <c r="AR11" s="48">
        <f>C11/B11*1000</f>
        <v>42.384187201938261</v>
      </c>
      <c r="AS11" s="48">
        <f>D11/B11*1000</f>
        <v>25.164424563317422</v>
      </c>
      <c r="AT11" s="49"/>
      <c r="AU11" s="48">
        <f>AR11-K11</f>
        <v>-0.11581279806173939</v>
      </c>
      <c r="AV11" s="48">
        <f>AS11-L11</f>
        <v>-3.5575436682577788E-2</v>
      </c>
      <c r="AW11" s="43"/>
    </row>
    <row r="12" spans="1:55" s="2" customFormat="1" x14ac:dyDescent="0.55000000000000004">
      <c r="A12" s="1" t="s">
        <v>31</v>
      </c>
      <c r="B12" s="3"/>
      <c r="C12" s="3"/>
      <c r="D12" s="3"/>
      <c r="E12" s="3"/>
      <c r="F12" s="3"/>
      <c r="G12" s="3"/>
      <c r="H12" s="3"/>
      <c r="I12" s="3"/>
      <c r="J12" s="3"/>
      <c r="K12" s="28"/>
      <c r="L12" s="28"/>
      <c r="M12" s="3"/>
      <c r="N12" s="3">
        <v>7114</v>
      </c>
      <c r="O12" s="3">
        <v>4769</v>
      </c>
      <c r="P12" s="3">
        <v>4834</v>
      </c>
      <c r="Q12" s="3">
        <v>7057</v>
      </c>
      <c r="R12" s="3">
        <v>4130</v>
      </c>
      <c r="S12" s="3">
        <v>6359</v>
      </c>
      <c r="T12" s="3">
        <v>4630</v>
      </c>
      <c r="U12" s="3">
        <v>4767</v>
      </c>
      <c r="V12" s="3">
        <v>5813</v>
      </c>
      <c r="W12" s="3">
        <v>4368</v>
      </c>
      <c r="X12" s="3">
        <v>4203</v>
      </c>
      <c r="Y12" s="3"/>
      <c r="Z12" s="3"/>
      <c r="AA12" s="3"/>
      <c r="AC12" s="40"/>
      <c r="AM12" s="40"/>
      <c r="AQ12" s="40"/>
      <c r="AT12" s="40"/>
      <c r="AW12" s="40"/>
    </row>
    <row r="13" spans="1:55" s="2" customFormat="1" x14ac:dyDescent="0.55000000000000004">
      <c r="A13" s="1" t="s">
        <v>32</v>
      </c>
      <c r="B13" s="3"/>
      <c r="C13" s="3"/>
      <c r="D13" s="3"/>
      <c r="E13" s="3"/>
      <c r="F13" s="3"/>
      <c r="G13" s="3"/>
      <c r="H13" s="3"/>
      <c r="I13" s="3"/>
      <c r="J13" s="3"/>
      <c r="K13" s="28"/>
      <c r="L13" s="28"/>
      <c r="M13" s="3"/>
      <c r="N13" s="3">
        <v>3893</v>
      </c>
      <c r="O13" s="3">
        <v>3326</v>
      </c>
      <c r="P13" s="3">
        <v>2652</v>
      </c>
      <c r="Q13" s="3">
        <v>4633</v>
      </c>
      <c r="R13" s="3">
        <v>2509</v>
      </c>
      <c r="S13" s="3">
        <v>4123</v>
      </c>
      <c r="T13" s="3">
        <v>2701</v>
      </c>
      <c r="U13" s="3">
        <v>2880</v>
      </c>
      <c r="V13" s="3">
        <v>3011</v>
      </c>
      <c r="W13" s="3">
        <v>2490</v>
      </c>
      <c r="X13" s="3">
        <v>2247</v>
      </c>
      <c r="Y13" s="3"/>
      <c r="Z13" s="3"/>
      <c r="AA13" s="3"/>
      <c r="AC13" s="40"/>
      <c r="AM13" s="40"/>
      <c r="AQ13" s="40"/>
      <c r="AT13" s="40"/>
      <c r="AW13" s="40"/>
    </row>
    <row r="14" spans="1:55" s="8" customFormat="1" x14ac:dyDescent="0.55000000000000004">
      <c r="A14" s="6" t="s">
        <v>33</v>
      </c>
      <c r="B14" s="7">
        <v>2395608</v>
      </c>
      <c r="C14" s="7">
        <v>121128</v>
      </c>
      <c r="D14" s="7">
        <v>76050</v>
      </c>
      <c r="E14" s="7">
        <v>190692</v>
      </c>
      <c r="F14" s="7">
        <v>6686</v>
      </c>
      <c r="G14" s="7">
        <v>4585</v>
      </c>
      <c r="H14" s="7">
        <v>2306507</v>
      </c>
      <c r="I14" s="7">
        <v>120181</v>
      </c>
      <c r="J14" s="7">
        <v>76895</v>
      </c>
      <c r="K14" s="31">
        <v>50.5</v>
      </c>
      <c r="L14" s="31">
        <v>31.7</v>
      </c>
      <c r="M14" s="3"/>
      <c r="N14" s="7">
        <v>330423</v>
      </c>
      <c r="O14" s="7">
        <v>212093</v>
      </c>
      <c r="P14" s="7">
        <v>161914</v>
      </c>
      <c r="Q14" s="7">
        <v>173159</v>
      </c>
      <c r="R14" s="7">
        <v>184468</v>
      </c>
      <c r="S14" s="7">
        <v>181984</v>
      </c>
      <c r="T14" s="7">
        <v>184778</v>
      </c>
      <c r="U14" s="7">
        <v>256441</v>
      </c>
      <c r="V14" s="7">
        <v>175529</v>
      </c>
      <c r="W14" s="7">
        <v>152938</v>
      </c>
      <c r="X14" s="7">
        <v>210842</v>
      </c>
      <c r="Y14" s="7">
        <v>171039</v>
      </c>
      <c r="Z14" s="7"/>
      <c r="AA14" s="7"/>
      <c r="AC14" s="40"/>
      <c r="AD14" s="9">
        <f>SUM(N14:AB14)</f>
        <v>2395608</v>
      </c>
      <c r="AE14" s="9">
        <f>SUM(N15:AB15)</f>
        <v>121124</v>
      </c>
      <c r="AF14" s="9">
        <f>SUM(N16:AB16)</f>
        <v>76050</v>
      </c>
      <c r="AG14" s="9">
        <f>E14</f>
        <v>190692</v>
      </c>
      <c r="AH14" s="9">
        <f>F14</f>
        <v>6686</v>
      </c>
      <c r="AI14" s="9">
        <f>G14</f>
        <v>4585</v>
      </c>
      <c r="AJ14" s="9">
        <f>H14</f>
        <v>2306507</v>
      </c>
      <c r="AK14" s="9">
        <f>I14</f>
        <v>120181</v>
      </c>
      <c r="AL14" s="9">
        <f>J14</f>
        <v>76895</v>
      </c>
      <c r="AM14" s="40"/>
      <c r="AN14" s="9">
        <f>AD14-B14</f>
        <v>0</v>
      </c>
      <c r="AO14" s="9">
        <f>AE14-C14</f>
        <v>-4</v>
      </c>
      <c r="AP14" s="9">
        <f>AF14-D14</f>
        <v>0</v>
      </c>
      <c r="AQ14" s="43"/>
      <c r="AR14" s="48">
        <f>C14/B14*1000</f>
        <v>50.562529428854809</v>
      </c>
      <c r="AS14" s="48">
        <f>D14/B14*1000</f>
        <v>31.745594437821211</v>
      </c>
      <c r="AT14" s="49"/>
      <c r="AU14" s="48">
        <f>AR14-K14</f>
        <v>6.2529428854809055E-2</v>
      </c>
      <c r="AV14" s="48">
        <f>AS14-L14</f>
        <v>4.5594437821211642E-2</v>
      </c>
      <c r="AW14" s="43"/>
    </row>
    <row r="15" spans="1:55" s="2" customFormat="1" x14ac:dyDescent="0.55000000000000004">
      <c r="A15" s="1" t="s">
        <v>34</v>
      </c>
      <c r="B15" s="3"/>
      <c r="C15" s="3"/>
      <c r="D15" s="3"/>
      <c r="E15" s="3"/>
      <c r="F15" s="3"/>
      <c r="G15" s="3"/>
      <c r="H15" s="3"/>
      <c r="I15" s="3"/>
      <c r="J15" s="3"/>
      <c r="K15" s="28"/>
      <c r="L15" s="28"/>
      <c r="M15" s="3"/>
      <c r="N15" s="3">
        <v>16897</v>
      </c>
      <c r="O15" s="3">
        <v>11405</v>
      </c>
      <c r="P15" s="3">
        <v>7623</v>
      </c>
      <c r="Q15" s="3">
        <v>8564</v>
      </c>
      <c r="R15" s="3">
        <v>8411</v>
      </c>
      <c r="S15" s="3">
        <v>8701</v>
      </c>
      <c r="T15" s="3">
        <v>9681</v>
      </c>
      <c r="U15" s="3">
        <v>14435</v>
      </c>
      <c r="V15" s="3">
        <v>8984</v>
      </c>
      <c r="W15" s="3">
        <v>7094</v>
      </c>
      <c r="X15" s="3">
        <v>11109</v>
      </c>
      <c r="Y15" s="3">
        <v>8220</v>
      </c>
      <c r="Z15" s="3"/>
      <c r="AA15" s="3"/>
      <c r="AC15" s="40"/>
      <c r="AM15" s="40"/>
      <c r="AQ15" s="40"/>
      <c r="AT15" s="40"/>
      <c r="AW15" s="40"/>
    </row>
    <row r="16" spans="1:55" s="2" customFormat="1" x14ac:dyDescent="0.55000000000000004">
      <c r="A16" s="1" t="s">
        <v>35</v>
      </c>
      <c r="B16" s="3"/>
      <c r="C16" s="3"/>
      <c r="D16" s="3"/>
      <c r="E16" s="3"/>
      <c r="F16" s="3"/>
      <c r="G16" s="3"/>
      <c r="H16" s="3"/>
      <c r="I16" s="3"/>
      <c r="J16" s="3"/>
      <c r="K16" s="28"/>
      <c r="L16" s="28"/>
      <c r="M16" s="3"/>
      <c r="N16" s="3">
        <v>9945</v>
      </c>
      <c r="O16" s="3">
        <v>7071</v>
      </c>
      <c r="P16" s="3">
        <v>5131</v>
      </c>
      <c r="Q16" s="3">
        <v>6171</v>
      </c>
      <c r="R16" s="3">
        <v>5413</v>
      </c>
      <c r="S16" s="3">
        <v>6242</v>
      </c>
      <c r="T16" s="3">
        <v>5242</v>
      </c>
      <c r="U16" s="3">
        <v>9539</v>
      </c>
      <c r="V16" s="3">
        <v>5172</v>
      </c>
      <c r="W16" s="3">
        <v>4699</v>
      </c>
      <c r="X16" s="3">
        <v>6046</v>
      </c>
      <c r="Y16" s="3">
        <v>5379</v>
      </c>
      <c r="Z16" s="3"/>
      <c r="AA16" s="3"/>
      <c r="AC16" s="40"/>
      <c r="AM16" s="40"/>
      <c r="AQ16" s="40"/>
      <c r="AT16" s="40"/>
      <c r="AW16" s="40"/>
    </row>
    <row r="17" spans="1:49" s="8" customFormat="1" x14ac:dyDescent="0.55000000000000004">
      <c r="A17" s="6" t="s">
        <v>36</v>
      </c>
      <c r="B17" s="7">
        <v>1483518</v>
      </c>
      <c r="C17" s="7">
        <v>60982</v>
      </c>
      <c r="D17" s="7">
        <v>42063</v>
      </c>
      <c r="E17" s="7">
        <v>216259</v>
      </c>
      <c r="F17" s="7">
        <v>6064</v>
      </c>
      <c r="G17" s="7">
        <v>3977</v>
      </c>
      <c r="H17" s="7">
        <v>1357065</v>
      </c>
      <c r="I17" s="7">
        <v>56683</v>
      </c>
      <c r="J17" s="7">
        <v>37073</v>
      </c>
      <c r="K17" s="31">
        <v>41.1</v>
      </c>
      <c r="L17" s="31">
        <v>28.3</v>
      </c>
      <c r="M17" s="3"/>
      <c r="N17" s="7">
        <v>185925</v>
      </c>
      <c r="O17" s="7">
        <v>196326</v>
      </c>
      <c r="P17" s="7">
        <v>182703</v>
      </c>
      <c r="Q17" s="7">
        <v>181801</v>
      </c>
      <c r="R17" s="7">
        <v>136022</v>
      </c>
      <c r="S17" s="7">
        <v>154393</v>
      </c>
      <c r="T17" s="7">
        <v>132990</v>
      </c>
      <c r="U17" s="7">
        <v>207307</v>
      </c>
      <c r="V17" s="7">
        <v>106051</v>
      </c>
      <c r="W17" s="7"/>
      <c r="X17" s="7"/>
      <c r="Y17" s="7"/>
      <c r="Z17" s="7"/>
      <c r="AA17" s="7"/>
      <c r="AC17" s="40"/>
      <c r="AD17" s="9">
        <f>SUM(N17:AB17)</f>
        <v>1483518</v>
      </c>
      <c r="AE17" s="9">
        <f>SUM(N18:AB18)</f>
        <v>60982</v>
      </c>
      <c r="AF17" s="9">
        <f>SUM(N19:AB19)</f>
        <v>42063</v>
      </c>
      <c r="AG17" s="9">
        <f>E17</f>
        <v>216259</v>
      </c>
      <c r="AH17" s="9">
        <f>F17</f>
        <v>6064</v>
      </c>
      <c r="AI17" s="9">
        <f>G17</f>
        <v>3977</v>
      </c>
      <c r="AJ17" s="9">
        <f>H17</f>
        <v>1357065</v>
      </c>
      <c r="AK17" s="9">
        <f>I17</f>
        <v>56683</v>
      </c>
      <c r="AL17" s="9">
        <f>J17</f>
        <v>37073</v>
      </c>
      <c r="AM17" s="40"/>
      <c r="AN17" s="9">
        <f>AD17-B17</f>
        <v>0</v>
      </c>
      <c r="AO17" s="9">
        <f>AE17-C17</f>
        <v>0</v>
      </c>
      <c r="AP17" s="9">
        <f>AF17-D17</f>
        <v>0</v>
      </c>
      <c r="AQ17" s="43"/>
      <c r="AR17" s="48">
        <f>C17/B17*1000</f>
        <v>41.106343165367733</v>
      </c>
      <c r="AS17" s="48">
        <f>D17/B17*1000</f>
        <v>28.353548794150122</v>
      </c>
      <c r="AT17" s="49"/>
      <c r="AU17" s="48">
        <f>AR17-K17</f>
        <v>6.3431653677312738E-3</v>
      </c>
      <c r="AV17" s="48">
        <f>AS17-L17</f>
        <v>5.3548794150120926E-2</v>
      </c>
      <c r="AW17" s="43"/>
    </row>
    <row r="18" spans="1:49" s="2" customFormat="1" x14ac:dyDescent="0.55000000000000004">
      <c r="A18" s="1" t="s">
        <v>37</v>
      </c>
      <c r="B18" s="3"/>
      <c r="C18" s="3"/>
      <c r="D18" s="3"/>
      <c r="E18" s="3"/>
      <c r="F18" s="3"/>
      <c r="G18" s="3"/>
      <c r="H18" s="3"/>
      <c r="I18" s="3"/>
      <c r="J18" s="3"/>
      <c r="K18" s="28"/>
      <c r="L18" s="28"/>
      <c r="M18" s="3"/>
      <c r="N18" s="3">
        <v>6634</v>
      </c>
      <c r="O18" s="3">
        <v>8637</v>
      </c>
      <c r="P18" s="3">
        <v>6525</v>
      </c>
      <c r="Q18" s="3">
        <v>6396</v>
      </c>
      <c r="R18" s="3">
        <v>6551</v>
      </c>
      <c r="S18" s="3">
        <v>7183</v>
      </c>
      <c r="T18" s="3">
        <v>5946</v>
      </c>
      <c r="U18" s="3">
        <v>9332</v>
      </c>
      <c r="V18" s="3">
        <v>3778</v>
      </c>
      <c r="W18" s="3"/>
      <c r="X18" s="3"/>
      <c r="Y18" s="3"/>
      <c r="Z18" s="3"/>
      <c r="AA18" s="3"/>
      <c r="AC18" s="40"/>
      <c r="AM18" s="40"/>
      <c r="AQ18" s="40"/>
      <c r="AT18" s="40"/>
      <c r="AW18" s="40"/>
    </row>
    <row r="19" spans="1:49" s="2" customFormat="1" x14ac:dyDescent="0.55000000000000004">
      <c r="A19" s="1" t="s">
        <v>38</v>
      </c>
      <c r="B19" s="3"/>
      <c r="C19" s="3"/>
      <c r="D19" s="3"/>
      <c r="E19" s="3"/>
      <c r="F19" s="3"/>
      <c r="G19" s="3"/>
      <c r="H19" s="3"/>
      <c r="I19" s="3"/>
      <c r="J19" s="3"/>
      <c r="K19" s="28"/>
      <c r="L19" s="28"/>
      <c r="M19" s="3"/>
      <c r="N19" s="3">
        <v>4159</v>
      </c>
      <c r="O19" s="3">
        <v>5922</v>
      </c>
      <c r="P19" s="3">
        <v>4240</v>
      </c>
      <c r="Q19" s="3">
        <v>3986</v>
      </c>
      <c r="R19" s="3">
        <v>3953</v>
      </c>
      <c r="S19" s="3">
        <v>7226</v>
      </c>
      <c r="T19" s="3">
        <v>3986</v>
      </c>
      <c r="U19" s="3">
        <v>6144</v>
      </c>
      <c r="V19" s="3">
        <v>2447</v>
      </c>
      <c r="W19" s="3"/>
      <c r="X19" s="3"/>
      <c r="Y19" s="3"/>
      <c r="Z19" s="3"/>
      <c r="AA19" s="3"/>
      <c r="AC19" s="40"/>
      <c r="AM19" s="40"/>
      <c r="AQ19" s="40"/>
      <c r="AT19" s="40"/>
      <c r="AW19" s="40"/>
    </row>
    <row r="20" spans="1:49" s="8" customFormat="1" x14ac:dyDescent="0.55000000000000004">
      <c r="A20" s="6" t="s">
        <v>39</v>
      </c>
      <c r="B20" s="7">
        <v>3139937</v>
      </c>
      <c r="C20" s="7">
        <v>157126</v>
      </c>
      <c r="D20" s="7">
        <v>105987</v>
      </c>
      <c r="E20" s="7">
        <v>427840</v>
      </c>
      <c r="F20" s="7">
        <v>15053</v>
      </c>
      <c r="G20" s="7">
        <v>10465</v>
      </c>
      <c r="H20" s="7">
        <v>2973616</v>
      </c>
      <c r="I20" s="7">
        <v>156408</v>
      </c>
      <c r="J20" s="7">
        <v>97869</v>
      </c>
      <c r="K20" s="31">
        <v>50</v>
      </c>
      <c r="L20" s="31">
        <v>33.700000000000003</v>
      </c>
      <c r="M20" s="3"/>
      <c r="N20" s="7">
        <v>441182</v>
      </c>
      <c r="O20" s="7">
        <v>283286</v>
      </c>
      <c r="P20" s="7">
        <v>279895</v>
      </c>
      <c r="Q20" s="7">
        <v>250465</v>
      </c>
      <c r="R20" s="7">
        <v>250503</v>
      </c>
      <c r="S20" s="7">
        <v>206823</v>
      </c>
      <c r="T20" s="7">
        <v>235785</v>
      </c>
      <c r="U20" s="7">
        <v>215927</v>
      </c>
      <c r="V20" s="7">
        <v>212872</v>
      </c>
      <c r="W20" s="7">
        <v>285045</v>
      </c>
      <c r="X20" s="7">
        <v>269129</v>
      </c>
      <c r="Y20" s="7">
        <v>209025</v>
      </c>
      <c r="Z20" s="7"/>
      <c r="AA20" s="7"/>
      <c r="AC20" s="40"/>
      <c r="AD20" s="9">
        <f>SUM(N20:AB20)</f>
        <v>3139937</v>
      </c>
      <c r="AE20" s="9">
        <f>SUM(N21:AB21)</f>
        <v>157126</v>
      </c>
      <c r="AF20" s="9">
        <f>SUM(N22:AB22)</f>
        <v>105987</v>
      </c>
      <c r="AG20" s="9">
        <f>E20</f>
        <v>427840</v>
      </c>
      <c r="AH20" s="9">
        <f>F20</f>
        <v>15053</v>
      </c>
      <c r="AI20" s="9">
        <f>G20</f>
        <v>10465</v>
      </c>
      <c r="AJ20" s="9">
        <f>H20</f>
        <v>2973616</v>
      </c>
      <c r="AK20" s="9">
        <f>I20</f>
        <v>156408</v>
      </c>
      <c r="AL20" s="9">
        <f>J20</f>
        <v>97869</v>
      </c>
      <c r="AM20" s="40"/>
      <c r="AN20" s="9">
        <f>AD20-B20</f>
        <v>0</v>
      </c>
      <c r="AO20" s="9">
        <f>AE20-C20</f>
        <v>0</v>
      </c>
      <c r="AP20" s="9">
        <f>AF20-D20</f>
        <v>0</v>
      </c>
      <c r="AQ20" s="43"/>
      <c r="AR20" s="48">
        <f>C20/B20*1000</f>
        <v>50.041131398496212</v>
      </c>
      <c r="AS20" s="48">
        <f>D20/B20*1000</f>
        <v>33.75449889599696</v>
      </c>
      <c r="AT20" s="49"/>
      <c r="AU20" s="48">
        <f>AR20-K20</f>
        <v>4.1131398496212057E-2</v>
      </c>
      <c r="AV20" s="48">
        <f>AS20-L20</f>
        <v>5.4498895996957231E-2</v>
      </c>
      <c r="AW20" s="43"/>
    </row>
    <row r="21" spans="1:49" s="2" customFormat="1" x14ac:dyDescent="0.55000000000000004">
      <c r="A21" s="1" t="s">
        <v>40</v>
      </c>
      <c r="B21" s="3"/>
      <c r="C21" s="3"/>
      <c r="D21" s="3"/>
      <c r="E21" s="3"/>
      <c r="F21" s="3"/>
      <c r="G21" s="3"/>
      <c r="H21" s="3"/>
      <c r="I21" s="3"/>
      <c r="J21" s="3"/>
      <c r="K21" s="28"/>
      <c r="L21" s="28"/>
      <c r="M21" s="3"/>
      <c r="N21" s="3">
        <v>20211</v>
      </c>
      <c r="O21" s="3">
        <v>12502</v>
      </c>
      <c r="P21" s="3">
        <v>14101</v>
      </c>
      <c r="Q21" s="3">
        <v>12264</v>
      </c>
      <c r="R21" s="3">
        <v>12725</v>
      </c>
      <c r="S21" s="3">
        <v>9891</v>
      </c>
      <c r="T21" s="3">
        <v>12950</v>
      </c>
      <c r="U21" s="3">
        <v>11020</v>
      </c>
      <c r="V21" s="3">
        <v>11151</v>
      </c>
      <c r="W21" s="3">
        <v>14603</v>
      </c>
      <c r="X21" s="3">
        <v>14774</v>
      </c>
      <c r="Y21" s="3">
        <v>10934</v>
      </c>
      <c r="Z21" s="3"/>
      <c r="AA21" s="3"/>
      <c r="AC21" s="40"/>
      <c r="AM21" s="40"/>
      <c r="AQ21" s="40"/>
      <c r="AT21" s="40"/>
      <c r="AW21" s="40"/>
    </row>
    <row r="22" spans="1:49" s="2" customFormat="1" x14ac:dyDescent="0.55000000000000004">
      <c r="A22" s="1" t="s">
        <v>41</v>
      </c>
      <c r="B22" s="3"/>
      <c r="C22" s="3"/>
      <c r="D22" s="3"/>
      <c r="E22" s="3"/>
      <c r="F22" s="3"/>
      <c r="G22" s="3"/>
      <c r="H22" s="3"/>
      <c r="I22" s="3"/>
      <c r="J22" s="3"/>
      <c r="K22" s="28"/>
      <c r="L22" s="28"/>
      <c r="M22" s="3"/>
      <c r="N22" s="3">
        <v>15082</v>
      </c>
      <c r="O22" s="3">
        <v>7459</v>
      </c>
      <c r="P22" s="3">
        <v>10274</v>
      </c>
      <c r="Q22" s="3">
        <v>8614</v>
      </c>
      <c r="R22" s="3">
        <v>8855</v>
      </c>
      <c r="S22" s="3">
        <v>5922</v>
      </c>
      <c r="T22" s="3">
        <v>8089</v>
      </c>
      <c r="U22" s="3">
        <v>6565</v>
      </c>
      <c r="V22" s="3">
        <v>7584</v>
      </c>
      <c r="W22" s="3">
        <v>9070</v>
      </c>
      <c r="X22" s="3">
        <v>10697</v>
      </c>
      <c r="Y22" s="3">
        <v>7776</v>
      </c>
      <c r="Z22" s="3"/>
      <c r="AA22" s="3"/>
      <c r="AC22" s="40"/>
      <c r="AM22" s="40"/>
      <c r="AQ22" s="40"/>
      <c r="AT22" s="40"/>
      <c r="AW22" s="40"/>
    </row>
    <row r="23" spans="1:49" s="8" customFormat="1" x14ac:dyDescent="0.55000000000000004">
      <c r="A23" s="6" t="s">
        <v>42</v>
      </c>
      <c r="B23" s="7">
        <v>1587582</v>
      </c>
      <c r="C23" s="7">
        <v>55872</v>
      </c>
      <c r="D23" s="7">
        <v>35912</v>
      </c>
      <c r="E23" s="7">
        <v>145717</v>
      </c>
      <c r="F23" s="7">
        <v>3868</v>
      </c>
      <c r="G23" s="7">
        <v>2659</v>
      </c>
      <c r="H23" s="7">
        <v>1551707</v>
      </c>
      <c r="I23" s="7">
        <v>54150</v>
      </c>
      <c r="J23" s="7">
        <v>37143</v>
      </c>
      <c r="K23" s="31">
        <v>35.200000000000003</v>
      </c>
      <c r="L23" s="31">
        <v>22.6</v>
      </c>
      <c r="M23" s="3"/>
      <c r="N23" s="7">
        <v>222383</v>
      </c>
      <c r="O23" s="7">
        <v>242173</v>
      </c>
      <c r="P23" s="7">
        <v>210790</v>
      </c>
      <c r="Q23" s="7">
        <v>221661</v>
      </c>
      <c r="R23" s="7">
        <v>245171</v>
      </c>
      <c r="S23" s="7">
        <v>195013</v>
      </c>
      <c r="T23" s="7">
        <v>250391</v>
      </c>
      <c r="U23" s="7"/>
      <c r="V23" s="7"/>
      <c r="W23" s="7"/>
      <c r="X23" s="7"/>
      <c r="Y23" s="7"/>
      <c r="Z23" s="7"/>
      <c r="AA23" s="7"/>
      <c r="AC23" s="40"/>
      <c r="AD23" s="9">
        <f>SUM(N23:AB23)</f>
        <v>1587582</v>
      </c>
      <c r="AE23" s="9">
        <f>SUM(N24:AB24)</f>
        <v>55872</v>
      </c>
      <c r="AF23" s="9">
        <f>SUM(N25:AB25)</f>
        <v>35912</v>
      </c>
      <c r="AG23" s="9">
        <f>E23</f>
        <v>145717</v>
      </c>
      <c r="AH23" s="9">
        <f>F23</f>
        <v>3868</v>
      </c>
      <c r="AI23" s="9">
        <f>G23</f>
        <v>2659</v>
      </c>
      <c r="AJ23" s="9">
        <f>H23</f>
        <v>1551707</v>
      </c>
      <c r="AK23" s="9">
        <f>I23</f>
        <v>54150</v>
      </c>
      <c r="AL23" s="9">
        <f>J23</f>
        <v>37143</v>
      </c>
      <c r="AM23" s="40"/>
      <c r="AN23" s="9">
        <f>AD23-B23</f>
        <v>0</v>
      </c>
      <c r="AO23" s="9">
        <f>AE23-C23</f>
        <v>0</v>
      </c>
      <c r="AP23" s="9">
        <f>AF23-D23</f>
        <v>0</v>
      </c>
      <c r="AQ23" s="43"/>
      <c r="AR23" s="48">
        <f>C23/B23*1000</f>
        <v>35.193142779396595</v>
      </c>
      <c r="AS23" s="48">
        <f>D23/B23*1000</f>
        <v>22.620563851190049</v>
      </c>
      <c r="AT23" s="49"/>
      <c r="AU23" s="48">
        <f>AR23-K23</f>
        <v>-6.8572206034076544E-3</v>
      </c>
      <c r="AV23" s="48">
        <f>AS23-L23</f>
        <v>2.0563851190047444E-2</v>
      </c>
      <c r="AW23" s="43"/>
    </row>
    <row r="24" spans="1:49" s="2" customFormat="1" x14ac:dyDescent="0.55000000000000004">
      <c r="A24" s="1" t="s">
        <v>43</v>
      </c>
      <c r="B24" s="3"/>
      <c r="C24" s="3"/>
      <c r="D24" s="3"/>
      <c r="E24" s="3"/>
      <c r="F24" s="3"/>
      <c r="G24" s="3"/>
      <c r="H24" s="3"/>
      <c r="I24" s="3"/>
      <c r="J24" s="3"/>
      <c r="K24" s="28"/>
      <c r="L24" s="28"/>
      <c r="M24" s="3"/>
      <c r="N24" s="3">
        <v>7915</v>
      </c>
      <c r="O24" s="3">
        <v>8489</v>
      </c>
      <c r="P24" s="3">
        <v>7009</v>
      </c>
      <c r="Q24" s="3">
        <v>7716</v>
      </c>
      <c r="R24" s="3">
        <v>9238</v>
      </c>
      <c r="S24" s="3">
        <v>7453</v>
      </c>
      <c r="T24" s="3">
        <v>8052</v>
      </c>
      <c r="U24" s="3"/>
      <c r="V24" s="3"/>
      <c r="W24" s="3"/>
      <c r="X24" s="3"/>
      <c r="Y24" s="3"/>
      <c r="Z24" s="3"/>
      <c r="AA24" s="3"/>
      <c r="AC24" s="40"/>
      <c r="AM24" s="40"/>
      <c r="AQ24" s="40"/>
      <c r="AT24" s="40"/>
      <c r="AW24" s="40"/>
    </row>
    <row r="25" spans="1:49" s="2" customFormat="1" x14ac:dyDescent="0.55000000000000004">
      <c r="A25" s="1" t="s">
        <v>44</v>
      </c>
      <c r="B25" s="3"/>
      <c r="C25" s="3"/>
      <c r="D25" s="3"/>
      <c r="E25" s="3"/>
      <c r="F25" s="3"/>
      <c r="G25" s="3"/>
      <c r="H25" s="3"/>
      <c r="I25" s="3"/>
      <c r="J25" s="3"/>
      <c r="K25" s="28"/>
      <c r="L25" s="28"/>
      <c r="M25" s="3"/>
      <c r="N25" s="3">
        <v>4797</v>
      </c>
      <c r="O25" s="3">
        <v>5571</v>
      </c>
      <c r="P25" s="3">
        <v>4711</v>
      </c>
      <c r="Q25" s="3">
        <v>4956</v>
      </c>
      <c r="R25" s="3">
        <v>5552</v>
      </c>
      <c r="S25" s="3">
        <v>5195</v>
      </c>
      <c r="T25" s="3">
        <v>5130</v>
      </c>
      <c r="U25" s="3"/>
      <c r="V25" s="3"/>
      <c r="W25" s="3"/>
      <c r="X25" s="3"/>
      <c r="Y25" s="3"/>
      <c r="Z25" s="3"/>
      <c r="AA25" s="3"/>
      <c r="AC25" s="40"/>
      <c r="AM25" s="40"/>
      <c r="AQ25" s="40"/>
      <c r="AT25" s="40"/>
      <c r="AW25" s="40"/>
    </row>
    <row r="26" spans="1:49" s="8" customFormat="1" x14ac:dyDescent="0.55000000000000004">
      <c r="A26" s="6" t="s">
        <v>45</v>
      </c>
      <c r="B26" s="7">
        <v>1794560</v>
      </c>
      <c r="C26" s="7">
        <v>84804</v>
      </c>
      <c r="D26" s="7">
        <v>49170</v>
      </c>
      <c r="E26" s="7">
        <v>238232</v>
      </c>
      <c r="F26" s="7">
        <v>6131</v>
      </c>
      <c r="G26" s="7">
        <v>4186</v>
      </c>
      <c r="H26" s="7">
        <v>1714790</v>
      </c>
      <c r="I26" s="7">
        <v>77950</v>
      </c>
      <c r="J26" s="7">
        <v>43383</v>
      </c>
      <c r="K26" s="31">
        <v>47.2</v>
      </c>
      <c r="L26" s="31">
        <v>27.4</v>
      </c>
      <c r="M26" s="3"/>
      <c r="N26" s="7">
        <v>221289</v>
      </c>
      <c r="O26" s="7">
        <v>224994</v>
      </c>
      <c r="P26" s="7">
        <v>186329</v>
      </c>
      <c r="Q26" s="7">
        <v>191281</v>
      </c>
      <c r="R26" s="7">
        <v>136486</v>
      </c>
      <c r="S26" s="7">
        <v>235525</v>
      </c>
      <c r="T26" s="7">
        <v>209242</v>
      </c>
      <c r="U26" s="7">
        <v>171761</v>
      </c>
      <c r="V26" s="7">
        <v>217653</v>
      </c>
      <c r="W26" s="7"/>
      <c r="X26" s="7"/>
      <c r="Y26" s="7"/>
      <c r="Z26" s="7"/>
      <c r="AA26" s="7"/>
      <c r="AC26" s="40"/>
      <c r="AD26" s="9">
        <f>SUM(N26:AB26)</f>
        <v>1794560</v>
      </c>
      <c r="AE26" s="9">
        <f>SUM(N27:AB27)</f>
        <v>84804</v>
      </c>
      <c r="AF26" s="9">
        <f>SUM(N28:AB28)</f>
        <v>49170</v>
      </c>
      <c r="AG26" s="9">
        <f>E26</f>
        <v>238232</v>
      </c>
      <c r="AH26" s="9">
        <f>F26</f>
        <v>6131</v>
      </c>
      <c r="AI26" s="9">
        <f>G26</f>
        <v>4186</v>
      </c>
      <c r="AJ26" s="9">
        <f>H26</f>
        <v>1714790</v>
      </c>
      <c r="AK26" s="9">
        <f>I26</f>
        <v>77950</v>
      </c>
      <c r="AL26" s="9">
        <f>J26</f>
        <v>43383</v>
      </c>
      <c r="AM26" s="40"/>
      <c r="AN26" s="9">
        <f>AD26-B26</f>
        <v>0</v>
      </c>
      <c r="AO26" s="9">
        <f>AE26-C26</f>
        <v>0</v>
      </c>
      <c r="AP26" s="9">
        <f>AF26-D26</f>
        <v>0</v>
      </c>
      <c r="AQ26" s="43"/>
      <c r="AR26" s="48">
        <f>C26/B26*1000</f>
        <v>47.256151925820255</v>
      </c>
      <c r="AS26" s="48">
        <f>D26/B26*1000</f>
        <v>27.399473965763196</v>
      </c>
      <c r="AT26" s="49"/>
      <c r="AU26" s="48">
        <f>AR26-K26</f>
        <v>5.6151925820252302E-2</v>
      </c>
      <c r="AV26" s="48">
        <f>AS26-L26</f>
        <v>-5.2603423680253059E-4</v>
      </c>
      <c r="AW26" s="43"/>
    </row>
    <row r="27" spans="1:49" s="2" customFormat="1" x14ac:dyDescent="0.55000000000000004">
      <c r="A27" s="1" t="s">
        <v>46</v>
      </c>
      <c r="B27" s="3"/>
      <c r="C27" s="3"/>
      <c r="D27" s="3"/>
      <c r="E27" s="3"/>
      <c r="F27" s="3"/>
      <c r="G27" s="3"/>
      <c r="H27" s="3"/>
      <c r="I27" s="3"/>
      <c r="J27" s="3"/>
      <c r="K27" s="28"/>
      <c r="L27" s="28"/>
      <c r="M27" s="3"/>
      <c r="N27" s="3">
        <v>9708</v>
      </c>
      <c r="O27" s="3">
        <v>10262</v>
      </c>
      <c r="P27" s="3">
        <v>9920</v>
      </c>
      <c r="Q27" s="3">
        <v>9365</v>
      </c>
      <c r="R27" s="3">
        <v>7161</v>
      </c>
      <c r="S27" s="3">
        <v>9852</v>
      </c>
      <c r="T27" s="3">
        <v>9453</v>
      </c>
      <c r="U27" s="3">
        <v>9135</v>
      </c>
      <c r="V27" s="3">
        <v>9948</v>
      </c>
      <c r="W27" s="3"/>
      <c r="X27" s="3"/>
      <c r="Y27" s="3"/>
      <c r="Z27" s="3"/>
      <c r="AA27" s="3"/>
      <c r="AC27" s="40"/>
      <c r="AM27" s="40"/>
      <c r="AQ27" s="40"/>
      <c r="AT27" s="40"/>
      <c r="AW27" s="40"/>
    </row>
    <row r="28" spans="1:49" s="2" customFormat="1" x14ac:dyDescent="0.55000000000000004">
      <c r="A28" s="1" t="s">
        <v>47</v>
      </c>
      <c r="B28" s="3"/>
      <c r="C28" s="3"/>
      <c r="D28" s="3"/>
      <c r="E28" s="3"/>
      <c r="F28" s="3"/>
      <c r="G28" s="3"/>
      <c r="H28" s="3"/>
      <c r="I28" s="3"/>
      <c r="J28" s="3"/>
      <c r="K28" s="28"/>
      <c r="L28" s="28"/>
      <c r="M28" s="3"/>
      <c r="N28" s="3">
        <v>5300</v>
      </c>
      <c r="O28" s="3">
        <v>5850</v>
      </c>
      <c r="P28" s="3">
        <v>6026</v>
      </c>
      <c r="Q28" s="3">
        <v>4707</v>
      </c>
      <c r="R28" s="3">
        <v>4146</v>
      </c>
      <c r="S28" s="3">
        <v>5714</v>
      </c>
      <c r="T28" s="3">
        <v>5959</v>
      </c>
      <c r="U28" s="3">
        <v>5045</v>
      </c>
      <c r="V28" s="3">
        <v>6423</v>
      </c>
      <c r="W28" s="3"/>
      <c r="X28" s="3"/>
      <c r="Y28" s="3"/>
      <c r="Z28" s="3"/>
      <c r="AA28" s="3"/>
      <c r="AC28" s="40"/>
      <c r="AM28" s="40"/>
      <c r="AQ28" s="40"/>
      <c r="AT28" s="40"/>
      <c r="AW28" s="40"/>
    </row>
    <row r="29" spans="1:49" s="8" customFormat="1" x14ac:dyDescent="0.55000000000000004">
      <c r="A29" s="6" t="s">
        <v>48</v>
      </c>
      <c r="B29" s="7">
        <v>1415258</v>
      </c>
      <c r="C29" s="7">
        <v>69583</v>
      </c>
      <c r="D29" s="7">
        <v>40393</v>
      </c>
      <c r="E29" s="7">
        <v>125913</v>
      </c>
      <c r="F29" s="7">
        <v>4236</v>
      </c>
      <c r="G29" s="7">
        <v>2634</v>
      </c>
      <c r="H29" s="7">
        <v>1325567</v>
      </c>
      <c r="I29" s="7">
        <v>66796</v>
      </c>
      <c r="J29" s="7">
        <v>35242</v>
      </c>
      <c r="K29" s="31">
        <v>49.1</v>
      </c>
      <c r="L29" s="31">
        <v>28.6</v>
      </c>
      <c r="M29" s="3"/>
      <c r="N29" s="7">
        <v>149871</v>
      </c>
      <c r="O29" s="7">
        <v>99888</v>
      </c>
      <c r="P29" s="7">
        <v>199188</v>
      </c>
      <c r="Q29" s="7">
        <v>101586</v>
      </c>
      <c r="R29" s="7">
        <v>124797</v>
      </c>
      <c r="S29" s="7">
        <v>94984</v>
      </c>
      <c r="T29" s="7">
        <v>130436</v>
      </c>
      <c r="U29" s="7">
        <v>179179</v>
      </c>
      <c r="V29" s="7">
        <v>134882</v>
      </c>
      <c r="W29" s="7">
        <v>77647</v>
      </c>
      <c r="X29" s="7">
        <v>132800</v>
      </c>
      <c r="Y29" s="7"/>
      <c r="Z29" s="7"/>
      <c r="AA29" s="7"/>
      <c r="AC29" s="40"/>
      <c r="AD29" s="9">
        <f>SUM(N29:AB29)</f>
        <v>1425258</v>
      </c>
      <c r="AE29" s="9">
        <f>SUM(N30:AB30)</f>
        <v>69583</v>
      </c>
      <c r="AF29" s="9">
        <f>SUM(N31:AB31)</f>
        <v>40393</v>
      </c>
      <c r="AG29" s="9">
        <f>E29</f>
        <v>125913</v>
      </c>
      <c r="AH29" s="9">
        <f>F29</f>
        <v>4236</v>
      </c>
      <c r="AI29" s="9">
        <f>G29</f>
        <v>2634</v>
      </c>
      <c r="AJ29" s="9">
        <f>H29</f>
        <v>1325567</v>
      </c>
      <c r="AK29" s="9">
        <f>I29</f>
        <v>66796</v>
      </c>
      <c r="AL29" s="9">
        <f>J29</f>
        <v>35242</v>
      </c>
      <c r="AM29" s="40"/>
      <c r="AN29" s="9">
        <f>AD29-B29</f>
        <v>10000</v>
      </c>
      <c r="AO29" s="9">
        <f>AE29-C29</f>
        <v>0</v>
      </c>
      <c r="AP29" s="9">
        <f>AF29-D29</f>
        <v>0</v>
      </c>
      <c r="AQ29" s="43"/>
      <c r="AR29" s="48">
        <f>C29/B29*1000</f>
        <v>49.166300420135407</v>
      </c>
      <c r="AS29" s="48">
        <f>D29/B29*1000</f>
        <v>28.541085794957528</v>
      </c>
      <c r="AT29" s="49"/>
      <c r="AU29" s="48">
        <f>AR29-K29</f>
        <v>6.6300420135405602E-2</v>
      </c>
      <c r="AV29" s="48">
        <f>AS29-L29</f>
        <v>-5.8914205042473355E-2</v>
      </c>
      <c r="AW29" s="43"/>
    </row>
    <row r="30" spans="1:49" s="2" customFormat="1" x14ac:dyDescent="0.55000000000000004">
      <c r="A30" s="1" t="s">
        <v>49</v>
      </c>
      <c r="B30" s="3"/>
      <c r="C30" s="3"/>
      <c r="D30" s="3"/>
      <c r="E30" s="3"/>
      <c r="F30" s="3"/>
      <c r="G30" s="3"/>
      <c r="H30" s="3"/>
      <c r="I30" s="3"/>
      <c r="J30" s="3"/>
      <c r="K30" s="28"/>
      <c r="L30" s="28"/>
      <c r="M30" s="3"/>
      <c r="N30" s="3">
        <v>5739</v>
      </c>
      <c r="O30" s="3">
        <v>5278</v>
      </c>
      <c r="P30" s="3">
        <v>9544</v>
      </c>
      <c r="Q30" s="3">
        <v>5104</v>
      </c>
      <c r="R30" s="3">
        <v>5959</v>
      </c>
      <c r="S30" s="3">
        <v>4426</v>
      </c>
      <c r="T30" s="3">
        <v>7439</v>
      </c>
      <c r="U30" s="3">
        <v>9824</v>
      </c>
      <c r="V30" s="3">
        <v>6587</v>
      </c>
      <c r="W30" s="3">
        <v>3504</v>
      </c>
      <c r="X30" s="3">
        <v>6179</v>
      </c>
      <c r="Y30" s="3"/>
      <c r="Z30" s="3"/>
      <c r="AA30" s="3"/>
      <c r="AC30" s="40"/>
      <c r="AM30" s="40"/>
      <c r="AQ30" s="40"/>
      <c r="AT30" s="40"/>
      <c r="AW30" s="40"/>
    </row>
    <row r="31" spans="1:49" s="2" customFormat="1" x14ac:dyDescent="0.55000000000000004">
      <c r="A31" s="1" t="s">
        <v>50</v>
      </c>
      <c r="B31" s="3"/>
      <c r="C31" s="3"/>
      <c r="D31" s="3"/>
      <c r="E31" s="3"/>
      <c r="F31" s="3"/>
      <c r="G31" s="3"/>
      <c r="H31" s="3"/>
      <c r="I31" s="3"/>
      <c r="J31" s="3"/>
      <c r="K31" s="28"/>
      <c r="L31" s="28"/>
      <c r="M31" s="3"/>
      <c r="N31" s="3">
        <v>3383</v>
      </c>
      <c r="O31" s="3">
        <v>3080</v>
      </c>
      <c r="P31" s="3">
        <v>5891</v>
      </c>
      <c r="Q31" s="3">
        <v>2638</v>
      </c>
      <c r="R31" s="3">
        <v>3315</v>
      </c>
      <c r="S31" s="3">
        <v>2382</v>
      </c>
      <c r="T31" s="3">
        <v>4007</v>
      </c>
      <c r="U31" s="3">
        <v>6446</v>
      </c>
      <c r="V31" s="3">
        <v>3821</v>
      </c>
      <c r="W31" s="3">
        <v>1938</v>
      </c>
      <c r="X31" s="3">
        <v>3492</v>
      </c>
      <c r="Y31" s="3"/>
      <c r="Z31" s="3"/>
      <c r="AA31" s="3"/>
      <c r="AC31" s="40"/>
      <c r="AM31" s="40"/>
      <c r="AQ31" s="40"/>
      <c r="AT31" s="40"/>
      <c r="AW31" s="40"/>
    </row>
    <row r="32" spans="1:49" s="8" customFormat="1" x14ac:dyDescent="0.55000000000000004">
      <c r="A32" s="6" t="s">
        <v>51</v>
      </c>
      <c r="B32" s="7">
        <v>1380944</v>
      </c>
      <c r="C32" s="7">
        <v>81294</v>
      </c>
      <c r="D32" s="7">
        <v>60350</v>
      </c>
      <c r="E32" s="7">
        <v>110000</v>
      </c>
      <c r="F32" s="7">
        <v>6381</v>
      </c>
      <c r="G32" s="7">
        <v>5958</v>
      </c>
      <c r="H32" s="7">
        <v>1337913</v>
      </c>
      <c r="I32" s="7">
        <v>80457</v>
      </c>
      <c r="J32" s="7">
        <v>53449</v>
      </c>
      <c r="K32" s="31">
        <v>58.8</v>
      </c>
      <c r="L32" s="31">
        <v>43.7</v>
      </c>
      <c r="M32" s="3"/>
      <c r="N32" s="7">
        <v>403969</v>
      </c>
      <c r="O32" s="7">
        <v>204216</v>
      </c>
      <c r="P32" s="7">
        <v>199301</v>
      </c>
      <c r="Q32" s="7">
        <v>179824</v>
      </c>
      <c r="R32" s="7">
        <v>390634</v>
      </c>
      <c r="S32" s="7"/>
      <c r="T32" s="7"/>
      <c r="U32" s="7"/>
      <c r="V32" s="7"/>
      <c r="W32" s="7"/>
      <c r="X32" s="7"/>
      <c r="Y32" s="7"/>
      <c r="Z32" s="7"/>
      <c r="AA32" s="7"/>
      <c r="AC32" s="40"/>
      <c r="AD32" s="9">
        <f>SUM(N32:AB32)</f>
        <v>1377944</v>
      </c>
      <c r="AE32" s="9">
        <f>SUM(N33:AB33)</f>
        <v>81294</v>
      </c>
      <c r="AF32" s="9">
        <f>SUM(N34:AB34)</f>
        <v>60350</v>
      </c>
      <c r="AG32" s="9">
        <f>E32</f>
        <v>110000</v>
      </c>
      <c r="AH32" s="9">
        <f>F32</f>
        <v>6381</v>
      </c>
      <c r="AI32" s="9">
        <f>G32</f>
        <v>5958</v>
      </c>
      <c r="AJ32" s="9">
        <f>H32</f>
        <v>1337913</v>
      </c>
      <c r="AK32" s="9">
        <f>I32</f>
        <v>80457</v>
      </c>
      <c r="AL32" s="9">
        <f>J32</f>
        <v>53449</v>
      </c>
      <c r="AM32" s="40"/>
      <c r="AN32" s="9">
        <f>AD32-B32</f>
        <v>-3000</v>
      </c>
      <c r="AO32" s="9">
        <f>AE32-C32</f>
        <v>0</v>
      </c>
      <c r="AP32" s="9">
        <f>AF32-D32</f>
        <v>0</v>
      </c>
      <c r="AQ32" s="43"/>
      <c r="AR32" s="48">
        <f>C32/B32*1000</f>
        <v>58.868426235966126</v>
      </c>
      <c r="AS32" s="48">
        <f>D32/B32*1000</f>
        <v>43.701989363797516</v>
      </c>
      <c r="AT32" s="49"/>
      <c r="AU32" s="48">
        <f>AR32-K32</f>
        <v>6.8426235966128957E-2</v>
      </c>
      <c r="AV32" s="48">
        <f>AS32-L32</f>
        <v>1.9893637975130218E-3</v>
      </c>
      <c r="AW32" s="43"/>
    </row>
    <row r="33" spans="1:55" s="2" customFormat="1" x14ac:dyDescent="0.55000000000000004">
      <c r="A33" s="1" t="s">
        <v>52</v>
      </c>
      <c r="B33" s="3"/>
      <c r="C33" s="3"/>
      <c r="D33" s="3"/>
      <c r="E33" s="3"/>
      <c r="F33" s="3"/>
      <c r="G33" s="3"/>
      <c r="H33" s="3"/>
      <c r="I33" s="3"/>
      <c r="J33" s="3"/>
      <c r="K33" s="28"/>
      <c r="L33" s="28"/>
      <c r="M33" s="3"/>
      <c r="N33" s="3">
        <v>27756</v>
      </c>
      <c r="O33" s="3">
        <v>10602</v>
      </c>
      <c r="P33" s="3">
        <v>9093</v>
      </c>
      <c r="Q33" s="3">
        <v>10163</v>
      </c>
      <c r="R33" s="3">
        <v>23680</v>
      </c>
      <c r="S33" s="3"/>
      <c r="T33" s="3"/>
      <c r="U33" s="3"/>
      <c r="V33" s="3"/>
      <c r="W33" s="3"/>
      <c r="X33" s="3"/>
      <c r="Y33" s="3"/>
      <c r="Z33" s="3"/>
      <c r="AA33" s="3"/>
      <c r="AC33" s="40"/>
      <c r="AM33" s="40"/>
      <c r="AQ33" s="40"/>
      <c r="AT33" s="40"/>
      <c r="AW33" s="40"/>
    </row>
    <row r="34" spans="1:55" s="2" customFormat="1" x14ac:dyDescent="0.55000000000000004">
      <c r="A34" s="1" t="s">
        <v>53</v>
      </c>
      <c r="B34" s="3"/>
      <c r="C34" s="3"/>
      <c r="D34" s="3"/>
      <c r="E34" s="3"/>
      <c r="F34" s="3"/>
      <c r="G34" s="3"/>
      <c r="H34" s="3"/>
      <c r="I34" s="3"/>
      <c r="J34" s="3"/>
      <c r="K34" s="28"/>
      <c r="L34" s="28"/>
      <c r="M34" s="3"/>
      <c r="N34" s="3">
        <v>20965</v>
      </c>
      <c r="O34" s="3">
        <v>6164</v>
      </c>
      <c r="P34" s="3">
        <v>7622</v>
      </c>
      <c r="Q34" s="3">
        <v>7441</v>
      </c>
      <c r="R34" s="3">
        <v>18158</v>
      </c>
      <c r="S34" s="3"/>
      <c r="T34" s="3"/>
      <c r="U34" s="3"/>
      <c r="V34" s="3"/>
      <c r="W34" s="3"/>
      <c r="X34" s="3"/>
      <c r="Y34" s="3"/>
      <c r="Z34" s="3"/>
      <c r="AA34" s="3"/>
      <c r="AC34" s="40"/>
      <c r="AM34" s="40"/>
      <c r="AQ34" s="40"/>
      <c r="AT34" s="40"/>
      <c r="AW34" s="40"/>
    </row>
    <row r="35" spans="1:55" s="8" customFormat="1" x14ac:dyDescent="0.55000000000000004">
      <c r="A35" s="6" t="s">
        <v>54</v>
      </c>
      <c r="B35" s="7">
        <v>2617253</v>
      </c>
      <c r="C35" s="7">
        <v>120433</v>
      </c>
      <c r="D35" s="7">
        <v>79121</v>
      </c>
      <c r="E35" s="7">
        <v>200341</v>
      </c>
      <c r="F35" s="7">
        <v>6133</v>
      </c>
      <c r="G35" s="7">
        <v>4723</v>
      </c>
      <c r="H35" s="7">
        <v>2494034</v>
      </c>
      <c r="I35" s="7">
        <v>124031</v>
      </c>
      <c r="J35" s="7">
        <v>77269</v>
      </c>
      <c r="K35" s="31">
        <v>46</v>
      </c>
      <c r="L35" s="31">
        <v>30.2</v>
      </c>
      <c r="M35" s="3"/>
      <c r="N35" s="7">
        <v>225462</v>
      </c>
      <c r="O35" s="7">
        <v>315118</v>
      </c>
      <c r="P35" s="7">
        <v>214576</v>
      </c>
      <c r="Q35" s="7">
        <v>208717</v>
      </c>
      <c r="R35" s="7">
        <v>216571</v>
      </c>
      <c r="S35" s="7">
        <v>139229</v>
      </c>
      <c r="T35" s="7">
        <v>183336</v>
      </c>
      <c r="U35" s="7">
        <v>198263</v>
      </c>
      <c r="V35" s="7">
        <v>267822</v>
      </c>
      <c r="W35" s="7">
        <v>246334</v>
      </c>
      <c r="X35" s="7">
        <v>181842</v>
      </c>
      <c r="Y35" s="7">
        <v>219983</v>
      </c>
      <c r="Z35" s="7"/>
      <c r="AA35" s="7"/>
      <c r="AC35" s="40"/>
      <c r="AD35" s="9">
        <f>SUM(N35:AB35)</f>
        <v>2617253</v>
      </c>
      <c r="AE35" s="9">
        <f>SUM(N36:AB36)</f>
        <v>120433</v>
      </c>
      <c r="AF35" s="9">
        <f>SUM(N37:AB37)</f>
        <v>79121</v>
      </c>
      <c r="AG35" s="9">
        <f>E35</f>
        <v>200341</v>
      </c>
      <c r="AH35" s="9">
        <f>F35</f>
        <v>6133</v>
      </c>
      <c r="AI35" s="9">
        <f>G35</f>
        <v>4723</v>
      </c>
      <c r="AJ35" s="9">
        <f>H35</f>
        <v>2494034</v>
      </c>
      <c r="AK35" s="9">
        <f>I35</f>
        <v>124031</v>
      </c>
      <c r="AL35" s="9">
        <f>J35</f>
        <v>77269</v>
      </c>
      <c r="AM35" s="40"/>
      <c r="AN35" s="9">
        <f>AD35-B35</f>
        <v>0</v>
      </c>
      <c r="AO35" s="9">
        <f>AE35-C35</f>
        <v>0</v>
      </c>
      <c r="AP35" s="9">
        <f>AF35-D35</f>
        <v>0</v>
      </c>
      <c r="AQ35" s="43"/>
      <c r="AR35" s="48">
        <f>C35/B35*1000</f>
        <v>46.015039432565366</v>
      </c>
      <c r="AS35" s="48">
        <f>D35/B35*1000</f>
        <v>30.230550886750343</v>
      </c>
      <c r="AT35" s="49"/>
      <c r="AU35" s="48">
        <f>AR35-K35</f>
        <v>1.503943256536644E-2</v>
      </c>
      <c r="AV35" s="48">
        <f>AS35-L35</f>
        <v>3.0550886750344119E-2</v>
      </c>
      <c r="AW35" s="43"/>
    </row>
    <row r="36" spans="1:55" s="2" customFormat="1" x14ac:dyDescent="0.55000000000000004">
      <c r="A36" s="1" t="s">
        <v>55</v>
      </c>
      <c r="B36" s="3"/>
      <c r="C36" s="3"/>
      <c r="D36" s="3"/>
      <c r="E36" s="3"/>
      <c r="F36" s="3"/>
      <c r="G36" s="3"/>
      <c r="H36" s="3"/>
      <c r="I36" s="3"/>
      <c r="J36" s="3"/>
      <c r="K36" s="28"/>
      <c r="L36" s="28"/>
      <c r="M36" s="3"/>
      <c r="N36" s="3">
        <v>9392</v>
      </c>
      <c r="O36" s="3">
        <v>16657</v>
      </c>
      <c r="P36" s="3">
        <v>9755</v>
      </c>
      <c r="Q36" s="3">
        <v>9488</v>
      </c>
      <c r="R36" s="3">
        <v>10264</v>
      </c>
      <c r="S36" s="3">
        <v>7218</v>
      </c>
      <c r="T36" s="3">
        <v>8551</v>
      </c>
      <c r="U36" s="3">
        <v>8807</v>
      </c>
      <c r="V36" s="3">
        <v>9186</v>
      </c>
      <c r="W36" s="3">
        <v>11947</v>
      </c>
      <c r="X36" s="3">
        <v>8897</v>
      </c>
      <c r="Y36" s="3">
        <v>10271</v>
      </c>
      <c r="Z36" s="3"/>
      <c r="AA36" s="3"/>
      <c r="AC36" s="40"/>
      <c r="AM36" s="40"/>
      <c r="AQ36" s="40"/>
      <c r="AT36" s="40"/>
      <c r="AW36" s="40"/>
    </row>
    <row r="37" spans="1:55" s="2" customFormat="1" x14ac:dyDescent="0.55000000000000004">
      <c r="A37" s="1" t="s">
        <v>56</v>
      </c>
      <c r="B37" s="3"/>
      <c r="C37" s="3"/>
      <c r="D37" s="3"/>
      <c r="E37" s="3"/>
      <c r="F37" s="3"/>
      <c r="G37" s="3"/>
      <c r="H37" s="3"/>
      <c r="I37" s="3"/>
      <c r="J37" s="3"/>
      <c r="K37" s="28"/>
      <c r="L37" s="28"/>
      <c r="M37" s="3"/>
      <c r="N37" s="3">
        <v>7648</v>
      </c>
      <c r="O37" s="3">
        <v>10808</v>
      </c>
      <c r="P37" s="3">
        <v>5459</v>
      </c>
      <c r="Q37" s="3">
        <v>5585</v>
      </c>
      <c r="R37" s="3">
        <v>6912</v>
      </c>
      <c r="S37" s="3">
        <v>4349</v>
      </c>
      <c r="T37" s="3">
        <v>5542</v>
      </c>
      <c r="U37" s="3">
        <v>6891</v>
      </c>
      <c r="V37" s="3">
        <v>5448</v>
      </c>
      <c r="W37" s="3">
        <v>7867</v>
      </c>
      <c r="X37" s="3">
        <v>5764</v>
      </c>
      <c r="Y37" s="3">
        <v>6848</v>
      </c>
      <c r="Z37" s="3"/>
      <c r="AA37" s="3"/>
      <c r="AC37" s="40"/>
      <c r="AM37" s="40"/>
      <c r="AQ37" s="40"/>
      <c r="AT37" s="40"/>
      <c r="AW37" s="40"/>
    </row>
    <row r="38" spans="1:55" s="13" customFormat="1" x14ac:dyDescent="0.55000000000000004">
      <c r="A38" s="11" t="s">
        <v>57</v>
      </c>
      <c r="B38" s="12">
        <v>19774385</v>
      </c>
      <c r="C38" s="12">
        <v>911131</v>
      </c>
      <c r="D38" s="12">
        <v>587950</v>
      </c>
      <c r="E38" s="12">
        <v>2125938</v>
      </c>
      <c r="F38" s="12">
        <v>70161</v>
      </c>
      <c r="G38" s="12">
        <v>51777</v>
      </c>
      <c r="H38" s="12">
        <v>18920612</v>
      </c>
      <c r="I38" s="12">
        <v>889247</v>
      </c>
      <c r="J38" s="12">
        <v>553178</v>
      </c>
      <c r="K38" s="32">
        <v>46.9</v>
      </c>
      <c r="L38" s="32">
        <v>30.3</v>
      </c>
      <c r="M38" s="3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C38" s="40"/>
      <c r="AD38" s="14">
        <f>SUM(AD2:AD36)</f>
        <v>19781355</v>
      </c>
      <c r="AE38" s="14">
        <f>SUM(AE2:AE36)</f>
        <v>911127</v>
      </c>
      <c r="AF38" s="14">
        <f>SUM(AF2:AF36)</f>
        <v>587953</v>
      </c>
      <c r="AG38" s="14">
        <f>SUM(AG2:AG36)</f>
        <v>2154653</v>
      </c>
      <c r="AH38" s="14">
        <f>SUM(AH2:AH36)</f>
        <v>71108</v>
      </c>
      <c r="AI38" s="14">
        <f>SUM(AI2:AI36)</f>
        <v>52699</v>
      </c>
      <c r="AJ38" s="14">
        <f>SUM(AJ2:AJ36)</f>
        <v>18899646</v>
      </c>
      <c r="AK38" s="14">
        <f>SUM(AK2:AK36)</f>
        <v>889248</v>
      </c>
      <c r="AL38" s="14">
        <f>SUM(AL2:AL36)</f>
        <v>553178</v>
      </c>
      <c r="AM38" s="40"/>
      <c r="AN38" s="14">
        <f>AD38-B38</f>
        <v>6970</v>
      </c>
      <c r="AO38" s="14">
        <f>AE38-C38</f>
        <v>-4</v>
      </c>
      <c r="AP38" s="14">
        <f>AF38-D38</f>
        <v>3</v>
      </c>
      <c r="AQ38" s="43"/>
      <c r="AR38" s="48">
        <f>C38/B38*1000</f>
        <v>46.076325508985484</v>
      </c>
      <c r="AS38" s="48">
        <f>D38/B38*1000</f>
        <v>29.732909519057106</v>
      </c>
      <c r="AT38" s="49"/>
      <c r="AU38" s="48">
        <f>AR38-K38</f>
        <v>-0.82367449101451484</v>
      </c>
      <c r="AV38" s="48">
        <f>AS38-L38</f>
        <v>-0.56709048094289471</v>
      </c>
      <c r="AW38" s="43"/>
      <c r="AX38" s="14">
        <f>E38-AG38</f>
        <v>-28715</v>
      </c>
      <c r="AY38" s="14">
        <f>F38-AH38</f>
        <v>-947</v>
      </c>
      <c r="AZ38" s="14">
        <f>G38-AI38</f>
        <v>-922</v>
      </c>
      <c r="BA38" s="14">
        <f>H38-AJ38</f>
        <v>20966</v>
      </c>
      <c r="BB38" s="14">
        <f>I38-AK38</f>
        <v>-1</v>
      </c>
      <c r="BC38" s="14">
        <f>J38-AL38</f>
        <v>0</v>
      </c>
    </row>
    <row r="39" spans="1:55" s="8" customFormat="1" x14ac:dyDescent="0.55000000000000004">
      <c r="A39" s="6" t="s">
        <v>58</v>
      </c>
      <c r="B39" s="7">
        <v>455852</v>
      </c>
      <c r="C39" s="7">
        <v>20777</v>
      </c>
      <c r="D39" s="7">
        <v>13302</v>
      </c>
      <c r="E39" s="10" t="s">
        <v>25</v>
      </c>
      <c r="F39" s="10" t="s">
        <v>25</v>
      </c>
      <c r="G39" s="10" t="s">
        <v>25</v>
      </c>
      <c r="H39" s="7">
        <v>449919</v>
      </c>
      <c r="I39" s="7">
        <v>19106</v>
      </c>
      <c r="J39" s="7">
        <v>12274</v>
      </c>
      <c r="K39" s="30">
        <v>45.5</v>
      </c>
      <c r="L39" s="30">
        <v>29.2</v>
      </c>
      <c r="M39" s="3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C39" s="40"/>
      <c r="AD39" s="9">
        <f>B39</f>
        <v>455852</v>
      </c>
      <c r="AE39" s="9">
        <f>C39</f>
        <v>20777</v>
      </c>
      <c r="AF39" s="9">
        <f>D39</f>
        <v>13302</v>
      </c>
      <c r="AG39" s="10" t="str">
        <f>E39</f>
        <v>—</v>
      </c>
      <c r="AH39" s="10" t="str">
        <f>F39</f>
        <v>—</v>
      </c>
      <c r="AI39" s="10" t="str">
        <f>G39</f>
        <v>—</v>
      </c>
      <c r="AJ39" s="9">
        <f>H39</f>
        <v>449919</v>
      </c>
      <c r="AK39" s="9">
        <f>I39</f>
        <v>19106</v>
      </c>
      <c r="AL39" s="9">
        <f>J39</f>
        <v>12274</v>
      </c>
      <c r="AM39" s="40"/>
      <c r="AQ39" s="40"/>
      <c r="AR39" s="48">
        <f>C39/B39*1000</f>
        <v>45.578389477286485</v>
      </c>
      <c r="AS39" s="48">
        <f>D39/B39*1000</f>
        <v>29.180523503242281</v>
      </c>
      <c r="AT39" s="49"/>
      <c r="AU39" s="48">
        <f>AR39-K39</f>
        <v>7.8389477286485487E-2</v>
      </c>
      <c r="AV39" s="48">
        <f>AS39-L39</f>
        <v>-1.9476496757718564E-2</v>
      </c>
      <c r="AW39" s="40"/>
    </row>
    <row r="40" spans="1:55" s="8" customFormat="1" x14ac:dyDescent="0.55000000000000004">
      <c r="A40" s="6" t="s">
        <v>59</v>
      </c>
      <c r="B40" s="7">
        <v>1043412</v>
      </c>
      <c r="C40" s="7">
        <v>41044</v>
      </c>
      <c r="D40" s="7">
        <v>26410</v>
      </c>
      <c r="E40" s="7">
        <v>63476</v>
      </c>
      <c r="F40" s="7">
        <v>2425</v>
      </c>
      <c r="G40" s="7">
        <v>1797</v>
      </c>
      <c r="H40" s="7">
        <v>1010031</v>
      </c>
      <c r="I40" s="7">
        <v>42909</v>
      </c>
      <c r="J40" s="7">
        <v>25196</v>
      </c>
      <c r="K40" s="31">
        <v>39.1</v>
      </c>
      <c r="L40" s="31">
        <v>25.2</v>
      </c>
      <c r="M40" s="3"/>
      <c r="N40" s="7">
        <v>128408</v>
      </c>
      <c r="O40" s="7">
        <v>85816</v>
      </c>
      <c r="P40" s="7">
        <v>86450</v>
      </c>
      <c r="Q40" s="7">
        <v>109232</v>
      </c>
      <c r="R40" s="7">
        <v>87073</v>
      </c>
      <c r="S40" s="7">
        <v>88095</v>
      </c>
      <c r="T40" s="7">
        <v>84188</v>
      </c>
      <c r="U40" s="7">
        <v>92913</v>
      </c>
      <c r="V40" s="7">
        <v>86994</v>
      </c>
      <c r="W40" s="7">
        <v>64946</v>
      </c>
      <c r="X40" s="7">
        <v>49744</v>
      </c>
      <c r="Y40" s="7">
        <v>79553</v>
      </c>
      <c r="Z40" s="7"/>
      <c r="AA40" s="7"/>
      <c r="AC40" s="40"/>
      <c r="AD40" s="9">
        <f>SUM(N40:AB40)</f>
        <v>1043412</v>
      </c>
      <c r="AE40" s="9">
        <f>SUM(N41:AB41)</f>
        <v>41044</v>
      </c>
      <c r="AF40" s="9">
        <f>SUM(N42:AB42)</f>
        <v>26410</v>
      </c>
      <c r="AG40" s="9">
        <f>E40</f>
        <v>63476</v>
      </c>
      <c r="AH40" s="9">
        <f>F40</f>
        <v>2425</v>
      </c>
      <c r="AI40" s="9">
        <f>G40</f>
        <v>1797</v>
      </c>
      <c r="AJ40" s="9">
        <f>H40</f>
        <v>1010031</v>
      </c>
      <c r="AK40" s="9">
        <f>I40</f>
        <v>42909</v>
      </c>
      <c r="AL40" s="9">
        <f>J40</f>
        <v>25196</v>
      </c>
      <c r="AM40" s="40"/>
      <c r="AN40" s="9">
        <f>AD40-B40</f>
        <v>0</v>
      </c>
      <c r="AO40" s="9">
        <f>AE40-C40</f>
        <v>0</v>
      </c>
      <c r="AP40" s="9">
        <f>AF40-D40</f>
        <v>0</v>
      </c>
      <c r="AQ40" s="43"/>
      <c r="AR40" s="48">
        <f>C40/B40*1000</f>
        <v>39.336331190363921</v>
      </c>
      <c r="AS40" s="48">
        <f>D40/B40*1000</f>
        <v>25.311190593936047</v>
      </c>
      <c r="AT40" s="49"/>
      <c r="AU40" s="48">
        <f>AR40-K40</f>
        <v>0.23633119036392003</v>
      </c>
      <c r="AV40" s="48">
        <f>AS40-L40</f>
        <v>0.11119059393604758</v>
      </c>
      <c r="AW40" s="43"/>
    </row>
    <row r="41" spans="1:55" s="2" customFormat="1" x14ac:dyDescent="0.55000000000000004">
      <c r="A41" s="1" t="s">
        <v>60</v>
      </c>
      <c r="B41" s="3"/>
      <c r="C41" s="3"/>
      <c r="D41" s="3"/>
      <c r="E41" s="3"/>
      <c r="F41" s="3"/>
      <c r="G41" s="3"/>
      <c r="H41" s="3"/>
      <c r="I41" s="3"/>
      <c r="J41" s="3"/>
      <c r="K41" s="28"/>
      <c r="L41" s="28"/>
      <c r="M41" s="3"/>
      <c r="N41" s="3">
        <v>4479</v>
      </c>
      <c r="O41" s="3">
        <v>4189</v>
      </c>
      <c r="P41" s="3">
        <v>4373</v>
      </c>
      <c r="Q41" s="3">
        <v>4396</v>
      </c>
      <c r="R41" s="3">
        <v>2879</v>
      </c>
      <c r="S41" s="3">
        <v>3733</v>
      </c>
      <c r="T41" s="3">
        <v>2871</v>
      </c>
      <c r="U41" s="3">
        <v>3566</v>
      </c>
      <c r="V41" s="3">
        <v>2964</v>
      </c>
      <c r="W41" s="3">
        <v>2981</v>
      </c>
      <c r="X41" s="3">
        <v>1700</v>
      </c>
      <c r="Y41" s="3">
        <v>2913</v>
      </c>
      <c r="Z41" s="3"/>
      <c r="AA41" s="3"/>
      <c r="AC41" s="40"/>
      <c r="AM41" s="40"/>
      <c r="AQ41" s="40"/>
      <c r="AT41" s="40"/>
      <c r="AW41" s="40"/>
    </row>
    <row r="42" spans="1:55" s="2" customFormat="1" x14ac:dyDescent="0.55000000000000004">
      <c r="A42" s="1" t="s">
        <v>61</v>
      </c>
      <c r="B42" s="3"/>
      <c r="C42" s="3"/>
      <c r="D42" s="3"/>
      <c r="E42" s="3"/>
      <c r="F42" s="3"/>
      <c r="G42" s="3"/>
      <c r="H42" s="3"/>
      <c r="I42" s="3"/>
      <c r="J42" s="3"/>
      <c r="K42" s="28"/>
      <c r="L42" s="28"/>
      <c r="M42" s="3"/>
      <c r="N42" s="3">
        <v>2221</v>
      </c>
      <c r="O42" s="3">
        <v>2897</v>
      </c>
      <c r="P42" s="3">
        <v>3115</v>
      </c>
      <c r="Q42" s="3">
        <v>2624</v>
      </c>
      <c r="R42" s="3">
        <v>2014</v>
      </c>
      <c r="S42" s="3">
        <v>2470</v>
      </c>
      <c r="T42" s="3">
        <v>1877</v>
      </c>
      <c r="U42" s="3">
        <v>2338</v>
      </c>
      <c r="V42" s="3">
        <v>2235</v>
      </c>
      <c r="W42" s="3">
        <v>1936</v>
      </c>
      <c r="X42" s="3">
        <v>1054</v>
      </c>
      <c r="Y42" s="3">
        <v>1629</v>
      </c>
      <c r="Z42" s="3"/>
      <c r="AA42" s="3"/>
      <c r="AC42" s="40"/>
      <c r="AM42" s="40"/>
      <c r="AQ42" s="40"/>
      <c r="AT42" s="40"/>
      <c r="AW42" s="40"/>
    </row>
    <row r="43" spans="1:55" s="8" customFormat="1" x14ac:dyDescent="0.55000000000000004">
      <c r="A43" s="6" t="s">
        <v>62</v>
      </c>
      <c r="B43" s="7">
        <v>881798</v>
      </c>
      <c r="C43" s="7">
        <v>35951</v>
      </c>
      <c r="D43" s="7">
        <v>20553</v>
      </c>
      <c r="E43" s="7">
        <v>65454</v>
      </c>
      <c r="F43" s="7">
        <v>1832</v>
      </c>
      <c r="G43" s="7">
        <v>1198</v>
      </c>
      <c r="H43" s="7">
        <v>848501</v>
      </c>
      <c r="I43" s="7">
        <v>33773</v>
      </c>
      <c r="J43" s="7">
        <v>20458</v>
      </c>
      <c r="K43" s="31">
        <v>40.700000000000003</v>
      </c>
      <c r="L43" s="31">
        <v>23.3</v>
      </c>
      <c r="M43" s="3"/>
      <c r="N43" s="7">
        <v>118511</v>
      </c>
      <c r="O43" s="7">
        <v>134550</v>
      </c>
      <c r="P43" s="7">
        <v>105448</v>
      </c>
      <c r="Q43" s="7">
        <v>89210</v>
      </c>
      <c r="R43" s="7">
        <v>117341</v>
      </c>
      <c r="S43" s="7">
        <v>86814</v>
      </c>
      <c r="T43" s="7">
        <v>129360</v>
      </c>
      <c r="U43" s="7">
        <v>100564</v>
      </c>
      <c r="V43" s="7"/>
      <c r="W43" s="7"/>
      <c r="X43" s="7"/>
      <c r="Y43" s="7"/>
      <c r="Z43" s="7"/>
      <c r="AA43" s="7"/>
      <c r="AC43" s="40"/>
      <c r="AD43" s="9">
        <f>SUM(N43:AB43)</f>
        <v>881798</v>
      </c>
      <c r="AE43" s="9">
        <f>SUM(N44:AB44)</f>
        <v>35951</v>
      </c>
      <c r="AF43" s="9">
        <f>SUM(N45:AB45)</f>
        <v>20553</v>
      </c>
      <c r="AG43" s="9">
        <f>E43</f>
        <v>65454</v>
      </c>
      <c r="AH43" s="9">
        <f>F43</f>
        <v>1832</v>
      </c>
      <c r="AI43" s="9">
        <f>G43</f>
        <v>1198</v>
      </c>
      <c r="AJ43" s="9">
        <f>H43</f>
        <v>848501</v>
      </c>
      <c r="AK43" s="9">
        <f>I43</f>
        <v>33773</v>
      </c>
      <c r="AL43" s="9">
        <f>J43</f>
        <v>20458</v>
      </c>
      <c r="AM43" s="40"/>
      <c r="AN43" s="9">
        <f>AD43-B43</f>
        <v>0</v>
      </c>
      <c r="AO43" s="9">
        <f>AE43-C43</f>
        <v>0</v>
      </c>
      <c r="AP43" s="9">
        <f>AF43-D43</f>
        <v>0</v>
      </c>
      <c r="AQ43" s="43"/>
      <c r="AR43" s="48">
        <f>C43/B43*1000</f>
        <v>40.770108346809586</v>
      </c>
      <c r="AS43" s="48">
        <f>D43/B43*1000</f>
        <v>23.308059215375859</v>
      </c>
      <c r="AT43" s="49"/>
      <c r="AU43" s="48">
        <f>AR43-K43</f>
        <v>7.0108346809583111E-2</v>
      </c>
      <c r="AV43" s="48">
        <f>AS43-L43</f>
        <v>8.0592153758587415E-3</v>
      </c>
      <c r="AW43" s="43"/>
    </row>
    <row r="44" spans="1:55" s="2" customFormat="1" x14ac:dyDescent="0.55000000000000004">
      <c r="A44" s="1" t="s">
        <v>63</v>
      </c>
      <c r="B44" s="3"/>
      <c r="C44" s="3"/>
      <c r="D44" s="3"/>
      <c r="E44" s="3"/>
      <c r="F44" s="3"/>
      <c r="G44" s="3"/>
      <c r="H44" s="3"/>
      <c r="I44" s="3"/>
      <c r="J44" s="3"/>
      <c r="K44" s="28"/>
      <c r="L44" s="28"/>
      <c r="M44" s="3"/>
      <c r="N44" s="3">
        <v>3774</v>
      </c>
      <c r="O44" s="3">
        <v>5168</v>
      </c>
      <c r="P44" s="3">
        <v>4141</v>
      </c>
      <c r="Q44" s="3">
        <v>3477</v>
      </c>
      <c r="R44" s="3">
        <v>4088</v>
      </c>
      <c r="S44" s="3">
        <v>3670</v>
      </c>
      <c r="T44" s="3">
        <v>4139</v>
      </c>
      <c r="U44" s="3">
        <v>7494</v>
      </c>
      <c r="V44" s="3"/>
      <c r="W44" s="3"/>
      <c r="X44" s="3"/>
      <c r="Y44" s="3"/>
      <c r="Z44" s="3"/>
      <c r="AA44" s="3"/>
      <c r="AC44" s="40"/>
      <c r="AM44" s="40"/>
      <c r="AQ44" s="40"/>
      <c r="AT44" s="40"/>
      <c r="AW44" s="40"/>
    </row>
    <row r="45" spans="1:55" s="2" customFormat="1" x14ac:dyDescent="0.55000000000000004">
      <c r="A45" s="1" t="s">
        <v>64</v>
      </c>
      <c r="B45" s="3"/>
      <c r="C45" s="3"/>
      <c r="D45" s="3"/>
      <c r="E45" s="3"/>
      <c r="F45" s="3"/>
      <c r="G45" s="3"/>
      <c r="H45" s="3"/>
      <c r="I45" s="3"/>
      <c r="J45" s="3"/>
      <c r="K45" s="28"/>
      <c r="L45" s="28"/>
      <c r="M45" s="3"/>
      <c r="N45" s="3">
        <v>2066</v>
      </c>
      <c r="O45" s="3">
        <v>3041</v>
      </c>
      <c r="P45" s="3">
        <v>2110</v>
      </c>
      <c r="Q45" s="3">
        <v>1969</v>
      </c>
      <c r="R45" s="3">
        <v>2197</v>
      </c>
      <c r="S45" s="3">
        <v>2110</v>
      </c>
      <c r="T45" s="3">
        <v>2624</v>
      </c>
      <c r="U45" s="3">
        <v>4436</v>
      </c>
      <c r="V45" s="3"/>
      <c r="W45" s="3"/>
      <c r="X45" s="3"/>
      <c r="Y45" s="3"/>
      <c r="Z45" s="3"/>
      <c r="AA45" s="3"/>
      <c r="AC45" s="40"/>
      <c r="AM45" s="40"/>
      <c r="AQ45" s="40"/>
      <c r="AT45" s="40"/>
      <c r="AW45" s="40"/>
    </row>
    <row r="46" spans="1:55" s="8" customFormat="1" x14ac:dyDescent="0.55000000000000004">
      <c r="A46" s="6" t="s">
        <v>65</v>
      </c>
      <c r="B46" s="7">
        <v>737663</v>
      </c>
      <c r="C46" s="7">
        <v>27849</v>
      </c>
      <c r="D46" s="7">
        <v>17978</v>
      </c>
      <c r="E46" s="7">
        <v>46973</v>
      </c>
      <c r="F46" s="7">
        <v>1574</v>
      </c>
      <c r="G46" s="7">
        <v>951</v>
      </c>
      <c r="H46" s="7">
        <v>706451</v>
      </c>
      <c r="I46" s="7">
        <v>28394</v>
      </c>
      <c r="J46" s="7">
        <v>14742</v>
      </c>
      <c r="K46" s="31">
        <v>37.700000000000003</v>
      </c>
      <c r="L46" s="31">
        <v>24.3</v>
      </c>
      <c r="M46" s="3"/>
      <c r="N46" s="7">
        <v>120792</v>
      </c>
      <c r="O46" s="7">
        <v>78226</v>
      </c>
      <c r="P46" s="7">
        <v>92159</v>
      </c>
      <c r="Q46" s="7">
        <v>104839</v>
      </c>
      <c r="R46" s="7">
        <v>113785</v>
      </c>
      <c r="S46" s="7">
        <v>103350</v>
      </c>
      <c r="T46" s="7">
        <v>124512</v>
      </c>
      <c r="U46" s="7"/>
      <c r="V46" s="7"/>
      <c r="W46" s="7"/>
      <c r="X46" s="7"/>
      <c r="Y46" s="7"/>
      <c r="Z46" s="7"/>
      <c r="AA46" s="7"/>
      <c r="AC46" s="40"/>
      <c r="AD46" s="9">
        <f>SUM(N46:AB46)</f>
        <v>737663</v>
      </c>
      <c r="AE46" s="9">
        <f>SUM(N47:AB47)</f>
        <v>27847</v>
      </c>
      <c r="AF46" s="9">
        <f>SUM(N48:AB48)</f>
        <v>17978</v>
      </c>
      <c r="AG46" s="9">
        <f>E46</f>
        <v>46973</v>
      </c>
      <c r="AH46" s="9">
        <f>F46</f>
        <v>1574</v>
      </c>
      <c r="AI46" s="9">
        <f>G46</f>
        <v>951</v>
      </c>
      <c r="AJ46" s="9">
        <f>H46</f>
        <v>706451</v>
      </c>
      <c r="AK46" s="9">
        <f>I46</f>
        <v>28394</v>
      </c>
      <c r="AL46" s="9">
        <f>J46</f>
        <v>14742</v>
      </c>
      <c r="AM46" s="40"/>
      <c r="AN46" s="9">
        <f>AD46-B46</f>
        <v>0</v>
      </c>
      <c r="AO46" s="9">
        <f>AE46-C46</f>
        <v>-2</v>
      </c>
      <c r="AP46" s="9">
        <f>AF46-D46</f>
        <v>0</v>
      </c>
      <c r="AQ46" s="43"/>
      <c r="AR46" s="48">
        <f>C46/B46*1000</f>
        <v>37.753011876697087</v>
      </c>
      <c r="AS46" s="48">
        <f>D46/B46*1000</f>
        <v>24.371562624125108</v>
      </c>
      <c r="AT46" s="49"/>
      <c r="AU46" s="48">
        <f>AR46-K46</f>
        <v>5.3011876697084404E-2</v>
      </c>
      <c r="AV46" s="48">
        <f>AS46-L46</f>
        <v>7.1562624125107277E-2</v>
      </c>
      <c r="AW46" s="43"/>
    </row>
    <row r="47" spans="1:55" s="2" customFormat="1" x14ac:dyDescent="0.55000000000000004">
      <c r="A47" s="1" t="s">
        <v>66</v>
      </c>
      <c r="B47" s="3"/>
      <c r="C47" s="3"/>
      <c r="D47" s="3"/>
      <c r="E47" s="3"/>
      <c r="F47" s="3"/>
      <c r="G47" s="3"/>
      <c r="H47" s="3"/>
      <c r="I47" s="3"/>
      <c r="J47" s="3"/>
      <c r="K47" s="28"/>
      <c r="L47" s="28"/>
      <c r="M47" s="3"/>
      <c r="N47" s="3">
        <v>3409</v>
      </c>
      <c r="O47" s="3">
        <v>3450</v>
      </c>
      <c r="P47" s="3">
        <v>3438</v>
      </c>
      <c r="Q47" s="3">
        <v>4234</v>
      </c>
      <c r="R47" s="3">
        <v>4308</v>
      </c>
      <c r="S47" s="3">
        <v>4069</v>
      </c>
      <c r="T47" s="3">
        <v>4939</v>
      </c>
      <c r="U47" s="3"/>
      <c r="V47" s="3"/>
      <c r="W47" s="3"/>
      <c r="X47" s="3"/>
      <c r="Y47" s="3"/>
      <c r="Z47" s="3"/>
      <c r="AA47" s="3"/>
      <c r="AC47" s="40"/>
      <c r="AM47" s="40"/>
      <c r="AQ47" s="40"/>
      <c r="AT47" s="40"/>
      <c r="AW47" s="40"/>
    </row>
    <row r="48" spans="1:55" s="2" customFormat="1" x14ac:dyDescent="0.55000000000000004">
      <c r="A48" s="1" t="s">
        <v>67</v>
      </c>
      <c r="B48" s="3"/>
      <c r="C48" s="3"/>
      <c r="D48" s="3"/>
      <c r="E48" s="3"/>
      <c r="F48" s="3"/>
      <c r="G48" s="3"/>
      <c r="H48" s="3"/>
      <c r="I48" s="3"/>
      <c r="J48" s="3"/>
      <c r="K48" s="28"/>
      <c r="L48" s="28"/>
      <c r="M48" s="3"/>
      <c r="N48" s="3">
        <v>2131</v>
      </c>
      <c r="O48" s="3">
        <v>1799</v>
      </c>
      <c r="P48" s="3">
        <v>2158</v>
      </c>
      <c r="Q48" s="3">
        <v>2777</v>
      </c>
      <c r="R48" s="3">
        <v>2634</v>
      </c>
      <c r="S48" s="3">
        <v>3016</v>
      </c>
      <c r="T48" s="3">
        <v>3463</v>
      </c>
      <c r="U48" s="3"/>
      <c r="V48" s="3"/>
      <c r="W48" s="3"/>
      <c r="X48" s="3"/>
      <c r="Y48" s="3"/>
      <c r="Z48" s="3"/>
      <c r="AA48" s="3"/>
      <c r="AC48" s="40"/>
      <c r="AM48" s="40"/>
      <c r="AQ48" s="40"/>
      <c r="AT48" s="40"/>
      <c r="AW48" s="40"/>
    </row>
    <row r="49" spans="1:49" s="8" customFormat="1" x14ac:dyDescent="0.55000000000000004">
      <c r="A49" s="6" t="s">
        <v>68</v>
      </c>
      <c r="B49" s="7">
        <v>643795</v>
      </c>
      <c r="C49" s="7">
        <v>25903</v>
      </c>
      <c r="D49" s="7">
        <v>18319</v>
      </c>
      <c r="E49" s="7">
        <v>62399</v>
      </c>
      <c r="F49" s="7">
        <v>2594</v>
      </c>
      <c r="G49" s="7">
        <v>2034</v>
      </c>
      <c r="H49" s="7">
        <v>619509</v>
      </c>
      <c r="I49" s="7">
        <v>24982</v>
      </c>
      <c r="J49" s="7">
        <v>17571</v>
      </c>
      <c r="K49" s="31">
        <v>40.200000000000003</v>
      </c>
      <c r="L49" s="31">
        <v>28.4</v>
      </c>
      <c r="M49" s="3"/>
      <c r="N49" s="7">
        <v>101779</v>
      </c>
      <c r="O49" s="7">
        <v>76830</v>
      </c>
      <c r="P49" s="7">
        <v>76882</v>
      </c>
      <c r="Q49" s="7">
        <v>59396</v>
      </c>
      <c r="R49" s="7">
        <v>92420</v>
      </c>
      <c r="S49" s="7">
        <v>76071</v>
      </c>
      <c r="T49" s="7">
        <v>96962</v>
      </c>
      <c r="U49" s="7">
        <v>63455</v>
      </c>
      <c r="V49" s="7"/>
      <c r="W49" s="7"/>
      <c r="X49" s="7"/>
      <c r="Y49" s="7"/>
      <c r="Z49" s="7"/>
      <c r="AA49" s="7"/>
      <c r="AC49" s="40"/>
      <c r="AD49" s="9">
        <f>SUM(N49:AB49)</f>
        <v>643795</v>
      </c>
      <c r="AE49" s="9">
        <f>SUM(N50:AB50)</f>
        <v>25903</v>
      </c>
      <c r="AF49" s="9">
        <f>SUM(N51:AB51)</f>
        <v>18319</v>
      </c>
      <c r="AG49" s="9">
        <f>E49</f>
        <v>62399</v>
      </c>
      <c r="AH49" s="9">
        <f>F49</f>
        <v>2594</v>
      </c>
      <c r="AI49" s="9">
        <f>G49</f>
        <v>2034</v>
      </c>
      <c r="AJ49" s="9">
        <f>H49</f>
        <v>619509</v>
      </c>
      <c r="AK49" s="9">
        <f>I49</f>
        <v>24982</v>
      </c>
      <c r="AL49" s="9">
        <f>J49</f>
        <v>17571</v>
      </c>
      <c r="AM49" s="40"/>
      <c r="AN49" s="9">
        <f>AD49-B49</f>
        <v>0</v>
      </c>
      <c r="AO49" s="9">
        <f>AE49-C49</f>
        <v>0</v>
      </c>
      <c r="AP49" s="9">
        <f>AF49-D49</f>
        <v>0</v>
      </c>
      <c r="AQ49" s="43"/>
      <c r="AR49" s="48">
        <f>C49/B49*1000</f>
        <v>40.234857369193612</v>
      </c>
      <c r="AS49" s="48">
        <f>D49/B49*1000</f>
        <v>28.454709962022072</v>
      </c>
      <c r="AT49" s="49"/>
      <c r="AU49" s="48">
        <f>AR49-K49</f>
        <v>3.48573691936096E-2</v>
      </c>
      <c r="AV49" s="48">
        <f>AS49-L49</f>
        <v>5.4709962022073455E-2</v>
      </c>
      <c r="AW49" s="43"/>
    </row>
    <row r="50" spans="1:49" s="2" customFormat="1" x14ac:dyDescent="0.55000000000000004">
      <c r="A50" s="1" t="s">
        <v>69</v>
      </c>
      <c r="B50" s="3"/>
      <c r="C50" s="3"/>
      <c r="D50" s="3"/>
      <c r="E50" s="3"/>
      <c r="F50" s="3"/>
      <c r="G50" s="3"/>
      <c r="H50" s="3"/>
      <c r="I50" s="3"/>
      <c r="J50" s="3"/>
      <c r="K50" s="28"/>
      <c r="L50" s="28"/>
      <c r="M50" s="3"/>
      <c r="N50" s="3">
        <v>4392</v>
      </c>
      <c r="O50" s="3">
        <v>3296</v>
      </c>
      <c r="P50" s="3">
        <v>2370</v>
      </c>
      <c r="Q50" s="3">
        <v>2594</v>
      </c>
      <c r="R50" s="3">
        <v>3606</v>
      </c>
      <c r="S50" s="3">
        <v>3441</v>
      </c>
      <c r="T50" s="3">
        <v>3259</v>
      </c>
      <c r="U50" s="3">
        <v>2945</v>
      </c>
      <c r="V50" s="3"/>
      <c r="W50" s="3"/>
      <c r="X50" s="3"/>
      <c r="Y50" s="3"/>
      <c r="Z50" s="3"/>
      <c r="AA50" s="3"/>
      <c r="AC50" s="40"/>
      <c r="AM50" s="40"/>
      <c r="AQ50" s="40"/>
      <c r="AT50" s="40"/>
      <c r="AW50" s="40"/>
    </row>
    <row r="51" spans="1:49" s="2" customFormat="1" x14ac:dyDescent="0.55000000000000004">
      <c r="A51" s="1" t="s">
        <v>70</v>
      </c>
      <c r="B51" s="3"/>
      <c r="C51" s="3"/>
      <c r="D51" s="3"/>
      <c r="E51" s="3"/>
      <c r="F51" s="3"/>
      <c r="G51" s="3"/>
      <c r="H51" s="3"/>
      <c r="I51" s="3"/>
      <c r="J51" s="3"/>
      <c r="K51" s="28"/>
      <c r="L51" s="28"/>
      <c r="M51" s="3"/>
      <c r="N51" s="3">
        <v>3257</v>
      </c>
      <c r="O51" s="3">
        <v>3083</v>
      </c>
      <c r="P51" s="3">
        <v>1734</v>
      </c>
      <c r="Q51" s="3">
        <v>1619</v>
      </c>
      <c r="R51" s="3">
        <v>2254</v>
      </c>
      <c r="S51" s="3">
        <v>2031</v>
      </c>
      <c r="T51" s="3">
        <v>2214</v>
      </c>
      <c r="U51" s="3">
        <v>2127</v>
      </c>
      <c r="V51" s="3"/>
      <c r="W51" s="3"/>
      <c r="X51" s="3"/>
      <c r="Y51" s="3"/>
      <c r="Z51" s="3"/>
      <c r="AA51" s="3"/>
      <c r="AC51" s="40"/>
      <c r="AM51" s="40"/>
      <c r="AQ51" s="40"/>
      <c r="AT51" s="40"/>
      <c r="AW51" s="40"/>
    </row>
    <row r="52" spans="1:49" s="8" customFormat="1" x14ac:dyDescent="0.55000000000000004">
      <c r="A52" s="6" t="s">
        <v>71</v>
      </c>
      <c r="B52" s="7">
        <v>1059959</v>
      </c>
      <c r="C52" s="7">
        <v>43814</v>
      </c>
      <c r="D52" s="7">
        <v>26245</v>
      </c>
      <c r="E52" s="7">
        <v>123761</v>
      </c>
      <c r="F52" s="7">
        <v>3829</v>
      </c>
      <c r="G52" s="7">
        <v>2465</v>
      </c>
      <c r="H52" s="7">
        <v>1048621</v>
      </c>
      <c r="I52" s="7">
        <v>41454</v>
      </c>
      <c r="J52" s="7">
        <v>25161</v>
      </c>
      <c r="K52" s="31">
        <v>41.3</v>
      </c>
      <c r="L52" s="31">
        <v>24.7</v>
      </c>
      <c r="M52" s="3"/>
      <c r="N52" s="7">
        <v>148788</v>
      </c>
      <c r="O52" s="7">
        <v>106738</v>
      </c>
      <c r="P52" s="7">
        <v>102166</v>
      </c>
      <c r="Q52" s="7">
        <v>105451</v>
      </c>
      <c r="R52" s="7">
        <v>89754</v>
      </c>
      <c r="S52" s="7">
        <v>87898</v>
      </c>
      <c r="T52" s="7">
        <v>113390</v>
      </c>
      <c r="U52" s="7">
        <v>85401</v>
      </c>
      <c r="V52" s="7">
        <v>118232</v>
      </c>
      <c r="W52" s="7">
        <v>102141</v>
      </c>
      <c r="X52" s="7"/>
      <c r="Y52" s="7"/>
      <c r="Z52" s="7"/>
      <c r="AA52" s="7"/>
      <c r="AC52" s="40"/>
      <c r="AD52" s="9">
        <f>SUM(N52:AB52)</f>
        <v>1059959</v>
      </c>
      <c r="AE52" s="9">
        <f>SUM(N53:AB53)</f>
        <v>43814</v>
      </c>
      <c r="AF52" s="9">
        <f>SUM(N54:AB54)</f>
        <v>26245</v>
      </c>
      <c r="AG52" s="9">
        <f>E52</f>
        <v>123761</v>
      </c>
      <c r="AH52" s="9">
        <f>F52</f>
        <v>3829</v>
      </c>
      <c r="AI52" s="9">
        <f>G52</f>
        <v>2465</v>
      </c>
      <c r="AJ52" s="9">
        <f>H52</f>
        <v>1048621</v>
      </c>
      <c r="AK52" s="9">
        <f>I52</f>
        <v>41454</v>
      </c>
      <c r="AL52" s="9">
        <f>J52</f>
        <v>25161</v>
      </c>
      <c r="AM52" s="40"/>
      <c r="AN52" s="9">
        <f>AD52-B52</f>
        <v>0</v>
      </c>
      <c r="AO52" s="9">
        <f>AE52-C52</f>
        <v>0</v>
      </c>
      <c r="AP52" s="9">
        <f>AF52-D52</f>
        <v>0</v>
      </c>
      <c r="AQ52" s="43"/>
      <c r="AR52" s="48">
        <f>C52/B52*1000</f>
        <v>41.335561092457347</v>
      </c>
      <c r="AS52" s="48">
        <f>D52/B52*1000</f>
        <v>24.760391675527071</v>
      </c>
      <c r="AT52" s="49"/>
      <c r="AU52" s="48">
        <f>AR52-K52</f>
        <v>3.556109245734973E-2</v>
      </c>
      <c r="AV52" s="48">
        <f>AS52-L52</f>
        <v>6.0391675527071698E-2</v>
      </c>
      <c r="AW52" s="43"/>
    </row>
    <row r="53" spans="1:49" s="2" customFormat="1" x14ac:dyDescent="0.55000000000000004">
      <c r="A53" s="1" t="s">
        <v>72</v>
      </c>
      <c r="B53" s="3"/>
      <c r="C53" s="3"/>
      <c r="D53" s="3"/>
      <c r="E53" s="3"/>
      <c r="F53" s="3"/>
      <c r="G53" s="3"/>
      <c r="H53" s="3"/>
      <c r="I53" s="3"/>
      <c r="J53" s="3"/>
      <c r="K53" s="28"/>
      <c r="L53" s="28"/>
      <c r="M53" s="3"/>
      <c r="N53" s="3">
        <v>5754</v>
      </c>
      <c r="O53" s="3">
        <v>3962</v>
      </c>
      <c r="P53" s="3">
        <v>4313</v>
      </c>
      <c r="Q53" s="3">
        <v>4245</v>
      </c>
      <c r="R53" s="3">
        <v>3865</v>
      </c>
      <c r="S53" s="3">
        <v>3476</v>
      </c>
      <c r="T53" s="3">
        <v>4639</v>
      </c>
      <c r="U53" s="3">
        <v>4249</v>
      </c>
      <c r="V53" s="3">
        <v>5012</v>
      </c>
      <c r="W53" s="3">
        <v>4299</v>
      </c>
      <c r="X53" s="3"/>
      <c r="Y53" s="3"/>
      <c r="Z53" s="3"/>
      <c r="AA53" s="3"/>
      <c r="AC53" s="40"/>
      <c r="AM53" s="40"/>
      <c r="AQ53" s="40"/>
      <c r="AT53" s="40"/>
      <c r="AW53" s="40"/>
    </row>
    <row r="54" spans="1:49" s="2" customFormat="1" x14ac:dyDescent="0.55000000000000004">
      <c r="A54" s="1" t="s">
        <v>73</v>
      </c>
      <c r="B54" s="3"/>
      <c r="C54" s="3"/>
      <c r="D54" s="3"/>
      <c r="E54" s="3"/>
      <c r="F54" s="3"/>
      <c r="G54" s="3"/>
      <c r="H54" s="3"/>
      <c r="I54" s="3"/>
      <c r="J54" s="3"/>
      <c r="K54" s="28"/>
      <c r="L54" s="28"/>
      <c r="M54" s="3"/>
      <c r="N54" s="3">
        <v>3455</v>
      </c>
      <c r="O54" s="3">
        <v>2694</v>
      </c>
      <c r="P54" s="3">
        <v>2197</v>
      </c>
      <c r="Q54" s="3">
        <v>2261</v>
      </c>
      <c r="R54" s="3">
        <v>2104</v>
      </c>
      <c r="S54" s="3">
        <v>2009</v>
      </c>
      <c r="T54" s="3">
        <v>2882</v>
      </c>
      <c r="U54" s="3">
        <v>2651</v>
      </c>
      <c r="V54" s="3">
        <v>3066</v>
      </c>
      <c r="W54" s="3">
        <v>2926</v>
      </c>
      <c r="X54" s="3"/>
      <c r="Y54" s="3"/>
      <c r="Z54" s="3"/>
      <c r="AA54" s="3"/>
      <c r="AC54" s="40"/>
      <c r="AM54" s="40"/>
      <c r="AQ54" s="40"/>
      <c r="AT54" s="40"/>
      <c r="AW54" s="40"/>
    </row>
    <row r="55" spans="1:49" s="8" customFormat="1" x14ac:dyDescent="0.55000000000000004">
      <c r="A55" s="6" t="s">
        <v>74</v>
      </c>
      <c r="B55" s="7">
        <v>1200197</v>
      </c>
      <c r="C55" s="7">
        <v>47337</v>
      </c>
      <c r="D55" s="7">
        <v>27567</v>
      </c>
      <c r="E55" s="7">
        <v>230156</v>
      </c>
      <c r="F55" s="7">
        <v>9947</v>
      </c>
      <c r="G55" s="7">
        <v>6608</v>
      </c>
      <c r="H55" s="7">
        <v>1140208</v>
      </c>
      <c r="I55" s="7">
        <v>40843</v>
      </c>
      <c r="J55" s="7">
        <v>23343</v>
      </c>
      <c r="K55" s="31">
        <v>39.4</v>
      </c>
      <c r="L55" s="31">
        <v>22.9</v>
      </c>
      <c r="M55" s="3"/>
      <c r="N55" s="7">
        <v>166622</v>
      </c>
      <c r="O55" s="7">
        <v>178675</v>
      </c>
      <c r="P55" s="7">
        <v>108231</v>
      </c>
      <c r="Q55" s="7">
        <v>119835</v>
      </c>
      <c r="R55" s="7">
        <v>263248</v>
      </c>
      <c r="S55" s="7">
        <v>138245</v>
      </c>
      <c r="T55" s="7">
        <v>78072</v>
      </c>
      <c r="U55" s="7">
        <v>147269</v>
      </c>
      <c r="V55" s="7"/>
      <c r="W55" s="7"/>
      <c r="X55" s="7"/>
      <c r="Y55" s="7"/>
      <c r="Z55" s="7"/>
      <c r="AA55" s="7"/>
      <c r="AC55" s="40"/>
      <c r="AD55" s="9">
        <f>SUM(N55:AB55)</f>
        <v>1200197</v>
      </c>
      <c r="AE55" s="9">
        <f>SUM(N56:AB56)</f>
        <v>47337</v>
      </c>
      <c r="AF55" s="9">
        <f>SUM(N57:AB57)</f>
        <v>27567</v>
      </c>
      <c r="AG55" s="9">
        <f>E55</f>
        <v>230156</v>
      </c>
      <c r="AH55" s="9">
        <f>F55</f>
        <v>9947</v>
      </c>
      <c r="AI55" s="9">
        <f>G55</f>
        <v>6608</v>
      </c>
      <c r="AJ55" s="9">
        <f>H55</f>
        <v>1140208</v>
      </c>
      <c r="AK55" s="9">
        <f>I55</f>
        <v>40843</v>
      </c>
      <c r="AL55" s="9">
        <f>J55</f>
        <v>23343</v>
      </c>
      <c r="AM55" s="40"/>
      <c r="AN55" s="9">
        <f>AD55-B55</f>
        <v>0</v>
      </c>
      <c r="AO55" s="9">
        <f>AE55-C55</f>
        <v>0</v>
      </c>
      <c r="AP55" s="9">
        <f>AF55-D55</f>
        <v>0</v>
      </c>
      <c r="AQ55" s="43"/>
      <c r="AR55" s="48">
        <f>C55/B55*1000</f>
        <v>39.441025098379683</v>
      </c>
      <c r="AS55" s="48">
        <f>D55/B55*1000</f>
        <v>22.968729300273207</v>
      </c>
      <c r="AT55" s="49"/>
      <c r="AU55" s="48">
        <f>AR55-K55</f>
        <v>4.1025098379684266E-2</v>
      </c>
      <c r="AV55" s="48">
        <f>AS55-L55</f>
        <v>6.8729300273208338E-2</v>
      </c>
      <c r="AW55" s="43"/>
    </row>
    <row r="56" spans="1:49" s="2" customFormat="1" x14ac:dyDescent="0.55000000000000004">
      <c r="A56" s="1" t="s">
        <v>75</v>
      </c>
      <c r="B56" s="3"/>
      <c r="C56" s="3"/>
      <c r="D56" s="3"/>
      <c r="E56" s="3"/>
      <c r="F56" s="3"/>
      <c r="G56" s="3"/>
      <c r="H56" s="3"/>
      <c r="I56" s="3"/>
      <c r="J56" s="3"/>
      <c r="K56" s="28"/>
      <c r="L56" s="28"/>
      <c r="M56" s="3"/>
      <c r="N56" s="3">
        <v>6034</v>
      </c>
      <c r="O56" s="3">
        <v>6910</v>
      </c>
      <c r="P56" s="3">
        <v>4483</v>
      </c>
      <c r="Q56" s="3">
        <v>5149</v>
      </c>
      <c r="R56" s="4">
        <v>10605</v>
      </c>
      <c r="S56" s="3">
        <v>5256</v>
      </c>
      <c r="T56" s="3">
        <v>2966</v>
      </c>
      <c r="U56" s="3">
        <v>5934</v>
      </c>
      <c r="V56" s="3"/>
      <c r="W56" s="3"/>
      <c r="X56" s="3"/>
      <c r="Y56" s="3"/>
      <c r="Z56" s="3"/>
      <c r="AA56" s="3"/>
      <c r="AC56" s="40"/>
      <c r="AM56" s="40"/>
      <c r="AQ56" s="40"/>
      <c r="AT56" s="40"/>
      <c r="AW56" s="40"/>
    </row>
    <row r="57" spans="1:49" s="2" customFormat="1" x14ac:dyDescent="0.55000000000000004">
      <c r="A57" s="1" t="s">
        <v>76</v>
      </c>
      <c r="B57" s="3"/>
      <c r="C57" s="3"/>
      <c r="D57" s="3"/>
      <c r="E57" s="3"/>
      <c r="F57" s="3"/>
      <c r="G57" s="3"/>
      <c r="H57" s="3"/>
      <c r="I57" s="3"/>
      <c r="J57" s="3"/>
      <c r="K57" s="28"/>
      <c r="L57" s="28"/>
      <c r="M57" s="3"/>
      <c r="N57" s="3">
        <v>3220</v>
      </c>
      <c r="O57" s="3">
        <v>4052</v>
      </c>
      <c r="P57" s="3">
        <v>2114</v>
      </c>
      <c r="Q57" s="3">
        <v>2920</v>
      </c>
      <c r="R57" s="3">
        <v>6860</v>
      </c>
      <c r="S57" s="3">
        <v>3056</v>
      </c>
      <c r="T57" s="3">
        <v>1569</v>
      </c>
      <c r="U57" s="3">
        <v>3776</v>
      </c>
      <c r="V57" s="3"/>
      <c r="W57" s="3"/>
      <c r="X57" s="3"/>
      <c r="Y57" s="3"/>
      <c r="Z57" s="3"/>
      <c r="AA57" s="3"/>
      <c r="AC57" s="40"/>
      <c r="AM57" s="40"/>
      <c r="AQ57" s="40"/>
      <c r="AT57" s="40"/>
      <c r="AW57" s="40"/>
    </row>
    <row r="58" spans="1:49" s="8" customFormat="1" x14ac:dyDescent="0.55000000000000004">
      <c r="A58" s="6" t="s">
        <v>77</v>
      </c>
      <c r="B58" s="7">
        <v>660457</v>
      </c>
      <c r="C58" s="7">
        <v>26392</v>
      </c>
      <c r="D58" s="7">
        <v>17902</v>
      </c>
      <c r="E58" s="10" t="s">
        <v>25</v>
      </c>
      <c r="F58" s="10" t="s">
        <v>25</v>
      </c>
      <c r="G58" s="10" t="s">
        <v>25</v>
      </c>
      <c r="H58" s="7">
        <v>621650</v>
      </c>
      <c r="I58" s="7">
        <v>24788</v>
      </c>
      <c r="J58" s="7">
        <v>15042</v>
      </c>
      <c r="K58" s="31">
        <v>39.799999999999997</v>
      </c>
      <c r="L58" s="31">
        <v>27.1</v>
      </c>
      <c r="M58" s="3"/>
      <c r="N58" s="7">
        <v>98757</v>
      </c>
      <c r="O58" s="7">
        <v>99353</v>
      </c>
      <c r="P58" s="7">
        <v>87568</v>
      </c>
      <c r="Q58" s="7">
        <v>107538</v>
      </c>
      <c r="R58" s="7">
        <v>61440</v>
      </c>
      <c r="S58" s="7">
        <v>67310</v>
      </c>
      <c r="T58" s="7">
        <v>68001</v>
      </c>
      <c r="U58" s="7">
        <v>70490</v>
      </c>
      <c r="V58" s="7"/>
      <c r="W58" s="7"/>
      <c r="X58" s="7"/>
      <c r="Y58" s="7"/>
      <c r="Z58" s="7"/>
      <c r="AA58" s="7"/>
      <c r="AC58" s="40"/>
      <c r="AD58" s="9">
        <f>SUM(N58:AB58)</f>
        <v>660457</v>
      </c>
      <c r="AE58" s="9">
        <f>SUM(N59:AB59)</f>
        <v>26392</v>
      </c>
      <c r="AF58" s="9">
        <f>SUM(N60:AB60)</f>
        <v>17902</v>
      </c>
      <c r="AG58" s="10" t="str">
        <f>E58</f>
        <v>—</v>
      </c>
      <c r="AH58" s="10" t="str">
        <f>F58</f>
        <v>—</v>
      </c>
      <c r="AI58" s="10" t="str">
        <f>G58</f>
        <v>—</v>
      </c>
      <c r="AJ58" s="9">
        <f>H58</f>
        <v>621650</v>
      </c>
      <c r="AK58" s="9">
        <f>I58</f>
        <v>24788</v>
      </c>
      <c r="AL58" s="9">
        <f>J58</f>
        <v>15042</v>
      </c>
      <c r="AM58" s="40"/>
      <c r="AN58" s="9">
        <f>AD58-B58</f>
        <v>0</v>
      </c>
      <c r="AO58" s="9">
        <f>AE58-C58</f>
        <v>0</v>
      </c>
      <c r="AP58" s="9">
        <f>AF58-D58</f>
        <v>0</v>
      </c>
      <c r="AQ58" s="43"/>
      <c r="AR58" s="48">
        <f>C58/B58*1000</f>
        <v>39.960209370178532</v>
      </c>
      <c r="AS58" s="48">
        <f>D58/B58*1000</f>
        <v>27.105473936986055</v>
      </c>
      <c r="AT58" s="49"/>
      <c r="AU58" s="48">
        <f>AR58-K58</f>
        <v>0.16020937017853498</v>
      </c>
      <c r="AV58" s="48">
        <f>AS58-L58</f>
        <v>5.4739369860534737E-3</v>
      </c>
      <c r="AW58" s="43"/>
    </row>
    <row r="59" spans="1:49" s="2" customFormat="1" x14ac:dyDescent="0.55000000000000004">
      <c r="A59" s="1" t="s">
        <v>78</v>
      </c>
      <c r="B59" s="3"/>
      <c r="C59" s="3"/>
      <c r="D59" s="3"/>
      <c r="E59" s="3"/>
      <c r="F59" s="3"/>
      <c r="G59" s="3"/>
      <c r="H59" s="3"/>
      <c r="I59" s="3"/>
      <c r="J59" s="3"/>
      <c r="K59" s="28"/>
      <c r="L59" s="28"/>
      <c r="M59" s="3"/>
      <c r="N59" s="3">
        <v>4342</v>
      </c>
      <c r="O59" s="3">
        <v>3485</v>
      </c>
      <c r="P59" s="3">
        <v>4008</v>
      </c>
      <c r="Q59" s="3">
        <v>3872</v>
      </c>
      <c r="R59" s="3">
        <v>2791</v>
      </c>
      <c r="S59" s="3">
        <v>2422</v>
      </c>
      <c r="T59" s="3">
        <v>2786</v>
      </c>
      <c r="U59" s="3">
        <v>2686</v>
      </c>
      <c r="V59" s="3"/>
      <c r="W59" s="3"/>
      <c r="X59" s="3"/>
      <c r="Y59" s="3"/>
      <c r="Z59" s="3"/>
      <c r="AA59" s="3"/>
      <c r="AC59" s="40"/>
      <c r="AM59" s="40"/>
      <c r="AQ59" s="40"/>
      <c r="AT59" s="40"/>
      <c r="AW59" s="40"/>
    </row>
    <row r="60" spans="1:49" s="2" customFormat="1" x14ac:dyDescent="0.55000000000000004">
      <c r="A60" s="1" t="s">
        <v>79</v>
      </c>
      <c r="B60" s="3"/>
      <c r="C60" s="3"/>
      <c r="D60" s="3"/>
      <c r="E60" s="3"/>
      <c r="F60" s="3"/>
      <c r="G60" s="3"/>
      <c r="H60" s="3"/>
      <c r="I60" s="3"/>
      <c r="J60" s="3"/>
      <c r="K60" s="28"/>
      <c r="L60" s="28"/>
      <c r="M60" s="3"/>
      <c r="N60" s="3">
        <v>3326</v>
      </c>
      <c r="O60" s="3">
        <v>1845</v>
      </c>
      <c r="P60" s="3">
        <v>2706</v>
      </c>
      <c r="Q60" s="3">
        <v>2075</v>
      </c>
      <c r="R60" s="3">
        <v>2590</v>
      </c>
      <c r="S60" s="3">
        <v>1265</v>
      </c>
      <c r="T60" s="3">
        <v>2080</v>
      </c>
      <c r="U60" s="3">
        <v>2015</v>
      </c>
      <c r="V60" s="3"/>
      <c r="W60" s="3"/>
      <c r="X60" s="3"/>
      <c r="Y60" s="3"/>
      <c r="Z60" s="3"/>
      <c r="AA60" s="3"/>
      <c r="AC60" s="40"/>
      <c r="AM60" s="40"/>
      <c r="AQ60" s="40"/>
      <c r="AT60" s="40"/>
      <c r="AW60" s="40"/>
    </row>
    <row r="61" spans="1:49" s="8" customFormat="1" x14ac:dyDescent="0.55000000000000004">
      <c r="A61" s="6" t="s">
        <v>80</v>
      </c>
      <c r="B61" s="7">
        <v>769229</v>
      </c>
      <c r="C61" s="7">
        <v>29099</v>
      </c>
      <c r="D61" s="7">
        <v>18240</v>
      </c>
      <c r="E61" s="7">
        <v>48559</v>
      </c>
      <c r="F61" s="7">
        <v>1421</v>
      </c>
      <c r="G61" s="7">
        <v>888</v>
      </c>
      <c r="H61" s="7">
        <v>736979</v>
      </c>
      <c r="I61" s="7">
        <v>30648</v>
      </c>
      <c r="J61" s="7">
        <v>16916</v>
      </c>
      <c r="K61" s="31">
        <v>37.799999999999997</v>
      </c>
      <c r="L61" s="31">
        <v>23.7</v>
      </c>
      <c r="M61" s="3"/>
      <c r="N61" s="7">
        <v>129953</v>
      </c>
      <c r="O61" s="7">
        <v>101925</v>
      </c>
      <c r="P61" s="7">
        <v>108805</v>
      </c>
      <c r="Q61" s="7">
        <v>110724</v>
      </c>
      <c r="R61" s="7">
        <v>114754</v>
      </c>
      <c r="S61" s="7">
        <v>100033</v>
      </c>
      <c r="T61" s="7">
        <v>103035</v>
      </c>
      <c r="U61" s="7"/>
      <c r="V61" s="7"/>
      <c r="W61" s="7"/>
      <c r="X61" s="7"/>
      <c r="Y61" s="7"/>
      <c r="Z61" s="7"/>
      <c r="AA61" s="7"/>
      <c r="AC61" s="40"/>
      <c r="AD61" s="9">
        <f>SUM(N61:AB61)</f>
        <v>769229</v>
      </c>
      <c r="AE61" s="9">
        <f>SUM(N62:AB62)</f>
        <v>29099</v>
      </c>
      <c r="AF61" s="9">
        <f>SUM(N63:AB63)</f>
        <v>18240</v>
      </c>
      <c r="AG61" s="9">
        <f>E61</f>
        <v>48559</v>
      </c>
      <c r="AH61" s="9">
        <f>F61</f>
        <v>1421</v>
      </c>
      <c r="AI61" s="9">
        <f>G61</f>
        <v>888</v>
      </c>
      <c r="AJ61" s="9">
        <f>H61</f>
        <v>736979</v>
      </c>
      <c r="AK61" s="9">
        <f>I61</f>
        <v>30648</v>
      </c>
      <c r="AL61" s="9">
        <f>J61</f>
        <v>16916</v>
      </c>
      <c r="AM61" s="40"/>
      <c r="AN61" s="9">
        <f>AD61-B61</f>
        <v>0</v>
      </c>
      <c r="AO61" s="9">
        <f>AE61-C61</f>
        <v>0</v>
      </c>
      <c r="AP61" s="9">
        <f>AF61-D61</f>
        <v>0</v>
      </c>
      <c r="AQ61" s="43"/>
      <c r="AR61" s="48">
        <f>C61/B61*1000</f>
        <v>37.828787006210113</v>
      </c>
      <c r="AS61" s="48">
        <f>D61/B61*1000</f>
        <v>23.712054537725436</v>
      </c>
      <c r="AT61" s="49"/>
      <c r="AU61" s="48">
        <f>AR61-K61</f>
        <v>2.8787006210116317E-2</v>
      </c>
      <c r="AV61" s="48">
        <f>AS61-L61</f>
        <v>1.2054537725436631E-2</v>
      </c>
      <c r="AW61" s="43"/>
    </row>
    <row r="62" spans="1:49" s="2" customFormat="1" x14ac:dyDescent="0.55000000000000004">
      <c r="A62" s="1" t="s">
        <v>81</v>
      </c>
      <c r="B62" s="3"/>
      <c r="C62" s="3"/>
      <c r="D62" s="3"/>
      <c r="E62" s="3"/>
      <c r="F62" s="3"/>
      <c r="G62" s="3"/>
      <c r="H62" s="3"/>
      <c r="I62" s="3"/>
      <c r="J62" s="3"/>
      <c r="K62" s="28"/>
      <c r="L62" s="28"/>
      <c r="M62" s="3"/>
      <c r="N62" s="3">
        <v>5021</v>
      </c>
      <c r="O62" s="3">
        <v>4403</v>
      </c>
      <c r="P62" s="3">
        <v>3693</v>
      </c>
      <c r="Q62" s="3">
        <v>3855</v>
      </c>
      <c r="R62" s="3">
        <v>4850</v>
      </c>
      <c r="S62" s="3">
        <v>3778</v>
      </c>
      <c r="T62" s="3">
        <v>3499</v>
      </c>
      <c r="U62" s="3"/>
      <c r="V62" s="3"/>
      <c r="W62" s="3"/>
      <c r="X62" s="3"/>
      <c r="Y62" s="3"/>
      <c r="Z62" s="3"/>
      <c r="AA62" s="3"/>
      <c r="AC62" s="40"/>
      <c r="AM62" s="40"/>
      <c r="AQ62" s="40"/>
      <c r="AT62" s="40"/>
      <c r="AW62" s="40"/>
    </row>
    <row r="63" spans="1:49" s="2" customFormat="1" x14ac:dyDescent="0.55000000000000004">
      <c r="A63" s="1" t="s">
        <v>82</v>
      </c>
      <c r="B63" s="3"/>
      <c r="C63" s="3"/>
      <c r="D63" s="3"/>
      <c r="E63" s="3"/>
      <c r="F63" s="3"/>
      <c r="G63" s="3"/>
      <c r="H63" s="3"/>
      <c r="I63" s="3"/>
      <c r="J63" s="3"/>
      <c r="K63" s="28"/>
      <c r="L63" s="28"/>
      <c r="M63" s="3"/>
      <c r="N63" s="3">
        <v>2919</v>
      </c>
      <c r="O63" s="3">
        <v>2044</v>
      </c>
      <c r="P63" s="3">
        <v>2458</v>
      </c>
      <c r="Q63" s="3">
        <v>2183</v>
      </c>
      <c r="R63" s="3">
        <v>3223</v>
      </c>
      <c r="S63" s="3">
        <v>2181</v>
      </c>
      <c r="T63" s="3">
        <v>3232</v>
      </c>
      <c r="U63" s="3"/>
      <c r="V63" s="3"/>
      <c r="W63" s="3"/>
      <c r="X63" s="3"/>
      <c r="Y63" s="3"/>
      <c r="Z63" s="3"/>
      <c r="AA63" s="3"/>
      <c r="AC63" s="40"/>
      <c r="AM63" s="40"/>
      <c r="AQ63" s="40"/>
      <c r="AT63" s="40"/>
      <c r="AW63" s="40"/>
    </row>
    <row r="64" spans="1:49" s="8" customFormat="1" x14ac:dyDescent="0.55000000000000004">
      <c r="A64" s="6" t="s">
        <v>83</v>
      </c>
      <c r="B64" s="7">
        <v>693904</v>
      </c>
      <c r="C64" s="7">
        <v>20045</v>
      </c>
      <c r="D64" s="7">
        <v>13906</v>
      </c>
      <c r="E64" s="7">
        <v>73140</v>
      </c>
      <c r="F64" s="7">
        <v>1280</v>
      </c>
      <c r="G64" s="7">
        <v>909</v>
      </c>
      <c r="H64" s="7">
        <v>678338</v>
      </c>
      <c r="I64" s="7">
        <v>21146</v>
      </c>
      <c r="J64" s="7">
        <v>15985</v>
      </c>
      <c r="K64" s="31">
        <v>28.6</v>
      </c>
      <c r="L64" s="31">
        <v>20</v>
      </c>
      <c r="M64" s="3"/>
      <c r="N64" s="7">
        <v>108696</v>
      </c>
      <c r="O64" s="7">
        <v>93153</v>
      </c>
      <c r="P64" s="7">
        <v>91571</v>
      </c>
      <c r="Q64" s="7">
        <v>92810</v>
      </c>
      <c r="R64" s="7">
        <v>82969</v>
      </c>
      <c r="S64" s="7">
        <v>123756</v>
      </c>
      <c r="T64" s="7">
        <v>102949</v>
      </c>
      <c r="U64" s="7"/>
      <c r="V64" s="7"/>
      <c r="W64" s="7"/>
      <c r="X64" s="7"/>
      <c r="Y64" s="7"/>
      <c r="Z64" s="7"/>
      <c r="AA64" s="7"/>
      <c r="AC64" s="40"/>
      <c r="AD64" s="9">
        <f>SUM(N64:AB64)</f>
        <v>695904</v>
      </c>
      <c r="AE64" s="9">
        <f>SUM(N65:AB65)</f>
        <v>20045</v>
      </c>
      <c r="AF64" s="9">
        <f>SUM(N66:AB66)</f>
        <v>13906</v>
      </c>
      <c r="AG64" s="9">
        <f>E64</f>
        <v>73140</v>
      </c>
      <c r="AH64" s="9">
        <f>F64</f>
        <v>1280</v>
      </c>
      <c r="AI64" s="9">
        <f>G64</f>
        <v>909</v>
      </c>
      <c r="AJ64" s="9">
        <f>H64</f>
        <v>678338</v>
      </c>
      <c r="AK64" s="9">
        <f>I64</f>
        <v>21146</v>
      </c>
      <c r="AL64" s="9">
        <f>J64</f>
        <v>15985</v>
      </c>
      <c r="AM64" s="40"/>
      <c r="AN64" s="9">
        <f>AD64-B64</f>
        <v>2000</v>
      </c>
      <c r="AO64" s="9">
        <f>AE64-C64</f>
        <v>0</v>
      </c>
      <c r="AP64" s="9">
        <f>AF64-D64</f>
        <v>0</v>
      </c>
      <c r="AQ64" s="43"/>
      <c r="AR64" s="48">
        <f>C64/B64*1000</f>
        <v>28.887281237750464</v>
      </c>
      <c r="AS64" s="48">
        <f>D64/B64*1000</f>
        <v>20.040236113352854</v>
      </c>
      <c r="AT64" s="49"/>
      <c r="AU64" s="48">
        <f>AR64-K64</f>
        <v>0.28728123775046299</v>
      </c>
      <c r="AV64" s="48">
        <f>AS64-L64</f>
        <v>4.0236113352854375E-2</v>
      </c>
      <c r="AW64" s="43"/>
    </row>
    <row r="65" spans="1:55" s="2" customFormat="1" x14ac:dyDescent="0.55000000000000004">
      <c r="A65" s="1" t="s">
        <v>84</v>
      </c>
      <c r="B65" s="3"/>
      <c r="C65" s="3"/>
      <c r="D65" s="3"/>
      <c r="E65" s="3"/>
      <c r="F65" s="3"/>
      <c r="G65" s="3"/>
      <c r="H65" s="3"/>
      <c r="I65" s="3"/>
      <c r="J65" s="3"/>
      <c r="K65" s="28"/>
      <c r="L65" s="28"/>
      <c r="M65" s="3"/>
      <c r="N65" s="3">
        <v>3201</v>
      </c>
      <c r="O65" s="3">
        <v>2439</v>
      </c>
      <c r="P65" s="3">
        <v>2322</v>
      </c>
      <c r="Q65" s="3">
        <v>2612</v>
      </c>
      <c r="R65" s="3">
        <v>2281</v>
      </c>
      <c r="S65" s="3">
        <v>3917</v>
      </c>
      <c r="T65" s="3">
        <v>3273</v>
      </c>
      <c r="U65" s="3"/>
      <c r="V65" s="3"/>
      <c r="W65" s="3"/>
      <c r="X65" s="3"/>
      <c r="Y65" s="3"/>
      <c r="Z65" s="3"/>
      <c r="AA65" s="3"/>
      <c r="AC65" s="40"/>
      <c r="AM65" s="40"/>
      <c r="AQ65" s="40"/>
      <c r="AT65" s="40"/>
      <c r="AW65" s="40"/>
    </row>
    <row r="66" spans="1:55" s="2" customFormat="1" x14ac:dyDescent="0.55000000000000004">
      <c r="A66" s="1" t="s">
        <v>85</v>
      </c>
      <c r="B66" s="3"/>
      <c r="C66" s="3"/>
      <c r="D66" s="3"/>
      <c r="E66" s="3"/>
      <c r="F66" s="3"/>
      <c r="G66" s="3"/>
      <c r="H66" s="3"/>
      <c r="I66" s="3"/>
      <c r="J66" s="3"/>
      <c r="K66" s="28"/>
      <c r="L66" s="28"/>
      <c r="M66" s="3"/>
      <c r="N66" s="3">
        <v>2184</v>
      </c>
      <c r="O66" s="3">
        <v>1556</v>
      </c>
      <c r="P66" s="3">
        <v>1709</v>
      </c>
      <c r="Q66" s="3">
        <v>1684</v>
      </c>
      <c r="R66" s="3">
        <v>1690</v>
      </c>
      <c r="S66" s="3">
        <v>2763</v>
      </c>
      <c r="T66" s="3">
        <v>2320</v>
      </c>
      <c r="U66" s="3"/>
      <c r="V66" s="3"/>
      <c r="W66" s="3"/>
      <c r="X66" s="3"/>
      <c r="Y66" s="3"/>
      <c r="Z66" s="3"/>
      <c r="AA66" s="3"/>
      <c r="AC66" s="40"/>
      <c r="AM66" s="40"/>
      <c r="AQ66" s="40"/>
      <c r="AT66" s="40"/>
      <c r="AW66" s="40"/>
    </row>
    <row r="67" spans="1:55" s="8" customFormat="1" x14ac:dyDescent="0.55000000000000004">
      <c r="A67" s="6" t="s">
        <v>86</v>
      </c>
      <c r="B67" s="7">
        <v>752152</v>
      </c>
      <c r="C67" s="7">
        <v>30906</v>
      </c>
      <c r="D67" s="7">
        <v>16039</v>
      </c>
      <c r="E67" s="7">
        <v>66094</v>
      </c>
      <c r="F67" s="7">
        <v>2710</v>
      </c>
      <c r="G67" s="7">
        <v>1435</v>
      </c>
      <c r="H67" s="7">
        <v>696527</v>
      </c>
      <c r="I67" s="7">
        <v>26091</v>
      </c>
      <c r="J67" s="7">
        <v>17334</v>
      </c>
      <c r="K67" s="31">
        <v>41.1</v>
      </c>
      <c r="L67" s="31">
        <v>21.2</v>
      </c>
      <c r="M67" s="3"/>
      <c r="N67" s="7">
        <v>74932</v>
      </c>
      <c r="O67" s="7">
        <v>73623</v>
      </c>
      <c r="P67" s="7">
        <v>74109</v>
      </c>
      <c r="Q67" s="7">
        <v>98186</v>
      </c>
      <c r="R67" s="7">
        <v>118678</v>
      </c>
      <c r="S67" s="7">
        <v>60523</v>
      </c>
      <c r="T67" s="7">
        <v>98788</v>
      </c>
      <c r="U67" s="7">
        <v>78104</v>
      </c>
      <c r="V67" s="7">
        <v>75209</v>
      </c>
      <c r="W67" s="7"/>
      <c r="X67" s="7"/>
      <c r="Y67" s="7"/>
      <c r="Z67" s="7"/>
      <c r="AA67" s="7"/>
      <c r="AC67" s="40"/>
      <c r="AD67" s="9">
        <f>SUM(N67:AB67)</f>
        <v>752152</v>
      </c>
      <c r="AE67" s="9">
        <f>SUM(N68:AB68)</f>
        <v>30906</v>
      </c>
      <c r="AF67" s="9">
        <f>SUM(N69:AB69)</f>
        <v>16039</v>
      </c>
      <c r="AG67" s="9">
        <f>E67</f>
        <v>66094</v>
      </c>
      <c r="AH67" s="9">
        <f>F67</f>
        <v>2710</v>
      </c>
      <c r="AI67" s="9">
        <f>G67</f>
        <v>1435</v>
      </c>
      <c r="AJ67" s="9">
        <f>H67</f>
        <v>696527</v>
      </c>
      <c r="AK67" s="9">
        <f>I67</f>
        <v>26091</v>
      </c>
      <c r="AL67" s="9">
        <f>J67</f>
        <v>17334</v>
      </c>
      <c r="AM67" s="40"/>
      <c r="AN67" s="9">
        <f>AD67-B67</f>
        <v>0</v>
      </c>
      <c r="AO67" s="9">
        <f>AE67-C67</f>
        <v>0</v>
      </c>
      <c r="AP67" s="9">
        <f>AF67-D67</f>
        <v>0</v>
      </c>
      <c r="AQ67" s="43"/>
      <c r="AR67" s="48">
        <f>C67/B67*1000</f>
        <v>41.090098809815039</v>
      </c>
      <c r="AS67" s="48">
        <f>D67/B67*1000</f>
        <v>21.324147246833085</v>
      </c>
      <c r="AT67" s="49"/>
      <c r="AU67" s="48">
        <f>AR67-K67</f>
        <v>-9.9011901849621609E-3</v>
      </c>
      <c r="AV67" s="48">
        <f>AS67-L67</f>
        <v>0.1241472468330862</v>
      </c>
      <c r="AW67" s="43"/>
    </row>
    <row r="68" spans="1:55" s="2" customFormat="1" x14ac:dyDescent="0.55000000000000004">
      <c r="A68" s="1" t="s">
        <v>87</v>
      </c>
      <c r="B68" s="3"/>
      <c r="C68" s="3"/>
      <c r="D68" s="3"/>
      <c r="E68" s="3"/>
      <c r="F68" s="3"/>
      <c r="G68" s="3"/>
      <c r="H68" s="3"/>
      <c r="I68" s="3"/>
      <c r="J68" s="3"/>
      <c r="K68" s="28"/>
      <c r="L68" s="28"/>
      <c r="M68" s="3"/>
      <c r="N68" s="3">
        <v>3341</v>
      </c>
      <c r="O68" s="3">
        <v>3060</v>
      </c>
      <c r="P68" s="3">
        <v>2473</v>
      </c>
      <c r="Q68" s="3">
        <v>3693</v>
      </c>
      <c r="R68" s="3">
        <v>6603</v>
      </c>
      <c r="S68" s="3">
        <v>2928</v>
      </c>
      <c r="T68" s="3">
        <v>3678</v>
      </c>
      <c r="U68" s="3">
        <v>2698</v>
      </c>
      <c r="V68" s="3">
        <v>2432</v>
      </c>
      <c r="W68" s="3"/>
      <c r="X68" s="3"/>
      <c r="Y68" s="3"/>
      <c r="Z68" s="3"/>
      <c r="AA68" s="3"/>
      <c r="AC68" s="40"/>
      <c r="AM68" s="40"/>
      <c r="AQ68" s="40"/>
      <c r="AT68" s="40"/>
      <c r="AW68" s="40"/>
    </row>
    <row r="69" spans="1:55" s="2" customFormat="1" x14ac:dyDescent="0.55000000000000004">
      <c r="A69" s="1" t="s">
        <v>88</v>
      </c>
      <c r="B69" s="3"/>
      <c r="C69" s="3"/>
      <c r="D69" s="3"/>
      <c r="E69" s="3"/>
      <c r="F69" s="3"/>
      <c r="G69" s="3"/>
      <c r="H69" s="3"/>
      <c r="I69" s="3"/>
      <c r="J69" s="3"/>
      <c r="K69" s="28"/>
      <c r="L69" s="28"/>
      <c r="M69" s="3"/>
      <c r="N69" s="3">
        <v>1859</v>
      </c>
      <c r="O69" s="3">
        <v>1498</v>
      </c>
      <c r="P69" s="3">
        <v>1548</v>
      </c>
      <c r="Q69" s="3">
        <v>2210</v>
      </c>
      <c r="R69" s="3">
        <v>2542</v>
      </c>
      <c r="S69" s="3">
        <v>1588</v>
      </c>
      <c r="T69" s="3">
        <v>2484</v>
      </c>
      <c r="U69" s="3">
        <v>810</v>
      </c>
      <c r="V69" s="3">
        <v>1500</v>
      </c>
      <c r="W69" s="3"/>
      <c r="X69" s="3"/>
      <c r="Y69" s="3"/>
      <c r="Z69" s="3"/>
      <c r="AA69" s="3"/>
      <c r="AC69" s="40"/>
      <c r="AM69" s="40"/>
      <c r="AQ69" s="40"/>
      <c r="AT69" s="40"/>
      <c r="AW69" s="40"/>
    </row>
    <row r="70" spans="1:55" s="13" customFormat="1" x14ac:dyDescent="0.55000000000000004">
      <c r="A70" s="11" t="s">
        <v>89</v>
      </c>
      <c r="B70" s="15">
        <v>8906418</v>
      </c>
      <c r="C70" s="15">
        <v>349115</v>
      </c>
      <c r="D70" s="15">
        <v>216461</v>
      </c>
      <c r="E70" s="12">
        <v>1125415</v>
      </c>
      <c r="F70" s="12">
        <v>44390</v>
      </c>
      <c r="G70" s="12">
        <v>28829</v>
      </c>
      <c r="H70" s="12">
        <v>8515839</v>
      </c>
      <c r="I70" s="12">
        <v>333517</v>
      </c>
      <c r="J70" s="12">
        <v>204566</v>
      </c>
      <c r="K70" s="32">
        <v>39.200000000000003</v>
      </c>
      <c r="L70" s="32">
        <v>24.3</v>
      </c>
      <c r="M70" s="3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C70" s="40"/>
      <c r="AD70" s="14">
        <f>SUM(AD39:AD68)</f>
        <v>8900418</v>
      </c>
      <c r="AE70" s="14">
        <f t="shared" ref="AE70:AL70" si="0">SUM(AE39:AE68)</f>
        <v>349115</v>
      </c>
      <c r="AF70" s="14">
        <f t="shared" si="0"/>
        <v>216461</v>
      </c>
      <c r="AG70" s="14">
        <f t="shared" si="0"/>
        <v>780012</v>
      </c>
      <c r="AH70" s="14">
        <f t="shared" si="0"/>
        <v>27612</v>
      </c>
      <c r="AI70" s="14">
        <f t="shared" si="0"/>
        <v>18285</v>
      </c>
      <c r="AJ70" s="14">
        <f t="shared" si="0"/>
        <v>8556734</v>
      </c>
      <c r="AK70" s="14">
        <f t="shared" si="0"/>
        <v>334134</v>
      </c>
      <c r="AL70" s="14">
        <f t="shared" si="0"/>
        <v>204022</v>
      </c>
      <c r="AM70" s="40"/>
      <c r="AN70" s="14">
        <f>AD70-B70</f>
        <v>-6000</v>
      </c>
      <c r="AO70" s="14">
        <f>AE70-C70</f>
        <v>0</v>
      </c>
      <c r="AP70" s="14">
        <f>AF70-D70</f>
        <v>0</v>
      </c>
      <c r="AQ70" s="43"/>
      <c r="AR70" s="48">
        <f>C70/B70*1000</f>
        <v>39.198137792320097</v>
      </c>
      <c r="AS70" s="48">
        <f>D70/B70*1000</f>
        <v>24.303934533501572</v>
      </c>
      <c r="AT70" s="49"/>
      <c r="AU70" s="48">
        <f>AR70-K70</f>
        <v>-1.8622076799061915E-3</v>
      </c>
      <c r="AV70" s="48">
        <f>AS70-L70</f>
        <v>3.9345335015710248E-3</v>
      </c>
      <c r="AW70" s="43"/>
      <c r="AX70" s="14">
        <f>E70-AG70</f>
        <v>345403</v>
      </c>
      <c r="AY70" s="14">
        <f>F70-AH70</f>
        <v>16778</v>
      </c>
      <c r="AZ70" s="14">
        <f>G70-AI70</f>
        <v>10544</v>
      </c>
      <c r="BA70" s="14">
        <f>H70-AJ70</f>
        <v>-40895</v>
      </c>
      <c r="BB70" s="14">
        <f>I70-AK70</f>
        <v>-617</v>
      </c>
      <c r="BC70" s="14">
        <f>J70-AL70</f>
        <v>544</v>
      </c>
    </row>
    <row r="71" spans="1:55" s="8" customFormat="1" x14ac:dyDescent="0.55000000000000004">
      <c r="A71" s="6" t="s">
        <v>90</v>
      </c>
      <c r="B71" s="7">
        <v>712700</v>
      </c>
      <c r="C71" s="7">
        <v>19825</v>
      </c>
      <c r="D71" s="7">
        <v>12125</v>
      </c>
      <c r="E71" s="7">
        <v>110990</v>
      </c>
      <c r="F71" s="7">
        <v>4175</v>
      </c>
      <c r="G71" s="7">
        <v>2685</v>
      </c>
      <c r="H71" s="7">
        <v>690151</v>
      </c>
      <c r="I71" s="7">
        <v>18974</v>
      </c>
      <c r="J71" s="7">
        <v>12202</v>
      </c>
      <c r="K71" s="31">
        <v>27.8</v>
      </c>
      <c r="L71" s="31">
        <v>17</v>
      </c>
      <c r="M71" s="3"/>
      <c r="N71" s="7">
        <v>105560</v>
      </c>
      <c r="O71" s="7">
        <v>59960</v>
      </c>
      <c r="P71" s="7">
        <v>49320</v>
      </c>
      <c r="Q71" s="7">
        <v>93140</v>
      </c>
      <c r="R71" s="7">
        <v>72190</v>
      </c>
      <c r="S71" s="7">
        <v>51740</v>
      </c>
      <c r="T71" s="7">
        <v>81500</v>
      </c>
      <c r="U71" s="7">
        <v>70600</v>
      </c>
      <c r="V71" s="7">
        <v>57990</v>
      </c>
      <c r="W71" s="7">
        <v>70730</v>
      </c>
      <c r="X71" s="7"/>
      <c r="Y71" s="7"/>
      <c r="Z71" s="7"/>
      <c r="AA71" s="7"/>
      <c r="AC71" s="40"/>
      <c r="AD71" s="9">
        <f>SUM(N71:AB71)</f>
        <v>712730</v>
      </c>
      <c r="AE71" s="9">
        <f>SUM(N72:AB72)</f>
        <v>19825</v>
      </c>
      <c r="AF71" s="9">
        <f>SUM(N73:AB73)</f>
        <v>12125</v>
      </c>
      <c r="AG71" s="9">
        <f>E71</f>
        <v>110990</v>
      </c>
      <c r="AH71" s="9">
        <f>F71</f>
        <v>4175</v>
      </c>
      <c r="AI71" s="9">
        <f>G71</f>
        <v>2685</v>
      </c>
      <c r="AJ71" s="9">
        <f>H71</f>
        <v>690151</v>
      </c>
      <c r="AK71" s="9">
        <f>I71</f>
        <v>18974</v>
      </c>
      <c r="AL71" s="9">
        <f>J71</f>
        <v>12202</v>
      </c>
      <c r="AM71" s="40"/>
      <c r="AN71" s="9">
        <f>AD71-B71</f>
        <v>30</v>
      </c>
      <c r="AO71" s="9">
        <f>AE71-C71</f>
        <v>0</v>
      </c>
      <c r="AP71" s="9">
        <f>AF71-D71</f>
        <v>0</v>
      </c>
      <c r="AQ71" s="43"/>
      <c r="AR71" s="48">
        <f>C71/B71*1000</f>
        <v>27.816753192086434</v>
      </c>
      <c r="AS71" s="48">
        <f>D71/B71*1000</f>
        <v>17.012768345727515</v>
      </c>
      <c r="AT71" s="49"/>
      <c r="AU71" s="48">
        <f>AR71-K71</f>
        <v>1.6753192086433444E-2</v>
      </c>
      <c r="AV71" s="48">
        <f>AS71-L71</f>
        <v>1.2768345727515396E-2</v>
      </c>
      <c r="AW71" s="43"/>
    </row>
    <row r="72" spans="1:55" s="2" customFormat="1" x14ac:dyDescent="0.55000000000000004">
      <c r="A72" s="1" t="s">
        <v>91</v>
      </c>
      <c r="B72" s="3"/>
      <c r="C72" s="3"/>
      <c r="D72" s="3"/>
      <c r="E72" s="3"/>
      <c r="F72" s="3"/>
      <c r="G72" s="3"/>
      <c r="H72" s="3"/>
      <c r="I72" s="3"/>
      <c r="J72" s="3"/>
      <c r="K72" s="28"/>
      <c r="L72" s="28"/>
      <c r="M72" s="3"/>
      <c r="N72" s="3">
        <v>2980</v>
      </c>
      <c r="O72" s="3">
        <v>1510</v>
      </c>
      <c r="P72" s="3">
        <v>1210</v>
      </c>
      <c r="Q72" s="3">
        <v>3120</v>
      </c>
      <c r="R72" s="3">
        <v>2000</v>
      </c>
      <c r="S72" s="3">
        <v>1525</v>
      </c>
      <c r="T72" s="3">
        <v>2080</v>
      </c>
      <c r="U72" s="3">
        <v>2020</v>
      </c>
      <c r="V72" s="3">
        <v>1560</v>
      </c>
      <c r="W72" s="3">
        <v>1820</v>
      </c>
      <c r="X72" s="3"/>
      <c r="Y72" s="3"/>
      <c r="Z72" s="3"/>
      <c r="AA72" s="3"/>
      <c r="AC72" s="40"/>
      <c r="AM72" s="40"/>
      <c r="AQ72" s="40"/>
      <c r="AT72" s="40"/>
      <c r="AW72" s="40"/>
    </row>
    <row r="73" spans="1:55" s="2" customFormat="1" x14ac:dyDescent="0.55000000000000004">
      <c r="A73" s="1" t="s">
        <v>92</v>
      </c>
      <c r="B73" s="3"/>
      <c r="C73" s="3"/>
      <c r="D73" s="3"/>
      <c r="E73" s="3"/>
      <c r="F73" s="3"/>
      <c r="G73" s="3"/>
      <c r="H73" s="3"/>
      <c r="I73" s="3"/>
      <c r="J73" s="3"/>
      <c r="K73" s="28"/>
      <c r="L73" s="28"/>
      <c r="M73" s="3"/>
      <c r="N73" s="3">
        <v>2200</v>
      </c>
      <c r="O73" s="3">
        <v>1030</v>
      </c>
      <c r="P73" s="3">
        <v>810</v>
      </c>
      <c r="Q73" s="3">
        <v>1800</v>
      </c>
      <c r="R73" s="3">
        <v>1155</v>
      </c>
      <c r="S73" s="3">
        <v>920</v>
      </c>
      <c r="T73" s="3">
        <v>1080</v>
      </c>
      <c r="U73" s="3">
        <v>1200</v>
      </c>
      <c r="V73" s="3">
        <v>875</v>
      </c>
      <c r="W73" s="3">
        <v>1055</v>
      </c>
      <c r="X73" s="3"/>
      <c r="Y73" s="3"/>
      <c r="Z73" s="3"/>
      <c r="AA73" s="3"/>
      <c r="AC73" s="40"/>
      <c r="AM73" s="40"/>
      <c r="AQ73" s="40"/>
      <c r="AT73" s="40"/>
      <c r="AW73" s="40"/>
    </row>
    <row r="74" spans="1:55" s="8" customFormat="1" x14ac:dyDescent="0.55000000000000004">
      <c r="A74" s="6" t="s">
        <v>93</v>
      </c>
      <c r="B74" s="7">
        <v>1260653</v>
      </c>
      <c r="C74" s="7">
        <v>36361</v>
      </c>
      <c r="D74" s="7">
        <v>25016</v>
      </c>
      <c r="E74" s="7">
        <v>248574</v>
      </c>
      <c r="F74" s="7">
        <v>7737</v>
      </c>
      <c r="G74" s="7">
        <v>6502</v>
      </c>
      <c r="H74" s="7">
        <v>1239268</v>
      </c>
      <c r="I74" s="7">
        <v>36781</v>
      </c>
      <c r="J74" s="7">
        <v>26740</v>
      </c>
      <c r="K74" s="31">
        <v>28.8</v>
      </c>
      <c r="L74" s="31">
        <v>19.8</v>
      </c>
      <c r="M74" s="3"/>
      <c r="N74" s="7">
        <v>322941</v>
      </c>
      <c r="O74" s="7">
        <v>121393</v>
      </c>
      <c r="P74" s="7">
        <v>134812</v>
      </c>
      <c r="Q74" s="7">
        <v>100655</v>
      </c>
      <c r="R74" s="7">
        <v>122398</v>
      </c>
      <c r="S74" s="7">
        <v>192893</v>
      </c>
      <c r="T74" s="7">
        <v>102650</v>
      </c>
      <c r="U74" s="7">
        <v>102205</v>
      </c>
      <c r="V74" s="7">
        <v>60706</v>
      </c>
      <c r="W74" s="7"/>
      <c r="X74" s="7"/>
      <c r="Y74" s="7"/>
      <c r="Z74" s="7"/>
      <c r="AA74" s="7"/>
      <c r="AC74" s="40"/>
      <c r="AD74" s="9">
        <f>SUM(N74:AB74)</f>
        <v>1260653</v>
      </c>
      <c r="AE74" s="9">
        <f>SUM(N75:AB75)</f>
        <v>36361</v>
      </c>
      <c r="AF74" s="9">
        <f>SUM(N76:AB76)</f>
        <v>25016</v>
      </c>
      <c r="AG74" s="9">
        <f>E74</f>
        <v>248574</v>
      </c>
      <c r="AH74" s="9">
        <f>F74</f>
        <v>7737</v>
      </c>
      <c r="AI74" s="9">
        <f>G74</f>
        <v>6502</v>
      </c>
      <c r="AJ74" s="9">
        <f>H74</f>
        <v>1239268</v>
      </c>
      <c r="AK74" s="9">
        <f>I74</f>
        <v>36781</v>
      </c>
      <c r="AL74" s="9">
        <f>J74</f>
        <v>26740</v>
      </c>
      <c r="AM74" s="40"/>
      <c r="AN74" s="9">
        <f>AD74-B74</f>
        <v>0</v>
      </c>
      <c r="AO74" s="9">
        <f>AE74-C74</f>
        <v>0</v>
      </c>
      <c r="AP74" s="9">
        <f>AF74-D74</f>
        <v>0</v>
      </c>
      <c r="AQ74" s="43"/>
      <c r="AR74" s="48">
        <f>C74/B74*1000</f>
        <v>28.842988514682471</v>
      </c>
      <c r="AS74" s="48">
        <f>D74/B74*1000</f>
        <v>19.843684185894137</v>
      </c>
      <c r="AT74" s="49"/>
      <c r="AU74" s="48">
        <f>AR74-K74</f>
        <v>4.2988514682470225E-2</v>
      </c>
      <c r="AV74" s="48">
        <f>AS74-L74</f>
        <v>4.3684185894136363E-2</v>
      </c>
      <c r="AW74" s="43"/>
    </row>
    <row r="75" spans="1:55" s="2" customFormat="1" x14ac:dyDescent="0.55000000000000004">
      <c r="A75" s="1" t="s">
        <v>94</v>
      </c>
      <c r="B75" s="3"/>
      <c r="C75" s="3"/>
      <c r="D75" s="3"/>
      <c r="E75" s="3"/>
      <c r="F75" s="3"/>
      <c r="G75" s="3"/>
      <c r="H75" s="3"/>
      <c r="I75" s="3"/>
      <c r="J75" s="3"/>
      <c r="K75" s="28"/>
      <c r="L75" s="28"/>
      <c r="M75" s="3"/>
      <c r="N75" s="3">
        <v>9384</v>
      </c>
      <c r="O75" s="3">
        <v>3627</v>
      </c>
      <c r="P75" s="3">
        <v>3080</v>
      </c>
      <c r="Q75" s="3">
        <v>3319</v>
      </c>
      <c r="R75" s="3">
        <v>3859</v>
      </c>
      <c r="S75" s="3">
        <v>5580</v>
      </c>
      <c r="T75" s="3">
        <v>2929</v>
      </c>
      <c r="U75" s="3">
        <v>2794</v>
      </c>
      <c r="V75" s="3">
        <v>1789</v>
      </c>
      <c r="W75" s="3"/>
      <c r="X75" s="3"/>
      <c r="Y75" s="3"/>
      <c r="Z75" s="3"/>
      <c r="AA75" s="3"/>
      <c r="AC75" s="40"/>
      <c r="AM75" s="40"/>
      <c r="AQ75" s="40"/>
      <c r="AT75" s="40"/>
      <c r="AW75" s="40"/>
    </row>
    <row r="76" spans="1:55" s="2" customFormat="1" x14ac:dyDescent="0.55000000000000004">
      <c r="A76" s="1" t="s">
        <v>95</v>
      </c>
      <c r="B76" s="3"/>
      <c r="C76" s="3"/>
      <c r="D76" s="3"/>
      <c r="E76" s="3"/>
      <c r="F76" s="3"/>
      <c r="G76" s="3"/>
      <c r="H76" s="3"/>
      <c r="I76" s="3"/>
      <c r="J76" s="3"/>
      <c r="K76" s="28"/>
      <c r="L76" s="28"/>
      <c r="M76" s="3"/>
      <c r="N76" s="3">
        <v>7035</v>
      </c>
      <c r="O76" s="3">
        <v>2390</v>
      </c>
      <c r="P76" s="3">
        <v>2064</v>
      </c>
      <c r="Q76" s="3">
        <v>1779</v>
      </c>
      <c r="R76" s="3">
        <v>2656</v>
      </c>
      <c r="S76" s="3">
        <v>3769</v>
      </c>
      <c r="T76" s="3">
        <v>2051</v>
      </c>
      <c r="U76" s="3">
        <v>1795</v>
      </c>
      <c r="V76" s="3">
        <v>1477</v>
      </c>
      <c r="W76" s="3"/>
      <c r="X76" s="3"/>
      <c r="Y76" s="3"/>
      <c r="Z76" s="3"/>
      <c r="AA76" s="3"/>
      <c r="AC76" s="40"/>
      <c r="AM76" s="40"/>
      <c r="AQ76" s="40"/>
      <c r="AT76" s="40"/>
      <c r="AW76" s="40"/>
    </row>
    <row r="77" spans="1:55" s="8" customFormat="1" x14ac:dyDescent="0.55000000000000004">
      <c r="A77" s="6" t="s">
        <v>96</v>
      </c>
      <c r="B77" s="7">
        <v>404709</v>
      </c>
      <c r="C77" s="7">
        <v>11872</v>
      </c>
      <c r="D77" s="7">
        <v>7255</v>
      </c>
      <c r="E77" s="7">
        <v>61687</v>
      </c>
      <c r="F77" s="7">
        <v>1778</v>
      </c>
      <c r="G77" s="7">
        <v>1422</v>
      </c>
      <c r="H77" s="7">
        <v>396539</v>
      </c>
      <c r="I77" s="7">
        <v>11852</v>
      </c>
      <c r="J77" s="7">
        <v>8592</v>
      </c>
      <c r="K77" s="31">
        <v>29.3</v>
      </c>
      <c r="L77" s="31">
        <v>18</v>
      </c>
      <c r="M77" s="3"/>
      <c r="N77" s="7">
        <v>146946</v>
      </c>
      <c r="O77" s="7">
        <v>120167</v>
      </c>
      <c r="P77" s="7">
        <v>53655</v>
      </c>
      <c r="Q77" s="7">
        <v>83941</v>
      </c>
      <c r="R77" s="7"/>
      <c r="S77" s="7"/>
      <c r="T77" s="7"/>
      <c r="U77" s="7"/>
      <c r="V77" s="7"/>
      <c r="W77" s="7"/>
      <c r="X77" s="7"/>
      <c r="Y77" s="7"/>
      <c r="Z77" s="7"/>
      <c r="AA77" s="7"/>
      <c r="AC77" s="40"/>
      <c r="AD77" s="9">
        <f>SUM(N77:AB77)</f>
        <v>404709</v>
      </c>
      <c r="AE77" s="9">
        <f>SUM(N78:AB78)</f>
        <v>11872</v>
      </c>
      <c r="AF77" s="9">
        <f>SUM(N79:AB79)</f>
        <v>7255</v>
      </c>
      <c r="AG77" s="9">
        <f>E77</f>
        <v>61687</v>
      </c>
      <c r="AH77" s="9">
        <f>F77</f>
        <v>1778</v>
      </c>
      <c r="AI77" s="9">
        <f>G77</f>
        <v>1422</v>
      </c>
      <c r="AJ77" s="9">
        <f>H77</f>
        <v>396539</v>
      </c>
      <c r="AK77" s="9">
        <f>I77</f>
        <v>11852</v>
      </c>
      <c r="AL77" s="9">
        <f>J77</f>
        <v>8592</v>
      </c>
      <c r="AM77" s="40"/>
      <c r="AN77" s="9">
        <f>AD77-B77</f>
        <v>0</v>
      </c>
      <c r="AO77" s="9">
        <f>AE77-C77</f>
        <v>0</v>
      </c>
      <c r="AP77" s="9">
        <f>AF77-D77</f>
        <v>0</v>
      </c>
      <c r="AQ77" s="43"/>
      <c r="AR77" s="48">
        <f>C77/B77*1000</f>
        <v>29.33465774173542</v>
      </c>
      <c r="AS77" s="48">
        <f>D77/B77*1000</f>
        <v>17.926460740927432</v>
      </c>
      <c r="AT77" s="49"/>
      <c r="AU77" s="48">
        <f>AR77-K77</f>
        <v>3.4657741735419023E-2</v>
      </c>
      <c r="AV77" s="48">
        <f>AS77-L77</f>
        <v>-7.3539259072568086E-2</v>
      </c>
      <c r="AW77" s="43"/>
    </row>
    <row r="78" spans="1:55" s="2" customFormat="1" x14ac:dyDescent="0.55000000000000004">
      <c r="A78" s="1" t="s">
        <v>97</v>
      </c>
      <c r="B78" s="3"/>
      <c r="C78" s="3"/>
      <c r="D78" s="3"/>
      <c r="E78" s="3"/>
      <c r="F78" s="3"/>
      <c r="G78" s="3"/>
      <c r="H78" s="3"/>
      <c r="I78" s="3"/>
      <c r="J78" s="3"/>
      <c r="K78" s="28"/>
      <c r="L78" s="28"/>
      <c r="M78" s="3"/>
      <c r="N78" s="3">
        <v>4301</v>
      </c>
      <c r="O78" s="3">
        <v>3749</v>
      </c>
      <c r="P78" s="3">
        <v>1509</v>
      </c>
      <c r="Q78" s="3">
        <v>2313</v>
      </c>
      <c r="R78" s="3"/>
      <c r="S78" s="3"/>
      <c r="T78" s="3"/>
      <c r="U78" s="3"/>
      <c r="V78" s="3"/>
      <c r="W78" s="3"/>
      <c r="X78" s="3"/>
      <c r="Y78" s="3"/>
      <c r="Z78" s="3"/>
      <c r="AA78" s="3"/>
      <c r="AC78" s="40"/>
      <c r="AM78" s="40"/>
      <c r="AQ78" s="40"/>
      <c r="AT78" s="40"/>
      <c r="AW78" s="40"/>
    </row>
    <row r="79" spans="1:55" s="2" customFormat="1" x14ac:dyDescent="0.55000000000000004">
      <c r="A79" s="1" t="s">
        <v>98</v>
      </c>
      <c r="B79" s="3"/>
      <c r="C79" s="3"/>
      <c r="D79" s="3"/>
      <c r="E79" s="3"/>
      <c r="F79" s="3"/>
      <c r="G79" s="3"/>
      <c r="H79" s="3"/>
      <c r="I79" s="3"/>
      <c r="J79" s="3"/>
      <c r="K79" s="28"/>
      <c r="L79" s="28"/>
      <c r="M79" s="3"/>
      <c r="N79" s="3">
        <v>2742</v>
      </c>
      <c r="O79" s="3">
        <v>2222</v>
      </c>
      <c r="P79" s="3">
        <v>925</v>
      </c>
      <c r="Q79" s="3">
        <v>1366</v>
      </c>
      <c r="R79" s="3"/>
      <c r="S79" s="3"/>
      <c r="T79" s="3"/>
      <c r="U79" s="3"/>
      <c r="V79" s="3"/>
      <c r="W79" s="3"/>
      <c r="X79" s="3"/>
      <c r="Y79" s="3"/>
      <c r="Z79" s="3"/>
      <c r="AA79" s="3"/>
      <c r="AC79" s="40"/>
      <c r="AM79" s="40"/>
      <c r="AQ79" s="40"/>
      <c r="AT79" s="40"/>
      <c r="AW79" s="40"/>
    </row>
    <row r="80" spans="1:55" s="13" customFormat="1" x14ac:dyDescent="0.55000000000000004">
      <c r="A80" s="11" t="s">
        <v>99</v>
      </c>
      <c r="B80" s="12">
        <v>2378062</v>
      </c>
      <c r="C80" s="12">
        <v>68058</v>
      </c>
      <c r="D80" s="12">
        <v>44396</v>
      </c>
      <c r="E80" s="12">
        <v>420651</v>
      </c>
      <c r="F80" s="12">
        <v>13690</v>
      </c>
      <c r="G80" s="12">
        <v>10609</v>
      </c>
      <c r="H80" s="12">
        <v>2325955</v>
      </c>
      <c r="I80" s="12">
        <v>67607</v>
      </c>
      <c r="J80" s="12">
        <v>47537</v>
      </c>
      <c r="K80" s="32">
        <v>28.6</v>
      </c>
      <c r="L80" s="32">
        <v>18.600000000000001</v>
      </c>
      <c r="M80" s="3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C80" s="40"/>
      <c r="AD80" s="14">
        <f>SUM(AD71:AD79)</f>
        <v>2378092</v>
      </c>
      <c r="AE80" s="14">
        <f t="shared" ref="AE80:AL80" si="1">SUM(AE71:AE79)</f>
        <v>68058</v>
      </c>
      <c r="AF80" s="14">
        <f t="shared" si="1"/>
        <v>44396</v>
      </c>
      <c r="AG80" s="14">
        <f t="shared" si="1"/>
        <v>421251</v>
      </c>
      <c r="AH80" s="14">
        <f t="shared" si="1"/>
        <v>13690</v>
      </c>
      <c r="AI80" s="14">
        <f t="shared" si="1"/>
        <v>10609</v>
      </c>
      <c r="AJ80" s="14">
        <f t="shared" si="1"/>
        <v>2325958</v>
      </c>
      <c r="AK80" s="14">
        <f t="shared" si="1"/>
        <v>67607</v>
      </c>
      <c r="AL80" s="14">
        <f t="shared" si="1"/>
        <v>47534</v>
      </c>
      <c r="AM80" s="40"/>
      <c r="AN80" s="14">
        <f>AD80-B80</f>
        <v>30</v>
      </c>
      <c r="AO80" s="14">
        <f>AE80-C80</f>
        <v>0</v>
      </c>
      <c r="AP80" s="14">
        <f>AF80-D80</f>
        <v>0</v>
      </c>
      <c r="AQ80" s="43"/>
      <c r="AR80" s="48">
        <f>C80/B80*1000</f>
        <v>28.619102445604867</v>
      </c>
      <c r="AS80" s="48">
        <f>D80/B80*1000</f>
        <v>18.668983399087157</v>
      </c>
      <c r="AT80" s="49"/>
      <c r="AU80" s="48">
        <f>AR80-K80</f>
        <v>1.9102445604865181E-2</v>
      </c>
      <c r="AV80" s="48">
        <f>AS80-L80</f>
        <v>6.8983399087155561E-2</v>
      </c>
      <c r="AW80" s="43"/>
      <c r="AX80" s="14">
        <f>E80-AG80</f>
        <v>-600</v>
      </c>
      <c r="AY80" s="14">
        <f>F80-AH80</f>
        <v>0</v>
      </c>
      <c r="AZ80" s="14">
        <f>G80-AI80</f>
        <v>0</v>
      </c>
      <c r="BA80" s="14">
        <f>H80-AJ80</f>
        <v>-3</v>
      </c>
      <c r="BB80" s="14">
        <f>I80-AK80</f>
        <v>0</v>
      </c>
      <c r="BC80" s="14">
        <f>J80-AL80</f>
        <v>3</v>
      </c>
    </row>
    <row r="81" spans="1:49" s="8" customFormat="1" x14ac:dyDescent="0.55000000000000004">
      <c r="A81" s="6" t="s">
        <v>100</v>
      </c>
      <c r="B81" s="7">
        <v>1579766</v>
      </c>
      <c r="C81" s="7">
        <v>74644</v>
      </c>
      <c r="D81" s="7">
        <v>50841</v>
      </c>
      <c r="E81" s="7">
        <v>276917</v>
      </c>
      <c r="F81" s="7">
        <v>8897</v>
      </c>
      <c r="G81" s="7">
        <v>6349</v>
      </c>
      <c r="H81" s="7">
        <v>1556699</v>
      </c>
      <c r="I81" s="7">
        <v>73585</v>
      </c>
      <c r="J81" s="7">
        <v>49630</v>
      </c>
      <c r="K81" s="31">
        <v>47.2</v>
      </c>
      <c r="L81" s="31">
        <v>32.200000000000003</v>
      </c>
      <c r="M81" s="3"/>
      <c r="N81" s="7">
        <v>258185</v>
      </c>
      <c r="O81" s="7">
        <v>276569</v>
      </c>
      <c r="P81" s="7">
        <v>163711</v>
      </c>
      <c r="Q81" s="7">
        <v>185350</v>
      </c>
      <c r="R81" s="7">
        <v>165527</v>
      </c>
      <c r="S81" s="7">
        <v>174979</v>
      </c>
      <c r="T81" s="7">
        <v>202354</v>
      </c>
      <c r="U81" s="7">
        <v>153091</v>
      </c>
      <c r="V81" s="7"/>
      <c r="W81" s="7"/>
      <c r="X81" s="7"/>
      <c r="Y81" s="7"/>
      <c r="Z81" s="7"/>
      <c r="AA81" s="7"/>
      <c r="AC81" s="40"/>
      <c r="AD81" s="9">
        <f>SUM(N81:AB81)</f>
        <v>1579766</v>
      </c>
      <c r="AE81" s="9">
        <f>SUM(N82:AB82)</f>
        <v>74647</v>
      </c>
      <c r="AF81" s="9">
        <f>SUM(N83:AB83)</f>
        <v>50841</v>
      </c>
      <c r="AG81" s="9">
        <f>E81</f>
        <v>276917</v>
      </c>
      <c r="AH81" s="9">
        <f>F81</f>
        <v>8897</v>
      </c>
      <c r="AI81" s="9">
        <f>G81</f>
        <v>6349</v>
      </c>
      <c r="AJ81" s="9">
        <f>H81</f>
        <v>1556699</v>
      </c>
      <c r="AK81" s="9">
        <f>I81</f>
        <v>73585</v>
      </c>
      <c r="AL81" s="9">
        <f>J81</f>
        <v>49630</v>
      </c>
      <c r="AM81" s="40"/>
      <c r="AN81" s="9">
        <f>AD81-B81</f>
        <v>0</v>
      </c>
      <c r="AO81" s="9">
        <f>AE81-C81</f>
        <v>3</v>
      </c>
      <c r="AP81" s="9">
        <f>AF81-D81</f>
        <v>0</v>
      </c>
      <c r="AQ81" s="43"/>
      <c r="AR81" s="48">
        <f>C81/B81*1000</f>
        <v>47.250035764790482</v>
      </c>
      <c r="AS81" s="48">
        <f>D81/B81*1000</f>
        <v>32.18261438719405</v>
      </c>
      <c r="AT81" s="49"/>
      <c r="AU81" s="48">
        <f>AR81-K81</f>
        <v>5.003576479047922E-2</v>
      </c>
      <c r="AV81" s="48">
        <f>AS81-L81</f>
        <v>-1.7385612805952633E-2</v>
      </c>
      <c r="AW81" s="43"/>
    </row>
    <row r="82" spans="1:49" s="2" customFormat="1" x14ac:dyDescent="0.55000000000000004">
      <c r="A82" s="1" t="s">
        <v>101</v>
      </c>
      <c r="B82" s="3"/>
      <c r="C82" s="3"/>
      <c r="D82" s="3"/>
      <c r="E82" s="3"/>
      <c r="F82" s="3"/>
      <c r="G82" s="3"/>
      <c r="H82" s="3"/>
      <c r="I82" s="3"/>
      <c r="J82" s="3"/>
      <c r="K82" s="28"/>
      <c r="L82" s="28"/>
      <c r="M82" s="3"/>
      <c r="N82" s="3">
        <v>10389</v>
      </c>
      <c r="O82" s="3">
        <v>11741</v>
      </c>
      <c r="P82" s="3">
        <v>8429</v>
      </c>
      <c r="Q82" s="3">
        <v>9595</v>
      </c>
      <c r="R82" s="3">
        <v>7791</v>
      </c>
      <c r="S82" s="3">
        <v>7534</v>
      </c>
      <c r="T82" s="3">
        <v>11144</v>
      </c>
      <c r="U82" s="3">
        <v>8024</v>
      </c>
      <c r="V82" s="3"/>
      <c r="W82" s="3"/>
      <c r="X82" s="3"/>
      <c r="Y82" s="3"/>
      <c r="Z82" s="3"/>
      <c r="AA82" s="3"/>
      <c r="AC82" s="40"/>
      <c r="AM82" s="40"/>
      <c r="AQ82" s="40"/>
      <c r="AT82" s="40"/>
      <c r="AW82" s="40"/>
    </row>
    <row r="83" spans="1:49" s="2" customFormat="1" x14ac:dyDescent="0.55000000000000004">
      <c r="A83" s="1" t="s">
        <v>102</v>
      </c>
      <c r="B83" s="3"/>
      <c r="C83" s="3"/>
      <c r="D83" s="3"/>
      <c r="E83" s="3"/>
      <c r="F83" s="3"/>
      <c r="G83" s="3"/>
      <c r="H83" s="3"/>
      <c r="I83" s="3"/>
      <c r="J83" s="3"/>
      <c r="K83" s="28"/>
      <c r="L83" s="28"/>
      <c r="M83" s="3"/>
      <c r="N83" s="3">
        <v>6983</v>
      </c>
      <c r="O83" s="3">
        <v>6745</v>
      </c>
      <c r="P83" s="3">
        <v>5954</v>
      </c>
      <c r="Q83" s="3">
        <v>5630</v>
      </c>
      <c r="R83" s="3">
        <v>5495</v>
      </c>
      <c r="S83" s="3">
        <v>5689</v>
      </c>
      <c r="T83" s="3">
        <v>8265</v>
      </c>
      <c r="U83" s="3">
        <v>6080</v>
      </c>
      <c r="V83" s="3"/>
      <c r="W83" s="3"/>
      <c r="X83" s="3"/>
      <c r="Y83" s="3"/>
      <c r="Z83" s="3"/>
      <c r="AA83" s="3"/>
      <c r="AC83" s="40"/>
      <c r="AM83" s="40"/>
      <c r="AQ83" s="40"/>
      <c r="AT83" s="40"/>
      <c r="AW83" s="40"/>
    </row>
    <row r="84" spans="1:49" s="8" customFormat="1" x14ac:dyDescent="0.55000000000000004">
      <c r="A84" s="6" t="s">
        <v>103</v>
      </c>
      <c r="B84" s="7">
        <v>1511926</v>
      </c>
      <c r="C84" s="7">
        <v>78774</v>
      </c>
      <c r="D84" s="7">
        <v>65493</v>
      </c>
      <c r="E84" s="7">
        <v>108816</v>
      </c>
      <c r="F84" s="7">
        <v>7110</v>
      </c>
      <c r="G84" s="7">
        <v>4932</v>
      </c>
      <c r="H84" s="7">
        <v>1441398</v>
      </c>
      <c r="I84" s="7">
        <v>75901</v>
      </c>
      <c r="J84" s="7">
        <v>58278</v>
      </c>
      <c r="K84" s="31">
        <v>52.1</v>
      </c>
      <c r="L84" s="31">
        <v>43.3</v>
      </c>
      <c r="M84" s="3"/>
      <c r="N84" s="7">
        <v>164831</v>
      </c>
      <c r="O84" s="7">
        <v>103255</v>
      </c>
      <c r="P84" s="7">
        <v>90937</v>
      </c>
      <c r="Q84" s="7">
        <v>106235</v>
      </c>
      <c r="R84" s="7">
        <v>120456</v>
      </c>
      <c r="S84" s="7">
        <v>134355</v>
      </c>
      <c r="T84" s="7">
        <v>119250</v>
      </c>
      <c r="U84" s="7">
        <v>93700</v>
      </c>
      <c r="V84" s="7">
        <v>120236</v>
      </c>
      <c r="W84" s="7">
        <v>87766</v>
      </c>
      <c r="X84" s="7">
        <v>115721</v>
      </c>
      <c r="Y84" s="7">
        <v>148341</v>
      </c>
      <c r="Z84" s="7">
        <v>106843</v>
      </c>
      <c r="AA84" s="7"/>
      <c r="AC84" s="40"/>
      <c r="AD84" s="9">
        <f>SUM(N84:AB84)</f>
        <v>1511926</v>
      </c>
      <c r="AE84" s="9">
        <f>SUM(N85:AB85)</f>
        <v>80777</v>
      </c>
      <c r="AF84" s="9">
        <f>SUM(N86:AB86)</f>
        <v>65493</v>
      </c>
      <c r="AG84" s="9">
        <f>E84</f>
        <v>108816</v>
      </c>
      <c r="AH84" s="9">
        <f>F84</f>
        <v>7110</v>
      </c>
      <c r="AI84" s="9">
        <f>G84</f>
        <v>4932</v>
      </c>
      <c r="AJ84" s="9">
        <f>H84</f>
        <v>1441398</v>
      </c>
      <c r="AK84" s="9">
        <f>I84</f>
        <v>75901</v>
      </c>
      <c r="AL84" s="9">
        <f>J84</f>
        <v>58278</v>
      </c>
      <c r="AM84" s="40"/>
      <c r="AN84" s="9">
        <f>AD84-B84</f>
        <v>0</v>
      </c>
      <c r="AO84" s="9">
        <f>AE84-C84</f>
        <v>2003</v>
      </c>
      <c r="AP84" s="9">
        <f>AF84-D84</f>
        <v>0</v>
      </c>
      <c r="AQ84" s="43"/>
      <c r="AR84" s="48">
        <f>C84/B84*1000</f>
        <v>52.101756302887836</v>
      </c>
      <c r="AS84" s="48">
        <f>D84/B84*1000</f>
        <v>43.317596231561595</v>
      </c>
      <c r="AT84" s="49"/>
      <c r="AU84" s="48">
        <f>AR84-K84</f>
        <v>1.7563028878342379E-3</v>
      </c>
      <c r="AV84" s="48">
        <f>AS84-L84</f>
        <v>1.7596231561597619E-2</v>
      </c>
      <c r="AW84" s="43"/>
    </row>
    <row r="85" spans="1:49" s="2" customFormat="1" x14ac:dyDescent="0.55000000000000004">
      <c r="A85" s="1" t="s">
        <v>104</v>
      </c>
      <c r="B85" s="3"/>
      <c r="C85" s="3"/>
      <c r="D85" s="3"/>
      <c r="E85" s="3"/>
      <c r="F85" s="3"/>
      <c r="G85" s="3"/>
      <c r="H85" s="3"/>
      <c r="I85" s="3"/>
      <c r="J85" s="3"/>
      <c r="K85" s="28"/>
      <c r="L85" s="28"/>
      <c r="M85" s="3"/>
      <c r="N85" s="3">
        <v>7765</v>
      </c>
      <c r="O85" s="3">
        <v>4014</v>
      </c>
      <c r="P85" s="3">
        <v>4684</v>
      </c>
      <c r="Q85" s="3">
        <v>5079</v>
      </c>
      <c r="R85" s="3">
        <v>6098</v>
      </c>
      <c r="S85" s="3">
        <v>9580</v>
      </c>
      <c r="T85" s="3">
        <v>6933</v>
      </c>
      <c r="U85" s="3">
        <v>4704</v>
      </c>
      <c r="V85" s="3">
        <v>7972</v>
      </c>
      <c r="W85" s="3">
        <v>4824</v>
      </c>
      <c r="X85" s="3">
        <v>6449</v>
      </c>
      <c r="Y85" s="3">
        <v>7158</v>
      </c>
      <c r="Z85" s="3">
        <v>5517</v>
      </c>
      <c r="AA85" s="3"/>
      <c r="AC85" s="40"/>
      <c r="AM85" s="40"/>
      <c r="AQ85" s="40"/>
      <c r="AT85" s="40"/>
      <c r="AW85" s="40"/>
    </row>
    <row r="86" spans="1:49" s="2" customFormat="1" x14ac:dyDescent="0.55000000000000004">
      <c r="A86" s="1" t="s">
        <v>105</v>
      </c>
      <c r="B86" s="3"/>
      <c r="C86" s="3"/>
      <c r="D86" s="3"/>
      <c r="E86" s="3"/>
      <c r="F86" s="3"/>
      <c r="G86" s="3"/>
      <c r="H86" s="3"/>
      <c r="I86" s="3"/>
      <c r="J86" s="3"/>
      <c r="K86" s="28"/>
      <c r="L86" s="28"/>
      <c r="M86" s="3"/>
      <c r="N86" s="3">
        <v>6854</v>
      </c>
      <c r="O86" s="3">
        <v>3675</v>
      </c>
      <c r="P86" s="3">
        <v>3879</v>
      </c>
      <c r="Q86" s="3">
        <v>3504</v>
      </c>
      <c r="R86" s="3">
        <v>4951</v>
      </c>
      <c r="S86" s="3">
        <v>6173</v>
      </c>
      <c r="T86" s="3">
        <v>5635</v>
      </c>
      <c r="U86" s="3">
        <v>4148</v>
      </c>
      <c r="V86" s="3">
        <v>6678</v>
      </c>
      <c r="W86" s="3">
        <v>3925</v>
      </c>
      <c r="X86" s="3">
        <v>5334</v>
      </c>
      <c r="Y86" s="3">
        <v>6060</v>
      </c>
      <c r="Z86" s="3">
        <v>4677</v>
      </c>
      <c r="AA86" s="3"/>
      <c r="AC86" s="40"/>
      <c r="AD86" s="43"/>
      <c r="AE86" s="43"/>
      <c r="AF86" s="43"/>
      <c r="AG86" s="43"/>
      <c r="AH86" s="43"/>
      <c r="AI86" s="43"/>
      <c r="AJ86" s="43"/>
      <c r="AK86" s="43"/>
      <c r="AL86" s="43"/>
      <c r="AM86" s="40"/>
      <c r="AN86" s="43"/>
      <c r="AO86" s="43"/>
      <c r="AP86" s="43"/>
      <c r="AQ86" s="43"/>
      <c r="AR86" s="43"/>
      <c r="AS86" s="43"/>
      <c r="AT86" s="43"/>
      <c r="AU86" s="43"/>
      <c r="AV86" s="43"/>
      <c r="AW86" s="43"/>
    </row>
    <row r="87" spans="1:49" s="8" customFormat="1" x14ac:dyDescent="0.55000000000000004">
      <c r="A87" s="6" t="s">
        <v>106</v>
      </c>
      <c r="B87" s="7">
        <v>1282886</v>
      </c>
      <c r="C87" s="7">
        <v>56538</v>
      </c>
      <c r="D87" s="7">
        <v>43009</v>
      </c>
      <c r="E87" s="7">
        <v>43968</v>
      </c>
      <c r="F87" s="7">
        <v>1738</v>
      </c>
      <c r="G87" s="7">
        <v>1586</v>
      </c>
      <c r="H87" s="7">
        <v>1255613</v>
      </c>
      <c r="I87" s="7">
        <v>55161</v>
      </c>
      <c r="J87" s="7">
        <v>39459</v>
      </c>
      <c r="K87" s="31">
        <v>44.1</v>
      </c>
      <c r="L87" s="31">
        <v>33.5</v>
      </c>
      <c r="M87" s="3"/>
      <c r="N87" s="7">
        <v>163549</v>
      </c>
      <c r="O87" s="7">
        <v>102418</v>
      </c>
      <c r="P87" s="7">
        <v>103969</v>
      </c>
      <c r="Q87" s="7">
        <v>181689</v>
      </c>
      <c r="R87" s="7">
        <v>181918</v>
      </c>
      <c r="S87" s="7">
        <v>119151</v>
      </c>
      <c r="T87" s="7">
        <v>147062</v>
      </c>
      <c r="U87" s="7">
        <v>100154</v>
      </c>
      <c r="V87" s="7">
        <v>134993</v>
      </c>
      <c r="W87" s="7">
        <v>47983</v>
      </c>
      <c r="X87" s="7"/>
      <c r="Y87" s="7"/>
      <c r="Z87" s="7"/>
      <c r="AA87" s="7"/>
      <c r="AC87" s="40"/>
      <c r="AD87" s="9">
        <f>SUM(N87:AB87)</f>
        <v>1282886</v>
      </c>
      <c r="AE87" s="9">
        <f>SUM(N88:AB88)</f>
        <v>56538</v>
      </c>
      <c r="AF87" s="9">
        <f>SUM(N89:AB89)</f>
        <v>43009</v>
      </c>
      <c r="AG87" s="9">
        <f>E87</f>
        <v>43968</v>
      </c>
      <c r="AH87" s="9">
        <f>F87</f>
        <v>1738</v>
      </c>
      <c r="AI87" s="9">
        <f>G87</f>
        <v>1586</v>
      </c>
      <c r="AJ87" s="9">
        <f>H87</f>
        <v>1255613</v>
      </c>
      <c r="AK87" s="9">
        <f>I87</f>
        <v>55161</v>
      </c>
      <c r="AL87" s="9">
        <f>J87</f>
        <v>39459</v>
      </c>
      <c r="AM87" s="40"/>
      <c r="AN87" s="9">
        <f>AD87-B87</f>
        <v>0</v>
      </c>
      <c r="AO87" s="9">
        <f>AE87-C87</f>
        <v>0</v>
      </c>
      <c r="AP87" s="9">
        <f>AF87-D87</f>
        <v>0</v>
      </c>
      <c r="AQ87" s="43"/>
      <c r="AR87" s="48">
        <f>C87/B87*1000</f>
        <v>44.070946288290621</v>
      </c>
      <c r="AS87" s="48">
        <f>D87/B87*1000</f>
        <v>33.525192417720675</v>
      </c>
      <c r="AT87" s="49"/>
      <c r="AU87" s="48">
        <f>AR87-K87</f>
        <v>-2.9053711709380536E-2</v>
      </c>
      <c r="AV87" s="48">
        <f>AS87-L87</f>
        <v>2.5192417720674598E-2</v>
      </c>
      <c r="AW87" s="43"/>
    </row>
    <row r="88" spans="1:49" s="2" customFormat="1" x14ac:dyDescent="0.55000000000000004">
      <c r="A88" s="1" t="s">
        <v>107</v>
      </c>
      <c r="B88" s="3"/>
      <c r="C88" s="3"/>
      <c r="D88" s="3"/>
      <c r="E88" s="3"/>
      <c r="F88" s="3"/>
      <c r="G88" s="3"/>
      <c r="H88" s="3"/>
      <c r="I88" s="3"/>
      <c r="J88" s="3"/>
      <c r="K88" s="28"/>
      <c r="L88" s="28"/>
      <c r="M88" s="3"/>
      <c r="N88" s="3">
        <v>6233</v>
      </c>
      <c r="O88" s="3">
        <v>4207</v>
      </c>
      <c r="P88" s="3">
        <v>4417</v>
      </c>
      <c r="Q88" s="3">
        <v>8052</v>
      </c>
      <c r="R88" s="3">
        <v>9285</v>
      </c>
      <c r="S88" s="3">
        <v>5362</v>
      </c>
      <c r="T88" s="3">
        <v>6471</v>
      </c>
      <c r="U88" s="3">
        <v>4103</v>
      </c>
      <c r="V88" s="3">
        <v>6414</v>
      </c>
      <c r="W88" s="3">
        <v>1994</v>
      </c>
      <c r="X88" s="3"/>
      <c r="Y88" s="3"/>
      <c r="Z88" s="3"/>
      <c r="AA88" s="3"/>
      <c r="AC88" s="40"/>
      <c r="AM88" s="40"/>
      <c r="AQ88" s="40"/>
      <c r="AT88" s="40"/>
      <c r="AW88" s="40"/>
    </row>
    <row r="89" spans="1:49" s="2" customFormat="1" x14ac:dyDescent="0.55000000000000004">
      <c r="A89" s="1" t="s">
        <v>108</v>
      </c>
      <c r="B89" s="3"/>
      <c r="C89" s="3"/>
      <c r="D89" s="3"/>
      <c r="E89" s="3"/>
      <c r="F89" s="3"/>
      <c r="G89" s="3"/>
      <c r="H89" s="3"/>
      <c r="I89" s="3"/>
      <c r="J89" s="3"/>
      <c r="K89" s="28"/>
      <c r="L89" s="28"/>
      <c r="M89" s="3"/>
      <c r="N89" s="3">
        <v>4684</v>
      </c>
      <c r="O89" s="3">
        <v>3445</v>
      </c>
      <c r="P89" s="3">
        <v>3552</v>
      </c>
      <c r="Q89" s="3">
        <v>7279</v>
      </c>
      <c r="R89" s="3">
        <v>7044</v>
      </c>
      <c r="S89" s="3">
        <v>3399</v>
      </c>
      <c r="T89" s="3">
        <v>5305</v>
      </c>
      <c r="U89" s="3">
        <v>2712</v>
      </c>
      <c r="V89" s="3">
        <v>4193</v>
      </c>
      <c r="W89" s="3">
        <v>1396</v>
      </c>
      <c r="X89" s="3"/>
      <c r="Y89" s="3"/>
      <c r="Z89" s="3"/>
      <c r="AA89" s="3"/>
      <c r="AC89" s="40"/>
      <c r="AM89" s="40"/>
      <c r="AQ89" s="40"/>
      <c r="AT89" s="40"/>
      <c r="AW89" s="40"/>
    </row>
    <row r="90" spans="1:49" s="8" customFormat="1" x14ac:dyDescent="0.55000000000000004">
      <c r="A90" s="6" t="s">
        <v>109</v>
      </c>
      <c r="B90" s="7">
        <v>2689790</v>
      </c>
      <c r="C90" s="7">
        <v>134898</v>
      </c>
      <c r="D90" s="7">
        <v>107953</v>
      </c>
      <c r="E90" s="7">
        <v>107786</v>
      </c>
      <c r="F90" s="7">
        <v>4289</v>
      </c>
      <c r="G90" s="7">
        <v>4049</v>
      </c>
      <c r="H90" s="7">
        <v>2652608</v>
      </c>
      <c r="I90" s="7">
        <v>138837</v>
      </c>
      <c r="J90" s="7">
        <v>95929</v>
      </c>
      <c r="K90" s="31">
        <v>50.1</v>
      </c>
      <c r="L90" s="31">
        <v>40.1</v>
      </c>
      <c r="M90" s="3"/>
      <c r="N90" s="7">
        <v>250180</v>
      </c>
      <c r="O90" s="7">
        <v>261546</v>
      </c>
      <c r="P90" s="7">
        <v>278490</v>
      </c>
      <c r="Q90" s="7">
        <v>351951</v>
      </c>
      <c r="R90" s="7">
        <v>206149</v>
      </c>
      <c r="S90" s="7">
        <v>130730</v>
      </c>
      <c r="T90" s="7">
        <v>210280</v>
      </c>
      <c r="U90" s="7">
        <v>171505</v>
      </c>
      <c r="V90" s="7">
        <v>187620</v>
      </c>
      <c r="W90" s="7">
        <v>186923</v>
      </c>
      <c r="X90" s="7">
        <v>269334</v>
      </c>
      <c r="Y90" s="7">
        <v>185082</v>
      </c>
      <c r="Z90" s="7"/>
      <c r="AA90" s="7"/>
      <c r="AC90" s="40"/>
      <c r="AD90" s="9">
        <f>SUM(N90:AB90)</f>
        <v>2689790</v>
      </c>
      <c r="AE90" s="9">
        <f>SUM(N91:AB91)</f>
        <v>134898</v>
      </c>
      <c r="AF90" s="9">
        <f>SUM(N92:AB92)</f>
        <v>107953</v>
      </c>
      <c r="AG90" s="9">
        <f>E90</f>
        <v>107786</v>
      </c>
      <c r="AH90" s="9">
        <f>F90</f>
        <v>4289</v>
      </c>
      <c r="AI90" s="9">
        <f>G90</f>
        <v>4049</v>
      </c>
      <c r="AJ90" s="9">
        <f>H90</f>
        <v>2652608</v>
      </c>
      <c r="AK90" s="9">
        <f>I90</f>
        <v>138837</v>
      </c>
      <c r="AL90" s="9">
        <f>J90</f>
        <v>95929</v>
      </c>
      <c r="AM90" s="40"/>
      <c r="AN90" s="9">
        <f>AD90-B90</f>
        <v>0</v>
      </c>
      <c r="AO90" s="9">
        <f>AE90-C90</f>
        <v>0</v>
      </c>
      <c r="AP90" s="9">
        <f>AF90-D90</f>
        <v>0</v>
      </c>
      <c r="AQ90" s="43"/>
      <c r="AR90" s="48">
        <f>C90/B90*1000</f>
        <v>50.151870592128006</v>
      </c>
      <c r="AS90" s="48">
        <f>D90/B90*1000</f>
        <v>40.134359931444465</v>
      </c>
      <c r="AT90" s="49"/>
      <c r="AU90" s="48">
        <f>AR90-K90</f>
        <v>5.1870592128004489E-2</v>
      </c>
      <c r="AV90" s="48">
        <f>AS90-L90</f>
        <v>3.4359931444463143E-2</v>
      </c>
      <c r="AW90" s="43"/>
    </row>
    <row r="91" spans="1:49" s="2" customFormat="1" x14ac:dyDescent="0.55000000000000004">
      <c r="A91" s="1" t="s">
        <v>110</v>
      </c>
      <c r="B91" s="3"/>
      <c r="C91" s="3"/>
      <c r="D91" s="3"/>
      <c r="E91" s="3"/>
      <c r="F91" s="3"/>
      <c r="G91" s="3"/>
      <c r="H91" s="3"/>
      <c r="I91" s="3"/>
      <c r="J91" s="3"/>
      <c r="K91" s="28"/>
      <c r="L91" s="28"/>
      <c r="M91" s="3"/>
      <c r="N91" s="3">
        <v>13487</v>
      </c>
      <c r="O91" s="3">
        <v>11489</v>
      </c>
      <c r="P91" s="3">
        <v>15350</v>
      </c>
      <c r="Q91" s="3">
        <v>16045</v>
      </c>
      <c r="R91" s="3">
        <v>9276</v>
      </c>
      <c r="S91" s="3">
        <v>5716</v>
      </c>
      <c r="T91" s="3">
        <v>11678</v>
      </c>
      <c r="U91" s="3">
        <v>9004</v>
      </c>
      <c r="V91" s="3">
        <v>9795</v>
      </c>
      <c r="W91" s="3">
        <v>9991</v>
      </c>
      <c r="X91" s="3">
        <v>14680</v>
      </c>
      <c r="Y91" s="3">
        <v>8387</v>
      </c>
      <c r="Z91" s="3"/>
      <c r="AA91" s="3"/>
      <c r="AC91" s="40"/>
      <c r="AM91" s="40"/>
      <c r="AQ91" s="40"/>
      <c r="AT91" s="40"/>
      <c r="AW91" s="40"/>
    </row>
    <row r="92" spans="1:49" s="2" customFormat="1" x14ac:dyDescent="0.55000000000000004">
      <c r="A92" s="1" t="s">
        <v>111</v>
      </c>
      <c r="B92" s="3"/>
      <c r="C92" s="3"/>
      <c r="D92" s="3"/>
      <c r="E92" s="3"/>
      <c r="F92" s="3"/>
      <c r="G92" s="3"/>
      <c r="H92" s="3"/>
      <c r="I92" s="3"/>
      <c r="J92" s="3"/>
      <c r="K92" s="28"/>
      <c r="L92" s="28"/>
      <c r="M92" s="3"/>
      <c r="N92" s="3">
        <v>11078</v>
      </c>
      <c r="O92" s="3">
        <v>9410</v>
      </c>
      <c r="P92" s="3">
        <v>13362</v>
      </c>
      <c r="Q92" s="3">
        <v>12157</v>
      </c>
      <c r="R92" s="3">
        <v>8327</v>
      </c>
      <c r="S92" s="3">
        <v>5728</v>
      </c>
      <c r="T92" s="3">
        <v>7899</v>
      </c>
      <c r="U92" s="3">
        <v>6294</v>
      </c>
      <c r="V92" s="3">
        <v>7864</v>
      </c>
      <c r="W92" s="3">
        <v>7405</v>
      </c>
      <c r="X92" s="3">
        <v>12391</v>
      </c>
      <c r="Y92" s="3">
        <v>6038</v>
      </c>
      <c r="Z92" s="3"/>
      <c r="AA92" s="3"/>
      <c r="AC92" s="40"/>
      <c r="AM92" s="40"/>
      <c r="AQ92" s="40"/>
      <c r="AT92" s="40"/>
      <c r="AW92" s="40"/>
    </row>
    <row r="93" spans="1:49" s="8" customFormat="1" x14ac:dyDescent="0.55000000000000004">
      <c r="A93" s="6" t="s">
        <v>112</v>
      </c>
      <c r="B93" s="7">
        <v>3005795</v>
      </c>
      <c r="C93" s="7">
        <v>158150</v>
      </c>
      <c r="D93" s="7">
        <v>140937</v>
      </c>
      <c r="E93" s="7">
        <v>87643</v>
      </c>
      <c r="F93" s="7">
        <v>2610</v>
      </c>
      <c r="G93" s="7">
        <v>2443</v>
      </c>
      <c r="H93" s="7">
        <v>2943281</v>
      </c>
      <c r="I93" s="7">
        <v>152115</v>
      </c>
      <c r="J93" s="7">
        <v>113200</v>
      </c>
      <c r="K93" s="31">
        <v>52.2</v>
      </c>
      <c r="L93" s="31">
        <v>46.8</v>
      </c>
      <c r="M93" s="3"/>
      <c r="N93" s="7">
        <v>205506</v>
      </c>
      <c r="O93" s="7">
        <v>366874</v>
      </c>
      <c r="P93" s="7">
        <v>217185</v>
      </c>
      <c r="Q93" s="7">
        <v>277979</v>
      </c>
      <c r="R93" s="7">
        <v>268666</v>
      </c>
      <c r="S93" s="7">
        <v>217497</v>
      </c>
      <c r="T93" s="7">
        <v>224102</v>
      </c>
      <c r="U93" s="7">
        <v>368611</v>
      </c>
      <c r="V93" s="7">
        <v>209682</v>
      </c>
      <c r="W93" s="7">
        <v>287241</v>
      </c>
      <c r="X93" s="7">
        <v>365452</v>
      </c>
      <c r="Y93" s="7"/>
      <c r="Z93" s="7"/>
      <c r="AA93" s="7"/>
      <c r="AC93" s="40"/>
      <c r="AD93" s="9">
        <f>SUM(N93:AB93)</f>
        <v>3008795</v>
      </c>
      <c r="AE93" s="9">
        <f>SUM(N94:AB94)</f>
        <v>158150</v>
      </c>
      <c r="AF93" s="9">
        <f>SUM(N95:AB95)</f>
        <v>140937</v>
      </c>
      <c r="AG93" s="9">
        <f>E93</f>
        <v>87643</v>
      </c>
      <c r="AH93" s="9">
        <f>F93</f>
        <v>2610</v>
      </c>
      <c r="AI93" s="9">
        <f>G93</f>
        <v>2443</v>
      </c>
      <c r="AJ93" s="9">
        <f>H93</f>
        <v>2943281</v>
      </c>
      <c r="AK93" s="9">
        <f>I93</f>
        <v>152115</v>
      </c>
      <c r="AL93" s="9">
        <f>J93</f>
        <v>113200</v>
      </c>
      <c r="AM93" s="40"/>
      <c r="AN93" s="9">
        <f>AD93-B93</f>
        <v>3000</v>
      </c>
      <c r="AO93" s="9">
        <f>AE93-C93</f>
        <v>0</v>
      </c>
      <c r="AP93" s="9">
        <f>AF93-D93</f>
        <v>0</v>
      </c>
      <c r="AQ93" s="43"/>
      <c r="AR93" s="48">
        <f>C93/B93*1000</f>
        <v>52.615031963257643</v>
      </c>
      <c r="AS93" s="48">
        <f>D93/B93*1000</f>
        <v>46.888427188148228</v>
      </c>
      <c r="AT93" s="49"/>
      <c r="AU93" s="48">
        <f>AR93-K93</f>
        <v>0.4150319632576398</v>
      </c>
      <c r="AV93" s="48">
        <f>AS93-L93</f>
        <v>8.8427188148230584E-2</v>
      </c>
      <c r="AW93" s="43"/>
    </row>
    <row r="94" spans="1:49" s="2" customFormat="1" x14ac:dyDescent="0.55000000000000004">
      <c r="A94" s="1" t="s">
        <v>113</v>
      </c>
      <c r="B94" s="3"/>
      <c r="C94" s="3"/>
      <c r="D94" s="3"/>
      <c r="E94" s="3"/>
      <c r="F94" s="3"/>
      <c r="G94" s="3"/>
      <c r="H94" s="3"/>
      <c r="I94" s="3"/>
      <c r="J94" s="3"/>
      <c r="K94" s="28"/>
      <c r="L94" s="28"/>
      <c r="M94" s="3"/>
      <c r="N94" s="3">
        <v>10430</v>
      </c>
      <c r="O94" s="3">
        <v>19141</v>
      </c>
      <c r="P94" s="3">
        <v>11338</v>
      </c>
      <c r="Q94" s="3">
        <v>13648</v>
      </c>
      <c r="R94" s="3">
        <v>13566</v>
      </c>
      <c r="S94" s="3">
        <v>11702</v>
      </c>
      <c r="T94" s="3">
        <v>10878</v>
      </c>
      <c r="U94" s="3">
        <v>19275</v>
      </c>
      <c r="V94" s="3">
        <v>10943</v>
      </c>
      <c r="W94" s="3">
        <v>16179</v>
      </c>
      <c r="X94" s="3">
        <v>21050</v>
      </c>
      <c r="Y94" s="3"/>
      <c r="Z94" s="3"/>
      <c r="AA94" s="3"/>
      <c r="AC94" s="40"/>
      <c r="AM94" s="40"/>
      <c r="AQ94" s="40"/>
      <c r="AT94" s="40"/>
      <c r="AW94" s="40"/>
    </row>
    <row r="95" spans="1:49" s="2" customFormat="1" x14ac:dyDescent="0.55000000000000004">
      <c r="A95" s="1" t="s">
        <v>114</v>
      </c>
      <c r="B95" s="3"/>
      <c r="C95" s="3"/>
      <c r="D95" s="3"/>
      <c r="E95" s="3"/>
      <c r="F95" s="3"/>
      <c r="G95" s="3"/>
      <c r="H95" s="3"/>
      <c r="I95" s="3"/>
      <c r="J95" s="3"/>
      <c r="K95" s="28"/>
      <c r="L95" s="28"/>
      <c r="M95" s="3"/>
      <c r="N95" s="3">
        <v>10405</v>
      </c>
      <c r="O95" s="3">
        <v>18040</v>
      </c>
      <c r="P95" s="3">
        <v>8997</v>
      </c>
      <c r="Q95" s="3">
        <v>11923</v>
      </c>
      <c r="R95" s="3">
        <v>12599</v>
      </c>
      <c r="S95" s="3">
        <v>11999</v>
      </c>
      <c r="T95" s="3">
        <v>10333</v>
      </c>
      <c r="U95" s="3">
        <v>15982</v>
      </c>
      <c r="V95" s="3">
        <v>9455</v>
      </c>
      <c r="W95" s="3">
        <v>13035</v>
      </c>
      <c r="X95" s="3">
        <v>18169</v>
      </c>
      <c r="Y95" s="3"/>
      <c r="Z95" s="3"/>
      <c r="AA95" s="3"/>
      <c r="AC95" s="40"/>
      <c r="AM95" s="40"/>
      <c r="AQ95" s="40"/>
      <c r="AT95" s="40"/>
      <c r="AW95" s="40"/>
    </row>
    <row r="96" spans="1:49" s="8" customFormat="1" x14ac:dyDescent="0.55000000000000004">
      <c r="A96" s="6" t="s">
        <v>115</v>
      </c>
      <c r="B96" s="7">
        <v>1653543</v>
      </c>
      <c r="C96" s="7">
        <v>90972</v>
      </c>
      <c r="D96" s="7">
        <v>64854</v>
      </c>
      <c r="E96" s="7">
        <v>159246</v>
      </c>
      <c r="F96" s="7">
        <v>8280</v>
      </c>
      <c r="G96" s="7">
        <v>6933</v>
      </c>
      <c r="H96" s="7">
        <v>1696196</v>
      </c>
      <c r="I96" s="7">
        <v>94627</v>
      </c>
      <c r="J96" s="7">
        <v>57147</v>
      </c>
      <c r="K96" s="31">
        <v>55</v>
      </c>
      <c r="L96" s="31">
        <v>39.200000000000003</v>
      </c>
      <c r="M96" s="3"/>
      <c r="N96" s="7">
        <v>234104</v>
      </c>
      <c r="O96" s="7">
        <v>231956</v>
      </c>
      <c r="P96" s="7">
        <v>231913</v>
      </c>
      <c r="Q96" s="7">
        <v>168262</v>
      </c>
      <c r="R96" s="7">
        <v>213252</v>
      </c>
      <c r="S96" s="7">
        <v>220736</v>
      </c>
      <c r="T96" s="7">
        <v>199395</v>
      </c>
      <c r="U96" s="7">
        <v>153925</v>
      </c>
      <c r="V96" s="7"/>
      <c r="W96" s="7"/>
      <c r="X96" s="7"/>
      <c r="Y96" s="7"/>
      <c r="Z96" s="7"/>
      <c r="AA96" s="7"/>
      <c r="AC96" s="40"/>
      <c r="AD96" s="9">
        <f>SUM(N96:AB96)</f>
        <v>1653543</v>
      </c>
      <c r="AE96" s="9">
        <f>SUM(N97:AB97)</f>
        <v>93273</v>
      </c>
      <c r="AF96" s="9">
        <f>SUM(N98:AB98)</f>
        <v>64854</v>
      </c>
      <c r="AG96" s="9">
        <f>E96</f>
        <v>159246</v>
      </c>
      <c r="AH96" s="9">
        <f>F96</f>
        <v>8280</v>
      </c>
      <c r="AI96" s="9">
        <f>G96</f>
        <v>6933</v>
      </c>
      <c r="AJ96" s="9">
        <f>H96</f>
        <v>1696196</v>
      </c>
      <c r="AK96" s="9">
        <f>I96</f>
        <v>94627</v>
      </c>
      <c r="AL96" s="9">
        <f>J96</f>
        <v>57147</v>
      </c>
      <c r="AM96" s="40"/>
      <c r="AN96" s="9">
        <f>AD96-B96</f>
        <v>0</v>
      </c>
      <c r="AO96" s="9">
        <f>AE96-C96</f>
        <v>2301</v>
      </c>
      <c r="AP96" s="9">
        <f>AF96-D96</f>
        <v>0</v>
      </c>
      <c r="AQ96" s="43"/>
      <c r="AR96" s="48">
        <f>C96/B96*1000</f>
        <v>55.016410217333323</v>
      </c>
      <c r="AS96" s="48">
        <f>D96/B96*1000</f>
        <v>39.22123585537237</v>
      </c>
      <c r="AT96" s="49"/>
      <c r="AU96" s="48">
        <f>AR96-K96</f>
        <v>1.6410217333323374E-2</v>
      </c>
      <c r="AV96" s="48">
        <f>AS96-L96</f>
        <v>2.1235855372367496E-2</v>
      </c>
      <c r="AW96" s="43"/>
    </row>
    <row r="97" spans="1:49" s="2" customFormat="1" x14ac:dyDescent="0.55000000000000004">
      <c r="A97" s="1" t="s">
        <v>116</v>
      </c>
      <c r="B97" s="3"/>
      <c r="C97" s="3"/>
      <c r="D97" s="3"/>
      <c r="E97" s="3"/>
      <c r="F97" s="3"/>
      <c r="G97" s="3"/>
      <c r="H97" s="3"/>
      <c r="I97" s="3"/>
      <c r="J97" s="3"/>
      <c r="K97" s="28"/>
      <c r="L97" s="28"/>
      <c r="M97" s="3"/>
      <c r="N97" s="3">
        <v>12964</v>
      </c>
      <c r="O97" s="3">
        <v>12478</v>
      </c>
      <c r="P97" s="3">
        <v>12818</v>
      </c>
      <c r="Q97" s="3">
        <v>9427</v>
      </c>
      <c r="R97" s="3">
        <v>11720</v>
      </c>
      <c r="S97" s="3">
        <v>12418</v>
      </c>
      <c r="T97" s="3">
        <v>11719</v>
      </c>
      <c r="U97" s="3">
        <v>9729</v>
      </c>
      <c r="V97" s="3"/>
      <c r="W97" s="3"/>
      <c r="X97" s="3"/>
      <c r="Y97" s="3"/>
      <c r="Z97" s="3"/>
      <c r="AA97" s="3"/>
      <c r="AC97" s="40"/>
      <c r="AM97" s="40"/>
      <c r="AQ97" s="40"/>
      <c r="AT97" s="40"/>
      <c r="AW97" s="40"/>
    </row>
    <row r="98" spans="1:49" s="2" customFormat="1" x14ac:dyDescent="0.55000000000000004">
      <c r="A98" s="1" t="s">
        <v>117</v>
      </c>
      <c r="B98" s="3"/>
      <c r="C98" s="3"/>
      <c r="D98" s="3"/>
      <c r="E98" s="3"/>
      <c r="F98" s="3"/>
      <c r="G98" s="3"/>
      <c r="H98" s="3"/>
      <c r="I98" s="3"/>
      <c r="J98" s="3"/>
      <c r="K98" s="28"/>
      <c r="L98" s="28"/>
      <c r="M98" s="3"/>
      <c r="N98" s="3">
        <v>8807</v>
      </c>
      <c r="O98" s="3">
        <v>9000</v>
      </c>
      <c r="P98" s="3">
        <v>9570</v>
      </c>
      <c r="Q98" s="3">
        <v>5474</v>
      </c>
      <c r="R98" s="3">
        <v>8178</v>
      </c>
      <c r="S98" s="3">
        <v>10222</v>
      </c>
      <c r="T98" s="3">
        <v>8986</v>
      </c>
      <c r="U98" s="3">
        <v>4617</v>
      </c>
      <c r="V98" s="3"/>
      <c r="W98" s="3"/>
      <c r="X98" s="3"/>
      <c r="Y98" s="3"/>
      <c r="Z98" s="3"/>
      <c r="AA98" s="3"/>
      <c r="AC98" s="40"/>
      <c r="AM98" s="40"/>
      <c r="AQ98" s="40"/>
      <c r="AT98" s="40"/>
      <c r="AW98" s="40"/>
    </row>
    <row r="99" spans="1:49" s="8" customFormat="1" x14ac:dyDescent="0.55000000000000004">
      <c r="A99" s="6" t="s">
        <v>118</v>
      </c>
      <c r="B99" s="7">
        <v>2195414</v>
      </c>
      <c r="C99" s="7">
        <v>102519</v>
      </c>
      <c r="D99" s="7">
        <v>76454</v>
      </c>
      <c r="E99" s="7">
        <v>196441</v>
      </c>
      <c r="F99" s="7">
        <v>6349</v>
      </c>
      <c r="G99" s="7">
        <v>6576</v>
      </c>
      <c r="H99" s="7">
        <v>2175965</v>
      </c>
      <c r="I99" s="7">
        <v>106063</v>
      </c>
      <c r="J99" s="7">
        <v>70766</v>
      </c>
      <c r="K99" s="31">
        <v>46.7</v>
      </c>
      <c r="L99" s="31">
        <v>34.799999999999997</v>
      </c>
      <c r="M99" s="3"/>
      <c r="N99" s="7">
        <v>371782</v>
      </c>
      <c r="O99" s="7">
        <v>97400</v>
      </c>
      <c r="P99" s="7">
        <v>196437</v>
      </c>
      <c r="Q99" s="7">
        <v>197585</v>
      </c>
      <c r="R99" s="7">
        <v>127714</v>
      </c>
      <c r="S99" s="7">
        <v>176024</v>
      </c>
      <c r="T99" s="7">
        <v>195424</v>
      </c>
      <c r="U99" s="7">
        <v>109475</v>
      </c>
      <c r="V99" s="7">
        <v>160256</v>
      </c>
      <c r="W99" s="7">
        <v>117481</v>
      </c>
      <c r="X99" s="7">
        <v>308513</v>
      </c>
      <c r="Y99" s="7">
        <v>137323</v>
      </c>
      <c r="Z99" s="7"/>
      <c r="AA99" s="7"/>
      <c r="AC99" s="40"/>
      <c r="AD99" s="9">
        <f>SUM(N99:AB99)</f>
        <v>2195414</v>
      </c>
      <c r="AE99" s="9">
        <f>SUM(N100:AB100)</f>
        <v>102519</v>
      </c>
      <c r="AF99" s="9">
        <f>SUM(N101:AB101)</f>
        <v>76454</v>
      </c>
      <c r="AG99" s="9">
        <f>E99</f>
        <v>196441</v>
      </c>
      <c r="AH99" s="9">
        <f>F99</f>
        <v>6349</v>
      </c>
      <c r="AI99" s="9">
        <f>G99</f>
        <v>6576</v>
      </c>
      <c r="AJ99" s="9">
        <f>H99</f>
        <v>2175965</v>
      </c>
      <c r="AK99" s="9">
        <f>I99</f>
        <v>106063</v>
      </c>
      <c r="AL99" s="9">
        <f>J99</f>
        <v>70766</v>
      </c>
      <c r="AM99" s="40"/>
      <c r="AN99" s="9">
        <f>AD99-B99</f>
        <v>0</v>
      </c>
      <c r="AO99" s="9">
        <f>AE99-C99</f>
        <v>0</v>
      </c>
      <c r="AP99" s="9">
        <f>AF99-D99</f>
        <v>0</v>
      </c>
      <c r="AQ99" s="43"/>
      <c r="AR99" s="48">
        <f>C99/B99*1000</f>
        <v>46.696887238580061</v>
      </c>
      <c r="AS99" s="48">
        <f>D99/B99*1000</f>
        <v>34.824411249996587</v>
      </c>
      <c r="AT99" s="49"/>
      <c r="AU99" s="48">
        <f>AR99-K99</f>
        <v>-3.1127614199419895E-3</v>
      </c>
      <c r="AV99" s="48">
        <f>AS99-L99</f>
        <v>2.441124999658939E-2</v>
      </c>
      <c r="AW99" s="43"/>
    </row>
    <row r="100" spans="1:49" s="2" customFormat="1" x14ac:dyDescent="0.55000000000000004">
      <c r="A100" s="1" t="s">
        <v>119</v>
      </c>
      <c r="B100" s="3"/>
      <c r="C100" s="3"/>
      <c r="D100" s="3"/>
      <c r="E100" s="3"/>
      <c r="F100" s="3"/>
      <c r="G100" s="3"/>
      <c r="H100" s="3"/>
      <c r="I100" s="3"/>
      <c r="J100" s="3"/>
      <c r="K100" s="28"/>
      <c r="L100" s="28"/>
      <c r="M100" s="3"/>
      <c r="N100" s="3">
        <v>14755</v>
      </c>
      <c r="O100" s="3">
        <v>4463</v>
      </c>
      <c r="P100" s="3">
        <v>8653</v>
      </c>
      <c r="Q100" s="3">
        <v>8191</v>
      </c>
      <c r="R100" s="3">
        <v>6256</v>
      </c>
      <c r="S100" s="3">
        <v>9375</v>
      </c>
      <c r="T100" s="3">
        <v>9025</v>
      </c>
      <c r="U100" s="3">
        <v>5590</v>
      </c>
      <c r="V100" s="3">
        <v>7817</v>
      </c>
      <c r="W100" s="3">
        <v>5877</v>
      </c>
      <c r="X100" s="3">
        <v>15439</v>
      </c>
      <c r="Y100" s="3">
        <v>7078</v>
      </c>
      <c r="Z100" s="3"/>
      <c r="AA100" s="3"/>
      <c r="AC100" s="40"/>
      <c r="AM100" s="40"/>
      <c r="AQ100" s="40"/>
      <c r="AT100" s="40"/>
      <c r="AW100" s="40"/>
    </row>
    <row r="101" spans="1:49" s="2" customFormat="1" x14ac:dyDescent="0.55000000000000004">
      <c r="A101" s="1" t="s">
        <v>120</v>
      </c>
      <c r="B101" s="3"/>
      <c r="C101" s="3"/>
      <c r="D101" s="3"/>
      <c r="E101" s="3"/>
      <c r="F101" s="3"/>
      <c r="G101" s="3"/>
      <c r="H101" s="3"/>
      <c r="I101" s="3"/>
      <c r="J101" s="3"/>
      <c r="K101" s="28"/>
      <c r="L101" s="28"/>
      <c r="M101" s="3"/>
      <c r="N101" s="3">
        <v>12582</v>
      </c>
      <c r="O101" s="3">
        <v>3251</v>
      </c>
      <c r="P101" s="3">
        <v>7047</v>
      </c>
      <c r="Q101" s="3">
        <v>6720</v>
      </c>
      <c r="R101" s="3">
        <v>5154</v>
      </c>
      <c r="S101" s="3">
        <v>6429</v>
      </c>
      <c r="T101" s="3">
        <v>6898</v>
      </c>
      <c r="U101" s="3">
        <v>3962</v>
      </c>
      <c r="V101" s="3">
        <v>5073</v>
      </c>
      <c r="W101" s="3">
        <v>3675</v>
      </c>
      <c r="X101" s="3">
        <v>10901</v>
      </c>
      <c r="Y101" s="3">
        <v>4762</v>
      </c>
      <c r="Z101" s="3"/>
      <c r="AA101" s="3"/>
      <c r="AC101" s="40"/>
      <c r="AM101" s="40"/>
      <c r="AQ101" s="40"/>
      <c r="AT101" s="40"/>
      <c r="AW101" s="40"/>
    </row>
    <row r="102" spans="1:49" s="8" customFormat="1" x14ac:dyDescent="0.55000000000000004">
      <c r="A102" s="6" t="s">
        <v>121</v>
      </c>
      <c r="B102" s="7">
        <v>1244018</v>
      </c>
      <c r="C102" s="7">
        <v>61106</v>
      </c>
      <c r="D102" s="7">
        <v>50620</v>
      </c>
      <c r="E102" s="7">
        <v>96995</v>
      </c>
      <c r="F102" s="7">
        <v>2854</v>
      </c>
      <c r="G102" s="7">
        <v>2807</v>
      </c>
      <c r="H102" s="7">
        <v>1218260</v>
      </c>
      <c r="I102" s="7">
        <v>57593</v>
      </c>
      <c r="J102" s="7">
        <v>42228</v>
      </c>
      <c r="K102" s="31">
        <v>49.1</v>
      </c>
      <c r="L102" s="31">
        <v>40.700000000000003</v>
      </c>
      <c r="M102" s="3"/>
      <c r="N102" s="7">
        <v>111510</v>
      </c>
      <c r="O102" s="7">
        <v>77226</v>
      </c>
      <c r="P102" s="7">
        <v>233713</v>
      </c>
      <c r="Q102" s="7">
        <v>130844</v>
      </c>
      <c r="R102" s="7">
        <v>91558</v>
      </c>
      <c r="S102" s="7">
        <v>50845</v>
      </c>
      <c r="T102" s="7">
        <v>125314</v>
      </c>
      <c r="U102" s="7">
        <v>119734</v>
      </c>
      <c r="V102" s="7">
        <v>162042</v>
      </c>
      <c r="W102" s="7">
        <v>70325</v>
      </c>
      <c r="X102" s="7">
        <v>70907</v>
      </c>
      <c r="Y102" s="7"/>
      <c r="Z102" s="7"/>
      <c r="AA102" s="7"/>
      <c r="AC102" s="40"/>
      <c r="AD102" s="9">
        <f>SUM(N102:AB102)</f>
        <v>1244018</v>
      </c>
      <c r="AE102" s="9">
        <f>SUM(N103:AB103)</f>
        <v>61106</v>
      </c>
      <c r="AF102" s="9">
        <f>SUM(N104:AB104)</f>
        <v>50620</v>
      </c>
      <c r="AG102" s="9">
        <f>E102</f>
        <v>96995</v>
      </c>
      <c r="AH102" s="9">
        <f>F102</f>
        <v>2854</v>
      </c>
      <c r="AI102" s="9">
        <f>G102</f>
        <v>2807</v>
      </c>
      <c r="AJ102" s="9">
        <f>H102</f>
        <v>1218260</v>
      </c>
      <c r="AK102" s="9">
        <f>I102</f>
        <v>57593</v>
      </c>
      <c r="AL102" s="9">
        <f>J102</f>
        <v>42228</v>
      </c>
      <c r="AM102" s="40"/>
      <c r="AN102" s="9">
        <f>AD102-B102</f>
        <v>0</v>
      </c>
      <c r="AO102" s="9">
        <f>AE102-C102</f>
        <v>0</v>
      </c>
      <c r="AP102" s="9">
        <f>AF102-D102</f>
        <v>0</v>
      </c>
      <c r="AQ102" s="43"/>
      <c r="AR102" s="48">
        <f>C102/B102*1000</f>
        <v>49.119868040494588</v>
      </c>
      <c r="AS102" s="48">
        <f>D102/B102*1000</f>
        <v>40.690729555360136</v>
      </c>
      <c r="AT102" s="49"/>
      <c r="AU102" s="48">
        <f>AR102-K102</f>
        <v>1.9868040494586126E-2</v>
      </c>
      <c r="AV102" s="48">
        <f>AS102-L102</f>
        <v>-9.270444639867037E-3</v>
      </c>
      <c r="AW102" s="43"/>
    </row>
    <row r="103" spans="1:49" s="2" customFormat="1" x14ac:dyDescent="0.55000000000000004">
      <c r="A103" s="1" t="s">
        <v>122</v>
      </c>
      <c r="B103" s="3"/>
      <c r="C103" s="3"/>
      <c r="D103" s="3"/>
      <c r="E103" s="3"/>
      <c r="F103" s="3"/>
      <c r="G103" s="3"/>
      <c r="H103" s="3"/>
      <c r="I103" s="3"/>
      <c r="J103" s="3"/>
      <c r="K103" s="28"/>
      <c r="L103" s="28"/>
      <c r="M103" s="3"/>
      <c r="N103" s="3">
        <v>4794</v>
      </c>
      <c r="O103" s="3">
        <v>3064</v>
      </c>
      <c r="P103" s="3">
        <v>14152</v>
      </c>
      <c r="Q103" s="3">
        <v>6156</v>
      </c>
      <c r="R103" s="3">
        <v>4666</v>
      </c>
      <c r="S103" s="3">
        <v>2214</v>
      </c>
      <c r="T103" s="3">
        <v>6443</v>
      </c>
      <c r="U103" s="3">
        <v>4820</v>
      </c>
      <c r="V103" s="3">
        <v>8539</v>
      </c>
      <c r="W103" s="3">
        <v>3239</v>
      </c>
      <c r="X103" s="3">
        <v>3019</v>
      </c>
      <c r="Y103" s="3"/>
      <c r="Z103" s="3"/>
      <c r="AA103" s="3"/>
      <c r="AC103" s="40"/>
      <c r="AM103" s="40"/>
      <c r="AQ103" s="40"/>
      <c r="AT103" s="40"/>
      <c r="AW103" s="40"/>
    </row>
    <row r="104" spans="1:49" s="2" customFormat="1" x14ac:dyDescent="0.55000000000000004">
      <c r="A104" s="1" t="s">
        <v>123</v>
      </c>
      <c r="B104" s="3"/>
      <c r="C104" s="3"/>
      <c r="D104" s="3"/>
      <c r="E104" s="3"/>
      <c r="F104" s="3"/>
      <c r="G104" s="3"/>
      <c r="H104" s="3"/>
      <c r="I104" s="3"/>
      <c r="J104" s="3"/>
      <c r="K104" s="28"/>
      <c r="L104" s="28"/>
      <c r="M104" s="3"/>
      <c r="N104" s="3">
        <v>4011</v>
      </c>
      <c r="O104" s="3">
        <v>2679</v>
      </c>
      <c r="P104" s="3">
        <v>10783</v>
      </c>
      <c r="Q104" s="3">
        <v>5706</v>
      </c>
      <c r="R104" s="3">
        <v>4228</v>
      </c>
      <c r="S104" s="3">
        <v>2145</v>
      </c>
      <c r="T104" s="3">
        <v>5479</v>
      </c>
      <c r="U104" s="3">
        <v>3913</v>
      </c>
      <c r="V104" s="3">
        <v>6552</v>
      </c>
      <c r="W104" s="3">
        <v>2623</v>
      </c>
      <c r="X104" s="3">
        <v>2501</v>
      </c>
      <c r="Y104" s="3"/>
      <c r="Z104" s="3"/>
      <c r="AA104" s="3"/>
      <c r="AC104" s="40"/>
      <c r="AM104" s="40"/>
      <c r="AQ104" s="40"/>
      <c r="AT104" s="40"/>
      <c r="AW104" s="40"/>
    </row>
    <row r="105" spans="1:49" s="8" customFormat="1" x14ac:dyDescent="0.55000000000000004">
      <c r="A105" s="6" t="s">
        <v>124</v>
      </c>
      <c r="B105" s="7">
        <v>1394572</v>
      </c>
      <c r="C105" s="7">
        <v>66118</v>
      </c>
      <c r="D105" s="7">
        <v>53333</v>
      </c>
      <c r="E105" s="7">
        <v>69772</v>
      </c>
      <c r="F105" s="7">
        <v>3042</v>
      </c>
      <c r="G105" s="7">
        <v>2950</v>
      </c>
      <c r="H105" s="7">
        <v>1367953</v>
      </c>
      <c r="I105" s="7">
        <v>63149</v>
      </c>
      <c r="J105" s="7">
        <v>50274</v>
      </c>
      <c r="K105" s="31">
        <v>47.9</v>
      </c>
      <c r="L105" s="31">
        <v>38.6</v>
      </c>
      <c r="M105" s="3"/>
      <c r="N105" s="7">
        <v>172699</v>
      </c>
      <c r="O105" s="7">
        <v>73078</v>
      </c>
      <c r="P105" s="7">
        <v>114696</v>
      </c>
      <c r="Q105" s="7">
        <v>107562</v>
      </c>
      <c r="R105" s="7">
        <v>112905</v>
      </c>
      <c r="S105" s="7">
        <v>134388</v>
      </c>
      <c r="T105" s="7">
        <v>106793</v>
      </c>
      <c r="U105" s="7">
        <v>141955</v>
      </c>
      <c r="V105" s="7">
        <v>175516</v>
      </c>
      <c r="W105" s="7">
        <v>63792</v>
      </c>
      <c r="X105" s="7">
        <v>56938</v>
      </c>
      <c r="Y105" s="7">
        <v>134250</v>
      </c>
      <c r="Z105" s="7"/>
      <c r="AA105" s="7"/>
      <c r="AC105" s="40"/>
      <c r="AD105" s="9">
        <f>SUM(N105:AB105)</f>
        <v>1394572</v>
      </c>
      <c r="AE105" s="9">
        <f>SUM(N106:AB106)</f>
        <v>66118</v>
      </c>
      <c r="AF105" s="9">
        <f>SUM(N107:AB107)</f>
        <v>53333</v>
      </c>
      <c r="AG105" s="9">
        <f>E105</f>
        <v>69772</v>
      </c>
      <c r="AH105" s="9">
        <f>F105</f>
        <v>3042</v>
      </c>
      <c r="AI105" s="9">
        <f>G105</f>
        <v>2950</v>
      </c>
      <c r="AJ105" s="9">
        <f>H105</f>
        <v>1367953</v>
      </c>
      <c r="AK105" s="9">
        <f>I105</f>
        <v>63149</v>
      </c>
      <c r="AL105" s="9">
        <f>J105</f>
        <v>50274</v>
      </c>
      <c r="AM105" s="40"/>
      <c r="AN105" s="9">
        <f>AD105-B105</f>
        <v>0</v>
      </c>
      <c r="AO105" s="9">
        <f>AE105-C105</f>
        <v>0</v>
      </c>
      <c r="AP105" s="9">
        <f>AF105-D105</f>
        <v>0</v>
      </c>
      <c r="AQ105" s="43"/>
      <c r="AR105" s="48">
        <f>C105/B105*1000</f>
        <v>47.410961929538239</v>
      </c>
      <c r="AS105" s="48">
        <f>D105/B105*1000</f>
        <v>38.243274639100747</v>
      </c>
      <c r="AT105" s="49"/>
      <c r="AU105" s="48">
        <f>AR105-K105</f>
        <v>-0.48903807046175984</v>
      </c>
      <c r="AV105" s="48">
        <f>AS105-L105</f>
        <v>-0.35672536089925444</v>
      </c>
      <c r="AW105" s="43"/>
    </row>
    <row r="106" spans="1:49" s="2" customFormat="1" x14ac:dyDescent="0.55000000000000004">
      <c r="A106" s="1" t="s">
        <v>125</v>
      </c>
      <c r="B106" s="3"/>
      <c r="C106" s="3"/>
      <c r="D106" s="3"/>
      <c r="E106" s="3"/>
      <c r="F106" s="3"/>
      <c r="G106" s="3"/>
      <c r="H106" s="3"/>
      <c r="I106" s="3"/>
      <c r="J106" s="3"/>
      <c r="K106" s="28"/>
      <c r="L106" s="28"/>
      <c r="M106" s="3"/>
      <c r="N106" s="3">
        <v>7589</v>
      </c>
      <c r="O106" s="3">
        <v>3313</v>
      </c>
      <c r="P106" s="3">
        <v>5118</v>
      </c>
      <c r="Q106" s="3">
        <v>6818</v>
      </c>
      <c r="R106" s="3">
        <v>4585</v>
      </c>
      <c r="S106" s="3">
        <v>6713</v>
      </c>
      <c r="T106" s="3">
        <v>5614</v>
      </c>
      <c r="U106" s="3">
        <v>6932</v>
      </c>
      <c r="V106" s="3">
        <v>8144</v>
      </c>
      <c r="W106" s="3">
        <v>2336</v>
      </c>
      <c r="X106" s="3">
        <v>2271</v>
      </c>
      <c r="Y106" s="3">
        <v>6685</v>
      </c>
      <c r="Z106" s="3"/>
      <c r="AA106" s="3"/>
      <c r="AC106" s="40"/>
      <c r="AM106" s="40"/>
      <c r="AQ106" s="40"/>
      <c r="AT106" s="40"/>
      <c r="AW106" s="40"/>
    </row>
    <row r="107" spans="1:49" s="2" customFormat="1" x14ac:dyDescent="0.55000000000000004">
      <c r="A107" s="1" t="s">
        <v>126</v>
      </c>
      <c r="B107" s="3"/>
      <c r="C107" s="3"/>
      <c r="D107" s="3"/>
      <c r="E107" s="3"/>
      <c r="F107" s="3"/>
      <c r="G107" s="3"/>
      <c r="H107" s="3"/>
      <c r="I107" s="3"/>
      <c r="J107" s="3"/>
      <c r="K107" s="28"/>
      <c r="L107" s="28"/>
      <c r="M107" s="3"/>
      <c r="N107" s="3">
        <v>7032</v>
      </c>
      <c r="O107" s="3">
        <v>2581</v>
      </c>
      <c r="P107" s="3">
        <v>3550</v>
      </c>
      <c r="Q107" s="3">
        <v>5868</v>
      </c>
      <c r="R107" s="3">
        <v>3696</v>
      </c>
      <c r="S107" s="3">
        <v>5280</v>
      </c>
      <c r="T107" s="3">
        <v>3444</v>
      </c>
      <c r="U107" s="3">
        <v>5714</v>
      </c>
      <c r="V107" s="3">
        <v>7119</v>
      </c>
      <c r="W107" s="3">
        <v>1682</v>
      </c>
      <c r="X107" s="3">
        <v>1883</v>
      </c>
      <c r="Y107" s="3">
        <v>5484</v>
      </c>
      <c r="Z107" s="3"/>
      <c r="AA107" s="3"/>
      <c r="AC107" s="40"/>
      <c r="AM107" s="40"/>
      <c r="AQ107" s="40"/>
      <c r="AT107" s="40"/>
      <c r="AW107" s="40"/>
    </row>
    <row r="108" spans="1:49" s="8" customFormat="1" x14ac:dyDescent="0.55000000000000004">
      <c r="A108" s="6" t="s">
        <v>127</v>
      </c>
      <c r="B108" s="7">
        <v>2561031</v>
      </c>
      <c r="C108" s="7">
        <v>113684</v>
      </c>
      <c r="D108" s="7">
        <v>89245</v>
      </c>
      <c r="E108" s="7">
        <v>172091</v>
      </c>
      <c r="F108" s="7">
        <v>8918</v>
      </c>
      <c r="G108" s="7">
        <v>7692</v>
      </c>
      <c r="H108" s="7">
        <v>2497973</v>
      </c>
      <c r="I108" s="7">
        <v>119789</v>
      </c>
      <c r="J108" s="7">
        <v>75295</v>
      </c>
      <c r="K108" s="31">
        <v>44.4</v>
      </c>
      <c r="L108" s="31">
        <v>34.799999999999997</v>
      </c>
      <c r="M108" s="3"/>
      <c r="N108" s="7">
        <v>238253</v>
      </c>
      <c r="O108" s="7">
        <v>185798</v>
      </c>
      <c r="P108" s="7">
        <v>201653</v>
      </c>
      <c r="Q108" s="7">
        <v>121245</v>
      </c>
      <c r="R108" s="7">
        <v>186569</v>
      </c>
      <c r="S108" s="7">
        <v>132173</v>
      </c>
      <c r="T108" s="7">
        <v>182865</v>
      </c>
      <c r="U108" s="7">
        <v>192526</v>
      </c>
      <c r="V108" s="7">
        <v>168565</v>
      </c>
      <c r="W108" s="7">
        <v>160407</v>
      </c>
      <c r="X108" s="7">
        <v>167923</v>
      </c>
      <c r="Y108" s="7">
        <v>157588</v>
      </c>
      <c r="Z108" s="7">
        <v>172109</v>
      </c>
      <c r="AA108" s="7">
        <v>139143</v>
      </c>
      <c r="AB108" s="18">
        <v>154214</v>
      </c>
      <c r="AC108" s="41"/>
      <c r="AD108" s="9">
        <f>SUM(N108:AB108)</f>
        <v>2561031</v>
      </c>
      <c r="AE108" s="9">
        <f>SUM(N109:AB109)</f>
        <v>113684</v>
      </c>
      <c r="AF108" s="9">
        <f>SUM(N110:AB110)</f>
        <v>89245</v>
      </c>
      <c r="AG108" s="9">
        <f>E108</f>
        <v>172091</v>
      </c>
      <c r="AH108" s="9">
        <f>F108</f>
        <v>8918</v>
      </c>
      <c r="AI108" s="9">
        <f>G108</f>
        <v>7692</v>
      </c>
      <c r="AJ108" s="9">
        <f>H108</f>
        <v>2497973</v>
      </c>
      <c r="AK108" s="9">
        <f>I108</f>
        <v>119789</v>
      </c>
      <c r="AL108" s="9">
        <f>J108</f>
        <v>75295</v>
      </c>
      <c r="AM108" s="40"/>
      <c r="AN108" s="9">
        <f>AD108-B108</f>
        <v>0</v>
      </c>
      <c r="AO108" s="9">
        <f>AE108-C108</f>
        <v>0</v>
      </c>
      <c r="AP108" s="9">
        <f>AF108-D108</f>
        <v>0</v>
      </c>
      <c r="AQ108" s="43"/>
      <c r="AR108" s="48">
        <f>C108/B108*1000</f>
        <v>44.389935147212199</v>
      </c>
      <c r="AS108" s="48">
        <f>D108/B108*1000</f>
        <v>34.847293921861933</v>
      </c>
      <c r="AT108" s="49"/>
      <c r="AU108" s="48">
        <f>AR108-K108</f>
        <v>-1.0064852787799339E-2</v>
      </c>
      <c r="AV108" s="48">
        <f>AS108-L108</f>
        <v>4.7293921861935928E-2</v>
      </c>
      <c r="AW108" s="43"/>
    </row>
    <row r="109" spans="1:49" s="2" customFormat="1" x14ac:dyDescent="0.55000000000000004">
      <c r="A109" s="1" t="s">
        <v>128</v>
      </c>
      <c r="B109" s="3"/>
      <c r="C109" s="3"/>
      <c r="D109" s="3"/>
      <c r="E109" s="3"/>
      <c r="F109" s="3"/>
      <c r="G109" s="3"/>
      <c r="H109" s="3"/>
      <c r="I109" s="3"/>
      <c r="J109" s="3"/>
      <c r="K109" s="28"/>
      <c r="L109" s="28"/>
      <c r="M109" s="3"/>
      <c r="N109" s="3">
        <v>10699</v>
      </c>
      <c r="O109" s="3">
        <v>8252</v>
      </c>
      <c r="P109" s="3">
        <v>8009</v>
      </c>
      <c r="Q109" s="3">
        <v>5874</v>
      </c>
      <c r="R109" s="3">
        <v>7971</v>
      </c>
      <c r="S109" s="3">
        <v>6247</v>
      </c>
      <c r="T109" s="3">
        <v>7688</v>
      </c>
      <c r="U109" s="3">
        <v>9100</v>
      </c>
      <c r="V109" s="3">
        <v>7585</v>
      </c>
      <c r="W109" s="3">
        <v>7568</v>
      </c>
      <c r="X109" s="3">
        <v>7478</v>
      </c>
      <c r="Y109" s="3">
        <v>6981</v>
      </c>
      <c r="Z109" s="3">
        <v>7089</v>
      </c>
      <c r="AA109" s="3">
        <v>5740</v>
      </c>
      <c r="AB109" s="18">
        <v>7403</v>
      </c>
      <c r="AC109" s="41"/>
      <c r="AM109" s="40"/>
      <c r="AQ109" s="40"/>
      <c r="AT109" s="40"/>
      <c r="AW109" s="40"/>
    </row>
    <row r="110" spans="1:49" s="2" customFormat="1" x14ac:dyDescent="0.55000000000000004">
      <c r="A110" s="1" t="s">
        <v>129</v>
      </c>
      <c r="B110" s="3"/>
      <c r="C110" s="3"/>
      <c r="D110" s="3"/>
      <c r="E110" s="3"/>
      <c r="F110" s="3"/>
      <c r="G110" s="3"/>
      <c r="H110" s="3"/>
      <c r="I110" s="3"/>
      <c r="J110" s="3"/>
      <c r="K110" s="28"/>
      <c r="L110" s="28"/>
      <c r="M110" s="3"/>
      <c r="N110" s="3">
        <v>8859</v>
      </c>
      <c r="O110" s="3">
        <v>6761</v>
      </c>
      <c r="P110" s="3">
        <v>5840</v>
      </c>
      <c r="Q110" s="3">
        <v>4675</v>
      </c>
      <c r="R110" s="3">
        <v>6857</v>
      </c>
      <c r="S110" s="3">
        <v>4569</v>
      </c>
      <c r="T110" s="3">
        <v>7319</v>
      </c>
      <c r="U110" s="3">
        <v>7909</v>
      </c>
      <c r="V110" s="3">
        <v>5138</v>
      </c>
      <c r="W110" s="3">
        <v>4871</v>
      </c>
      <c r="X110" s="3">
        <v>5487</v>
      </c>
      <c r="Y110" s="3">
        <v>4953</v>
      </c>
      <c r="Z110" s="3">
        <v>4917</v>
      </c>
      <c r="AA110" s="3">
        <v>4521</v>
      </c>
      <c r="AB110" s="18">
        <v>6569</v>
      </c>
      <c r="AC110" s="41"/>
      <c r="AM110" s="40"/>
      <c r="AQ110" s="40"/>
      <c r="AT110" s="40"/>
      <c r="AW110" s="40"/>
    </row>
    <row r="111" spans="1:49" s="8" customFormat="1" x14ac:dyDescent="0.55000000000000004">
      <c r="A111" s="6" t="s">
        <v>130</v>
      </c>
      <c r="B111" s="7">
        <v>1513792</v>
      </c>
      <c r="C111" s="7">
        <v>69504</v>
      </c>
      <c r="D111" s="7">
        <v>63336</v>
      </c>
      <c r="E111" s="10" t="s">
        <v>25</v>
      </c>
      <c r="F111" s="10" t="s">
        <v>25</v>
      </c>
      <c r="G111" s="10" t="s">
        <v>25</v>
      </c>
      <c r="H111" s="7">
        <v>1476540</v>
      </c>
      <c r="I111" s="7">
        <v>67468</v>
      </c>
      <c r="J111" s="7">
        <v>56273</v>
      </c>
      <c r="K111" s="31">
        <v>45.8</v>
      </c>
      <c r="L111" s="31">
        <v>41.8</v>
      </c>
      <c r="M111" s="3"/>
      <c r="N111" s="7">
        <v>142263</v>
      </c>
      <c r="O111" s="7">
        <v>178766</v>
      </c>
      <c r="P111" s="7">
        <v>148772</v>
      </c>
      <c r="Q111" s="7">
        <v>58684</v>
      </c>
      <c r="R111" s="7">
        <v>95136</v>
      </c>
      <c r="S111" s="7">
        <v>152614</v>
      </c>
      <c r="T111" s="7">
        <v>93183</v>
      </c>
      <c r="U111" s="7">
        <v>123713</v>
      </c>
      <c r="V111" s="7">
        <v>134717</v>
      </c>
      <c r="W111" s="7">
        <v>69861</v>
      </c>
      <c r="X111" s="7">
        <v>100487</v>
      </c>
      <c r="Y111" s="7">
        <v>72693</v>
      </c>
      <c r="Z111" s="7">
        <v>136785</v>
      </c>
      <c r="AA111" s="7"/>
      <c r="AC111" s="40"/>
      <c r="AD111" s="9">
        <f>SUM(N111:AB111)</f>
        <v>1507674</v>
      </c>
      <c r="AE111" s="9">
        <f>SUM(N112:AB112)</f>
        <v>69504</v>
      </c>
      <c r="AF111" s="9">
        <f>SUM(N113:AB113)</f>
        <v>63186</v>
      </c>
      <c r="AG111" s="10" t="str">
        <f>E111</f>
        <v>—</v>
      </c>
      <c r="AH111" s="10" t="str">
        <f>F111</f>
        <v>—</v>
      </c>
      <c r="AI111" s="10" t="str">
        <f>G111</f>
        <v>—</v>
      </c>
      <c r="AJ111" s="9">
        <f>H111</f>
        <v>1476540</v>
      </c>
      <c r="AK111" s="9">
        <f>I111</f>
        <v>67468</v>
      </c>
      <c r="AL111" s="9">
        <f>J111</f>
        <v>56273</v>
      </c>
      <c r="AM111" s="40"/>
      <c r="AN111" s="9">
        <f>AD111-B111</f>
        <v>-6118</v>
      </c>
      <c r="AO111" s="9">
        <f>AE111-C111</f>
        <v>0</v>
      </c>
      <c r="AP111" s="9">
        <f>AF111-D111</f>
        <v>-150</v>
      </c>
      <c r="AQ111" s="43"/>
      <c r="AR111" s="48">
        <f>C111/B111*1000</f>
        <v>45.913837568173165</v>
      </c>
      <c r="AS111" s="48">
        <f>D111/B111*1000</f>
        <v>41.839301568511395</v>
      </c>
      <c r="AT111" s="49"/>
      <c r="AU111" s="48">
        <f>AR111-K111</f>
        <v>0.11383756817316737</v>
      </c>
      <c r="AV111" s="48">
        <f>AS111-L111</f>
        <v>3.9301568511397988E-2</v>
      </c>
      <c r="AW111" s="43"/>
    </row>
    <row r="112" spans="1:49" s="2" customFormat="1" x14ac:dyDescent="0.55000000000000004">
      <c r="A112" s="1" t="s">
        <v>131</v>
      </c>
      <c r="B112" s="3"/>
      <c r="C112" s="3"/>
      <c r="D112" s="3"/>
      <c r="E112" s="3"/>
      <c r="F112" s="3"/>
      <c r="G112" s="3"/>
      <c r="H112" s="3"/>
      <c r="I112" s="3"/>
      <c r="J112" s="3"/>
      <c r="K112" s="28"/>
      <c r="L112" s="28"/>
      <c r="M112" s="3"/>
      <c r="N112" s="3">
        <v>8714</v>
      </c>
      <c r="O112" s="3">
        <v>9283</v>
      </c>
      <c r="P112" s="3">
        <v>6351</v>
      </c>
      <c r="Q112" s="3">
        <v>3076</v>
      </c>
      <c r="R112" s="3">
        <v>4193</v>
      </c>
      <c r="S112" s="3">
        <v>6051</v>
      </c>
      <c r="T112" s="3">
        <v>4454</v>
      </c>
      <c r="U112" s="3">
        <v>6087</v>
      </c>
      <c r="V112" s="3">
        <v>5096</v>
      </c>
      <c r="W112" s="3">
        <v>3354</v>
      </c>
      <c r="X112" s="3">
        <v>4330</v>
      </c>
      <c r="Y112" s="3">
        <v>3487</v>
      </c>
      <c r="Z112" s="3">
        <v>5028</v>
      </c>
      <c r="AA112" s="3"/>
      <c r="AC112" s="40"/>
      <c r="AM112" s="40"/>
      <c r="AQ112" s="40"/>
      <c r="AT112" s="40"/>
      <c r="AW112" s="40"/>
    </row>
    <row r="113" spans="1:49" s="2" customFormat="1" x14ac:dyDescent="0.55000000000000004">
      <c r="A113" s="1" t="s">
        <v>132</v>
      </c>
      <c r="B113" s="3"/>
      <c r="C113" s="3"/>
      <c r="D113" s="3"/>
      <c r="E113" s="3"/>
      <c r="F113" s="3"/>
      <c r="G113" s="3"/>
      <c r="H113" s="3"/>
      <c r="I113" s="3"/>
      <c r="J113" s="3"/>
      <c r="K113" s="28"/>
      <c r="L113" s="28"/>
      <c r="M113" s="3"/>
      <c r="N113" s="3">
        <v>7909</v>
      </c>
      <c r="O113" s="3">
        <v>8396</v>
      </c>
      <c r="P113" s="3">
        <v>6274</v>
      </c>
      <c r="Q113" s="3">
        <v>2781</v>
      </c>
      <c r="R113" s="3">
        <v>3436</v>
      </c>
      <c r="S113" s="3">
        <v>5816</v>
      </c>
      <c r="T113" s="3">
        <v>3994</v>
      </c>
      <c r="U113" s="3">
        <v>5070</v>
      </c>
      <c r="V113" s="3">
        <v>4384</v>
      </c>
      <c r="W113" s="3">
        <v>3436</v>
      </c>
      <c r="X113" s="3">
        <v>3664</v>
      </c>
      <c r="Y113" s="3">
        <v>3437</v>
      </c>
      <c r="Z113" s="3">
        <v>4589</v>
      </c>
      <c r="AA113" s="3"/>
      <c r="AC113" s="40"/>
      <c r="AM113" s="40"/>
      <c r="AQ113" s="40"/>
      <c r="AT113" s="40"/>
      <c r="AW113" s="40"/>
    </row>
    <row r="114" spans="1:49" s="8" customFormat="1" x14ac:dyDescent="0.55000000000000004">
      <c r="A114" s="6" t="s">
        <v>133</v>
      </c>
      <c r="B114" s="7">
        <v>1551458</v>
      </c>
      <c r="C114" s="7">
        <v>82265</v>
      </c>
      <c r="D114" s="7">
        <v>69179</v>
      </c>
      <c r="E114" s="7">
        <v>106247</v>
      </c>
      <c r="F114" s="7">
        <v>4198</v>
      </c>
      <c r="G114" s="7">
        <v>4192</v>
      </c>
      <c r="H114" s="7">
        <v>1529359</v>
      </c>
      <c r="I114" s="7">
        <v>83191</v>
      </c>
      <c r="J114" s="7">
        <v>64621</v>
      </c>
      <c r="K114" s="31">
        <v>53</v>
      </c>
      <c r="L114" s="31">
        <v>44.6</v>
      </c>
      <c r="M114" s="3"/>
      <c r="N114" s="7">
        <v>205752</v>
      </c>
      <c r="O114" s="7">
        <v>139041</v>
      </c>
      <c r="P114" s="7">
        <v>146843</v>
      </c>
      <c r="Q114" s="7">
        <v>112125</v>
      </c>
      <c r="R114" s="7">
        <v>127628</v>
      </c>
      <c r="S114" s="7">
        <v>130170</v>
      </c>
      <c r="T114" s="7">
        <v>118317</v>
      </c>
      <c r="U114" s="7">
        <v>192722</v>
      </c>
      <c r="V114" s="7">
        <v>104350</v>
      </c>
      <c r="W114" s="7">
        <v>108201</v>
      </c>
      <c r="X114" s="7">
        <v>166301</v>
      </c>
      <c r="Y114" s="7"/>
      <c r="Z114" s="7"/>
      <c r="AA114" s="7"/>
      <c r="AC114" s="40"/>
      <c r="AD114" s="9">
        <f>SUM(N114:AB114)</f>
        <v>1551450</v>
      </c>
      <c r="AE114" s="9">
        <f>SUM(N115:AB115)</f>
        <v>82265</v>
      </c>
      <c r="AF114" s="9">
        <f>SUM(N116:AB116)</f>
        <v>69179</v>
      </c>
      <c r="AG114" s="9">
        <f>E114</f>
        <v>106247</v>
      </c>
      <c r="AH114" s="9">
        <f>F114</f>
        <v>4198</v>
      </c>
      <c r="AI114" s="9">
        <f>G114</f>
        <v>4192</v>
      </c>
      <c r="AJ114" s="9">
        <f>H114</f>
        <v>1529359</v>
      </c>
      <c r="AK114" s="9">
        <f>I114</f>
        <v>83191</v>
      </c>
      <c r="AL114" s="9">
        <f>J114</f>
        <v>64621</v>
      </c>
      <c r="AM114" s="40"/>
      <c r="AN114" s="9">
        <f>AD114-B114</f>
        <v>-8</v>
      </c>
      <c r="AO114" s="9">
        <f>AE114-C114</f>
        <v>0</v>
      </c>
      <c r="AP114" s="9">
        <f>AF114-D114</f>
        <v>0</v>
      </c>
      <c r="AQ114" s="43"/>
      <c r="AR114" s="48">
        <f>C114/B114*1000</f>
        <v>53.024316481657898</v>
      </c>
      <c r="AS114" s="48">
        <f>D114/B114*1000</f>
        <v>44.589669846041595</v>
      </c>
      <c r="AT114" s="49"/>
      <c r="AU114" s="48">
        <f>AR114-K114</f>
        <v>2.4316481657898237E-2</v>
      </c>
      <c r="AV114" s="48">
        <f>AS114-L114</f>
        <v>-1.033015395840664E-2</v>
      </c>
      <c r="AW114" s="43"/>
    </row>
    <row r="115" spans="1:49" s="2" customFormat="1" x14ac:dyDescent="0.55000000000000004">
      <c r="A115" s="1" t="s">
        <v>134</v>
      </c>
      <c r="B115" s="3"/>
      <c r="C115" s="3"/>
      <c r="D115" s="3"/>
      <c r="E115" s="3"/>
      <c r="F115" s="3"/>
      <c r="G115" s="3"/>
      <c r="H115" s="3"/>
      <c r="I115" s="3"/>
      <c r="J115" s="3"/>
      <c r="K115" s="28"/>
      <c r="L115" s="28"/>
      <c r="M115" s="3"/>
      <c r="N115" s="3">
        <v>10357</v>
      </c>
      <c r="O115" s="3">
        <v>8049</v>
      </c>
      <c r="P115" s="3">
        <v>8421</v>
      </c>
      <c r="Q115" s="3">
        <v>5885</v>
      </c>
      <c r="R115" s="3">
        <v>6857</v>
      </c>
      <c r="S115" s="3">
        <v>6588</v>
      </c>
      <c r="T115" s="3">
        <v>6396</v>
      </c>
      <c r="U115" s="3">
        <v>10506</v>
      </c>
      <c r="V115" s="3">
        <v>5768</v>
      </c>
      <c r="W115" s="3">
        <v>5102</v>
      </c>
      <c r="X115" s="3">
        <v>8336</v>
      </c>
      <c r="Y115" s="3"/>
      <c r="Z115" s="3"/>
      <c r="AA115" s="3"/>
      <c r="AC115" s="40"/>
      <c r="AM115" s="40"/>
      <c r="AQ115" s="40"/>
      <c r="AT115" s="40"/>
      <c r="AW115" s="40"/>
    </row>
    <row r="116" spans="1:49" s="2" customFormat="1" x14ac:dyDescent="0.55000000000000004">
      <c r="A116" s="1" t="s">
        <v>135</v>
      </c>
      <c r="B116" s="3"/>
      <c r="C116" s="3"/>
      <c r="D116" s="3"/>
      <c r="E116" s="3"/>
      <c r="F116" s="3"/>
      <c r="G116" s="3"/>
      <c r="H116" s="3"/>
      <c r="I116" s="3"/>
      <c r="J116" s="3"/>
      <c r="K116" s="28"/>
      <c r="L116" s="28"/>
      <c r="M116" s="3"/>
      <c r="N116" s="3">
        <v>8708</v>
      </c>
      <c r="O116" s="3">
        <v>6911</v>
      </c>
      <c r="P116" s="3">
        <v>7758</v>
      </c>
      <c r="Q116" s="3">
        <v>4724</v>
      </c>
      <c r="R116" s="3">
        <v>5223</v>
      </c>
      <c r="S116" s="3">
        <v>4800</v>
      </c>
      <c r="T116" s="3">
        <v>5185</v>
      </c>
      <c r="U116" s="3">
        <v>10418</v>
      </c>
      <c r="V116" s="3">
        <v>4423</v>
      </c>
      <c r="W116" s="3">
        <v>3915</v>
      </c>
      <c r="X116" s="3">
        <v>7114</v>
      </c>
      <c r="Y116" s="3"/>
      <c r="Z116" s="3"/>
      <c r="AA116" s="3"/>
      <c r="AC116" s="40"/>
      <c r="AM116" s="40"/>
      <c r="AQ116" s="40"/>
      <c r="AT116" s="40"/>
      <c r="AW116" s="40"/>
    </row>
    <row r="117" spans="1:49" s="8" customFormat="1" x14ac:dyDescent="0.55000000000000004">
      <c r="A117" s="6" t="s">
        <v>136</v>
      </c>
      <c r="B117" s="7">
        <v>1290507</v>
      </c>
      <c r="C117" s="7">
        <v>55572</v>
      </c>
      <c r="D117" s="7">
        <v>41175</v>
      </c>
      <c r="E117" s="7">
        <v>88761</v>
      </c>
      <c r="F117" s="7">
        <v>2446</v>
      </c>
      <c r="G117" s="7">
        <v>2291</v>
      </c>
      <c r="H117" s="7">
        <v>1237464</v>
      </c>
      <c r="I117" s="7">
        <v>53773</v>
      </c>
      <c r="J117" s="7">
        <v>39346</v>
      </c>
      <c r="K117" s="31">
        <v>48.1</v>
      </c>
      <c r="L117" s="31">
        <v>31.9</v>
      </c>
      <c r="M117" s="3"/>
      <c r="N117" s="7">
        <v>172689</v>
      </c>
      <c r="O117" s="7">
        <v>142564</v>
      </c>
      <c r="P117" s="7">
        <v>78225</v>
      </c>
      <c r="Q117" s="7">
        <v>90708</v>
      </c>
      <c r="R117" s="7">
        <v>71809</v>
      </c>
      <c r="S117" s="7">
        <v>113128</v>
      </c>
      <c r="T117" s="7">
        <v>87569</v>
      </c>
      <c r="U117" s="7">
        <v>187612</v>
      </c>
      <c r="V117" s="7">
        <v>94609</v>
      </c>
      <c r="W117" s="7">
        <v>92627</v>
      </c>
      <c r="X117" s="7">
        <v>144570</v>
      </c>
      <c r="Y117" s="7"/>
      <c r="Z117" s="7"/>
      <c r="AA117" s="7"/>
      <c r="AC117" s="40"/>
      <c r="AD117" s="9">
        <f>SUM(N117:AB117)</f>
        <v>1276110</v>
      </c>
      <c r="AE117" s="9">
        <f>SUM(N118:AB118)</f>
        <v>55572</v>
      </c>
      <c r="AF117" s="9">
        <f>SUM(N119:AB119)</f>
        <v>41175</v>
      </c>
      <c r="AG117" s="9">
        <f>E117</f>
        <v>88761</v>
      </c>
      <c r="AH117" s="9">
        <f>F117</f>
        <v>2446</v>
      </c>
      <c r="AI117" s="9">
        <f>G117</f>
        <v>2291</v>
      </c>
      <c r="AJ117" s="9">
        <f>H117</f>
        <v>1237464</v>
      </c>
      <c r="AK117" s="9">
        <f>I117</f>
        <v>53773</v>
      </c>
      <c r="AL117" s="9">
        <f>J117</f>
        <v>39346</v>
      </c>
      <c r="AM117" s="40"/>
      <c r="AN117" s="9">
        <f>AD117-B117</f>
        <v>-14397</v>
      </c>
      <c r="AO117" s="9">
        <f>AE117-C117</f>
        <v>0</v>
      </c>
      <c r="AP117" s="9">
        <f>AF117-D117</f>
        <v>0</v>
      </c>
      <c r="AQ117" s="43"/>
      <c r="AR117" s="48">
        <f>C117/B117*1000</f>
        <v>43.062145342876867</v>
      </c>
      <c r="AS117" s="48">
        <f>D117/B117*1000</f>
        <v>31.906064825684791</v>
      </c>
      <c r="AT117" s="49"/>
      <c r="AU117" s="48">
        <f>AR117-K117</f>
        <v>-5.037854657123134</v>
      </c>
      <c r="AV117" s="48">
        <f>AS117-L117</f>
        <v>6.0648256847919413E-3</v>
      </c>
      <c r="AW117" s="43"/>
    </row>
    <row r="118" spans="1:49" s="2" customFormat="1" x14ac:dyDescent="0.55000000000000004">
      <c r="A118" s="1" t="s">
        <v>137</v>
      </c>
      <c r="B118" s="3"/>
      <c r="C118" s="3"/>
      <c r="D118" s="3"/>
      <c r="E118" s="3"/>
      <c r="F118" s="3"/>
      <c r="G118" s="3"/>
      <c r="H118" s="3"/>
      <c r="I118" s="3"/>
      <c r="J118" s="3"/>
      <c r="K118" s="28"/>
      <c r="L118" s="28"/>
      <c r="M118" s="3"/>
      <c r="N118" s="3">
        <v>6817</v>
      </c>
      <c r="O118" s="3">
        <v>5973</v>
      </c>
      <c r="P118" s="3">
        <v>3676</v>
      </c>
      <c r="Q118" s="3">
        <v>3834</v>
      </c>
      <c r="R118" s="3">
        <v>3880</v>
      </c>
      <c r="S118" s="3">
        <v>5347</v>
      </c>
      <c r="T118" s="3">
        <v>3445</v>
      </c>
      <c r="U118" s="3">
        <v>7410</v>
      </c>
      <c r="V118" s="3">
        <v>4207</v>
      </c>
      <c r="W118" s="3">
        <v>4374</v>
      </c>
      <c r="X118" s="3">
        <v>6609</v>
      </c>
      <c r="Y118" s="3"/>
      <c r="Z118" s="3"/>
      <c r="AA118" s="3"/>
      <c r="AC118" s="40"/>
      <c r="AM118" s="40"/>
      <c r="AQ118" s="40"/>
      <c r="AT118" s="40"/>
      <c r="AW118" s="40"/>
    </row>
    <row r="119" spans="1:49" s="2" customFormat="1" x14ac:dyDescent="0.55000000000000004">
      <c r="A119" s="1" t="s">
        <v>138</v>
      </c>
      <c r="B119" s="3"/>
      <c r="C119" s="3"/>
      <c r="D119" s="3"/>
      <c r="E119" s="3"/>
      <c r="F119" s="3"/>
      <c r="G119" s="3"/>
      <c r="H119" s="3"/>
      <c r="I119" s="3"/>
      <c r="J119" s="3"/>
      <c r="K119" s="28"/>
      <c r="L119" s="28"/>
      <c r="M119" s="3"/>
      <c r="N119" s="3">
        <v>4774</v>
      </c>
      <c r="O119" s="3">
        <v>4564</v>
      </c>
      <c r="P119" s="3">
        <v>2363</v>
      </c>
      <c r="Q119" s="3">
        <v>3004</v>
      </c>
      <c r="R119" s="3">
        <v>2899</v>
      </c>
      <c r="S119" s="3">
        <v>4325</v>
      </c>
      <c r="T119" s="3">
        <v>3164</v>
      </c>
      <c r="U119" s="3">
        <v>5320</v>
      </c>
      <c r="V119" s="3">
        <v>2667</v>
      </c>
      <c r="W119" s="3">
        <v>2997</v>
      </c>
      <c r="X119" s="3">
        <v>5098</v>
      </c>
      <c r="Y119" s="3"/>
      <c r="Z119" s="3"/>
      <c r="AA119" s="3"/>
      <c r="AC119" s="40"/>
      <c r="AM119" s="40"/>
      <c r="AQ119" s="40"/>
      <c r="AT119" s="40"/>
      <c r="AW119" s="40"/>
    </row>
    <row r="120" spans="1:49" s="8" customFormat="1" x14ac:dyDescent="0.55000000000000004">
      <c r="A120" s="6" t="s">
        <v>139</v>
      </c>
      <c r="B120" s="7">
        <v>362131</v>
      </c>
      <c r="C120" s="7">
        <v>17367</v>
      </c>
      <c r="D120" s="7">
        <v>12258</v>
      </c>
      <c r="E120" s="7">
        <v>23405</v>
      </c>
      <c r="F120" s="7">
        <v>914</v>
      </c>
      <c r="G120" s="7">
        <v>852</v>
      </c>
      <c r="H120" s="7">
        <v>346141</v>
      </c>
      <c r="I120" s="7">
        <v>16784</v>
      </c>
      <c r="J120" s="7">
        <v>12076</v>
      </c>
      <c r="K120" s="31">
        <v>47.9</v>
      </c>
      <c r="L120" s="31">
        <v>33.9</v>
      </c>
      <c r="M120" s="3"/>
      <c r="N120" s="7">
        <v>83467</v>
      </c>
      <c r="O120" s="7">
        <v>51987</v>
      </c>
      <c r="P120" s="7">
        <v>78502</v>
      </c>
      <c r="Q120" s="7">
        <v>45705</v>
      </c>
      <c r="R120" s="7">
        <v>28315</v>
      </c>
      <c r="S120" s="7">
        <v>40075</v>
      </c>
      <c r="T120" s="7">
        <v>34080</v>
      </c>
      <c r="U120" s="7"/>
      <c r="V120" s="7"/>
      <c r="W120" s="7"/>
      <c r="X120" s="7"/>
      <c r="Y120" s="7"/>
      <c r="Z120" s="7"/>
      <c r="AA120" s="7"/>
      <c r="AC120" s="40"/>
      <c r="AD120" s="9">
        <f>SUM(N120:AB120)</f>
        <v>362131</v>
      </c>
      <c r="AE120" s="9">
        <f>SUM(N121:AB121)</f>
        <v>17367</v>
      </c>
      <c r="AF120" s="9">
        <f>SUM(N122:AB122)</f>
        <v>12258</v>
      </c>
      <c r="AG120" s="9">
        <f>E120</f>
        <v>23405</v>
      </c>
      <c r="AH120" s="9">
        <f>F120</f>
        <v>914</v>
      </c>
      <c r="AI120" s="9">
        <f>G120</f>
        <v>852</v>
      </c>
      <c r="AJ120" s="9">
        <f>H120</f>
        <v>346141</v>
      </c>
      <c r="AK120" s="9">
        <f>I120</f>
        <v>16784</v>
      </c>
      <c r="AL120" s="9">
        <f>J120</f>
        <v>12076</v>
      </c>
      <c r="AM120" s="40"/>
      <c r="AN120" s="9">
        <f>AD120-B120</f>
        <v>0</v>
      </c>
      <c r="AO120" s="9">
        <f>AE120-C120</f>
        <v>0</v>
      </c>
      <c r="AP120" s="9">
        <f>AF120-D120</f>
        <v>0</v>
      </c>
      <c r="AQ120" s="43"/>
      <c r="AR120" s="48">
        <f>C120/B120*1000</f>
        <v>47.957783233139388</v>
      </c>
      <c r="AS120" s="48">
        <f>D120/B120*1000</f>
        <v>33.849629001659622</v>
      </c>
      <c r="AT120" s="49"/>
      <c r="AU120" s="48">
        <f>AR120-K120</f>
        <v>5.7783233139389267E-2</v>
      </c>
      <c r="AV120" s="48">
        <f>AS120-L120</f>
        <v>-5.0370998340376616E-2</v>
      </c>
      <c r="AW120" s="43"/>
    </row>
    <row r="121" spans="1:49" s="2" customFormat="1" x14ac:dyDescent="0.55000000000000004">
      <c r="A121" s="1" t="s">
        <v>140</v>
      </c>
      <c r="B121" s="3"/>
      <c r="C121" s="3"/>
      <c r="D121" s="3"/>
      <c r="E121" s="3"/>
      <c r="F121" s="3"/>
      <c r="G121" s="3"/>
      <c r="H121" s="3"/>
      <c r="I121" s="3"/>
      <c r="J121" s="3"/>
      <c r="K121" s="28"/>
      <c r="L121" s="28"/>
      <c r="M121" s="3"/>
      <c r="N121" s="3">
        <v>3786</v>
      </c>
      <c r="O121" s="3">
        <v>2567</v>
      </c>
      <c r="P121" s="3">
        <v>4010</v>
      </c>
      <c r="Q121" s="3">
        <v>2222</v>
      </c>
      <c r="R121" s="3">
        <v>1140</v>
      </c>
      <c r="S121" s="3">
        <v>1868</v>
      </c>
      <c r="T121" s="3">
        <v>1774</v>
      </c>
      <c r="U121" s="3"/>
      <c r="V121" s="3"/>
      <c r="W121" s="3"/>
      <c r="X121" s="3"/>
      <c r="Y121" s="3"/>
      <c r="Z121" s="3"/>
      <c r="AA121" s="3"/>
      <c r="AC121" s="40"/>
      <c r="AM121" s="40"/>
      <c r="AQ121" s="40"/>
      <c r="AT121" s="40"/>
      <c r="AW121" s="40"/>
    </row>
    <row r="122" spans="1:49" s="2" customFormat="1" x14ac:dyDescent="0.55000000000000004">
      <c r="A122" s="1" t="s">
        <v>141</v>
      </c>
      <c r="B122" s="3"/>
      <c r="C122" s="3"/>
      <c r="D122" s="3"/>
      <c r="E122" s="3"/>
      <c r="F122" s="3"/>
      <c r="G122" s="3"/>
      <c r="H122" s="3"/>
      <c r="I122" s="3"/>
      <c r="J122" s="3"/>
      <c r="K122" s="28"/>
      <c r="L122" s="28"/>
      <c r="M122" s="3"/>
      <c r="N122" s="3">
        <v>2676</v>
      </c>
      <c r="O122" s="3">
        <v>1868</v>
      </c>
      <c r="P122" s="3">
        <v>2816</v>
      </c>
      <c r="Q122" s="3">
        <v>1365</v>
      </c>
      <c r="R122" s="3">
        <v>739</v>
      </c>
      <c r="S122" s="3">
        <v>1259</v>
      </c>
      <c r="T122" s="3">
        <v>1535</v>
      </c>
      <c r="U122" s="3"/>
      <c r="V122" s="3"/>
      <c r="W122" s="3"/>
      <c r="X122" s="3"/>
      <c r="Y122" s="3"/>
      <c r="Z122" s="3"/>
      <c r="AA122" s="3"/>
      <c r="AC122" s="40"/>
      <c r="AM122" s="40"/>
      <c r="AQ122" s="40"/>
      <c r="AT122" s="40"/>
      <c r="AW122" s="40"/>
    </row>
    <row r="123" spans="1:49" s="8" customFormat="1" x14ac:dyDescent="0.55000000000000004">
      <c r="A123" s="6" t="s">
        <v>142</v>
      </c>
      <c r="B123" s="7">
        <v>2107442</v>
      </c>
      <c r="C123" s="7">
        <v>106674</v>
      </c>
      <c r="D123" s="7">
        <v>85609</v>
      </c>
      <c r="E123" s="10" t="s">
        <v>25</v>
      </c>
      <c r="F123" s="10" t="s">
        <v>25</v>
      </c>
      <c r="G123" s="10" t="s">
        <v>25</v>
      </c>
      <c r="H123" s="7">
        <v>2029477</v>
      </c>
      <c r="I123" s="7">
        <v>105529</v>
      </c>
      <c r="J123" s="7">
        <v>71707</v>
      </c>
      <c r="K123" s="31">
        <v>50.6</v>
      </c>
      <c r="L123" s="31">
        <v>40.6</v>
      </c>
      <c r="M123" s="3"/>
      <c r="N123" s="7">
        <v>224635</v>
      </c>
      <c r="O123" s="7">
        <v>151832</v>
      </c>
      <c r="P123" s="7">
        <v>163163</v>
      </c>
      <c r="Q123" s="7">
        <v>104561</v>
      </c>
      <c r="R123" s="7">
        <v>291845</v>
      </c>
      <c r="S123" s="7">
        <v>131389</v>
      </c>
      <c r="T123" s="7">
        <v>116193</v>
      </c>
      <c r="U123" s="7">
        <v>352235</v>
      </c>
      <c r="V123" s="7">
        <v>189690</v>
      </c>
      <c r="W123" s="7">
        <v>108213</v>
      </c>
      <c r="X123" s="7">
        <v>143480</v>
      </c>
      <c r="Y123" s="7">
        <v>130206</v>
      </c>
      <c r="Z123" s="7"/>
      <c r="AA123" s="7"/>
      <c r="AC123" s="40"/>
      <c r="AD123" s="9">
        <f>SUM(N123:AB123)</f>
        <v>2107442</v>
      </c>
      <c r="AE123" s="9">
        <f>SUM(N124:AB124)</f>
        <v>106674</v>
      </c>
      <c r="AF123" s="9">
        <f>SUM(N125:AB125)</f>
        <v>84709</v>
      </c>
      <c r="AG123" s="10" t="str">
        <f>E123</f>
        <v>—</v>
      </c>
      <c r="AH123" s="10" t="str">
        <f>F123</f>
        <v>—</v>
      </c>
      <c r="AI123" s="10" t="str">
        <f>G123</f>
        <v>—</v>
      </c>
      <c r="AJ123" s="9">
        <f>H123</f>
        <v>2029477</v>
      </c>
      <c r="AK123" s="9">
        <f>I123</f>
        <v>105529</v>
      </c>
      <c r="AL123" s="9">
        <f>J123</f>
        <v>71707</v>
      </c>
      <c r="AM123" s="40"/>
      <c r="AN123" s="9">
        <f>AD123-B123</f>
        <v>0</v>
      </c>
      <c r="AO123" s="9">
        <f>AE123-C123</f>
        <v>0</v>
      </c>
      <c r="AP123" s="9">
        <f>AF123-D123</f>
        <v>-900</v>
      </c>
      <c r="AQ123" s="43"/>
      <c r="AR123" s="48">
        <f>C123/B123*1000</f>
        <v>50.617763146032019</v>
      </c>
      <c r="AS123" s="48">
        <f>D123/B123*1000</f>
        <v>40.622233019936019</v>
      </c>
      <c r="AT123" s="49"/>
      <c r="AU123" s="48">
        <f>AR123-K123</f>
        <v>1.7763146032017119E-2</v>
      </c>
      <c r="AV123" s="48">
        <f>AS123-L123</f>
        <v>2.2233019936017229E-2</v>
      </c>
      <c r="AW123" s="43"/>
    </row>
    <row r="124" spans="1:49" s="2" customFormat="1" x14ac:dyDescent="0.55000000000000004">
      <c r="A124" s="1" t="s">
        <v>143</v>
      </c>
      <c r="B124" s="3"/>
      <c r="C124" s="3"/>
      <c r="D124" s="3"/>
      <c r="E124" s="3"/>
      <c r="F124" s="3"/>
      <c r="G124" s="3"/>
      <c r="H124" s="3"/>
      <c r="I124" s="3"/>
      <c r="J124" s="3"/>
      <c r="K124" s="28"/>
      <c r="L124" s="28"/>
      <c r="M124" s="3"/>
      <c r="N124" s="3">
        <v>10289</v>
      </c>
      <c r="O124" s="3">
        <v>7171</v>
      </c>
      <c r="P124" s="3">
        <v>9475</v>
      </c>
      <c r="Q124" s="3">
        <v>5117</v>
      </c>
      <c r="R124" s="3">
        <v>15703</v>
      </c>
      <c r="S124" s="3">
        <v>6954</v>
      </c>
      <c r="T124" s="3">
        <v>5654</v>
      </c>
      <c r="U124" s="3">
        <v>16746</v>
      </c>
      <c r="V124" s="3">
        <v>9833</v>
      </c>
      <c r="W124" s="3">
        <v>5546</v>
      </c>
      <c r="X124" s="3">
        <v>7511</v>
      </c>
      <c r="Y124" s="3">
        <v>6675</v>
      </c>
      <c r="Z124" s="3"/>
      <c r="AA124" s="3"/>
      <c r="AC124" s="40"/>
      <c r="AG124" s="38"/>
      <c r="AH124" s="38"/>
      <c r="AI124" s="38"/>
      <c r="AM124" s="40"/>
      <c r="AQ124" s="40"/>
      <c r="AT124" s="40"/>
      <c r="AW124" s="40"/>
    </row>
    <row r="125" spans="1:49" s="2" customFormat="1" x14ac:dyDescent="0.55000000000000004">
      <c r="A125" s="1" t="s">
        <v>144</v>
      </c>
      <c r="B125" s="3"/>
      <c r="C125" s="3"/>
      <c r="D125" s="3"/>
      <c r="E125" s="3"/>
      <c r="F125" s="3"/>
      <c r="G125" s="3"/>
      <c r="H125" s="3"/>
      <c r="I125" s="3"/>
      <c r="J125" s="3"/>
      <c r="K125" s="28"/>
      <c r="L125" s="28"/>
      <c r="M125" s="3"/>
      <c r="N125" s="3">
        <v>8863</v>
      </c>
      <c r="O125" s="3">
        <v>6597</v>
      </c>
      <c r="P125" s="3">
        <v>6199</v>
      </c>
      <c r="Q125" s="3">
        <v>4049</v>
      </c>
      <c r="R125" s="3">
        <v>12270</v>
      </c>
      <c r="S125" s="3">
        <v>5614</v>
      </c>
      <c r="T125" s="3">
        <v>4784</v>
      </c>
      <c r="U125" s="3">
        <v>14103</v>
      </c>
      <c r="V125" s="3">
        <v>8567</v>
      </c>
      <c r="W125" s="3">
        <v>5198</v>
      </c>
      <c r="X125" s="3">
        <v>4509</v>
      </c>
      <c r="Y125" s="3">
        <v>3956</v>
      </c>
      <c r="Z125" s="3"/>
      <c r="AA125" s="3"/>
      <c r="AC125" s="40"/>
      <c r="AG125" s="38"/>
      <c r="AH125" s="38"/>
      <c r="AI125" s="38"/>
      <c r="AM125" s="40"/>
      <c r="AQ125" s="40"/>
      <c r="AT125" s="40"/>
      <c r="AW125" s="40"/>
    </row>
    <row r="126" spans="1:49" s="8" customFormat="1" x14ac:dyDescent="0.55000000000000004">
      <c r="A126" s="6" t="s">
        <v>145</v>
      </c>
      <c r="B126" s="7">
        <v>1601458</v>
      </c>
      <c r="C126" s="7">
        <v>80120</v>
      </c>
      <c r="D126" s="7">
        <v>64064</v>
      </c>
      <c r="E126" s="10" t="s">
        <v>25</v>
      </c>
      <c r="F126" s="10" t="s">
        <v>25</v>
      </c>
      <c r="G126" s="10" t="s">
        <v>25</v>
      </c>
      <c r="H126" s="7">
        <v>1550070</v>
      </c>
      <c r="I126" s="7">
        <v>81995</v>
      </c>
      <c r="J126" s="7">
        <v>59319</v>
      </c>
      <c r="K126" s="31">
        <v>50</v>
      </c>
      <c r="L126" s="31">
        <v>40</v>
      </c>
      <c r="M126" s="3"/>
      <c r="N126" s="7">
        <v>163872</v>
      </c>
      <c r="O126" s="7">
        <v>173509</v>
      </c>
      <c r="P126" s="7">
        <v>203181</v>
      </c>
      <c r="Q126" s="7">
        <v>134573</v>
      </c>
      <c r="R126" s="7">
        <v>182123</v>
      </c>
      <c r="S126" s="7">
        <v>114370</v>
      </c>
      <c r="T126" s="7">
        <v>137430</v>
      </c>
      <c r="U126" s="7">
        <v>174539</v>
      </c>
      <c r="V126" s="7">
        <v>158960</v>
      </c>
      <c r="W126" s="7">
        <v>158900</v>
      </c>
      <c r="X126" s="7"/>
      <c r="Y126" s="7"/>
      <c r="Z126" s="7"/>
      <c r="AA126" s="7"/>
      <c r="AC126" s="40"/>
      <c r="AD126" s="9">
        <f>SUM(N126:AB126)</f>
        <v>1601457</v>
      </c>
      <c r="AE126" s="9">
        <f>SUM(N127:AB127)</f>
        <v>80120</v>
      </c>
      <c r="AF126" s="9">
        <f>SUM(N128:AB128)</f>
        <v>64064</v>
      </c>
      <c r="AG126" s="10" t="str">
        <f>E126</f>
        <v>—</v>
      </c>
      <c r="AH126" s="10" t="str">
        <f>F126</f>
        <v>—</v>
      </c>
      <c r="AI126" s="10" t="str">
        <f>G126</f>
        <v>—</v>
      </c>
      <c r="AJ126" s="9">
        <f>H126</f>
        <v>1550070</v>
      </c>
      <c r="AK126" s="9">
        <f>I126</f>
        <v>81995</v>
      </c>
      <c r="AL126" s="9">
        <f>J126</f>
        <v>59319</v>
      </c>
      <c r="AM126" s="40"/>
      <c r="AN126" s="9">
        <f>AD126-B126</f>
        <v>-1</v>
      </c>
      <c r="AO126" s="9">
        <f>AE126-C126</f>
        <v>0</v>
      </c>
      <c r="AP126" s="9">
        <f>AF126-D126</f>
        <v>0</v>
      </c>
      <c r="AQ126" s="43"/>
      <c r="AR126" s="48">
        <f>C126/B126*1000</f>
        <v>50.029410699500076</v>
      </c>
      <c r="AS126" s="48">
        <f>D126/B126*1000</f>
        <v>40.003546768007652</v>
      </c>
      <c r="AT126" s="49"/>
      <c r="AU126" s="48">
        <f>AR126-K126</f>
        <v>2.9410699500076021E-2</v>
      </c>
      <c r="AV126" s="48">
        <f>AS126-L126</f>
        <v>3.5467680076521901E-3</v>
      </c>
      <c r="AW126" s="43"/>
    </row>
    <row r="127" spans="1:49" s="2" customFormat="1" x14ac:dyDescent="0.55000000000000004">
      <c r="A127" s="1" t="s">
        <v>146</v>
      </c>
      <c r="B127" s="3"/>
      <c r="C127" s="3"/>
      <c r="D127" s="3"/>
      <c r="E127" s="3"/>
      <c r="F127" s="3"/>
      <c r="G127" s="3"/>
      <c r="H127" s="3"/>
      <c r="I127" s="3"/>
      <c r="J127" s="3"/>
      <c r="K127" s="28"/>
      <c r="L127" s="28"/>
      <c r="M127" s="3"/>
      <c r="N127" s="3">
        <v>8959</v>
      </c>
      <c r="O127" s="3">
        <v>9189</v>
      </c>
      <c r="P127" s="3">
        <v>9953</v>
      </c>
      <c r="Q127" s="3">
        <v>5737</v>
      </c>
      <c r="R127" s="3">
        <v>8835</v>
      </c>
      <c r="S127" s="3">
        <v>6900</v>
      </c>
      <c r="T127" s="3">
        <v>6613</v>
      </c>
      <c r="U127" s="3">
        <v>7889</v>
      </c>
      <c r="V127" s="3">
        <v>7816</v>
      </c>
      <c r="W127" s="3">
        <v>8229</v>
      </c>
      <c r="X127" s="3"/>
      <c r="Y127" s="3"/>
      <c r="Z127" s="3"/>
      <c r="AA127" s="3"/>
      <c r="AC127" s="40"/>
      <c r="AM127" s="40"/>
      <c r="AQ127" s="40"/>
      <c r="AT127" s="40"/>
      <c r="AW127" s="40"/>
    </row>
    <row r="128" spans="1:49" s="2" customFormat="1" x14ac:dyDescent="0.55000000000000004">
      <c r="A128" s="1" t="s">
        <v>147</v>
      </c>
      <c r="B128" s="3"/>
      <c r="C128" s="3"/>
      <c r="D128" s="3"/>
      <c r="E128" s="3"/>
      <c r="F128" s="3"/>
      <c r="G128" s="3"/>
      <c r="H128" s="3"/>
      <c r="I128" s="3"/>
      <c r="J128" s="3"/>
      <c r="K128" s="28"/>
      <c r="L128" s="28"/>
      <c r="M128" s="3"/>
      <c r="N128" s="3">
        <v>7231</v>
      </c>
      <c r="O128" s="3">
        <v>6391</v>
      </c>
      <c r="P128" s="3">
        <v>8308</v>
      </c>
      <c r="Q128" s="3">
        <v>4607</v>
      </c>
      <c r="R128" s="3">
        <v>7011</v>
      </c>
      <c r="S128" s="3">
        <v>6063</v>
      </c>
      <c r="T128" s="3">
        <v>5354</v>
      </c>
      <c r="U128" s="3">
        <v>6423</v>
      </c>
      <c r="V128" s="3">
        <v>6502</v>
      </c>
      <c r="W128" s="3">
        <v>6174</v>
      </c>
      <c r="X128" s="3"/>
      <c r="Y128" s="3"/>
      <c r="Z128" s="3"/>
      <c r="AA128" s="3"/>
      <c r="AC128" s="40"/>
      <c r="AM128" s="40"/>
      <c r="AQ128" s="40"/>
      <c r="AT128" s="40"/>
      <c r="AW128" s="40"/>
    </row>
    <row r="129" spans="1:49" s="8" customFormat="1" x14ac:dyDescent="0.55000000000000004">
      <c r="A129" s="6" t="s">
        <v>148</v>
      </c>
      <c r="B129" s="7">
        <v>2794922</v>
      </c>
      <c r="C129" s="7">
        <v>152416</v>
      </c>
      <c r="D129" s="7">
        <v>136331</v>
      </c>
      <c r="E129" s="7">
        <v>132950</v>
      </c>
      <c r="F129" s="7">
        <v>5672</v>
      </c>
      <c r="G129" s="7">
        <v>5798</v>
      </c>
      <c r="H129" s="7">
        <v>2741779</v>
      </c>
      <c r="I129" s="7">
        <v>152342</v>
      </c>
      <c r="J129" s="7">
        <v>116549</v>
      </c>
      <c r="K129" s="31">
        <v>54.5</v>
      </c>
      <c r="L129" s="31">
        <v>48.7</v>
      </c>
      <c r="M129" s="3"/>
      <c r="N129" s="7">
        <v>228221</v>
      </c>
      <c r="O129" s="7">
        <v>223418</v>
      </c>
      <c r="P129" s="7">
        <v>383883</v>
      </c>
      <c r="Q129" s="7">
        <v>140922</v>
      </c>
      <c r="R129" s="7">
        <v>259487</v>
      </c>
      <c r="S129" s="7">
        <v>232448</v>
      </c>
      <c r="T129" s="7">
        <v>123741</v>
      </c>
      <c r="U129" s="7">
        <v>283694</v>
      </c>
      <c r="V129" s="7">
        <v>258003</v>
      </c>
      <c r="W129" s="7">
        <v>211877</v>
      </c>
      <c r="X129" s="7">
        <v>92880</v>
      </c>
      <c r="Y129" s="7">
        <v>341263</v>
      </c>
      <c r="Z129" s="7"/>
      <c r="AA129" s="7"/>
      <c r="AC129" s="40"/>
      <c r="AD129" s="9">
        <f>SUM(N129:AB129)</f>
        <v>2779837</v>
      </c>
      <c r="AE129" s="9">
        <f>SUM(N130:AB130)</f>
        <v>152416</v>
      </c>
      <c r="AF129" s="9">
        <f>SUM(N131:AB131)</f>
        <v>136331</v>
      </c>
      <c r="AG129" s="9">
        <f>E129</f>
        <v>132950</v>
      </c>
      <c r="AH129" s="9">
        <f>F129</f>
        <v>5672</v>
      </c>
      <c r="AI129" s="9">
        <f>G129</f>
        <v>5798</v>
      </c>
      <c r="AJ129" s="9">
        <f>H129</f>
        <v>2741779</v>
      </c>
      <c r="AK129" s="9">
        <f>I129</f>
        <v>152342</v>
      </c>
      <c r="AL129" s="9">
        <f>J129</f>
        <v>116549</v>
      </c>
      <c r="AM129" s="40"/>
      <c r="AN129" s="9">
        <f>AD129-B129</f>
        <v>-15085</v>
      </c>
      <c r="AO129" s="9">
        <f>AE129-C129</f>
        <v>0</v>
      </c>
      <c r="AP129" s="9">
        <f>AF129-D129</f>
        <v>0</v>
      </c>
      <c r="AQ129" s="43"/>
      <c r="AR129" s="48">
        <f>C129/B129*1000</f>
        <v>54.533185541492749</v>
      </c>
      <c r="AS129" s="48">
        <f>D129/B129*1000</f>
        <v>48.778105435500528</v>
      </c>
      <c r="AT129" s="49"/>
      <c r="AU129" s="48">
        <f>AR129-K129</f>
        <v>3.3185541492748882E-2</v>
      </c>
      <c r="AV129" s="48">
        <f>AS129-L129</f>
        <v>7.8105435500525289E-2</v>
      </c>
      <c r="AW129" s="43"/>
    </row>
    <row r="130" spans="1:49" s="2" customFormat="1" x14ac:dyDescent="0.55000000000000004">
      <c r="A130" s="1" t="s">
        <v>149</v>
      </c>
      <c r="B130" s="3"/>
      <c r="C130" s="3"/>
      <c r="D130" s="3"/>
      <c r="E130" s="3"/>
      <c r="F130" s="3"/>
      <c r="G130" s="3"/>
      <c r="H130" s="3"/>
      <c r="I130" s="3"/>
      <c r="J130" s="3"/>
      <c r="K130" s="28"/>
      <c r="L130" s="28"/>
      <c r="M130" s="3"/>
      <c r="N130" s="3">
        <v>12335</v>
      </c>
      <c r="O130" s="3">
        <v>12370</v>
      </c>
      <c r="P130" s="3">
        <v>21397</v>
      </c>
      <c r="Q130" s="3">
        <v>7961</v>
      </c>
      <c r="R130" s="3">
        <v>14195</v>
      </c>
      <c r="S130" s="3">
        <v>12620</v>
      </c>
      <c r="T130" s="3">
        <v>7674</v>
      </c>
      <c r="U130" s="3">
        <v>15339</v>
      </c>
      <c r="V130" s="3">
        <v>12826</v>
      </c>
      <c r="W130" s="3">
        <v>11544</v>
      </c>
      <c r="X130" s="3">
        <v>5356</v>
      </c>
      <c r="Y130" s="3">
        <v>18799</v>
      </c>
      <c r="Z130" s="3"/>
      <c r="AA130" s="3"/>
      <c r="AC130" s="40"/>
      <c r="AM130" s="40"/>
      <c r="AQ130" s="40"/>
      <c r="AT130" s="40"/>
      <c r="AW130" s="40"/>
    </row>
    <row r="131" spans="1:49" s="2" customFormat="1" x14ac:dyDescent="0.55000000000000004">
      <c r="A131" s="1" t="s">
        <v>150</v>
      </c>
      <c r="B131" s="3"/>
      <c r="C131" s="3"/>
      <c r="D131" s="3"/>
      <c r="E131" s="3"/>
      <c r="F131" s="3"/>
      <c r="G131" s="3"/>
      <c r="H131" s="3"/>
      <c r="I131" s="3"/>
      <c r="J131" s="3"/>
      <c r="K131" s="28"/>
      <c r="L131" s="28"/>
      <c r="M131" s="3"/>
      <c r="N131" s="3">
        <v>12989</v>
      </c>
      <c r="O131" s="3">
        <v>9773</v>
      </c>
      <c r="P131" s="3">
        <v>17307</v>
      </c>
      <c r="Q131" s="3">
        <v>7943</v>
      </c>
      <c r="R131" s="3">
        <v>13091</v>
      </c>
      <c r="S131" s="3">
        <v>10017</v>
      </c>
      <c r="T131" s="3">
        <v>7843</v>
      </c>
      <c r="U131" s="3">
        <v>13187</v>
      </c>
      <c r="V131" s="3">
        <v>12021</v>
      </c>
      <c r="W131" s="3">
        <v>11174</v>
      </c>
      <c r="X131" s="3">
        <v>2818</v>
      </c>
      <c r="Y131" s="3">
        <v>18168</v>
      </c>
      <c r="Z131" s="3"/>
      <c r="AA131" s="3"/>
      <c r="AC131" s="40"/>
      <c r="AM131" s="40"/>
      <c r="AQ131" s="40"/>
      <c r="AT131" s="40"/>
      <c r="AW131" s="40"/>
    </row>
    <row r="132" spans="1:49" s="8" customFormat="1" x14ac:dyDescent="0.55000000000000004">
      <c r="A132" s="6" t="s">
        <v>151</v>
      </c>
      <c r="B132" s="7">
        <v>2894095</v>
      </c>
      <c r="C132" s="7">
        <v>127556</v>
      </c>
      <c r="D132" s="7">
        <v>93984</v>
      </c>
      <c r="E132" s="7">
        <v>253214</v>
      </c>
      <c r="F132" s="7">
        <v>10589</v>
      </c>
      <c r="G132" s="7">
        <v>8021</v>
      </c>
      <c r="H132" s="7">
        <v>2834523</v>
      </c>
      <c r="I132" s="7">
        <v>131207</v>
      </c>
      <c r="J132" s="7">
        <v>78200</v>
      </c>
      <c r="K132" s="31">
        <v>44.1</v>
      </c>
      <c r="L132" s="31">
        <v>32.4</v>
      </c>
      <c r="M132" s="3"/>
      <c r="N132" s="7">
        <v>232195</v>
      </c>
      <c r="O132" s="7">
        <v>170624</v>
      </c>
      <c r="P132" s="7">
        <v>233783</v>
      </c>
      <c r="Q132" s="7">
        <v>149398</v>
      </c>
      <c r="R132" s="7">
        <v>248171</v>
      </c>
      <c r="S132" s="7">
        <v>203579</v>
      </c>
      <c r="T132" s="7">
        <v>242774</v>
      </c>
      <c r="U132" s="7">
        <v>150617</v>
      </c>
      <c r="V132" s="7">
        <v>134478</v>
      </c>
      <c r="W132" s="7">
        <v>163543</v>
      </c>
      <c r="X132" s="7">
        <v>200511</v>
      </c>
      <c r="Y132" s="7">
        <v>169027</v>
      </c>
      <c r="Z132" s="7">
        <v>214841</v>
      </c>
      <c r="AA132" s="7">
        <v>208986</v>
      </c>
      <c r="AB132" s="18">
        <v>171568</v>
      </c>
      <c r="AC132" s="41"/>
      <c r="AD132" s="9">
        <f>SUM(N132:AB132)</f>
        <v>2894095</v>
      </c>
      <c r="AE132" s="9">
        <f>SUM(N133:AB133)</f>
        <v>127556</v>
      </c>
      <c r="AF132" s="9">
        <f>SUM(N134:AB134)</f>
        <v>93984</v>
      </c>
      <c r="AG132" s="9">
        <f>E132</f>
        <v>253214</v>
      </c>
      <c r="AH132" s="9">
        <f>F132</f>
        <v>10589</v>
      </c>
      <c r="AI132" s="9">
        <f>G132</f>
        <v>8021</v>
      </c>
      <c r="AJ132" s="9">
        <f>H132</f>
        <v>2834523</v>
      </c>
      <c r="AK132" s="9">
        <f>I132</f>
        <v>131207</v>
      </c>
      <c r="AL132" s="9">
        <f>J132</f>
        <v>78200</v>
      </c>
      <c r="AM132" s="40"/>
      <c r="AN132" s="9">
        <f>AD132-B132</f>
        <v>0</v>
      </c>
      <c r="AO132" s="9">
        <f>AE132-C132</f>
        <v>0</v>
      </c>
      <c r="AP132" s="9">
        <f>AF132-D132</f>
        <v>0</v>
      </c>
      <c r="AQ132" s="43"/>
      <c r="AR132" s="48">
        <f>C132/B132*1000</f>
        <v>44.074572534764755</v>
      </c>
      <c r="AS132" s="48">
        <f>D132/B132*1000</f>
        <v>32.474400460247509</v>
      </c>
      <c r="AT132" s="49"/>
      <c r="AU132" s="48">
        <f>AR132-K132</f>
        <v>-2.5427465235246416E-2</v>
      </c>
      <c r="AV132" s="48">
        <f>AS132-L132</f>
        <v>7.4400460247510125E-2</v>
      </c>
      <c r="AW132" s="43"/>
    </row>
    <row r="133" spans="1:49" s="2" customFormat="1" x14ac:dyDescent="0.55000000000000004">
      <c r="A133" s="1" t="s">
        <v>152</v>
      </c>
      <c r="B133" s="3"/>
      <c r="C133" s="3"/>
      <c r="D133" s="3"/>
      <c r="E133" s="3"/>
      <c r="F133" s="3"/>
      <c r="G133" s="3"/>
      <c r="H133" s="3"/>
      <c r="I133" s="3"/>
      <c r="J133" s="3"/>
      <c r="K133" s="28"/>
      <c r="L133" s="28"/>
      <c r="M133" s="3"/>
      <c r="N133" s="3">
        <v>10187</v>
      </c>
      <c r="O133" s="3">
        <v>7225</v>
      </c>
      <c r="P133" s="3">
        <v>10345</v>
      </c>
      <c r="Q133" s="3">
        <v>6280</v>
      </c>
      <c r="R133" s="3">
        <v>9619</v>
      </c>
      <c r="S133" s="3">
        <v>10872</v>
      </c>
      <c r="T133" s="3">
        <v>10877</v>
      </c>
      <c r="U133" s="3">
        <v>6798</v>
      </c>
      <c r="V133" s="3">
        <v>6532</v>
      </c>
      <c r="W133" s="3">
        <v>7255</v>
      </c>
      <c r="X133" s="3">
        <v>8923</v>
      </c>
      <c r="Y133" s="3">
        <v>7401</v>
      </c>
      <c r="Z133" s="3">
        <v>8796</v>
      </c>
      <c r="AA133" s="3">
        <v>8109</v>
      </c>
      <c r="AB133" s="18">
        <v>8337</v>
      </c>
      <c r="AC133" s="41"/>
      <c r="AM133" s="40"/>
      <c r="AQ133" s="40"/>
      <c r="AT133" s="40"/>
      <c r="AW133" s="40"/>
    </row>
    <row r="134" spans="1:49" s="2" customFormat="1" x14ac:dyDescent="0.55000000000000004">
      <c r="A134" s="1" t="s">
        <v>153</v>
      </c>
      <c r="B134" s="3"/>
      <c r="C134" s="3"/>
      <c r="D134" s="3"/>
      <c r="E134" s="3"/>
      <c r="F134" s="3"/>
      <c r="G134" s="3"/>
      <c r="H134" s="3"/>
      <c r="I134" s="3"/>
      <c r="J134" s="3"/>
      <c r="K134" s="28"/>
      <c r="L134" s="28"/>
      <c r="M134" s="3"/>
      <c r="N134" s="3">
        <v>8492</v>
      </c>
      <c r="O134" s="3">
        <v>4988</v>
      </c>
      <c r="P134" s="3">
        <v>6583</v>
      </c>
      <c r="Q134" s="3">
        <v>5841</v>
      </c>
      <c r="R134" s="3">
        <v>6027</v>
      </c>
      <c r="S134" s="3">
        <v>10512</v>
      </c>
      <c r="T134" s="3">
        <v>7314</v>
      </c>
      <c r="U134" s="3">
        <v>4970</v>
      </c>
      <c r="V134" s="3">
        <v>4007</v>
      </c>
      <c r="W134" s="3">
        <v>4868</v>
      </c>
      <c r="X134" s="3">
        <v>7359</v>
      </c>
      <c r="Y134" s="3">
        <v>5463</v>
      </c>
      <c r="Z134" s="3">
        <v>6323</v>
      </c>
      <c r="AA134" s="3">
        <v>5395</v>
      </c>
      <c r="AB134" s="18">
        <v>5842</v>
      </c>
      <c r="AC134" s="41"/>
      <c r="AM134" s="40"/>
      <c r="AQ134" s="40"/>
      <c r="AT134" s="40"/>
      <c r="AW134" s="40"/>
    </row>
    <row r="135" spans="1:49" s="8" customFormat="1" x14ac:dyDescent="0.55000000000000004">
      <c r="A135" s="6" t="s">
        <v>154</v>
      </c>
      <c r="B135" s="7">
        <v>1029053</v>
      </c>
      <c r="C135" s="7">
        <v>50312</v>
      </c>
      <c r="D135" s="7">
        <v>32442</v>
      </c>
      <c r="E135" s="7">
        <v>60405</v>
      </c>
      <c r="F135" s="7">
        <v>1769</v>
      </c>
      <c r="G135" s="7">
        <v>1570</v>
      </c>
      <c r="H135" s="7">
        <v>989039</v>
      </c>
      <c r="I135" s="7">
        <v>48774</v>
      </c>
      <c r="J135" s="7">
        <v>34608</v>
      </c>
      <c r="K135" s="31">
        <v>48.9</v>
      </c>
      <c r="L135" s="31">
        <v>31.5</v>
      </c>
      <c r="M135" s="3"/>
      <c r="N135" s="7">
        <v>217611</v>
      </c>
      <c r="O135" s="7">
        <v>110602</v>
      </c>
      <c r="P135" s="7">
        <v>102649</v>
      </c>
      <c r="Q135" s="7">
        <v>126769</v>
      </c>
      <c r="R135" s="7">
        <v>157179</v>
      </c>
      <c r="S135" s="7">
        <v>164744</v>
      </c>
      <c r="T135" s="7">
        <v>75896</v>
      </c>
      <c r="U135" s="7">
        <v>73603</v>
      </c>
      <c r="V135" s="7"/>
      <c r="W135" s="7"/>
      <c r="X135" s="7"/>
      <c r="Y135" s="7"/>
      <c r="Z135" s="7"/>
      <c r="AA135" s="7"/>
      <c r="AC135" s="40"/>
      <c r="AD135" s="9">
        <f>SUM(N135:AB135)</f>
        <v>1029053</v>
      </c>
      <c r="AE135" s="9">
        <f>SUM(N136:AB136)</f>
        <v>50312</v>
      </c>
      <c r="AF135" s="9">
        <f>SUM(N137:AB137)</f>
        <v>32442</v>
      </c>
      <c r="AG135" s="9">
        <f>E135</f>
        <v>60405</v>
      </c>
      <c r="AH135" s="9">
        <f>F135</f>
        <v>1769</v>
      </c>
      <c r="AI135" s="9">
        <f>G135</f>
        <v>1570</v>
      </c>
      <c r="AJ135" s="9">
        <f>H135</f>
        <v>989039</v>
      </c>
      <c r="AK135" s="9">
        <f>I135</f>
        <v>48774</v>
      </c>
      <c r="AL135" s="9">
        <f>J135</f>
        <v>34608</v>
      </c>
      <c r="AM135" s="40"/>
      <c r="AN135" s="9">
        <f>AD135-B135</f>
        <v>0</v>
      </c>
      <c r="AO135" s="9">
        <f>AE135-C135</f>
        <v>0</v>
      </c>
      <c r="AP135" s="9">
        <f>AF135-D135</f>
        <v>0</v>
      </c>
      <c r="AQ135" s="43"/>
      <c r="AR135" s="48">
        <f>C135/B135*1000</f>
        <v>48.891553690626232</v>
      </c>
      <c r="AS135" s="48">
        <f>D135/B135*1000</f>
        <v>31.526073001099068</v>
      </c>
      <c r="AT135" s="49"/>
      <c r="AU135" s="48">
        <f>AR135-K135</f>
        <v>-8.4463093737667805E-3</v>
      </c>
      <c r="AV135" s="48">
        <f>AS135-L135</f>
        <v>2.6073001099067739E-2</v>
      </c>
      <c r="AW135" s="43"/>
    </row>
    <row r="136" spans="1:49" s="2" customFormat="1" x14ac:dyDescent="0.55000000000000004">
      <c r="A136" s="1" t="s">
        <v>155</v>
      </c>
      <c r="B136" s="3"/>
      <c r="C136" s="3"/>
      <c r="D136" s="3"/>
      <c r="E136" s="3"/>
      <c r="F136" s="3"/>
      <c r="G136" s="3"/>
      <c r="H136" s="3"/>
      <c r="I136" s="3"/>
      <c r="J136" s="3"/>
      <c r="K136" s="28"/>
      <c r="L136" s="28"/>
      <c r="M136" s="3"/>
      <c r="N136" s="3">
        <v>9740</v>
      </c>
      <c r="O136" s="3">
        <v>5984</v>
      </c>
      <c r="P136" s="3">
        <v>5063</v>
      </c>
      <c r="Q136" s="3">
        <v>6179</v>
      </c>
      <c r="R136" s="3">
        <v>7255</v>
      </c>
      <c r="S136" s="3">
        <v>7226</v>
      </c>
      <c r="T136" s="3">
        <v>4435</v>
      </c>
      <c r="U136" s="3">
        <v>4430</v>
      </c>
      <c r="V136" s="3"/>
      <c r="W136" s="3"/>
      <c r="X136" s="3"/>
      <c r="Y136" s="3"/>
      <c r="Z136" s="3"/>
      <c r="AA136" s="3"/>
      <c r="AC136" s="40"/>
      <c r="AM136" s="40"/>
      <c r="AQ136" s="40"/>
      <c r="AT136" s="40"/>
      <c r="AW136" s="40"/>
    </row>
    <row r="137" spans="1:49" s="2" customFormat="1" x14ac:dyDescent="0.55000000000000004">
      <c r="A137" s="1" t="s">
        <v>156</v>
      </c>
      <c r="B137" s="3"/>
      <c r="C137" s="3"/>
      <c r="D137" s="3"/>
      <c r="E137" s="3"/>
      <c r="F137" s="3"/>
      <c r="G137" s="3"/>
      <c r="H137" s="3"/>
      <c r="I137" s="3"/>
      <c r="J137" s="3"/>
      <c r="K137" s="28"/>
      <c r="L137" s="28"/>
      <c r="M137" s="3"/>
      <c r="N137" s="3">
        <v>6400</v>
      </c>
      <c r="O137" s="3">
        <v>4047</v>
      </c>
      <c r="P137" s="3">
        <v>3043</v>
      </c>
      <c r="Q137" s="3">
        <v>3392</v>
      </c>
      <c r="R137" s="3">
        <v>4744</v>
      </c>
      <c r="S137" s="3">
        <v>4970</v>
      </c>
      <c r="T137" s="3">
        <v>3053</v>
      </c>
      <c r="U137" s="3">
        <v>2793</v>
      </c>
      <c r="V137" s="3"/>
      <c r="W137" s="3"/>
      <c r="X137" s="3"/>
      <c r="Y137" s="3"/>
      <c r="Z137" s="3"/>
      <c r="AA137" s="3"/>
      <c r="AC137" s="40"/>
      <c r="AM137" s="40"/>
      <c r="AQ137" s="40"/>
      <c r="AT137" s="40"/>
      <c r="AW137" s="40"/>
    </row>
    <row r="138" spans="1:49" s="8" customFormat="1" x14ac:dyDescent="0.55000000000000004">
      <c r="A138" s="6" t="s">
        <v>157</v>
      </c>
      <c r="B138" s="7">
        <v>1928786</v>
      </c>
      <c r="C138" s="7">
        <v>94449</v>
      </c>
      <c r="D138" s="7">
        <v>70492</v>
      </c>
      <c r="E138" s="7">
        <v>96139</v>
      </c>
      <c r="F138" s="7">
        <v>5405</v>
      </c>
      <c r="G138" s="7">
        <v>4860</v>
      </c>
      <c r="H138" s="7">
        <v>1874939</v>
      </c>
      <c r="I138" s="7">
        <v>91397</v>
      </c>
      <c r="J138" s="7">
        <v>59971</v>
      </c>
      <c r="K138" s="31">
        <v>48.9</v>
      </c>
      <c r="L138" s="31">
        <v>36.5</v>
      </c>
      <c r="M138" s="3"/>
      <c r="N138" s="7">
        <v>218091</v>
      </c>
      <c r="O138" s="7">
        <v>121604</v>
      </c>
      <c r="P138" s="7">
        <v>147857</v>
      </c>
      <c r="Q138" s="7">
        <v>136548</v>
      </c>
      <c r="R138" s="7">
        <v>180794</v>
      </c>
      <c r="S138" s="7">
        <v>166445</v>
      </c>
      <c r="T138" s="7">
        <v>124077</v>
      </c>
      <c r="U138" s="7">
        <v>158534</v>
      </c>
      <c r="V138" s="7">
        <v>147681</v>
      </c>
      <c r="W138" s="7">
        <v>172393</v>
      </c>
      <c r="X138" s="7">
        <v>186624</v>
      </c>
      <c r="Y138" s="7">
        <v>168138</v>
      </c>
      <c r="Z138" s="7"/>
      <c r="AA138" s="7"/>
      <c r="AC138" s="40"/>
      <c r="AD138" s="9">
        <f>SUM(N138:AB138)</f>
        <v>1928786</v>
      </c>
      <c r="AE138" s="9">
        <f>SUM(N139:AB139)</f>
        <v>94449</v>
      </c>
      <c r="AF138" s="9">
        <f>SUM(N140:AB140)</f>
        <v>70488</v>
      </c>
      <c r="AG138" s="9">
        <f>E138</f>
        <v>96139</v>
      </c>
      <c r="AH138" s="9">
        <f>F138</f>
        <v>5405</v>
      </c>
      <c r="AI138" s="9">
        <f>G138</f>
        <v>4860</v>
      </c>
      <c r="AJ138" s="9">
        <f>H138</f>
        <v>1874939</v>
      </c>
      <c r="AK138" s="9">
        <f>I138</f>
        <v>91397</v>
      </c>
      <c r="AL138" s="9">
        <f>J138</f>
        <v>59971</v>
      </c>
      <c r="AM138" s="40"/>
      <c r="AN138" s="9">
        <f>AD138-B138</f>
        <v>0</v>
      </c>
      <c r="AO138" s="9">
        <f>AE138-C138</f>
        <v>0</v>
      </c>
      <c r="AP138" s="9">
        <f>AF138-D138</f>
        <v>-4</v>
      </c>
      <c r="AQ138" s="43"/>
      <c r="AR138" s="48">
        <f>C138/B138*1000</f>
        <v>48.968107400198882</v>
      </c>
      <c r="AS138" s="48">
        <f>D138/B138*1000</f>
        <v>36.547341177300126</v>
      </c>
      <c r="AT138" s="49"/>
      <c r="AU138" s="48">
        <f>AR138-K138</f>
        <v>6.8107400198883283E-2</v>
      </c>
      <c r="AV138" s="48">
        <f>AS138-L138</f>
        <v>4.7341177300125992E-2</v>
      </c>
      <c r="AW138" s="43"/>
    </row>
    <row r="139" spans="1:49" s="2" customFormat="1" x14ac:dyDescent="0.55000000000000004">
      <c r="A139" s="1" t="s">
        <v>158</v>
      </c>
      <c r="B139" s="3"/>
      <c r="C139" s="3"/>
      <c r="D139" s="3"/>
      <c r="E139" s="3"/>
      <c r="F139" s="3"/>
      <c r="G139" s="3"/>
      <c r="H139" s="3"/>
      <c r="I139" s="3"/>
      <c r="J139" s="3"/>
      <c r="K139" s="28"/>
      <c r="L139" s="28"/>
      <c r="M139" s="3"/>
      <c r="N139" s="3">
        <v>9848</v>
      </c>
      <c r="O139" s="3">
        <v>5679</v>
      </c>
      <c r="P139" s="3">
        <v>7884</v>
      </c>
      <c r="Q139" s="3">
        <v>5869</v>
      </c>
      <c r="R139" s="3">
        <v>8182</v>
      </c>
      <c r="S139" s="3">
        <v>8439</v>
      </c>
      <c r="T139" s="3">
        <v>5910</v>
      </c>
      <c r="U139" s="3">
        <v>8788</v>
      </c>
      <c r="V139" s="3">
        <v>7861</v>
      </c>
      <c r="W139" s="3">
        <v>8733</v>
      </c>
      <c r="X139" s="3">
        <v>9530</v>
      </c>
      <c r="Y139" s="3">
        <v>7726</v>
      </c>
      <c r="Z139" s="3"/>
      <c r="AA139" s="3"/>
      <c r="AC139" s="40"/>
      <c r="AM139" s="40"/>
      <c r="AQ139" s="40"/>
      <c r="AT139" s="40"/>
      <c r="AW139" s="40"/>
    </row>
    <row r="140" spans="1:49" s="2" customFormat="1" x14ac:dyDescent="0.55000000000000004">
      <c r="A140" s="1" t="s">
        <v>159</v>
      </c>
      <c r="B140" s="3"/>
      <c r="C140" s="3"/>
      <c r="D140" s="3"/>
      <c r="E140" s="3"/>
      <c r="F140" s="3"/>
      <c r="G140" s="3"/>
      <c r="H140" s="3"/>
      <c r="I140" s="3"/>
      <c r="J140" s="3"/>
      <c r="K140" s="28"/>
      <c r="L140" s="28"/>
      <c r="M140" s="3"/>
      <c r="N140" s="3">
        <v>7462</v>
      </c>
      <c r="O140" s="3">
        <v>4312</v>
      </c>
      <c r="P140" s="3">
        <v>7003</v>
      </c>
      <c r="Q140" s="3">
        <v>4180</v>
      </c>
      <c r="R140" s="3">
        <v>6673</v>
      </c>
      <c r="S140" s="3">
        <v>5386</v>
      </c>
      <c r="T140" s="3">
        <v>4114</v>
      </c>
      <c r="U140" s="3">
        <v>6967</v>
      </c>
      <c r="V140" s="3">
        <v>5816</v>
      </c>
      <c r="W140" s="3">
        <v>6065</v>
      </c>
      <c r="X140" s="3">
        <v>6597</v>
      </c>
      <c r="Y140" s="3">
        <v>5913</v>
      </c>
      <c r="Z140" s="3"/>
      <c r="AA140" s="3"/>
      <c r="AC140" s="40"/>
      <c r="AM140" s="40"/>
      <c r="AQ140" s="40"/>
      <c r="AT140" s="40"/>
      <c r="AW140" s="40"/>
    </row>
    <row r="141" spans="1:49" s="8" customFormat="1" x14ac:dyDescent="0.55000000000000004">
      <c r="A141" s="6" t="s">
        <v>160</v>
      </c>
      <c r="B141" s="7">
        <v>2657611</v>
      </c>
      <c r="C141" s="7">
        <v>149972</v>
      </c>
      <c r="D141" s="7">
        <v>106766</v>
      </c>
      <c r="E141" s="7">
        <v>163596</v>
      </c>
      <c r="F141" s="7">
        <v>7035</v>
      </c>
      <c r="G141" s="7">
        <v>6560</v>
      </c>
      <c r="H141" s="7">
        <v>2567671</v>
      </c>
      <c r="I141" s="7">
        <v>150960</v>
      </c>
      <c r="J141" s="7">
        <v>101186</v>
      </c>
      <c r="K141" s="31">
        <v>56.4</v>
      </c>
      <c r="L141" s="31">
        <v>40.200000000000003</v>
      </c>
      <c r="M141" s="3"/>
      <c r="N141" s="7">
        <v>335144</v>
      </c>
      <c r="O141" s="7">
        <v>279943</v>
      </c>
      <c r="P141" s="7">
        <v>372524</v>
      </c>
      <c r="Q141" s="7">
        <v>452599</v>
      </c>
      <c r="R141" s="7">
        <v>493630</v>
      </c>
      <c r="S141" s="7">
        <v>395148</v>
      </c>
      <c r="T141" s="7">
        <v>281417</v>
      </c>
      <c r="U141" s="7"/>
      <c r="V141" s="7"/>
      <c r="W141" s="7"/>
      <c r="X141" s="7"/>
      <c r="Y141" s="7"/>
      <c r="Z141" s="7"/>
      <c r="AA141" s="7"/>
      <c r="AC141" s="40"/>
      <c r="AD141" s="9">
        <f>SUM(N141:AB141)</f>
        <v>2610405</v>
      </c>
      <c r="AE141" s="9">
        <f>SUM(N142:AB142)</f>
        <v>149962</v>
      </c>
      <c r="AF141" s="9">
        <f>SUM(N143:AB143)</f>
        <v>106766</v>
      </c>
      <c r="AG141" s="9">
        <f>E141</f>
        <v>163596</v>
      </c>
      <c r="AH141" s="9">
        <f>F141</f>
        <v>7035</v>
      </c>
      <c r="AI141" s="9">
        <f>G141</f>
        <v>6560</v>
      </c>
      <c r="AJ141" s="9">
        <f>H141</f>
        <v>2567671</v>
      </c>
      <c r="AK141" s="9">
        <f>I141</f>
        <v>150960</v>
      </c>
      <c r="AL141" s="9">
        <f>J141</f>
        <v>101186</v>
      </c>
      <c r="AM141" s="40"/>
      <c r="AN141" s="9">
        <f>AD141-B141</f>
        <v>-47206</v>
      </c>
      <c r="AO141" s="9">
        <f>AE141-C141</f>
        <v>-10</v>
      </c>
      <c r="AP141" s="9">
        <f>AF141-D141</f>
        <v>0</v>
      </c>
      <c r="AQ141" s="43"/>
      <c r="AR141" s="48">
        <f>C141/B141*1000</f>
        <v>56.431133074027763</v>
      </c>
      <c r="AS141" s="48">
        <f>D141/B141*1000</f>
        <v>40.173674777836183</v>
      </c>
      <c r="AT141" s="49"/>
      <c r="AU141" s="48">
        <f>AR141-K141</f>
        <v>3.1133074027763996E-2</v>
      </c>
      <c r="AV141" s="48">
        <f>AS141-L141</f>
        <v>-2.6325222163819717E-2</v>
      </c>
      <c r="AW141" s="43"/>
    </row>
    <row r="142" spans="1:49" s="2" customFormat="1" x14ac:dyDescent="0.55000000000000004">
      <c r="A142" s="1" t="s">
        <v>161</v>
      </c>
      <c r="B142" s="3"/>
      <c r="C142" s="3"/>
      <c r="D142" s="3"/>
      <c r="E142" s="3"/>
      <c r="F142" s="3"/>
      <c r="G142" s="3"/>
      <c r="H142" s="3"/>
      <c r="I142" s="3"/>
      <c r="J142" s="3"/>
      <c r="K142" s="28"/>
      <c r="L142" s="28"/>
      <c r="M142" s="3"/>
      <c r="N142" s="3">
        <v>18396</v>
      </c>
      <c r="O142" s="3">
        <v>14837</v>
      </c>
      <c r="P142" s="3">
        <v>22791</v>
      </c>
      <c r="Q142" s="3">
        <v>28150</v>
      </c>
      <c r="R142" s="3">
        <v>27462</v>
      </c>
      <c r="S142" s="3">
        <v>22375</v>
      </c>
      <c r="T142" s="3">
        <v>15951</v>
      </c>
      <c r="U142" s="3"/>
      <c r="V142" s="3"/>
      <c r="W142" s="3"/>
      <c r="X142" s="3"/>
      <c r="Y142" s="3"/>
      <c r="Z142" s="3"/>
      <c r="AA142" s="3"/>
      <c r="AC142" s="40"/>
      <c r="AM142" s="40"/>
      <c r="AQ142" s="40"/>
      <c r="AT142" s="40"/>
      <c r="AW142" s="40"/>
    </row>
    <row r="143" spans="1:49" s="2" customFormat="1" x14ac:dyDescent="0.55000000000000004">
      <c r="A143" s="1" t="s">
        <v>162</v>
      </c>
      <c r="B143" s="3"/>
      <c r="C143" s="3"/>
      <c r="D143" s="3"/>
      <c r="E143" s="3"/>
      <c r="F143" s="3"/>
      <c r="G143" s="3"/>
      <c r="H143" s="3"/>
      <c r="I143" s="3"/>
      <c r="J143" s="3"/>
      <c r="K143" s="28"/>
      <c r="L143" s="28"/>
      <c r="M143" s="3"/>
      <c r="N143" s="3">
        <v>13802</v>
      </c>
      <c r="O143" s="3">
        <v>10456</v>
      </c>
      <c r="P143" s="3">
        <v>15679</v>
      </c>
      <c r="Q143" s="3">
        <v>22469</v>
      </c>
      <c r="R143" s="3">
        <v>18912</v>
      </c>
      <c r="S143" s="3">
        <v>13358</v>
      </c>
      <c r="T143" s="3">
        <v>12090</v>
      </c>
      <c r="U143" s="3"/>
      <c r="V143" s="3"/>
      <c r="W143" s="3"/>
      <c r="X143" s="3"/>
      <c r="Y143" s="3"/>
      <c r="Z143" s="3"/>
      <c r="AA143" s="3"/>
      <c r="AC143" s="40"/>
      <c r="AM143" s="40"/>
      <c r="AQ143" s="40"/>
      <c r="AT143" s="40"/>
      <c r="AW143" s="40"/>
    </row>
    <row r="144" spans="1:49" s="8" customFormat="1" x14ac:dyDescent="0.55000000000000004">
      <c r="A144" s="6" t="s">
        <v>163</v>
      </c>
      <c r="B144" s="7">
        <v>822397</v>
      </c>
      <c r="C144" s="7">
        <v>33362</v>
      </c>
      <c r="D144" s="7">
        <v>30393</v>
      </c>
      <c r="E144" s="10" t="s">
        <v>25</v>
      </c>
      <c r="F144" s="10" t="s">
        <v>25</v>
      </c>
      <c r="G144" s="10" t="s">
        <v>25</v>
      </c>
      <c r="H144" s="7">
        <v>777207</v>
      </c>
      <c r="I144" s="7">
        <v>32979</v>
      </c>
      <c r="J144" s="7">
        <v>27737</v>
      </c>
      <c r="K144" s="30">
        <v>40.6</v>
      </c>
      <c r="L144" s="30">
        <v>36.9</v>
      </c>
      <c r="M144" s="3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C144" s="40"/>
      <c r="AD144" s="9">
        <f>B144</f>
        <v>822397</v>
      </c>
      <c r="AE144" s="9">
        <f t="shared" ref="AE144:AL144" si="2">C144</f>
        <v>33362</v>
      </c>
      <c r="AF144" s="9">
        <f t="shared" si="2"/>
        <v>30393</v>
      </c>
      <c r="AG144" s="10" t="str">
        <f t="shared" si="2"/>
        <v>—</v>
      </c>
      <c r="AH144" s="10" t="str">
        <f t="shared" si="2"/>
        <v>—</v>
      </c>
      <c r="AI144" s="10" t="str">
        <f t="shared" si="2"/>
        <v>—</v>
      </c>
      <c r="AJ144" s="9">
        <f t="shared" si="2"/>
        <v>777207</v>
      </c>
      <c r="AK144" s="9">
        <f t="shared" si="2"/>
        <v>32979</v>
      </c>
      <c r="AL144" s="9">
        <f t="shared" si="2"/>
        <v>27737</v>
      </c>
      <c r="AM144" s="40"/>
      <c r="AQ144" s="40"/>
      <c r="AR144" s="48">
        <f>C144/B144*1000</f>
        <v>40.566782223184184</v>
      </c>
      <c r="AS144" s="48">
        <f>D144/B144*1000</f>
        <v>36.956603684108764</v>
      </c>
      <c r="AT144" s="49"/>
      <c r="AU144" s="48">
        <f>AR144-K144</f>
        <v>-3.3217776815817501E-2</v>
      </c>
      <c r="AV144" s="48">
        <f>AS144-L144</f>
        <v>5.6603684108765151E-2</v>
      </c>
      <c r="AW144" s="40"/>
    </row>
    <row r="145" spans="1:49" s="8" customFormat="1" x14ac:dyDescent="0.55000000000000004">
      <c r="A145" s="6" t="s">
        <v>164</v>
      </c>
      <c r="B145" s="7">
        <v>1035439</v>
      </c>
      <c r="C145" s="7">
        <v>30970</v>
      </c>
      <c r="D145" s="7">
        <v>26499</v>
      </c>
      <c r="E145" s="10" t="s">
        <v>25</v>
      </c>
      <c r="F145" s="10" t="s">
        <v>25</v>
      </c>
      <c r="G145" s="10" t="s">
        <v>25</v>
      </c>
      <c r="H145" s="7">
        <v>930863</v>
      </c>
      <c r="I145" s="7">
        <v>28025</v>
      </c>
      <c r="J145" s="7">
        <v>25811</v>
      </c>
      <c r="K145" s="30">
        <v>29.9</v>
      </c>
      <c r="L145" s="30">
        <v>25.6</v>
      </c>
      <c r="M145" s="3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C145" s="40"/>
      <c r="AD145" s="9">
        <f>B145</f>
        <v>1035439</v>
      </c>
      <c r="AE145" s="9">
        <f t="shared" ref="AE145" si="3">C145</f>
        <v>30970</v>
      </c>
      <c r="AF145" s="9">
        <f t="shared" ref="AF145" si="4">D145</f>
        <v>26499</v>
      </c>
      <c r="AG145" s="10" t="str">
        <f t="shared" ref="AG145" si="5">E145</f>
        <v>—</v>
      </c>
      <c r="AH145" s="10" t="str">
        <f t="shared" ref="AH145" si="6">F145</f>
        <v>—</v>
      </c>
      <c r="AI145" s="10" t="str">
        <f t="shared" ref="AI145" si="7">G145</f>
        <v>—</v>
      </c>
      <c r="AJ145" s="9">
        <f t="shared" ref="AJ145" si="8">H145</f>
        <v>930863</v>
      </c>
      <c r="AK145" s="9">
        <f t="shared" ref="AK145" si="9">I145</f>
        <v>28025</v>
      </c>
      <c r="AL145" s="9">
        <f t="shared" ref="AL145" si="10">J145</f>
        <v>25811</v>
      </c>
      <c r="AM145" s="40"/>
      <c r="AQ145" s="40"/>
      <c r="AR145" s="48">
        <f>C145/B145*1000</f>
        <v>29.910018842249521</v>
      </c>
      <c r="AS145" s="48">
        <f>D145/B145*1000</f>
        <v>25.592043567993866</v>
      </c>
      <c r="AT145" s="49"/>
      <c r="AU145" s="48">
        <f>AR145-K145</f>
        <v>1.0018842249522208E-2</v>
      </c>
      <c r="AV145" s="48">
        <f>AS145-L145</f>
        <v>-7.9564320061358274E-3</v>
      </c>
      <c r="AW145" s="40"/>
    </row>
    <row r="146" spans="1:49" s="8" customFormat="1" x14ac:dyDescent="0.55000000000000004">
      <c r="A146" s="6" t="s">
        <v>165</v>
      </c>
      <c r="B146" s="7">
        <v>834318</v>
      </c>
      <c r="C146" s="7">
        <v>30505</v>
      </c>
      <c r="D146" s="7">
        <v>25031</v>
      </c>
      <c r="E146" s="10" t="s">
        <v>25</v>
      </c>
      <c r="F146" s="10" t="s">
        <v>25</v>
      </c>
      <c r="G146" s="10" t="s">
        <v>25</v>
      </c>
      <c r="H146" s="7">
        <v>824107</v>
      </c>
      <c r="I146" s="7">
        <v>30873</v>
      </c>
      <c r="J146" s="7">
        <v>25723</v>
      </c>
      <c r="K146" s="30">
        <v>44.8</v>
      </c>
      <c r="L146" s="30">
        <v>36.799999999999997</v>
      </c>
      <c r="M146" s="3"/>
      <c r="N146" s="7">
        <v>130732</v>
      </c>
      <c r="O146" s="7">
        <v>134072</v>
      </c>
      <c r="P146" s="7">
        <v>112656</v>
      </c>
      <c r="Q146" s="7">
        <v>87673</v>
      </c>
      <c r="R146" s="7">
        <v>59243</v>
      </c>
      <c r="S146" s="7">
        <v>83964</v>
      </c>
      <c r="T146" s="7">
        <v>47191</v>
      </c>
      <c r="U146" s="7">
        <v>23645</v>
      </c>
      <c r="V146" s="7"/>
      <c r="W146" s="7"/>
      <c r="X146" s="7"/>
      <c r="Y146" s="7"/>
      <c r="Z146" s="7"/>
      <c r="AA146" s="7"/>
      <c r="AC146" s="40"/>
      <c r="AD146" s="9">
        <f>SUM(N146:AB146)</f>
        <v>679176</v>
      </c>
      <c r="AE146" s="9">
        <f>SUM(N147:AB147)</f>
        <v>30505</v>
      </c>
      <c r="AF146" s="9">
        <f>SUM(N148:AB148)</f>
        <v>25031</v>
      </c>
      <c r="AG146" s="10" t="str">
        <f>E146</f>
        <v>—</v>
      </c>
      <c r="AH146" s="10" t="str">
        <f>F146</f>
        <v>—</v>
      </c>
      <c r="AI146" s="10" t="str">
        <f>G146</f>
        <v>—</v>
      </c>
      <c r="AJ146" s="9">
        <f>H146</f>
        <v>824107</v>
      </c>
      <c r="AK146" s="9">
        <f>I146</f>
        <v>30873</v>
      </c>
      <c r="AL146" s="9">
        <f>J146</f>
        <v>25723</v>
      </c>
      <c r="AM146" s="40"/>
      <c r="AN146" s="9">
        <f>AD146-B146</f>
        <v>-155142</v>
      </c>
      <c r="AO146" s="9">
        <f>AE146-C146</f>
        <v>0</v>
      </c>
      <c r="AP146" s="9">
        <f>AF146-D146</f>
        <v>0</v>
      </c>
      <c r="AQ146" s="43"/>
      <c r="AR146" s="48">
        <f>C146/B146*1000</f>
        <v>36.562797398593816</v>
      </c>
      <c r="AS146" s="48">
        <f>D146/B146*1000</f>
        <v>30.001749932280017</v>
      </c>
      <c r="AT146" s="49"/>
      <c r="AU146" s="48">
        <f>AR146-K146</f>
        <v>-8.2372026014061817</v>
      </c>
      <c r="AV146" s="48">
        <f>AS146-L146</f>
        <v>-6.7982500677199802</v>
      </c>
      <c r="AW146" s="43"/>
    </row>
    <row r="147" spans="1:49" s="2" customFormat="1" x14ac:dyDescent="0.55000000000000004">
      <c r="A147" s="1" t="s">
        <v>166</v>
      </c>
      <c r="B147" s="3"/>
      <c r="C147" s="3"/>
      <c r="D147" s="3"/>
      <c r="E147" s="3"/>
      <c r="F147" s="3"/>
      <c r="G147" s="3"/>
      <c r="H147" s="3"/>
      <c r="I147" s="3"/>
      <c r="J147" s="3"/>
      <c r="K147" s="28"/>
      <c r="L147" s="28"/>
      <c r="M147" s="3"/>
      <c r="N147" s="3">
        <v>4290</v>
      </c>
      <c r="O147" s="3">
        <v>5648</v>
      </c>
      <c r="P147" s="3">
        <v>5209</v>
      </c>
      <c r="Q147" s="3">
        <v>3637</v>
      </c>
      <c r="R147" s="3">
        <v>2709</v>
      </c>
      <c r="S147" s="3">
        <v>3964</v>
      </c>
      <c r="T147" s="3">
        <v>2013</v>
      </c>
      <c r="U147" s="3">
        <v>3035</v>
      </c>
      <c r="V147" s="3"/>
      <c r="W147" s="3"/>
      <c r="X147" s="3"/>
      <c r="Y147" s="3"/>
      <c r="Z147" s="3"/>
      <c r="AA147" s="3"/>
      <c r="AC147" s="40"/>
      <c r="AM147" s="40"/>
      <c r="AQ147" s="40"/>
      <c r="AT147" s="40"/>
      <c r="AW147" s="40"/>
    </row>
    <row r="148" spans="1:49" s="2" customFormat="1" x14ac:dyDescent="0.55000000000000004">
      <c r="A148" s="1" t="s">
        <v>167</v>
      </c>
      <c r="B148" s="3"/>
      <c r="C148" s="3"/>
      <c r="D148" s="3"/>
      <c r="E148" s="3"/>
      <c r="F148" s="3"/>
      <c r="G148" s="3"/>
      <c r="H148" s="3"/>
      <c r="I148" s="3"/>
      <c r="J148" s="3"/>
      <c r="K148" s="28"/>
      <c r="L148" s="28"/>
      <c r="M148" s="3"/>
      <c r="N148" s="3">
        <v>3405</v>
      </c>
      <c r="O148" s="3">
        <v>4373</v>
      </c>
      <c r="P148" s="3">
        <v>4259</v>
      </c>
      <c r="Q148" s="3">
        <v>2737</v>
      </c>
      <c r="R148" s="3">
        <v>2348</v>
      </c>
      <c r="S148" s="3">
        <v>3343</v>
      </c>
      <c r="T148" s="3">
        <v>1916</v>
      </c>
      <c r="U148" s="3">
        <v>2650</v>
      </c>
      <c r="V148" s="3"/>
      <c r="W148" s="3"/>
      <c r="X148" s="3"/>
      <c r="Y148" s="3"/>
      <c r="Z148" s="3"/>
      <c r="AA148" s="3"/>
      <c r="AC148" s="40"/>
      <c r="AM148" s="40"/>
      <c r="AQ148" s="40"/>
      <c r="AT148" s="40"/>
      <c r="AW148" s="40"/>
    </row>
    <row r="149" spans="1:49" s="8" customFormat="1" x14ac:dyDescent="0.55000000000000004">
      <c r="A149" s="6" t="s">
        <v>168</v>
      </c>
      <c r="B149" s="7">
        <v>2433445</v>
      </c>
      <c r="C149" s="7">
        <v>125198</v>
      </c>
      <c r="D149" s="7">
        <v>95643</v>
      </c>
      <c r="E149" s="7">
        <v>314782</v>
      </c>
      <c r="F149" s="7">
        <v>14008</v>
      </c>
      <c r="G149" s="7">
        <v>12128</v>
      </c>
      <c r="H149" s="7">
        <v>2351123</v>
      </c>
      <c r="I149" s="7">
        <v>124763</v>
      </c>
      <c r="J149" s="7">
        <v>84066</v>
      </c>
      <c r="K149" s="31">
        <v>51.1</v>
      </c>
      <c r="L149" s="31">
        <v>39.299999999999997</v>
      </c>
      <c r="M149" s="3"/>
      <c r="N149" s="7">
        <v>310783</v>
      </c>
      <c r="O149" s="7">
        <v>286878</v>
      </c>
      <c r="P149" s="7">
        <v>292791</v>
      </c>
      <c r="Q149" s="7">
        <v>194683</v>
      </c>
      <c r="R149" s="7">
        <v>340792</v>
      </c>
      <c r="S149" s="7">
        <v>182729</v>
      </c>
      <c r="T149" s="7">
        <v>251362</v>
      </c>
      <c r="U149" s="7">
        <v>222611</v>
      </c>
      <c r="V149" s="7">
        <v>203669</v>
      </c>
      <c r="W149" s="7">
        <v>142147</v>
      </c>
      <c r="X149" s="7"/>
      <c r="Y149" s="7"/>
      <c r="Z149" s="7"/>
      <c r="AA149" s="7"/>
      <c r="AC149" s="40"/>
      <c r="AD149" s="9">
        <f>SUM(N149:AB149)</f>
        <v>2428445</v>
      </c>
      <c r="AE149" s="9">
        <f>SUM(N150:AB150)</f>
        <v>125198</v>
      </c>
      <c r="AF149" s="9">
        <f>SUM(N151:AB151)</f>
        <v>95643</v>
      </c>
      <c r="AG149" s="9">
        <f>E149</f>
        <v>314782</v>
      </c>
      <c r="AH149" s="9">
        <f>F149</f>
        <v>14008</v>
      </c>
      <c r="AI149" s="9">
        <f>G149</f>
        <v>12128</v>
      </c>
      <c r="AJ149" s="9">
        <f>H149</f>
        <v>2351123</v>
      </c>
      <c r="AK149" s="9">
        <f>I149</f>
        <v>124763</v>
      </c>
      <c r="AL149" s="9">
        <f>J149</f>
        <v>84066</v>
      </c>
      <c r="AM149" s="40"/>
      <c r="AN149" s="9">
        <f>AD149-B149</f>
        <v>-5000</v>
      </c>
      <c r="AO149" s="9">
        <f>AE149-C149</f>
        <v>0</v>
      </c>
      <c r="AP149" s="9">
        <f>AF149-D149</f>
        <v>0</v>
      </c>
      <c r="AQ149" s="43"/>
      <c r="AR149" s="48">
        <f>C149/B149*1000</f>
        <v>51.448871866838992</v>
      </c>
      <c r="AS149" s="48">
        <f>D149/B149*1000</f>
        <v>39.303538810205282</v>
      </c>
      <c r="AT149" s="49"/>
      <c r="AU149" s="48">
        <f>AR149-K149</f>
        <v>0.34887186683899074</v>
      </c>
      <c r="AV149" s="48">
        <f>AS149-L149</f>
        <v>3.5388102052849035E-3</v>
      </c>
      <c r="AW149" s="43"/>
    </row>
    <row r="150" spans="1:49" s="2" customFormat="1" x14ac:dyDescent="0.55000000000000004">
      <c r="A150" s="1" t="s">
        <v>169</v>
      </c>
      <c r="B150" s="3"/>
      <c r="C150" s="3"/>
      <c r="D150" s="3"/>
      <c r="E150" s="3"/>
      <c r="F150" s="3"/>
      <c r="G150" s="3"/>
      <c r="H150" s="3"/>
      <c r="I150" s="3"/>
      <c r="J150" s="3"/>
      <c r="K150" s="28"/>
      <c r="L150" s="28"/>
      <c r="M150" s="3"/>
      <c r="N150" s="3">
        <v>15232</v>
      </c>
      <c r="O150" s="3">
        <v>16264</v>
      </c>
      <c r="P150" s="3">
        <v>15816</v>
      </c>
      <c r="Q150" s="3">
        <v>9428</v>
      </c>
      <c r="R150" s="3">
        <v>17729</v>
      </c>
      <c r="S150" s="3">
        <v>9566</v>
      </c>
      <c r="T150" s="3">
        <v>11934</v>
      </c>
      <c r="U150" s="3">
        <v>12028</v>
      </c>
      <c r="V150" s="3">
        <v>9534</v>
      </c>
      <c r="W150" s="3">
        <v>7667</v>
      </c>
      <c r="X150" s="3"/>
      <c r="Y150" s="3"/>
      <c r="Z150" s="3"/>
      <c r="AA150" s="3"/>
      <c r="AC150" s="40"/>
      <c r="AM150" s="40"/>
      <c r="AQ150" s="40"/>
      <c r="AT150" s="40"/>
      <c r="AW150" s="40"/>
    </row>
    <row r="151" spans="1:49" s="2" customFormat="1" x14ac:dyDescent="0.55000000000000004">
      <c r="A151" s="1" t="s">
        <v>170</v>
      </c>
      <c r="B151" s="3"/>
      <c r="C151" s="3"/>
      <c r="D151" s="3"/>
      <c r="E151" s="3"/>
      <c r="F151" s="3"/>
      <c r="G151" s="3"/>
      <c r="H151" s="3"/>
      <c r="I151" s="3"/>
      <c r="J151" s="3"/>
      <c r="K151" s="28"/>
      <c r="L151" s="28"/>
      <c r="M151" s="3"/>
      <c r="N151" s="3">
        <v>12268</v>
      </c>
      <c r="O151" s="3">
        <v>14289</v>
      </c>
      <c r="P151" s="3">
        <v>11982</v>
      </c>
      <c r="Q151" s="3">
        <v>5673</v>
      </c>
      <c r="R151" s="3">
        <v>12681</v>
      </c>
      <c r="S151" s="3">
        <v>6855</v>
      </c>
      <c r="T151" s="3">
        <v>9601</v>
      </c>
      <c r="U151" s="3">
        <v>10494</v>
      </c>
      <c r="V151" s="3">
        <v>6404</v>
      </c>
      <c r="W151" s="3">
        <v>5396</v>
      </c>
      <c r="X151" s="3"/>
      <c r="Y151" s="3"/>
      <c r="Z151" s="3"/>
      <c r="AA151" s="3"/>
      <c r="AC151" s="40"/>
      <c r="AM151" s="40"/>
      <c r="AQ151" s="40"/>
      <c r="AT151" s="40"/>
      <c r="AW151" s="40"/>
    </row>
    <row r="152" spans="1:49" s="8" customFormat="1" x14ac:dyDescent="0.55000000000000004">
      <c r="A152" s="6" t="s">
        <v>171</v>
      </c>
      <c r="B152" s="7">
        <v>1638211</v>
      </c>
      <c r="C152" s="7">
        <v>76638</v>
      </c>
      <c r="D152" s="7">
        <v>64533</v>
      </c>
      <c r="E152" s="10" t="s">
        <v>25</v>
      </c>
      <c r="F152" s="10" t="s">
        <v>25</v>
      </c>
      <c r="G152" s="10" t="s">
        <v>25</v>
      </c>
      <c r="H152" s="7">
        <v>1603763</v>
      </c>
      <c r="I152" s="7">
        <v>79881</v>
      </c>
      <c r="J152" s="7">
        <v>53513</v>
      </c>
      <c r="K152" s="31">
        <v>46.7</v>
      </c>
      <c r="L152" s="31">
        <v>39.4</v>
      </c>
      <c r="M152" s="3"/>
      <c r="N152" s="7">
        <v>221522</v>
      </c>
      <c r="O152" s="7">
        <v>164211</v>
      </c>
      <c r="P152" s="7">
        <v>199650</v>
      </c>
      <c r="Q152" s="7">
        <v>183651</v>
      </c>
      <c r="R152" s="7">
        <v>223613</v>
      </c>
      <c r="S152" s="7">
        <v>154610</v>
      </c>
      <c r="T152" s="7">
        <v>153556</v>
      </c>
      <c r="U152" s="7">
        <v>225795</v>
      </c>
      <c r="V152" s="7"/>
      <c r="W152" s="7"/>
      <c r="X152" s="7"/>
      <c r="Y152" s="7"/>
      <c r="Z152" s="7"/>
      <c r="AA152" s="7"/>
      <c r="AC152" s="40"/>
      <c r="AD152" s="9">
        <f>SUM(N152:AB152)</f>
        <v>1526608</v>
      </c>
      <c r="AE152" s="9">
        <f>SUM(N153:AB153)</f>
        <v>76638</v>
      </c>
      <c r="AF152" s="9">
        <f>SUM(N154:AB154)</f>
        <v>64533</v>
      </c>
      <c r="AG152" s="10" t="str">
        <f>E152</f>
        <v>—</v>
      </c>
      <c r="AH152" s="10" t="str">
        <f>F152</f>
        <v>—</v>
      </c>
      <c r="AI152" s="10" t="str">
        <f>G152</f>
        <v>—</v>
      </c>
      <c r="AJ152" s="9">
        <f>H152</f>
        <v>1603763</v>
      </c>
      <c r="AK152" s="9">
        <f>I152</f>
        <v>79881</v>
      </c>
      <c r="AL152" s="9">
        <f>J152</f>
        <v>53513</v>
      </c>
      <c r="AM152" s="40"/>
      <c r="AN152" s="9">
        <f>AD152-B152</f>
        <v>-111603</v>
      </c>
      <c r="AO152" s="9">
        <f>AE152-C152</f>
        <v>0</v>
      </c>
      <c r="AP152" s="9">
        <f>AF152-D152</f>
        <v>0</v>
      </c>
      <c r="AQ152" s="43"/>
      <c r="AR152" s="48">
        <f>C152/B152*1000</f>
        <v>46.781519596681989</v>
      </c>
      <c r="AS152" s="48">
        <f>D152/B152*1000</f>
        <v>39.392361545612872</v>
      </c>
      <c r="AT152" s="49"/>
      <c r="AU152" s="48">
        <f>AR152-K152</f>
        <v>8.1519596681985718E-2</v>
      </c>
      <c r="AV152" s="48">
        <f>AS152-L152</f>
        <v>-7.6384543871270694E-3</v>
      </c>
      <c r="AW152" s="43"/>
    </row>
    <row r="153" spans="1:49" s="2" customFormat="1" x14ac:dyDescent="0.55000000000000004">
      <c r="A153" s="1" t="s">
        <v>172</v>
      </c>
      <c r="B153" s="3"/>
      <c r="C153" s="3"/>
      <c r="D153" s="3"/>
      <c r="E153" s="3"/>
      <c r="F153" s="3"/>
      <c r="G153" s="3"/>
      <c r="H153" s="3"/>
      <c r="I153" s="3"/>
      <c r="J153" s="3"/>
      <c r="K153" s="28"/>
      <c r="L153" s="28"/>
      <c r="M153" s="3"/>
      <c r="N153" s="3">
        <v>11146</v>
      </c>
      <c r="O153" s="3">
        <v>7754</v>
      </c>
      <c r="P153" s="3">
        <v>9593</v>
      </c>
      <c r="Q153" s="3">
        <v>8399</v>
      </c>
      <c r="R153" s="3">
        <v>11469</v>
      </c>
      <c r="S153" s="3">
        <v>7879</v>
      </c>
      <c r="T153" s="3">
        <v>7778</v>
      </c>
      <c r="U153" s="3">
        <v>12620</v>
      </c>
      <c r="V153" s="3"/>
      <c r="W153" s="3"/>
      <c r="X153" s="3"/>
      <c r="Y153" s="3"/>
      <c r="Z153" s="3"/>
      <c r="AA153" s="3"/>
      <c r="AC153" s="40"/>
      <c r="AM153" s="40"/>
      <c r="AQ153" s="40"/>
      <c r="AT153" s="40"/>
      <c r="AW153" s="40"/>
    </row>
    <row r="154" spans="1:49" s="2" customFormat="1" x14ac:dyDescent="0.55000000000000004">
      <c r="A154" s="1" t="s">
        <v>173</v>
      </c>
      <c r="B154" s="3"/>
      <c r="C154" s="3"/>
      <c r="D154" s="3"/>
      <c r="E154" s="3"/>
      <c r="F154" s="3"/>
      <c r="G154" s="3"/>
      <c r="H154" s="3"/>
      <c r="I154" s="3"/>
      <c r="J154" s="3"/>
      <c r="K154" s="28"/>
      <c r="L154" s="28"/>
      <c r="M154" s="3"/>
      <c r="N154" s="3">
        <v>9829</v>
      </c>
      <c r="O154" s="3">
        <v>6592</v>
      </c>
      <c r="P154" s="3">
        <v>8913</v>
      </c>
      <c r="Q154" s="3">
        <v>6525</v>
      </c>
      <c r="R154" s="3">
        <v>9515</v>
      </c>
      <c r="S154" s="3">
        <v>6589</v>
      </c>
      <c r="T154" s="3">
        <v>6714</v>
      </c>
      <c r="U154" s="3">
        <v>9856</v>
      </c>
      <c r="V154" s="3"/>
      <c r="W154" s="3"/>
      <c r="X154" s="3"/>
      <c r="Y154" s="3"/>
      <c r="Z154" s="3"/>
      <c r="AA154" s="3"/>
      <c r="AC154" s="40"/>
      <c r="AM154" s="40"/>
      <c r="AQ154" s="40"/>
      <c r="AT154" s="40"/>
      <c r="AW154" s="40"/>
    </row>
    <row r="155" spans="1:49" s="8" customFormat="1" x14ac:dyDescent="0.55000000000000004">
      <c r="A155" s="6" t="s">
        <v>174</v>
      </c>
      <c r="B155" s="7">
        <v>1432371</v>
      </c>
      <c r="C155" s="7">
        <v>77397</v>
      </c>
      <c r="D155" s="7">
        <v>57188</v>
      </c>
      <c r="E155" s="7">
        <v>119553</v>
      </c>
      <c r="F155" s="7">
        <v>3180</v>
      </c>
      <c r="G155" s="7">
        <v>2837</v>
      </c>
      <c r="H155" s="7">
        <v>1365943</v>
      </c>
      <c r="I155" s="7">
        <v>73982</v>
      </c>
      <c r="J155" s="7">
        <v>52395</v>
      </c>
      <c r="K155" s="30">
        <v>54</v>
      </c>
      <c r="L155" s="30">
        <v>39.9</v>
      </c>
      <c r="M155" s="3"/>
      <c r="N155" s="7">
        <v>144643</v>
      </c>
      <c r="O155" s="7">
        <v>122114</v>
      </c>
      <c r="P155" s="7">
        <v>100787</v>
      </c>
      <c r="Q155" s="7">
        <v>138523</v>
      </c>
      <c r="R155" s="7">
        <v>101217</v>
      </c>
      <c r="S155" s="7">
        <v>100298</v>
      </c>
      <c r="T155" s="7">
        <v>122024</v>
      </c>
      <c r="U155" s="7">
        <v>95896</v>
      </c>
      <c r="V155" s="7">
        <v>111095</v>
      </c>
      <c r="W155" s="7">
        <v>166718</v>
      </c>
      <c r="X155" s="7">
        <v>113171</v>
      </c>
      <c r="Y155" s="7">
        <v>115885</v>
      </c>
      <c r="Z155" s="7"/>
      <c r="AA155" s="7"/>
      <c r="AC155" s="40"/>
      <c r="AD155" s="9">
        <f>SUM(N155:AB155)</f>
        <v>1432371</v>
      </c>
      <c r="AE155" s="9">
        <f>SUM(N156:AB156)</f>
        <v>77397</v>
      </c>
      <c r="AF155" s="9">
        <f>SUM(N157:AB157)</f>
        <v>57188</v>
      </c>
      <c r="AG155" s="9">
        <f>E155</f>
        <v>119553</v>
      </c>
      <c r="AH155" s="9">
        <f>F155</f>
        <v>3180</v>
      </c>
      <c r="AI155" s="9">
        <f>G155</f>
        <v>2837</v>
      </c>
      <c r="AJ155" s="9">
        <f>H155</f>
        <v>1365943</v>
      </c>
      <c r="AK155" s="9">
        <f>I155</f>
        <v>73982</v>
      </c>
      <c r="AL155" s="9">
        <f>J155</f>
        <v>52395</v>
      </c>
      <c r="AM155" s="40"/>
      <c r="AN155" s="9">
        <f>AD155-B155</f>
        <v>0</v>
      </c>
      <c r="AO155" s="9">
        <f>AE155-C155</f>
        <v>0</v>
      </c>
      <c r="AP155" s="9">
        <f>AF155-D155</f>
        <v>0</v>
      </c>
      <c r="AQ155" s="43"/>
      <c r="AR155" s="48">
        <f>C155/B155*1000</f>
        <v>54.034185277417649</v>
      </c>
      <c r="AS155" s="48">
        <f>D155/B155*1000</f>
        <v>39.925410385996365</v>
      </c>
      <c r="AT155" s="49"/>
      <c r="AU155" s="48">
        <f>AR155-K155</f>
        <v>3.4185277417648763E-2</v>
      </c>
      <c r="AV155" s="48">
        <f>AS155-L155</f>
        <v>2.5410385996366358E-2</v>
      </c>
      <c r="AW155" s="43"/>
    </row>
    <row r="156" spans="1:49" s="2" customFormat="1" x14ac:dyDescent="0.55000000000000004">
      <c r="A156" s="1" t="s">
        <v>175</v>
      </c>
      <c r="B156" s="3"/>
      <c r="C156" s="3"/>
      <c r="D156" s="3"/>
      <c r="E156" s="3"/>
      <c r="F156" s="3"/>
      <c r="G156" s="3"/>
      <c r="H156" s="3"/>
      <c r="I156" s="3"/>
      <c r="J156" s="3"/>
      <c r="K156" s="28"/>
      <c r="L156" s="28"/>
      <c r="M156" s="3"/>
      <c r="N156" s="3">
        <v>6318</v>
      </c>
      <c r="O156" s="3">
        <v>8568</v>
      </c>
      <c r="P156" s="3">
        <v>4975</v>
      </c>
      <c r="Q156" s="3">
        <v>5268</v>
      </c>
      <c r="R156" s="3">
        <v>5654</v>
      </c>
      <c r="S156" s="3">
        <v>7109</v>
      </c>
      <c r="T156" s="3">
        <v>7261</v>
      </c>
      <c r="U156" s="3">
        <v>5137</v>
      </c>
      <c r="V156" s="3">
        <v>6515</v>
      </c>
      <c r="W156" s="3">
        <v>9294</v>
      </c>
      <c r="X156" s="3">
        <v>4731</v>
      </c>
      <c r="Y156" s="3">
        <v>6567</v>
      </c>
      <c r="Z156" s="3"/>
      <c r="AA156" s="3"/>
      <c r="AC156" s="40"/>
      <c r="AM156" s="40"/>
      <c r="AQ156" s="40"/>
      <c r="AT156" s="40"/>
      <c r="AW156" s="40"/>
    </row>
    <row r="157" spans="1:49" s="2" customFormat="1" x14ac:dyDescent="0.55000000000000004">
      <c r="A157" s="1" t="s">
        <v>176</v>
      </c>
      <c r="B157" s="3"/>
      <c r="C157" s="3"/>
      <c r="D157" s="3"/>
      <c r="E157" s="3"/>
      <c r="F157" s="3"/>
      <c r="G157" s="3"/>
      <c r="H157" s="3"/>
      <c r="I157" s="3"/>
      <c r="J157" s="3"/>
      <c r="K157" s="28"/>
      <c r="L157" s="28"/>
      <c r="M157" s="3"/>
      <c r="N157" s="3">
        <v>4516</v>
      </c>
      <c r="O157" s="3">
        <v>6908</v>
      </c>
      <c r="P157" s="3">
        <v>3986</v>
      </c>
      <c r="Q157" s="3">
        <v>4892</v>
      </c>
      <c r="R157" s="3">
        <v>4420</v>
      </c>
      <c r="S157" s="3">
        <v>4749</v>
      </c>
      <c r="T157" s="3">
        <v>5191</v>
      </c>
      <c r="U157" s="3">
        <v>3274</v>
      </c>
      <c r="V157" s="3">
        <v>4557</v>
      </c>
      <c r="W157" s="3">
        <v>6175</v>
      </c>
      <c r="X157" s="3">
        <v>4058</v>
      </c>
      <c r="Y157" s="3">
        <v>4462</v>
      </c>
      <c r="Z157" s="3"/>
      <c r="AA157" s="3"/>
      <c r="AC157" s="40"/>
      <c r="AM157" s="40"/>
      <c r="AQ157" s="40"/>
      <c r="AT157" s="40"/>
      <c r="AW157" s="40"/>
    </row>
    <row r="158" spans="1:49" s="8" customFormat="1" x14ac:dyDescent="0.55000000000000004">
      <c r="A158" s="6" t="s">
        <v>177</v>
      </c>
      <c r="B158" s="7">
        <v>1141751</v>
      </c>
      <c r="C158" s="7">
        <v>59522</v>
      </c>
      <c r="D158" s="7">
        <v>34918</v>
      </c>
      <c r="E158" s="7">
        <v>199523</v>
      </c>
      <c r="F158" s="7">
        <v>9011</v>
      </c>
      <c r="G158" s="7">
        <v>6002</v>
      </c>
      <c r="H158" s="7">
        <v>1093620</v>
      </c>
      <c r="I158" s="7">
        <v>54952</v>
      </c>
      <c r="J158" s="7">
        <v>33882</v>
      </c>
      <c r="K158" s="31">
        <v>52.1</v>
      </c>
      <c r="L158" s="31">
        <v>30.6</v>
      </c>
      <c r="M158" s="3"/>
      <c r="N158" s="7">
        <v>117038</v>
      </c>
      <c r="O158" s="7">
        <v>286181</v>
      </c>
      <c r="P158" s="7">
        <v>183985</v>
      </c>
      <c r="Q158" s="7">
        <v>47052</v>
      </c>
      <c r="R158" s="7">
        <v>319835</v>
      </c>
      <c r="S158" s="7">
        <v>31174</v>
      </c>
      <c r="T158" s="7">
        <v>81833</v>
      </c>
      <c r="U158" s="7">
        <v>47514</v>
      </c>
      <c r="V158" s="7"/>
      <c r="W158" s="7"/>
      <c r="X158" s="7"/>
      <c r="Y158" s="7"/>
      <c r="Z158" s="7"/>
      <c r="AA158" s="7"/>
      <c r="AC158" s="40"/>
      <c r="AD158" s="9">
        <f>SUM(N158:AB158)</f>
        <v>1114612</v>
      </c>
      <c r="AE158" s="9">
        <f>SUM(N159:AB159)</f>
        <v>57602</v>
      </c>
      <c r="AF158" s="9">
        <f>SUM(N160:AB160)</f>
        <v>33773</v>
      </c>
      <c r="AG158" s="9">
        <f>E158</f>
        <v>199523</v>
      </c>
      <c r="AH158" s="9">
        <f>F158</f>
        <v>9011</v>
      </c>
      <c r="AI158" s="9">
        <f>G158</f>
        <v>6002</v>
      </c>
      <c r="AJ158" s="9">
        <f>H158</f>
        <v>1093620</v>
      </c>
      <c r="AK158" s="9">
        <f>I158</f>
        <v>54952</v>
      </c>
      <c r="AL158" s="9">
        <f>J158</f>
        <v>33882</v>
      </c>
      <c r="AM158" s="40"/>
      <c r="AN158" s="9">
        <f>AD158-B158</f>
        <v>-27139</v>
      </c>
      <c r="AO158" s="9">
        <f>AE158-C158</f>
        <v>-1920</v>
      </c>
      <c r="AP158" s="9">
        <f>AF158-D158</f>
        <v>-1145</v>
      </c>
      <c r="AQ158" s="43"/>
      <c r="AR158" s="48">
        <f>C158/B158*1000</f>
        <v>52.132207460295632</v>
      </c>
      <c r="AS158" s="48">
        <f>D158/B158*1000</f>
        <v>30.58285037630797</v>
      </c>
      <c r="AT158" s="49"/>
      <c r="AU158" s="48">
        <f>AR158-K158</f>
        <v>3.2207460295630597E-2</v>
      </c>
      <c r="AV158" s="48">
        <f>AS158-L158</f>
        <v>-1.7149623692031213E-2</v>
      </c>
      <c r="AW158" s="43"/>
    </row>
    <row r="159" spans="1:49" s="2" customFormat="1" x14ac:dyDescent="0.55000000000000004">
      <c r="A159" s="1" t="s">
        <v>178</v>
      </c>
      <c r="B159" s="3"/>
      <c r="C159" s="3"/>
      <c r="D159" s="3"/>
      <c r="E159" s="3"/>
      <c r="F159" s="3"/>
      <c r="G159" s="3"/>
      <c r="H159" s="3"/>
      <c r="I159" s="3"/>
      <c r="J159" s="3"/>
      <c r="K159" s="28"/>
      <c r="L159" s="28"/>
      <c r="M159" s="3"/>
      <c r="N159" s="3">
        <v>4680</v>
      </c>
      <c r="O159" s="3">
        <v>15436</v>
      </c>
      <c r="P159" s="3">
        <v>10361</v>
      </c>
      <c r="Q159" s="3">
        <v>1541</v>
      </c>
      <c r="R159" s="3">
        <v>17335</v>
      </c>
      <c r="S159" s="3">
        <v>2019</v>
      </c>
      <c r="T159" s="3">
        <v>4120</v>
      </c>
      <c r="U159" s="3">
        <v>2110</v>
      </c>
      <c r="V159" s="3"/>
      <c r="W159" s="3"/>
      <c r="X159" s="3"/>
      <c r="Y159" s="3"/>
      <c r="Z159" s="3"/>
      <c r="AA159" s="3"/>
      <c r="AC159" s="40"/>
      <c r="AM159" s="40"/>
      <c r="AQ159" s="40"/>
      <c r="AT159" s="40"/>
      <c r="AW159" s="40"/>
    </row>
    <row r="160" spans="1:49" s="2" customFormat="1" x14ac:dyDescent="0.55000000000000004">
      <c r="A160" s="1" t="s">
        <v>179</v>
      </c>
      <c r="B160" s="3"/>
      <c r="C160" s="3"/>
      <c r="D160" s="3"/>
      <c r="E160" s="3"/>
      <c r="F160" s="3"/>
      <c r="G160" s="3"/>
      <c r="H160" s="3"/>
      <c r="I160" s="3"/>
      <c r="J160" s="3"/>
      <c r="K160" s="28"/>
      <c r="L160" s="28"/>
      <c r="M160" s="3"/>
      <c r="N160" s="3">
        <v>2990</v>
      </c>
      <c r="O160" s="3">
        <v>10267</v>
      </c>
      <c r="P160" s="3">
        <v>4632</v>
      </c>
      <c r="Q160" s="3">
        <v>648</v>
      </c>
      <c r="R160" s="3">
        <v>10746</v>
      </c>
      <c r="S160" s="3">
        <v>898</v>
      </c>
      <c r="T160" s="3">
        <v>2521</v>
      </c>
      <c r="U160" s="3">
        <v>1071</v>
      </c>
      <c r="V160" s="3"/>
      <c r="W160" s="3"/>
      <c r="X160" s="3"/>
      <c r="Y160" s="3"/>
      <c r="Z160" s="3"/>
      <c r="AA160" s="3"/>
      <c r="AC160" s="40"/>
      <c r="AM160" s="40"/>
      <c r="AQ160" s="40"/>
      <c r="AT160" s="40"/>
      <c r="AW160" s="40"/>
    </row>
    <row r="161" spans="1:49" s="8" customFormat="1" x14ac:dyDescent="0.55000000000000004">
      <c r="A161" s="6" t="s">
        <v>180</v>
      </c>
      <c r="B161" s="7">
        <v>2900646</v>
      </c>
      <c r="C161" s="7">
        <v>133938</v>
      </c>
      <c r="D161" s="7">
        <v>105819</v>
      </c>
      <c r="E161" s="10" t="s">
        <v>25</v>
      </c>
      <c r="F161" s="10" t="s">
        <v>25</v>
      </c>
      <c r="G161" s="10" t="s">
        <v>25</v>
      </c>
      <c r="H161" s="7">
        <v>2780130</v>
      </c>
      <c r="I161" s="7">
        <v>139738</v>
      </c>
      <c r="J161" s="7">
        <v>90522</v>
      </c>
      <c r="K161" s="30">
        <v>46.5</v>
      </c>
      <c r="L161" s="30">
        <v>36.4</v>
      </c>
      <c r="M161" s="3"/>
      <c r="N161" s="7">
        <v>404590</v>
      </c>
      <c r="O161" s="7">
        <v>309244</v>
      </c>
      <c r="P161" s="7">
        <v>186213</v>
      </c>
      <c r="Q161" s="7">
        <v>286077</v>
      </c>
      <c r="R161" s="7">
        <v>389122</v>
      </c>
      <c r="S161" s="7">
        <v>158289</v>
      </c>
      <c r="T161" s="7">
        <v>185309</v>
      </c>
      <c r="U161" s="7">
        <v>277436</v>
      </c>
      <c r="V161" s="7">
        <v>137804</v>
      </c>
      <c r="W161" s="7">
        <v>155691</v>
      </c>
      <c r="X161" s="7">
        <v>212204</v>
      </c>
      <c r="Y161" s="7">
        <v>169547</v>
      </c>
      <c r="Z161" s="7"/>
      <c r="AA161" s="7"/>
      <c r="AC161" s="40"/>
      <c r="AD161" s="9">
        <f>SUM(N161:AB161)</f>
        <v>2871526</v>
      </c>
      <c r="AE161" s="9">
        <f>SUM(N162:AB162)</f>
        <v>133938</v>
      </c>
      <c r="AF161" s="9">
        <f>SUM(N163:AB163)</f>
        <v>105719</v>
      </c>
      <c r="AG161" s="10" t="str">
        <f>E161</f>
        <v>—</v>
      </c>
      <c r="AH161" s="10" t="str">
        <f>F161</f>
        <v>—</v>
      </c>
      <c r="AI161" s="10" t="str">
        <f>G161</f>
        <v>—</v>
      </c>
      <c r="AJ161" s="9">
        <f>H161</f>
        <v>2780130</v>
      </c>
      <c r="AK161" s="9">
        <f>I161</f>
        <v>139738</v>
      </c>
      <c r="AL161" s="9">
        <f>J161</f>
        <v>90522</v>
      </c>
      <c r="AM161" s="40"/>
      <c r="AN161" s="9">
        <f>AD161-B161</f>
        <v>-29120</v>
      </c>
      <c r="AO161" s="9">
        <f>AE161-C161</f>
        <v>0</v>
      </c>
      <c r="AP161" s="9">
        <f>AF161-D161</f>
        <v>-100</v>
      </c>
      <c r="AQ161" s="43"/>
      <c r="AR161" s="48">
        <f>C161/B161*1000</f>
        <v>46.17523131054255</v>
      </c>
      <c r="AS161" s="48">
        <f>D161/B161*1000</f>
        <v>36.481183846632788</v>
      </c>
      <c r="AT161" s="49"/>
      <c r="AU161" s="48">
        <f>AR161-K161</f>
        <v>-0.32476868945744997</v>
      </c>
      <c r="AV161" s="48">
        <f>AS161-L161</f>
        <v>8.118384663278988E-2</v>
      </c>
      <c r="AW161" s="43"/>
    </row>
    <row r="162" spans="1:49" s="2" customFormat="1" x14ac:dyDescent="0.55000000000000004">
      <c r="A162" s="1" t="s">
        <v>181</v>
      </c>
      <c r="B162" s="3"/>
      <c r="C162" s="3"/>
      <c r="D162" s="3"/>
      <c r="E162" s="3"/>
      <c r="F162" s="3"/>
      <c r="G162" s="3"/>
      <c r="H162" s="3"/>
      <c r="I162" s="3"/>
      <c r="J162" s="3"/>
      <c r="K162" s="28"/>
      <c r="L162" s="28"/>
      <c r="M162" s="3"/>
      <c r="N162" s="3">
        <v>19780</v>
      </c>
      <c r="O162" s="3">
        <v>15055</v>
      </c>
      <c r="P162" s="3">
        <v>7031</v>
      </c>
      <c r="Q162" s="3">
        <v>14122</v>
      </c>
      <c r="R162" s="3">
        <v>17417</v>
      </c>
      <c r="S162" s="3">
        <v>7807</v>
      </c>
      <c r="T162" s="3">
        <v>8414</v>
      </c>
      <c r="U162" s="3">
        <v>13290</v>
      </c>
      <c r="V162" s="3">
        <v>6725</v>
      </c>
      <c r="W162" s="3">
        <v>6801</v>
      </c>
      <c r="X162" s="3">
        <v>9465</v>
      </c>
      <c r="Y162" s="3">
        <v>8031</v>
      </c>
      <c r="Z162" s="3"/>
      <c r="AA162" s="3"/>
      <c r="AC162" s="40"/>
      <c r="AM162" s="40"/>
      <c r="AQ162" s="40"/>
      <c r="AT162" s="40"/>
      <c r="AW162" s="40"/>
    </row>
    <row r="163" spans="1:49" s="2" customFormat="1" x14ac:dyDescent="0.55000000000000004">
      <c r="A163" s="1" t="s">
        <v>182</v>
      </c>
      <c r="B163" s="3"/>
      <c r="C163" s="3"/>
      <c r="D163" s="3"/>
      <c r="E163" s="3"/>
      <c r="F163" s="3"/>
      <c r="G163" s="3"/>
      <c r="H163" s="3"/>
      <c r="I163" s="3"/>
      <c r="J163" s="3"/>
      <c r="K163" s="28"/>
      <c r="L163" s="28"/>
      <c r="M163" s="3"/>
      <c r="N163" s="3">
        <v>15434</v>
      </c>
      <c r="O163" s="3">
        <v>10139</v>
      </c>
      <c r="P163" s="3">
        <v>6071</v>
      </c>
      <c r="Q163" s="3">
        <v>13115</v>
      </c>
      <c r="R163" s="3">
        <v>13362</v>
      </c>
      <c r="S163" s="3">
        <v>6260</v>
      </c>
      <c r="T163" s="3">
        <v>6408</v>
      </c>
      <c r="U163" s="3">
        <v>10131</v>
      </c>
      <c r="V163" s="3">
        <v>5048</v>
      </c>
      <c r="W163" s="3">
        <v>5458</v>
      </c>
      <c r="X163" s="3">
        <v>8505</v>
      </c>
      <c r="Y163" s="3">
        <v>5788</v>
      </c>
      <c r="Z163" s="3"/>
      <c r="AA163" s="3"/>
      <c r="AC163" s="40"/>
      <c r="AM163" s="40"/>
      <c r="AQ163" s="40"/>
      <c r="AT163" s="40"/>
      <c r="AW163" s="40"/>
    </row>
    <row r="164" spans="1:49" s="8" customFormat="1" x14ac:dyDescent="0.55000000000000004">
      <c r="A164" s="6" t="s">
        <v>183</v>
      </c>
      <c r="B164" s="7">
        <v>1851150</v>
      </c>
      <c r="C164" s="7">
        <v>85187</v>
      </c>
      <c r="D164" s="7">
        <v>62036</v>
      </c>
      <c r="E164" s="7">
        <v>151156</v>
      </c>
      <c r="F164" s="7">
        <v>4900</v>
      </c>
      <c r="G164" s="7">
        <v>4313</v>
      </c>
      <c r="H164" s="7">
        <v>1807497</v>
      </c>
      <c r="I164" s="7">
        <v>82938</v>
      </c>
      <c r="J164" s="7">
        <v>59246</v>
      </c>
      <c r="K164" s="31">
        <v>46</v>
      </c>
      <c r="L164" s="31">
        <v>34.1</v>
      </c>
      <c r="M164" s="3"/>
      <c r="N164" s="7">
        <v>165985</v>
      </c>
      <c r="O164" s="7">
        <v>244799</v>
      </c>
      <c r="P164" s="7">
        <v>153179</v>
      </c>
      <c r="Q164" s="7">
        <v>174729</v>
      </c>
      <c r="R164" s="7">
        <v>116521</v>
      </c>
      <c r="S164" s="7">
        <v>136814</v>
      </c>
      <c r="T164" s="7">
        <v>139951</v>
      </c>
      <c r="U164" s="7">
        <v>129805</v>
      </c>
      <c r="V164" s="7">
        <v>123917</v>
      </c>
      <c r="W164" s="7">
        <v>140821</v>
      </c>
      <c r="X164" s="7">
        <v>158064</v>
      </c>
      <c r="Y164" s="7">
        <v>166565</v>
      </c>
      <c r="Z164" s="7"/>
      <c r="AA164" s="7"/>
      <c r="AC164" s="40"/>
      <c r="AD164" s="9">
        <f>SUM(N164:AB164)</f>
        <v>1851150</v>
      </c>
      <c r="AE164" s="9">
        <f>SUM(N165:AB165)</f>
        <v>85187</v>
      </c>
      <c r="AF164" s="9">
        <f>SUM(N166:AB166)</f>
        <v>62036</v>
      </c>
      <c r="AG164" s="9">
        <f>E164</f>
        <v>151156</v>
      </c>
      <c r="AH164" s="9">
        <f>F164</f>
        <v>4900</v>
      </c>
      <c r="AI164" s="9">
        <f>G164</f>
        <v>4313</v>
      </c>
      <c r="AJ164" s="9">
        <f>H164</f>
        <v>1807497</v>
      </c>
      <c r="AK164" s="9">
        <f>I164</f>
        <v>82938</v>
      </c>
      <c r="AL164" s="9">
        <f>J164</f>
        <v>59246</v>
      </c>
      <c r="AM164" s="40"/>
      <c r="AN164" s="9">
        <f>AD164-B164</f>
        <v>0</v>
      </c>
      <c r="AO164" s="9">
        <f>AE164-C164</f>
        <v>0</v>
      </c>
      <c r="AP164" s="9">
        <f>AF164-D164</f>
        <v>0</v>
      </c>
      <c r="AQ164" s="43"/>
      <c r="AR164" s="48">
        <f>C164/B164*1000</f>
        <v>46.018420981552012</v>
      </c>
      <c r="AS164" s="48">
        <f>D164/B164*1000</f>
        <v>33.512141101477461</v>
      </c>
      <c r="AT164" s="49"/>
      <c r="AU164" s="48">
        <f>AR164-K164</f>
        <v>1.8420981552011995E-2</v>
      </c>
      <c r="AV164" s="48">
        <f>AS164-L164</f>
        <v>-0.58785889852254058</v>
      </c>
      <c r="AW164" s="43"/>
    </row>
    <row r="165" spans="1:49" s="2" customFormat="1" x14ac:dyDescent="0.55000000000000004">
      <c r="A165" s="1" t="s">
        <v>184</v>
      </c>
      <c r="B165" s="3"/>
      <c r="C165" s="3"/>
      <c r="D165" s="3"/>
      <c r="E165" s="3"/>
      <c r="F165" s="3"/>
      <c r="G165" s="3"/>
      <c r="H165" s="3"/>
      <c r="I165" s="3"/>
      <c r="J165" s="3"/>
      <c r="K165" s="28"/>
      <c r="L165" s="28"/>
      <c r="M165" s="3"/>
      <c r="N165" s="3">
        <v>7567</v>
      </c>
      <c r="O165" s="3">
        <v>12365</v>
      </c>
      <c r="P165" s="3">
        <v>6928</v>
      </c>
      <c r="Q165" s="3">
        <v>7823</v>
      </c>
      <c r="R165" s="3">
        <v>5011</v>
      </c>
      <c r="S165" s="3">
        <v>6035</v>
      </c>
      <c r="T165" s="3">
        <v>5896</v>
      </c>
      <c r="U165" s="3">
        <v>6020</v>
      </c>
      <c r="V165" s="3">
        <v>6192</v>
      </c>
      <c r="W165" s="3">
        <v>7330</v>
      </c>
      <c r="X165" s="3">
        <v>7111</v>
      </c>
      <c r="Y165" s="3">
        <v>6909</v>
      </c>
      <c r="Z165" s="3"/>
      <c r="AA165" s="3"/>
      <c r="AC165" s="40"/>
      <c r="AM165" s="40"/>
      <c r="AQ165" s="40"/>
      <c r="AT165" s="40"/>
      <c r="AW165" s="40"/>
    </row>
    <row r="166" spans="1:49" s="2" customFormat="1" x14ac:dyDescent="0.55000000000000004">
      <c r="A166" s="1" t="s">
        <v>185</v>
      </c>
      <c r="B166" s="3"/>
      <c r="C166" s="3"/>
      <c r="D166" s="3"/>
      <c r="E166" s="3"/>
      <c r="F166" s="3"/>
      <c r="G166" s="3"/>
      <c r="H166" s="3"/>
      <c r="I166" s="3"/>
      <c r="J166" s="3"/>
      <c r="K166" s="28"/>
      <c r="L166" s="28"/>
      <c r="M166" s="3"/>
      <c r="N166" s="3">
        <v>5619</v>
      </c>
      <c r="O166" s="3">
        <v>8455</v>
      </c>
      <c r="P166" s="3">
        <v>5509</v>
      </c>
      <c r="Q166" s="3">
        <v>5085</v>
      </c>
      <c r="R166" s="3">
        <v>3704</v>
      </c>
      <c r="S166" s="3">
        <v>4696</v>
      </c>
      <c r="T166" s="3">
        <v>4887</v>
      </c>
      <c r="U166" s="3">
        <v>4451</v>
      </c>
      <c r="V166" s="3">
        <v>4477</v>
      </c>
      <c r="W166" s="3">
        <v>5312</v>
      </c>
      <c r="X166" s="3">
        <v>5054</v>
      </c>
      <c r="Y166" s="3">
        <v>4787</v>
      </c>
      <c r="Z166" s="3"/>
      <c r="AA166" s="3"/>
      <c r="AC166" s="40"/>
      <c r="AM166" s="40"/>
      <c r="AQ166" s="40"/>
      <c r="AT166" s="40"/>
      <c r="AW166" s="40"/>
    </row>
    <row r="167" spans="1:49" s="8" customFormat="1" x14ac:dyDescent="0.55000000000000004">
      <c r="A167" s="6" t="s">
        <v>186</v>
      </c>
      <c r="B167" s="7">
        <v>1515881</v>
      </c>
      <c r="C167" s="7">
        <v>79257</v>
      </c>
      <c r="D167" s="7">
        <v>60358</v>
      </c>
      <c r="E167" s="7">
        <v>128298</v>
      </c>
      <c r="F167" s="7">
        <v>5091</v>
      </c>
      <c r="G167" s="7">
        <v>4845</v>
      </c>
      <c r="H167" s="7">
        <v>1463993</v>
      </c>
      <c r="I167" s="7">
        <v>74533</v>
      </c>
      <c r="J167" s="7">
        <v>55740</v>
      </c>
      <c r="K167" s="31">
        <v>52.3</v>
      </c>
      <c r="L167" s="31">
        <v>39.799999999999997</v>
      </c>
      <c r="M167" s="3"/>
      <c r="N167" s="7">
        <v>164814</v>
      </c>
      <c r="O167" s="7">
        <v>91556</v>
      </c>
      <c r="P167" s="7">
        <v>173412</v>
      </c>
      <c r="Q167" s="7">
        <v>87370</v>
      </c>
      <c r="R167" s="7">
        <v>126248</v>
      </c>
      <c r="S167" s="7">
        <v>138791</v>
      </c>
      <c r="T167" s="7">
        <v>174518</v>
      </c>
      <c r="U167" s="7">
        <v>82219</v>
      </c>
      <c r="V167" s="7">
        <v>107751</v>
      </c>
      <c r="W167" s="7">
        <v>152079</v>
      </c>
      <c r="X167" s="7">
        <v>102478</v>
      </c>
      <c r="Y167" s="7">
        <v>114645</v>
      </c>
      <c r="Z167" s="7"/>
      <c r="AA167" s="7"/>
      <c r="AC167" s="40"/>
      <c r="AD167" s="9">
        <f>SUM(N167:AB167)</f>
        <v>1515881</v>
      </c>
      <c r="AE167" s="9">
        <f>SUM(N168:AB168)</f>
        <v>79257</v>
      </c>
      <c r="AF167" s="9">
        <f>SUM(N169:AB169)</f>
        <v>60358</v>
      </c>
      <c r="AG167" s="9">
        <f>E167</f>
        <v>128298</v>
      </c>
      <c r="AH167" s="9">
        <f>F167</f>
        <v>5091</v>
      </c>
      <c r="AI167" s="9">
        <f>G167</f>
        <v>4845</v>
      </c>
      <c r="AJ167" s="9">
        <f>H167</f>
        <v>1463993</v>
      </c>
      <c r="AK167" s="9">
        <f>I167</f>
        <v>74533</v>
      </c>
      <c r="AL167" s="9">
        <f>J167</f>
        <v>55740</v>
      </c>
      <c r="AM167" s="40"/>
      <c r="AN167" s="9">
        <f>AD167-B167</f>
        <v>0</v>
      </c>
      <c r="AO167" s="9">
        <f>AE167-C167</f>
        <v>0</v>
      </c>
      <c r="AP167" s="9">
        <f>AF167-D167</f>
        <v>0</v>
      </c>
      <c r="AQ167" s="43"/>
      <c r="AR167" s="48">
        <f>C167/B167*1000</f>
        <v>52.284447130084743</v>
      </c>
      <c r="AS167" s="48">
        <f>D167/B167*1000</f>
        <v>39.817109654385796</v>
      </c>
      <c r="AT167" s="49"/>
      <c r="AU167" s="48">
        <f>AR167-K167</f>
        <v>-1.5552869915254064E-2</v>
      </c>
      <c r="AV167" s="48">
        <f>AS167-L167</f>
        <v>1.7109654385798478E-2</v>
      </c>
      <c r="AW167" s="43"/>
    </row>
    <row r="168" spans="1:49" s="2" customFormat="1" x14ac:dyDescent="0.55000000000000004">
      <c r="A168" s="1" t="s">
        <v>187</v>
      </c>
      <c r="B168" s="3"/>
      <c r="C168" s="3"/>
      <c r="D168" s="3"/>
      <c r="E168" s="3"/>
      <c r="F168" s="3"/>
      <c r="G168" s="3"/>
      <c r="H168" s="3"/>
      <c r="I168" s="3"/>
      <c r="J168" s="3"/>
      <c r="K168" s="28"/>
      <c r="L168" s="28"/>
      <c r="M168" s="3"/>
      <c r="N168" s="3">
        <v>8712</v>
      </c>
      <c r="O168" s="3">
        <v>4222</v>
      </c>
      <c r="P168" s="3">
        <v>9858</v>
      </c>
      <c r="Q168" s="3">
        <v>3753</v>
      </c>
      <c r="R168" s="3">
        <v>5998</v>
      </c>
      <c r="S168" s="3">
        <v>6953</v>
      </c>
      <c r="T168" s="3">
        <v>9521</v>
      </c>
      <c r="U168" s="3">
        <v>4086</v>
      </c>
      <c r="V168" s="3">
        <v>6051</v>
      </c>
      <c r="W168" s="3">
        <v>8469</v>
      </c>
      <c r="X168" s="3">
        <v>5299</v>
      </c>
      <c r="Y168" s="3">
        <v>6335</v>
      </c>
      <c r="Z168" s="3"/>
      <c r="AA168" s="3"/>
      <c r="AC168" s="40"/>
      <c r="AM168" s="40"/>
      <c r="AQ168" s="40"/>
      <c r="AT168" s="40"/>
      <c r="AW168" s="40"/>
    </row>
    <row r="169" spans="1:49" s="2" customFormat="1" x14ac:dyDescent="0.55000000000000004">
      <c r="A169" s="1" t="s">
        <v>188</v>
      </c>
      <c r="B169" s="3"/>
      <c r="C169" s="3"/>
      <c r="D169" s="3"/>
      <c r="E169" s="3"/>
      <c r="F169" s="3"/>
      <c r="G169" s="3"/>
      <c r="H169" s="3"/>
      <c r="I169" s="3"/>
      <c r="J169" s="3"/>
      <c r="K169" s="28"/>
      <c r="L169" s="28"/>
      <c r="M169" s="3"/>
      <c r="N169" s="3">
        <v>8383</v>
      </c>
      <c r="O169" s="3">
        <v>2865</v>
      </c>
      <c r="P169" s="3">
        <v>7410</v>
      </c>
      <c r="Q169" s="3">
        <v>2864</v>
      </c>
      <c r="R169" s="3">
        <v>4066</v>
      </c>
      <c r="S169" s="3">
        <v>4982</v>
      </c>
      <c r="T169" s="3">
        <v>7504</v>
      </c>
      <c r="U169" s="3">
        <v>3715</v>
      </c>
      <c r="V169" s="3">
        <v>4611</v>
      </c>
      <c r="W169" s="3">
        <v>5712</v>
      </c>
      <c r="X169" s="3">
        <v>4243</v>
      </c>
      <c r="Y169" s="3">
        <v>4003</v>
      </c>
      <c r="Z169" s="3"/>
      <c r="AA169" s="3"/>
      <c r="AC169" s="40"/>
      <c r="AM169" s="40"/>
      <c r="AQ169" s="40"/>
      <c r="AT169" s="40"/>
      <c r="AW169" s="40"/>
    </row>
    <row r="170" spans="1:49" s="8" customFormat="1" x14ac:dyDescent="0.55000000000000004">
      <c r="A170" s="6" t="s">
        <v>189</v>
      </c>
      <c r="B170" s="7">
        <v>2057807</v>
      </c>
      <c r="C170" s="7">
        <v>98722</v>
      </c>
      <c r="D170" s="7">
        <v>6300</v>
      </c>
      <c r="E170" s="7">
        <v>82923</v>
      </c>
      <c r="F170" s="7">
        <v>4095</v>
      </c>
      <c r="G170" s="7">
        <v>3189</v>
      </c>
      <c r="H170" s="7">
        <v>1980113</v>
      </c>
      <c r="I170" s="7">
        <v>93603</v>
      </c>
      <c r="J170" s="7">
        <v>62562</v>
      </c>
      <c r="K170" s="31">
        <v>47.4</v>
      </c>
      <c r="L170" s="31">
        <v>32.6</v>
      </c>
      <c r="M170" s="3"/>
      <c r="N170" s="7">
        <v>330397</v>
      </c>
      <c r="O170" s="7">
        <v>392742</v>
      </c>
      <c r="P170" s="7">
        <v>463249</v>
      </c>
      <c r="Q170" s="7">
        <v>173047</v>
      </c>
      <c r="R170" s="7">
        <v>375068</v>
      </c>
      <c r="S170" s="7">
        <v>316590</v>
      </c>
      <c r="T170" s="7"/>
      <c r="U170" s="7"/>
      <c r="V170" s="7"/>
      <c r="W170" s="7"/>
      <c r="X170" s="7"/>
      <c r="Y170" s="7"/>
      <c r="Z170" s="7"/>
      <c r="AA170" s="7"/>
      <c r="AC170" s="40"/>
      <c r="AD170" s="9">
        <f>SUM(N170:AB170)</f>
        <v>2051093</v>
      </c>
      <c r="AE170" s="9">
        <f>SUM(N171:AB171)</f>
        <v>98723</v>
      </c>
      <c r="AF170" s="9">
        <f>SUM(N172:AB172)</f>
        <v>57329</v>
      </c>
      <c r="AG170" s="9">
        <f>E170</f>
        <v>82923</v>
      </c>
      <c r="AH170" s="9">
        <f>F170</f>
        <v>4095</v>
      </c>
      <c r="AI170" s="9">
        <f>G170</f>
        <v>3189</v>
      </c>
      <c r="AJ170" s="9">
        <f>H170</f>
        <v>1980113</v>
      </c>
      <c r="AK170" s="9">
        <f>I170</f>
        <v>93603</v>
      </c>
      <c r="AL170" s="9">
        <f>J170</f>
        <v>62562</v>
      </c>
      <c r="AM170" s="40"/>
      <c r="AN170" s="9">
        <f>AD170-B170</f>
        <v>-6714</v>
      </c>
      <c r="AO170" s="9">
        <f>AE170-C170</f>
        <v>1</v>
      </c>
      <c r="AP170" s="9">
        <f>AF170-D170</f>
        <v>51029</v>
      </c>
      <c r="AQ170" s="43"/>
      <c r="AR170" s="48">
        <f>C170/B170*1000</f>
        <v>47.974372718141204</v>
      </c>
      <c r="AS170" s="48">
        <f>D170/B170*1000</f>
        <v>3.0615115994843052</v>
      </c>
      <c r="AT170" s="49"/>
      <c r="AU170" s="48">
        <f>AR170-K170</f>
        <v>0.5743727181412055</v>
      </c>
      <c r="AV170" s="48">
        <f>AS170-L170</f>
        <v>-29.538488400515696</v>
      </c>
      <c r="AW170" s="43"/>
    </row>
    <row r="171" spans="1:49" s="2" customFormat="1" x14ac:dyDescent="0.55000000000000004">
      <c r="A171" s="1" t="s">
        <v>190</v>
      </c>
      <c r="B171" s="3"/>
      <c r="C171" s="3"/>
      <c r="D171" s="3"/>
      <c r="E171" s="3"/>
      <c r="F171" s="3"/>
      <c r="G171" s="3"/>
      <c r="H171" s="3"/>
      <c r="I171" s="3"/>
      <c r="J171" s="3"/>
      <c r="K171" s="28"/>
      <c r="L171" s="28"/>
      <c r="M171" s="3"/>
      <c r="N171" s="3">
        <v>17022</v>
      </c>
      <c r="O171" s="3">
        <v>18579</v>
      </c>
      <c r="P171" s="3">
        <v>21386</v>
      </c>
      <c r="Q171" s="3">
        <v>9067</v>
      </c>
      <c r="R171" s="3">
        <v>17275</v>
      </c>
      <c r="S171" s="3">
        <v>15394</v>
      </c>
      <c r="T171" s="3"/>
      <c r="U171" s="3"/>
      <c r="V171" s="3"/>
      <c r="W171" s="3"/>
      <c r="X171" s="3"/>
      <c r="Y171" s="3"/>
      <c r="Z171" s="3"/>
      <c r="AA171" s="3"/>
      <c r="AC171" s="40"/>
      <c r="AM171" s="40"/>
      <c r="AQ171" s="40"/>
      <c r="AT171" s="40"/>
      <c r="AW171" s="40"/>
    </row>
    <row r="172" spans="1:49" s="2" customFormat="1" x14ac:dyDescent="0.55000000000000004">
      <c r="A172" s="1" t="s">
        <v>191</v>
      </c>
      <c r="B172" s="3"/>
      <c r="C172" s="3"/>
      <c r="D172" s="3"/>
      <c r="E172" s="3"/>
      <c r="F172" s="3"/>
      <c r="G172" s="3"/>
      <c r="H172" s="3"/>
      <c r="I172" s="3"/>
      <c r="J172" s="3"/>
      <c r="K172" s="28"/>
      <c r="L172" s="28"/>
      <c r="M172" s="3"/>
      <c r="N172" s="3">
        <v>1186</v>
      </c>
      <c r="O172" s="3">
        <v>12393</v>
      </c>
      <c r="P172" s="3">
        <v>13799</v>
      </c>
      <c r="Q172" s="3">
        <v>7669</v>
      </c>
      <c r="R172" s="3">
        <v>12159</v>
      </c>
      <c r="S172" s="3">
        <v>10123</v>
      </c>
      <c r="T172" s="3"/>
      <c r="U172" s="3"/>
      <c r="V172" s="3"/>
      <c r="W172" s="3"/>
      <c r="X172" s="3"/>
      <c r="Y172" s="3"/>
      <c r="Z172" s="3"/>
      <c r="AA172" s="3"/>
      <c r="AC172" s="40"/>
      <c r="AM172" s="40"/>
      <c r="AQ172" s="40"/>
      <c r="AT172" s="40"/>
      <c r="AW172" s="40"/>
    </row>
    <row r="173" spans="1:49" s="8" customFormat="1" x14ac:dyDescent="0.55000000000000004">
      <c r="A173" s="6" t="s">
        <v>192</v>
      </c>
      <c r="B173" s="7">
        <v>2465668</v>
      </c>
      <c r="C173" s="7">
        <v>118718</v>
      </c>
      <c r="D173" s="7">
        <v>93117</v>
      </c>
      <c r="E173" s="7">
        <v>327309</v>
      </c>
      <c r="F173" s="10" t="s">
        <v>25</v>
      </c>
      <c r="G173" s="10" t="s">
        <v>25</v>
      </c>
      <c r="H173" s="7">
        <v>2366337</v>
      </c>
      <c r="I173" s="7">
        <v>118072</v>
      </c>
      <c r="J173" s="7">
        <v>83439</v>
      </c>
      <c r="K173" s="31">
        <v>48.1</v>
      </c>
      <c r="L173" s="31">
        <v>37.700000000000003</v>
      </c>
      <c r="M173" s="3"/>
      <c r="N173" s="7">
        <v>363328</v>
      </c>
      <c r="O173" s="7">
        <v>143178</v>
      </c>
      <c r="P173" s="7">
        <v>154827</v>
      </c>
      <c r="Q173" s="7">
        <v>125548</v>
      </c>
      <c r="R173" s="7">
        <v>161645</v>
      </c>
      <c r="S173" s="7">
        <v>222205</v>
      </c>
      <c r="T173" s="7">
        <v>307733</v>
      </c>
      <c r="U173" s="7">
        <v>231620</v>
      </c>
      <c r="V173" s="7">
        <v>167719</v>
      </c>
      <c r="W173" s="7">
        <v>382086</v>
      </c>
      <c r="X173" s="7">
        <v>205779</v>
      </c>
      <c r="Y173" s="7"/>
      <c r="Z173" s="7"/>
      <c r="AA173" s="7"/>
      <c r="AC173" s="40"/>
      <c r="AD173" s="9">
        <f>SUM(N173:AB173)</f>
        <v>2465668</v>
      </c>
      <c r="AE173" s="9">
        <f>SUM(N174:AB174)</f>
        <v>118718</v>
      </c>
      <c r="AF173" s="9">
        <f>SUM(N175:AB175)</f>
        <v>93117</v>
      </c>
      <c r="AG173" s="9">
        <f>E173</f>
        <v>327309</v>
      </c>
      <c r="AH173" s="10" t="str">
        <f>F173</f>
        <v>—</v>
      </c>
      <c r="AI173" s="10" t="str">
        <f>G173</f>
        <v>—</v>
      </c>
      <c r="AJ173" s="9">
        <f>H173</f>
        <v>2366337</v>
      </c>
      <c r="AK173" s="9">
        <f>I173</f>
        <v>118072</v>
      </c>
      <c r="AL173" s="9">
        <f>J173</f>
        <v>83439</v>
      </c>
      <c r="AM173" s="40"/>
      <c r="AN173" s="9">
        <f>AD173-B173</f>
        <v>0</v>
      </c>
      <c r="AO173" s="9">
        <f>AE173-C173</f>
        <v>0</v>
      </c>
      <c r="AP173" s="9">
        <f>AF173-D173</f>
        <v>0</v>
      </c>
      <c r="AQ173" s="43"/>
      <c r="AR173" s="48">
        <f>C173/B173*1000</f>
        <v>48.148412519447064</v>
      </c>
      <c r="AS173" s="48">
        <f>D173/B173*1000</f>
        <v>37.765425028835999</v>
      </c>
      <c r="AT173" s="49"/>
      <c r="AU173" s="48">
        <f>AR173-K173</f>
        <v>4.8412519447062152E-2</v>
      </c>
      <c r="AV173" s="48">
        <f>AS173-L173</f>
        <v>6.5425028835996102E-2</v>
      </c>
      <c r="AW173" s="43"/>
    </row>
    <row r="174" spans="1:49" s="2" customFormat="1" x14ac:dyDescent="0.55000000000000004">
      <c r="A174" s="1" t="s">
        <v>193</v>
      </c>
      <c r="B174" s="3"/>
      <c r="C174" s="3"/>
      <c r="D174" s="3"/>
      <c r="E174" s="3"/>
      <c r="F174" s="3"/>
      <c r="G174" s="3"/>
      <c r="H174" s="3"/>
      <c r="I174" s="3"/>
      <c r="J174" s="3"/>
      <c r="K174" s="28"/>
      <c r="L174" s="28"/>
      <c r="M174" s="3"/>
      <c r="N174" s="3">
        <v>13556</v>
      </c>
      <c r="O174" s="3">
        <v>7113</v>
      </c>
      <c r="P174" s="3">
        <v>7253</v>
      </c>
      <c r="Q174" s="3">
        <v>6498</v>
      </c>
      <c r="R174" s="3">
        <v>8974</v>
      </c>
      <c r="S174" s="3">
        <v>11078</v>
      </c>
      <c r="T174" s="3">
        <v>14454</v>
      </c>
      <c r="U174" s="3">
        <v>10974</v>
      </c>
      <c r="V174" s="3">
        <v>8568</v>
      </c>
      <c r="W174" s="3">
        <v>19978</v>
      </c>
      <c r="X174" s="3">
        <v>10272</v>
      </c>
      <c r="Y174" s="3"/>
      <c r="Z174" s="3"/>
      <c r="AA174" s="3"/>
      <c r="AC174" s="40"/>
      <c r="AM174" s="40"/>
      <c r="AQ174" s="40"/>
      <c r="AT174" s="40"/>
      <c r="AW174" s="40"/>
    </row>
    <row r="175" spans="1:49" s="2" customFormat="1" x14ac:dyDescent="0.55000000000000004">
      <c r="A175" s="1" t="s">
        <v>194</v>
      </c>
      <c r="B175" s="3"/>
      <c r="C175" s="3"/>
      <c r="D175" s="3"/>
      <c r="E175" s="3"/>
      <c r="F175" s="3"/>
      <c r="G175" s="3"/>
      <c r="H175" s="3"/>
      <c r="I175" s="3"/>
      <c r="J175" s="3"/>
      <c r="K175" s="28"/>
      <c r="L175" s="28"/>
      <c r="M175" s="3"/>
      <c r="N175" s="3">
        <v>9629</v>
      </c>
      <c r="O175" s="3">
        <v>4714</v>
      </c>
      <c r="P175" s="3">
        <v>5330</v>
      </c>
      <c r="Q175" s="3">
        <v>4797</v>
      </c>
      <c r="R175" s="3">
        <v>7199</v>
      </c>
      <c r="S175" s="3">
        <v>9283</v>
      </c>
      <c r="T175" s="3">
        <v>10792</v>
      </c>
      <c r="U175" s="3">
        <v>9587</v>
      </c>
      <c r="V175" s="3">
        <v>6361</v>
      </c>
      <c r="W175" s="3">
        <v>16822</v>
      </c>
      <c r="X175" s="3">
        <v>8603</v>
      </c>
      <c r="Y175" s="3"/>
      <c r="Z175" s="3"/>
      <c r="AA175" s="3"/>
      <c r="AC175" s="40"/>
      <c r="AM175" s="40"/>
      <c r="AQ175" s="40"/>
      <c r="AT175" s="40"/>
      <c r="AW175" s="40"/>
    </row>
    <row r="176" spans="1:49" s="8" customFormat="1" x14ac:dyDescent="0.55000000000000004">
      <c r="A176" s="6" t="s">
        <v>195</v>
      </c>
      <c r="B176" s="7">
        <v>1849664</v>
      </c>
      <c r="C176" s="7">
        <v>97498</v>
      </c>
      <c r="D176" s="7">
        <v>60257</v>
      </c>
      <c r="E176" s="7">
        <v>290205</v>
      </c>
      <c r="F176" s="7">
        <v>14825</v>
      </c>
      <c r="G176" s="7">
        <v>9717</v>
      </c>
      <c r="H176" s="7">
        <v>1788319</v>
      </c>
      <c r="I176" s="7">
        <v>98970</v>
      </c>
      <c r="J176" s="7">
        <v>56301</v>
      </c>
      <c r="K176" s="31">
        <v>52.7</v>
      </c>
      <c r="L176" s="31">
        <v>32.5</v>
      </c>
      <c r="M176" s="3"/>
      <c r="N176" s="7">
        <v>424667</v>
      </c>
      <c r="O176" s="7">
        <v>359676</v>
      </c>
      <c r="P176" s="7">
        <v>193924</v>
      </c>
      <c r="Q176" s="7">
        <v>499934</v>
      </c>
      <c r="R176" s="7">
        <v>165567</v>
      </c>
      <c r="S176" s="7">
        <v>205896</v>
      </c>
      <c r="T176" s="7"/>
      <c r="U176" s="7"/>
      <c r="V176" s="7"/>
      <c r="W176" s="7"/>
      <c r="X176" s="7"/>
      <c r="Y176" s="7"/>
      <c r="Z176" s="7"/>
      <c r="AA176" s="7"/>
      <c r="AC176" s="40"/>
      <c r="AD176" s="9">
        <f>SUM(N176:AB176)</f>
        <v>1849664</v>
      </c>
      <c r="AE176" s="9">
        <f>SUM(N177:AB177)</f>
        <v>97498</v>
      </c>
      <c r="AF176" s="9">
        <f>SUM(N178:AB178)</f>
        <v>60257</v>
      </c>
      <c r="AG176" s="9">
        <f>E176</f>
        <v>290205</v>
      </c>
      <c r="AH176" s="9">
        <f>F176</f>
        <v>14825</v>
      </c>
      <c r="AI176" s="9">
        <f>G176</f>
        <v>9717</v>
      </c>
      <c r="AJ176" s="9">
        <f>H176</f>
        <v>1788319</v>
      </c>
      <c r="AK176" s="9">
        <f>I176</f>
        <v>98970</v>
      </c>
      <c r="AL176" s="9">
        <f>J176</f>
        <v>56301</v>
      </c>
      <c r="AM176" s="40"/>
      <c r="AN176" s="9">
        <f>AD176-B176</f>
        <v>0</v>
      </c>
      <c r="AO176" s="9">
        <f>AE176-C176</f>
        <v>0</v>
      </c>
      <c r="AP176" s="9">
        <f>AF176-D176</f>
        <v>0</v>
      </c>
      <c r="AQ176" s="43"/>
      <c r="AR176" s="48">
        <f>C176/B176*1000</f>
        <v>52.711195114355903</v>
      </c>
      <c r="AS176" s="48">
        <f>D176/B176*1000</f>
        <v>32.577268087609426</v>
      </c>
      <c r="AT176" s="49"/>
      <c r="AU176" s="48">
        <f>AR176-K176</f>
        <v>1.1195114355899705E-2</v>
      </c>
      <c r="AV176" s="48">
        <f>AS176-L176</f>
        <v>7.7268087609425606E-2</v>
      </c>
      <c r="AW176" s="43"/>
    </row>
    <row r="177" spans="1:55" s="2" customFormat="1" x14ac:dyDescent="0.55000000000000004">
      <c r="A177" s="1" t="s">
        <v>196</v>
      </c>
      <c r="B177" s="3"/>
      <c r="C177" s="3"/>
      <c r="D177" s="3"/>
      <c r="E177" s="3"/>
      <c r="F177" s="3"/>
      <c r="G177" s="3"/>
      <c r="H177" s="3"/>
      <c r="I177" s="3"/>
      <c r="J177" s="3"/>
      <c r="K177" s="28"/>
      <c r="L177" s="28"/>
      <c r="M177" s="3"/>
      <c r="N177" s="3">
        <v>21717</v>
      </c>
      <c r="O177" s="3">
        <v>18868</v>
      </c>
      <c r="P177" s="3">
        <v>10992</v>
      </c>
      <c r="Q177" s="3">
        <v>26115</v>
      </c>
      <c r="R177" s="3">
        <v>10054</v>
      </c>
      <c r="S177" s="3">
        <v>9752</v>
      </c>
      <c r="T177" s="3"/>
      <c r="U177" s="3"/>
      <c r="V177" s="3"/>
      <c r="W177" s="3"/>
      <c r="X177" s="3"/>
      <c r="Y177" s="3"/>
      <c r="Z177" s="3"/>
      <c r="AA177" s="3"/>
      <c r="AC177" s="40"/>
      <c r="AM177" s="40"/>
      <c r="AQ177" s="40"/>
      <c r="AT177" s="40"/>
      <c r="AW177" s="40"/>
    </row>
    <row r="178" spans="1:55" s="2" customFormat="1" x14ac:dyDescent="0.55000000000000004">
      <c r="A178" s="1" t="s">
        <v>197</v>
      </c>
      <c r="B178" s="3"/>
      <c r="C178" s="3"/>
      <c r="D178" s="3"/>
      <c r="E178" s="3"/>
      <c r="F178" s="3"/>
      <c r="G178" s="3"/>
      <c r="H178" s="3"/>
      <c r="I178" s="3"/>
      <c r="J178" s="3"/>
      <c r="K178" s="28"/>
      <c r="L178" s="28"/>
      <c r="M178" s="3"/>
      <c r="N178" s="3">
        <v>14164</v>
      </c>
      <c r="O178" s="3">
        <v>12741</v>
      </c>
      <c r="P178" s="3">
        <v>6958</v>
      </c>
      <c r="Q178" s="3">
        <v>15760</v>
      </c>
      <c r="R178" s="3">
        <v>5159</v>
      </c>
      <c r="S178" s="3">
        <v>5475</v>
      </c>
      <c r="T178" s="3"/>
      <c r="U178" s="3"/>
      <c r="V178" s="3"/>
      <c r="W178" s="3"/>
      <c r="X178" s="3"/>
      <c r="Y178" s="3"/>
      <c r="Z178" s="3"/>
      <c r="AA178" s="3"/>
      <c r="AC178" s="40"/>
      <c r="AM178" s="40"/>
      <c r="AQ178" s="40"/>
      <c r="AT178" s="40"/>
      <c r="AW178" s="40"/>
    </row>
    <row r="179" spans="1:55" s="8" customFormat="1" x14ac:dyDescent="0.55000000000000004">
      <c r="A179" s="6" t="s">
        <v>198</v>
      </c>
      <c r="B179" s="7">
        <v>2244377</v>
      </c>
      <c r="C179" s="7">
        <v>105242</v>
      </c>
      <c r="D179" s="7">
        <v>77254</v>
      </c>
      <c r="E179" s="7">
        <v>212547</v>
      </c>
      <c r="F179" s="7">
        <v>6874</v>
      </c>
      <c r="G179" s="7">
        <v>5169</v>
      </c>
      <c r="H179" s="7">
        <v>2162199</v>
      </c>
      <c r="I179" s="7">
        <v>106631</v>
      </c>
      <c r="J179" s="7">
        <v>67074</v>
      </c>
      <c r="K179" s="31">
        <v>46.9</v>
      </c>
      <c r="L179" s="31">
        <v>34.4</v>
      </c>
      <c r="M179" s="3"/>
      <c r="N179" s="7">
        <v>161199</v>
      </c>
      <c r="O179" s="7">
        <v>153923</v>
      </c>
      <c r="P179" s="7">
        <v>137594</v>
      </c>
      <c r="Q179" s="7">
        <v>133428</v>
      </c>
      <c r="R179" s="7">
        <v>170182</v>
      </c>
      <c r="S179" s="7">
        <v>148145</v>
      </c>
      <c r="T179" s="7">
        <v>124246</v>
      </c>
      <c r="U179" s="7">
        <v>135456</v>
      </c>
      <c r="V179" s="7">
        <v>138090</v>
      </c>
      <c r="W179" s="7">
        <v>177089</v>
      </c>
      <c r="X179" s="7">
        <v>173173</v>
      </c>
      <c r="Y179" s="7">
        <v>136310</v>
      </c>
      <c r="Z179" s="7">
        <v>149793</v>
      </c>
      <c r="AA179" s="7">
        <v>166979</v>
      </c>
      <c r="AB179" s="18">
        <v>178770</v>
      </c>
      <c r="AC179" s="41"/>
      <c r="AD179" s="9">
        <f>SUM(N179:AB179)</f>
        <v>2284377</v>
      </c>
      <c r="AE179" s="9">
        <f>SUM(N180:AB180)</f>
        <v>105242</v>
      </c>
      <c r="AF179" s="9">
        <f>SUM(N181:AB181)</f>
        <v>77254</v>
      </c>
      <c r="AG179" s="9">
        <f>E179</f>
        <v>212547</v>
      </c>
      <c r="AH179" s="9">
        <f>F179</f>
        <v>6874</v>
      </c>
      <c r="AI179" s="9">
        <f>G179</f>
        <v>5169</v>
      </c>
      <c r="AJ179" s="9">
        <f>H179</f>
        <v>2162199</v>
      </c>
      <c r="AK179" s="9">
        <f>I179</f>
        <v>106631</v>
      </c>
      <c r="AL179" s="9">
        <f>J179</f>
        <v>67074</v>
      </c>
      <c r="AM179" s="40"/>
      <c r="AN179" s="9">
        <f>AD179-B179</f>
        <v>40000</v>
      </c>
      <c r="AO179" s="9">
        <f>AE179-C179</f>
        <v>0</v>
      </c>
      <c r="AP179" s="9">
        <f>AF179-D179</f>
        <v>0</v>
      </c>
      <c r="AQ179" s="43"/>
      <c r="AR179" s="48">
        <f>C179/B179*1000</f>
        <v>46.891409063628792</v>
      </c>
      <c r="AS179" s="48">
        <f>D179/B179*1000</f>
        <v>34.42113334791793</v>
      </c>
      <c r="AT179" s="49"/>
      <c r="AU179" s="48">
        <f>AR179-K179</f>
        <v>-8.5909363712062259E-3</v>
      </c>
      <c r="AV179" s="48">
        <f>AS179-L179</f>
        <v>2.1133347917931644E-2</v>
      </c>
      <c r="AW179" s="43"/>
    </row>
    <row r="180" spans="1:55" s="2" customFormat="1" x14ac:dyDescent="0.55000000000000004">
      <c r="A180" s="1" t="s">
        <v>199</v>
      </c>
      <c r="B180" s="3"/>
      <c r="C180" s="3"/>
      <c r="D180" s="3"/>
      <c r="E180" s="3"/>
      <c r="F180" s="3"/>
      <c r="G180" s="3"/>
      <c r="H180" s="3"/>
      <c r="I180" s="3"/>
      <c r="J180" s="3"/>
      <c r="K180" s="28"/>
      <c r="L180" s="28"/>
      <c r="M180" s="3"/>
      <c r="N180" s="3">
        <v>7137</v>
      </c>
      <c r="O180" s="3">
        <v>6706</v>
      </c>
      <c r="P180" s="3">
        <v>6099</v>
      </c>
      <c r="Q180" s="3">
        <v>7070</v>
      </c>
      <c r="R180" s="3">
        <v>6232</v>
      </c>
      <c r="S180" s="3">
        <v>6579</v>
      </c>
      <c r="T180" s="3">
        <v>5827</v>
      </c>
      <c r="U180" s="3">
        <v>6447</v>
      </c>
      <c r="V180" s="3">
        <v>7186</v>
      </c>
      <c r="W180" s="3">
        <v>8182</v>
      </c>
      <c r="X180" s="3">
        <v>7525</v>
      </c>
      <c r="Y180" s="3">
        <v>6788</v>
      </c>
      <c r="Z180" s="3">
        <v>7384</v>
      </c>
      <c r="AA180" s="3">
        <v>6973</v>
      </c>
      <c r="AB180" s="18">
        <v>9107</v>
      </c>
      <c r="AC180" s="41"/>
      <c r="AM180" s="40"/>
      <c r="AQ180" s="40"/>
      <c r="AT180" s="40"/>
      <c r="AW180" s="40"/>
    </row>
    <row r="181" spans="1:55" s="2" customFormat="1" x14ac:dyDescent="0.55000000000000004">
      <c r="A181" s="1" t="s">
        <v>200</v>
      </c>
      <c r="B181" s="3"/>
      <c r="C181" s="3"/>
      <c r="D181" s="3"/>
      <c r="E181" s="3"/>
      <c r="F181" s="3"/>
      <c r="G181" s="3"/>
      <c r="H181" s="3"/>
      <c r="I181" s="3"/>
      <c r="J181" s="3"/>
      <c r="K181" s="28"/>
      <c r="L181" s="28"/>
      <c r="M181" s="3"/>
      <c r="N181" s="3">
        <v>5758</v>
      </c>
      <c r="O181" s="3">
        <v>6068</v>
      </c>
      <c r="P181" s="3">
        <v>4151</v>
      </c>
      <c r="Q181" s="3">
        <v>4671</v>
      </c>
      <c r="R181" s="3">
        <v>5397</v>
      </c>
      <c r="S181" s="3">
        <v>5428</v>
      </c>
      <c r="T181" s="3">
        <v>3925</v>
      </c>
      <c r="U181" s="3">
        <v>4772</v>
      </c>
      <c r="V181" s="3">
        <v>4473</v>
      </c>
      <c r="W181" s="3">
        <v>5250</v>
      </c>
      <c r="X181" s="3">
        <v>6557</v>
      </c>
      <c r="Y181" s="3">
        <v>5114</v>
      </c>
      <c r="Z181" s="3">
        <v>5827</v>
      </c>
      <c r="AA181" s="3">
        <v>4525</v>
      </c>
      <c r="AB181" s="18">
        <v>5338</v>
      </c>
      <c r="AC181" s="41"/>
      <c r="AM181" s="40"/>
      <c r="AQ181" s="40"/>
      <c r="AT181" s="40"/>
      <c r="AW181" s="40"/>
    </row>
    <row r="182" spans="1:55" s="8" customFormat="1" x14ac:dyDescent="0.55000000000000004">
      <c r="A182" s="6" t="s">
        <v>201</v>
      </c>
      <c r="B182" s="7">
        <v>1198269</v>
      </c>
      <c r="C182" s="7">
        <v>44232</v>
      </c>
      <c r="D182" s="7">
        <v>39027</v>
      </c>
      <c r="E182" s="7">
        <v>170309</v>
      </c>
      <c r="F182" s="7">
        <v>4708</v>
      </c>
      <c r="G182" s="7">
        <v>5046</v>
      </c>
      <c r="H182" s="7">
        <v>1156469</v>
      </c>
      <c r="I182" s="7">
        <v>44190</v>
      </c>
      <c r="J182" s="7">
        <v>35264</v>
      </c>
      <c r="K182" s="31">
        <v>36.9</v>
      </c>
      <c r="L182" s="31">
        <v>32.6</v>
      </c>
      <c r="M182" s="3"/>
      <c r="N182" s="7">
        <v>220266</v>
      </c>
      <c r="O182" s="7">
        <v>76957</v>
      </c>
      <c r="P182" s="7">
        <v>70002</v>
      </c>
      <c r="Q182" s="7">
        <v>123921</v>
      </c>
      <c r="R182" s="7">
        <v>86093</v>
      </c>
      <c r="S182" s="7">
        <v>111120</v>
      </c>
      <c r="T182" s="7">
        <v>82088</v>
      </c>
      <c r="U182" s="7">
        <v>167893</v>
      </c>
      <c r="V182" s="7">
        <v>119382</v>
      </c>
      <c r="W182" s="7">
        <v>110470</v>
      </c>
      <c r="X182" s="7"/>
      <c r="Y182" s="7"/>
      <c r="Z182" s="7"/>
      <c r="AA182" s="7"/>
      <c r="AC182" s="40"/>
      <c r="AD182" s="9">
        <f>SUM(N182:AB182)</f>
        <v>1168192</v>
      </c>
      <c r="AE182" s="9">
        <f>SUM(N183:AB183)</f>
        <v>44232</v>
      </c>
      <c r="AF182" s="9">
        <f>SUM(N184:AB184)</f>
        <v>39027</v>
      </c>
      <c r="AG182" s="9">
        <f>E182</f>
        <v>170309</v>
      </c>
      <c r="AH182" s="9">
        <f>F182</f>
        <v>4708</v>
      </c>
      <c r="AI182" s="9">
        <f>G182</f>
        <v>5046</v>
      </c>
      <c r="AJ182" s="9">
        <f>H182</f>
        <v>1156469</v>
      </c>
      <c r="AK182" s="9">
        <f>I182</f>
        <v>44190</v>
      </c>
      <c r="AL182" s="9">
        <f>J182</f>
        <v>35264</v>
      </c>
      <c r="AM182" s="40"/>
      <c r="AN182" s="9">
        <f>AD182-B182</f>
        <v>-30077</v>
      </c>
      <c r="AO182" s="9">
        <f>AE182-C182</f>
        <v>0</v>
      </c>
      <c r="AP182" s="9">
        <f>AF182-D182</f>
        <v>0</v>
      </c>
      <c r="AQ182" s="43"/>
      <c r="AR182" s="48">
        <f>C182/B182*1000</f>
        <v>36.913247359315818</v>
      </c>
      <c r="AS182" s="48">
        <f>D182/B182*1000</f>
        <v>32.569481477030614</v>
      </c>
      <c r="AT182" s="49"/>
      <c r="AU182" s="48">
        <f>AR182-K182</f>
        <v>1.3247359315819551E-2</v>
      </c>
      <c r="AV182" s="48">
        <f>AS182-L182</f>
        <v>-3.0518522969387618E-2</v>
      </c>
      <c r="AW182" s="43"/>
    </row>
    <row r="183" spans="1:55" s="2" customFormat="1" x14ac:dyDescent="0.55000000000000004">
      <c r="A183" s="1" t="s">
        <v>202</v>
      </c>
      <c r="B183" s="3"/>
      <c r="C183" s="3"/>
      <c r="D183" s="3"/>
      <c r="E183" s="3"/>
      <c r="F183" s="3"/>
      <c r="G183" s="3"/>
      <c r="H183" s="3"/>
      <c r="I183" s="3"/>
      <c r="J183" s="3"/>
      <c r="K183" s="28"/>
      <c r="L183" s="28"/>
      <c r="M183" s="3"/>
      <c r="N183" s="3">
        <v>8712</v>
      </c>
      <c r="O183" s="3">
        <v>2586</v>
      </c>
      <c r="P183" s="3">
        <v>2367</v>
      </c>
      <c r="Q183" s="3">
        <v>5402</v>
      </c>
      <c r="R183" s="3">
        <v>3774</v>
      </c>
      <c r="S183" s="3">
        <v>4260</v>
      </c>
      <c r="T183" s="3">
        <v>3111</v>
      </c>
      <c r="U183" s="3">
        <v>6625</v>
      </c>
      <c r="V183" s="3">
        <v>3323</v>
      </c>
      <c r="W183" s="3">
        <v>4072</v>
      </c>
      <c r="X183" s="3"/>
      <c r="Y183" s="3"/>
      <c r="Z183" s="3"/>
      <c r="AA183" s="3"/>
      <c r="AC183" s="40"/>
      <c r="AM183" s="40"/>
      <c r="AQ183" s="40"/>
      <c r="AT183" s="40"/>
      <c r="AW183" s="40"/>
    </row>
    <row r="184" spans="1:55" s="2" customFormat="1" x14ac:dyDescent="0.55000000000000004">
      <c r="A184" s="1" t="s">
        <v>203</v>
      </c>
      <c r="B184" s="3"/>
      <c r="C184" s="3"/>
      <c r="D184" s="3"/>
      <c r="E184" s="3"/>
      <c r="F184" s="3"/>
      <c r="G184" s="3"/>
      <c r="H184" s="3"/>
      <c r="I184" s="3"/>
      <c r="J184" s="3"/>
      <c r="K184" s="28"/>
      <c r="L184" s="28"/>
      <c r="M184" s="3"/>
      <c r="N184" s="3">
        <v>8471</v>
      </c>
      <c r="O184" s="3">
        <v>2393</v>
      </c>
      <c r="P184" s="3">
        <v>1986</v>
      </c>
      <c r="Q184" s="3">
        <v>4582</v>
      </c>
      <c r="R184" s="3">
        <v>2905</v>
      </c>
      <c r="S184" s="3">
        <v>3731</v>
      </c>
      <c r="T184" s="3">
        <v>2584</v>
      </c>
      <c r="U184" s="3">
        <v>5964</v>
      </c>
      <c r="V184" s="3">
        <v>3029</v>
      </c>
      <c r="W184" s="3">
        <v>3382</v>
      </c>
      <c r="X184" s="3"/>
      <c r="Y184" s="3"/>
      <c r="Z184" s="3"/>
      <c r="AA184" s="3"/>
      <c r="AC184" s="40"/>
      <c r="AM184" s="40"/>
      <c r="AQ184" s="40"/>
      <c r="AT184" s="40"/>
      <c r="AW184" s="40"/>
    </row>
    <row r="185" spans="1:55" s="13" customFormat="1" x14ac:dyDescent="0.55000000000000004">
      <c r="A185" s="11" t="s">
        <v>204</v>
      </c>
      <c r="B185" s="12">
        <v>64669596</v>
      </c>
      <c r="C185" s="12">
        <v>3135222</v>
      </c>
      <c r="D185" s="12">
        <v>2429404</v>
      </c>
      <c r="E185" s="12">
        <v>6473046</v>
      </c>
      <c r="F185" s="12">
        <v>237662</v>
      </c>
      <c r="G185" s="12">
        <v>200792</v>
      </c>
      <c r="H185" s="12">
        <v>62750615</v>
      </c>
      <c r="I185" s="12">
        <v>3114518</v>
      </c>
      <c r="J185" s="12">
        <v>2162627</v>
      </c>
      <c r="K185" s="32">
        <v>48.5</v>
      </c>
      <c r="L185" s="32">
        <v>37.6</v>
      </c>
      <c r="M185" s="3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C185" s="40"/>
      <c r="AD185" s="14">
        <f>SUM(AD81:AD183)</f>
        <v>63866780</v>
      </c>
      <c r="AE185" s="14">
        <f t="shared" ref="AE185:AL185" si="11">SUM(AE141:AE184)</f>
        <v>1344429</v>
      </c>
      <c r="AF185" s="14">
        <f t="shared" si="11"/>
        <v>994923</v>
      </c>
      <c r="AG185" s="14">
        <f t="shared" si="11"/>
        <v>2160201</v>
      </c>
      <c r="AH185" s="14">
        <f t="shared" si="11"/>
        <v>73727</v>
      </c>
      <c r="AI185" s="14">
        <f t="shared" si="11"/>
        <v>59806</v>
      </c>
      <c r="AJ185" s="14">
        <f t="shared" si="11"/>
        <v>27019354</v>
      </c>
      <c r="AK185" s="14">
        <f t="shared" si="11"/>
        <v>1335090</v>
      </c>
      <c r="AL185" s="14">
        <f t="shared" si="11"/>
        <v>914461</v>
      </c>
      <c r="AM185" s="40"/>
      <c r="AN185" s="14">
        <f>AD185-B185</f>
        <v>-802816</v>
      </c>
      <c r="AO185" s="14">
        <f>AE185-C185</f>
        <v>-1790793</v>
      </c>
      <c r="AP185" s="14">
        <f>AF185-D185</f>
        <v>-1434481</v>
      </c>
      <c r="AQ185" s="43"/>
      <c r="AR185" s="48">
        <f>C185/B185*1000</f>
        <v>48.480618310960224</v>
      </c>
      <c r="AS185" s="48">
        <f>D185/B185*1000</f>
        <v>37.56640137352953</v>
      </c>
      <c r="AT185" s="49"/>
      <c r="AU185" s="48">
        <f>AR185-K185</f>
        <v>-1.9381689039775551E-2</v>
      </c>
      <c r="AV185" s="48">
        <f>AS185-L185</f>
        <v>-3.3598626470471515E-2</v>
      </c>
      <c r="AW185" s="43"/>
      <c r="AX185" s="14">
        <f>E185-AG185</f>
        <v>4312845</v>
      </c>
      <c r="AY185" s="14">
        <f>F185-AH185</f>
        <v>163935</v>
      </c>
      <c r="AZ185" s="14">
        <f>G185-AI185</f>
        <v>140986</v>
      </c>
      <c r="BA185" s="14">
        <f>H185-AJ185</f>
        <v>35731261</v>
      </c>
      <c r="BB185" s="14">
        <f>I185-AK185</f>
        <v>1779428</v>
      </c>
      <c r="BC185" s="14">
        <f>J185-AL185</f>
        <v>1248166</v>
      </c>
    </row>
    <row r="186" spans="1:55" s="2" customFormat="1" x14ac:dyDescent="0.55000000000000004">
      <c r="A186" s="50" t="s">
        <v>205</v>
      </c>
      <c r="B186" s="33">
        <v>2078878</v>
      </c>
      <c r="C186" s="33">
        <v>116779</v>
      </c>
      <c r="D186" s="33">
        <v>69145</v>
      </c>
      <c r="E186" s="34" t="s">
        <v>25</v>
      </c>
      <c r="F186" s="34" t="s">
        <v>25</v>
      </c>
      <c r="G186" s="34" t="s">
        <v>25</v>
      </c>
      <c r="H186" s="33">
        <v>1860630</v>
      </c>
      <c r="I186" s="33">
        <v>115632</v>
      </c>
      <c r="J186" s="33">
        <v>68804</v>
      </c>
      <c r="K186" s="31">
        <v>56.1</v>
      </c>
      <c r="L186" s="31">
        <v>33.299999999999997</v>
      </c>
      <c r="M186" s="3"/>
      <c r="N186" s="33">
        <v>138476</v>
      </c>
      <c r="O186" s="33">
        <v>215617</v>
      </c>
      <c r="P186" s="33">
        <v>193743</v>
      </c>
      <c r="Q186" s="33">
        <v>401782</v>
      </c>
      <c r="R186" s="33">
        <v>296391</v>
      </c>
      <c r="S186" s="33">
        <v>60515</v>
      </c>
      <c r="T186" s="33">
        <v>363563</v>
      </c>
      <c r="U186" s="33">
        <v>201459</v>
      </c>
      <c r="V186" s="33">
        <v>207232</v>
      </c>
      <c r="W186" s="33"/>
      <c r="X186" s="33"/>
      <c r="Y186" s="33"/>
      <c r="Z186" s="33"/>
      <c r="AA186" s="33"/>
      <c r="AB186" s="44"/>
      <c r="AC186" s="40"/>
      <c r="AD186" s="45">
        <f>B186</f>
        <v>2078878</v>
      </c>
      <c r="AE186" s="45">
        <f t="shared" ref="AE186:AL186" si="12">C186</f>
        <v>116779</v>
      </c>
      <c r="AF186" s="45">
        <f t="shared" si="12"/>
        <v>69145</v>
      </c>
      <c r="AG186" s="34" t="str">
        <f t="shared" si="12"/>
        <v>—</v>
      </c>
      <c r="AH186" s="34" t="str">
        <f t="shared" si="12"/>
        <v>—</v>
      </c>
      <c r="AI186" s="34" t="str">
        <f t="shared" si="12"/>
        <v>—</v>
      </c>
      <c r="AJ186" s="45">
        <f t="shared" si="12"/>
        <v>1860630</v>
      </c>
      <c r="AK186" s="45">
        <f t="shared" si="12"/>
        <v>115632</v>
      </c>
      <c r="AL186" s="45">
        <f t="shared" si="12"/>
        <v>68804</v>
      </c>
      <c r="AM186" s="40"/>
      <c r="AQ186" s="40"/>
      <c r="AT186" s="40"/>
      <c r="AW186" s="40"/>
    </row>
    <row r="187" spans="1:55" s="2" customFormat="1" x14ac:dyDescent="0.55000000000000004">
      <c r="A187" s="1" t="s">
        <v>206</v>
      </c>
      <c r="B187" s="3"/>
      <c r="C187" s="3"/>
      <c r="D187" s="3"/>
      <c r="E187" s="3"/>
      <c r="F187" s="3"/>
      <c r="G187" s="3"/>
      <c r="H187" s="3"/>
      <c r="I187" s="3"/>
      <c r="J187" s="3"/>
      <c r="K187" s="28"/>
      <c r="L187" s="28"/>
      <c r="M187" s="3"/>
      <c r="N187" s="3">
        <v>11303</v>
      </c>
      <c r="O187" s="3">
        <v>13581</v>
      </c>
      <c r="P187" s="3">
        <v>9250</v>
      </c>
      <c r="Q187" s="3">
        <v>22621</v>
      </c>
      <c r="R187" s="3">
        <v>16776</v>
      </c>
      <c r="S187" s="3">
        <v>2732</v>
      </c>
      <c r="T187" s="3">
        <v>18195</v>
      </c>
      <c r="U187" s="3">
        <v>10601</v>
      </c>
      <c r="V187" s="3">
        <v>11820</v>
      </c>
      <c r="W187" s="3"/>
      <c r="X187" s="3"/>
      <c r="Y187" s="3"/>
      <c r="Z187" s="3"/>
      <c r="AA187" s="3"/>
      <c r="AC187" s="40"/>
      <c r="AM187" s="40"/>
      <c r="AQ187" s="40"/>
      <c r="AT187" s="40"/>
      <c r="AW187" s="40"/>
    </row>
    <row r="188" spans="1:55" s="2" customFormat="1" x14ac:dyDescent="0.55000000000000004">
      <c r="A188" s="1" t="s">
        <v>207</v>
      </c>
      <c r="B188" s="3"/>
      <c r="C188" s="3"/>
      <c r="D188" s="3"/>
      <c r="E188" s="3"/>
      <c r="F188" s="3"/>
      <c r="G188" s="3"/>
      <c r="H188" s="3"/>
      <c r="I188" s="3"/>
      <c r="J188" s="3"/>
      <c r="K188" s="28"/>
      <c r="L188" s="28"/>
      <c r="M188" s="3"/>
      <c r="N188" s="3">
        <v>6741</v>
      </c>
      <c r="O188" s="3">
        <v>6337</v>
      </c>
      <c r="P188" s="3">
        <v>4276</v>
      </c>
      <c r="Q188" s="3">
        <v>12499</v>
      </c>
      <c r="R188" s="3">
        <v>10755</v>
      </c>
      <c r="S188" s="3">
        <v>1696</v>
      </c>
      <c r="T188" s="3">
        <v>13139</v>
      </c>
      <c r="U188" s="3">
        <v>5671</v>
      </c>
      <c r="V188" s="3">
        <v>8031</v>
      </c>
      <c r="W188" s="3"/>
      <c r="X188" s="3"/>
      <c r="Y188" s="3"/>
      <c r="Z188" s="3"/>
      <c r="AA188" s="3"/>
      <c r="AC188" s="40"/>
      <c r="AM188" s="40"/>
      <c r="AQ188" s="40"/>
      <c r="AT188" s="40"/>
      <c r="AW188" s="40"/>
    </row>
    <row r="189" spans="1:55" s="13" customFormat="1" x14ac:dyDescent="0.55000000000000004">
      <c r="A189" s="11" t="s">
        <v>208</v>
      </c>
      <c r="B189" s="12">
        <v>97807339</v>
      </c>
      <c r="C189" s="12">
        <v>4580305</v>
      </c>
      <c r="D189" s="12">
        <v>3347356</v>
      </c>
      <c r="E189" s="12">
        <v>10145059</v>
      </c>
      <c r="F189" s="12">
        <v>365903</v>
      </c>
      <c r="G189" s="12">
        <v>292007</v>
      </c>
      <c r="H189" s="12">
        <v>94373651</v>
      </c>
      <c r="I189" s="12">
        <v>4510521</v>
      </c>
      <c r="J189" s="12">
        <v>2703375</v>
      </c>
      <c r="K189" s="32">
        <v>46.8</v>
      </c>
      <c r="L189" s="32">
        <v>34.200000000000003</v>
      </c>
      <c r="M189" s="3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C189" s="40"/>
      <c r="AD189" s="14">
        <f>SUM(AD38, AD70, AD80, AD185, AD186)</f>
        <v>97005523</v>
      </c>
      <c r="AE189" s="14">
        <f t="shared" ref="AE189:AL189" si="13">SUM(AE38, AE70, AE80, AE185, AE186)</f>
        <v>2789508</v>
      </c>
      <c r="AF189" s="14">
        <f t="shared" si="13"/>
        <v>1912878</v>
      </c>
      <c r="AG189" s="14">
        <f t="shared" si="13"/>
        <v>5516117</v>
      </c>
      <c r="AH189" s="14">
        <f t="shared" si="13"/>
        <v>186137</v>
      </c>
      <c r="AI189" s="14">
        <f t="shared" si="13"/>
        <v>141399</v>
      </c>
      <c r="AJ189" s="14">
        <f t="shared" si="13"/>
        <v>58662322</v>
      </c>
      <c r="AK189" s="14">
        <f t="shared" si="13"/>
        <v>2741711</v>
      </c>
      <c r="AL189" s="14">
        <f t="shared" si="13"/>
        <v>1787999</v>
      </c>
      <c r="AM189" s="40"/>
      <c r="AN189" s="14">
        <f>AD189-B189</f>
        <v>-801816</v>
      </c>
      <c r="AO189" s="14">
        <f>AE189-C189</f>
        <v>-1790797</v>
      </c>
      <c r="AP189" s="14">
        <f>AF189-D189</f>
        <v>-1434478</v>
      </c>
      <c r="AQ189" s="43"/>
      <c r="AR189" s="48">
        <f>C189/B189*1000</f>
        <v>46.829870302472905</v>
      </c>
      <c r="AS189" s="48">
        <f>D189/B189*1000</f>
        <v>34.223975769343852</v>
      </c>
      <c r="AT189" s="49"/>
      <c r="AU189" s="48">
        <f>AR189-K189</f>
        <v>2.9870302472907895E-2</v>
      </c>
      <c r="AV189" s="48">
        <f>AS189-L189</f>
        <v>2.3975769343849151E-2</v>
      </c>
      <c r="AW189" s="43"/>
      <c r="AX189" s="14">
        <f>E189-AG189</f>
        <v>4628942</v>
      </c>
      <c r="AY189" s="14">
        <f>F189-AH189</f>
        <v>179766</v>
      </c>
      <c r="AZ189" s="14">
        <f>G189-AI189</f>
        <v>150608</v>
      </c>
      <c r="BA189" s="14">
        <f>H189-AJ189</f>
        <v>35711329</v>
      </c>
      <c r="BB189" s="14">
        <f>I189-AK189</f>
        <v>1768810</v>
      </c>
      <c r="BC189" s="14">
        <f>J189-AL189</f>
        <v>915376</v>
      </c>
    </row>
    <row r="190" spans="1:55" s="8" customFormat="1" x14ac:dyDescent="0.55000000000000004">
      <c r="A190" s="6" t="s">
        <v>209</v>
      </c>
      <c r="B190" s="7">
        <v>820308</v>
      </c>
      <c r="C190" s="7">
        <v>22979</v>
      </c>
      <c r="D190" s="7">
        <v>19460</v>
      </c>
      <c r="E190" s="7">
        <v>151005</v>
      </c>
      <c r="F190" s="7">
        <v>4447</v>
      </c>
      <c r="G190" s="7">
        <v>4469</v>
      </c>
      <c r="H190" s="7">
        <v>763805</v>
      </c>
      <c r="I190" s="7">
        <v>17766</v>
      </c>
      <c r="J190" s="7">
        <v>14471</v>
      </c>
      <c r="K190" s="31">
        <v>28</v>
      </c>
      <c r="L190" s="31">
        <v>23.7</v>
      </c>
      <c r="M190" s="3"/>
      <c r="N190" s="7">
        <v>156729</v>
      </c>
      <c r="O190" s="7">
        <v>78223</v>
      </c>
      <c r="P190" s="7">
        <v>98437</v>
      </c>
      <c r="Q190" s="7">
        <v>160338</v>
      </c>
      <c r="R190" s="7">
        <v>107310</v>
      </c>
      <c r="S190" s="7">
        <v>120553</v>
      </c>
      <c r="T190" s="7">
        <v>14036</v>
      </c>
      <c r="U190" s="7"/>
      <c r="V190" s="7"/>
      <c r="W190" s="7"/>
      <c r="X190" s="7"/>
      <c r="Y190" s="7"/>
      <c r="Z190" s="7"/>
      <c r="AA190" s="7"/>
      <c r="AC190" s="40"/>
      <c r="AD190" s="9">
        <f>SUM(N190:AB190)</f>
        <v>735626</v>
      </c>
      <c r="AE190" s="9">
        <f>SUM(N191:AB191)</f>
        <v>22979</v>
      </c>
      <c r="AF190" s="9">
        <f>SUM(N192:AB192)</f>
        <v>19460</v>
      </c>
      <c r="AG190" s="9">
        <f>E190</f>
        <v>151005</v>
      </c>
      <c r="AH190" s="9">
        <f>F190</f>
        <v>4447</v>
      </c>
      <c r="AI190" s="9">
        <f>G190</f>
        <v>4469</v>
      </c>
      <c r="AJ190" s="9">
        <f>H190</f>
        <v>763805</v>
      </c>
      <c r="AK190" s="9">
        <f>I190</f>
        <v>17766</v>
      </c>
      <c r="AL190" s="9">
        <f>J190</f>
        <v>14471</v>
      </c>
      <c r="AM190" s="40"/>
      <c r="AN190" s="9">
        <f>AD190-B190</f>
        <v>-84682</v>
      </c>
      <c r="AO190" s="9">
        <f>AE190-C190</f>
        <v>0</v>
      </c>
      <c r="AP190" s="9">
        <f>AF190-D190</f>
        <v>0</v>
      </c>
      <c r="AQ190" s="43"/>
      <c r="AR190" s="48">
        <f>C190/B190*1000</f>
        <v>28.012648907483531</v>
      </c>
      <c r="AS190" s="48">
        <f>D190/B190*1000</f>
        <v>23.722796803151986</v>
      </c>
      <c r="AT190" s="49"/>
      <c r="AU190" s="48">
        <f>AR190-K190</f>
        <v>1.2648907483530536E-2</v>
      </c>
      <c r="AV190" s="48">
        <f>AS190-L190</f>
        <v>2.2796803151987177E-2</v>
      </c>
      <c r="AW190" s="43"/>
    </row>
    <row r="191" spans="1:55" s="2" customFormat="1" x14ac:dyDescent="0.55000000000000004">
      <c r="A191" s="1" t="s">
        <v>210</v>
      </c>
      <c r="B191" s="3"/>
      <c r="C191" s="3"/>
      <c r="D191" s="3"/>
      <c r="E191" s="3"/>
      <c r="F191" s="3"/>
      <c r="G191" s="3"/>
      <c r="H191" s="3"/>
      <c r="I191" s="3"/>
      <c r="J191" s="3"/>
      <c r="K191" s="28"/>
      <c r="L191" s="28"/>
      <c r="M191" s="3"/>
      <c r="N191" s="3">
        <v>4009</v>
      </c>
      <c r="O191" s="3">
        <v>2491</v>
      </c>
      <c r="P191" s="3">
        <v>1912</v>
      </c>
      <c r="Q191" s="3">
        <v>5591</v>
      </c>
      <c r="R191" s="3">
        <v>3990</v>
      </c>
      <c r="S191" s="3">
        <v>4606</v>
      </c>
      <c r="T191" s="3">
        <v>380</v>
      </c>
      <c r="U191" s="3"/>
      <c r="V191" s="3"/>
      <c r="W191" s="3"/>
      <c r="X191" s="3"/>
      <c r="Y191" s="3"/>
      <c r="Z191" s="3"/>
      <c r="AA191" s="3"/>
      <c r="AC191" s="40"/>
      <c r="AM191" s="40"/>
      <c r="AQ191" s="40"/>
      <c r="AT191" s="40"/>
      <c r="AW191" s="40"/>
    </row>
    <row r="192" spans="1:55" s="2" customFormat="1" x14ac:dyDescent="0.55000000000000004">
      <c r="A192" s="1" t="s">
        <v>211</v>
      </c>
      <c r="B192" s="3"/>
      <c r="C192" s="3"/>
      <c r="D192" s="3"/>
      <c r="E192" s="3"/>
      <c r="F192" s="3"/>
      <c r="G192" s="3"/>
      <c r="H192" s="3"/>
      <c r="I192" s="3"/>
      <c r="J192" s="3"/>
      <c r="K192" s="28"/>
      <c r="L192" s="28"/>
      <c r="M192" s="3"/>
      <c r="N192" s="3">
        <v>3822</v>
      </c>
      <c r="O192" s="3">
        <v>2259</v>
      </c>
      <c r="P192" s="3">
        <v>1823</v>
      </c>
      <c r="Q192" s="3">
        <v>4496</v>
      </c>
      <c r="R192" s="3">
        <v>3538</v>
      </c>
      <c r="S192" s="3">
        <v>3163</v>
      </c>
      <c r="T192" s="3">
        <v>359</v>
      </c>
      <c r="U192" s="3"/>
      <c r="V192" s="3"/>
      <c r="W192" s="3"/>
      <c r="X192" s="3"/>
      <c r="Y192" s="3"/>
      <c r="Z192" s="3"/>
      <c r="AA192" s="3"/>
      <c r="AC192" s="40"/>
      <c r="AM192" s="40"/>
      <c r="AQ192" s="40"/>
      <c r="AT192" s="40"/>
      <c r="AW192" s="40"/>
    </row>
    <row r="193" spans="1:49" s="8" customFormat="1" x14ac:dyDescent="0.55000000000000004">
      <c r="A193" s="6" t="s">
        <v>212</v>
      </c>
      <c r="B193" s="7">
        <v>661444</v>
      </c>
      <c r="C193" s="7">
        <v>16183</v>
      </c>
      <c r="D193" s="7">
        <v>14489</v>
      </c>
      <c r="E193" s="10" t="s">
        <v>25</v>
      </c>
      <c r="F193" s="10" t="s">
        <v>25</v>
      </c>
      <c r="G193" s="10" t="s">
        <v>25</v>
      </c>
      <c r="H193" s="7">
        <v>615493</v>
      </c>
      <c r="I193" s="7">
        <v>13149</v>
      </c>
      <c r="J193" s="7">
        <v>11596</v>
      </c>
      <c r="K193" s="31">
        <v>24.4</v>
      </c>
      <c r="L193" s="31">
        <v>21.9</v>
      </c>
      <c r="M193" s="3"/>
      <c r="N193" s="7">
        <v>35362</v>
      </c>
      <c r="O193" s="7">
        <v>49508</v>
      </c>
      <c r="P193" s="7">
        <v>60541</v>
      </c>
      <c r="Q193" s="7">
        <v>80667</v>
      </c>
      <c r="R193" s="7">
        <v>73218</v>
      </c>
      <c r="S193" s="7">
        <v>79597</v>
      </c>
      <c r="T193" s="7">
        <v>52168</v>
      </c>
      <c r="U193" s="7">
        <v>79998</v>
      </c>
      <c r="V193" s="7">
        <v>70160</v>
      </c>
      <c r="W193" s="7">
        <v>80225</v>
      </c>
      <c r="X193" s="7"/>
      <c r="Y193" s="7"/>
      <c r="Z193" s="7"/>
      <c r="AA193" s="7"/>
      <c r="AC193" s="40"/>
      <c r="AD193" s="9">
        <f>SUM(N193:AB193)</f>
        <v>661444</v>
      </c>
      <c r="AE193" s="9">
        <f>SUM(N194:AB194)</f>
        <v>16183</v>
      </c>
      <c r="AF193" s="9">
        <f>SUM(N195:AB195)</f>
        <v>14489</v>
      </c>
      <c r="AG193" s="10" t="str">
        <f>E193</f>
        <v>—</v>
      </c>
      <c r="AH193" s="10" t="str">
        <f>F193</f>
        <v>—</v>
      </c>
      <c r="AI193" s="10" t="str">
        <f>G193</f>
        <v>—</v>
      </c>
      <c r="AJ193" s="9">
        <f>H193</f>
        <v>615493</v>
      </c>
      <c r="AK193" s="9">
        <f>I193</f>
        <v>13149</v>
      </c>
      <c r="AL193" s="9">
        <f>J193</f>
        <v>11596</v>
      </c>
      <c r="AM193" s="40"/>
      <c r="AN193" s="9">
        <f>AD193-B193</f>
        <v>0</v>
      </c>
      <c r="AO193" s="9">
        <f>AE193-C193</f>
        <v>0</v>
      </c>
      <c r="AP193" s="9">
        <f>AF193-D193</f>
        <v>0</v>
      </c>
      <c r="AQ193" s="43"/>
      <c r="AR193" s="48">
        <f>C193/B193*1000</f>
        <v>24.466167959797051</v>
      </c>
      <c r="AS193" s="48">
        <f>D193/B193*1000</f>
        <v>21.905104589352991</v>
      </c>
      <c r="AT193" s="49"/>
      <c r="AU193" s="48">
        <f>AR193-K193</f>
        <v>6.6167959797052589E-2</v>
      </c>
      <c r="AV193" s="48">
        <f>AS193-L193</f>
        <v>5.1045893529924058E-3</v>
      </c>
      <c r="AW193" s="43"/>
    </row>
    <row r="194" spans="1:49" s="2" customFormat="1" x14ac:dyDescent="0.55000000000000004">
      <c r="A194" s="1" t="s">
        <v>213</v>
      </c>
      <c r="B194" s="3"/>
      <c r="C194" s="3"/>
      <c r="D194" s="3"/>
      <c r="E194" s="3"/>
      <c r="F194" s="3"/>
      <c r="G194" s="3"/>
      <c r="H194" s="3"/>
      <c r="I194" s="3"/>
      <c r="J194" s="3"/>
      <c r="K194" s="28"/>
      <c r="L194" s="28"/>
      <c r="M194" s="3"/>
      <c r="N194" s="3">
        <v>694</v>
      </c>
      <c r="O194" s="3">
        <v>1172</v>
      </c>
      <c r="P194" s="3">
        <v>1400</v>
      </c>
      <c r="Q194" s="3">
        <v>1333</v>
      </c>
      <c r="R194" s="3">
        <v>1327</v>
      </c>
      <c r="S194" s="3">
        <v>2290</v>
      </c>
      <c r="T194" s="3">
        <v>1321</v>
      </c>
      <c r="U194" s="3">
        <v>2281</v>
      </c>
      <c r="V194" s="3">
        <v>2727</v>
      </c>
      <c r="W194" s="3">
        <v>1638</v>
      </c>
      <c r="X194" s="3"/>
      <c r="Y194" s="3"/>
      <c r="Z194" s="3"/>
      <c r="AA194" s="3"/>
      <c r="AC194" s="40"/>
      <c r="AM194" s="40"/>
      <c r="AQ194" s="40"/>
      <c r="AT194" s="40"/>
      <c r="AW194" s="40"/>
    </row>
    <row r="195" spans="1:49" s="2" customFormat="1" x14ac:dyDescent="0.55000000000000004">
      <c r="A195" s="1" t="s">
        <v>214</v>
      </c>
      <c r="B195" s="3"/>
      <c r="C195" s="3"/>
      <c r="D195" s="3"/>
      <c r="E195" s="3"/>
      <c r="F195" s="3"/>
      <c r="G195" s="3"/>
      <c r="H195" s="3"/>
      <c r="I195" s="3"/>
      <c r="J195" s="3"/>
      <c r="K195" s="28"/>
      <c r="L195" s="28"/>
      <c r="M195" s="3"/>
      <c r="N195" s="3">
        <v>579</v>
      </c>
      <c r="O195" s="3">
        <v>958</v>
      </c>
      <c r="P195" s="3">
        <v>1120</v>
      </c>
      <c r="Q195" s="3">
        <v>1274</v>
      </c>
      <c r="R195" s="3">
        <v>1943</v>
      </c>
      <c r="S195" s="3">
        <v>1911</v>
      </c>
      <c r="T195" s="3">
        <v>1177</v>
      </c>
      <c r="U195" s="3">
        <v>2590</v>
      </c>
      <c r="V195" s="3">
        <v>1233</v>
      </c>
      <c r="W195" s="3">
        <v>1704</v>
      </c>
      <c r="X195" s="3"/>
      <c r="Y195" s="3"/>
      <c r="Z195" s="3"/>
      <c r="AA195" s="3"/>
      <c r="AC195" s="40"/>
      <c r="AM195" s="40"/>
      <c r="AQ195" s="40"/>
      <c r="AT195" s="40"/>
      <c r="AW195" s="40"/>
    </row>
    <row r="196" spans="1:49" s="8" customFormat="1" x14ac:dyDescent="0.55000000000000004">
      <c r="A196" s="6" t="s">
        <v>215</v>
      </c>
      <c r="B196" s="7">
        <v>850623</v>
      </c>
      <c r="C196" s="7">
        <v>21326</v>
      </c>
      <c r="D196" s="7">
        <v>15726</v>
      </c>
      <c r="E196" s="7">
        <v>83497</v>
      </c>
      <c r="F196" s="7">
        <v>2157</v>
      </c>
      <c r="G196" s="7">
        <v>1635</v>
      </c>
      <c r="H196" s="7">
        <v>757553</v>
      </c>
      <c r="I196" s="7">
        <v>19984</v>
      </c>
      <c r="J196" s="7">
        <v>13238</v>
      </c>
      <c r="K196" s="31">
        <v>25.1</v>
      </c>
      <c r="L196" s="31">
        <v>18.5</v>
      </c>
      <c r="M196" s="3"/>
      <c r="N196" s="7">
        <v>131165</v>
      </c>
      <c r="O196" s="7">
        <v>54437</v>
      </c>
      <c r="P196" s="7">
        <v>54994</v>
      </c>
      <c r="Q196" s="7">
        <v>55705</v>
      </c>
      <c r="R196" s="7">
        <v>126219</v>
      </c>
      <c r="S196" s="7">
        <v>90017</v>
      </c>
      <c r="T196" s="7">
        <v>117203</v>
      </c>
      <c r="U196" s="7">
        <v>137386</v>
      </c>
      <c r="V196" s="7"/>
      <c r="W196" s="7"/>
      <c r="X196" s="7"/>
      <c r="Y196" s="7"/>
      <c r="Z196" s="7"/>
      <c r="AA196" s="7"/>
      <c r="AC196" s="40"/>
      <c r="AD196" s="9">
        <f>SUM(N196:AB196)</f>
        <v>767126</v>
      </c>
      <c r="AE196" s="9">
        <f>SUM(N197:AB197)</f>
        <v>21326</v>
      </c>
      <c r="AF196" s="9">
        <f>SUM(N198:AB198)</f>
        <v>15726</v>
      </c>
      <c r="AG196" s="9">
        <f>E196</f>
        <v>83497</v>
      </c>
      <c r="AH196" s="9">
        <f>F196</f>
        <v>2157</v>
      </c>
      <c r="AI196" s="9">
        <f>G196</f>
        <v>1635</v>
      </c>
      <c r="AJ196" s="9">
        <f>H196</f>
        <v>757553</v>
      </c>
      <c r="AK196" s="9">
        <f>I196</f>
        <v>19984</v>
      </c>
      <c r="AL196" s="9">
        <f>J196</f>
        <v>13238</v>
      </c>
      <c r="AM196" s="40"/>
      <c r="AN196" s="9">
        <f>AD196-B196</f>
        <v>-83497</v>
      </c>
      <c r="AO196" s="9">
        <f>AE196-C196</f>
        <v>0</v>
      </c>
      <c r="AP196" s="9">
        <f>AF196-D196</f>
        <v>0</v>
      </c>
      <c r="AQ196" s="43"/>
      <c r="AR196" s="48">
        <f>C196/B196*1000</f>
        <v>25.071036169960134</v>
      </c>
      <c r="AS196" s="48">
        <f>D196/B196*1000</f>
        <v>18.487626128143724</v>
      </c>
      <c r="AT196" s="49"/>
      <c r="AU196" s="48">
        <f>AR196-K196</f>
        <v>-2.8963830039867133E-2</v>
      </c>
      <c r="AV196" s="48">
        <f>AS196-L196</f>
        <v>-1.2373871856276253E-2</v>
      </c>
      <c r="AW196" s="43"/>
    </row>
    <row r="197" spans="1:49" s="2" customFormat="1" x14ac:dyDescent="0.55000000000000004">
      <c r="A197" s="1" t="s">
        <v>216</v>
      </c>
      <c r="B197" s="3"/>
      <c r="C197" s="3"/>
      <c r="D197" s="3"/>
      <c r="E197" s="3"/>
      <c r="F197" s="3"/>
      <c r="G197" s="3"/>
      <c r="H197" s="3"/>
      <c r="I197" s="3"/>
      <c r="J197" s="3"/>
      <c r="K197" s="28"/>
      <c r="L197" s="28"/>
      <c r="M197" s="3"/>
      <c r="N197" s="3">
        <v>2925</v>
      </c>
      <c r="O197" s="3">
        <v>2829</v>
      </c>
      <c r="P197" s="3">
        <v>1408</v>
      </c>
      <c r="Q197" s="3">
        <v>2370</v>
      </c>
      <c r="R197" s="3">
        <v>2098</v>
      </c>
      <c r="S197" s="3">
        <v>2895</v>
      </c>
      <c r="T197" s="3">
        <v>3470</v>
      </c>
      <c r="U197" s="3">
        <v>3331</v>
      </c>
      <c r="V197" s="3"/>
      <c r="W197" s="3"/>
      <c r="X197" s="3"/>
      <c r="Y197" s="3"/>
      <c r="Z197" s="3"/>
      <c r="AA197" s="3"/>
      <c r="AC197" s="40"/>
      <c r="AM197" s="40"/>
      <c r="AQ197" s="40"/>
      <c r="AT197" s="40"/>
      <c r="AW197" s="40"/>
    </row>
    <row r="198" spans="1:49" s="2" customFormat="1" x14ac:dyDescent="0.55000000000000004">
      <c r="A198" s="1" t="s">
        <v>217</v>
      </c>
      <c r="B198" s="3"/>
      <c r="C198" s="3"/>
      <c r="D198" s="3"/>
      <c r="E198" s="3"/>
      <c r="F198" s="3"/>
      <c r="G198" s="3"/>
      <c r="H198" s="3"/>
      <c r="I198" s="3"/>
      <c r="J198" s="3"/>
      <c r="K198" s="28"/>
      <c r="L198" s="28"/>
      <c r="M198" s="3"/>
      <c r="N198" s="3">
        <v>1790</v>
      </c>
      <c r="O198" s="3">
        <v>1867</v>
      </c>
      <c r="P198" s="3">
        <v>908</v>
      </c>
      <c r="Q198" s="3">
        <v>1520</v>
      </c>
      <c r="R198" s="3">
        <v>1456</v>
      </c>
      <c r="S198" s="3">
        <v>2335</v>
      </c>
      <c r="T198" s="3">
        <v>3175</v>
      </c>
      <c r="U198" s="3">
        <v>2675</v>
      </c>
      <c r="V198" s="3"/>
      <c r="W198" s="3"/>
      <c r="X198" s="3"/>
      <c r="Y198" s="3"/>
      <c r="Z198" s="3"/>
      <c r="AA198" s="3"/>
      <c r="AC198" s="40"/>
      <c r="AM198" s="40"/>
      <c r="AQ198" s="40"/>
      <c r="AT198" s="40"/>
      <c r="AW198" s="40"/>
    </row>
    <row r="199" spans="1:49" s="8" customFormat="1" x14ac:dyDescent="0.55000000000000004">
      <c r="A199" s="6" t="s">
        <v>218</v>
      </c>
      <c r="B199" s="7">
        <v>237114</v>
      </c>
      <c r="C199" s="7">
        <v>3804</v>
      </c>
      <c r="D199" s="7">
        <v>1383</v>
      </c>
      <c r="E199" s="10" t="s">
        <v>25</v>
      </c>
      <c r="F199" s="10" t="s">
        <v>25</v>
      </c>
      <c r="G199" s="10" t="s">
        <v>25</v>
      </c>
      <c r="H199" s="10" t="s">
        <v>25</v>
      </c>
      <c r="I199" s="10" t="s">
        <v>25</v>
      </c>
      <c r="J199" s="10" t="s">
        <v>25</v>
      </c>
      <c r="K199" s="30" t="s">
        <v>25</v>
      </c>
      <c r="L199" s="30" t="s">
        <v>25</v>
      </c>
      <c r="M199" s="4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C199" s="40"/>
      <c r="AD199" s="9">
        <f>B199</f>
        <v>237114</v>
      </c>
      <c r="AE199" s="9">
        <f t="shared" ref="AE199:AL199" si="14">C199</f>
        <v>3804</v>
      </c>
      <c r="AF199" s="9">
        <f t="shared" si="14"/>
        <v>1383</v>
      </c>
      <c r="AG199" s="10" t="str">
        <f t="shared" si="14"/>
        <v>—</v>
      </c>
      <c r="AH199" s="10" t="str">
        <f t="shared" si="14"/>
        <v>—</v>
      </c>
      <c r="AI199" s="10" t="str">
        <f t="shared" si="14"/>
        <v>—</v>
      </c>
      <c r="AJ199" s="10" t="str">
        <f t="shared" si="14"/>
        <v>—</v>
      </c>
      <c r="AK199" s="10" t="str">
        <f t="shared" si="14"/>
        <v>—</v>
      </c>
      <c r="AL199" s="10" t="str">
        <f t="shared" si="14"/>
        <v>—</v>
      </c>
      <c r="AM199" s="40"/>
      <c r="AQ199" s="40"/>
      <c r="AR199" s="48">
        <f>C199/B199*1000</f>
        <v>16.042916065689919</v>
      </c>
      <c r="AS199" s="48">
        <f>D199/B199*1000</f>
        <v>5.8326374655229127</v>
      </c>
      <c r="AT199" s="49"/>
      <c r="AU199" s="48"/>
      <c r="AV199" s="48"/>
      <c r="AW199" s="40"/>
    </row>
    <row r="200" spans="1:49" s="8" customFormat="1" x14ac:dyDescent="0.55000000000000004">
      <c r="A200" s="6" t="s">
        <v>219</v>
      </c>
      <c r="B200" s="7">
        <v>1482889</v>
      </c>
      <c r="C200" s="7">
        <v>90231</v>
      </c>
      <c r="D200" s="7">
        <v>63243</v>
      </c>
      <c r="E200" s="7">
        <v>176226</v>
      </c>
      <c r="F200" s="7">
        <v>8136</v>
      </c>
      <c r="G200" s="7">
        <v>4710</v>
      </c>
      <c r="H200" s="7">
        <v>1353036</v>
      </c>
      <c r="I200" s="7">
        <v>83468</v>
      </c>
      <c r="J200" s="7">
        <v>55101</v>
      </c>
      <c r="K200" s="31">
        <v>60.8</v>
      </c>
      <c r="L200" s="31">
        <v>42.6</v>
      </c>
      <c r="M200" s="3"/>
      <c r="N200" s="7">
        <v>186693</v>
      </c>
      <c r="O200" s="7">
        <v>174347</v>
      </c>
      <c r="P200" s="7">
        <v>204850</v>
      </c>
      <c r="Q200" s="7">
        <v>250433</v>
      </c>
      <c r="R200" s="7">
        <v>231569</v>
      </c>
      <c r="S200" s="7">
        <v>159218</v>
      </c>
      <c r="T200" s="7">
        <v>228402</v>
      </c>
      <c r="U200" s="7">
        <v>47377</v>
      </c>
      <c r="V200" s="7"/>
      <c r="W200" s="7"/>
      <c r="X200" s="7"/>
      <c r="Y200" s="7"/>
      <c r="Z200" s="7"/>
      <c r="AA200" s="7"/>
      <c r="AC200" s="40"/>
      <c r="AD200" s="9">
        <f>SUM(N200:AB200)</f>
        <v>1482889</v>
      </c>
      <c r="AE200" s="9">
        <f>SUM(N201:AB201)</f>
        <v>90231</v>
      </c>
      <c r="AF200" s="9">
        <f>SUM(N202:AB202)</f>
        <v>63243</v>
      </c>
      <c r="AG200" s="9">
        <f>E200</f>
        <v>176226</v>
      </c>
      <c r="AH200" s="9">
        <f>F200</f>
        <v>8136</v>
      </c>
      <c r="AI200" s="9">
        <f>G200</f>
        <v>4710</v>
      </c>
      <c r="AJ200" s="9">
        <f>H200</f>
        <v>1353036</v>
      </c>
      <c r="AK200" s="9">
        <f>I200</f>
        <v>83468</v>
      </c>
      <c r="AL200" s="9">
        <f>J200</f>
        <v>55101</v>
      </c>
      <c r="AM200" s="40"/>
      <c r="AN200" s="9">
        <f>AD200-B200</f>
        <v>0</v>
      </c>
      <c r="AO200" s="9">
        <f>AE200-C200</f>
        <v>0</v>
      </c>
      <c r="AP200" s="9">
        <f>AF200-D200</f>
        <v>0</v>
      </c>
      <c r="AQ200" s="43"/>
      <c r="AR200" s="48">
        <f>C200/B200*1000</f>
        <v>60.848114727400365</v>
      </c>
      <c r="AS200" s="48">
        <f>D200/B200*1000</f>
        <v>42.64850572092719</v>
      </c>
      <c r="AT200" s="49"/>
      <c r="AU200" s="48">
        <f>AR200-K200</f>
        <v>4.8114727400367485E-2</v>
      </c>
      <c r="AV200" s="48">
        <f>AS200-L200</f>
        <v>4.8505720927188634E-2</v>
      </c>
      <c r="AW200" s="43"/>
    </row>
    <row r="201" spans="1:49" s="2" customFormat="1" x14ac:dyDescent="0.55000000000000004">
      <c r="A201" s="1" t="s">
        <v>220</v>
      </c>
      <c r="B201" s="3"/>
      <c r="C201" s="3"/>
      <c r="D201" s="3"/>
      <c r="E201" s="3"/>
      <c r="F201" s="3"/>
      <c r="G201" s="3"/>
      <c r="H201" s="3"/>
      <c r="I201" s="3"/>
      <c r="J201" s="3"/>
      <c r="K201" s="28"/>
      <c r="L201" s="28"/>
      <c r="M201" s="3"/>
      <c r="N201" s="3">
        <v>9567</v>
      </c>
      <c r="O201" s="3">
        <v>13418</v>
      </c>
      <c r="P201" s="3">
        <v>14044</v>
      </c>
      <c r="Q201" s="3">
        <v>16311</v>
      </c>
      <c r="R201" s="3">
        <v>14141</v>
      </c>
      <c r="S201" s="3">
        <v>9096</v>
      </c>
      <c r="T201" s="3">
        <v>12122</v>
      </c>
      <c r="U201" s="3">
        <v>1532</v>
      </c>
      <c r="V201" s="3"/>
      <c r="W201" s="3"/>
      <c r="X201" s="3"/>
      <c r="Y201" s="3"/>
      <c r="Z201" s="3"/>
      <c r="AA201" s="3"/>
      <c r="AC201" s="40"/>
      <c r="AM201" s="40"/>
      <c r="AQ201" s="40"/>
      <c r="AT201" s="40"/>
      <c r="AW201" s="40"/>
    </row>
    <row r="202" spans="1:49" s="2" customFormat="1" x14ac:dyDescent="0.55000000000000004">
      <c r="A202" s="1" t="s">
        <v>221</v>
      </c>
      <c r="B202" s="3"/>
      <c r="C202" s="3"/>
      <c r="D202" s="3"/>
      <c r="E202" s="3"/>
      <c r="F202" s="3"/>
      <c r="G202" s="3"/>
      <c r="H202" s="3"/>
      <c r="I202" s="3"/>
      <c r="J202" s="3"/>
      <c r="K202" s="28"/>
      <c r="L202" s="28"/>
      <c r="M202" s="3"/>
      <c r="N202" s="3">
        <v>7548</v>
      </c>
      <c r="O202" s="3">
        <v>7551</v>
      </c>
      <c r="P202" s="3">
        <v>9359</v>
      </c>
      <c r="Q202" s="3">
        <v>12549</v>
      </c>
      <c r="R202" s="3">
        <v>10901</v>
      </c>
      <c r="S202" s="3">
        <v>6717</v>
      </c>
      <c r="T202" s="3">
        <v>7704</v>
      </c>
      <c r="U202" s="3">
        <v>914</v>
      </c>
      <c r="V202" s="3"/>
      <c r="W202" s="3"/>
      <c r="X202" s="3"/>
      <c r="Y202" s="3"/>
      <c r="Z202" s="3"/>
      <c r="AA202" s="3"/>
      <c r="AC202" s="40"/>
      <c r="AM202" s="40"/>
      <c r="AQ202" s="40"/>
      <c r="AT202" s="40"/>
      <c r="AW202" s="40"/>
    </row>
    <row r="203" spans="1:49" s="8" customFormat="1" x14ac:dyDescent="0.55000000000000004">
      <c r="A203" s="6" t="s">
        <v>222</v>
      </c>
      <c r="B203" s="7">
        <v>953870</v>
      </c>
      <c r="C203" s="7">
        <v>30108</v>
      </c>
      <c r="D203" s="7">
        <v>18909</v>
      </c>
      <c r="E203" s="10" t="s">
        <v>25</v>
      </c>
      <c r="F203" s="10" t="s">
        <v>25</v>
      </c>
      <c r="G203" s="10" t="s">
        <v>25</v>
      </c>
      <c r="H203" s="7">
        <v>954253</v>
      </c>
      <c r="I203" s="7">
        <v>26463</v>
      </c>
      <c r="J203" s="7">
        <v>13135</v>
      </c>
      <c r="K203" s="31">
        <v>31.5</v>
      </c>
      <c r="L203" s="31">
        <v>19.8</v>
      </c>
      <c r="M203" s="3"/>
      <c r="N203" s="7">
        <v>194413</v>
      </c>
      <c r="O203" s="7">
        <v>53504</v>
      </c>
      <c r="P203" s="7">
        <v>70361</v>
      </c>
      <c r="Q203" s="7">
        <v>103454</v>
      </c>
      <c r="R203" s="7">
        <v>46421</v>
      </c>
      <c r="S203" s="7">
        <v>77331</v>
      </c>
      <c r="T203" s="7">
        <v>69372</v>
      </c>
      <c r="U203" s="7">
        <v>104011</v>
      </c>
      <c r="V203" s="7">
        <v>84356</v>
      </c>
      <c r="W203" s="7">
        <v>150647</v>
      </c>
      <c r="X203" s="7"/>
      <c r="Y203" s="7"/>
      <c r="Z203" s="7"/>
      <c r="AA203" s="7"/>
      <c r="AC203" s="40"/>
      <c r="AD203" s="9">
        <f>SUM(N203:AB203)</f>
        <v>953870</v>
      </c>
      <c r="AE203" s="9">
        <f>SUM(N204:AB204)</f>
        <v>30108</v>
      </c>
      <c r="AF203" s="9">
        <f>SUM(N205:AB205)</f>
        <v>18909</v>
      </c>
      <c r="AG203" s="10" t="str">
        <f>E203</f>
        <v>—</v>
      </c>
      <c r="AH203" s="10" t="str">
        <f>F203</f>
        <v>—</v>
      </c>
      <c r="AI203" s="10" t="str">
        <f>G203</f>
        <v>—</v>
      </c>
      <c r="AJ203" s="9">
        <f>H203</f>
        <v>954253</v>
      </c>
      <c r="AK203" s="9">
        <f>I203</f>
        <v>26463</v>
      </c>
      <c r="AL203" s="9">
        <f>J203</f>
        <v>13135</v>
      </c>
      <c r="AM203" s="40"/>
      <c r="AN203" s="9">
        <f>AD203-B203</f>
        <v>0</v>
      </c>
      <c r="AO203" s="9">
        <f>AE203-C203</f>
        <v>0</v>
      </c>
      <c r="AP203" s="9">
        <f>AF203-D203</f>
        <v>0</v>
      </c>
      <c r="AQ203" s="43"/>
      <c r="AR203" s="48">
        <f>C203/B203*1000</f>
        <v>31.564049608437209</v>
      </c>
      <c r="AS203" s="48">
        <f>D203/B203*1000</f>
        <v>19.823456026502562</v>
      </c>
      <c r="AT203" s="49"/>
      <c r="AU203" s="48">
        <f>AR203-K203</f>
        <v>6.404960843720886E-2</v>
      </c>
      <c r="AV203" s="48">
        <f>AS203-L203</f>
        <v>2.34560265025614E-2</v>
      </c>
      <c r="AW203" s="43"/>
    </row>
    <row r="204" spans="1:49" s="2" customFormat="1" x14ac:dyDescent="0.55000000000000004">
      <c r="A204" s="1" t="s">
        <v>223</v>
      </c>
      <c r="B204" s="3"/>
      <c r="C204" s="3"/>
      <c r="D204" s="3"/>
      <c r="E204" s="3"/>
      <c r="F204" s="3"/>
      <c r="G204" s="3"/>
      <c r="H204" s="3"/>
      <c r="I204" s="3"/>
      <c r="J204" s="3"/>
      <c r="K204" s="28"/>
      <c r="L204" s="28"/>
      <c r="M204" s="3"/>
      <c r="N204" s="3">
        <v>6226</v>
      </c>
      <c r="O204" s="3">
        <v>1595</v>
      </c>
      <c r="P204" s="3">
        <v>1732</v>
      </c>
      <c r="Q204" s="3">
        <v>3401</v>
      </c>
      <c r="R204" s="3">
        <v>1498</v>
      </c>
      <c r="S204" s="3">
        <v>3128</v>
      </c>
      <c r="T204" s="3">
        <v>2479</v>
      </c>
      <c r="U204" s="3">
        <v>3584</v>
      </c>
      <c r="V204" s="3">
        <v>2030</v>
      </c>
      <c r="W204" s="3">
        <v>4435</v>
      </c>
      <c r="X204" s="3"/>
      <c r="Y204" s="3"/>
      <c r="Z204" s="3"/>
      <c r="AA204" s="3"/>
      <c r="AC204" s="40"/>
      <c r="AG204" s="38"/>
      <c r="AH204" s="38"/>
      <c r="AI204" s="38"/>
      <c r="AM204" s="40"/>
      <c r="AQ204" s="40"/>
      <c r="AT204" s="40"/>
      <c r="AW204" s="40"/>
    </row>
    <row r="205" spans="1:49" s="2" customFormat="1" x14ac:dyDescent="0.55000000000000004">
      <c r="A205" s="1" t="s">
        <v>224</v>
      </c>
      <c r="B205" s="3"/>
      <c r="C205" s="3"/>
      <c r="D205" s="3"/>
      <c r="E205" s="3"/>
      <c r="F205" s="3"/>
      <c r="G205" s="3"/>
      <c r="H205" s="3"/>
      <c r="I205" s="3"/>
      <c r="J205" s="3"/>
      <c r="K205" s="28"/>
      <c r="L205" s="28"/>
      <c r="M205" s="3"/>
      <c r="N205" s="3">
        <v>4003</v>
      </c>
      <c r="O205" s="3">
        <v>1257</v>
      </c>
      <c r="P205" s="3">
        <v>838</v>
      </c>
      <c r="Q205" s="3">
        <v>2071</v>
      </c>
      <c r="R205" s="3">
        <v>899</v>
      </c>
      <c r="S205" s="3">
        <v>1610</v>
      </c>
      <c r="T205" s="3">
        <v>1314</v>
      </c>
      <c r="U205" s="3">
        <v>1882</v>
      </c>
      <c r="V205" s="3">
        <v>1772</v>
      </c>
      <c r="W205" s="3">
        <v>3263</v>
      </c>
      <c r="X205" s="3"/>
      <c r="Y205" s="3"/>
      <c r="Z205" s="3"/>
      <c r="AA205" s="3"/>
      <c r="AC205" s="40"/>
      <c r="AG205" s="38"/>
      <c r="AH205" s="38"/>
      <c r="AI205" s="38"/>
      <c r="AM205" s="40"/>
      <c r="AQ205" s="40"/>
      <c r="AT205" s="40"/>
      <c r="AW205" s="40"/>
    </row>
    <row r="206" spans="1:49" s="8" customFormat="1" x14ac:dyDescent="0.55000000000000004">
      <c r="A206" s="6" t="s">
        <v>225</v>
      </c>
      <c r="B206" s="7">
        <v>685943</v>
      </c>
      <c r="C206" s="7">
        <v>45449</v>
      </c>
      <c r="D206" s="7">
        <v>31455</v>
      </c>
      <c r="E206" s="10" t="s">
        <v>25</v>
      </c>
      <c r="F206" s="10" t="s">
        <v>25</v>
      </c>
      <c r="G206" s="10" t="s">
        <v>25</v>
      </c>
      <c r="H206" s="7">
        <v>670335</v>
      </c>
      <c r="I206" s="7">
        <v>40836</v>
      </c>
      <c r="J206" s="7">
        <v>27851</v>
      </c>
      <c r="K206" s="31">
        <v>66.2</v>
      </c>
      <c r="L206" s="31">
        <v>45.8</v>
      </c>
      <c r="M206" s="4"/>
      <c r="N206" s="7">
        <v>135969</v>
      </c>
      <c r="O206" s="7">
        <v>140360</v>
      </c>
      <c r="P206" s="7">
        <v>170151</v>
      </c>
      <c r="Q206" s="7">
        <v>193226</v>
      </c>
      <c r="R206" s="7">
        <v>46237</v>
      </c>
      <c r="S206" s="7"/>
      <c r="T206" s="7"/>
      <c r="U206" s="7"/>
      <c r="V206" s="7"/>
      <c r="W206" s="7"/>
      <c r="X206" s="7"/>
      <c r="Y206" s="7"/>
      <c r="Z206" s="7"/>
      <c r="AA206" s="7"/>
      <c r="AC206" s="40"/>
      <c r="AD206" s="9">
        <f>SUM(N206:AB206)</f>
        <v>685943</v>
      </c>
      <c r="AE206" s="9">
        <f>SUM(N207:AB207)</f>
        <v>45449</v>
      </c>
      <c r="AF206" s="9">
        <f>SUM(N208:AB208)</f>
        <v>31437</v>
      </c>
      <c r="AG206" s="10" t="str">
        <f>E206</f>
        <v>—</v>
      </c>
      <c r="AH206" s="10" t="str">
        <f>F206</f>
        <v>—</v>
      </c>
      <c r="AI206" s="10" t="str">
        <f>G206</f>
        <v>—</v>
      </c>
      <c r="AJ206" s="9">
        <f>H206</f>
        <v>670335</v>
      </c>
      <c r="AK206" s="9">
        <f>I206</f>
        <v>40836</v>
      </c>
      <c r="AL206" s="9">
        <f>J206</f>
        <v>27851</v>
      </c>
      <c r="AM206" s="40"/>
      <c r="AN206" s="9">
        <f>AD206-B206</f>
        <v>0</v>
      </c>
      <c r="AO206" s="9">
        <f>AE206-C206</f>
        <v>0</v>
      </c>
      <c r="AP206" s="9">
        <f>AF206-D206</f>
        <v>-18</v>
      </c>
      <c r="AQ206" s="43"/>
      <c r="AR206" s="48">
        <f>C206/B206*1000</f>
        <v>66.25769196565895</v>
      </c>
      <c r="AS206" s="48">
        <f>D206/B206*1000</f>
        <v>45.856579919905883</v>
      </c>
      <c r="AT206" s="49"/>
      <c r="AU206" s="48">
        <f>AR206-K206</f>
        <v>5.7691965658946742E-2</v>
      </c>
      <c r="AV206" s="48">
        <f>AS206-L206</f>
        <v>5.6579919905885845E-2</v>
      </c>
      <c r="AW206" s="43"/>
    </row>
    <row r="207" spans="1:49" s="2" customFormat="1" x14ac:dyDescent="0.55000000000000004">
      <c r="A207" s="1" t="s">
        <v>226</v>
      </c>
      <c r="B207" s="3"/>
      <c r="C207" s="3"/>
      <c r="D207" s="3"/>
      <c r="E207" s="3"/>
      <c r="F207" s="3"/>
      <c r="G207" s="3"/>
      <c r="H207" s="3"/>
      <c r="I207" s="3"/>
      <c r="J207" s="3"/>
      <c r="K207" s="28"/>
      <c r="L207" s="28"/>
      <c r="M207" s="3"/>
      <c r="N207" s="3">
        <v>9024</v>
      </c>
      <c r="O207" s="3">
        <v>9396</v>
      </c>
      <c r="P207" s="3">
        <v>12816</v>
      </c>
      <c r="Q207" s="3">
        <v>12921</v>
      </c>
      <c r="R207" s="3">
        <v>1292</v>
      </c>
      <c r="S207" s="3"/>
      <c r="T207" s="3"/>
      <c r="U207" s="3"/>
      <c r="V207" s="3"/>
      <c r="W207" s="3"/>
      <c r="X207" s="3"/>
      <c r="Y207" s="3"/>
      <c r="Z207" s="3"/>
      <c r="AA207" s="3"/>
      <c r="AC207" s="40"/>
      <c r="AM207" s="40"/>
      <c r="AQ207" s="40"/>
      <c r="AT207" s="40"/>
      <c r="AW207" s="40"/>
    </row>
    <row r="208" spans="1:49" s="2" customFormat="1" x14ac:dyDescent="0.55000000000000004">
      <c r="A208" s="1" t="s">
        <v>227</v>
      </c>
      <c r="B208" s="3"/>
      <c r="C208" s="3"/>
      <c r="D208" s="3"/>
      <c r="E208" s="3"/>
      <c r="F208" s="3"/>
      <c r="G208" s="3"/>
      <c r="H208" s="3"/>
      <c r="I208" s="3"/>
      <c r="J208" s="3"/>
      <c r="K208" s="28"/>
      <c r="L208" s="28"/>
      <c r="M208" s="3"/>
      <c r="N208" s="3">
        <v>6210</v>
      </c>
      <c r="O208" s="3">
        <v>5715</v>
      </c>
      <c r="P208" s="3">
        <v>8607</v>
      </c>
      <c r="Q208" s="3">
        <v>9582</v>
      </c>
      <c r="R208" s="3">
        <v>1323</v>
      </c>
      <c r="S208" s="3"/>
      <c r="T208" s="3"/>
      <c r="U208" s="3"/>
      <c r="V208" s="3"/>
      <c r="W208" s="3"/>
      <c r="X208" s="3"/>
      <c r="Y208" s="3"/>
      <c r="Z208" s="3"/>
      <c r="AA208" s="3"/>
      <c r="AC208" s="40"/>
      <c r="AM208" s="40"/>
      <c r="AQ208" s="40"/>
      <c r="AT208" s="40"/>
      <c r="AW208" s="40"/>
    </row>
    <row r="209" spans="1:55" s="8" customFormat="1" x14ac:dyDescent="0.55000000000000004">
      <c r="A209" s="6" t="s">
        <v>228</v>
      </c>
      <c r="B209" s="7">
        <v>775978</v>
      </c>
      <c r="C209" s="7">
        <v>26995</v>
      </c>
      <c r="D209" s="7">
        <v>18098</v>
      </c>
      <c r="E209" s="7">
        <v>93792</v>
      </c>
      <c r="F209" s="7">
        <v>3572</v>
      </c>
      <c r="G209" s="7">
        <v>2415</v>
      </c>
      <c r="H209" s="7">
        <v>714391</v>
      </c>
      <c r="I209" s="7">
        <v>22670</v>
      </c>
      <c r="J209" s="7">
        <v>16135</v>
      </c>
      <c r="K209" s="31">
        <v>34.799999999999997</v>
      </c>
      <c r="L209" s="31">
        <v>23.3</v>
      </c>
      <c r="M209" s="3"/>
      <c r="N209" s="7">
        <v>133855</v>
      </c>
      <c r="O209" s="7">
        <v>184618</v>
      </c>
      <c r="P209" s="7">
        <v>71769</v>
      </c>
      <c r="Q209" s="7">
        <v>96619</v>
      </c>
      <c r="R209" s="7">
        <v>125003</v>
      </c>
      <c r="S209" s="7">
        <v>104818</v>
      </c>
      <c r="T209" s="7">
        <v>59296</v>
      </c>
      <c r="U209" s="7"/>
      <c r="V209" s="7"/>
      <c r="W209" s="7"/>
      <c r="X209" s="7"/>
      <c r="Y209" s="7"/>
      <c r="Z209" s="7"/>
      <c r="AA209" s="7"/>
      <c r="AC209" s="40"/>
      <c r="AD209" s="9">
        <f>SUM(N209:AB209)</f>
        <v>775978</v>
      </c>
      <c r="AE209" s="9">
        <f>SUM(N210:AB210)</f>
        <v>26995</v>
      </c>
      <c r="AF209" s="9">
        <f>SUM(N211:AB211)</f>
        <v>18098</v>
      </c>
      <c r="AG209" s="9">
        <f>E209</f>
        <v>93792</v>
      </c>
      <c r="AH209" s="9">
        <f>F209</f>
        <v>3572</v>
      </c>
      <c r="AI209" s="9">
        <f>G209</f>
        <v>2415</v>
      </c>
      <c r="AJ209" s="9">
        <f>H209</f>
        <v>714391</v>
      </c>
      <c r="AK209" s="9">
        <f>I209</f>
        <v>22670</v>
      </c>
      <c r="AL209" s="9">
        <f>J209</f>
        <v>16135</v>
      </c>
      <c r="AM209" s="40"/>
      <c r="AN209" s="9">
        <f>AD209-B209</f>
        <v>0</v>
      </c>
      <c r="AO209" s="9">
        <f>AE209-C209</f>
        <v>0</v>
      </c>
      <c r="AP209" s="9">
        <f>AF209-D209</f>
        <v>0</v>
      </c>
      <c r="AQ209" s="43"/>
      <c r="AR209" s="48">
        <f>C209/B209*1000</f>
        <v>34.788357401885108</v>
      </c>
      <c r="AS209" s="48">
        <f>D209/B209*1000</f>
        <v>23.322826162597391</v>
      </c>
      <c r="AT209" s="49"/>
      <c r="AU209" s="48">
        <f>AR209-K209</f>
        <v>-1.1642598114889324E-2</v>
      </c>
      <c r="AV209" s="48">
        <f>AS209-L209</f>
        <v>2.282616259739001E-2</v>
      </c>
      <c r="AW209" s="43"/>
    </row>
    <row r="210" spans="1:55" s="2" customFormat="1" x14ac:dyDescent="0.55000000000000004">
      <c r="A210" s="1" t="s">
        <v>229</v>
      </c>
      <c r="B210" s="3"/>
      <c r="C210" s="3"/>
      <c r="D210" s="3"/>
      <c r="E210" s="3"/>
      <c r="F210" s="3"/>
      <c r="G210" s="3"/>
      <c r="H210" s="3"/>
      <c r="I210" s="3"/>
      <c r="J210" s="3"/>
      <c r="K210" s="28"/>
      <c r="L210" s="28"/>
      <c r="M210" s="3"/>
      <c r="N210" s="3">
        <v>4756</v>
      </c>
      <c r="O210" s="3">
        <v>3958</v>
      </c>
      <c r="P210" s="3">
        <v>2871</v>
      </c>
      <c r="Q210" s="3">
        <v>2791</v>
      </c>
      <c r="R210" s="3">
        <v>7621</v>
      </c>
      <c r="S210" s="3">
        <v>3530</v>
      </c>
      <c r="T210" s="3">
        <v>1468</v>
      </c>
      <c r="U210" s="3"/>
      <c r="V210" s="3"/>
      <c r="W210" s="3"/>
      <c r="X210" s="3"/>
      <c r="Y210" s="3"/>
      <c r="Z210" s="3"/>
      <c r="AA210" s="3"/>
      <c r="AC210" s="40"/>
      <c r="AM210" s="40"/>
      <c r="AQ210" s="40"/>
      <c r="AT210" s="40"/>
      <c r="AW210" s="40"/>
    </row>
    <row r="211" spans="1:55" s="2" customFormat="1" x14ac:dyDescent="0.55000000000000004">
      <c r="A211" s="1" t="s">
        <v>230</v>
      </c>
      <c r="B211" s="3"/>
      <c r="C211" s="3"/>
      <c r="D211" s="3"/>
      <c r="E211" s="3"/>
      <c r="F211" s="3"/>
      <c r="G211" s="3"/>
      <c r="H211" s="3"/>
      <c r="I211" s="3"/>
      <c r="J211" s="3"/>
      <c r="K211" s="28"/>
      <c r="L211" s="28"/>
      <c r="M211" s="3"/>
      <c r="N211" s="3">
        <v>1870</v>
      </c>
      <c r="O211" s="3">
        <v>3037</v>
      </c>
      <c r="P211" s="3">
        <v>2075</v>
      </c>
      <c r="Q211" s="3">
        <v>1789</v>
      </c>
      <c r="R211" s="3">
        <v>5409</v>
      </c>
      <c r="S211" s="3">
        <v>2416</v>
      </c>
      <c r="T211" s="3">
        <v>1502</v>
      </c>
      <c r="U211" s="3"/>
      <c r="V211" s="3"/>
      <c r="W211" s="3"/>
      <c r="X211" s="3"/>
      <c r="Y211" s="3"/>
      <c r="Z211" s="3"/>
      <c r="AA211" s="3"/>
      <c r="AC211" s="40"/>
      <c r="AM211" s="40"/>
      <c r="AQ211" s="40"/>
      <c r="AT211" s="40"/>
      <c r="AW211" s="40"/>
    </row>
    <row r="212" spans="1:55" s="8" customFormat="1" x14ac:dyDescent="0.55000000000000004">
      <c r="A212" s="6" t="s">
        <v>231</v>
      </c>
      <c r="B212" s="7">
        <v>800875</v>
      </c>
      <c r="C212" s="7">
        <v>26999</v>
      </c>
      <c r="D212" s="7">
        <v>19113</v>
      </c>
      <c r="E212" s="7">
        <v>148102</v>
      </c>
      <c r="F212" s="7">
        <v>5012</v>
      </c>
      <c r="G212" s="7">
        <v>4482</v>
      </c>
      <c r="H212" s="7">
        <v>823974</v>
      </c>
      <c r="I212" s="7">
        <v>29389</v>
      </c>
      <c r="J212" s="7">
        <v>16861</v>
      </c>
      <c r="K212" s="31">
        <v>33.700000000000003</v>
      </c>
      <c r="L212" s="31">
        <v>23.9</v>
      </c>
      <c r="M212" s="3"/>
      <c r="N212" s="7">
        <v>163172</v>
      </c>
      <c r="O212" s="7">
        <v>63799</v>
      </c>
      <c r="P212" s="7">
        <v>54548</v>
      </c>
      <c r="Q212" s="7">
        <v>106534</v>
      </c>
      <c r="R212" s="7">
        <v>153499</v>
      </c>
      <c r="S212" s="7">
        <v>65619</v>
      </c>
      <c r="T212" s="7">
        <v>91583</v>
      </c>
      <c r="U212" s="7">
        <v>67117</v>
      </c>
      <c r="V212" s="7">
        <v>35004</v>
      </c>
      <c r="W212" s="7"/>
      <c r="X212" s="7"/>
      <c r="Y212" s="7"/>
      <c r="Z212" s="7"/>
      <c r="AA212" s="7"/>
      <c r="AC212" s="40"/>
      <c r="AD212" s="9">
        <f>SUM(N212:AB212)</f>
        <v>800875</v>
      </c>
      <c r="AE212" s="9">
        <f>SUM(N213:AB213)</f>
        <v>26999</v>
      </c>
      <c r="AF212" s="9">
        <f>SUM(N214:AB214)</f>
        <v>19113</v>
      </c>
      <c r="AG212" s="9">
        <f>E212</f>
        <v>148102</v>
      </c>
      <c r="AH212" s="9">
        <f>F212</f>
        <v>5012</v>
      </c>
      <c r="AI212" s="9">
        <f>G212</f>
        <v>4482</v>
      </c>
      <c r="AJ212" s="9">
        <f>H212</f>
        <v>823974</v>
      </c>
      <c r="AK212" s="9">
        <f>I212</f>
        <v>29389</v>
      </c>
      <c r="AL212" s="9">
        <f>J212</f>
        <v>16861</v>
      </c>
      <c r="AM212" s="40"/>
      <c r="AN212" s="9">
        <f>AD212-B212</f>
        <v>0</v>
      </c>
      <c r="AO212" s="9">
        <f>AE212-C212</f>
        <v>0</v>
      </c>
      <c r="AP212" s="9">
        <f>AF212-D212</f>
        <v>0</v>
      </c>
      <c r="AQ212" s="43"/>
      <c r="AR212" s="48">
        <f>C212/B212*1000</f>
        <v>33.711877633837993</v>
      </c>
      <c r="AS212" s="48">
        <f>D212/B212*1000</f>
        <v>23.86514749492742</v>
      </c>
      <c r="AT212" s="49"/>
      <c r="AU212" s="48">
        <f>AR212-K212</f>
        <v>1.1877633837990231E-2</v>
      </c>
      <c r="AV212" s="48">
        <f>AS212-L212</f>
        <v>-3.485250507257831E-2</v>
      </c>
      <c r="AW212" s="43"/>
    </row>
    <row r="213" spans="1:55" s="2" customFormat="1" x14ac:dyDescent="0.55000000000000004">
      <c r="A213" s="1" t="s">
        <v>232</v>
      </c>
      <c r="B213" s="3"/>
      <c r="C213" s="3"/>
      <c r="D213" s="3"/>
      <c r="E213" s="3"/>
      <c r="F213" s="3"/>
      <c r="G213" s="3"/>
      <c r="H213" s="3"/>
      <c r="I213" s="3"/>
      <c r="J213" s="3"/>
      <c r="K213" s="28"/>
      <c r="L213" s="28"/>
      <c r="M213" s="3"/>
      <c r="N213" s="3">
        <v>5713</v>
      </c>
      <c r="O213" s="3">
        <v>3291</v>
      </c>
      <c r="P213" s="3">
        <v>2136</v>
      </c>
      <c r="Q213" s="3">
        <v>1806</v>
      </c>
      <c r="R213" s="3">
        <v>5739</v>
      </c>
      <c r="S213" s="3">
        <v>2343</v>
      </c>
      <c r="T213" s="3">
        <v>3040</v>
      </c>
      <c r="U213" s="3">
        <v>2112</v>
      </c>
      <c r="V213" s="3">
        <v>819</v>
      </c>
      <c r="W213" s="3"/>
      <c r="X213" s="3"/>
      <c r="Y213" s="3"/>
      <c r="Z213" s="3"/>
      <c r="AA213" s="3"/>
      <c r="AC213" s="40"/>
      <c r="AM213" s="40"/>
      <c r="AQ213" s="40"/>
      <c r="AT213" s="40"/>
      <c r="AW213" s="40"/>
    </row>
    <row r="214" spans="1:55" s="2" customFormat="1" x14ac:dyDescent="0.55000000000000004">
      <c r="A214" s="1" t="s">
        <v>233</v>
      </c>
      <c r="B214" s="3"/>
      <c r="C214" s="3"/>
      <c r="D214" s="3"/>
      <c r="E214" s="3"/>
      <c r="F214" s="3"/>
      <c r="G214" s="3"/>
      <c r="H214" s="3"/>
      <c r="I214" s="3"/>
      <c r="J214" s="3"/>
      <c r="K214" s="28"/>
      <c r="L214" s="28"/>
      <c r="M214" s="3"/>
      <c r="N214" s="3">
        <v>4395</v>
      </c>
      <c r="O214" s="3">
        <v>1719</v>
      </c>
      <c r="P214" s="3">
        <v>1105</v>
      </c>
      <c r="Q214" s="3">
        <v>1196</v>
      </c>
      <c r="R214" s="3">
        <v>3538</v>
      </c>
      <c r="S214" s="3">
        <v>1515</v>
      </c>
      <c r="T214" s="3">
        <v>2864</v>
      </c>
      <c r="U214" s="3">
        <v>2045</v>
      </c>
      <c r="V214" s="3">
        <v>736</v>
      </c>
      <c r="W214" s="3"/>
      <c r="X214" s="3"/>
      <c r="Y214" s="3"/>
      <c r="Z214" s="3"/>
      <c r="AA214" s="3"/>
      <c r="AC214" s="40"/>
      <c r="AM214" s="40"/>
      <c r="AQ214" s="40"/>
      <c r="AT214" s="40"/>
      <c r="AW214" s="40"/>
    </row>
    <row r="215" spans="1:55" s="8" customFormat="1" x14ac:dyDescent="0.55000000000000004">
      <c r="A215" s="6" t="s">
        <v>234</v>
      </c>
      <c r="B215" s="7">
        <v>686671</v>
      </c>
      <c r="C215" s="7">
        <v>22717</v>
      </c>
      <c r="D215" s="7">
        <v>13537</v>
      </c>
      <c r="E215" s="10" t="s">
        <v>25</v>
      </c>
      <c r="F215" s="7">
        <v>2027</v>
      </c>
      <c r="G215" s="7">
        <v>1583</v>
      </c>
      <c r="H215" s="7">
        <v>677327</v>
      </c>
      <c r="I215" s="7">
        <v>22173</v>
      </c>
      <c r="J215" s="7">
        <v>13837</v>
      </c>
      <c r="K215" s="31">
        <v>33.1</v>
      </c>
      <c r="L215" s="31">
        <v>19.7</v>
      </c>
      <c r="M215" s="4"/>
      <c r="N215" s="10" t="s">
        <v>25</v>
      </c>
      <c r="O215" s="10" t="s">
        <v>25</v>
      </c>
      <c r="P215" s="10" t="s">
        <v>25</v>
      </c>
      <c r="Q215" s="10" t="s">
        <v>25</v>
      </c>
      <c r="R215" s="10" t="s">
        <v>25</v>
      </c>
      <c r="S215" s="10" t="s">
        <v>25</v>
      </c>
      <c r="T215" s="10" t="s">
        <v>25</v>
      </c>
      <c r="U215" s="7"/>
      <c r="V215" s="7"/>
      <c r="W215" s="7"/>
      <c r="X215" s="7"/>
      <c r="Y215" s="7"/>
      <c r="Z215" s="7"/>
      <c r="AA215" s="7"/>
      <c r="AC215" s="40"/>
      <c r="AD215" s="9">
        <f>SUM(N215:AB215)</f>
        <v>0</v>
      </c>
      <c r="AE215" s="9">
        <f>SUM(N216:AB216)</f>
        <v>22717</v>
      </c>
      <c r="AF215" s="9">
        <f>SUM(N217:AB217)</f>
        <v>13537</v>
      </c>
      <c r="AG215" s="10" t="str">
        <f>E215</f>
        <v>—</v>
      </c>
      <c r="AH215" s="9">
        <f>F215</f>
        <v>2027</v>
      </c>
      <c r="AI215" s="9">
        <f>G215</f>
        <v>1583</v>
      </c>
      <c r="AJ215" s="9">
        <f>H215</f>
        <v>677327</v>
      </c>
      <c r="AK215" s="9">
        <f>I215</f>
        <v>22173</v>
      </c>
      <c r="AL215" s="9">
        <f>J215</f>
        <v>13837</v>
      </c>
      <c r="AM215" s="40"/>
      <c r="AN215" s="9">
        <f>AD215-B215</f>
        <v>-686671</v>
      </c>
      <c r="AO215" s="9">
        <f>AE215-C215</f>
        <v>0</v>
      </c>
      <c r="AP215" s="9">
        <f>AF215-D215</f>
        <v>0</v>
      </c>
      <c r="AQ215" s="43"/>
      <c r="AR215" s="48">
        <f>C215/B215*1000</f>
        <v>33.082800933780511</v>
      </c>
      <c r="AS215" s="48">
        <f>D215/B215*1000</f>
        <v>19.713953261459999</v>
      </c>
      <c r="AT215" s="49"/>
      <c r="AU215" s="48">
        <f>AR215-K215</f>
        <v>-1.7199066219490078E-2</v>
      </c>
      <c r="AV215" s="48">
        <f>AS215-L215</f>
        <v>1.3953261459999311E-2</v>
      </c>
      <c r="AW215" s="43"/>
    </row>
    <row r="216" spans="1:55" s="2" customFormat="1" x14ac:dyDescent="0.55000000000000004">
      <c r="A216" s="1" t="s">
        <v>235</v>
      </c>
      <c r="B216" s="3"/>
      <c r="C216" s="3"/>
      <c r="D216" s="3"/>
      <c r="E216" s="3"/>
      <c r="F216" s="3"/>
      <c r="G216" s="3"/>
      <c r="H216" s="3"/>
      <c r="I216" s="3"/>
      <c r="J216" s="3"/>
      <c r="K216" s="28"/>
      <c r="L216" s="28"/>
      <c r="M216" s="3"/>
      <c r="N216" s="3">
        <v>3371</v>
      </c>
      <c r="O216" s="3">
        <v>6498</v>
      </c>
      <c r="P216" s="3">
        <v>2006</v>
      </c>
      <c r="Q216" s="3">
        <v>3699</v>
      </c>
      <c r="R216" s="3">
        <v>2475</v>
      </c>
      <c r="S216" s="3">
        <v>2004</v>
      </c>
      <c r="T216" s="3">
        <v>2664</v>
      </c>
      <c r="U216" s="3"/>
      <c r="V216" s="3"/>
      <c r="W216" s="3"/>
      <c r="X216" s="3"/>
      <c r="Y216" s="3"/>
      <c r="Z216" s="3"/>
      <c r="AA216" s="3"/>
      <c r="AC216" s="40"/>
      <c r="AM216" s="40"/>
      <c r="AQ216" s="40"/>
      <c r="AT216" s="40"/>
      <c r="AW216" s="40"/>
    </row>
    <row r="217" spans="1:55" s="2" customFormat="1" x14ac:dyDescent="0.55000000000000004">
      <c r="A217" s="1" t="s">
        <v>236</v>
      </c>
      <c r="B217" s="3"/>
      <c r="C217" s="3"/>
      <c r="D217" s="3"/>
      <c r="E217" s="3"/>
      <c r="F217" s="3"/>
      <c r="G217" s="3"/>
      <c r="H217" s="3"/>
      <c r="I217" s="3"/>
      <c r="J217" s="3"/>
      <c r="K217" s="28"/>
      <c r="L217" s="28"/>
      <c r="M217" s="3"/>
      <c r="N217" s="3">
        <v>2303</v>
      </c>
      <c r="O217" s="3">
        <v>3005</v>
      </c>
      <c r="P217" s="3">
        <v>1464</v>
      </c>
      <c r="Q217" s="3">
        <v>2185</v>
      </c>
      <c r="R217" s="3">
        <v>1538</v>
      </c>
      <c r="S217" s="3">
        <v>921</v>
      </c>
      <c r="T217" s="3">
        <v>2121</v>
      </c>
      <c r="U217" s="3"/>
      <c r="V217" s="3"/>
      <c r="W217" s="3"/>
      <c r="X217" s="3"/>
      <c r="Y217" s="3"/>
      <c r="Z217" s="3"/>
      <c r="AA217" s="3"/>
      <c r="AC217" s="40"/>
      <c r="AM217" s="40"/>
      <c r="AQ217" s="40"/>
      <c r="AT217" s="40"/>
      <c r="AW217" s="40"/>
    </row>
    <row r="218" spans="1:55" s="13" customFormat="1" x14ac:dyDescent="0.55000000000000004">
      <c r="A218" s="11" t="s">
        <v>237</v>
      </c>
      <c r="B218" s="12">
        <v>7955725</v>
      </c>
      <c r="C218" s="12">
        <v>306791</v>
      </c>
      <c r="D218" s="12">
        <v>215408</v>
      </c>
      <c r="E218" s="12">
        <v>653152</v>
      </c>
      <c r="F218" s="12">
        <v>25351</v>
      </c>
      <c r="G218" s="12">
        <v>19294</v>
      </c>
      <c r="H218" s="12">
        <v>7560264</v>
      </c>
      <c r="I218" s="12">
        <v>368202</v>
      </c>
      <c r="J218" s="12">
        <v>177337</v>
      </c>
      <c r="K218" s="32">
        <v>38.799999999999997</v>
      </c>
      <c r="L218" s="32">
        <v>27.2</v>
      </c>
      <c r="M218" s="3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C218" s="40"/>
      <c r="AD218" s="14">
        <f>SUM(AD190:AD216)</f>
        <v>7100865</v>
      </c>
      <c r="AE218" s="14">
        <f t="shared" ref="AE218:AL218" si="15">SUM(AE190:AE216)</f>
        <v>306791</v>
      </c>
      <c r="AF218" s="14">
        <f t="shared" si="15"/>
        <v>215395</v>
      </c>
      <c r="AG218" s="14">
        <f t="shared" si="15"/>
        <v>652622</v>
      </c>
      <c r="AH218" s="14">
        <f t="shared" si="15"/>
        <v>25351</v>
      </c>
      <c r="AI218" s="14">
        <f t="shared" si="15"/>
        <v>19294</v>
      </c>
      <c r="AJ218" s="14">
        <f t="shared" si="15"/>
        <v>7330167</v>
      </c>
      <c r="AK218" s="14">
        <f t="shared" si="15"/>
        <v>275898</v>
      </c>
      <c r="AL218" s="14">
        <f t="shared" si="15"/>
        <v>182225</v>
      </c>
      <c r="AM218" s="40"/>
      <c r="AN218" s="14">
        <f>AD218-B218</f>
        <v>-854860</v>
      </c>
      <c r="AO218" s="14">
        <f>AE218-C218</f>
        <v>0</v>
      </c>
      <c r="AP218" s="14">
        <f>AF218-D218</f>
        <v>-13</v>
      </c>
      <c r="AQ218" s="43"/>
      <c r="AR218" s="48">
        <f>C218/B218*1000</f>
        <v>38.562293191381045</v>
      </c>
      <c r="AS218" s="48">
        <f>D218/B218*1000</f>
        <v>27.075847895697752</v>
      </c>
      <c r="AT218" s="49"/>
      <c r="AU218" s="48">
        <f>AR218-K218</f>
        <v>-0.23770680861895244</v>
      </c>
      <c r="AV218" s="48">
        <f>AS218-L218</f>
        <v>-0.12415210430224732</v>
      </c>
      <c r="AW218" s="43"/>
      <c r="AX218" s="14">
        <f>E218-AG218</f>
        <v>530</v>
      </c>
      <c r="AY218" s="14">
        <f>F218-AH218</f>
        <v>0</v>
      </c>
      <c r="AZ218" s="14">
        <f>G218-AI218</f>
        <v>0</v>
      </c>
      <c r="BA218" s="14">
        <f>H218-AJ218</f>
        <v>230097</v>
      </c>
      <c r="BB218" s="14">
        <f>I218-AK218</f>
        <v>92304</v>
      </c>
      <c r="BC218" s="14">
        <f>J218-AL218</f>
        <v>-4888</v>
      </c>
    </row>
    <row r="219" spans="1:55" s="8" customFormat="1" x14ac:dyDescent="0.55000000000000004">
      <c r="A219" s="19" t="s">
        <v>238</v>
      </c>
      <c r="B219" s="20">
        <v>63221</v>
      </c>
      <c r="C219" s="21" t="s">
        <v>25</v>
      </c>
      <c r="D219" s="21" t="s">
        <v>25</v>
      </c>
      <c r="E219" s="21" t="s">
        <v>25</v>
      </c>
      <c r="F219" s="21" t="s">
        <v>25</v>
      </c>
      <c r="G219" s="21" t="s">
        <v>25</v>
      </c>
      <c r="H219" s="21" t="s">
        <v>25</v>
      </c>
      <c r="I219" s="21" t="s">
        <v>25</v>
      </c>
      <c r="J219" s="21" t="s">
        <v>25</v>
      </c>
      <c r="K219" s="30" t="s">
        <v>25</v>
      </c>
      <c r="L219" s="30" t="s">
        <v>25</v>
      </c>
      <c r="M219" s="4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C219" s="40"/>
      <c r="AD219" s="9">
        <f>B219</f>
        <v>63221</v>
      </c>
      <c r="AE219" s="10" t="str">
        <f t="shared" ref="AE219:AL219" si="16">C219</f>
        <v>—</v>
      </c>
      <c r="AF219" s="10" t="str">
        <f t="shared" si="16"/>
        <v>—</v>
      </c>
      <c r="AG219" s="10" t="str">
        <f t="shared" si="16"/>
        <v>—</v>
      </c>
      <c r="AH219" s="10" t="str">
        <f t="shared" si="16"/>
        <v>—</v>
      </c>
      <c r="AI219" s="10" t="str">
        <f t="shared" si="16"/>
        <v>—</v>
      </c>
      <c r="AJ219" s="10" t="str">
        <f t="shared" si="16"/>
        <v>—</v>
      </c>
      <c r="AK219" s="10" t="str">
        <f t="shared" si="16"/>
        <v>—</v>
      </c>
      <c r="AL219" s="10" t="str">
        <f t="shared" si="16"/>
        <v>—</v>
      </c>
      <c r="AM219" s="40"/>
      <c r="AQ219" s="40"/>
      <c r="AR219" s="48"/>
      <c r="AS219" s="48"/>
      <c r="AT219" s="49"/>
      <c r="AU219" s="48"/>
      <c r="AV219" s="48"/>
      <c r="AW219" s="40"/>
    </row>
    <row r="220" spans="1:55" s="8" customFormat="1" x14ac:dyDescent="0.55000000000000004">
      <c r="A220" s="19" t="s">
        <v>239</v>
      </c>
      <c r="B220" s="20">
        <v>480546</v>
      </c>
      <c r="C220" s="20">
        <v>22847</v>
      </c>
      <c r="D220" s="20">
        <v>17185</v>
      </c>
      <c r="E220" s="20">
        <v>39822</v>
      </c>
      <c r="F220" s="20">
        <v>1923</v>
      </c>
      <c r="G220" s="20">
        <v>1960</v>
      </c>
      <c r="H220" s="20">
        <v>468898</v>
      </c>
      <c r="I220" s="20">
        <v>23300</v>
      </c>
      <c r="J220" s="20">
        <v>17587</v>
      </c>
      <c r="K220" s="31">
        <v>47.5</v>
      </c>
      <c r="L220" s="31">
        <v>35.700000000000003</v>
      </c>
      <c r="M220" s="3"/>
      <c r="N220" s="20">
        <v>86548</v>
      </c>
      <c r="O220" s="20">
        <v>85989</v>
      </c>
      <c r="P220" s="20">
        <v>67534</v>
      </c>
      <c r="Q220" s="20">
        <v>79027</v>
      </c>
      <c r="R220" s="20">
        <v>132358</v>
      </c>
      <c r="S220" s="20">
        <v>9223</v>
      </c>
      <c r="T220" s="7"/>
      <c r="U220" s="7"/>
      <c r="V220" s="7"/>
      <c r="W220" s="7"/>
      <c r="X220" s="7"/>
      <c r="Y220" s="7"/>
      <c r="Z220" s="7"/>
      <c r="AA220" s="7"/>
      <c r="AC220" s="40"/>
      <c r="AD220" s="9">
        <f>SUM(N220:AB220)</f>
        <v>460679</v>
      </c>
      <c r="AE220" s="9">
        <f>SUM(N221:AB221)</f>
        <v>22847</v>
      </c>
      <c r="AF220" s="9">
        <f>SUM(N222:AB222)</f>
        <v>17385</v>
      </c>
      <c r="AG220" s="9">
        <f>E220</f>
        <v>39822</v>
      </c>
      <c r="AH220" s="9">
        <f>F220</f>
        <v>1923</v>
      </c>
      <c r="AI220" s="9">
        <f>G220</f>
        <v>1960</v>
      </c>
      <c r="AJ220" s="9">
        <f>H220</f>
        <v>468898</v>
      </c>
      <c r="AK220" s="9">
        <f>I220</f>
        <v>23300</v>
      </c>
      <c r="AL220" s="9">
        <f>J220</f>
        <v>17587</v>
      </c>
      <c r="AM220" s="40"/>
      <c r="AN220" s="9">
        <f>AD220-B220</f>
        <v>-19867</v>
      </c>
      <c r="AO220" s="9">
        <f>AE220-C220</f>
        <v>0</v>
      </c>
      <c r="AP220" s="9">
        <f>AF220-D220</f>
        <v>200</v>
      </c>
      <c r="AQ220" s="43"/>
      <c r="AR220" s="48">
        <f>C220/B220*1000</f>
        <v>47.5438355537243</v>
      </c>
      <c r="AS220" s="48">
        <f>D220/B220*1000</f>
        <v>35.76140473544676</v>
      </c>
      <c r="AT220" s="49"/>
      <c r="AU220" s="48">
        <f>AR220-K220</f>
        <v>4.3835553724299814E-2</v>
      </c>
      <c r="AV220" s="48">
        <f>AS220-L220</f>
        <v>6.1404735446757286E-2</v>
      </c>
      <c r="AW220" s="43"/>
    </row>
    <row r="221" spans="1:55" s="2" customFormat="1" x14ac:dyDescent="0.55000000000000004">
      <c r="A221" s="22" t="s">
        <v>240</v>
      </c>
      <c r="B221" s="3"/>
      <c r="C221" s="3"/>
      <c r="D221" s="3"/>
      <c r="E221" s="3"/>
      <c r="F221" s="3"/>
      <c r="G221" s="3"/>
      <c r="H221" s="3"/>
      <c r="I221" s="3"/>
      <c r="J221" s="3"/>
      <c r="K221" s="28"/>
      <c r="L221" s="28"/>
      <c r="M221" s="3"/>
      <c r="N221" s="23">
        <v>3747</v>
      </c>
      <c r="O221" s="23">
        <v>4660</v>
      </c>
      <c r="P221" s="23">
        <v>2939</v>
      </c>
      <c r="Q221" s="23">
        <v>3539</v>
      </c>
      <c r="R221" s="23">
        <v>7721</v>
      </c>
      <c r="S221" s="23">
        <v>241</v>
      </c>
      <c r="T221" s="3"/>
      <c r="U221" s="3"/>
      <c r="V221" s="3"/>
      <c r="W221" s="3"/>
      <c r="X221" s="3"/>
      <c r="Y221" s="3"/>
      <c r="Z221" s="3"/>
      <c r="AA221" s="3"/>
      <c r="AC221" s="40"/>
      <c r="AM221" s="40"/>
      <c r="AQ221" s="40"/>
      <c r="AT221" s="40"/>
      <c r="AW221" s="40"/>
    </row>
    <row r="222" spans="1:55" s="2" customFormat="1" x14ac:dyDescent="0.55000000000000004">
      <c r="A222" s="22" t="s">
        <v>241</v>
      </c>
      <c r="B222" s="3"/>
      <c r="C222" s="3"/>
      <c r="D222" s="3"/>
      <c r="E222" s="3"/>
      <c r="F222" s="3"/>
      <c r="G222" s="3"/>
      <c r="H222" s="3"/>
      <c r="I222" s="3"/>
      <c r="J222" s="3"/>
      <c r="K222" s="28"/>
      <c r="L222" s="28"/>
      <c r="M222" s="3"/>
      <c r="N222" s="23">
        <v>3263</v>
      </c>
      <c r="O222" s="23">
        <v>3497</v>
      </c>
      <c r="P222" s="23">
        <v>2431</v>
      </c>
      <c r="Q222" s="23">
        <v>2366</v>
      </c>
      <c r="R222" s="23">
        <v>5615</v>
      </c>
      <c r="S222" s="23">
        <v>213</v>
      </c>
      <c r="T222" s="3"/>
      <c r="U222" s="3"/>
      <c r="V222" s="3"/>
      <c r="W222" s="3"/>
      <c r="X222" s="3"/>
      <c r="Y222" s="3"/>
      <c r="Z222" s="3"/>
      <c r="AA222" s="3"/>
      <c r="AC222" s="40"/>
      <c r="AM222" s="40"/>
      <c r="AQ222" s="40"/>
      <c r="AT222" s="40"/>
      <c r="AW222" s="40"/>
    </row>
    <row r="223" spans="1:55" s="8" customFormat="1" x14ac:dyDescent="0.55000000000000004">
      <c r="A223" s="19" t="s">
        <v>242</v>
      </c>
      <c r="B223" s="20">
        <v>565477</v>
      </c>
      <c r="C223" s="20">
        <v>16344</v>
      </c>
      <c r="D223" s="20">
        <v>14410</v>
      </c>
      <c r="E223" s="21" t="s">
        <v>25</v>
      </c>
      <c r="F223" s="21" t="s">
        <v>25</v>
      </c>
      <c r="G223" s="21" t="s">
        <v>25</v>
      </c>
      <c r="H223" s="20">
        <v>512727</v>
      </c>
      <c r="I223" s="20">
        <v>19157</v>
      </c>
      <c r="J223" s="20">
        <v>13832</v>
      </c>
      <c r="K223" s="31">
        <v>29</v>
      </c>
      <c r="L223" s="31">
        <v>16.600000000000001</v>
      </c>
      <c r="M223" s="3"/>
      <c r="N223" s="20">
        <v>114632</v>
      </c>
      <c r="O223" s="20">
        <v>28179</v>
      </c>
      <c r="P223" s="20">
        <v>19994</v>
      </c>
      <c r="Q223" s="20">
        <v>145476</v>
      </c>
      <c r="R223" s="20">
        <v>72438</v>
      </c>
      <c r="S223" s="20">
        <v>61112</v>
      </c>
      <c r="T223" s="20">
        <v>94124</v>
      </c>
      <c r="U223" s="20">
        <v>29522</v>
      </c>
      <c r="V223" s="7"/>
      <c r="W223" s="7"/>
      <c r="X223" s="7"/>
      <c r="Y223" s="7"/>
      <c r="Z223" s="7"/>
      <c r="AA223" s="7"/>
      <c r="AC223" s="40"/>
      <c r="AD223" s="9">
        <f>SUM(N223:AB223)</f>
        <v>565477</v>
      </c>
      <c r="AE223" s="9">
        <f>SUM(N224:AB224)</f>
        <v>17344</v>
      </c>
      <c r="AF223" s="9">
        <f>SUM(N225:AB225)</f>
        <v>14410</v>
      </c>
      <c r="AG223" s="10" t="str">
        <f>E223</f>
        <v>—</v>
      </c>
      <c r="AH223" s="10" t="str">
        <f>F223</f>
        <v>—</v>
      </c>
      <c r="AI223" s="10" t="str">
        <f>G223</f>
        <v>—</v>
      </c>
      <c r="AJ223" s="9">
        <f>H223</f>
        <v>512727</v>
      </c>
      <c r="AK223" s="9">
        <f>I223</f>
        <v>19157</v>
      </c>
      <c r="AL223" s="9">
        <f>J223</f>
        <v>13832</v>
      </c>
      <c r="AM223" s="40"/>
      <c r="AN223" s="9">
        <f>AD223-B223</f>
        <v>0</v>
      </c>
      <c r="AO223" s="9">
        <f>AE223-C223</f>
        <v>1000</v>
      </c>
      <c r="AP223" s="9">
        <f>AF223-D223</f>
        <v>0</v>
      </c>
      <c r="AQ223" s="43"/>
      <c r="AR223" s="48">
        <f>C223/B223*1000</f>
        <v>28.903032307237961</v>
      </c>
      <c r="AS223" s="48">
        <f>D223/B223*1000</f>
        <v>25.48291088762231</v>
      </c>
      <c r="AT223" s="49"/>
      <c r="AU223" s="48">
        <f>AR223-K223</f>
        <v>-9.6967692762039093E-2</v>
      </c>
      <c r="AV223" s="48">
        <f>AS223-L223</f>
        <v>8.8829108876223088</v>
      </c>
      <c r="AW223" s="43"/>
    </row>
    <row r="224" spans="1:55" s="2" customFormat="1" x14ac:dyDescent="0.55000000000000004">
      <c r="A224" s="22" t="s">
        <v>243</v>
      </c>
      <c r="B224" s="3"/>
      <c r="C224" s="3"/>
      <c r="D224" s="3"/>
      <c r="E224" s="3"/>
      <c r="F224" s="3"/>
      <c r="G224" s="3"/>
      <c r="H224" s="3"/>
      <c r="I224" s="3"/>
      <c r="J224" s="3"/>
      <c r="K224" s="28"/>
      <c r="L224" s="28"/>
      <c r="M224" s="3"/>
      <c r="N224" s="23">
        <v>4078</v>
      </c>
      <c r="O224" s="23">
        <v>1021</v>
      </c>
      <c r="P224" s="23">
        <v>569</v>
      </c>
      <c r="Q224" s="24" t="s">
        <v>25</v>
      </c>
      <c r="R224" s="23">
        <v>3654</v>
      </c>
      <c r="S224" s="23">
        <v>2870</v>
      </c>
      <c r="T224" s="23">
        <v>4183</v>
      </c>
      <c r="U224" s="23">
        <v>969</v>
      </c>
      <c r="V224" s="3"/>
      <c r="W224" s="3"/>
      <c r="X224" s="3"/>
      <c r="Y224" s="3"/>
      <c r="Z224" s="3"/>
      <c r="AA224" s="3"/>
      <c r="AC224" s="40"/>
      <c r="AM224" s="40"/>
      <c r="AQ224" s="40"/>
      <c r="AT224" s="40"/>
      <c r="AW224" s="40"/>
    </row>
    <row r="225" spans="1:49" s="2" customFormat="1" x14ac:dyDescent="0.55000000000000004">
      <c r="A225" s="22" t="s">
        <v>244</v>
      </c>
      <c r="B225" s="3"/>
      <c r="C225" s="3"/>
      <c r="D225" s="3"/>
      <c r="E225" s="3"/>
      <c r="F225" s="3"/>
      <c r="G225" s="3"/>
      <c r="H225" s="3"/>
      <c r="I225" s="3"/>
      <c r="J225" s="3"/>
      <c r="K225" s="28"/>
      <c r="L225" s="28"/>
      <c r="M225" s="3"/>
      <c r="N225" s="23">
        <v>1167</v>
      </c>
      <c r="O225" s="23">
        <v>320</v>
      </c>
      <c r="P225" s="23">
        <v>860</v>
      </c>
      <c r="Q225" s="23">
        <v>2011</v>
      </c>
      <c r="R225" s="23">
        <v>8150</v>
      </c>
      <c r="S225" s="23">
        <v>672</v>
      </c>
      <c r="T225" s="23">
        <v>360</v>
      </c>
      <c r="U225" s="23">
        <v>870</v>
      </c>
      <c r="V225" s="3"/>
      <c r="W225" s="3"/>
      <c r="X225" s="3"/>
      <c r="Y225" s="3"/>
      <c r="Z225" s="3"/>
      <c r="AA225" s="3"/>
      <c r="AC225" s="40"/>
      <c r="AM225" s="40"/>
      <c r="AQ225" s="40"/>
      <c r="AT225" s="40"/>
      <c r="AW225" s="40"/>
    </row>
    <row r="226" spans="1:49" s="8" customFormat="1" x14ac:dyDescent="0.55000000000000004">
      <c r="A226" s="19" t="s">
        <v>245</v>
      </c>
      <c r="B226" s="20">
        <v>444704</v>
      </c>
      <c r="C226" s="20">
        <v>20131</v>
      </c>
      <c r="D226" s="20">
        <v>14077</v>
      </c>
      <c r="E226" s="20">
        <v>58190</v>
      </c>
      <c r="F226" s="20">
        <v>2112</v>
      </c>
      <c r="G226" s="20">
        <v>1976</v>
      </c>
      <c r="H226" s="20">
        <v>427879</v>
      </c>
      <c r="I226" s="20">
        <v>20377</v>
      </c>
      <c r="J226" s="20">
        <v>17073</v>
      </c>
      <c r="K226" s="31">
        <v>45.2</v>
      </c>
      <c r="L226" s="31">
        <v>31.4</v>
      </c>
      <c r="M226" s="3"/>
      <c r="N226" s="20">
        <v>146915</v>
      </c>
      <c r="O226" s="20">
        <v>128600</v>
      </c>
      <c r="P226" s="20">
        <v>64470</v>
      </c>
      <c r="Q226" s="20">
        <v>49026</v>
      </c>
      <c r="R226" s="20">
        <v>55693</v>
      </c>
      <c r="S226" s="7"/>
      <c r="T226" s="7"/>
      <c r="U226" s="7"/>
      <c r="V226" s="7"/>
      <c r="W226" s="7"/>
      <c r="X226" s="7"/>
      <c r="Y226" s="7"/>
      <c r="Z226" s="7"/>
      <c r="AA226" s="7"/>
      <c r="AC226" s="40"/>
      <c r="AD226" s="9">
        <f>SUM(N226:AB226)</f>
        <v>444704</v>
      </c>
      <c r="AE226" s="9">
        <f>SUM(N227:AB227)</f>
        <v>20131</v>
      </c>
      <c r="AF226" s="9">
        <f>SUM(N228:AB228)</f>
        <v>14077</v>
      </c>
      <c r="AG226" s="9">
        <f>E226</f>
        <v>58190</v>
      </c>
      <c r="AH226" s="9">
        <f>F226</f>
        <v>2112</v>
      </c>
      <c r="AI226" s="9">
        <f>G226</f>
        <v>1976</v>
      </c>
      <c r="AJ226" s="9">
        <f>H226</f>
        <v>427879</v>
      </c>
      <c r="AK226" s="9">
        <f>I226</f>
        <v>20377</v>
      </c>
      <c r="AL226" s="9">
        <f>J226</f>
        <v>17073</v>
      </c>
      <c r="AM226" s="40"/>
      <c r="AN226" s="9">
        <f>AD226-B226</f>
        <v>0</v>
      </c>
      <c r="AO226" s="9">
        <f>AE226-C226</f>
        <v>0</v>
      </c>
      <c r="AP226" s="9">
        <f>AF226-D226</f>
        <v>0</v>
      </c>
      <c r="AQ226" s="43"/>
      <c r="AR226" s="48">
        <f>C226/B226*1000</f>
        <v>45.268313305029857</v>
      </c>
      <c r="AS226" s="48">
        <f>D226/B226*1000</f>
        <v>31.65476361804706</v>
      </c>
      <c r="AT226" s="49"/>
      <c r="AU226" s="48">
        <f>AR226-K226</f>
        <v>6.8313305029853666E-2</v>
      </c>
      <c r="AV226" s="48">
        <f>AS226-L226</f>
        <v>0.25476361804706116</v>
      </c>
      <c r="AW226" s="43"/>
    </row>
    <row r="227" spans="1:49" s="2" customFormat="1" x14ac:dyDescent="0.55000000000000004">
      <c r="A227" s="22" t="s">
        <v>246</v>
      </c>
      <c r="B227" s="3"/>
      <c r="C227" s="3"/>
      <c r="D227" s="3"/>
      <c r="E227" s="3"/>
      <c r="F227" s="3"/>
      <c r="G227" s="3"/>
      <c r="H227" s="3"/>
      <c r="I227" s="3"/>
      <c r="J227" s="3"/>
      <c r="K227" s="28"/>
      <c r="L227" s="28"/>
      <c r="M227" s="3"/>
      <c r="N227" s="23">
        <v>5971</v>
      </c>
      <c r="O227" s="23">
        <v>5459</v>
      </c>
      <c r="P227" s="23">
        <v>3096</v>
      </c>
      <c r="Q227" s="23">
        <v>2340</v>
      </c>
      <c r="R227" s="23">
        <v>3265</v>
      </c>
      <c r="S227" s="3"/>
      <c r="T227" s="3"/>
      <c r="U227" s="3"/>
      <c r="V227" s="3"/>
      <c r="W227" s="3"/>
      <c r="X227" s="3"/>
      <c r="Y227" s="3"/>
      <c r="Z227" s="3"/>
      <c r="AA227" s="3"/>
      <c r="AC227" s="40"/>
      <c r="AM227" s="40"/>
      <c r="AQ227" s="40"/>
      <c r="AT227" s="40"/>
      <c r="AW227" s="40"/>
    </row>
    <row r="228" spans="1:49" s="2" customFormat="1" x14ac:dyDescent="0.55000000000000004">
      <c r="A228" s="22" t="s">
        <v>247</v>
      </c>
      <c r="B228" s="3"/>
      <c r="C228" s="3"/>
      <c r="D228" s="3"/>
      <c r="E228" s="3"/>
      <c r="F228" s="3"/>
      <c r="G228" s="3"/>
      <c r="H228" s="3"/>
      <c r="I228" s="3"/>
      <c r="J228" s="3"/>
      <c r="K228" s="28"/>
      <c r="L228" s="28"/>
      <c r="M228" s="3"/>
      <c r="N228" s="23">
        <v>4375</v>
      </c>
      <c r="O228" s="23">
        <v>3994</v>
      </c>
      <c r="P228" s="23">
        <v>1879</v>
      </c>
      <c r="Q228" s="23">
        <v>1366</v>
      </c>
      <c r="R228" s="23">
        <v>2463</v>
      </c>
      <c r="S228" s="3"/>
      <c r="T228" s="3"/>
      <c r="U228" s="3"/>
      <c r="V228" s="3"/>
      <c r="W228" s="3"/>
      <c r="X228" s="3"/>
      <c r="Y228" s="3"/>
      <c r="Z228" s="3"/>
      <c r="AA228" s="3"/>
      <c r="AC228" s="40"/>
      <c r="AM228" s="40"/>
      <c r="AQ228" s="40"/>
      <c r="AT228" s="40"/>
      <c r="AW228" s="40"/>
    </row>
    <row r="229" spans="1:49" s="8" customFormat="1" x14ac:dyDescent="0.55000000000000004">
      <c r="A229" s="19" t="s">
        <v>248</v>
      </c>
      <c r="B229" s="20">
        <v>119744</v>
      </c>
      <c r="C229" s="20">
        <v>3311</v>
      </c>
      <c r="D229" s="20">
        <v>1769</v>
      </c>
      <c r="E229" s="21" t="s">
        <v>25</v>
      </c>
      <c r="F229" s="21" t="s">
        <v>25</v>
      </c>
      <c r="G229" s="21" t="s">
        <v>25</v>
      </c>
      <c r="H229" s="20">
        <v>102857</v>
      </c>
      <c r="I229" s="20">
        <v>2962</v>
      </c>
      <c r="J229" s="20">
        <v>1840</v>
      </c>
      <c r="K229" s="31" t="s">
        <v>25</v>
      </c>
      <c r="L229" s="31" t="s">
        <v>25</v>
      </c>
      <c r="M229" s="3"/>
      <c r="N229" s="20">
        <v>14606</v>
      </c>
      <c r="O229" s="20">
        <v>10350</v>
      </c>
      <c r="P229" s="20">
        <v>5399</v>
      </c>
      <c r="Q229" s="20">
        <v>675</v>
      </c>
      <c r="R229" s="20">
        <v>9561</v>
      </c>
      <c r="S229" s="20">
        <v>4040</v>
      </c>
      <c r="T229" s="20">
        <v>6644</v>
      </c>
      <c r="U229" s="20">
        <v>6460</v>
      </c>
      <c r="V229" s="20">
        <v>62009</v>
      </c>
      <c r="W229" s="7"/>
      <c r="X229" s="7"/>
      <c r="Y229" s="7"/>
      <c r="Z229" s="7"/>
      <c r="AA229" s="7"/>
      <c r="AC229" s="40"/>
      <c r="AD229" s="9">
        <f>SUM(N229:AB229)</f>
        <v>119744</v>
      </c>
      <c r="AE229" s="9">
        <f>SUM(N230:AB230)</f>
        <v>3311</v>
      </c>
      <c r="AF229" s="9">
        <f>SUM(N231:AB231)</f>
        <v>1769</v>
      </c>
      <c r="AG229" s="10" t="str">
        <f>E229</f>
        <v>—</v>
      </c>
      <c r="AH229" s="10" t="str">
        <f>F229</f>
        <v>—</v>
      </c>
      <c r="AI229" s="10" t="str">
        <f>G229</f>
        <v>—</v>
      </c>
      <c r="AJ229" s="9">
        <f>H229</f>
        <v>102857</v>
      </c>
      <c r="AK229" s="9">
        <f>I229</f>
        <v>2962</v>
      </c>
      <c r="AL229" s="9">
        <f>J229</f>
        <v>1840</v>
      </c>
      <c r="AM229" s="40"/>
      <c r="AN229" s="9">
        <f>AD229-B229</f>
        <v>0</v>
      </c>
      <c r="AO229" s="9">
        <f>AE229-C229</f>
        <v>0</v>
      </c>
      <c r="AP229" s="9">
        <f>AF229-D229</f>
        <v>0</v>
      </c>
      <c r="AQ229" s="43"/>
      <c r="AR229" s="48">
        <f>C229/B229*1000</f>
        <v>27.65065473009086</v>
      </c>
      <c r="AS229" s="48">
        <f>D229/B229*1000</f>
        <v>14.773182789951896</v>
      </c>
      <c r="AT229" s="49"/>
      <c r="AU229" s="48"/>
      <c r="AV229" s="48"/>
      <c r="AW229" s="43"/>
    </row>
    <row r="230" spans="1:49" s="2" customFormat="1" x14ac:dyDescent="0.55000000000000004">
      <c r="A230" s="22" t="s">
        <v>249</v>
      </c>
      <c r="B230" s="3"/>
      <c r="C230" s="3"/>
      <c r="D230" s="3"/>
      <c r="E230" s="3"/>
      <c r="F230" s="3"/>
      <c r="G230" s="3"/>
      <c r="H230" s="3"/>
      <c r="I230" s="3"/>
      <c r="J230" s="3"/>
      <c r="K230" s="28"/>
      <c r="L230" s="28"/>
      <c r="M230" s="3"/>
      <c r="N230" s="23">
        <v>538</v>
      </c>
      <c r="O230" s="24" t="s">
        <v>25</v>
      </c>
      <c r="P230" s="23">
        <v>24</v>
      </c>
      <c r="Q230" s="23">
        <v>26</v>
      </c>
      <c r="R230" s="23">
        <v>192</v>
      </c>
      <c r="S230" s="23">
        <v>122</v>
      </c>
      <c r="T230" s="23">
        <v>197</v>
      </c>
      <c r="U230" s="23">
        <v>284</v>
      </c>
      <c r="V230" s="23">
        <v>1928</v>
      </c>
      <c r="W230" s="3"/>
      <c r="X230" s="3"/>
      <c r="Y230" s="3"/>
      <c r="Z230" s="3"/>
      <c r="AA230" s="3"/>
      <c r="AC230" s="40"/>
      <c r="AM230" s="40"/>
      <c r="AQ230" s="40"/>
      <c r="AT230" s="40"/>
      <c r="AW230" s="40"/>
    </row>
    <row r="231" spans="1:49" s="2" customFormat="1" x14ac:dyDescent="0.55000000000000004">
      <c r="A231" s="22" t="s">
        <v>250</v>
      </c>
      <c r="B231" s="3"/>
      <c r="C231" s="3"/>
      <c r="D231" s="3"/>
      <c r="E231" s="3"/>
      <c r="F231" s="3"/>
      <c r="G231" s="3"/>
      <c r="H231" s="3"/>
      <c r="I231" s="3"/>
      <c r="J231" s="3"/>
      <c r="K231" s="28"/>
      <c r="L231" s="28"/>
      <c r="M231" s="3"/>
      <c r="N231" s="23">
        <v>222</v>
      </c>
      <c r="O231" s="24" t="s">
        <v>25</v>
      </c>
      <c r="P231" s="23">
        <v>26</v>
      </c>
      <c r="Q231" s="23">
        <v>14</v>
      </c>
      <c r="R231" s="23">
        <v>179</v>
      </c>
      <c r="S231" s="23">
        <v>164</v>
      </c>
      <c r="T231" s="23">
        <v>86</v>
      </c>
      <c r="U231" s="23">
        <v>128</v>
      </c>
      <c r="V231" s="23">
        <v>950</v>
      </c>
      <c r="W231" s="3"/>
      <c r="X231" s="3"/>
      <c r="Y231" s="3"/>
      <c r="Z231" s="3"/>
      <c r="AA231" s="3"/>
      <c r="AC231" s="40"/>
      <c r="AM231" s="40"/>
      <c r="AQ231" s="40"/>
      <c r="AT231" s="40"/>
      <c r="AW231" s="40"/>
    </row>
    <row r="232" spans="1:49" s="8" customFormat="1" x14ac:dyDescent="0.55000000000000004">
      <c r="A232" s="19" t="s">
        <v>251</v>
      </c>
      <c r="B232" s="20">
        <v>1411475</v>
      </c>
      <c r="C232" s="20">
        <v>73772</v>
      </c>
      <c r="D232" s="20">
        <v>58271</v>
      </c>
      <c r="E232" s="20">
        <v>99804</v>
      </c>
      <c r="F232" s="20">
        <v>2262</v>
      </c>
      <c r="G232" s="20">
        <v>2550</v>
      </c>
      <c r="H232" s="20">
        <v>1393432</v>
      </c>
      <c r="I232" s="20">
        <v>76165</v>
      </c>
      <c r="J232" s="20">
        <v>61052</v>
      </c>
      <c r="K232" s="31">
        <v>52.3</v>
      </c>
      <c r="L232" s="31">
        <v>41.3</v>
      </c>
      <c r="M232" s="3"/>
      <c r="N232" s="20">
        <v>126707</v>
      </c>
      <c r="O232" s="20">
        <v>31452</v>
      </c>
      <c r="P232" s="20">
        <v>274400</v>
      </c>
      <c r="Q232" s="20">
        <v>266295</v>
      </c>
      <c r="R232" s="20">
        <v>8544</v>
      </c>
      <c r="S232" s="20">
        <v>148902</v>
      </c>
      <c r="T232" s="20">
        <v>71444</v>
      </c>
      <c r="U232" s="20">
        <v>158211</v>
      </c>
      <c r="V232" s="20">
        <v>124624</v>
      </c>
      <c r="W232" s="20">
        <v>200886</v>
      </c>
      <c r="X232" s="7"/>
      <c r="Y232" s="7"/>
      <c r="Z232" s="7"/>
      <c r="AA232" s="7"/>
      <c r="AC232" s="40"/>
      <c r="AD232" s="9">
        <f>SUM(N232:AB232)</f>
        <v>1411465</v>
      </c>
      <c r="AE232" s="9">
        <f>SUM(N233:AB233)</f>
        <v>72467</v>
      </c>
      <c r="AF232" s="9">
        <f>SUM(N234:AB234)</f>
        <v>58271</v>
      </c>
      <c r="AG232" s="9">
        <f>E232</f>
        <v>99804</v>
      </c>
      <c r="AH232" s="9">
        <f>F232</f>
        <v>2262</v>
      </c>
      <c r="AI232" s="9">
        <f>G232</f>
        <v>2550</v>
      </c>
      <c r="AJ232" s="9">
        <f>H232</f>
        <v>1393432</v>
      </c>
      <c r="AK232" s="9">
        <f>I232</f>
        <v>76165</v>
      </c>
      <c r="AL232" s="9">
        <f>J232</f>
        <v>61052</v>
      </c>
      <c r="AM232" s="40"/>
      <c r="AN232" s="9">
        <f>AD232-B232</f>
        <v>-10</v>
      </c>
      <c r="AO232" s="9">
        <f>AE232-C232</f>
        <v>-1305</v>
      </c>
      <c r="AP232" s="9">
        <f>AF232-D232</f>
        <v>0</v>
      </c>
      <c r="AQ232" s="43"/>
      <c r="AR232" s="48">
        <f>C232/B232*1000</f>
        <v>52.265892063267152</v>
      </c>
      <c r="AS232" s="48">
        <f>D232/B232*1000</f>
        <v>41.283763438955702</v>
      </c>
      <c r="AT232" s="49"/>
      <c r="AU232" s="48">
        <f>AR232-K232</f>
        <v>-3.4107936732844735E-2</v>
      </c>
      <c r="AV232" s="48">
        <f>AS232-L232</f>
        <v>-1.6236561044294717E-2</v>
      </c>
      <c r="AW232" s="43"/>
    </row>
    <row r="233" spans="1:49" s="2" customFormat="1" x14ac:dyDescent="0.55000000000000004">
      <c r="A233" s="22" t="s">
        <v>252</v>
      </c>
      <c r="B233" s="3"/>
      <c r="C233" s="3"/>
      <c r="D233" s="3"/>
      <c r="E233" s="3"/>
      <c r="F233" s="3"/>
      <c r="G233" s="3"/>
      <c r="H233" s="3"/>
      <c r="I233" s="3"/>
      <c r="J233" s="3"/>
      <c r="K233" s="28"/>
      <c r="L233" s="28"/>
      <c r="M233" s="3"/>
      <c r="N233" s="23">
        <v>5642</v>
      </c>
      <c r="O233" s="24" t="s">
        <v>25</v>
      </c>
      <c r="P233" s="23">
        <v>16521</v>
      </c>
      <c r="Q233" s="23">
        <v>16788</v>
      </c>
      <c r="R233" s="23">
        <v>334</v>
      </c>
      <c r="S233" s="23">
        <v>7099</v>
      </c>
      <c r="T233" s="23">
        <v>3483</v>
      </c>
      <c r="U233" s="23">
        <v>7973</v>
      </c>
      <c r="V233" s="23">
        <v>4673</v>
      </c>
      <c r="W233" s="23">
        <v>9954</v>
      </c>
      <c r="X233" s="3"/>
      <c r="Y233" s="3"/>
      <c r="Z233" s="3"/>
      <c r="AA233" s="3"/>
      <c r="AC233" s="40"/>
      <c r="AM233" s="40"/>
      <c r="AQ233" s="40"/>
      <c r="AT233" s="40"/>
      <c r="AW233" s="40"/>
    </row>
    <row r="234" spans="1:49" s="2" customFormat="1" x14ac:dyDescent="0.55000000000000004">
      <c r="A234" s="22" t="s">
        <v>253</v>
      </c>
      <c r="B234" s="3"/>
      <c r="C234" s="3"/>
      <c r="D234" s="3"/>
      <c r="E234" s="3"/>
      <c r="F234" s="3"/>
      <c r="G234" s="3"/>
      <c r="H234" s="3"/>
      <c r="I234" s="3"/>
      <c r="J234" s="3"/>
      <c r="K234" s="28"/>
      <c r="L234" s="28"/>
      <c r="M234" s="3"/>
      <c r="N234" s="23">
        <v>4568</v>
      </c>
      <c r="O234" s="23">
        <v>1200</v>
      </c>
      <c r="P234" s="23">
        <v>12987</v>
      </c>
      <c r="Q234" s="23">
        <v>12737</v>
      </c>
      <c r="R234" s="23">
        <v>336</v>
      </c>
      <c r="S234" s="23">
        <v>4727</v>
      </c>
      <c r="T234" s="23">
        <v>3333</v>
      </c>
      <c r="U234" s="23">
        <v>5279</v>
      </c>
      <c r="V234" s="23">
        <v>4518</v>
      </c>
      <c r="W234" s="23">
        <v>8586</v>
      </c>
      <c r="X234" s="3"/>
      <c r="Y234" s="3"/>
      <c r="Z234" s="3"/>
      <c r="AA234" s="3"/>
      <c r="AC234" s="40"/>
      <c r="AM234" s="40"/>
      <c r="AQ234" s="40"/>
      <c r="AT234" s="40"/>
      <c r="AW234" s="40"/>
    </row>
    <row r="235" spans="1:49" s="8" customFormat="1" x14ac:dyDescent="0.55000000000000004">
      <c r="A235" s="19" t="s">
        <v>254</v>
      </c>
      <c r="B235" s="20">
        <v>1422681</v>
      </c>
      <c r="C235" s="20">
        <v>67604</v>
      </c>
      <c r="D235" s="20">
        <v>38492</v>
      </c>
      <c r="E235" s="21" t="s">
        <v>25</v>
      </c>
      <c r="F235" s="21" t="s">
        <v>25</v>
      </c>
      <c r="G235" s="21" t="s">
        <v>25</v>
      </c>
      <c r="H235" s="20">
        <v>1326265</v>
      </c>
      <c r="I235" s="20">
        <v>63453</v>
      </c>
      <c r="J235" s="20">
        <v>35157</v>
      </c>
      <c r="K235" s="31">
        <v>47.5</v>
      </c>
      <c r="L235" s="31">
        <v>27</v>
      </c>
      <c r="M235" s="3"/>
      <c r="N235" s="20">
        <v>214609</v>
      </c>
      <c r="O235" s="20">
        <v>318785</v>
      </c>
      <c r="P235" s="20">
        <v>366358</v>
      </c>
      <c r="Q235" s="20">
        <v>167569</v>
      </c>
      <c r="R235" s="20">
        <v>174104</v>
      </c>
      <c r="S235" s="20">
        <v>121338</v>
      </c>
      <c r="T235" s="7"/>
      <c r="U235" s="7"/>
      <c r="V235" s="7"/>
      <c r="W235" s="7"/>
      <c r="X235" s="7"/>
      <c r="Y235" s="7"/>
      <c r="Z235" s="7"/>
      <c r="AA235" s="7"/>
      <c r="AC235" s="40"/>
      <c r="AD235" s="9">
        <f>SUM(N235:AB235)</f>
        <v>1362763</v>
      </c>
      <c r="AE235" s="9">
        <f>SUM(N236:AB236)</f>
        <v>67604</v>
      </c>
      <c r="AF235" s="9">
        <f>SUM(N237:AB237)</f>
        <v>38492</v>
      </c>
      <c r="AG235" s="10" t="str">
        <f>E235</f>
        <v>—</v>
      </c>
      <c r="AH235" s="10" t="str">
        <f>F235</f>
        <v>—</v>
      </c>
      <c r="AI235" s="10" t="str">
        <f>G235</f>
        <v>—</v>
      </c>
      <c r="AJ235" s="9">
        <f>H235</f>
        <v>1326265</v>
      </c>
      <c r="AK235" s="9">
        <f>I235</f>
        <v>63453</v>
      </c>
      <c r="AL235" s="9">
        <f>J235</f>
        <v>35157</v>
      </c>
      <c r="AM235" s="40"/>
      <c r="AN235" s="9">
        <f>AD235-B235</f>
        <v>-59918</v>
      </c>
      <c r="AO235" s="9">
        <f>AE235-C235</f>
        <v>0</v>
      </c>
      <c r="AP235" s="9">
        <f>AF235-D235</f>
        <v>0</v>
      </c>
      <c r="AQ235" s="43"/>
      <c r="AR235" s="48">
        <f>C235/B235*1000</f>
        <v>47.518733995885235</v>
      </c>
      <c r="AS235" s="48">
        <f>D235/B235*1000</f>
        <v>27.055959839204995</v>
      </c>
      <c r="AT235" s="49"/>
      <c r="AU235" s="48">
        <f>AR235-K235</f>
        <v>1.8733995885234833E-2</v>
      </c>
      <c r="AV235" s="48">
        <f>AS235-L235</f>
        <v>5.5959839204994921E-2</v>
      </c>
      <c r="AW235" s="43"/>
    </row>
    <row r="236" spans="1:49" s="2" customFormat="1" x14ac:dyDescent="0.55000000000000004">
      <c r="A236" s="22" t="s">
        <v>255</v>
      </c>
      <c r="B236" s="3"/>
      <c r="C236" s="3"/>
      <c r="D236" s="3"/>
      <c r="E236" s="3"/>
      <c r="F236" s="3"/>
      <c r="G236" s="3"/>
      <c r="H236" s="3"/>
      <c r="I236" s="3"/>
      <c r="J236" s="3"/>
      <c r="K236" s="28"/>
      <c r="L236" s="28"/>
      <c r="M236" s="3"/>
      <c r="N236" s="23">
        <v>11309</v>
      </c>
      <c r="O236" s="23">
        <v>17664</v>
      </c>
      <c r="P236" s="23">
        <v>18927</v>
      </c>
      <c r="Q236" s="23">
        <v>7219</v>
      </c>
      <c r="R236" s="23">
        <v>6594</v>
      </c>
      <c r="S236" s="23">
        <v>5891</v>
      </c>
      <c r="T236" s="3"/>
      <c r="U236" s="3"/>
      <c r="V236" s="3"/>
      <c r="W236" s="3"/>
      <c r="X236" s="3"/>
      <c r="Y236" s="3"/>
      <c r="Z236" s="3"/>
      <c r="AA236" s="3"/>
      <c r="AC236" s="40"/>
      <c r="AM236" s="40"/>
      <c r="AQ236" s="40"/>
      <c r="AT236" s="40"/>
      <c r="AW236" s="40"/>
    </row>
    <row r="237" spans="1:49" s="2" customFormat="1" x14ac:dyDescent="0.55000000000000004">
      <c r="A237" s="22" t="s">
        <v>256</v>
      </c>
      <c r="B237" s="3"/>
      <c r="C237" s="3"/>
      <c r="D237" s="3"/>
      <c r="E237" s="3"/>
      <c r="F237" s="3"/>
      <c r="G237" s="3"/>
      <c r="H237" s="3"/>
      <c r="I237" s="3"/>
      <c r="J237" s="3"/>
      <c r="K237" s="28"/>
      <c r="L237" s="28"/>
      <c r="M237" s="3"/>
      <c r="N237" s="23">
        <v>8440</v>
      </c>
      <c r="O237" s="23">
        <v>8247</v>
      </c>
      <c r="P237" s="23">
        <v>9690</v>
      </c>
      <c r="Q237" s="23">
        <v>4559</v>
      </c>
      <c r="R237" s="23">
        <v>3095</v>
      </c>
      <c r="S237" s="23">
        <v>4461</v>
      </c>
      <c r="T237" s="3"/>
      <c r="U237" s="3"/>
      <c r="V237" s="3"/>
      <c r="W237" s="3"/>
      <c r="X237" s="3"/>
      <c r="Y237" s="3"/>
      <c r="Z237" s="3"/>
      <c r="AA237" s="3"/>
      <c r="AC237" s="40"/>
      <c r="AM237" s="40"/>
      <c r="AQ237" s="40"/>
      <c r="AT237" s="40"/>
      <c r="AW237" s="40"/>
    </row>
    <row r="238" spans="1:49" s="8" customFormat="1" x14ac:dyDescent="0.55000000000000004">
      <c r="A238" s="19" t="s">
        <v>257</v>
      </c>
      <c r="B238" s="20">
        <v>257753</v>
      </c>
      <c r="C238" s="20">
        <v>8202</v>
      </c>
      <c r="D238" s="20">
        <v>5111</v>
      </c>
      <c r="E238" s="21" t="s">
        <v>25</v>
      </c>
      <c r="F238" s="21" t="s">
        <v>25</v>
      </c>
      <c r="G238" s="21" t="s">
        <v>25</v>
      </c>
      <c r="H238" s="20">
        <v>255661</v>
      </c>
      <c r="I238" s="20">
        <v>6924</v>
      </c>
      <c r="J238" s="20">
        <v>6467</v>
      </c>
      <c r="K238" s="31">
        <v>31.8</v>
      </c>
      <c r="L238" s="31">
        <v>20</v>
      </c>
      <c r="M238" s="3"/>
      <c r="N238" s="20">
        <v>150924</v>
      </c>
      <c r="O238" s="20">
        <v>12985</v>
      </c>
      <c r="P238" s="20">
        <v>72855</v>
      </c>
      <c r="Q238" s="20">
        <v>6102</v>
      </c>
      <c r="R238" s="20">
        <v>14887</v>
      </c>
      <c r="S238" s="7"/>
      <c r="T238" s="7"/>
      <c r="U238" s="7"/>
      <c r="V238" s="7"/>
      <c r="W238" s="7"/>
      <c r="X238" s="7"/>
      <c r="Y238" s="7"/>
      <c r="Z238" s="7"/>
      <c r="AA238" s="7"/>
      <c r="AC238" s="40"/>
      <c r="AD238" s="9">
        <f>SUM(N238:AB238)</f>
        <v>257753</v>
      </c>
      <c r="AE238" s="9">
        <f>SUM(N239:AB239)</f>
        <v>8202</v>
      </c>
      <c r="AF238" s="9">
        <f>SUM(N240:AB240)</f>
        <v>5111</v>
      </c>
      <c r="AG238" s="10" t="str">
        <f>E238</f>
        <v>—</v>
      </c>
      <c r="AH238" s="10" t="str">
        <f>F238</f>
        <v>—</v>
      </c>
      <c r="AI238" s="10" t="str">
        <f>G238</f>
        <v>—</v>
      </c>
      <c r="AJ238" s="9">
        <f>H238</f>
        <v>255661</v>
      </c>
      <c r="AK238" s="9">
        <f>I238</f>
        <v>6924</v>
      </c>
      <c r="AL238" s="9">
        <f>J238</f>
        <v>6467</v>
      </c>
      <c r="AM238" s="40"/>
      <c r="AN238" s="9">
        <f>AD238-B238</f>
        <v>0</v>
      </c>
      <c r="AO238" s="9">
        <f>AE238-C238</f>
        <v>0</v>
      </c>
      <c r="AP238" s="9">
        <f>AF238-D238</f>
        <v>0</v>
      </c>
      <c r="AQ238" s="43"/>
      <c r="AR238" s="48">
        <f>C238/B238*1000</f>
        <v>31.821162120324495</v>
      </c>
      <c r="AS238" s="48">
        <f>D238/B238*1000</f>
        <v>19.829061155447267</v>
      </c>
      <c r="AT238" s="49"/>
      <c r="AU238" s="48">
        <f>AR238-K238</f>
        <v>2.1162120324493827E-2</v>
      </c>
      <c r="AV238" s="48">
        <f>AS238-L238</f>
        <v>-0.17093884455273312</v>
      </c>
      <c r="AW238" s="43"/>
    </row>
    <row r="239" spans="1:49" s="2" customFormat="1" x14ac:dyDescent="0.55000000000000004">
      <c r="A239" s="22" t="s">
        <v>258</v>
      </c>
      <c r="B239" s="3"/>
      <c r="C239" s="3"/>
      <c r="D239" s="3"/>
      <c r="E239" s="3"/>
      <c r="F239" s="3"/>
      <c r="G239" s="3"/>
      <c r="H239" s="3"/>
      <c r="I239" s="3"/>
      <c r="J239" s="3"/>
      <c r="K239" s="28"/>
      <c r="L239" s="28"/>
      <c r="M239" s="3"/>
      <c r="N239" s="23">
        <v>4963</v>
      </c>
      <c r="O239" s="23">
        <v>319</v>
      </c>
      <c r="P239" s="23">
        <v>2142</v>
      </c>
      <c r="Q239" s="23">
        <v>135</v>
      </c>
      <c r="R239" s="23">
        <v>643</v>
      </c>
      <c r="S239" s="3"/>
      <c r="T239" s="3"/>
      <c r="U239" s="3"/>
      <c r="V239" s="3"/>
      <c r="W239" s="3"/>
      <c r="X239" s="3"/>
      <c r="Y239" s="3"/>
      <c r="Z239" s="3"/>
      <c r="AA239" s="3"/>
      <c r="AC239" s="40"/>
      <c r="AM239" s="40"/>
      <c r="AQ239" s="40"/>
      <c r="AT239" s="40"/>
      <c r="AW239" s="40"/>
    </row>
    <row r="240" spans="1:49" s="2" customFormat="1" x14ac:dyDescent="0.55000000000000004">
      <c r="A240" s="22" t="s">
        <v>259</v>
      </c>
      <c r="B240" s="3"/>
      <c r="C240" s="3"/>
      <c r="D240" s="3"/>
      <c r="E240" s="3"/>
      <c r="F240" s="3"/>
      <c r="G240" s="3"/>
      <c r="H240" s="3"/>
      <c r="I240" s="3"/>
      <c r="J240" s="3"/>
      <c r="K240" s="28"/>
      <c r="L240" s="28"/>
      <c r="M240" s="3"/>
      <c r="N240" s="23">
        <v>3105</v>
      </c>
      <c r="O240" s="23">
        <v>265</v>
      </c>
      <c r="P240" s="23">
        <v>1217</v>
      </c>
      <c r="Q240" s="23">
        <v>83</v>
      </c>
      <c r="R240" s="23">
        <v>441</v>
      </c>
      <c r="S240" s="3"/>
      <c r="T240" s="3"/>
      <c r="U240" s="3"/>
      <c r="V240" s="3"/>
      <c r="W240" s="3"/>
      <c r="X240" s="3"/>
      <c r="Y240" s="3"/>
      <c r="Z240" s="3"/>
      <c r="AA240" s="3"/>
      <c r="AC240" s="40"/>
      <c r="AM240" s="40"/>
      <c r="AQ240" s="40"/>
      <c r="AT240" s="40"/>
      <c r="AW240" s="40"/>
    </row>
    <row r="241" spans="1:55" s="8" customFormat="1" x14ac:dyDescent="0.55000000000000004">
      <c r="A241" s="19" t="s">
        <v>260</v>
      </c>
      <c r="B241" s="20">
        <v>17051</v>
      </c>
      <c r="C241" s="20">
        <v>342</v>
      </c>
      <c r="D241" s="20">
        <v>335</v>
      </c>
      <c r="E241" s="21" t="s">
        <v>25</v>
      </c>
      <c r="F241" s="21" t="s">
        <v>25</v>
      </c>
      <c r="G241" s="21" t="s">
        <v>25</v>
      </c>
      <c r="H241" s="20">
        <v>15244</v>
      </c>
      <c r="I241" s="20">
        <v>356</v>
      </c>
      <c r="J241" s="20">
        <v>241</v>
      </c>
      <c r="K241" s="31">
        <v>20.100000000000001</v>
      </c>
      <c r="L241" s="31">
        <v>19.7</v>
      </c>
      <c r="M241" s="3"/>
      <c r="N241" s="20">
        <v>7546</v>
      </c>
      <c r="O241" s="20">
        <v>4156</v>
      </c>
      <c r="P241" s="20">
        <v>5349</v>
      </c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C241" s="40"/>
      <c r="AD241" s="9">
        <f>SUM(N241:AB241)</f>
        <v>17051</v>
      </c>
      <c r="AE241" s="9">
        <f>SUM(N242:AB242)</f>
        <v>342</v>
      </c>
      <c r="AF241" s="9">
        <f>SUM(N243:AB243)</f>
        <v>184</v>
      </c>
      <c r="AG241" s="10" t="str">
        <f>E241</f>
        <v>—</v>
      </c>
      <c r="AH241" s="10" t="str">
        <f>F241</f>
        <v>—</v>
      </c>
      <c r="AI241" s="10" t="str">
        <f>G241</f>
        <v>—</v>
      </c>
      <c r="AJ241" s="9">
        <f>H241</f>
        <v>15244</v>
      </c>
      <c r="AK241" s="9">
        <f>I241</f>
        <v>356</v>
      </c>
      <c r="AL241" s="9">
        <f>J241</f>
        <v>241</v>
      </c>
      <c r="AM241" s="40"/>
      <c r="AN241" s="9">
        <f>AD241-B241</f>
        <v>0</v>
      </c>
      <c r="AO241" s="9">
        <f>AE241-C241</f>
        <v>0</v>
      </c>
      <c r="AP241" s="9">
        <f>AF241-D241</f>
        <v>-151</v>
      </c>
      <c r="AQ241" s="43"/>
      <c r="AR241" s="48">
        <f>C241/B241*1000</f>
        <v>20.057474634918773</v>
      </c>
      <c r="AS241" s="48">
        <f>D241/B241*1000</f>
        <v>19.646941528356106</v>
      </c>
      <c r="AT241" s="49"/>
      <c r="AU241" s="48">
        <f>AR241-K241</f>
        <v>-4.2525365081228728E-2</v>
      </c>
      <c r="AV241" s="48">
        <f>AS241-L241</f>
        <v>-5.3058471643893768E-2</v>
      </c>
      <c r="AW241" s="43"/>
    </row>
    <row r="242" spans="1:55" s="2" customFormat="1" x14ac:dyDescent="0.55000000000000004">
      <c r="A242" s="22" t="s">
        <v>261</v>
      </c>
      <c r="B242" s="3"/>
      <c r="C242" s="3"/>
      <c r="D242" s="3"/>
      <c r="E242" s="3"/>
      <c r="F242" s="3"/>
      <c r="G242" s="3"/>
      <c r="H242" s="3"/>
      <c r="I242" s="3"/>
      <c r="J242" s="3"/>
      <c r="K242" s="28"/>
      <c r="L242" s="28"/>
      <c r="M242" s="3"/>
      <c r="N242" s="23">
        <v>163</v>
      </c>
      <c r="O242" s="23">
        <v>67</v>
      </c>
      <c r="P242" s="23">
        <v>112</v>
      </c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C242" s="40"/>
      <c r="AM242" s="40"/>
      <c r="AQ242" s="40"/>
      <c r="AT242" s="40"/>
      <c r="AW242" s="40"/>
    </row>
    <row r="243" spans="1:55" s="2" customFormat="1" x14ac:dyDescent="0.55000000000000004">
      <c r="A243" s="22" t="s">
        <v>262</v>
      </c>
      <c r="B243" s="3"/>
      <c r="C243" s="3"/>
      <c r="D243" s="3"/>
      <c r="E243" s="3"/>
      <c r="F243" s="3"/>
      <c r="G243" s="3"/>
      <c r="H243" s="3"/>
      <c r="I243" s="3"/>
      <c r="J243" s="3"/>
      <c r="K243" s="28"/>
      <c r="L243" s="28"/>
      <c r="M243" s="3"/>
      <c r="N243" s="23">
        <v>98</v>
      </c>
      <c r="O243" s="23">
        <v>16</v>
      </c>
      <c r="P243" s="23">
        <v>70</v>
      </c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C243" s="40"/>
      <c r="AM243" s="40"/>
      <c r="AQ243" s="40"/>
      <c r="AT243" s="40"/>
      <c r="AW243" s="40"/>
    </row>
    <row r="244" spans="1:55" s="13" customFormat="1" x14ac:dyDescent="0.55000000000000004">
      <c r="A244" s="25" t="s">
        <v>263</v>
      </c>
      <c r="B244" s="26">
        <v>4782652</v>
      </c>
      <c r="C244" s="26">
        <v>209242</v>
      </c>
      <c r="D244" s="26">
        <v>142871</v>
      </c>
      <c r="E244" s="26">
        <v>197816</v>
      </c>
      <c r="F244" s="26">
        <v>6297</v>
      </c>
      <c r="G244" s="26">
        <v>6486</v>
      </c>
      <c r="H244" s="26">
        <v>4545114</v>
      </c>
      <c r="I244" s="26">
        <v>201988</v>
      </c>
      <c r="J244" s="26">
        <v>148026</v>
      </c>
      <c r="K244" s="32">
        <v>45.5</v>
      </c>
      <c r="L244" s="32">
        <v>31</v>
      </c>
      <c r="M244" s="4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C244" s="40"/>
      <c r="AD244" s="14">
        <f>SUM(AD219:AD243)</f>
        <v>4702857</v>
      </c>
      <c r="AE244" s="14">
        <f t="shared" ref="AE244:AL244" si="17">SUM(AE219:AE243)</f>
        <v>212248</v>
      </c>
      <c r="AF244" s="14">
        <f t="shared" si="17"/>
        <v>149699</v>
      </c>
      <c r="AG244" s="14">
        <f t="shared" si="17"/>
        <v>197816</v>
      </c>
      <c r="AH244" s="14">
        <f t="shared" si="17"/>
        <v>6297</v>
      </c>
      <c r="AI244" s="14">
        <f t="shared" si="17"/>
        <v>6486</v>
      </c>
      <c r="AJ244" s="14">
        <f t="shared" si="17"/>
        <v>4502963</v>
      </c>
      <c r="AK244" s="14">
        <f t="shared" si="17"/>
        <v>212694</v>
      </c>
      <c r="AL244" s="14">
        <f t="shared" si="17"/>
        <v>153249</v>
      </c>
      <c r="AM244" s="40"/>
      <c r="AN244" s="14">
        <f>AD244-B244</f>
        <v>-79795</v>
      </c>
      <c r="AO244" s="14">
        <f>AE244-C244</f>
        <v>3006</v>
      </c>
      <c r="AP244" s="14">
        <f>AF244-D244</f>
        <v>6828</v>
      </c>
      <c r="AQ244" s="43"/>
      <c r="AR244" s="48">
        <f>C244/B244*1000</f>
        <v>43.750203861790489</v>
      </c>
      <c r="AS244" s="48">
        <f>D244/B244*1000</f>
        <v>29.872756788493081</v>
      </c>
      <c r="AT244" s="49"/>
      <c r="AU244" s="48">
        <f>AR244-K244</f>
        <v>-1.7497961382095113</v>
      </c>
      <c r="AV244" s="48">
        <f>AS244-L244</f>
        <v>-1.1272432115069186</v>
      </c>
      <c r="AW244" s="43"/>
      <c r="AX244" s="14">
        <f>E244-AG244</f>
        <v>0</v>
      </c>
      <c r="AY244" s="14">
        <f>F244-AH244</f>
        <v>0</v>
      </c>
      <c r="AZ244" s="14">
        <f>G244-AI244</f>
        <v>0</v>
      </c>
      <c r="BA244" s="14">
        <f>H244-AJ244</f>
        <v>42151</v>
      </c>
      <c r="BB244" s="14">
        <f>I244-AK244</f>
        <v>-10706</v>
      </c>
      <c r="BC244" s="14">
        <f>J244-AL244</f>
        <v>-5223</v>
      </c>
    </row>
    <row r="245" spans="1:55" s="8" customFormat="1" x14ac:dyDescent="0.55000000000000004">
      <c r="A245" s="6" t="s">
        <v>264</v>
      </c>
      <c r="B245" s="7">
        <v>519784</v>
      </c>
      <c r="C245" s="7">
        <v>15344</v>
      </c>
      <c r="D245" s="7">
        <v>10343</v>
      </c>
      <c r="E245" s="10" t="s">
        <v>25</v>
      </c>
      <c r="F245" s="10" t="s">
        <v>25</v>
      </c>
      <c r="G245" s="10" t="s">
        <v>25</v>
      </c>
      <c r="H245" s="7">
        <v>488958</v>
      </c>
      <c r="I245" s="7">
        <v>14765</v>
      </c>
      <c r="J245" s="7">
        <v>10204</v>
      </c>
      <c r="K245" s="31">
        <v>29.5</v>
      </c>
      <c r="L245" s="31">
        <v>19.899999999999999</v>
      </c>
      <c r="M245" s="3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/>
      <c r="AC245" s="42"/>
      <c r="AD245" s="9">
        <f>B245</f>
        <v>519784</v>
      </c>
      <c r="AE245" s="9">
        <f t="shared" ref="AE245:AL245" si="18">C245</f>
        <v>15344</v>
      </c>
      <c r="AF245" s="9">
        <f t="shared" si="18"/>
        <v>10343</v>
      </c>
      <c r="AG245" s="10" t="str">
        <f t="shared" si="18"/>
        <v>—</v>
      </c>
      <c r="AH245" s="10" t="str">
        <f t="shared" si="18"/>
        <v>—</v>
      </c>
      <c r="AI245" s="10" t="str">
        <f t="shared" si="18"/>
        <v>—</v>
      </c>
      <c r="AJ245" s="9">
        <f t="shared" si="18"/>
        <v>488958</v>
      </c>
      <c r="AK245" s="9">
        <f t="shared" si="18"/>
        <v>14765</v>
      </c>
      <c r="AL245" s="9">
        <f t="shared" si="18"/>
        <v>10204</v>
      </c>
      <c r="AM245" s="40"/>
      <c r="AQ245" s="40"/>
      <c r="AR245" s="48">
        <f>C245/B245*1000</f>
        <v>29.519954442614623</v>
      </c>
      <c r="AS245" s="48">
        <f>D245/B245*1000</f>
        <v>19.898650208548165</v>
      </c>
      <c r="AT245" s="49"/>
      <c r="AU245" s="48">
        <f>AR245-K245</f>
        <v>1.9954442614622536E-2</v>
      </c>
      <c r="AV245" s="48">
        <f>AS245-L245</f>
        <v>-1.3497914518332266E-3</v>
      </c>
      <c r="AW245" s="40"/>
    </row>
    <row r="246" spans="1:55" s="8" customFormat="1" x14ac:dyDescent="0.55000000000000004">
      <c r="A246" s="6" t="s">
        <v>265</v>
      </c>
      <c r="B246" s="7">
        <v>700000</v>
      </c>
      <c r="C246" s="7">
        <v>2377</v>
      </c>
      <c r="D246" s="7">
        <v>1438</v>
      </c>
      <c r="E246" s="10" t="s">
        <v>25</v>
      </c>
      <c r="F246" s="10" t="s">
        <v>25</v>
      </c>
      <c r="G246" s="10" t="s">
        <v>25</v>
      </c>
      <c r="H246" s="10" t="s">
        <v>25</v>
      </c>
      <c r="I246" s="10" t="s">
        <v>25</v>
      </c>
      <c r="J246" s="10" t="s">
        <v>25</v>
      </c>
      <c r="K246" s="30" t="s">
        <v>25</v>
      </c>
      <c r="L246" s="30" t="s">
        <v>25</v>
      </c>
      <c r="M246" s="4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/>
      <c r="AC246" s="42"/>
      <c r="AD246" s="9">
        <f>B246</f>
        <v>700000</v>
      </c>
      <c r="AE246" s="9">
        <f t="shared" ref="AE246" si="19">C246</f>
        <v>2377</v>
      </c>
      <c r="AF246" s="9">
        <f t="shared" ref="AF246" si="20">D246</f>
        <v>1438</v>
      </c>
      <c r="AG246" s="10" t="str">
        <f t="shared" ref="AG246" si="21">E246</f>
        <v>—</v>
      </c>
      <c r="AH246" s="10" t="str">
        <f t="shared" ref="AH246" si="22">F246</f>
        <v>—</v>
      </c>
      <c r="AI246" s="10" t="str">
        <f t="shared" ref="AI246" si="23">G246</f>
        <v>—</v>
      </c>
      <c r="AJ246" s="10" t="str">
        <f t="shared" ref="AJ246" si="24">H246</f>
        <v>—</v>
      </c>
      <c r="AK246" s="10" t="str">
        <f t="shared" ref="AK246" si="25">I246</f>
        <v>—</v>
      </c>
      <c r="AL246" s="10" t="str">
        <f t="shared" ref="AL246" si="26">J246</f>
        <v>—</v>
      </c>
      <c r="AM246" s="40"/>
      <c r="AQ246" s="40"/>
      <c r="AR246" s="48">
        <f>C246/B246*1000</f>
        <v>3.3957142857142859</v>
      </c>
      <c r="AS246" s="48">
        <f>D246/B246*1000</f>
        <v>2.0542857142857143</v>
      </c>
      <c r="AT246" s="49"/>
      <c r="AU246" s="48"/>
      <c r="AV246" s="48"/>
      <c r="AW246" s="40"/>
    </row>
    <row r="247" spans="1:55" s="8" customFormat="1" x14ac:dyDescent="0.55000000000000004">
      <c r="A247" s="6" t="s">
        <v>266</v>
      </c>
      <c r="B247" s="7">
        <v>712420</v>
      </c>
      <c r="C247" s="7">
        <v>3140</v>
      </c>
      <c r="D247" s="7">
        <v>2663</v>
      </c>
      <c r="E247" s="7">
        <v>94235</v>
      </c>
      <c r="F247" s="10" t="s">
        <v>25</v>
      </c>
      <c r="G247" s="10" t="s">
        <v>25</v>
      </c>
      <c r="H247" s="7">
        <v>702696</v>
      </c>
      <c r="I247" s="10" t="s">
        <v>25</v>
      </c>
      <c r="J247" s="10" t="s">
        <v>25</v>
      </c>
      <c r="K247" s="30" t="s">
        <v>25</v>
      </c>
      <c r="L247" s="30" t="s">
        <v>25</v>
      </c>
      <c r="M247" s="4"/>
      <c r="N247" s="7">
        <v>290686</v>
      </c>
      <c r="O247" s="7">
        <v>146339</v>
      </c>
      <c r="P247" s="7">
        <v>168684</v>
      </c>
      <c r="Q247" s="7">
        <v>106711</v>
      </c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/>
      <c r="AC247" s="42"/>
      <c r="AD247" s="9">
        <f>SUM(N247:AB247)</f>
        <v>712420</v>
      </c>
      <c r="AE247" s="9">
        <f>SUM(N248:AB248)</f>
        <v>3140</v>
      </c>
      <c r="AF247" s="9">
        <f>SUM(N249:AB249)</f>
        <v>2663</v>
      </c>
      <c r="AG247" s="9">
        <f>E247</f>
        <v>94235</v>
      </c>
      <c r="AH247" s="10" t="str">
        <f>F247</f>
        <v>—</v>
      </c>
      <c r="AI247" s="10" t="str">
        <f>G247</f>
        <v>—</v>
      </c>
      <c r="AJ247" s="9">
        <f>H247</f>
        <v>702696</v>
      </c>
      <c r="AK247" s="10" t="str">
        <f>I247</f>
        <v>—</v>
      </c>
      <c r="AL247" s="10" t="str">
        <f>J247</f>
        <v>—</v>
      </c>
      <c r="AM247" s="40"/>
      <c r="AN247" s="9">
        <f>AD247-B247</f>
        <v>0</v>
      </c>
      <c r="AO247" s="9">
        <f>AE247-C247</f>
        <v>0</v>
      </c>
      <c r="AP247" s="9">
        <f>AF247-D247</f>
        <v>0</v>
      </c>
      <c r="AQ247" s="43"/>
      <c r="AR247" s="48">
        <f>C247/B247*1000</f>
        <v>4.4075124224474322</v>
      </c>
      <c r="AS247" s="48">
        <f>D247/B247*1000</f>
        <v>3.7379635608208641</v>
      </c>
      <c r="AT247" s="49"/>
      <c r="AU247" s="48"/>
      <c r="AV247" s="48"/>
      <c r="AW247" s="43"/>
    </row>
    <row r="248" spans="1:55" s="2" customFormat="1" x14ac:dyDescent="0.55000000000000004">
      <c r="A248" s="1" t="s">
        <v>267</v>
      </c>
      <c r="B248" s="3"/>
      <c r="C248" s="3"/>
      <c r="D248" s="3"/>
      <c r="E248" s="3"/>
      <c r="F248" s="3"/>
      <c r="G248" s="3"/>
      <c r="H248" s="3"/>
      <c r="I248" s="3"/>
      <c r="J248" s="3"/>
      <c r="K248" s="28"/>
      <c r="L248" s="28"/>
      <c r="M248" s="3"/>
      <c r="N248" s="3">
        <v>1219</v>
      </c>
      <c r="O248" s="4" t="s">
        <v>25</v>
      </c>
      <c r="P248" s="4" t="s">
        <v>25</v>
      </c>
      <c r="Q248" s="3">
        <v>1921</v>
      </c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/>
      <c r="AC248" s="42"/>
      <c r="AM248" s="40"/>
      <c r="AQ248" s="40"/>
      <c r="AT248" s="40"/>
      <c r="AW248" s="40"/>
    </row>
    <row r="249" spans="1:55" s="2" customFormat="1" x14ac:dyDescent="0.55000000000000004">
      <c r="A249" s="1" t="s">
        <v>268</v>
      </c>
      <c r="B249" s="3"/>
      <c r="C249" s="3"/>
      <c r="D249" s="3"/>
      <c r="E249" s="3"/>
      <c r="F249" s="3"/>
      <c r="G249" s="3"/>
      <c r="H249" s="3"/>
      <c r="I249" s="3"/>
      <c r="J249" s="3"/>
      <c r="K249" s="28"/>
      <c r="L249" s="28"/>
      <c r="M249" s="3"/>
      <c r="N249" s="3">
        <v>1182</v>
      </c>
      <c r="O249" s="4" t="s">
        <v>25</v>
      </c>
      <c r="P249" s="4" t="s">
        <v>25</v>
      </c>
      <c r="Q249" s="3">
        <v>1481</v>
      </c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/>
      <c r="AC249" s="42"/>
      <c r="AM249" s="40"/>
      <c r="AQ249" s="40"/>
      <c r="AT249" s="40"/>
      <c r="AW249" s="40"/>
    </row>
    <row r="250" spans="1:55" s="8" customFormat="1" x14ac:dyDescent="0.55000000000000004">
      <c r="A250" s="6" t="s">
        <v>269</v>
      </c>
      <c r="B250" s="7">
        <v>585903</v>
      </c>
      <c r="C250" s="7">
        <v>8966</v>
      </c>
      <c r="D250" s="7">
        <v>7688</v>
      </c>
      <c r="E250" s="7">
        <v>36194</v>
      </c>
      <c r="F250" s="7">
        <v>1451</v>
      </c>
      <c r="G250" s="7">
        <v>1117</v>
      </c>
      <c r="H250" s="7">
        <v>576719</v>
      </c>
      <c r="I250" s="10" t="s">
        <v>25</v>
      </c>
      <c r="J250" s="10" t="s">
        <v>25</v>
      </c>
      <c r="K250" s="31">
        <v>15.3</v>
      </c>
      <c r="L250" s="31">
        <v>13.1</v>
      </c>
      <c r="M250" s="4"/>
      <c r="N250" s="7">
        <v>158662</v>
      </c>
      <c r="O250" s="7">
        <v>73529</v>
      </c>
      <c r="P250" s="7">
        <v>132805</v>
      </c>
      <c r="Q250" s="7">
        <v>115139</v>
      </c>
      <c r="R250" s="7">
        <v>94084</v>
      </c>
      <c r="S250" s="7"/>
      <c r="T250" s="7"/>
      <c r="U250" s="7"/>
      <c r="V250" s="7"/>
      <c r="W250" s="7"/>
      <c r="X250" s="7"/>
      <c r="Y250" s="7"/>
      <c r="Z250" s="7"/>
      <c r="AA250" s="7"/>
      <c r="AB250"/>
      <c r="AC250" s="42"/>
      <c r="AD250" s="9">
        <f>SUM(N250:AB250)</f>
        <v>574219</v>
      </c>
      <c r="AE250" s="9">
        <f>SUM(N251:AB251)</f>
        <v>8964</v>
      </c>
      <c r="AF250" s="9">
        <f>SUM(N252:AB252)</f>
        <v>7688</v>
      </c>
      <c r="AG250" s="9">
        <f>E250</f>
        <v>36194</v>
      </c>
      <c r="AH250" s="9">
        <f>F250</f>
        <v>1451</v>
      </c>
      <c r="AI250" s="9">
        <f>G250</f>
        <v>1117</v>
      </c>
      <c r="AJ250" s="9">
        <f>H250</f>
        <v>576719</v>
      </c>
      <c r="AK250" s="9" t="str">
        <f>I250</f>
        <v>—</v>
      </c>
      <c r="AL250" s="9" t="str">
        <f>J250</f>
        <v>—</v>
      </c>
      <c r="AM250" s="40"/>
      <c r="AN250" s="9">
        <f>AD250-B250</f>
        <v>-11684</v>
      </c>
      <c r="AO250" s="9">
        <f>AE250-C250</f>
        <v>-2</v>
      </c>
      <c r="AP250" s="9">
        <f>AF250-D250</f>
        <v>0</v>
      </c>
      <c r="AQ250" s="43"/>
      <c r="AR250" s="48">
        <f>C250/B250*1000</f>
        <v>15.302874366576038</v>
      </c>
      <c r="AS250" s="48">
        <f>D250/B250*1000</f>
        <v>13.121625934668367</v>
      </c>
      <c r="AT250" s="49"/>
      <c r="AU250" s="48">
        <f>AR250-K250</f>
        <v>2.874366576037346E-3</v>
      </c>
      <c r="AV250" s="48">
        <f>AS250-L250</f>
        <v>2.1625934668367819E-2</v>
      </c>
      <c r="AW250" s="43"/>
    </row>
    <row r="251" spans="1:55" s="2" customFormat="1" x14ac:dyDescent="0.55000000000000004">
      <c r="A251" s="1" t="s">
        <v>270</v>
      </c>
      <c r="B251" s="3"/>
      <c r="C251" s="3"/>
      <c r="D251" s="3"/>
      <c r="E251" s="3"/>
      <c r="F251" s="3"/>
      <c r="G251" s="3"/>
      <c r="H251" s="3"/>
      <c r="I251" s="3"/>
      <c r="J251" s="3"/>
      <c r="K251" s="28"/>
      <c r="L251" s="28"/>
      <c r="M251" s="3"/>
      <c r="N251" s="3">
        <v>2865</v>
      </c>
      <c r="O251" s="3">
        <v>1081</v>
      </c>
      <c r="P251" s="3">
        <v>1453</v>
      </c>
      <c r="Q251" s="3">
        <v>1768</v>
      </c>
      <c r="R251" s="3">
        <v>1797</v>
      </c>
      <c r="S251" s="3"/>
      <c r="T251" s="3"/>
      <c r="U251" s="3"/>
      <c r="V251" s="3"/>
      <c r="W251" s="3"/>
      <c r="X251" s="3"/>
      <c r="Y251" s="3"/>
      <c r="Z251" s="3"/>
      <c r="AA251" s="3"/>
      <c r="AB251"/>
      <c r="AC251" s="42"/>
      <c r="AM251" s="40"/>
      <c r="AQ251" s="40"/>
      <c r="AT251" s="40"/>
      <c r="AW251" s="40"/>
    </row>
    <row r="252" spans="1:55" s="2" customFormat="1" x14ac:dyDescent="0.55000000000000004">
      <c r="A252" s="1" t="s">
        <v>271</v>
      </c>
      <c r="B252" s="3"/>
      <c r="C252" s="3"/>
      <c r="D252" s="3"/>
      <c r="E252" s="3"/>
      <c r="F252" s="3"/>
      <c r="G252" s="3"/>
      <c r="H252" s="3"/>
      <c r="I252" s="3"/>
      <c r="J252" s="3"/>
      <c r="K252" s="28"/>
      <c r="L252" s="28"/>
      <c r="M252" s="3"/>
      <c r="N252" s="3">
        <v>2501</v>
      </c>
      <c r="O252" s="3">
        <v>980</v>
      </c>
      <c r="P252" s="3">
        <v>1046</v>
      </c>
      <c r="Q252" s="3">
        <v>1284</v>
      </c>
      <c r="R252" s="3">
        <v>1877</v>
      </c>
      <c r="S252" s="3"/>
      <c r="T252" s="3"/>
      <c r="U252" s="3"/>
      <c r="V252" s="3"/>
      <c r="W252" s="3"/>
      <c r="X252" s="3"/>
      <c r="Y252" s="3"/>
      <c r="Z252" s="3"/>
      <c r="AA252" s="3"/>
      <c r="AB252"/>
      <c r="AC252" s="42"/>
      <c r="AM252" s="40"/>
      <c r="AQ252" s="40"/>
      <c r="AT252" s="40"/>
      <c r="AW252" s="40"/>
    </row>
    <row r="253" spans="1:55" s="8" customFormat="1" x14ac:dyDescent="0.55000000000000004">
      <c r="A253" s="6" t="s">
        <v>272</v>
      </c>
      <c r="B253" s="7">
        <v>679810</v>
      </c>
      <c r="C253" s="7">
        <v>15346</v>
      </c>
      <c r="D253" s="7">
        <v>10650</v>
      </c>
      <c r="E253" s="7">
        <v>27547</v>
      </c>
      <c r="F253" s="7">
        <v>990</v>
      </c>
      <c r="G253" s="7">
        <v>742</v>
      </c>
      <c r="H253" s="7">
        <v>632406</v>
      </c>
      <c r="I253" s="7">
        <v>12353</v>
      </c>
      <c r="J253" s="7">
        <v>8897</v>
      </c>
      <c r="K253" s="31">
        <v>22.5</v>
      </c>
      <c r="L253" s="31">
        <v>15.9</v>
      </c>
      <c r="M253" s="3"/>
      <c r="N253" s="7">
        <v>201770</v>
      </c>
      <c r="O253" s="7">
        <v>80932</v>
      </c>
      <c r="P253" s="7">
        <v>60000</v>
      </c>
      <c r="Q253" s="7">
        <v>114961</v>
      </c>
      <c r="R253" s="7">
        <v>100167</v>
      </c>
      <c r="S253" s="7">
        <v>100411</v>
      </c>
      <c r="T253" s="7"/>
      <c r="U253" s="7"/>
      <c r="V253" s="7"/>
      <c r="W253" s="7"/>
      <c r="X253" s="7"/>
      <c r="Y253" s="7"/>
      <c r="Z253" s="7"/>
      <c r="AA253" s="7"/>
      <c r="AB253"/>
      <c r="AC253" s="42"/>
      <c r="AD253" s="9">
        <f>SUM(N253:AB253)</f>
        <v>658241</v>
      </c>
      <c r="AE253" s="9">
        <f>SUM(N254:AB254)</f>
        <v>15285</v>
      </c>
      <c r="AF253" s="9">
        <f>SUM(N255:AB255)</f>
        <v>10650</v>
      </c>
      <c r="AG253" s="9">
        <f>E253</f>
        <v>27547</v>
      </c>
      <c r="AH253" s="9">
        <f>F253</f>
        <v>990</v>
      </c>
      <c r="AI253" s="9">
        <f>G253</f>
        <v>742</v>
      </c>
      <c r="AJ253" s="9">
        <f>H253</f>
        <v>632406</v>
      </c>
      <c r="AK253" s="9">
        <f>I253</f>
        <v>12353</v>
      </c>
      <c r="AL253" s="9">
        <f>J253</f>
        <v>8897</v>
      </c>
      <c r="AM253" s="40"/>
      <c r="AN253" s="9">
        <f>AD253-B253</f>
        <v>-21569</v>
      </c>
      <c r="AO253" s="9">
        <f>AE253-C253</f>
        <v>-61</v>
      </c>
      <c r="AP253" s="9">
        <f>AF253-D253</f>
        <v>0</v>
      </c>
      <c r="AQ253" s="43"/>
      <c r="AR253" s="48">
        <f>C253/B253*1000</f>
        <v>22.57395448728321</v>
      </c>
      <c r="AS253" s="48">
        <f>D253/B253*1000</f>
        <v>15.666142010267576</v>
      </c>
      <c r="AT253" s="49"/>
      <c r="AU253" s="48">
        <f>AR253-K253</f>
        <v>7.3954487283209858E-2</v>
      </c>
      <c r="AV253" s="48">
        <f>AS253-L253</f>
        <v>-0.23385798973242444</v>
      </c>
      <c r="AW253" s="43"/>
    </row>
    <row r="254" spans="1:55" s="2" customFormat="1" x14ac:dyDescent="0.55000000000000004">
      <c r="A254" s="1" t="s">
        <v>273</v>
      </c>
      <c r="B254" s="3"/>
      <c r="C254" s="3"/>
      <c r="D254" s="3"/>
      <c r="E254" s="3"/>
      <c r="F254" s="3"/>
      <c r="G254" s="3"/>
      <c r="H254" s="3"/>
      <c r="I254" s="3"/>
      <c r="J254" s="3"/>
      <c r="K254" s="28"/>
      <c r="L254" s="28"/>
      <c r="M254" s="3"/>
      <c r="N254" s="3">
        <v>5983</v>
      </c>
      <c r="O254" s="3">
        <v>281</v>
      </c>
      <c r="P254" s="3">
        <v>468</v>
      </c>
      <c r="Q254" s="3">
        <v>2774</v>
      </c>
      <c r="R254" s="3">
        <v>2642</v>
      </c>
      <c r="S254" s="3">
        <v>3137</v>
      </c>
      <c r="T254" s="3"/>
      <c r="U254" s="3"/>
      <c r="V254" s="3"/>
      <c r="W254" s="3"/>
      <c r="X254" s="3"/>
      <c r="Y254" s="3"/>
      <c r="Z254" s="3"/>
      <c r="AA254" s="3"/>
      <c r="AB254"/>
      <c r="AC254" s="42"/>
      <c r="AM254" s="40"/>
      <c r="AQ254" s="40"/>
      <c r="AT254" s="40"/>
      <c r="AW254" s="40"/>
    </row>
    <row r="255" spans="1:55" s="2" customFormat="1" x14ac:dyDescent="0.55000000000000004">
      <c r="A255" s="1" t="s">
        <v>274</v>
      </c>
      <c r="B255" s="3"/>
      <c r="C255" s="3"/>
      <c r="D255" s="3"/>
      <c r="E255" s="3"/>
      <c r="F255" s="3"/>
      <c r="G255" s="3"/>
      <c r="H255" s="3"/>
      <c r="I255" s="3"/>
      <c r="J255" s="3"/>
      <c r="K255" s="28"/>
      <c r="L255" s="28"/>
      <c r="M255" s="3"/>
      <c r="N255" s="3">
        <v>4319</v>
      </c>
      <c r="O255" s="3">
        <v>143</v>
      </c>
      <c r="P255" s="3">
        <v>85</v>
      </c>
      <c r="Q255" s="3">
        <v>2370</v>
      </c>
      <c r="R255" s="3">
        <v>2022</v>
      </c>
      <c r="S255" s="3">
        <v>1711</v>
      </c>
      <c r="T255" s="3"/>
      <c r="U255" s="3"/>
      <c r="V255" s="3"/>
      <c r="W255" s="3"/>
      <c r="X255" s="3"/>
      <c r="Y255" s="3"/>
      <c r="Z255" s="3"/>
      <c r="AA255" s="3"/>
      <c r="AB255"/>
      <c r="AC255" s="42"/>
      <c r="AM255" s="40"/>
      <c r="AQ255" s="40"/>
      <c r="AT255" s="40"/>
      <c r="AW255" s="40"/>
    </row>
    <row r="256" spans="1:55" s="8" customFormat="1" x14ac:dyDescent="0.55000000000000004">
      <c r="A256" s="6" t="s">
        <v>275</v>
      </c>
      <c r="B256" s="7">
        <v>1143584</v>
      </c>
      <c r="C256" s="7">
        <v>7525</v>
      </c>
      <c r="D256" s="7">
        <v>4334</v>
      </c>
      <c r="E256" s="7">
        <v>133108</v>
      </c>
      <c r="F256" s="10" t="s">
        <v>25</v>
      </c>
      <c r="G256" s="10" t="s">
        <v>25</v>
      </c>
      <c r="H256" s="7">
        <v>1114309</v>
      </c>
      <c r="I256" s="10" t="s">
        <v>25</v>
      </c>
      <c r="J256" s="10" t="s">
        <v>25</v>
      </c>
      <c r="K256" s="31" t="s">
        <v>25</v>
      </c>
      <c r="L256" s="31" t="s">
        <v>25</v>
      </c>
      <c r="M256" s="4"/>
      <c r="N256" s="7">
        <v>370275</v>
      </c>
      <c r="O256" s="7">
        <v>186509</v>
      </c>
      <c r="P256" s="7">
        <v>128375</v>
      </c>
      <c r="Q256" s="7">
        <v>105253</v>
      </c>
      <c r="R256" s="7">
        <v>199340</v>
      </c>
      <c r="S256" s="7">
        <v>149310</v>
      </c>
      <c r="T256" s="7"/>
      <c r="U256" s="7"/>
      <c r="V256" s="7"/>
      <c r="W256" s="7"/>
      <c r="X256" s="7"/>
      <c r="Y256" s="7"/>
      <c r="Z256" s="7"/>
      <c r="AA256" s="7"/>
      <c r="AB256"/>
      <c r="AC256" s="42"/>
      <c r="AD256" s="9">
        <f>SUM(N256:AB256)</f>
        <v>1139062</v>
      </c>
      <c r="AE256" s="9">
        <f>SUM(N257:AB257)</f>
        <v>7525</v>
      </c>
      <c r="AF256" s="9">
        <f>SUM(N258:AB258)</f>
        <v>4334</v>
      </c>
      <c r="AG256" s="9">
        <f>E256</f>
        <v>133108</v>
      </c>
      <c r="AH256" s="10" t="str">
        <f>F256</f>
        <v>—</v>
      </c>
      <c r="AI256" s="10" t="str">
        <f>G256</f>
        <v>—</v>
      </c>
      <c r="AJ256" s="9">
        <f>H256</f>
        <v>1114309</v>
      </c>
      <c r="AK256" s="9" t="str">
        <f>I256</f>
        <v>—</v>
      </c>
      <c r="AL256" s="9" t="str">
        <f>J256</f>
        <v>—</v>
      </c>
      <c r="AM256" s="40"/>
      <c r="AN256" s="9">
        <f>AD256-B256</f>
        <v>-4522</v>
      </c>
      <c r="AO256" s="9">
        <f>AE256-C256</f>
        <v>0</v>
      </c>
      <c r="AP256" s="9">
        <f>AF256-D256</f>
        <v>0</v>
      </c>
      <c r="AQ256" s="43"/>
      <c r="AR256" s="48">
        <f>C256/B256*1000</f>
        <v>6.5801899991605337</v>
      </c>
      <c r="AS256" s="48">
        <f>D256/B256*1000</f>
        <v>3.7898396619749839</v>
      </c>
      <c r="AT256" s="49"/>
      <c r="AU256" s="48"/>
      <c r="AV256" s="48"/>
      <c r="AW256" s="43"/>
    </row>
    <row r="257" spans="1:55" s="2" customFormat="1" x14ac:dyDescent="0.55000000000000004">
      <c r="A257" s="1" t="s">
        <v>276</v>
      </c>
      <c r="B257" s="3"/>
      <c r="C257" s="3"/>
      <c r="D257" s="3"/>
      <c r="E257" s="3"/>
      <c r="F257" s="3"/>
      <c r="G257" s="3"/>
      <c r="H257" s="3"/>
      <c r="I257" s="3"/>
      <c r="J257" s="3"/>
      <c r="K257" s="28"/>
      <c r="L257" s="28"/>
      <c r="M257" s="3"/>
      <c r="N257" s="3">
        <v>262</v>
      </c>
      <c r="O257" s="3">
        <v>7263</v>
      </c>
      <c r="P257" s="4" t="s">
        <v>25</v>
      </c>
      <c r="Q257" s="4" t="s">
        <v>25</v>
      </c>
      <c r="R257" s="4" t="s">
        <v>25</v>
      </c>
      <c r="S257" s="4" t="s">
        <v>25</v>
      </c>
      <c r="T257" s="3"/>
      <c r="U257" s="3"/>
      <c r="V257" s="3"/>
      <c r="W257" s="3"/>
      <c r="X257" s="3"/>
      <c r="Y257" s="3"/>
      <c r="Z257" s="3"/>
      <c r="AA257" s="3"/>
      <c r="AB257"/>
      <c r="AC257" s="42"/>
      <c r="AM257" s="40"/>
      <c r="AQ257" s="40"/>
      <c r="AT257" s="40"/>
      <c r="AW257" s="40"/>
    </row>
    <row r="258" spans="1:55" s="2" customFormat="1" x14ac:dyDescent="0.55000000000000004">
      <c r="A258" s="1" t="s">
        <v>277</v>
      </c>
      <c r="B258" s="3"/>
      <c r="C258" s="3"/>
      <c r="D258" s="3"/>
      <c r="E258" s="3"/>
      <c r="F258" s="3"/>
      <c r="G258" s="3"/>
      <c r="H258" s="3"/>
      <c r="I258" s="3"/>
      <c r="J258" s="3"/>
      <c r="K258" s="28"/>
      <c r="L258" s="28"/>
      <c r="M258" s="3"/>
      <c r="N258" s="3">
        <v>206</v>
      </c>
      <c r="O258" s="3">
        <v>4128</v>
      </c>
      <c r="P258" s="4" t="s">
        <v>25</v>
      </c>
      <c r="Q258" s="4" t="s">
        <v>25</v>
      </c>
      <c r="R258" s="4" t="s">
        <v>25</v>
      </c>
      <c r="S258" s="4" t="s">
        <v>25</v>
      </c>
      <c r="T258" s="3"/>
      <c r="U258" s="3"/>
      <c r="V258" s="3"/>
      <c r="W258" s="3"/>
      <c r="X258" s="3"/>
      <c r="Y258" s="3"/>
      <c r="Z258" s="3"/>
      <c r="AA258" s="3"/>
      <c r="AB258"/>
      <c r="AC258" s="42"/>
      <c r="AM258" s="40"/>
      <c r="AQ258" s="40"/>
      <c r="AT258" s="40"/>
      <c r="AW258" s="40"/>
    </row>
    <row r="259" spans="1:55" s="8" customFormat="1" x14ac:dyDescent="0.55000000000000004">
      <c r="A259" s="6" t="s">
        <v>278</v>
      </c>
      <c r="B259" s="7">
        <v>397959</v>
      </c>
      <c r="C259" s="7">
        <v>11648</v>
      </c>
      <c r="D259" s="7">
        <v>7437</v>
      </c>
      <c r="E259" s="10" t="s">
        <v>25</v>
      </c>
      <c r="F259" s="10" t="s">
        <v>25</v>
      </c>
      <c r="G259" s="10" t="s">
        <v>25</v>
      </c>
      <c r="H259" s="7">
        <v>354965</v>
      </c>
      <c r="I259" s="7">
        <v>3475</v>
      </c>
      <c r="J259" s="7">
        <v>2269</v>
      </c>
      <c r="K259" s="31" t="s">
        <v>25</v>
      </c>
      <c r="L259" s="31" t="s">
        <v>25</v>
      </c>
      <c r="M259" s="3"/>
      <c r="N259" s="7">
        <v>70611</v>
      </c>
      <c r="O259" s="7">
        <v>88208</v>
      </c>
      <c r="P259" s="7">
        <v>84320</v>
      </c>
      <c r="Q259" s="7">
        <v>154820</v>
      </c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/>
      <c r="AC259" s="42"/>
      <c r="AD259" s="9">
        <f>SUM(N259:AB259)</f>
        <v>397959</v>
      </c>
      <c r="AE259" s="9">
        <f>SUM(N260:AB260)</f>
        <v>11648</v>
      </c>
      <c r="AF259" s="9">
        <f>SUM(N261:AB261)</f>
        <v>7437</v>
      </c>
      <c r="AG259" s="10" t="str">
        <f>E259</f>
        <v>—</v>
      </c>
      <c r="AH259" s="10" t="str">
        <f>F259</f>
        <v>—</v>
      </c>
      <c r="AI259" s="10" t="str">
        <f>G259</f>
        <v>—</v>
      </c>
      <c r="AJ259" s="9">
        <f>H259</f>
        <v>354965</v>
      </c>
      <c r="AK259" s="9">
        <f>I259</f>
        <v>3475</v>
      </c>
      <c r="AL259" s="9">
        <f>J259</f>
        <v>2269</v>
      </c>
      <c r="AM259" s="40"/>
      <c r="AN259" s="9">
        <f>AD259-B259</f>
        <v>0</v>
      </c>
      <c r="AO259" s="9">
        <f>AE259-C259</f>
        <v>0</v>
      </c>
      <c r="AP259" s="9">
        <f>AF259-D259</f>
        <v>0</v>
      </c>
      <c r="AQ259" s="43"/>
      <c r="AR259" s="48">
        <f>C259/B259*1000</f>
        <v>29.269346842262646</v>
      </c>
      <c r="AS259" s="48">
        <f>D259/B259*1000</f>
        <v>18.6878547790099</v>
      </c>
      <c r="AT259" s="49"/>
      <c r="AU259" s="48"/>
      <c r="AV259" s="48"/>
      <c r="AW259" s="43"/>
    </row>
    <row r="260" spans="1:55" s="2" customFormat="1" x14ac:dyDescent="0.55000000000000004">
      <c r="A260" s="1" t="s">
        <v>279</v>
      </c>
      <c r="B260" s="3"/>
      <c r="C260" s="3"/>
      <c r="D260" s="3"/>
      <c r="E260" s="3"/>
      <c r="F260" s="3"/>
      <c r="G260" s="3"/>
      <c r="H260" s="3"/>
      <c r="I260" s="3"/>
      <c r="J260" s="3"/>
      <c r="K260" s="28"/>
      <c r="L260" s="28"/>
      <c r="M260" s="3"/>
      <c r="N260" s="3">
        <v>2069</v>
      </c>
      <c r="O260" s="3">
        <v>152</v>
      </c>
      <c r="P260" s="3">
        <v>1970</v>
      </c>
      <c r="Q260" s="3">
        <v>7457</v>
      </c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/>
      <c r="AC260" s="42"/>
      <c r="AM260" s="40"/>
      <c r="AQ260" s="40"/>
      <c r="AT260" s="40"/>
      <c r="AW260" s="40"/>
    </row>
    <row r="261" spans="1:55" s="2" customFormat="1" x14ac:dyDescent="0.55000000000000004">
      <c r="A261" s="1" t="s">
        <v>280</v>
      </c>
      <c r="B261" s="3"/>
      <c r="C261" s="3"/>
      <c r="D261" s="3"/>
      <c r="E261" s="3"/>
      <c r="F261" s="3"/>
      <c r="G261" s="3"/>
      <c r="H261" s="3"/>
      <c r="I261" s="3"/>
      <c r="J261" s="3"/>
      <c r="K261" s="28"/>
      <c r="L261" s="28"/>
      <c r="M261" s="3"/>
      <c r="N261" s="3">
        <v>1538</v>
      </c>
      <c r="O261" s="3">
        <v>66</v>
      </c>
      <c r="P261" s="3">
        <v>1546</v>
      </c>
      <c r="Q261" s="3">
        <v>4287</v>
      </c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/>
      <c r="AC261" s="42"/>
      <c r="AM261" s="40"/>
      <c r="AQ261" s="40"/>
      <c r="AT261" s="40"/>
      <c r="AW261" s="40"/>
    </row>
    <row r="262" spans="1:55" s="8" customFormat="1" x14ac:dyDescent="0.55000000000000004">
      <c r="A262" s="6" t="s">
        <v>281</v>
      </c>
      <c r="B262" s="7">
        <v>562485</v>
      </c>
      <c r="C262" s="7">
        <v>7889</v>
      </c>
      <c r="D262" s="7">
        <v>4448</v>
      </c>
      <c r="E262" s="10" t="s">
        <v>25</v>
      </c>
      <c r="F262" s="10" t="s">
        <v>25</v>
      </c>
      <c r="G262" s="10" t="s">
        <v>25</v>
      </c>
      <c r="H262" s="7">
        <v>551235</v>
      </c>
      <c r="I262" s="7">
        <v>6383</v>
      </c>
      <c r="J262" s="7">
        <v>4380</v>
      </c>
      <c r="K262" s="31" t="s">
        <v>25</v>
      </c>
      <c r="L262" s="31" t="s">
        <v>25</v>
      </c>
      <c r="M262" s="3"/>
      <c r="N262" s="7">
        <v>226868</v>
      </c>
      <c r="O262" s="7">
        <v>102678</v>
      </c>
      <c r="P262" s="7">
        <v>136603</v>
      </c>
      <c r="Q262" s="7">
        <v>96336</v>
      </c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/>
      <c r="AC262" s="42"/>
      <c r="AD262" s="9">
        <f>SUM(N262:AB262)</f>
        <v>562485</v>
      </c>
      <c r="AE262" s="9">
        <f>SUM(N263:AB263)</f>
        <v>7889</v>
      </c>
      <c r="AF262" s="9">
        <f>SUM(N264:AB264)</f>
        <v>4448</v>
      </c>
      <c r="AG262" s="10" t="str">
        <f>E262</f>
        <v>—</v>
      </c>
      <c r="AH262" s="10" t="str">
        <f>F262</f>
        <v>—</v>
      </c>
      <c r="AI262" s="10" t="str">
        <f>G262</f>
        <v>—</v>
      </c>
      <c r="AJ262" s="9">
        <f>H262</f>
        <v>551235</v>
      </c>
      <c r="AK262" s="9">
        <f>I262</f>
        <v>6383</v>
      </c>
      <c r="AL262" s="9">
        <f>J262</f>
        <v>4380</v>
      </c>
      <c r="AM262" s="40"/>
      <c r="AN262" s="9">
        <f>AD262-B262</f>
        <v>0</v>
      </c>
      <c r="AO262" s="9">
        <f>AE262-C262</f>
        <v>0</v>
      </c>
      <c r="AP262" s="9">
        <f>AF262-D262</f>
        <v>0</v>
      </c>
      <c r="AQ262" s="43"/>
      <c r="AR262" s="48">
        <f>C262/B262*1000</f>
        <v>14.025262895899447</v>
      </c>
      <c r="AS262" s="48">
        <f>D262/B262*1000</f>
        <v>7.9077664293270047</v>
      </c>
      <c r="AT262" s="49"/>
      <c r="AU262" s="48"/>
      <c r="AV262" s="48"/>
      <c r="AW262" s="43"/>
    </row>
    <row r="263" spans="1:55" s="2" customFormat="1" x14ac:dyDescent="0.55000000000000004">
      <c r="A263" s="1" t="s">
        <v>282</v>
      </c>
      <c r="B263" s="3"/>
      <c r="C263" s="3"/>
      <c r="D263" s="3"/>
      <c r="E263" s="3"/>
      <c r="F263" s="3"/>
      <c r="G263" s="3"/>
      <c r="H263" s="3"/>
      <c r="I263" s="3"/>
      <c r="J263" s="3"/>
      <c r="K263" s="28"/>
      <c r="L263" s="28"/>
      <c r="M263" s="3"/>
      <c r="N263" s="3">
        <v>5849</v>
      </c>
      <c r="O263" s="3">
        <v>655</v>
      </c>
      <c r="P263" s="3">
        <v>1361</v>
      </c>
      <c r="Q263" s="3">
        <v>24</v>
      </c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/>
      <c r="AC263" s="42"/>
      <c r="AM263" s="40"/>
      <c r="AQ263" s="40"/>
      <c r="AT263" s="40"/>
      <c r="AW263" s="40"/>
    </row>
    <row r="264" spans="1:55" s="2" customFormat="1" x14ac:dyDescent="0.55000000000000004">
      <c r="A264" s="1" t="s">
        <v>283</v>
      </c>
      <c r="B264" s="3"/>
      <c r="C264" s="3"/>
      <c r="D264" s="3"/>
      <c r="E264" s="3"/>
      <c r="F264" s="3"/>
      <c r="G264" s="3"/>
      <c r="H264" s="3"/>
      <c r="I264" s="3"/>
      <c r="J264" s="3"/>
      <c r="K264" s="28"/>
      <c r="L264" s="28"/>
      <c r="M264" s="3"/>
      <c r="N264" s="3">
        <v>3566</v>
      </c>
      <c r="O264" s="3">
        <v>296</v>
      </c>
      <c r="P264" s="3">
        <v>579</v>
      </c>
      <c r="Q264" s="3">
        <v>7</v>
      </c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/>
      <c r="AC264" s="42"/>
      <c r="AM264" s="40"/>
      <c r="AQ264" s="40"/>
      <c r="AT264" s="40"/>
      <c r="AW264" s="40"/>
    </row>
    <row r="265" spans="1:55" s="8" customFormat="1" x14ac:dyDescent="0.55000000000000004">
      <c r="A265" s="6" t="s">
        <v>284</v>
      </c>
      <c r="B265" s="7">
        <v>804949</v>
      </c>
      <c r="C265" s="7">
        <v>48145</v>
      </c>
      <c r="D265" s="7">
        <v>36045</v>
      </c>
      <c r="E265" s="7">
        <v>142459</v>
      </c>
      <c r="F265" s="10" t="s">
        <v>25</v>
      </c>
      <c r="G265" s="10" t="s">
        <v>25</v>
      </c>
      <c r="H265" s="7">
        <v>782623</v>
      </c>
      <c r="I265" s="7">
        <v>18921</v>
      </c>
      <c r="J265" s="7">
        <v>12445</v>
      </c>
      <c r="K265" s="31">
        <v>59.8</v>
      </c>
      <c r="L265" s="31">
        <v>44.8</v>
      </c>
      <c r="M265" s="3"/>
      <c r="N265" s="7">
        <v>178692</v>
      </c>
      <c r="O265" s="7">
        <v>134096</v>
      </c>
      <c r="P265" s="7">
        <v>254000</v>
      </c>
      <c r="Q265" s="7">
        <v>197209</v>
      </c>
      <c r="R265" s="7">
        <v>40952</v>
      </c>
      <c r="S265" s="7"/>
      <c r="T265" s="7"/>
      <c r="U265" s="7"/>
      <c r="V265" s="7"/>
      <c r="W265" s="7"/>
      <c r="X265" s="7"/>
      <c r="Y265" s="7"/>
      <c r="Z265" s="7"/>
      <c r="AA265" s="7"/>
      <c r="AB265"/>
      <c r="AC265" s="42"/>
      <c r="AD265" s="9">
        <f>SUM(N265:AB265)</f>
        <v>804949</v>
      </c>
      <c r="AE265" s="9">
        <f>SUM(N266:AB266)</f>
        <v>48145</v>
      </c>
      <c r="AF265" s="9">
        <f>SUM(N267:AB267)</f>
        <v>36045</v>
      </c>
      <c r="AG265" s="9">
        <f>E265</f>
        <v>142459</v>
      </c>
      <c r="AH265" s="10" t="str">
        <f>F265</f>
        <v>—</v>
      </c>
      <c r="AI265" s="10" t="str">
        <f>G265</f>
        <v>—</v>
      </c>
      <c r="AJ265" s="9">
        <f>H265</f>
        <v>782623</v>
      </c>
      <c r="AK265" s="9">
        <f>I265</f>
        <v>18921</v>
      </c>
      <c r="AL265" s="9">
        <f>J265</f>
        <v>12445</v>
      </c>
      <c r="AM265" s="40"/>
      <c r="AN265" s="9">
        <f>AD265-B265</f>
        <v>0</v>
      </c>
      <c r="AO265" s="9">
        <f>AE265-C265</f>
        <v>0</v>
      </c>
      <c r="AP265" s="9">
        <f>AF265-D265</f>
        <v>0</v>
      </c>
      <c r="AQ265" s="43"/>
      <c r="AR265" s="48">
        <f>C265/B265*1000</f>
        <v>59.811242699848059</v>
      </c>
      <c r="AS265" s="48">
        <f>D265/B265*1000</f>
        <v>44.779234460816774</v>
      </c>
      <c r="AT265" s="49"/>
      <c r="AU265" s="48">
        <f>AR265-K265</f>
        <v>1.1242699848061477E-2</v>
      </c>
      <c r="AV265" s="48">
        <f>AS265-L265</f>
        <v>-2.0765539183223325E-2</v>
      </c>
      <c r="AW265" s="43"/>
    </row>
    <row r="266" spans="1:55" s="2" customFormat="1" x14ac:dyDescent="0.55000000000000004">
      <c r="A266" s="1" t="s">
        <v>285</v>
      </c>
      <c r="B266" s="3"/>
      <c r="C266" s="3"/>
      <c r="D266" s="3"/>
      <c r="E266" s="3"/>
      <c r="F266" s="3"/>
      <c r="G266" s="3"/>
      <c r="H266" s="3"/>
      <c r="I266" s="3"/>
      <c r="J266" s="3"/>
      <c r="K266" s="28"/>
      <c r="L266" s="28"/>
      <c r="M266" s="3"/>
      <c r="N266" s="3">
        <v>21817</v>
      </c>
      <c r="O266" s="3">
        <v>10760</v>
      </c>
      <c r="P266" s="3">
        <v>5757</v>
      </c>
      <c r="Q266" s="3">
        <v>7168</v>
      </c>
      <c r="R266" s="3">
        <v>2643</v>
      </c>
      <c r="S266" s="3"/>
      <c r="T266" s="3"/>
      <c r="U266" s="3"/>
      <c r="V266" s="3"/>
      <c r="W266" s="3"/>
      <c r="X266" s="3"/>
      <c r="Y266" s="3"/>
      <c r="Z266" s="3"/>
      <c r="AA266" s="3"/>
      <c r="AB266"/>
      <c r="AC266" s="42"/>
      <c r="AM266" s="40"/>
      <c r="AQ266" s="40"/>
      <c r="AT266" s="40"/>
      <c r="AW266" s="40"/>
    </row>
    <row r="267" spans="1:55" s="2" customFormat="1" x14ac:dyDescent="0.55000000000000004">
      <c r="A267" s="1" t="s">
        <v>286</v>
      </c>
      <c r="B267" s="3"/>
      <c r="C267" s="3"/>
      <c r="D267" s="3"/>
      <c r="E267" s="3"/>
      <c r="F267" s="3"/>
      <c r="G267" s="3"/>
      <c r="H267" s="3"/>
      <c r="I267" s="3"/>
      <c r="J267" s="3"/>
      <c r="K267" s="28"/>
      <c r="L267" s="28"/>
      <c r="M267" s="3"/>
      <c r="N267" s="3">
        <v>19392</v>
      </c>
      <c r="O267" s="3">
        <v>6721</v>
      </c>
      <c r="P267" s="3">
        <v>3902</v>
      </c>
      <c r="Q267" s="3">
        <v>5241</v>
      </c>
      <c r="R267" s="3">
        <v>789</v>
      </c>
      <c r="S267" s="3"/>
      <c r="T267" s="3"/>
      <c r="U267" s="3"/>
      <c r="V267" s="3"/>
      <c r="W267" s="3"/>
      <c r="X267" s="3"/>
      <c r="Y267" s="3"/>
      <c r="Z267" s="3"/>
      <c r="AA267" s="3"/>
      <c r="AB267"/>
      <c r="AC267" s="42"/>
      <c r="AD267" s="5"/>
      <c r="AM267" s="40"/>
      <c r="AQ267" s="40"/>
      <c r="AT267" s="40"/>
      <c r="AW267" s="40"/>
    </row>
    <row r="268" spans="1:55" s="13" customFormat="1" x14ac:dyDescent="0.55000000000000004">
      <c r="A268" s="11" t="s">
        <v>287</v>
      </c>
      <c r="B268" s="12">
        <v>6106894</v>
      </c>
      <c r="C268" s="12">
        <v>130780</v>
      </c>
      <c r="D268" s="12">
        <v>85046</v>
      </c>
      <c r="E268" s="12">
        <v>433543</v>
      </c>
      <c r="F268" s="12" t="s">
        <v>25</v>
      </c>
      <c r="G268" s="12" t="s">
        <v>25</v>
      </c>
      <c r="H268" s="12">
        <v>5901196</v>
      </c>
      <c r="I268" s="12">
        <v>62717</v>
      </c>
      <c r="J268" s="12">
        <v>44227</v>
      </c>
      <c r="K268" s="32">
        <v>37.700000000000003</v>
      </c>
      <c r="L268" s="32">
        <v>26.9</v>
      </c>
      <c r="M268" s="3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/>
      <c r="AC268" s="42"/>
      <c r="AD268" s="14">
        <f>SUM(AD245:AD267)</f>
        <v>6069119</v>
      </c>
      <c r="AE268" s="14">
        <f t="shared" ref="AE268:AL268" si="27">SUM(AE245:AE267)</f>
        <v>120317</v>
      </c>
      <c r="AF268" s="14">
        <f t="shared" si="27"/>
        <v>85046</v>
      </c>
      <c r="AG268" s="14">
        <f t="shared" si="27"/>
        <v>433543</v>
      </c>
      <c r="AH268" s="14">
        <f t="shared" si="27"/>
        <v>2441</v>
      </c>
      <c r="AI268" s="14">
        <f t="shared" si="27"/>
        <v>1859</v>
      </c>
      <c r="AJ268" s="14">
        <f t="shared" si="27"/>
        <v>5203911</v>
      </c>
      <c r="AK268" s="14">
        <f t="shared" si="27"/>
        <v>55897</v>
      </c>
      <c r="AL268" s="14">
        <f t="shared" si="27"/>
        <v>38195</v>
      </c>
      <c r="AM268" s="40"/>
      <c r="AN268" s="14">
        <f>AD268-B268</f>
        <v>-37775</v>
      </c>
      <c r="AO268" s="14">
        <f>AE268-C268</f>
        <v>-10463</v>
      </c>
      <c r="AP268" s="14">
        <f>AF268-D268</f>
        <v>0</v>
      </c>
      <c r="AQ268" s="43"/>
      <c r="AR268" s="48">
        <f>C268/B268*1000</f>
        <v>21.41514164156116</v>
      </c>
      <c r="AS268" s="48">
        <f>D268/B268*1000</f>
        <v>13.926228292156372</v>
      </c>
      <c r="AT268" s="49"/>
      <c r="AU268" s="48">
        <f>AR268-K268</f>
        <v>-16.284858358438843</v>
      </c>
      <c r="AV268" s="48">
        <f>AS268-L268</f>
        <v>-12.973771707843627</v>
      </c>
      <c r="AW268" s="43"/>
      <c r="AX268" s="14">
        <f>E268-AG268</f>
        <v>0</v>
      </c>
      <c r="AY268" s="14"/>
      <c r="AZ268" s="14"/>
      <c r="BA268" s="14">
        <f>H268-AJ268</f>
        <v>697285</v>
      </c>
      <c r="BB268" s="14">
        <f>I268-AK268</f>
        <v>6820</v>
      </c>
      <c r="BC268" s="14">
        <f>J268-AL268</f>
        <v>6032</v>
      </c>
    </row>
    <row r="269" spans="1:55" s="13" customFormat="1" x14ac:dyDescent="0.55000000000000004">
      <c r="A269" s="11" t="s">
        <v>288</v>
      </c>
      <c r="B269" s="12">
        <v>116652610</v>
      </c>
      <c r="C269" s="12">
        <v>5227118</v>
      </c>
      <c r="D269" s="12">
        <v>3790861</v>
      </c>
      <c r="E269" s="12">
        <v>11429561</v>
      </c>
      <c r="F269" s="12">
        <v>397551</v>
      </c>
      <c r="G269" s="12">
        <v>317787</v>
      </c>
      <c r="H269" s="12">
        <v>112401300</v>
      </c>
      <c r="I269" s="12">
        <v>5042328</v>
      </c>
      <c r="J269" s="12">
        <v>3406239</v>
      </c>
      <c r="K269" s="32">
        <v>46.1</v>
      </c>
      <c r="L269" s="32">
        <v>33.5</v>
      </c>
      <c r="M269" s="3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/>
      <c r="AC269" s="42"/>
      <c r="AD269" s="14">
        <f>SUM(AD189,AD218,AD244,AD268)</f>
        <v>114878364</v>
      </c>
      <c r="AE269" s="14">
        <f t="shared" ref="AE269:AL269" si="28">SUM(AE189,AE218,AE244,AE268)</f>
        <v>3428864</v>
      </c>
      <c r="AF269" s="14">
        <f t="shared" si="28"/>
        <v>2363018</v>
      </c>
      <c r="AG269" s="14">
        <f t="shared" si="28"/>
        <v>6800098</v>
      </c>
      <c r="AH269" s="14">
        <f t="shared" si="28"/>
        <v>220226</v>
      </c>
      <c r="AI269" s="14">
        <f t="shared" si="28"/>
        <v>169038</v>
      </c>
      <c r="AJ269" s="14">
        <f t="shared" si="28"/>
        <v>75699363</v>
      </c>
      <c r="AK269" s="14">
        <f t="shared" si="28"/>
        <v>3286200</v>
      </c>
      <c r="AL269" s="14">
        <f t="shared" si="28"/>
        <v>2161668</v>
      </c>
      <c r="AM269" s="40"/>
      <c r="AN269" s="14">
        <f>AD269-B269</f>
        <v>-1774246</v>
      </c>
      <c r="AO269" s="14">
        <f>AE269-C269</f>
        <v>-1798254</v>
      </c>
      <c r="AP269" s="14">
        <f>AF269-D269</f>
        <v>-1427843</v>
      </c>
      <c r="AQ269" s="43"/>
      <c r="AR269" s="48">
        <f>C269/B269*1000</f>
        <v>44.809267448023668</v>
      </c>
      <c r="AS269" s="48">
        <f>D269/B269*1000</f>
        <v>32.49700971114148</v>
      </c>
      <c r="AT269" s="49"/>
      <c r="AU269" s="48">
        <f>AR269-K269</f>
        <v>-1.2907325519763333</v>
      </c>
      <c r="AV269" s="48">
        <f>AS269-L269</f>
        <v>-1.0029902888585198</v>
      </c>
      <c r="AW269" s="43"/>
      <c r="AX269" s="14">
        <f>E269-AG269</f>
        <v>4629463</v>
      </c>
      <c r="AY269" s="14">
        <f>F269-AH269</f>
        <v>177325</v>
      </c>
      <c r="AZ269" s="14">
        <f>G269-AI269</f>
        <v>148749</v>
      </c>
      <c r="BA269" s="14">
        <f>H269-AJ269</f>
        <v>36701937</v>
      </c>
      <c r="BB269" s="14">
        <f>I269-AK269</f>
        <v>1756128</v>
      </c>
      <c r="BC269" s="14">
        <f>J269-AL269</f>
        <v>1244571</v>
      </c>
    </row>
  </sheetData>
  <mergeCells count="1">
    <mergeCell ref="N1:AA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Oboguev, Sergey</cp:lastModifiedBy>
  <dcterms:modified xsi:type="dcterms:W3CDTF">2026-06-27T01:26:57Z</dcterms:modified>
</cp:coreProperties>
</file>