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tabSelected="1" workbookViewId="0">
      <selection activeCell="Y4" sqref="Y4"/>
    </sheetView>
  </sheetViews>
  <sheetFormatPr baseColWidth="8" defaultRowHeight="14.4"/>
  <cols>
    <col width="29.26171875" customWidth="1" style="22" min="1" max="1"/>
    <col width="9.734375" customWidth="1" style="22" min="2" max="2"/>
    <col width="8" customWidth="1" style="22" min="3" max="4"/>
    <col width="10" customWidth="1" style="22" min="5" max="5"/>
    <col width="8.3671875" customWidth="1" style="22" min="6" max="6"/>
    <col width="8.26171875" customWidth="1" style="22" min="7" max="7"/>
    <col width="13.62890625" customWidth="1" style="22" min="8" max="8"/>
    <col width="13.26171875" customWidth="1" style="22" min="9" max="9"/>
    <col width="13.1015625" customWidth="1" style="22" min="10" max="10"/>
    <col width="5.3671875" customWidth="1" style="22" min="11" max="11"/>
    <col width="6.62890625" customWidth="1" style="22" min="12" max="13"/>
    <col width="8" customWidth="1" style="22" min="14" max="14"/>
    <col width="6.62890625" customWidth="1" style="22" min="15" max="15"/>
    <col width="8" customWidth="1" style="22" min="16" max="16"/>
    <col width="6.62890625" customWidth="1" style="22" min="17" max="21"/>
    <col width="8" customWidth="1" style="22" min="22" max="22"/>
    <col width="6.62890625" customWidth="1" style="22" min="23" max="25"/>
    <col width="13.26171875" customWidth="1" style="22" min="27" max="27"/>
    <col width="12.26171875" customWidth="1" style="22" min="28" max="28"/>
    <col width="9.89453125" customWidth="1" style="22" min="30" max="30"/>
    <col width="8.26171875" customWidth="1" style="22" min="31" max="31"/>
    <col width="8.1015625" customWidth="1" style="22" min="32" max="32"/>
    <col width="13.26171875" customWidth="1" style="22" min="33" max="33"/>
    <col width="11.47265625" customWidth="1" style="22" min="34" max="34"/>
    <col width="11.3671875" customWidth="1" style="22" min="35" max="35"/>
    <col width="16.734375" customWidth="1" style="22" min="36" max="36"/>
    <col width="16.3671875" customWidth="1" style="22" min="37" max="37"/>
    <col width="16.26171875" customWidth="1" style="22" min="38" max="38"/>
    <col width="11.62890625" customWidth="1" style="22" min="40" max="40"/>
    <col width="15.1015625" customWidth="1" style="22" min="43" max="43"/>
    <col width="15.3671875" customWidth="1" style="22" min="44" max="44"/>
    <col width="13.3671875" customWidth="1" style="22" min="45" max="45"/>
    <col width="18.734375" customWidth="1" style="22" min="46" max="46"/>
    <col width="21.3671875" customWidth="1" style="22" min="47" max="47"/>
    <col width="17.47265625" customWidth="1" style="22" min="48" max="48"/>
  </cols>
  <sheetData>
    <row r="1" ht="28.8" customHeight="1" s="22">
      <c r="A1" s="21" t="inlineStr">
        <is>
          <t>губ</t>
        </is>
      </c>
      <c r="B1" s="21" t="inlineStr">
        <is>
          <t>чж NYY</t>
        </is>
      </c>
      <c r="C1" s="21" t="inlineStr">
        <is>
          <t>чр YY</t>
        </is>
      </c>
      <c r="D1" s="21" t="inlineStr">
        <is>
          <t>чу YY</t>
        </is>
      </c>
      <c r="E1" s="21" t="inlineStr">
        <is>
          <t>чж-гор NYY</t>
        </is>
      </c>
      <c r="F1" s="21" t="inlineStr">
        <is>
          <t>чр-гор YY</t>
        </is>
      </c>
      <c r="G1" s="21" t="inlineStr">
        <is>
          <t>чу-гор YY</t>
        </is>
      </c>
      <c r="H1" s="21" t="inlineStr">
        <is>
          <t>ср-чж 1887-1889</t>
        </is>
      </c>
      <c r="I1" s="21" t="inlineStr">
        <is>
          <t>ср-чр 1887-1889</t>
        </is>
      </c>
      <c r="J1" s="21" t="inlineStr">
        <is>
          <t>ср-чу 1887-1889</t>
        </is>
      </c>
      <c r="K1" s="20" t="n"/>
      <c r="L1" s="21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1" t="inlineStr">
        <is>
          <t>v-чж NYY</t>
        </is>
      </c>
      <c r="AE1" s="21" t="inlineStr">
        <is>
          <t>v-чр YY</t>
        </is>
      </c>
      <c r="AF1" s="21" t="inlineStr">
        <is>
          <t>v-чу YY</t>
        </is>
      </c>
      <c r="AG1" s="21" t="inlineStr">
        <is>
          <t>v-чж-гор NYY</t>
        </is>
      </c>
      <c r="AH1" s="21" t="inlineStr">
        <is>
          <t>v-чр-гор YY</t>
        </is>
      </c>
      <c r="AI1" s="21" t="inlineStr">
        <is>
          <t>v-чу-гор YY</t>
        </is>
      </c>
      <c r="AJ1" s="21" t="inlineStr">
        <is>
          <t>v-ср-чж 1887-1889</t>
        </is>
      </c>
      <c r="AK1" s="21" t="inlineStr">
        <is>
          <t>v-ср-чр 1887-1889</t>
        </is>
      </c>
      <c r="AL1" s="21" t="inlineStr">
        <is>
          <t>v-ср-чу 1887-1889</t>
        </is>
      </c>
      <c r="AN1" s="21" t="inlineStr">
        <is>
          <t>v-d-чж NYY</t>
        </is>
      </c>
      <c r="AO1" s="21" t="inlineStr">
        <is>
          <t>v-d-чр YY</t>
        </is>
      </c>
      <c r="AP1" s="21" t="inlineStr">
        <is>
          <t>v-d-чу YY</t>
        </is>
      </c>
      <c r="AQ1" s="21" t="inlineStr">
        <is>
          <t>v-d-чж-гор NYY</t>
        </is>
      </c>
      <c r="AR1" s="21" t="inlineStr">
        <is>
          <t>v-d-чр-гор YY</t>
        </is>
      </c>
      <c r="AS1" s="21" t="inlineStr">
        <is>
          <t>v-d-чу-гор YY</t>
        </is>
      </c>
      <c r="AT1" s="21" t="inlineStr">
        <is>
          <t>v-d-ср-чж 1887-1889</t>
        </is>
      </c>
      <c r="AU1" s="21" t="inlineStr">
        <is>
          <t>v-d-ср-чр 1887-1889</t>
        </is>
      </c>
      <c r="AV1" s="21" t="inlineStr">
        <is>
          <t>v-d-ср-чу 1887-1889</t>
        </is>
      </c>
    </row>
    <row r="2" customForma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customForma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customForma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customForma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customForma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customForma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customForma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customForma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customForma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customForma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customForma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customForma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customForma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customForma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customForma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customForma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customForma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customForma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customForma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customForma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customForma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customForma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customForma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customForma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customForma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customForma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customForma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customForma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customForma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customForma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customForma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customForma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customForma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customForma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customForma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customForma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customForma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customForma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customForma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customForma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customForma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customForma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customForma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customForma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customForma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customForma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customForma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customForma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customForma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customForma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customForma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customForma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customForma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customForma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customForma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customForma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customForma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customForma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customForma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customForma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customForma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customForma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customForma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customForma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customForma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customForma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16039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customForma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customForma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customForma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customForma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51740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customForma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customForma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customForma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customForma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customForma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customForma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customForma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customForma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customForma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customForma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customForma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customForma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customForma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customForma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4014</v>
      </c>
      <c r="N85" s="3" t="n">
        <v>4684</v>
      </c>
      <c r="O85" s="3" t="n">
        <v>5079</v>
      </c>
      <c r="P85" s="3" t="n">
        <v>6098</v>
      </c>
      <c r="Q85" s="3" t="n">
        <v>9580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customForma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customFormat="1" s="8">
      <c r="A87" s="6" t="inlineStr">
        <is>
          <t>Вологодская</t>
        </is>
      </c>
      <c r="B87" s="7" t="n">
        <v>1282886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customForma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6471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customForma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customForma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107953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customForma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customForma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9410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customForma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customForma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21050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customForma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customForma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6933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199395</v>
      </c>
      <c r="S96" s="7" t="n">
        <v>153925</v>
      </c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customForma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11719</v>
      </c>
      <c r="S97" s="3" t="n">
        <v>9729</v>
      </c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customForma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8986</v>
      </c>
      <c r="S98" s="3" t="n">
        <v>4617</v>
      </c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customFormat="1" s="8">
      <c r="A99" s="6" t="inlineStr">
        <is>
          <t>Казанская</t>
        </is>
      </c>
      <c r="B99" s="7" t="n">
        <v>2195414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97400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160256</v>
      </c>
      <c r="U99" s="7" t="n">
        <v>117481</v>
      </c>
      <c r="V99" s="7" t="n">
        <v>308513</v>
      </c>
      <c r="W99" s="7" t="n">
        <v>137323</v>
      </c>
      <c r="X99" s="7" t="n"/>
      <c r="Y99" s="7" t="n"/>
      <c r="AA99" s="9">
        <f>SUM(L99:Y99)</f>
        <v/>
      </c>
      <c r="AB99" s="9">
        <f>AA99-B99</f>
        <v/>
      </c>
    </row>
    <row r="100" customForma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4463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7817</v>
      </c>
      <c r="U100" s="3" t="n">
        <v>5877</v>
      </c>
      <c r="V100" s="3" t="n">
        <v>15439</v>
      </c>
      <c r="W100" s="3" t="n">
        <v>7078</v>
      </c>
      <c r="X100" s="3" t="n"/>
      <c r="Y100" s="3" t="n"/>
      <c r="AA100" s="5">
        <f>SUM(L100:Y100)</f>
        <v/>
      </c>
      <c r="AB100" s="5">
        <f>C99-AA100</f>
        <v/>
      </c>
    </row>
    <row r="101" customForma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3251</v>
      </c>
      <c r="N101" s="3" t="n">
        <v>7047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5073</v>
      </c>
      <c r="U101" s="3" t="n">
        <v>3675</v>
      </c>
      <c r="V101" s="3" t="n">
        <v>10901</v>
      </c>
      <c r="W101" s="3" t="n">
        <v>4762</v>
      </c>
      <c r="X101" s="3" t="n"/>
      <c r="Y101" s="3" t="n"/>
      <c r="AA101" s="5">
        <f>SUM(L101:Y101)</f>
        <v/>
      </c>
      <c r="AB101" s="5">
        <f>AA101-D99</f>
        <v/>
      </c>
    </row>
    <row r="102" customFormat="1" s="8">
      <c r="A102" s="6" t="inlineStr">
        <is>
          <t>Калужская</t>
        </is>
      </c>
      <c r="B102" s="7" t="n">
        <v>1244018</v>
      </c>
      <c r="C102" s="7" t="n">
        <v>61106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50845</v>
      </c>
      <c r="R102" s="7" t="n">
        <v>125314</v>
      </c>
      <c r="S102" s="7" t="n">
        <v>119734</v>
      </c>
      <c r="T102" s="7" t="n">
        <v>162042</v>
      </c>
      <c r="U102" s="7" t="n">
        <v>70325</v>
      </c>
      <c r="V102" s="7" t="n">
        <v>70907</v>
      </c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customForma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2214</v>
      </c>
      <c r="R103" s="3" t="n">
        <v>6443</v>
      </c>
      <c r="S103" s="3" t="n">
        <v>4820</v>
      </c>
      <c r="T103" s="3" t="n">
        <v>8539</v>
      </c>
      <c r="U103" s="3" t="n">
        <v>3239</v>
      </c>
      <c r="V103" s="3" t="n">
        <v>3019</v>
      </c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customForma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4011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2145</v>
      </c>
      <c r="R104" s="3" t="n">
        <v>5479</v>
      </c>
      <c r="S104" s="3" t="n">
        <v>3913</v>
      </c>
      <c r="T104" s="3" t="n">
        <v>6552</v>
      </c>
      <c r="U104" s="3" t="n">
        <v>2623</v>
      </c>
      <c r="V104" s="3" t="n">
        <v>2501</v>
      </c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customForma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63792</v>
      </c>
      <c r="V105" s="7" t="n">
        <v>56938</v>
      </c>
      <c r="W105" s="7" t="n">
        <v>134250</v>
      </c>
      <c r="X105" s="7" t="n"/>
      <c r="Y105" s="7" t="n"/>
      <c r="AA105" s="9">
        <f>SUM(L105:Y105)</f>
        <v/>
      </c>
      <c r="AB105" s="9">
        <f>AA105-B105</f>
        <v/>
      </c>
    </row>
    <row r="106" customForma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7589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2336</v>
      </c>
      <c r="V106" s="3" t="n">
        <v>2271</v>
      </c>
      <c r="W106" s="3" t="n">
        <v>6685</v>
      </c>
      <c r="X106" s="3" t="n"/>
      <c r="Y106" s="3" t="n"/>
      <c r="AA106" s="5">
        <f>SUM(L106:Y106)</f>
        <v/>
      </c>
      <c r="AB106" s="5">
        <f>C105-AA106</f>
        <v/>
      </c>
    </row>
    <row r="107" customForma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1682</v>
      </c>
      <c r="V107" s="3" t="n">
        <v>1883</v>
      </c>
      <c r="W107" s="3" t="n">
        <v>5484</v>
      </c>
      <c r="X107" s="3" t="n"/>
      <c r="Y107" s="3" t="n"/>
      <c r="AA107" s="5">
        <f>SUM(L107:Y107)</f>
        <v/>
      </c>
      <c r="AB107" s="5">
        <f>AA107-D105</f>
        <v/>
      </c>
    </row>
    <row r="108" customForma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192526</v>
      </c>
      <c r="T108" s="7" t="n">
        <v>168565</v>
      </c>
      <c r="U108" s="7" t="n">
        <v>160407</v>
      </c>
      <c r="V108" s="7" t="n">
        <v>167923</v>
      </c>
      <c r="W108" s="7" t="n">
        <v>157588</v>
      </c>
      <c r="X108" s="7" t="n">
        <v>172109</v>
      </c>
      <c r="Y108" s="7" t="n">
        <v>139143</v>
      </c>
      <c r="Z108" s="23" t="n">
        <v>154214</v>
      </c>
      <c r="AA108" s="9">
        <f>SUM(L108:Y108)</f>
        <v/>
      </c>
      <c r="AB108" s="9">
        <f>AA108-B108</f>
        <v/>
      </c>
    </row>
    <row r="109" customForma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7688</v>
      </c>
      <c r="S109" s="3" t="n">
        <v>9100</v>
      </c>
      <c r="T109" s="3" t="n">
        <v>7585</v>
      </c>
      <c r="U109" s="3" t="n">
        <v>7568</v>
      </c>
      <c r="V109" s="3" t="n">
        <v>7478</v>
      </c>
      <c r="W109" s="3" t="n">
        <v>6981</v>
      </c>
      <c r="X109" s="3" t="n">
        <v>7089</v>
      </c>
      <c r="Y109" s="3" t="n">
        <v>5740</v>
      </c>
      <c r="Z109" s="23" t="n">
        <v>7403</v>
      </c>
      <c r="AA109" s="5">
        <f>SUM(L109:Y109)</f>
        <v/>
      </c>
      <c r="AB109" s="5">
        <f>C108-AA109</f>
        <v/>
      </c>
    </row>
    <row r="110" customForma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7909</v>
      </c>
      <c r="T110" s="3" t="n">
        <v>5138</v>
      </c>
      <c r="U110" s="3" t="n">
        <v>4871</v>
      </c>
      <c r="V110" s="3" t="n">
        <v>5487</v>
      </c>
      <c r="W110" s="3" t="n">
        <v>4953</v>
      </c>
      <c r="X110" s="3" t="n">
        <v>4917</v>
      </c>
      <c r="Y110" s="3" t="n">
        <v>4521</v>
      </c>
      <c r="Z110" s="23" t="n">
        <v>6569</v>
      </c>
      <c r="AA110" s="5">
        <f>SUM(L110:Y110)</f>
        <v/>
      </c>
      <c r="AB110" s="5">
        <f>AA110-D108</f>
        <v/>
      </c>
    </row>
    <row r="111" customForma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100487</v>
      </c>
      <c r="W111" s="7" t="n">
        <v>72693</v>
      </c>
      <c r="X111" s="7" t="n">
        <v>136785</v>
      </c>
      <c r="Y111" s="7" t="n"/>
      <c r="AA111" s="9">
        <f>SUM(L111:Y111)</f>
        <v/>
      </c>
      <c r="AB111" s="9">
        <f>AA111-B111</f>
        <v/>
      </c>
    </row>
    <row r="112" customForma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4330</v>
      </c>
      <c r="W112" s="3" t="n">
        <v>3487</v>
      </c>
      <c r="X112" s="3" t="n">
        <v>5028</v>
      </c>
      <c r="Y112" s="3" t="n"/>
      <c r="AA112" s="5">
        <f>SUM(L112:Y112)</f>
        <v/>
      </c>
      <c r="AB112" s="5">
        <f>C111-AA112</f>
        <v/>
      </c>
    </row>
    <row r="113" customForma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4384</v>
      </c>
      <c r="U113" s="3" t="n">
        <v>3436</v>
      </c>
      <c r="V113" s="3" t="n">
        <v>3664</v>
      </c>
      <c r="W113" s="3" t="n">
        <v>3437</v>
      </c>
      <c r="X113" s="3" t="n">
        <v>4589</v>
      </c>
      <c r="Y113" s="3" t="n"/>
      <c r="AA113" s="5">
        <f>SUM(L113:Y113)</f>
        <v/>
      </c>
      <c r="AB113" s="5">
        <f>AA113-D111</f>
        <v/>
      </c>
    </row>
    <row r="114" customForma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4198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112125</v>
      </c>
      <c r="P114" s="7" t="n">
        <v>127628</v>
      </c>
      <c r="Q114" s="7" t="n">
        <v>130170</v>
      </c>
      <c r="R114" s="7" t="n">
        <v>118317</v>
      </c>
      <c r="S114" s="7" t="n">
        <v>192722</v>
      </c>
      <c r="T114" s="7" t="n">
        <v>104350</v>
      </c>
      <c r="U114" s="7" t="n">
        <v>108201</v>
      </c>
      <c r="V114" s="7" t="n">
        <v>166301</v>
      </c>
      <c r="W114" s="7" t="n"/>
      <c r="X114" s="7" t="n"/>
      <c r="Y114" s="7" t="n"/>
      <c r="AA114" s="9">
        <f>SUM(L114:Y114)</f>
        <v/>
      </c>
      <c r="AB114" s="9">
        <f>AA114-B114</f>
        <v/>
      </c>
    </row>
    <row r="115" customForma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5885</v>
      </c>
      <c r="P115" s="3" t="n">
        <v>6857</v>
      </c>
      <c r="Q115" s="3" t="n">
        <v>6588</v>
      </c>
      <c r="R115" s="3" t="n">
        <v>6396</v>
      </c>
      <c r="S115" s="3" t="n">
        <v>10506</v>
      </c>
      <c r="T115" s="3" t="n">
        <v>5768</v>
      </c>
      <c r="U115" s="3" t="n">
        <v>5102</v>
      </c>
      <c r="V115" s="3" t="n">
        <v>8336</v>
      </c>
      <c r="W115" s="3" t="n"/>
      <c r="X115" s="3" t="n"/>
      <c r="Y115" s="3" t="n"/>
      <c r="AA115" s="5">
        <f>SUM(L115:Y115)</f>
        <v/>
      </c>
      <c r="AB115" s="5">
        <f>C114-AA115</f>
        <v/>
      </c>
    </row>
    <row r="116" customForma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4724</v>
      </c>
      <c r="P116" s="3" t="n">
        <v>5223</v>
      </c>
      <c r="Q116" s="3" t="n">
        <v>4800</v>
      </c>
      <c r="R116" s="3" t="n">
        <v>5185</v>
      </c>
      <c r="S116" s="3" t="n">
        <v>10418</v>
      </c>
      <c r="T116" s="3" t="n">
        <v>4423</v>
      </c>
      <c r="U116" s="3" t="n">
        <v>3915</v>
      </c>
      <c r="V116" s="3" t="n">
        <v>7114</v>
      </c>
      <c r="W116" s="3" t="n"/>
      <c r="X116" s="3" t="n"/>
      <c r="Y116" s="3" t="n"/>
      <c r="AA116" s="5">
        <f>SUM(L116:Y116)</f>
        <v/>
      </c>
      <c r="AB116" s="5">
        <f>AA116-D114</f>
        <v/>
      </c>
    </row>
    <row r="117" customForma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53773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92627</v>
      </c>
      <c r="V117" s="7" t="n">
        <v>144570</v>
      </c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customForma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4374</v>
      </c>
      <c r="V118" s="3" t="n">
        <v>6609</v>
      </c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customForma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2997</v>
      </c>
      <c r="V119" s="3" t="n">
        <v>5098</v>
      </c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customFormat="1" s="8">
      <c r="A120" s="6" t="inlineStr">
        <is>
          <t>Олонецкая</t>
        </is>
      </c>
      <c r="B120" s="7" t="n">
        <v>362131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28315</v>
      </c>
      <c r="Q120" s="7" t="n">
        <v>40075</v>
      </c>
      <c r="R120" s="7" t="n">
        <v>34080</v>
      </c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customForma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1140</v>
      </c>
      <c r="Q121" s="3" t="n">
        <v>1868</v>
      </c>
      <c r="R121" s="3" t="n">
        <v>1774</v>
      </c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customForma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1868</v>
      </c>
      <c r="N122" s="3" t="n">
        <v>2816</v>
      </c>
      <c r="O122" s="3" t="n">
        <v>1365</v>
      </c>
      <c r="P122" s="3" t="n">
        <v>739</v>
      </c>
      <c r="Q122" s="3" t="n">
        <v>1259</v>
      </c>
      <c r="R122" s="3" t="n">
        <v>1535</v>
      </c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customFormat="1" s="8">
      <c r="A123" s="6" t="inlineStr">
        <is>
          <t>Орловская</t>
        </is>
      </c>
      <c r="B123" s="7" t="n">
        <v>2107442</v>
      </c>
      <c r="C123" s="7" t="n">
        <v>106674</v>
      </c>
      <c r="D123" s="7" t="n">
        <v>85609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151832</v>
      </c>
      <c r="N123" s="7" t="n">
        <v>163163</v>
      </c>
      <c r="O123" s="7" t="n">
        <v>104561</v>
      </c>
      <c r="P123" s="7" t="n">
        <v>291845</v>
      </c>
      <c r="Q123" s="7" t="n">
        <v>131389</v>
      </c>
      <c r="R123" s="7" t="n">
        <v>116193</v>
      </c>
      <c r="S123" s="7" t="n">
        <v>352235</v>
      </c>
      <c r="T123" s="7" t="n">
        <v>189690</v>
      </c>
      <c r="U123" s="7" t="n">
        <v>108213</v>
      </c>
      <c r="V123" s="7" t="n">
        <v>143480</v>
      </c>
      <c r="W123" s="7" t="n">
        <v>130206</v>
      </c>
      <c r="X123" s="7" t="n"/>
      <c r="Y123" s="7" t="n"/>
      <c r="AA123" s="9">
        <f>SUM(L123:Y123)</f>
        <v/>
      </c>
      <c r="AB123" s="9">
        <f>AA123-B123</f>
        <v/>
      </c>
    </row>
    <row r="124" customForma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7171</v>
      </c>
      <c r="N124" s="3" t="n">
        <v>9475</v>
      </c>
      <c r="O124" s="3" t="n">
        <v>5117</v>
      </c>
      <c r="P124" s="3" t="n">
        <v>15703</v>
      </c>
      <c r="Q124" s="3" t="n">
        <v>6954</v>
      </c>
      <c r="R124" s="3" t="n">
        <v>5654</v>
      </c>
      <c r="S124" s="3" t="n">
        <v>16746</v>
      </c>
      <c r="T124" s="3" t="n">
        <v>9833</v>
      </c>
      <c r="U124" s="3" t="n">
        <v>5546</v>
      </c>
      <c r="V124" s="3" t="n">
        <v>7511</v>
      </c>
      <c r="W124" s="3" t="n">
        <v>6675</v>
      </c>
      <c r="X124" s="3" t="n"/>
      <c r="Y124" s="3" t="n"/>
      <c r="AA124" s="5">
        <f>SUM(L124:Y124)</f>
        <v/>
      </c>
      <c r="AB124" s="5">
        <f>C123-AA124</f>
        <v/>
      </c>
    </row>
    <row r="125" customForma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6597</v>
      </c>
      <c r="N125" s="3" t="n">
        <v>6199</v>
      </c>
      <c r="O125" s="3" t="n">
        <v>4049</v>
      </c>
      <c r="P125" s="3" t="n">
        <v>12270</v>
      </c>
      <c r="Q125" s="3" t="n">
        <v>5614</v>
      </c>
      <c r="R125" s="3" t="n">
        <v>4784</v>
      </c>
      <c r="S125" s="3" t="n">
        <v>14103</v>
      </c>
      <c r="T125" s="3" t="n">
        <v>8567</v>
      </c>
      <c r="U125" s="3" t="n">
        <v>5198</v>
      </c>
      <c r="V125" s="3" t="n">
        <v>4509</v>
      </c>
      <c r="W125" s="3" t="n">
        <v>3956</v>
      </c>
      <c r="X125" s="3" t="n"/>
      <c r="Y125" s="3" t="n"/>
      <c r="AA125" s="5">
        <f>SUM(L125:Y125)</f>
        <v/>
      </c>
      <c r="AB125" s="5">
        <f>AA125-D123</f>
        <v/>
      </c>
    </row>
    <row r="126" customForma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customForma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6613</v>
      </c>
      <c r="S127" s="3" t="n">
        <v>7889</v>
      </c>
      <c r="T127" s="3" t="n">
        <v>7816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customForma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7011</v>
      </c>
      <c r="Q128" s="3" t="n">
        <v>6063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customForma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283694</v>
      </c>
      <c r="T129" s="7" t="n">
        <v>258003</v>
      </c>
      <c r="U129" s="7" t="n">
        <v>211877</v>
      </c>
      <c r="V129" s="7" t="n">
        <v>92880</v>
      </c>
      <c r="W129" s="7" t="n">
        <v>341263</v>
      </c>
      <c r="X129" s="7" t="n"/>
      <c r="Y129" s="7" t="n"/>
      <c r="AA129" s="9">
        <f>SUM(L129:Y129)</f>
        <v/>
      </c>
      <c r="AB129" s="9">
        <f>AA129-B129</f>
        <v/>
      </c>
    </row>
    <row r="130" customForma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15339</v>
      </c>
      <c r="T130" s="3" t="n">
        <v>12826</v>
      </c>
      <c r="U130" s="3" t="n">
        <v>11544</v>
      </c>
      <c r="V130" s="3" t="n">
        <v>5356</v>
      </c>
      <c r="W130" s="3" t="n">
        <v>18799</v>
      </c>
      <c r="X130" s="3" t="n"/>
      <c r="Y130" s="3" t="n"/>
      <c r="AA130" s="5">
        <f>SUM(L130:Y130)</f>
        <v/>
      </c>
      <c r="AB130" s="5">
        <f>C129-AA130</f>
        <v/>
      </c>
    </row>
    <row r="131" customForma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13187</v>
      </c>
      <c r="T131" s="3" t="n">
        <v>12021</v>
      </c>
      <c r="U131" s="3" t="n">
        <v>11174</v>
      </c>
      <c r="V131" s="3" t="n">
        <v>2818</v>
      </c>
      <c r="W131" s="3" t="n">
        <v>18168</v>
      </c>
      <c r="X131" s="3" t="n"/>
      <c r="Y131" s="3" t="n"/>
      <c r="AA131" s="5">
        <f>SUM(L131:Y131)</f>
        <v/>
      </c>
      <c r="AB131" s="5">
        <f>AA131-D129</f>
        <v/>
      </c>
    </row>
    <row r="132" customForma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253214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200511</v>
      </c>
      <c r="W132" s="7" t="n">
        <v>169027</v>
      </c>
      <c r="X132" s="7" t="n">
        <v>214841</v>
      </c>
      <c r="Y132" s="7" t="n">
        <v>208986</v>
      </c>
      <c r="Z132" s="23" t="n">
        <v>171568</v>
      </c>
      <c r="AA132" s="9">
        <f>SUM(L132:Y132)</f>
        <v/>
      </c>
      <c r="AB132" s="9">
        <f>AA132-B132</f>
        <v/>
      </c>
    </row>
    <row r="133" customForma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7401</v>
      </c>
      <c r="X133" s="3" t="n">
        <v>8796</v>
      </c>
      <c r="Y133" s="3" t="n">
        <v>8109</v>
      </c>
      <c r="Z133" s="23" t="n">
        <v>8337</v>
      </c>
      <c r="AA133" s="5">
        <f>SUM(L133:Y133)</f>
        <v/>
      </c>
      <c r="AB133" s="5">
        <f>C132-AA133</f>
        <v/>
      </c>
    </row>
    <row r="134" customForma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6323</v>
      </c>
      <c r="Y134" s="3" t="n">
        <v>5395</v>
      </c>
      <c r="Z134" s="23" t="n">
        <v>5842</v>
      </c>
      <c r="AA134" s="5">
        <f>SUM(L134:Y134)</f>
        <v/>
      </c>
      <c r="AB134" s="5">
        <f>AA134-D132</f>
        <v/>
      </c>
    </row>
    <row r="135" customForma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217611</v>
      </c>
      <c r="M135" s="7" t="n">
        <v>110602</v>
      </c>
      <c r="N135" s="7" t="n">
        <v>102649</v>
      </c>
      <c r="O135" s="7" t="n">
        <v>126769</v>
      </c>
      <c r="P135" s="7" t="n">
        <v>157179</v>
      </c>
      <c r="Q135" s="7" t="n">
        <v>164744</v>
      </c>
      <c r="R135" s="7" t="n">
        <v>75896</v>
      </c>
      <c r="S135" s="7" t="n">
        <v>73603</v>
      </c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customForma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9740</v>
      </c>
      <c r="M136" s="3" t="n">
        <v>5984</v>
      </c>
      <c r="N136" s="3" t="n">
        <v>5063</v>
      </c>
      <c r="O136" s="3" t="n">
        <v>6179</v>
      </c>
      <c r="P136" s="3" t="n">
        <v>7255</v>
      </c>
      <c r="Q136" s="3" t="n">
        <v>7226</v>
      </c>
      <c r="R136" s="3" t="n">
        <v>4435</v>
      </c>
      <c r="S136" s="3" t="n">
        <v>4430</v>
      </c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customForma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6400</v>
      </c>
      <c r="M137" s="3" t="n">
        <v>4047</v>
      </c>
      <c r="N137" s="3" t="n">
        <v>3043</v>
      </c>
      <c r="O137" s="3" t="n">
        <v>3392</v>
      </c>
      <c r="P137" s="3" t="n">
        <v>4744</v>
      </c>
      <c r="Q137" s="3" t="n">
        <v>4970</v>
      </c>
      <c r="R137" s="3" t="n">
        <v>3053</v>
      </c>
      <c r="S137" s="3" t="n">
        <v>2793</v>
      </c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customForma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70492</v>
      </c>
      <c r="E138" s="7" t="n">
        <v>96139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121604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168138</v>
      </c>
      <c r="X138" s="7" t="n"/>
      <c r="Y138" s="7" t="n"/>
      <c r="AA138" s="9">
        <f>SUM(L138:Y138)</f>
        <v/>
      </c>
      <c r="AB138" s="9">
        <f>AA138-B138</f>
        <v/>
      </c>
    </row>
    <row r="139" customForma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7884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7861</v>
      </c>
      <c r="U139" s="3" t="n">
        <v>8733</v>
      </c>
      <c r="V139" s="3" t="n">
        <v>9530</v>
      </c>
      <c r="W139" s="3" t="n">
        <v>7726</v>
      </c>
      <c r="X139" s="3" t="n"/>
      <c r="Y139" s="3" t="n"/>
      <c r="AA139" s="5">
        <f>SUM(L139:Y139)</f>
        <v/>
      </c>
      <c r="AB139" s="5">
        <f>C138-AA139</f>
        <v/>
      </c>
    </row>
    <row r="140" customForma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customForma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372524</v>
      </c>
      <c r="O141" s="7" t="n">
        <v>452599</v>
      </c>
      <c r="P141" s="7" t="n">
        <v>493630</v>
      </c>
      <c r="Q141" s="7" t="n">
        <v>395148</v>
      </c>
      <c r="R141" s="7" t="n">
        <v>281417</v>
      </c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customForma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22791</v>
      </c>
      <c r="O142" s="3" t="n">
        <v>28150</v>
      </c>
      <c r="P142" s="3" t="n">
        <v>27462</v>
      </c>
      <c r="Q142" s="3" t="n">
        <v>22375</v>
      </c>
      <c r="R142" s="3" t="n">
        <v>15951</v>
      </c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customForma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15679</v>
      </c>
      <c r="O143" s="3" t="n">
        <v>22469</v>
      </c>
      <c r="P143" s="3" t="n">
        <v>18912</v>
      </c>
      <c r="Q143" s="3" t="n">
        <v>13358</v>
      </c>
      <c r="R143" s="3" t="n">
        <v>12090</v>
      </c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customForma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customForma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customFormat="1" s="8">
      <c r="A146" s="6" t="inlineStr">
        <is>
          <t>С.-Петербургская</t>
        </is>
      </c>
      <c r="B146" s="7" t="n">
        <v>834318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824107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customForma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customForma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customForma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7" t="n">
        <v>314782</v>
      </c>
      <c r="F149" s="7" t="n">
        <v>14008</v>
      </c>
      <c r="G149" s="7" t="n">
        <v>12128</v>
      </c>
      <c r="H149" s="7" t="n">
        <v>2351123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222611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customForma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customForma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9601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customFormat="1" s="8">
      <c r="A152" s="6" t="inlineStr">
        <is>
          <t>Симбирская</t>
        </is>
      </c>
      <c r="B152" s="7" t="n">
        <v>1638211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1603763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164211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>
        <v>153556</v>
      </c>
      <c r="S152" s="7" t="n">
        <v>225795</v>
      </c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customForma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>
        <v>7778</v>
      </c>
      <c r="S153" s="3" t="n">
        <v>12620</v>
      </c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customForma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6525</v>
      </c>
      <c r="P154" s="3" t="n">
        <v>9515</v>
      </c>
      <c r="Q154" s="3" t="n">
        <v>6589</v>
      </c>
      <c r="R154" s="3" t="n">
        <v>6714</v>
      </c>
      <c r="S154" s="3" t="n">
        <v>9856</v>
      </c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customForma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122114</v>
      </c>
      <c r="N155" s="7" t="n">
        <v>100787</v>
      </c>
      <c r="O155" s="7" t="n">
        <v>138523</v>
      </c>
      <c r="P155" s="7" t="n">
        <v>101217</v>
      </c>
      <c r="Q155" s="7" t="n">
        <v>100298</v>
      </c>
      <c r="R155" s="7" t="n">
        <v>122024</v>
      </c>
      <c r="S155" s="7" t="n">
        <v>95896</v>
      </c>
      <c r="T155" s="7" t="n">
        <v>111095</v>
      </c>
      <c r="U155" s="7" t="n">
        <v>166718</v>
      </c>
      <c r="V155" s="7" t="n">
        <v>113171</v>
      </c>
      <c r="W155" s="7" t="n">
        <v>115885</v>
      </c>
      <c r="X155" s="7" t="n"/>
      <c r="Y155" s="7" t="n"/>
      <c r="AA155" s="9">
        <f>SUM(L155:Y155)</f>
        <v/>
      </c>
      <c r="AB155" s="9">
        <f>AA155-B155</f>
        <v/>
      </c>
    </row>
    <row r="156" customForma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8568</v>
      </c>
      <c r="N156" s="3" t="n">
        <v>4975</v>
      </c>
      <c r="O156" s="3" t="n">
        <v>5268</v>
      </c>
      <c r="P156" s="3" t="n">
        <v>5654</v>
      </c>
      <c r="Q156" s="3" t="n">
        <v>7109</v>
      </c>
      <c r="R156" s="3" t="n">
        <v>7261</v>
      </c>
      <c r="S156" s="3" t="n">
        <v>5137</v>
      </c>
      <c r="T156" s="3" t="n">
        <v>6515</v>
      </c>
      <c r="U156" s="3" t="n">
        <v>9294</v>
      </c>
      <c r="V156" s="3" t="n">
        <v>4731</v>
      </c>
      <c r="W156" s="3" t="n">
        <v>6567</v>
      </c>
      <c r="X156" s="3" t="n"/>
      <c r="Y156" s="3" t="n"/>
      <c r="AA156" s="5">
        <f>SUM(L156:Y156)</f>
        <v/>
      </c>
      <c r="AB156" s="5">
        <f>C155-AA156</f>
        <v/>
      </c>
    </row>
    <row r="157" customForma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6908</v>
      </c>
      <c r="N157" s="3" t="n">
        <v>3986</v>
      </c>
      <c r="O157" s="3" t="n">
        <v>4892</v>
      </c>
      <c r="P157" s="3" t="n">
        <v>4420</v>
      </c>
      <c r="Q157" s="3" t="n">
        <v>4749</v>
      </c>
      <c r="R157" s="3" t="n">
        <v>5191</v>
      </c>
      <c r="S157" s="3" t="n">
        <v>3274</v>
      </c>
      <c r="T157" s="3" t="n">
        <v>4557</v>
      </c>
      <c r="U157" s="3" t="n">
        <v>6175</v>
      </c>
      <c r="V157" s="3" t="n">
        <v>4058</v>
      </c>
      <c r="W157" s="3" t="n">
        <v>4462</v>
      </c>
      <c r="X157" s="3" t="n"/>
      <c r="Y157" s="3" t="n"/>
      <c r="AA157" s="5">
        <f>SUM(L157:Y157)</f>
        <v/>
      </c>
      <c r="AB157" s="5">
        <f>AA157-D155</f>
        <v/>
      </c>
    </row>
    <row r="158" customForma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34918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customForma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customForma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customForma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105519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1862431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169547</v>
      </c>
      <c r="W161" s="7" t="n"/>
      <c r="X161" s="7" t="n"/>
      <c r="Y161" s="7" t="n"/>
      <c r="AA161" s="9">
        <f>SUM(L161:Y161)</f>
        <v/>
      </c>
      <c r="AB161" s="9">
        <f>AA161-B161</f>
        <v/>
      </c>
    </row>
    <row r="162" customForma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9031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8031</v>
      </c>
      <c r="W162" s="3" t="n"/>
      <c r="X162" s="3" t="n"/>
      <c r="Y162" s="3" t="n"/>
      <c r="AA162" s="5">
        <f>SUM(L162:Y162)</f>
        <v/>
      </c>
      <c r="AB162" s="5">
        <f>C161-AA162</f>
        <v/>
      </c>
    </row>
    <row r="163" customForma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6074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5788</v>
      </c>
      <c r="W163" s="3" t="n"/>
      <c r="X163" s="3" t="n"/>
      <c r="Y163" s="3" t="n"/>
      <c r="AA163" s="5">
        <f>SUM(L163:Y163)</f>
        <v/>
      </c>
      <c r="AB163" s="5">
        <f>AA163-D161</f>
        <v/>
      </c>
    </row>
    <row r="164" customForma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174729</v>
      </c>
      <c r="O164" s="7" t="n">
        <v>116524</v>
      </c>
      <c r="P164" s="7" t="n">
        <v>136814</v>
      </c>
      <c r="Q164" s="7" t="n">
        <v>139951</v>
      </c>
      <c r="R164" s="7" t="n">
        <v>129805</v>
      </c>
      <c r="S164" s="7" t="n">
        <v>123917</v>
      </c>
      <c r="T164" s="7" t="n">
        <v>140821</v>
      </c>
      <c r="U164" s="7" t="n">
        <v>166565</v>
      </c>
      <c r="V164" s="7" t="n"/>
      <c r="W164" s="7" t="n"/>
      <c r="X164" s="7" t="n"/>
      <c r="Y164" s="7" t="n"/>
      <c r="AA164" s="9">
        <f>SUM(L164:Y164)</f>
        <v/>
      </c>
      <c r="AB164" s="9">
        <f>AA164-B164</f>
        <v/>
      </c>
    </row>
    <row r="165" customForma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9823</v>
      </c>
      <c r="O165" s="3" t="n">
        <v>5014</v>
      </c>
      <c r="P165" s="3" t="n">
        <v>6035</v>
      </c>
      <c r="Q165" s="3" t="n">
        <v>5896</v>
      </c>
      <c r="R165" s="3" t="n">
        <v>6020</v>
      </c>
      <c r="S165" s="3" t="n">
        <v>6192</v>
      </c>
      <c r="T165" s="3" t="n">
        <v>7330</v>
      </c>
      <c r="U165" s="3" t="n">
        <v>6909</v>
      </c>
      <c r="V165" s="3" t="n"/>
      <c r="W165" s="3" t="n"/>
      <c r="X165" s="3" t="n"/>
      <c r="Y165" s="3" t="n"/>
      <c r="AA165" s="5">
        <f>SUM(L165:Y165)</f>
        <v/>
      </c>
      <c r="AB165" s="5">
        <f>C164-AA165</f>
        <v/>
      </c>
    </row>
    <row r="166" customForma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5085</v>
      </c>
      <c r="O166" s="3" t="n">
        <v>3704</v>
      </c>
      <c r="P166" s="3" t="n">
        <v>4696</v>
      </c>
      <c r="Q166" s="3" t="n">
        <v>4887</v>
      </c>
      <c r="R166" s="3" t="n">
        <v>4451</v>
      </c>
      <c r="S166" s="3" t="n">
        <v>4477</v>
      </c>
      <c r="T166" s="3" t="n">
        <v>5312</v>
      </c>
      <c r="U166" s="3" t="n">
        <v>4787</v>
      </c>
      <c r="V166" s="3" t="n"/>
      <c r="W166" s="3" t="n"/>
      <c r="X166" s="3" t="n"/>
      <c r="Y166" s="3" t="n"/>
      <c r="AA166" s="5">
        <f>SUM(L166:Y166)</f>
        <v/>
      </c>
      <c r="AB166" s="5">
        <f>AA166-D164</f>
        <v/>
      </c>
    </row>
    <row r="167" customFormat="1" s="8">
      <c r="A167" s="6" t="inlineStr">
        <is>
          <t>Тульская</t>
        </is>
      </c>
      <c r="B167" s="7" t="n">
        <v>1515581</v>
      </c>
      <c r="C167" s="7" t="n">
        <v>79257</v>
      </c>
      <c r="D167" s="7" t="n">
        <v>6035</v>
      </c>
      <c r="E167" s="7" t="n">
        <v>128298</v>
      </c>
      <c r="F167" s="7" t="n">
        <v>5091</v>
      </c>
      <c r="G167" s="7" t="n">
        <v>4815</v>
      </c>
      <c r="H167" s="7" t="n">
        <v>1465993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114545</v>
      </c>
      <c r="X167" s="7" t="n"/>
      <c r="Y167" s="7" t="n"/>
      <c r="AA167" s="9">
        <f>SUM(L167:Y167)</f>
        <v/>
      </c>
      <c r="AB167" s="9">
        <f>AA167-B167</f>
        <v/>
      </c>
    </row>
    <row r="168" customForma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>
        <f>SUM(L168:Y168)</f>
        <v/>
      </c>
      <c r="AB168" s="5">
        <f>C167-AA168</f>
        <v/>
      </c>
    </row>
    <row r="169" customForma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>
        <f>SUM(L169:Y169)</f>
        <v/>
      </c>
      <c r="AB169" s="5">
        <f>AA169-D167</f>
        <v/>
      </c>
    </row>
    <row r="170" customFormat="1" s="8">
      <c r="A170" s="6" t="inlineStr">
        <is>
          <t>Уфимская</t>
        </is>
      </c>
      <c r="B170" s="7" t="n">
        <v>205787</v>
      </c>
      <c r="C170" s="7" t="n">
        <v>95722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>
        <f>SUM(L170:Y170)</f>
        <v/>
      </c>
      <c r="AB170" s="9">
        <f>AA170-B170</f>
        <v/>
      </c>
    </row>
    <row r="171" customForma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15579</v>
      </c>
      <c r="N171" s="3" t="n">
        <v>21386</v>
      </c>
      <c r="O171" s="3" t="n">
        <v>9967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>
        <f>SUM(L171:Y171)</f>
        <v/>
      </c>
      <c r="AB171" s="5">
        <f>C170-AA171</f>
        <v/>
      </c>
    </row>
    <row r="172" customForma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>
        <f>SUM(L172:Y172)</f>
        <v/>
      </c>
      <c r="AB172" s="5">
        <f>AA172-D170</f>
        <v/>
      </c>
    </row>
    <row r="173" customFormat="1" s="8">
      <c r="A173" s="6" t="inlineStr">
        <is>
          <t>Харьковская</t>
        </is>
      </c>
      <c r="B173" s="7" t="n">
        <v>2465565</v>
      </c>
      <c r="C173" s="7" t="n">
        <v>115718</v>
      </c>
      <c r="D173" s="7" t="n">
        <v>93117</v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83433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307783</v>
      </c>
      <c r="R173" s="7" t="n">
        <v>167719</v>
      </c>
      <c r="S173" s="7" t="n">
        <v>35286</v>
      </c>
      <c r="T173" s="7" t="n">
        <v>205779</v>
      </c>
      <c r="U173" s="7" t="n"/>
      <c r="V173" s="7" t="n"/>
      <c r="W173" s="7" t="n"/>
      <c r="X173" s="7" t="n"/>
      <c r="Y173" s="7" t="n"/>
      <c r="AA173" s="9">
        <f>SUM(L173:Y173)</f>
        <v/>
      </c>
      <c r="AB173" s="9">
        <f>AA173-B173</f>
        <v/>
      </c>
    </row>
    <row r="174" customForma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14454</v>
      </c>
      <c r="R174" s="3" t="n">
        <v>8563</v>
      </c>
      <c r="S174" s="3" t="n">
        <v>19978</v>
      </c>
      <c r="T174" s="3" t="n">
        <v>10272</v>
      </c>
      <c r="U174" s="3" t="n"/>
      <c r="V174" s="3" t="n"/>
      <c r="W174" s="3" t="n"/>
      <c r="X174" s="3" t="n"/>
      <c r="Y174" s="3" t="n"/>
      <c r="AA174" s="5">
        <f>SUM(L174:Y174)</f>
        <v/>
      </c>
      <c r="AB174" s="5">
        <f>C173-AA174</f>
        <v/>
      </c>
    </row>
    <row r="175" customForma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10792</v>
      </c>
      <c r="R175" s="3" t="n">
        <v>6361</v>
      </c>
      <c r="S175" s="3" t="n">
        <v>16822</v>
      </c>
      <c r="T175" s="3" t="n">
        <v>8603</v>
      </c>
      <c r="U175" s="3" t="n"/>
      <c r="V175" s="3" t="n"/>
      <c r="W175" s="3" t="n"/>
      <c r="X175" s="3" t="n"/>
      <c r="Y175" s="3" t="n"/>
      <c r="AA175" s="5">
        <f>SUM(L175:Y175)</f>
        <v/>
      </c>
      <c r="AB175" s="5">
        <f>AA175-D173</f>
        <v/>
      </c>
    </row>
    <row r="176" customFormat="1" s="8">
      <c r="A176" s="6" t="inlineStr">
        <is>
          <t>Херсонская</t>
        </is>
      </c>
      <c r="B176" s="7" t="n">
        <v>1849664</v>
      </c>
      <c r="C176" s="7" t="n">
        <v>9749</v>
      </c>
      <c r="D176" s="7" t="n">
        <v>602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499934</v>
      </c>
      <c r="N176" s="7" t="n">
        <v>165567</v>
      </c>
      <c r="O176" s="7" t="n">
        <v>205896</v>
      </c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>
        <f>SUM(L176:Y176)</f>
        <v/>
      </c>
      <c r="AB176" s="9">
        <f>AA176-B176</f>
        <v/>
      </c>
    </row>
    <row r="177" customForma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26115</v>
      </c>
      <c r="N177" s="3" t="n">
        <v>10054</v>
      </c>
      <c r="O177" s="3" t="n">
        <v>9752</v>
      </c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>
        <f>SUM(L177:Y177)</f>
        <v/>
      </c>
      <c r="AB177" s="5">
        <f>C176-AA177</f>
        <v/>
      </c>
    </row>
    <row r="178" customForma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15760</v>
      </c>
      <c r="N178" s="3" t="n">
        <v>5159</v>
      </c>
      <c r="O178" s="3" t="n">
        <v>5475</v>
      </c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>
        <f>SUM(L178:Y178)</f>
        <v/>
      </c>
      <c r="AB178" s="5">
        <f>AA178-D176</f>
        <v/>
      </c>
    </row>
    <row r="179" customFormat="1" s="8">
      <c r="A179" s="6" t="inlineStr">
        <is>
          <t>Черниговская</t>
        </is>
      </c>
      <c r="B179" s="7" t="n">
        <v>2002804</v>
      </c>
      <c r="C179" s="7" t="n">
        <v>175593</v>
      </c>
      <c r="D179" s="7" t="n">
        <v>67149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170182</v>
      </c>
      <c r="P179" s="7" t="n">
        <v>124246</v>
      </c>
      <c r="Q179" s="7" t="n">
        <v>135456</v>
      </c>
      <c r="R179" s="7" t="n">
        <v>138090</v>
      </c>
      <c r="S179" s="7" t="n">
        <v>177089</v>
      </c>
      <c r="T179" s="7" t="n">
        <v>173173</v>
      </c>
      <c r="U179" s="7" t="n">
        <v>136310</v>
      </c>
      <c r="V179" s="7" t="n">
        <v>149793</v>
      </c>
      <c r="W179" s="7" t="n">
        <v>166979</v>
      </c>
      <c r="X179" s="7" t="n">
        <v>178770</v>
      </c>
      <c r="Y179" s="7" t="n"/>
      <c r="AA179" s="9">
        <f>SUM(L179:Y179)</f>
        <v/>
      </c>
      <c r="AB179" s="9">
        <f>AA179-B179</f>
        <v/>
      </c>
    </row>
    <row r="180" customForma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6232</v>
      </c>
      <c r="P180" s="3" t="n">
        <v>5827</v>
      </c>
      <c r="Q180" s="3" t="n">
        <v>6447</v>
      </c>
      <c r="R180" s="3" t="n">
        <v>7186</v>
      </c>
      <c r="S180" s="3" t="n">
        <v>8182</v>
      </c>
      <c r="T180" s="3" t="n">
        <v>1525</v>
      </c>
      <c r="U180" s="3" t="n">
        <v>6788</v>
      </c>
      <c r="V180" s="3" t="n">
        <v>97384</v>
      </c>
      <c r="W180" s="3" t="n">
        <v>6973</v>
      </c>
      <c r="X180" s="3" t="n">
        <v>9107</v>
      </c>
      <c r="Y180" s="3" t="n"/>
      <c r="AA180" s="5">
        <f>SUM(L180:Y180)</f>
        <v/>
      </c>
      <c r="AB180" s="5">
        <f>C179-AA180</f>
        <v/>
      </c>
    </row>
    <row r="181" customForma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5397</v>
      </c>
      <c r="P181" s="3" t="n">
        <v>3925</v>
      </c>
      <c r="Q181" s="3" t="n">
        <v>4772</v>
      </c>
      <c r="R181" s="3" t="n">
        <v>4473</v>
      </c>
      <c r="S181" s="3" t="n">
        <v>5250</v>
      </c>
      <c r="T181" s="3" t="n">
        <v>6557</v>
      </c>
      <c r="U181" s="3" t="n">
        <v>5114</v>
      </c>
      <c r="V181" s="3" t="n">
        <v>5821</v>
      </c>
      <c r="W181" s="3" t="n">
        <v>4525</v>
      </c>
      <c r="X181" s="3" t="n">
        <v>5338</v>
      </c>
      <c r="Y181" s="3" t="n"/>
      <c r="AA181" s="5">
        <f>SUM(L181:Y181)</f>
        <v/>
      </c>
      <c r="AB181" s="5">
        <f>AA181-D179</f>
        <v/>
      </c>
    </row>
    <row r="182" customForma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39021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0</v>
      </c>
      <c r="V182" s="7" t="n"/>
      <c r="W182" s="7" t="n"/>
      <c r="X182" s="7" t="n"/>
      <c r="Y182" s="7" t="n"/>
      <c r="AA182" s="9">
        <f>SUM(L182:Y182)</f>
        <v/>
      </c>
      <c r="AB182" s="9">
        <f>AA182-B182</f>
        <v/>
      </c>
    </row>
    <row r="183" customForma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9</v>
      </c>
      <c r="V183" s="3" t="n"/>
      <c r="W183" s="3" t="n"/>
      <c r="X183" s="3" t="n"/>
      <c r="Y183" s="3" t="n"/>
      <c r="AA183" s="5">
        <f>SUM(L183:Y183)</f>
        <v/>
      </c>
      <c r="AB183" s="5">
        <f>C182-AA183</f>
        <v/>
      </c>
    </row>
    <row r="184" customForma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84714</v>
      </c>
      <c r="M184" s="3" t="n">
        <v>2393</v>
      </c>
      <c r="N184" s="3" t="n">
        <v>2367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110470</v>
      </c>
      <c r="V184" s="3" t="n"/>
      <c r="W184" s="3" t="n"/>
      <c r="X184" s="3" t="n"/>
      <c r="Y184" s="3" t="n"/>
      <c r="AA184" s="5">
        <f>SUM(L184:Y184)</f>
        <v/>
      </c>
      <c r="AB184" s="5">
        <f>AA184-D182</f>
        <v/>
      </c>
    </row>
    <row r="185" customForma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customFormat="1" s="2">
      <c r="A186" s="1" t="inlineStr">
        <is>
          <t>Область Войска Донского</t>
        </is>
      </c>
      <c r="B186" s="3" t="n">
        <v>2075878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>
        <f>SUM(L186:Y186)</f>
        <v/>
      </c>
      <c r="AB186" s="5">
        <f>AA186-B186</f>
        <v/>
      </c>
    </row>
    <row r="187" customForma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22634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>
        <f>SUM(L187:Y187)</f>
        <v/>
      </c>
      <c r="AB187" s="5">
        <f>C186-AA187</f>
        <v/>
      </c>
    </row>
    <row r="188" customForma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>
        <f>SUM(L188:Y188)</f>
        <v/>
      </c>
      <c r="AB188" s="5">
        <f>AA188-D186</f>
        <v/>
      </c>
    </row>
    <row r="189" customForma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customForma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>
        <f>SUM(L190:Y190)</f>
        <v/>
      </c>
      <c r="AB190" s="9">
        <f>AA190-B190</f>
        <v/>
      </c>
    </row>
    <row r="191" customForma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4605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>
        <f>SUM(L191:Y191)</f>
        <v/>
      </c>
      <c r="AB191" s="5">
        <f>C190-AA191</f>
        <v/>
      </c>
    </row>
    <row r="192" customForma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>
        <f>SUM(L192:Y192)</f>
        <v/>
      </c>
      <c r="AB192" s="5">
        <f>AA192-D190</f>
        <v/>
      </c>
    </row>
    <row r="193" customForma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14459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87667</v>
      </c>
      <c r="P193" s="7" t="n">
        <v>73218</v>
      </c>
      <c r="Q193" s="7" t="n">
        <v>79597</v>
      </c>
      <c r="R193" s="7" t="n">
        <v>52168</v>
      </c>
      <c r="S193" s="7" t="n">
        <v>79298</v>
      </c>
      <c r="T193" s="7" t="n">
        <v>7060</v>
      </c>
      <c r="U193" s="7" t="n">
        <v>80225</v>
      </c>
      <c r="V193" s="7" t="n"/>
      <c r="W193" s="7" t="n"/>
      <c r="X193" s="7" t="n"/>
      <c r="Y193" s="7" t="n"/>
      <c r="AA193" s="9">
        <f>SUM(L193:Y193)</f>
        <v/>
      </c>
      <c r="AB193" s="9">
        <f>AA193-B193</f>
        <v/>
      </c>
    </row>
    <row r="194" customForma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1324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>
        <f>SUM(L194:Y194)</f>
        <v/>
      </c>
      <c r="AB194" s="5">
        <f>C193-AA194</f>
        <v/>
      </c>
    </row>
    <row r="195" customForma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519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>
        <f>SUM(L195:Y195)</f>
        <v/>
      </c>
      <c r="AB195" s="5">
        <f>AA195-D193</f>
        <v/>
      </c>
    </row>
    <row r="196" customFormat="1" s="8">
      <c r="A196" s="6" t="inlineStr">
        <is>
          <t>Елисаветпольская</t>
        </is>
      </c>
      <c r="B196" s="7" t="n">
        <v>820623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>
        <f>SUM(L196:Y196)</f>
        <v/>
      </c>
      <c r="AB196" s="9">
        <f>AA196-B196</f>
        <v/>
      </c>
    </row>
    <row r="197" customForma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>
        <f>SUM(L197:Y197)</f>
        <v/>
      </c>
      <c r="AB197" s="5">
        <f>C196-AA197</f>
        <v/>
      </c>
    </row>
    <row r="198" customForma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>
        <f>SUM(L198:Y198)</f>
        <v/>
      </c>
      <c r="AB198" s="5">
        <f>AA198-D196</f>
        <v/>
      </c>
    </row>
    <row r="199" customForma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customFormat="1" s="8">
      <c r="A200" s="6" t="inlineStr">
        <is>
          <t>Кубанская</t>
        </is>
      </c>
      <c r="B200" s="7" t="n">
        <v>1483889</v>
      </c>
      <c r="C200" s="7" t="n">
        <v>90231</v>
      </c>
      <c r="D200" s="7" t="n">
        <v>63243</v>
      </c>
      <c r="E200" s="7" t="n">
        <v>176256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>
        <f>SUM(L200:Y200)</f>
        <v/>
      </c>
      <c r="AB200" s="9">
        <f>AA200-B200</f>
        <v/>
      </c>
    </row>
    <row r="201" customForma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>
        <f>SUM(L201:Y201)</f>
        <v/>
      </c>
      <c r="AB201" s="5">
        <f>C200-AA201</f>
        <v/>
      </c>
    </row>
    <row r="202" customForma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>
        <f>SUM(L202:Y202)</f>
        <v/>
      </c>
      <c r="AB202" s="5">
        <f>AA202-D200</f>
        <v/>
      </c>
    </row>
    <row r="203" customFormat="1" s="8">
      <c r="A203" s="6" t="inlineStr">
        <is>
          <t>Кутаисская</t>
        </is>
      </c>
      <c r="B203" s="7" t="n">
        <v>953870</v>
      </c>
      <c r="C203" s="7" t="n">
        <v>39108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104014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>
        <f>SUM(L203:Y203)</f>
        <v/>
      </c>
      <c r="AB203" s="9">
        <f>AA203-B203</f>
        <v/>
      </c>
    </row>
    <row r="204" customForma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>
        <f>SUM(L204:Y204)</f>
        <v/>
      </c>
      <c r="AB204" s="5">
        <f>C203-AA204</f>
        <v/>
      </c>
    </row>
    <row r="205" customForma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>
        <f>SUM(L205:Y205)</f>
        <v/>
      </c>
      <c r="AB205" s="5">
        <f>AA205-D203</f>
        <v/>
      </c>
    </row>
    <row r="206" customFormat="1" s="8">
      <c r="A206" s="6" t="inlineStr">
        <is>
          <t>Ставропольская</t>
        </is>
      </c>
      <c r="B206" s="7" t="n">
        <v>635943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>
        <f>SUM(L206:Y206)</f>
        <v/>
      </c>
      <c r="AB206" s="9">
        <f>AA206-B206</f>
        <v/>
      </c>
    </row>
    <row r="207" customForma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12924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>
        <f>SUM(L207:Y207)</f>
        <v/>
      </c>
      <c r="AB207" s="5">
        <f>C206-AA207</f>
        <v/>
      </c>
    </row>
    <row r="208" customForma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>
        <f>SUM(L208:Y208)</f>
        <v/>
      </c>
      <c r="AB208" s="5">
        <f>AA208-D206</f>
        <v/>
      </c>
    </row>
    <row r="209" customForma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>
        <f>SUM(L209:Y209)</f>
        <v/>
      </c>
      <c r="AB209" s="9">
        <f>AA209-B209</f>
        <v/>
      </c>
    </row>
    <row r="210" customForma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>
        <f>SUM(L210:Y210)</f>
        <v/>
      </c>
      <c r="AB210" s="5">
        <f>C209-AA210</f>
        <v/>
      </c>
    </row>
    <row r="211" customForma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>
        <f>SUM(L211:Y211)</f>
        <v/>
      </c>
      <c r="AB211" s="5">
        <f>AA211-D209</f>
        <v/>
      </c>
    </row>
    <row r="212" customForma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>
        <f>SUM(L212:Y212)</f>
        <v/>
      </c>
      <c r="AB212" s="9">
        <f>AA212-B212</f>
        <v/>
      </c>
    </row>
    <row r="213" customForma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>
        <f>SUM(L213:Y213)</f>
        <v/>
      </c>
      <c r="AB213" s="5">
        <f>C212-AA213</f>
        <v/>
      </c>
    </row>
    <row r="214" customForma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>
        <f>SUM(L214:Y214)</f>
        <v/>
      </c>
      <c r="AB214" s="5">
        <f>AA214-D212</f>
        <v/>
      </c>
    </row>
    <row r="215" customForma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10" t="inlineStr">
        <is>
          <t>—</t>
        </is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customForma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>
        <f>SUM(L216:Y216)</f>
        <v/>
      </c>
      <c r="AB216" s="5">
        <f>C215-AA216</f>
        <v/>
      </c>
    </row>
    <row r="217" customForma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>
        <f>SUM(L217:Y217)</f>
        <v/>
      </c>
      <c r="AB217" s="5">
        <f>AA217-D215</f>
        <v/>
      </c>
    </row>
    <row r="218" customForma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customFormat="1" s="8">
      <c r="A219" s="6" t="inlineStr">
        <is>
          <t>Амурская область</t>
        </is>
      </c>
      <c r="B219" s="7" t="n">
        <v>63221</v>
      </c>
      <c r="C219" s="10" t="inlineStr">
        <is>
          <t>—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customFormat="1" s="8">
      <c r="A220" s="6" t="inlineStr">
        <is>
          <t>Енисейская</t>
        </is>
      </c>
      <c r="B220" s="7" t="n">
        <v>480546</v>
      </c>
      <c r="C220" s="7" t="n">
        <v>22847</v>
      </c>
      <c r="D220" s="7" t="n">
        <v>17185</v>
      </c>
      <c r="E220" s="7" t="n">
        <v>39822</v>
      </c>
      <c r="F220" s="7" t="n">
        <v>1923</v>
      </c>
      <c r="G220" s="7" t="n">
        <v>1960</v>
      </c>
      <c r="H220" s="7" t="n">
        <v>468898</v>
      </c>
      <c r="I220" s="7" t="n">
        <v>23300</v>
      </c>
      <c r="J220" s="7" t="n">
        <v>17587</v>
      </c>
      <c r="K220" s="3" t="n"/>
      <c r="L220" s="7" t="n">
        <v>86548</v>
      </c>
      <c r="M220" s="7" t="n">
        <v>85989</v>
      </c>
      <c r="N220" s="7" t="n">
        <v>67534</v>
      </c>
      <c r="O220" s="7" t="n">
        <v>79027</v>
      </c>
      <c r="P220" s="7" t="n">
        <v>132358</v>
      </c>
      <c r="Q220" s="7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customFormat="1" s="2">
      <c r="A221" s="1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>
        <v>3747</v>
      </c>
      <c r="M221" s="3" t="n">
        <v>4660</v>
      </c>
      <c r="N221" s="3" t="n">
        <v>2939</v>
      </c>
      <c r="O221" s="3" t="n">
        <v>3539</v>
      </c>
      <c r="P221" s="3" t="n">
        <v>9772</v>
      </c>
      <c r="Q221" s="3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customFormat="1" s="2">
      <c r="A222" s="1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>
        <v>3263</v>
      </c>
      <c r="M222" s="3" t="n">
        <v>3497</v>
      </c>
      <c r="N222" s="3" t="n">
        <v>2431</v>
      </c>
      <c r="O222" s="3" t="n">
        <v>2366</v>
      </c>
      <c r="P222" s="3" t="n">
        <v>5615</v>
      </c>
      <c r="Q222" s="3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customFormat="1" s="8">
      <c r="A223" s="6" t="inlineStr">
        <is>
          <t>Забайкальская</t>
        </is>
      </c>
      <c r="B223" s="7" t="n">
        <v>565477</v>
      </c>
      <c r="C223" s="7" t="n">
        <v>16844</v>
      </c>
      <c r="D223" s="7" t="n">
        <v>14410</v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7" t="n">
        <v>512727</v>
      </c>
      <c r="I223" s="7" t="n">
        <v>19157</v>
      </c>
      <c r="J223" s="7" t="n">
        <v>13832</v>
      </c>
      <c r="K223" s="3" t="n"/>
      <c r="L223" s="7" t="n">
        <v>114632</v>
      </c>
      <c r="M223" s="7" t="n">
        <v>28179</v>
      </c>
      <c r="N223" s="7" t="n">
        <v>19994</v>
      </c>
      <c r="O223" s="7" t="n">
        <v>145476</v>
      </c>
      <c r="P223" s="7" t="n">
        <v>72438</v>
      </c>
      <c r="Q223" s="7" t="n">
        <v>61112</v>
      </c>
      <c r="R223" s="7" t="n">
        <v>94124</v>
      </c>
      <c r="S223" s="7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customFormat="1" s="2">
      <c r="A224" s="1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>
        <v>4078</v>
      </c>
      <c r="M224" s="3" t="n">
        <v>1021</v>
      </c>
      <c r="N224" s="3" t="n">
        <v>569</v>
      </c>
      <c r="O224" s="4" t="inlineStr">
        <is>
          <t>—</t>
        </is>
      </c>
      <c r="P224" s="3" t="n">
        <v>3654</v>
      </c>
      <c r="Q224" s="3" t="n">
        <v>2870</v>
      </c>
      <c r="R224" s="3" t="n">
        <v>4183</v>
      </c>
      <c r="S224" s="3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customFormat="1" s="2">
      <c r="A225" s="1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>
        <v>1167</v>
      </c>
      <c r="M225" s="3" t="n">
        <v>320</v>
      </c>
      <c r="N225" s="3" t="n">
        <v>860</v>
      </c>
      <c r="O225" s="3" t="n">
        <v>2041</v>
      </c>
      <c r="P225" s="3" t="n">
        <v>8150</v>
      </c>
      <c r="Q225" s="3" t="n">
        <v>6724</v>
      </c>
      <c r="R225" s="3" t="n">
        <v>360</v>
      </c>
      <c r="S225" s="3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customFormat="1" s="8">
      <c r="A226" s="6" t="inlineStr">
        <is>
          <t>Иркутская</t>
        </is>
      </c>
      <c r="B226" s="7" t="n">
        <v>444704</v>
      </c>
      <c r="C226" s="7" t="n">
        <v>20131</v>
      </c>
      <c r="D226" s="7" t="n">
        <v>14979</v>
      </c>
      <c r="E226" s="7" t="n">
        <v>58190</v>
      </c>
      <c r="F226" s="7" t="n">
        <v>2112</v>
      </c>
      <c r="G226" s="7" t="n">
        <v>1976</v>
      </c>
      <c r="H226" s="7" t="n">
        <v>427579</v>
      </c>
      <c r="I226" s="7" t="n">
        <v>20377</v>
      </c>
      <c r="J226" s="7" t="n">
        <v>17073</v>
      </c>
      <c r="K226" s="3" t="n"/>
      <c r="L226" s="7" t="n">
        <v>146915</v>
      </c>
      <c r="M226" s="7" t="n">
        <v>128600</v>
      </c>
      <c r="N226" s="7" t="n">
        <v>64470</v>
      </c>
      <c r="O226" s="7" t="n">
        <v>49026</v>
      </c>
      <c r="P226" s="7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customFormat="1" s="2">
      <c r="A227" s="1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>
        <v>5971</v>
      </c>
      <c r="M227" s="3" t="n">
        <v>5459</v>
      </c>
      <c r="N227" s="3" t="n">
        <v>3096</v>
      </c>
      <c r="O227" s="3" t="n">
        <v>2340</v>
      </c>
      <c r="P227" s="3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customFormat="1" s="2">
      <c r="A228" s="1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>
        <v>4375</v>
      </c>
      <c r="M228" s="3" t="n">
        <v>3994</v>
      </c>
      <c r="N228" s="3" t="n">
        <v>1879</v>
      </c>
      <c r="O228" s="3" t="n">
        <v>1366</v>
      </c>
      <c r="P228" s="3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customFormat="1" s="8">
      <c r="A229" s="6" t="inlineStr">
        <is>
          <t>Приморская</t>
        </is>
      </c>
      <c r="B229" s="7" t="n">
        <v>119744</v>
      </c>
      <c r="C229" s="7" t="n">
        <v>3311</v>
      </c>
      <c r="D229" s="7" t="n">
        <v>1769</v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7" t="n">
        <v>102857</v>
      </c>
      <c r="I229" s="7" t="n">
        <v>2962</v>
      </c>
      <c r="J229" s="7" t="n">
        <v>1840</v>
      </c>
      <c r="K229" s="3" t="n"/>
      <c r="L229" s="7" t="n">
        <v>14606</v>
      </c>
      <c r="M229" s="7" t="n">
        <v>10350</v>
      </c>
      <c r="N229" s="7" t="n">
        <v>5399</v>
      </c>
      <c r="O229" s="7" t="n">
        <v>675</v>
      </c>
      <c r="P229" s="7" t="n">
        <v>9561</v>
      </c>
      <c r="Q229" s="7" t="n">
        <v>4040</v>
      </c>
      <c r="R229" s="7" t="n">
        <v>6644</v>
      </c>
      <c r="S229" s="7" t="n">
        <v>6460</v>
      </c>
      <c r="T229" s="7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customFormat="1" s="2">
      <c r="A230" s="1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538</v>
      </c>
      <c r="M230" s="4" t="inlineStr">
        <is>
          <t>—</t>
        </is>
      </c>
      <c r="N230" s="3" t="n">
        <v>24</v>
      </c>
      <c r="O230" s="3" t="n">
        <v>26</v>
      </c>
      <c r="P230" s="3" t="n">
        <v>192</v>
      </c>
      <c r="Q230" s="3" t="n">
        <v>122</v>
      </c>
      <c r="R230" s="3" t="n">
        <v>197</v>
      </c>
      <c r="S230" s="3" t="n">
        <v>284</v>
      </c>
      <c r="T230" s="3" t="n">
        <v>4928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customFormat="1" s="2">
      <c r="A231" s="1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>
        <v>222</v>
      </c>
      <c r="M231" s="4" t="inlineStr">
        <is>
          <t>—</t>
        </is>
      </c>
      <c r="N231" s="3" t="n">
        <v>26</v>
      </c>
      <c r="O231" s="3" t="n">
        <v>14</v>
      </c>
      <c r="P231" s="3" t="n">
        <v>179</v>
      </c>
      <c r="Q231" s="3" t="n">
        <v>164</v>
      </c>
      <c r="R231" s="3" t="n">
        <v>86</v>
      </c>
      <c r="S231" s="3" t="n">
        <v>128</v>
      </c>
      <c r="T231" s="3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customFormat="1" s="8">
      <c r="A232" s="6" t="inlineStr">
        <is>
          <t>Тобольская</t>
        </is>
      </c>
      <c r="B232" s="7" t="n">
        <v>1411475</v>
      </c>
      <c r="C232" s="7" t="n">
        <v>73772</v>
      </c>
      <c r="D232" s="7" t="n">
        <v>58271</v>
      </c>
      <c r="E232" s="7" t="n">
        <v>99804</v>
      </c>
      <c r="F232" s="7" t="n">
        <v>2262</v>
      </c>
      <c r="G232" s="7" t="n">
        <v>2550</v>
      </c>
      <c r="H232" s="7" t="n">
        <v>1398432</v>
      </c>
      <c r="I232" s="7" t="n">
        <v>76165</v>
      </c>
      <c r="J232" s="7" t="n">
        <v>61052</v>
      </c>
      <c r="K232" s="3" t="n"/>
      <c r="L232" s="7" t="n">
        <v>126707</v>
      </c>
      <c r="M232" s="7" t="n">
        <v>31452</v>
      </c>
      <c r="N232" s="7" t="n">
        <v>274400</v>
      </c>
      <c r="O232" s="7" t="n">
        <v>266295</v>
      </c>
      <c r="P232" s="7" t="n">
        <v>8544</v>
      </c>
      <c r="Q232" s="7" t="n">
        <v>148902</v>
      </c>
      <c r="R232" s="7" t="n">
        <v>71444</v>
      </c>
      <c r="S232" s="7" t="n">
        <v>158241</v>
      </c>
      <c r="T232" s="7" t="n">
        <v>124624</v>
      </c>
      <c r="U232" s="7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customFormat="1" s="2">
      <c r="A233" s="1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>
        <v>5642</v>
      </c>
      <c r="M233" s="4" t="inlineStr">
        <is>
          <t>—</t>
        </is>
      </c>
      <c r="N233" s="3" t="n">
        <v>16521</v>
      </c>
      <c r="O233" s="3" t="n">
        <v>16788</v>
      </c>
      <c r="P233" s="3" t="n">
        <v>334</v>
      </c>
      <c r="Q233" s="3" t="n">
        <v>7099</v>
      </c>
      <c r="R233" s="3" t="n">
        <v>3483</v>
      </c>
      <c r="S233" s="3" t="n">
        <v>7973</v>
      </c>
      <c r="T233" s="3" t="n">
        <v>4673</v>
      </c>
      <c r="U233" s="3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customFormat="1" s="2">
      <c r="A234" s="1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4568</v>
      </c>
      <c r="M234" s="3" t="n">
        <v>1200</v>
      </c>
      <c r="N234" s="3" t="n">
        <v>12987</v>
      </c>
      <c r="O234" s="3" t="n">
        <v>12737</v>
      </c>
      <c r="P234" s="3" t="n">
        <v>336</v>
      </c>
      <c r="Q234" s="3" t="n">
        <v>4727</v>
      </c>
      <c r="R234" s="3" t="n">
        <v>3333</v>
      </c>
      <c r="S234" s="3" t="n">
        <v>5279</v>
      </c>
      <c r="T234" s="3" t="n">
        <v>4518</v>
      </c>
      <c r="U234" s="3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customFormat="1" s="8">
      <c r="A235" s="6" t="inlineStr">
        <is>
          <t>Томская</t>
        </is>
      </c>
      <c r="B235" s="7" t="n">
        <v>1422681</v>
      </c>
      <c r="C235" s="7" t="n">
        <v>67604</v>
      </c>
      <c r="D235" s="7" t="n">
        <v>33492</v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7" t="n">
        <v>1326265</v>
      </c>
      <c r="I235" s="7" t="n">
        <v>63453</v>
      </c>
      <c r="J235" s="7" t="n">
        <v>35157</v>
      </c>
      <c r="K235" s="3" t="n"/>
      <c r="L235" s="7" t="n">
        <v>214609</v>
      </c>
      <c r="M235" s="7" t="n">
        <v>318785</v>
      </c>
      <c r="N235" s="7" t="n">
        <v>366358</v>
      </c>
      <c r="O235" s="7" t="n">
        <v>167569</v>
      </c>
      <c r="P235" s="7" t="n">
        <v>174104</v>
      </c>
      <c r="Q235" s="7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customFormat="1" s="2">
      <c r="A236" s="1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>
        <v>14309</v>
      </c>
      <c r="M236" s="3" t="n">
        <v>17664</v>
      </c>
      <c r="N236" s="3" t="n">
        <v>18927</v>
      </c>
      <c r="O236" s="3" t="n">
        <v>7219</v>
      </c>
      <c r="P236" s="3" t="n">
        <v>6594</v>
      </c>
      <c r="Q236" s="3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customFormat="1" s="2">
      <c r="A237" s="1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>
        <v>8440</v>
      </c>
      <c r="M237" s="3" t="n">
        <v>8247</v>
      </c>
      <c r="N237" s="3" t="n">
        <v>9690</v>
      </c>
      <c r="O237" s="3" t="n">
        <v>4559</v>
      </c>
      <c r="P237" s="3" t="n">
        <v>3095</v>
      </c>
      <c r="Q237" s="3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customFormat="1" s="8">
      <c r="A238" s="6" t="inlineStr">
        <is>
          <t>Якутская</t>
        </is>
      </c>
      <c r="B238" s="7" t="n">
        <v>251753</v>
      </c>
      <c r="C238" s="7" t="n">
        <v>8242</v>
      </c>
      <c r="D238" s="7" t="n">
        <v>5111</v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7" t="n">
        <v>255661</v>
      </c>
      <c r="I238" s="7" t="n">
        <v>6924</v>
      </c>
      <c r="J238" s="7" t="n">
        <v>6467</v>
      </c>
      <c r="K238" s="3" t="n"/>
      <c r="L238" s="7" t="n">
        <v>150924</v>
      </c>
      <c r="M238" s="7" t="n">
        <v>12985</v>
      </c>
      <c r="N238" s="7" t="n">
        <v>72855</v>
      </c>
      <c r="O238" s="7" t="n">
        <v>6102</v>
      </c>
      <c r="P238" s="7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customFormat="1" s="2">
      <c r="A239" s="1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>
        <v>4963</v>
      </c>
      <c r="M239" s="3" t="n">
        <v>319</v>
      </c>
      <c r="N239" s="3" t="n">
        <v>2142</v>
      </c>
      <c r="O239" s="3" t="n">
        <v>135</v>
      </c>
      <c r="P239" s="3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customFormat="1" s="2">
      <c r="A240" s="1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>
        <v>3105</v>
      </c>
      <c r="M240" s="3" t="n">
        <v>265</v>
      </c>
      <c r="N240" s="3" t="n">
        <v>1217</v>
      </c>
      <c r="O240" s="3" t="n">
        <v>83</v>
      </c>
      <c r="P240" s="3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customFormat="1" s="8">
      <c r="A241" s="6" t="inlineStr">
        <is>
          <t>Сахалинская</t>
        </is>
      </c>
      <c r="B241" s="7" t="n">
        <v>17051</v>
      </c>
      <c r="C241" s="7" t="n">
        <v>342</v>
      </c>
      <c r="D241" s="7" t="n">
        <v>335</v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7" t="n">
        <v>15244</v>
      </c>
      <c r="I241" s="7" t="n">
        <v>356</v>
      </c>
      <c r="J241" s="7" t="n">
        <v>241</v>
      </c>
      <c r="K241" s="3" t="n"/>
      <c r="L241" s="7" t="n">
        <v>7546</v>
      </c>
      <c r="M241" s="7" t="n">
        <v>4156</v>
      </c>
      <c r="N241" s="7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customFormat="1" s="2">
      <c r="A242" s="1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>
        <v>2163</v>
      </c>
      <c r="M242" s="3" t="n">
        <v>67</v>
      </c>
      <c r="N242" s="3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customFormat="1" s="2">
      <c r="A243" s="1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98</v>
      </c>
      <c r="M243" s="3" t="n">
        <v>16</v>
      </c>
      <c r="N243" s="3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customFormat="1" s="13">
      <c r="A244" s="11" t="inlineStr">
        <is>
          <t>Итого в Сибири</t>
        </is>
      </c>
      <c r="B244" s="15" t="n">
        <v>4782652</v>
      </c>
      <c r="C244" s="15" t="n">
        <v>209242</v>
      </c>
      <c r="D244" s="15" t="n">
        <v>142871</v>
      </c>
      <c r="E244" s="12" t="n">
        <v>197816</v>
      </c>
      <c r="F244" s="12" t="n">
        <v>6297</v>
      </c>
      <c r="G244" s="12" t="n">
        <v>6486</v>
      </c>
      <c r="H244" s="15" t="n">
        <v>4545114</v>
      </c>
      <c r="I244" s="15" t="n">
        <v>201988</v>
      </c>
      <c r="J244" s="15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customForma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customForma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customForma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customForma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customForma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customForma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customForma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customForma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customForma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customForma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customForma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customForma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customForma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customForma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customForma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customForma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customForma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customForma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customForma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customForma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customForma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customForma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customForma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customForma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customForma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2026-06-17T22:41:57Z</dcterms:created>
  <dcterms:modified xmlns:dcterms="http://purl.org/dc/terms/" xmlns:xsi="http://www.w3.org/2001/XMLSchema-instance" xsi:type="dcterms:W3CDTF">2026-06-18T00:40:30Z</dcterms:modified>
  <cp:lastModifiedBy>Oboguev, Sergey</cp:lastModifiedBy>
</cp:coreProperties>
</file>