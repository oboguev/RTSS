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687F3C3F-E25D-4A1A-A227-9921217D11CB}" xr6:coauthVersionLast="47" xr6:coauthVersionMax="47" xr10:uidLastSave="{00000000-0000-0000-0000-000000000000}"/>
  <bookViews>
    <workbookView xWindow="57480" yWindow="-120" windowWidth="51840" windowHeight="21120" activeTab="1" xr2:uid="{588750BA-8C8C-462C-8265-CC5768323231}"/>
  </bookViews>
  <sheets>
    <sheet name="Note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R82" i="1"/>
  <c r="Q82" i="1"/>
  <c r="Q81" i="1"/>
  <c r="R79" i="1"/>
  <c r="R73" i="1"/>
  <c r="R72" i="1"/>
  <c r="Q70" i="1"/>
  <c r="R65" i="1"/>
  <c r="R64" i="1"/>
  <c r="Q62" i="1"/>
  <c r="R57" i="1"/>
  <c r="R56" i="1"/>
  <c r="Q54" i="1"/>
  <c r="R49" i="1"/>
  <c r="R48" i="1"/>
  <c r="Q46" i="1"/>
  <c r="R41" i="1"/>
  <c r="R40" i="1"/>
  <c r="Q38" i="1"/>
  <c r="R33" i="1"/>
  <c r="R32" i="1"/>
  <c r="Q30" i="1"/>
  <c r="R25" i="1"/>
  <c r="R24" i="1"/>
  <c r="Q22" i="1"/>
  <c r="R16" i="1"/>
  <c r="Q16" i="1"/>
  <c r="Q15" i="1"/>
  <c r="R13" i="1"/>
  <c r="R8" i="1"/>
  <c r="Q8" i="1"/>
  <c r="Q7" i="1"/>
  <c r="R4" i="1"/>
  <c r="J71" i="1"/>
  <c r="I71" i="1"/>
  <c r="O71" i="1" s="1"/>
  <c r="O93" i="1"/>
  <c r="N93" i="1"/>
  <c r="O83" i="1"/>
  <c r="P71" i="1"/>
  <c r="N71" i="1"/>
  <c r="L104" i="1"/>
  <c r="R104" i="1" s="1"/>
  <c r="K104" i="1"/>
  <c r="Q104" i="1" s="1"/>
  <c r="L103" i="1"/>
  <c r="R103" i="1" s="1"/>
  <c r="K103" i="1"/>
  <c r="Q103" i="1" s="1"/>
  <c r="L101" i="1"/>
  <c r="K101" i="1"/>
  <c r="L100" i="1"/>
  <c r="K100" i="1"/>
  <c r="L98" i="1"/>
  <c r="K98" i="1"/>
  <c r="L97" i="1"/>
  <c r="R97" i="1" s="1"/>
  <c r="K97" i="1"/>
  <c r="Q97" i="1" s="1"/>
  <c r="L94" i="1"/>
  <c r="R94" i="1" s="1"/>
  <c r="K94" i="1"/>
  <c r="Q94" i="1" s="1"/>
  <c r="L93" i="1"/>
  <c r="R93" i="1" s="1"/>
  <c r="K93" i="1"/>
  <c r="Q93" i="1" s="1"/>
  <c r="L92" i="1"/>
  <c r="R92" i="1" s="1"/>
  <c r="K92" i="1"/>
  <c r="Q92" i="1" s="1"/>
  <c r="L91" i="1"/>
  <c r="R91" i="1" s="1"/>
  <c r="K91" i="1"/>
  <c r="Q91" i="1" s="1"/>
  <c r="L90" i="1"/>
  <c r="R90" i="1" s="1"/>
  <c r="K90" i="1"/>
  <c r="Q90" i="1" s="1"/>
  <c r="L89" i="1"/>
  <c r="R89" i="1" s="1"/>
  <c r="K89" i="1"/>
  <c r="Q89" i="1" s="1"/>
  <c r="L88" i="1"/>
  <c r="K88" i="1"/>
  <c r="L87" i="1"/>
  <c r="R87" i="1" s="1"/>
  <c r="K87" i="1"/>
  <c r="Q87" i="1" s="1"/>
  <c r="L86" i="1"/>
  <c r="R86" i="1" s="1"/>
  <c r="K86" i="1"/>
  <c r="Q86" i="1" s="1"/>
  <c r="L85" i="1"/>
  <c r="R85" i="1" s="1"/>
  <c r="K85" i="1"/>
  <c r="Q85" i="1" s="1"/>
  <c r="L83" i="1"/>
  <c r="R83" i="1" s="1"/>
  <c r="K83" i="1"/>
  <c r="Q83" i="1" s="1"/>
  <c r="L82" i="1"/>
  <c r="K82" i="1"/>
  <c r="L81" i="1"/>
  <c r="R81" i="1" s="1"/>
  <c r="K81" i="1"/>
  <c r="L80" i="1"/>
  <c r="R80" i="1" s="1"/>
  <c r="K80" i="1"/>
  <c r="Q80" i="1" s="1"/>
  <c r="L79" i="1"/>
  <c r="K79" i="1"/>
  <c r="Q79" i="1" s="1"/>
  <c r="L78" i="1"/>
  <c r="K78" i="1"/>
  <c r="Q78" i="1" s="1"/>
  <c r="L77" i="1"/>
  <c r="R77" i="1" s="1"/>
  <c r="K77" i="1"/>
  <c r="Q77" i="1" s="1"/>
  <c r="L75" i="1"/>
  <c r="R75" i="1" s="1"/>
  <c r="K75" i="1"/>
  <c r="Q75" i="1" s="1"/>
  <c r="L74" i="1"/>
  <c r="R74" i="1" s="1"/>
  <c r="K74" i="1"/>
  <c r="Q74" i="1" s="1"/>
  <c r="L73" i="1"/>
  <c r="K73" i="1"/>
  <c r="Q73" i="1" s="1"/>
  <c r="L72" i="1"/>
  <c r="K72" i="1"/>
  <c r="Q72" i="1" s="1"/>
  <c r="L71" i="1"/>
  <c r="R71" i="1" s="1"/>
  <c r="K71" i="1"/>
  <c r="Q71" i="1" s="1"/>
  <c r="L70" i="1"/>
  <c r="R70" i="1" s="1"/>
  <c r="K70" i="1"/>
  <c r="L69" i="1"/>
  <c r="R69" i="1" s="1"/>
  <c r="K69" i="1"/>
  <c r="Q69" i="1" s="1"/>
  <c r="L68" i="1"/>
  <c r="R68" i="1" s="1"/>
  <c r="K68" i="1"/>
  <c r="Q68" i="1" s="1"/>
  <c r="L67" i="1"/>
  <c r="R67" i="1" s="1"/>
  <c r="K67" i="1"/>
  <c r="Q67" i="1" s="1"/>
  <c r="L66" i="1"/>
  <c r="R66" i="1" s="1"/>
  <c r="K66" i="1"/>
  <c r="Q66" i="1" s="1"/>
  <c r="L65" i="1"/>
  <c r="K65" i="1"/>
  <c r="Q65" i="1" s="1"/>
  <c r="L64" i="1"/>
  <c r="K64" i="1"/>
  <c r="Q64" i="1" s="1"/>
  <c r="L63" i="1"/>
  <c r="R63" i="1" s="1"/>
  <c r="K63" i="1"/>
  <c r="Q63" i="1" s="1"/>
  <c r="L62" i="1"/>
  <c r="R62" i="1" s="1"/>
  <c r="K62" i="1"/>
  <c r="L61" i="1"/>
  <c r="R61" i="1" s="1"/>
  <c r="K61" i="1"/>
  <c r="Q61" i="1" s="1"/>
  <c r="L60" i="1"/>
  <c r="R60" i="1" s="1"/>
  <c r="K60" i="1"/>
  <c r="Q60" i="1" s="1"/>
  <c r="L59" i="1"/>
  <c r="R59" i="1" s="1"/>
  <c r="K59" i="1"/>
  <c r="Q59" i="1" s="1"/>
  <c r="L58" i="1"/>
  <c r="R58" i="1" s="1"/>
  <c r="K58" i="1"/>
  <c r="Q58" i="1" s="1"/>
  <c r="L57" i="1"/>
  <c r="K57" i="1"/>
  <c r="Q57" i="1" s="1"/>
  <c r="L56" i="1"/>
  <c r="K56" i="1"/>
  <c r="Q56" i="1" s="1"/>
  <c r="L55" i="1"/>
  <c r="R55" i="1" s="1"/>
  <c r="K55" i="1"/>
  <c r="Q55" i="1" s="1"/>
  <c r="L54" i="1"/>
  <c r="R54" i="1" s="1"/>
  <c r="K54" i="1"/>
  <c r="L53" i="1"/>
  <c r="R53" i="1" s="1"/>
  <c r="K53" i="1"/>
  <c r="Q53" i="1" s="1"/>
  <c r="L52" i="1"/>
  <c r="R52" i="1" s="1"/>
  <c r="K52" i="1"/>
  <c r="Q52" i="1" s="1"/>
  <c r="L51" i="1"/>
  <c r="R51" i="1" s="1"/>
  <c r="K51" i="1"/>
  <c r="Q51" i="1" s="1"/>
  <c r="L50" i="1"/>
  <c r="R50" i="1" s="1"/>
  <c r="K50" i="1"/>
  <c r="Q50" i="1" s="1"/>
  <c r="L49" i="1"/>
  <c r="K49" i="1"/>
  <c r="Q49" i="1" s="1"/>
  <c r="L48" i="1"/>
  <c r="K48" i="1"/>
  <c r="Q48" i="1" s="1"/>
  <c r="L47" i="1"/>
  <c r="R47" i="1" s="1"/>
  <c r="K47" i="1"/>
  <c r="Q47" i="1" s="1"/>
  <c r="L46" i="1"/>
  <c r="R46" i="1" s="1"/>
  <c r="K46" i="1"/>
  <c r="L45" i="1"/>
  <c r="R45" i="1" s="1"/>
  <c r="K45" i="1"/>
  <c r="Q45" i="1" s="1"/>
  <c r="L44" i="1"/>
  <c r="R44" i="1" s="1"/>
  <c r="K44" i="1"/>
  <c r="Q44" i="1" s="1"/>
  <c r="L43" i="1"/>
  <c r="R43" i="1" s="1"/>
  <c r="K43" i="1"/>
  <c r="Q43" i="1" s="1"/>
  <c r="L42" i="1"/>
  <c r="R42" i="1" s="1"/>
  <c r="K42" i="1"/>
  <c r="Q42" i="1" s="1"/>
  <c r="L41" i="1"/>
  <c r="K41" i="1"/>
  <c r="Q41" i="1" s="1"/>
  <c r="L40" i="1"/>
  <c r="K40" i="1"/>
  <c r="Q40" i="1" s="1"/>
  <c r="L39" i="1"/>
  <c r="R39" i="1" s="1"/>
  <c r="K39" i="1"/>
  <c r="Q39" i="1" s="1"/>
  <c r="L38" i="1"/>
  <c r="R38" i="1" s="1"/>
  <c r="K38" i="1"/>
  <c r="L37" i="1"/>
  <c r="R37" i="1" s="1"/>
  <c r="K37" i="1"/>
  <c r="Q37" i="1" s="1"/>
  <c r="L36" i="1"/>
  <c r="R36" i="1" s="1"/>
  <c r="K36" i="1"/>
  <c r="Q36" i="1" s="1"/>
  <c r="L35" i="1"/>
  <c r="R35" i="1" s="1"/>
  <c r="K35" i="1"/>
  <c r="Q35" i="1" s="1"/>
  <c r="L34" i="1"/>
  <c r="R34" i="1" s="1"/>
  <c r="K34" i="1"/>
  <c r="Q34" i="1" s="1"/>
  <c r="L33" i="1"/>
  <c r="K33" i="1"/>
  <c r="Q33" i="1" s="1"/>
  <c r="L32" i="1"/>
  <c r="K32" i="1"/>
  <c r="Q32" i="1" s="1"/>
  <c r="L31" i="1"/>
  <c r="R31" i="1" s="1"/>
  <c r="K31" i="1"/>
  <c r="Q31" i="1" s="1"/>
  <c r="L30" i="1"/>
  <c r="R30" i="1" s="1"/>
  <c r="K30" i="1"/>
  <c r="L29" i="1"/>
  <c r="R29" i="1" s="1"/>
  <c r="K29" i="1"/>
  <c r="Q29" i="1" s="1"/>
  <c r="L28" i="1"/>
  <c r="R28" i="1" s="1"/>
  <c r="K28" i="1"/>
  <c r="Q28" i="1" s="1"/>
  <c r="L27" i="1"/>
  <c r="R27" i="1" s="1"/>
  <c r="K27" i="1"/>
  <c r="Q27" i="1" s="1"/>
  <c r="L26" i="1"/>
  <c r="R26" i="1" s="1"/>
  <c r="K26" i="1"/>
  <c r="Q26" i="1" s="1"/>
  <c r="L25" i="1"/>
  <c r="K25" i="1"/>
  <c r="Q25" i="1" s="1"/>
  <c r="L24" i="1"/>
  <c r="K24" i="1"/>
  <c r="Q24" i="1" s="1"/>
  <c r="L23" i="1"/>
  <c r="R23" i="1" s="1"/>
  <c r="K23" i="1"/>
  <c r="Q23" i="1" s="1"/>
  <c r="L22" i="1"/>
  <c r="R22" i="1" s="1"/>
  <c r="K22" i="1"/>
  <c r="L21" i="1"/>
  <c r="R21" i="1" s="1"/>
  <c r="K21" i="1"/>
  <c r="Q21" i="1" s="1"/>
  <c r="L20" i="1"/>
  <c r="R20" i="1" s="1"/>
  <c r="K20" i="1"/>
  <c r="Q20" i="1" s="1"/>
  <c r="L19" i="1"/>
  <c r="R19" i="1" s="1"/>
  <c r="K19" i="1"/>
  <c r="Q19" i="1" s="1"/>
  <c r="L18" i="1"/>
  <c r="R18" i="1" s="1"/>
  <c r="K18" i="1"/>
  <c r="Q18" i="1" s="1"/>
  <c r="L17" i="1"/>
  <c r="R17" i="1" s="1"/>
  <c r="K17" i="1"/>
  <c r="Q17" i="1" s="1"/>
  <c r="L16" i="1"/>
  <c r="K16" i="1"/>
  <c r="L15" i="1"/>
  <c r="R15" i="1" s="1"/>
  <c r="K15" i="1"/>
  <c r="L14" i="1"/>
  <c r="R14" i="1" s="1"/>
  <c r="K14" i="1"/>
  <c r="Q14" i="1" s="1"/>
  <c r="L13" i="1"/>
  <c r="K13" i="1"/>
  <c r="Q13" i="1" s="1"/>
  <c r="L12" i="1"/>
  <c r="R12" i="1" s="1"/>
  <c r="K12" i="1"/>
  <c r="Q12" i="1" s="1"/>
  <c r="L11" i="1"/>
  <c r="R11" i="1" s="1"/>
  <c r="K11" i="1"/>
  <c r="Q11" i="1" s="1"/>
  <c r="L10" i="1"/>
  <c r="R10" i="1" s="1"/>
  <c r="K10" i="1"/>
  <c r="Q10" i="1" s="1"/>
  <c r="L9" i="1"/>
  <c r="R9" i="1" s="1"/>
  <c r="K9" i="1"/>
  <c r="Q9" i="1" s="1"/>
  <c r="L8" i="1"/>
  <c r="K8" i="1"/>
  <c r="L7" i="1"/>
  <c r="R7" i="1" s="1"/>
  <c r="K7" i="1"/>
  <c r="L6" i="1"/>
  <c r="R6" i="1" s="1"/>
  <c r="K6" i="1"/>
  <c r="Q6" i="1" s="1"/>
  <c r="L4" i="1"/>
  <c r="K4" i="1"/>
  <c r="Q4" i="1" s="1"/>
  <c r="L3" i="1"/>
  <c r="R3" i="1" s="1"/>
  <c r="K3" i="1"/>
  <c r="Q3" i="1" s="1"/>
  <c r="J103" i="1"/>
  <c r="P103" i="1" s="1"/>
  <c r="I103" i="1"/>
  <c r="O103" i="1" s="1"/>
  <c r="J93" i="1"/>
  <c r="P93" i="1" s="1"/>
  <c r="I93" i="1"/>
  <c r="J83" i="1"/>
  <c r="P83" i="1" s="1"/>
  <c r="I83" i="1"/>
  <c r="J72" i="1"/>
  <c r="P72" i="1" s="1"/>
  <c r="I72" i="1"/>
  <c r="O72" i="1" s="1"/>
  <c r="J70" i="1"/>
  <c r="P70" i="1" s="1"/>
  <c r="I70" i="1"/>
  <c r="O70" i="1" s="1"/>
  <c r="J31" i="1"/>
  <c r="P31" i="1" s="1"/>
  <c r="I31" i="1"/>
  <c r="O31" i="1" s="1"/>
  <c r="J16" i="1"/>
  <c r="P16" i="1" s="1"/>
  <c r="I16" i="1"/>
  <c r="O16" i="1" s="1"/>
  <c r="H103" i="1"/>
  <c r="N103" i="1" s="1"/>
  <c r="H93" i="1"/>
  <c r="H83" i="1"/>
  <c r="N83" i="1" s="1"/>
  <c r="H70" i="1"/>
  <c r="N70" i="1" s="1"/>
  <c r="H31" i="1"/>
  <c r="N31" i="1" s="1"/>
  <c r="H16" i="1"/>
  <c r="N16" i="1" s="1"/>
  <c r="I104" i="1" l="1"/>
  <c r="O104" i="1" s="1"/>
  <c r="J104" i="1"/>
  <c r="P104" i="1" s="1"/>
  <c r="H72" i="1"/>
  <c r="N72" i="1" s="1"/>
  <c r="H104" i="1" l="1"/>
  <c r="N104" i="1" s="1"/>
</calcChain>
</file>

<file path=xl/sharedStrings.xml><?xml version="1.0" encoding="utf-8"?>
<sst xmlns="http://schemas.openxmlformats.org/spreadsheetml/2006/main" count="172" uniqueCount="140">
  <si>
    <t>губ</t>
  </si>
  <si>
    <t>чж NYY</t>
  </si>
  <si>
    <t>чр YY</t>
  </si>
  <si>
    <t>чу YY</t>
  </si>
  <si>
    <t>р YY</t>
  </si>
  <si>
    <t>с YY</t>
  </si>
  <si>
    <t>Архангельская</t>
  </si>
  <si>
    <t xml:space="preserve">Виленская </t>
  </si>
  <si>
    <t>Витебская</t>
  </si>
  <si>
    <t>Волынская</t>
  </si>
  <si>
    <t xml:space="preserve">Гродненская </t>
  </si>
  <si>
    <t xml:space="preserve">Кіевская </t>
  </si>
  <si>
    <t>Ковенская</t>
  </si>
  <si>
    <t>Минская</t>
  </si>
  <si>
    <t>Могилевская</t>
  </si>
  <si>
    <t>Оренбургская</t>
  </si>
  <si>
    <t>Подольская</t>
  </si>
  <si>
    <t>Варшавская</t>
  </si>
  <si>
    <t>Г Варшава</t>
  </si>
  <si>
    <t>Калишская</t>
  </si>
  <si>
    <t>Кѣлецкая</t>
  </si>
  <si>
    <t>Лоижинская</t>
  </si>
  <si>
    <t>Люблинская</t>
  </si>
  <si>
    <t xml:space="preserve">Петроковская </t>
  </si>
  <si>
    <t xml:space="preserve">Плоцкая </t>
  </si>
  <si>
    <t xml:space="preserve">Сувалкская </t>
  </si>
  <si>
    <t xml:space="preserve">Сѣдлецкая </t>
  </si>
  <si>
    <t>Курляндская</t>
  </si>
  <si>
    <t>Лифляндскэя</t>
  </si>
  <si>
    <t xml:space="preserve">Эстляндская </t>
  </si>
  <si>
    <t>Бессарабская</t>
  </si>
  <si>
    <t xml:space="preserve">Владимірская </t>
  </si>
  <si>
    <t>Вологодская</t>
  </si>
  <si>
    <t xml:space="preserve">Воронежская  </t>
  </si>
  <si>
    <t xml:space="preserve">Вятская  </t>
  </si>
  <si>
    <t>Екатеринославская</t>
  </si>
  <si>
    <t xml:space="preserve">Казанская </t>
  </si>
  <si>
    <t xml:space="preserve">Калужская </t>
  </si>
  <si>
    <t xml:space="preserve">Костромская </t>
  </si>
  <si>
    <t xml:space="preserve">Курская </t>
  </si>
  <si>
    <t xml:space="preserve">Московская </t>
  </si>
  <si>
    <t xml:space="preserve">Г Москва </t>
  </si>
  <si>
    <t xml:space="preserve">Нижегородская  </t>
  </si>
  <si>
    <t xml:space="preserve">Новгородская </t>
  </si>
  <si>
    <t xml:space="preserve">Олонецкая  </t>
  </si>
  <si>
    <t xml:space="preserve">Орловская  </t>
  </si>
  <si>
    <t xml:space="preserve">Пензенская </t>
  </si>
  <si>
    <t xml:space="preserve">Пермская </t>
  </si>
  <si>
    <t xml:space="preserve">Полтавская </t>
  </si>
  <si>
    <t xml:space="preserve">Псковская  </t>
  </si>
  <si>
    <t xml:space="preserve">Рязанская </t>
  </si>
  <si>
    <t xml:space="preserve">Самарская </t>
  </si>
  <si>
    <t>С-Петербургская</t>
  </si>
  <si>
    <t>Г С -Петербургъ</t>
  </si>
  <si>
    <t xml:space="preserve">Саратовская  </t>
  </si>
  <si>
    <t xml:space="preserve">Симбирская  </t>
  </si>
  <si>
    <t>Смоленская</t>
  </si>
  <si>
    <t xml:space="preserve">Таврическая </t>
  </si>
  <si>
    <t xml:space="preserve">Тамбовская  </t>
  </si>
  <si>
    <t xml:space="preserve">Тверская  </t>
  </si>
  <si>
    <t xml:space="preserve">Тульская </t>
  </si>
  <si>
    <t xml:space="preserve">Уфимская </t>
  </si>
  <si>
    <t xml:space="preserve">Харьковская </t>
  </si>
  <si>
    <t xml:space="preserve">Херсонская </t>
  </si>
  <si>
    <t xml:space="preserve">Г Николаевъ </t>
  </si>
  <si>
    <t xml:space="preserve">Г Одесса </t>
  </si>
  <si>
    <t xml:space="preserve">Черниговская </t>
  </si>
  <si>
    <t>Ярославская</t>
  </si>
  <si>
    <t>Обл войска Донского</t>
  </si>
  <si>
    <t xml:space="preserve">Итого въ Европейской Россіи </t>
  </si>
  <si>
    <t>Бакинская губ</t>
  </si>
  <si>
    <t xml:space="preserve">Дагестанская обл   </t>
  </si>
  <si>
    <t>Карсская обл</t>
  </si>
  <si>
    <t xml:space="preserve">Кубанская обл   </t>
  </si>
  <si>
    <t xml:space="preserve">Кутаисская губ   </t>
  </si>
  <si>
    <t xml:space="preserve">Ставропольская губ  </t>
  </si>
  <si>
    <t>Терская обл</t>
  </si>
  <si>
    <t xml:space="preserve">Тифлисская губ   </t>
  </si>
  <si>
    <t xml:space="preserve">Эриванская губ   </t>
  </si>
  <si>
    <t>Амурская обл</t>
  </si>
  <si>
    <t>Енисейская губ</t>
  </si>
  <si>
    <t xml:space="preserve">Забайкальская обл  </t>
  </si>
  <si>
    <t>Иркутская губ</t>
  </si>
  <si>
    <t xml:space="preserve">Приморская обл   </t>
  </si>
  <si>
    <t xml:space="preserve">Тобольская губ   </t>
  </si>
  <si>
    <t>Томская губ</t>
  </si>
  <si>
    <t>Якутская обл</t>
  </si>
  <si>
    <t xml:space="preserve">О-въ Сахалинъ </t>
  </si>
  <si>
    <t xml:space="preserve">Акмолинская </t>
  </si>
  <si>
    <t xml:space="preserve">Закаспійская   </t>
  </si>
  <si>
    <t xml:space="preserve">Самаркандская   </t>
  </si>
  <si>
    <t xml:space="preserve">Семипалатинская   </t>
  </si>
  <si>
    <t xml:space="preserve">Сыръ-Дарьинская   </t>
  </si>
  <si>
    <t>Тургайская</t>
  </si>
  <si>
    <t>У ральская</t>
  </si>
  <si>
    <t xml:space="preserve">Ферганская </t>
  </si>
  <si>
    <t>Итого неземские губернии</t>
  </si>
  <si>
    <t>Итого земские губернии</t>
  </si>
  <si>
    <t>Итого Империя</t>
  </si>
  <si>
    <t>—</t>
  </si>
  <si>
    <t>v-чж NYY</t>
  </si>
  <si>
    <t>v-чр YY</t>
  </si>
  <si>
    <t>v-чу YY</t>
  </si>
  <si>
    <t>v-р YY</t>
  </si>
  <si>
    <t>v-с YY</t>
  </si>
  <si>
    <t>v-diff-чж NYY</t>
  </si>
  <si>
    <t>v-diff-чр YY</t>
  </si>
  <si>
    <t>v-diff-чу YY</t>
  </si>
  <si>
    <t>v-diff-р YY</t>
  </si>
  <si>
    <t>v-diff-с YY</t>
  </si>
  <si>
    <t>Итого  Кавказ</t>
  </si>
  <si>
    <t>Итого привисл. и остзейские</t>
  </si>
  <si>
    <t xml:space="preserve">Семирѣченская </t>
  </si>
  <si>
    <t>Итого  Средняя Азия</t>
  </si>
  <si>
    <t>Итого  Сибирь</t>
  </si>
  <si>
    <t>О Варшаве -- по сведениями статистического бюро городского магистрата.</t>
  </si>
  <si>
    <t>Москва -- по переписи 1882.</t>
  </si>
  <si>
    <t>Ярославская -- в том числе пришлых жителей 67901, не показанных в отчете за 1886 год.</t>
  </si>
  <si>
    <t>Карсская</t>
  </si>
  <si>
    <t>Закаспийская</t>
  </si>
  <si>
    <t>Ферганская области по 1885.</t>
  </si>
  <si>
    <t>Амурская обл. по 1886.</t>
  </si>
  <si>
    <t>Сыр-Дарьинская область -- часть отошла к Самаркандской.</t>
  </si>
  <si>
    <t>Сведения неполны по:</t>
  </si>
  <si>
    <t>смертям в Кутаисской</t>
  </si>
  <si>
    <t xml:space="preserve">смертям и рождениям в </t>
  </si>
  <si>
    <t>Приморской</t>
  </si>
  <si>
    <t>Семиреченской</t>
  </si>
  <si>
    <t>Турганской</t>
  </si>
  <si>
    <t>Уральской</t>
  </si>
  <si>
    <t>Численность населения Астраханской губернии включает кочевнников,</t>
  </si>
  <si>
    <t>но число рождений и смертей относится к оседлому населению</t>
  </si>
  <si>
    <t>Для Варшавы даны два разных значения чс</t>
  </si>
  <si>
    <t xml:space="preserve">Радомская </t>
  </si>
  <si>
    <t>Кубансккая область с Черноморским округом</t>
  </si>
  <si>
    <t>(на стр. 116 он также дан отдельно)</t>
  </si>
  <si>
    <t>Астраханская (оседлое)</t>
  </si>
  <si>
    <t>Астраханская (кочевники)</t>
  </si>
  <si>
    <t>Таблица из ежегодника УГВИ стр. 3-5</t>
  </si>
  <si>
    <t xml:space="preserve">Елисаветпольская губ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</si>
</sst>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0" fillId="3" borderId="0" xfId="0" applyNumberForma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0" borderId="0" xfId="0" applyFont="1"/>
    <xf numFmtId="0" fontId="0" fillId="4" borderId="0" xfId="0" applyFill="1"/>
    <xf numFmtId="3" fontId="0" fillId="4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BCAD-C8EF-4299-8ADC-574309E923F5}">
  <dimension ref="A1:E32"/>
  <sheetViews>
    <sheetView workbookViewId="0">
      <selection activeCell="A34" sqref="A34"/>
    </sheetView>
  </sheetViews>
  <sheetFormatPr defaultRowHeight="14.4" x14ac:dyDescent="0.55000000000000004"/>
  <sheetData>
    <row r="1" spans="1:1" x14ac:dyDescent="0.55000000000000004">
      <c r="A1" t="s">
        <v>138</v>
      </c>
    </row>
    <row r="3" spans="1:1" x14ac:dyDescent="0.55000000000000004">
      <c r="A3" t="s">
        <v>115</v>
      </c>
    </row>
    <row r="5" spans="1:1" x14ac:dyDescent="0.55000000000000004">
      <c r="A5" t="s">
        <v>116</v>
      </c>
    </row>
    <row r="7" spans="1:1" x14ac:dyDescent="0.55000000000000004">
      <c r="A7" t="s">
        <v>117</v>
      </c>
    </row>
    <row r="9" spans="1:1" x14ac:dyDescent="0.55000000000000004">
      <c r="A9" t="s">
        <v>118</v>
      </c>
    </row>
    <row r="10" spans="1:1" x14ac:dyDescent="0.55000000000000004">
      <c r="A10" t="s">
        <v>119</v>
      </c>
    </row>
    <row r="11" spans="1:1" x14ac:dyDescent="0.55000000000000004">
      <c r="A11" t="s">
        <v>120</v>
      </c>
    </row>
    <row r="13" spans="1:1" x14ac:dyDescent="0.55000000000000004">
      <c r="A13" t="s">
        <v>121</v>
      </c>
    </row>
    <row r="15" spans="1:1" x14ac:dyDescent="0.55000000000000004">
      <c r="A15" t="s">
        <v>122</v>
      </c>
    </row>
    <row r="17" spans="1:5" x14ac:dyDescent="0.55000000000000004">
      <c r="A17" t="s">
        <v>123</v>
      </c>
    </row>
    <row r="18" spans="1:5" x14ac:dyDescent="0.55000000000000004">
      <c r="B18" t="s">
        <v>124</v>
      </c>
    </row>
    <row r="19" spans="1:5" x14ac:dyDescent="0.55000000000000004">
      <c r="B19" t="s">
        <v>125</v>
      </c>
      <c r="E19" t="s">
        <v>126</v>
      </c>
    </row>
    <row r="20" spans="1:5" x14ac:dyDescent="0.55000000000000004">
      <c r="E20" t="s">
        <v>127</v>
      </c>
    </row>
    <row r="21" spans="1:5" x14ac:dyDescent="0.55000000000000004">
      <c r="E21" t="s">
        <v>128</v>
      </c>
    </row>
    <row r="22" spans="1:5" x14ac:dyDescent="0.55000000000000004">
      <c r="E22" t="s">
        <v>129</v>
      </c>
    </row>
    <row r="24" spans="1:5" x14ac:dyDescent="0.55000000000000004">
      <c r="A24" t="s">
        <v>130</v>
      </c>
    </row>
    <row r="25" spans="1:5" x14ac:dyDescent="0.55000000000000004">
      <c r="A25" t="s">
        <v>131</v>
      </c>
    </row>
    <row r="27" spans="1:5" x14ac:dyDescent="0.55000000000000004">
      <c r="A27" t="s">
        <v>132</v>
      </c>
    </row>
    <row r="28" spans="1:5" x14ac:dyDescent="0.55000000000000004">
      <c r="B28" s="1">
        <v>12730</v>
      </c>
      <c r="C28" s="1">
        <v>10951</v>
      </c>
    </row>
    <row r="31" spans="1:5" x14ac:dyDescent="0.55000000000000004">
      <c r="A31" t="s">
        <v>134</v>
      </c>
    </row>
    <row r="32" spans="1:5" x14ac:dyDescent="0.55000000000000004">
      <c r="A32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A860-F1E6-46BE-B5A8-F5E89CFD88FD}">
  <dimension ref="A1:R10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1" sqref="A31:R31"/>
    </sheetView>
  </sheetViews>
  <sheetFormatPr defaultRowHeight="14.4" x14ac:dyDescent="0.55000000000000004"/>
  <cols>
    <col min="1" max="1" width="28.578125" bestFit="1" customWidth="1"/>
    <col min="2" max="2" width="11.15625" style="1" bestFit="1" customWidth="1"/>
    <col min="3" max="4" width="9.15625" style="1"/>
    <col min="5" max="6" width="4.578125" style="2" bestFit="1" customWidth="1"/>
    <col min="8" max="8" width="11.15625" style="1" bestFit="1" customWidth="1"/>
    <col min="9" max="10" width="9.15625" style="1" bestFit="1" customWidth="1"/>
    <col min="11" max="12" width="8.15625" style="2" bestFit="1" customWidth="1"/>
    <col min="14" max="14" width="12.578125" style="1" bestFit="1" customWidth="1"/>
    <col min="15" max="15" width="10.83984375" style="1" bestFit="1" customWidth="1"/>
    <col min="16" max="16" width="10.578125" style="1" bestFit="1" customWidth="1"/>
    <col min="17" max="17" width="9.68359375" bestFit="1" customWidth="1"/>
    <col min="18" max="18" width="9.578125" bestFit="1" customWidth="1"/>
  </cols>
  <sheetData>
    <row r="1" spans="1:18" x14ac:dyDescent="0.55000000000000004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9"/>
      <c r="H1" s="7" t="s">
        <v>100</v>
      </c>
      <c r="I1" s="7" t="s">
        <v>101</v>
      </c>
      <c r="J1" s="7" t="s">
        <v>102</v>
      </c>
      <c r="K1" s="8" t="s">
        <v>103</v>
      </c>
      <c r="L1" s="8" t="s">
        <v>104</v>
      </c>
      <c r="M1" s="9"/>
      <c r="N1" s="7" t="s">
        <v>105</v>
      </c>
      <c r="O1" s="7" t="s">
        <v>106</v>
      </c>
      <c r="P1" s="7" t="s">
        <v>107</v>
      </c>
      <c r="Q1" s="8" t="s">
        <v>108</v>
      </c>
      <c r="R1" s="8" t="s">
        <v>109</v>
      </c>
    </row>
    <row r="3" spans="1:18" x14ac:dyDescent="0.55000000000000004">
      <c r="A3" t="s">
        <v>6</v>
      </c>
      <c r="B3" s="1">
        <v>340251</v>
      </c>
      <c r="C3" s="1">
        <v>13598</v>
      </c>
      <c r="D3" s="1">
        <v>7763</v>
      </c>
      <c r="E3" s="2">
        <v>39.9</v>
      </c>
      <c r="F3" s="2">
        <v>22.9</v>
      </c>
      <c r="K3" s="2">
        <f>C3/B3*1000</f>
        <v>39.964614358223777</v>
      </c>
      <c r="L3" s="2">
        <f>D3/B3*1000</f>
        <v>22.815509726642979</v>
      </c>
      <c r="Q3" s="2">
        <f>E3-K3</f>
        <v>-6.4614358223778368E-2</v>
      </c>
      <c r="R3" s="2">
        <f>F3-L3</f>
        <v>8.4490273357019419E-2</v>
      </c>
    </row>
    <row r="4" spans="1:18" x14ac:dyDescent="0.55000000000000004">
      <c r="A4" t="s">
        <v>136</v>
      </c>
      <c r="B4" s="1">
        <f>932539-B5</f>
        <v>572539</v>
      </c>
      <c r="C4" s="1">
        <v>27026</v>
      </c>
      <c r="D4" s="1">
        <v>17471</v>
      </c>
      <c r="E4" s="2">
        <v>47.1</v>
      </c>
      <c r="F4" s="2">
        <v>30.4</v>
      </c>
      <c r="K4" s="2">
        <f t="shared" ref="K4:K68" si="0">C4/B4*1000</f>
        <v>47.203771271476704</v>
      </c>
      <c r="L4" s="2">
        <f t="shared" ref="L4:L68" si="1">D4/B4*1000</f>
        <v>30.514951819876028</v>
      </c>
      <c r="Q4" s="2">
        <f t="shared" ref="Q4:Q68" si="2">E4-K4</f>
        <v>-0.10377127147670251</v>
      </c>
      <c r="R4" s="2">
        <f t="shared" ref="R4:R68" si="3">F4-L4</f>
        <v>-0.11495181987602976</v>
      </c>
    </row>
    <row r="5" spans="1:18" x14ac:dyDescent="0.55000000000000004">
      <c r="A5" t="s">
        <v>137</v>
      </c>
      <c r="B5" s="1">
        <v>360000</v>
      </c>
      <c r="Q5" s="2"/>
      <c r="R5" s="2"/>
    </row>
    <row r="6" spans="1:18" x14ac:dyDescent="0.55000000000000004">
      <c r="A6" t="s">
        <v>7</v>
      </c>
      <c r="B6" s="1">
        <v>1304788</v>
      </c>
      <c r="C6" s="1">
        <v>53172</v>
      </c>
      <c r="D6" s="1">
        <v>36156</v>
      </c>
      <c r="E6" s="2">
        <v>47.7</v>
      </c>
      <c r="F6" s="2">
        <v>27.7</v>
      </c>
      <c r="K6" s="2">
        <f t="shared" si="0"/>
        <v>40.751447744767731</v>
      </c>
      <c r="L6" s="2">
        <f t="shared" si="1"/>
        <v>27.710248714733734</v>
      </c>
      <c r="Q6" s="2">
        <f t="shared" si="2"/>
        <v>6.948552255232272</v>
      </c>
      <c r="R6" s="2">
        <f t="shared" si="3"/>
        <v>-1.0248714733734232E-2</v>
      </c>
    </row>
    <row r="7" spans="1:18" x14ac:dyDescent="0.55000000000000004">
      <c r="A7" t="s">
        <v>8</v>
      </c>
      <c r="B7" s="1">
        <v>1276014</v>
      </c>
      <c r="C7" s="1">
        <v>50185</v>
      </c>
      <c r="D7" s="1">
        <v>30650</v>
      </c>
      <c r="E7" s="2">
        <v>39.299999999999997</v>
      </c>
      <c r="F7" s="2">
        <v>24</v>
      </c>
      <c r="K7" s="2">
        <f t="shared" si="0"/>
        <v>39.329505789121434</v>
      </c>
      <c r="L7" s="2">
        <f t="shared" si="1"/>
        <v>24.020112631993065</v>
      </c>
      <c r="Q7" s="2">
        <f t="shared" si="2"/>
        <v>-2.9505789121436976E-2</v>
      </c>
      <c r="R7" s="2">
        <f t="shared" si="3"/>
        <v>-2.0112631993065122E-2</v>
      </c>
    </row>
    <row r="8" spans="1:18" x14ac:dyDescent="0.55000000000000004">
      <c r="A8" t="s">
        <v>9</v>
      </c>
      <c r="B8" s="1">
        <v>2264867</v>
      </c>
      <c r="C8" s="1">
        <v>117636</v>
      </c>
      <c r="D8" s="1">
        <v>73964</v>
      </c>
      <c r="E8" s="2">
        <v>51.9</v>
      </c>
      <c r="F8" s="2">
        <v>32.6</v>
      </c>
      <c r="K8" s="2">
        <f t="shared" si="0"/>
        <v>51.939473708610706</v>
      </c>
      <c r="L8" s="2">
        <f t="shared" si="1"/>
        <v>32.657105251654954</v>
      </c>
      <c r="Q8" s="2">
        <f t="shared" si="2"/>
        <v>-3.9473708610707092E-2</v>
      </c>
      <c r="R8" s="2">
        <f t="shared" si="3"/>
        <v>-5.7105251654952838E-2</v>
      </c>
    </row>
    <row r="9" spans="1:18" x14ac:dyDescent="0.55000000000000004">
      <c r="A9" t="s">
        <v>10</v>
      </c>
      <c r="B9" s="1">
        <v>1354425</v>
      </c>
      <c r="C9" s="1">
        <v>55680</v>
      </c>
      <c r="D9" s="1">
        <v>34546</v>
      </c>
      <c r="E9" s="2">
        <v>41.1</v>
      </c>
      <c r="F9" s="2">
        <v>25.5</v>
      </c>
      <c r="K9" s="2">
        <f t="shared" si="0"/>
        <v>41.109695996456061</v>
      </c>
      <c r="L9" s="2">
        <f t="shared" si="1"/>
        <v>25.506026542628788</v>
      </c>
      <c r="Q9" s="2">
        <f t="shared" si="2"/>
        <v>-9.6959964560596745E-3</v>
      </c>
      <c r="R9" s="2">
        <f t="shared" si="3"/>
        <v>-6.0265426287884338E-3</v>
      </c>
    </row>
    <row r="10" spans="1:18" x14ac:dyDescent="0.55000000000000004">
      <c r="A10" t="s">
        <v>11</v>
      </c>
      <c r="B10" s="1">
        <v>2917997</v>
      </c>
      <c r="C10" s="1">
        <v>151236</v>
      </c>
      <c r="D10" s="1">
        <v>88550</v>
      </c>
      <c r="E10" s="2">
        <v>51.8</v>
      </c>
      <c r="F10" s="2">
        <v>33.5</v>
      </c>
      <c r="K10" s="2">
        <f t="shared" si="0"/>
        <v>51.828703045273862</v>
      </c>
      <c r="L10" s="2">
        <f t="shared" si="1"/>
        <v>30.346158683507902</v>
      </c>
      <c r="Q10" s="2">
        <f t="shared" si="2"/>
        <v>-2.8703045273864802E-2</v>
      </c>
      <c r="R10" s="2">
        <f t="shared" si="3"/>
        <v>3.1538413164920982</v>
      </c>
    </row>
    <row r="11" spans="1:18" x14ac:dyDescent="0.55000000000000004">
      <c r="A11" t="s">
        <v>12</v>
      </c>
      <c r="B11" s="1">
        <v>1532747</v>
      </c>
      <c r="C11" s="1">
        <v>54426</v>
      </c>
      <c r="D11" s="1">
        <v>38991</v>
      </c>
      <c r="E11" s="2">
        <v>35.5</v>
      </c>
      <c r="F11" s="2">
        <v>25.4</v>
      </c>
      <c r="K11" s="2">
        <f t="shared" si="0"/>
        <v>35.508795645987242</v>
      </c>
      <c r="L11" s="2">
        <f t="shared" si="1"/>
        <v>25.438640558422229</v>
      </c>
      <c r="Q11" s="2">
        <f t="shared" si="2"/>
        <v>-8.7956459872415849E-3</v>
      </c>
      <c r="R11" s="2">
        <f t="shared" si="3"/>
        <v>-3.8640558422230242E-2</v>
      </c>
    </row>
    <row r="12" spans="1:18" x14ac:dyDescent="0.55000000000000004">
      <c r="A12" t="s">
        <v>13</v>
      </c>
      <c r="B12" s="1">
        <v>1680615</v>
      </c>
      <c r="C12" s="1">
        <v>74054</v>
      </c>
      <c r="D12" s="1">
        <v>39136</v>
      </c>
      <c r="E12" s="2">
        <v>44</v>
      </c>
      <c r="F12" s="2">
        <v>23.3</v>
      </c>
      <c r="K12" s="2">
        <f t="shared" si="0"/>
        <v>44.063631468242278</v>
      </c>
      <c r="L12" s="2">
        <f t="shared" si="1"/>
        <v>23.286713494762331</v>
      </c>
      <c r="Q12" s="2">
        <f t="shared" si="2"/>
        <v>-6.3631468242277833E-2</v>
      </c>
      <c r="R12" s="2">
        <f t="shared" si="3"/>
        <v>1.3286505237669388E-2</v>
      </c>
    </row>
    <row r="13" spans="1:18" x14ac:dyDescent="0.55000000000000004">
      <c r="A13" t="s">
        <v>14</v>
      </c>
      <c r="B13" s="1">
        <v>1294116</v>
      </c>
      <c r="C13" s="1">
        <v>63399</v>
      </c>
      <c r="D13" s="1">
        <v>35770</v>
      </c>
      <c r="E13" s="2">
        <v>49</v>
      </c>
      <c r="F13" s="2">
        <v>27.7</v>
      </c>
      <c r="K13" s="2">
        <f t="shared" si="0"/>
        <v>48.990198714798368</v>
      </c>
      <c r="L13" s="2">
        <f t="shared" si="1"/>
        <v>27.640489724259648</v>
      </c>
      <c r="Q13" s="2">
        <f t="shared" si="2"/>
        <v>9.8012852016324814E-3</v>
      </c>
      <c r="R13" s="2">
        <f t="shared" si="3"/>
        <v>5.9510275740350949E-2</v>
      </c>
    </row>
    <row r="14" spans="1:18" x14ac:dyDescent="0.55000000000000004">
      <c r="A14" t="s">
        <v>15</v>
      </c>
      <c r="B14" s="1">
        <v>1306539</v>
      </c>
      <c r="C14" s="1">
        <v>77848</v>
      </c>
      <c r="D14" s="1">
        <v>57037</v>
      </c>
      <c r="E14" s="2">
        <v>59.6</v>
      </c>
      <c r="F14" s="2">
        <v>43.7</v>
      </c>
      <c r="K14" s="2">
        <f t="shared" si="0"/>
        <v>59.583372559104625</v>
      </c>
      <c r="L14" s="2">
        <f t="shared" si="1"/>
        <v>43.655030580793991</v>
      </c>
      <c r="Q14" s="2">
        <f t="shared" si="2"/>
        <v>1.6627440895376822E-2</v>
      </c>
      <c r="R14" s="2">
        <f t="shared" si="3"/>
        <v>4.4969419206012162E-2</v>
      </c>
    </row>
    <row r="15" spans="1:18" x14ac:dyDescent="0.55000000000000004">
      <c r="A15" t="s">
        <v>16</v>
      </c>
      <c r="B15" s="1">
        <v>2423755</v>
      </c>
      <c r="C15" s="1">
        <v>119752</v>
      </c>
      <c r="D15" s="1">
        <v>67887</v>
      </c>
      <c r="E15" s="2">
        <v>49.4</v>
      </c>
      <c r="F15" s="2">
        <v>28</v>
      </c>
      <c r="K15" s="2">
        <f t="shared" si="0"/>
        <v>49.407634022415628</v>
      </c>
      <c r="L15" s="2">
        <f t="shared" si="1"/>
        <v>28.009019063395435</v>
      </c>
      <c r="Q15" s="2">
        <f t="shared" si="2"/>
        <v>-7.6340224156297154E-3</v>
      </c>
      <c r="R15" s="2">
        <f t="shared" si="3"/>
        <v>-9.0190633954350119E-3</v>
      </c>
    </row>
    <row r="16" spans="1:18" x14ac:dyDescent="0.55000000000000004">
      <c r="A16" s="10" t="s">
        <v>96</v>
      </c>
      <c r="B16" s="11">
        <v>18628653</v>
      </c>
      <c r="C16" s="11">
        <v>858012</v>
      </c>
      <c r="D16" s="11">
        <v>527921</v>
      </c>
      <c r="E16" s="12">
        <v>46.9</v>
      </c>
      <c r="F16" s="12">
        <v>28.8</v>
      </c>
      <c r="G16" s="10"/>
      <c r="H16" s="11">
        <f>SUM(B3:B15)</f>
        <v>18628653</v>
      </c>
      <c r="I16" s="11">
        <f>SUM(C3:C15)</f>
        <v>858012</v>
      </c>
      <c r="J16" s="11">
        <f>SUM(D3:D15)</f>
        <v>527921</v>
      </c>
      <c r="K16" s="12">
        <f t="shared" si="0"/>
        <v>46.058724696842013</v>
      </c>
      <c r="L16" s="12">
        <f t="shared" si="1"/>
        <v>28.339193392028935</v>
      </c>
      <c r="M16" s="10"/>
      <c r="N16" s="11">
        <f>B16-H16</f>
        <v>0</v>
      </c>
      <c r="O16" s="11">
        <f>C16-I16</f>
        <v>0</v>
      </c>
      <c r="P16" s="11">
        <f>D16-J16</f>
        <v>0</v>
      </c>
      <c r="Q16" s="12">
        <f t="shared" si="2"/>
        <v>0.84127530315798538</v>
      </c>
      <c r="R16" s="12">
        <f t="shared" si="3"/>
        <v>0.46080660797106532</v>
      </c>
    </row>
    <row r="17" spans="1:18" x14ac:dyDescent="0.55000000000000004">
      <c r="A17" t="s">
        <v>17</v>
      </c>
      <c r="B17" s="1">
        <v>1015957</v>
      </c>
      <c r="C17" s="1">
        <v>42824</v>
      </c>
      <c r="D17" s="1">
        <v>23052</v>
      </c>
      <c r="E17" s="2">
        <v>42.1</v>
      </c>
      <c r="F17" s="2">
        <v>22.7</v>
      </c>
      <c r="K17" s="2">
        <f t="shared" si="0"/>
        <v>42.151390265532889</v>
      </c>
      <c r="L17" s="2">
        <f t="shared" si="1"/>
        <v>22.689936680391</v>
      </c>
      <c r="Q17" s="2">
        <f t="shared" si="2"/>
        <v>-5.1390265532887724E-2</v>
      </c>
      <c r="R17" s="2">
        <f t="shared" si="3"/>
        <v>1.0063319608999421E-2</v>
      </c>
    </row>
    <row r="18" spans="1:18" x14ac:dyDescent="0.55000000000000004">
      <c r="A18" t="s">
        <v>18</v>
      </c>
      <c r="B18" s="1">
        <v>449174</v>
      </c>
      <c r="C18" s="1">
        <v>17523</v>
      </c>
      <c r="D18" s="1">
        <v>12730</v>
      </c>
      <c r="E18" s="2">
        <v>39.9</v>
      </c>
      <c r="F18" s="2">
        <v>29</v>
      </c>
      <c r="K18" s="2">
        <f t="shared" si="0"/>
        <v>39.011607973747367</v>
      </c>
      <c r="L18" s="2">
        <f t="shared" si="1"/>
        <v>28.340910204063459</v>
      </c>
      <c r="Q18" s="2">
        <f t="shared" si="2"/>
        <v>0.88839202625263169</v>
      </c>
      <c r="R18" s="2">
        <f t="shared" si="3"/>
        <v>0.65908979593654138</v>
      </c>
    </row>
    <row r="19" spans="1:18" x14ac:dyDescent="0.55000000000000004">
      <c r="A19" t="s">
        <v>19</v>
      </c>
      <c r="B19" s="1">
        <v>837317</v>
      </c>
      <c r="C19" s="1">
        <v>33077</v>
      </c>
      <c r="D19" s="1">
        <v>19342</v>
      </c>
      <c r="E19" s="2">
        <v>39.5</v>
      </c>
      <c r="F19" s="2">
        <v>23.1</v>
      </c>
      <c r="K19" s="2">
        <f t="shared" si="0"/>
        <v>39.503557195184143</v>
      </c>
      <c r="L19" s="2">
        <f t="shared" si="1"/>
        <v>23.099972889598561</v>
      </c>
      <c r="Q19" s="2">
        <f t="shared" si="2"/>
        <v>-3.5571951841433247E-3</v>
      </c>
      <c r="R19" s="2">
        <f t="shared" si="3"/>
        <v>2.7110401440211263E-5</v>
      </c>
    </row>
    <row r="20" spans="1:18" x14ac:dyDescent="0.55000000000000004">
      <c r="A20" t="s">
        <v>20</v>
      </c>
      <c r="B20" s="1">
        <v>692328</v>
      </c>
      <c r="C20" s="1">
        <v>27758</v>
      </c>
      <c r="D20" s="1">
        <v>15062</v>
      </c>
      <c r="E20" s="2">
        <v>40.1</v>
      </c>
      <c r="F20" s="2">
        <v>21.8</v>
      </c>
      <c r="K20" s="2">
        <f t="shared" si="0"/>
        <v>40.093712806646558</v>
      </c>
      <c r="L20" s="2">
        <f t="shared" si="1"/>
        <v>21.755584058423175</v>
      </c>
      <c r="Q20" s="2">
        <f t="shared" si="2"/>
        <v>6.287193353443854E-3</v>
      </c>
      <c r="R20" s="2">
        <f t="shared" si="3"/>
        <v>4.4415941576826157E-2</v>
      </c>
    </row>
    <row r="21" spans="1:18" x14ac:dyDescent="0.55000000000000004">
      <c r="A21" t="s">
        <v>21</v>
      </c>
      <c r="B21" s="1">
        <v>608683</v>
      </c>
      <c r="C21" s="1">
        <v>24023</v>
      </c>
      <c r="D21" s="1">
        <v>16653</v>
      </c>
      <c r="E21" s="2">
        <v>39.4</v>
      </c>
      <c r="F21" s="2">
        <v>27.3</v>
      </c>
      <c r="K21" s="2">
        <f t="shared" si="0"/>
        <v>39.467177496332248</v>
      </c>
      <c r="L21" s="2">
        <f t="shared" si="1"/>
        <v>27.359068677784659</v>
      </c>
      <c r="Q21" s="2">
        <f t="shared" si="2"/>
        <v>-6.717749633224912E-2</v>
      </c>
      <c r="R21" s="2">
        <f t="shared" si="3"/>
        <v>-5.9068677784658519E-2</v>
      </c>
    </row>
    <row r="22" spans="1:18" x14ac:dyDescent="0.55000000000000004">
      <c r="A22" t="s">
        <v>22</v>
      </c>
      <c r="B22" s="1">
        <v>979700</v>
      </c>
      <c r="C22" s="1">
        <v>40847</v>
      </c>
      <c r="D22" s="1">
        <v>24406</v>
      </c>
      <c r="E22" s="2">
        <v>41.7</v>
      </c>
      <c r="F22" s="2">
        <v>25</v>
      </c>
      <c r="K22" s="2">
        <f t="shared" si="0"/>
        <v>41.693375523119322</v>
      </c>
      <c r="L22" s="2">
        <f t="shared" si="1"/>
        <v>24.911707665611921</v>
      </c>
      <c r="Q22" s="2">
        <f t="shared" si="2"/>
        <v>6.6244768806811294E-3</v>
      </c>
      <c r="R22" s="2">
        <f t="shared" si="3"/>
        <v>8.8292334388079041E-2</v>
      </c>
    </row>
    <row r="23" spans="1:18" x14ac:dyDescent="0.55000000000000004">
      <c r="A23" t="s">
        <v>23</v>
      </c>
      <c r="B23" s="1">
        <v>1091282</v>
      </c>
      <c r="C23" s="1">
        <v>42403</v>
      </c>
      <c r="D23" s="1">
        <v>23780</v>
      </c>
      <c r="E23" s="2">
        <v>38.9</v>
      </c>
      <c r="F23" s="2">
        <v>21.8</v>
      </c>
      <c r="K23" s="2">
        <f t="shared" si="0"/>
        <v>38.856134344743161</v>
      </c>
      <c r="L23" s="2">
        <f t="shared" si="1"/>
        <v>21.790884482654349</v>
      </c>
      <c r="Q23" s="2">
        <f t="shared" si="2"/>
        <v>4.3865655256837499E-2</v>
      </c>
      <c r="R23" s="2">
        <f t="shared" si="3"/>
        <v>9.1155173456520799E-3</v>
      </c>
    </row>
    <row r="24" spans="1:18" x14ac:dyDescent="0.55000000000000004">
      <c r="A24" t="s">
        <v>24</v>
      </c>
      <c r="B24" s="1">
        <v>600662</v>
      </c>
      <c r="C24" s="1">
        <v>25519</v>
      </c>
      <c r="D24" s="1">
        <v>15923</v>
      </c>
      <c r="E24" s="2">
        <v>42.4</v>
      </c>
      <c r="F24" s="2">
        <v>26.5</v>
      </c>
      <c r="K24" s="2">
        <f t="shared" si="0"/>
        <v>42.484791779736362</v>
      </c>
      <c r="L24" s="2">
        <f t="shared" si="1"/>
        <v>26.509084976242882</v>
      </c>
      <c r="Q24" s="2">
        <f t="shared" si="2"/>
        <v>-8.4791779736363537E-2</v>
      </c>
      <c r="R24" s="2">
        <f t="shared" si="3"/>
        <v>-9.0849762428817371E-3</v>
      </c>
    </row>
    <row r="25" spans="1:18" x14ac:dyDescent="0.55000000000000004">
      <c r="A25" t="s">
        <v>133</v>
      </c>
      <c r="B25" s="1">
        <v>716164</v>
      </c>
      <c r="C25" s="1">
        <v>28928</v>
      </c>
      <c r="D25" s="1">
        <v>17689</v>
      </c>
      <c r="E25" s="2">
        <v>40.4</v>
      </c>
      <c r="F25" s="2">
        <v>24.7</v>
      </c>
      <c r="K25" s="2">
        <f t="shared" si="0"/>
        <v>40.39298261292106</v>
      </c>
      <c r="L25" s="2">
        <f t="shared" si="1"/>
        <v>24.699649800883595</v>
      </c>
      <c r="Q25" s="2">
        <f t="shared" si="2"/>
        <v>7.0173870789389525E-3</v>
      </c>
      <c r="R25" s="2">
        <f t="shared" si="3"/>
        <v>3.5019911640432611E-4</v>
      </c>
    </row>
    <row r="26" spans="1:18" x14ac:dyDescent="0.55000000000000004">
      <c r="A26" t="s">
        <v>25</v>
      </c>
      <c r="B26" s="1">
        <v>656932</v>
      </c>
      <c r="C26" s="1">
        <v>20886</v>
      </c>
      <c r="D26" s="1">
        <v>15444</v>
      </c>
      <c r="E26" s="2">
        <v>31.8</v>
      </c>
      <c r="F26" s="2">
        <v>23.5</v>
      </c>
      <c r="K26" s="2">
        <f t="shared" si="0"/>
        <v>31.793244962948982</v>
      </c>
      <c r="L26" s="2">
        <f t="shared" si="1"/>
        <v>23.509282543703154</v>
      </c>
      <c r="Q26" s="2">
        <f t="shared" si="2"/>
        <v>6.75503705101832E-3</v>
      </c>
      <c r="R26" s="2">
        <f t="shared" si="3"/>
        <v>-9.282543703154289E-3</v>
      </c>
    </row>
    <row r="27" spans="1:18" x14ac:dyDescent="0.55000000000000004">
      <c r="A27" t="s">
        <v>26</v>
      </c>
      <c r="B27" s="1">
        <v>671598</v>
      </c>
      <c r="C27" s="1">
        <v>24933</v>
      </c>
      <c r="D27" s="1">
        <v>17703</v>
      </c>
      <c r="E27" s="2">
        <v>37.1</v>
      </c>
      <c r="F27" s="2">
        <v>26.3</v>
      </c>
      <c r="K27" s="2">
        <f t="shared" si="0"/>
        <v>37.124887209312718</v>
      </c>
      <c r="L27" s="2">
        <f t="shared" si="1"/>
        <v>26.359518640615367</v>
      </c>
      <c r="Q27" s="2">
        <f t="shared" si="2"/>
        <v>-2.4887209312716152E-2</v>
      </c>
      <c r="R27" s="2">
        <f t="shared" si="3"/>
        <v>-5.9518640615365825E-2</v>
      </c>
    </row>
    <row r="28" spans="1:18" x14ac:dyDescent="0.55000000000000004">
      <c r="A28" t="s">
        <v>27</v>
      </c>
      <c r="B28" s="1">
        <v>676582</v>
      </c>
      <c r="C28" s="1">
        <v>19365</v>
      </c>
      <c r="D28" s="1">
        <v>11973</v>
      </c>
      <c r="E28" s="2">
        <v>28.6</v>
      </c>
      <c r="F28" s="2">
        <v>17.7</v>
      </c>
      <c r="K28" s="2">
        <f t="shared" si="0"/>
        <v>28.621807851819884</v>
      </c>
      <c r="L28" s="2">
        <f t="shared" si="1"/>
        <v>17.69630288715928</v>
      </c>
      <c r="Q28" s="2">
        <f t="shared" si="2"/>
        <v>-2.1807851819882984E-2</v>
      </c>
      <c r="R28" s="2">
        <f t="shared" si="3"/>
        <v>3.6971128407188303E-3</v>
      </c>
    </row>
    <row r="29" spans="1:18" x14ac:dyDescent="0.55000000000000004">
      <c r="A29" t="s">
        <v>28</v>
      </c>
      <c r="B29" s="1">
        <v>1229468</v>
      </c>
      <c r="C29" s="1">
        <v>36315</v>
      </c>
      <c r="D29" s="1">
        <v>25477</v>
      </c>
      <c r="E29" s="2">
        <v>29.6</v>
      </c>
      <c r="F29" s="2">
        <v>20.7</v>
      </c>
      <c r="K29" s="2">
        <f t="shared" si="0"/>
        <v>29.53716566840292</v>
      </c>
      <c r="L29" s="2">
        <f t="shared" si="1"/>
        <v>20.721970803632139</v>
      </c>
      <c r="Q29" s="2">
        <f t="shared" si="2"/>
        <v>6.2834331597080961E-2</v>
      </c>
      <c r="R29" s="2">
        <f t="shared" si="3"/>
        <v>-2.197080363213999E-2</v>
      </c>
    </row>
    <row r="30" spans="1:18" x14ac:dyDescent="0.55000000000000004">
      <c r="A30" t="s">
        <v>29</v>
      </c>
      <c r="B30" s="1">
        <v>392738</v>
      </c>
      <c r="C30" s="1">
        <v>11838</v>
      </c>
      <c r="D30" s="1">
        <v>8161</v>
      </c>
      <c r="E30" s="2">
        <v>30.1</v>
      </c>
      <c r="F30" s="2">
        <v>20.8</v>
      </c>
      <c r="K30" s="2">
        <f t="shared" si="0"/>
        <v>30.142232226064195</v>
      </c>
      <c r="L30" s="2">
        <f t="shared" si="1"/>
        <v>20.779756478873956</v>
      </c>
      <c r="Q30" s="2">
        <f t="shared" si="2"/>
        <v>-4.2232226064193412E-2</v>
      </c>
      <c r="R30" s="2">
        <f t="shared" si="3"/>
        <v>2.0243521126044328E-2</v>
      </c>
    </row>
    <row r="31" spans="1:18" x14ac:dyDescent="0.55000000000000004">
      <c r="A31" s="10" t="s">
        <v>111</v>
      </c>
      <c r="B31" s="11">
        <v>10618585</v>
      </c>
      <c r="C31" s="11">
        <v>396239</v>
      </c>
      <c r="D31" s="11">
        <v>247395</v>
      </c>
      <c r="E31" s="12">
        <v>37.299999999999997</v>
      </c>
      <c r="F31" s="12">
        <v>23.3</v>
      </c>
      <c r="G31" s="10"/>
      <c r="H31" s="11">
        <f>SUM(B17:B30)</f>
        <v>10618585</v>
      </c>
      <c r="I31" s="11">
        <f>SUM(C17:C30)</f>
        <v>396239</v>
      </c>
      <c r="J31" s="11">
        <f>SUM(D17:D30)</f>
        <v>247395</v>
      </c>
      <c r="K31" s="12">
        <f t="shared" si="0"/>
        <v>37.315612202567479</v>
      </c>
      <c r="L31" s="12">
        <f t="shared" si="1"/>
        <v>23.298301986564123</v>
      </c>
      <c r="M31" s="10"/>
      <c r="N31" s="11">
        <f>B31-H31</f>
        <v>0</v>
      </c>
      <c r="O31" s="11">
        <f>C31-I31</f>
        <v>0</v>
      </c>
      <c r="P31" s="11">
        <f>D31-J31</f>
        <v>0</v>
      </c>
      <c r="Q31" s="12">
        <f t="shared" si="2"/>
        <v>-1.5612202567481859E-2</v>
      </c>
      <c r="R31" s="12">
        <f t="shared" si="3"/>
        <v>1.698013435877499E-3</v>
      </c>
    </row>
    <row r="32" spans="1:18" x14ac:dyDescent="0.55000000000000004">
      <c r="A32" t="s">
        <v>30</v>
      </c>
      <c r="B32" s="1">
        <v>1588329</v>
      </c>
      <c r="C32" s="1">
        <v>75610</v>
      </c>
      <c r="D32" s="1">
        <v>42333</v>
      </c>
      <c r="E32" s="2">
        <v>47.6</v>
      </c>
      <c r="F32" s="2">
        <v>26.6</v>
      </c>
      <c r="K32" s="2">
        <f t="shared" si="0"/>
        <v>47.603487690522556</v>
      </c>
      <c r="L32" s="2">
        <f t="shared" si="1"/>
        <v>26.652538611333043</v>
      </c>
      <c r="Q32" s="2">
        <f t="shared" si="2"/>
        <v>-3.4876905225544874E-3</v>
      </c>
      <c r="R32" s="2">
        <f t="shared" si="3"/>
        <v>-5.2538611333041274E-2</v>
      </c>
    </row>
    <row r="33" spans="1:18" x14ac:dyDescent="0.55000000000000004">
      <c r="A33" t="s">
        <v>31</v>
      </c>
      <c r="B33" s="1">
        <v>1403172</v>
      </c>
      <c r="C33" s="1">
        <v>73911</v>
      </c>
      <c r="D33" s="1">
        <v>58157</v>
      </c>
      <c r="E33" s="2">
        <v>52.4</v>
      </c>
      <c r="F33" s="2">
        <v>41.4</v>
      </c>
      <c r="K33" s="2">
        <f t="shared" si="0"/>
        <v>52.674226680692037</v>
      </c>
      <c r="L33" s="2">
        <f t="shared" si="1"/>
        <v>41.446807661498376</v>
      </c>
      <c r="Q33" s="2">
        <f t="shared" si="2"/>
        <v>-0.27422668069203837</v>
      </c>
      <c r="R33" s="2">
        <f t="shared" si="3"/>
        <v>-4.6807661498377229E-2</v>
      </c>
    </row>
    <row r="34" spans="1:18" x14ac:dyDescent="0.55000000000000004">
      <c r="A34" t="s">
        <v>32</v>
      </c>
      <c r="B34" s="1">
        <v>1239754</v>
      </c>
      <c r="C34" s="1">
        <v>57753</v>
      </c>
      <c r="D34" s="1">
        <v>38611</v>
      </c>
      <c r="E34" s="2">
        <v>46.6</v>
      </c>
      <c r="F34" s="2">
        <v>31.1</v>
      </c>
      <c r="K34" s="2">
        <f t="shared" si="0"/>
        <v>46.58424171246876</v>
      </c>
      <c r="L34" s="2">
        <f t="shared" si="1"/>
        <v>31.144081809778392</v>
      </c>
      <c r="Q34" s="2">
        <f t="shared" si="2"/>
        <v>1.5758287531241422E-2</v>
      </c>
      <c r="R34" s="2">
        <f t="shared" si="3"/>
        <v>-4.408180977839038E-2</v>
      </c>
    </row>
    <row r="35" spans="1:18" x14ac:dyDescent="0.55000000000000004">
      <c r="A35" t="s">
        <v>33</v>
      </c>
      <c r="B35" s="1">
        <v>2588933</v>
      </c>
      <c r="C35" s="1">
        <v>130763</v>
      </c>
      <c r="D35" s="1">
        <v>91682</v>
      </c>
      <c r="E35" s="2">
        <v>50.5</v>
      </c>
      <c r="F35" s="2">
        <v>35.4</v>
      </c>
      <c r="K35" s="2">
        <f t="shared" si="0"/>
        <v>50.508452710054684</v>
      </c>
      <c r="L35" s="2">
        <f t="shared" si="1"/>
        <v>35.413044679024139</v>
      </c>
      <c r="Q35" s="2">
        <f t="shared" si="2"/>
        <v>-8.4527100546836209E-3</v>
      </c>
      <c r="R35" s="2">
        <f t="shared" si="3"/>
        <v>-1.3044679024140748E-2</v>
      </c>
    </row>
    <row r="36" spans="1:18" x14ac:dyDescent="0.55000000000000004">
      <c r="A36" t="s">
        <v>34</v>
      </c>
      <c r="B36" s="1">
        <v>2914344</v>
      </c>
      <c r="C36" s="1">
        <v>147146</v>
      </c>
      <c r="D36" s="1">
        <v>114267</v>
      </c>
      <c r="E36" s="2">
        <v>50.5</v>
      </c>
      <c r="F36" s="2">
        <v>39.200000000000003</v>
      </c>
      <c r="K36" s="2">
        <f t="shared" si="0"/>
        <v>50.490264704509833</v>
      </c>
      <c r="L36" s="2">
        <f t="shared" si="1"/>
        <v>39.20848053627163</v>
      </c>
      <c r="Q36" s="2">
        <f t="shared" si="2"/>
        <v>9.7352954901666067E-3</v>
      </c>
      <c r="R36" s="2">
        <f t="shared" si="3"/>
        <v>-8.4805362716267041E-3</v>
      </c>
    </row>
    <row r="37" spans="1:18" x14ac:dyDescent="0.55000000000000004">
      <c r="A37" t="s">
        <v>35</v>
      </c>
      <c r="B37" s="1">
        <v>1874162</v>
      </c>
      <c r="C37" s="1">
        <v>97006</v>
      </c>
      <c r="D37" s="1">
        <v>60248</v>
      </c>
      <c r="E37" s="2">
        <v>51.8</v>
      </c>
      <c r="F37" s="2">
        <v>32.200000000000003</v>
      </c>
      <c r="K37" s="2">
        <f t="shared" si="0"/>
        <v>51.75966645359366</v>
      </c>
      <c r="L37" s="2">
        <f t="shared" si="1"/>
        <v>32.146634068986565</v>
      </c>
      <c r="Q37" s="2">
        <f t="shared" si="2"/>
        <v>4.0333546406337462E-2</v>
      </c>
      <c r="R37" s="2">
        <f t="shared" si="3"/>
        <v>5.3365931013438228E-2</v>
      </c>
    </row>
    <row r="38" spans="1:18" x14ac:dyDescent="0.55000000000000004">
      <c r="A38" t="s">
        <v>36</v>
      </c>
      <c r="B38" s="1">
        <v>2113954</v>
      </c>
      <c r="C38" s="1">
        <v>100888</v>
      </c>
      <c r="D38" s="1">
        <v>65920</v>
      </c>
      <c r="E38" s="2">
        <v>47.7</v>
      </c>
      <c r="F38" s="2">
        <v>31.2</v>
      </c>
      <c r="K38" s="2">
        <f t="shared" si="0"/>
        <v>47.724784929094959</v>
      </c>
      <c r="L38" s="2">
        <f t="shared" si="1"/>
        <v>31.183270780726545</v>
      </c>
      <c r="Q38" s="2">
        <f t="shared" si="2"/>
        <v>-2.4784929094955999E-2</v>
      </c>
      <c r="R38" s="2">
        <f t="shared" si="3"/>
        <v>1.6729219273454277E-2</v>
      </c>
    </row>
    <row r="39" spans="1:18" x14ac:dyDescent="0.55000000000000004">
      <c r="A39" t="s">
        <v>37</v>
      </c>
      <c r="B39" s="1">
        <v>1199882</v>
      </c>
      <c r="C39" s="1">
        <v>54478</v>
      </c>
      <c r="D39" s="1">
        <v>42026</v>
      </c>
      <c r="E39" s="2">
        <v>45.4</v>
      </c>
      <c r="F39" s="2">
        <v>35</v>
      </c>
      <c r="K39" s="2">
        <f t="shared" si="0"/>
        <v>45.402797941797608</v>
      </c>
      <c r="L39" s="2">
        <f t="shared" si="1"/>
        <v>35.025110802562253</v>
      </c>
      <c r="Q39" s="2">
        <f t="shared" si="2"/>
        <v>-2.7979417976098375E-3</v>
      </c>
      <c r="R39" s="2">
        <f t="shared" si="3"/>
        <v>-2.5110802562252843E-2</v>
      </c>
    </row>
    <row r="40" spans="1:18" x14ac:dyDescent="0.55000000000000004">
      <c r="A40" t="s">
        <v>38</v>
      </c>
      <c r="B40" s="1">
        <v>1354162</v>
      </c>
      <c r="C40" s="1">
        <v>62604</v>
      </c>
      <c r="D40" s="1">
        <v>44305</v>
      </c>
      <c r="E40" s="2">
        <v>46.2</v>
      </c>
      <c r="F40" s="2">
        <v>32.700000000000003</v>
      </c>
      <c r="K40" s="2">
        <f t="shared" si="0"/>
        <v>46.230805472314245</v>
      </c>
      <c r="L40" s="2">
        <f t="shared" si="1"/>
        <v>32.717651211598024</v>
      </c>
      <c r="Q40" s="2">
        <f t="shared" si="2"/>
        <v>-3.0805472314241911E-2</v>
      </c>
      <c r="R40" s="2">
        <f t="shared" si="3"/>
        <v>-1.7651211598021632E-2</v>
      </c>
    </row>
    <row r="41" spans="1:18" x14ac:dyDescent="0.55000000000000004">
      <c r="A41" t="s">
        <v>39</v>
      </c>
      <c r="B41" s="1">
        <v>2433374</v>
      </c>
      <c r="C41" s="1">
        <v>117522</v>
      </c>
      <c r="D41" s="1">
        <v>72432</v>
      </c>
      <c r="E41" s="2">
        <v>48.3</v>
      </c>
      <c r="F41" s="2">
        <v>29.8</v>
      </c>
      <c r="K41" s="2">
        <f t="shared" si="0"/>
        <v>48.295905191721452</v>
      </c>
      <c r="L41" s="2">
        <f t="shared" si="1"/>
        <v>29.766077881986082</v>
      </c>
      <c r="Q41" s="2">
        <f t="shared" si="2"/>
        <v>4.0948082785448037E-3</v>
      </c>
      <c r="R41" s="2">
        <f t="shared" si="3"/>
        <v>3.3922118013919089E-2</v>
      </c>
    </row>
    <row r="42" spans="1:18" x14ac:dyDescent="0.55000000000000004">
      <c r="A42" t="s">
        <v>40</v>
      </c>
      <c r="B42" s="1">
        <v>1457322</v>
      </c>
      <c r="C42" s="1">
        <v>65824</v>
      </c>
      <c r="D42" s="1">
        <v>57756</v>
      </c>
      <c r="E42" s="2">
        <v>45.2</v>
      </c>
      <c r="F42" s="2">
        <v>39.6</v>
      </c>
      <c r="K42" s="2">
        <f t="shared" si="0"/>
        <v>45.167780353278133</v>
      </c>
      <c r="L42" s="2">
        <f t="shared" si="1"/>
        <v>39.631598232923132</v>
      </c>
      <c r="Q42" s="2">
        <f t="shared" si="2"/>
        <v>3.2219646721870276E-2</v>
      </c>
      <c r="R42" s="2">
        <f t="shared" si="3"/>
        <v>-3.1598232923130354E-2</v>
      </c>
    </row>
    <row r="43" spans="1:18" x14ac:dyDescent="0.55000000000000004">
      <c r="A43" t="s">
        <v>41</v>
      </c>
      <c r="B43" s="1">
        <v>753469</v>
      </c>
      <c r="C43" s="1">
        <v>32330</v>
      </c>
      <c r="D43" s="1">
        <v>25650</v>
      </c>
      <c r="E43" s="2">
        <v>42.9</v>
      </c>
      <c r="F43" s="2">
        <v>34</v>
      </c>
      <c r="K43" s="2">
        <f t="shared" si="0"/>
        <v>42.908201930006413</v>
      </c>
      <c r="L43" s="2">
        <f t="shared" si="1"/>
        <v>34.042541896216036</v>
      </c>
      <c r="Q43" s="2">
        <f t="shared" si="2"/>
        <v>-8.2019300064146705E-3</v>
      </c>
      <c r="R43" s="2">
        <f t="shared" si="3"/>
        <v>-4.2541896216036434E-2</v>
      </c>
    </row>
    <row r="44" spans="1:18" x14ac:dyDescent="0.55000000000000004">
      <c r="A44" t="s">
        <v>42</v>
      </c>
      <c r="B44" s="1">
        <v>1513318</v>
      </c>
      <c r="C44" s="1">
        <v>82440</v>
      </c>
      <c r="D44" s="1">
        <v>64252</v>
      </c>
      <c r="E44" s="2">
        <v>54.5</v>
      </c>
      <c r="F44" s="2">
        <v>42.5</v>
      </c>
      <c r="K44" s="2">
        <f t="shared" si="0"/>
        <v>54.476322887853051</v>
      </c>
      <c r="L44" s="2">
        <f t="shared" si="1"/>
        <v>42.457698910605707</v>
      </c>
      <c r="Q44" s="2">
        <f t="shared" si="2"/>
        <v>2.3677112146948787E-2</v>
      </c>
      <c r="R44" s="2">
        <f t="shared" si="3"/>
        <v>4.2301089394293001E-2</v>
      </c>
    </row>
    <row r="45" spans="1:18" x14ac:dyDescent="0.55000000000000004">
      <c r="A45" t="s">
        <v>43</v>
      </c>
      <c r="B45" s="1">
        <v>1213058</v>
      </c>
      <c r="C45" s="1">
        <v>55116</v>
      </c>
      <c r="D45" s="1">
        <v>36728</v>
      </c>
      <c r="E45" s="2">
        <v>45.4</v>
      </c>
      <c r="F45" s="2">
        <v>30.3</v>
      </c>
      <c r="K45" s="2">
        <f t="shared" si="0"/>
        <v>45.435585108049246</v>
      </c>
      <c r="L45" s="2">
        <f t="shared" si="1"/>
        <v>30.277200265774596</v>
      </c>
      <c r="Q45" s="2">
        <f t="shared" si="2"/>
        <v>-3.5585108049247083E-2</v>
      </c>
      <c r="R45" s="2">
        <f t="shared" si="3"/>
        <v>2.2799734225404933E-2</v>
      </c>
    </row>
    <row r="46" spans="1:18" x14ac:dyDescent="0.55000000000000004">
      <c r="A46" t="s">
        <v>44</v>
      </c>
      <c r="B46" s="1">
        <v>341568</v>
      </c>
      <c r="C46" s="1">
        <v>17170</v>
      </c>
      <c r="D46" s="1">
        <v>10502</v>
      </c>
      <c r="E46" s="2">
        <v>50.2</v>
      </c>
      <c r="F46" s="2">
        <v>30.8</v>
      </c>
      <c r="K46" s="2">
        <f t="shared" si="0"/>
        <v>50.268175004684281</v>
      </c>
      <c r="L46" s="2">
        <f t="shared" si="1"/>
        <v>30.746439947536068</v>
      </c>
      <c r="Q46" s="2">
        <f t="shared" si="2"/>
        <v>-6.8175004684277951E-2</v>
      </c>
      <c r="R46" s="2">
        <f t="shared" si="3"/>
        <v>5.3560052463932806E-2</v>
      </c>
    </row>
    <row r="47" spans="1:18" x14ac:dyDescent="0.55000000000000004">
      <c r="A47" t="s">
        <v>45</v>
      </c>
      <c r="B47" s="1">
        <v>2021239</v>
      </c>
      <c r="C47" s="1">
        <v>102700</v>
      </c>
      <c r="D47" s="1">
        <v>68285</v>
      </c>
      <c r="E47" s="2">
        <v>50.8</v>
      </c>
      <c r="F47" s="2">
        <v>33.799999999999997</v>
      </c>
      <c r="K47" s="2">
        <f t="shared" si="0"/>
        <v>50.810418757999422</v>
      </c>
      <c r="L47" s="2">
        <f t="shared" si="1"/>
        <v>33.783733640603607</v>
      </c>
      <c r="Q47" s="2">
        <f t="shared" si="2"/>
        <v>-1.0418757999424599E-2</v>
      </c>
      <c r="R47" s="2">
        <f t="shared" si="3"/>
        <v>1.6266359396389873E-2</v>
      </c>
    </row>
    <row r="48" spans="1:18" x14ac:dyDescent="0.55000000000000004">
      <c r="A48" t="s">
        <v>46</v>
      </c>
      <c r="B48" s="1">
        <v>1522537</v>
      </c>
      <c r="C48" s="5">
        <v>78061</v>
      </c>
      <c r="D48" s="1">
        <v>55549</v>
      </c>
      <c r="E48" s="2">
        <v>51.7</v>
      </c>
      <c r="F48" s="2">
        <v>36.5</v>
      </c>
      <c r="K48" s="2">
        <f t="shared" si="0"/>
        <v>51.270346796169811</v>
      </c>
      <c r="L48" s="2">
        <f t="shared" si="1"/>
        <v>36.484499227276579</v>
      </c>
      <c r="Q48" s="2">
        <f t="shared" si="2"/>
        <v>0.4296532038301919</v>
      </c>
      <c r="R48" s="2">
        <f t="shared" si="3"/>
        <v>1.5500772723420653E-2</v>
      </c>
    </row>
    <row r="49" spans="1:18" x14ac:dyDescent="0.55000000000000004">
      <c r="A49" t="s">
        <v>47</v>
      </c>
      <c r="B49" s="1">
        <v>2713987</v>
      </c>
      <c r="C49" s="1">
        <v>151241</v>
      </c>
      <c r="D49" s="1">
        <v>121426</v>
      </c>
      <c r="E49" s="2">
        <v>55.7</v>
      </c>
      <c r="F49" s="2">
        <v>44.8</v>
      </c>
      <c r="K49" s="2">
        <f t="shared" si="0"/>
        <v>55.726501269165993</v>
      </c>
      <c r="L49" s="2">
        <f t="shared" si="1"/>
        <v>44.740818581666012</v>
      </c>
      <c r="Q49" s="2">
        <f t="shared" si="2"/>
        <v>-2.6501269165990493E-2</v>
      </c>
      <c r="R49" s="2">
        <f t="shared" si="3"/>
        <v>5.9181418333984936E-2</v>
      </c>
    </row>
    <row r="50" spans="1:18" x14ac:dyDescent="0.55000000000000004">
      <c r="A50" t="s">
        <v>48</v>
      </c>
      <c r="B50" s="1">
        <v>2794739</v>
      </c>
      <c r="C50" s="1">
        <v>121389</v>
      </c>
      <c r="D50" s="1">
        <v>75794</v>
      </c>
      <c r="E50" s="2">
        <v>43.5</v>
      </c>
      <c r="F50" s="2">
        <v>27.1</v>
      </c>
      <c r="K50" s="2">
        <f t="shared" si="0"/>
        <v>43.434825219814805</v>
      </c>
      <c r="L50" s="2">
        <f t="shared" si="1"/>
        <v>27.12024271318359</v>
      </c>
      <c r="Q50" s="2">
        <f t="shared" si="2"/>
        <v>6.5174780185195402E-2</v>
      </c>
      <c r="R50" s="2">
        <f t="shared" si="3"/>
        <v>-2.0242713183588279E-2</v>
      </c>
    </row>
    <row r="51" spans="1:18" x14ac:dyDescent="0.55000000000000004">
      <c r="A51" t="s">
        <v>49</v>
      </c>
      <c r="B51" s="1">
        <v>965355</v>
      </c>
      <c r="C51" s="1">
        <v>46610</v>
      </c>
      <c r="D51" s="1">
        <v>35491</v>
      </c>
      <c r="E51" s="2">
        <v>48.3</v>
      </c>
      <c r="F51" s="2">
        <v>36.799999999999997</v>
      </c>
      <c r="K51" s="2">
        <f t="shared" si="0"/>
        <v>48.282756084549206</v>
      </c>
      <c r="L51" s="2">
        <f t="shared" si="1"/>
        <v>36.764713499179059</v>
      </c>
      <c r="Q51" s="2">
        <f t="shared" si="2"/>
        <v>1.7243915450791292E-2</v>
      </c>
      <c r="R51" s="2">
        <f t="shared" si="3"/>
        <v>3.5286500820937761E-2</v>
      </c>
    </row>
    <row r="52" spans="1:18" x14ac:dyDescent="0.55000000000000004">
      <c r="A52" t="s">
        <v>50</v>
      </c>
      <c r="B52" s="1">
        <v>1843345</v>
      </c>
      <c r="C52" s="1">
        <v>90106</v>
      </c>
      <c r="D52" s="1">
        <v>57575</v>
      </c>
      <c r="E52" s="2">
        <v>48.9</v>
      </c>
      <c r="F52" s="2">
        <v>31.2</v>
      </c>
      <c r="K52" s="2">
        <f t="shared" si="0"/>
        <v>48.881788270779481</v>
      </c>
      <c r="L52" s="2">
        <f t="shared" si="1"/>
        <v>31.233979531775116</v>
      </c>
      <c r="Q52" s="2">
        <f t="shared" si="2"/>
        <v>1.8211729220517725E-2</v>
      </c>
      <c r="R52" s="2">
        <f t="shared" si="3"/>
        <v>-3.3979531775116811E-2</v>
      </c>
    </row>
    <row r="53" spans="1:18" x14ac:dyDescent="0.55000000000000004">
      <c r="A53" t="s">
        <v>51</v>
      </c>
      <c r="B53" s="1">
        <v>2517808</v>
      </c>
      <c r="C53" s="1">
        <v>149330</v>
      </c>
      <c r="D53" s="1">
        <v>95374</v>
      </c>
      <c r="E53" s="2">
        <v>59.3</v>
      </c>
      <c r="F53" s="2">
        <v>37.9</v>
      </c>
      <c r="K53" s="2">
        <f t="shared" si="0"/>
        <v>59.309526381678033</v>
      </c>
      <c r="L53" s="2">
        <f t="shared" si="1"/>
        <v>37.879774788228488</v>
      </c>
      <c r="Q53" s="2">
        <f t="shared" si="2"/>
        <v>-9.5263816780359889E-3</v>
      </c>
      <c r="R53" s="2">
        <f t="shared" si="3"/>
        <v>2.0225211771510487E-2</v>
      </c>
    </row>
    <row r="54" spans="1:18" x14ac:dyDescent="0.55000000000000004">
      <c r="A54" t="s">
        <v>52</v>
      </c>
      <c r="B54" s="1">
        <v>818970</v>
      </c>
      <c r="C54" s="1">
        <v>32196</v>
      </c>
      <c r="D54" s="1">
        <v>27037</v>
      </c>
      <c r="E54" s="2">
        <v>39.299999999999997</v>
      </c>
      <c r="F54" s="2">
        <v>33</v>
      </c>
      <c r="K54" s="2">
        <f t="shared" si="0"/>
        <v>39.312795340488663</v>
      </c>
      <c r="L54" s="2">
        <f t="shared" si="1"/>
        <v>33.013419294968074</v>
      </c>
      <c r="Q54" s="2">
        <f t="shared" si="2"/>
        <v>-1.2795340488665374E-2</v>
      </c>
      <c r="R54" s="2">
        <f t="shared" si="3"/>
        <v>-1.3419294968073814E-2</v>
      </c>
    </row>
    <row r="55" spans="1:18" x14ac:dyDescent="0.55000000000000004">
      <c r="A55" t="s">
        <v>53</v>
      </c>
      <c r="B55" s="1">
        <v>861303</v>
      </c>
      <c r="C55" s="1">
        <v>28237</v>
      </c>
      <c r="D55" s="1">
        <v>23613</v>
      </c>
      <c r="E55" s="2">
        <v>32.799999999999997</v>
      </c>
      <c r="F55" s="2">
        <v>27.4</v>
      </c>
      <c r="K55" s="2">
        <f t="shared" si="0"/>
        <v>32.784049283469351</v>
      </c>
      <c r="L55" s="2">
        <f t="shared" si="1"/>
        <v>27.415439166007779</v>
      </c>
      <c r="Q55" s="2">
        <f t="shared" si="2"/>
        <v>1.5950716530646503E-2</v>
      </c>
      <c r="R55" s="2">
        <f t="shared" si="3"/>
        <v>-1.5439166007780614E-2</v>
      </c>
    </row>
    <row r="56" spans="1:18" x14ac:dyDescent="0.55000000000000004">
      <c r="A56" t="s">
        <v>54</v>
      </c>
      <c r="B56" s="1">
        <v>2311220</v>
      </c>
      <c r="C56" s="1">
        <v>122225</v>
      </c>
      <c r="D56" s="1">
        <v>77587</v>
      </c>
      <c r="E56" s="2">
        <v>50.9</v>
      </c>
      <c r="F56" s="2">
        <v>33.6</v>
      </c>
      <c r="K56" s="2">
        <f t="shared" si="0"/>
        <v>52.883325689462708</v>
      </c>
      <c r="L56" s="2">
        <f t="shared" si="1"/>
        <v>33.569716426822197</v>
      </c>
      <c r="Q56" s="2">
        <f t="shared" si="2"/>
        <v>-1.9833256894627098</v>
      </c>
      <c r="R56" s="2">
        <f t="shared" si="3"/>
        <v>3.0283573177804612E-2</v>
      </c>
    </row>
    <row r="57" spans="1:18" x14ac:dyDescent="0.55000000000000004">
      <c r="A57" t="s">
        <v>55</v>
      </c>
      <c r="B57" s="1">
        <v>1579847</v>
      </c>
      <c r="C57" s="1">
        <v>78238</v>
      </c>
      <c r="D57" s="1">
        <v>49530</v>
      </c>
      <c r="E57" s="2">
        <v>49.6</v>
      </c>
      <c r="F57" s="2">
        <v>31.3</v>
      </c>
      <c r="K57" s="2">
        <f t="shared" si="0"/>
        <v>49.522517053866608</v>
      </c>
      <c r="L57" s="2">
        <f t="shared" si="1"/>
        <v>31.3511371670801</v>
      </c>
      <c r="Q57" s="2">
        <f t="shared" si="2"/>
        <v>7.7482946133393682E-2</v>
      </c>
      <c r="R57" s="2">
        <f t="shared" si="3"/>
        <v>-5.1137167080099744E-2</v>
      </c>
    </row>
    <row r="58" spans="1:18" x14ac:dyDescent="0.55000000000000004">
      <c r="A58" t="s">
        <v>56</v>
      </c>
      <c r="B58" s="1">
        <v>1339444</v>
      </c>
      <c r="C58" s="1">
        <v>69624</v>
      </c>
      <c r="D58" s="1">
        <v>52114</v>
      </c>
      <c r="E58" s="2">
        <v>52</v>
      </c>
      <c r="F58" s="2">
        <v>38.9</v>
      </c>
      <c r="K58" s="2">
        <f t="shared" si="0"/>
        <v>51.979776683459704</v>
      </c>
      <c r="L58" s="2">
        <f t="shared" si="1"/>
        <v>38.907188355765527</v>
      </c>
      <c r="Q58" s="2">
        <f t="shared" si="2"/>
        <v>2.0223316540295855E-2</v>
      </c>
      <c r="R58" s="2">
        <f t="shared" si="3"/>
        <v>-7.1883557655283425E-3</v>
      </c>
    </row>
    <row r="59" spans="1:18" x14ac:dyDescent="0.55000000000000004">
      <c r="A59" t="s">
        <v>57</v>
      </c>
      <c r="B59" s="1">
        <v>1096670</v>
      </c>
      <c r="C59" s="1">
        <v>53187</v>
      </c>
      <c r="D59" s="1">
        <v>33825</v>
      </c>
      <c r="E59" s="2">
        <v>48.5</v>
      </c>
      <c r="F59" s="2">
        <v>30.8</v>
      </c>
      <c r="K59" s="2">
        <f t="shared" si="0"/>
        <v>48.49863678225902</v>
      </c>
      <c r="L59" s="2">
        <f t="shared" si="1"/>
        <v>30.843371296743779</v>
      </c>
      <c r="Q59" s="2">
        <f t="shared" si="2"/>
        <v>1.3632177409803603E-3</v>
      </c>
      <c r="R59" s="2">
        <f t="shared" si="3"/>
        <v>-4.3371296743778487E-2</v>
      </c>
    </row>
    <row r="60" spans="1:18" x14ac:dyDescent="0.55000000000000004">
      <c r="A60" t="s">
        <v>58</v>
      </c>
      <c r="B60" s="1">
        <v>2730145</v>
      </c>
      <c r="C60" s="1">
        <v>137464</v>
      </c>
      <c r="D60" s="1">
        <v>81472</v>
      </c>
      <c r="E60" s="2">
        <v>50.4</v>
      </c>
      <c r="F60" s="2">
        <v>29.9</v>
      </c>
      <c r="K60" s="2">
        <f t="shared" si="0"/>
        <v>50.350439262383503</v>
      </c>
      <c r="L60" s="2">
        <f t="shared" si="1"/>
        <v>29.841638447774752</v>
      </c>
      <c r="Q60" s="2">
        <f t="shared" si="2"/>
        <v>4.9560737616495487E-2</v>
      </c>
      <c r="R60" s="2">
        <f t="shared" si="3"/>
        <v>5.8361552225246527E-2</v>
      </c>
    </row>
    <row r="61" spans="1:18" x14ac:dyDescent="0.55000000000000004">
      <c r="A61" t="s">
        <v>59</v>
      </c>
      <c r="B61" s="1">
        <v>1781861</v>
      </c>
      <c r="C61" s="1">
        <v>81758</v>
      </c>
      <c r="D61" s="1">
        <v>56822</v>
      </c>
      <c r="E61" s="2">
        <v>45.9</v>
      </c>
      <c r="F61" s="2">
        <v>31.9</v>
      </c>
      <c r="K61" s="2">
        <f t="shared" si="0"/>
        <v>45.883489228396606</v>
      </c>
      <c r="L61" s="2">
        <f t="shared" si="1"/>
        <v>31.889131643826314</v>
      </c>
      <c r="Q61" s="2">
        <f t="shared" si="2"/>
        <v>1.6510771603392982E-2</v>
      </c>
      <c r="R61" s="2">
        <f t="shared" si="3"/>
        <v>1.0868356173684646E-2</v>
      </c>
    </row>
    <row r="62" spans="1:18" x14ac:dyDescent="0.55000000000000004">
      <c r="A62" t="s">
        <v>60</v>
      </c>
      <c r="B62" s="1">
        <v>1445600</v>
      </c>
      <c r="C62" s="1">
        <v>73483</v>
      </c>
      <c r="D62" s="1">
        <v>50229</v>
      </c>
      <c r="E62" s="2">
        <v>50.8</v>
      </c>
      <c r="F62" s="2">
        <v>34.700000000000003</v>
      </c>
      <c r="K62" s="2">
        <f t="shared" si="0"/>
        <v>50.832180409518543</v>
      </c>
      <c r="L62" s="2">
        <f t="shared" si="1"/>
        <v>34.74612617598229</v>
      </c>
      <c r="Q62" s="2">
        <f t="shared" si="2"/>
        <v>-3.2180409518545616E-2</v>
      </c>
      <c r="R62" s="2">
        <f t="shared" si="3"/>
        <v>-4.6126175982287521E-2</v>
      </c>
    </row>
    <row r="63" spans="1:18" x14ac:dyDescent="0.55000000000000004">
      <c r="A63" t="s">
        <v>61</v>
      </c>
      <c r="B63" s="1">
        <v>1942491</v>
      </c>
      <c r="C63" s="1">
        <v>88719</v>
      </c>
      <c r="D63" s="1">
        <v>64553</v>
      </c>
      <c r="E63" s="2">
        <v>45.7</v>
      </c>
      <c r="F63" s="2">
        <v>33.200000000000003</v>
      </c>
      <c r="K63" s="2">
        <f t="shared" si="0"/>
        <v>45.672798484008418</v>
      </c>
      <c r="L63" s="2">
        <f t="shared" si="1"/>
        <v>33.232071602905755</v>
      </c>
      <c r="Q63" s="2">
        <f t="shared" si="2"/>
        <v>2.7201515991585268E-2</v>
      </c>
      <c r="R63" s="2">
        <f t="shared" si="3"/>
        <v>-3.2071602905752172E-2</v>
      </c>
    </row>
    <row r="64" spans="1:18" x14ac:dyDescent="0.55000000000000004">
      <c r="A64" t="s">
        <v>62</v>
      </c>
      <c r="B64" s="1">
        <v>2322039</v>
      </c>
      <c r="C64" s="1">
        <v>106998</v>
      </c>
      <c r="D64" s="1">
        <v>84861</v>
      </c>
      <c r="E64" s="2">
        <v>46</v>
      </c>
      <c r="F64" s="2">
        <v>36.5</v>
      </c>
      <c r="K64" s="2">
        <f t="shared" si="0"/>
        <v>46.079329416947779</v>
      </c>
      <c r="L64" s="2">
        <f t="shared" si="1"/>
        <v>36.545897807917953</v>
      </c>
      <c r="Q64" s="2">
        <f t="shared" si="2"/>
        <v>-7.9329416947778952E-2</v>
      </c>
      <c r="R64" s="2">
        <f t="shared" si="3"/>
        <v>-4.589780791795306E-2</v>
      </c>
    </row>
    <row r="65" spans="1:18" x14ac:dyDescent="0.55000000000000004">
      <c r="A65" t="s">
        <v>63</v>
      </c>
      <c r="B65" s="1">
        <v>1763374</v>
      </c>
      <c r="C65" s="1">
        <v>90146</v>
      </c>
      <c r="D65" s="1">
        <v>55372</v>
      </c>
      <c r="E65" s="2">
        <v>51.1</v>
      </c>
      <c r="F65" s="2">
        <v>31.4</v>
      </c>
      <c r="K65" s="2">
        <f t="shared" si="0"/>
        <v>51.121316294784883</v>
      </c>
      <c r="L65" s="2">
        <f t="shared" si="1"/>
        <v>31.401166173483332</v>
      </c>
      <c r="Q65" s="2">
        <f t="shared" si="2"/>
        <v>-2.1316294784881507E-2</v>
      </c>
      <c r="R65" s="2">
        <f t="shared" si="3"/>
        <v>-1.166173483333921E-3</v>
      </c>
    </row>
    <row r="66" spans="1:18" x14ac:dyDescent="0.55000000000000004">
      <c r="A66" t="s">
        <v>64</v>
      </c>
      <c r="B66" s="1">
        <v>80000</v>
      </c>
      <c r="C66" s="1">
        <v>3261</v>
      </c>
      <c r="D66" s="1">
        <v>2780</v>
      </c>
      <c r="E66" s="2">
        <v>40.799999999999997</v>
      </c>
      <c r="F66" s="2">
        <v>34.799999999999997</v>
      </c>
      <c r="K66" s="2">
        <f t="shared" si="0"/>
        <v>40.762500000000003</v>
      </c>
      <c r="L66" s="2">
        <f t="shared" si="1"/>
        <v>34.75</v>
      </c>
      <c r="Q66" s="2">
        <f t="shared" si="2"/>
        <v>3.7499999999994316E-2</v>
      </c>
      <c r="R66" s="2">
        <f t="shared" si="3"/>
        <v>4.9999999999997158E-2</v>
      </c>
    </row>
    <row r="67" spans="1:18" x14ac:dyDescent="0.55000000000000004">
      <c r="A67" t="s">
        <v>65</v>
      </c>
      <c r="B67" s="1">
        <v>284220</v>
      </c>
      <c r="C67" s="1">
        <v>10331</v>
      </c>
      <c r="D67" s="1">
        <v>7270</v>
      </c>
      <c r="E67" s="2">
        <v>36.5</v>
      </c>
      <c r="F67" s="2">
        <v>25.6</v>
      </c>
      <c r="K67" s="2">
        <f t="shared" si="0"/>
        <v>36.348603194708325</v>
      </c>
      <c r="L67" s="2">
        <f t="shared" si="1"/>
        <v>25.578777003729506</v>
      </c>
      <c r="Q67" s="2">
        <f t="shared" si="2"/>
        <v>0.15139680529167521</v>
      </c>
      <c r="R67" s="2">
        <f t="shared" si="3"/>
        <v>2.1222996270495287E-2</v>
      </c>
    </row>
    <row r="68" spans="1:18" x14ac:dyDescent="0.55000000000000004">
      <c r="A68" t="s">
        <v>66</v>
      </c>
      <c r="B68" s="1">
        <v>2109983</v>
      </c>
      <c r="C68" s="1">
        <v>103038</v>
      </c>
      <c r="D68" s="1">
        <v>68107</v>
      </c>
      <c r="E68" s="2">
        <v>48.8</v>
      </c>
      <c r="F68" s="2">
        <v>32.299999999999997</v>
      </c>
      <c r="K68" s="2">
        <f t="shared" si="0"/>
        <v>48.833568801265223</v>
      </c>
      <c r="L68" s="2">
        <f t="shared" si="1"/>
        <v>32.278459115547378</v>
      </c>
      <c r="Q68" s="2">
        <f t="shared" si="2"/>
        <v>-3.3568801265225545E-2</v>
      </c>
      <c r="R68" s="2">
        <f t="shared" si="3"/>
        <v>2.154088445261948E-2</v>
      </c>
    </row>
    <row r="69" spans="1:18" x14ac:dyDescent="0.55000000000000004">
      <c r="A69" t="s">
        <v>67</v>
      </c>
      <c r="B69" s="1">
        <v>1126891</v>
      </c>
      <c r="C69" s="1">
        <v>44760</v>
      </c>
      <c r="D69" s="1">
        <v>32972</v>
      </c>
      <c r="E69" s="2">
        <v>39.700000000000003</v>
      </c>
      <c r="F69" s="2">
        <v>29.2</v>
      </c>
      <c r="K69" s="2">
        <f t="shared" ref="K69:K104" si="4">C69/B69*1000</f>
        <v>39.719901924853424</v>
      </c>
      <c r="L69" s="2">
        <f t="shared" ref="L69:L104" si="5">D69/B69*1000</f>
        <v>29.259262874581481</v>
      </c>
      <c r="Q69" s="2">
        <f t="shared" ref="Q69:Q104" si="6">E69-K69</f>
        <v>-1.9901924853421349E-2</v>
      </c>
      <c r="R69" s="2">
        <f t="shared" ref="R69:R104" si="7">F69-L69</f>
        <v>-5.9262874581481384E-2</v>
      </c>
    </row>
    <row r="70" spans="1:18" x14ac:dyDescent="0.55000000000000004">
      <c r="A70" s="10" t="s">
        <v>97</v>
      </c>
      <c r="B70" s="11">
        <v>61961869</v>
      </c>
      <c r="C70" s="11">
        <v>3034463</v>
      </c>
      <c r="D70" s="11">
        <v>2102507</v>
      </c>
      <c r="E70" s="12">
        <v>48.9</v>
      </c>
      <c r="F70" s="12">
        <v>33.9</v>
      </c>
      <c r="G70" s="10"/>
      <c r="H70" s="11">
        <f>SUM(B32:B69)</f>
        <v>61961869</v>
      </c>
      <c r="I70" s="11">
        <f>SUM(C32:C69)</f>
        <v>3033663</v>
      </c>
      <c r="J70" s="11">
        <f>SUM(D32:D69)</f>
        <v>2102507</v>
      </c>
      <c r="K70" s="12">
        <f t="shared" si="4"/>
        <v>48.973070841358897</v>
      </c>
      <c r="L70" s="12">
        <f t="shared" si="5"/>
        <v>33.932272120455245</v>
      </c>
      <c r="M70" s="10"/>
      <c r="N70" s="11">
        <f t="shared" ref="N70:P72" si="8">B70-H70</f>
        <v>0</v>
      </c>
      <c r="O70" s="11">
        <f t="shared" si="8"/>
        <v>800</v>
      </c>
      <c r="P70" s="11">
        <f t="shared" si="8"/>
        <v>0</v>
      </c>
      <c r="Q70" s="12">
        <f t="shared" si="6"/>
        <v>-7.307084135889852E-2</v>
      </c>
      <c r="R70" s="12">
        <f t="shared" si="7"/>
        <v>-3.2272120455246522E-2</v>
      </c>
    </row>
    <row r="71" spans="1:18" x14ac:dyDescent="0.55000000000000004">
      <c r="A71" t="s">
        <v>68</v>
      </c>
      <c r="B71" s="1">
        <v>1613363</v>
      </c>
      <c r="C71" s="1">
        <v>82284</v>
      </c>
      <c r="D71" s="1">
        <v>65311</v>
      </c>
      <c r="E71" s="2">
        <v>51</v>
      </c>
      <c r="F71" s="2">
        <v>40.5</v>
      </c>
      <c r="H71" s="1">
        <v>1613363</v>
      </c>
      <c r="I71" s="1">
        <f>C71</f>
        <v>82284</v>
      </c>
      <c r="J71" s="1">
        <f>D71</f>
        <v>65311</v>
      </c>
      <c r="K71" s="2">
        <f t="shared" si="4"/>
        <v>51.001541500579847</v>
      </c>
      <c r="L71" s="2">
        <f t="shared" si="5"/>
        <v>40.481280406207411</v>
      </c>
      <c r="N71" s="1">
        <f t="shared" si="8"/>
        <v>0</v>
      </c>
      <c r="O71" s="1">
        <f t="shared" si="8"/>
        <v>0</v>
      </c>
      <c r="P71" s="1">
        <f t="shared" si="8"/>
        <v>0</v>
      </c>
      <c r="Q71" s="2">
        <f t="shared" si="6"/>
        <v>-1.5415005798473658E-3</v>
      </c>
      <c r="R71" s="2">
        <f t="shared" si="7"/>
        <v>1.8719593792589251E-2</v>
      </c>
    </row>
    <row r="72" spans="1:18" x14ac:dyDescent="0.55000000000000004">
      <c r="A72" t="s">
        <v>69</v>
      </c>
      <c r="B72" s="1">
        <v>92822470</v>
      </c>
      <c r="C72" s="1">
        <v>4370998</v>
      </c>
      <c r="D72" s="1">
        <v>2943134</v>
      </c>
      <c r="E72" s="2">
        <v>47.4</v>
      </c>
      <c r="F72" s="2">
        <v>31.8</v>
      </c>
      <c r="H72" s="1">
        <f>SUM(H16:H71)</f>
        <v>92822470</v>
      </c>
      <c r="I72" s="1">
        <f t="shared" ref="I72:J72" si="9">SUM(I16:I71)</f>
        <v>4370198</v>
      </c>
      <c r="J72" s="1">
        <f t="shared" si="9"/>
        <v>2943134</v>
      </c>
      <c r="K72" s="2">
        <f t="shared" si="4"/>
        <v>47.089869511121613</v>
      </c>
      <c r="L72" s="2">
        <f t="shared" si="5"/>
        <v>31.707128672615582</v>
      </c>
      <c r="N72" s="1">
        <f t="shared" si="8"/>
        <v>0</v>
      </c>
      <c r="O72" s="1">
        <f t="shared" si="8"/>
        <v>800</v>
      </c>
      <c r="P72" s="1">
        <f t="shared" si="8"/>
        <v>0</v>
      </c>
      <c r="Q72" s="2">
        <f t="shared" si="6"/>
        <v>0.31013048887838579</v>
      </c>
      <c r="R72" s="2">
        <f t="shared" si="7"/>
        <v>9.2871327384418834E-2</v>
      </c>
    </row>
    <row r="73" spans="1:18" x14ac:dyDescent="0.55000000000000004">
      <c r="A73" t="s">
        <v>70</v>
      </c>
      <c r="B73" s="1">
        <v>744930</v>
      </c>
      <c r="C73" s="1">
        <v>17399</v>
      </c>
      <c r="D73" s="1">
        <v>11940</v>
      </c>
      <c r="E73" s="2">
        <v>23.4</v>
      </c>
      <c r="F73" s="2">
        <v>16</v>
      </c>
      <c r="K73" s="2">
        <f t="shared" si="4"/>
        <v>23.356556991932127</v>
      </c>
      <c r="L73" s="2">
        <f t="shared" si="5"/>
        <v>16.028351657202691</v>
      </c>
      <c r="Q73" s="2">
        <f t="shared" si="6"/>
        <v>4.3443008067871602E-2</v>
      </c>
      <c r="R73" s="2">
        <f t="shared" si="7"/>
        <v>-2.8351657202691172E-2</v>
      </c>
    </row>
    <row r="74" spans="1:18" x14ac:dyDescent="0.55000000000000004">
      <c r="A74" t="s">
        <v>71</v>
      </c>
      <c r="B74" s="1">
        <v>597356</v>
      </c>
      <c r="C74" s="1">
        <v>13270</v>
      </c>
      <c r="D74" s="1">
        <v>10799</v>
      </c>
      <c r="E74" s="2">
        <v>22.2</v>
      </c>
      <c r="F74" s="2">
        <v>18.100000000000001</v>
      </c>
      <c r="K74" s="2">
        <f t="shared" si="4"/>
        <v>22.214558822544682</v>
      </c>
      <c r="L74" s="2">
        <f t="shared" si="5"/>
        <v>18.077997040290882</v>
      </c>
      <c r="Q74" s="2">
        <f t="shared" si="6"/>
        <v>-1.4558822544682215E-2</v>
      </c>
      <c r="R74" s="2">
        <f t="shared" si="7"/>
        <v>2.2002959709119807E-2</v>
      </c>
    </row>
    <row r="75" spans="1:18" x14ac:dyDescent="0.55000000000000004">
      <c r="A75" t="s">
        <v>139</v>
      </c>
      <c r="B75" s="1">
        <v>753395</v>
      </c>
      <c r="C75" s="1">
        <v>19453</v>
      </c>
      <c r="D75" s="1">
        <v>11949</v>
      </c>
      <c r="E75" s="2">
        <v>25.8</v>
      </c>
      <c r="F75" s="2">
        <v>15.9</v>
      </c>
      <c r="K75" s="2">
        <f t="shared" si="4"/>
        <v>25.82045275054918</v>
      </c>
      <c r="L75" s="2">
        <f t="shared" si="5"/>
        <v>15.860206133568713</v>
      </c>
      <c r="Q75" s="2">
        <f t="shared" si="6"/>
        <v>-2.0452750549178944E-2</v>
      </c>
      <c r="R75" s="2">
        <f t="shared" si="7"/>
        <v>3.9793866431287128E-2</v>
      </c>
    </row>
    <row r="76" spans="1:18" x14ac:dyDescent="0.55000000000000004">
      <c r="A76" t="s">
        <v>72</v>
      </c>
      <c r="B76" s="1">
        <v>237114</v>
      </c>
      <c r="C76" s="3" t="s">
        <v>99</v>
      </c>
      <c r="D76" s="3" t="s">
        <v>99</v>
      </c>
      <c r="E76" s="3" t="s">
        <v>99</v>
      </c>
      <c r="F76" s="3" t="s">
        <v>99</v>
      </c>
      <c r="Q76" s="2"/>
      <c r="R76" s="2"/>
    </row>
    <row r="77" spans="1:18" x14ac:dyDescent="0.55000000000000004">
      <c r="A77" t="s">
        <v>73</v>
      </c>
      <c r="B77" s="1">
        <v>1286622</v>
      </c>
      <c r="C77" s="1">
        <v>81226</v>
      </c>
      <c r="D77" s="1">
        <v>55356</v>
      </c>
      <c r="E77" s="2">
        <v>63.1</v>
      </c>
      <c r="F77" s="2">
        <v>43</v>
      </c>
      <c r="K77" s="2">
        <f t="shared" si="4"/>
        <v>63.131207145533025</v>
      </c>
      <c r="L77" s="2">
        <f t="shared" si="5"/>
        <v>43.024291516855769</v>
      </c>
      <c r="Q77" s="2">
        <f t="shared" si="6"/>
        <v>-3.1207145533024061E-2</v>
      </c>
      <c r="R77" s="2">
        <f t="shared" si="7"/>
        <v>-2.4291516855768691E-2</v>
      </c>
    </row>
    <row r="78" spans="1:18" x14ac:dyDescent="0.55000000000000004">
      <c r="A78" t="s">
        <v>74</v>
      </c>
      <c r="B78" s="1">
        <v>955000</v>
      </c>
      <c r="C78" s="1">
        <v>24147</v>
      </c>
      <c r="D78" s="1">
        <v>9673</v>
      </c>
      <c r="E78" s="3">
        <v>25.3</v>
      </c>
      <c r="F78" s="3" t="s">
        <v>99</v>
      </c>
      <c r="K78" s="2">
        <f t="shared" si="4"/>
        <v>25.284816753926702</v>
      </c>
      <c r="L78" s="2">
        <f t="shared" si="5"/>
        <v>10.128795811518325</v>
      </c>
      <c r="Q78" s="2">
        <f t="shared" si="6"/>
        <v>1.5183246073299017E-2</v>
      </c>
      <c r="R78" s="2"/>
    </row>
    <row r="79" spans="1:18" x14ac:dyDescent="0.55000000000000004">
      <c r="A79" t="s">
        <v>75</v>
      </c>
      <c r="B79" s="1">
        <v>667511</v>
      </c>
      <c r="C79" s="1">
        <v>38137</v>
      </c>
      <c r="D79" s="1">
        <v>28726</v>
      </c>
      <c r="E79" s="2">
        <v>57.1</v>
      </c>
      <c r="F79" s="2">
        <v>43</v>
      </c>
      <c r="K79" s="2">
        <f t="shared" si="4"/>
        <v>57.133140877079178</v>
      </c>
      <c r="L79" s="2">
        <f t="shared" si="5"/>
        <v>43.034496809790397</v>
      </c>
      <c r="Q79" s="2">
        <f t="shared" si="6"/>
        <v>-3.3140877079176789E-2</v>
      </c>
      <c r="R79" s="2">
        <f t="shared" si="7"/>
        <v>-3.4496809790397265E-2</v>
      </c>
    </row>
    <row r="80" spans="1:18" x14ac:dyDescent="0.55000000000000004">
      <c r="A80" t="s">
        <v>76</v>
      </c>
      <c r="B80" s="1">
        <v>699875</v>
      </c>
      <c r="C80" s="1">
        <v>23781</v>
      </c>
      <c r="D80" s="1">
        <v>16400</v>
      </c>
      <c r="E80" s="2">
        <v>34.1</v>
      </c>
      <c r="F80" s="2">
        <v>23.5</v>
      </c>
      <c r="K80" s="2">
        <f t="shared" si="4"/>
        <v>33.97892480800143</v>
      </c>
      <c r="L80" s="2">
        <f t="shared" si="5"/>
        <v>23.432755849258793</v>
      </c>
      <c r="Q80" s="2">
        <f t="shared" si="6"/>
        <v>0.12107519199857109</v>
      </c>
      <c r="R80" s="2">
        <f t="shared" si="7"/>
        <v>6.724415074120671E-2</v>
      </c>
    </row>
    <row r="81" spans="1:18" x14ac:dyDescent="0.55000000000000004">
      <c r="A81" t="s">
        <v>77</v>
      </c>
      <c r="B81" s="1">
        <v>819264</v>
      </c>
      <c r="C81" s="1">
        <v>29829</v>
      </c>
      <c r="D81" s="1">
        <v>15884</v>
      </c>
      <c r="E81" s="2">
        <v>36.4</v>
      </c>
      <c r="F81" s="2">
        <v>19.399999999999999</v>
      </c>
      <c r="K81" s="2">
        <f t="shared" si="4"/>
        <v>36.4095090227326</v>
      </c>
      <c r="L81" s="2">
        <f t="shared" si="5"/>
        <v>19.388133739551598</v>
      </c>
      <c r="Q81" s="2">
        <f t="shared" si="6"/>
        <v>-9.5090227326011245E-3</v>
      </c>
      <c r="R81" s="2">
        <f t="shared" si="7"/>
        <v>1.1866260448400112E-2</v>
      </c>
    </row>
    <row r="82" spans="1:18" x14ac:dyDescent="0.55000000000000004">
      <c r="A82" t="s">
        <v>78</v>
      </c>
      <c r="B82" s="1">
        <v>677491</v>
      </c>
      <c r="C82" s="1">
        <v>21008</v>
      </c>
      <c r="D82" s="1">
        <v>10981</v>
      </c>
      <c r="E82" s="2">
        <v>31</v>
      </c>
      <c r="F82" s="2">
        <v>16.2</v>
      </c>
      <c r="K82" s="2">
        <f t="shared" si="4"/>
        <v>31.008530002612581</v>
      </c>
      <c r="L82" s="2">
        <f t="shared" si="5"/>
        <v>16.208333394834764</v>
      </c>
      <c r="Q82" s="2">
        <f t="shared" si="6"/>
        <v>-8.5300026125807449E-3</v>
      </c>
      <c r="R82" s="2">
        <f t="shared" si="7"/>
        <v>-8.3333948347643627E-3</v>
      </c>
    </row>
    <row r="83" spans="1:18" x14ac:dyDescent="0.55000000000000004">
      <c r="A83" t="s">
        <v>110</v>
      </c>
      <c r="B83" s="1">
        <v>7438558</v>
      </c>
      <c r="C83" s="1">
        <v>268250</v>
      </c>
      <c r="D83" s="1">
        <v>171708</v>
      </c>
      <c r="E83" s="2">
        <v>37.200000000000003</v>
      </c>
      <c r="F83" s="2">
        <v>23.8</v>
      </c>
      <c r="H83" s="1">
        <f>SUM(B73:B82)</f>
        <v>7438558</v>
      </c>
      <c r="I83" s="1">
        <f t="shared" ref="I83:J83" si="10">SUM(C73:C82)</f>
        <v>268250</v>
      </c>
      <c r="J83" s="1">
        <f t="shared" si="10"/>
        <v>171708</v>
      </c>
      <c r="K83" s="2">
        <f t="shared" si="4"/>
        <v>36.062096981699945</v>
      </c>
      <c r="L83" s="2">
        <f t="shared" si="5"/>
        <v>23.08350623870917</v>
      </c>
      <c r="N83" s="1">
        <f>B83-H83</f>
        <v>0</v>
      </c>
      <c r="O83" s="1">
        <f>C83-I83</f>
        <v>0</v>
      </c>
      <c r="P83" s="1">
        <f>D83-J83</f>
        <v>0</v>
      </c>
      <c r="Q83" s="2">
        <f t="shared" si="6"/>
        <v>1.137903018300058</v>
      </c>
      <c r="R83" s="2">
        <f t="shared" si="7"/>
        <v>0.71649376129083109</v>
      </c>
    </row>
    <row r="84" spans="1:18" x14ac:dyDescent="0.55000000000000004">
      <c r="A84" t="s">
        <v>79</v>
      </c>
      <c r="B84" s="1">
        <v>63221</v>
      </c>
      <c r="C84" s="3" t="s">
        <v>99</v>
      </c>
      <c r="D84" s="3" t="s">
        <v>99</v>
      </c>
      <c r="E84" s="3" t="s">
        <v>99</v>
      </c>
      <c r="F84" s="3" t="s">
        <v>99</v>
      </c>
      <c r="Q84" s="2"/>
      <c r="R84" s="2"/>
    </row>
    <row r="85" spans="1:18" x14ac:dyDescent="0.55000000000000004">
      <c r="A85" t="s">
        <v>80</v>
      </c>
      <c r="B85" s="1">
        <v>458572</v>
      </c>
      <c r="C85" s="1">
        <v>22968</v>
      </c>
      <c r="D85" s="1">
        <v>19052</v>
      </c>
      <c r="E85" s="2">
        <v>50</v>
      </c>
      <c r="F85" s="2">
        <v>41.5</v>
      </c>
      <c r="K85" s="2">
        <f t="shared" si="4"/>
        <v>50.085918896051218</v>
      </c>
      <c r="L85" s="2">
        <f t="shared" si="5"/>
        <v>41.546365674310685</v>
      </c>
      <c r="Q85" s="2">
        <f t="shared" si="6"/>
        <v>-8.5918896051218496E-2</v>
      </c>
      <c r="R85" s="2">
        <f t="shared" si="7"/>
        <v>-4.6365674310685279E-2</v>
      </c>
    </row>
    <row r="86" spans="1:18" x14ac:dyDescent="0.55000000000000004">
      <c r="A86" t="s">
        <v>81</v>
      </c>
      <c r="B86" s="1">
        <v>545338</v>
      </c>
      <c r="C86" s="1">
        <v>21930</v>
      </c>
      <c r="D86" s="1">
        <v>15055</v>
      </c>
      <c r="E86" s="2">
        <v>40.200000000000003</v>
      </c>
      <c r="F86" s="2">
        <v>27.6</v>
      </c>
      <c r="K86" s="2">
        <f t="shared" si="4"/>
        <v>40.213592304222331</v>
      </c>
      <c r="L86" s="2">
        <f t="shared" si="5"/>
        <v>27.606731971731293</v>
      </c>
      <c r="Q86" s="2">
        <f t="shared" si="6"/>
        <v>-1.3592304222328266E-2</v>
      </c>
      <c r="R86" s="2">
        <f t="shared" si="7"/>
        <v>-6.731971731291253E-3</v>
      </c>
    </row>
    <row r="87" spans="1:18" x14ac:dyDescent="0.55000000000000004">
      <c r="A87" t="s">
        <v>82</v>
      </c>
      <c r="B87" s="1">
        <v>421187</v>
      </c>
      <c r="C87" s="1">
        <v>19988</v>
      </c>
      <c r="D87" s="1">
        <v>17686</v>
      </c>
      <c r="E87" s="2">
        <v>47.5</v>
      </c>
      <c r="F87" s="2">
        <v>42</v>
      </c>
      <c r="K87" s="2">
        <f t="shared" si="4"/>
        <v>47.456355490554074</v>
      </c>
      <c r="L87" s="2">
        <f t="shared" si="5"/>
        <v>41.990849670099031</v>
      </c>
      <c r="Q87" s="2">
        <f t="shared" si="6"/>
        <v>4.3644509445925905E-2</v>
      </c>
      <c r="R87" s="2">
        <f t="shared" si="7"/>
        <v>9.1503299009687566E-3</v>
      </c>
    </row>
    <row r="88" spans="1:18" x14ac:dyDescent="0.55000000000000004">
      <c r="A88" t="s">
        <v>83</v>
      </c>
      <c r="B88" s="1">
        <v>102786</v>
      </c>
      <c r="C88" s="1">
        <v>2406</v>
      </c>
      <c r="D88" s="1">
        <v>1431</v>
      </c>
      <c r="E88" s="3" t="s">
        <v>99</v>
      </c>
      <c r="F88" s="3" t="s">
        <v>99</v>
      </c>
      <c r="K88" s="2">
        <f t="shared" si="4"/>
        <v>23.407857101161635</v>
      </c>
      <c r="L88" s="2">
        <f t="shared" si="5"/>
        <v>13.922129472885413</v>
      </c>
      <c r="Q88" s="2"/>
      <c r="R88" s="2"/>
    </row>
    <row r="89" spans="1:18" x14ac:dyDescent="0.55000000000000004">
      <c r="A89" t="s">
        <v>84</v>
      </c>
      <c r="B89" s="1">
        <v>1375455</v>
      </c>
      <c r="C89" s="1">
        <v>73916</v>
      </c>
      <c r="D89" s="1">
        <v>60160</v>
      </c>
      <c r="E89" s="2">
        <v>53.8</v>
      </c>
      <c r="F89" s="2">
        <v>43.8</v>
      </c>
      <c r="K89" s="2">
        <f t="shared" si="4"/>
        <v>53.739308083506913</v>
      </c>
      <c r="L89" s="2">
        <f t="shared" si="5"/>
        <v>43.738253886895613</v>
      </c>
      <c r="Q89" s="2">
        <f t="shared" si="6"/>
        <v>6.0691916493084364E-2</v>
      </c>
      <c r="R89" s="2">
        <f t="shared" si="7"/>
        <v>6.1746113104383937E-2</v>
      </c>
    </row>
    <row r="90" spans="1:18" x14ac:dyDescent="0.55000000000000004">
      <c r="A90" t="s">
        <v>85</v>
      </c>
      <c r="B90" s="1">
        <v>1256792</v>
      </c>
      <c r="C90" s="1">
        <v>63934</v>
      </c>
      <c r="D90" s="1">
        <v>31465</v>
      </c>
      <c r="E90" s="2">
        <v>50.9</v>
      </c>
      <c r="F90" s="2">
        <v>25</v>
      </c>
      <c r="K90" s="2">
        <f t="shared" si="4"/>
        <v>50.870788483694994</v>
      </c>
      <c r="L90" s="2">
        <f t="shared" si="5"/>
        <v>25.035964582842666</v>
      </c>
      <c r="Q90" s="2">
        <f t="shared" si="6"/>
        <v>2.9211516305004182E-2</v>
      </c>
      <c r="R90" s="2">
        <f t="shared" si="7"/>
        <v>-3.5964582842666459E-2</v>
      </c>
    </row>
    <row r="91" spans="1:18" x14ac:dyDescent="0.55000000000000004">
      <c r="A91" t="s">
        <v>86</v>
      </c>
      <c r="B91" s="1">
        <v>255671</v>
      </c>
      <c r="C91" s="1">
        <v>6711</v>
      </c>
      <c r="D91" s="1">
        <v>5109</v>
      </c>
      <c r="E91" s="2">
        <v>26</v>
      </c>
      <c r="F91" s="2">
        <v>20</v>
      </c>
      <c r="K91" s="2">
        <f t="shared" si="4"/>
        <v>26.248577273136178</v>
      </c>
      <c r="L91" s="2">
        <f t="shared" si="5"/>
        <v>19.982712157421062</v>
      </c>
      <c r="Q91" s="2">
        <f t="shared" si="6"/>
        <v>-0.24857727313617772</v>
      </c>
      <c r="R91" s="2">
        <f t="shared" si="7"/>
        <v>1.7287842578937784E-2</v>
      </c>
    </row>
    <row r="92" spans="1:18" x14ac:dyDescent="0.55000000000000004">
      <c r="A92" t="s">
        <v>87</v>
      </c>
      <c r="B92" s="1">
        <v>14645</v>
      </c>
      <c r="C92" s="1">
        <v>295</v>
      </c>
      <c r="D92" s="1">
        <v>239</v>
      </c>
      <c r="E92" s="2">
        <v>19.7</v>
      </c>
      <c r="F92" s="2">
        <v>15.9</v>
      </c>
      <c r="K92" s="2">
        <f t="shared" si="4"/>
        <v>20.1433936497098</v>
      </c>
      <c r="L92" s="2">
        <f t="shared" si="5"/>
        <v>16.319562990781836</v>
      </c>
      <c r="Q92" s="2">
        <f t="shared" si="6"/>
        <v>-0.443393649709801</v>
      </c>
      <c r="R92" s="2">
        <f t="shared" si="7"/>
        <v>-0.41956299078183612</v>
      </c>
    </row>
    <row r="93" spans="1:18" x14ac:dyDescent="0.55000000000000004">
      <c r="A93" t="s">
        <v>114</v>
      </c>
      <c r="B93" s="1">
        <v>4493667</v>
      </c>
      <c r="C93" s="1">
        <v>212148</v>
      </c>
      <c r="D93" s="1">
        <v>150197</v>
      </c>
      <c r="E93" s="2">
        <v>48.4</v>
      </c>
      <c r="F93" s="2">
        <v>34.4</v>
      </c>
      <c r="H93" s="1">
        <f>SUM(B84:B92)</f>
        <v>4493667</v>
      </c>
      <c r="I93" s="1">
        <f t="shared" ref="I93:J93" si="11">SUM(C84:C92)</f>
        <v>212148</v>
      </c>
      <c r="J93" s="1">
        <f t="shared" si="11"/>
        <v>150197</v>
      </c>
      <c r="K93" s="2">
        <f t="shared" si="4"/>
        <v>47.210440827057276</v>
      </c>
      <c r="L93" s="2">
        <f t="shared" si="5"/>
        <v>33.424150031588901</v>
      </c>
      <c r="N93" s="1">
        <f>B93-H93</f>
        <v>0</v>
      </c>
      <c r="O93" s="1">
        <f>C93-I93</f>
        <v>0</v>
      </c>
      <c r="P93" s="1">
        <f>D93-J93</f>
        <v>0</v>
      </c>
      <c r="Q93" s="2">
        <f t="shared" si="6"/>
        <v>1.1895591729427224</v>
      </c>
      <c r="R93" s="2">
        <f t="shared" si="7"/>
        <v>0.97584996841109728</v>
      </c>
    </row>
    <row r="94" spans="1:18" x14ac:dyDescent="0.55000000000000004">
      <c r="A94" t="s">
        <v>88</v>
      </c>
      <c r="B94" s="1">
        <v>480874</v>
      </c>
      <c r="C94" s="1">
        <v>13837</v>
      </c>
      <c r="D94" s="1">
        <v>9023</v>
      </c>
      <c r="E94" s="2">
        <v>28.8</v>
      </c>
      <c r="F94" s="2">
        <v>18.8</v>
      </c>
      <c r="K94" s="2">
        <f t="shared" si="4"/>
        <v>28.774689419681664</v>
      </c>
      <c r="L94" s="2">
        <f t="shared" si="5"/>
        <v>18.763751003381344</v>
      </c>
      <c r="Q94" s="2">
        <f t="shared" si="6"/>
        <v>2.5310580318336662E-2</v>
      </c>
      <c r="R94" s="2">
        <f t="shared" si="7"/>
        <v>3.6248996618656548E-2</v>
      </c>
    </row>
    <row r="95" spans="1:18" x14ac:dyDescent="0.55000000000000004">
      <c r="A95" t="s">
        <v>89</v>
      </c>
      <c r="B95" s="1">
        <v>695922</v>
      </c>
      <c r="C95" s="3" t="s">
        <v>99</v>
      </c>
      <c r="D95" s="3" t="s">
        <v>99</v>
      </c>
      <c r="E95" s="3" t="s">
        <v>99</v>
      </c>
      <c r="F95" s="3" t="s">
        <v>99</v>
      </c>
      <c r="Q95" s="2"/>
      <c r="R95" s="2"/>
    </row>
    <row r="96" spans="1:18" x14ac:dyDescent="0.55000000000000004">
      <c r="A96" t="s">
        <v>90</v>
      </c>
      <c r="B96" s="1">
        <v>680135</v>
      </c>
      <c r="C96" s="3" t="s">
        <v>99</v>
      </c>
      <c r="D96" s="3" t="s">
        <v>99</v>
      </c>
      <c r="E96" s="3" t="s">
        <v>99</v>
      </c>
      <c r="F96" s="3" t="s">
        <v>99</v>
      </c>
      <c r="Q96" s="2"/>
      <c r="R96" s="2"/>
    </row>
    <row r="97" spans="1:18" x14ac:dyDescent="0.55000000000000004">
      <c r="A97" t="s">
        <v>91</v>
      </c>
      <c r="B97" s="1">
        <v>576578</v>
      </c>
      <c r="C97" s="1">
        <v>9462</v>
      </c>
      <c r="D97" s="1">
        <v>8337</v>
      </c>
      <c r="E97" s="2">
        <v>16.399999999999999</v>
      </c>
      <c r="F97" s="2">
        <v>14.4</v>
      </c>
      <c r="K97" s="2">
        <f t="shared" si="4"/>
        <v>16.410615736292403</v>
      </c>
      <c r="L97" s="2">
        <f t="shared" si="5"/>
        <v>14.459448678236077</v>
      </c>
      <c r="Q97" s="2">
        <f t="shared" si="6"/>
        <v>-1.0615736292404421E-2</v>
      </c>
      <c r="R97" s="2">
        <f t="shared" si="7"/>
        <v>-5.9448678236076802E-2</v>
      </c>
    </row>
    <row r="98" spans="1:18" x14ac:dyDescent="0.55000000000000004">
      <c r="A98" t="s">
        <v>112</v>
      </c>
      <c r="B98" s="1">
        <v>671878</v>
      </c>
      <c r="C98" s="1">
        <v>4387</v>
      </c>
      <c r="D98" s="1">
        <v>2566</v>
      </c>
      <c r="E98" s="4" t="s">
        <v>99</v>
      </c>
      <c r="F98" s="4" t="s">
        <v>99</v>
      </c>
      <c r="K98" s="2">
        <f t="shared" si="4"/>
        <v>6.5294592172983785</v>
      </c>
      <c r="L98" s="2">
        <f t="shared" si="5"/>
        <v>3.8191457377678684</v>
      </c>
      <c r="Q98" s="2"/>
      <c r="R98" s="2"/>
    </row>
    <row r="99" spans="1:18" x14ac:dyDescent="0.55000000000000004">
      <c r="A99" t="s">
        <v>92</v>
      </c>
      <c r="B99" s="1">
        <v>1015760</v>
      </c>
      <c r="C99" s="3" t="s">
        <v>99</v>
      </c>
      <c r="D99" s="3" t="s">
        <v>99</v>
      </c>
      <c r="E99" s="3" t="s">
        <v>99</v>
      </c>
      <c r="F99" s="3" t="s">
        <v>99</v>
      </c>
      <c r="Q99" s="2"/>
      <c r="R99" s="2"/>
    </row>
    <row r="100" spans="1:18" x14ac:dyDescent="0.55000000000000004">
      <c r="A100" t="s">
        <v>93</v>
      </c>
      <c r="B100" s="1">
        <v>343485</v>
      </c>
      <c r="C100" s="1">
        <v>1145</v>
      </c>
      <c r="D100" s="1">
        <v>820</v>
      </c>
      <c r="E100" s="4" t="s">
        <v>99</v>
      </c>
      <c r="F100" s="4" t="s">
        <v>99</v>
      </c>
      <c r="K100" s="2">
        <f t="shared" si="4"/>
        <v>3.3334789000975298</v>
      </c>
      <c r="L100" s="2">
        <f t="shared" si="5"/>
        <v>2.3872949328209385</v>
      </c>
      <c r="Q100" s="2"/>
      <c r="R100" s="2"/>
    </row>
    <row r="101" spans="1:18" x14ac:dyDescent="0.55000000000000004">
      <c r="A101" t="s">
        <v>94</v>
      </c>
      <c r="B101" s="1">
        <v>547162</v>
      </c>
      <c r="C101" s="1">
        <v>4219</v>
      </c>
      <c r="D101" s="1">
        <v>3053</v>
      </c>
      <c r="E101" s="4" t="s">
        <v>99</v>
      </c>
      <c r="F101" s="4" t="s">
        <v>99</v>
      </c>
      <c r="K101" s="2">
        <f t="shared" si="4"/>
        <v>7.7106962837331539</v>
      </c>
      <c r="L101" s="2">
        <f t="shared" si="5"/>
        <v>5.5797003446876792</v>
      </c>
      <c r="Q101" s="2"/>
      <c r="R101" s="2"/>
    </row>
    <row r="102" spans="1:18" x14ac:dyDescent="0.55000000000000004">
      <c r="A102" t="s">
        <v>95</v>
      </c>
      <c r="B102" s="1">
        <v>716133</v>
      </c>
      <c r="C102" s="3" t="s">
        <v>99</v>
      </c>
      <c r="D102" s="3" t="s">
        <v>99</v>
      </c>
      <c r="E102" s="3" t="s">
        <v>99</v>
      </c>
      <c r="F102" s="3" t="s">
        <v>99</v>
      </c>
      <c r="Q102" s="2"/>
      <c r="R102" s="2"/>
    </row>
    <row r="103" spans="1:18" x14ac:dyDescent="0.55000000000000004">
      <c r="A103" t="s">
        <v>113</v>
      </c>
      <c r="B103" s="1">
        <v>5727927</v>
      </c>
      <c r="C103" s="1">
        <v>33050</v>
      </c>
      <c r="D103" s="1">
        <v>23799</v>
      </c>
      <c r="E103" s="2">
        <v>22</v>
      </c>
      <c r="F103" s="2">
        <v>16.399999999999999</v>
      </c>
      <c r="H103" s="1">
        <f>SUM(B94:B102)</f>
        <v>5727927</v>
      </c>
      <c r="I103" s="1">
        <f t="shared" ref="I103:J103" si="12">SUM(C94:C102)</f>
        <v>33050</v>
      </c>
      <c r="J103" s="1">
        <f t="shared" si="12"/>
        <v>23799</v>
      </c>
      <c r="K103" s="2">
        <f t="shared" si="4"/>
        <v>5.7699757695934322</v>
      </c>
      <c r="L103" s="2">
        <f t="shared" si="5"/>
        <v>4.1549063037989136</v>
      </c>
      <c r="N103" s="1">
        <f t="shared" ref="N103:P104" si="13">B103-H103</f>
        <v>0</v>
      </c>
      <c r="O103" s="1">
        <f t="shared" si="13"/>
        <v>0</v>
      </c>
      <c r="P103" s="1">
        <f t="shared" si="13"/>
        <v>0</v>
      </c>
      <c r="Q103" s="2">
        <f t="shared" si="6"/>
        <v>16.230024230406567</v>
      </c>
      <c r="R103" s="2">
        <f t="shared" si="7"/>
        <v>12.245093696201085</v>
      </c>
    </row>
    <row r="104" spans="1:18" x14ac:dyDescent="0.55000000000000004">
      <c r="A104" t="s">
        <v>98</v>
      </c>
      <c r="B104" s="1">
        <v>110482622</v>
      </c>
      <c r="C104" s="1">
        <v>4884446</v>
      </c>
      <c r="D104" s="1">
        <v>3288838</v>
      </c>
      <c r="E104" s="2">
        <v>46</v>
      </c>
      <c r="F104" s="2">
        <v>31</v>
      </c>
      <c r="H104" s="1">
        <f>SUM(H72:H103)</f>
        <v>110482622</v>
      </c>
      <c r="I104" s="1">
        <f t="shared" ref="I104:J104" si="14">SUM(I72:I103)</f>
        <v>4883646</v>
      </c>
      <c r="J104" s="1">
        <f t="shared" si="14"/>
        <v>3288838</v>
      </c>
      <c r="K104" s="2">
        <f t="shared" si="4"/>
        <v>44.210084007600763</v>
      </c>
      <c r="L104" s="2">
        <f t="shared" si="5"/>
        <v>29.767921329745413</v>
      </c>
      <c r="N104" s="1">
        <f t="shared" si="13"/>
        <v>0</v>
      </c>
      <c r="O104" s="1">
        <f t="shared" si="13"/>
        <v>800</v>
      </c>
      <c r="P104" s="1">
        <f t="shared" si="13"/>
        <v>0</v>
      </c>
      <c r="Q104" s="2">
        <f t="shared" si="6"/>
        <v>1.7899159923992372</v>
      </c>
      <c r="R104" s="2">
        <f t="shared" si="7"/>
        <v>1.2320786702545874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2026-05-10T03:18:04Z</dcterms:created>
  <dcterms:modified xsi:type="dcterms:W3CDTF">2026-07-18T22:54:33Z</dcterms:modified>
</cp:coreProperties>
</file>