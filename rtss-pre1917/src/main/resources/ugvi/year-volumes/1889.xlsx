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"/>
    </mc:Choice>
  </mc:AlternateContent>
  <xr:revisionPtr revIDLastSave="0" documentId="13_ncr:1_{70E8758F-0DFB-4FC6-AF13-BCAE1453A72E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Notes" sheetId="2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C11" i="1"/>
  <c r="B11" i="1"/>
  <c r="B5" i="1"/>
  <c r="B8" i="1"/>
  <c r="AD8" i="1"/>
  <c r="AM275" i="1"/>
  <c r="AP275" i="1" s="1"/>
  <c r="AL275" i="1"/>
  <c r="AO275" i="1" s="1"/>
  <c r="AM274" i="1"/>
  <c r="AP274" i="1" s="1"/>
  <c r="AL274" i="1"/>
  <c r="AO274" i="1" s="1"/>
  <c r="AM250" i="1"/>
  <c r="AP250" i="1" s="1"/>
  <c r="AL250" i="1"/>
  <c r="AO250" i="1" s="1"/>
  <c r="AM224" i="1"/>
  <c r="AP224" i="1" s="1"/>
  <c r="AL224" i="1"/>
  <c r="AO224" i="1" s="1"/>
  <c r="AM195" i="1"/>
  <c r="AP195" i="1" s="1"/>
  <c r="AL195" i="1"/>
  <c r="AO195" i="1" s="1"/>
  <c r="AM191" i="1"/>
  <c r="AP191" i="1" s="1"/>
  <c r="AL191" i="1"/>
  <c r="AO191" i="1" s="1"/>
  <c r="AM84" i="1"/>
  <c r="AP84" i="1" s="1"/>
  <c r="AL84" i="1"/>
  <c r="AO84" i="1" s="1"/>
  <c r="AM74" i="1"/>
  <c r="AP74" i="1" s="1"/>
  <c r="AL74" i="1"/>
  <c r="AO74" i="1" s="1"/>
  <c r="AM42" i="1"/>
  <c r="AP42" i="1" s="1"/>
  <c r="AL42" i="1"/>
  <c r="AO42" i="1" s="1"/>
  <c r="AF218" i="1"/>
  <c r="AE218" i="1"/>
  <c r="AD235" i="1"/>
  <c r="AH235" i="1" s="1"/>
  <c r="AD241" i="1"/>
  <c r="AH241" i="1" s="1"/>
  <c r="AF264" i="1"/>
  <c r="AE264" i="1"/>
  <c r="AF258" i="1"/>
  <c r="AE258" i="1"/>
  <c r="AD258" i="1"/>
  <c r="AH258" i="1" s="1"/>
  <c r="AF255" i="1"/>
  <c r="AE255" i="1"/>
  <c r="AF270" i="1"/>
  <c r="AE270" i="1"/>
  <c r="AD270" i="1"/>
  <c r="AF254" i="1"/>
  <c r="AE254" i="1"/>
  <c r="AD254" i="1"/>
  <c r="AF225" i="1"/>
  <c r="AE225" i="1"/>
  <c r="AD225" i="1"/>
  <c r="AF205" i="1"/>
  <c r="AE205" i="1"/>
  <c r="AD205" i="1"/>
  <c r="AF184" i="1"/>
  <c r="AE184" i="1"/>
  <c r="AD184" i="1"/>
  <c r="AF183" i="1"/>
  <c r="AE183" i="1"/>
  <c r="AD183" i="1"/>
  <c r="AF149" i="1"/>
  <c r="AE149" i="1"/>
  <c r="AD149" i="1"/>
  <c r="AF115" i="1"/>
  <c r="AE115" i="1"/>
  <c r="AD115" i="1"/>
  <c r="AF235" i="1"/>
  <c r="AJ235" i="1" s="1"/>
  <c r="AE235" i="1"/>
  <c r="AI235" i="1" s="1"/>
  <c r="AF221" i="1"/>
  <c r="AJ221" i="1" s="1"/>
  <c r="AE221" i="1"/>
  <c r="AI221" i="1" s="1"/>
  <c r="AD221" i="1"/>
  <c r="AH221" i="1" s="1"/>
  <c r="AF43" i="1"/>
  <c r="AE43" i="1"/>
  <c r="AD43" i="1"/>
  <c r="AM270" i="1"/>
  <c r="AL270" i="1"/>
  <c r="AM183" i="1"/>
  <c r="AP183" i="1" s="1"/>
  <c r="AL183" i="1"/>
  <c r="AO183" i="1" s="1"/>
  <c r="AM184" i="1"/>
  <c r="AP184" i="1" s="1"/>
  <c r="AL184" i="1"/>
  <c r="AO184" i="1" s="1"/>
  <c r="AM149" i="1"/>
  <c r="AP149" i="1" s="1"/>
  <c r="AL149" i="1"/>
  <c r="AO149" i="1" s="1"/>
  <c r="AM137" i="1"/>
  <c r="AP137" i="1" s="1"/>
  <c r="AL137" i="1"/>
  <c r="AO137" i="1" s="1"/>
  <c r="AF137" i="1"/>
  <c r="AJ137" i="1" s="1"/>
  <c r="AE137" i="1"/>
  <c r="AI137" i="1" s="1"/>
  <c r="AD137" i="1"/>
  <c r="AH137" i="1" s="1"/>
  <c r="AM115" i="1"/>
  <c r="AP115" i="1" s="1"/>
  <c r="AL115" i="1"/>
  <c r="AO115" i="1" s="1"/>
  <c r="AM43" i="1"/>
  <c r="AP43" i="1" s="1"/>
  <c r="AL43" i="1"/>
  <c r="AO43" i="1" s="1"/>
  <c r="AM271" i="1"/>
  <c r="AL271" i="1"/>
  <c r="AF271" i="1"/>
  <c r="AJ271" i="1" s="1"/>
  <c r="AE271" i="1"/>
  <c r="AI271" i="1" s="1"/>
  <c r="AD271" i="1"/>
  <c r="AH271" i="1" s="1"/>
  <c r="AM267" i="1"/>
  <c r="AL267" i="1"/>
  <c r="AF267" i="1"/>
  <c r="AJ267" i="1" s="1"/>
  <c r="AE267" i="1"/>
  <c r="AI267" i="1" s="1"/>
  <c r="AD267" i="1"/>
  <c r="AH267" i="1" s="1"/>
  <c r="AD264" i="1"/>
  <c r="AH264" i="1" s="1"/>
  <c r="AM261" i="1"/>
  <c r="AP261" i="1" s="1"/>
  <c r="AL261" i="1"/>
  <c r="AO261" i="1" s="1"/>
  <c r="AF261" i="1"/>
  <c r="AJ261" i="1" s="1"/>
  <c r="AE261" i="1"/>
  <c r="AI261" i="1" s="1"/>
  <c r="AD261" i="1"/>
  <c r="AH261" i="1" s="1"/>
  <c r="AD255" i="1"/>
  <c r="AH255" i="1" s="1"/>
  <c r="AM251" i="1"/>
  <c r="AP251" i="1" s="1"/>
  <c r="AL251" i="1"/>
  <c r="AO251" i="1" s="1"/>
  <c r="AF251" i="1"/>
  <c r="AJ251" i="1" s="1"/>
  <c r="AE251" i="1"/>
  <c r="AI251" i="1" s="1"/>
  <c r="AD251" i="1"/>
  <c r="AH251" i="1" s="1"/>
  <c r="AM247" i="1"/>
  <c r="AP247" i="1" s="1"/>
  <c r="AL247" i="1"/>
  <c r="AO247" i="1" s="1"/>
  <c r="AF247" i="1"/>
  <c r="AJ247" i="1" s="1"/>
  <c r="AE247" i="1"/>
  <c r="AI247" i="1" s="1"/>
  <c r="AD247" i="1"/>
  <c r="AH247" i="1" s="1"/>
  <c r="AM244" i="1"/>
  <c r="AP244" i="1" s="1"/>
  <c r="AL244" i="1"/>
  <c r="AO244" i="1" s="1"/>
  <c r="AF244" i="1"/>
  <c r="AJ244" i="1" s="1"/>
  <c r="AE244" i="1"/>
  <c r="AI244" i="1" s="1"/>
  <c r="AD244" i="1"/>
  <c r="AH244" i="1" s="1"/>
  <c r="AM241" i="1"/>
  <c r="AP241" i="1" s="1"/>
  <c r="AL241" i="1"/>
  <c r="AO241" i="1" s="1"/>
  <c r="AF241" i="1"/>
  <c r="AJ241" i="1" s="1"/>
  <c r="AE241" i="1"/>
  <c r="AI241" i="1" s="1"/>
  <c r="AM238" i="1"/>
  <c r="AP238" i="1" s="1"/>
  <c r="AL238" i="1"/>
  <c r="AO238" i="1" s="1"/>
  <c r="AF238" i="1"/>
  <c r="AJ238" i="1" s="1"/>
  <c r="AE238" i="1"/>
  <c r="AI238" i="1" s="1"/>
  <c r="AD238" i="1"/>
  <c r="AH238" i="1" s="1"/>
  <c r="AM235" i="1"/>
  <c r="AP235" i="1" s="1"/>
  <c r="AL235" i="1"/>
  <c r="AO235" i="1" s="1"/>
  <c r="AM232" i="1"/>
  <c r="AP232" i="1" s="1"/>
  <c r="AL232" i="1"/>
  <c r="AO232" i="1" s="1"/>
  <c r="AF232" i="1"/>
  <c r="AJ232" i="1" s="1"/>
  <c r="AE232" i="1"/>
  <c r="AI232" i="1" s="1"/>
  <c r="AD232" i="1"/>
  <c r="AH232" i="1" s="1"/>
  <c r="AM229" i="1"/>
  <c r="AP229" i="1" s="1"/>
  <c r="AL229" i="1"/>
  <c r="AO229" i="1" s="1"/>
  <c r="AF229" i="1"/>
  <c r="AJ229" i="1" s="1"/>
  <c r="AE229" i="1"/>
  <c r="AI229" i="1" s="1"/>
  <c r="AD229" i="1"/>
  <c r="AH229" i="1" s="1"/>
  <c r="AM226" i="1"/>
  <c r="AP226" i="1" s="1"/>
  <c r="AL226" i="1"/>
  <c r="AO226" i="1" s="1"/>
  <c r="AF226" i="1"/>
  <c r="AJ226" i="1" s="1"/>
  <c r="AE226" i="1"/>
  <c r="AI226" i="1" s="1"/>
  <c r="AD226" i="1"/>
  <c r="AH226" i="1" s="1"/>
  <c r="AM221" i="1"/>
  <c r="AP221" i="1" s="1"/>
  <c r="AL221" i="1"/>
  <c r="AO221" i="1" s="1"/>
  <c r="AM218" i="1"/>
  <c r="AP218" i="1" s="1"/>
  <c r="AL218" i="1"/>
  <c r="AO218" i="1" s="1"/>
  <c r="AI218" i="1"/>
  <c r="AJ218" i="1"/>
  <c r="AD218" i="1"/>
  <c r="AH218" i="1" s="1"/>
  <c r="AM215" i="1"/>
  <c r="AP215" i="1" s="1"/>
  <c r="AL215" i="1"/>
  <c r="AO215" i="1" s="1"/>
  <c r="AF215" i="1"/>
  <c r="AJ215" i="1" s="1"/>
  <c r="AE215" i="1"/>
  <c r="AI215" i="1" s="1"/>
  <c r="AD215" i="1"/>
  <c r="AH215" i="1" s="1"/>
  <c r="AM212" i="1"/>
  <c r="AP212" i="1" s="1"/>
  <c r="AL212" i="1"/>
  <c r="AO212" i="1" s="1"/>
  <c r="AF212" i="1"/>
  <c r="AJ212" i="1" s="1"/>
  <c r="AE212" i="1"/>
  <c r="AI212" i="1" s="1"/>
  <c r="AD212" i="1"/>
  <c r="AH212" i="1" s="1"/>
  <c r="AM209" i="1"/>
  <c r="AP209" i="1" s="1"/>
  <c r="AL209" i="1"/>
  <c r="AO209" i="1" s="1"/>
  <c r="AF209" i="1"/>
  <c r="AJ209" i="1" s="1"/>
  <c r="AE209" i="1"/>
  <c r="AI209" i="1" s="1"/>
  <c r="AD209" i="1"/>
  <c r="AH209" i="1" s="1"/>
  <c r="AM206" i="1"/>
  <c r="AP206" i="1" s="1"/>
  <c r="AL206" i="1"/>
  <c r="AO206" i="1" s="1"/>
  <c r="AF206" i="1"/>
  <c r="AJ206" i="1" s="1"/>
  <c r="AE206" i="1"/>
  <c r="AI206" i="1" s="1"/>
  <c r="AD206" i="1"/>
  <c r="AH206" i="1" s="1"/>
  <c r="AM202" i="1"/>
  <c r="AP202" i="1" s="1"/>
  <c r="AL202" i="1"/>
  <c r="AO202" i="1" s="1"/>
  <c r="AF202" i="1"/>
  <c r="AJ202" i="1" s="1"/>
  <c r="AE202" i="1"/>
  <c r="AI202" i="1" s="1"/>
  <c r="AD202" i="1"/>
  <c r="AH202" i="1" s="1"/>
  <c r="AM199" i="1"/>
  <c r="AP199" i="1" s="1"/>
  <c r="AL199" i="1"/>
  <c r="AO199" i="1" s="1"/>
  <c r="AF199" i="1"/>
  <c r="AJ199" i="1" s="1"/>
  <c r="AE199" i="1"/>
  <c r="AI199" i="1" s="1"/>
  <c r="AD199" i="1"/>
  <c r="AH199" i="1" s="1"/>
  <c r="AM196" i="1"/>
  <c r="AP196" i="1" s="1"/>
  <c r="AL196" i="1"/>
  <c r="AO196" i="1" s="1"/>
  <c r="AF196" i="1"/>
  <c r="AJ196" i="1" s="1"/>
  <c r="AE196" i="1"/>
  <c r="AI196" i="1" s="1"/>
  <c r="AD196" i="1"/>
  <c r="AH196" i="1" s="1"/>
  <c r="AM192" i="1"/>
  <c r="AP192" i="1" s="1"/>
  <c r="AL192" i="1"/>
  <c r="AO192" i="1" s="1"/>
  <c r="AF192" i="1"/>
  <c r="AJ192" i="1" s="1"/>
  <c r="AE192" i="1"/>
  <c r="AI192" i="1" s="1"/>
  <c r="AD192" i="1"/>
  <c r="AH192" i="1" s="1"/>
  <c r="AM188" i="1"/>
  <c r="AP188" i="1" s="1"/>
  <c r="AL188" i="1"/>
  <c r="AO188" i="1" s="1"/>
  <c r="AF188" i="1"/>
  <c r="AJ188" i="1" s="1"/>
  <c r="AE188" i="1"/>
  <c r="AI188" i="1" s="1"/>
  <c r="AD188" i="1"/>
  <c r="AH188" i="1" s="1"/>
  <c r="AM185" i="1"/>
  <c r="AP185" i="1" s="1"/>
  <c r="AL185" i="1"/>
  <c r="AO185" i="1" s="1"/>
  <c r="AF185" i="1"/>
  <c r="AJ185" i="1" s="1"/>
  <c r="AE185" i="1"/>
  <c r="AI185" i="1" s="1"/>
  <c r="AD185" i="1"/>
  <c r="AH185" i="1" s="1"/>
  <c r="AM180" i="1"/>
  <c r="AP180" i="1" s="1"/>
  <c r="AL180" i="1"/>
  <c r="AO180" i="1" s="1"/>
  <c r="AF180" i="1"/>
  <c r="AJ180" i="1" s="1"/>
  <c r="AE180" i="1"/>
  <c r="AI180" i="1" s="1"/>
  <c r="AD180" i="1"/>
  <c r="AH180" i="1" s="1"/>
  <c r="AM177" i="1"/>
  <c r="AP177" i="1" s="1"/>
  <c r="AL177" i="1"/>
  <c r="AO177" i="1" s="1"/>
  <c r="AF177" i="1"/>
  <c r="AJ177" i="1" s="1"/>
  <c r="AE177" i="1"/>
  <c r="AI177" i="1" s="1"/>
  <c r="AD177" i="1"/>
  <c r="AH177" i="1" s="1"/>
  <c r="AM174" i="1"/>
  <c r="AP174" i="1" s="1"/>
  <c r="AL174" i="1"/>
  <c r="AO174" i="1" s="1"/>
  <c r="AF174" i="1"/>
  <c r="AJ174" i="1" s="1"/>
  <c r="AE174" i="1"/>
  <c r="AI174" i="1" s="1"/>
  <c r="AD174" i="1"/>
  <c r="AH174" i="1" s="1"/>
  <c r="AM171" i="1"/>
  <c r="AP171" i="1" s="1"/>
  <c r="AL171" i="1"/>
  <c r="AO171" i="1" s="1"/>
  <c r="AF171" i="1"/>
  <c r="AJ171" i="1" s="1"/>
  <c r="AE171" i="1"/>
  <c r="AI171" i="1" s="1"/>
  <c r="AD171" i="1"/>
  <c r="AH171" i="1" s="1"/>
  <c r="AM168" i="1"/>
  <c r="AP168" i="1" s="1"/>
  <c r="AL168" i="1"/>
  <c r="AO168" i="1" s="1"/>
  <c r="AF168" i="1"/>
  <c r="AJ168" i="1" s="1"/>
  <c r="AE168" i="1"/>
  <c r="AI168" i="1" s="1"/>
  <c r="AD168" i="1"/>
  <c r="AH168" i="1" s="1"/>
  <c r="AM165" i="1"/>
  <c r="AP165" i="1" s="1"/>
  <c r="AL165" i="1"/>
  <c r="AO165" i="1" s="1"/>
  <c r="AF165" i="1"/>
  <c r="AJ165" i="1" s="1"/>
  <c r="AE165" i="1"/>
  <c r="AI165" i="1" s="1"/>
  <c r="AD165" i="1"/>
  <c r="AH165" i="1" s="1"/>
  <c r="AM162" i="1"/>
  <c r="AP162" i="1" s="1"/>
  <c r="AL162" i="1"/>
  <c r="AO162" i="1" s="1"/>
  <c r="AF162" i="1"/>
  <c r="AJ162" i="1" s="1"/>
  <c r="AE162" i="1"/>
  <c r="AI162" i="1" s="1"/>
  <c r="AD162" i="1"/>
  <c r="AH162" i="1" s="1"/>
  <c r="AM159" i="1"/>
  <c r="AP159" i="1" s="1"/>
  <c r="AL159" i="1"/>
  <c r="AO159" i="1" s="1"/>
  <c r="AF159" i="1"/>
  <c r="AJ159" i="1" s="1"/>
  <c r="AE159" i="1"/>
  <c r="AI159" i="1" s="1"/>
  <c r="AD159" i="1"/>
  <c r="AH159" i="1" s="1"/>
  <c r="AM156" i="1"/>
  <c r="AP156" i="1" s="1"/>
  <c r="AL156" i="1"/>
  <c r="AO156" i="1" s="1"/>
  <c r="AF156" i="1"/>
  <c r="AJ156" i="1" s="1"/>
  <c r="AE156" i="1"/>
  <c r="AI156" i="1" s="1"/>
  <c r="AD156" i="1"/>
  <c r="AH156" i="1" s="1"/>
  <c r="AM153" i="1"/>
  <c r="AP153" i="1" s="1"/>
  <c r="AL153" i="1"/>
  <c r="AO153" i="1" s="1"/>
  <c r="AF153" i="1"/>
  <c r="AJ153" i="1" s="1"/>
  <c r="AE153" i="1"/>
  <c r="AI153" i="1" s="1"/>
  <c r="AD153" i="1"/>
  <c r="AH153" i="1" s="1"/>
  <c r="AM150" i="1"/>
  <c r="AP150" i="1" s="1"/>
  <c r="AL150" i="1"/>
  <c r="AO150" i="1" s="1"/>
  <c r="AF150" i="1"/>
  <c r="AJ150" i="1" s="1"/>
  <c r="AE150" i="1"/>
  <c r="AI150" i="1" s="1"/>
  <c r="AD150" i="1"/>
  <c r="AH150" i="1" s="1"/>
  <c r="AM146" i="1"/>
  <c r="AP146" i="1" s="1"/>
  <c r="AL146" i="1"/>
  <c r="AO146" i="1" s="1"/>
  <c r="AF146" i="1"/>
  <c r="AJ146" i="1" s="1"/>
  <c r="AE146" i="1"/>
  <c r="AI146" i="1" s="1"/>
  <c r="AD146" i="1"/>
  <c r="AH146" i="1" s="1"/>
  <c r="AM143" i="1"/>
  <c r="AP143" i="1" s="1"/>
  <c r="AL143" i="1"/>
  <c r="AO143" i="1" s="1"/>
  <c r="AF143" i="1"/>
  <c r="AJ143" i="1" s="1"/>
  <c r="AE143" i="1"/>
  <c r="AI143" i="1" s="1"/>
  <c r="AD143" i="1"/>
  <c r="AH143" i="1" s="1"/>
  <c r="AM140" i="1"/>
  <c r="AP140" i="1" s="1"/>
  <c r="AL140" i="1"/>
  <c r="AO140" i="1" s="1"/>
  <c r="AF140" i="1"/>
  <c r="AJ140" i="1" s="1"/>
  <c r="AE140" i="1"/>
  <c r="AI140" i="1" s="1"/>
  <c r="AD140" i="1"/>
  <c r="AH140" i="1" s="1"/>
  <c r="AM134" i="1"/>
  <c r="AP134" i="1" s="1"/>
  <c r="AL134" i="1"/>
  <c r="AO134" i="1" s="1"/>
  <c r="AF134" i="1"/>
  <c r="AJ134" i="1" s="1"/>
  <c r="AE134" i="1"/>
  <c r="AI134" i="1" s="1"/>
  <c r="AD134" i="1"/>
  <c r="AH134" i="1" s="1"/>
  <c r="AM131" i="1"/>
  <c r="AP131" i="1" s="1"/>
  <c r="AL131" i="1"/>
  <c r="AO131" i="1" s="1"/>
  <c r="AF131" i="1"/>
  <c r="AJ131" i="1" s="1"/>
  <c r="AE131" i="1"/>
  <c r="AI131" i="1" s="1"/>
  <c r="AD131" i="1"/>
  <c r="AH131" i="1" s="1"/>
  <c r="AM128" i="1"/>
  <c r="AP128" i="1" s="1"/>
  <c r="AL128" i="1"/>
  <c r="AO128" i="1" s="1"/>
  <c r="AF128" i="1"/>
  <c r="AJ128" i="1" s="1"/>
  <c r="AE128" i="1"/>
  <c r="AI128" i="1" s="1"/>
  <c r="AD128" i="1"/>
  <c r="AH128" i="1" s="1"/>
  <c r="AM125" i="1"/>
  <c r="AP125" i="1" s="1"/>
  <c r="AL125" i="1"/>
  <c r="AO125" i="1" s="1"/>
  <c r="AF125" i="1"/>
  <c r="AJ125" i="1" s="1"/>
  <c r="AE125" i="1"/>
  <c r="AI125" i="1" s="1"/>
  <c r="AD125" i="1"/>
  <c r="AH125" i="1" s="1"/>
  <c r="AM122" i="1"/>
  <c r="AP122" i="1" s="1"/>
  <c r="AL122" i="1"/>
  <c r="AO122" i="1" s="1"/>
  <c r="AF122" i="1"/>
  <c r="AJ122" i="1" s="1"/>
  <c r="AE122" i="1"/>
  <c r="AI122" i="1" s="1"/>
  <c r="AD122" i="1"/>
  <c r="AH122" i="1" s="1"/>
  <c r="AM119" i="1"/>
  <c r="AP119" i="1" s="1"/>
  <c r="AL119" i="1"/>
  <c r="AO119" i="1" s="1"/>
  <c r="AF119" i="1"/>
  <c r="AJ119" i="1" s="1"/>
  <c r="AE119" i="1"/>
  <c r="AI119" i="1" s="1"/>
  <c r="AD119" i="1"/>
  <c r="AH119" i="1" s="1"/>
  <c r="AM116" i="1"/>
  <c r="AP116" i="1" s="1"/>
  <c r="AL116" i="1"/>
  <c r="AO116" i="1" s="1"/>
  <c r="AF116" i="1"/>
  <c r="AJ116" i="1" s="1"/>
  <c r="AE116" i="1"/>
  <c r="AI116" i="1" s="1"/>
  <c r="AD116" i="1"/>
  <c r="AH116" i="1" s="1"/>
  <c r="AM112" i="1"/>
  <c r="AP112" i="1" s="1"/>
  <c r="AL112" i="1"/>
  <c r="AO112" i="1" s="1"/>
  <c r="AF112" i="1"/>
  <c r="AJ112" i="1" s="1"/>
  <c r="AE112" i="1"/>
  <c r="AI112" i="1" s="1"/>
  <c r="AD112" i="1"/>
  <c r="AH112" i="1" s="1"/>
  <c r="AM109" i="1"/>
  <c r="AP109" i="1" s="1"/>
  <c r="AL109" i="1"/>
  <c r="AO109" i="1" s="1"/>
  <c r="AF109" i="1"/>
  <c r="AJ109" i="1" s="1"/>
  <c r="AE109" i="1"/>
  <c r="AI109" i="1" s="1"/>
  <c r="AD109" i="1"/>
  <c r="AH109" i="1" s="1"/>
  <c r="AM106" i="1"/>
  <c r="AP106" i="1" s="1"/>
  <c r="AL106" i="1"/>
  <c r="AO106" i="1" s="1"/>
  <c r="AF106" i="1"/>
  <c r="AJ106" i="1" s="1"/>
  <c r="AE106" i="1"/>
  <c r="AI106" i="1" s="1"/>
  <c r="AD106" i="1"/>
  <c r="AH106" i="1" s="1"/>
  <c r="AM103" i="1"/>
  <c r="AP103" i="1" s="1"/>
  <c r="AL103" i="1"/>
  <c r="AO103" i="1" s="1"/>
  <c r="AF103" i="1"/>
  <c r="AJ103" i="1" s="1"/>
  <c r="AE103" i="1"/>
  <c r="AI103" i="1" s="1"/>
  <c r="AD103" i="1"/>
  <c r="AH103" i="1" s="1"/>
  <c r="AM100" i="1"/>
  <c r="AP100" i="1" s="1"/>
  <c r="AL100" i="1"/>
  <c r="AO100" i="1" s="1"/>
  <c r="AF100" i="1"/>
  <c r="AJ100" i="1" s="1"/>
  <c r="AE100" i="1"/>
  <c r="AI100" i="1" s="1"/>
  <c r="AD100" i="1"/>
  <c r="AH100" i="1" s="1"/>
  <c r="AM97" i="1"/>
  <c r="AP97" i="1" s="1"/>
  <c r="AL97" i="1"/>
  <c r="AO97" i="1" s="1"/>
  <c r="AF97" i="1"/>
  <c r="AJ97" i="1" s="1"/>
  <c r="AE97" i="1"/>
  <c r="AI97" i="1" s="1"/>
  <c r="AD97" i="1"/>
  <c r="AH97" i="1" s="1"/>
  <c r="AM94" i="1"/>
  <c r="AP94" i="1" s="1"/>
  <c r="AL94" i="1"/>
  <c r="AO94" i="1" s="1"/>
  <c r="AF94" i="1"/>
  <c r="AJ94" i="1" s="1"/>
  <c r="AE94" i="1"/>
  <c r="AI94" i="1" s="1"/>
  <c r="AD94" i="1"/>
  <c r="AH94" i="1" s="1"/>
  <c r="AM91" i="1"/>
  <c r="AP91" i="1" s="1"/>
  <c r="AL91" i="1"/>
  <c r="AO91" i="1" s="1"/>
  <c r="AF91" i="1"/>
  <c r="AJ91" i="1" s="1"/>
  <c r="AE91" i="1"/>
  <c r="AI91" i="1" s="1"/>
  <c r="AD91" i="1"/>
  <c r="AH91" i="1" s="1"/>
  <c r="AM88" i="1"/>
  <c r="AP88" i="1" s="1"/>
  <c r="AL88" i="1"/>
  <c r="AO88" i="1" s="1"/>
  <c r="AF88" i="1"/>
  <c r="AJ88" i="1" s="1"/>
  <c r="AE88" i="1"/>
  <c r="AI88" i="1" s="1"/>
  <c r="AD88" i="1"/>
  <c r="AH88" i="1" s="1"/>
  <c r="AM85" i="1"/>
  <c r="AP85" i="1" s="1"/>
  <c r="AL85" i="1"/>
  <c r="AO85" i="1" s="1"/>
  <c r="AF85" i="1"/>
  <c r="AJ85" i="1" s="1"/>
  <c r="AE85" i="1"/>
  <c r="AI85" i="1" s="1"/>
  <c r="AD85" i="1"/>
  <c r="AH85" i="1" s="1"/>
  <c r="AM81" i="1"/>
  <c r="AP81" i="1" s="1"/>
  <c r="AL81" i="1"/>
  <c r="AO81" i="1" s="1"/>
  <c r="AF81" i="1"/>
  <c r="AJ81" i="1" s="1"/>
  <c r="AE81" i="1"/>
  <c r="AI81" i="1" s="1"/>
  <c r="AD81" i="1"/>
  <c r="AH81" i="1" s="1"/>
  <c r="AM78" i="1"/>
  <c r="AP78" i="1" s="1"/>
  <c r="AL78" i="1"/>
  <c r="AO78" i="1" s="1"/>
  <c r="AF78" i="1"/>
  <c r="AJ78" i="1" s="1"/>
  <c r="AE78" i="1"/>
  <c r="AI78" i="1" s="1"/>
  <c r="AD78" i="1"/>
  <c r="AH78" i="1" s="1"/>
  <c r="AM75" i="1"/>
  <c r="AP75" i="1" s="1"/>
  <c r="AL75" i="1"/>
  <c r="AO75" i="1" s="1"/>
  <c r="AF75" i="1"/>
  <c r="AJ75" i="1" s="1"/>
  <c r="AE75" i="1"/>
  <c r="AI75" i="1" s="1"/>
  <c r="AD75" i="1"/>
  <c r="AH75" i="1" s="1"/>
  <c r="AM71" i="1"/>
  <c r="AP71" i="1" s="1"/>
  <c r="AL71" i="1"/>
  <c r="AO71" i="1" s="1"/>
  <c r="AF71" i="1"/>
  <c r="AJ71" i="1" s="1"/>
  <c r="AE71" i="1"/>
  <c r="AI71" i="1" s="1"/>
  <c r="AD71" i="1"/>
  <c r="AH71" i="1" s="1"/>
  <c r="AM68" i="1"/>
  <c r="AP68" i="1" s="1"/>
  <c r="AL68" i="1"/>
  <c r="AO68" i="1" s="1"/>
  <c r="AF68" i="1"/>
  <c r="AJ68" i="1" s="1"/>
  <c r="AE68" i="1"/>
  <c r="AI68" i="1" s="1"/>
  <c r="AD68" i="1"/>
  <c r="AH68" i="1" s="1"/>
  <c r="AM65" i="1"/>
  <c r="AP65" i="1" s="1"/>
  <c r="AL65" i="1"/>
  <c r="AO65" i="1" s="1"/>
  <c r="AF65" i="1"/>
  <c r="AJ65" i="1" s="1"/>
  <c r="AE65" i="1"/>
  <c r="AI65" i="1" s="1"/>
  <c r="AD65" i="1"/>
  <c r="AH65" i="1" s="1"/>
  <c r="AM62" i="1"/>
  <c r="AP62" i="1" s="1"/>
  <c r="AL62" i="1"/>
  <c r="AO62" i="1" s="1"/>
  <c r="AF62" i="1"/>
  <c r="AJ62" i="1" s="1"/>
  <c r="AE62" i="1"/>
  <c r="AI62" i="1" s="1"/>
  <c r="AD62" i="1"/>
  <c r="AH62" i="1" s="1"/>
  <c r="AM59" i="1"/>
  <c r="AP59" i="1" s="1"/>
  <c r="AL59" i="1"/>
  <c r="AO59" i="1" s="1"/>
  <c r="AF59" i="1"/>
  <c r="AJ59" i="1" s="1"/>
  <c r="AE59" i="1"/>
  <c r="AI59" i="1" s="1"/>
  <c r="AD59" i="1"/>
  <c r="AH59" i="1" s="1"/>
  <c r="AM56" i="1"/>
  <c r="AP56" i="1" s="1"/>
  <c r="AL56" i="1"/>
  <c r="AO56" i="1" s="1"/>
  <c r="AF56" i="1"/>
  <c r="AJ56" i="1" s="1"/>
  <c r="AE56" i="1"/>
  <c r="AI56" i="1" s="1"/>
  <c r="AD56" i="1"/>
  <c r="AH56" i="1" s="1"/>
  <c r="AM53" i="1"/>
  <c r="AP53" i="1" s="1"/>
  <c r="AL53" i="1"/>
  <c r="AO53" i="1" s="1"/>
  <c r="AF53" i="1"/>
  <c r="AJ53" i="1" s="1"/>
  <c r="AE53" i="1"/>
  <c r="AI53" i="1" s="1"/>
  <c r="AD53" i="1"/>
  <c r="AH53" i="1" s="1"/>
  <c r="AM50" i="1"/>
  <c r="AP50" i="1" s="1"/>
  <c r="AL50" i="1"/>
  <c r="AO50" i="1" s="1"/>
  <c r="AF50" i="1"/>
  <c r="AJ50" i="1" s="1"/>
  <c r="AE50" i="1"/>
  <c r="AI50" i="1" s="1"/>
  <c r="AD50" i="1"/>
  <c r="AH50" i="1" s="1"/>
  <c r="AM47" i="1"/>
  <c r="AP47" i="1" s="1"/>
  <c r="AL47" i="1"/>
  <c r="AO47" i="1" s="1"/>
  <c r="AF47" i="1"/>
  <c r="AJ47" i="1" s="1"/>
  <c r="AE47" i="1"/>
  <c r="AI47" i="1" s="1"/>
  <c r="AD47" i="1"/>
  <c r="AH47" i="1" s="1"/>
  <c r="AM44" i="1"/>
  <c r="AP44" i="1" s="1"/>
  <c r="AL44" i="1"/>
  <c r="AO44" i="1" s="1"/>
  <c r="AF44" i="1"/>
  <c r="AJ44" i="1" s="1"/>
  <c r="AE44" i="1"/>
  <c r="AI44" i="1" s="1"/>
  <c r="AD44" i="1"/>
  <c r="AH44" i="1" s="1"/>
  <c r="AM39" i="1"/>
  <c r="AP39" i="1" s="1"/>
  <c r="AL39" i="1"/>
  <c r="AO39" i="1" s="1"/>
  <c r="AF39" i="1"/>
  <c r="AJ39" i="1" s="1"/>
  <c r="AE39" i="1"/>
  <c r="AI39" i="1" s="1"/>
  <c r="AD39" i="1"/>
  <c r="AH39" i="1" s="1"/>
  <c r="AM36" i="1"/>
  <c r="AP36" i="1" s="1"/>
  <c r="AL36" i="1"/>
  <c r="AO36" i="1" s="1"/>
  <c r="AF36" i="1"/>
  <c r="AJ36" i="1" s="1"/>
  <c r="AE36" i="1"/>
  <c r="AI36" i="1" s="1"/>
  <c r="AD36" i="1"/>
  <c r="AH36" i="1" s="1"/>
  <c r="AM33" i="1"/>
  <c r="AP33" i="1" s="1"/>
  <c r="AL33" i="1"/>
  <c r="AO33" i="1" s="1"/>
  <c r="AF33" i="1"/>
  <c r="AJ33" i="1" s="1"/>
  <c r="AE33" i="1"/>
  <c r="AI33" i="1" s="1"/>
  <c r="AD33" i="1"/>
  <c r="AH33" i="1" s="1"/>
  <c r="AM30" i="1"/>
  <c r="AP30" i="1" s="1"/>
  <c r="AL30" i="1"/>
  <c r="AO30" i="1" s="1"/>
  <c r="AF30" i="1"/>
  <c r="AJ30" i="1" s="1"/>
  <c r="AE30" i="1"/>
  <c r="AI30" i="1" s="1"/>
  <c r="AD30" i="1"/>
  <c r="AH30" i="1" s="1"/>
  <c r="AM27" i="1"/>
  <c r="AP27" i="1" s="1"/>
  <c r="AL27" i="1"/>
  <c r="AO27" i="1" s="1"/>
  <c r="AF27" i="1"/>
  <c r="AJ27" i="1" s="1"/>
  <c r="AE27" i="1"/>
  <c r="AI27" i="1" s="1"/>
  <c r="AD27" i="1"/>
  <c r="AH27" i="1" s="1"/>
  <c r="AM24" i="1"/>
  <c r="AP24" i="1" s="1"/>
  <c r="AL24" i="1"/>
  <c r="AO24" i="1" s="1"/>
  <c r="AF24" i="1"/>
  <c r="AJ24" i="1" s="1"/>
  <c r="AE24" i="1"/>
  <c r="AI24" i="1" s="1"/>
  <c r="AD24" i="1"/>
  <c r="AH24" i="1" s="1"/>
  <c r="AM21" i="1"/>
  <c r="AP21" i="1" s="1"/>
  <c r="AL21" i="1"/>
  <c r="AO21" i="1" s="1"/>
  <c r="AF21" i="1"/>
  <c r="AJ21" i="1" s="1"/>
  <c r="AE21" i="1"/>
  <c r="AI21" i="1" s="1"/>
  <c r="AD21" i="1"/>
  <c r="AH21" i="1" s="1"/>
  <c r="AM18" i="1"/>
  <c r="AP18" i="1" s="1"/>
  <c r="AL18" i="1"/>
  <c r="AO18" i="1" s="1"/>
  <c r="AF18" i="1"/>
  <c r="AJ18" i="1" s="1"/>
  <c r="AE18" i="1"/>
  <c r="AI18" i="1" s="1"/>
  <c r="AD18" i="1"/>
  <c r="AH18" i="1" s="1"/>
  <c r="AM15" i="1"/>
  <c r="AP15" i="1" s="1"/>
  <c r="AL15" i="1"/>
  <c r="AO15" i="1" s="1"/>
  <c r="AF15" i="1"/>
  <c r="AJ15" i="1" s="1"/>
  <c r="AE15" i="1"/>
  <c r="AI15" i="1" s="1"/>
  <c r="AD15" i="1"/>
  <c r="AH15" i="1" s="1"/>
  <c r="AM12" i="1"/>
  <c r="AP12" i="1" s="1"/>
  <c r="AL12" i="1"/>
  <c r="AO12" i="1" s="1"/>
  <c r="AF12" i="1"/>
  <c r="AJ12" i="1" s="1"/>
  <c r="AE12" i="1"/>
  <c r="AI12" i="1" s="1"/>
  <c r="AD12" i="1"/>
  <c r="AH12" i="1" s="1"/>
  <c r="AM5" i="1"/>
  <c r="AP5" i="1" s="1"/>
  <c r="AL5" i="1"/>
  <c r="AO5" i="1" s="1"/>
  <c r="AF5" i="1"/>
  <c r="AJ5" i="1" s="1"/>
  <c r="AE5" i="1"/>
  <c r="AI5" i="1" s="1"/>
  <c r="AD5" i="1"/>
  <c r="AH5" i="1" s="1"/>
  <c r="AM2" i="1"/>
  <c r="AP2" i="1" s="1"/>
  <c r="AL2" i="1"/>
  <c r="AO2" i="1" s="1"/>
  <c r="AF2" i="1"/>
  <c r="AJ2" i="1" s="1"/>
  <c r="AE2" i="1"/>
  <c r="AI2" i="1" s="1"/>
  <c r="AD2" i="1"/>
  <c r="AD42" i="1" l="1"/>
  <c r="AE42" i="1"/>
  <c r="AI42" i="1" s="1"/>
  <c r="AF42" i="1"/>
  <c r="AJ42" i="1" s="1"/>
  <c r="AD74" i="1"/>
  <c r="AH74" i="1" s="1"/>
  <c r="AE74" i="1"/>
  <c r="AI74" i="1" s="1"/>
  <c r="AD250" i="1"/>
  <c r="AH250" i="1" s="1"/>
  <c r="AH42" i="1"/>
  <c r="AE250" i="1"/>
  <c r="AI250" i="1" s="1"/>
  <c r="AF191" i="1"/>
  <c r="AJ191" i="1" s="1"/>
  <c r="AF74" i="1"/>
  <c r="AJ74" i="1" s="1"/>
  <c r="AE84" i="1"/>
  <c r="AI84" i="1" s="1"/>
  <c r="AF250" i="1"/>
  <c r="AJ250" i="1" s="1"/>
  <c r="AH2" i="1"/>
  <c r="AF84" i="1"/>
  <c r="AJ84" i="1" s="1"/>
  <c r="AD224" i="1"/>
  <c r="AH224" i="1" s="1"/>
  <c r="AD274" i="1"/>
  <c r="AE224" i="1"/>
  <c r="AI224" i="1" s="1"/>
  <c r="AE274" i="1"/>
  <c r="AD84" i="1"/>
  <c r="AH84" i="1" s="1"/>
  <c r="AD191" i="1"/>
  <c r="AF224" i="1"/>
  <c r="AJ224" i="1" s="1"/>
  <c r="AF274" i="1"/>
  <c r="AE191" i="1"/>
  <c r="AD195" i="1" l="1"/>
  <c r="AH195" i="1" s="1"/>
  <c r="AH191" i="1"/>
  <c r="AH274" i="1"/>
  <c r="AI274" i="1"/>
  <c r="AE195" i="1"/>
  <c r="AI195" i="1" s="1"/>
  <c r="AI191" i="1"/>
  <c r="AJ274" i="1"/>
  <c r="AF195" i="1"/>
  <c r="AJ195" i="1" s="1"/>
  <c r="AE275" i="1" l="1"/>
  <c r="AI275" i="1" s="1"/>
  <c r="AD275" i="1"/>
  <c r="AH275" i="1" s="1"/>
  <c r="AF275" i="1"/>
  <c r="AJ275" i="1" s="1"/>
</calcChain>
</file>

<file path=xl/sharedStrings.xml><?xml version="1.0" encoding="utf-8"?>
<sst xmlns="http://schemas.openxmlformats.org/spreadsheetml/2006/main" count="497" uniqueCount="305">
  <si>
    <t>губ</t>
  </si>
  <si>
    <t>чж NYY</t>
  </si>
  <si>
    <t>чр YY</t>
  </si>
  <si>
    <t>чу YY</t>
  </si>
  <si>
    <t>чж-гор NYY</t>
  </si>
  <si>
    <t>чр-гор YY</t>
  </si>
  <si>
    <t>чу-гор YY</t>
  </si>
  <si>
    <t>ср-чж 1887-1888</t>
  </si>
  <si>
    <t>ср-чр 1887-1888</t>
  </si>
  <si>
    <t>ср-чу 1887-1888</t>
  </si>
  <si>
    <t>уезды</t>
  </si>
  <si>
    <t>Архангельская</t>
  </si>
  <si>
    <t>[Архангельская род.]</t>
  </si>
  <si>
    <t>[Архангельская ум.]</t>
  </si>
  <si>
    <t>—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</si>
  <si>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</si>
  <si>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</si>
  <si>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</si>
  <si>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</si>
  <si>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</si>
  <si>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</si>
  <si>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</si>
  <si>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</si>
  <si>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</si>
  <si>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</si>
  <si>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</si>
  <si>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</si>
  <si>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Киевская</t>
  </si>
  <si>
    <t>[Киевская род.]</t>
  </si>
  <si>
    <t>[Киевская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</si>
  <si>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</si>
  <si>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</si>
  <si>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</si>
  <si>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</si>
  <si>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</si>
  <si>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</si>
  <si>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</si>
  <si>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</si>
  <si>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</si>
  <si>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Оренбургская</t>
  </si>
  <si>
    <t>[Оренбургская род.]</t>
  </si>
  <si>
    <t>[Оренбургская ум.]</t>
  </si>
  <si>
    <t>Подольская</t>
  </si>
  <si>
    <t>[Подольская род.]</t>
  </si>
  <si>
    <t>[Подольская ум.]</t>
  </si>
  <si>
    <t>Итого в неземских губерниях</t>
  </si>
  <si>
    <t>Г. Варшава</t>
  </si>
  <si>
    <t>Варшавская</t>
  </si>
  <si>
    <t>[Варшавская род.]</t>
  </si>
  <si>
    <t>[Варшавская ум.]</t>
  </si>
  <si>
    <t>Калишская</t>
  </si>
  <si>
    <t>[Калишская род.]</t>
  </si>
  <si>
    <t>[Калишская ум.]</t>
  </si>
  <si>
    <t>Келецкая</t>
  </si>
  <si>
    <t>[Келецкая род.]</t>
  </si>
  <si>
    <t>[Келецкая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</si>
  <si>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</si>
  <si>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</si>
  <si>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</si>
  <si>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</si>
  <si>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</si>
  <si>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</si>
  <si>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</si>
  <si>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</si>
  <si>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</si>
  <si>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</si>
  <si>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</si>
  <si>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</si>
  <si>
    <t>Радомская</t>
  </si>
  <si>
    <t>[Радомская род.]</t>
  </si>
  <si>
    <t>[Радомская ум.]</t>
  </si>
  <si>
    <t>Сувалкская</t>
  </si>
  <si>
    <t>[Сувалкская род.]</t>
  </si>
  <si>
    <t>[Сувалкская ум.]</t>
  </si>
  <si>
    <t>Седлецкая</t>
  </si>
  <si>
    <t>[Седлецкая род.]</t>
  </si>
  <si>
    <t>[Седлецкая ум.]</t>
  </si>
  <si>
    <t>Итого в привисленских губерниях</t>
  </si>
  <si>
    <t>Курляндская</t>
  </si>
  <si>
    <t>[Курляндская род.]</t>
  </si>
  <si>
    <t>[Курляндская ум.]</t>
  </si>
  <si>
    <t>Лифляндская</t>
  </si>
  <si>
    <t>[Лифляндская род.]</t>
  </si>
  <si>
    <t>[Лифляндская ум.]</t>
  </si>
  <si>
    <t>Эстляндская</t>
  </si>
  <si>
    <t>[Эстляндская род.]</t>
  </si>
  <si>
    <t>[Эстляндская ум.]</t>
  </si>
  <si>
    <t>Итого в остзейских губерниях</t>
  </si>
  <si>
    <t>Бессарабская</t>
  </si>
  <si>
    <t>[Бессарабская род.]</t>
  </si>
  <si>
    <t>[Бессарабская ум.]</t>
  </si>
  <si>
    <t>Владимирская</t>
  </si>
  <si>
    <t>[Владимирская род.]</t>
  </si>
  <si>
    <t>[Владимирская ум.]</t>
  </si>
  <si>
    <t>Вологодская</t>
  </si>
  <si>
    <t>[Вологодская род.]</t>
  </si>
  <si>
    <t>[Вологодская ум.]</t>
  </si>
  <si>
    <t>Воронежская</t>
  </si>
  <si>
    <t>[Воронежская род.]</t>
  </si>
  <si>
    <t>[Воронежская ум.]</t>
  </si>
  <si>
    <t>Вятская</t>
  </si>
  <si>
    <t>[Вятская род.]</t>
  </si>
  <si>
    <t>[Вятская ум.]</t>
  </si>
  <si>
    <t>Екатеринославская</t>
  </si>
  <si>
    <t>[Екатеринославская род.]</t>
  </si>
  <si>
    <t>[Екатеринославская ум.]</t>
  </si>
  <si>
    <t>Казанская</t>
  </si>
  <si>
    <t>[Казанская род.]</t>
  </si>
  <si>
    <t>[Казанская ум.]</t>
  </si>
  <si>
    <t>Калужская</t>
  </si>
  <si>
    <t>[Калужская род.]</t>
  </si>
  <si>
    <t>[Калужская ум.]</t>
  </si>
  <si>
    <t>Костромская</t>
  </si>
  <si>
    <t>[Костромская род.]</t>
  </si>
  <si>
    <t>[Костромская ум.]</t>
  </si>
  <si>
    <t>Курская</t>
  </si>
  <si>
    <t>[Курская род.]</t>
  </si>
  <si>
    <t>[Курская ум.]</t>
  </si>
  <si>
    <t>Г. Москва</t>
  </si>
  <si>
    <t>Московская</t>
  </si>
  <si>
    <t>[Московская род.]</t>
  </si>
  <si>
    <t>[Московская ум.]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</si>
  <si>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</si>
  <si>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</si>
  <si>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</si>
  <si>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</si>
  <si>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</si>
  <si>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</si>
  <si>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</si>
  <si>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</si>
  <si>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</si>
  <si>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</si>
  <si>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</si>
  <si>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</si>
  <si>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</si>
  <si>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</si>
  <si>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</si>
  <si>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</si>
  <si>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</si>
  <si>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</si>
  <si>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</si>
  <si>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</si>
  <si>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</si>
  <si>
    <t>Псковская</t>
  </si>
  <si>
    <t>[Псковская род.]</t>
  </si>
  <si>
    <t>[Псковская ум.]</t>
  </si>
  <si>
    <t>Рязанская</t>
  </si>
  <si>
    <t>[Рязанская род.]</t>
  </si>
  <si>
    <t>[Рязанская ум.]</t>
  </si>
  <si>
    <t>Самарская</t>
  </si>
  <si>
    <t>[Самарская род.]</t>
  </si>
  <si>
    <t>[Самарская ум.]</t>
  </si>
  <si>
    <t>Г. С.-Петербург</t>
  </si>
  <si>
    <t>С.-Петербургская</t>
  </si>
  <si>
    <t>[С.-Петербургская род.]</t>
  </si>
  <si>
    <t>[С.-Петербургская ум.]</t>
  </si>
  <si>
    <t>Саратовская</t>
  </si>
  <si>
    <t>[Саратовская род.]</t>
  </si>
  <si>
    <t>[Саратовская ум.]</t>
  </si>
  <si>
    <t>Симбирская</t>
  </si>
  <si>
    <t>[Симбирская род.]</t>
  </si>
  <si>
    <t>[Симбирская ум.]</t>
  </si>
  <si>
    <t>Смоленская</t>
  </si>
  <si>
    <t>[Смоленская род.]</t>
  </si>
  <si>
    <t>[Смоленская ум.]</t>
  </si>
  <si>
    <t>Таврическая</t>
  </si>
  <si>
    <t>[Таврическая род.]</t>
  </si>
  <si>
    <t>[Таврическая ум.]</t>
  </si>
  <si>
    <t>Тамбовская</t>
  </si>
  <si>
    <t>[Тамбовская род.]</t>
  </si>
  <si>
    <t>[Тамбовская ум.]</t>
  </si>
  <si>
    <t>Тверская</t>
  </si>
  <si>
    <t>[Тверская род.]</t>
  </si>
  <si>
    <t>[Тверская ум.]</t>
  </si>
  <si>
    <t>Тульская</t>
  </si>
  <si>
    <t>[Тульская род.]</t>
  </si>
  <si>
    <t>[Тульская ум.]</t>
  </si>
  <si>
    <t>Уфимская</t>
  </si>
  <si>
    <t>[Уфимская род.]</t>
  </si>
  <si>
    <t>[Уфимская ум.]</t>
  </si>
  <si>
    <t>Харьковская</t>
  </si>
  <si>
    <t>[Харьковская род.]</t>
  </si>
  <si>
    <t>[Харьковская ум.]</t>
  </si>
  <si>
    <t>Херсонская</t>
  </si>
  <si>
    <t>[Херсонская род.]</t>
  </si>
  <si>
    <t>[Херсонская ум.]</t>
  </si>
  <si>
    <t>Г. Николаев</t>
  </si>
  <si>
    <t>Г. Одесса</t>
  </si>
  <si>
    <t>Черниговская</t>
  </si>
  <si>
    <t>[Черниговская род.]</t>
  </si>
  <si>
    <t>[Черниговская ум.]</t>
  </si>
  <si>
    <t>Ярославская</t>
  </si>
  <si>
    <t>[Ярославская род.]</t>
  </si>
  <si>
    <t>[Ярославская ум.]</t>
  </si>
  <si>
    <t>Итого в земских губерниях</t>
  </si>
  <si>
    <t>Область Войска Донского</t>
  </si>
  <si>
    <t>[Область Войска Донского род.]</t>
  </si>
  <si>
    <t>[Область Войска Донского ум.]</t>
  </si>
  <si>
    <t>Итого в Европейской России</t>
  </si>
  <si>
    <t>Бакинская</t>
  </si>
  <si>
    <t>[Бакинская род.]</t>
  </si>
  <si>
    <t>[Бакинская ум.]</t>
  </si>
  <si>
    <t>Дагестанская область</t>
  </si>
  <si>
    <t>[Дагестанская область род.]</t>
  </si>
  <si>
    <t>[Дагестанская область ум.]</t>
  </si>
  <si>
    <t>Елисаветпольская</t>
  </si>
  <si>
    <t>[Елисаветпольская род.]</t>
  </si>
  <si>
    <t>[Елисаветпольская ум.]</t>
  </si>
  <si>
    <t>Карсская область</t>
  </si>
  <si>
    <t>Кубанская область</t>
  </si>
  <si>
    <t>[Кубанская область род.]</t>
  </si>
  <si>
    <t>[Кубанская область ум.]</t>
  </si>
  <si>
    <t>Кутаисская</t>
  </si>
  <si>
    <t>[Кутаисская род.]</t>
  </si>
  <si>
    <t>[Кутаисская ум.]</t>
  </si>
  <si>
    <t>Ставропольская</t>
  </si>
  <si>
    <t>[Ставропольская род.]</t>
  </si>
  <si>
    <t>[Ставропольская ум.]</t>
  </si>
  <si>
    <t>Терская область</t>
  </si>
  <si>
    <t>[Терская область род.]</t>
  </si>
  <si>
    <t>[Терская область ум.]</t>
  </si>
  <si>
    <t>Тифлисская</t>
  </si>
  <si>
    <t>[Тифлисская род.]</t>
  </si>
  <si>
    <t>[Тифлисская ум.]</t>
  </si>
  <si>
    <t>Эриванская</t>
  </si>
  <si>
    <t>[Эриванская род.]</t>
  </si>
  <si>
    <t>[Эриванская ум.]</t>
  </si>
  <si>
    <t>Итого на Кавказе</t>
  </si>
  <si>
    <t>Амурская область</t>
  </si>
  <si>
    <t>Енисейская</t>
  </si>
  <si>
    <t>[Енисейская род.]</t>
  </si>
  <si>
    <t>[Енисейская ум.]</t>
  </si>
  <si>
    <t>Забайкальская область</t>
  </si>
  <si>
    <t>[Забайкальская область род.]</t>
  </si>
  <si>
    <t>[Забайкальская область ум.]</t>
  </si>
  <si>
    <t>Иркутская</t>
  </si>
  <si>
    <t>[Иркутская род.]</t>
  </si>
  <si>
    <t>[Иркутская ум.]</t>
  </si>
  <si>
    <t>Приморская область</t>
  </si>
  <si>
    <t>[Приморская область род.]</t>
  </si>
  <si>
    <t>[Приморская область ум.]</t>
  </si>
  <si>
    <t>Тобольская</t>
  </si>
  <si>
    <t>[Тобольская род.]</t>
  </si>
  <si>
    <t>[Тобольская ум.]</t>
  </si>
  <si>
    <t>Томская</t>
  </si>
  <si>
    <t>[Томская род.]</t>
  </si>
  <si>
    <t>[Томская ум.]</t>
  </si>
  <si>
    <t>Якутская область</t>
  </si>
  <si>
    <t>[Якутская область род.]</t>
  </si>
  <si>
    <t>[Якутская область ум.]</t>
  </si>
  <si>
    <t>Остров Сахалин</t>
  </si>
  <si>
    <t>[Остров Сахалин род.]</t>
  </si>
  <si>
    <t>[Остров Сахалин ум.]</t>
  </si>
  <si>
    <t>Итого в Сибири</t>
  </si>
  <si>
    <t>Акмолинская</t>
  </si>
  <si>
    <t>[Акмолинская род.]</t>
  </si>
  <si>
    <t>[Акмолинская ум.]</t>
  </si>
  <si>
    <t>Закаспийская область</t>
  </si>
  <si>
    <t>Самаркандская</t>
  </si>
  <si>
    <t>[Самаркандская род.]</t>
  </si>
  <si>
    <t>[Самаркандская ум.]</t>
  </si>
  <si>
    <t>Семипалатинская</t>
  </si>
  <si>
    <t>[Семипалатинская род.]</t>
  </si>
  <si>
    <t>[Семипалатинская ум.]</t>
  </si>
  <si>
    <t>Семиреченская</t>
  </si>
  <si>
    <t>[Семиреченская род.]</t>
  </si>
  <si>
    <t>[Семиреченская ум.]</t>
  </si>
  <si>
    <t>Сыр-Дарьинская</t>
  </si>
  <si>
    <t>[Сыр-Дарьинская род.]</t>
  </si>
  <si>
    <t>[Сыр-Дарьинская ум.]</t>
  </si>
  <si>
    <t>Тургайская</t>
  </si>
  <si>
    <t>[Тургайская род.]</t>
  </si>
  <si>
    <t>[Тургайская ум.]</t>
  </si>
  <si>
    <t>Уральская область</t>
  </si>
  <si>
    <t>Ферганская</t>
  </si>
  <si>
    <t>[Ферганская род.]</t>
  </si>
  <si>
    <t>[Ферганская ум.]</t>
  </si>
  <si>
    <t>Итого в Средней Азии</t>
  </si>
  <si>
    <t>Итого во всей Империи</t>
  </si>
  <si>
    <t>р YY</t>
  </si>
  <si>
    <t>с YY</t>
  </si>
  <si>
    <t>v-чж</t>
  </si>
  <si>
    <t>v-чр</t>
  </si>
  <si>
    <t>v-чу</t>
  </si>
  <si>
    <t>v-d-чж</t>
  </si>
  <si>
    <t>v-d-чр</t>
  </si>
  <si>
    <t>v-d-чу</t>
  </si>
  <si>
    <t>v-р</t>
  </si>
  <si>
    <t>v-с</t>
  </si>
  <si>
    <t>v-d-р</t>
  </si>
  <si>
    <t>v-d-с</t>
  </si>
  <si>
    <t>Астраханская (оседлое)</t>
  </si>
  <si>
    <t>[Астраханская (оседлое) род.]</t>
  </si>
  <si>
    <t>[Астраханская (оседлое) ум.]</t>
  </si>
  <si>
    <t>Астраханская (кочевники)</t>
  </si>
  <si>
    <t>[Астраханская (кочевники) род.]</t>
  </si>
  <si>
    <t>[Астраханская (кочевники) ум.]</t>
  </si>
  <si>
    <t>[Астраханская (сумма)]</t>
  </si>
  <si>
    <t>Петербургская губерния без приргородов</t>
  </si>
  <si>
    <t>Губернская сумма чж включает пригороды</t>
  </si>
  <si>
    <t>Ярославская губерния Угличский уезд: 59 973 → 109 973.</t>
  </si>
  <si>
    <t>Тифлисская губерния в Ахалцыхском уезде 49 791 → 58 791.</t>
  </si>
  <si>
    <t>Лифляндская губерния Дерптский уезд: 109 578 → 190 578.</t>
  </si>
  <si>
    <t>Проверкой суммы уездов, величин за соседние годы и величин уездной рождаемости и смертности, устанавливаются опечатки и их исправления</t>
  </si>
  <si>
    <t>Для Ферганской области Наманганский уезд — 192 611 жителей.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</si>
</sst>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rlito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F4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3" fontId="1" fillId="2" borderId="0" xfId="0" applyNumberFormat="1" applyFont="1" applyFill="1" applyAlignment="1">
      <alignment horizontal="right" vertical="center"/>
    </xf>
    <xf numFmtId="3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3" fontId="1" fillId="3" borderId="0" xfId="0" applyNumberFormat="1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3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64" fontId="1" fillId="6" borderId="0" xfId="0" applyNumberFormat="1" applyFont="1" applyFill="1" applyAlignment="1">
      <alignment horizontal="center" vertical="center"/>
    </xf>
    <xf numFmtId="3" fontId="0" fillId="6" borderId="0" xfId="0" applyNumberFormat="1" applyFill="1"/>
    <xf numFmtId="0" fontId="2" fillId="5" borderId="0" xfId="0" applyFont="1" applyFill="1" applyAlignment="1">
      <alignment horizontal="center" vertical="center"/>
    </xf>
    <xf numFmtId="164" fontId="0" fillId="6" borderId="0" xfId="0" applyNumberFormat="1" applyFill="1"/>
    <xf numFmtId="0" fontId="0" fillId="6" borderId="0" xfId="0" applyFill="1"/>
    <xf numFmtId="3" fontId="0" fillId="0" borderId="0" xfId="0" applyNumberFormat="1"/>
    <xf numFmtId="164" fontId="0" fillId="0" borderId="0" xfId="0" applyNumberFormat="1"/>
    <xf numFmtId="3" fontId="0" fillId="6" borderId="0" xfId="0" applyNumberFormat="1" applyFill="1" applyAlignment="1">
      <alignment horizontal="center"/>
    </xf>
    <xf numFmtId="3" fontId="0" fillId="6" borderId="0" xfId="0" applyNumberFormat="1" applyFill="1" applyAlignment="1">
      <alignment horizontal="right"/>
    </xf>
    <xf numFmtId="3" fontId="0" fillId="4" borderId="0" xfId="0" applyNumberFormat="1" applyFill="1"/>
    <xf numFmtId="164" fontId="0" fillId="4" borderId="0" xfId="0" applyNumberFormat="1" applyFill="1"/>
    <xf numFmtId="0" fontId="1" fillId="6" borderId="0" xfId="0" applyFont="1" applyFill="1" applyAlignment="1">
      <alignment horizontal="left" vertical="center"/>
    </xf>
    <xf numFmtId="3" fontId="1" fillId="6" borderId="0" xfId="0" applyNumberFormat="1" applyFont="1" applyFill="1" applyAlignment="1">
      <alignment horizontal="right" vertical="center"/>
    </xf>
    <xf numFmtId="3" fontId="1" fillId="6" borderId="0" xfId="0" applyNumberFormat="1" applyFont="1" applyFill="1" applyAlignment="1">
      <alignment horizontal="center" vertical="center"/>
    </xf>
    <xf numFmtId="3" fontId="1" fillId="7" borderId="0" xfId="0" applyNumberFormat="1" applyFont="1" applyFill="1" applyAlignment="1">
      <alignment horizontal="right" vertical="center"/>
    </xf>
    <xf numFmtId="3" fontId="2" fillId="5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F9FDB-F20E-4B9F-A941-0DF180738CAD}">
  <dimension ref="A3:B15"/>
  <sheetViews>
    <sheetView tabSelected="1" workbookViewId="0">
      <selection activeCell="B15" sqref="B15"/>
    </sheetView>
  </sheetViews>
  <sheetFormatPr defaultRowHeight="14.4" x14ac:dyDescent="0.55000000000000004"/>
  <sheetData>
    <row r="3" spans="1:2" x14ac:dyDescent="0.55000000000000004">
      <c r="A3" t="s">
        <v>298</v>
      </c>
    </row>
    <row r="4" spans="1:2" x14ac:dyDescent="0.55000000000000004">
      <c r="A4" t="s">
        <v>299</v>
      </c>
    </row>
    <row r="8" spans="1:2" x14ac:dyDescent="0.55000000000000004">
      <c r="A8" t="s">
        <v>303</v>
      </c>
    </row>
    <row r="11" spans="1:2" x14ac:dyDescent="0.55000000000000004">
      <c r="B11" t="s">
        <v>300</v>
      </c>
    </row>
    <row r="12" spans="1:2" x14ac:dyDescent="0.55000000000000004">
      <c r="B12" t="s">
        <v>301</v>
      </c>
    </row>
    <row r="13" spans="1:2" x14ac:dyDescent="0.55000000000000004">
      <c r="B13" t="s">
        <v>302</v>
      </c>
    </row>
    <row r="15" spans="1:2" x14ac:dyDescent="0.55000000000000004">
      <c r="B15" t="s">
        <v>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75"/>
  <sheetViews>
    <sheetView workbookViewId="0">
      <pane xSplit="1" ySplit="1" topLeftCell="B56" activePane="bottomRight" state="frozen"/>
      <selection pane="topRight" activeCell="B1" sqref="B1"/>
      <selection pane="bottomLeft" activeCell="A2" sqref="A2"/>
      <selection pane="bottomRight" activeCell="B78" sqref="B78"/>
    </sheetView>
  </sheetViews>
  <sheetFormatPr defaultRowHeight="14.4" x14ac:dyDescent="0.55000000000000004"/>
  <cols>
    <col min="1" max="1" width="29.7890625" bestFit="1" customWidth="1"/>
    <col min="2" max="2" width="10.62890625" bestFit="1" customWidth="1"/>
    <col min="3" max="4" width="8.62890625" bestFit="1" customWidth="1"/>
    <col min="5" max="5" width="7.15625" bestFit="1" customWidth="1"/>
    <col min="6" max="7" width="6.15625" bestFit="1" customWidth="1"/>
    <col min="8" max="8" width="10.62890625" bestFit="1" customWidth="1"/>
    <col min="9" max="10" width="8.62890625" bestFit="1" customWidth="1"/>
    <col min="11" max="12" width="4.15625" bestFit="1" customWidth="1"/>
    <col min="13" max="13" width="2.47265625" customWidth="1"/>
    <col min="14" max="28" width="7.15625" bestFit="1" customWidth="1"/>
    <col min="29" max="29" width="2.62890625" customWidth="1"/>
    <col min="30" max="30" width="11.3671875" bestFit="1" customWidth="1"/>
    <col min="31" max="32" width="9.26171875" bestFit="1" customWidth="1"/>
    <col min="33" max="33" width="2.5234375" customWidth="1"/>
    <col min="34" max="34" width="8.3671875" bestFit="1" customWidth="1"/>
    <col min="35" max="35" width="7.68359375" bestFit="1" customWidth="1"/>
    <col min="36" max="36" width="5.578125" bestFit="1" customWidth="1"/>
    <col min="37" max="37" width="3.68359375" customWidth="1"/>
    <col min="38" max="39" width="4.5234375" bestFit="1" customWidth="1"/>
    <col min="41" max="42" width="5.20703125" bestFit="1" customWidth="1"/>
  </cols>
  <sheetData>
    <row r="1" spans="1:42" ht="43.2" x14ac:dyDescent="0.55000000000000004">
      <c r="A1" s="12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6" t="s">
        <v>279</v>
      </c>
      <c r="L1" s="16" t="s">
        <v>280</v>
      </c>
      <c r="M1" s="13"/>
      <c r="N1" s="29" t="s">
        <v>10</v>
      </c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D1" s="11" t="s">
        <v>281</v>
      </c>
      <c r="AE1" s="11" t="s">
        <v>282</v>
      </c>
      <c r="AF1" s="11" t="s">
        <v>283</v>
      </c>
      <c r="AH1" s="11" t="s">
        <v>284</v>
      </c>
      <c r="AI1" s="11" t="s">
        <v>285</v>
      </c>
      <c r="AJ1" s="11" t="s">
        <v>286</v>
      </c>
      <c r="AL1" s="11" t="s">
        <v>287</v>
      </c>
      <c r="AM1" s="11" t="s">
        <v>288</v>
      </c>
      <c r="AO1" s="11" t="s">
        <v>289</v>
      </c>
      <c r="AP1" s="11" t="s">
        <v>290</v>
      </c>
    </row>
    <row r="2" spans="1:42" x14ac:dyDescent="0.55000000000000004">
      <c r="A2" s="4" t="s">
        <v>11</v>
      </c>
      <c r="B2" s="5">
        <v>351000</v>
      </c>
      <c r="C2" s="5">
        <v>13696</v>
      </c>
      <c r="D2" s="5">
        <v>9067</v>
      </c>
      <c r="E2" s="5">
        <v>28814</v>
      </c>
      <c r="F2" s="5">
        <v>915</v>
      </c>
      <c r="G2" s="5">
        <v>759</v>
      </c>
      <c r="H2" s="5">
        <v>343311</v>
      </c>
      <c r="I2" s="5">
        <v>13165</v>
      </c>
      <c r="J2" s="5">
        <v>7890</v>
      </c>
      <c r="K2" s="14">
        <v>39</v>
      </c>
      <c r="L2" s="14">
        <v>25.8</v>
      </c>
      <c r="N2" s="5">
        <v>57173</v>
      </c>
      <c r="O2" s="5">
        <v>39082</v>
      </c>
      <c r="P2" s="5">
        <v>9232</v>
      </c>
      <c r="Q2" s="5">
        <v>52746</v>
      </c>
      <c r="R2" s="5">
        <v>40155</v>
      </c>
      <c r="S2" s="5">
        <v>29900</v>
      </c>
      <c r="T2" s="5">
        <v>40354</v>
      </c>
      <c r="U2" s="5">
        <v>82358</v>
      </c>
      <c r="V2" s="5"/>
      <c r="W2" s="5"/>
      <c r="X2" s="5"/>
      <c r="Y2" s="5"/>
      <c r="Z2" s="5"/>
      <c r="AA2" s="5"/>
      <c r="AB2" s="5"/>
      <c r="AD2" s="15">
        <f>SUM(N2:AB2)</f>
        <v>351000</v>
      </c>
      <c r="AE2" s="15">
        <f>SUM(N3:AB3)</f>
        <v>13696</v>
      </c>
      <c r="AF2" s="15">
        <f>SUM(N4:AB4)</f>
        <v>9067</v>
      </c>
      <c r="AH2" s="15">
        <f>AD2-B2</f>
        <v>0</v>
      </c>
      <c r="AI2" s="15">
        <f>AE2-C2</f>
        <v>0</v>
      </c>
      <c r="AJ2" s="15">
        <f>AF2-D2</f>
        <v>0</v>
      </c>
      <c r="AL2" s="17">
        <f>C2/B2*1000</f>
        <v>39.019943019943021</v>
      </c>
      <c r="AM2" s="17">
        <f>D2/B2*1000</f>
        <v>25.83190883190883</v>
      </c>
      <c r="AO2" s="17">
        <f>AL2-K2</f>
        <v>1.9943019943021056E-2</v>
      </c>
      <c r="AP2" s="17">
        <f>AM2-L2</f>
        <v>3.1908831908829427E-2</v>
      </c>
    </row>
    <row r="3" spans="1:42" x14ac:dyDescent="0.55000000000000004">
      <c r="A3" s="2" t="s">
        <v>12</v>
      </c>
      <c r="B3" s="3"/>
      <c r="C3" s="3"/>
      <c r="D3" s="3"/>
      <c r="E3" s="3"/>
      <c r="F3" s="3"/>
      <c r="G3" s="3"/>
      <c r="H3" s="3"/>
      <c r="I3" s="3"/>
      <c r="J3" s="3"/>
      <c r="K3" s="1"/>
      <c r="L3" s="1"/>
      <c r="N3" s="3">
        <v>2112</v>
      </c>
      <c r="O3" s="3">
        <v>1090</v>
      </c>
      <c r="P3" s="3">
        <v>358</v>
      </c>
      <c r="Q3" s="3">
        <v>2737</v>
      </c>
      <c r="R3" s="3">
        <v>1488</v>
      </c>
      <c r="S3" s="3">
        <v>1313</v>
      </c>
      <c r="T3" s="3">
        <v>1302</v>
      </c>
      <c r="U3" s="3">
        <v>3296</v>
      </c>
      <c r="V3" s="3"/>
      <c r="W3" s="3"/>
      <c r="X3" s="3"/>
      <c r="Y3" s="3"/>
      <c r="Z3" s="3"/>
      <c r="AA3" s="3"/>
      <c r="AB3" s="3"/>
    </row>
    <row r="4" spans="1:42" x14ac:dyDescent="0.55000000000000004">
      <c r="A4" s="2" t="s">
        <v>13</v>
      </c>
      <c r="B4" s="3"/>
      <c r="C4" s="3"/>
      <c r="D4" s="3"/>
      <c r="E4" s="3"/>
      <c r="F4" s="3"/>
      <c r="G4" s="3"/>
      <c r="H4" s="3"/>
      <c r="I4" s="3"/>
      <c r="J4" s="3"/>
      <c r="K4" s="1"/>
      <c r="L4" s="1"/>
      <c r="N4" s="3">
        <v>1341</v>
      </c>
      <c r="O4" s="3">
        <v>593</v>
      </c>
      <c r="P4" s="3">
        <v>266</v>
      </c>
      <c r="Q4" s="3">
        <v>1523</v>
      </c>
      <c r="R4" s="3">
        <v>1126</v>
      </c>
      <c r="S4" s="3">
        <v>890</v>
      </c>
      <c r="T4" s="3">
        <v>1172</v>
      </c>
      <c r="U4" s="3">
        <v>2156</v>
      </c>
      <c r="V4" s="3"/>
      <c r="W4" s="3"/>
      <c r="X4" s="3"/>
      <c r="Y4" s="3"/>
      <c r="Z4" s="3"/>
      <c r="AA4" s="3"/>
      <c r="AB4" s="3"/>
    </row>
    <row r="5" spans="1:42" x14ac:dyDescent="0.55000000000000004">
      <c r="A5" s="4" t="s">
        <v>291</v>
      </c>
      <c r="B5" s="5">
        <f>835980-B8</f>
        <v>479980</v>
      </c>
      <c r="C5" s="5">
        <v>29504</v>
      </c>
      <c r="D5" s="5">
        <v>20801</v>
      </c>
      <c r="E5" s="5">
        <v>94320</v>
      </c>
      <c r="F5" s="5">
        <v>5576</v>
      </c>
      <c r="G5" s="5">
        <v>4945</v>
      </c>
      <c r="H5" s="5">
        <v>832907</v>
      </c>
      <c r="I5" s="5">
        <v>26943</v>
      </c>
      <c r="J5" s="5">
        <v>18450</v>
      </c>
      <c r="K5" s="14">
        <v>61.4</v>
      </c>
      <c r="L5" s="14">
        <v>43.3</v>
      </c>
      <c r="N5" s="5">
        <v>130450</v>
      </c>
      <c r="O5" s="5">
        <v>64600</v>
      </c>
      <c r="P5" s="5">
        <v>32610</v>
      </c>
      <c r="Q5" s="5">
        <v>84750</v>
      </c>
      <c r="R5" s="5">
        <v>167570</v>
      </c>
      <c r="S5" s="5"/>
      <c r="T5" s="5"/>
      <c r="U5" s="5"/>
      <c r="V5" s="5"/>
      <c r="W5" s="5"/>
      <c r="X5" s="5"/>
      <c r="Y5" s="5"/>
      <c r="Z5" s="5"/>
      <c r="AA5" s="5"/>
      <c r="AB5" s="5"/>
      <c r="AD5" s="15">
        <f>SUM(N5:AB5)</f>
        <v>479980</v>
      </c>
      <c r="AE5" s="15">
        <f>SUM(N6:AB6)</f>
        <v>29504</v>
      </c>
      <c r="AF5" s="15">
        <f>SUM(N7:AB7)</f>
        <v>20801</v>
      </c>
      <c r="AH5" s="15">
        <f>AD5-B5</f>
        <v>0</v>
      </c>
      <c r="AI5" s="15">
        <f>AE5-C5</f>
        <v>0</v>
      </c>
      <c r="AJ5" s="15">
        <f>AF5-D5</f>
        <v>0</v>
      </c>
      <c r="AL5" s="17">
        <f>C5/B5*1000</f>
        <v>61.46922788449519</v>
      </c>
      <c r="AM5" s="17">
        <f>D5/B5*1000</f>
        <v>43.337222384266006</v>
      </c>
      <c r="AO5" s="17">
        <f>AL5-K5</f>
        <v>6.9227884495191461E-2</v>
      </c>
      <c r="AP5" s="17">
        <f>AM5-L5</f>
        <v>3.7222384266009101E-2</v>
      </c>
    </row>
    <row r="6" spans="1:42" x14ac:dyDescent="0.55000000000000004">
      <c r="A6" s="2" t="s">
        <v>292</v>
      </c>
      <c r="B6" s="3"/>
      <c r="C6" s="3"/>
      <c r="D6" s="3"/>
      <c r="E6" s="3"/>
      <c r="F6" s="3"/>
      <c r="G6" s="3"/>
      <c r="H6" s="3"/>
      <c r="I6" s="3"/>
      <c r="J6" s="3"/>
      <c r="K6" s="1"/>
      <c r="L6" s="1"/>
      <c r="N6" s="3">
        <v>7776</v>
      </c>
      <c r="O6" s="3">
        <v>4034</v>
      </c>
      <c r="P6" s="3">
        <v>2023</v>
      </c>
      <c r="Q6" s="3">
        <v>5507</v>
      </c>
      <c r="R6" s="3">
        <v>10164</v>
      </c>
      <c r="S6" s="6"/>
      <c r="T6" s="6"/>
      <c r="U6" s="3"/>
      <c r="V6" s="3"/>
      <c r="W6" s="3"/>
      <c r="X6" s="3"/>
      <c r="Y6" s="3"/>
      <c r="Z6" s="3"/>
      <c r="AA6" s="3"/>
      <c r="AB6" s="3"/>
    </row>
    <row r="7" spans="1:42" x14ac:dyDescent="0.55000000000000004">
      <c r="A7" s="2" t="s">
        <v>293</v>
      </c>
      <c r="B7" s="3"/>
      <c r="C7" s="3"/>
      <c r="D7" s="3"/>
      <c r="E7" s="3"/>
      <c r="F7" s="3"/>
      <c r="G7" s="3"/>
      <c r="H7" s="3"/>
      <c r="I7" s="3"/>
      <c r="J7" s="3"/>
      <c r="K7" s="1"/>
      <c r="L7" s="1"/>
      <c r="N7" s="3">
        <v>7005</v>
      </c>
      <c r="O7" s="3">
        <v>2419</v>
      </c>
      <c r="P7" s="3">
        <v>1260</v>
      </c>
      <c r="Q7" s="3">
        <v>3176</v>
      </c>
      <c r="R7" s="3">
        <v>6941</v>
      </c>
      <c r="S7" s="6"/>
      <c r="T7" s="6"/>
      <c r="U7" s="3"/>
      <c r="V7" s="3"/>
      <c r="W7" s="3"/>
      <c r="X7" s="3"/>
      <c r="Y7" s="3"/>
      <c r="Z7" s="3"/>
      <c r="AA7" s="3"/>
      <c r="AB7" s="3"/>
    </row>
    <row r="8" spans="1:42" x14ac:dyDescent="0.55000000000000004">
      <c r="A8" s="25" t="s">
        <v>294</v>
      </c>
      <c r="B8" s="26">
        <f>SUM(N8:O8)</f>
        <v>356000</v>
      </c>
      <c r="C8" s="27" t="s">
        <v>14</v>
      </c>
      <c r="D8" s="27" t="s">
        <v>14</v>
      </c>
      <c r="E8" s="26"/>
      <c r="F8" s="26"/>
      <c r="G8" s="26"/>
      <c r="H8" s="26"/>
      <c r="I8" s="26"/>
      <c r="J8" s="26"/>
      <c r="K8" s="27" t="s">
        <v>14</v>
      </c>
      <c r="L8" s="27" t="s">
        <v>14</v>
      </c>
      <c r="N8" s="5">
        <v>139000</v>
      </c>
      <c r="O8" s="5">
        <v>217000</v>
      </c>
      <c r="P8" s="26"/>
      <c r="Q8" s="26"/>
      <c r="R8" s="26"/>
      <c r="S8" s="27"/>
      <c r="T8" s="27"/>
      <c r="U8" s="26"/>
      <c r="V8" s="26"/>
      <c r="W8" s="26"/>
      <c r="X8" s="26"/>
      <c r="Y8" s="26"/>
      <c r="Z8" s="26"/>
      <c r="AA8" s="26"/>
      <c r="AB8" s="26"/>
      <c r="AD8" s="15">
        <f>SUM(N8:AB8)</f>
        <v>356000</v>
      </c>
      <c r="AE8" s="27" t="s">
        <v>14</v>
      </c>
      <c r="AF8" s="27" t="s">
        <v>14</v>
      </c>
      <c r="AH8" s="18"/>
      <c r="AI8" s="18"/>
      <c r="AJ8" s="18"/>
      <c r="AL8" s="18"/>
      <c r="AM8" s="18"/>
      <c r="AO8" s="18"/>
      <c r="AP8" s="18"/>
    </row>
    <row r="9" spans="1:42" x14ac:dyDescent="0.55000000000000004">
      <c r="A9" s="2" t="s">
        <v>295</v>
      </c>
      <c r="B9" s="3"/>
      <c r="C9" s="3"/>
      <c r="D9" s="3"/>
      <c r="E9" s="3"/>
      <c r="F9" s="3"/>
      <c r="G9" s="3"/>
      <c r="H9" s="3"/>
      <c r="I9" s="3"/>
      <c r="J9" s="3"/>
      <c r="K9" s="1"/>
      <c r="L9" s="1"/>
      <c r="N9" s="6" t="s">
        <v>14</v>
      </c>
      <c r="O9" s="6" t="s">
        <v>14</v>
      </c>
      <c r="P9" s="3"/>
      <c r="Q9" s="3"/>
      <c r="R9" s="3"/>
      <c r="S9" s="6"/>
      <c r="T9" s="6"/>
      <c r="U9" s="3"/>
      <c r="V9" s="3"/>
      <c r="W9" s="3"/>
      <c r="X9" s="3"/>
      <c r="Y9" s="3"/>
      <c r="Z9" s="3"/>
      <c r="AA9" s="3"/>
      <c r="AB9" s="3"/>
    </row>
    <row r="10" spans="1:42" x14ac:dyDescent="0.55000000000000004">
      <c r="A10" s="2" t="s">
        <v>296</v>
      </c>
      <c r="B10" s="3"/>
      <c r="C10" s="3"/>
      <c r="D10" s="3"/>
      <c r="E10" s="3"/>
      <c r="F10" s="3"/>
      <c r="G10" s="3"/>
      <c r="H10" s="3"/>
      <c r="I10" s="3"/>
      <c r="J10" s="3"/>
      <c r="K10" s="1"/>
      <c r="L10" s="1"/>
      <c r="N10" s="6" t="s">
        <v>14</v>
      </c>
      <c r="O10" s="6" t="s">
        <v>14</v>
      </c>
      <c r="P10" s="3"/>
      <c r="Q10" s="3"/>
      <c r="R10" s="3"/>
      <c r="S10" s="6"/>
      <c r="T10" s="6"/>
      <c r="U10" s="3"/>
      <c r="V10" s="3"/>
      <c r="W10" s="3"/>
      <c r="X10" s="3"/>
      <c r="Y10" s="3"/>
      <c r="Z10" s="3"/>
      <c r="AA10" s="3"/>
      <c r="AB10" s="3"/>
    </row>
    <row r="11" spans="1:42" x14ac:dyDescent="0.55000000000000004">
      <c r="A11" s="2" t="s">
        <v>297</v>
      </c>
      <c r="B11" s="3">
        <f>SUM(B5:B8)</f>
        <v>835980</v>
      </c>
      <c r="C11" s="3">
        <f>SUM(C5:C8)</f>
        <v>29504</v>
      </c>
      <c r="D11" s="3">
        <f>SUM(D5:D8)</f>
        <v>20801</v>
      </c>
      <c r="E11" s="3"/>
      <c r="F11" s="3"/>
      <c r="G11" s="3"/>
      <c r="H11" s="3"/>
      <c r="I11" s="3"/>
      <c r="J11" s="3"/>
      <c r="K11" s="1"/>
      <c r="L11" s="1"/>
      <c r="N11" s="6"/>
      <c r="O11" s="6"/>
      <c r="P11" s="3"/>
      <c r="Q11" s="3"/>
      <c r="R11" s="3"/>
      <c r="S11" s="6"/>
      <c r="T11" s="6"/>
      <c r="U11" s="3"/>
      <c r="V11" s="3"/>
      <c r="W11" s="3"/>
      <c r="X11" s="3"/>
      <c r="Y11" s="3"/>
      <c r="Z11" s="3"/>
      <c r="AA11" s="3"/>
      <c r="AB11" s="3"/>
    </row>
    <row r="12" spans="1:42" x14ac:dyDescent="0.55000000000000004">
      <c r="A12" s="4" t="s">
        <v>15</v>
      </c>
      <c r="B12" s="5">
        <v>1335623</v>
      </c>
      <c r="C12" s="5">
        <v>55422</v>
      </c>
      <c r="D12" s="5">
        <v>34246</v>
      </c>
      <c r="E12" s="5">
        <v>144737</v>
      </c>
      <c r="F12" s="5">
        <v>4209</v>
      </c>
      <c r="G12" s="5">
        <v>3673</v>
      </c>
      <c r="H12" s="5">
        <v>1307046</v>
      </c>
      <c r="I12" s="5">
        <v>53966</v>
      </c>
      <c r="J12" s="5">
        <v>34782</v>
      </c>
      <c r="K12" s="14">
        <v>41.5</v>
      </c>
      <c r="L12" s="14">
        <v>25.6</v>
      </c>
      <c r="N12" s="5">
        <v>298937</v>
      </c>
      <c r="O12" s="5">
        <v>193456</v>
      </c>
      <c r="P12" s="5">
        <v>177605</v>
      </c>
      <c r="Q12" s="5">
        <v>171857</v>
      </c>
      <c r="R12" s="5">
        <v>204615</v>
      </c>
      <c r="S12" s="5">
        <v>154750</v>
      </c>
      <c r="T12" s="5">
        <v>134403</v>
      </c>
      <c r="U12" s="5"/>
      <c r="V12" s="5"/>
      <c r="W12" s="5"/>
      <c r="X12" s="5"/>
      <c r="Y12" s="5"/>
      <c r="Z12" s="5"/>
      <c r="AA12" s="5"/>
      <c r="AB12" s="5"/>
      <c r="AD12" s="15">
        <f>SUM(N12:AB12)</f>
        <v>1335623</v>
      </c>
      <c r="AE12" s="15">
        <f>SUM(N13:AB13)</f>
        <v>55422</v>
      </c>
      <c r="AF12" s="15">
        <f>SUM(N14:AB14)</f>
        <v>34246</v>
      </c>
      <c r="AH12" s="15">
        <f>AD12-B12</f>
        <v>0</v>
      </c>
      <c r="AI12" s="15">
        <f>AE12-C12</f>
        <v>0</v>
      </c>
      <c r="AJ12" s="15">
        <f>AF12-D12</f>
        <v>0</v>
      </c>
      <c r="AL12" s="17">
        <f>C12/B12*1000</f>
        <v>41.495242295168623</v>
      </c>
      <c r="AM12" s="17">
        <f>D12/B12*1000</f>
        <v>25.640468904773275</v>
      </c>
      <c r="AO12" s="17">
        <f>AL12-K12</f>
        <v>-4.757704831376941E-3</v>
      </c>
      <c r="AP12" s="17">
        <f>AM12-L12</f>
        <v>4.0468904773273806E-2</v>
      </c>
    </row>
    <row r="13" spans="1:42" x14ac:dyDescent="0.55000000000000004">
      <c r="A13" s="2" t="s">
        <v>16</v>
      </c>
      <c r="B13" s="3"/>
      <c r="C13" s="3"/>
      <c r="D13" s="3"/>
      <c r="E13" s="3"/>
      <c r="F13" s="3"/>
      <c r="G13" s="3"/>
      <c r="H13" s="3"/>
      <c r="I13" s="3"/>
      <c r="J13" s="3"/>
      <c r="K13" s="1"/>
      <c r="L13" s="1"/>
      <c r="N13" s="3">
        <v>10678</v>
      </c>
      <c r="O13" s="3">
        <v>7633</v>
      </c>
      <c r="P13" s="3">
        <v>7305</v>
      </c>
      <c r="Q13" s="3">
        <v>7674</v>
      </c>
      <c r="R13" s="3">
        <v>8309</v>
      </c>
      <c r="S13" s="3">
        <v>6331</v>
      </c>
      <c r="T13" s="3">
        <v>7492</v>
      </c>
      <c r="U13" s="3"/>
      <c r="V13" s="3"/>
      <c r="W13" s="3"/>
      <c r="X13" s="3"/>
      <c r="Y13" s="3"/>
      <c r="Z13" s="3"/>
      <c r="AA13" s="3"/>
      <c r="AB13" s="3"/>
    </row>
    <row r="14" spans="1:42" x14ac:dyDescent="0.55000000000000004">
      <c r="A14" s="2" t="s">
        <v>17</v>
      </c>
      <c r="B14" s="3"/>
      <c r="C14" s="3"/>
      <c r="D14" s="3"/>
      <c r="E14" s="3"/>
      <c r="F14" s="3"/>
      <c r="G14" s="3"/>
      <c r="H14" s="3"/>
      <c r="I14" s="3"/>
      <c r="J14" s="3"/>
      <c r="K14" s="1"/>
      <c r="L14" s="1"/>
      <c r="N14" s="3">
        <v>7142</v>
      </c>
      <c r="O14" s="3">
        <v>4636</v>
      </c>
      <c r="P14" s="3">
        <v>4417</v>
      </c>
      <c r="Q14" s="3">
        <v>4813</v>
      </c>
      <c r="R14" s="3">
        <v>4513</v>
      </c>
      <c r="S14" s="3">
        <v>3973</v>
      </c>
      <c r="T14" s="3">
        <v>4752</v>
      </c>
      <c r="U14" s="3"/>
      <c r="V14" s="3"/>
      <c r="W14" s="3"/>
      <c r="X14" s="3"/>
      <c r="Y14" s="3"/>
      <c r="Z14" s="3"/>
      <c r="AA14" s="3"/>
      <c r="AB14" s="3"/>
    </row>
    <row r="15" spans="1:42" x14ac:dyDescent="0.55000000000000004">
      <c r="A15" s="4" t="s">
        <v>18</v>
      </c>
      <c r="B15" s="28">
        <v>1340891</v>
      </c>
      <c r="C15" s="28">
        <v>56230</v>
      </c>
      <c r="D15" s="5">
        <v>34643</v>
      </c>
      <c r="E15" s="5">
        <v>220061</v>
      </c>
      <c r="F15" s="5">
        <v>5807</v>
      </c>
      <c r="G15" s="5">
        <v>4603</v>
      </c>
      <c r="H15" s="5">
        <v>1292659</v>
      </c>
      <c r="I15" s="5">
        <v>52886</v>
      </c>
      <c r="J15" s="5">
        <v>31781</v>
      </c>
      <c r="K15" s="14">
        <v>49.6</v>
      </c>
      <c r="L15" s="14">
        <v>25.8</v>
      </c>
      <c r="N15" s="5">
        <v>146503</v>
      </c>
      <c r="O15" s="5">
        <v>87786</v>
      </c>
      <c r="P15" s="5">
        <v>95754</v>
      </c>
      <c r="Q15" s="5">
        <v>225522</v>
      </c>
      <c r="R15" s="5">
        <v>80409</v>
      </c>
      <c r="S15" s="5">
        <v>135929</v>
      </c>
      <c r="T15" s="5">
        <v>117183</v>
      </c>
      <c r="U15" s="5">
        <v>110962</v>
      </c>
      <c r="V15" s="5">
        <v>116065</v>
      </c>
      <c r="W15" s="5">
        <v>134183</v>
      </c>
      <c r="X15" s="5">
        <v>90595</v>
      </c>
      <c r="Y15" s="5"/>
      <c r="Z15" s="5"/>
      <c r="AA15" s="5"/>
      <c r="AB15" s="5"/>
      <c r="AD15" s="15">
        <f>SUM(N15:AB15)</f>
        <v>1340891</v>
      </c>
      <c r="AE15" s="15">
        <f>SUM(N16:AB16)</f>
        <v>56230</v>
      </c>
      <c r="AF15" s="15">
        <f>SUM(N17:AB17)</f>
        <v>34643</v>
      </c>
      <c r="AH15" s="15">
        <f>AD15-B15</f>
        <v>0</v>
      </c>
      <c r="AI15" s="15">
        <f>AE15-C15</f>
        <v>0</v>
      </c>
      <c r="AJ15" s="15">
        <f>AF15-D15</f>
        <v>0</v>
      </c>
      <c r="AL15" s="17">
        <f>C15/B15*1000</f>
        <v>41.934803052597111</v>
      </c>
      <c r="AM15" s="17">
        <f>D15/B15*1000</f>
        <v>25.83580619155472</v>
      </c>
      <c r="AO15" s="17">
        <f>AL15-K15</f>
        <v>-7.6651969474028903</v>
      </c>
      <c r="AP15" s="17">
        <f>AM15-L15</f>
        <v>3.5806191554719646E-2</v>
      </c>
    </row>
    <row r="16" spans="1:42" x14ac:dyDescent="0.55000000000000004">
      <c r="A16" s="2" t="s">
        <v>19</v>
      </c>
      <c r="B16" s="3"/>
      <c r="C16" s="3"/>
      <c r="D16" s="3"/>
      <c r="E16" s="3"/>
      <c r="F16" s="3"/>
      <c r="G16" s="3"/>
      <c r="H16" s="3"/>
      <c r="I16" s="3"/>
      <c r="J16" s="3"/>
      <c r="K16" s="1"/>
      <c r="L16" s="1"/>
      <c r="N16" s="3">
        <v>6475</v>
      </c>
      <c r="O16" s="3">
        <v>4532</v>
      </c>
      <c r="P16" s="3">
        <v>4689</v>
      </c>
      <c r="Q16" s="3">
        <v>6675</v>
      </c>
      <c r="R16" s="3">
        <v>4287</v>
      </c>
      <c r="S16" s="3">
        <v>6376</v>
      </c>
      <c r="T16" s="3">
        <v>4706</v>
      </c>
      <c r="U16" s="3">
        <v>4787</v>
      </c>
      <c r="V16" s="3">
        <v>5660</v>
      </c>
      <c r="W16" s="3">
        <v>4031</v>
      </c>
      <c r="X16" s="3">
        <v>4012</v>
      </c>
      <c r="Y16" s="3"/>
      <c r="Z16" s="3"/>
      <c r="AA16" s="3"/>
      <c r="AB16" s="3"/>
    </row>
    <row r="17" spans="1:42" x14ac:dyDescent="0.55000000000000004">
      <c r="A17" s="2" t="s">
        <v>20</v>
      </c>
      <c r="B17" s="3"/>
      <c r="C17" s="3"/>
      <c r="D17" s="3"/>
      <c r="E17" s="3"/>
      <c r="F17" s="3"/>
      <c r="G17" s="3"/>
      <c r="H17" s="3"/>
      <c r="I17" s="3"/>
      <c r="J17" s="3"/>
      <c r="K17" s="1"/>
      <c r="L17" s="1"/>
      <c r="N17" s="3">
        <v>4213</v>
      </c>
      <c r="O17" s="3">
        <v>2604</v>
      </c>
      <c r="P17" s="3">
        <v>2650</v>
      </c>
      <c r="Q17" s="3">
        <v>4817</v>
      </c>
      <c r="R17" s="3">
        <v>2563</v>
      </c>
      <c r="S17" s="3">
        <v>3924</v>
      </c>
      <c r="T17" s="3">
        <v>2832</v>
      </c>
      <c r="U17" s="3">
        <v>3273</v>
      </c>
      <c r="V17" s="3">
        <v>2969</v>
      </c>
      <c r="W17" s="3">
        <v>2542</v>
      </c>
      <c r="X17" s="3">
        <v>2256</v>
      </c>
      <c r="Y17" s="3"/>
      <c r="Z17" s="3"/>
      <c r="AA17" s="3"/>
      <c r="AB17" s="3"/>
    </row>
    <row r="18" spans="1:42" x14ac:dyDescent="0.55000000000000004">
      <c r="A18" s="4" t="s">
        <v>21</v>
      </c>
      <c r="B18" s="5">
        <v>2351051</v>
      </c>
      <c r="C18" s="5">
        <v>123855</v>
      </c>
      <c r="D18" s="5">
        <v>76406</v>
      </c>
      <c r="E18" s="5">
        <v>188561</v>
      </c>
      <c r="F18" s="5">
        <v>6711</v>
      </c>
      <c r="G18" s="5">
        <v>5108</v>
      </c>
      <c r="H18" s="5">
        <v>2284234</v>
      </c>
      <c r="I18" s="5">
        <v>118343</v>
      </c>
      <c r="J18" s="5">
        <v>77140</v>
      </c>
      <c r="K18" s="14">
        <v>52.7</v>
      </c>
      <c r="L18" s="14">
        <v>32.5</v>
      </c>
      <c r="N18" s="5">
        <v>323526</v>
      </c>
      <c r="O18" s="5">
        <v>206873</v>
      </c>
      <c r="P18" s="5">
        <v>159436</v>
      </c>
      <c r="Q18" s="5">
        <v>170768</v>
      </c>
      <c r="R18" s="5">
        <v>181548</v>
      </c>
      <c r="S18" s="5">
        <v>179547</v>
      </c>
      <c r="T18" s="5">
        <v>181279</v>
      </c>
      <c r="U18" s="5">
        <v>251599</v>
      </c>
      <c r="V18" s="5">
        <v>171744</v>
      </c>
      <c r="W18" s="5">
        <v>150556</v>
      </c>
      <c r="X18" s="5">
        <v>205806</v>
      </c>
      <c r="Y18" s="5">
        <v>168369</v>
      </c>
      <c r="Z18" s="5"/>
      <c r="AA18" s="5"/>
      <c r="AB18" s="5"/>
      <c r="AD18" s="15">
        <f>SUM(N18:AB18)</f>
        <v>2351051</v>
      </c>
      <c r="AE18" s="15">
        <f>SUM(N19:AB19)</f>
        <v>123855</v>
      </c>
      <c r="AF18" s="15">
        <f>SUM(N20:AB20)</f>
        <v>76406</v>
      </c>
      <c r="AH18" s="15">
        <f>AD18-B18</f>
        <v>0</v>
      </c>
      <c r="AI18" s="15">
        <f>AE18-C18</f>
        <v>0</v>
      </c>
      <c r="AJ18" s="15">
        <f>AF18-D18</f>
        <v>0</v>
      </c>
      <c r="AL18" s="17">
        <f>C18/B18*1000</f>
        <v>52.68069471908521</v>
      </c>
      <c r="AM18" s="17">
        <f>D18/B18*1000</f>
        <v>32.498656983621366</v>
      </c>
      <c r="AO18" s="17">
        <f>AL18-K18</f>
        <v>-1.9305280914792888E-2</v>
      </c>
      <c r="AP18" s="17">
        <f>AM18-L18</f>
        <v>-1.3430163786338767E-3</v>
      </c>
    </row>
    <row r="19" spans="1:42" x14ac:dyDescent="0.55000000000000004">
      <c r="A19" s="2" t="s">
        <v>22</v>
      </c>
      <c r="B19" s="3"/>
      <c r="C19" s="3"/>
      <c r="D19" s="3"/>
      <c r="E19" s="3"/>
      <c r="F19" s="3"/>
      <c r="G19" s="3"/>
      <c r="H19" s="3"/>
      <c r="I19" s="3"/>
      <c r="J19" s="3"/>
      <c r="K19" s="1"/>
      <c r="L19" s="1"/>
      <c r="N19" s="3">
        <v>17465</v>
      </c>
      <c r="O19" s="3">
        <v>11547</v>
      </c>
      <c r="P19" s="3">
        <v>7690</v>
      </c>
      <c r="Q19" s="3">
        <v>9266</v>
      </c>
      <c r="R19" s="3">
        <v>8194</v>
      </c>
      <c r="S19" s="3">
        <v>9503</v>
      </c>
      <c r="T19" s="3">
        <v>10158</v>
      </c>
      <c r="U19" s="3">
        <v>13381</v>
      </c>
      <c r="V19" s="3">
        <v>9081</v>
      </c>
      <c r="W19" s="3">
        <v>7193</v>
      </c>
      <c r="X19" s="3">
        <v>10679</v>
      </c>
      <c r="Y19" s="3">
        <v>9698</v>
      </c>
      <c r="Z19" s="3"/>
      <c r="AA19" s="3"/>
      <c r="AB19" s="3"/>
    </row>
    <row r="20" spans="1:42" x14ac:dyDescent="0.55000000000000004">
      <c r="A20" s="2" t="s">
        <v>23</v>
      </c>
      <c r="B20" s="3"/>
      <c r="C20" s="3"/>
      <c r="D20" s="3"/>
      <c r="E20" s="3"/>
      <c r="F20" s="3"/>
      <c r="G20" s="3"/>
      <c r="H20" s="3"/>
      <c r="I20" s="3"/>
      <c r="J20" s="3"/>
      <c r="K20" s="1"/>
      <c r="L20" s="1"/>
      <c r="N20" s="3">
        <v>10460</v>
      </c>
      <c r="O20" s="3">
        <v>7279</v>
      </c>
      <c r="P20" s="3">
        <v>4447</v>
      </c>
      <c r="Q20" s="3">
        <v>6207</v>
      </c>
      <c r="R20" s="3">
        <v>5477</v>
      </c>
      <c r="S20" s="3">
        <v>5591</v>
      </c>
      <c r="T20" s="3">
        <v>5908</v>
      </c>
      <c r="U20" s="3">
        <v>8984</v>
      </c>
      <c r="V20" s="3">
        <v>4422</v>
      </c>
      <c r="W20" s="3">
        <v>4357</v>
      </c>
      <c r="X20" s="3">
        <v>6591</v>
      </c>
      <c r="Y20" s="3">
        <v>6683</v>
      </c>
      <c r="Z20" s="3"/>
      <c r="AA20" s="3"/>
      <c r="AB20" s="3"/>
    </row>
    <row r="21" spans="1:42" x14ac:dyDescent="0.55000000000000004">
      <c r="A21" s="4" t="s">
        <v>24</v>
      </c>
      <c r="B21" s="5">
        <v>1387277</v>
      </c>
      <c r="C21" s="5">
        <v>58222</v>
      </c>
      <c r="D21" s="5">
        <v>38883</v>
      </c>
      <c r="E21" s="5">
        <v>206571</v>
      </c>
      <c r="F21" s="5">
        <v>5527</v>
      </c>
      <c r="G21" s="5">
        <v>4183</v>
      </c>
      <c r="H21" s="5">
        <v>1341959</v>
      </c>
      <c r="I21" s="5">
        <v>55913</v>
      </c>
      <c r="J21" s="5">
        <v>36168</v>
      </c>
      <c r="K21" s="14">
        <v>41.9</v>
      </c>
      <c r="L21" s="14">
        <v>28</v>
      </c>
      <c r="N21" s="5">
        <v>177261</v>
      </c>
      <c r="O21" s="5">
        <v>193337</v>
      </c>
      <c r="P21" s="5">
        <v>165149</v>
      </c>
      <c r="Q21" s="5">
        <v>161090</v>
      </c>
      <c r="R21" s="5">
        <v>134509</v>
      </c>
      <c r="S21" s="5">
        <v>149743</v>
      </c>
      <c r="T21" s="5">
        <v>120656</v>
      </c>
      <c r="U21" s="5">
        <v>197149</v>
      </c>
      <c r="V21" s="5">
        <v>88383</v>
      </c>
      <c r="W21" s="5"/>
      <c r="X21" s="5"/>
      <c r="Y21" s="5"/>
      <c r="Z21" s="5"/>
      <c r="AA21" s="5"/>
      <c r="AB21" s="5"/>
      <c r="AD21" s="15">
        <f>SUM(N21:AB21)</f>
        <v>1387277</v>
      </c>
      <c r="AE21" s="15">
        <f>SUM(N22:AB22)</f>
        <v>58222</v>
      </c>
      <c r="AF21" s="15">
        <f>SUM(N23:AB23)</f>
        <v>38883</v>
      </c>
      <c r="AH21" s="15">
        <f>AD21-B21</f>
        <v>0</v>
      </c>
      <c r="AI21" s="15">
        <f>AE21-C21</f>
        <v>0</v>
      </c>
      <c r="AJ21" s="15">
        <f>AF21-D21</f>
        <v>0</v>
      </c>
      <c r="AL21" s="17">
        <f>C21/B21*1000</f>
        <v>41.96854701692596</v>
      </c>
      <c r="AM21" s="17">
        <f>D21/B21*1000</f>
        <v>28.028288510513761</v>
      </c>
      <c r="AO21" s="17">
        <f>AL21-K21</f>
        <v>6.8547016925961657E-2</v>
      </c>
      <c r="AP21" s="17">
        <f>AM21-L21</f>
        <v>2.8288510513760912E-2</v>
      </c>
    </row>
    <row r="22" spans="1:42" x14ac:dyDescent="0.55000000000000004">
      <c r="A22" s="2" t="s">
        <v>25</v>
      </c>
      <c r="B22" s="3"/>
      <c r="C22" s="3"/>
      <c r="D22" s="3"/>
      <c r="E22" s="3"/>
      <c r="F22" s="3"/>
      <c r="G22" s="3"/>
      <c r="H22" s="3"/>
      <c r="I22" s="3"/>
      <c r="J22" s="3"/>
      <c r="K22" s="1"/>
      <c r="L22" s="1"/>
      <c r="N22" s="3">
        <v>7216</v>
      </c>
      <c r="O22" s="3">
        <v>8091</v>
      </c>
      <c r="P22" s="3">
        <v>6507</v>
      </c>
      <c r="Q22" s="3">
        <v>6080</v>
      </c>
      <c r="R22" s="3">
        <v>5705</v>
      </c>
      <c r="S22" s="3">
        <v>7197</v>
      </c>
      <c r="T22" s="3">
        <v>4871</v>
      </c>
      <c r="U22" s="3">
        <v>8361</v>
      </c>
      <c r="V22" s="3">
        <v>4194</v>
      </c>
      <c r="W22" s="3"/>
      <c r="X22" s="3"/>
      <c r="Y22" s="3"/>
      <c r="Z22" s="3"/>
      <c r="AA22" s="3"/>
      <c r="AB22" s="3"/>
    </row>
    <row r="23" spans="1:42" x14ac:dyDescent="0.55000000000000004">
      <c r="A23" s="2" t="s">
        <v>26</v>
      </c>
      <c r="B23" s="3"/>
      <c r="C23" s="3"/>
      <c r="D23" s="3"/>
      <c r="E23" s="3"/>
      <c r="F23" s="3"/>
      <c r="G23" s="3"/>
      <c r="H23" s="3"/>
      <c r="I23" s="3"/>
      <c r="J23" s="3"/>
      <c r="K23" s="1"/>
      <c r="L23" s="1"/>
      <c r="N23" s="3">
        <v>4653</v>
      </c>
      <c r="O23" s="3">
        <v>5421</v>
      </c>
      <c r="P23" s="3">
        <v>4231</v>
      </c>
      <c r="Q23" s="3">
        <v>3839</v>
      </c>
      <c r="R23" s="3">
        <v>3811</v>
      </c>
      <c r="S23" s="3">
        <v>4316</v>
      </c>
      <c r="T23" s="3">
        <v>4182</v>
      </c>
      <c r="U23" s="3">
        <v>6021</v>
      </c>
      <c r="V23" s="3">
        <v>2409</v>
      </c>
      <c r="W23" s="3"/>
      <c r="X23" s="3"/>
      <c r="Y23" s="3"/>
      <c r="Z23" s="3"/>
      <c r="AA23" s="3"/>
      <c r="AB23" s="3"/>
    </row>
    <row r="24" spans="1:42" x14ac:dyDescent="0.55000000000000004">
      <c r="A24" s="4" t="s">
        <v>27</v>
      </c>
      <c r="B24" s="5">
        <v>3070718</v>
      </c>
      <c r="C24" s="5">
        <v>160666</v>
      </c>
      <c r="D24" s="5">
        <v>109190</v>
      </c>
      <c r="E24" s="5">
        <v>410710</v>
      </c>
      <c r="F24" s="5">
        <v>15280</v>
      </c>
      <c r="G24" s="5">
        <v>10627</v>
      </c>
      <c r="H24" s="5">
        <v>2956565</v>
      </c>
      <c r="I24" s="5">
        <v>154278</v>
      </c>
      <c r="J24" s="5">
        <v>92209</v>
      </c>
      <c r="K24" s="14">
        <v>52.3</v>
      </c>
      <c r="L24" s="14">
        <v>35.5</v>
      </c>
      <c r="N24" s="5">
        <v>427238</v>
      </c>
      <c r="O24" s="5">
        <v>254630</v>
      </c>
      <c r="P24" s="5">
        <v>281055</v>
      </c>
      <c r="Q24" s="5">
        <v>245685</v>
      </c>
      <c r="R24" s="5">
        <v>247189</v>
      </c>
      <c r="S24" s="5">
        <v>202338</v>
      </c>
      <c r="T24" s="5">
        <v>249225</v>
      </c>
      <c r="U24" s="5">
        <v>205441</v>
      </c>
      <c r="V24" s="5">
        <v>204474</v>
      </c>
      <c r="W24" s="5">
        <v>281724</v>
      </c>
      <c r="X24" s="5">
        <v>265807</v>
      </c>
      <c r="Y24" s="5">
        <v>205912</v>
      </c>
      <c r="Z24" s="5"/>
      <c r="AA24" s="5"/>
      <c r="AB24" s="5"/>
      <c r="AD24" s="15">
        <f>SUM(N24:AB24)</f>
        <v>3070718</v>
      </c>
      <c r="AE24" s="15">
        <f>SUM(N25:AB25)</f>
        <v>160666</v>
      </c>
      <c r="AF24" s="15">
        <f>SUM(N26:AB26)</f>
        <v>109190</v>
      </c>
      <c r="AH24" s="15">
        <f>AD24-B24</f>
        <v>0</v>
      </c>
      <c r="AI24" s="15">
        <f>AE24-C24</f>
        <v>0</v>
      </c>
      <c r="AJ24" s="15">
        <f>AF24-D24</f>
        <v>0</v>
      </c>
      <c r="AL24" s="17">
        <f>C24/B24*1000</f>
        <v>52.321965090900562</v>
      </c>
      <c r="AM24" s="17">
        <f>D24/B24*1000</f>
        <v>35.558458966274337</v>
      </c>
      <c r="AO24" s="17">
        <f>AL24-K24</f>
        <v>2.1965090900565087E-2</v>
      </c>
      <c r="AP24" s="17">
        <f>AM24-L24</f>
        <v>5.8458966274336888E-2</v>
      </c>
    </row>
    <row r="25" spans="1:42" x14ac:dyDescent="0.55000000000000004">
      <c r="A25" s="2" t="s">
        <v>28</v>
      </c>
      <c r="B25" s="3"/>
      <c r="C25" s="3"/>
      <c r="D25" s="3"/>
      <c r="E25" s="3"/>
      <c r="F25" s="3"/>
      <c r="G25" s="3"/>
      <c r="H25" s="3"/>
      <c r="I25" s="3"/>
      <c r="J25" s="3"/>
      <c r="K25" s="1"/>
      <c r="L25" s="1"/>
      <c r="N25" s="3">
        <v>20700</v>
      </c>
      <c r="O25" s="3">
        <v>12643</v>
      </c>
      <c r="P25" s="3">
        <v>14541</v>
      </c>
      <c r="Q25" s="3">
        <v>12824</v>
      </c>
      <c r="R25" s="3">
        <v>13031</v>
      </c>
      <c r="S25" s="3">
        <v>9773</v>
      </c>
      <c r="T25" s="3">
        <v>13355</v>
      </c>
      <c r="U25" s="3">
        <v>11317</v>
      </c>
      <c r="V25" s="3">
        <v>11217</v>
      </c>
      <c r="W25" s="3">
        <v>14513</v>
      </c>
      <c r="X25" s="3">
        <v>15199</v>
      </c>
      <c r="Y25" s="3">
        <v>11553</v>
      </c>
      <c r="Z25" s="3"/>
      <c r="AA25" s="3"/>
      <c r="AB25" s="3"/>
    </row>
    <row r="26" spans="1:42" x14ac:dyDescent="0.55000000000000004">
      <c r="A26" s="2" t="s">
        <v>29</v>
      </c>
      <c r="B26" s="3"/>
      <c r="C26" s="3"/>
      <c r="D26" s="3"/>
      <c r="E26" s="3"/>
      <c r="F26" s="3"/>
      <c r="G26" s="3"/>
      <c r="H26" s="3"/>
      <c r="I26" s="3"/>
      <c r="J26" s="3"/>
      <c r="K26" s="1"/>
      <c r="L26" s="1"/>
      <c r="N26" s="3">
        <v>14214</v>
      </c>
      <c r="O26" s="3">
        <v>8234</v>
      </c>
      <c r="P26" s="3">
        <v>9163</v>
      </c>
      <c r="Q26" s="3">
        <v>8564</v>
      </c>
      <c r="R26" s="3">
        <v>10048</v>
      </c>
      <c r="S26" s="3">
        <v>7153</v>
      </c>
      <c r="T26" s="3">
        <v>7497</v>
      </c>
      <c r="U26" s="3">
        <v>6929</v>
      </c>
      <c r="V26" s="3">
        <v>8335</v>
      </c>
      <c r="W26" s="3">
        <v>10280</v>
      </c>
      <c r="X26" s="3">
        <v>10972</v>
      </c>
      <c r="Y26" s="3">
        <v>7801</v>
      </c>
      <c r="Z26" s="3"/>
      <c r="AA26" s="3"/>
      <c r="AB26" s="3"/>
    </row>
    <row r="27" spans="1:42" x14ac:dyDescent="0.55000000000000004">
      <c r="A27" s="4" t="s">
        <v>30</v>
      </c>
      <c r="B27" s="5">
        <v>1567622</v>
      </c>
      <c r="C27" s="5">
        <v>53705</v>
      </c>
      <c r="D27" s="5">
        <v>36835</v>
      </c>
      <c r="E27" s="5">
        <v>142081</v>
      </c>
      <c r="F27" s="5">
        <v>3679</v>
      </c>
      <c r="G27" s="5">
        <v>2907</v>
      </c>
      <c r="H27" s="5">
        <v>1543749</v>
      </c>
      <c r="I27" s="5">
        <v>54372</v>
      </c>
      <c r="J27" s="5">
        <v>37297</v>
      </c>
      <c r="K27" s="14">
        <v>34.200000000000003</v>
      </c>
      <c r="L27" s="14">
        <v>23.5</v>
      </c>
      <c r="N27" s="5">
        <v>219265</v>
      </c>
      <c r="O27" s="5">
        <v>239255</v>
      </c>
      <c r="P27" s="5">
        <v>208492</v>
      </c>
      <c r="Q27" s="5">
        <v>218901</v>
      </c>
      <c r="R27" s="5">
        <v>241485</v>
      </c>
      <c r="S27" s="5">
        <v>192755</v>
      </c>
      <c r="T27" s="5">
        <v>247469</v>
      </c>
      <c r="U27" s="5"/>
      <c r="V27" s="5"/>
      <c r="W27" s="5"/>
      <c r="X27" s="5"/>
      <c r="Y27" s="5"/>
      <c r="Z27" s="5"/>
      <c r="AA27" s="5"/>
      <c r="AB27" s="5"/>
      <c r="AD27" s="15">
        <f>SUM(N27:AB27)</f>
        <v>1567622</v>
      </c>
      <c r="AE27" s="15">
        <f>SUM(N28:AB28)</f>
        <v>53705</v>
      </c>
      <c r="AF27" s="15">
        <f>SUM(N29:AB29)</f>
        <v>36835</v>
      </c>
      <c r="AH27" s="15">
        <f>AD27-B27</f>
        <v>0</v>
      </c>
      <c r="AI27" s="15">
        <f>AE27-C27</f>
        <v>0</v>
      </c>
      <c r="AJ27" s="15">
        <f>AF27-D27</f>
        <v>0</v>
      </c>
      <c r="AL27" s="17">
        <f>C27/B27*1000</f>
        <v>34.258896596245776</v>
      </c>
      <c r="AM27" s="17">
        <f>D27/B27*1000</f>
        <v>23.497373729126025</v>
      </c>
      <c r="AO27" s="17">
        <f>AL27-K27</f>
        <v>5.889659624577348E-2</v>
      </c>
      <c r="AP27" s="17">
        <f>AM27-L27</f>
        <v>-2.6262708739750451E-3</v>
      </c>
    </row>
    <row r="28" spans="1:42" x14ac:dyDescent="0.55000000000000004">
      <c r="A28" s="2" t="s">
        <v>31</v>
      </c>
      <c r="B28" s="3"/>
      <c r="C28" s="3"/>
      <c r="D28" s="3"/>
      <c r="E28" s="3"/>
      <c r="F28" s="3"/>
      <c r="G28" s="3"/>
      <c r="H28" s="3"/>
      <c r="I28" s="3"/>
      <c r="J28" s="3"/>
      <c r="K28" s="1"/>
      <c r="L28" s="1"/>
      <c r="N28" s="3">
        <v>7753</v>
      </c>
      <c r="O28" s="3">
        <v>8117</v>
      </c>
      <c r="P28" s="3">
        <v>6538</v>
      </c>
      <c r="Q28" s="3">
        <v>7664</v>
      </c>
      <c r="R28" s="3">
        <v>8618</v>
      </c>
      <c r="S28" s="3">
        <v>6949</v>
      </c>
      <c r="T28" s="3">
        <v>8066</v>
      </c>
      <c r="U28" s="3"/>
      <c r="V28" s="3"/>
      <c r="W28" s="3"/>
      <c r="X28" s="3"/>
      <c r="Y28" s="3"/>
      <c r="Z28" s="3"/>
      <c r="AA28" s="3"/>
      <c r="AB28" s="3"/>
    </row>
    <row r="29" spans="1:42" x14ac:dyDescent="0.55000000000000004">
      <c r="A29" s="2" t="s">
        <v>32</v>
      </c>
      <c r="B29" s="3"/>
      <c r="C29" s="3"/>
      <c r="D29" s="3"/>
      <c r="E29" s="3"/>
      <c r="F29" s="3"/>
      <c r="G29" s="3"/>
      <c r="H29" s="3"/>
      <c r="I29" s="3"/>
      <c r="J29" s="3"/>
      <c r="K29" s="1"/>
      <c r="L29" s="1"/>
      <c r="N29" s="3">
        <v>4903</v>
      </c>
      <c r="O29" s="3">
        <v>5531</v>
      </c>
      <c r="P29" s="3">
        <v>4743</v>
      </c>
      <c r="Q29" s="3">
        <v>5468</v>
      </c>
      <c r="R29" s="3">
        <v>5966</v>
      </c>
      <c r="S29" s="3">
        <v>4886</v>
      </c>
      <c r="T29" s="3">
        <v>5338</v>
      </c>
      <c r="U29" s="3"/>
      <c r="V29" s="3"/>
      <c r="W29" s="3"/>
      <c r="X29" s="3"/>
      <c r="Y29" s="3"/>
      <c r="Z29" s="3"/>
      <c r="AA29" s="3"/>
      <c r="AB29" s="3"/>
    </row>
    <row r="30" spans="1:42" x14ac:dyDescent="0.55000000000000004">
      <c r="A30" s="4" t="s">
        <v>33</v>
      </c>
      <c r="B30" s="5">
        <v>1751380</v>
      </c>
      <c r="C30" s="5">
        <v>83934</v>
      </c>
      <c r="D30" s="5">
        <v>45759</v>
      </c>
      <c r="E30" s="5">
        <v>244633</v>
      </c>
      <c r="F30" s="5">
        <v>6044</v>
      </c>
      <c r="G30" s="5">
        <v>3783</v>
      </c>
      <c r="H30" s="5">
        <v>1696444</v>
      </c>
      <c r="I30" s="5">
        <v>74958</v>
      </c>
      <c r="J30" s="5">
        <v>42194</v>
      </c>
      <c r="K30" s="14">
        <v>47.9</v>
      </c>
      <c r="L30" s="14">
        <v>26.1</v>
      </c>
      <c r="N30" s="5">
        <v>216339</v>
      </c>
      <c r="O30" s="5">
        <v>219345</v>
      </c>
      <c r="P30" s="5">
        <v>185253</v>
      </c>
      <c r="Q30" s="5">
        <v>187019</v>
      </c>
      <c r="R30" s="5">
        <v>134385</v>
      </c>
      <c r="S30" s="5">
        <v>231330</v>
      </c>
      <c r="T30" s="5">
        <v>199863</v>
      </c>
      <c r="U30" s="5">
        <v>159256</v>
      </c>
      <c r="V30" s="5">
        <v>218590</v>
      </c>
      <c r="W30" s="5"/>
      <c r="X30" s="5"/>
      <c r="Y30" s="5"/>
      <c r="Z30" s="5"/>
      <c r="AA30" s="5"/>
      <c r="AB30" s="5"/>
      <c r="AD30" s="15">
        <f>SUM(N30:AB30)</f>
        <v>1751380</v>
      </c>
      <c r="AE30" s="15">
        <f>SUM(N31:AB31)</f>
        <v>83934</v>
      </c>
      <c r="AF30" s="15">
        <f>SUM(N32:AB32)</f>
        <v>45759</v>
      </c>
      <c r="AH30" s="15">
        <f>AD30-B30</f>
        <v>0</v>
      </c>
      <c r="AI30" s="15">
        <f>AE30-C30</f>
        <v>0</v>
      </c>
      <c r="AJ30" s="15">
        <f>AF30-D30</f>
        <v>0</v>
      </c>
      <c r="AL30" s="17">
        <f>C30/B30*1000</f>
        <v>47.924493827724419</v>
      </c>
      <c r="AM30" s="17">
        <f>D30/B30*1000</f>
        <v>26.127396681474039</v>
      </c>
      <c r="AO30" s="17">
        <f>AL30-K30</f>
        <v>2.4493827724420214E-2</v>
      </c>
      <c r="AP30" s="17">
        <f>AM30-L30</f>
        <v>2.7396681474037621E-2</v>
      </c>
    </row>
    <row r="31" spans="1:42" x14ac:dyDescent="0.55000000000000004">
      <c r="A31" s="2" t="s">
        <v>34</v>
      </c>
      <c r="B31" s="3"/>
      <c r="C31" s="3"/>
      <c r="D31" s="3"/>
      <c r="E31" s="3"/>
      <c r="F31" s="3"/>
      <c r="G31" s="3"/>
      <c r="H31" s="3"/>
      <c r="I31" s="3"/>
      <c r="J31" s="3"/>
      <c r="K31" s="1"/>
      <c r="L31" s="1"/>
      <c r="N31" s="3">
        <v>9283</v>
      </c>
      <c r="O31" s="3">
        <v>10534</v>
      </c>
      <c r="P31" s="3">
        <v>9426</v>
      </c>
      <c r="Q31" s="3">
        <v>9156</v>
      </c>
      <c r="R31" s="3">
        <v>7720</v>
      </c>
      <c r="S31" s="3">
        <v>9668</v>
      </c>
      <c r="T31" s="3">
        <v>9309</v>
      </c>
      <c r="U31" s="3">
        <v>9469</v>
      </c>
      <c r="V31" s="3">
        <v>9369</v>
      </c>
      <c r="W31" s="3"/>
      <c r="X31" s="3"/>
      <c r="Y31" s="3"/>
      <c r="Z31" s="3"/>
      <c r="AA31" s="3"/>
      <c r="AB31" s="3"/>
    </row>
    <row r="32" spans="1:42" x14ac:dyDescent="0.55000000000000004">
      <c r="A32" s="2" t="s">
        <v>35</v>
      </c>
      <c r="B32" s="3"/>
      <c r="C32" s="3"/>
      <c r="D32" s="3"/>
      <c r="E32" s="3"/>
      <c r="F32" s="3"/>
      <c r="G32" s="3"/>
      <c r="H32" s="3"/>
      <c r="I32" s="3"/>
      <c r="J32" s="3"/>
      <c r="K32" s="1"/>
      <c r="L32" s="1"/>
      <c r="N32" s="3">
        <v>4695</v>
      </c>
      <c r="O32" s="3">
        <v>5378</v>
      </c>
      <c r="P32" s="3">
        <v>5173</v>
      </c>
      <c r="Q32" s="3">
        <v>4329</v>
      </c>
      <c r="R32" s="3">
        <v>3904</v>
      </c>
      <c r="S32" s="3">
        <v>6039</v>
      </c>
      <c r="T32" s="3">
        <v>5317</v>
      </c>
      <c r="U32" s="3">
        <v>4858</v>
      </c>
      <c r="V32" s="3">
        <v>6066</v>
      </c>
      <c r="W32" s="3"/>
      <c r="X32" s="3"/>
      <c r="Y32" s="3"/>
      <c r="Z32" s="3"/>
      <c r="AA32" s="3"/>
      <c r="AB32" s="3"/>
    </row>
    <row r="33" spans="1:42" x14ac:dyDescent="0.55000000000000004">
      <c r="A33" s="4" t="s">
        <v>36</v>
      </c>
      <c r="B33" s="5">
        <v>1356116</v>
      </c>
      <c r="C33" s="5">
        <v>67930</v>
      </c>
      <c r="D33" s="5">
        <v>36616</v>
      </c>
      <c r="E33" s="5">
        <v>127657</v>
      </c>
      <c r="F33" s="5">
        <v>3958</v>
      </c>
      <c r="G33" s="5">
        <v>2553</v>
      </c>
      <c r="H33" s="5">
        <v>1310292</v>
      </c>
      <c r="I33" s="5">
        <v>66229</v>
      </c>
      <c r="J33" s="5">
        <v>34554</v>
      </c>
      <c r="K33" s="14">
        <v>50.1</v>
      </c>
      <c r="L33" s="14">
        <v>27</v>
      </c>
      <c r="N33" s="5">
        <v>144977</v>
      </c>
      <c r="O33" s="5">
        <v>95428</v>
      </c>
      <c r="P33" s="5">
        <v>194066</v>
      </c>
      <c r="Q33" s="5">
        <v>97961</v>
      </c>
      <c r="R33" s="5">
        <v>119584</v>
      </c>
      <c r="S33" s="5">
        <v>80035</v>
      </c>
      <c r="T33" s="5">
        <v>123760</v>
      </c>
      <c r="U33" s="5">
        <v>168578</v>
      </c>
      <c r="V33" s="5">
        <v>129447</v>
      </c>
      <c r="W33" s="5">
        <v>74636</v>
      </c>
      <c r="X33" s="5">
        <v>127644</v>
      </c>
      <c r="Y33" s="5"/>
      <c r="Z33" s="5"/>
      <c r="AA33" s="5"/>
      <c r="AB33" s="5"/>
      <c r="AD33" s="15">
        <f>SUM(N33:AB33)</f>
        <v>1356116</v>
      </c>
      <c r="AE33" s="15">
        <f>SUM(N34:AB34)</f>
        <v>67930</v>
      </c>
      <c r="AF33" s="15">
        <f>SUM(N35:AB35)</f>
        <v>36616</v>
      </c>
      <c r="AH33" s="15">
        <f>AD33-B33</f>
        <v>0</v>
      </c>
      <c r="AI33" s="15">
        <f>AE33-C33</f>
        <v>0</v>
      </c>
      <c r="AJ33" s="15">
        <f>AF33-D33</f>
        <v>0</v>
      </c>
      <c r="AL33" s="17">
        <f>C33/B33*1000</f>
        <v>50.09158508564164</v>
      </c>
      <c r="AM33" s="17">
        <f>D33/B33*1000</f>
        <v>27.000640063239427</v>
      </c>
      <c r="AO33" s="17">
        <f>AL33-K33</f>
        <v>-8.4149143583616137E-3</v>
      </c>
      <c r="AP33" s="17">
        <f>AM33-L33</f>
        <v>6.4006323942678023E-4</v>
      </c>
    </row>
    <row r="34" spans="1:42" x14ac:dyDescent="0.55000000000000004">
      <c r="A34" s="2" t="s">
        <v>37</v>
      </c>
      <c r="B34" s="3"/>
      <c r="C34" s="3"/>
      <c r="D34" s="3"/>
      <c r="E34" s="3"/>
      <c r="F34" s="3"/>
      <c r="G34" s="3"/>
      <c r="H34" s="3"/>
      <c r="I34" s="3"/>
      <c r="J34" s="3"/>
      <c r="K34" s="1"/>
      <c r="L34" s="1"/>
      <c r="N34" s="3">
        <v>5563</v>
      </c>
      <c r="O34" s="3">
        <v>5322</v>
      </c>
      <c r="P34" s="3">
        <v>9307</v>
      </c>
      <c r="Q34" s="3">
        <v>5048</v>
      </c>
      <c r="R34" s="3">
        <v>5949</v>
      </c>
      <c r="S34" s="3">
        <v>4138</v>
      </c>
      <c r="T34" s="3">
        <v>7369</v>
      </c>
      <c r="U34" s="3">
        <v>9781</v>
      </c>
      <c r="V34" s="3">
        <v>6426</v>
      </c>
      <c r="W34" s="3">
        <v>3481</v>
      </c>
      <c r="X34" s="3">
        <v>5546</v>
      </c>
      <c r="Y34" s="3"/>
      <c r="Z34" s="3"/>
      <c r="AA34" s="3"/>
      <c r="AB34" s="3"/>
    </row>
    <row r="35" spans="1:42" x14ac:dyDescent="0.55000000000000004">
      <c r="A35" s="2" t="s">
        <v>38</v>
      </c>
      <c r="B35" s="3"/>
      <c r="C35" s="3"/>
      <c r="D35" s="3"/>
      <c r="E35" s="3"/>
      <c r="F35" s="3"/>
      <c r="G35" s="3"/>
      <c r="H35" s="3"/>
      <c r="I35" s="3"/>
      <c r="J35" s="3"/>
      <c r="K35" s="1"/>
      <c r="L35" s="1"/>
      <c r="N35" s="3">
        <v>2961</v>
      </c>
      <c r="O35" s="3">
        <v>2600</v>
      </c>
      <c r="P35" s="3">
        <v>5066</v>
      </c>
      <c r="Q35" s="3">
        <v>3669</v>
      </c>
      <c r="R35" s="3">
        <v>2849</v>
      </c>
      <c r="S35" s="3">
        <v>2557</v>
      </c>
      <c r="T35" s="3">
        <v>3669</v>
      </c>
      <c r="U35" s="3">
        <v>4869</v>
      </c>
      <c r="V35" s="3">
        <v>3422</v>
      </c>
      <c r="W35" s="3">
        <v>1813</v>
      </c>
      <c r="X35" s="3">
        <v>3141</v>
      </c>
      <c r="Y35" s="3"/>
      <c r="Z35" s="3"/>
      <c r="AA35" s="3"/>
      <c r="AB35" s="3"/>
    </row>
    <row r="36" spans="1:42" x14ac:dyDescent="0.55000000000000004">
      <c r="A36" s="4" t="s">
        <v>39</v>
      </c>
      <c r="B36" s="5">
        <v>1369287</v>
      </c>
      <c r="C36" s="5">
        <v>82288</v>
      </c>
      <c r="D36" s="5">
        <v>53448</v>
      </c>
      <c r="E36" s="5">
        <v>117607</v>
      </c>
      <c r="F36" s="5">
        <v>6484</v>
      </c>
      <c r="G36" s="5">
        <v>5290</v>
      </c>
      <c r="H36" s="5">
        <v>1322226</v>
      </c>
      <c r="I36" s="5">
        <v>79542</v>
      </c>
      <c r="J36" s="5">
        <v>53448</v>
      </c>
      <c r="K36" s="14">
        <v>61.1</v>
      </c>
      <c r="L36" s="14">
        <v>39</v>
      </c>
      <c r="N36" s="5">
        <v>474609</v>
      </c>
      <c r="O36" s="5">
        <v>180268</v>
      </c>
      <c r="P36" s="5">
        <v>177629</v>
      </c>
      <c r="Q36" s="5">
        <v>155975</v>
      </c>
      <c r="R36" s="5">
        <v>380806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D36" s="15">
        <f>SUM(N36:AB36)</f>
        <v>1369287</v>
      </c>
      <c r="AE36" s="15">
        <f>SUM(N37:AB37)</f>
        <v>82288</v>
      </c>
      <c r="AF36" s="15">
        <f>SUM(N38:AB38)</f>
        <v>53448</v>
      </c>
      <c r="AH36" s="15">
        <f>AD36-B36</f>
        <v>0</v>
      </c>
      <c r="AI36" s="15">
        <f>AE36-C36</f>
        <v>0</v>
      </c>
      <c r="AJ36" s="15">
        <f>AF36-D36</f>
        <v>0</v>
      </c>
      <c r="AL36" s="17">
        <f>C36/B36*1000</f>
        <v>60.095509560815223</v>
      </c>
      <c r="AM36" s="17">
        <f>D36/B36*1000</f>
        <v>39.033453176726283</v>
      </c>
      <c r="AO36" s="17">
        <f>AL36-K36</f>
        <v>-1.004490439184778</v>
      </c>
      <c r="AP36" s="17">
        <f>AM36-L36</f>
        <v>3.3453176726283118E-2</v>
      </c>
    </row>
    <row r="37" spans="1:42" x14ac:dyDescent="0.55000000000000004">
      <c r="A37" s="2" t="s">
        <v>40</v>
      </c>
      <c r="B37" s="3"/>
      <c r="C37" s="3"/>
      <c r="D37" s="3"/>
      <c r="E37" s="3"/>
      <c r="F37" s="3"/>
      <c r="G37" s="3"/>
      <c r="H37" s="3"/>
      <c r="I37" s="3"/>
      <c r="J37" s="3"/>
      <c r="K37" s="1"/>
      <c r="L37" s="1"/>
      <c r="N37" s="3">
        <v>28127</v>
      </c>
      <c r="O37" s="3">
        <v>10199</v>
      </c>
      <c r="P37" s="3">
        <v>10490</v>
      </c>
      <c r="Q37" s="3">
        <v>10664</v>
      </c>
      <c r="R37" s="3">
        <v>22808</v>
      </c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42" x14ac:dyDescent="0.55000000000000004">
      <c r="A38" s="2" t="s">
        <v>41</v>
      </c>
      <c r="B38" s="3"/>
      <c r="C38" s="3"/>
      <c r="D38" s="3"/>
      <c r="E38" s="3"/>
      <c r="F38" s="3"/>
      <c r="G38" s="3"/>
      <c r="H38" s="3"/>
      <c r="I38" s="3"/>
      <c r="J38" s="3"/>
      <c r="K38" s="1"/>
      <c r="L38" s="1"/>
      <c r="N38" s="3">
        <v>16120</v>
      </c>
      <c r="O38" s="3">
        <v>6739</v>
      </c>
      <c r="P38" s="3">
        <v>5976</v>
      </c>
      <c r="Q38" s="3">
        <v>7236</v>
      </c>
      <c r="R38" s="3">
        <v>17377</v>
      </c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42" x14ac:dyDescent="0.55000000000000004">
      <c r="A39" s="4" t="s">
        <v>42</v>
      </c>
      <c r="B39" s="5">
        <v>2557912</v>
      </c>
      <c r="C39" s="5">
        <v>127960</v>
      </c>
      <c r="D39" s="5">
        <v>82434</v>
      </c>
      <c r="E39" s="5">
        <v>180503</v>
      </c>
      <c r="F39" s="5">
        <v>6563</v>
      </c>
      <c r="G39" s="5">
        <v>4495</v>
      </c>
      <c r="H39" s="5">
        <v>2462095</v>
      </c>
      <c r="I39" s="5">
        <v>122066</v>
      </c>
      <c r="J39" s="5">
        <v>74686</v>
      </c>
      <c r="K39" s="14">
        <v>50</v>
      </c>
      <c r="L39" s="14">
        <v>32.200000000000003</v>
      </c>
      <c r="N39" s="5">
        <v>211239</v>
      </c>
      <c r="O39" s="5">
        <v>312451</v>
      </c>
      <c r="P39" s="5">
        <v>213103</v>
      </c>
      <c r="Q39" s="5">
        <v>197394</v>
      </c>
      <c r="R39" s="5">
        <v>213325</v>
      </c>
      <c r="S39" s="5">
        <v>138346</v>
      </c>
      <c r="T39" s="5">
        <v>182258</v>
      </c>
      <c r="U39" s="5">
        <v>177796</v>
      </c>
      <c r="V39" s="5">
        <v>273994</v>
      </c>
      <c r="W39" s="5">
        <v>241824</v>
      </c>
      <c r="X39" s="5">
        <v>179113</v>
      </c>
      <c r="Y39" s="5">
        <v>217069</v>
      </c>
      <c r="Z39" s="5"/>
      <c r="AA39" s="5"/>
      <c r="AB39" s="5"/>
      <c r="AD39" s="15">
        <f>SUM(N39:AB39)</f>
        <v>2557912</v>
      </c>
      <c r="AE39" s="15">
        <f>SUM(N40:AB40)</f>
        <v>127960</v>
      </c>
      <c r="AF39" s="15">
        <f>SUM(N41:AB41)</f>
        <v>82434</v>
      </c>
      <c r="AH39" s="15">
        <f>AD39-B39</f>
        <v>0</v>
      </c>
      <c r="AI39" s="15">
        <f>AE39-C39</f>
        <v>0</v>
      </c>
      <c r="AJ39" s="15">
        <f>AF39-D39</f>
        <v>0</v>
      </c>
      <c r="AL39" s="17">
        <f>C39/B39*1000</f>
        <v>50.025176784815116</v>
      </c>
      <c r="AM39" s="17">
        <f>D39/B39*1000</f>
        <v>32.227066451074158</v>
      </c>
      <c r="AO39" s="17">
        <f>AL39-K39</f>
        <v>2.5176784815116093E-2</v>
      </c>
      <c r="AP39" s="17">
        <f>AM39-L39</f>
        <v>2.7066451074155395E-2</v>
      </c>
    </row>
    <row r="40" spans="1:42" x14ac:dyDescent="0.55000000000000004">
      <c r="A40" s="2" t="s">
        <v>43</v>
      </c>
      <c r="B40" s="3"/>
      <c r="C40" s="3"/>
      <c r="D40" s="3"/>
      <c r="E40" s="3"/>
      <c r="F40" s="3"/>
      <c r="G40" s="3"/>
      <c r="H40" s="3"/>
      <c r="I40" s="3"/>
      <c r="J40" s="3"/>
      <c r="K40" s="1"/>
      <c r="L40" s="1"/>
      <c r="N40" s="3">
        <v>10895</v>
      </c>
      <c r="O40" s="3">
        <v>18003</v>
      </c>
      <c r="P40" s="3">
        <v>10898</v>
      </c>
      <c r="Q40" s="3">
        <v>10557</v>
      </c>
      <c r="R40" s="3">
        <v>8664</v>
      </c>
      <c r="S40" s="3">
        <v>7606</v>
      </c>
      <c r="T40" s="3">
        <v>9322</v>
      </c>
      <c r="U40" s="3">
        <v>9320</v>
      </c>
      <c r="V40" s="3">
        <v>8930</v>
      </c>
      <c r="W40" s="3">
        <v>12634</v>
      </c>
      <c r="X40" s="3">
        <v>9709</v>
      </c>
      <c r="Y40" s="3">
        <v>11422</v>
      </c>
      <c r="Z40" s="3"/>
      <c r="AA40" s="3"/>
      <c r="AB40" s="3"/>
    </row>
    <row r="41" spans="1:42" x14ac:dyDescent="0.55000000000000004">
      <c r="A41" s="2" t="s">
        <v>44</v>
      </c>
      <c r="B41" s="3"/>
      <c r="C41" s="3"/>
      <c r="D41" s="3"/>
      <c r="E41" s="3"/>
      <c r="F41" s="3"/>
      <c r="G41" s="3"/>
      <c r="H41" s="3"/>
      <c r="I41" s="3"/>
      <c r="J41" s="3"/>
      <c r="K41" s="1"/>
      <c r="L41" s="1"/>
      <c r="N41" s="3">
        <v>7568</v>
      </c>
      <c r="O41" s="3">
        <v>9434</v>
      </c>
      <c r="P41" s="3">
        <v>6690</v>
      </c>
      <c r="Q41" s="3">
        <v>6596</v>
      </c>
      <c r="R41" s="3">
        <v>7170</v>
      </c>
      <c r="S41" s="3">
        <v>4700</v>
      </c>
      <c r="T41" s="3">
        <v>6137</v>
      </c>
      <c r="U41" s="3">
        <v>6495</v>
      </c>
      <c r="V41" s="3">
        <v>5468</v>
      </c>
      <c r="W41" s="3">
        <v>8980</v>
      </c>
      <c r="X41" s="3">
        <v>5751</v>
      </c>
      <c r="Y41" s="3">
        <v>7445</v>
      </c>
      <c r="Z41" s="3"/>
      <c r="AA41" s="3"/>
      <c r="AB41" s="3"/>
    </row>
    <row r="42" spans="1:42" x14ac:dyDescent="0.55000000000000004">
      <c r="A42" s="7" t="s">
        <v>45</v>
      </c>
      <c r="B42" s="8">
        <v>19274857</v>
      </c>
      <c r="C42" s="8">
        <v>922412</v>
      </c>
      <c r="D42" s="8">
        <v>578328</v>
      </c>
      <c r="E42" s="8"/>
      <c r="F42" s="8"/>
      <c r="G42" s="8"/>
      <c r="H42" s="8">
        <v>18793489</v>
      </c>
      <c r="I42" s="8">
        <v>872664</v>
      </c>
      <c r="J42" s="8">
        <v>540603</v>
      </c>
      <c r="K42" s="10">
        <v>48.7</v>
      </c>
      <c r="L42" s="10">
        <v>30.6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D42" s="23">
        <f>SUM(AD2:AD41)</f>
        <v>19274857</v>
      </c>
      <c r="AE42" s="23">
        <f>SUM(AE2:AE41)</f>
        <v>913412</v>
      </c>
      <c r="AF42" s="23">
        <f>SUM(AF2:AF41)</f>
        <v>578328</v>
      </c>
      <c r="AH42" s="23">
        <f>AD42-B42</f>
        <v>0</v>
      </c>
      <c r="AI42" s="23">
        <f>AE42-C42</f>
        <v>-9000</v>
      </c>
      <c r="AJ42" s="23">
        <f>AF42-D42</f>
        <v>0</v>
      </c>
      <c r="AL42" s="24">
        <f>C42/B42*1000</f>
        <v>47.855711718120652</v>
      </c>
      <c r="AM42" s="24">
        <f>D42/B42*1000</f>
        <v>30.004269292373998</v>
      </c>
      <c r="AO42" s="24">
        <f t="shared" ref="AO42:AP44" si="0">AL42-K42</f>
        <v>-0.84428828187935068</v>
      </c>
      <c r="AP42" s="24">
        <f t="shared" si="0"/>
        <v>-0.59573070762600366</v>
      </c>
    </row>
    <row r="43" spans="1:42" x14ac:dyDescent="0.55000000000000004">
      <c r="A43" s="4" t="s">
        <v>46</v>
      </c>
      <c r="B43" s="5">
        <v>445770</v>
      </c>
      <c r="C43" s="5">
        <v>22125</v>
      </c>
      <c r="D43" s="5">
        <v>13049</v>
      </c>
      <c r="E43" s="5"/>
      <c r="F43" s="5"/>
      <c r="G43" s="5"/>
      <c r="H43" s="5">
        <v>446999</v>
      </c>
      <c r="I43" s="5">
        <v>17596</v>
      </c>
      <c r="J43" s="5">
        <v>11886</v>
      </c>
      <c r="K43" s="14">
        <v>49.6</v>
      </c>
      <c r="L43" s="14">
        <v>29.3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D43" s="15">
        <f>B43</f>
        <v>445770</v>
      </c>
      <c r="AE43" s="15">
        <f>C43</f>
        <v>22125</v>
      </c>
      <c r="AF43" s="15">
        <f>D43</f>
        <v>13049</v>
      </c>
      <c r="AG43" s="18"/>
      <c r="AH43" s="18"/>
      <c r="AI43" s="18"/>
      <c r="AJ43" s="18"/>
      <c r="AL43" s="17">
        <f>C43/B43*1000</f>
        <v>49.633218924557504</v>
      </c>
      <c r="AM43" s="17">
        <f>D43/B43*1000</f>
        <v>29.272943446171794</v>
      </c>
      <c r="AO43" s="17">
        <f t="shared" si="0"/>
        <v>3.3218924557502305E-2</v>
      </c>
      <c r="AP43" s="17">
        <f t="shared" si="0"/>
        <v>-2.7056553828206376E-2</v>
      </c>
    </row>
    <row r="44" spans="1:42" x14ac:dyDescent="0.55000000000000004">
      <c r="A44" s="4" t="s">
        <v>47</v>
      </c>
      <c r="B44" s="5">
        <v>983564</v>
      </c>
      <c r="C44" s="5">
        <v>42272</v>
      </c>
      <c r="D44" s="5">
        <v>26734</v>
      </c>
      <c r="E44" s="5">
        <v>52567</v>
      </c>
      <c r="F44" s="5">
        <v>2328</v>
      </c>
      <c r="G44" s="5">
        <v>1350</v>
      </c>
      <c r="H44" s="5">
        <v>1023264</v>
      </c>
      <c r="I44" s="5">
        <v>43227</v>
      </c>
      <c r="J44" s="5">
        <v>24427</v>
      </c>
      <c r="K44" s="14">
        <v>42.9</v>
      </c>
      <c r="L44" s="14">
        <v>27.2</v>
      </c>
      <c r="N44" s="5">
        <v>111259</v>
      </c>
      <c r="O44" s="5">
        <v>84733</v>
      </c>
      <c r="P44" s="5">
        <v>86189</v>
      </c>
      <c r="Q44" s="5">
        <v>102857</v>
      </c>
      <c r="R44" s="5">
        <v>86018</v>
      </c>
      <c r="S44" s="5">
        <v>80931</v>
      </c>
      <c r="T44" s="5">
        <v>85591</v>
      </c>
      <c r="U44" s="5">
        <v>78785</v>
      </c>
      <c r="V44" s="5">
        <v>86350</v>
      </c>
      <c r="W44" s="5">
        <v>61273</v>
      </c>
      <c r="X44" s="5">
        <v>48272</v>
      </c>
      <c r="Y44" s="5">
        <v>71306</v>
      </c>
      <c r="Z44" s="5"/>
      <c r="AA44" s="5"/>
      <c r="AB44" s="5"/>
      <c r="AD44" s="15">
        <f>SUM(N44:AB44)</f>
        <v>983564</v>
      </c>
      <c r="AE44" s="15">
        <f>SUM(N45:AB45)</f>
        <v>42272</v>
      </c>
      <c r="AF44" s="15">
        <f>SUM(N46:AB46)</f>
        <v>26734</v>
      </c>
      <c r="AH44" s="15">
        <f>AD44-B44</f>
        <v>0</v>
      </c>
      <c r="AI44" s="15">
        <f>AE44-C44</f>
        <v>0</v>
      </c>
      <c r="AJ44" s="15">
        <f>AF44-D44</f>
        <v>0</v>
      </c>
      <c r="AL44" s="17">
        <f>C44/B44*1000</f>
        <v>42.978392865131298</v>
      </c>
      <c r="AM44" s="17">
        <f>D44/B44*1000</f>
        <v>27.180742686800251</v>
      </c>
      <c r="AO44" s="17">
        <f t="shared" si="0"/>
        <v>7.8392865131299061E-2</v>
      </c>
      <c r="AP44" s="17">
        <f t="shared" si="0"/>
        <v>-1.9257313199748438E-2</v>
      </c>
    </row>
    <row r="45" spans="1:42" x14ac:dyDescent="0.55000000000000004">
      <c r="A45" s="2" t="s">
        <v>48</v>
      </c>
      <c r="B45" s="3"/>
      <c r="C45" s="3"/>
      <c r="D45" s="3"/>
      <c r="E45" s="3"/>
      <c r="F45" s="3"/>
      <c r="G45" s="3"/>
      <c r="H45" s="3"/>
      <c r="I45" s="3"/>
      <c r="J45" s="3"/>
      <c r="K45" s="1"/>
      <c r="L45" s="1"/>
      <c r="N45" s="3">
        <v>6955</v>
      </c>
      <c r="O45" s="3">
        <v>4262</v>
      </c>
      <c r="P45" s="3">
        <v>3893</v>
      </c>
      <c r="Q45" s="3">
        <v>3255</v>
      </c>
      <c r="R45" s="3">
        <v>3365</v>
      </c>
      <c r="S45" s="3">
        <v>3130</v>
      </c>
      <c r="T45" s="3">
        <v>3453</v>
      </c>
      <c r="U45" s="3">
        <v>3467</v>
      </c>
      <c r="V45" s="3">
        <v>2970</v>
      </c>
      <c r="W45" s="3">
        <v>2400</v>
      </c>
      <c r="X45" s="3">
        <v>1766</v>
      </c>
      <c r="Y45" s="3">
        <v>3356</v>
      </c>
      <c r="Z45" s="3"/>
      <c r="AA45" s="3"/>
      <c r="AB45" s="3"/>
    </row>
    <row r="46" spans="1:42" x14ac:dyDescent="0.55000000000000004">
      <c r="A46" s="2" t="s">
        <v>49</v>
      </c>
      <c r="B46" s="3"/>
      <c r="C46" s="3"/>
      <c r="D46" s="3"/>
      <c r="E46" s="3"/>
      <c r="F46" s="3"/>
      <c r="G46" s="3"/>
      <c r="H46" s="3"/>
      <c r="I46" s="3"/>
      <c r="J46" s="3"/>
      <c r="K46" s="1"/>
      <c r="L46" s="1"/>
      <c r="N46" s="3">
        <v>4490</v>
      </c>
      <c r="O46" s="3">
        <v>2521</v>
      </c>
      <c r="P46" s="3">
        <v>1783</v>
      </c>
      <c r="Q46" s="3">
        <v>2831</v>
      </c>
      <c r="R46" s="3">
        <v>1810</v>
      </c>
      <c r="S46" s="3">
        <v>2144</v>
      </c>
      <c r="T46" s="3">
        <v>2264</v>
      </c>
      <c r="U46" s="3">
        <v>2525</v>
      </c>
      <c r="V46" s="3">
        <v>2197</v>
      </c>
      <c r="W46" s="3">
        <v>1275</v>
      </c>
      <c r="X46" s="3">
        <v>998</v>
      </c>
      <c r="Y46" s="3">
        <v>1896</v>
      </c>
      <c r="Z46" s="3"/>
      <c r="AA46" s="3"/>
      <c r="AB46" s="3"/>
    </row>
    <row r="47" spans="1:42" x14ac:dyDescent="0.55000000000000004">
      <c r="A47" s="4" t="s">
        <v>50</v>
      </c>
      <c r="B47" s="5">
        <v>863739</v>
      </c>
      <c r="C47" s="5">
        <v>35922</v>
      </c>
      <c r="D47" s="5">
        <v>19730</v>
      </c>
      <c r="E47" s="5">
        <v>65256</v>
      </c>
      <c r="F47" s="5">
        <v>2056</v>
      </c>
      <c r="G47" s="5">
        <v>1470</v>
      </c>
      <c r="H47" s="5">
        <v>840881</v>
      </c>
      <c r="I47" s="5">
        <v>32698</v>
      </c>
      <c r="J47" s="5">
        <v>20821</v>
      </c>
      <c r="K47" s="14">
        <v>41.5</v>
      </c>
      <c r="L47" s="14">
        <v>22.9</v>
      </c>
      <c r="N47" s="5">
        <v>116988</v>
      </c>
      <c r="O47" s="5">
        <v>131945</v>
      </c>
      <c r="P47" s="5">
        <v>102483</v>
      </c>
      <c r="Q47" s="5">
        <v>87530</v>
      </c>
      <c r="R47" s="5">
        <v>114639</v>
      </c>
      <c r="S47" s="5">
        <v>85164</v>
      </c>
      <c r="T47" s="5">
        <v>128183</v>
      </c>
      <c r="U47" s="5">
        <v>96807</v>
      </c>
      <c r="V47" s="5"/>
      <c r="W47" s="5"/>
      <c r="X47" s="5"/>
      <c r="Y47" s="5"/>
      <c r="Z47" s="5"/>
      <c r="AA47" s="5"/>
      <c r="AB47" s="5"/>
      <c r="AD47" s="15">
        <f>SUM(N47:AB47)</f>
        <v>863739</v>
      </c>
      <c r="AE47" s="15">
        <f>SUM(N48:AB48)</f>
        <v>35922</v>
      </c>
      <c r="AF47" s="15">
        <f>SUM(N49:AB49)</f>
        <v>19730</v>
      </c>
      <c r="AH47" s="15">
        <f>AD47-B47</f>
        <v>0</v>
      </c>
      <c r="AI47" s="15">
        <f>AE47-C47</f>
        <v>0</v>
      </c>
      <c r="AJ47" s="15">
        <f>AF47-D47</f>
        <v>0</v>
      </c>
      <c r="AL47" s="17">
        <f>C47/B47*1000</f>
        <v>41.58895221820481</v>
      </c>
      <c r="AM47" s="17">
        <f>D47/B47*1000</f>
        <v>22.842548501341263</v>
      </c>
      <c r="AO47" s="17">
        <f>AL47-K47</f>
        <v>8.8952218204809697E-2</v>
      </c>
      <c r="AP47" s="17">
        <f>AM47-L47</f>
        <v>-5.7451498658736E-2</v>
      </c>
    </row>
    <row r="48" spans="1:42" x14ac:dyDescent="0.55000000000000004">
      <c r="A48" s="2" t="s">
        <v>51</v>
      </c>
      <c r="B48" s="3"/>
      <c r="C48" s="3"/>
      <c r="D48" s="3"/>
      <c r="E48" s="3"/>
      <c r="F48" s="3"/>
      <c r="G48" s="3"/>
      <c r="H48" s="3"/>
      <c r="I48" s="3"/>
      <c r="J48" s="3"/>
      <c r="K48" s="1"/>
      <c r="L48" s="1"/>
      <c r="N48" s="3">
        <v>4307</v>
      </c>
      <c r="O48" s="3">
        <v>4903</v>
      </c>
      <c r="P48" s="3">
        <v>3652</v>
      </c>
      <c r="Q48" s="3">
        <v>3595</v>
      </c>
      <c r="R48" s="3">
        <v>4079</v>
      </c>
      <c r="S48" s="3">
        <v>3820</v>
      </c>
      <c r="T48" s="3">
        <v>7703</v>
      </c>
      <c r="U48" s="3">
        <v>3863</v>
      </c>
      <c r="V48" s="3"/>
      <c r="W48" s="3"/>
      <c r="X48" s="3"/>
      <c r="Y48" s="3"/>
      <c r="Z48" s="3"/>
      <c r="AA48" s="3"/>
      <c r="AB48" s="3"/>
    </row>
    <row r="49" spans="1:42" x14ac:dyDescent="0.55000000000000004">
      <c r="A49" s="2" t="s">
        <v>52</v>
      </c>
      <c r="B49" s="3"/>
      <c r="C49" s="3"/>
      <c r="D49" s="3"/>
      <c r="E49" s="3"/>
      <c r="F49" s="3"/>
      <c r="G49" s="3"/>
      <c r="H49" s="3"/>
      <c r="I49" s="3"/>
      <c r="J49" s="3"/>
      <c r="K49" s="1"/>
      <c r="L49" s="1"/>
      <c r="N49" s="3">
        <v>2551</v>
      </c>
      <c r="O49" s="3">
        <v>2760</v>
      </c>
      <c r="P49" s="3">
        <v>2068</v>
      </c>
      <c r="Q49" s="3">
        <v>2263</v>
      </c>
      <c r="R49" s="3">
        <v>2171</v>
      </c>
      <c r="S49" s="3">
        <v>2040</v>
      </c>
      <c r="T49" s="3">
        <v>3778</v>
      </c>
      <c r="U49" s="3">
        <v>2099</v>
      </c>
      <c r="V49" s="3"/>
      <c r="W49" s="3"/>
      <c r="X49" s="3"/>
      <c r="Y49" s="3"/>
      <c r="Z49" s="3"/>
      <c r="AA49" s="3"/>
      <c r="AB49" s="3"/>
    </row>
    <row r="50" spans="1:42" x14ac:dyDescent="0.55000000000000004">
      <c r="A50" s="4" t="s">
        <v>53</v>
      </c>
      <c r="B50" s="5">
        <v>719165</v>
      </c>
      <c r="C50" s="5">
        <v>28372</v>
      </c>
      <c r="D50" s="5">
        <v>14907</v>
      </c>
      <c r="E50" s="5">
        <v>46636</v>
      </c>
      <c r="F50" s="5">
        <v>1544</v>
      </c>
      <c r="G50" s="5">
        <v>836</v>
      </c>
      <c r="H50" s="5">
        <v>699594</v>
      </c>
      <c r="I50" s="5">
        <v>28404</v>
      </c>
      <c r="J50" s="5">
        <v>15159</v>
      </c>
      <c r="K50" s="14">
        <v>39.5</v>
      </c>
      <c r="L50" s="14">
        <v>20.7</v>
      </c>
      <c r="N50" s="5">
        <v>120765</v>
      </c>
      <c r="O50" s="5">
        <v>76432</v>
      </c>
      <c r="P50" s="5">
        <v>80263</v>
      </c>
      <c r="Q50" s="5">
        <v>104698</v>
      </c>
      <c r="R50" s="5">
        <v>112067</v>
      </c>
      <c r="S50" s="5">
        <v>100649</v>
      </c>
      <c r="T50" s="5">
        <v>124291</v>
      </c>
      <c r="U50" s="5"/>
      <c r="V50" s="5"/>
      <c r="W50" s="5"/>
      <c r="X50" s="5"/>
      <c r="Y50" s="5"/>
      <c r="Z50" s="5"/>
      <c r="AA50" s="5"/>
      <c r="AB50" s="5"/>
      <c r="AD50" s="15">
        <f>SUM(N50:AB50)</f>
        <v>719165</v>
      </c>
      <c r="AE50" s="15">
        <f>SUM(N51:AB51)</f>
        <v>28372</v>
      </c>
      <c r="AF50" s="15">
        <f>SUM(N52:AB52)</f>
        <v>14907</v>
      </c>
      <c r="AH50" s="15">
        <f>AD50-B50</f>
        <v>0</v>
      </c>
      <c r="AI50" s="15">
        <f>AE50-C50</f>
        <v>0</v>
      </c>
      <c r="AJ50" s="15">
        <f>AF50-D50</f>
        <v>0</v>
      </c>
      <c r="AL50" s="17">
        <f>C50/B50*1000</f>
        <v>39.451308114271406</v>
      </c>
      <c r="AM50" s="17">
        <f>D50/B50*1000</f>
        <v>20.728205627359507</v>
      </c>
      <c r="AO50" s="17">
        <f>AL50-K50</f>
        <v>-4.8691885728594286E-2</v>
      </c>
      <c r="AP50" s="17">
        <f>AM50-L50</f>
        <v>2.8205627359508156E-2</v>
      </c>
    </row>
    <row r="51" spans="1:42" x14ac:dyDescent="0.55000000000000004">
      <c r="A51" s="2" t="s">
        <v>54</v>
      </c>
      <c r="B51" s="3"/>
      <c r="C51" s="3"/>
      <c r="D51" s="3"/>
      <c r="E51" s="3"/>
      <c r="F51" s="3"/>
      <c r="G51" s="3"/>
      <c r="H51" s="3"/>
      <c r="I51" s="3"/>
      <c r="J51" s="3"/>
      <c r="K51" s="1"/>
      <c r="L51" s="1"/>
      <c r="N51" s="3">
        <v>4454</v>
      </c>
      <c r="O51" s="3">
        <v>2815</v>
      </c>
      <c r="P51" s="3">
        <v>3773</v>
      </c>
      <c r="Q51" s="3">
        <v>4578</v>
      </c>
      <c r="R51" s="3">
        <v>4029</v>
      </c>
      <c r="S51" s="3">
        <v>3799</v>
      </c>
      <c r="T51" s="3">
        <v>4924</v>
      </c>
      <c r="U51" s="3"/>
      <c r="V51" s="3"/>
      <c r="W51" s="3"/>
      <c r="X51" s="3"/>
      <c r="Y51" s="3"/>
      <c r="Z51" s="3"/>
      <c r="AA51" s="3"/>
      <c r="AB51" s="3"/>
    </row>
    <row r="52" spans="1:42" x14ac:dyDescent="0.55000000000000004">
      <c r="A52" s="2" t="s">
        <v>55</v>
      </c>
      <c r="B52" s="3"/>
      <c r="C52" s="3"/>
      <c r="D52" s="3"/>
      <c r="E52" s="3"/>
      <c r="F52" s="3"/>
      <c r="G52" s="3"/>
      <c r="H52" s="3"/>
      <c r="I52" s="3"/>
      <c r="J52" s="3"/>
      <c r="K52" s="1"/>
      <c r="L52" s="1"/>
      <c r="N52" s="3">
        <v>2662</v>
      </c>
      <c r="O52" s="3">
        <v>1487</v>
      </c>
      <c r="P52" s="3">
        <v>1843</v>
      </c>
      <c r="Q52" s="3">
        <v>1986</v>
      </c>
      <c r="R52" s="3">
        <v>2135</v>
      </c>
      <c r="S52" s="3">
        <v>2127</v>
      </c>
      <c r="T52" s="3">
        <v>2667</v>
      </c>
      <c r="U52" s="3"/>
      <c r="V52" s="3"/>
      <c r="W52" s="3"/>
      <c r="X52" s="3"/>
      <c r="Y52" s="3"/>
      <c r="Z52" s="3"/>
      <c r="AA52" s="3"/>
      <c r="AB52" s="3"/>
    </row>
    <row r="53" spans="1:42" x14ac:dyDescent="0.55000000000000004">
      <c r="A53" s="4" t="s">
        <v>56</v>
      </c>
      <c r="B53" s="5">
        <v>638046</v>
      </c>
      <c r="C53" s="5">
        <v>26560</v>
      </c>
      <c r="D53" s="5">
        <v>18439</v>
      </c>
      <c r="E53" s="5">
        <v>62684</v>
      </c>
      <c r="F53" s="5">
        <v>2775</v>
      </c>
      <c r="G53" s="5">
        <v>2088</v>
      </c>
      <c r="H53" s="5">
        <v>610240</v>
      </c>
      <c r="I53" s="5">
        <v>24193</v>
      </c>
      <c r="J53" s="5">
        <v>17136</v>
      </c>
      <c r="K53" s="14">
        <v>41.6</v>
      </c>
      <c r="L53" s="14">
        <v>28.9</v>
      </c>
      <c r="N53" s="5">
        <v>98501</v>
      </c>
      <c r="O53" s="5">
        <v>76722</v>
      </c>
      <c r="P53" s="5">
        <v>75463</v>
      </c>
      <c r="Q53" s="5">
        <v>58390</v>
      </c>
      <c r="R53" s="5">
        <v>91097</v>
      </c>
      <c r="S53" s="5">
        <v>76118</v>
      </c>
      <c r="T53" s="5">
        <v>99616</v>
      </c>
      <c r="U53" s="5">
        <v>62139</v>
      </c>
      <c r="V53" s="5"/>
      <c r="W53" s="5"/>
      <c r="X53" s="5"/>
      <c r="Y53" s="5"/>
      <c r="Z53" s="5"/>
      <c r="AA53" s="5"/>
      <c r="AB53" s="5"/>
      <c r="AD53" s="15">
        <f>SUM(N53:AB53)</f>
        <v>638046</v>
      </c>
      <c r="AE53" s="15">
        <f>SUM(N54:AB54)</f>
        <v>26560</v>
      </c>
      <c r="AF53" s="15">
        <f>SUM(N55:AB55)</f>
        <v>18439</v>
      </c>
      <c r="AH53" s="15">
        <f>AD53-B53</f>
        <v>0</v>
      </c>
      <c r="AI53" s="15">
        <f>AE53-C53</f>
        <v>0</v>
      </c>
      <c r="AJ53" s="15">
        <f>AF53-D53</f>
        <v>0</v>
      </c>
      <c r="AL53" s="17">
        <f>C53/B53*1000</f>
        <v>41.627092717452975</v>
      </c>
      <c r="AM53" s="17">
        <f>D53/B53*1000</f>
        <v>28.899170279258861</v>
      </c>
      <c r="AO53" s="17">
        <f>AL53-K53</f>
        <v>2.7092717452973147E-2</v>
      </c>
      <c r="AP53" s="17">
        <f>AM53-L53</f>
        <v>-8.2972074113740746E-4</v>
      </c>
    </row>
    <row r="54" spans="1:42" x14ac:dyDescent="0.55000000000000004">
      <c r="A54" s="2" t="s">
        <v>57</v>
      </c>
      <c r="B54" s="3"/>
      <c r="C54" s="3"/>
      <c r="D54" s="3"/>
      <c r="E54" s="3"/>
      <c r="F54" s="3"/>
      <c r="G54" s="3"/>
      <c r="H54" s="3"/>
      <c r="I54" s="3"/>
      <c r="J54" s="3"/>
      <c r="K54" s="1"/>
      <c r="L54" s="1"/>
      <c r="N54" s="3">
        <v>4317</v>
      </c>
      <c r="O54" s="3">
        <v>3374</v>
      </c>
      <c r="P54" s="3">
        <v>2723</v>
      </c>
      <c r="Q54" s="3">
        <v>2577</v>
      </c>
      <c r="R54" s="3">
        <v>3391</v>
      </c>
      <c r="S54" s="3">
        <v>3069</v>
      </c>
      <c r="T54" s="3">
        <v>4459</v>
      </c>
      <c r="U54" s="3">
        <v>2650</v>
      </c>
      <c r="V54" s="3"/>
      <c r="W54" s="3"/>
      <c r="X54" s="3"/>
      <c r="Y54" s="3"/>
      <c r="Z54" s="3"/>
      <c r="AA54" s="3"/>
      <c r="AB54" s="3"/>
    </row>
    <row r="55" spans="1:42" x14ac:dyDescent="0.55000000000000004">
      <c r="A55" s="2" t="s">
        <v>58</v>
      </c>
      <c r="B55" s="3"/>
      <c r="C55" s="3"/>
      <c r="D55" s="3"/>
      <c r="E55" s="3"/>
      <c r="F55" s="3"/>
      <c r="G55" s="3"/>
      <c r="H55" s="3"/>
      <c r="I55" s="3"/>
      <c r="J55" s="3"/>
      <c r="K55" s="1"/>
      <c r="L55" s="1"/>
      <c r="N55" s="3">
        <v>3335</v>
      </c>
      <c r="O55" s="3">
        <v>2155</v>
      </c>
      <c r="P55" s="3">
        <v>2366</v>
      </c>
      <c r="Q55" s="3">
        <v>1645</v>
      </c>
      <c r="R55" s="3">
        <v>2134</v>
      </c>
      <c r="S55" s="3">
        <v>2063</v>
      </c>
      <c r="T55" s="3">
        <v>3124</v>
      </c>
      <c r="U55" s="3">
        <v>1617</v>
      </c>
      <c r="V55" s="3"/>
      <c r="W55" s="3"/>
      <c r="X55" s="3"/>
      <c r="Y55" s="3"/>
      <c r="Z55" s="3"/>
      <c r="AA55" s="3"/>
      <c r="AB55" s="3"/>
    </row>
    <row r="56" spans="1:42" x14ac:dyDescent="0.55000000000000004">
      <c r="A56" s="4" t="s">
        <v>59</v>
      </c>
      <c r="B56" s="5">
        <v>1049686</v>
      </c>
      <c r="C56" s="5">
        <v>41335</v>
      </c>
      <c r="D56" s="5">
        <v>25789</v>
      </c>
      <c r="E56" s="5">
        <v>126970</v>
      </c>
      <c r="F56" s="5">
        <v>3013</v>
      </c>
      <c r="G56" s="5">
        <v>2607</v>
      </c>
      <c r="H56" s="5">
        <v>1048091</v>
      </c>
      <c r="I56" s="5">
        <v>41513</v>
      </c>
      <c r="J56" s="5">
        <v>24847</v>
      </c>
      <c r="K56" s="14">
        <v>39.299999999999997</v>
      </c>
      <c r="L56" s="14">
        <v>24.7</v>
      </c>
      <c r="N56" s="5">
        <v>152950</v>
      </c>
      <c r="O56" s="5">
        <v>96479</v>
      </c>
      <c r="P56" s="5">
        <v>96794</v>
      </c>
      <c r="Q56" s="5">
        <v>103405</v>
      </c>
      <c r="R56" s="5">
        <v>91375</v>
      </c>
      <c r="S56" s="5">
        <v>86506</v>
      </c>
      <c r="T56" s="5">
        <v>115682</v>
      </c>
      <c r="U56" s="5">
        <v>88689</v>
      </c>
      <c r="V56" s="5">
        <v>119011</v>
      </c>
      <c r="W56" s="5">
        <v>98795</v>
      </c>
      <c r="X56" s="5"/>
      <c r="Y56" s="5"/>
      <c r="Z56" s="5"/>
      <c r="AA56" s="5"/>
      <c r="AB56" s="5"/>
      <c r="AD56" s="15">
        <f>SUM(N56:AB56)</f>
        <v>1049686</v>
      </c>
      <c r="AE56" s="15">
        <f>SUM(N57:AB57)</f>
        <v>41335</v>
      </c>
      <c r="AF56" s="15">
        <f>SUM(N58:AB58)</f>
        <v>25689</v>
      </c>
      <c r="AH56" s="15">
        <f>AD56-B56</f>
        <v>0</v>
      </c>
      <c r="AI56" s="15">
        <f>AE56-C56</f>
        <v>0</v>
      </c>
      <c r="AJ56" s="15">
        <f>AF56-D56</f>
        <v>-100</v>
      </c>
      <c r="AL56" s="17">
        <f>C56/B56*1000</f>
        <v>39.378442696196764</v>
      </c>
      <c r="AM56" s="17">
        <f>D56/B56*1000</f>
        <v>24.568299472413656</v>
      </c>
      <c r="AO56" s="17">
        <f>AL56-K56</f>
        <v>7.8442696196766803E-2</v>
      </c>
      <c r="AP56" s="17">
        <f>AM56-L56</f>
        <v>-0.13170052758634299</v>
      </c>
    </row>
    <row r="57" spans="1:42" x14ac:dyDescent="0.55000000000000004">
      <c r="A57" s="2" t="s">
        <v>60</v>
      </c>
      <c r="B57" s="3"/>
      <c r="C57" s="3"/>
      <c r="D57" s="3"/>
      <c r="E57" s="3"/>
      <c r="F57" s="3"/>
      <c r="G57" s="3"/>
      <c r="H57" s="3"/>
      <c r="I57" s="3"/>
      <c r="J57" s="3"/>
      <c r="K57" s="1"/>
      <c r="L57" s="1"/>
      <c r="N57" s="3">
        <v>5001</v>
      </c>
      <c r="O57" s="3">
        <v>4010</v>
      </c>
      <c r="P57" s="3">
        <v>3075</v>
      </c>
      <c r="Q57" s="3">
        <v>4073</v>
      </c>
      <c r="R57" s="3">
        <v>3379</v>
      </c>
      <c r="S57" s="3">
        <v>3539</v>
      </c>
      <c r="T57" s="3">
        <v>4983</v>
      </c>
      <c r="U57" s="3">
        <v>4195</v>
      </c>
      <c r="V57" s="3">
        <v>4895</v>
      </c>
      <c r="W57" s="3">
        <v>4185</v>
      </c>
      <c r="X57" s="3"/>
      <c r="Y57" s="3"/>
      <c r="Z57" s="3"/>
      <c r="AA57" s="3"/>
      <c r="AB57" s="3"/>
    </row>
    <row r="58" spans="1:42" x14ac:dyDescent="0.55000000000000004">
      <c r="A58" s="2" t="s">
        <v>61</v>
      </c>
      <c r="B58" s="3"/>
      <c r="C58" s="3"/>
      <c r="D58" s="3"/>
      <c r="E58" s="3"/>
      <c r="F58" s="3"/>
      <c r="G58" s="3"/>
      <c r="H58" s="3"/>
      <c r="I58" s="3"/>
      <c r="J58" s="3"/>
      <c r="K58" s="1"/>
      <c r="L58" s="1"/>
      <c r="N58" s="3">
        <v>3796</v>
      </c>
      <c r="O58" s="3">
        <v>1873</v>
      </c>
      <c r="P58" s="3">
        <v>2020</v>
      </c>
      <c r="Q58" s="3">
        <v>2413</v>
      </c>
      <c r="R58" s="3">
        <v>2355</v>
      </c>
      <c r="S58" s="3">
        <v>2429</v>
      </c>
      <c r="T58" s="3">
        <v>2382</v>
      </c>
      <c r="U58" s="3">
        <v>3001</v>
      </c>
      <c r="V58" s="3">
        <v>2982</v>
      </c>
      <c r="W58" s="3">
        <v>2438</v>
      </c>
      <c r="X58" s="3"/>
      <c r="Y58" s="3"/>
      <c r="Z58" s="3"/>
      <c r="AA58" s="3"/>
      <c r="AB58" s="3"/>
    </row>
    <row r="59" spans="1:42" x14ac:dyDescent="0.55000000000000004">
      <c r="A59" s="4" t="s">
        <v>62</v>
      </c>
      <c r="B59" s="5">
        <v>1182675</v>
      </c>
      <c r="C59" s="5">
        <v>35879</v>
      </c>
      <c r="D59" s="5">
        <v>20864</v>
      </c>
      <c r="E59" s="5">
        <v>22166</v>
      </c>
      <c r="F59" s="5">
        <v>5181</v>
      </c>
      <c r="G59" s="5">
        <v>3520</v>
      </c>
      <c r="H59" s="5">
        <v>1118975</v>
      </c>
      <c r="I59" s="5">
        <v>43324</v>
      </c>
      <c r="J59" s="5">
        <v>24583</v>
      </c>
      <c r="K59" s="14">
        <v>30.3</v>
      </c>
      <c r="L59" s="14">
        <v>17.600000000000001</v>
      </c>
      <c r="N59" s="5">
        <v>164696</v>
      </c>
      <c r="O59" s="5">
        <v>172453</v>
      </c>
      <c r="P59" s="5">
        <v>106614</v>
      </c>
      <c r="Q59" s="5">
        <v>117646</v>
      </c>
      <c r="R59" s="5">
        <v>264524</v>
      </c>
      <c r="S59" s="5">
        <v>135882</v>
      </c>
      <c r="T59" s="5">
        <v>76375</v>
      </c>
      <c r="U59" s="5">
        <v>144485</v>
      </c>
      <c r="V59" s="5"/>
      <c r="W59" s="5"/>
      <c r="X59" s="5"/>
      <c r="Y59" s="5"/>
      <c r="Z59" s="5"/>
      <c r="AA59" s="5"/>
      <c r="AB59" s="5"/>
      <c r="AD59" s="15">
        <f>SUM(N59:AB59)</f>
        <v>1182675</v>
      </c>
      <c r="AE59" s="15">
        <f>SUM(N60:AB60)</f>
        <v>35879</v>
      </c>
      <c r="AF59" s="15">
        <f>SUM(N61:AB61)</f>
        <v>20864</v>
      </c>
      <c r="AH59" s="15">
        <f>AD59-B59</f>
        <v>0</v>
      </c>
      <c r="AI59" s="15">
        <f>AE59-C59</f>
        <v>0</v>
      </c>
      <c r="AJ59" s="15">
        <f>AF59-D59</f>
        <v>0</v>
      </c>
      <c r="AL59" s="17">
        <f>C59/B59*1000</f>
        <v>30.337159405584796</v>
      </c>
      <c r="AM59" s="17">
        <f>D59/B59*1000</f>
        <v>17.641363857357263</v>
      </c>
      <c r="AO59" s="17">
        <f>AL59-K59</f>
        <v>3.7159405584795024E-2</v>
      </c>
      <c r="AP59" s="17">
        <f>AM59-L59</f>
        <v>4.1363857357261224E-2</v>
      </c>
    </row>
    <row r="60" spans="1:42" x14ac:dyDescent="0.55000000000000004">
      <c r="A60" s="2" t="s">
        <v>63</v>
      </c>
      <c r="B60" s="3"/>
      <c r="C60" s="3"/>
      <c r="D60" s="3"/>
      <c r="E60" s="3"/>
      <c r="F60" s="3"/>
      <c r="G60" s="3"/>
      <c r="H60" s="3"/>
      <c r="I60" s="3"/>
      <c r="J60" s="3"/>
      <c r="K60" s="1"/>
      <c r="L60" s="1"/>
      <c r="N60" s="3">
        <v>5025</v>
      </c>
      <c r="O60" s="3">
        <v>4869</v>
      </c>
      <c r="P60" s="3">
        <v>3073</v>
      </c>
      <c r="Q60" s="3">
        <v>4103</v>
      </c>
      <c r="R60" s="3">
        <v>6599</v>
      </c>
      <c r="S60" s="3">
        <v>4300</v>
      </c>
      <c r="T60" s="3">
        <v>2700</v>
      </c>
      <c r="U60" s="3">
        <v>5210</v>
      </c>
      <c r="V60" s="3"/>
      <c r="W60" s="3"/>
      <c r="X60" s="3"/>
      <c r="Y60" s="3"/>
      <c r="Z60" s="3"/>
      <c r="AA60" s="3"/>
      <c r="AB60" s="3"/>
    </row>
    <row r="61" spans="1:42" x14ac:dyDescent="0.55000000000000004">
      <c r="A61" s="2" t="s">
        <v>64</v>
      </c>
      <c r="B61" s="3"/>
      <c r="C61" s="3"/>
      <c r="D61" s="3"/>
      <c r="E61" s="3"/>
      <c r="F61" s="3"/>
      <c r="G61" s="3"/>
      <c r="H61" s="3"/>
      <c r="I61" s="3"/>
      <c r="J61" s="3"/>
      <c r="K61" s="1"/>
      <c r="L61" s="1"/>
      <c r="N61" s="3">
        <v>2944</v>
      </c>
      <c r="O61" s="3">
        <v>2955</v>
      </c>
      <c r="P61" s="3">
        <v>1679</v>
      </c>
      <c r="Q61" s="3">
        <v>2156</v>
      </c>
      <c r="R61" s="3">
        <v>3990</v>
      </c>
      <c r="S61" s="3">
        <v>2568</v>
      </c>
      <c r="T61" s="3">
        <v>1299</v>
      </c>
      <c r="U61" s="3">
        <v>3273</v>
      </c>
      <c r="V61" s="3"/>
      <c r="W61" s="3"/>
      <c r="X61" s="3"/>
      <c r="Y61" s="3"/>
      <c r="Z61" s="3"/>
      <c r="AA61" s="3"/>
      <c r="AB61" s="3"/>
    </row>
    <row r="62" spans="1:42" x14ac:dyDescent="0.55000000000000004">
      <c r="A62" s="4" t="s">
        <v>65</v>
      </c>
      <c r="B62" s="5">
        <v>651967</v>
      </c>
      <c r="C62" s="5">
        <v>24201</v>
      </c>
      <c r="D62" s="5">
        <v>14863</v>
      </c>
      <c r="E62" s="5">
        <v>21088</v>
      </c>
      <c r="F62" s="5">
        <v>726</v>
      </c>
      <c r="G62" s="5">
        <v>615</v>
      </c>
      <c r="H62" s="5">
        <v>606492</v>
      </c>
      <c r="I62" s="5">
        <v>25032</v>
      </c>
      <c r="J62" s="5">
        <v>15131</v>
      </c>
      <c r="K62" s="14">
        <v>37.1</v>
      </c>
      <c r="L62" s="14">
        <v>23</v>
      </c>
      <c r="N62" s="5">
        <v>97257</v>
      </c>
      <c r="O62" s="5">
        <v>97733</v>
      </c>
      <c r="P62" s="5">
        <v>86463</v>
      </c>
      <c r="Q62" s="5">
        <v>106462</v>
      </c>
      <c r="R62" s="5">
        <v>58307</v>
      </c>
      <c r="S62" s="5">
        <v>69690</v>
      </c>
      <c r="T62" s="5">
        <v>67365</v>
      </c>
      <c r="U62" s="5">
        <v>68690</v>
      </c>
      <c r="V62" s="5"/>
      <c r="W62" s="5"/>
      <c r="X62" s="5"/>
      <c r="Y62" s="5"/>
      <c r="Z62" s="5"/>
      <c r="AA62" s="5"/>
      <c r="AB62" s="5"/>
      <c r="AD62" s="15">
        <f>SUM(N62:AB62)</f>
        <v>651967</v>
      </c>
      <c r="AE62" s="15">
        <f>SUM(N63:AB63)</f>
        <v>24201</v>
      </c>
      <c r="AF62" s="15">
        <f>SUM(N64:AB64)</f>
        <v>14963</v>
      </c>
      <c r="AH62" s="15">
        <f>AD62-B62</f>
        <v>0</v>
      </c>
      <c r="AI62" s="15">
        <f>AE62-C62</f>
        <v>0</v>
      </c>
      <c r="AJ62" s="15">
        <f>AF62-D62</f>
        <v>100</v>
      </c>
      <c r="AL62" s="17">
        <f>C62/B62*1000</f>
        <v>37.119976931347757</v>
      </c>
      <c r="AM62" s="17">
        <f>D62/B62*1000</f>
        <v>22.797166114235843</v>
      </c>
      <c r="AO62" s="17">
        <f>AL62-K62</f>
        <v>1.9976931347756022E-2</v>
      </c>
      <c r="AP62" s="17">
        <f>AM62-L62</f>
        <v>-0.20283388576415717</v>
      </c>
    </row>
    <row r="63" spans="1:42" x14ac:dyDescent="0.55000000000000004">
      <c r="A63" s="2" t="s">
        <v>66</v>
      </c>
      <c r="B63" s="3"/>
      <c r="C63" s="3"/>
      <c r="D63" s="3"/>
      <c r="E63" s="3"/>
      <c r="F63" s="3"/>
      <c r="G63" s="3"/>
      <c r="H63" s="3"/>
      <c r="I63" s="3"/>
      <c r="J63" s="3"/>
      <c r="K63" s="1"/>
      <c r="L63" s="1"/>
      <c r="N63" s="3">
        <v>3447</v>
      </c>
      <c r="O63" s="3">
        <v>3019</v>
      </c>
      <c r="P63" s="3">
        <v>3842</v>
      </c>
      <c r="Q63" s="3">
        <v>3543</v>
      </c>
      <c r="R63" s="3">
        <v>2617</v>
      </c>
      <c r="S63" s="3">
        <v>2238</v>
      </c>
      <c r="T63" s="3">
        <v>2768</v>
      </c>
      <c r="U63" s="3">
        <v>2727</v>
      </c>
      <c r="V63" s="3"/>
      <c r="W63" s="3"/>
      <c r="X63" s="3"/>
      <c r="Y63" s="3"/>
      <c r="Z63" s="3"/>
      <c r="AA63" s="3"/>
      <c r="AB63" s="3"/>
    </row>
    <row r="64" spans="1:42" x14ac:dyDescent="0.55000000000000004">
      <c r="A64" s="2" t="s">
        <v>67</v>
      </c>
      <c r="B64" s="3"/>
      <c r="C64" s="3"/>
      <c r="D64" s="3"/>
      <c r="E64" s="3"/>
      <c r="F64" s="3"/>
      <c r="G64" s="3"/>
      <c r="H64" s="3"/>
      <c r="I64" s="3"/>
      <c r="J64" s="3"/>
      <c r="K64" s="1"/>
      <c r="L64" s="1"/>
      <c r="N64" s="3">
        <v>2103</v>
      </c>
      <c r="O64" s="3">
        <v>2142</v>
      </c>
      <c r="P64" s="3">
        <v>2561</v>
      </c>
      <c r="Q64" s="3">
        <v>1972</v>
      </c>
      <c r="R64" s="3">
        <v>1749</v>
      </c>
      <c r="S64" s="3">
        <v>1158</v>
      </c>
      <c r="T64" s="3">
        <v>1653</v>
      </c>
      <c r="U64" s="3">
        <v>1625</v>
      </c>
      <c r="V64" s="3"/>
      <c r="W64" s="3"/>
      <c r="X64" s="3"/>
      <c r="Y64" s="3"/>
      <c r="Z64" s="3"/>
      <c r="AA64" s="3"/>
      <c r="AB64" s="3"/>
    </row>
    <row r="65" spans="1:42" x14ac:dyDescent="0.55000000000000004">
      <c r="A65" s="4" t="s">
        <v>68</v>
      </c>
      <c r="B65" s="5">
        <v>752632</v>
      </c>
      <c r="C65" s="5">
        <v>32201</v>
      </c>
      <c r="D65" s="5">
        <v>16136</v>
      </c>
      <c r="E65" s="5">
        <v>53027</v>
      </c>
      <c r="F65" s="5">
        <v>2350</v>
      </c>
      <c r="G65" s="5">
        <v>1126</v>
      </c>
      <c r="H65" s="5">
        <v>729098</v>
      </c>
      <c r="I65" s="5">
        <v>29371</v>
      </c>
      <c r="J65" s="5">
        <v>17305</v>
      </c>
      <c r="K65" s="14">
        <v>42.8</v>
      </c>
      <c r="L65" s="14">
        <v>21.4</v>
      </c>
      <c r="N65" s="5">
        <v>108206</v>
      </c>
      <c r="O65" s="5">
        <v>103953</v>
      </c>
      <c r="P65" s="5">
        <v>108279</v>
      </c>
      <c r="Q65" s="5">
        <v>108784</v>
      </c>
      <c r="R65" s="5">
        <v>109875</v>
      </c>
      <c r="S65" s="5">
        <v>108170</v>
      </c>
      <c r="T65" s="5">
        <v>105365</v>
      </c>
      <c r="U65" s="5"/>
      <c r="V65" s="5"/>
      <c r="W65" s="5"/>
      <c r="X65" s="5"/>
      <c r="Y65" s="5"/>
      <c r="Z65" s="5"/>
      <c r="AA65" s="5"/>
      <c r="AB65" s="5"/>
      <c r="AD65" s="15">
        <f>SUM(N65:AB65)</f>
        <v>752632</v>
      </c>
      <c r="AE65" s="15">
        <f>SUM(N66:AB66)</f>
        <v>32201</v>
      </c>
      <c r="AF65" s="15">
        <f>SUM(N67:AB67)</f>
        <v>16136</v>
      </c>
      <c r="AH65" s="15">
        <f>AD65-B65</f>
        <v>0</v>
      </c>
      <c r="AI65" s="15">
        <f>AE65-C65</f>
        <v>0</v>
      </c>
      <c r="AJ65" s="15">
        <f>AF65-D65</f>
        <v>0</v>
      </c>
      <c r="AL65" s="17">
        <f>C65/B65*1000</f>
        <v>42.784521519148797</v>
      </c>
      <c r="AM65" s="17">
        <f>D65/B65*1000</f>
        <v>21.43942856535465</v>
      </c>
      <c r="AO65" s="17">
        <f>AL65-K65</f>
        <v>-1.5478480851200516E-2</v>
      </c>
      <c r="AP65" s="17">
        <f>AM65-L65</f>
        <v>3.9428565354651113E-2</v>
      </c>
    </row>
    <row r="66" spans="1:42" x14ac:dyDescent="0.55000000000000004">
      <c r="A66" s="2" t="s">
        <v>69</v>
      </c>
      <c r="B66" s="3"/>
      <c r="C66" s="3"/>
      <c r="D66" s="3"/>
      <c r="E66" s="3"/>
      <c r="F66" s="3"/>
      <c r="G66" s="3"/>
      <c r="H66" s="3"/>
      <c r="I66" s="3"/>
      <c r="J66" s="3"/>
      <c r="K66" s="1"/>
      <c r="L66" s="1"/>
      <c r="N66" s="3">
        <v>4037</v>
      </c>
      <c r="O66" s="3">
        <v>4403</v>
      </c>
      <c r="P66" s="3">
        <v>3999</v>
      </c>
      <c r="Q66" s="3">
        <v>4577</v>
      </c>
      <c r="R66" s="3">
        <v>4750</v>
      </c>
      <c r="S66" s="3">
        <v>3568</v>
      </c>
      <c r="T66" s="3">
        <v>6867</v>
      </c>
      <c r="U66" s="3"/>
      <c r="V66" s="3"/>
      <c r="W66" s="3"/>
      <c r="X66" s="3"/>
      <c r="Y66" s="3"/>
      <c r="Z66" s="3"/>
      <c r="AA66" s="3"/>
      <c r="AB66" s="3"/>
    </row>
    <row r="67" spans="1:42" x14ac:dyDescent="0.55000000000000004">
      <c r="A67" s="2" t="s">
        <v>70</v>
      </c>
      <c r="B67" s="3"/>
      <c r="C67" s="3"/>
      <c r="D67" s="3"/>
      <c r="E67" s="3"/>
      <c r="F67" s="3"/>
      <c r="G67" s="3"/>
      <c r="H67" s="3"/>
      <c r="I67" s="3"/>
      <c r="J67" s="3"/>
      <c r="K67" s="1"/>
      <c r="L67" s="1"/>
      <c r="N67" s="3">
        <v>2264</v>
      </c>
      <c r="O67" s="3">
        <v>2044</v>
      </c>
      <c r="P67" s="3">
        <v>2027</v>
      </c>
      <c r="Q67" s="3">
        <v>2855</v>
      </c>
      <c r="R67" s="3">
        <v>2640</v>
      </c>
      <c r="S67" s="3">
        <v>2374</v>
      </c>
      <c r="T67" s="3">
        <v>1932</v>
      </c>
      <c r="U67" s="3"/>
      <c r="V67" s="3"/>
      <c r="W67" s="3"/>
      <c r="X67" s="3"/>
      <c r="Y67" s="3"/>
      <c r="Z67" s="3"/>
      <c r="AA67" s="3"/>
      <c r="AB67" s="3"/>
    </row>
    <row r="68" spans="1:42" x14ac:dyDescent="0.55000000000000004">
      <c r="A68" s="4" t="s">
        <v>71</v>
      </c>
      <c r="B68" s="5">
        <v>689765</v>
      </c>
      <c r="C68" s="5">
        <v>21191</v>
      </c>
      <c r="D68" s="5">
        <v>16117</v>
      </c>
      <c r="E68" s="5">
        <v>72183</v>
      </c>
      <c r="F68" s="5">
        <v>1477</v>
      </c>
      <c r="G68" s="5">
        <v>1290</v>
      </c>
      <c r="H68" s="5">
        <v>672624</v>
      </c>
      <c r="I68" s="5">
        <v>21128</v>
      </c>
      <c r="J68" s="5">
        <v>15869</v>
      </c>
      <c r="K68" s="14">
        <v>30.7</v>
      </c>
      <c r="L68" s="14">
        <v>23.4</v>
      </c>
      <c r="N68" s="5">
        <v>107987</v>
      </c>
      <c r="O68" s="5">
        <v>92809</v>
      </c>
      <c r="P68" s="5">
        <v>93981</v>
      </c>
      <c r="Q68" s="5">
        <v>88555</v>
      </c>
      <c r="R68" s="5">
        <v>82836</v>
      </c>
      <c r="S68" s="5">
        <v>121878</v>
      </c>
      <c r="T68" s="5">
        <v>101719</v>
      </c>
      <c r="U68" s="5"/>
      <c r="V68" s="5"/>
      <c r="W68" s="5"/>
      <c r="X68" s="5"/>
      <c r="Y68" s="5"/>
      <c r="Z68" s="5"/>
      <c r="AA68" s="5"/>
      <c r="AB68" s="5"/>
      <c r="AD68" s="15">
        <f>SUM(N68:AB68)</f>
        <v>689765</v>
      </c>
      <c r="AE68" s="15">
        <f>SUM(N69:AB69)</f>
        <v>21191</v>
      </c>
      <c r="AF68" s="15">
        <f>SUM(N70:AB70)</f>
        <v>16117</v>
      </c>
      <c r="AH68" s="15">
        <f>AD68-B68</f>
        <v>0</v>
      </c>
      <c r="AI68" s="15">
        <f>AE68-C68</f>
        <v>0</v>
      </c>
      <c r="AJ68" s="15">
        <f>AF68-D68</f>
        <v>0</v>
      </c>
      <c r="AL68" s="17">
        <f>C68/B68*1000</f>
        <v>30.722057512341159</v>
      </c>
      <c r="AM68" s="17">
        <f>D68/B68*1000</f>
        <v>23.365928975810604</v>
      </c>
      <c r="AO68" s="17">
        <f>AL68-K68</f>
        <v>2.2057512341159935E-2</v>
      </c>
      <c r="AP68" s="17">
        <f>AM68-L68</f>
        <v>-3.407102418939445E-2</v>
      </c>
    </row>
    <row r="69" spans="1:42" x14ac:dyDescent="0.55000000000000004">
      <c r="A69" s="2" t="s">
        <v>72</v>
      </c>
      <c r="B69" s="3"/>
      <c r="C69" s="3"/>
      <c r="D69" s="3"/>
      <c r="E69" s="3"/>
      <c r="F69" s="3"/>
      <c r="G69" s="3"/>
      <c r="H69" s="3"/>
      <c r="I69" s="3"/>
      <c r="J69" s="3"/>
      <c r="K69" s="1"/>
      <c r="L69" s="1"/>
      <c r="N69" s="3">
        <v>3509</v>
      </c>
      <c r="O69" s="3">
        <v>2898</v>
      </c>
      <c r="P69" s="3">
        <v>2948</v>
      </c>
      <c r="Q69" s="3">
        <v>2187</v>
      </c>
      <c r="R69" s="3">
        <v>2428</v>
      </c>
      <c r="S69" s="3">
        <v>3516</v>
      </c>
      <c r="T69" s="3">
        <v>3705</v>
      </c>
      <c r="U69" s="3"/>
      <c r="V69" s="3"/>
      <c r="W69" s="3"/>
      <c r="X69" s="3"/>
      <c r="Y69" s="3"/>
      <c r="Z69" s="3"/>
      <c r="AA69" s="3"/>
      <c r="AB69" s="3"/>
    </row>
    <row r="70" spans="1:42" x14ac:dyDescent="0.55000000000000004">
      <c r="A70" s="2" t="s">
        <v>73</v>
      </c>
      <c r="B70" s="3"/>
      <c r="C70" s="3"/>
      <c r="D70" s="3"/>
      <c r="E70" s="3"/>
      <c r="F70" s="3"/>
      <c r="G70" s="3"/>
      <c r="H70" s="3"/>
      <c r="I70" s="3"/>
      <c r="J70" s="3"/>
      <c r="K70" s="1"/>
      <c r="L70" s="1"/>
      <c r="N70" s="3">
        <v>2691</v>
      </c>
      <c r="O70" s="3">
        <v>2412</v>
      </c>
      <c r="P70" s="3">
        <v>1915</v>
      </c>
      <c r="Q70" s="3">
        <v>1548</v>
      </c>
      <c r="R70" s="3">
        <v>1853</v>
      </c>
      <c r="S70" s="3">
        <v>3092</v>
      </c>
      <c r="T70" s="3">
        <v>2606</v>
      </c>
      <c r="U70" s="3"/>
      <c r="V70" s="3"/>
      <c r="W70" s="3"/>
      <c r="X70" s="3"/>
      <c r="Y70" s="3"/>
      <c r="Z70" s="3"/>
      <c r="AA70" s="3"/>
      <c r="AB70" s="3"/>
    </row>
    <row r="71" spans="1:42" x14ac:dyDescent="0.55000000000000004">
      <c r="A71" s="4" t="s">
        <v>74</v>
      </c>
      <c r="B71" s="5">
        <v>737295</v>
      </c>
      <c r="C71" s="5">
        <v>28141</v>
      </c>
      <c r="D71" s="5">
        <v>17486</v>
      </c>
      <c r="E71" s="5">
        <v>65332</v>
      </c>
      <c r="F71" s="5">
        <v>2830</v>
      </c>
      <c r="G71" s="5">
        <v>1428</v>
      </c>
      <c r="H71" s="5">
        <v>676143</v>
      </c>
      <c r="I71" s="5">
        <v>25065</v>
      </c>
      <c r="J71" s="5">
        <v>17258</v>
      </c>
      <c r="K71" s="14">
        <v>38.200000000000003</v>
      </c>
      <c r="L71" s="14">
        <v>23.7</v>
      </c>
      <c r="N71" s="5">
        <v>73450</v>
      </c>
      <c r="O71" s="5">
        <v>72061</v>
      </c>
      <c r="P71" s="5">
        <v>73184</v>
      </c>
      <c r="Q71" s="5">
        <v>96703</v>
      </c>
      <c r="R71" s="5">
        <v>114617</v>
      </c>
      <c r="S71" s="5">
        <v>59193</v>
      </c>
      <c r="T71" s="5">
        <v>97594</v>
      </c>
      <c r="U71" s="5">
        <v>76216</v>
      </c>
      <c r="V71" s="5">
        <v>74277</v>
      </c>
      <c r="W71" s="5"/>
      <c r="X71" s="5"/>
      <c r="Y71" s="5"/>
      <c r="Z71" s="5"/>
      <c r="AA71" s="5"/>
      <c r="AB71" s="5"/>
      <c r="AD71" s="15">
        <f>SUM(N71:AB71)</f>
        <v>737295</v>
      </c>
      <c r="AE71" s="15">
        <f>SUM(N72:AB72)</f>
        <v>28141</v>
      </c>
      <c r="AF71" s="15">
        <f>SUM(N73:AB73)</f>
        <v>17486</v>
      </c>
      <c r="AH71" s="15">
        <f>AD71-B71</f>
        <v>0</v>
      </c>
      <c r="AI71" s="15">
        <f>AE71-C71</f>
        <v>0</v>
      </c>
      <c r="AJ71" s="15">
        <f>AF71-D71</f>
        <v>0</v>
      </c>
      <c r="AL71" s="17">
        <f>C71/B71*1000</f>
        <v>38.167897517275982</v>
      </c>
      <c r="AM71" s="17">
        <f>D71/B71*1000</f>
        <v>23.716422870085921</v>
      </c>
      <c r="AO71" s="17">
        <f>AL71-K71</f>
        <v>-3.2102482724020831E-2</v>
      </c>
      <c r="AP71" s="17">
        <f>AM71-L71</f>
        <v>1.6422870085921915E-2</v>
      </c>
    </row>
    <row r="72" spans="1:42" x14ac:dyDescent="0.55000000000000004">
      <c r="A72" s="2" t="s">
        <v>75</v>
      </c>
      <c r="B72" s="3"/>
      <c r="C72" s="3"/>
      <c r="D72" s="3"/>
      <c r="E72" s="3"/>
      <c r="F72" s="3"/>
      <c r="G72" s="3"/>
      <c r="H72" s="3"/>
      <c r="I72" s="3"/>
      <c r="J72" s="3"/>
      <c r="K72" s="1"/>
      <c r="L72" s="1"/>
      <c r="N72" s="3">
        <v>2635</v>
      </c>
      <c r="O72" s="3">
        <v>3095</v>
      </c>
      <c r="P72" s="3">
        <v>2400</v>
      </c>
      <c r="Q72" s="3">
        <v>4017</v>
      </c>
      <c r="R72" s="3">
        <v>4553</v>
      </c>
      <c r="S72" s="3">
        <v>2124</v>
      </c>
      <c r="T72" s="3">
        <v>3854</v>
      </c>
      <c r="U72" s="3">
        <v>2738</v>
      </c>
      <c r="V72" s="3">
        <v>2725</v>
      </c>
      <c r="W72" s="3"/>
      <c r="X72" s="3"/>
      <c r="Y72" s="3"/>
      <c r="Z72" s="3"/>
      <c r="AA72" s="3"/>
      <c r="AB72" s="3"/>
    </row>
    <row r="73" spans="1:42" x14ac:dyDescent="0.55000000000000004">
      <c r="A73" s="2" t="s">
        <v>76</v>
      </c>
      <c r="B73" s="3"/>
      <c r="C73" s="3"/>
      <c r="D73" s="3"/>
      <c r="E73" s="3"/>
      <c r="F73" s="3"/>
      <c r="G73" s="3"/>
      <c r="H73" s="3"/>
      <c r="I73" s="3"/>
      <c r="J73" s="3"/>
      <c r="K73" s="1"/>
      <c r="L73" s="1"/>
      <c r="N73" s="3">
        <v>1683</v>
      </c>
      <c r="O73" s="3">
        <v>1971</v>
      </c>
      <c r="P73" s="3">
        <v>1453</v>
      </c>
      <c r="Q73" s="3">
        <v>2974</v>
      </c>
      <c r="R73" s="3">
        <v>2355</v>
      </c>
      <c r="S73" s="3">
        <v>1213</v>
      </c>
      <c r="T73" s="3">
        <v>2568</v>
      </c>
      <c r="U73" s="3">
        <v>1704</v>
      </c>
      <c r="V73" s="3">
        <v>1565</v>
      </c>
      <c r="W73" s="3"/>
      <c r="X73" s="3"/>
      <c r="Y73" s="3"/>
      <c r="Z73" s="3"/>
      <c r="AA73" s="3"/>
      <c r="AB73" s="3"/>
    </row>
    <row r="74" spans="1:42" x14ac:dyDescent="0.55000000000000004">
      <c r="A74" s="7" t="s">
        <v>77</v>
      </c>
      <c r="B74" s="8">
        <v>8714304</v>
      </c>
      <c r="C74" s="8">
        <v>338199</v>
      </c>
      <c r="D74" s="8">
        <v>202214</v>
      </c>
      <c r="E74" s="8"/>
      <c r="F74" s="8"/>
      <c r="G74" s="8"/>
      <c r="H74" s="8">
        <v>8416607</v>
      </c>
      <c r="I74" s="8">
        <v>331176</v>
      </c>
      <c r="J74" s="8">
        <v>204742</v>
      </c>
      <c r="K74" s="10">
        <v>38.799999999999997</v>
      </c>
      <c r="L74" s="10">
        <v>23.4</v>
      </c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D74" s="23">
        <f>SUM(AD43:AD71)</f>
        <v>8714304</v>
      </c>
      <c r="AE74" s="23">
        <f>SUM(AE43:AE71)</f>
        <v>338199</v>
      </c>
      <c r="AF74" s="23">
        <f>SUM(AF43:AF71)</f>
        <v>204114</v>
      </c>
      <c r="AH74" s="23">
        <f t="shared" ref="AH74:AJ75" si="1">AD74-B74</f>
        <v>0</v>
      </c>
      <c r="AI74" s="23">
        <f t="shared" si="1"/>
        <v>0</v>
      </c>
      <c r="AJ74" s="23">
        <f t="shared" si="1"/>
        <v>1900</v>
      </c>
      <c r="AL74" s="24">
        <f>C74/B74*1000</f>
        <v>38.809639874854035</v>
      </c>
      <c r="AM74" s="24">
        <f>D74/B74*1000</f>
        <v>23.204836553785594</v>
      </c>
      <c r="AO74" s="24">
        <f>AL74-K74</f>
        <v>9.6398748540380552E-3</v>
      </c>
      <c r="AP74" s="24">
        <f>AM74-L74</f>
        <v>-0.19516344621440496</v>
      </c>
    </row>
    <row r="75" spans="1:42" x14ac:dyDescent="0.55000000000000004">
      <c r="A75" s="4" t="s">
        <v>78</v>
      </c>
      <c r="B75" s="5">
        <v>704918</v>
      </c>
      <c r="C75" s="5">
        <v>19680</v>
      </c>
      <c r="D75" s="5">
        <v>12062</v>
      </c>
      <c r="E75" s="5">
        <v>110999</v>
      </c>
      <c r="F75" s="5">
        <v>4175</v>
      </c>
      <c r="G75" s="5">
        <v>2676</v>
      </c>
      <c r="H75" s="5">
        <v>682767</v>
      </c>
      <c r="I75" s="5">
        <v>18621</v>
      </c>
      <c r="J75" s="5">
        <v>12271</v>
      </c>
      <c r="K75" s="14">
        <v>27.9</v>
      </c>
      <c r="L75" s="14">
        <v>17.100000000000001</v>
      </c>
      <c r="N75" s="5">
        <v>104693</v>
      </c>
      <c r="O75" s="5">
        <v>59504</v>
      </c>
      <c r="P75" s="5">
        <v>50547</v>
      </c>
      <c r="Q75" s="5">
        <v>59291</v>
      </c>
      <c r="R75" s="5">
        <v>71335</v>
      </c>
      <c r="S75" s="5">
        <v>83647</v>
      </c>
      <c r="T75" s="5">
        <v>80495</v>
      </c>
      <c r="U75" s="5">
        <v>69783</v>
      </c>
      <c r="V75" s="5">
        <v>55668</v>
      </c>
      <c r="W75" s="5">
        <v>69955</v>
      </c>
      <c r="X75" s="5"/>
      <c r="Y75" s="5"/>
      <c r="Z75" s="5"/>
      <c r="AA75" s="5"/>
      <c r="AB75" s="5"/>
      <c r="AD75" s="15">
        <f>SUM(N75:AB75)</f>
        <v>704918</v>
      </c>
      <c r="AE75" s="15">
        <f>SUM(N76:AB76)</f>
        <v>19680</v>
      </c>
      <c r="AF75" s="15">
        <f>SUM(N77:AB77)</f>
        <v>12062</v>
      </c>
      <c r="AH75" s="15">
        <f t="shared" si="1"/>
        <v>0</v>
      </c>
      <c r="AI75" s="15">
        <f t="shared" si="1"/>
        <v>0</v>
      </c>
      <c r="AJ75" s="15">
        <f t="shared" si="1"/>
        <v>0</v>
      </c>
      <c r="AL75" s="17">
        <f>C75/B75*1000</f>
        <v>27.9181408334019</v>
      </c>
      <c r="AM75" s="17">
        <f>D75/B75*1000</f>
        <v>17.111210098195819</v>
      </c>
      <c r="AO75" s="17">
        <f>AL75-K75</f>
        <v>1.8140833401901091E-2</v>
      </c>
      <c r="AP75" s="17">
        <f>AM75-L75</f>
        <v>1.1210098195817864E-2</v>
      </c>
    </row>
    <row r="76" spans="1:42" x14ac:dyDescent="0.55000000000000004">
      <c r="A76" s="2" t="s">
        <v>79</v>
      </c>
      <c r="B76" s="3"/>
      <c r="C76" s="3"/>
      <c r="D76" s="3"/>
      <c r="E76" s="3"/>
      <c r="F76" s="3"/>
      <c r="G76" s="3"/>
      <c r="H76" s="3"/>
      <c r="I76" s="3"/>
      <c r="J76" s="3"/>
      <c r="K76" s="1"/>
      <c r="L76" s="1"/>
      <c r="N76" s="3">
        <v>2891</v>
      </c>
      <c r="O76" s="3">
        <v>1518</v>
      </c>
      <c r="P76" s="3">
        <v>1317</v>
      </c>
      <c r="Q76" s="3">
        <v>1704</v>
      </c>
      <c r="R76" s="3">
        <v>1995</v>
      </c>
      <c r="S76" s="3">
        <v>2922</v>
      </c>
      <c r="T76" s="3">
        <v>2073</v>
      </c>
      <c r="U76" s="3">
        <v>1984</v>
      </c>
      <c r="V76" s="3">
        <v>1468</v>
      </c>
      <c r="W76" s="3">
        <v>1808</v>
      </c>
      <c r="X76" s="3"/>
      <c r="Y76" s="3"/>
      <c r="Z76" s="3"/>
      <c r="AA76" s="3"/>
      <c r="AB76" s="3"/>
    </row>
    <row r="77" spans="1:42" x14ac:dyDescent="0.55000000000000004">
      <c r="A77" s="2" t="s">
        <v>80</v>
      </c>
      <c r="B77" s="3"/>
      <c r="C77" s="3"/>
      <c r="D77" s="3"/>
      <c r="E77" s="3"/>
      <c r="F77" s="3"/>
      <c r="G77" s="3"/>
      <c r="H77" s="3"/>
      <c r="I77" s="3"/>
      <c r="J77" s="3"/>
      <c r="K77" s="1"/>
      <c r="L77" s="1"/>
      <c r="N77" s="3">
        <v>2198</v>
      </c>
      <c r="O77" s="3">
        <v>1014</v>
      </c>
      <c r="P77" s="3">
        <v>870</v>
      </c>
      <c r="Q77" s="3">
        <v>913</v>
      </c>
      <c r="R77" s="3">
        <v>1160</v>
      </c>
      <c r="S77" s="3">
        <v>1775</v>
      </c>
      <c r="T77" s="3">
        <v>1078</v>
      </c>
      <c r="U77" s="3">
        <v>1201</v>
      </c>
      <c r="V77" s="3">
        <v>800</v>
      </c>
      <c r="W77" s="3">
        <v>1053</v>
      </c>
      <c r="X77" s="3"/>
      <c r="Y77" s="3"/>
      <c r="Z77" s="3"/>
      <c r="AA77" s="3"/>
      <c r="AB77" s="3"/>
    </row>
    <row r="78" spans="1:42" x14ac:dyDescent="0.55000000000000004">
      <c r="A78" s="4" t="s">
        <v>81</v>
      </c>
      <c r="B78" s="28">
        <v>1248579</v>
      </c>
      <c r="C78" s="5">
        <v>37633</v>
      </c>
      <c r="D78" s="5">
        <v>28637</v>
      </c>
      <c r="E78" s="5">
        <v>248965</v>
      </c>
      <c r="F78" s="5">
        <v>7778</v>
      </c>
      <c r="G78" s="5">
        <v>6734</v>
      </c>
      <c r="H78" s="5">
        <v>1234613</v>
      </c>
      <c r="I78" s="5">
        <v>36355</v>
      </c>
      <c r="J78" s="5">
        <v>25791</v>
      </c>
      <c r="K78" s="14">
        <v>30.1</v>
      </c>
      <c r="L78" s="14">
        <v>22.9</v>
      </c>
      <c r="N78" s="5">
        <v>319922</v>
      </c>
      <c r="O78" s="5">
        <v>120178</v>
      </c>
      <c r="P78" s="5">
        <v>134204</v>
      </c>
      <c r="Q78" s="5">
        <v>99177</v>
      </c>
      <c r="R78" s="5">
        <v>121219</v>
      </c>
      <c r="S78" s="28">
        <v>190578</v>
      </c>
      <c r="T78" s="5">
        <v>101779</v>
      </c>
      <c r="U78" s="5">
        <v>101137</v>
      </c>
      <c r="V78" s="5">
        <v>60385</v>
      </c>
      <c r="W78" s="5"/>
      <c r="X78" s="5"/>
      <c r="Y78" s="5"/>
      <c r="Z78" s="5"/>
      <c r="AA78" s="5"/>
      <c r="AB78" s="5"/>
      <c r="AD78" s="15">
        <f>SUM(N78:AB78)</f>
        <v>1248579</v>
      </c>
      <c r="AE78" s="15">
        <f>SUM(N79:AB79)</f>
        <v>37633</v>
      </c>
      <c r="AF78" s="15">
        <f>SUM(N80:AB80)</f>
        <v>28637</v>
      </c>
      <c r="AH78" s="15">
        <f>AD78-B78</f>
        <v>0</v>
      </c>
      <c r="AI78" s="15">
        <f>AE78-C78</f>
        <v>0</v>
      </c>
      <c r="AJ78" s="15">
        <f>AF78-D78</f>
        <v>0</v>
      </c>
      <c r="AL78" s="17">
        <f>C78/B78*1000</f>
        <v>30.14066390672917</v>
      </c>
      <c r="AM78" s="17">
        <f>D78/B78*1000</f>
        <v>22.935673273377176</v>
      </c>
      <c r="AO78" s="17">
        <f>AL78-K78</f>
        <v>4.0663906729168531E-2</v>
      </c>
      <c r="AP78" s="17">
        <f>AM78-L78</f>
        <v>3.567327337717785E-2</v>
      </c>
    </row>
    <row r="79" spans="1:42" x14ac:dyDescent="0.55000000000000004">
      <c r="A79" s="2" t="s">
        <v>82</v>
      </c>
      <c r="B79" s="3"/>
      <c r="C79" s="3"/>
      <c r="D79" s="3"/>
      <c r="E79" s="3"/>
      <c r="F79" s="3"/>
      <c r="G79" s="3"/>
      <c r="H79" s="3"/>
      <c r="I79" s="3"/>
      <c r="J79" s="3"/>
      <c r="K79" s="1"/>
      <c r="L79" s="1"/>
      <c r="N79" s="3">
        <v>9737</v>
      </c>
      <c r="O79" s="3">
        <v>3939</v>
      </c>
      <c r="P79" s="3">
        <v>3292</v>
      </c>
      <c r="Q79" s="3">
        <v>3331</v>
      </c>
      <c r="R79" s="3">
        <v>3605</v>
      </c>
      <c r="S79" s="3">
        <v>5921</v>
      </c>
      <c r="T79" s="3">
        <v>3016</v>
      </c>
      <c r="U79" s="3">
        <v>2807</v>
      </c>
      <c r="V79" s="3">
        <v>1985</v>
      </c>
      <c r="W79" s="3"/>
      <c r="X79" s="3"/>
      <c r="Y79" s="3"/>
      <c r="Z79" s="3"/>
      <c r="AA79" s="3"/>
      <c r="AB79" s="3"/>
    </row>
    <row r="80" spans="1:42" x14ac:dyDescent="0.55000000000000004">
      <c r="A80" s="2" t="s">
        <v>83</v>
      </c>
      <c r="B80" s="3"/>
      <c r="C80" s="3"/>
      <c r="D80" s="3"/>
      <c r="E80" s="3"/>
      <c r="F80" s="3"/>
      <c r="G80" s="3"/>
      <c r="H80" s="3"/>
      <c r="I80" s="3"/>
      <c r="J80" s="3"/>
      <c r="K80" s="1"/>
      <c r="L80" s="1"/>
      <c r="N80" s="3">
        <v>7893</v>
      </c>
      <c r="O80" s="3">
        <v>2822</v>
      </c>
      <c r="P80" s="3">
        <v>2705</v>
      </c>
      <c r="Q80" s="3">
        <v>2241</v>
      </c>
      <c r="R80" s="3">
        <v>2968</v>
      </c>
      <c r="S80" s="3">
        <v>4303</v>
      </c>
      <c r="T80" s="3">
        <v>2072</v>
      </c>
      <c r="U80" s="3">
        <v>2298</v>
      </c>
      <c r="V80" s="3">
        <v>1335</v>
      </c>
      <c r="W80" s="3"/>
      <c r="X80" s="3"/>
      <c r="Y80" s="3"/>
      <c r="Z80" s="3"/>
      <c r="AA80" s="3"/>
      <c r="AB80" s="3"/>
    </row>
    <row r="81" spans="1:42" x14ac:dyDescent="0.55000000000000004">
      <c r="A81" s="4" t="s">
        <v>84</v>
      </c>
      <c r="B81" s="5">
        <v>400084</v>
      </c>
      <c r="C81" s="5">
        <v>11908</v>
      </c>
      <c r="D81" s="5">
        <v>8416</v>
      </c>
      <c r="E81" s="5">
        <v>60731</v>
      </c>
      <c r="F81" s="5">
        <v>1861</v>
      </c>
      <c r="G81" s="5">
        <v>1466</v>
      </c>
      <c r="H81" s="5">
        <v>394761</v>
      </c>
      <c r="I81" s="5">
        <v>11823</v>
      </c>
      <c r="J81" s="5">
        <v>8680</v>
      </c>
      <c r="K81" s="14">
        <v>29.7</v>
      </c>
      <c r="L81" s="14">
        <v>21.1</v>
      </c>
      <c r="N81" s="5">
        <v>145379</v>
      </c>
      <c r="O81" s="5">
        <v>118640</v>
      </c>
      <c r="P81" s="5">
        <v>53071</v>
      </c>
      <c r="Q81" s="5">
        <v>82994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D81" s="15">
        <f>SUM(N81:AB81)</f>
        <v>400084</v>
      </c>
      <c r="AE81" s="15">
        <f>SUM(N82:AB82)</f>
        <v>11908</v>
      </c>
      <c r="AF81" s="15">
        <f>SUM(N83:AB83)</f>
        <v>8416</v>
      </c>
      <c r="AH81" s="15">
        <f>AD81-B81</f>
        <v>0</v>
      </c>
      <c r="AI81" s="15">
        <f>AE81-C81</f>
        <v>0</v>
      </c>
      <c r="AJ81" s="15">
        <f>AF81-D81</f>
        <v>0</v>
      </c>
      <c r="AL81" s="17">
        <f>C81/B81*1000</f>
        <v>29.763749612581357</v>
      </c>
      <c r="AM81" s="17">
        <f>D81/B81*1000</f>
        <v>21.035582527669192</v>
      </c>
      <c r="AO81" s="17">
        <f>AL81-K81</f>
        <v>6.3749612581357695E-2</v>
      </c>
      <c r="AP81" s="17">
        <f>AM81-L81</f>
        <v>-6.4417472330809744E-2</v>
      </c>
    </row>
    <row r="82" spans="1:42" x14ac:dyDescent="0.55000000000000004">
      <c r="A82" s="2" t="s">
        <v>85</v>
      </c>
      <c r="B82" s="3"/>
      <c r="C82" s="3"/>
      <c r="D82" s="3"/>
      <c r="E82" s="3"/>
      <c r="F82" s="3"/>
      <c r="G82" s="3"/>
      <c r="H82" s="3"/>
      <c r="I82" s="3"/>
      <c r="J82" s="3"/>
      <c r="K82" s="1"/>
      <c r="L82" s="1"/>
      <c r="N82" s="3">
        <v>4330</v>
      </c>
      <c r="O82" s="3">
        <v>3800</v>
      </c>
      <c r="P82" s="3">
        <v>1532</v>
      </c>
      <c r="Q82" s="3">
        <v>2246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42" x14ac:dyDescent="0.55000000000000004">
      <c r="A83" s="2" t="s">
        <v>86</v>
      </c>
      <c r="B83" s="3"/>
      <c r="C83" s="3"/>
      <c r="D83" s="3"/>
      <c r="E83" s="3"/>
      <c r="F83" s="3"/>
      <c r="G83" s="3"/>
      <c r="H83" s="3"/>
      <c r="I83" s="3"/>
      <c r="J83" s="3"/>
      <c r="K83" s="1"/>
      <c r="L83" s="1"/>
      <c r="N83" s="3">
        <v>3153</v>
      </c>
      <c r="O83" s="3">
        <v>2436</v>
      </c>
      <c r="P83" s="3">
        <v>1165</v>
      </c>
      <c r="Q83" s="3">
        <v>1662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42" x14ac:dyDescent="0.55000000000000004">
      <c r="A84" s="7" t="s">
        <v>87</v>
      </c>
      <c r="B84" s="8">
        <v>2333581</v>
      </c>
      <c r="C84" s="8">
        <v>69221</v>
      </c>
      <c r="D84" s="8">
        <v>49115</v>
      </c>
      <c r="E84" s="8"/>
      <c r="F84" s="8"/>
      <c r="G84" s="8"/>
      <c r="H84" s="8">
        <v>2312142</v>
      </c>
      <c r="I84" s="8">
        <v>66799</v>
      </c>
      <c r="J84" s="8">
        <v>46743</v>
      </c>
      <c r="K84" s="10">
        <v>29.6</v>
      </c>
      <c r="L84" s="10">
        <v>20.9</v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D84" s="23">
        <f>SUM(AD75:AD83)</f>
        <v>2353581</v>
      </c>
      <c r="AE84" s="23">
        <f>SUM(AE75:AE83)</f>
        <v>69221</v>
      </c>
      <c r="AF84" s="23">
        <f>SUM(AF75:AF83)</f>
        <v>49115</v>
      </c>
      <c r="AH84" s="23">
        <f t="shared" ref="AH84:AJ85" si="2">AD84-B84</f>
        <v>20000</v>
      </c>
      <c r="AI84" s="23">
        <f t="shared" si="2"/>
        <v>0</v>
      </c>
      <c r="AJ84" s="23">
        <f t="shared" si="2"/>
        <v>0</v>
      </c>
      <c r="AL84" s="24">
        <f>C84/B84*1000</f>
        <v>29.662994342171967</v>
      </c>
      <c r="AM84" s="24">
        <f>D84/B84*1000</f>
        <v>21.047051720081711</v>
      </c>
      <c r="AO84" s="24">
        <f>AL84-K84</f>
        <v>6.2994342171965201E-2</v>
      </c>
      <c r="AP84" s="24">
        <f>AM84-L84</f>
        <v>0.14705172008171274</v>
      </c>
    </row>
    <row r="85" spans="1:42" x14ac:dyDescent="0.55000000000000004">
      <c r="A85" s="4" t="s">
        <v>88</v>
      </c>
      <c r="B85" s="5">
        <v>1555963</v>
      </c>
      <c r="C85" s="5">
        <v>72181</v>
      </c>
      <c r="D85" s="5">
        <v>41922</v>
      </c>
      <c r="E85" s="5">
        <v>274369</v>
      </c>
      <c r="F85" s="5">
        <v>9610</v>
      </c>
      <c r="G85" s="5">
        <v>7286</v>
      </c>
      <c r="H85" s="5">
        <v>1557066</v>
      </c>
      <c r="I85" s="5">
        <v>74332</v>
      </c>
      <c r="J85" s="5">
        <v>42983</v>
      </c>
      <c r="K85" s="14">
        <v>46.3</v>
      </c>
      <c r="L85" s="14">
        <v>26.9</v>
      </c>
      <c r="N85" s="5">
        <v>254779</v>
      </c>
      <c r="O85" s="5">
        <v>271573</v>
      </c>
      <c r="P85" s="5">
        <v>161236</v>
      </c>
      <c r="Q85" s="5">
        <v>181385</v>
      </c>
      <c r="R85" s="5">
        <v>163231</v>
      </c>
      <c r="S85" s="5">
        <v>173134</v>
      </c>
      <c r="T85" s="5">
        <v>199475</v>
      </c>
      <c r="U85" s="5">
        <v>151150</v>
      </c>
      <c r="V85" s="5"/>
      <c r="W85" s="5"/>
      <c r="X85" s="5"/>
      <c r="Y85" s="5"/>
      <c r="Z85" s="5"/>
      <c r="AA85" s="5"/>
      <c r="AB85" s="5"/>
      <c r="AD85" s="15">
        <f>SUM(N85:AB85)</f>
        <v>1555963</v>
      </c>
      <c r="AE85" s="15">
        <f>SUM(N86:AB86)</f>
        <v>72081</v>
      </c>
      <c r="AF85" s="15">
        <f>SUM(N87:AB87)</f>
        <v>41922</v>
      </c>
      <c r="AH85" s="15">
        <f t="shared" si="2"/>
        <v>0</v>
      </c>
      <c r="AI85" s="15">
        <f t="shared" si="2"/>
        <v>-100</v>
      </c>
      <c r="AJ85" s="15">
        <f t="shared" si="2"/>
        <v>0</v>
      </c>
      <c r="AL85" s="17">
        <f>C85/B85*1000</f>
        <v>46.389920582944448</v>
      </c>
      <c r="AM85" s="17">
        <f>D85/B85*1000</f>
        <v>26.942800053728785</v>
      </c>
      <c r="AO85" s="17">
        <f>AL85-K85</f>
        <v>8.9920582944451155E-2</v>
      </c>
      <c r="AP85" s="17">
        <f>AM85-L85</f>
        <v>4.280005372878648E-2</v>
      </c>
    </row>
    <row r="86" spans="1:42" x14ac:dyDescent="0.55000000000000004">
      <c r="A86" s="2" t="s">
        <v>89</v>
      </c>
      <c r="B86" s="3"/>
      <c r="C86" s="3"/>
      <c r="D86" s="3"/>
      <c r="E86" s="3"/>
      <c r="F86" s="3"/>
      <c r="G86" s="3"/>
      <c r="H86" s="3"/>
      <c r="I86" s="3"/>
      <c r="J86" s="3"/>
      <c r="K86" s="1"/>
      <c r="L86" s="1"/>
      <c r="N86" s="3">
        <v>10078</v>
      </c>
      <c r="O86" s="3">
        <v>10387</v>
      </c>
      <c r="P86" s="3">
        <v>8561</v>
      </c>
      <c r="Q86" s="3">
        <v>6225</v>
      </c>
      <c r="R86" s="3">
        <v>6771</v>
      </c>
      <c r="S86" s="3">
        <v>9018</v>
      </c>
      <c r="T86" s="3">
        <v>12809</v>
      </c>
      <c r="U86" s="3">
        <v>8232</v>
      </c>
      <c r="V86" s="3"/>
      <c r="W86" s="3"/>
      <c r="X86" s="3"/>
      <c r="Y86" s="3"/>
      <c r="Z86" s="3"/>
      <c r="AA86" s="3"/>
      <c r="AB86" s="3"/>
    </row>
    <row r="87" spans="1:42" x14ac:dyDescent="0.55000000000000004">
      <c r="A87" s="2" t="s">
        <v>90</v>
      </c>
      <c r="B87" s="3"/>
      <c r="C87" s="3"/>
      <c r="D87" s="3"/>
      <c r="E87" s="3"/>
      <c r="F87" s="3"/>
      <c r="G87" s="3"/>
      <c r="H87" s="3"/>
      <c r="I87" s="3"/>
      <c r="J87" s="3"/>
      <c r="K87" s="1"/>
      <c r="L87" s="1"/>
      <c r="N87" s="3">
        <v>5971</v>
      </c>
      <c r="O87" s="3">
        <v>6651</v>
      </c>
      <c r="P87" s="3">
        <v>4581</v>
      </c>
      <c r="Q87" s="3">
        <v>3303</v>
      </c>
      <c r="R87" s="3">
        <v>3609</v>
      </c>
      <c r="S87" s="3">
        <v>5891</v>
      </c>
      <c r="T87" s="3">
        <v>6964</v>
      </c>
      <c r="U87" s="3">
        <v>4952</v>
      </c>
      <c r="V87" s="3"/>
      <c r="W87" s="3"/>
      <c r="X87" s="3"/>
      <c r="Y87" s="3"/>
      <c r="Z87" s="3"/>
      <c r="AA87" s="3"/>
      <c r="AB87" s="3"/>
    </row>
    <row r="88" spans="1:42" x14ac:dyDescent="0.55000000000000004">
      <c r="A88" s="4" t="s">
        <v>91</v>
      </c>
      <c r="B88" s="5">
        <v>1486081</v>
      </c>
      <c r="C88" s="5">
        <v>74252</v>
      </c>
      <c r="D88" s="5">
        <v>62386</v>
      </c>
      <c r="E88" s="5">
        <v>131563</v>
      </c>
      <c r="F88" s="5">
        <v>6657</v>
      </c>
      <c r="G88" s="5">
        <v>6262</v>
      </c>
      <c r="H88" s="5">
        <v>1419057</v>
      </c>
      <c r="I88" s="5">
        <v>76725</v>
      </c>
      <c r="J88" s="5">
        <v>56174</v>
      </c>
      <c r="K88" s="14">
        <v>50</v>
      </c>
      <c r="L88" s="14">
        <v>42</v>
      </c>
      <c r="N88" s="5">
        <v>157471</v>
      </c>
      <c r="O88" s="5">
        <v>97626</v>
      </c>
      <c r="P88" s="5">
        <v>91681</v>
      </c>
      <c r="Q88" s="5">
        <v>105189</v>
      </c>
      <c r="R88" s="5">
        <v>119100</v>
      </c>
      <c r="S88" s="5">
        <v>133089</v>
      </c>
      <c r="T88" s="5">
        <v>118760</v>
      </c>
      <c r="U88" s="5">
        <v>92468</v>
      </c>
      <c r="V88" s="5">
        <v>118728</v>
      </c>
      <c r="W88" s="5">
        <v>87382</v>
      </c>
      <c r="X88" s="5">
        <v>113790</v>
      </c>
      <c r="Y88" s="5">
        <v>144818</v>
      </c>
      <c r="Z88" s="5">
        <v>105979</v>
      </c>
      <c r="AA88" s="5"/>
      <c r="AB88" s="5"/>
      <c r="AD88" s="15">
        <f>SUM(N88:AB88)</f>
        <v>1486081</v>
      </c>
      <c r="AE88" s="15">
        <f>SUM(N89:AB89)</f>
        <v>74252</v>
      </c>
      <c r="AF88" s="15">
        <f>SUM(N90:AB90)</f>
        <v>62386</v>
      </c>
      <c r="AH88" s="15">
        <f>AD88-B88</f>
        <v>0</v>
      </c>
      <c r="AI88" s="15">
        <f>AE88-C88</f>
        <v>0</v>
      </c>
      <c r="AJ88" s="15">
        <f>AF88-D88</f>
        <v>0</v>
      </c>
      <c r="AL88" s="17">
        <f>C88/B88*1000</f>
        <v>49.964974991268981</v>
      </c>
      <c r="AM88" s="17">
        <f>D88/B88*1000</f>
        <v>41.980215075759666</v>
      </c>
      <c r="AO88" s="17">
        <f>AL88-K88</f>
        <v>-3.5025008731018659E-2</v>
      </c>
      <c r="AP88" s="17">
        <f>AM88-L88</f>
        <v>-1.9784924240333623E-2</v>
      </c>
    </row>
    <row r="89" spans="1:42" x14ac:dyDescent="0.55000000000000004">
      <c r="A89" s="2" t="s">
        <v>92</v>
      </c>
      <c r="B89" s="3"/>
      <c r="C89" s="3"/>
      <c r="D89" s="3"/>
      <c r="E89" s="3"/>
      <c r="F89" s="3"/>
      <c r="G89" s="3"/>
      <c r="H89" s="3"/>
      <c r="I89" s="3"/>
      <c r="J89" s="3"/>
      <c r="K89" s="1"/>
      <c r="L89" s="1"/>
      <c r="N89" s="3">
        <v>7467</v>
      </c>
      <c r="O89" s="3">
        <v>4802</v>
      </c>
      <c r="P89" s="3">
        <v>4321</v>
      </c>
      <c r="Q89" s="3">
        <v>4633</v>
      </c>
      <c r="R89" s="3">
        <v>5455</v>
      </c>
      <c r="S89" s="3">
        <v>7213</v>
      </c>
      <c r="T89" s="3">
        <v>6402</v>
      </c>
      <c r="U89" s="3">
        <v>4339</v>
      </c>
      <c r="V89" s="3">
        <v>7417</v>
      </c>
      <c r="W89" s="3">
        <v>4909</v>
      </c>
      <c r="X89" s="3">
        <v>5658</v>
      </c>
      <c r="Y89" s="3">
        <v>6835</v>
      </c>
      <c r="Z89" s="3">
        <v>4801</v>
      </c>
      <c r="AA89" s="3"/>
      <c r="AB89" s="3"/>
    </row>
    <row r="90" spans="1:42" x14ac:dyDescent="0.55000000000000004">
      <c r="A90" s="2" t="s">
        <v>93</v>
      </c>
      <c r="B90" s="3"/>
      <c r="C90" s="3"/>
      <c r="D90" s="3"/>
      <c r="E90" s="3"/>
      <c r="F90" s="3"/>
      <c r="G90" s="3"/>
      <c r="H90" s="3"/>
      <c r="I90" s="3"/>
      <c r="J90" s="3"/>
      <c r="K90" s="1"/>
      <c r="L90" s="1"/>
      <c r="N90" s="3">
        <v>6148</v>
      </c>
      <c r="O90" s="3">
        <v>4608</v>
      </c>
      <c r="P90" s="3">
        <v>3391</v>
      </c>
      <c r="Q90" s="3">
        <v>3761</v>
      </c>
      <c r="R90" s="3">
        <v>4773</v>
      </c>
      <c r="S90" s="3">
        <v>4963</v>
      </c>
      <c r="T90" s="3">
        <v>5161</v>
      </c>
      <c r="U90" s="3">
        <v>3816</v>
      </c>
      <c r="V90" s="3">
        <v>5994</v>
      </c>
      <c r="W90" s="3">
        <v>3786</v>
      </c>
      <c r="X90" s="3">
        <v>5032</v>
      </c>
      <c r="Y90" s="3">
        <v>6317</v>
      </c>
      <c r="Z90" s="3">
        <v>4636</v>
      </c>
      <c r="AA90" s="3"/>
      <c r="AB90" s="3"/>
    </row>
    <row r="91" spans="1:42" x14ac:dyDescent="0.55000000000000004">
      <c r="A91" s="4" t="s">
        <v>94</v>
      </c>
      <c r="B91" s="5">
        <v>1268368</v>
      </c>
      <c r="C91" s="5">
        <v>52757</v>
      </c>
      <c r="D91" s="5">
        <v>43184</v>
      </c>
      <c r="E91" s="5">
        <v>43826</v>
      </c>
      <c r="F91" s="5">
        <v>1639</v>
      </c>
      <c r="G91" s="5">
        <v>1568</v>
      </c>
      <c r="H91" s="5">
        <v>1249236</v>
      </c>
      <c r="I91" s="5">
        <v>56363</v>
      </c>
      <c r="J91" s="5">
        <v>37597</v>
      </c>
      <c r="K91" s="14">
        <v>41.6</v>
      </c>
      <c r="L91" s="14">
        <v>34</v>
      </c>
      <c r="N91" s="5">
        <v>162000</v>
      </c>
      <c r="O91" s="5">
        <v>101656</v>
      </c>
      <c r="P91" s="5">
        <v>103104</v>
      </c>
      <c r="Q91" s="5">
        <v>180917</v>
      </c>
      <c r="R91" s="5">
        <v>178687</v>
      </c>
      <c r="S91" s="5">
        <v>117188</v>
      </c>
      <c r="T91" s="5">
        <v>145896</v>
      </c>
      <c r="U91" s="5">
        <v>98763</v>
      </c>
      <c r="V91" s="5">
        <v>132772</v>
      </c>
      <c r="W91" s="5">
        <v>47385</v>
      </c>
      <c r="X91" s="5"/>
      <c r="Y91" s="5"/>
      <c r="Z91" s="5"/>
      <c r="AA91" s="5"/>
      <c r="AB91" s="5"/>
      <c r="AD91" s="15">
        <f>SUM(N91:AB91)</f>
        <v>1268368</v>
      </c>
      <c r="AE91" s="15">
        <f>SUM(N92:AB92)</f>
        <v>52757</v>
      </c>
      <c r="AF91" s="15">
        <f>SUM(N93:AB93)</f>
        <v>43184</v>
      </c>
      <c r="AH91" s="15">
        <f>AD91-B91</f>
        <v>0</v>
      </c>
      <c r="AI91" s="15">
        <f>AE91-C91</f>
        <v>0</v>
      </c>
      <c r="AJ91" s="15">
        <f>AF91-D91</f>
        <v>0</v>
      </c>
      <c r="AL91" s="17">
        <f>C91/B91*1000</f>
        <v>41.594395317447301</v>
      </c>
      <c r="AM91" s="17">
        <f>D91/B91*1000</f>
        <v>34.046901214789401</v>
      </c>
      <c r="AO91" s="17">
        <f>AL91-K91</f>
        <v>-5.604682552700524E-3</v>
      </c>
      <c r="AP91" s="17">
        <f>AM91-L91</f>
        <v>4.6901214789400569E-2</v>
      </c>
    </row>
    <row r="92" spans="1:42" x14ac:dyDescent="0.55000000000000004">
      <c r="A92" s="2" t="s">
        <v>95</v>
      </c>
      <c r="B92" s="3"/>
      <c r="C92" s="3"/>
      <c r="D92" s="3"/>
      <c r="E92" s="3"/>
      <c r="F92" s="3"/>
      <c r="G92" s="3"/>
      <c r="H92" s="3"/>
      <c r="I92" s="3"/>
      <c r="J92" s="3"/>
      <c r="K92" s="1"/>
      <c r="L92" s="1"/>
      <c r="N92" s="3">
        <v>5930</v>
      </c>
      <c r="O92" s="3">
        <v>3988</v>
      </c>
      <c r="P92" s="3">
        <v>4509</v>
      </c>
      <c r="Q92" s="3">
        <v>7237</v>
      </c>
      <c r="R92" s="3">
        <v>8161</v>
      </c>
      <c r="S92" s="3">
        <v>5093</v>
      </c>
      <c r="T92" s="3">
        <v>5964</v>
      </c>
      <c r="U92" s="3">
        <v>3788</v>
      </c>
      <c r="V92" s="3">
        <v>6140</v>
      </c>
      <c r="W92" s="3">
        <v>1947</v>
      </c>
      <c r="X92" s="3"/>
      <c r="Y92" s="3"/>
      <c r="Z92" s="3"/>
      <c r="AA92" s="3"/>
      <c r="AB92" s="3"/>
    </row>
    <row r="93" spans="1:42" x14ac:dyDescent="0.55000000000000004">
      <c r="A93" s="2" t="s">
        <v>96</v>
      </c>
      <c r="B93" s="3"/>
      <c r="C93" s="3"/>
      <c r="D93" s="3"/>
      <c r="E93" s="3"/>
      <c r="F93" s="3"/>
      <c r="G93" s="3"/>
      <c r="H93" s="3"/>
      <c r="I93" s="3"/>
      <c r="J93" s="3"/>
      <c r="K93" s="1"/>
      <c r="L93" s="1"/>
      <c r="N93" s="3">
        <v>5387</v>
      </c>
      <c r="O93" s="3">
        <v>2987</v>
      </c>
      <c r="P93" s="3">
        <v>3788</v>
      </c>
      <c r="Q93" s="3">
        <v>7394</v>
      </c>
      <c r="R93" s="3">
        <v>6218</v>
      </c>
      <c r="S93" s="3">
        <v>4027</v>
      </c>
      <c r="T93" s="3">
        <v>5098</v>
      </c>
      <c r="U93" s="3">
        <v>2399</v>
      </c>
      <c r="V93" s="3">
        <v>4717</v>
      </c>
      <c r="W93" s="3">
        <v>1169</v>
      </c>
      <c r="X93" s="3"/>
      <c r="Y93" s="3"/>
      <c r="Z93" s="3"/>
      <c r="AA93" s="3"/>
      <c r="AB93" s="3"/>
    </row>
    <row r="94" spans="1:42" x14ac:dyDescent="0.55000000000000004">
      <c r="A94" s="4" t="s">
        <v>97</v>
      </c>
      <c r="B94" s="5">
        <v>2718135</v>
      </c>
      <c r="C94" s="5">
        <v>146471</v>
      </c>
      <c r="D94" s="5">
        <v>107043</v>
      </c>
      <c r="E94" s="5">
        <v>111814</v>
      </c>
      <c r="F94" s="5">
        <v>4336</v>
      </c>
      <c r="G94" s="5">
        <v>4061</v>
      </c>
      <c r="H94" s="5">
        <v>2619844</v>
      </c>
      <c r="I94" s="5">
        <v>135715</v>
      </c>
      <c r="J94" s="5">
        <v>90372</v>
      </c>
      <c r="K94" s="14">
        <v>52.9</v>
      </c>
      <c r="L94" s="14">
        <v>39.4</v>
      </c>
      <c r="N94" s="5">
        <v>255087</v>
      </c>
      <c r="O94" s="5">
        <v>263893</v>
      </c>
      <c r="P94" s="5">
        <v>350286</v>
      </c>
      <c r="Q94" s="5">
        <v>284703</v>
      </c>
      <c r="R94" s="5">
        <v>207171</v>
      </c>
      <c r="S94" s="5">
        <v>130425</v>
      </c>
      <c r="T94" s="5">
        <v>211956</v>
      </c>
      <c r="U94" s="5">
        <v>177508</v>
      </c>
      <c r="V94" s="5">
        <v>187778</v>
      </c>
      <c r="W94" s="5">
        <v>186939</v>
      </c>
      <c r="X94" s="5">
        <v>277059</v>
      </c>
      <c r="Y94" s="5">
        <v>185330</v>
      </c>
      <c r="Z94" s="5"/>
      <c r="AA94" s="5"/>
      <c r="AB94" s="5"/>
      <c r="AD94" s="15">
        <f>SUM(N94:AB94)</f>
        <v>2718135</v>
      </c>
      <c r="AE94" s="15">
        <f>SUM(N95:AB95)</f>
        <v>146471</v>
      </c>
      <c r="AF94" s="15">
        <f>SUM(N96:AB96)</f>
        <v>107043</v>
      </c>
      <c r="AH94" s="15">
        <f>AD94-B94</f>
        <v>0</v>
      </c>
      <c r="AI94" s="15">
        <f>AE94-C94</f>
        <v>0</v>
      </c>
      <c r="AJ94" s="15">
        <f>AF94-D94</f>
        <v>0</v>
      </c>
      <c r="AL94" s="17">
        <f>C94/B94*1000</f>
        <v>53.886580320697831</v>
      </c>
      <c r="AM94" s="17">
        <f>D94/B94*1000</f>
        <v>39.381046195277278</v>
      </c>
      <c r="AO94" s="17">
        <f>AL94-K94</f>
        <v>0.98658032069783275</v>
      </c>
      <c r="AP94" s="17">
        <f>AM94-L94</f>
        <v>-1.8953804722720236E-2</v>
      </c>
    </row>
    <row r="95" spans="1:42" x14ac:dyDescent="0.55000000000000004">
      <c r="A95" s="2" t="s">
        <v>98</v>
      </c>
      <c r="B95" s="3"/>
      <c r="C95" s="3"/>
      <c r="D95" s="3"/>
      <c r="E95" s="3"/>
      <c r="F95" s="3"/>
      <c r="G95" s="3"/>
      <c r="H95" s="3"/>
      <c r="I95" s="3"/>
      <c r="J95" s="3"/>
      <c r="K95" s="1"/>
      <c r="L95" s="1"/>
      <c r="N95" s="3">
        <v>13684</v>
      </c>
      <c r="O95" s="3">
        <v>13294</v>
      </c>
      <c r="P95" s="3">
        <v>18208</v>
      </c>
      <c r="Q95" s="3">
        <v>16389</v>
      </c>
      <c r="R95" s="3">
        <v>10570</v>
      </c>
      <c r="S95" s="3">
        <v>6838</v>
      </c>
      <c r="T95" s="3">
        <v>11978</v>
      </c>
      <c r="U95" s="3">
        <v>9605</v>
      </c>
      <c r="V95" s="3">
        <v>10285</v>
      </c>
      <c r="W95" s="3">
        <v>10511</v>
      </c>
      <c r="X95" s="3">
        <v>15740</v>
      </c>
      <c r="Y95" s="3">
        <v>9369</v>
      </c>
      <c r="Z95" s="3"/>
      <c r="AA95" s="3"/>
      <c r="AB95" s="3"/>
    </row>
    <row r="96" spans="1:42" x14ac:dyDescent="0.55000000000000004">
      <c r="A96" s="2" t="s">
        <v>99</v>
      </c>
      <c r="B96" s="3"/>
      <c r="C96" s="3"/>
      <c r="D96" s="3"/>
      <c r="E96" s="3"/>
      <c r="F96" s="3"/>
      <c r="G96" s="3"/>
      <c r="H96" s="3"/>
      <c r="I96" s="3"/>
      <c r="J96" s="3"/>
      <c r="K96" s="1"/>
      <c r="L96" s="1"/>
      <c r="N96" s="3">
        <v>11081</v>
      </c>
      <c r="O96" s="3">
        <v>9087</v>
      </c>
      <c r="P96" s="3">
        <v>11315</v>
      </c>
      <c r="Q96" s="3">
        <v>10785</v>
      </c>
      <c r="R96" s="3">
        <v>7779</v>
      </c>
      <c r="S96" s="3">
        <v>5673</v>
      </c>
      <c r="T96" s="3">
        <v>9285</v>
      </c>
      <c r="U96" s="3">
        <v>6497</v>
      </c>
      <c r="V96" s="3">
        <v>8145</v>
      </c>
      <c r="W96" s="3">
        <v>7972</v>
      </c>
      <c r="X96" s="3">
        <v>13345</v>
      </c>
      <c r="Y96" s="3">
        <v>6079</v>
      </c>
      <c r="Z96" s="3"/>
      <c r="AA96" s="3"/>
      <c r="AB96" s="3"/>
    </row>
    <row r="97" spans="1:42" x14ac:dyDescent="0.55000000000000004">
      <c r="A97" s="4" t="s">
        <v>100</v>
      </c>
      <c r="B97" s="5">
        <v>2991483</v>
      </c>
      <c r="C97" s="5">
        <v>155453</v>
      </c>
      <c r="D97" s="5">
        <v>124264</v>
      </c>
      <c r="E97" s="5">
        <v>86976</v>
      </c>
      <c r="F97" s="5">
        <v>2631</v>
      </c>
      <c r="G97" s="5">
        <v>2447</v>
      </c>
      <c r="H97" s="5">
        <v>2919179</v>
      </c>
      <c r="I97" s="5">
        <v>150445</v>
      </c>
      <c r="J97" s="5">
        <v>107668</v>
      </c>
      <c r="K97" s="14">
        <v>52</v>
      </c>
      <c r="L97" s="14">
        <v>41.6</v>
      </c>
      <c r="N97" s="5">
        <v>205943</v>
      </c>
      <c r="O97" s="5">
        <v>366174</v>
      </c>
      <c r="P97" s="5">
        <v>217746</v>
      </c>
      <c r="Q97" s="5">
        <v>278265</v>
      </c>
      <c r="R97" s="5">
        <v>267514</v>
      </c>
      <c r="S97" s="5">
        <v>214486</v>
      </c>
      <c r="T97" s="5">
        <v>222413</v>
      </c>
      <c r="U97" s="5">
        <v>365419</v>
      </c>
      <c r="V97" s="5">
        <v>208502</v>
      </c>
      <c r="W97" s="5">
        <v>282502</v>
      </c>
      <c r="X97" s="5">
        <v>362519</v>
      </c>
      <c r="Y97" s="5"/>
      <c r="Z97" s="5"/>
      <c r="AA97" s="5"/>
      <c r="AB97" s="5"/>
      <c r="AD97" s="15">
        <f>SUM(N97:AB97)</f>
        <v>2991483</v>
      </c>
      <c r="AE97" s="15">
        <f>SUM(N98:AB98)</f>
        <v>155453</v>
      </c>
      <c r="AF97" s="15">
        <f>SUM(N99:AB99)</f>
        <v>124264</v>
      </c>
      <c r="AH97" s="15">
        <f>AD97-B97</f>
        <v>0</v>
      </c>
      <c r="AI97" s="15">
        <f>AE97-C97</f>
        <v>0</v>
      </c>
      <c r="AJ97" s="15">
        <f>AF97-D97</f>
        <v>0</v>
      </c>
      <c r="AL97" s="17">
        <f>C97/B97*1000</f>
        <v>51.965195857706696</v>
      </c>
      <c r="AM97" s="17">
        <f>D97/B97*1000</f>
        <v>41.539263301847278</v>
      </c>
      <c r="AO97" s="17">
        <f>AL97-K97</f>
        <v>-3.4804142293303642E-2</v>
      </c>
      <c r="AP97" s="17">
        <f>AM97-L97</f>
        <v>-6.0736698152723534E-2</v>
      </c>
    </row>
    <row r="98" spans="1:42" x14ac:dyDescent="0.55000000000000004">
      <c r="A98" s="2" t="s">
        <v>101</v>
      </c>
      <c r="B98" s="3"/>
      <c r="C98" s="3"/>
      <c r="D98" s="3"/>
      <c r="E98" s="3"/>
      <c r="F98" s="3"/>
      <c r="G98" s="3"/>
      <c r="H98" s="3"/>
      <c r="I98" s="3"/>
      <c r="J98" s="3"/>
      <c r="K98" s="1"/>
      <c r="L98" s="1"/>
      <c r="N98" s="3">
        <v>9885</v>
      </c>
      <c r="O98" s="3">
        <v>18236</v>
      </c>
      <c r="P98" s="3">
        <v>12459</v>
      </c>
      <c r="Q98" s="3">
        <v>13365</v>
      </c>
      <c r="R98" s="3">
        <v>13803</v>
      </c>
      <c r="S98" s="3">
        <v>11544</v>
      </c>
      <c r="T98" s="3">
        <v>10321</v>
      </c>
      <c r="U98" s="3">
        <v>18892</v>
      </c>
      <c r="V98" s="3">
        <v>10483</v>
      </c>
      <c r="W98" s="3">
        <v>16089</v>
      </c>
      <c r="X98" s="3">
        <v>20376</v>
      </c>
      <c r="Y98" s="3"/>
      <c r="Z98" s="3"/>
      <c r="AA98" s="3"/>
      <c r="AB98" s="3"/>
    </row>
    <row r="99" spans="1:42" x14ac:dyDescent="0.55000000000000004">
      <c r="A99" s="2" t="s">
        <v>102</v>
      </c>
      <c r="B99" s="3"/>
      <c r="C99" s="3"/>
      <c r="D99" s="3"/>
      <c r="E99" s="3"/>
      <c r="F99" s="3"/>
      <c r="G99" s="3"/>
      <c r="H99" s="3"/>
      <c r="I99" s="3"/>
      <c r="J99" s="3"/>
      <c r="K99" s="1"/>
      <c r="L99" s="1"/>
      <c r="N99" s="3">
        <v>9598</v>
      </c>
      <c r="O99" s="3">
        <v>14683</v>
      </c>
      <c r="P99" s="3">
        <v>8515</v>
      </c>
      <c r="Q99" s="3">
        <v>9108</v>
      </c>
      <c r="R99" s="3">
        <v>9561</v>
      </c>
      <c r="S99" s="3">
        <v>11347</v>
      </c>
      <c r="T99" s="3">
        <v>8305</v>
      </c>
      <c r="U99" s="3">
        <v>13529</v>
      </c>
      <c r="V99" s="3">
        <v>8065</v>
      </c>
      <c r="W99" s="3">
        <v>14853</v>
      </c>
      <c r="X99" s="3">
        <v>16700</v>
      </c>
      <c r="Y99" s="3"/>
      <c r="Z99" s="3"/>
      <c r="AA99" s="3"/>
      <c r="AB99" s="3"/>
    </row>
    <row r="100" spans="1:42" x14ac:dyDescent="0.55000000000000004">
      <c r="A100" s="4" t="s">
        <v>103</v>
      </c>
      <c r="B100" s="5">
        <v>1627149</v>
      </c>
      <c r="C100" s="5">
        <v>94682</v>
      </c>
      <c r="D100" s="5">
        <v>61392</v>
      </c>
      <c r="E100" s="5">
        <v>156992</v>
      </c>
      <c r="F100" s="5">
        <v>8043</v>
      </c>
      <c r="G100" s="5">
        <v>5883</v>
      </c>
      <c r="H100" s="5">
        <v>1730720</v>
      </c>
      <c r="I100" s="5">
        <v>94599</v>
      </c>
      <c r="J100" s="5">
        <v>55025</v>
      </c>
      <c r="K100" s="14">
        <v>58.2</v>
      </c>
      <c r="L100" s="14">
        <v>37.700000000000003</v>
      </c>
      <c r="N100" s="5">
        <v>229960</v>
      </c>
      <c r="O100" s="5">
        <v>228245</v>
      </c>
      <c r="P100" s="5">
        <v>228665</v>
      </c>
      <c r="Q100" s="5">
        <v>164309</v>
      </c>
      <c r="R100" s="5">
        <v>209704</v>
      </c>
      <c r="S100" s="5">
        <v>218840</v>
      </c>
      <c r="T100" s="5">
        <v>196612</v>
      </c>
      <c r="U100" s="5">
        <v>150814</v>
      </c>
      <c r="V100" s="5"/>
      <c r="W100" s="5"/>
      <c r="X100" s="5"/>
      <c r="Y100" s="5"/>
      <c r="Z100" s="5"/>
      <c r="AA100" s="5"/>
      <c r="AB100" s="5"/>
      <c r="AD100" s="15">
        <f>SUM(N100:AB100)</f>
        <v>1627149</v>
      </c>
      <c r="AE100" s="15">
        <f>SUM(N101:AB101)</f>
        <v>95682</v>
      </c>
      <c r="AF100" s="15">
        <f>SUM(N102:AB102)</f>
        <v>61392</v>
      </c>
      <c r="AH100" s="15">
        <f>AD100-B100</f>
        <v>0</v>
      </c>
      <c r="AI100" s="15">
        <f>AE100-C100</f>
        <v>1000</v>
      </c>
      <c r="AJ100" s="15">
        <f>AF100-D100</f>
        <v>0</v>
      </c>
      <c r="AL100" s="17">
        <f>C100/B100*1000</f>
        <v>58.188893580120812</v>
      </c>
      <c r="AM100" s="17">
        <f>D100/B100*1000</f>
        <v>37.729796103491445</v>
      </c>
      <c r="AO100" s="17">
        <f>AL100-K100</f>
        <v>-1.110641987919081E-2</v>
      </c>
      <c r="AP100" s="17">
        <f>AM100-L100</f>
        <v>2.9796103491442238E-2</v>
      </c>
    </row>
    <row r="101" spans="1:42" x14ac:dyDescent="0.55000000000000004">
      <c r="A101" s="2" t="s">
        <v>104</v>
      </c>
      <c r="B101" s="3"/>
      <c r="C101" s="3"/>
      <c r="D101" s="3"/>
      <c r="E101" s="3"/>
      <c r="F101" s="3"/>
      <c r="G101" s="3"/>
      <c r="H101" s="3"/>
      <c r="I101" s="3"/>
      <c r="J101" s="3"/>
      <c r="K101" s="1"/>
      <c r="L101" s="1"/>
      <c r="N101" s="3">
        <v>13195</v>
      </c>
      <c r="O101" s="3">
        <v>13964</v>
      </c>
      <c r="P101" s="3">
        <v>13159</v>
      </c>
      <c r="Q101" s="3">
        <v>9946</v>
      </c>
      <c r="R101" s="3">
        <v>12877</v>
      </c>
      <c r="S101" s="3">
        <v>12760</v>
      </c>
      <c r="T101" s="3">
        <v>12036</v>
      </c>
      <c r="U101" s="3">
        <v>7745</v>
      </c>
      <c r="V101" s="3"/>
      <c r="W101" s="3"/>
      <c r="X101" s="3"/>
      <c r="Y101" s="3"/>
      <c r="Z101" s="3"/>
      <c r="AA101" s="3"/>
      <c r="AB101" s="3"/>
    </row>
    <row r="102" spans="1:42" x14ac:dyDescent="0.55000000000000004">
      <c r="A102" s="2" t="s">
        <v>105</v>
      </c>
      <c r="B102" s="3"/>
      <c r="C102" s="3"/>
      <c r="D102" s="3"/>
      <c r="E102" s="3"/>
      <c r="F102" s="3"/>
      <c r="G102" s="3"/>
      <c r="H102" s="3"/>
      <c r="I102" s="3"/>
      <c r="J102" s="3"/>
      <c r="K102" s="1"/>
      <c r="L102" s="1"/>
      <c r="N102" s="3">
        <v>7785</v>
      </c>
      <c r="O102" s="3">
        <v>7986</v>
      </c>
      <c r="P102" s="3">
        <v>9607</v>
      </c>
      <c r="Q102" s="3">
        <v>5146</v>
      </c>
      <c r="R102" s="3">
        <v>8123</v>
      </c>
      <c r="S102" s="3">
        <v>7291</v>
      </c>
      <c r="T102" s="3">
        <v>10016</v>
      </c>
      <c r="U102" s="3">
        <v>5438</v>
      </c>
      <c r="V102" s="3"/>
      <c r="W102" s="3"/>
      <c r="X102" s="3"/>
      <c r="Y102" s="3"/>
      <c r="Z102" s="3"/>
      <c r="AA102" s="3"/>
      <c r="AB102" s="3"/>
    </row>
    <row r="103" spans="1:42" x14ac:dyDescent="0.55000000000000004">
      <c r="A103" s="4" t="s">
        <v>106</v>
      </c>
      <c r="B103" s="5">
        <v>2164495</v>
      </c>
      <c r="C103" s="5">
        <v>102705</v>
      </c>
      <c r="D103" s="5">
        <v>77204</v>
      </c>
      <c r="E103" s="5">
        <v>197560</v>
      </c>
      <c r="F103" s="5">
        <v>6591</v>
      </c>
      <c r="G103" s="5">
        <v>6413</v>
      </c>
      <c r="H103" s="5">
        <v>2181699</v>
      </c>
      <c r="I103" s="5">
        <v>107741</v>
      </c>
      <c r="J103" s="5">
        <v>67512</v>
      </c>
      <c r="K103" s="14">
        <v>47.4</v>
      </c>
      <c r="L103" s="14">
        <v>35.6</v>
      </c>
      <c r="N103" s="5">
        <v>370084</v>
      </c>
      <c r="O103" s="5">
        <v>94895</v>
      </c>
      <c r="P103" s="5">
        <v>195376</v>
      </c>
      <c r="Q103" s="5">
        <v>196311</v>
      </c>
      <c r="R103" s="5">
        <v>127641</v>
      </c>
      <c r="S103" s="5">
        <v>173769</v>
      </c>
      <c r="T103" s="5">
        <v>192447</v>
      </c>
      <c r="U103" s="5">
        <v>105480</v>
      </c>
      <c r="V103" s="5">
        <v>158866</v>
      </c>
      <c r="W103" s="5">
        <v>117550</v>
      </c>
      <c r="X103" s="5">
        <v>295304</v>
      </c>
      <c r="Y103" s="5">
        <v>136772</v>
      </c>
      <c r="Z103" s="5"/>
      <c r="AA103" s="5"/>
      <c r="AB103" s="5"/>
      <c r="AD103" s="15">
        <f>SUM(N103:AB103)</f>
        <v>2164495</v>
      </c>
      <c r="AE103" s="15">
        <f>SUM(N104:AB104)</f>
        <v>102705</v>
      </c>
      <c r="AF103" s="15">
        <f>SUM(N105:AB105)</f>
        <v>77204</v>
      </c>
      <c r="AH103" s="15">
        <f>AD103-B103</f>
        <v>0</v>
      </c>
      <c r="AI103" s="15">
        <f>AE103-C103</f>
        <v>0</v>
      </c>
      <c r="AJ103" s="15">
        <f>AF103-D103</f>
        <v>0</v>
      </c>
      <c r="AL103" s="17">
        <f>C103/B103*1000</f>
        <v>47.449867059059962</v>
      </c>
      <c r="AM103" s="17">
        <f>D103/B103*1000</f>
        <v>35.668366062291668</v>
      </c>
      <c r="AO103" s="17">
        <f>AL103-K103</f>
        <v>4.9867059059963026E-2</v>
      </c>
      <c r="AP103" s="17">
        <f>AM103-L103</f>
        <v>6.8366062291666196E-2</v>
      </c>
    </row>
    <row r="104" spans="1:42" x14ac:dyDescent="0.55000000000000004">
      <c r="A104" s="2" t="s">
        <v>107</v>
      </c>
      <c r="B104" s="3"/>
      <c r="C104" s="3"/>
      <c r="D104" s="3"/>
      <c r="E104" s="3"/>
      <c r="F104" s="3"/>
      <c r="G104" s="3"/>
      <c r="H104" s="3"/>
      <c r="I104" s="3"/>
      <c r="J104" s="3"/>
      <c r="K104" s="1"/>
      <c r="L104" s="1"/>
      <c r="N104" s="3">
        <v>15227</v>
      </c>
      <c r="O104" s="3">
        <v>4506</v>
      </c>
      <c r="P104" s="3">
        <v>9090</v>
      </c>
      <c r="Q104" s="3">
        <v>8537</v>
      </c>
      <c r="R104" s="3">
        <v>6361</v>
      </c>
      <c r="S104" s="3">
        <v>9164</v>
      </c>
      <c r="T104" s="3">
        <v>8980</v>
      </c>
      <c r="U104" s="3">
        <v>5584</v>
      </c>
      <c r="V104" s="3">
        <v>7244</v>
      </c>
      <c r="W104" s="3">
        <v>5990</v>
      </c>
      <c r="X104" s="3">
        <v>14745</v>
      </c>
      <c r="Y104" s="3">
        <v>7277</v>
      </c>
      <c r="Z104" s="3"/>
      <c r="AA104" s="3"/>
      <c r="AB104" s="3"/>
    </row>
    <row r="105" spans="1:42" x14ac:dyDescent="0.55000000000000004">
      <c r="A105" s="2" t="s">
        <v>108</v>
      </c>
      <c r="B105" s="3"/>
      <c r="C105" s="3"/>
      <c r="D105" s="3"/>
      <c r="E105" s="3"/>
      <c r="F105" s="3"/>
      <c r="G105" s="3"/>
      <c r="H105" s="3"/>
      <c r="I105" s="3"/>
      <c r="J105" s="3"/>
      <c r="K105" s="1"/>
      <c r="L105" s="1"/>
      <c r="N105" s="3">
        <v>12415</v>
      </c>
      <c r="O105" s="3">
        <v>3222</v>
      </c>
      <c r="P105" s="3">
        <v>7237</v>
      </c>
      <c r="Q105" s="3">
        <v>5420</v>
      </c>
      <c r="R105" s="3">
        <v>4887</v>
      </c>
      <c r="S105" s="3">
        <v>7176</v>
      </c>
      <c r="T105" s="3">
        <v>6627</v>
      </c>
      <c r="U105" s="3">
        <v>4433</v>
      </c>
      <c r="V105" s="3">
        <v>5812</v>
      </c>
      <c r="W105" s="3">
        <v>4332</v>
      </c>
      <c r="X105" s="3">
        <v>10261</v>
      </c>
      <c r="Y105" s="3">
        <v>5382</v>
      </c>
      <c r="Z105" s="3"/>
      <c r="AA105" s="3"/>
      <c r="AB105" s="3"/>
    </row>
    <row r="106" spans="1:42" x14ac:dyDescent="0.55000000000000004">
      <c r="A106" s="4" t="s">
        <v>109</v>
      </c>
      <c r="B106" s="5">
        <v>1233522</v>
      </c>
      <c r="C106" s="5">
        <v>58487</v>
      </c>
      <c r="D106" s="5">
        <v>46340</v>
      </c>
      <c r="E106" s="5">
        <v>96948</v>
      </c>
      <c r="F106" s="5">
        <v>2843</v>
      </c>
      <c r="G106" s="5">
        <v>2661</v>
      </c>
      <c r="H106" s="5">
        <v>1210629</v>
      </c>
      <c r="I106" s="5">
        <v>57145</v>
      </c>
      <c r="J106" s="5">
        <v>40172</v>
      </c>
      <c r="K106" s="14">
        <v>47.4</v>
      </c>
      <c r="L106" s="14">
        <v>37.6</v>
      </c>
      <c r="N106" s="5">
        <v>110727</v>
      </c>
      <c r="O106" s="5">
        <v>76841</v>
      </c>
      <c r="P106" s="5">
        <v>230344</v>
      </c>
      <c r="Q106" s="5">
        <v>130394</v>
      </c>
      <c r="R106" s="5">
        <v>91120</v>
      </c>
      <c r="S106" s="5">
        <v>50776</v>
      </c>
      <c r="T106" s="5">
        <v>124350</v>
      </c>
      <c r="U106" s="5">
        <v>118817</v>
      </c>
      <c r="V106" s="5">
        <v>160055</v>
      </c>
      <c r="W106" s="5">
        <v>69709</v>
      </c>
      <c r="X106" s="5">
        <v>70389</v>
      </c>
      <c r="Y106" s="5"/>
      <c r="Z106" s="5"/>
      <c r="AA106" s="5"/>
      <c r="AB106" s="5"/>
      <c r="AD106" s="15">
        <f>SUM(N106:AB106)</f>
        <v>1233522</v>
      </c>
      <c r="AE106" s="15">
        <f>SUM(N107:AB107)</f>
        <v>58487</v>
      </c>
      <c r="AF106" s="15">
        <f>SUM(N108:AB108)</f>
        <v>46240</v>
      </c>
      <c r="AH106" s="15">
        <f>AD106-B106</f>
        <v>0</v>
      </c>
      <c r="AI106" s="15">
        <f>AE106-C106</f>
        <v>0</v>
      </c>
      <c r="AJ106" s="15">
        <f>AF106-D106</f>
        <v>-100</v>
      </c>
      <c r="AL106" s="17">
        <f>C106/B106*1000</f>
        <v>47.414638733642363</v>
      </c>
      <c r="AM106" s="17">
        <f>D106/B106*1000</f>
        <v>37.5672262026944</v>
      </c>
      <c r="AO106" s="17">
        <f>AL106-K106</f>
        <v>1.4638733642364343E-2</v>
      </c>
      <c r="AP106" s="17">
        <f>AM106-L106</f>
        <v>-3.2773797305601704E-2</v>
      </c>
    </row>
    <row r="107" spans="1:42" x14ac:dyDescent="0.55000000000000004">
      <c r="A107" s="2" t="s">
        <v>110</v>
      </c>
      <c r="B107" s="3"/>
      <c r="C107" s="3"/>
      <c r="D107" s="3"/>
      <c r="E107" s="3"/>
      <c r="F107" s="3"/>
      <c r="G107" s="3"/>
      <c r="H107" s="3"/>
      <c r="I107" s="3"/>
      <c r="J107" s="3"/>
      <c r="K107" s="1"/>
      <c r="L107" s="1"/>
      <c r="N107" s="3">
        <v>4631</v>
      </c>
      <c r="O107" s="3">
        <v>2829</v>
      </c>
      <c r="P107" s="3">
        <v>13534</v>
      </c>
      <c r="Q107" s="3">
        <v>6021</v>
      </c>
      <c r="R107" s="3">
        <v>4433</v>
      </c>
      <c r="S107" s="3">
        <v>1998</v>
      </c>
      <c r="T107" s="3">
        <v>6113</v>
      </c>
      <c r="U107" s="3">
        <v>4827</v>
      </c>
      <c r="V107" s="3">
        <v>8260</v>
      </c>
      <c r="W107" s="3">
        <v>3044</v>
      </c>
      <c r="X107" s="3">
        <v>2797</v>
      </c>
      <c r="Y107" s="3"/>
      <c r="Z107" s="3"/>
      <c r="AA107" s="3"/>
      <c r="AB107" s="3"/>
    </row>
    <row r="108" spans="1:42" x14ac:dyDescent="0.55000000000000004">
      <c r="A108" s="2" t="s">
        <v>111</v>
      </c>
      <c r="B108" s="3"/>
      <c r="C108" s="3"/>
      <c r="D108" s="3"/>
      <c r="E108" s="3"/>
      <c r="F108" s="3"/>
      <c r="G108" s="3"/>
      <c r="H108" s="3"/>
      <c r="I108" s="3"/>
      <c r="J108" s="3"/>
      <c r="K108" s="1"/>
      <c r="L108" s="1"/>
      <c r="N108" s="3">
        <v>4076</v>
      </c>
      <c r="O108" s="3">
        <v>2832</v>
      </c>
      <c r="P108" s="3">
        <v>8953</v>
      </c>
      <c r="Q108" s="3">
        <v>4388</v>
      </c>
      <c r="R108" s="3">
        <v>3619</v>
      </c>
      <c r="S108" s="3">
        <v>2392</v>
      </c>
      <c r="T108" s="3">
        <v>5591</v>
      </c>
      <c r="U108" s="3">
        <v>3520</v>
      </c>
      <c r="V108" s="3">
        <v>6198</v>
      </c>
      <c r="W108" s="3">
        <v>2523</v>
      </c>
      <c r="X108" s="3">
        <v>2148</v>
      </c>
      <c r="Y108" s="3"/>
      <c r="Z108" s="3"/>
      <c r="AA108" s="3"/>
      <c r="AB108" s="3"/>
    </row>
    <row r="109" spans="1:42" x14ac:dyDescent="0.55000000000000004">
      <c r="A109" s="4" t="s">
        <v>112</v>
      </c>
      <c r="B109" s="5">
        <v>1381792</v>
      </c>
      <c r="C109" s="5">
        <v>62711</v>
      </c>
      <c r="D109" s="5">
        <v>56274</v>
      </c>
      <c r="E109" s="5">
        <v>69586</v>
      </c>
      <c r="F109" s="5">
        <v>2967</v>
      </c>
      <c r="G109" s="5">
        <v>2998</v>
      </c>
      <c r="H109" s="5">
        <v>1361033</v>
      </c>
      <c r="I109" s="5">
        <v>63368</v>
      </c>
      <c r="J109" s="5">
        <v>47274</v>
      </c>
      <c r="K109" s="14">
        <v>45.4</v>
      </c>
      <c r="L109" s="14">
        <v>40.700000000000003</v>
      </c>
      <c r="N109" s="5">
        <v>172175</v>
      </c>
      <c r="O109" s="5">
        <v>72838</v>
      </c>
      <c r="P109" s="5">
        <v>113144</v>
      </c>
      <c r="Q109" s="5">
        <v>106465</v>
      </c>
      <c r="R109" s="5">
        <v>112042</v>
      </c>
      <c r="S109" s="5">
        <v>132531</v>
      </c>
      <c r="T109" s="5">
        <v>104936</v>
      </c>
      <c r="U109" s="5">
        <v>140677</v>
      </c>
      <c r="V109" s="5">
        <v>174495</v>
      </c>
      <c r="W109" s="5">
        <v>63259</v>
      </c>
      <c r="X109" s="5">
        <v>56632</v>
      </c>
      <c r="Y109" s="5">
        <v>132698</v>
      </c>
      <c r="Z109" s="5"/>
      <c r="AA109" s="5"/>
      <c r="AB109" s="5"/>
      <c r="AD109" s="15">
        <f>SUM(N109:AB109)</f>
        <v>1381892</v>
      </c>
      <c r="AE109" s="15">
        <f>SUM(N110:AB110)</f>
        <v>62711</v>
      </c>
      <c r="AF109" s="15">
        <f>SUM(N111:AB111)</f>
        <v>56274</v>
      </c>
      <c r="AH109" s="15">
        <f>AD109-B109</f>
        <v>100</v>
      </c>
      <c r="AI109" s="15">
        <f>AE109-C109</f>
        <v>0</v>
      </c>
      <c r="AJ109" s="15">
        <f>AF109-D109</f>
        <v>0</v>
      </c>
      <c r="AL109" s="17">
        <f>C109/B109*1000</f>
        <v>45.383820430281837</v>
      </c>
      <c r="AM109" s="17">
        <f>D109/B109*1000</f>
        <v>40.725376901878143</v>
      </c>
      <c r="AO109" s="17">
        <f>AL109-K109</f>
        <v>-1.6179569718161702E-2</v>
      </c>
      <c r="AP109" s="17">
        <f>AM109-L109</f>
        <v>2.537690187813979E-2</v>
      </c>
    </row>
    <row r="110" spans="1:42" x14ac:dyDescent="0.55000000000000004">
      <c r="A110" s="2" t="s">
        <v>113</v>
      </c>
      <c r="B110" s="3"/>
      <c r="C110" s="3"/>
      <c r="D110" s="3"/>
      <c r="E110" s="3"/>
      <c r="F110" s="3"/>
      <c r="G110" s="3"/>
      <c r="H110" s="3"/>
      <c r="I110" s="3"/>
      <c r="J110" s="3"/>
      <c r="K110" s="1"/>
      <c r="L110" s="1"/>
      <c r="N110" s="3">
        <v>7241</v>
      </c>
      <c r="O110" s="3">
        <v>3093</v>
      </c>
      <c r="P110" s="3">
        <v>4790</v>
      </c>
      <c r="Q110" s="3">
        <v>6592</v>
      </c>
      <c r="R110" s="3">
        <v>4446</v>
      </c>
      <c r="S110" s="3">
        <v>6318</v>
      </c>
      <c r="T110" s="3">
        <v>4979</v>
      </c>
      <c r="U110" s="3">
        <v>6956</v>
      </c>
      <c r="V110" s="3">
        <v>7511</v>
      </c>
      <c r="W110" s="3">
        <v>2198</v>
      </c>
      <c r="X110" s="3">
        <v>2246</v>
      </c>
      <c r="Y110" s="3">
        <v>6341</v>
      </c>
      <c r="Z110" s="3"/>
      <c r="AA110" s="3"/>
      <c r="AB110" s="3"/>
    </row>
    <row r="111" spans="1:42" x14ac:dyDescent="0.55000000000000004">
      <c r="A111" s="2" t="s">
        <v>114</v>
      </c>
      <c r="B111" s="3"/>
      <c r="C111" s="3"/>
      <c r="D111" s="3"/>
      <c r="E111" s="3"/>
      <c r="F111" s="3"/>
      <c r="G111" s="3"/>
      <c r="H111" s="3"/>
      <c r="I111" s="3"/>
      <c r="J111" s="3"/>
      <c r="K111" s="1"/>
      <c r="L111" s="1"/>
      <c r="N111" s="3">
        <v>6901</v>
      </c>
      <c r="O111" s="3">
        <v>2883</v>
      </c>
      <c r="P111" s="3">
        <v>4046</v>
      </c>
      <c r="Q111" s="3">
        <v>5450</v>
      </c>
      <c r="R111" s="3">
        <v>3852</v>
      </c>
      <c r="S111" s="3">
        <v>5682</v>
      </c>
      <c r="T111" s="3">
        <v>3271</v>
      </c>
      <c r="U111" s="3">
        <v>5594</v>
      </c>
      <c r="V111" s="3">
        <v>8098</v>
      </c>
      <c r="W111" s="3">
        <v>1732</v>
      </c>
      <c r="X111" s="3">
        <v>1836</v>
      </c>
      <c r="Y111" s="3">
        <v>6929</v>
      </c>
      <c r="Z111" s="3"/>
      <c r="AA111" s="3"/>
      <c r="AB111" s="3"/>
    </row>
    <row r="112" spans="1:42" x14ac:dyDescent="0.55000000000000004">
      <c r="A112" s="4" t="s">
        <v>115</v>
      </c>
      <c r="B112" s="5">
        <v>2546846</v>
      </c>
      <c r="C112" s="5">
        <v>119967</v>
      </c>
      <c r="D112" s="5">
        <v>80056</v>
      </c>
      <c r="E112" s="5">
        <v>170865</v>
      </c>
      <c r="F112" s="5">
        <v>9306</v>
      </c>
      <c r="G112" s="5">
        <v>7374</v>
      </c>
      <c r="H112" s="5">
        <v>2473537</v>
      </c>
      <c r="I112" s="5">
        <v>119699</v>
      </c>
      <c r="J112" s="5">
        <v>72914</v>
      </c>
      <c r="K112" s="14">
        <v>47.1</v>
      </c>
      <c r="L112" s="14">
        <v>31.4</v>
      </c>
      <c r="N112" s="5">
        <v>236691</v>
      </c>
      <c r="O112" s="5">
        <v>184342</v>
      </c>
      <c r="P112" s="5">
        <v>200358</v>
      </c>
      <c r="Q112" s="5">
        <v>120492</v>
      </c>
      <c r="R112" s="5">
        <v>186598</v>
      </c>
      <c r="S112" s="5">
        <v>130505</v>
      </c>
      <c r="T112" s="5">
        <v>182913</v>
      </c>
      <c r="U112" s="5">
        <v>192833</v>
      </c>
      <c r="V112" s="5">
        <v>166267</v>
      </c>
      <c r="W112" s="5">
        <v>157842</v>
      </c>
      <c r="X112" s="5">
        <v>166180</v>
      </c>
      <c r="Y112" s="5">
        <v>158900</v>
      </c>
      <c r="Z112" s="5">
        <v>170567</v>
      </c>
      <c r="AA112" s="5">
        <v>138978</v>
      </c>
      <c r="AB112" s="5">
        <v>153380</v>
      </c>
      <c r="AD112" s="15">
        <f>SUM(N112:AB112)</f>
        <v>2546846</v>
      </c>
      <c r="AE112" s="15">
        <f>SUM(N113:AB113)</f>
        <v>119970</v>
      </c>
      <c r="AF112" s="15">
        <f>SUM(N114:AB114)</f>
        <v>80056</v>
      </c>
      <c r="AH112" s="15">
        <f>AD112-B112</f>
        <v>0</v>
      </c>
      <c r="AI112" s="15">
        <f>AE112-C112</f>
        <v>3</v>
      </c>
      <c r="AJ112" s="15">
        <f>AF112-D112</f>
        <v>0</v>
      </c>
      <c r="AL112" s="17">
        <f>C112/B112*1000</f>
        <v>47.104143713440074</v>
      </c>
      <c r="AM112" s="17">
        <f>D112/B112*1000</f>
        <v>31.433388591222243</v>
      </c>
      <c r="AO112" s="17">
        <f>AL112-K112</f>
        <v>4.1437134400723608E-3</v>
      </c>
      <c r="AP112" s="17">
        <f>AM112-L112</f>
        <v>3.3388591222244912E-2</v>
      </c>
    </row>
    <row r="113" spans="1:42" x14ac:dyDescent="0.55000000000000004">
      <c r="A113" s="2" t="s">
        <v>116</v>
      </c>
      <c r="B113" s="3"/>
      <c r="C113" s="3"/>
      <c r="D113" s="3"/>
      <c r="E113" s="3"/>
      <c r="F113" s="3"/>
      <c r="G113" s="3"/>
      <c r="H113" s="3"/>
      <c r="I113" s="3"/>
      <c r="J113" s="3"/>
      <c r="K113" s="1"/>
      <c r="L113" s="1"/>
      <c r="N113" s="3">
        <v>10973</v>
      </c>
      <c r="O113" s="3">
        <v>8890</v>
      </c>
      <c r="P113" s="3">
        <v>8829</v>
      </c>
      <c r="Q113" s="3">
        <v>6485</v>
      </c>
      <c r="R113" s="3">
        <v>8600</v>
      </c>
      <c r="S113" s="3">
        <v>6518</v>
      </c>
      <c r="T113" s="3">
        <v>8509</v>
      </c>
      <c r="U113" s="3">
        <v>9832</v>
      </c>
      <c r="V113" s="3">
        <v>7922</v>
      </c>
      <c r="W113" s="3">
        <v>7716</v>
      </c>
      <c r="X113" s="3">
        <v>7757</v>
      </c>
      <c r="Y113" s="3">
        <v>7569</v>
      </c>
      <c r="Z113" s="3">
        <v>7248</v>
      </c>
      <c r="AA113" s="3">
        <v>5751</v>
      </c>
      <c r="AB113" s="3">
        <v>7371</v>
      </c>
    </row>
    <row r="114" spans="1:42" x14ac:dyDescent="0.55000000000000004">
      <c r="A114" s="2" t="s">
        <v>117</v>
      </c>
      <c r="B114" s="3"/>
      <c r="C114" s="3"/>
      <c r="D114" s="3"/>
      <c r="E114" s="3"/>
      <c r="F114" s="3"/>
      <c r="G114" s="3"/>
      <c r="H114" s="3"/>
      <c r="I114" s="3"/>
      <c r="J114" s="3"/>
      <c r="K114" s="1"/>
      <c r="L114" s="1"/>
      <c r="N114" s="3">
        <v>7828</v>
      </c>
      <c r="O114" s="3">
        <v>5838</v>
      </c>
      <c r="P114" s="3">
        <v>4817</v>
      </c>
      <c r="Q114" s="3">
        <v>4728</v>
      </c>
      <c r="R114" s="3">
        <v>5717</v>
      </c>
      <c r="S114" s="3">
        <v>4125</v>
      </c>
      <c r="T114" s="3">
        <v>5855</v>
      </c>
      <c r="U114" s="3">
        <v>6820</v>
      </c>
      <c r="V114" s="3">
        <v>5057</v>
      </c>
      <c r="W114" s="3">
        <v>4960</v>
      </c>
      <c r="X114" s="3">
        <v>5585</v>
      </c>
      <c r="Y114" s="3">
        <v>4432</v>
      </c>
      <c r="Z114" s="3">
        <v>5351</v>
      </c>
      <c r="AA114" s="3">
        <v>3686</v>
      </c>
      <c r="AB114" s="3">
        <v>5257</v>
      </c>
    </row>
    <row r="115" spans="1:42" x14ac:dyDescent="0.55000000000000004">
      <c r="A115" s="4" t="s">
        <v>118</v>
      </c>
      <c r="B115" s="5">
        <v>798742</v>
      </c>
      <c r="C115" s="5">
        <v>33039</v>
      </c>
      <c r="D115" s="5">
        <v>29865</v>
      </c>
      <c r="E115" s="5"/>
      <c r="F115" s="5"/>
      <c r="G115" s="5"/>
      <c r="H115" s="5">
        <v>766439</v>
      </c>
      <c r="I115" s="5">
        <v>32943</v>
      </c>
      <c r="J115" s="5">
        <v>26673</v>
      </c>
      <c r="K115" s="14">
        <v>41.4</v>
      </c>
      <c r="L115" s="14">
        <v>37.4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D115" s="15">
        <f>B115</f>
        <v>798742</v>
      </c>
      <c r="AE115" s="15">
        <f>C115</f>
        <v>33039</v>
      </c>
      <c r="AF115" s="15">
        <f>D115</f>
        <v>29865</v>
      </c>
      <c r="AG115" s="18"/>
      <c r="AH115" s="18"/>
      <c r="AI115" s="18"/>
      <c r="AJ115" s="18"/>
      <c r="AL115" s="17">
        <f>C115/B115*1000</f>
        <v>41.363794566956543</v>
      </c>
      <c r="AM115" s="17">
        <f>D115/B115*1000</f>
        <v>37.390045847094555</v>
      </c>
      <c r="AO115" s="17">
        <f>AL115-K115</f>
        <v>-3.6205433043456026E-2</v>
      </c>
      <c r="AP115" s="17">
        <f>AM115-L115</f>
        <v>-9.9541529054434363E-3</v>
      </c>
    </row>
    <row r="116" spans="1:42" x14ac:dyDescent="0.55000000000000004">
      <c r="A116" s="4" t="s">
        <v>119</v>
      </c>
      <c r="B116" s="5">
        <v>1493040</v>
      </c>
      <c r="C116" s="5">
        <v>67164</v>
      </c>
      <c r="D116" s="5">
        <v>58932</v>
      </c>
      <c r="E116" s="5">
        <v>106323</v>
      </c>
      <c r="F116" s="5">
        <v>2688</v>
      </c>
      <c r="G116" s="5">
        <v>2369</v>
      </c>
      <c r="H116" s="5">
        <v>1468290</v>
      </c>
      <c r="I116" s="5">
        <v>67620</v>
      </c>
      <c r="J116" s="5">
        <v>54943</v>
      </c>
      <c r="K116" s="14">
        <v>45</v>
      </c>
      <c r="L116" s="14">
        <v>39.5</v>
      </c>
      <c r="N116" s="5">
        <v>141427</v>
      </c>
      <c r="O116" s="5">
        <v>190140</v>
      </c>
      <c r="P116" s="5">
        <v>146598</v>
      </c>
      <c r="Q116" s="5">
        <v>58603</v>
      </c>
      <c r="R116" s="5">
        <v>93461</v>
      </c>
      <c r="S116" s="5">
        <v>142193</v>
      </c>
      <c r="T116" s="5">
        <v>93543</v>
      </c>
      <c r="U116" s="5">
        <v>123057</v>
      </c>
      <c r="V116" s="5">
        <v>134717</v>
      </c>
      <c r="W116" s="5">
        <v>68957</v>
      </c>
      <c r="X116" s="5">
        <v>100643</v>
      </c>
      <c r="Y116" s="5">
        <v>69498</v>
      </c>
      <c r="Z116" s="5">
        <v>130203</v>
      </c>
      <c r="AA116" s="5"/>
      <c r="AB116" s="5"/>
      <c r="AD116" s="15">
        <f>SUM(N116:AB116)</f>
        <v>1493040</v>
      </c>
      <c r="AE116" s="15">
        <f>SUM(N117:AB117)</f>
        <v>67164</v>
      </c>
      <c r="AF116" s="15">
        <f>SUM(N118:AB118)</f>
        <v>58932</v>
      </c>
      <c r="AH116" s="15">
        <f>AD116-B116</f>
        <v>0</v>
      </c>
      <c r="AI116" s="15">
        <f>AE116-C116</f>
        <v>0</v>
      </c>
      <c r="AJ116" s="15">
        <f>AF116-D116</f>
        <v>0</v>
      </c>
      <c r="AL116" s="17">
        <f>C116/B116*1000</f>
        <v>44.984729143224563</v>
      </c>
      <c r="AM116" s="17">
        <f>D116/B116*1000</f>
        <v>39.471146117987459</v>
      </c>
      <c r="AO116" s="17">
        <f>AL116-K116</f>
        <v>-1.527085677543738E-2</v>
      </c>
      <c r="AP116" s="17">
        <f>AM116-L116</f>
        <v>-2.8853882012541021E-2</v>
      </c>
    </row>
    <row r="117" spans="1:42" x14ac:dyDescent="0.55000000000000004">
      <c r="A117" s="2" t="s">
        <v>120</v>
      </c>
      <c r="B117" s="3"/>
      <c r="C117" s="3"/>
      <c r="D117" s="3"/>
      <c r="E117" s="3"/>
      <c r="F117" s="3"/>
      <c r="G117" s="3"/>
      <c r="H117" s="3"/>
      <c r="I117" s="3"/>
      <c r="J117" s="3"/>
      <c r="K117" s="1"/>
      <c r="L117" s="1"/>
      <c r="N117" s="3">
        <v>8750</v>
      </c>
      <c r="O117" s="3">
        <v>9567</v>
      </c>
      <c r="P117" s="3">
        <v>6416</v>
      </c>
      <c r="Q117" s="3">
        <v>2734</v>
      </c>
      <c r="R117" s="3">
        <v>3850</v>
      </c>
      <c r="S117" s="3">
        <v>5678</v>
      </c>
      <c r="T117" s="3">
        <v>4140</v>
      </c>
      <c r="U117" s="3">
        <v>5644</v>
      </c>
      <c r="V117" s="3">
        <v>4949</v>
      </c>
      <c r="W117" s="3">
        <v>3240</v>
      </c>
      <c r="X117" s="3">
        <v>4111</v>
      </c>
      <c r="Y117" s="3">
        <v>3170</v>
      </c>
      <c r="Z117" s="3">
        <v>4915</v>
      </c>
      <c r="AA117" s="3"/>
      <c r="AB117" s="3"/>
    </row>
    <row r="118" spans="1:42" x14ac:dyDescent="0.55000000000000004">
      <c r="A118" s="2" t="s">
        <v>121</v>
      </c>
      <c r="B118" s="3"/>
      <c r="C118" s="3"/>
      <c r="D118" s="3"/>
      <c r="E118" s="3"/>
      <c r="F118" s="3"/>
      <c r="G118" s="3"/>
      <c r="H118" s="3"/>
      <c r="I118" s="3"/>
      <c r="J118" s="3"/>
      <c r="K118" s="1"/>
      <c r="L118" s="1"/>
      <c r="N118" s="3">
        <v>7010</v>
      </c>
      <c r="O118" s="3">
        <v>7552</v>
      </c>
      <c r="P118" s="3">
        <v>4709</v>
      </c>
      <c r="Q118" s="3">
        <v>2821</v>
      </c>
      <c r="R118" s="3">
        <v>3482</v>
      </c>
      <c r="S118" s="3">
        <v>6063</v>
      </c>
      <c r="T118" s="3">
        <v>3765</v>
      </c>
      <c r="U118" s="3">
        <v>4775</v>
      </c>
      <c r="V118" s="3">
        <v>3659</v>
      </c>
      <c r="W118" s="3">
        <v>3591</v>
      </c>
      <c r="X118" s="3">
        <v>3442</v>
      </c>
      <c r="Y118" s="3">
        <v>3752</v>
      </c>
      <c r="Z118" s="3">
        <v>4311</v>
      </c>
      <c r="AA118" s="3"/>
      <c r="AB118" s="3"/>
    </row>
    <row r="119" spans="1:42" x14ac:dyDescent="0.55000000000000004">
      <c r="A119" s="4" t="s">
        <v>122</v>
      </c>
      <c r="B119" s="5">
        <v>1551229</v>
      </c>
      <c r="C119" s="5">
        <v>81613</v>
      </c>
      <c r="D119" s="5">
        <v>67395</v>
      </c>
      <c r="E119" s="5">
        <v>109633</v>
      </c>
      <c r="F119" s="5">
        <v>4521</v>
      </c>
      <c r="G119" s="5">
        <v>4635</v>
      </c>
      <c r="H119" s="5">
        <v>1518423</v>
      </c>
      <c r="I119" s="5">
        <v>83979</v>
      </c>
      <c r="J119" s="5">
        <v>63234</v>
      </c>
      <c r="K119" s="14">
        <v>52.6</v>
      </c>
      <c r="L119" s="14">
        <v>43.5</v>
      </c>
      <c r="N119" s="5">
        <v>207537</v>
      </c>
      <c r="O119" s="5">
        <v>141196</v>
      </c>
      <c r="P119" s="5">
        <v>146471</v>
      </c>
      <c r="Q119" s="5">
        <v>112500</v>
      </c>
      <c r="R119" s="5">
        <v>126757</v>
      </c>
      <c r="S119" s="5">
        <v>127327</v>
      </c>
      <c r="T119" s="5">
        <v>117773</v>
      </c>
      <c r="U119" s="5">
        <v>195838</v>
      </c>
      <c r="V119" s="5">
        <v>103705</v>
      </c>
      <c r="W119" s="5">
        <v>108068</v>
      </c>
      <c r="X119" s="5">
        <v>166056</v>
      </c>
      <c r="Y119" s="5"/>
      <c r="Z119" s="5"/>
      <c r="AA119" s="5"/>
      <c r="AB119" s="5"/>
      <c r="AD119" s="15">
        <f>SUM(N119:AB119)</f>
        <v>1553228</v>
      </c>
      <c r="AE119" s="15">
        <f>SUM(N120:AB120)</f>
        <v>81612</v>
      </c>
      <c r="AF119" s="15">
        <f>SUM(N121:AB121)</f>
        <v>67395</v>
      </c>
      <c r="AH119" s="15">
        <f>AD119-B119</f>
        <v>1999</v>
      </c>
      <c r="AI119" s="15">
        <f>AE119-C119</f>
        <v>-1</v>
      </c>
      <c r="AJ119" s="15">
        <f>AF119-D119</f>
        <v>0</v>
      </c>
      <c r="AL119" s="17">
        <f>C119/B119*1000</f>
        <v>52.611832295554045</v>
      </c>
      <c r="AM119" s="17">
        <f>D119/B119*1000</f>
        <v>43.446196531911148</v>
      </c>
      <c r="AO119" s="17">
        <f>AL119-K119</f>
        <v>1.1832295554043526E-2</v>
      </c>
      <c r="AP119" s="17">
        <f>AM119-L119</f>
        <v>-5.3803468088851503E-2</v>
      </c>
    </row>
    <row r="120" spans="1:42" x14ac:dyDescent="0.55000000000000004">
      <c r="A120" s="2" t="s">
        <v>123</v>
      </c>
      <c r="B120" s="3"/>
      <c r="C120" s="3"/>
      <c r="D120" s="3"/>
      <c r="E120" s="3"/>
      <c r="F120" s="3"/>
      <c r="G120" s="3"/>
      <c r="H120" s="3"/>
      <c r="I120" s="3"/>
      <c r="J120" s="3"/>
      <c r="K120" s="1"/>
      <c r="L120" s="1"/>
      <c r="N120" s="3">
        <v>10561</v>
      </c>
      <c r="O120" s="3">
        <v>8000</v>
      </c>
      <c r="P120" s="3">
        <v>8209</v>
      </c>
      <c r="Q120" s="3">
        <v>5805</v>
      </c>
      <c r="R120" s="3">
        <v>6671</v>
      </c>
      <c r="S120" s="3">
        <v>6574</v>
      </c>
      <c r="T120" s="3">
        <v>6134</v>
      </c>
      <c r="U120" s="3">
        <v>10428</v>
      </c>
      <c r="V120" s="3">
        <v>5765</v>
      </c>
      <c r="W120" s="3">
        <v>5099</v>
      </c>
      <c r="X120" s="3">
        <v>8366</v>
      </c>
      <c r="Y120" s="3"/>
      <c r="Z120" s="3"/>
      <c r="AA120" s="3"/>
      <c r="AB120" s="3"/>
    </row>
    <row r="121" spans="1:42" x14ac:dyDescent="0.55000000000000004">
      <c r="A121" s="2" t="s">
        <v>124</v>
      </c>
      <c r="B121" s="3"/>
      <c r="C121" s="3"/>
      <c r="D121" s="3"/>
      <c r="E121" s="3"/>
      <c r="F121" s="3"/>
      <c r="G121" s="3"/>
      <c r="H121" s="3"/>
      <c r="I121" s="3"/>
      <c r="J121" s="3"/>
      <c r="K121" s="1"/>
      <c r="L121" s="1"/>
      <c r="N121" s="3">
        <v>8707</v>
      </c>
      <c r="O121" s="3">
        <v>6368</v>
      </c>
      <c r="P121" s="3">
        <v>7438</v>
      </c>
      <c r="Q121" s="3">
        <v>5180</v>
      </c>
      <c r="R121" s="3">
        <v>5679</v>
      </c>
      <c r="S121" s="3">
        <v>4447</v>
      </c>
      <c r="T121" s="3">
        <v>5687</v>
      </c>
      <c r="U121" s="3">
        <v>8626</v>
      </c>
      <c r="V121" s="3">
        <v>4639</v>
      </c>
      <c r="W121" s="3">
        <v>4036</v>
      </c>
      <c r="X121" s="3">
        <v>6588</v>
      </c>
      <c r="Y121" s="3"/>
      <c r="Z121" s="3"/>
      <c r="AA121" s="3"/>
      <c r="AB121" s="3"/>
    </row>
    <row r="122" spans="1:42" x14ac:dyDescent="0.55000000000000004">
      <c r="A122" s="4" t="s">
        <v>125</v>
      </c>
      <c r="B122" s="5">
        <v>1258668</v>
      </c>
      <c r="C122" s="5">
        <v>52788</v>
      </c>
      <c r="D122" s="5">
        <v>44559</v>
      </c>
      <c r="E122" s="5">
        <v>87658</v>
      </c>
      <c r="F122" s="5">
        <v>2369</v>
      </c>
      <c r="G122" s="5">
        <v>2153</v>
      </c>
      <c r="H122" s="5">
        <v>1226861</v>
      </c>
      <c r="I122" s="5">
        <v>54265</v>
      </c>
      <c r="J122" s="5">
        <v>36740</v>
      </c>
      <c r="K122" s="14">
        <v>42</v>
      </c>
      <c r="L122" s="14">
        <v>35.4</v>
      </c>
      <c r="N122" s="5">
        <v>172267</v>
      </c>
      <c r="O122" s="5">
        <v>141791</v>
      </c>
      <c r="P122" s="5">
        <v>77279</v>
      </c>
      <c r="Q122" s="5">
        <v>90682</v>
      </c>
      <c r="R122" s="5">
        <v>71010</v>
      </c>
      <c r="S122" s="5">
        <v>110430</v>
      </c>
      <c r="T122" s="5">
        <v>87090</v>
      </c>
      <c r="U122" s="5">
        <v>182438</v>
      </c>
      <c r="V122" s="5">
        <v>93368</v>
      </c>
      <c r="W122" s="5">
        <v>88179</v>
      </c>
      <c r="X122" s="5">
        <v>144234</v>
      </c>
      <c r="Y122" s="5"/>
      <c r="Z122" s="5"/>
      <c r="AA122" s="5"/>
      <c r="AB122" s="5"/>
      <c r="AD122" s="15">
        <f>SUM(N122:AB122)</f>
        <v>1258768</v>
      </c>
      <c r="AE122" s="15">
        <f>SUM(N123:AB123)</f>
        <v>52788</v>
      </c>
      <c r="AF122" s="15">
        <f>SUM(N124:AB124)</f>
        <v>44559</v>
      </c>
      <c r="AH122" s="15">
        <f>AD122-B122</f>
        <v>100</v>
      </c>
      <c r="AI122" s="15">
        <f>AE122-C122</f>
        <v>0</v>
      </c>
      <c r="AJ122" s="15">
        <f>AF122-D122</f>
        <v>0</v>
      </c>
      <c r="AL122" s="17">
        <f>C122/B122*1000</f>
        <v>41.939574216552735</v>
      </c>
      <c r="AM122" s="17">
        <f>D122/B122*1000</f>
        <v>35.401710379544085</v>
      </c>
      <c r="AO122" s="17">
        <f>AL122-K122</f>
        <v>-6.0425783447264791E-2</v>
      </c>
      <c r="AP122" s="17">
        <f>AM122-L122</f>
        <v>1.7103795440860381E-3</v>
      </c>
    </row>
    <row r="123" spans="1:42" x14ac:dyDescent="0.55000000000000004">
      <c r="A123" s="2" t="s">
        <v>126</v>
      </c>
      <c r="B123" s="3"/>
      <c r="C123" s="3"/>
      <c r="D123" s="3"/>
      <c r="E123" s="3"/>
      <c r="F123" s="3"/>
      <c r="G123" s="3"/>
      <c r="H123" s="3"/>
      <c r="I123" s="3"/>
      <c r="J123" s="3"/>
      <c r="K123" s="1"/>
      <c r="L123" s="1"/>
      <c r="N123" s="3">
        <v>6197</v>
      </c>
      <c r="O123" s="3">
        <v>5685</v>
      </c>
      <c r="P123" s="3">
        <v>3298</v>
      </c>
      <c r="Q123" s="3">
        <v>3788</v>
      </c>
      <c r="R123" s="3">
        <v>3739</v>
      </c>
      <c r="S123" s="3">
        <v>4770</v>
      </c>
      <c r="T123" s="3">
        <v>3738</v>
      </c>
      <c r="U123" s="3">
        <v>7153</v>
      </c>
      <c r="V123" s="3">
        <v>4152</v>
      </c>
      <c r="W123" s="3">
        <v>4105</v>
      </c>
      <c r="X123" s="3">
        <v>6163</v>
      </c>
      <c r="Y123" s="3"/>
      <c r="Z123" s="3"/>
      <c r="AA123" s="3"/>
      <c r="AB123" s="3"/>
    </row>
    <row r="124" spans="1:42" x14ac:dyDescent="0.55000000000000004">
      <c r="A124" s="2" t="s">
        <v>127</v>
      </c>
      <c r="B124" s="3"/>
      <c r="C124" s="3"/>
      <c r="D124" s="3"/>
      <c r="E124" s="3"/>
      <c r="F124" s="3"/>
      <c r="G124" s="3"/>
      <c r="H124" s="3"/>
      <c r="I124" s="3"/>
      <c r="J124" s="3"/>
      <c r="K124" s="1"/>
      <c r="L124" s="1"/>
      <c r="N124" s="3">
        <v>5181</v>
      </c>
      <c r="O124" s="3">
        <v>5485</v>
      </c>
      <c r="P124" s="3">
        <v>2613</v>
      </c>
      <c r="Q124" s="3">
        <v>4129</v>
      </c>
      <c r="R124" s="3">
        <v>2785</v>
      </c>
      <c r="S124" s="3">
        <v>4124</v>
      </c>
      <c r="T124" s="3">
        <v>3571</v>
      </c>
      <c r="U124" s="3">
        <v>5754</v>
      </c>
      <c r="V124" s="3">
        <v>2979</v>
      </c>
      <c r="W124" s="3">
        <v>3285</v>
      </c>
      <c r="X124" s="3">
        <v>4653</v>
      </c>
      <c r="Y124" s="3"/>
      <c r="Z124" s="3"/>
      <c r="AA124" s="3"/>
      <c r="AB124" s="3"/>
    </row>
    <row r="125" spans="1:42" x14ac:dyDescent="0.55000000000000004">
      <c r="A125" s="4" t="s">
        <v>128</v>
      </c>
      <c r="B125" s="5">
        <v>351571</v>
      </c>
      <c r="C125" s="5">
        <v>16286</v>
      </c>
      <c r="D125" s="5">
        <v>13647</v>
      </c>
      <c r="E125" s="5">
        <v>21625</v>
      </c>
      <c r="F125" s="5">
        <v>834</v>
      </c>
      <c r="G125" s="5">
        <v>803</v>
      </c>
      <c r="H125" s="5">
        <v>343425</v>
      </c>
      <c r="I125" s="5">
        <v>16983</v>
      </c>
      <c r="J125" s="5">
        <v>11291</v>
      </c>
      <c r="K125" s="14">
        <v>46.3</v>
      </c>
      <c r="L125" s="14">
        <v>38.799999999999997</v>
      </c>
      <c r="N125" s="5">
        <v>80920</v>
      </c>
      <c r="O125" s="5">
        <v>49737</v>
      </c>
      <c r="P125" s="5">
        <v>76819</v>
      </c>
      <c r="Q125" s="5">
        <v>43625</v>
      </c>
      <c r="R125" s="5">
        <v>27615</v>
      </c>
      <c r="S125" s="5">
        <v>39274</v>
      </c>
      <c r="T125" s="5">
        <v>33581</v>
      </c>
      <c r="U125" s="5"/>
      <c r="V125" s="5"/>
      <c r="W125" s="5"/>
      <c r="X125" s="5"/>
      <c r="Y125" s="5"/>
      <c r="Z125" s="5"/>
      <c r="AA125" s="5"/>
      <c r="AB125" s="5"/>
      <c r="AD125" s="15">
        <f>SUM(N125:AB125)</f>
        <v>351571</v>
      </c>
      <c r="AE125" s="15">
        <f>SUM(N126:AB126)</f>
        <v>16286</v>
      </c>
      <c r="AF125" s="15">
        <f>SUM(N127:AB127)</f>
        <v>13647</v>
      </c>
      <c r="AH125" s="15">
        <f>AD125-B125</f>
        <v>0</v>
      </c>
      <c r="AI125" s="15">
        <f>AE125-C125</f>
        <v>0</v>
      </c>
      <c r="AJ125" s="15">
        <f>AF125-D125</f>
        <v>0</v>
      </c>
      <c r="AL125" s="17">
        <f>C125/B125*1000</f>
        <v>46.32350222287959</v>
      </c>
      <c r="AM125" s="17">
        <f>D125/B125*1000</f>
        <v>38.817194819823023</v>
      </c>
      <c r="AO125" s="17">
        <f>AL125-K125</f>
        <v>2.3502222879592694E-2</v>
      </c>
      <c r="AP125" s="17">
        <f>AM125-L125</f>
        <v>1.7194819823025398E-2</v>
      </c>
    </row>
    <row r="126" spans="1:42" x14ac:dyDescent="0.55000000000000004">
      <c r="A126" s="2" t="s">
        <v>129</v>
      </c>
      <c r="B126" s="3"/>
      <c r="C126" s="3"/>
      <c r="D126" s="3"/>
      <c r="E126" s="3"/>
      <c r="F126" s="3"/>
      <c r="G126" s="3"/>
      <c r="H126" s="3"/>
      <c r="I126" s="3"/>
      <c r="J126" s="3"/>
      <c r="K126" s="1"/>
      <c r="L126" s="1"/>
      <c r="N126" s="3">
        <v>3689</v>
      </c>
      <c r="O126" s="3">
        <v>2256</v>
      </c>
      <c r="P126" s="3">
        <v>3613</v>
      </c>
      <c r="Q126" s="3">
        <v>2146</v>
      </c>
      <c r="R126" s="3">
        <v>1047</v>
      </c>
      <c r="S126" s="3">
        <v>1868</v>
      </c>
      <c r="T126" s="3">
        <v>1667</v>
      </c>
      <c r="U126" s="3"/>
      <c r="V126" s="3"/>
      <c r="W126" s="3"/>
      <c r="X126" s="3"/>
      <c r="Y126" s="3"/>
      <c r="Z126" s="3"/>
      <c r="AA126" s="3"/>
      <c r="AB126" s="3"/>
    </row>
    <row r="127" spans="1:42" x14ac:dyDescent="0.55000000000000004">
      <c r="A127" s="2" t="s">
        <v>130</v>
      </c>
      <c r="B127" s="3"/>
      <c r="C127" s="3"/>
      <c r="D127" s="3"/>
      <c r="E127" s="3"/>
      <c r="F127" s="3"/>
      <c r="G127" s="3"/>
      <c r="H127" s="3"/>
      <c r="I127" s="3"/>
      <c r="J127" s="3"/>
      <c r="K127" s="1"/>
      <c r="L127" s="1"/>
      <c r="N127" s="3">
        <v>2775</v>
      </c>
      <c r="O127" s="3">
        <v>2181</v>
      </c>
      <c r="P127" s="3">
        <v>3557</v>
      </c>
      <c r="Q127" s="3">
        <v>1625</v>
      </c>
      <c r="R127" s="3">
        <v>658</v>
      </c>
      <c r="S127" s="3">
        <v>1334</v>
      </c>
      <c r="T127" s="3">
        <v>1517</v>
      </c>
      <c r="U127" s="3"/>
      <c r="V127" s="3"/>
      <c r="W127" s="3"/>
      <c r="X127" s="3"/>
      <c r="Y127" s="3"/>
      <c r="Z127" s="3"/>
      <c r="AA127" s="3"/>
      <c r="AB127" s="3"/>
    </row>
    <row r="128" spans="1:42" x14ac:dyDescent="0.55000000000000004">
      <c r="A128" s="4" t="s">
        <v>131</v>
      </c>
      <c r="B128" s="5">
        <v>1995229</v>
      </c>
      <c r="C128" s="5">
        <v>105360</v>
      </c>
      <c r="D128" s="5">
        <v>79573</v>
      </c>
      <c r="E128" s="5">
        <v>235932</v>
      </c>
      <c r="F128" s="5">
        <v>7443</v>
      </c>
      <c r="G128" s="5">
        <v>6880</v>
      </c>
      <c r="H128" s="5">
        <v>2046601</v>
      </c>
      <c r="I128" s="5">
        <v>105613</v>
      </c>
      <c r="J128" s="5">
        <v>67774</v>
      </c>
      <c r="K128" s="14">
        <v>52.8</v>
      </c>
      <c r="L128" s="14">
        <v>39.9</v>
      </c>
      <c r="N128" s="5">
        <v>215547</v>
      </c>
      <c r="O128" s="5">
        <v>147528</v>
      </c>
      <c r="P128" s="5">
        <v>155791</v>
      </c>
      <c r="Q128" s="5">
        <v>100646</v>
      </c>
      <c r="R128" s="5">
        <v>277925</v>
      </c>
      <c r="S128" s="5">
        <v>105474</v>
      </c>
      <c r="T128" s="5">
        <v>105673</v>
      </c>
      <c r="U128" s="5">
        <v>340788</v>
      </c>
      <c r="V128" s="5">
        <v>182468</v>
      </c>
      <c r="W128" s="5">
        <v>103948</v>
      </c>
      <c r="X128" s="5">
        <v>136137</v>
      </c>
      <c r="Y128" s="5">
        <v>123304</v>
      </c>
      <c r="Z128" s="5"/>
      <c r="AA128" s="5"/>
      <c r="AB128" s="5"/>
      <c r="AD128" s="15">
        <f>SUM(N128:AB128)</f>
        <v>1995229</v>
      </c>
      <c r="AE128" s="15">
        <f>SUM(N129:AB129)</f>
        <v>105360</v>
      </c>
      <c r="AF128" s="15">
        <f>SUM(N130:AB130)</f>
        <v>79573</v>
      </c>
      <c r="AH128" s="15">
        <f>AD128-B128</f>
        <v>0</v>
      </c>
      <c r="AI128" s="15">
        <f>AE128-C128</f>
        <v>0</v>
      </c>
      <c r="AJ128" s="15">
        <f>AF128-D128</f>
        <v>0</v>
      </c>
      <c r="AL128" s="17">
        <f>C128/B128*1000</f>
        <v>52.805968638186393</v>
      </c>
      <c r="AM128" s="17">
        <f>D128/B128*1000</f>
        <v>39.881637646605981</v>
      </c>
      <c r="AO128" s="17">
        <f>AL128-K128</f>
        <v>5.9686381863954807E-3</v>
      </c>
      <c r="AP128" s="17">
        <f>AM128-L128</f>
        <v>-1.8362353394017816E-2</v>
      </c>
    </row>
    <row r="129" spans="1:42" x14ac:dyDescent="0.55000000000000004">
      <c r="A129" s="2" t="s">
        <v>132</v>
      </c>
      <c r="B129" s="3"/>
      <c r="C129" s="3"/>
      <c r="D129" s="3"/>
      <c r="E129" s="3"/>
      <c r="F129" s="3"/>
      <c r="G129" s="3"/>
      <c r="H129" s="3"/>
      <c r="I129" s="3"/>
      <c r="J129" s="3"/>
      <c r="K129" s="1"/>
      <c r="L129" s="1"/>
      <c r="N129" s="3">
        <v>9856</v>
      </c>
      <c r="O129" s="3">
        <v>6789</v>
      </c>
      <c r="P129" s="3">
        <v>9081</v>
      </c>
      <c r="Q129" s="3">
        <v>5422</v>
      </c>
      <c r="R129" s="3">
        <v>15546</v>
      </c>
      <c r="S129" s="3">
        <v>6908</v>
      </c>
      <c r="T129" s="3">
        <v>5540</v>
      </c>
      <c r="U129" s="3">
        <v>16620</v>
      </c>
      <c r="V129" s="3">
        <v>9671</v>
      </c>
      <c r="W129" s="3">
        <v>5413</v>
      </c>
      <c r="X129" s="3">
        <v>7527</v>
      </c>
      <c r="Y129" s="3">
        <v>6987</v>
      </c>
      <c r="Z129" s="3"/>
      <c r="AA129" s="3"/>
      <c r="AB129" s="3"/>
    </row>
    <row r="130" spans="1:42" x14ac:dyDescent="0.55000000000000004">
      <c r="A130" s="2" t="s">
        <v>133</v>
      </c>
      <c r="B130" s="3"/>
      <c r="C130" s="3"/>
      <c r="D130" s="3"/>
      <c r="E130" s="3"/>
      <c r="F130" s="3"/>
      <c r="G130" s="3"/>
      <c r="H130" s="3"/>
      <c r="I130" s="3"/>
      <c r="J130" s="3"/>
      <c r="K130" s="1"/>
      <c r="L130" s="1"/>
      <c r="N130" s="3">
        <v>7755</v>
      </c>
      <c r="O130" s="3">
        <v>5049</v>
      </c>
      <c r="P130" s="3">
        <v>5798</v>
      </c>
      <c r="Q130" s="3">
        <v>3708</v>
      </c>
      <c r="R130" s="3">
        <v>13560</v>
      </c>
      <c r="S130" s="3">
        <v>4489</v>
      </c>
      <c r="T130" s="3">
        <v>4099</v>
      </c>
      <c r="U130" s="3">
        <v>14485</v>
      </c>
      <c r="V130" s="3">
        <v>6627</v>
      </c>
      <c r="W130" s="3">
        <v>4137</v>
      </c>
      <c r="X130" s="3">
        <v>5582</v>
      </c>
      <c r="Y130" s="3">
        <v>4284</v>
      </c>
      <c r="Z130" s="3"/>
      <c r="AA130" s="3"/>
      <c r="AB130" s="3"/>
    </row>
    <row r="131" spans="1:42" x14ac:dyDescent="0.55000000000000004">
      <c r="A131" s="4" t="s">
        <v>134</v>
      </c>
      <c r="B131" s="5">
        <v>1584245</v>
      </c>
      <c r="C131" s="5">
        <v>83165</v>
      </c>
      <c r="D131" s="5">
        <v>62794</v>
      </c>
      <c r="E131" s="5">
        <v>123283</v>
      </c>
      <c r="F131" s="5">
        <v>5353</v>
      </c>
      <c r="G131" s="5">
        <v>5140</v>
      </c>
      <c r="H131" s="5">
        <v>1532982</v>
      </c>
      <c r="I131" s="5">
        <v>81410</v>
      </c>
      <c r="J131" s="5">
        <v>57581</v>
      </c>
      <c r="K131" s="14">
        <v>52.5</v>
      </c>
      <c r="L131" s="14">
        <v>39.6</v>
      </c>
      <c r="N131" s="5">
        <v>158692</v>
      </c>
      <c r="O131" s="5">
        <v>172098</v>
      </c>
      <c r="P131" s="5">
        <v>197805</v>
      </c>
      <c r="Q131" s="5">
        <v>131189</v>
      </c>
      <c r="R131" s="5">
        <v>181611</v>
      </c>
      <c r="S131" s="5">
        <v>114010</v>
      </c>
      <c r="T131" s="5">
        <v>137026</v>
      </c>
      <c r="U131" s="5">
        <v>175289</v>
      </c>
      <c r="V131" s="5">
        <v>157243</v>
      </c>
      <c r="W131" s="5">
        <v>159282</v>
      </c>
      <c r="X131" s="5"/>
      <c r="Y131" s="5"/>
      <c r="Z131" s="5"/>
      <c r="AA131" s="5"/>
      <c r="AB131" s="5"/>
      <c r="AD131" s="15">
        <f>SUM(N131:AB131)</f>
        <v>1584245</v>
      </c>
      <c r="AE131" s="15">
        <f>SUM(N132:AB132)</f>
        <v>83165</v>
      </c>
      <c r="AF131" s="15">
        <f>SUM(N133:AB133)</f>
        <v>62794</v>
      </c>
      <c r="AH131" s="15">
        <f>AD131-B131</f>
        <v>0</v>
      </c>
      <c r="AI131" s="15">
        <f>AE131-C131</f>
        <v>0</v>
      </c>
      <c r="AJ131" s="15">
        <f>AF131-D131</f>
        <v>0</v>
      </c>
      <c r="AL131" s="17">
        <f>C131/B131*1000</f>
        <v>52.495037068130245</v>
      </c>
      <c r="AM131" s="17">
        <f>D131/B131*1000</f>
        <v>39.636546115026398</v>
      </c>
      <c r="AO131" s="17">
        <f>AL131-K131</f>
        <v>-4.9629318697554936E-3</v>
      </c>
      <c r="AP131" s="17">
        <f>AM131-L131</f>
        <v>3.6546115026396819E-2</v>
      </c>
    </row>
    <row r="132" spans="1:42" x14ac:dyDescent="0.55000000000000004">
      <c r="A132" s="2" t="s">
        <v>135</v>
      </c>
      <c r="B132" s="3"/>
      <c r="C132" s="3"/>
      <c r="D132" s="3"/>
      <c r="E132" s="3"/>
      <c r="F132" s="3"/>
      <c r="G132" s="3"/>
      <c r="H132" s="3"/>
      <c r="I132" s="3"/>
      <c r="J132" s="3"/>
      <c r="K132" s="1"/>
      <c r="L132" s="1"/>
      <c r="N132" s="3">
        <v>8664</v>
      </c>
      <c r="O132" s="3">
        <v>9510</v>
      </c>
      <c r="P132" s="3">
        <v>10843</v>
      </c>
      <c r="Q132" s="3">
        <v>5994</v>
      </c>
      <c r="R132" s="3">
        <v>9533</v>
      </c>
      <c r="S132" s="3">
        <v>7029</v>
      </c>
      <c r="T132" s="3">
        <v>6872</v>
      </c>
      <c r="U132" s="3">
        <v>8314</v>
      </c>
      <c r="V132" s="3">
        <v>7841</v>
      </c>
      <c r="W132" s="3">
        <v>8565</v>
      </c>
      <c r="X132" s="3"/>
      <c r="Y132" s="3"/>
      <c r="Z132" s="3"/>
      <c r="AA132" s="3"/>
      <c r="AB132" s="3"/>
    </row>
    <row r="133" spans="1:42" x14ac:dyDescent="0.55000000000000004">
      <c r="A133" s="2" t="s">
        <v>136</v>
      </c>
      <c r="B133" s="3"/>
      <c r="C133" s="3"/>
      <c r="D133" s="3"/>
      <c r="E133" s="3"/>
      <c r="F133" s="3"/>
      <c r="G133" s="3"/>
      <c r="H133" s="3"/>
      <c r="I133" s="3"/>
      <c r="J133" s="3"/>
      <c r="K133" s="1"/>
      <c r="L133" s="1"/>
      <c r="N133" s="3">
        <v>7496</v>
      </c>
      <c r="O133" s="3">
        <v>7870</v>
      </c>
      <c r="P133" s="3">
        <v>7836</v>
      </c>
      <c r="Q133" s="3">
        <v>4770</v>
      </c>
      <c r="R133" s="3">
        <v>6360</v>
      </c>
      <c r="S133" s="3">
        <v>5962</v>
      </c>
      <c r="T133" s="3">
        <v>4739</v>
      </c>
      <c r="U133" s="3">
        <v>5913</v>
      </c>
      <c r="V133" s="3">
        <v>5830</v>
      </c>
      <c r="W133" s="3">
        <v>6018</v>
      </c>
      <c r="X133" s="3"/>
      <c r="Y133" s="3"/>
      <c r="Z133" s="3"/>
      <c r="AA133" s="3"/>
      <c r="AB133" s="3"/>
    </row>
    <row r="134" spans="1:42" x14ac:dyDescent="0.55000000000000004">
      <c r="A134" s="4" t="s">
        <v>137</v>
      </c>
      <c r="B134" s="5">
        <v>2778837</v>
      </c>
      <c r="C134" s="5">
        <v>150033</v>
      </c>
      <c r="D134" s="5">
        <v>118079</v>
      </c>
      <c r="E134" s="5">
        <v>132950</v>
      </c>
      <c r="F134" s="5">
        <v>5575</v>
      </c>
      <c r="G134" s="5">
        <v>5954</v>
      </c>
      <c r="H134" s="5">
        <v>2728250</v>
      </c>
      <c r="I134" s="5">
        <v>153497</v>
      </c>
      <c r="J134" s="5">
        <v>115784</v>
      </c>
      <c r="K134" s="14">
        <v>53.9</v>
      </c>
      <c r="L134" s="14">
        <v>42.5</v>
      </c>
      <c r="N134" s="5">
        <v>228221</v>
      </c>
      <c r="O134" s="5">
        <v>223418</v>
      </c>
      <c r="P134" s="5">
        <v>383883</v>
      </c>
      <c r="Q134" s="5">
        <v>140922</v>
      </c>
      <c r="R134" s="5">
        <v>259487</v>
      </c>
      <c r="S134" s="5">
        <v>232448</v>
      </c>
      <c r="T134" s="5">
        <v>123741</v>
      </c>
      <c r="U134" s="5">
        <v>283694</v>
      </c>
      <c r="V134" s="5">
        <v>258003</v>
      </c>
      <c r="W134" s="5">
        <v>211877</v>
      </c>
      <c r="X134" s="5">
        <v>91880</v>
      </c>
      <c r="Y134" s="5">
        <v>341263</v>
      </c>
      <c r="Z134" s="5"/>
      <c r="AA134" s="5"/>
      <c r="AB134" s="5"/>
      <c r="AD134" s="15">
        <f>SUM(N134:AB134)</f>
        <v>2778837</v>
      </c>
      <c r="AE134" s="15">
        <f>SUM(N135:AB135)</f>
        <v>150033</v>
      </c>
      <c r="AF134" s="15">
        <f>SUM(N136:AB136)</f>
        <v>118079</v>
      </c>
      <c r="AH134" s="15">
        <f>AD134-B134</f>
        <v>0</v>
      </c>
      <c r="AI134" s="15">
        <f>AE134-C134</f>
        <v>0</v>
      </c>
      <c r="AJ134" s="15">
        <f>AF134-D134</f>
        <v>0</v>
      </c>
      <c r="AL134" s="17">
        <f>C134/B134*1000</f>
        <v>53.991292040519113</v>
      </c>
      <c r="AM134" s="17">
        <f>D134/B134*1000</f>
        <v>42.492236860240453</v>
      </c>
      <c r="AO134" s="17">
        <f>AL134-K134</f>
        <v>9.1292040519114437E-2</v>
      </c>
      <c r="AP134" s="17">
        <f>AM134-L134</f>
        <v>-7.7631397595467888E-3</v>
      </c>
    </row>
    <row r="135" spans="1:42" x14ac:dyDescent="0.55000000000000004">
      <c r="A135" s="2" t="s">
        <v>138</v>
      </c>
      <c r="B135" s="3"/>
      <c r="C135" s="3"/>
      <c r="D135" s="3"/>
      <c r="E135" s="3"/>
      <c r="F135" s="3"/>
      <c r="G135" s="3"/>
      <c r="H135" s="3"/>
      <c r="I135" s="3"/>
      <c r="J135" s="3"/>
      <c r="K135" s="1"/>
      <c r="L135" s="1"/>
      <c r="N135" s="3">
        <v>12277</v>
      </c>
      <c r="O135" s="3">
        <v>11677</v>
      </c>
      <c r="P135" s="3">
        <v>20850</v>
      </c>
      <c r="Q135" s="3">
        <v>8005</v>
      </c>
      <c r="R135" s="3">
        <v>13870</v>
      </c>
      <c r="S135" s="3">
        <v>12206</v>
      </c>
      <c r="T135" s="3">
        <v>8010</v>
      </c>
      <c r="U135" s="3">
        <v>16422</v>
      </c>
      <c r="V135" s="3">
        <v>12049</v>
      </c>
      <c r="W135" s="3">
        <v>11449</v>
      </c>
      <c r="X135" s="3">
        <v>5308</v>
      </c>
      <c r="Y135" s="3">
        <v>17910</v>
      </c>
      <c r="Z135" s="3"/>
      <c r="AA135" s="3"/>
      <c r="AB135" s="3"/>
    </row>
    <row r="136" spans="1:42" x14ac:dyDescent="0.55000000000000004">
      <c r="A136" s="2" t="s">
        <v>139</v>
      </c>
      <c r="B136" s="3"/>
      <c r="C136" s="3"/>
      <c r="D136" s="3"/>
      <c r="E136" s="3"/>
      <c r="F136" s="3"/>
      <c r="G136" s="3"/>
      <c r="H136" s="3"/>
      <c r="I136" s="3"/>
      <c r="J136" s="3"/>
      <c r="K136" s="1"/>
      <c r="L136" s="1"/>
      <c r="N136" s="3">
        <v>11269</v>
      </c>
      <c r="O136" s="3">
        <v>9336</v>
      </c>
      <c r="P136" s="3">
        <v>16314</v>
      </c>
      <c r="Q136" s="3">
        <v>6738</v>
      </c>
      <c r="R136" s="3">
        <v>10936</v>
      </c>
      <c r="S136" s="3">
        <v>8743</v>
      </c>
      <c r="T136" s="3">
        <v>6572</v>
      </c>
      <c r="U136" s="3">
        <v>12166</v>
      </c>
      <c r="V136" s="3">
        <v>9732</v>
      </c>
      <c r="W136" s="3">
        <v>9008</v>
      </c>
      <c r="X136" s="3">
        <v>2852</v>
      </c>
      <c r="Y136" s="3">
        <v>14413</v>
      </c>
      <c r="Z136" s="3"/>
      <c r="AA136" s="3"/>
      <c r="AB136" s="3"/>
      <c r="AD136" s="19"/>
      <c r="AE136" s="19"/>
      <c r="AF136" s="19"/>
      <c r="AH136" s="19"/>
      <c r="AI136" s="19"/>
      <c r="AJ136" s="19"/>
      <c r="AL136" s="20"/>
      <c r="AM136" s="20"/>
      <c r="AO136" s="20"/>
      <c r="AP136" s="20"/>
    </row>
    <row r="137" spans="1:42" x14ac:dyDescent="0.55000000000000004">
      <c r="A137" s="4" t="s">
        <v>140</v>
      </c>
      <c r="B137" s="5">
        <v>2860523</v>
      </c>
      <c r="C137" s="5">
        <v>138821</v>
      </c>
      <c r="D137" s="5">
        <v>80164</v>
      </c>
      <c r="E137" s="5">
        <v>250934</v>
      </c>
      <c r="F137" s="5">
        <v>10674</v>
      </c>
      <c r="G137" s="5">
        <v>6757</v>
      </c>
      <c r="H137" s="5">
        <v>2821523</v>
      </c>
      <c r="I137" s="5">
        <v>127399</v>
      </c>
      <c r="J137" s="5">
        <v>77217</v>
      </c>
      <c r="K137" s="14">
        <v>48.5</v>
      </c>
      <c r="L137" s="14">
        <v>28</v>
      </c>
      <c r="N137" s="5">
        <v>230500</v>
      </c>
      <c r="O137" s="5">
        <v>168387</v>
      </c>
      <c r="P137" s="5">
        <v>230021</v>
      </c>
      <c r="Q137" s="5">
        <v>148959</v>
      </c>
      <c r="R137" s="5">
        <v>244579</v>
      </c>
      <c r="S137" s="5">
        <v>203219</v>
      </c>
      <c r="T137" s="5">
        <v>239211</v>
      </c>
      <c r="U137" s="5">
        <v>148789</v>
      </c>
      <c r="V137" s="5">
        <v>131953</v>
      </c>
      <c r="W137" s="5">
        <v>161156</v>
      </c>
      <c r="X137" s="5">
        <v>198947</v>
      </c>
      <c r="Y137" s="5">
        <v>167089</v>
      </c>
      <c r="Z137" s="5">
        <v>212368</v>
      </c>
      <c r="AA137" s="5">
        <v>206272</v>
      </c>
      <c r="AB137" s="5">
        <v>169073</v>
      </c>
      <c r="AD137" s="15">
        <f>SUM(N137:AB137)</f>
        <v>2860523</v>
      </c>
      <c r="AE137" s="15">
        <f>SUM(N138:AB138)</f>
        <v>138821</v>
      </c>
      <c r="AF137" s="15">
        <f>SUM(N139:AB139)</f>
        <v>80234</v>
      </c>
      <c r="AH137" s="15">
        <f>AD137-B137</f>
        <v>0</v>
      </c>
      <c r="AI137" s="15">
        <f>AE137-C137</f>
        <v>0</v>
      </c>
      <c r="AJ137" s="15">
        <f>AF137-D137</f>
        <v>70</v>
      </c>
      <c r="AL137" s="17">
        <f>C137/B137*1000</f>
        <v>48.529936658436242</v>
      </c>
      <c r="AM137" s="17">
        <f>D137/B137*1000</f>
        <v>28.02424591586923</v>
      </c>
      <c r="AO137" s="17">
        <f>AL137-K137</f>
        <v>2.9936658436241714E-2</v>
      </c>
      <c r="AP137" s="17">
        <f>AM137-L137</f>
        <v>2.4245915869229862E-2</v>
      </c>
    </row>
    <row r="138" spans="1:42" x14ac:dyDescent="0.55000000000000004">
      <c r="A138" s="2" t="s">
        <v>141</v>
      </c>
      <c r="B138" s="3"/>
      <c r="C138" s="3"/>
      <c r="D138" s="3"/>
      <c r="E138" s="3"/>
      <c r="F138" s="3"/>
      <c r="G138" s="3"/>
      <c r="H138" s="3"/>
      <c r="I138" s="3"/>
      <c r="J138" s="3"/>
      <c r="K138" s="1"/>
      <c r="L138" s="1"/>
      <c r="N138" s="3">
        <v>10600</v>
      </c>
      <c r="O138" s="3">
        <v>8315</v>
      </c>
      <c r="P138" s="3">
        <v>11676</v>
      </c>
      <c r="Q138" s="3">
        <v>7152</v>
      </c>
      <c r="R138" s="3">
        <v>10280</v>
      </c>
      <c r="S138" s="3">
        <v>11837</v>
      </c>
      <c r="T138" s="3">
        <v>11269</v>
      </c>
      <c r="U138" s="3">
        <v>7598</v>
      </c>
      <c r="V138" s="3">
        <v>7294</v>
      </c>
      <c r="W138" s="3">
        <v>8132</v>
      </c>
      <c r="X138" s="3">
        <v>9658</v>
      </c>
      <c r="Y138" s="3">
        <v>8128</v>
      </c>
      <c r="Z138" s="3">
        <v>9264</v>
      </c>
      <c r="AA138" s="3">
        <v>8672</v>
      </c>
      <c r="AB138" s="3">
        <v>8946</v>
      </c>
    </row>
    <row r="139" spans="1:42" x14ac:dyDescent="0.55000000000000004">
      <c r="A139" s="2" t="s">
        <v>142</v>
      </c>
      <c r="B139" s="3"/>
      <c r="C139" s="3"/>
      <c r="D139" s="3"/>
      <c r="E139" s="3"/>
      <c r="F139" s="3"/>
      <c r="G139" s="3"/>
      <c r="H139" s="3"/>
      <c r="I139" s="3"/>
      <c r="J139" s="3"/>
      <c r="K139" s="1"/>
      <c r="L139" s="1"/>
      <c r="N139" s="3">
        <v>7402</v>
      </c>
      <c r="O139" s="3">
        <v>4863</v>
      </c>
      <c r="P139" s="3">
        <v>6583</v>
      </c>
      <c r="Q139" s="3">
        <v>4750</v>
      </c>
      <c r="R139" s="3">
        <v>5546</v>
      </c>
      <c r="S139" s="3">
        <v>6670</v>
      </c>
      <c r="T139" s="3">
        <v>6302</v>
      </c>
      <c r="U139" s="3">
        <v>4293</v>
      </c>
      <c r="V139" s="3">
        <v>3919</v>
      </c>
      <c r="W139" s="3">
        <v>4451</v>
      </c>
      <c r="X139" s="3">
        <v>5474</v>
      </c>
      <c r="Y139" s="3">
        <v>4188</v>
      </c>
      <c r="Z139" s="3">
        <v>5583</v>
      </c>
      <c r="AA139" s="3">
        <v>5189</v>
      </c>
      <c r="AB139" s="3">
        <v>5021</v>
      </c>
    </row>
    <row r="140" spans="1:42" x14ac:dyDescent="0.55000000000000004">
      <c r="A140" s="4" t="s">
        <v>143</v>
      </c>
      <c r="B140" s="5">
        <v>1021581</v>
      </c>
      <c r="C140" s="5">
        <v>48961</v>
      </c>
      <c r="D140" s="5">
        <v>35478</v>
      </c>
      <c r="E140" s="5">
        <v>61207</v>
      </c>
      <c r="F140" s="5">
        <v>1830</v>
      </c>
      <c r="G140" s="5">
        <v>1570</v>
      </c>
      <c r="H140" s="5">
        <v>972768</v>
      </c>
      <c r="I140" s="5">
        <v>48681</v>
      </c>
      <c r="J140" s="5">
        <v>34172</v>
      </c>
      <c r="K140" s="14">
        <v>47.8</v>
      </c>
      <c r="L140" s="14">
        <v>34.700000000000003</v>
      </c>
      <c r="N140" s="5">
        <v>214289</v>
      </c>
      <c r="O140" s="5">
        <v>118662</v>
      </c>
      <c r="P140" s="5">
        <v>100653</v>
      </c>
      <c r="Q140" s="5">
        <v>123957</v>
      </c>
      <c r="R140" s="5">
        <v>154667</v>
      </c>
      <c r="S140" s="5">
        <v>162618</v>
      </c>
      <c r="T140" s="5">
        <v>74514</v>
      </c>
      <c r="U140" s="5">
        <v>72221</v>
      </c>
      <c r="V140" s="5"/>
      <c r="W140" s="5"/>
      <c r="X140" s="5"/>
      <c r="Y140" s="5"/>
      <c r="Z140" s="5"/>
      <c r="AA140" s="5"/>
      <c r="AB140" s="5"/>
      <c r="AD140" s="15">
        <f>SUM(N140:AB140)</f>
        <v>1021581</v>
      </c>
      <c r="AE140" s="15">
        <f>SUM(N141:AB141)</f>
        <v>48961</v>
      </c>
      <c r="AF140" s="15">
        <f>SUM(N142:AB142)</f>
        <v>35478</v>
      </c>
      <c r="AH140" s="15">
        <f>AD140-B140</f>
        <v>0</v>
      </c>
      <c r="AI140" s="15">
        <f>AE140-C140</f>
        <v>0</v>
      </c>
      <c r="AJ140" s="15">
        <f>AF140-D140</f>
        <v>0</v>
      </c>
      <c r="AL140" s="17">
        <f>C140/B140*1000</f>
        <v>47.926694016431398</v>
      </c>
      <c r="AM140" s="17">
        <f>D140/B140*1000</f>
        <v>34.72852372939591</v>
      </c>
      <c r="AO140" s="17">
        <f>AL140-K140</f>
        <v>0.12669401643140077</v>
      </c>
      <c r="AP140" s="17">
        <f>AM140-L140</f>
        <v>2.8523729395907083E-2</v>
      </c>
    </row>
    <row r="141" spans="1:42" x14ac:dyDescent="0.55000000000000004">
      <c r="A141" s="2" t="s">
        <v>144</v>
      </c>
      <c r="B141" s="3"/>
      <c r="C141" s="3"/>
      <c r="D141" s="3"/>
      <c r="E141" s="3"/>
      <c r="F141" s="3"/>
      <c r="G141" s="3"/>
      <c r="H141" s="3"/>
      <c r="I141" s="3"/>
      <c r="J141" s="3"/>
      <c r="K141" s="1"/>
      <c r="L141" s="1"/>
      <c r="N141" s="3">
        <v>8900</v>
      </c>
      <c r="O141" s="3">
        <v>5850</v>
      </c>
      <c r="P141" s="3">
        <v>5072</v>
      </c>
      <c r="Q141" s="3">
        <v>6033</v>
      </c>
      <c r="R141" s="3">
        <v>7412</v>
      </c>
      <c r="S141" s="3">
        <v>7486</v>
      </c>
      <c r="T141" s="3">
        <v>4167</v>
      </c>
      <c r="U141" s="3">
        <v>4041</v>
      </c>
      <c r="V141" s="3"/>
      <c r="W141" s="3"/>
      <c r="X141" s="3"/>
      <c r="Y141" s="3"/>
      <c r="Z141" s="3"/>
      <c r="AA141" s="3"/>
      <c r="AB141" s="3"/>
    </row>
    <row r="142" spans="1:42" x14ac:dyDescent="0.55000000000000004">
      <c r="A142" s="2" t="s">
        <v>145</v>
      </c>
      <c r="B142" s="3"/>
      <c r="C142" s="3"/>
      <c r="D142" s="3"/>
      <c r="E142" s="3"/>
      <c r="F142" s="3"/>
      <c r="G142" s="3"/>
      <c r="H142" s="3"/>
      <c r="I142" s="3"/>
      <c r="J142" s="3"/>
      <c r="K142" s="1"/>
      <c r="L142" s="1"/>
      <c r="N142" s="3">
        <v>7228</v>
      </c>
      <c r="O142" s="3">
        <v>4527</v>
      </c>
      <c r="P142" s="3">
        <v>3512</v>
      </c>
      <c r="Q142" s="3">
        <v>3612</v>
      </c>
      <c r="R142" s="3">
        <v>4735</v>
      </c>
      <c r="S142" s="3">
        <v>6057</v>
      </c>
      <c r="T142" s="3">
        <v>3048</v>
      </c>
      <c r="U142" s="3">
        <v>2759</v>
      </c>
      <c r="V142" s="3"/>
      <c r="W142" s="3"/>
      <c r="X142" s="3"/>
      <c r="Y142" s="3"/>
      <c r="Z142" s="3"/>
      <c r="AA142" s="3"/>
      <c r="AB142" s="3"/>
    </row>
    <row r="143" spans="1:42" x14ac:dyDescent="0.55000000000000004">
      <c r="A143" s="4" t="s">
        <v>146</v>
      </c>
      <c r="B143" s="5">
        <v>1904891</v>
      </c>
      <c r="C143" s="5">
        <v>90082</v>
      </c>
      <c r="D143" s="5">
        <v>61772</v>
      </c>
      <c r="E143" s="5">
        <v>95657</v>
      </c>
      <c r="F143" s="5">
        <v>5342</v>
      </c>
      <c r="G143" s="5">
        <v>4471</v>
      </c>
      <c r="H143" s="5">
        <v>1859963</v>
      </c>
      <c r="I143" s="5">
        <v>92054</v>
      </c>
      <c r="J143" s="5">
        <v>59071</v>
      </c>
      <c r="K143" s="14">
        <v>47.3</v>
      </c>
      <c r="L143" s="14">
        <v>32.4</v>
      </c>
      <c r="N143" s="5">
        <v>215768</v>
      </c>
      <c r="O143" s="5">
        <v>120239</v>
      </c>
      <c r="P143" s="5">
        <v>146976</v>
      </c>
      <c r="Q143" s="5">
        <v>134859</v>
      </c>
      <c r="R143" s="5">
        <v>179325</v>
      </c>
      <c r="S143" s="5">
        <v>163362</v>
      </c>
      <c r="T143" s="5">
        <v>122272</v>
      </c>
      <c r="U143" s="5">
        <v>145636</v>
      </c>
      <c r="V143" s="5">
        <v>156713</v>
      </c>
      <c r="W143" s="5">
        <v>169725</v>
      </c>
      <c r="X143" s="5">
        <v>183691</v>
      </c>
      <c r="Y143" s="5">
        <v>166325</v>
      </c>
      <c r="Z143" s="5"/>
      <c r="AA143" s="5"/>
      <c r="AB143" s="5"/>
      <c r="AD143" s="15">
        <f>SUM(N143:AB143)</f>
        <v>1904891</v>
      </c>
      <c r="AE143" s="15">
        <f>SUM(N144:AB144)</f>
        <v>90082</v>
      </c>
      <c r="AF143" s="15">
        <f>SUM(N145:AB145)</f>
        <v>61772</v>
      </c>
      <c r="AH143" s="15">
        <f>AD143-B143</f>
        <v>0</v>
      </c>
      <c r="AI143" s="15">
        <f>AE143-C143</f>
        <v>0</v>
      </c>
      <c r="AJ143" s="15">
        <f>AF143-D143</f>
        <v>0</v>
      </c>
      <c r="AL143" s="17">
        <f>C143/B143*1000</f>
        <v>47.28984493075982</v>
      </c>
      <c r="AM143" s="17">
        <f>D143/B143*1000</f>
        <v>32.428102185374385</v>
      </c>
      <c r="AO143" s="17">
        <f>AL143-K143</f>
        <v>-1.0155069240177284E-2</v>
      </c>
      <c r="AP143" s="17">
        <f>AM143-L143</f>
        <v>2.8102185374386579E-2</v>
      </c>
    </row>
    <row r="144" spans="1:42" x14ac:dyDescent="0.55000000000000004">
      <c r="A144" s="2" t="s">
        <v>147</v>
      </c>
      <c r="B144" s="3"/>
      <c r="C144" s="3"/>
      <c r="D144" s="3"/>
      <c r="E144" s="3"/>
      <c r="F144" s="3"/>
      <c r="G144" s="3"/>
      <c r="H144" s="3"/>
      <c r="I144" s="3"/>
      <c r="J144" s="3"/>
      <c r="K144" s="1"/>
      <c r="L144" s="1"/>
      <c r="N144" s="3">
        <v>9096</v>
      </c>
      <c r="O144" s="3">
        <v>5496</v>
      </c>
      <c r="P144" s="3">
        <v>7308</v>
      </c>
      <c r="Q144" s="3">
        <v>5482</v>
      </c>
      <c r="R144" s="3">
        <v>8259</v>
      </c>
      <c r="S144" s="3">
        <v>8009</v>
      </c>
      <c r="T144" s="3">
        <v>5089</v>
      </c>
      <c r="U144" s="3">
        <v>8807</v>
      </c>
      <c r="V144" s="3">
        <v>7662</v>
      </c>
      <c r="W144" s="3">
        <v>8404</v>
      </c>
      <c r="X144" s="3">
        <v>9166</v>
      </c>
      <c r="Y144" s="3">
        <v>7304</v>
      </c>
      <c r="Z144" s="3"/>
      <c r="AA144" s="3"/>
      <c r="AB144" s="3"/>
    </row>
    <row r="145" spans="1:42" x14ac:dyDescent="0.55000000000000004">
      <c r="A145" s="2" t="s">
        <v>148</v>
      </c>
      <c r="B145" s="3"/>
      <c r="C145" s="3"/>
      <c r="D145" s="3"/>
      <c r="E145" s="3"/>
      <c r="F145" s="3"/>
      <c r="G145" s="3"/>
      <c r="H145" s="3"/>
      <c r="I145" s="3"/>
      <c r="J145" s="3"/>
      <c r="K145" s="1"/>
      <c r="L145" s="1"/>
      <c r="N145" s="3">
        <v>6193</v>
      </c>
      <c r="O145" s="3">
        <v>4482</v>
      </c>
      <c r="P145" s="3">
        <v>4796</v>
      </c>
      <c r="Q145" s="3">
        <v>4098</v>
      </c>
      <c r="R145" s="3">
        <v>5338</v>
      </c>
      <c r="S145" s="3">
        <v>5402</v>
      </c>
      <c r="T145" s="3">
        <v>3670</v>
      </c>
      <c r="U145" s="3">
        <v>6302</v>
      </c>
      <c r="V145" s="3">
        <v>5012</v>
      </c>
      <c r="W145" s="3">
        <v>5959</v>
      </c>
      <c r="X145" s="3">
        <v>5838</v>
      </c>
      <c r="Y145" s="3">
        <v>4682</v>
      </c>
      <c r="Z145" s="3"/>
      <c r="AA145" s="3"/>
      <c r="AB145" s="3"/>
    </row>
    <row r="146" spans="1:42" x14ac:dyDescent="0.55000000000000004">
      <c r="A146" s="4" t="s">
        <v>149</v>
      </c>
      <c r="B146" s="5">
        <v>2614405</v>
      </c>
      <c r="C146" s="5">
        <v>148770</v>
      </c>
      <c r="D146" s="5">
        <v>106412</v>
      </c>
      <c r="E146" s="5">
        <v>163596</v>
      </c>
      <c r="F146" s="5">
        <v>6809</v>
      </c>
      <c r="G146" s="5">
        <v>6009</v>
      </c>
      <c r="H146" s="5">
        <v>2544304</v>
      </c>
      <c r="I146" s="5">
        <v>152055</v>
      </c>
      <c r="J146" s="5">
        <v>98573</v>
      </c>
      <c r="K146" s="14">
        <v>56.9</v>
      </c>
      <c r="L146" s="14">
        <v>40.700000000000003</v>
      </c>
      <c r="N146" s="5">
        <v>339144</v>
      </c>
      <c r="O146" s="5">
        <v>279943</v>
      </c>
      <c r="P146" s="5">
        <v>372524</v>
      </c>
      <c r="Q146" s="5">
        <v>452599</v>
      </c>
      <c r="R146" s="5">
        <v>493630</v>
      </c>
      <c r="S146" s="5">
        <v>395148</v>
      </c>
      <c r="T146" s="5">
        <v>281417</v>
      </c>
      <c r="U146" s="5"/>
      <c r="V146" s="5"/>
      <c r="W146" s="5"/>
      <c r="X146" s="5"/>
      <c r="Y146" s="5"/>
      <c r="Z146" s="5"/>
      <c r="AA146" s="5"/>
      <c r="AB146" s="5"/>
      <c r="AD146" s="15">
        <f>SUM(N146:AB146)</f>
        <v>2614405</v>
      </c>
      <c r="AE146" s="15">
        <f>SUM(N147:AB147)</f>
        <v>148770</v>
      </c>
      <c r="AF146" s="15">
        <f>SUM(N148:AB148)</f>
        <v>106412</v>
      </c>
      <c r="AH146" s="15">
        <f>AD146-B146</f>
        <v>0</v>
      </c>
      <c r="AI146" s="15">
        <f>AE146-C146</f>
        <v>0</v>
      </c>
      <c r="AJ146" s="15">
        <f>AF146-D146</f>
        <v>0</v>
      </c>
      <c r="AL146" s="17">
        <f>C146/B146*1000</f>
        <v>56.903960939487185</v>
      </c>
      <c r="AM146" s="17">
        <f>D146/B146*1000</f>
        <v>40.702186539575926</v>
      </c>
      <c r="AO146" s="17">
        <f>AL146-K146</f>
        <v>3.9609394871860104E-3</v>
      </c>
      <c r="AP146" s="17">
        <f>AM146-L146</f>
        <v>2.1865395759235184E-3</v>
      </c>
    </row>
    <row r="147" spans="1:42" x14ac:dyDescent="0.55000000000000004">
      <c r="A147" s="2" t="s">
        <v>150</v>
      </c>
      <c r="B147" s="3"/>
      <c r="C147" s="3"/>
      <c r="D147" s="3"/>
      <c r="E147" s="3"/>
      <c r="F147" s="3"/>
      <c r="G147" s="3"/>
      <c r="H147" s="3"/>
      <c r="I147" s="3"/>
      <c r="J147" s="3"/>
      <c r="K147" s="1"/>
      <c r="L147" s="1"/>
      <c r="N147" s="3">
        <v>18693</v>
      </c>
      <c r="O147" s="3">
        <v>13987</v>
      </c>
      <c r="P147" s="3">
        <v>21835</v>
      </c>
      <c r="Q147" s="3">
        <v>26338</v>
      </c>
      <c r="R147" s="3">
        <v>29551</v>
      </c>
      <c r="S147" s="3">
        <v>23377</v>
      </c>
      <c r="T147" s="3">
        <v>14989</v>
      </c>
      <c r="U147" s="3"/>
      <c r="V147" s="3"/>
      <c r="W147" s="3"/>
      <c r="X147" s="3"/>
      <c r="Y147" s="3"/>
      <c r="Z147" s="3"/>
      <c r="AA147" s="3"/>
      <c r="AB147" s="3"/>
    </row>
    <row r="148" spans="1:42" x14ac:dyDescent="0.55000000000000004">
      <c r="A148" s="2" t="s">
        <v>151</v>
      </c>
      <c r="B148" s="3"/>
      <c r="C148" s="3"/>
      <c r="D148" s="3"/>
      <c r="E148" s="3"/>
      <c r="F148" s="3"/>
      <c r="G148" s="3"/>
      <c r="H148" s="3"/>
      <c r="I148" s="3"/>
      <c r="J148" s="3"/>
      <c r="K148" s="1"/>
      <c r="L148" s="1"/>
      <c r="N148" s="3">
        <v>14203</v>
      </c>
      <c r="O148" s="3">
        <v>9476</v>
      </c>
      <c r="P148" s="3">
        <v>15724</v>
      </c>
      <c r="Q148" s="3">
        <v>18558</v>
      </c>
      <c r="R148" s="3">
        <v>21896</v>
      </c>
      <c r="S148" s="3">
        <v>15827</v>
      </c>
      <c r="T148" s="3">
        <v>10728</v>
      </c>
      <c r="U148" s="3"/>
      <c r="V148" s="3"/>
      <c r="W148" s="3"/>
      <c r="X148" s="3"/>
      <c r="Y148" s="3"/>
      <c r="Z148" s="3"/>
      <c r="AA148" s="3"/>
      <c r="AB148" s="3"/>
    </row>
    <row r="149" spans="1:42" x14ac:dyDescent="0.55000000000000004">
      <c r="A149" s="4" t="s">
        <v>152</v>
      </c>
      <c r="B149" s="5">
        <v>1063679</v>
      </c>
      <c r="C149" s="5">
        <v>28643</v>
      </c>
      <c r="D149" s="5">
        <v>27786</v>
      </c>
      <c r="E149" s="5"/>
      <c r="F149" s="5"/>
      <c r="G149" s="5"/>
      <c r="H149" s="5">
        <v>864455</v>
      </c>
      <c r="I149" s="5">
        <v>27718</v>
      </c>
      <c r="J149" s="5">
        <v>24833</v>
      </c>
      <c r="K149" s="14">
        <v>28.5</v>
      </c>
      <c r="L149" s="14">
        <v>27.8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D149" s="15">
        <f>B149</f>
        <v>1063679</v>
      </c>
      <c r="AE149" s="15">
        <f>C149</f>
        <v>28643</v>
      </c>
      <c r="AF149" s="15">
        <f>D149</f>
        <v>27786</v>
      </c>
      <c r="AG149" s="18"/>
      <c r="AH149" s="18"/>
      <c r="AI149" s="18"/>
      <c r="AJ149" s="18"/>
      <c r="AL149" s="17">
        <f>C149/B149*1000</f>
        <v>26.928236808285206</v>
      </c>
      <c r="AM149" s="17">
        <f>D149/B149*1000</f>
        <v>26.122542609189427</v>
      </c>
      <c r="AO149" s="17">
        <f>AL149-K149</f>
        <v>-1.5717631917147941</v>
      </c>
      <c r="AP149" s="17">
        <f>AM149-L149</f>
        <v>-1.6774573908105737</v>
      </c>
    </row>
    <row r="150" spans="1:42" x14ac:dyDescent="0.55000000000000004">
      <c r="A150" s="4" t="s">
        <v>153</v>
      </c>
      <c r="B150" s="5">
        <v>829223</v>
      </c>
      <c r="C150" s="5">
        <v>30178</v>
      </c>
      <c r="D150" s="5">
        <v>25084</v>
      </c>
      <c r="E150" s="9" t="s">
        <v>14</v>
      </c>
      <c r="F150" s="9" t="s">
        <v>14</v>
      </c>
      <c r="G150" s="9" t="s">
        <v>14</v>
      </c>
      <c r="H150" s="5">
        <v>821549</v>
      </c>
      <c r="I150" s="5">
        <v>31221</v>
      </c>
      <c r="J150" s="5">
        <v>26042</v>
      </c>
      <c r="K150" s="14">
        <v>40.4</v>
      </c>
      <c r="L150" s="14">
        <v>33.700000000000003</v>
      </c>
      <c r="N150" s="5">
        <v>130689</v>
      </c>
      <c r="O150" s="5">
        <v>133245</v>
      </c>
      <c r="P150" s="5">
        <v>108978</v>
      </c>
      <c r="Q150" s="5">
        <v>87013</v>
      </c>
      <c r="R150" s="5">
        <v>59561</v>
      </c>
      <c r="S150" s="5">
        <v>81943</v>
      </c>
      <c r="T150" s="5">
        <v>44779</v>
      </c>
      <c r="U150" s="5">
        <v>96499</v>
      </c>
      <c r="V150" s="9" t="s">
        <v>14</v>
      </c>
      <c r="W150" s="5"/>
      <c r="X150" s="5"/>
      <c r="Y150" s="5"/>
      <c r="Z150" s="5"/>
      <c r="AA150" s="5"/>
      <c r="AB150" s="5"/>
      <c r="AD150" s="15">
        <f>SUM(N150:AB150)</f>
        <v>742707</v>
      </c>
      <c r="AE150" s="15">
        <f>SUM(N151:AB151)</f>
        <v>30178</v>
      </c>
      <c r="AF150" s="15">
        <f>SUM(N152:AB152)</f>
        <v>25084</v>
      </c>
      <c r="AH150" s="15">
        <f>AD150-B150</f>
        <v>-86516</v>
      </c>
      <c r="AI150" s="15">
        <f>AE150-C150</f>
        <v>0</v>
      </c>
      <c r="AJ150" s="15">
        <f>AF150-D150</f>
        <v>0</v>
      </c>
      <c r="AL150" s="17">
        <f>C150/B150*1000</f>
        <v>36.393105352842362</v>
      </c>
      <c r="AM150" s="17">
        <f>D150/B150*1000</f>
        <v>30.250005125279934</v>
      </c>
      <c r="AO150" s="17">
        <f>AL150-K150</f>
        <v>-4.0068946471576368</v>
      </c>
      <c r="AP150" s="17">
        <f>AM150-L150</f>
        <v>-3.449994874720069</v>
      </c>
    </row>
    <row r="151" spans="1:42" x14ac:dyDescent="0.55000000000000004">
      <c r="A151" s="2" t="s">
        <v>154</v>
      </c>
      <c r="B151" s="3"/>
      <c r="C151" s="3"/>
      <c r="D151" s="3"/>
      <c r="E151" s="3"/>
      <c r="F151" s="3"/>
      <c r="G151" s="3"/>
      <c r="H151" s="3"/>
      <c r="I151" s="3"/>
      <c r="J151" s="3"/>
      <c r="K151" s="1"/>
      <c r="L151" s="1"/>
      <c r="N151" s="3">
        <v>4288</v>
      </c>
      <c r="O151" s="3">
        <v>5654</v>
      </c>
      <c r="P151" s="3">
        <v>4814</v>
      </c>
      <c r="Q151" s="3">
        <v>3639</v>
      </c>
      <c r="R151" s="3">
        <v>2730</v>
      </c>
      <c r="S151" s="3">
        <v>3952</v>
      </c>
      <c r="T151" s="3">
        <v>2066</v>
      </c>
      <c r="U151" s="3">
        <v>3035</v>
      </c>
      <c r="V151" s="6" t="s">
        <v>14</v>
      </c>
      <c r="W151" s="3"/>
      <c r="X151" s="3"/>
      <c r="Y151" s="3"/>
      <c r="Z151" s="3"/>
      <c r="AA151" s="3"/>
      <c r="AB151" s="3"/>
    </row>
    <row r="152" spans="1:42" x14ac:dyDescent="0.55000000000000004">
      <c r="A152" s="2" t="s">
        <v>155</v>
      </c>
      <c r="B152" s="3"/>
      <c r="C152" s="3"/>
      <c r="D152" s="3"/>
      <c r="E152" s="3"/>
      <c r="F152" s="3"/>
      <c r="G152" s="3"/>
      <c r="H152" s="3"/>
      <c r="I152" s="3"/>
      <c r="J152" s="3"/>
      <c r="K152" s="1"/>
      <c r="L152" s="1"/>
      <c r="N152" s="3">
        <v>3396</v>
      </c>
      <c r="O152" s="3">
        <v>4327</v>
      </c>
      <c r="P152" s="3">
        <v>4418</v>
      </c>
      <c r="Q152" s="3">
        <v>2733</v>
      </c>
      <c r="R152" s="3">
        <v>2307</v>
      </c>
      <c r="S152" s="3">
        <v>3342</v>
      </c>
      <c r="T152" s="3">
        <v>1934</v>
      </c>
      <c r="U152" s="3">
        <v>2627</v>
      </c>
      <c r="V152" s="6" t="s">
        <v>14</v>
      </c>
      <c r="W152" s="3"/>
      <c r="X152" s="3"/>
      <c r="Y152" s="3"/>
      <c r="Z152" s="3"/>
      <c r="AA152" s="3"/>
      <c r="AB152" s="3"/>
    </row>
    <row r="153" spans="1:42" x14ac:dyDescent="0.55000000000000004">
      <c r="A153" s="4" t="s">
        <v>156</v>
      </c>
      <c r="B153" s="5">
        <v>2400071</v>
      </c>
      <c r="C153" s="5">
        <v>125529</v>
      </c>
      <c r="D153" s="5">
        <v>87984</v>
      </c>
      <c r="E153" s="5">
        <v>299295</v>
      </c>
      <c r="F153" s="5">
        <v>15150</v>
      </c>
      <c r="G153" s="5">
        <v>13131</v>
      </c>
      <c r="H153" s="5">
        <v>2331148</v>
      </c>
      <c r="I153" s="5">
        <v>124379</v>
      </c>
      <c r="J153" s="5">
        <v>82132</v>
      </c>
      <c r="K153" s="14">
        <v>52.3</v>
      </c>
      <c r="L153" s="14">
        <v>36.6</v>
      </c>
      <c r="N153" s="5">
        <v>306514</v>
      </c>
      <c r="O153" s="5">
        <v>282665</v>
      </c>
      <c r="P153" s="5">
        <v>289036</v>
      </c>
      <c r="Q153" s="5">
        <v>195928</v>
      </c>
      <c r="R153" s="5">
        <v>329577</v>
      </c>
      <c r="S153" s="5">
        <v>168618</v>
      </c>
      <c r="T153" s="5">
        <v>258293</v>
      </c>
      <c r="U153" s="5">
        <v>215785</v>
      </c>
      <c r="V153" s="5">
        <v>214287</v>
      </c>
      <c r="W153" s="5">
        <v>139368</v>
      </c>
      <c r="X153" s="5"/>
      <c r="Y153" s="5"/>
      <c r="Z153" s="5"/>
      <c r="AA153" s="5"/>
      <c r="AB153" s="5"/>
      <c r="AD153" s="15">
        <f>SUM(N153:AB153)</f>
        <v>2400071</v>
      </c>
      <c r="AE153" s="15">
        <f>SUM(N154:AB154)</f>
        <v>125529</v>
      </c>
      <c r="AF153" s="15">
        <f>SUM(N155:AB155)</f>
        <v>87934</v>
      </c>
      <c r="AH153" s="15">
        <f>AD153-B153</f>
        <v>0</v>
      </c>
      <c r="AI153" s="15">
        <f>AE153-C153</f>
        <v>0</v>
      </c>
      <c r="AJ153" s="15">
        <f>AF153-D153</f>
        <v>-50</v>
      </c>
      <c r="AL153" s="17">
        <f>C153/B153*1000</f>
        <v>52.302202726502678</v>
      </c>
      <c r="AM153" s="17">
        <f>D153/B153*1000</f>
        <v>36.658915507082916</v>
      </c>
      <c r="AO153" s="17">
        <f>AL153-K153</f>
        <v>2.2027265026807186E-3</v>
      </c>
      <c r="AP153" s="17">
        <f>AM153-L153</f>
        <v>5.8915507082915042E-2</v>
      </c>
    </row>
    <row r="154" spans="1:42" x14ac:dyDescent="0.55000000000000004">
      <c r="A154" s="2" t="s">
        <v>157</v>
      </c>
      <c r="B154" s="3"/>
      <c r="C154" s="3"/>
      <c r="D154" s="3"/>
      <c r="E154" s="3"/>
      <c r="F154" s="3"/>
      <c r="G154" s="3"/>
      <c r="H154" s="3"/>
      <c r="I154" s="3"/>
      <c r="J154" s="3"/>
      <c r="K154" s="1"/>
      <c r="L154" s="1"/>
      <c r="N154" s="3">
        <v>15945</v>
      </c>
      <c r="O154" s="3">
        <v>15765</v>
      </c>
      <c r="P154" s="3">
        <v>16453</v>
      </c>
      <c r="Q154" s="3">
        <v>9382</v>
      </c>
      <c r="R154" s="3">
        <v>17412</v>
      </c>
      <c r="S154" s="3">
        <v>9274</v>
      </c>
      <c r="T154" s="3">
        <v>12407</v>
      </c>
      <c r="U154" s="3">
        <v>11743</v>
      </c>
      <c r="V154" s="3">
        <v>10534</v>
      </c>
      <c r="W154" s="3">
        <v>6614</v>
      </c>
      <c r="X154" s="3"/>
      <c r="Y154" s="3"/>
      <c r="Z154" s="3"/>
      <c r="AA154" s="3"/>
      <c r="AB154" s="3"/>
    </row>
    <row r="155" spans="1:42" x14ac:dyDescent="0.55000000000000004">
      <c r="A155" s="2" t="s">
        <v>158</v>
      </c>
      <c r="B155" s="3"/>
      <c r="C155" s="3"/>
      <c r="D155" s="3"/>
      <c r="E155" s="3"/>
      <c r="F155" s="3"/>
      <c r="G155" s="3"/>
      <c r="H155" s="3"/>
      <c r="I155" s="3"/>
      <c r="J155" s="3"/>
      <c r="K155" s="1"/>
      <c r="L155" s="1"/>
      <c r="N155" s="3">
        <v>12132</v>
      </c>
      <c r="O155" s="3">
        <v>10376</v>
      </c>
      <c r="P155" s="3">
        <v>13215</v>
      </c>
      <c r="Q155" s="3">
        <v>5679</v>
      </c>
      <c r="R155" s="3">
        <v>11051</v>
      </c>
      <c r="S155" s="3">
        <v>6770</v>
      </c>
      <c r="T155" s="3">
        <v>8549</v>
      </c>
      <c r="U155" s="3">
        <v>8487</v>
      </c>
      <c r="V155" s="3">
        <v>6193</v>
      </c>
      <c r="W155" s="3">
        <v>5482</v>
      </c>
      <c r="X155" s="3"/>
      <c r="Y155" s="3"/>
      <c r="Z155" s="3"/>
      <c r="AA155" s="3"/>
      <c r="AB155" s="3"/>
    </row>
    <row r="156" spans="1:42" x14ac:dyDescent="0.55000000000000004">
      <c r="A156" s="4" t="s">
        <v>159</v>
      </c>
      <c r="B156" s="5">
        <v>1626106</v>
      </c>
      <c r="C156" s="5">
        <v>79327</v>
      </c>
      <c r="D156" s="5">
        <v>56516</v>
      </c>
      <c r="E156" s="5">
        <v>103144</v>
      </c>
      <c r="F156" s="5">
        <v>5586</v>
      </c>
      <c r="G156" s="5">
        <v>5144</v>
      </c>
      <c r="H156" s="5">
        <v>1592591</v>
      </c>
      <c r="I156" s="5">
        <v>79557</v>
      </c>
      <c r="J156" s="5">
        <v>52011</v>
      </c>
      <c r="K156" s="14">
        <v>48.8</v>
      </c>
      <c r="L156" s="14">
        <v>34.799999999999997</v>
      </c>
      <c r="N156" s="5">
        <v>220902</v>
      </c>
      <c r="O156" s="5">
        <v>170159</v>
      </c>
      <c r="P156" s="5">
        <v>215667</v>
      </c>
      <c r="Q156" s="5">
        <v>189497</v>
      </c>
      <c r="R156" s="5">
        <v>242713</v>
      </c>
      <c r="S156" s="5">
        <v>165428</v>
      </c>
      <c r="T156" s="5">
        <v>161564</v>
      </c>
      <c r="U156" s="5">
        <v>260176</v>
      </c>
      <c r="V156" s="5"/>
      <c r="W156" s="5"/>
      <c r="X156" s="5"/>
      <c r="Y156" s="5"/>
      <c r="Z156" s="5"/>
      <c r="AA156" s="5"/>
      <c r="AB156" s="5"/>
      <c r="AD156" s="15">
        <f>SUM(N156:AB156)</f>
        <v>1626106</v>
      </c>
      <c r="AE156" s="15">
        <f>SUM(N157:AB157)</f>
        <v>79327</v>
      </c>
      <c r="AF156" s="15">
        <f>SUM(N158:AB158)</f>
        <v>56516</v>
      </c>
      <c r="AH156" s="15">
        <f>AD156-B156</f>
        <v>0</v>
      </c>
      <c r="AI156" s="15">
        <f>AE156-C156</f>
        <v>0</v>
      </c>
      <c r="AJ156" s="15">
        <f>AF156-D156</f>
        <v>0</v>
      </c>
      <c r="AL156" s="17">
        <f>C156/B156*1000</f>
        <v>48.783412643456209</v>
      </c>
      <c r="AM156" s="17">
        <f>D156/B156*1000</f>
        <v>34.755421848268192</v>
      </c>
      <c r="AO156" s="17">
        <f>AL156-K156</f>
        <v>-1.6587356543787735E-2</v>
      </c>
      <c r="AP156" s="17">
        <f>AM156-L156</f>
        <v>-4.4578151731805349E-2</v>
      </c>
    </row>
    <row r="157" spans="1:42" x14ac:dyDescent="0.55000000000000004">
      <c r="A157" s="2" t="s">
        <v>160</v>
      </c>
      <c r="B157" s="3"/>
      <c r="C157" s="3"/>
      <c r="D157" s="3"/>
      <c r="E157" s="3"/>
      <c r="F157" s="3"/>
      <c r="G157" s="3"/>
      <c r="H157" s="3"/>
      <c r="I157" s="3"/>
      <c r="J157" s="3"/>
      <c r="K157" s="1"/>
      <c r="L157" s="1"/>
      <c r="N157" s="3">
        <v>11107</v>
      </c>
      <c r="O157" s="3">
        <v>8199</v>
      </c>
      <c r="P157" s="3">
        <v>10060</v>
      </c>
      <c r="Q157" s="3">
        <v>9029</v>
      </c>
      <c r="R157" s="3">
        <v>11722</v>
      </c>
      <c r="S157" s="3">
        <v>8040</v>
      </c>
      <c r="T157" s="3">
        <v>8446</v>
      </c>
      <c r="U157" s="3">
        <v>12724</v>
      </c>
      <c r="V157" s="3"/>
      <c r="W157" s="3"/>
      <c r="X157" s="3"/>
      <c r="Y157" s="3"/>
      <c r="Z157" s="3"/>
      <c r="AA157" s="3"/>
      <c r="AB157" s="3"/>
    </row>
    <row r="158" spans="1:42" x14ac:dyDescent="0.55000000000000004">
      <c r="A158" s="2" t="s">
        <v>161</v>
      </c>
      <c r="B158" s="3"/>
      <c r="C158" s="3"/>
      <c r="D158" s="3"/>
      <c r="E158" s="3"/>
      <c r="F158" s="3"/>
      <c r="G158" s="3"/>
      <c r="H158" s="3"/>
      <c r="I158" s="3"/>
      <c r="J158" s="3"/>
      <c r="K158" s="1"/>
      <c r="L158" s="1"/>
      <c r="N158" s="3">
        <v>8630</v>
      </c>
      <c r="O158" s="3">
        <v>6365</v>
      </c>
      <c r="P158" s="3">
        <v>7019</v>
      </c>
      <c r="Q158" s="3">
        <v>5862</v>
      </c>
      <c r="R158" s="3">
        <v>8330</v>
      </c>
      <c r="S158" s="3">
        <v>6015</v>
      </c>
      <c r="T158" s="3">
        <v>5246</v>
      </c>
      <c r="U158" s="3">
        <v>9049</v>
      </c>
      <c r="V158" s="3"/>
      <c r="W158" s="3"/>
      <c r="X158" s="3"/>
      <c r="Y158" s="3"/>
      <c r="Z158" s="3"/>
      <c r="AA158" s="3"/>
      <c r="AB158" s="3"/>
    </row>
    <row r="159" spans="1:42" x14ac:dyDescent="0.55000000000000004">
      <c r="A159" s="4" t="s">
        <v>162</v>
      </c>
      <c r="B159" s="5">
        <v>1399628</v>
      </c>
      <c r="C159" s="5">
        <v>73669</v>
      </c>
      <c r="D159" s="5">
        <v>55576</v>
      </c>
      <c r="E159" s="5">
        <v>116825</v>
      </c>
      <c r="F159" s="5">
        <v>3327</v>
      </c>
      <c r="G159" s="5">
        <v>3088</v>
      </c>
      <c r="H159" s="5">
        <v>1349100</v>
      </c>
      <c r="I159" s="5">
        <v>74138</v>
      </c>
      <c r="J159" s="5">
        <v>50805</v>
      </c>
      <c r="K159" s="14">
        <v>52.6</v>
      </c>
      <c r="L159" s="14">
        <v>39.700000000000003</v>
      </c>
      <c r="N159" s="5">
        <v>124115</v>
      </c>
      <c r="O159" s="5">
        <v>123807</v>
      </c>
      <c r="P159" s="5">
        <v>101626</v>
      </c>
      <c r="Q159" s="5">
        <v>139760</v>
      </c>
      <c r="R159" s="5">
        <v>100720</v>
      </c>
      <c r="S159" s="5">
        <v>90349</v>
      </c>
      <c r="T159" s="5">
        <v>111700</v>
      </c>
      <c r="U159" s="5">
        <v>95383</v>
      </c>
      <c r="V159" s="5">
        <v>111054</v>
      </c>
      <c r="W159" s="5">
        <v>165936</v>
      </c>
      <c r="X159" s="5">
        <v>118343</v>
      </c>
      <c r="Y159" s="5">
        <v>116835</v>
      </c>
      <c r="Z159" s="5"/>
      <c r="AA159" s="5"/>
      <c r="AB159" s="5"/>
      <c r="AD159" s="15">
        <f>SUM(N159:AB159)</f>
        <v>1399628</v>
      </c>
      <c r="AE159" s="15">
        <f>SUM(N160:AB160)</f>
        <v>73669</v>
      </c>
      <c r="AF159" s="15">
        <f>SUM(N161:AB161)</f>
        <v>55576</v>
      </c>
      <c r="AH159" s="15">
        <f>AD159-B159</f>
        <v>0</v>
      </c>
      <c r="AI159" s="15">
        <f>AE159-C159</f>
        <v>0</v>
      </c>
      <c r="AJ159" s="15">
        <f>AF159-D159</f>
        <v>0</v>
      </c>
      <c r="AL159" s="17">
        <f>C159/B159*1000</f>
        <v>52.634700077449153</v>
      </c>
      <c r="AM159" s="17">
        <f>D159/B159*1000</f>
        <v>39.707693758627293</v>
      </c>
      <c r="AO159" s="17">
        <f>AL159-K159</f>
        <v>3.4700077449151934E-2</v>
      </c>
      <c r="AP159" s="17">
        <f>AM159-L159</f>
        <v>7.6937586272904923E-3</v>
      </c>
    </row>
    <row r="160" spans="1:42" x14ac:dyDescent="0.55000000000000004">
      <c r="A160" s="2" t="s">
        <v>163</v>
      </c>
      <c r="B160" s="3"/>
      <c r="C160" s="3"/>
      <c r="D160" s="3"/>
      <c r="E160" s="3"/>
      <c r="F160" s="3"/>
      <c r="G160" s="3"/>
      <c r="H160" s="3"/>
      <c r="I160" s="3"/>
      <c r="J160" s="3"/>
      <c r="K160" s="1"/>
      <c r="L160" s="1"/>
      <c r="N160" s="3">
        <v>6012</v>
      </c>
      <c r="O160" s="3">
        <v>8214</v>
      </c>
      <c r="P160" s="3">
        <v>5249</v>
      </c>
      <c r="Q160" s="3">
        <v>5020</v>
      </c>
      <c r="R160" s="3">
        <v>5317</v>
      </c>
      <c r="S160" s="3">
        <v>6356</v>
      </c>
      <c r="T160" s="3">
        <v>6961</v>
      </c>
      <c r="U160" s="3">
        <v>4650</v>
      </c>
      <c r="V160" s="3">
        <v>6391</v>
      </c>
      <c r="W160" s="3">
        <v>8815</v>
      </c>
      <c r="X160" s="3">
        <v>4828</v>
      </c>
      <c r="Y160" s="3">
        <v>5856</v>
      </c>
      <c r="Z160" s="3"/>
      <c r="AA160" s="3"/>
      <c r="AB160" s="3"/>
    </row>
    <row r="161" spans="1:42" x14ac:dyDescent="0.55000000000000004">
      <c r="A161" s="2" t="s">
        <v>164</v>
      </c>
      <c r="B161" s="3"/>
      <c r="C161" s="3"/>
      <c r="D161" s="3"/>
      <c r="E161" s="3"/>
      <c r="F161" s="3"/>
      <c r="G161" s="3"/>
      <c r="H161" s="3"/>
      <c r="I161" s="3"/>
      <c r="J161" s="3"/>
      <c r="K161" s="1"/>
      <c r="L161" s="1"/>
      <c r="N161" s="3">
        <v>4840</v>
      </c>
      <c r="O161" s="3">
        <v>5419</v>
      </c>
      <c r="P161" s="3">
        <v>3795</v>
      </c>
      <c r="Q161" s="3">
        <v>5396</v>
      </c>
      <c r="R161" s="3">
        <v>4055</v>
      </c>
      <c r="S161" s="3">
        <v>4975</v>
      </c>
      <c r="T161" s="3">
        <v>5561</v>
      </c>
      <c r="U161" s="3">
        <v>3233</v>
      </c>
      <c r="V161" s="3">
        <v>4838</v>
      </c>
      <c r="W161" s="3">
        <v>5417</v>
      </c>
      <c r="X161" s="3">
        <v>3473</v>
      </c>
      <c r="Y161" s="3">
        <v>4574</v>
      </c>
      <c r="Z161" s="3"/>
      <c r="AA161" s="3"/>
      <c r="AB161" s="3"/>
    </row>
    <row r="162" spans="1:42" x14ac:dyDescent="0.55000000000000004">
      <c r="A162" s="4" t="s">
        <v>165</v>
      </c>
      <c r="B162" s="5">
        <v>1079875</v>
      </c>
      <c r="C162" s="5">
        <v>57405</v>
      </c>
      <c r="D162" s="5">
        <v>32507</v>
      </c>
      <c r="E162" s="5">
        <v>124874</v>
      </c>
      <c r="F162" s="5">
        <v>5520</v>
      </c>
      <c r="G162" s="5">
        <v>3789</v>
      </c>
      <c r="H162" s="5">
        <v>1100492</v>
      </c>
      <c r="I162" s="5">
        <v>53726</v>
      </c>
      <c r="J162" s="5">
        <v>34569</v>
      </c>
      <c r="K162" s="14">
        <v>53.1</v>
      </c>
      <c r="L162" s="14">
        <v>30.1</v>
      </c>
      <c r="N162" s="5">
        <v>90374</v>
      </c>
      <c r="O162" s="5">
        <v>258192</v>
      </c>
      <c r="P162" s="5">
        <v>159851</v>
      </c>
      <c r="Q162" s="5">
        <v>81046</v>
      </c>
      <c r="R162" s="5">
        <v>320907</v>
      </c>
      <c r="S162" s="5">
        <v>37959</v>
      </c>
      <c r="T162" s="5">
        <v>84037</v>
      </c>
      <c r="U162" s="5">
        <v>47509</v>
      </c>
      <c r="V162" s="9" t="s">
        <v>14</v>
      </c>
      <c r="W162" s="5"/>
      <c r="X162" s="5"/>
      <c r="Y162" s="5"/>
      <c r="Z162" s="5"/>
      <c r="AA162" s="5"/>
      <c r="AB162" s="5"/>
      <c r="AD162" s="15">
        <f>SUM(N162:AB162)</f>
        <v>1079875</v>
      </c>
      <c r="AE162" s="15">
        <f>SUM(N163:AB163)</f>
        <v>57405</v>
      </c>
      <c r="AF162" s="15">
        <f>SUM(N164:AB164)</f>
        <v>32507</v>
      </c>
      <c r="AH162" s="15">
        <f>AD162-B162</f>
        <v>0</v>
      </c>
      <c r="AI162" s="15">
        <f>AE162-C162</f>
        <v>0</v>
      </c>
      <c r="AJ162" s="15">
        <f>AF162-D162</f>
        <v>0</v>
      </c>
      <c r="AL162" s="17">
        <f>C162/B162*1000</f>
        <v>53.15893043176294</v>
      </c>
      <c r="AM162" s="17">
        <f>D162/B162*1000</f>
        <v>30.102558166454454</v>
      </c>
      <c r="AO162" s="17">
        <f>AL162-K162</f>
        <v>5.893043176293844E-2</v>
      </c>
      <c r="AP162" s="17">
        <f>AM162-L162</f>
        <v>2.558166454452504E-3</v>
      </c>
    </row>
    <row r="163" spans="1:42" x14ac:dyDescent="0.55000000000000004">
      <c r="A163" s="2" t="s">
        <v>166</v>
      </c>
      <c r="B163" s="3"/>
      <c r="C163" s="3"/>
      <c r="D163" s="3"/>
      <c r="E163" s="3"/>
      <c r="F163" s="3"/>
      <c r="G163" s="3"/>
      <c r="H163" s="3"/>
      <c r="I163" s="3"/>
      <c r="J163" s="3"/>
      <c r="K163" s="1"/>
      <c r="L163" s="1"/>
      <c r="N163" s="3">
        <v>3368</v>
      </c>
      <c r="O163" s="3">
        <v>14915</v>
      </c>
      <c r="P163" s="3">
        <v>9363</v>
      </c>
      <c r="Q163" s="3">
        <v>3334</v>
      </c>
      <c r="R163" s="3">
        <v>19182</v>
      </c>
      <c r="S163" s="3">
        <v>1534</v>
      </c>
      <c r="T163" s="3">
        <v>3836</v>
      </c>
      <c r="U163" s="3">
        <v>1873</v>
      </c>
      <c r="V163" s="6" t="s">
        <v>14</v>
      </c>
      <c r="W163" s="3"/>
      <c r="X163" s="3"/>
      <c r="Y163" s="3"/>
      <c r="Z163" s="3"/>
      <c r="AA163" s="3"/>
      <c r="AB163" s="3"/>
    </row>
    <row r="164" spans="1:42" x14ac:dyDescent="0.55000000000000004">
      <c r="A164" s="2" t="s">
        <v>167</v>
      </c>
      <c r="B164" s="3"/>
      <c r="C164" s="3"/>
      <c r="D164" s="3"/>
      <c r="E164" s="3"/>
      <c r="F164" s="3"/>
      <c r="G164" s="3"/>
      <c r="H164" s="3"/>
      <c r="I164" s="3"/>
      <c r="J164" s="3"/>
      <c r="K164" s="1"/>
      <c r="L164" s="1"/>
      <c r="N164" s="3">
        <v>2222</v>
      </c>
      <c r="O164" s="3">
        <v>9105</v>
      </c>
      <c r="P164" s="3">
        <v>5267</v>
      </c>
      <c r="Q164" s="3">
        <v>2190</v>
      </c>
      <c r="R164" s="3">
        <v>9421</v>
      </c>
      <c r="S164" s="3">
        <v>661</v>
      </c>
      <c r="T164" s="3">
        <v>2686</v>
      </c>
      <c r="U164" s="3">
        <v>955</v>
      </c>
      <c r="V164" s="6" t="s">
        <v>14</v>
      </c>
      <c r="W164" s="3"/>
      <c r="X164" s="3"/>
      <c r="Y164" s="3"/>
      <c r="Z164" s="3"/>
      <c r="AA164" s="3"/>
      <c r="AB164" s="3"/>
    </row>
    <row r="165" spans="1:42" x14ac:dyDescent="0.55000000000000004">
      <c r="A165" s="4" t="s">
        <v>168</v>
      </c>
      <c r="B165" s="5">
        <v>2827457</v>
      </c>
      <c r="C165" s="28">
        <v>140700</v>
      </c>
      <c r="D165" s="5">
        <v>100954</v>
      </c>
      <c r="E165" s="5">
        <v>188273</v>
      </c>
      <c r="F165" s="5">
        <v>6614</v>
      </c>
      <c r="G165" s="5">
        <v>5988</v>
      </c>
      <c r="H165" s="5">
        <v>2756466</v>
      </c>
      <c r="I165" s="5">
        <v>139257</v>
      </c>
      <c r="J165" s="5">
        <v>85305</v>
      </c>
      <c r="K165" s="14">
        <v>49.8</v>
      </c>
      <c r="L165" s="14">
        <v>35.700000000000003</v>
      </c>
      <c r="N165" s="5">
        <v>395682</v>
      </c>
      <c r="O165" s="5">
        <v>303436</v>
      </c>
      <c r="P165" s="5">
        <v>192217</v>
      </c>
      <c r="Q165" s="5">
        <v>275505</v>
      </c>
      <c r="R165" s="5">
        <v>384734</v>
      </c>
      <c r="S165" s="5">
        <v>156829</v>
      </c>
      <c r="T165" s="5">
        <v>183721</v>
      </c>
      <c r="U165" s="5">
        <v>275033</v>
      </c>
      <c r="V165" s="5">
        <v>136244</v>
      </c>
      <c r="W165" s="5">
        <v>147052</v>
      </c>
      <c r="X165" s="5">
        <v>210082</v>
      </c>
      <c r="Y165" s="5">
        <v>166922</v>
      </c>
      <c r="Z165" s="5"/>
      <c r="AA165" s="5"/>
      <c r="AB165" s="5"/>
      <c r="AD165" s="15">
        <f>SUM(N165:AB165)</f>
        <v>2827457</v>
      </c>
      <c r="AE165" s="15">
        <f>SUM(N166:AB166)</f>
        <v>140700</v>
      </c>
      <c r="AF165" s="15">
        <f>SUM(N167:AB167)</f>
        <v>100954</v>
      </c>
      <c r="AH165" s="15">
        <f>AD165-B165</f>
        <v>0</v>
      </c>
      <c r="AI165" s="15">
        <f>AE165-C165</f>
        <v>0</v>
      </c>
      <c r="AJ165" s="15">
        <f>AF165-D165</f>
        <v>0</v>
      </c>
      <c r="AL165" s="17">
        <f>C165/B165*1000</f>
        <v>49.762029979589435</v>
      </c>
      <c r="AM165" s="17">
        <f>D165/B165*1000</f>
        <v>35.704875441076553</v>
      </c>
      <c r="AO165" s="17">
        <f>AL165-K165</f>
        <v>-3.7970020410561744E-2</v>
      </c>
      <c r="AP165" s="17">
        <f>AM165-L165</f>
        <v>4.8754410765496914E-3</v>
      </c>
    </row>
    <row r="166" spans="1:42" x14ac:dyDescent="0.55000000000000004">
      <c r="A166" s="2" t="s">
        <v>169</v>
      </c>
      <c r="B166" s="3"/>
      <c r="C166" s="3"/>
      <c r="D166" s="3"/>
      <c r="E166" s="3"/>
      <c r="F166" s="3"/>
      <c r="G166" s="3"/>
      <c r="H166" s="3"/>
      <c r="I166" s="3"/>
      <c r="J166" s="3"/>
      <c r="K166" s="1"/>
      <c r="L166" s="1"/>
      <c r="N166" s="3">
        <v>20796</v>
      </c>
      <c r="O166" s="3">
        <v>16177</v>
      </c>
      <c r="P166" s="3">
        <v>7369</v>
      </c>
      <c r="Q166" s="3">
        <v>14730</v>
      </c>
      <c r="R166" s="3">
        <v>17948</v>
      </c>
      <c r="S166" s="3">
        <v>7697</v>
      </c>
      <c r="T166" s="3">
        <v>8563</v>
      </c>
      <c r="U166" s="3">
        <v>13671</v>
      </c>
      <c r="V166" s="3">
        <v>6875</v>
      </c>
      <c r="W166" s="3">
        <v>7316</v>
      </c>
      <c r="X166" s="3">
        <v>11383</v>
      </c>
      <c r="Y166" s="3">
        <v>8175</v>
      </c>
      <c r="Z166" s="3"/>
      <c r="AA166" s="3"/>
      <c r="AB166" s="3"/>
    </row>
    <row r="167" spans="1:42" x14ac:dyDescent="0.55000000000000004">
      <c r="A167" s="2" t="s">
        <v>170</v>
      </c>
      <c r="B167" s="3"/>
      <c r="C167" s="3"/>
      <c r="D167" s="3"/>
      <c r="E167" s="3"/>
      <c r="F167" s="3"/>
      <c r="G167" s="3"/>
      <c r="H167" s="3"/>
      <c r="I167" s="3"/>
      <c r="J167" s="3"/>
      <c r="K167" s="1"/>
      <c r="L167" s="1"/>
      <c r="N167" s="3">
        <v>15088</v>
      </c>
      <c r="O167" s="3">
        <v>11196</v>
      </c>
      <c r="P167" s="3">
        <v>5086</v>
      </c>
      <c r="Q167" s="3">
        <v>11534</v>
      </c>
      <c r="R167" s="3">
        <v>12653</v>
      </c>
      <c r="S167" s="3">
        <v>6595</v>
      </c>
      <c r="T167" s="3">
        <v>6117</v>
      </c>
      <c r="U167" s="3">
        <v>10335</v>
      </c>
      <c r="V167" s="3">
        <v>4236</v>
      </c>
      <c r="W167" s="3">
        <v>4488</v>
      </c>
      <c r="X167" s="3">
        <v>8326</v>
      </c>
      <c r="Y167" s="3">
        <v>5300</v>
      </c>
      <c r="Z167" s="3"/>
      <c r="AA167" s="3"/>
      <c r="AB167" s="3"/>
    </row>
    <row r="168" spans="1:42" x14ac:dyDescent="0.55000000000000004">
      <c r="A168" s="4" t="s">
        <v>171</v>
      </c>
      <c r="B168" s="5">
        <v>1827999</v>
      </c>
      <c r="C168" s="5">
        <v>80416</v>
      </c>
      <c r="D168" s="5">
        <v>66048</v>
      </c>
      <c r="E168" s="5">
        <v>150569</v>
      </c>
      <c r="F168" s="5">
        <v>5544</v>
      </c>
      <c r="G168" s="5">
        <v>4972</v>
      </c>
      <c r="H168" s="5">
        <v>1797246</v>
      </c>
      <c r="I168" s="5">
        <v>84198</v>
      </c>
      <c r="J168" s="5">
        <v>55845</v>
      </c>
      <c r="K168" s="14">
        <v>44</v>
      </c>
      <c r="L168" s="14">
        <v>36.1</v>
      </c>
      <c r="N168" s="5">
        <v>164028</v>
      </c>
      <c r="O168" s="5">
        <v>240889</v>
      </c>
      <c r="P168" s="5">
        <v>151760</v>
      </c>
      <c r="Q168" s="5">
        <v>171991</v>
      </c>
      <c r="R168" s="5">
        <v>115214</v>
      </c>
      <c r="S168" s="5">
        <v>135475</v>
      </c>
      <c r="T168" s="5">
        <v>138942</v>
      </c>
      <c r="U168" s="5">
        <v>128236</v>
      </c>
      <c r="V168" s="5">
        <v>122202</v>
      </c>
      <c r="W168" s="5">
        <v>138803</v>
      </c>
      <c r="X168" s="5">
        <v>156016</v>
      </c>
      <c r="Y168" s="5">
        <v>164443</v>
      </c>
      <c r="Z168" s="5"/>
      <c r="AA168" s="5"/>
      <c r="AB168" s="5"/>
      <c r="AD168" s="15">
        <f>SUM(N168:AB168)</f>
        <v>1827999</v>
      </c>
      <c r="AE168" s="15">
        <f>SUM(N169:AB169)</f>
        <v>80416</v>
      </c>
      <c r="AF168" s="15">
        <f>SUM(N170:AB170)</f>
        <v>66048</v>
      </c>
      <c r="AH168" s="15">
        <f>AD168-B168</f>
        <v>0</v>
      </c>
      <c r="AI168" s="15">
        <f>AE168-C168</f>
        <v>0</v>
      </c>
      <c r="AJ168" s="15">
        <f>AF168-D168</f>
        <v>0</v>
      </c>
      <c r="AL168" s="17">
        <f>C168/B168*1000</f>
        <v>43.991271330017135</v>
      </c>
      <c r="AM168" s="17">
        <f>D168/B168*1000</f>
        <v>36.131310793933693</v>
      </c>
      <c r="AO168" s="17">
        <f>AL168-K168</f>
        <v>-8.7286699828652559E-3</v>
      </c>
      <c r="AP168" s="17">
        <f>AM168-L168</f>
        <v>3.1310793933691627E-2</v>
      </c>
    </row>
    <row r="169" spans="1:42" x14ac:dyDescent="0.55000000000000004">
      <c r="A169" s="2" t="s">
        <v>172</v>
      </c>
      <c r="B169" s="3"/>
      <c r="C169" s="3"/>
      <c r="D169" s="3"/>
      <c r="E169" s="3"/>
      <c r="F169" s="3"/>
      <c r="G169" s="3"/>
      <c r="H169" s="3"/>
      <c r="I169" s="3"/>
      <c r="J169" s="3"/>
      <c r="K169" s="1"/>
      <c r="L169" s="1"/>
      <c r="N169" s="3">
        <v>7560</v>
      </c>
      <c r="O169" s="3">
        <v>11163</v>
      </c>
      <c r="P169" s="3">
        <v>6528</v>
      </c>
      <c r="Q169" s="3">
        <v>7134</v>
      </c>
      <c r="R169" s="3">
        <v>4923</v>
      </c>
      <c r="S169" s="3">
        <v>5349</v>
      </c>
      <c r="T169" s="3">
        <v>5413</v>
      </c>
      <c r="U169" s="3">
        <v>5496</v>
      </c>
      <c r="V169" s="3">
        <v>6385</v>
      </c>
      <c r="W169" s="3">
        <v>7123</v>
      </c>
      <c r="X169" s="3">
        <v>6886</v>
      </c>
      <c r="Y169" s="3">
        <v>6456</v>
      </c>
      <c r="Z169" s="3"/>
      <c r="AA169" s="3"/>
      <c r="AB169" s="3"/>
    </row>
    <row r="170" spans="1:42" x14ac:dyDescent="0.55000000000000004">
      <c r="A170" s="2" t="s">
        <v>173</v>
      </c>
      <c r="B170" s="3"/>
      <c r="C170" s="3"/>
      <c r="D170" s="3"/>
      <c r="E170" s="3"/>
      <c r="F170" s="3"/>
      <c r="G170" s="3"/>
      <c r="H170" s="3"/>
      <c r="I170" s="3"/>
      <c r="J170" s="3"/>
      <c r="K170" s="1"/>
      <c r="L170" s="1"/>
      <c r="N170" s="3">
        <v>5783</v>
      </c>
      <c r="O170" s="3">
        <v>9644</v>
      </c>
      <c r="P170" s="3">
        <v>5535</v>
      </c>
      <c r="Q170" s="3">
        <v>5907</v>
      </c>
      <c r="R170" s="3">
        <v>3443</v>
      </c>
      <c r="S170" s="3">
        <v>5385</v>
      </c>
      <c r="T170" s="3">
        <v>5592</v>
      </c>
      <c r="U170" s="3">
        <v>4626</v>
      </c>
      <c r="V170" s="3">
        <v>4560</v>
      </c>
      <c r="W170" s="3">
        <v>5812</v>
      </c>
      <c r="X170" s="3">
        <v>4822</v>
      </c>
      <c r="Y170" s="3">
        <v>4939</v>
      </c>
      <c r="Z170" s="3"/>
      <c r="AA170" s="3"/>
      <c r="AB170" s="3"/>
    </row>
    <row r="171" spans="1:42" x14ac:dyDescent="0.55000000000000004">
      <c r="A171" s="4" t="s">
        <v>174</v>
      </c>
      <c r="B171" s="5">
        <v>1486195</v>
      </c>
      <c r="C171" s="5">
        <v>73898</v>
      </c>
      <c r="D171" s="5">
        <v>65492</v>
      </c>
      <c r="E171" s="5">
        <v>130495</v>
      </c>
      <c r="F171" s="5">
        <v>4963</v>
      </c>
      <c r="G171" s="5">
        <v>4522</v>
      </c>
      <c r="H171" s="5">
        <v>1490391</v>
      </c>
      <c r="I171" s="5">
        <v>74850</v>
      </c>
      <c r="J171" s="5">
        <v>50909</v>
      </c>
      <c r="K171" s="14">
        <v>49.7</v>
      </c>
      <c r="L171" s="14">
        <v>46.7</v>
      </c>
      <c r="N171" s="5">
        <v>163213</v>
      </c>
      <c r="O171" s="5">
        <v>90247</v>
      </c>
      <c r="P171" s="5">
        <v>170658</v>
      </c>
      <c r="Q171" s="5">
        <v>86494</v>
      </c>
      <c r="R171" s="5">
        <v>124473</v>
      </c>
      <c r="S171" s="5">
        <v>134549</v>
      </c>
      <c r="T171" s="5">
        <v>166947</v>
      </c>
      <c r="U171" s="5">
        <v>79138</v>
      </c>
      <c r="V171" s="5">
        <v>106216</v>
      </c>
      <c r="W171" s="5">
        <v>149686</v>
      </c>
      <c r="X171" s="5">
        <v>101992</v>
      </c>
      <c r="Y171" s="5">
        <v>112982</v>
      </c>
      <c r="Z171" s="5"/>
      <c r="AA171" s="5"/>
      <c r="AB171" s="5"/>
      <c r="AD171" s="15">
        <f>SUM(N171:AB171)</f>
        <v>1486595</v>
      </c>
      <c r="AE171" s="15">
        <f>SUM(N172:AB172)</f>
        <v>73898</v>
      </c>
      <c r="AF171" s="15">
        <f>SUM(N173:AB173)</f>
        <v>65397</v>
      </c>
      <c r="AH171" s="15">
        <f>AD171-B171</f>
        <v>400</v>
      </c>
      <c r="AI171" s="15">
        <f>AE171-C171</f>
        <v>0</v>
      </c>
      <c r="AJ171" s="15">
        <f>AF171-D171</f>
        <v>-95</v>
      </c>
      <c r="AL171" s="17">
        <f>C171/B171*1000</f>
        <v>49.722950218511031</v>
      </c>
      <c r="AM171" s="17">
        <f>D171/B171*1000</f>
        <v>44.066895663085937</v>
      </c>
      <c r="AO171" s="17">
        <f>AL171-K171</f>
        <v>2.2950218511027742E-2</v>
      </c>
      <c r="AP171" s="17">
        <f>AM171-L171</f>
        <v>-2.6331043369140659</v>
      </c>
    </row>
    <row r="172" spans="1:42" x14ac:dyDescent="0.55000000000000004">
      <c r="A172" s="2" t="s">
        <v>175</v>
      </c>
      <c r="B172" s="3"/>
      <c r="C172" s="3"/>
      <c r="D172" s="3"/>
      <c r="E172" s="3"/>
      <c r="F172" s="3"/>
      <c r="G172" s="3"/>
      <c r="H172" s="3"/>
      <c r="I172" s="3"/>
      <c r="J172" s="3"/>
      <c r="K172" s="1"/>
      <c r="L172" s="1"/>
      <c r="N172" s="3">
        <v>8548</v>
      </c>
      <c r="O172" s="3">
        <v>4041</v>
      </c>
      <c r="P172" s="3">
        <v>8978</v>
      </c>
      <c r="Q172" s="3">
        <v>3655</v>
      </c>
      <c r="R172" s="3">
        <v>5650</v>
      </c>
      <c r="S172" s="3">
        <v>6260</v>
      </c>
      <c r="T172" s="3">
        <v>9070</v>
      </c>
      <c r="U172" s="3">
        <v>3752</v>
      </c>
      <c r="V172" s="3">
        <v>5545</v>
      </c>
      <c r="W172" s="3">
        <v>7702</v>
      </c>
      <c r="X172" s="3">
        <v>4830</v>
      </c>
      <c r="Y172" s="3">
        <v>5867</v>
      </c>
      <c r="Z172" s="3"/>
      <c r="AA172" s="3"/>
      <c r="AB172" s="3"/>
    </row>
    <row r="173" spans="1:42" x14ac:dyDescent="0.55000000000000004">
      <c r="A173" s="2" t="s">
        <v>176</v>
      </c>
      <c r="B173" s="3"/>
      <c r="C173" s="3"/>
      <c r="D173" s="3"/>
      <c r="E173" s="3"/>
      <c r="F173" s="3"/>
      <c r="G173" s="3"/>
      <c r="H173" s="3"/>
      <c r="I173" s="3"/>
      <c r="J173" s="3"/>
      <c r="K173" s="1"/>
      <c r="L173" s="1"/>
      <c r="N173" s="3">
        <v>7170</v>
      </c>
      <c r="O173" s="3">
        <v>3549</v>
      </c>
      <c r="P173" s="3">
        <v>7644</v>
      </c>
      <c r="Q173" s="3">
        <v>3045</v>
      </c>
      <c r="R173" s="3">
        <v>4862</v>
      </c>
      <c r="S173" s="3">
        <v>5390</v>
      </c>
      <c r="T173" s="3">
        <v>8109</v>
      </c>
      <c r="U173" s="3">
        <v>3829</v>
      </c>
      <c r="V173" s="3">
        <v>5215</v>
      </c>
      <c r="W173" s="3">
        <v>6582</v>
      </c>
      <c r="X173" s="3">
        <v>4893</v>
      </c>
      <c r="Y173" s="3">
        <v>5109</v>
      </c>
      <c r="Z173" s="3"/>
      <c r="AA173" s="3"/>
      <c r="AB173" s="3"/>
    </row>
    <row r="174" spans="1:42" x14ac:dyDescent="0.55000000000000004">
      <c r="A174" s="4" t="s">
        <v>177</v>
      </c>
      <c r="B174" s="5">
        <v>2017546</v>
      </c>
      <c r="C174" s="5">
        <v>95902</v>
      </c>
      <c r="D174" s="5">
        <v>59622</v>
      </c>
      <c r="E174" s="5">
        <v>79870</v>
      </c>
      <c r="F174" s="5">
        <v>3808</v>
      </c>
      <c r="G174" s="5">
        <v>3570</v>
      </c>
      <c r="H174" s="5">
        <v>1961396</v>
      </c>
      <c r="I174" s="5">
        <v>92453</v>
      </c>
      <c r="J174" s="5">
        <v>64032</v>
      </c>
      <c r="K174" s="14">
        <v>47.5</v>
      </c>
      <c r="L174" s="14">
        <v>29.5</v>
      </c>
      <c r="N174" s="5">
        <v>324008</v>
      </c>
      <c r="O174" s="5">
        <v>386374</v>
      </c>
      <c r="P174" s="5">
        <v>454886</v>
      </c>
      <c r="Q174" s="5">
        <v>170495</v>
      </c>
      <c r="R174" s="5">
        <v>369935</v>
      </c>
      <c r="S174" s="5">
        <v>311848</v>
      </c>
      <c r="T174" s="5"/>
      <c r="U174" s="5"/>
      <c r="V174" s="5"/>
      <c r="W174" s="5"/>
      <c r="X174" s="5"/>
      <c r="Y174" s="5"/>
      <c r="Z174" s="5"/>
      <c r="AA174" s="5"/>
      <c r="AB174" s="5"/>
      <c r="AD174" s="15">
        <f>SUM(N174:AB174)</f>
        <v>2017546</v>
      </c>
      <c r="AE174" s="15">
        <f>SUM(N175:AB175)</f>
        <v>95902</v>
      </c>
      <c r="AF174" s="15">
        <f>SUM(N176:AB176)</f>
        <v>59622</v>
      </c>
      <c r="AH174" s="15">
        <f>AD174-B174</f>
        <v>0</v>
      </c>
      <c r="AI174" s="15">
        <f>AE174-C174</f>
        <v>0</v>
      </c>
      <c r="AJ174" s="15">
        <f>AF174-D174</f>
        <v>0</v>
      </c>
      <c r="AL174" s="17">
        <f>C174/B174*1000</f>
        <v>47.533984355251377</v>
      </c>
      <c r="AM174" s="17">
        <f>D174/B174*1000</f>
        <v>29.551742562499197</v>
      </c>
      <c r="AO174" s="17">
        <f>AL174-K174</f>
        <v>3.3984355251376996E-2</v>
      </c>
      <c r="AP174" s="17">
        <f>AM174-L174</f>
        <v>5.1742562499196509E-2</v>
      </c>
    </row>
    <row r="175" spans="1:42" x14ac:dyDescent="0.55000000000000004">
      <c r="A175" s="2" t="s">
        <v>178</v>
      </c>
      <c r="B175" s="3"/>
      <c r="C175" s="3"/>
      <c r="D175" s="3"/>
      <c r="E175" s="3"/>
      <c r="F175" s="3"/>
      <c r="G175" s="3"/>
      <c r="H175" s="3"/>
      <c r="I175" s="3"/>
      <c r="J175" s="3"/>
      <c r="K175" s="1"/>
      <c r="L175" s="1"/>
      <c r="N175" s="3">
        <v>16593</v>
      </c>
      <c r="O175" s="3">
        <v>17380</v>
      </c>
      <c r="P175" s="3">
        <v>22067</v>
      </c>
      <c r="Q175" s="3">
        <v>8794</v>
      </c>
      <c r="R175" s="3">
        <v>17110</v>
      </c>
      <c r="S175" s="3">
        <v>13958</v>
      </c>
      <c r="T175" s="3"/>
      <c r="U175" s="3"/>
      <c r="V175" s="3"/>
      <c r="W175" s="3"/>
      <c r="X175" s="3"/>
      <c r="Y175" s="3"/>
      <c r="Z175" s="3"/>
      <c r="AA175" s="3"/>
      <c r="AB175" s="3"/>
    </row>
    <row r="176" spans="1:42" x14ac:dyDescent="0.55000000000000004">
      <c r="A176" s="2" t="s">
        <v>179</v>
      </c>
      <c r="B176" s="3"/>
      <c r="C176" s="3"/>
      <c r="D176" s="3"/>
      <c r="E176" s="3"/>
      <c r="F176" s="3"/>
      <c r="G176" s="3"/>
      <c r="H176" s="3"/>
      <c r="I176" s="3"/>
      <c r="J176" s="3"/>
      <c r="K176" s="1"/>
      <c r="L176" s="1"/>
      <c r="N176" s="3">
        <v>12002</v>
      </c>
      <c r="O176" s="3">
        <v>10265</v>
      </c>
      <c r="P176" s="3">
        <v>12380</v>
      </c>
      <c r="Q176" s="3">
        <v>5662</v>
      </c>
      <c r="R176" s="3">
        <v>10606</v>
      </c>
      <c r="S176" s="3">
        <v>8707</v>
      </c>
      <c r="T176" s="3"/>
      <c r="U176" s="3"/>
      <c r="V176" s="3"/>
      <c r="W176" s="3"/>
      <c r="X176" s="3"/>
      <c r="Y176" s="3"/>
      <c r="Z176" s="3"/>
      <c r="AA176" s="3"/>
      <c r="AB176" s="3"/>
    </row>
    <row r="177" spans="1:42" x14ac:dyDescent="0.55000000000000004">
      <c r="A177" s="4" t="s">
        <v>180</v>
      </c>
      <c r="B177" s="5">
        <v>2410384</v>
      </c>
      <c r="C177" s="5">
        <v>123599</v>
      </c>
      <c r="D177" s="5">
        <v>88684</v>
      </c>
      <c r="E177" s="5">
        <v>318984</v>
      </c>
      <c r="F177" s="5">
        <v>10446</v>
      </c>
      <c r="G177" s="5">
        <v>8012</v>
      </c>
      <c r="H177" s="5">
        <v>2344313</v>
      </c>
      <c r="I177" s="5">
        <v>115308</v>
      </c>
      <c r="J177" s="5">
        <v>80816</v>
      </c>
      <c r="K177" s="14">
        <v>51.3</v>
      </c>
      <c r="L177" s="14">
        <v>36.799999999999997</v>
      </c>
      <c r="N177" s="5">
        <v>362991</v>
      </c>
      <c r="O177" s="5">
        <v>138807</v>
      </c>
      <c r="P177" s="5">
        <v>157241</v>
      </c>
      <c r="Q177" s="5">
        <v>125898</v>
      </c>
      <c r="R177" s="5">
        <v>159235</v>
      </c>
      <c r="S177" s="5">
        <v>218087</v>
      </c>
      <c r="T177" s="5">
        <v>287835</v>
      </c>
      <c r="U177" s="5">
        <v>222244</v>
      </c>
      <c r="V177" s="5">
        <v>154358</v>
      </c>
      <c r="W177" s="5">
        <v>370644</v>
      </c>
      <c r="X177" s="5">
        <v>212944</v>
      </c>
      <c r="Y177" s="5"/>
      <c r="Z177" s="5"/>
      <c r="AA177" s="5"/>
      <c r="AB177" s="5"/>
      <c r="AD177" s="15">
        <f>SUM(N177:AB177)</f>
        <v>2410284</v>
      </c>
      <c r="AE177" s="15">
        <f>SUM(N178:AB178)</f>
        <v>123599</v>
      </c>
      <c r="AF177" s="15">
        <f>SUM(N179:AB179)</f>
        <v>88684</v>
      </c>
      <c r="AH177" s="15">
        <f>AD177-B177</f>
        <v>-100</v>
      </c>
      <c r="AI177" s="15">
        <f>AE177-C177</f>
        <v>0</v>
      </c>
      <c r="AJ177" s="15">
        <f>AF177-D177</f>
        <v>0</v>
      </c>
      <c r="AL177" s="17">
        <f>C177/B177*1000</f>
        <v>51.277721724007463</v>
      </c>
      <c r="AM177" s="17">
        <f>D177/B177*1000</f>
        <v>36.792477879043339</v>
      </c>
      <c r="AO177" s="17">
        <f>AL177-K177</f>
        <v>-2.2278275992533736E-2</v>
      </c>
      <c r="AP177" s="17">
        <f>AM177-L177</f>
        <v>-7.5221209566578295E-3</v>
      </c>
    </row>
    <row r="178" spans="1:42" x14ac:dyDescent="0.55000000000000004">
      <c r="A178" s="2" t="s">
        <v>181</v>
      </c>
      <c r="B178" s="3"/>
      <c r="C178" s="3"/>
      <c r="D178" s="3"/>
      <c r="E178" s="3"/>
      <c r="F178" s="3"/>
      <c r="G178" s="3"/>
      <c r="H178" s="3"/>
      <c r="I178" s="3"/>
      <c r="J178" s="3"/>
      <c r="K178" s="1"/>
      <c r="L178" s="1"/>
      <c r="N178" s="3">
        <v>14009</v>
      </c>
      <c r="O178" s="3">
        <v>7814</v>
      </c>
      <c r="P178" s="3">
        <v>7432</v>
      </c>
      <c r="Q178" s="3">
        <v>6971</v>
      </c>
      <c r="R178" s="3">
        <v>9066</v>
      </c>
      <c r="S178" s="3">
        <v>11680</v>
      </c>
      <c r="T178" s="3">
        <v>14551</v>
      </c>
      <c r="U178" s="3">
        <v>11473</v>
      </c>
      <c r="V178" s="3">
        <v>9040</v>
      </c>
      <c r="W178" s="3">
        <v>20813</v>
      </c>
      <c r="X178" s="3">
        <v>10750</v>
      </c>
      <c r="Y178" s="3"/>
      <c r="Z178" s="3"/>
      <c r="AA178" s="3"/>
      <c r="AB178" s="3"/>
    </row>
    <row r="179" spans="1:42" x14ac:dyDescent="0.55000000000000004">
      <c r="A179" s="2" t="s">
        <v>182</v>
      </c>
      <c r="B179" s="3"/>
      <c r="C179" s="3"/>
      <c r="D179" s="3"/>
      <c r="E179" s="3"/>
      <c r="F179" s="3"/>
      <c r="G179" s="3"/>
      <c r="H179" s="3"/>
      <c r="I179" s="3"/>
      <c r="J179" s="3"/>
      <c r="K179" s="1"/>
      <c r="L179" s="1"/>
      <c r="N179" s="3">
        <v>10103</v>
      </c>
      <c r="O179" s="3">
        <v>5153</v>
      </c>
      <c r="P179" s="3">
        <v>5481</v>
      </c>
      <c r="Q179" s="3">
        <v>4669</v>
      </c>
      <c r="R179" s="3">
        <v>6212</v>
      </c>
      <c r="S179" s="3">
        <v>8235</v>
      </c>
      <c r="T179" s="3">
        <v>11509</v>
      </c>
      <c r="U179" s="3">
        <v>8437</v>
      </c>
      <c r="V179" s="3">
        <v>5910</v>
      </c>
      <c r="W179" s="3">
        <v>16529</v>
      </c>
      <c r="X179" s="3">
        <v>6446</v>
      </c>
      <c r="Y179" s="3"/>
      <c r="Z179" s="3"/>
      <c r="AA179" s="3"/>
      <c r="AB179" s="3"/>
    </row>
    <row r="180" spans="1:42" x14ac:dyDescent="0.55000000000000004">
      <c r="A180" s="4" t="s">
        <v>183</v>
      </c>
      <c r="B180" s="5">
        <v>1809419</v>
      </c>
      <c r="C180" s="5">
        <v>105593</v>
      </c>
      <c r="D180" s="5">
        <v>55631</v>
      </c>
      <c r="E180" s="5">
        <v>166926</v>
      </c>
      <c r="F180" s="5">
        <v>7506</v>
      </c>
      <c r="G180" s="5">
        <v>4639</v>
      </c>
      <c r="H180" s="5">
        <v>1777768</v>
      </c>
      <c r="I180" s="5">
        <v>95658</v>
      </c>
      <c r="J180" s="5">
        <v>56636</v>
      </c>
      <c r="K180" s="14">
        <v>58.3</v>
      </c>
      <c r="L180" s="14">
        <v>30.7</v>
      </c>
      <c r="N180" s="5">
        <v>390828</v>
      </c>
      <c r="O180" s="5">
        <v>337233</v>
      </c>
      <c r="P180" s="5">
        <v>198994</v>
      </c>
      <c r="Q180" s="5">
        <v>499793</v>
      </c>
      <c r="R180" s="5">
        <v>179512</v>
      </c>
      <c r="S180" s="5">
        <v>203059</v>
      </c>
      <c r="T180" s="5"/>
      <c r="U180" s="5"/>
      <c r="V180" s="5"/>
      <c r="W180" s="5"/>
      <c r="X180" s="5"/>
      <c r="Y180" s="5"/>
      <c r="Z180" s="5"/>
      <c r="AA180" s="5"/>
      <c r="AB180" s="5"/>
      <c r="AD180" s="15">
        <f>SUM(N180:AB180)</f>
        <v>1809419</v>
      </c>
      <c r="AE180" s="15">
        <f>SUM(N181:AB181)</f>
        <v>105593</v>
      </c>
      <c r="AF180" s="15">
        <f>SUM(N182:AB182)</f>
        <v>55631</v>
      </c>
      <c r="AH180" s="15">
        <f>AD180-B180</f>
        <v>0</v>
      </c>
      <c r="AI180" s="15">
        <f>AE180-C180</f>
        <v>0</v>
      </c>
      <c r="AJ180" s="15">
        <f>AF180-D180</f>
        <v>0</v>
      </c>
      <c r="AL180" s="17">
        <f>C180/B180*1000</f>
        <v>58.35740643819922</v>
      </c>
      <c r="AM180" s="17">
        <f>D180/B180*1000</f>
        <v>30.745228164399734</v>
      </c>
      <c r="AO180" s="17">
        <f>AL180-K180</f>
        <v>5.7406438199222976E-2</v>
      </c>
      <c r="AP180" s="17">
        <f>AM180-L180</f>
        <v>4.5228164399734538E-2</v>
      </c>
    </row>
    <row r="181" spans="1:42" x14ac:dyDescent="0.55000000000000004">
      <c r="A181" s="2" t="s">
        <v>184</v>
      </c>
      <c r="B181" s="3"/>
      <c r="C181" s="3"/>
      <c r="D181" s="3"/>
      <c r="E181" s="3"/>
      <c r="F181" s="3"/>
      <c r="G181" s="3"/>
      <c r="H181" s="3"/>
      <c r="I181" s="3"/>
      <c r="J181" s="3"/>
      <c r="K181" s="1"/>
      <c r="L181" s="1"/>
      <c r="N181" s="3">
        <v>23245</v>
      </c>
      <c r="O181" s="3">
        <v>20530</v>
      </c>
      <c r="P181" s="3">
        <v>11290</v>
      </c>
      <c r="Q181" s="3">
        <v>28405</v>
      </c>
      <c r="R181" s="3">
        <v>11264</v>
      </c>
      <c r="S181" s="3">
        <v>10859</v>
      </c>
      <c r="T181" s="3"/>
      <c r="U181" s="3"/>
      <c r="V181" s="3"/>
      <c r="W181" s="3"/>
      <c r="X181" s="3"/>
      <c r="Y181" s="3"/>
      <c r="Z181" s="3"/>
      <c r="AA181" s="3"/>
      <c r="AB181" s="3"/>
    </row>
    <row r="182" spans="1:42" x14ac:dyDescent="0.55000000000000004">
      <c r="A182" s="2" t="s">
        <v>185</v>
      </c>
      <c r="B182" s="3"/>
      <c r="C182" s="3"/>
      <c r="D182" s="3"/>
      <c r="E182" s="3"/>
      <c r="F182" s="3"/>
      <c r="G182" s="3"/>
      <c r="H182" s="3"/>
      <c r="I182" s="3"/>
      <c r="J182" s="3"/>
      <c r="K182" s="1"/>
      <c r="L182" s="1"/>
      <c r="N182" s="3">
        <v>12898</v>
      </c>
      <c r="O182" s="3">
        <v>10954</v>
      </c>
      <c r="P182" s="3">
        <v>5649</v>
      </c>
      <c r="Q182" s="3">
        <v>16496</v>
      </c>
      <c r="R182" s="3">
        <v>4585</v>
      </c>
      <c r="S182" s="3">
        <v>5049</v>
      </c>
      <c r="T182" s="3"/>
      <c r="U182" s="3"/>
      <c r="V182" s="3"/>
      <c r="W182" s="3"/>
      <c r="X182" s="3"/>
      <c r="Y182" s="3"/>
      <c r="Z182" s="3"/>
      <c r="AA182" s="3"/>
      <c r="AB182" s="3"/>
    </row>
    <row r="183" spans="1:42" x14ac:dyDescent="0.55000000000000004">
      <c r="A183" s="4" t="s">
        <v>186</v>
      </c>
      <c r="B183" s="5">
        <v>75840</v>
      </c>
      <c r="C183" s="5">
        <v>3246</v>
      </c>
      <c r="D183" s="5">
        <v>2188</v>
      </c>
      <c r="E183" s="5"/>
      <c r="F183" s="5"/>
      <c r="G183" s="5"/>
      <c r="H183" s="5">
        <v>76847</v>
      </c>
      <c r="I183" s="5">
        <v>3220</v>
      </c>
      <c r="J183" s="5">
        <v>2626</v>
      </c>
      <c r="K183" s="14">
        <v>34.799999999999997</v>
      </c>
      <c r="L183" s="14">
        <v>28.8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D183" s="15">
        <f t="shared" ref="AD183:AF184" si="3">B183</f>
        <v>75840</v>
      </c>
      <c r="AE183" s="15">
        <f t="shared" si="3"/>
        <v>3246</v>
      </c>
      <c r="AF183" s="15">
        <f t="shared" si="3"/>
        <v>2188</v>
      </c>
      <c r="AG183" s="18"/>
      <c r="AH183" s="18"/>
      <c r="AI183" s="18"/>
      <c r="AJ183" s="18"/>
      <c r="AL183" s="17">
        <f>C183/B183*1000</f>
        <v>42.800632911392405</v>
      </c>
      <c r="AM183" s="17">
        <f>D183/B183*1000</f>
        <v>28.850210970464133</v>
      </c>
      <c r="AO183" s="17">
        <f t="shared" ref="AO183:AP185" si="4">AL183-K183</f>
        <v>8.0006329113924082</v>
      </c>
      <c r="AP183" s="17">
        <f t="shared" si="4"/>
        <v>5.0210970464132032E-2</v>
      </c>
    </row>
    <row r="184" spans="1:42" x14ac:dyDescent="0.55000000000000004">
      <c r="A184" s="4" t="s">
        <v>187</v>
      </c>
      <c r="B184" s="5">
        <v>284985</v>
      </c>
      <c r="C184" s="5">
        <v>11152</v>
      </c>
      <c r="D184" s="5">
        <v>7761</v>
      </c>
      <c r="E184" s="5"/>
      <c r="F184" s="5"/>
      <c r="G184" s="5"/>
      <c r="H184" s="5">
        <v>279215</v>
      </c>
      <c r="I184" s="5">
        <v>10416</v>
      </c>
      <c r="J184" s="5">
        <v>7365</v>
      </c>
      <c r="K184" s="14">
        <v>39.1</v>
      </c>
      <c r="L184" s="14">
        <v>27.2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D184" s="15">
        <f t="shared" si="3"/>
        <v>284985</v>
      </c>
      <c r="AE184" s="15">
        <f t="shared" si="3"/>
        <v>11152</v>
      </c>
      <c r="AF184" s="15">
        <f t="shared" si="3"/>
        <v>7761</v>
      </c>
      <c r="AG184" s="18"/>
      <c r="AH184" s="18"/>
      <c r="AI184" s="18"/>
      <c r="AJ184" s="18"/>
      <c r="AL184" s="17">
        <f>C184/B184*1000</f>
        <v>39.13188413425268</v>
      </c>
      <c r="AM184" s="17">
        <f>D184/B184*1000</f>
        <v>27.23301226380336</v>
      </c>
      <c r="AO184" s="17">
        <f t="shared" si="4"/>
        <v>3.1884134252678109E-2</v>
      </c>
      <c r="AP184" s="17">
        <f t="shared" si="4"/>
        <v>3.3012263803360753E-2</v>
      </c>
    </row>
    <row r="185" spans="1:42" x14ac:dyDescent="0.55000000000000004">
      <c r="A185" s="4" t="s">
        <v>188</v>
      </c>
      <c r="B185" s="5">
        <v>2202261</v>
      </c>
      <c r="C185" s="5">
        <v>107326</v>
      </c>
      <c r="D185" s="5">
        <v>69142</v>
      </c>
      <c r="E185" s="5">
        <v>209169</v>
      </c>
      <c r="F185" s="5">
        <v>7197</v>
      </c>
      <c r="G185" s="5">
        <v>4995</v>
      </c>
      <c r="H185" s="5">
        <v>2142167</v>
      </c>
      <c r="I185" s="5">
        <v>106284</v>
      </c>
      <c r="J185" s="5">
        <v>66040</v>
      </c>
      <c r="K185" s="14">
        <v>48.7</v>
      </c>
      <c r="L185" s="14">
        <v>31.4</v>
      </c>
      <c r="N185" s="5">
        <v>158098</v>
      </c>
      <c r="O185" s="5">
        <v>139731</v>
      </c>
      <c r="P185" s="5">
        <v>136071</v>
      </c>
      <c r="Q185" s="5">
        <v>133393</v>
      </c>
      <c r="R185" s="5">
        <v>128387</v>
      </c>
      <c r="S185" s="5">
        <v>145794</v>
      </c>
      <c r="T185" s="5">
        <v>125930</v>
      </c>
      <c r="U185" s="5">
        <v>134431</v>
      </c>
      <c r="V185" s="5">
        <v>135376</v>
      </c>
      <c r="W185" s="5">
        <v>173437</v>
      </c>
      <c r="X185" s="5">
        <v>168056</v>
      </c>
      <c r="Y185" s="5">
        <v>132202</v>
      </c>
      <c r="Z185" s="5">
        <v>149957</v>
      </c>
      <c r="AA185" s="5">
        <v>165389</v>
      </c>
      <c r="AB185" s="5">
        <v>176009</v>
      </c>
      <c r="AD185" s="15">
        <f>SUM(N185:AB185)</f>
        <v>2202261</v>
      </c>
      <c r="AE185" s="15">
        <f>SUM(N186:AB186)</f>
        <v>107326</v>
      </c>
      <c r="AF185" s="15">
        <f>SUM(N187:AB187)</f>
        <v>69132</v>
      </c>
      <c r="AH185" s="15">
        <f>AD185-B185</f>
        <v>0</v>
      </c>
      <c r="AI185" s="15">
        <f>AE185-C185</f>
        <v>0</v>
      </c>
      <c r="AJ185" s="15">
        <f>AF185-D185</f>
        <v>-10</v>
      </c>
      <c r="AL185" s="17">
        <f>C185/B185*1000</f>
        <v>48.734459721168385</v>
      </c>
      <c r="AM185" s="17">
        <f>D185/B185*1000</f>
        <v>31.395915379693871</v>
      </c>
      <c r="AO185" s="17">
        <f t="shared" si="4"/>
        <v>3.4459721168381918E-2</v>
      </c>
      <c r="AP185" s="17">
        <f t="shared" si="4"/>
        <v>-4.0846203061271069E-3</v>
      </c>
    </row>
    <row r="186" spans="1:42" x14ac:dyDescent="0.55000000000000004">
      <c r="A186" s="2" t="s">
        <v>189</v>
      </c>
      <c r="B186" s="3"/>
      <c r="C186" s="3"/>
      <c r="D186" s="3"/>
      <c r="E186" s="3"/>
      <c r="F186" s="3"/>
      <c r="G186" s="3"/>
      <c r="H186" s="3"/>
      <c r="I186" s="3"/>
      <c r="J186" s="3"/>
      <c r="K186" s="1"/>
      <c r="L186" s="1"/>
      <c r="N186" s="3">
        <v>7278</v>
      </c>
      <c r="O186" s="3">
        <v>7072</v>
      </c>
      <c r="P186" s="3">
        <v>5941</v>
      </c>
      <c r="Q186" s="3">
        <v>7149</v>
      </c>
      <c r="R186" s="3">
        <v>6760</v>
      </c>
      <c r="S186" s="3">
        <v>7125</v>
      </c>
      <c r="T186" s="3">
        <v>5995</v>
      </c>
      <c r="U186" s="3">
        <v>6173</v>
      </c>
      <c r="V186" s="3">
        <v>6951</v>
      </c>
      <c r="W186" s="3">
        <v>8326</v>
      </c>
      <c r="X186" s="3">
        <v>8247</v>
      </c>
      <c r="Y186" s="3">
        <v>7315</v>
      </c>
      <c r="Z186" s="3">
        <v>7289</v>
      </c>
      <c r="AA186" s="3">
        <v>6769</v>
      </c>
      <c r="AB186" s="3">
        <v>8936</v>
      </c>
    </row>
    <row r="187" spans="1:42" x14ac:dyDescent="0.55000000000000004">
      <c r="A187" s="2" t="s">
        <v>190</v>
      </c>
      <c r="B187" s="3"/>
      <c r="C187" s="3"/>
      <c r="D187" s="3"/>
      <c r="E187" s="3"/>
      <c r="F187" s="3"/>
      <c r="G187" s="3"/>
      <c r="H187" s="3"/>
      <c r="I187" s="3"/>
      <c r="J187" s="3"/>
      <c r="K187" s="1"/>
      <c r="L187" s="1"/>
      <c r="N187" s="3">
        <v>5194</v>
      </c>
      <c r="O187" s="3">
        <v>4850</v>
      </c>
      <c r="P187" s="3">
        <v>4505</v>
      </c>
      <c r="Q187" s="3">
        <v>3899</v>
      </c>
      <c r="R187" s="3">
        <v>5173</v>
      </c>
      <c r="S187" s="3">
        <v>4291</v>
      </c>
      <c r="T187" s="3">
        <v>4044</v>
      </c>
      <c r="U187" s="3">
        <v>4144</v>
      </c>
      <c r="V187" s="3">
        <v>5177</v>
      </c>
      <c r="W187" s="3">
        <v>5249</v>
      </c>
      <c r="X187" s="3">
        <v>5257</v>
      </c>
      <c r="Y187" s="3">
        <v>4151</v>
      </c>
      <c r="Z187" s="3">
        <v>4575</v>
      </c>
      <c r="AA187" s="3">
        <v>4393</v>
      </c>
      <c r="AB187" s="3">
        <v>4230</v>
      </c>
    </row>
    <row r="188" spans="1:42" x14ac:dyDescent="0.55000000000000004">
      <c r="A188" s="4" t="s">
        <v>191</v>
      </c>
      <c r="B188" s="5">
        <v>1193064</v>
      </c>
      <c r="C188" s="5">
        <v>41377</v>
      </c>
      <c r="D188" s="5">
        <v>41149</v>
      </c>
      <c r="E188" s="5">
        <v>175041</v>
      </c>
      <c r="F188" s="5">
        <v>4508</v>
      </c>
      <c r="G188" s="5">
        <v>4995</v>
      </c>
      <c r="H188" s="5">
        <v>1138171</v>
      </c>
      <c r="I188" s="5">
        <v>45597</v>
      </c>
      <c r="J188" s="5">
        <v>32321</v>
      </c>
      <c r="K188" s="14">
        <v>34.700000000000003</v>
      </c>
      <c r="L188" s="14">
        <v>34.5</v>
      </c>
      <c r="N188" s="5">
        <v>221625</v>
      </c>
      <c r="O188" s="5">
        <v>74474</v>
      </c>
      <c r="P188" s="5">
        <v>72550</v>
      </c>
      <c r="Q188" s="5">
        <v>123588</v>
      </c>
      <c r="R188" s="5">
        <v>90553</v>
      </c>
      <c r="S188" s="5">
        <v>109589</v>
      </c>
      <c r="T188" s="5">
        <v>78551</v>
      </c>
      <c r="U188" s="5">
        <v>180214</v>
      </c>
      <c r="V188" s="5">
        <v>118105</v>
      </c>
      <c r="W188" s="28">
        <v>109973</v>
      </c>
      <c r="X188" s="5"/>
      <c r="Y188" s="5"/>
      <c r="Z188" s="5"/>
      <c r="AA188" s="5"/>
      <c r="AB188" s="5"/>
      <c r="AD188" s="15">
        <f>SUM(N188:AB188)</f>
        <v>1179222</v>
      </c>
      <c r="AE188" s="15">
        <f>SUM(N189:AB189)</f>
        <v>41377</v>
      </c>
      <c r="AF188" s="15">
        <f>SUM(N190:AB190)</f>
        <v>41149</v>
      </c>
      <c r="AH188" s="15">
        <f>AD188-B188</f>
        <v>-13842</v>
      </c>
      <c r="AI188" s="15">
        <f>AE188-C188</f>
        <v>0</v>
      </c>
      <c r="AJ188" s="15">
        <f>AF188-D188</f>
        <v>0</v>
      </c>
      <c r="AL188" s="17">
        <f>C188/B188*1000</f>
        <v>34.681291196448804</v>
      </c>
      <c r="AM188" s="17">
        <f>D188/B188*1000</f>
        <v>34.490186611950406</v>
      </c>
      <c r="AO188" s="17">
        <f>AL188-K188</f>
        <v>-1.8708803551199082E-2</v>
      </c>
      <c r="AP188" s="17">
        <f>AM188-L188</f>
        <v>-9.813388049593641E-3</v>
      </c>
    </row>
    <row r="189" spans="1:42" x14ac:dyDescent="0.55000000000000004">
      <c r="A189" s="2" t="s">
        <v>192</v>
      </c>
      <c r="B189" s="3"/>
      <c r="C189" s="3"/>
      <c r="D189" s="3"/>
      <c r="E189" s="3"/>
      <c r="F189" s="3"/>
      <c r="G189" s="3"/>
      <c r="H189" s="3"/>
      <c r="I189" s="3"/>
      <c r="J189" s="3"/>
      <c r="K189" s="1"/>
      <c r="L189" s="1"/>
      <c r="N189" s="3">
        <v>7938</v>
      </c>
      <c r="O189" s="3">
        <v>2345</v>
      </c>
      <c r="P189" s="3">
        <v>2281</v>
      </c>
      <c r="Q189" s="3">
        <v>5102</v>
      </c>
      <c r="R189" s="3">
        <v>3481</v>
      </c>
      <c r="S189" s="3">
        <v>4052</v>
      </c>
      <c r="T189" s="3">
        <v>2785</v>
      </c>
      <c r="U189" s="3">
        <v>6246</v>
      </c>
      <c r="V189" s="3">
        <v>3381</v>
      </c>
      <c r="W189" s="3">
        <v>3766</v>
      </c>
      <c r="X189" s="3"/>
      <c r="Y189" s="3"/>
      <c r="Z189" s="3"/>
      <c r="AA189" s="3"/>
      <c r="AB189" s="3"/>
    </row>
    <row r="190" spans="1:42" x14ac:dyDescent="0.55000000000000004">
      <c r="A190" s="2" t="s">
        <v>193</v>
      </c>
      <c r="B190" s="3"/>
      <c r="C190" s="3"/>
      <c r="D190" s="3"/>
      <c r="E190" s="3"/>
      <c r="F190" s="3"/>
      <c r="G190" s="3"/>
      <c r="H190" s="3"/>
      <c r="I190" s="3"/>
      <c r="J190" s="3"/>
      <c r="K190" s="1"/>
      <c r="L190" s="1"/>
      <c r="N190" s="3">
        <v>7383</v>
      </c>
      <c r="O190" s="3">
        <v>2336</v>
      </c>
      <c r="P190" s="3">
        <v>2283</v>
      </c>
      <c r="Q190" s="3">
        <v>5509</v>
      </c>
      <c r="R190" s="3">
        <v>3922</v>
      </c>
      <c r="S190" s="3">
        <v>3769</v>
      </c>
      <c r="T190" s="3">
        <v>2949</v>
      </c>
      <c r="U190" s="3">
        <v>5915</v>
      </c>
      <c r="V190" s="3">
        <v>3345</v>
      </c>
      <c r="W190" s="3">
        <v>3738</v>
      </c>
      <c r="X190" s="3"/>
      <c r="Y190" s="3"/>
      <c r="Z190" s="3"/>
      <c r="AA190" s="3"/>
      <c r="AB190" s="3"/>
    </row>
    <row r="191" spans="1:42" x14ac:dyDescent="0.55000000000000004">
      <c r="A191" s="7" t="s">
        <v>194</v>
      </c>
      <c r="B191" s="8">
        <v>63660527</v>
      </c>
      <c r="C191" s="8">
        <v>3183705</v>
      </c>
      <c r="D191" s="8">
        <v>2300819</v>
      </c>
      <c r="E191" s="8"/>
      <c r="F191" s="8"/>
      <c r="G191" s="8"/>
      <c r="H191" s="8">
        <v>62295559</v>
      </c>
      <c r="I191" s="8">
        <v>3104924</v>
      </c>
      <c r="J191" s="8">
        <v>2093530</v>
      </c>
      <c r="K191" s="10">
        <v>49.2</v>
      </c>
      <c r="L191" s="10">
        <v>36.1</v>
      </c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D191" s="23">
        <f>SUM(AD85:AD190)</f>
        <v>63622668</v>
      </c>
      <c r="AE191" s="23">
        <f>SUM(AE85:AE190)</f>
        <v>3134610</v>
      </c>
      <c r="AF191" s="23">
        <f>SUM(AF85:AF190)</f>
        <v>2300674</v>
      </c>
      <c r="AH191" s="23">
        <f t="shared" ref="AH191:AJ192" si="5">AD191-B191</f>
        <v>-37859</v>
      </c>
      <c r="AI191" s="23">
        <f t="shared" si="5"/>
        <v>-49095</v>
      </c>
      <c r="AJ191" s="23">
        <f t="shared" si="5"/>
        <v>-145</v>
      </c>
      <c r="AL191" s="24">
        <f>C191/B191*1000</f>
        <v>50.01066045211973</v>
      </c>
      <c r="AM191" s="24">
        <f>D191/B191*1000</f>
        <v>36.142003662646403</v>
      </c>
      <c r="AO191" s="24">
        <f>AL191-K191</f>
        <v>0.81066045211972693</v>
      </c>
      <c r="AP191" s="24">
        <f>AM191-L191</f>
        <v>4.2003662646401096E-2</v>
      </c>
    </row>
    <row r="192" spans="1:42" x14ac:dyDescent="0.55000000000000004">
      <c r="A192" s="4" t="s">
        <v>195</v>
      </c>
      <c r="B192" s="5">
        <v>2006157</v>
      </c>
      <c r="C192" s="5">
        <v>117336</v>
      </c>
      <c r="D192" s="5">
        <v>74030</v>
      </c>
      <c r="E192" s="5">
        <v>148764</v>
      </c>
      <c r="F192" s="5">
        <v>7950</v>
      </c>
      <c r="G192" s="5">
        <v>5886</v>
      </c>
      <c r="H192" s="5">
        <v>1787866</v>
      </c>
      <c r="I192" s="5">
        <v>99780</v>
      </c>
      <c r="J192" s="5">
        <v>66191</v>
      </c>
      <c r="K192" s="14">
        <v>58.5</v>
      </c>
      <c r="L192" s="14">
        <v>36.9</v>
      </c>
      <c r="N192" s="5">
        <v>126024</v>
      </c>
      <c r="O192" s="5">
        <v>209560</v>
      </c>
      <c r="P192" s="5">
        <v>191144</v>
      </c>
      <c r="Q192" s="5">
        <v>393315</v>
      </c>
      <c r="R192" s="5">
        <v>274274</v>
      </c>
      <c r="S192" s="5">
        <v>58586</v>
      </c>
      <c r="T192" s="5">
        <v>350533</v>
      </c>
      <c r="U192" s="5">
        <v>196258</v>
      </c>
      <c r="V192" s="5">
        <v>206463</v>
      </c>
      <c r="W192" s="5"/>
      <c r="X192" s="5"/>
      <c r="Y192" s="5"/>
      <c r="Z192" s="5"/>
      <c r="AA192" s="5"/>
      <c r="AB192" s="5"/>
      <c r="AD192" s="15">
        <f>SUM(N192:AB192)</f>
        <v>2006157</v>
      </c>
      <c r="AE192" s="15">
        <f>SUM(N193:AB193)</f>
        <v>117336</v>
      </c>
      <c r="AF192" s="15">
        <f>SUM(N194:AB194)</f>
        <v>74030</v>
      </c>
      <c r="AH192" s="15">
        <f t="shared" si="5"/>
        <v>0</v>
      </c>
      <c r="AI192" s="15">
        <f t="shared" si="5"/>
        <v>0</v>
      </c>
      <c r="AJ192" s="15">
        <f t="shared" si="5"/>
        <v>0</v>
      </c>
      <c r="AL192" s="17">
        <f>C192/B192*1000</f>
        <v>58.487944861743124</v>
      </c>
      <c r="AM192" s="17">
        <f>D192/B192*1000</f>
        <v>36.901399043045984</v>
      </c>
      <c r="AO192" s="17">
        <f>AL192-K192</f>
        <v>-1.2055138256876319E-2</v>
      </c>
      <c r="AP192" s="17">
        <f>AM192-L192</f>
        <v>1.3990430459855929E-3</v>
      </c>
    </row>
    <row r="193" spans="1:42" x14ac:dyDescent="0.55000000000000004">
      <c r="A193" s="2" t="s">
        <v>196</v>
      </c>
      <c r="B193" s="3"/>
      <c r="C193" s="3"/>
      <c r="D193" s="3"/>
      <c r="E193" s="3"/>
      <c r="F193" s="3"/>
      <c r="G193" s="3"/>
      <c r="H193" s="3"/>
      <c r="I193" s="3"/>
      <c r="J193" s="3"/>
      <c r="K193" s="1"/>
      <c r="L193" s="1"/>
      <c r="N193" s="3">
        <v>11254</v>
      </c>
      <c r="O193" s="3">
        <v>12974</v>
      </c>
      <c r="P193" s="3">
        <v>9263</v>
      </c>
      <c r="Q193" s="3">
        <v>23104</v>
      </c>
      <c r="R193" s="3">
        <v>17349</v>
      </c>
      <c r="S193" s="3">
        <v>2538</v>
      </c>
      <c r="T193" s="3">
        <v>17922</v>
      </c>
      <c r="U193" s="3">
        <v>10279</v>
      </c>
      <c r="V193" s="3">
        <v>12653</v>
      </c>
      <c r="W193" s="3"/>
      <c r="X193" s="3"/>
      <c r="Y193" s="3"/>
      <c r="Z193" s="3"/>
      <c r="AA193" s="3"/>
      <c r="AB193" s="3"/>
    </row>
    <row r="194" spans="1:42" x14ac:dyDescent="0.55000000000000004">
      <c r="A194" s="2" t="s">
        <v>197</v>
      </c>
      <c r="B194" s="3"/>
      <c r="C194" s="3"/>
      <c r="D194" s="3"/>
      <c r="E194" s="3"/>
      <c r="F194" s="3"/>
      <c r="G194" s="3"/>
      <c r="H194" s="3"/>
      <c r="I194" s="3"/>
      <c r="J194" s="3"/>
      <c r="K194" s="1"/>
      <c r="L194" s="1"/>
      <c r="N194" s="3">
        <v>8311</v>
      </c>
      <c r="O194" s="3">
        <v>6710</v>
      </c>
      <c r="P194" s="3">
        <v>4540</v>
      </c>
      <c r="Q194" s="3">
        <v>14299</v>
      </c>
      <c r="R194" s="3">
        <v>13878</v>
      </c>
      <c r="S194" s="3">
        <v>1820</v>
      </c>
      <c r="T194" s="3">
        <v>11246</v>
      </c>
      <c r="U194" s="3">
        <v>5771</v>
      </c>
      <c r="V194" s="3">
        <v>7455</v>
      </c>
      <c r="W194" s="3"/>
      <c r="X194" s="3"/>
      <c r="Y194" s="3"/>
      <c r="Z194" s="3"/>
      <c r="AA194" s="3"/>
      <c r="AB194" s="3"/>
    </row>
    <row r="195" spans="1:42" x14ac:dyDescent="0.55000000000000004">
      <c r="A195" s="7" t="s">
        <v>198</v>
      </c>
      <c r="B195" s="8">
        <v>96009426</v>
      </c>
      <c r="C195" s="8">
        <v>4350873</v>
      </c>
      <c r="D195" s="8">
        <v>3206506</v>
      </c>
      <c r="E195" s="8"/>
      <c r="F195" s="8"/>
      <c r="G195" s="8"/>
      <c r="H195" s="8">
        <v>93555763</v>
      </c>
      <c r="I195" s="8">
        <v>4475340</v>
      </c>
      <c r="J195" s="8">
        <v>2951810</v>
      </c>
      <c r="K195" s="10">
        <v>47.7</v>
      </c>
      <c r="L195" s="10">
        <v>33.4</v>
      </c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D195" s="23">
        <f>AD191+AD84+AD74+AD42+AD192</f>
        <v>95971567</v>
      </c>
      <c r="AE195" s="23">
        <f>AE191+AE84+AE74+AE42+AE192</f>
        <v>4572778</v>
      </c>
      <c r="AF195" s="23">
        <f>AF191+AF84+AF74+AF42+AF192</f>
        <v>3206261</v>
      </c>
      <c r="AH195" s="23">
        <f t="shared" ref="AH195:AJ196" si="6">AD195-B195</f>
        <v>-37859</v>
      </c>
      <c r="AI195" s="23">
        <f t="shared" si="6"/>
        <v>221905</v>
      </c>
      <c r="AJ195" s="23">
        <f t="shared" si="6"/>
        <v>-245</v>
      </c>
      <c r="AL195" s="24">
        <f>C195/B195*1000</f>
        <v>45.317144172906524</v>
      </c>
      <c r="AM195" s="24">
        <f>D195/B195*1000</f>
        <v>33.397824917732557</v>
      </c>
      <c r="AO195" s="24">
        <f>AL195-K195</f>
        <v>-2.3828558270934792</v>
      </c>
      <c r="AP195" s="24">
        <f>AM195-L195</f>
        <v>-2.1750822674420078E-3</v>
      </c>
    </row>
    <row r="196" spans="1:42" x14ac:dyDescent="0.55000000000000004">
      <c r="A196" s="4" t="s">
        <v>199</v>
      </c>
      <c r="B196" s="5">
        <v>797329</v>
      </c>
      <c r="C196" s="5">
        <v>16790</v>
      </c>
      <c r="D196" s="5">
        <v>14838</v>
      </c>
      <c r="E196" s="5">
        <v>146882</v>
      </c>
      <c r="F196" s="5">
        <v>2743</v>
      </c>
      <c r="G196" s="5">
        <v>2358</v>
      </c>
      <c r="H196" s="5">
        <v>747044</v>
      </c>
      <c r="I196" s="5">
        <v>18254</v>
      </c>
      <c r="J196" s="5">
        <v>14288</v>
      </c>
      <c r="K196" s="14">
        <v>21.1</v>
      </c>
      <c r="L196" s="14">
        <v>18.600000000000001</v>
      </c>
      <c r="N196" s="5">
        <v>142137</v>
      </c>
      <c r="O196" s="5">
        <v>76889</v>
      </c>
      <c r="P196" s="5">
        <v>104166</v>
      </c>
      <c r="Q196" s="5">
        <v>197181</v>
      </c>
      <c r="R196" s="5">
        <v>130014</v>
      </c>
      <c r="S196" s="5">
        <v>134906</v>
      </c>
      <c r="T196" s="5">
        <v>12036</v>
      </c>
      <c r="U196" s="5"/>
      <c r="V196" s="5"/>
      <c r="W196" s="5"/>
      <c r="X196" s="5"/>
      <c r="Y196" s="5"/>
      <c r="Z196" s="5"/>
      <c r="AA196" s="5"/>
      <c r="AB196" s="5"/>
      <c r="AD196" s="15">
        <f>SUM(N196:AB196)</f>
        <v>797329</v>
      </c>
      <c r="AE196" s="15">
        <f>SUM(N197:AB197)</f>
        <v>16790</v>
      </c>
      <c r="AF196" s="15">
        <f>SUM(N198:AB198)</f>
        <v>14838</v>
      </c>
      <c r="AH196" s="15">
        <f t="shared" si="6"/>
        <v>0</v>
      </c>
      <c r="AI196" s="15">
        <f t="shared" si="6"/>
        <v>0</v>
      </c>
      <c r="AJ196" s="15">
        <f t="shared" si="6"/>
        <v>0</v>
      </c>
      <c r="AL196" s="17">
        <f>C196/B196*1000</f>
        <v>21.057806752294223</v>
      </c>
      <c r="AM196" s="17">
        <f>D196/B196*1000</f>
        <v>18.609632911884553</v>
      </c>
      <c r="AO196" s="17">
        <f>AL196-K196</f>
        <v>-4.2193247705778703E-2</v>
      </c>
      <c r="AP196" s="17">
        <f>AM196-L196</f>
        <v>9.6329118845517314E-3</v>
      </c>
    </row>
    <row r="197" spans="1:42" x14ac:dyDescent="0.55000000000000004">
      <c r="A197" s="2" t="s">
        <v>200</v>
      </c>
      <c r="B197" s="3"/>
      <c r="C197" s="3"/>
      <c r="D197" s="3"/>
      <c r="E197" s="3"/>
      <c r="F197" s="3"/>
      <c r="G197" s="3"/>
      <c r="H197" s="3"/>
      <c r="I197" s="3"/>
      <c r="J197" s="3"/>
      <c r="K197" s="1"/>
      <c r="L197" s="1"/>
      <c r="N197" s="3">
        <v>2133</v>
      </c>
      <c r="O197" s="3">
        <v>2693</v>
      </c>
      <c r="P197" s="3">
        <v>2176</v>
      </c>
      <c r="Q197" s="3">
        <v>4134</v>
      </c>
      <c r="R197" s="3">
        <v>3523</v>
      </c>
      <c r="S197" s="3">
        <v>1723</v>
      </c>
      <c r="T197" s="3">
        <v>408</v>
      </c>
      <c r="U197" s="3"/>
      <c r="V197" s="3"/>
      <c r="W197" s="3"/>
      <c r="X197" s="3"/>
      <c r="Y197" s="3"/>
      <c r="Z197" s="3"/>
      <c r="AA197" s="3"/>
      <c r="AB197" s="3"/>
    </row>
    <row r="198" spans="1:42" x14ac:dyDescent="0.55000000000000004">
      <c r="A198" s="2" t="s">
        <v>201</v>
      </c>
      <c r="B198" s="3"/>
      <c r="C198" s="3"/>
      <c r="D198" s="3"/>
      <c r="E198" s="3"/>
      <c r="F198" s="3"/>
      <c r="G198" s="3"/>
      <c r="H198" s="3"/>
      <c r="I198" s="3"/>
      <c r="J198" s="3"/>
      <c r="K198" s="1"/>
      <c r="L198" s="1"/>
      <c r="N198" s="3">
        <v>1892</v>
      </c>
      <c r="O198" s="3">
        <v>2252</v>
      </c>
      <c r="P198" s="3">
        <v>2167</v>
      </c>
      <c r="Q198" s="3">
        <v>3990</v>
      </c>
      <c r="R198" s="3">
        <v>3403</v>
      </c>
      <c r="S198" s="3">
        <v>733</v>
      </c>
      <c r="T198" s="3">
        <v>401</v>
      </c>
      <c r="U198" s="3"/>
      <c r="V198" s="3"/>
      <c r="W198" s="3"/>
      <c r="X198" s="3"/>
      <c r="Y198" s="3"/>
      <c r="Z198" s="3"/>
      <c r="AA198" s="3"/>
      <c r="AB198" s="3"/>
    </row>
    <row r="199" spans="1:42" x14ac:dyDescent="0.55000000000000004">
      <c r="A199" s="4" t="s">
        <v>202</v>
      </c>
      <c r="B199" s="5">
        <v>647493</v>
      </c>
      <c r="C199" s="5">
        <v>12303</v>
      </c>
      <c r="D199" s="5">
        <v>10612</v>
      </c>
      <c r="E199" s="9" t="s">
        <v>14</v>
      </c>
      <c r="F199" s="9" t="s">
        <v>14</v>
      </c>
      <c r="G199" s="9" t="s">
        <v>14</v>
      </c>
      <c r="H199" s="5">
        <v>599493</v>
      </c>
      <c r="I199" s="5">
        <v>13572</v>
      </c>
      <c r="J199" s="5">
        <v>12088</v>
      </c>
      <c r="K199" s="14">
        <v>24.2</v>
      </c>
      <c r="L199" s="14">
        <v>20.9</v>
      </c>
      <c r="N199" s="5">
        <v>35167</v>
      </c>
      <c r="O199" s="5">
        <v>47867</v>
      </c>
      <c r="P199" s="5">
        <v>59905</v>
      </c>
      <c r="Q199" s="5">
        <v>80549</v>
      </c>
      <c r="R199" s="5">
        <v>72703</v>
      </c>
      <c r="S199" s="5">
        <v>77704</v>
      </c>
      <c r="T199" s="5">
        <v>51880</v>
      </c>
      <c r="U199" s="5">
        <v>79887</v>
      </c>
      <c r="V199" s="5">
        <v>66800</v>
      </c>
      <c r="W199" s="5">
        <v>75031</v>
      </c>
      <c r="X199" s="5"/>
      <c r="Y199" s="5"/>
      <c r="Z199" s="5"/>
      <c r="AA199" s="5"/>
      <c r="AB199" s="5"/>
      <c r="AD199" s="15">
        <f>SUM(N199:AB199)</f>
        <v>647493</v>
      </c>
      <c r="AE199" s="15">
        <f>SUM(N200:AB200)</f>
        <v>12303</v>
      </c>
      <c r="AF199" s="15">
        <f>SUM(N201:AB201)</f>
        <v>10612</v>
      </c>
      <c r="AH199" s="15">
        <f>AD199-B199</f>
        <v>0</v>
      </c>
      <c r="AI199" s="15">
        <f>AE199-C199</f>
        <v>0</v>
      </c>
      <c r="AJ199" s="15">
        <f>AF199-D199</f>
        <v>0</v>
      </c>
      <c r="AL199" s="17">
        <f>C199/B199*1000</f>
        <v>19.000977616746436</v>
      </c>
      <c r="AM199" s="17">
        <f>D199/B199*1000</f>
        <v>16.389366371528343</v>
      </c>
      <c r="AO199" s="17">
        <f>AL199-K199</f>
        <v>-5.1990223832535634</v>
      </c>
      <c r="AP199" s="17">
        <f>AM199-L199</f>
        <v>-4.5106336284716555</v>
      </c>
    </row>
    <row r="200" spans="1:42" x14ac:dyDescent="0.55000000000000004">
      <c r="A200" s="2" t="s">
        <v>203</v>
      </c>
      <c r="B200" s="3"/>
      <c r="C200" s="3"/>
      <c r="D200" s="3"/>
      <c r="E200" s="3"/>
      <c r="F200" s="3"/>
      <c r="G200" s="3"/>
      <c r="H200" s="3"/>
      <c r="I200" s="3"/>
      <c r="J200" s="3"/>
      <c r="K200" s="1"/>
      <c r="L200" s="1"/>
      <c r="N200" s="3">
        <v>690</v>
      </c>
      <c r="O200" s="3">
        <v>1391</v>
      </c>
      <c r="P200" s="3">
        <v>1231</v>
      </c>
      <c r="Q200" s="3">
        <v>1423</v>
      </c>
      <c r="R200" s="6" t="s">
        <v>14</v>
      </c>
      <c r="S200" s="3">
        <v>1951</v>
      </c>
      <c r="T200" s="3">
        <v>1211</v>
      </c>
      <c r="U200" s="3">
        <v>2835</v>
      </c>
      <c r="V200" s="6" t="s">
        <v>14</v>
      </c>
      <c r="W200" s="3">
        <v>1571</v>
      </c>
      <c r="X200" s="3"/>
      <c r="Y200" s="3"/>
      <c r="Z200" s="3"/>
      <c r="AA200" s="3"/>
      <c r="AB200" s="3"/>
    </row>
    <row r="201" spans="1:42" x14ac:dyDescent="0.55000000000000004">
      <c r="A201" s="2" t="s">
        <v>204</v>
      </c>
      <c r="B201" s="3"/>
      <c r="C201" s="3"/>
      <c r="D201" s="3"/>
      <c r="E201" s="3"/>
      <c r="F201" s="3"/>
      <c r="G201" s="3"/>
      <c r="H201" s="3"/>
      <c r="I201" s="3"/>
      <c r="J201" s="3"/>
      <c r="K201" s="1"/>
      <c r="L201" s="1"/>
      <c r="N201" s="3">
        <v>610</v>
      </c>
      <c r="O201" s="3">
        <v>1018</v>
      </c>
      <c r="P201" s="3">
        <v>875</v>
      </c>
      <c r="Q201" s="3">
        <v>1315</v>
      </c>
      <c r="R201" s="6" t="s">
        <v>14</v>
      </c>
      <c r="S201" s="3">
        <v>1511</v>
      </c>
      <c r="T201" s="3">
        <v>1036</v>
      </c>
      <c r="U201" s="3">
        <v>2415</v>
      </c>
      <c r="V201" s="6" t="s">
        <v>14</v>
      </c>
      <c r="W201" s="3">
        <v>1832</v>
      </c>
      <c r="X201" s="3"/>
      <c r="Y201" s="3"/>
      <c r="Z201" s="3"/>
      <c r="AA201" s="3"/>
      <c r="AB201" s="3"/>
    </row>
    <row r="202" spans="1:42" x14ac:dyDescent="0.55000000000000004">
      <c r="A202" s="4" t="s">
        <v>205</v>
      </c>
      <c r="B202" s="5">
        <v>764434</v>
      </c>
      <c r="C202" s="5">
        <v>20781</v>
      </c>
      <c r="D202" s="5">
        <v>12804</v>
      </c>
      <c r="E202" s="5">
        <v>74955</v>
      </c>
      <c r="F202" s="5">
        <v>3105</v>
      </c>
      <c r="G202" s="5">
        <v>2330</v>
      </c>
      <c r="H202" s="5">
        <v>754113</v>
      </c>
      <c r="I202" s="5">
        <v>19586</v>
      </c>
      <c r="J202" s="5">
        <v>13455</v>
      </c>
      <c r="K202" s="14">
        <v>27.2</v>
      </c>
      <c r="L202" s="14">
        <v>16.7</v>
      </c>
      <c r="N202" s="5">
        <v>128706</v>
      </c>
      <c r="O202" s="5">
        <v>56716</v>
      </c>
      <c r="P202" s="5">
        <v>49267</v>
      </c>
      <c r="Q202" s="5">
        <v>57340</v>
      </c>
      <c r="R202" s="5">
        <v>127855</v>
      </c>
      <c r="S202" s="5">
        <v>87677</v>
      </c>
      <c r="T202" s="5">
        <v>117023</v>
      </c>
      <c r="U202" s="5">
        <v>139850</v>
      </c>
      <c r="V202" s="5"/>
      <c r="W202" s="5"/>
      <c r="X202" s="5"/>
      <c r="Y202" s="5"/>
      <c r="Z202" s="5"/>
      <c r="AA202" s="5"/>
      <c r="AB202" s="5"/>
      <c r="AD202" s="15">
        <f>SUM(N202:AB202)</f>
        <v>764434</v>
      </c>
      <c r="AE202" s="15">
        <f>SUM(N203:AB203)</f>
        <v>20781</v>
      </c>
      <c r="AF202" s="15">
        <f>SUM(N204:AB204)</f>
        <v>12804</v>
      </c>
      <c r="AH202" s="15">
        <f>AD202-B202</f>
        <v>0</v>
      </c>
      <c r="AI202" s="15">
        <f>AE202-C202</f>
        <v>0</v>
      </c>
      <c r="AJ202" s="15">
        <f>AF202-D202</f>
        <v>0</v>
      </c>
      <c r="AL202" s="17">
        <f>C202/B202*1000</f>
        <v>27.184819094912054</v>
      </c>
      <c r="AM202" s="17">
        <f>D202/B202*1000</f>
        <v>16.749647451578554</v>
      </c>
      <c r="AO202" s="17">
        <f>AL202-K202</f>
        <v>-1.5180905087945007E-2</v>
      </c>
      <c r="AP202" s="17">
        <f>AM202-L202</f>
        <v>4.9647451578554325E-2</v>
      </c>
    </row>
    <row r="203" spans="1:42" x14ac:dyDescent="0.55000000000000004">
      <c r="A203" s="2" t="s">
        <v>206</v>
      </c>
      <c r="B203" s="3"/>
      <c r="C203" s="3"/>
      <c r="D203" s="3"/>
      <c r="E203" s="3"/>
      <c r="F203" s="3"/>
      <c r="G203" s="3"/>
      <c r="H203" s="3"/>
      <c r="I203" s="3"/>
      <c r="J203" s="3"/>
      <c r="K203" s="1"/>
      <c r="L203" s="1"/>
      <c r="N203" s="3">
        <v>3302</v>
      </c>
      <c r="O203" s="3">
        <v>1772</v>
      </c>
      <c r="P203" s="3">
        <v>1086</v>
      </c>
      <c r="Q203" s="3">
        <v>982</v>
      </c>
      <c r="R203" s="3">
        <v>2916</v>
      </c>
      <c r="S203" s="3">
        <v>3162</v>
      </c>
      <c r="T203" s="3">
        <v>3958</v>
      </c>
      <c r="U203" s="3">
        <v>3603</v>
      </c>
      <c r="V203" s="3"/>
      <c r="W203" s="3"/>
      <c r="X203" s="3"/>
      <c r="Y203" s="3"/>
      <c r="Z203" s="3"/>
      <c r="AA203" s="3"/>
      <c r="AB203" s="3"/>
    </row>
    <row r="204" spans="1:42" x14ac:dyDescent="0.55000000000000004">
      <c r="A204" s="2" t="s">
        <v>207</v>
      </c>
      <c r="B204" s="3"/>
      <c r="C204" s="3"/>
      <c r="D204" s="3"/>
      <c r="E204" s="3"/>
      <c r="F204" s="3"/>
      <c r="G204" s="3"/>
      <c r="H204" s="3"/>
      <c r="I204" s="3"/>
      <c r="J204" s="3"/>
      <c r="K204" s="1"/>
      <c r="L204" s="1"/>
      <c r="N204" s="3">
        <v>1981</v>
      </c>
      <c r="O204" s="3">
        <v>1240</v>
      </c>
      <c r="P204" s="3">
        <v>654</v>
      </c>
      <c r="Q204" s="3">
        <v>612</v>
      </c>
      <c r="R204" s="3">
        <v>1407</v>
      </c>
      <c r="S204" s="3">
        <v>1391</v>
      </c>
      <c r="T204" s="3">
        <v>3003</v>
      </c>
      <c r="U204" s="3">
        <v>2516</v>
      </c>
      <c r="V204" s="3"/>
      <c r="W204" s="3"/>
      <c r="X204" s="3"/>
      <c r="Y204" s="3"/>
      <c r="Z204" s="3"/>
      <c r="AA204" s="3"/>
      <c r="AB204" s="3"/>
    </row>
    <row r="205" spans="1:42" x14ac:dyDescent="0.55000000000000004">
      <c r="A205" s="4" t="s">
        <v>208</v>
      </c>
      <c r="B205" s="5">
        <v>237114</v>
      </c>
      <c r="C205" s="9" t="s">
        <v>14</v>
      </c>
      <c r="D205" s="9" t="s">
        <v>14</v>
      </c>
      <c r="E205" s="5"/>
      <c r="F205" s="5"/>
      <c r="G205" s="5"/>
      <c r="H205" s="9" t="s">
        <v>14</v>
      </c>
      <c r="I205" s="9" t="s">
        <v>14</v>
      </c>
      <c r="J205" s="9" t="s">
        <v>14</v>
      </c>
      <c r="K205" s="14" t="s">
        <v>14</v>
      </c>
      <c r="L205" s="14" t="s">
        <v>14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D205" s="15">
        <f>B205</f>
        <v>237114</v>
      </c>
      <c r="AE205" s="21" t="str">
        <f>C205</f>
        <v>—</v>
      </c>
      <c r="AF205" s="21" t="str">
        <f>D205</f>
        <v>—</v>
      </c>
      <c r="AG205" s="18"/>
      <c r="AH205" s="18"/>
      <c r="AI205" s="18"/>
      <c r="AJ205" s="18"/>
      <c r="AL205" s="17"/>
      <c r="AM205" s="17"/>
      <c r="AO205" s="17"/>
      <c r="AP205" s="17"/>
    </row>
    <row r="206" spans="1:42" x14ac:dyDescent="0.55000000000000004">
      <c r="A206" s="4" t="s">
        <v>209</v>
      </c>
      <c r="B206" s="5">
        <v>1398112</v>
      </c>
      <c r="C206" s="5">
        <v>84968</v>
      </c>
      <c r="D206" s="5">
        <v>56273</v>
      </c>
      <c r="E206" s="5">
        <v>142542</v>
      </c>
      <c r="F206" s="5">
        <v>7484</v>
      </c>
      <c r="G206" s="5">
        <v>6027</v>
      </c>
      <c r="H206" s="5">
        <v>1330498</v>
      </c>
      <c r="I206" s="5">
        <v>82717</v>
      </c>
      <c r="J206" s="5">
        <v>54520</v>
      </c>
      <c r="K206" s="14">
        <v>60.8</v>
      </c>
      <c r="L206" s="14">
        <v>40.299999999999997</v>
      </c>
      <c r="N206" s="5">
        <v>177612</v>
      </c>
      <c r="O206" s="5">
        <v>163304</v>
      </c>
      <c r="P206" s="5">
        <v>222025</v>
      </c>
      <c r="Q206" s="5">
        <v>178510</v>
      </c>
      <c r="R206" s="5">
        <v>239814</v>
      </c>
      <c r="S206" s="5">
        <v>146559</v>
      </c>
      <c r="T206" s="5">
        <v>239889</v>
      </c>
      <c r="U206" s="5">
        <v>30399</v>
      </c>
      <c r="V206" s="5"/>
      <c r="W206" s="5"/>
      <c r="X206" s="5"/>
      <c r="Y206" s="5"/>
      <c r="Z206" s="5"/>
      <c r="AA206" s="5"/>
      <c r="AB206" s="5"/>
      <c r="AD206" s="15">
        <f>SUM(N206:AB206)</f>
        <v>1398112</v>
      </c>
      <c r="AE206" s="15">
        <f>SUM(N207:AB207)</f>
        <v>84968</v>
      </c>
      <c r="AF206" s="15">
        <f>SUM(N208:AB208)</f>
        <v>56274</v>
      </c>
      <c r="AH206" s="15">
        <f>AD206-B206</f>
        <v>0</v>
      </c>
      <c r="AI206" s="15">
        <f>AE206-C206</f>
        <v>0</v>
      </c>
      <c r="AJ206" s="15">
        <f>AF206-D206</f>
        <v>1</v>
      </c>
      <c r="AL206" s="17">
        <f>C206/B206*1000</f>
        <v>60.773385823167239</v>
      </c>
      <c r="AM206" s="17">
        <f>D206/B206*1000</f>
        <v>40.249279027717378</v>
      </c>
      <c r="AO206" s="17">
        <f>AL206-K206</f>
        <v>-2.6614176832758574E-2</v>
      </c>
      <c r="AP206" s="17">
        <f>AM206-L206</f>
        <v>-5.0720972282618959E-2</v>
      </c>
    </row>
    <row r="207" spans="1:42" x14ac:dyDescent="0.55000000000000004">
      <c r="A207" s="2" t="s">
        <v>210</v>
      </c>
      <c r="B207" s="3"/>
      <c r="C207" s="3"/>
      <c r="D207" s="3"/>
      <c r="E207" s="3"/>
      <c r="F207" s="3"/>
      <c r="G207" s="3"/>
      <c r="H207" s="3"/>
      <c r="I207" s="3"/>
      <c r="J207" s="3"/>
      <c r="K207" s="1"/>
      <c r="L207" s="1"/>
      <c r="N207" s="3">
        <v>11194</v>
      </c>
      <c r="O207" s="3">
        <v>10763</v>
      </c>
      <c r="P207" s="3">
        <v>14220</v>
      </c>
      <c r="Q207" s="3">
        <v>11547</v>
      </c>
      <c r="R207" s="3">
        <v>13766</v>
      </c>
      <c r="S207" s="3">
        <v>8478</v>
      </c>
      <c r="T207" s="3">
        <v>14067</v>
      </c>
      <c r="U207" s="3">
        <v>933</v>
      </c>
      <c r="V207" s="3"/>
      <c r="W207" s="3"/>
      <c r="X207" s="3"/>
      <c r="Y207" s="3"/>
      <c r="Z207" s="3"/>
      <c r="AA207" s="3"/>
      <c r="AB207" s="3"/>
    </row>
    <row r="208" spans="1:42" x14ac:dyDescent="0.55000000000000004">
      <c r="A208" s="2" t="s">
        <v>211</v>
      </c>
      <c r="B208" s="3"/>
      <c r="C208" s="3"/>
      <c r="D208" s="3"/>
      <c r="E208" s="3"/>
      <c r="F208" s="3"/>
      <c r="G208" s="3"/>
      <c r="H208" s="3"/>
      <c r="I208" s="3"/>
      <c r="J208" s="3"/>
      <c r="K208" s="1"/>
      <c r="L208" s="1"/>
      <c r="N208" s="3">
        <v>7130</v>
      </c>
      <c r="O208" s="3">
        <v>6793</v>
      </c>
      <c r="P208" s="3">
        <v>10508</v>
      </c>
      <c r="Q208" s="3">
        <v>7911</v>
      </c>
      <c r="R208" s="3">
        <v>9059</v>
      </c>
      <c r="S208" s="3">
        <v>5632</v>
      </c>
      <c r="T208" s="3">
        <v>8050</v>
      </c>
      <c r="U208" s="3">
        <v>1191</v>
      </c>
      <c r="V208" s="3"/>
      <c r="W208" s="3"/>
      <c r="X208" s="3"/>
      <c r="Y208" s="3"/>
      <c r="Z208" s="3"/>
      <c r="AA208" s="3"/>
      <c r="AB208" s="3"/>
    </row>
    <row r="209" spans="1:42" x14ac:dyDescent="0.55000000000000004">
      <c r="A209" s="4" t="s">
        <v>212</v>
      </c>
      <c r="B209" s="5">
        <v>948045</v>
      </c>
      <c r="C209" s="5">
        <v>28416</v>
      </c>
      <c r="D209" s="5">
        <v>16657</v>
      </c>
      <c r="E209" s="9" t="s">
        <v>14</v>
      </c>
      <c r="F209" s="9" t="s">
        <v>14</v>
      </c>
      <c r="G209" s="9" t="s">
        <v>14</v>
      </c>
      <c r="H209" s="5">
        <v>957357</v>
      </c>
      <c r="I209" s="5">
        <v>25486</v>
      </c>
      <c r="J209" s="5">
        <v>11374</v>
      </c>
      <c r="K209" s="14">
        <v>30</v>
      </c>
      <c r="L209" s="14">
        <v>17.600000000000001</v>
      </c>
      <c r="N209" s="5">
        <v>189924</v>
      </c>
      <c r="O209" s="5">
        <v>52810</v>
      </c>
      <c r="P209" s="5">
        <v>70315</v>
      </c>
      <c r="Q209" s="5">
        <v>111893</v>
      </c>
      <c r="R209" s="5">
        <v>46956</v>
      </c>
      <c r="S209" s="5">
        <v>84606</v>
      </c>
      <c r="T209" s="5">
        <v>69268</v>
      </c>
      <c r="U209" s="5">
        <v>96257</v>
      </c>
      <c r="V209" s="5">
        <v>76191</v>
      </c>
      <c r="W209" s="5">
        <v>149825</v>
      </c>
      <c r="X209" s="5"/>
      <c r="Y209" s="5"/>
      <c r="Z209" s="5"/>
      <c r="AA209" s="5"/>
      <c r="AB209" s="5"/>
      <c r="AD209" s="15">
        <f>SUM(N209:AB209)</f>
        <v>948045</v>
      </c>
      <c r="AE209" s="15">
        <f>SUM(N210:AB210)</f>
        <v>28416</v>
      </c>
      <c r="AF209" s="15">
        <f>SUM(N211:AB211)</f>
        <v>16657</v>
      </c>
      <c r="AH209" s="15">
        <f>AD209-B209</f>
        <v>0</v>
      </c>
      <c r="AI209" s="15">
        <f>AE209-C209</f>
        <v>0</v>
      </c>
      <c r="AJ209" s="15">
        <f>AF209-D209</f>
        <v>0</v>
      </c>
      <c r="AL209" s="17">
        <f>C209/B209*1000</f>
        <v>29.973260762938466</v>
      </c>
      <c r="AM209" s="17">
        <f>D209/B209*1000</f>
        <v>17.569841094040896</v>
      </c>
      <c r="AO209" s="17">
        <f>AL209-K209</f>
        <v>-2.6739237061534027E-2</v>
      </c>
      <c r="AP209" s="17">
        <f>AM209-L209</f>
        <v>-3.0158905959105198E-2</v>
      </c>
    </row>
    <row r="210" spans="1:42" x14ac:dyDescent="0.55000000000000004">
      <c r="A210" s="2" t="s">
        <v>213</v>
      </c>
      <c r="B210" s="3"/>
      <c r="C210" s="3"/>
      <c r="D210" s="3"/>
      <c r="E210" s="3"/>
      <c r="F210" s="3"/>
      <c r="G210" s="3"/>
      <c r="H210" s="3"/>
      <c r="I210" s="3"/>
      <c r="J210" s="3"/>
      <c r="K210" s="1"/>
      <c r="L210" s="1"/>
      <c r="N210" s="3">
        <v>7780</v>
      </c>
      <c r="O210" s="3">
        <v>1709</v>
      </c>
      <c r="P210" s="3">
        <v>1566</v>
      </c>
      <c r="Q210" s="3">
        <v>3229</v>
      </c>
      <c r="R210" s="3">
        <v>1693</v>
      </c>
      <c r="S210" s="3">
        <v>2647</v>
      </c>
      <c r="T210" s="3">
        <v>2660</v>
      </c>
      <c r="U210" s="3">
        <v>2508</v>
      </c>
      <c r="V210" s="3">
        <v>2265</v>
      </c>
      <c r="W210" s="3">
        <v>2359</v>
      </c>
      <c r="X210" s="3"/>
      <c r="Y210" s="3"/>
      <c r="Z210" s="3"/>
      <c r="AA210" s="3"/>
      <c r="AB210" s="3"/>
    </row>
    <row r="211" spans="1:42" x14ac:dyDescent="0.55000000000000004">
      <c r="A211" s="2" t="s">
        <v>214</v>
      </c>
      <c r="B211" s="3"/>
      <c r="C211" s="3"/>
      <c r="D211" s="3"/>
      <c r="E211" s="3"/>
      <c r="F211" s="3"/>
      <c r="G211" s="3"/>
      <c r="H211" s="3"/>
      <c r="I211" s="3"/>
      <c r="J211" s="3"/>
      <c r="K211" s="1"/>
      <c r="L211" s="1"/>
      <c r="N211" s="3">
        <v>3553</v>
      </c>
      <c r="O211" s="3">
        <v>884</v>
      </c>
      <c r="P211" s="3">
        <v>1268</v>
      </c>
      <c r="Q211" s="3">
        <v>1672</v>
      </c>
      <c r="R211" s="3">
        <v>917</v>
      </c>
      <c r="S211" s="3">
        <v>1272</v>
      </c>
      <c r="T211" s="3">
        <v>1243</v>
      </c>
      <c r="U211" s="3">
        <v>2279</v>
      </c>
      <c r="V211" s="3">
        <v>2032</v>
      </c>
      <c r="W211" s="3">
        <v>1537</v>
      </c>
      <c r="X211" s="3"/>
      <c r="Y211" s="3"/>
      <c r="Z211" s="3"/>
      <c r="AA211" s="3"/>
      <c r="AB211" s="3"/>
    </row>
    <row r="212" spans="1:42" x14ac:dyDescent="0.55000000000000004">
      <c r="A212" s="4" t="s">
        <v>215</v>
      </c>
      <c r="B212" s="5">
        <v>672358</v>
      </c>
      <c r="C212" s="5">
        <v>41233</v>
      </c>
      <c r="D212" s="5">
        <v>29882</v>
      </c>
      <c r="E212" s="9" t="s">
        <v>14</v>
      </c>
      <c r="F212" s="9" t="s">
        <v>14</v>
      </c>
      <c r="G212" s="9" t="s">
        <v>14</v>
      </c>
      <c r="H212" s="5">
        <v>669324</v>
      </c>
      <c r="I212" s="5">
        <v>40638</v>
      </c>
      <c r="J212" s="5">
        <v>26835</v>
      </c>
      <c r="K212" s="14">
        <v>61.1</v>
      </c>
      <c r="L212" s="14">
        <v>44.9</v>
      </c>
      <c r="N212" s="5">
        <v>132807</v>
      </c>
      <c r="O212" s="5">
        <v>136670</v>
      </c>
      <c r="P212" s="5">
        <v>165870</v>
      </c>
      <c r="Q212" s="5">
        <v>188679</v>
      </c>
      <c r="R212" s="5">
        <v>48332</v>
      </c>
      <c r="S212" s="5"/>
      <c r="T212" s="5"/>
      <c r="U212" s="5"/>
      <c r="V212" s="5"/>
      <c r="W212" s="5"/>
      <c r="X212" s="5"/>
      <c r="Y212" s="5"/>
      <c r="Z212" s="5"/>
      <c r="AA212" s="5"/>
      <c r="AB212" s="5"/>
      <c r="AD212" s="15">
        <f>SUM(N212:AB212)</f>
        <v>672358</v>
      </c>
      <c r="AE212" s="15">
        <f>SUM(N213:AB213)</f>
        <v>41233</v>
      </c>
      <c r="AF212" s="15">
        <f>SUM(N214:AB214)</f>
        <v>29872</v>
      </c>
      <c r="AH212" s="15">
        <f>AD212-B212</f>
        <v>0</v>
      </c>
      <c r="AI212" s="15">
        <f>AE212-C212</f>
        <v>0</v>
      </c>
      <c r="AJ212" s="15">
        <f>AF212-D212</f>
        <v>-10</v>
      </c>
      <c r="AL212" s="17">
        <f>C212/B212*1000</f>
        <v>61.325960277114277</v>
      </c>
      <c r="AM212" s="17">
        <f>D212/B212*1000</f>
        <v>44.443585113882783</v>
      </c>
      <c r="AO212" s="17">
        <f>AL212-K212</f>
        <v>0.22596027711427524</v>
      </c>
      <c r="AP212" s="17">
        <f>AM212-L212</f>
        <v>-0.4564148861172157</v>
      </c>
    </row>
    <row r="213" spans="1:42" x14ac:dyDescent="0.55000000000000004">
      <c r="A213" s="2" t="s">
        <v>216</v>
      </c>
      <c r="B213" s="3"/>
      <c r="C213" s="3"/>
      <c r="D213" s="3"/>
      <c r="E213" s="3"/>
      <c r="F213" s="3"/>
      <c r="G213" s="3"/>
      <c r="H213" s="3"/>
      <c r="I213" s="3"/>
      <c r="J213" s="3"/>
      <c r="K213" s="1"/>
      <c r="L213" s="1"/>
      <c r="N213" s="3">
        <v>7491</v>
      </c>
      <c r="O213" s="3">
        <v>8291</v>
      </c>
      <c r="P213" s="3">
        <v>11925</v>
      </c>
      <c r="Q213" s="3">
        <v>12381</v>
      </c>
      <c r="R213" s="3">
        <v>1145</v>
      </c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42" x14ac:dyDescent="0.55000000000000004">
      <c r="A214" s="2" t="s">
        <v>217</v>
      </c>
      <c r="B214" s="3"/>
      <c r="C214" s="3"/>
      <c r="D214" s="3"/>
      <c r="E214" s="3"/>
      <c r="F214" s="3"/>
      <c r="G214" s="3"/>
      <c r="H214" s="3"/>
      <c r="I214" s="3"/>
      <c r="J214" s="3"/>
      <c r="K214" s="1"/>
      <c r="L214" s="1"/>
      <c r="N214" s="3">
        <v>4567</v>
      </c>
      <c r="O214" s="3">
        <v>7225</v>
      </c>
      <c r="P214" s="3">
        <v>7517</v>
      </c>
      <c r="Q214" s="3">
        <v>9352</v>
      </c>
      <c r="R214" s="3">
        <v>1211</v>
      </c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42" x14ac:dyDescent="0.55000000000000004">
      <c r="A215" s="4" t="s">
        <v>218</v>
      </c>
      <c r="B215" s="5">
        <v>737556</v>
      </c>
      <c r="C215" s="5">
        <v>21510</v>
      </c>
      <c r="D215" s="5">
        <v>15212</v>
      </c>
      <c r="E215" s="5">
        <v>90367</v>
      </c>
      <c r="F215" s="5">
        <v>3357</v>
      </c>
      <c r="G215" s="5">
        <v>2271</v>
      </c>
      <c r="H215" s="5">
        <v>702808</v>
      </c>
      <c r="I215" s="5">
        <v>23250</v>
      </c>
      <c r="J215" s="5">
        <v>16597</v>
      </c>
      <c r="K215" s="14">
        <v>29.1</v>
      </c>
      <c r="L215" s="14">
        <v>20.6</v>
      </c>
      <c r="N215" s="5">
        <v>124740</v>
      </c>
      <c r="O215" s="5">
        <v>176138</v>
      </c>
      <c r="P215" s="5">
        <v>79515</v>
      </c>
      <c r="Q215" s="5">
        <v>92083</v>
      </c>
      <c r="R215" s="5">
        <v>109814</v>
      </c>
      <c r="S215" s="5">
        <v>96214</v>
      </c>
      <c r="T215" s="5">
        <v>59052</v>
      </c>
      <c r="U215" s="5"/>
      <c r="V215" s="5"/>
      <c r="W215" s="5"/>
      <c r="X215" s="5"/>
      <c r="Y215" s="5"/>
      <c r="Z215" s="5"/>
      <c r="AA215" s="5"/>
      <c r="AB215" s="5"/>
      <c r="AD215" s="15">
        <f>SUM(N215:AB215)</f>
        <v>737556</v>
      </c>
      <c r="AE215" s="15">
        <f>SUM(N216:AB216)</f>
        <v>21510</v>
      </c>
      <c r="AF215" s="15">
        <f>SUM(N217:AB217)</f>
        <v>15212</v>
      </c>
      <c r="AH215" s="15">
        <f>AD215-B215</f>
        <v>0</v>
      </c>
      <c r="AI215" s="15">
        <f>AE215-C215</f>
        <v>0</v>
      </c>
      <c r="AJ215" s="15">
        <f>AF215-D215</f>
        <v>0</v>
      </c>
      <c r="AL215" s="17">
        <f>C215/B215*1000</f>
        <v>29.163887216699479</v>
      </c>
      <c r="AM215" s="17">
        <f>D215/B215*1000</f>
        <v>20.624874585794164</v>
      </c>
      <c r="AO215" s="17">
        <f>AL215-K215</f>
        <v>6.3887216699477278E-2</v>
      </c>
      <c r="AP215" s="17">
        <f>AM215-L215</f>
        <v>2.487458579416213E-2</v>
      </c>
    </row>
    <row r="216" spans="1:42" x14ac:dyDescent="0.55000000000000004">
      <c r="A216" s="2" t="s">
        <v>219</v>
      </c>
      <c r="B216" s="3"/>
      <c r="C216" s="3"/>
      <c r="D216" s="3"/>
      <c r="E216" s="3"/>
      <c r="F216" s="3"/>
      <c r="G216" s="3"/>
      <c r="H216" s="3"/>
      <c r="I216" s="3"/>
      <c r="J216" s="3"/>
      <c r="K216" s="1"/>
      <c r="L216" s="1"/>
      <c r="N216" s="3">
        <v>3994</v>
      </c>
      <c r="O216" s="3">
        <v>2589</v>
      </c>
      <c r="P216" s="3">
        <v>2702</v>
      </c>
      <c r="Q216" s="3">
        <v>3421</v>
      </c>
      <c r="R216" s="3">
        <v>3629</v>
      </c>
      <c r="S216" s="3">
        <v>3672</v>
      </c>
      <c r="T216" s="3">
        <v>1503</v>
      </c>
      <c r="U216" s="3"/>
      <c r="V216" s="3"/>
      <c r="W216" s="3"/>
      <c r="X216" s="3"/>
      <c r="Y216" s="3"/>
      <c r="Z216" s="3"/>
      <c r="AA216" s="3"/>
      <c r="AB216" s="3"/>
    </row>
    <row r="217" spans="1:42" x14ac:dyDescent="0.55000000000000004">
      <c r="A217" s="2" t="s">
        <v>220</v>
      </c>
      <c r="B217" s="3"/>
      <c r="C217" s="3"/>
      <c r="D217" s="3"/>
      <c r="E217" s="3"/>
      <c r="F217" s="3"/>
      <c r="G217" s="3"/>
      <c r="H217" s="3"/>
      <c r="I217" s="3"/>
      <c r="J217" s="3"/>
      <c r="K217" s="1"/>
      <c r="L217" s="1"/>
      <c r="N217" s="3">
        <v>1705</v>
      </c>
      <c r="O217" s="3">
        <v>2255</v>
      </c>
      <c r="P217" s="3">
        <v>2269</v>
      </c>
      <c r="Q217" s="3">
        <v>2539</v>
      </c>
      <c r="R217" s="3">
        <v>2390</v>
      </c>
      <c r="S217" s="3">
        <v>2435</v>
      </c>
      <c r="T217" s="3">
        <v>1619</v>
      </c>
      <c r="U217" s="3"/>
      <c r="V217" s="3"/>
      <c r="W217" s="3"/>
      <c r="X217" s="3"/>
      <c r="Y217" s="3"/>
      <c r="Z217" s="3"/>
      <c r="AA217" s="3"/>
      <c r="AB217" s="3"/>
    </row>
    <row r="218" spans="1:42" x14ac:dyDescent="0.55000000000000004">
      <c r="A218" s="4" t="s">
        <v>221</v>
      </c>
      <c r="B218" s="5">
        <v>832384</v>
      </c>
      <c r="C218" s="5">
        <v>29708</v>
      </c>
      <c r="D218" s="5">
        <v>19179</v>
      </c>
      <c r="E218" s="5">
        <v>148213</v>
      </c>
      <c r="F218" s="5">
        <v>4899</v>
      </c>
      <c r="G218" s="5">
        <v>4059</v>
      </c>
      <c r="H218" s="5">
        <v>821268</v>
      </c>
      <c r="I218" s="5">
        <v>29229</v>
      </c>
      <c r="J218" s="5">
        <v>15702</v>
      </c>
      <c r="K218" s="14">
        <v>35.700000000000003</v>
      </c>
      <c r="L218" s="14">
        <v>23.1</v>
      </c>
      <c r="N218" s="5">
        <v>170299</v>
      </c>
      <c r="O218" s="5">
        <v>63799</v>
      </c>
      <c r="P218" s="28">
        <v>58791</v>
      </c>
      <c r="Q218" s="5">
        <v>101482</v>
      </c>
      <c r="R218" s="5">
        <v>177656</v>
      </c>
      <c r="S218" s="5">
        <v>70017</v>
      </c>
      <c r="T218" s="5">
        <v>89881</v>
      </c>
      <c r="U218" s="5">
        <v>65119</v>
      </c>
      <c r="V218" s="5">
        <v>35340</v>
      </c>
      <c r="W218" s="5"/>
      <c r="X218" s="5"/>
      <c r="Y218" s="5"/>
      <c r="Z218" s="5"/>
      <c r="AA218" s="5"/>
      <c r="AB218" s="5"/>
      <c r="AD218" s="15">
        <f>SUM(N218:AB218)</f>
        <v>832384</v>
      </c>
      <c r="AE218" s="15">
        <f>C218</f>
        <v>29708</v>
      </c>
      <c r="AF218" s="15">
        <f>D218</f>
        <v>19179</v>
      </c>
      <c r="AH218" s="15">
        <f>AD218-B218</f>
        <v>0</v>
      </c>
      <c r="AI218" s="15">
        <f>AE218-C218</f>
        <v>0</v>
      </c>
      <c r="AJ218" s="15">
        <f>AF218-D218</f>
        <v>0</v>
      </c>
      <c r="AL218" s="17">
        <f>C218/B218*1000</f>
        <v>35.690258342303551</v>
      </c>
      <c r="AM218" s="17">
        <f>D218/B218*1000</f>
        <v>23.041048362294326</v>
      </c>
      <c r="AO218" s="17">
        <f>AL218-K218</f>
        <v>-9.7416576964519663E-3</v>
      </c>
      <c r="AP218" s="17">
        <f>AM218-L218</f>
        <v>-5.8951637705675353E-2</v>
      </c>
    </row>
    <row r="219" spans="1:42" x14ac:dyDescent="0.55000000000000004">
      <c r="A219" s="2" t="s">
        <v>222</v>
      </c>
      <c r="B219" s="3"/>
      <c r="C219" s="3"/>
      <c r="D219" s="3"/>
      <c r="E219" s="3"/>
      <c r="F219" s="3"/>
      <c r="G219" s="3"/>
      <c r="H219" s="3"/>
      <c r="I219" s="3"/>
      <c r="J219" s="3"/>
      <c r="K219" s="1"/>
      <c r="L219" s="1"/>
      <c r="N219" s="6" t="s">
        <v>14</v>
      </c>
      <c r="O219" s="6" t="s">
        <v>14</v>
      </c>
      <c r="P219" s="6" t="s">
        <v>14</v>
      </c>
      <c r="Q219" s="6" t="s">
        <v>14</v>
      </c>
      <c r="R219" s="6" t="s">
        <v>14</v>
      </c>
      <c r="S219" s="6" t="s">
        <v>14</v>
      </c>
      <c r="T219" s="6" t="s">
        <v>14</v>
      </c>
      <c r="U219" s="6" t="s">
        <v>14</v>
      </c>
      <c r="V219" s="6" t="s">
        <v>14</v>
      </c>
      <c r="W219" s="3"/>
      <c r="X219" s="3"/>
      <c r="Y219" s="3"/>
      <c r="Z219" s="3"/>
      <c r="AA219" s="3"/>
      <c r="AB219" s="3"/>
    </row>
    <row r="220" spans="1:42" x14ac:dyDescent="0.55000000000000004">
      <c r="A220" s="2" t="s">
        <v>223</v>
      </c>
      <c r="B220" s="3"/>
      <c r="C220" s="3"/>
      <c r="D220" s="3"/>
      <c r="E220" s="3"/>
      <c r="F220" s="3"/>
      <c r="G220" s="3"/>
      <c r="H220" s="3"/>
      <c r="I220" s="3"/>
      <c r="J220" s="3"/>
      <c r="K220" s="1"/>
      <c r="L220" s="1"/>
      <c r="N220" s="6" t="s">
        <v>14</v>
      </c>
      <c r="O220" s="6" t="s">
        <v>14</v>
      </c>
      <c r="P220" s="6" t="s">
        <v>14</v>
      </c>
      <c r="Q220" s="6" t="s">
        <v>14</v>
      </c>
      <c r="R220" s="6" t="s">
        <v>14</v>
      </c>
      <c r="S220" s="6" t="s">
        <v>14</v>
      </c>
      <c r="T220" s="6" t="s">
        <v>14</v>
      </c>
      <c r="U220" s="6" t="s">
        <v>14</v>
      </c>
      <c r="V220" s="6" t="s">
        <v>14</v>
      </c>
      <c r="W220" s="3"/>
      <c r="X220" s="3"/>
      <c r="Y220" s="3"/>
      <c r="Z220" s="3"/>
      <c r="AA220" s="3"/>
      <c r="AB220" s="3"/>
    </row>
    <row r="221" spans="1:42" x14ac:dyDescent="0.55000000000000004">
      <c r="A221" s="4" t="s">
        <v>224</v>
      </c>
      <c r="B221" s="5">
        <v>677491</v>
      </c>
      <c r="C221" s="5">
        <v>23338</v>
      </c>
      <c r="D221" s="5">
        <v>16693</v>
      </c>
      <c r="E221" s="9" t="s">
        <v>14</v>
      </c>
      <c r="F221" s="9" t="s">
        <v>14</v>
      </c>
      <c r="G221" s="9" t="s">
        <v>14</v>
      </c>
      <c r="H221" s="5">
        <v>677245</v>
      </c>
      <c r="I221" s="9" t="s">
        <v>14</v>
      </c>
      <c r="J221" s="9" t="s">
        <v>14</v>
      </c>
      <c r="K221" s="14">
        <v>34.5</v>
      </c>
      <c r="L221" s="14">
        <v>24.7</v>
      </c>
      <c r="N221" s="9" t="s">
        <v>14</v>
      </c>
      <c r="O221" s="9" t="s">
        <v>14</v>
      </c>
      <c r="P221" s="9" t="s">
        <v>14</v>
      </c>
      <c r="Q221" s="9" t="s">
        <v>14</v>
      </c>
      <c r="R221" s="9" t="s">
        <v>14</v>
      </c>
      <c r="S221" s="9" t="s">
        <v>14</v>
      </c>
      <c r="T221" s="9" t="s">
        <v>14</v>
      </c>
      <c r="U221" s="5"/>
      <c r="V221" s="5"/>
      <c r="W221" s="5"/>
      <c r="X221" s="5"/>
      <c r="Y221" s="5"/>
      <c r="Z221" s="5"/>
      <c r="AA221" s="5"/>
      <c r="AB221" s="5"/>
      <c r="AD221" s="15">
        <f>B221</f>
        <v>677491</v>
      </c>
      <c r="AE221" s="15">
        <f>C221</f>
        <v>23338</v>
      </c>
      <c r="AF221" s="15">
        <f>D221</f>
        <v>16693</v>
      </c>
      <c r="AH221" s="15">
        <f>AD221-B221</f>
        <v>0</v>
      </c>
      <c r="AI221" s="15">
        <f>AE221-C221</f>
        <v>0</v>
      </c>
      <c r="AJ221" s="15">
        <f>AF221-D221</f>
        <v>0</v>
      </c>
      <c r="AL221" s="17">
        <f>C221/B221*1000</f>
        <v>34.447690080015825</v>
      </c>
      <c r="AM221" s="17">
        <f>D221/B221*1000</f>
        <v>24.639441704760653</v>
      </c>
      <c r="AO221" s="17">
        <f>AL221-K221</f>
        <v>-5.2309919984175224E-2</v>
      </c>
      <c r="AP221" s="17">
        <f>AM221-L221</f>
        <v>-6.0558295239346194E-2</v>
      </c>
    </row>
    <row r="222" spans="1:42" x14ac:dyDescent="0.55000000000000004">
      <c r="A222" s="2" t="s">
        <v>225</v>
      </c>
      <c r="B222" s="3"/>
      <c r="C222" s="3"/>
      <c r="D222" s="3"/>
      <c r="E222" s="3"/>
      <c r="F222" s="3"/>
      <c r="G222" s="3"/>
      <c r="H222" s="3"/>
      <c r="I222" s="3"/>
      <c r="J222" s="3"/>
      <c r="K222" s="1"/>
      <c r="L222" s="1"/>
      <c r="N222" s="3">
        <v>2644</v>
      </c>
      <c r="O222" s="3">
        <v>5865</v>
      </c>
      <c r="P222" s="3">
        <v>2007</v>
      </c>
      <c r="Q222" s="3">
        <v>5209</v>
      </c>
      <c r="R222" s="3">
        <v>2725</v>
      </c>
      <c r="S222" s="3">
        <v>1177</v>
      </c>
      <c r="T222" s="3">
        <v>3711</v>
      </c>
      <c r="U222" s="3"/>
      <c r="V222" s="3"/>
      <c r="W222" s="3"/>
      <c r="X222" s="3"/>
      <c r="Y222" s="3"/>
      <c r="Z222" s="3"/>
      <c r="AA222" s="3"/>
      <c r="AB222" s="3"/>
    </row>
    <row r="223" spans="1:42" x14ac:dyDescent="0.55000000000000004">
      <c r="A223" s="2" t="s">
        <v>226</v>
      </c>
      <c r="B223" s="3"/>
      <c r="C223" s="3"/>
      <c r="D223" s="3"/>
      <c r="E223" s="3"/>
      <c r="F223" s="3"/>
      <c r="G223" s="3"/>
      <c r="H223" s="3"/>
      <c r="I223" s="3"/>
      <c r="J223" s="3"/>
      <c r="K223" s="1"/>
      <c r="L223" s="1"/>
      <c r="N223" s="3">
        <v>2625</v>
      </c>
      <c r="O223" s="3">
        <v>3936</v>
      </c>
      <c r="P223" s="3">
        <v>1352</v>
      </c>
      <c r="Q223" s="3">
        <v>2340</v>
      </c>
      <c r="R223" s="3">
        <v>1917</v>
      </c>
      <c r="S223" s="3">
        <v>1335</v>
      </c>
      <c r="T223" s="3">
        <v>3188</v>
      </c>
      <c r="U223" s="3"/>
      <c r="V223" s="3"/>
      <c r="W223" s="3"/>
      <c r="X223" s="3"/>
      <c r="Y223" s="3"/>
      <c r="Z223" s="3"/>
      <c r="AA223" s="3"/>
      <c r="AB223" s="3"/>
    </row>
    <row r="224" spans="1:42" x14ac:dyDescent="0.55000000000000004">
      <c r="A224" s="7" t="s">
        <v>227</v>
      </c>
      <c r="B224" s="8">
        <v>7723316</v>
      </c>
      <c r="C224" s="8">
        <v>279047</v>
      </c>
      <c r="D224" s="8">
        <v>192150</v>
      </c>
      <c r="E224" s="8"/>
      <c r="F224" s="8"/>
      <c r="G224" s="8"/>
      <c r="H224" s="8">
        <v>7481517</v>
      </c>
      <c r="I224" s="8">
        <v>262779</v>
      </c>
      <c r="J224" s="8">
        <v>169931</v>
      </c>
      <c r="K224" s="10">
        <v>36</v>
      </c>
      <c r="L224" s="10">
        <v>25.7</v>
      </c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D224" s="23">
        <f>SUM(AD196:AD223)</f>
        <v>7712316</v>
      </c>
      <c r="AE224" s="23">
        <f>SUM(AE196:AE223)</f>
        <v>279047</v>
      </c>
      <c r="AF224" s="23">
        <f>SUM(AF196:AF223)</f>
        <v>192141</v>
      </c>
      <c r="AH224" s="23">
        <f>AD224-B224</f>
        <v>-11000</v>
      </c>
      <c r="AI224" s="23">
        <f>AE224-C224</f>
        <v>0</v>
      </c>
      <c r="AJ224" s="23">
        <f>AF224-D224</f>
        <v>-9</v>
      </c>
      <c r="AL224" s="24">
        <f>C224/B224*1000</f>
        <v>36.130465204324153</v>
      </c>
      <c r="AM224" s="24">
        <f>D224/B224*1000</f>
        <v>24.879209914497867</v>
      </c>
      <c r="AO224" s="24">
        <f>AL224-K224</f>
        <v>0.13046520432415321</v>
      </c>
      <c r="AP224" s="24">
        <f>AM224-L224</f>
        <v>-0.82079008550213217</v>
      </c>
    </row>
    <row r="225" spans="1:42" x14ac:dyDescent="0.55000000000000004">
      <c r="A225" s="4" t="s">
        <v>228</v>
      </c>
      <c r="B225" s="5">
        <v>63221</v>
      </c>
      <c r="C225" s="9" t="s">
        <v>14</v>
      </c>
      <c r="D225" s="9" t="s">
        <v>14</v>
      </c>
      <c r="E225" s="5"/>
      <c r="F225" s="5"/>
      <c r="G225" s="5"/>
      <c r="H225" s="5">
        <v>63221</v>
      </c>
      <c r="I225" s="9" t="s">
        <v>14</v>
      </c>
      <c r="J225" s="9" t="s">
        <v>14</v>
      </c>
      <c r="K225" s="14" t="s">
        <v>14</v>
      </c>
      <c r="L225" s="14" t="s">
        <v>14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D225" s="15">
        <f>B225</f>
        <v>63221</v>
      </c>
      <c r="AE225" s="21" t="str">
        <f>C225</f>
        <v>—</v>
      </c>
      <c r="AF225" s="21" t="str">
        <f>D225</f>
        <v>—</v>
      </c>
      <c r="AG225" s="18"/>
      <c r="AH225" s="18"/>
      <c r="AI225" s="18"/>
      <c r="AJ225" s="18"/>
      <c r="AL225" s="17"/>
      <c r="AM225" s="17"/>
      <c r="AO225" s="17"/>
      <c r="AP225" s="17"/>
    </row>
    <row r="226" spans="1:42" x14ac:dyDescent="0.55000000000000004">
      <c r="A226" s="4" t="s">
        <v>229</v>
      </c>
      <c r="B226" s="5">
        <v>474484</v>
      </c>
      <c r="C226" s="5">
        <v>23315</v>
      </c>
      <c r="D226" s="5">
        <v>16944</v>
      </c>
      <c r="E226" s="5">
        <v>37982</v>
      </c>
      <c r="F226" s="5">
        <v>1919</v>
      </c>
      <c r="G226" s="5">
        <v>1772</v>
      </c>
      <c r="H226" s="5">
        <v>465905</v>
      </c>
      <c r="I226" s="5">
        <v>23292</v>
      </c>
      <c r="J226" s="5">
        <v>17958</v>
      </c>
      <c r="K226" s="14">
        <v>49.1</v>
      </c>
      <c r="L226" s="14">
        <v>35.700000000000003</v>
      </c>
      <c r="N226" s="5">
        <v>110144</v>
      </c>
      <c r="O226" s="5">
        <v>83682</v>
      </c>
      <c r="P226" s="5">
        <v>57093</v>
      </c>
      <c r="Q226" s="5">
        <v>72049</v>
      </c>
      <c r="R226" s="5">
        <v>140791</v>
      </c>
      <c r="S226" s="5">
        <v>11125</v>
      </c>
      <c r="T226" s="5"/>
      <c r="U226" s="5"/>
      <c r="V226" s="5"/>
      <c r="W226" s="5"/>
      <c r="X226" s="5"/>
      <c r="Y226" s="5"/>
      <c r="Z226" s="5"/>
      <c r="AA226" s="5"/>
      <c r="AB226" s="5"/>
      <c r="AD226" s="15">
        <f>SUM(N226:AB226)</f>
        <v>474884</v>
      </c>
      <c r="AE226" s="15">
        <f>SUM(N227:AB227)</f>
        <v>23315</v>
      </c>
      <c r="AF226" s="15">
        <f>SUM(N228:AB228)</f>
        <v>16944</v>
      </c>
      <c r="AH226" s="15">
        <f>AD226-B226</f>
        <v>400</v>
      </c>
      <c r="AI226" s="15">
        <f>AE226-C226</f>
        <v>0</v>
      </c>
      <c r="AJ226" s="15">
        <f>AF226-D226</f>
        <v>0</v>
      </c>
      <c r="AL226" s="17">
        <f>C226/B226*1000</f>
        <v>49.137589465608954</v>
      </c>
      <c r="AM226" s="17">
        <f>D226/B226*1000</f>
        <v>35.710371687981052</v>
      </c>
      <c r="AO226" s="17">
        <f>AL226-K226</f>
        <v>3.7589465608952821E-2</v>
      </c>
      <c r="AP226" s="17">
        <f>AM226-L226</f>
        <v>1.0371687981049149E-2</v>
      </c>
    </row>
    <row r="227" spans="1:42" x14ac:dyDescent="0.55000000000000004">
      <c r="A227" s="2" t="s">
        <v>230</v>
      </c>
      <c r="B227" s="3"/>
      <c r="C227" s="3"/>
      <c r="D227" s="3"/>
      <c r="E227" s="3"/>
      <c r="F227" s="3"/>
      <c r="G227" s="3"/>
      <c r="H227" s="3"/>
      <c r="I227" s="3"/>
      <c r="J227" s="3"/>
      <c r="K227" s="1"/>
      <c r="L227" s="1"/>
      <c r="N227" s="3">
        <v>3837</v>
      </c>
      <c r="O227" s="3">
        <v>4717</v>
      </c>
      <c r="P227" s="3">
        <v>3105</v>
      </c>
      <c r="Q227" s="3">
        <v>3689</v>
      </c>
      <c r="R227" s="3">
        <v>7742</v>
      </c>
      <c r="S227" s="3">
        <v>225</v>
      </c>
      <c r="T227" s="3"/>
      <c r="U227" s="3"/>
      <c r="V227" s="3"/>
      <c r="W227" s="3"/>
      <c r="X227" s="3"/>
      <c r="Y227" s="3"/>
      <c r="Z227" s="3"/>
      <c r="AA227" s="3"/>
      <c r="AB227" s="3"/>
    </row>
    <row r="228" spans="1:42" x14ac:dyDescent="0.55000000000000004">
      <c r="A228" s="2" t="s">
        <v>231</v>
      </c>
      <c r="B228" s="3"/>
      <c r="C228" s="3"/>
      <c r="D228" s="3"/>
      <c r="E228" s="3"/>
      <c r="F228" s="3"/>
      <c r="G228" s="3"/>
      <c r="H228" s="3"/>
      <c r="I228" s="3"/>
      <c r="J228" s="3"/>
      <c r="K228" s="1"/>
      <c r="L228" s="1"/>
      <c r="N228" s="3">
        <v>3185</v>
      </c>
      <c r="O228" s="3">
        <v>3170</v>
      </c>
      <c r="P228" s="3">
        <v>2305</v>
      </c>
      <c r="Q228" s="3">
        <v>3069</v>
      </c>
      <c r="R228" s="3">
        <v>5097</v>
      </c>
      <c r="S228" s="3">
        <v>118</v>
      </c>
      <c r="T228" s="3"/>
      <c r="U228" s="3"/>
      <c r="V228" s="3"/>
      <c r="W228" s="3"/>
      <c r="X228" s="3"/>
      <c r="Y228" s="3"/>
      <c r="Z228" s="3"/>
      <c r="AA228" s="3"/>
      <c r="AB228" s="3"/>
    </row>
    <row r="229" spans="1:42" x14ac:dyDescent="0.55000000000000004">
      <c r="A229" s="4" t="s">
        <v>232</v>
      </c>
      <c r="B229" s="5">
        <v>447842</v>
      </c>
      <c r="C229" s="5">
        <v>16384</v>
      </c>
      <c r="D229" s="5">
        <v>12612</v>
      </c>
      <c r="E229" s="9" t="s">
        <v>14</v>
      </c>
      <c r="F229" s="9" t="s">
        <v>14</v>
      </c>
      <c r="G229" s="9" t="s">
        <v>14</v>
      </c>
      <c r="H229" s="5">
        <v>545169</v>
      </c>
      <c r="I229" s="9" t="s">
        <v>14</v>
      </c>
      <c r="J229" s="9" t="s">
        <v>14</v>
      </c>
      <c r="K229" s="14">
        <v>36.6</v>
      </c>
      <c r="L229" s="14">
        <v>28.2</v>
      </c>
      <c r="N229" s="5">
        <v>114663</v>
      </c>
      <c r="O229" s="5">
        <v>27742</v>
      </c>
      <c r="P229" s="5">
        <v>20743</v>
      </c>
      <c r="Q229" s="5">
        <v>30233</v>
      </c>
      <c r="R229" s="5">
        <v>71617</v>
      </c>
      <c r="S229" s="5">
        <v>59686</v>
      </c>
      <c r="T229" s="5">
        <v>93405</v>
      </c>
      <c r="U229" s="5">
        <v>29753</v>
      </c>
      <c r="V229" s="5"/>
      <c r="W229" s="5"/>
      <c r="X229" s="5"/>
      <c r="Y229" s="5"/>
      <c r="Z229" s="5"/>
      <c r="AA229" s="5"/>
      <c r="AB229" s="5"/>
      <c r="AD229" s="15">
        <f>SUM(N229:AB229)</f>
        <v>447842</v>
      </c>
      <c r="AE229" s="15">
        <f>SUM(N230:AB230)</f>
        <v>16384</v>
      </c>
      <c r="AF229" s="15">
        <f>SUM(N231:AB231)</f>
        <v>12612</v>
      </c>
      <c r="AH229" s="15">
        <f>AD229-B229</f>
        <v>0</v>
      </c>
      <c r="AI229" s="15">
        <f>AE229-C229</f>
        <v>0</v>
      </c>
      <c r="AJ229" s="15">
        <f>AF229-D229</f>
        <v>0</v>
      </c>
      <c r="AL229" s="17">
        <f>C229/B229*1000</f>
        <v>36.584331081050905</v>
      </c>
      <c r="AM229" s="17">
        <f>D229/B229*1000</f>
        <v>28.161717748670288</v>
      </c>
      <c r="AO229" s="17">
        <f>AL229-K229</f>
        <v>-1.5668918949096167E-2</v>
      </c>
      <c r="AP229" s="17">
        <f>AM229-L229</f>
        <v>-3.8282251329711414E-2</v>
      </c>
    </row>
    <row r="230" spans="1:42" x14ac:dyDescent="0.55000000000000004">
      <c r="A230" s="2" t="s">
        <v>233</v>
      </c>
      <c r="B230" s="3"/>
      <c r="C230" s="3"/>
      <c r="D230" s="3"/>
      <c r="E230" s="3"/>
      <c r="F230" s="3"/>
      <c r="G230" s="3"/>
      <c r="H230" s="3"/>
      <c r="I230" s="3"/>
      <c r="J230" s="3"/>
      <c r="K230" s="1"/>
      <c r="L230" s="1"/>
      <c r="N230" s="3">
        <v>3657</v>
      </c>
      <c r="O230" s="3">
        <v>999</v>
      </c>
      <c r="P230" s="3">
        <v>596</v>
      </c>
      <c r="Q230" s="3">
        <v>1017</v>
      </c>
      <c r="R230" s="3">
        <v>3579</v>
      </c>
      <c r="S230" s="3">
        <v>2592</v>
      </c>
      <c r="T230" s="3">
        <v>2913</v>
      </c>
      <c r="U230" s="3">
        <v>1031</v>
      </c>
      <c r="V230" s="3"/>
      <c r="W230" s="3"/>
      <c r="X230" s="3"/>
      <c r="Y230" s="3"/>
      <c r="Z230" s="3"/>
      <c r="AA230" s="3"/>
      <c r="AB230" s="3"/>
    </row>
    <row r="231" spans="1:42" x14ac:dyDescent="0.55000000000000004">
      <c r="A231" s="2" t="s">
        <v>234</v>
      </c>
      <c r="B231" s="3"/>
      <c r="C231" s="3"/>
      <c r="D231" s="3"/>
      <c r="E231" s="3"/>
      <c r="F231" s="3"/>
      <c r="G231" s="3"/>
      <c r="H231" s="3"/>
      <c r="I231" s="3"/>
      <c r="J231" s="3"/>
      <c r="K231" s="1"/>
      <c r="L231" s="1"/>
      <c r="N231" s="3">
        <v>2386</v>
      </c>
      <c r="O231" s="3">
        <v>679</v>
      </c>
      <c r="P231" s="3">
        <v>591</v>
      </c>
      <c r="Q231" s="3">
        <v>868</v>
      </c>
      <c r="R231" s="3">
        <v>3044</v>
      </c>
      <c r="S231" s="3">
        <v>2385</v>
      </c>
      <c r="T231" s="3">
        <v>1956</v>
      </c>
      <c r="U231" s="3">
        <v>703</v>
      </c>
      <c r="V231" s="3"/>
      <c r="W231" s="3"/>
      <c r="X231" s="3"/>
      <c r="Y231" s="3"/>
      <c r="Z231" s="3"/>
      <c r="AA231" s="3"/>
      <c r="AB231" s="3"/>
    </row>
    <row r="232" spans="1:42" x14ac:dyDescent="0.55000000000000004">
      <c r="A232" s="4" t="s">
        <v>235</v>
      </c>
      <c r="B232" s="5">
        <v>433676</v>
      </c>
      <c r="C232" s="5">
        <v>21094</v>
      </c>
      <c r="D232" s="5">
        <v>16220</v>
      </c>
      <c r="E232" s="5">
        <v>55246</v>
      </c>
      <c r="F232" s="5">
        <v>2179</v>
      </c>
      <c r="G232" s="5">
        <v>2072</v>
      </c>
      <c r="H232" s="5">
        <v>424981</v>
      </c>
      <c r="I232" s="5">
        <v>20018</v>
      </c>
      <c r="J232" s="5">
        <v>17499</v>
      </c>
      <c r="K232" s="14">
        <v>48.6</v>
      </c>
      <c r="L232" s="14">
        <v>37.4</v>
      </c>
      <c r="N232" s="5">
        <v>147436</v>
      </c>
      <c r="O232" s="5">
        <v>126999</v>
      </c>
      <c r="P232" s="5">
        <v>60084</v>
      </c>
      <c r="Q232" s="5">
        <v>45534</v>
      </c>
      <c r="R232" s="5">
        <v>53623</v>
      </c>
      <c r="S232" s="5"/>
      <c r="T232" s="5"/>
      <c r="U232" s="5"/>
      <c r="V232" s="5"/>
      <c r="W232" s="5"/>
      <c r="X232" s="5"/>
      <c r="Y232" s="5"/>
      <c r="Z232" s="5"/>
      <c r="AA232" s="5"/>
      <c r="AB232" s="5"/>
      <c r="AD232" s="15">
        <f>SUM(N232:AB232)</f>
        <v>433676</v>
      </c>
      <c r="AE232" s="15">
        <f>SUM(N233:AB233)</f>
        <v>21094</v>
      </c>
      <c r="AF232" s="15">
        <f>SUM(N234:AB234)</f>
        <v>16220</v>
      </c>
      <c r="AH232" s="15">
        <f>AD232-B232</f>
        <v>0</v>
      </c>
      <c r="AI232" s="15">
        <f>AE232-C232</f>
        <v>0</v>
      </c>
      <c r="AJ232" s="15">
        <f>AF232-D232</f>
        <v>0</v>
      </c>
      <c r="AL232" s="17">
        <f>C232/B232*1000</f>
        <v>48.639998524243907</v>
      </c>
      <c r="AM232" s="17">
        <f>D232/B232*1000</f>
        <v>37.401193517741355</v>
      </c>
      <c r="AO232" s="17">
        <f>AL232-K232</f>
        <v>3.999852424390582E-2</v>
      </c>
      <c r="AP232" s="17">
        <f>AM232-L232</f>
        <v>1.1935177413562315E-3</v>
      </c>
    </row>
    <row r="233" spans="1:42" x14ac:dyDescent="0.55000000000000004">
      <c r="A233" s="2" t="s">
        <v>236</v>
      </c>
      <c r="B233" s="3"/>
      <c r="C233" s="3"/>
      <c r="D233" s="3"/>
      <c r="E233" s="3"/>
      <c r="F233" s="3"/>
      <c r="G233" s="3"/>
      <c r="H233" s="3"/>
      <c r="I233" s="3"/>
      <c r="J233" s="3"/>
      <c r="K233" s="1"/>
      <c r="L233" s="1"/>
      <c r="N233" s="3">
        <v>6190</v>
      </c>
      <c r="O233" s="3">
        <v>5946</v>
      </c>
      <c r="P233" s="3">
        <v>3133</v>
      </c>
      <c r="Q233" s="3">
        <v>2515</v>
      </c>
      <c r="R233" s="3">
        <v>3310</v>
      </c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42" x14ac:dyDescent="0.55000000000000004">
      <c r="A234" s="2" t="s">
        <v>237</v>
      </c>
      <c r="B234" s="3"/>
      <c r="C234" s="3"/>
      <c r="D234" s="3"/>
      <c r="E234" s="3"/>
      <c r="F234" s="3"/>
      <c r="G234" s="3"/>
      <c r="H234" s="3"/>
      <c r="I234" s="3"/>
      <c r="J234" s="3"/>
      <c r="K234" s="1"/>
      <c r="L234" s="1"/>
      <c r="N234" s="3">
        <v>5204</v>
      </c>
      <c r="O234" s="3">
        <v>4558</v>
      </c>
      <c r="P234" s="3">
        <v>2381</v>
      </c>
      <c r="Q234" s="3">
        <v>1700</v>
      </c>
      <c r="R234" s="3">
        <v>2377</v>
      </c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42" x14ac:dyDescent="0.55000000000000004">
      <c r="A235" s="4" t="s">
        <v>238</v>
      </c>
      <c r="B235" s="5">
        <v>102786</v>
      </c>
      <c r="C235" s="5">
        <v>3519</v>
      </c>
      <c r="D235" s="5">
        <v>2249</v>
      </c>
      <c r="E235" s="9" t="s">
        <v>14</v>
      </c>
      <c r="F235" s="9" t="s">
        <v>14</v>
      </c>
      <c r="G235" s="9" t="s">
        <v>14</v>
      </c>
      <c r="H235" s="5">
        <v>102893</v>
      </c>
      <c r="I235" s="9" t="s">
        <v>14</v>
      </c>
      <c r="J235" s="9" t="s">
        <v>14</v>
      </c>
      <c r="K235" s="14">
        <v>34.1</v>
      </c>
      <c r="L235" s="14">
        <v>21.8</v>
      </c>
      <c r="N235" s="9" t="s">
        <v>14</v>
      </c>
      <c r="O235" s="9" t="s">
        <v>14</v>
      </c>
      <c r="P235" s="9" t="s">
        <v>14</v>
      </c>
      <c r="Q235" s="9" t="s">
        <v>14</v>
      </c>
      <c r="R235" s="9" t="s">
        <v>14</v>
      </c>
      <c r="S235" s="9" t="s">
        <v>14</v>
      </c>
      <c r="T235" s="5"/>
      <c r="U235" s="5"/>
      <c r="V235" s="5"/>
      <c r="W235" s="5"/>
      <c r="X235" s="5"/>
      <c r="Y235" s="5"/>
      <c r="Z235" s="5"/>
      <c r="AA235" s="5"/>
      <c r="AB235" s="5"/>
      <c r="AD235" s="15">
        <f>B235</f>
        <v>102786</v>
      </c>
      <c r="AE235" s="15">
        <f>SUM(N236:AB236)</f>
        <v>3419</v>
      </c>
      <c r="AF235" s="15">
        <f>SUM(N237:AB237)</f>
        <v>2249</v>
      </c>
      <c r="AH235" s="15">
        <f>AD235-B235</f>
        <v>0</v>
      </c>
      <c r="AI235" s="15">
        <f>AE235-C235</f>
        <v>-100</v>
      </c>
      <c r="AJ235" s="15">
        <f>AF235-D235</f>
        <v>0</v>
      </c>
      <c r="AL235" s="17">
        <f>C235/B235*1000</f>
        <v>34.236180024516955</v>
      </c>
      <c r="AM235" s="17">
        <f>D235/B235*1000</f>
        <v>21.880411729223823</v>
      </c>
      <c r="AO235" s="17">
        <f>AL235-K235</f>
        <v>0.13618002451695332</v>
      </c>
      <c r="AP235" s="17">
        <f>AM235-L235</f>
        <v>8.0411729223822448E-2</v>
      </c>
    </row>
    <row r="236" spans="1:42" x14ac:dyDescent="0.55000000000000004">
      <c r="A236" s="2" t="s">
        <v>239</v>
      </c>
      <c r="B236" s="3"/>
      <c r="C236" s="3"/>
      <c r="D236" s="3"/>
      <c r="E236" s="3"/>
      <c r="F236" s="3"/>
      <c r="G236" s="3"/>
      <c r="H236" s="3"/>
      <c r="I236" s="3"/>
      <c r="J236" s="3"/>
      <c r="K236" s="1"/>
      <c r="L236" s="1"/>
      <c r="N236" s="3">
        <v>547</v>
      </c>
      <c r="O236" s="3">
        <v>76</v>
      </c>
      <c r="P236" s="3">
        <v>496</v>
      </c>
      <c r="Q236" s="3">
        <v>627</v>
      </c>
      <c r="R236" s="3">
        <v>228</v>
      </c>
      <c r="S236" s="3">
        <v>1445</v>
      </c>
      <c r="T236" s="3"/>
      <c r="U236" s="3"/>
      <c r="V236" s="3"/>
      <c r="W236" s="3"/>
      <c r="X236" s="3"/>
      <c r="Y236" s="3"/>
      <c r="Z236" s="3"/>
      <c r="AA236" s="3"/>
      <c r="AB236" s="3"/>
    </row>
    <row r="237" spans="1:42" x14ac:dyDescent="0.55000000000000004">
      <c r="A237" s="2" t="s">
        <v>240</v>
      </c>
      <c r="B237" s="3"/>
      <c r="C237" s="3"/>
      <c r="D237" s="3"/>
      <c r="E237" s="3"/>
      <c r="F237" s="3"/>
      <c r="G237" s="3"/>
      <c r="H237" s="3"/>
      <c r="I237" s="3"/>
      <c r="J237" s="3"/>
      <c r="K237" s="1"/>
      <c r="L237" s="1"/>
      <c r="N237" s="3">
        <v>232</v>
      </c>
      <c r="O237" s="3">
        <v>44</v>
      </c>
      <c r="P237" s="3">
        <v>444</v>
      </c>
      <c r="Q237" s="3">
        <v>495</v>
      </c>
      <c r="R237" s="3">
        <v>113</v>
      </c>
      <c r="S237" s="3">
        <v>921</v>
      </c>
      <c r="T237" s="3"/>
      <c r="U237" s="3"/>
      <c r="V237" s="3"/>
      <c r="W237" s="3"/>
      <c r="X237" s="3"/>
      <c r="Y237" s="3"/>
      <c r="Z237" s="3"/>
      <c r="AA237" s="3"/>
      <c r="AB237" s="3"/>
    </row>
    <row r="238" spans="1:42" x14ac:dyDescent="0.55000000000000004">
      <c r="A238" s="4" t="s">
        <v>241</v>
      </c>
      <c r="B238" s="5">
        <v>1408987</v>
      </c>
      <c r="C238" s="5">
        <v>71973</v>
      </c>
      <c r="D238" s="5">
        <v>59180</v>
      </c>
      <c r="E238" s="5">
        <v>98235</v>
      </c>
      <c r="F238" s="5">
        <v>2636</v>
      </c>
      <c r="G238" s="5">
        <v>2938</v>
      </c>
      <c r="H238" s="5">
        <v>1385655</v>
      </c>
      <c r="I238" s="5">
        <v>73261</v>
      </c>
      <c r="J238" s="5">
        <v>61988</v>
      </c>
      <c r="K238" s="14">
        <v>51.1</v>
      </c>
      <c r="L238" s="14">
        <v>42</v>
      </c>
      <c r="N238" s="5">
        <v>126741</v>
      </c>
      <c r="O238" s="5">
        <v>33153</v>
      </c>
      <c r="P238" s="5">
        <v>271340</v>
      </c>
      <c r="Q238" s="5">
        <v>263866</v>
      </c>
      <c r="R238" s="5">
        <v>9254</v>
      </c>
      <c r="S238" s="5">
        <v>151173</v>
      </c>
      <c r="T238" s="5">
        <v>72275</v>
      </c>
      <c r="U238" s="5">
        <v>159407</v>
      </c>
      <c r="V238" s="5">
        <v>121110</v>
      </c>
      <c r="W238" s="5">
        <v>200668</v>
      </c>
      <c r="X238" s="5"/>
      <c r="Y238" s="5"/>
      <c r="Z238" s="5"/>
      <c r="AA238" s="5"/>
      <c r="AB238" s="5"/>
      <c r="AD238" s="15">
        <f>SUM(N238:AB238)</f>
        <v>1408987</v>
      </c>
      <c r="AE238" s="15">
        <f>SUM(N239:AB239)</f>
        <v>71973</v>
      </c>
      <c r="AF238" s="15">
        <f>SUM(N240:AB240)</f>
        <v>59180</v>
      </c>
      <c r="AH238" s="15">
        <f>AD238-B238</f>
        <v>0</v>
      </c>
      <c r="AI238" s="15">
        <f>AE238-C238</f>
        <v>0</v>
      </c>
      <c r="AJ238" s="15">
        <f>AF238-D238</f>
        <v>0</v>
      </c>
      <c r="AL238" s="17">
        <f>C238/B238*1000</f>
        <v>51.081379743035249</v>
      </c>
      <c r="AM238" s="17">
        <f>D238/B238*1000</f>
        <v>42.001806971959283</v>
      </c>
      <c r="AO238" s="17">
        <f>AL238-K238</f>
        <v>-1.8620256964752002E-2</v>
      </c>
      <c r="AP238" s="17">
        <f>AM238-L238</f>
        <v>1.8069719592830324E-3</v>
      </c>
    </row>
    <row r="239" spans="1:42" x14ac:dyDescent="0.55000000000000004">
      <c r="A239" s="2" t="s">
        <v>242</v>
      </c>
      <c r="B239" s="3"/>
      <c r="C239" s="3"/>
      <c r="D239" s="3"/>
      <c r="E239" s="3"/>
      <c r="F239" s="3"/>
      <c r="G239" s="3"/>
      <c r="H239" s="3"/>
      <c r="I239" s="3"/>
      <c r="J239" s="3"/>
      <c r="K239" s="1"/>
      <c r="L239" s="1"/>
      <c r="N239" s="3">
        <v>6214</v>
      </c>
      <c r="O239" s="3">
        <v>1293</v>
      </c>
      <c r="P239" s="3">
        <v>15832</v>
      </c>
      <c r="Q239" s="3">
        <v>14880</v>
      </c>
      <c r="R239" s="3">
        <v>300</v>
      </c>
      <c r="S239" s="3">
        <v>6995</v>
      </c>
      <c r="T239" s="3">
        <v>3753</v>
      </c>
      <c r="U239" s="3">
        <v>7661</v>
      </c>
      <c r="V239" s="3">
        <v>4772</v>
      </c>
      <c r="W239" s="3">
        <v>10273</v>
      </c>
      <c r="X239" s="3"/>
      <c r="Y239" s="3"/>
      <c r="Z239" s="3"/>
      <c r="AA239" s="3"/>
      <c r="AB239" s="3"/>
    </row>
    <row r="240" spans="1:42" x14ac:dyDescent="0.55000000000000004">
      <c r="A240" s="2" t="s">
        <v>243</v>
      </c>
      <c r="B240" s="3"/>
      <c r="C240" s="3"/>
      <c r="D240" s="3"/>
      <c r="E240" s="3"/>
      <c r="F240" s="3"/>
      <c r="G240" s="3"/>
      <c r="H240" s="3"/>
      <c r="I240" s="3"/>
      <c r="J240" s="3"/>
      <c r="K240" s="1"/>
      <c r="L240" s="1"/>
      <c r="N240" s="3">
        <v>5866</v>
      </c>
      <c r="O240" s="3">
        <v>844</v>
      </c>
      <c r="P240" s="3">
        <v>13806</v>
      </c>
      <c r="Q240" s="3">
        <v>13173</v>
      </c>
      <c r="R240" s="3">
        <v>242</v>
      </c>
      <c r="S240" s="3">
        <v>5288</v>
      </c>
      <c r="T240" s="3">
        <v>2940</v>
      </c>
      <c r="U240" s="3">
        <v>4782</v>
      </c>
      <c r="V240" s="3">
        <v>4089</v>
      </c>
      <c r="W240" s="3">
        <v>8150</v>
      </c>
      <c r="X240" s="3"/>
      <c r="Y240" s="3"/>
      <c r="Z240" s="3"/>
      <c r="AA240" s="3"/>
      <c r="AB240" s="3"/>
    </row>
    <row r="241" spans="1:42" x14ac:dyDescent="0.55000000000000004">
      <c r="A241" s="4" t="s">
        <v>244</v>
      </c>
      <c r="B241" s="5">
        <v>1393569</v>
      </c>
      <c r="C241" s="5">
        <v>62348</v>
      </c>
      <c r="D241" s="5">
        <v>35858</v>
      </c>
      <c r="E241" s="9" t="s">
        <v>14</v>
      </c>
      <c r="F241" s="5">
        <v>5162</v>
      </c>
      <c r="G241" s="5">
        <v>4896</v>
      </c>
      <c r="H241" s="5">
        <v>1297612</v>
      </c>
      <c r="I241" s="5">
        <v>64005</v>
      </c>
      <c r="J241" s="5">
        <v>34857</v>
      </c>
      <c r="K241" s="14">
        <v>44.7</v>
      </c>
      <c r="L241" s="14">
        <v>25.7</v>
      </c>
      <c r="N241" s="9" t="s">
        <v>14</v>
      </c>
      <c r="O241" s="9" t="s">
        <v>14</v>
      </c>
      <c r="P241" s="9" t="s">
        <v>14</v>
      </c>
      <c r="Q241" s="9" t="s">
        <v>14</v>
      </c>
      <c r="R241" s="9" t="s">
        <v>14</v>
      </c>
      <c r="S241" s="9" t="s">
        <v>14</v>
      </c>
      <c r="T241" s="5"/>
      <c r="U241" s="5"/>
      <c r="V241" s="5"/>
      <c r="W241" s="5"/>
      <c r="X241" s="5"/>
      <c r="Y241" s="5"/>
      <c r="Z241" s="5"/>
      <c r="AA241" s="5"/>
      <c r="AB241" s="5"/>
      <c r="AD241" s="15">
        <f>B241</f>
        <v>1393569</v>
      </c>
      <c r="AE241" s="15">
        <f>SUM(N242:AB242)</f>
        <v>62348</v>
      </c>
      <c r="AF241" s="15">
        <f>SUM(N243:AB243)</f>
        <v>35858</v>
      </c>
      <c r="AH241" s="15">
        <f>AD241-B241</f>
        <v>0</v>
      </c>
      <c r="AI241" s="15">
        <f>AE241-C241</f>
        <v>0</v>
      </c>
      <c r="AJ241" s="15">
        <f>AF241-D241</f>
        <v>0</v>
      </c>
      <c r="AL241" s="17">
        <f>C241/B241*1000</f>
        <v>44.739801186737076</v>
      </c>
      <c r="AM241" s="17">
        <f>D241/B241*1000</f>
        <v>25.731054580002855</v>
      </c>
      <c r="AO241" s="17">
        <f>AL241-K241</f>
        <v>3.9801186737072669E-2</v>
      </c>
      <c r="AP241" s="17">
        <f>AM241-L241</f>
        <v>3.1054580002855658E-2</v>
      </c>
    </row>
    <row r="242" spans="1:42" x14ac:dyDescent="0.55000000000000004">
      <c r="A242" s="2" t="s">
        <v>245</v>
      </c>
      <c r="B242" s="3"/>
      <c r="C242" s="3"/>
      <c r="D242" s="3"/>
      <c r="E242" s="3"/>
      <c r="F242" s="3"/>
      <c r="G242" s="3"/>
      <c r="H242" s="3"/>
      <c r="I242" s="3"/>
      <c r="J242" s="3"/>
      <c r="K242" s="1"/>
      <c r="L242" s="1"/>
      <c r="N242" s="3">
        <v>11309</v>
      </c>
      <c r="O242" s="3">
        <v>17664</v>
      </c>
      <c r="P242" s="3">
        <v>13818</v>
      </c>
      <c r="Q242" s="3">
        <v>6715</v>
      </c>
      <c r="R242" s="3">
        <v>6594</v>
      </c>
      <c r="S242" s="3">
        <v>6248</v>
      </c>
      <c r="T242" s="3"/>
      <c r="U242" s="3"/>
      <c r="V242" s="3"/>
      <c r="W242" s="3"/>
      <c r="X242" s="3"/>
      <c r="Y242" s="3"/>
      <c r="Z242" s="3"/>
      <c r="AA242" s="3"/>
      <c r="AB242" s="3"/>
    </row>
    <row r="243" spans="1:42" x14ac:dyDescent="0.55000000000000004">
      <c r="A243" s="2" t="s">
        <v>246</v>
      </c>
      <c r="B243" s="3"/>
      <c r="C243" s="3"/>
      <c r="D243" s="3"/>
      <c r="E243" s="3"/>
      <c r="F243" s="3"/>
      <c r="G243" s="3"/>
      <c r="H243" s="3"/>
      <c r="I243" s="3"/>
      <c r="J243" s="3"/>
      <c r="K243" s="1"/>
      <c r="L243" s="1"/>
      <c r="N243" s="3">
        <v>8433</v>
      </c>
      <c r="O243" s="3">
        <v>8247</v>
      </c>
      <c r="P243" s="3">
        <v>7134</v>
      </c>
      <c r="Q243" s="3">
        <v>4232</v>
      </c>
      <c r="R243" s="3">
        <v>3095</v>
      </c>
      <c r="S243" s="3">
        <v>4717</v>
      </c>
      <c r="T243" s="3"/>
      <c r="U243" s="3"/>
      <c r="V243" s="3"/>
      <c r="W243" s="3"/>
      <c r="X243" s="3"/>
      <c r="Y243" s="3"/>
      <c r="Z243" s="3"/>
      <c r="AA243" s="3"/>
      <c r="AB243" s="3"/>
    </row>
    <row r="244" spans="1:42" x14ac:dyDescent="0.55000000000000004">
      <c r="A244" s="4" t="s">
        <v>247</v>
      </c>
      <c r="B244" s="5">
        <v>254494</v>
      </c>
      <c r="C244" s="5">
        <v>7823</v>
      </c>
      <c r="D244" s="5">
        <v>8613</v>
      </c>
      <c r="E244" s="5">
        <v>8324</v>
      </c>
      <c r="F244" s="5">
        <v>228</v>
      </c>
      <c r="G244" s="5">
        <v>195</v>
      </c>
      <c r="H244" s="5">
        <v>256244</v>
      </c>
      <c r="I244" s="5">
        <v>6475</v>
      </c>
      <c r="J244" s="5">
        <v>5393</v>
      </c>
      <c r="K244" s="14">
        <v>30.8</v>
      </c>
      <c r="L244" s="14">
        <v>33.9</v>
      </c>
      <c r="N244" s="5">
        <v>148842</v>
      </c>
      <c r="O244" s="5">
        <v>12931</v>
      </c>
      <c r="P244" s="5">
        <v>71895</v>
      </c>
      <c r="Q244" s="5">
        <v>6060</v>
      </c>
      <c r="R244" s="5">
        <v>14766</v>
      </c>
      <c r="S244" s="5"/>
      <c r="T244" s="5"/>
      <c r="U244" s="5"/>
      <c r="V244" s="5"/>
      <c r="W244" s="5"/>
      <c r="X244" s="5"/>
      <c r="Y244" s="5"/>
      <c r="Z244" s="5"/>
      <c r="AA244" s="5"/>
      <c r="AB244" s="5"/>
      <c r="AD244" s="15">
        <f>SUM(N244:AB244)</f>
        <v>254494</v>
      </c>
      <c r="AE244" s="15">
        <f>SUM(N245:AB245)</f>
        <v>7823</v>
      </c>
      <c r="AF244" s="15">
        <f>SUM(N246:AB246)</f>
        <v>8613</v>
      </c>
      <c r="AH244" s="15">
        <f>AD244-B244</f>
        <v>0</v>
      </c>
      <c r="AI244" s="15">
        <f>AE244-C244</f>
        <v>0</v>
      </c>
      <c r="AJ244" s="15">
        <f>AF244-D244</f>
        <v>0</v>
      </c>
      <c r="AL244" s="17">
        <f>C244/B244*1000</f>
        <v>30.739428041525535</v>
      </c>
      <c r="AM244" s="17">
        <f>D244/B244*1000</f>
        <v>33.843626961735836</v>
      </c>
      <c r="AO244" s="17">
        <f>AL244-K244</f>
        <v>-6.0571958474465504E-2</v>
      </c>
      <c r="AP244" s="17">
        <f>AM244-L244</f>
        <v>-5.637303826416229E-2</v>
      </c>
    </row>
    <row r="245" spans="1:42" x14ac:dyDescent="0.55000000000000004">
      <c r="A245" s="2" t="s">
        <v>248</v>
      </c>
      <c r="B245" s="3"/>
      <c r="C245" s="3"/>
      <c r="D245" s="3"/>
      <c r="E245" s="3"/>
      <c r="F245" s="3"/>
      <c r="G245" s="3"/>
      <c r="H245" s="3"/>
      <c r="I245" s="3"/>
      <c r="J245" s="3"/>
      <c r="K245" s="1"/>
      <c r="L245" s="1"/>
      <c r="N245" s="3">
        <v>4564</v>
      </c>
      <c r="O245" s="3">
        <v>373</v>
      </c>
      <c r="P245" s="3">
        <v>2146</v>
      </c>
      <c r="Q245" s="3">
        <v>194</v>
      </c>
      <c r="R245" s="3">
        <v>546</v>
      </c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42" x14ac:dyDescent="0.55000000000000004">
      <c r="A246" s="2" t="s">
        <v>249</v>
      </c>
      <c r="B246" s="3"/>
      <c r="C246" s="3"/>
      <c r="D246" s="3"/>
      <c r="E246" s="3"/>
      <c r="F246" s="3"/>
      <c r="G246" s="3"/>
      <c r="H246" s="3"/>
      <c r="I246" s="3"/>
      <c r="J246" s="3"/>
      <c r="K246" s="1"/>
      <c r="L246" s="1"/>
      <c r="N246" s="3">
        <v>5768</v>
      </c>
      <c r="O246" s="3">
        <v>345</v>
      </c>
      <c r="P246" s="3">
        <v>1484</v>
      </c>
      <c r="Q246" s="3">
        <v>456</v>
      </c>
      <c r="R246" s="3">
        <v>560</v>
      </c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42" x14ac:dyDescent="0.55000000000000004">
      <c r="A247" s="4" t="s">
        <v>250</v>
      </c>
      <c r="B247" s="5">
        <v>15383</v>
      </c>
      <c r="C247" s="5">
        <v>314</v>
      </c>
      <c r="D247" s="5">
        <v>289</v>
      </c>
      <c r="E247" s="9" t="s">
        <v>14</v>
      </c>
      <c r="F247" s="9" t="s">
        <v>14</v>
      </c>
      <c r="G247" s="9" t="s">
        <v>14</v>
      </c>
      <c r="H247" s="5">
        <v>15179</v>
      </c>
      <c r="I247" s="5">
        <v>377</v>
      </c>
      <c r="J247" s="5">
        <v>216</v>
      </c>
      <c r="K247" s="14">
        <v>21</v>
      </c>
      <c r="L247" s="14">
        <v>19.3</v>
      </c>
      <c r="N247" s="5">
        <v>6841</v>
      </c>
      <c r="O247" s="5">
        <v>2932</v>
      </c>
      <c r="P247" s="5">
        <v>5610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D247" s="15">
        <f>SUM(N247:AB247)</f>
        <v>15383</v>
      </c>
      <c r="AE247" s="15">
        <f>SUM(N248:AB248)</f>
        <v>314</v>
      </c>
      <c r="AF247" s="15">
        <f>SUM(N249:AB249)</f>
        <v>289</v>
      </c>
      <c r="AH247" s="15">
        <f>AD247-B247</f>
        <v>0</v>
      </c>
      <c r="AI247" s="15">
        <f>AE247-C247</f>
        <v>0</v>
      </c>
      <c r="AJ247" s="15">
        <f>AF247-D247</f>
        <v>0</v>
      </c>
      <c r="AL247" s="17">
        <f>C247/B247*1000</f>
        <v>20.412143275043881</v>
      </c>
      <c r="AM247" s="17">
        <f>D247/B247*1000</f>
        <v>18.786972632126375</v>
      </c>
      <c r="AO247" s="17">
        <f>AL247-K247</f>
        <v>-0.58785672495611863</v>
      </c>
      <c r="AP247" s="17">
        <f>AM247-L247</f>
        <v>-0.51302736787362591</v>
      </c>
    </row>
    <row r="248" spans="1:42" x14ac:dyDescent="0.55000000000000004">
      <c r="A248" s="2" t="s">
        <v>251</v>
      </c>
      <c r="B248" s="3"/>
      <c r="C248" s="3"/>
      <c r="D248" s="3"/>
      <c r="E248" s="3"/>
      <c r="F248" s="3"/>
      <c r="G248" s="3"/>
      <c r="H248" s="3"/>
      <c r="I248" s="3"/>
      <c r="J248" s="3"/>
      <c r="K248" s="1"/>
      <c r="L248" s="1"/>
      <c r="N248" s="3">
        <v>102</v>
      </c>
      <c r="O248" s="3">
        <v>71</v>
      </c>
      <c r="P248" s="3">
        <v>141</v>
      </c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42" x14ac:dyDescent="0.55000000000000004">
      <c r="A249" s="2" t="s">
        <v>252</v>
      </c>
      <c r="B249" s="3"/>
      <c r="C249" s="3"/>
      <c r="D249" s="3"/>
      <c r="E249" s="3"/>
      <c r="F249" s="3"/>
      <c r="G249" s="3"/>
      <c r="H249" s="3"/>
      <c r="I249" s="3"/>
      <c r="J249" s="3"/>
      <c r="K249" s="1"/>
      <c r="L249" s="1"/>
      <c r="N249" s="3">
        <v>132</v>
      </c>
      <c r="O249" s="3">
        <v>47</v>
      </c>
      <c r="P249" s="3">
        <v>110</v>
      </c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42" x14ac:dyDescent="0.55000000000000004">
      <c r="A250" s="7" t="s">
        <v>253</v>
      </c>
      <c r="B250" s="8">
        <v>4594842</v>
      </c>
      <c r="C250" s="8">
        <v>206770</v>
      </c>
      <c r="D250" s="8">
        <v>151965</v>
      </c>
      <c r="E250" s="8"/>
      <c r="F250" s="8"/>
      <c r="G250" s="8"/>
      <c r="H250" s="8">
        <v>4551583</v>
      </c>
      <c r="I250" s="8">
        <v>199597</v>
      </c>
      <c r="J250" s="8">
        <v>146056</v>
      </c>
      <c r="K250" s="10">
        <v>45.6</v>
      </c>
      <c r="L250" s="10">
        <v>33.5</v>
      </c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D250" s="23">
        <f>SUM(AD225:AD249)</f>
        <v>4594842</v>
      </c>
      <c r="AE250" s="23">
        <f>SUM(AE225:AE249)</f>
        <v>206670</v>
      </c>
      <c r="AF250" s="23">
        <f>SUM(AF225:AF249)</f>
        <v>151965</v>
      </c>
      <c r="AH250" s="23">
        <f t="shared" ref="AH250:AJ251" si="7">AD250-B250</f>
        <v>0</v>
      </c>
      <c r="AI250" s="23">
        <f t="shared" si="7"/>
        <v>-100</v>
      </c>
      <c r="AJ250" s="23">
        <f t="shared" si="7"/>
        <v>0</v>
      </c>
      <c r="AL250" s="24">
        <f>C250/B250*1000</f>
        <v>45.00045921056698</v>
      </c>
      <c r="AM250" s="24">
        <f>D250/B250*1000</f>
        <v>33.072954412795909</v>
      </c>
      <c r="AO250" s="24">
        <f>AL250-K250</f>
        <v>-0.59954078943302136</v>
      </c>
      <c r="AP250" s="24">
        <f>AM250-L250</f>
        <v>-0.42704558720409125</v>
      </c>
    </row>
    <row r="251" spans="1:42" x14ac:dyDescent="0.55000000000000004">
      <c r="A251" s="4" t="s">
        <v>254</v>
      </c>
      <c r="B251" s="5">
        <v>500174</v>
      </c>
      <c r="C251" s="5">
        <v>15866</v>
      </c>
      <c r="D251" s="5">
        <v>11265</v>
      </c>
      <c r="E251" s="9" t="s">
        <v>14</v>
      </c>
      <c r="F251" s="9" t="s">
        <v>14</v>
      </c>
      <c r="G251" s="9" t="s">
        <v>14</v>
      </c>
      <c r="H251" s="5">
        <v>483350</v>
      </c>
      <c r="I251" s="5">
        <v>14214</v>
      </c>
      <c r="J251" s="5">
        <v>9673</v>
      </c>
      <c r="K251" s="14">
        <v>31.7</v>
      </c>
      <c r="L251" s="14">
        <v>22.5</v>
      </c>
      <c r="N251" s="5">
        <v>88613</v>
      </c>
      <c r="O251" s="5">
        <v>132895</v>
      </c>
      <c r="P251" s="5">
        <v>68908</v>
      </c>
      <c r="Q251" s="5">
        <v>98829</v>
      </c>
      <c r="R251" s="5">
        <v>110929</v>
      </c>
      <c r="S251" s="5"/>
      <c r="T251" s="5"/>
      <c r="U251" s="5"/>
      <c r="V251" s="5"/>
      <c r="W251" s="5"/>
      <c r="X251" s="5"/>
      <c r="Y251" s="5"/>
      <c r="Z251" s="5"/>
      <c r="AA251" s="5"/>
      <c r="AB251" s="5"/>
      <c r="AD251" s="15">
        <f>SUM(N251:AB251)</f>
        <v>500174</v>
      </c>
      <c r="AE251" s="15">
        <f>SUM(N252:AB252)</f>
        <v>15866</v>
      </c>
      <c r="AF251" s="15">
        <f>SUM(N253:AB253)</f>
        <v>11265</v>
      </c>
      <c r="AH251" s="15">
        <f t="shared" si="7"/>
        <v>0</v>
      </c>
      <c r="AI251" s="15">
        <f t="shared" si="7"/>
        <v>0</v>
      </c>
      <c r="AJ251" s="15">
        <f t="shared" si="7"/>
        <v>0</v>
      </c>
      <c r="AL251" s="17">
        <f>C251/B251*1000</f>
        <v>31.720961105535274</v>
      </c>
      <c r="AM251" s="17">
        <f>D251/B251*1000</f>
        <v>22.52216228752394</v>
      </c>
      <c r="AO251" s="17">
        <f>AL251-K251</f>
        <v>2.0961105535274527E-2</v>
      </c>
      <c r="AP251" s="17">
        <f>AM251-L251</f>
        <v>2.2162287523940449E-2</v>
      </c>
    </row>
    <row r="252" spans="1:42" x14ac:dyDescent="0.55000000000000004">
      <c r="A252" s="2" t="s">
        <v>255</v>
      </c>
      <c r="B252" s="3"/>
      <c r="C252" s="3"/>
      <c r="D252" s="3"/>
      <c r="E252" s="3"/>
      <c r="F252" s="3"/>
      <c r="G252" s="3"/>
      <c r="H252" s="3"/>
      <c r="I252" s="3"/>
      <c r="J252" s="3"/>
      <c r="K252" s="1"/>
      <c r="L252" s="1"/>
      <c r="N252" s="3">
        <v>3821</v>
      </c>
      <c r="O252" s="3">
        <v>3094</v>
      </c>
      <c r="P252" s="3">
        <v>1534</v>
      </c>
      <c r="Q252" s="3">
        <v>3380</v>
      </c>
      <c r="R252" s="3">
        <v>4037</v>
      </c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42" x14ac:dyDescent="0.55000000000000004">
      <c r="A253" s="2" t="s">
        <v>256</v>
      </c>
      <c r="B253" s="3"/>
      <c r="C253" s="3"/>
      <c r="D253" s="3"/>
      <c r="E253" s="3"/>
      <c r="F253" s="3"/>
      <c r="G253" s="3"/>
      <c r="H253" s="3"/>
      <c r="I253" s="3"/>
      <c r="J253" s="3"/>
      <c r="K253" s="1"/>
      <c r="L253" s="1"/>
      <c r="N253" s="3">
        <v>3089</v>
      </c>
      <c r="O253" s="3">
        <v>1646</v>
      </c>
      <c r="P253" s="3">
        <v>1002</v>
      </c>
      <c r="Q253" s="3">
        <v>2584</v>
      </c>
      <c r="R253" s="3">
        <v>2944</v>
      </c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42" x14ac:dyDescent="0.55000000000000004">
      <c r="A254" s="4" t="s">
        <v>257</v>
      </c>
      <c r="B254" s="5">
        <v>700000</v>
      </c>
      <c r="C254" s="9" t="s">
        <v>14</v>
      </c>
      <c r="D254" s="9" t="s">
        <v>14</v>
      </c>
      <c r="E254" s="5"/>
      <c r="F254" s="5"/>
      <c r="G254" s="5"/>
      <c r="H254" s="9" t="s">
        <v>14</v>
      </c>
      <c r="I254" s="9" t="s">
        <v>14</v>
      </c>
      <c r="J254" s="9" t="s">
        <v>14</v>
      </c>
      <c r="K254" s="14" t="s">
        <v>14</v>
      </c>
      <c r="L254" s="14" t="s">
        <v>14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D254" s="15">
        <f>B254</f>
        <v>700000</v>
      </c>
      <c r="AE254" s="21" t="str">
        <f>C254</f>
        <v>—</v>
      </c>
      <c r="AF254" s="21" t="str">
        <f>D254</f>
        <v>—</v>
      </c>
      <c r="AG254" s="18"/>
      <c r="AH254" s="18"/>
      <c r="AI254" s="18"/>
      <c r="AJ254" s="18"/>
      <c r="AL254" s="17"/>
      <c r="AM254" s="17"/>
      <c r="AO254" s="17"/>
      <c r="AP254" s="17"/>
    </row>
    <row r="255" spans="1:42" x14ac:dyDescent="0.55000000000000004">
      <c r="A255" s="4" t="s">
        <v>258</v>
      </c>
      <c r="B255" s="5">
        <v>724451</v>
      </c>
      <c r="C255" s="9" t="s">
        <v>14</v>
      </c>
      <c r="D255" s="9" t="s">
        <v>14</v>
      </c>
      <c r="E255" s="5">
        <v>110643</v>
      </c>
      <c r="F255" s="9" t="s">
        <v>14</v>
      </c>
      <c r="G255" s="9" t="s">
        <v>14</v>
      </c>
      <c r="H255" s="5">
        <v>691818</v>
      </c>
      <c r="I255" s="9" t="s">
        <v>14</v>
      </c>
      <c r="J255" s="9" t="s">
        <v>14</v>
      </c>
      <c r="K255" s="14" t="s">
        <v>14</v>
      </c>
      <c r="L255" s="14" t="s">
        <v>14</v>
      </c>
      <c r="N255" s="5">
        <v>265768</v>
      </c>
      <c r="O255" s="5">
        <v>146622</v>
      </c>
      <c r="P255" s="5">
        <v>220203</v>
      </c>
      <c r="Q255" s="5">
        <v>91858</v>
      </c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D255" s="15">
        <f>SUM(N255:AB255)</f>
        <v>724451</v>
      </c>
      <c r="AE255" s="21" t="str">
        <f>C255</f>
        <v>—</v>
      </c>
      <c r="AF255" s="21" t="str">
        <f>D255</f>
        <v>—</v>
      </c>
      <c r="AH255" s="15">
        <f>AD255-B255</f>
        <v>0</v>
      </c>
      <c r="AI255" s="15"/>
      <c r="AJ255" s="15"/>
      <c r="AL255" s="17"/>
      <c r="AM255" s="17"/>
      <c r="AO255" s="17"/>
      <c r="AP255" s="17"/>
    </row>
    <row r="256" spans="1:42" x14ac:dyDescent="0.55000000000000004">
      <c r="A256" s="2" t="s">
        <v>259</v>
      </c>
      <c r="B256" s="3"/>
      <c r="C256" s="3"/>
      <c r="D256" s="3"/>
      <c r="E256" s="3"/>
      <c r="F256" s="3"/>
      <c r="G256" s="3"/>
      <c r="H256" s="3"/>
      <c r="I256" s="3"/>
      <c r="J256" s="3"/>
      <c r="K256" s="1"/>
      <c r="L256" s="1"/>
      <c r="N256" s="6" t="s">
        <v>14</v>
      </c>
      <c r="O256" s="6" t="s">
        <v>14</v>
      </c>
      <c r="P256" s="6" t="s">
        <v>14</v>
      </c>
      <c r="Q256" s="6" t="s">
        <v>14</v>
      </c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42" x14ac:dyDescent="0.55000000000000004">
      <c r="A257" s="2" t="s">
        <v>260</v>
      </c>
      <c r="B257" s="3"/>
      <c r="C257" s="3"/>
      <c r="D257" s="3"/>
      <c r="E257" s="3"/>
      <c r="F257" s="3"/>
      <c r="G257" s="3"/>
      <c r="H257" s="3"/>
      <c r="I257" s="3"/>
      <c r="J257" s="3"/>
      <c r="K257" s="1"/>
      <c r="L257" s="1"/>
      <c r="N257" s="6" t="s">
        <v>14</v>
      </c>
      <c r="O257" s="6" t="s">
        <v>14</v>
      </c>
      <c r="P257" s="6" t="s">
        <v>14</v>
      </c>
      <c r="Q257" s="6" t="s">
        <v>14</v>
      </c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42" x14ac:dyDescent="0.55000000000000004">
      <c r="A258" s="4" t="s">
        <v>261</v>
      </c>
      <c r="B258" s="5">
        <v>576578</v>
      </c>
      <c r="C258" s="9" t="s">
        <v>14</v>
      </c>
      <c r="D258" s="9" t="s">
        <v>14</v>
      </c>
      <c r="E258" s="9" t="s">
        <v>14</v>
      </c>
      <c r="F258" s="9" t="s">
        <v>14</v>
      </c>
      <c r="G258" s="9" t="s">
        <v>14</v>
      </c>
      <c r="H258" s="5">
        <v>576789</v>
      </c>
      <c r="I258" s="5">
        <v>9731</v>
      </c>
      <c r="J258" s="5">
        <v>9045</v>
      </c>
      <c r="K258" s="14" t="s">
        <v>14</v>
      </c>
      <c r="L258" s="14" t="s">
        <v>14</v>
      </c>
      <c r="N258" s="9" t="s">
        <v>14</v>
      </c>
      <c r="O258" s="9" t="s">
        <v>14</v>
      </c>
      <c r="P258" s="9" t="s">
        <v>14</v>
      </c>
      <c r="Q258" s="9" t="s">
        <v>14</v>
      </c>
      <c r="R258" s="9" t="s">
        <v>14</v>
      </c>
      <c r="S258" s="5"/>
      <c r="T258" s="5"/>
      <c r="U258" s="5"/>
      <c r="V258" s="5"/>
      <c r="W258" s="5"/>
      <c r="X258" s="5"/>
      <c r="Y258" s="5"/>
      <c r="Z258" s="5"/>
      <c r="AA258" s="5"/>
      <c r="AB258" s="5"/>
      <c r="AD258" s="15">
        <f>B258</f>
        <v>576578</v>
      </c>
      <c r="AE258" s="21" t="str">
        <f>C258</f>
        <v>—</v>
      </c>
      <c r="AF258" s="21" t="str">
        <f>D258</f>
        <v>—</v>
      </c>
      <c r="AH258" s="15">
        <f>AD258-B258</f>
        <v>0</v>
      </c>
      <c r="AI258" s="15"/>
      <c r="AJ258" s="15"/>
      <c r="AL258" s="17"/>
      <c r="AM258" s="17"/>
      <c r="AO258" s="17"/>
      <c r="AP258" s="17"/>
    </row>
    <row r="259" spans="1:42" x14ac:dyDescent="0.55000000000000004">
      <c r="A259" s="2" t="s">
        <v>262</v>
      </c>
      <c r="B259" s="3"/>
      <c r="C259" s="3"/>
      <c r="D259" s="3"/>
      <c r="E259" s="3"/>
      <c r="F259" s="3"/>
      <c r="G259" s="3"/>
      <c r="H259" s="3"/>
      <c r="I259" s="3"/>
      <c r="J259" s="3"/>
      <c r="K259" s="1"/>
      <c r="L259" s="1"/>
      <c r="N259" s="6" t="s">
        <v>14</v>
      </c>
      <c r="O259" s="6" t="s">
        <v>14</v>
      </c>
      <c r="P259" s="6" t="s">
        <v>14</v>
      </c>
      <c r="Q259" s="6" t="s">
        <v>14</v>
      </c>
      <c r="R259" s="6" t="s">
        <v>14</v>
      </c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42" x14ac:dyDescent="0.55000000000000004">
      <c r="A260" s="2" t="s">
        <v>263</v>
      </c>
      <c r="B260" s="3"/>
      <c r="C260" s="3"/>
      <c r="D260" s="3"/>
      <c r="E260" s="3"/>
      <c r="F260" s="3"/>
      <c r="G260" s="3"/>
      <c r="H260" s="3"/>
      <c r="I260" s="3"/>
      <c r="J260" s="3"/>
      <c r="K260" s="1"/>
      <c r="L260" s="1"/>
      <c r="N260" s="6" t="s">
        <v>14</v>
      </c>
      <c r="O260" s="6" t="s">
        <v>14</v>
      </c>
      <c r="P260" s="6" t="s">
        <v>14</v>
      </c>
      <c r="Q260" s="6" t="s">
        <v>14</v>
      </c>
      <c r="R260" s="6" t="s">
        <v>14</v>
      </c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42" x14ac:dyDescent="0.55000000000000004">
      <c r="A261" s="4" t="s">
        <v>264</v>
      </c>
      <c r="B261" s="5">
        <v>671012</v>
      </c>
      <c r="C261" s="5">
        <v>16291</v>
      </c>
      <c r="D261" s="5">
        <v>12156</v>
      </c>
      <c r="E261" s="9" t="s">
        <v>14</v>
      </c>
      <c r="F261" s="9" t="s">
        <v>14</v>
      </c>
      <c r="G261" s="9" t="s">
        <v>14</v>
      </c>
      <c r="H261" s="5">
        <v>613102</v>
      </c>
      <c r="I261" s="5">
        <v>10384</v>
      </c>
      <c r="J261" s="5">
        <v>7267</v>
      </c>
      <c r="K261" s="14">
        <v>24.3</v>
      </c>
      <c r="L261" s="14">
        <v>16.600000000000001</v>
      </c>
      <c r="N261" s="5">
        <v>198797</v>
      </c>
      <c r="O261" s="5">
        <v>79701</v>
      </c>
      <c r="P261" s="5">
        <v>80742</v>
      </c>
      <c r="Q261" s="5">
        <v>110671</v>
      </c>
      <c r="R261" s="5">
        <v>101421</v>
      </c>
      <c r="S261" s="5">
        <v>99680</v>
      </c>
      <c r="T261" s="5"/>
      <c r="U261" s="5"/>
      <c r="V261" s="5"/>
      <c r="W261" s="5"/>
      <c r="X261" s="5"/>
      <c r="Y261" s="5"/>
      <c r="Z261" s="5"/>
      <c r="AA261" s="5"/>
      <c r="AB261" s="5"/>
      <c r="AD261" s="15">
        <f>SUM(N261:AB261)</f>
        <v>671012</v>
      </c>
      <c r="AE261" s="15">
        <f>SUM(N262:AB262)</f>
        <v>16291</v>
      </c>
      <c r="AF261" s="15">
        <f>SUM(N263:AB263)</f>
        <v>12156</v>
      </c>
      <c r="AH261" s="15">
        <f>AD261-B261</f>
        <v>0</v>
      </c>
      <c r="AI261" s="15">
        <f>AE261-C261</f>
        <v>0</v>
      </c>
      <c r="AJ261" s="15">
        <f>AF261-D261</f>
        <v>0</v>
      </c>
      <c r="AL261" s="17">
        <f>C261/B261*1000</f>
        <v>24.278254338223459</v>
      </c>
      <c r="AM261" s="17">
        <f>D261/B261*1000</f>
        <v>18.115920430633135</v>
      </c>
      <c r="AO261" s="17">
        <f>AL261-K261</f>
        <v>-2.1745661776542136E-2</v>
      </c>
      <c r="AP261" s="17">
        <f>AM261-L261</f>
        <v>1.515920430633134</v>
      </c>
    </row>
    <row r="262" spans="1:42" x14ac:dyDescent="0.55000000000000004">
      <c r="A262" s="2" t="s">
        <v>265</v>
      </c>
      <c r="B262" s="3"/>
      <c r="C262" s="3"/>
      <c r="D262" s="3"/>
      <c r="E262" s="3"/>
      <c r="F262" s="3"/>
      <c r="G262" s="3"/>
      <c r="H262" s="3"/>
      <c r="I262" s="3"/>
      <c r="J262" s="3"/>
      <c r="K262" s="1"/>
      <c r="L262" s="1"/>
      <c r="N262" s="3">
        <v>5616</v>
      </c>
      <c r="O262" s="3">
        <v>2018</v>
      </c>
      <c r="P262" s="3">
        <v>267</v>
      </c>
      <c r="Q262" s="3">
        <v>3348</v>
      </c>
      <c r="R262" s="3">
        <v>2634</v>
      </c>
      <c r="S262" s="3">
        <v>2408</v>
      </c>
      <c r="T262" s="3"/>
      <c r="U262" s="3"/>
      <c r="V262" s="3"/>
      <c r="W262" s="3"/>
      <c r="X262" s="3"/>
      <c r="Y262" s="3"/>
      <c r="Z262" s="3"/>
      <c r="AA262" s="3"/>
      <c r="AB262" s="3"/>
    </row>
    <row r="263" spans="1:42" x14ac:dyDescent="0.55000000000000004">
      <c r="A263" s="2" t="s">
        <v>266</v>
      </c>
      <c r="B263" s="3"/>
      <c r="C263" s="3"/>
      <c r="D263" s="3"/>
      <c r="E263" s="3"/>
      <c r="F263" s="3"/>
      <c r="G263" s="3"/>
      <c r="H263" s="3"/>
      <c r="I263" s="3"/>
      <c r="J263" s="3"/>
      <c r="K263" s="1"/>
      <c r="L263" s="1"/>
      <c r="N263" s="3">
        <v>4876</v>
      </c>
      <c r="O263" s="3">
        <v>1485</v>
      </c>
      <c r="P263" s="3">
        <v>152</v>
      </c>
      <c r="Q263" s="3">
        <v>2581</v>
      </c>
      <c r="R263" s="3">
        <v>2204</v>
      </c>
      <c r="S263" s="3">
        <v>858</v>
      </c>
      <c r="T263" s="3"/>
      <c r="U263" s="3"/>
      <c r="V263" s="3"/>
      <c r="W263" s="3"/>
      <c r="X263" s="3"/>
      <c r="Y263" s="3"/>
      <c r="Z263" s="3"/>
      <c r="AA263" s="3"/>
      <c r="AB263" s="3"/>
    </row>
    <row r="264" spans="1:42" x14ac:dyDescent="0.55000000000000004">
      <c r="A264" s="4" t="s">
        <v>267</v>
      </c>
      <c r="B264" s="5">
        <v>1143584</v>
      </c>
      <c r="C264" s="9" t="s">
        <v>14</v>
      </c>
      <c r="D264" s="9" t="s">
        <v>14</v>
      </c>
      <c r="E264" s="5">
        <v>132803</v>
      </c>
      <c r="F264" s="9" t="s">
        <v>14</v>
      </c>
      <c r="G264" s="9" t="s">
        <v>14</v>
      </c>
      <c r="H264" s="5">
        <v>1099172</v>
      </c>
      <c r="I264" s="9" t="s">
        <v>14</v>
      </c>
      <c r="J264" s="9" t="s">
        <v>14</v>
      </c>
      <c r="K264" s="14" t="s">
        <v>14</v>
      </c>
      <c r="L264" s="14" t="s">
        <v>14</v>
      </c>
      <c r="N264" s="5">
        <v>372667</v>
      </c>
      <c r="O264" s="5">
        <v>180731</v>
      </c>
      <c r="P264" s="5">
        <v>128375</v>
      </c>
      <c r="Q264" s="5">
        <v>105253</v>
      </c>
      <c r="R264" s="5">
        <v>206948</v>
      </c>
      <c r="S264" s="5">
        <v>149610</v>
      </c>
      <c r="T264" s="5"/>
      <c r="U264" s="5"/>
      <c r="V264" s="5"/>
      <c r="W264" s="5"/>
      <c r="X264" s="5"/>
      <c r="Y264" s="5"/>
      <c r="Z264" s="5"/>
      <c r="AA264" s="5"/>
      <c r="AB264" s="5"/>
      <c r="AD264" s="15">
        <f>SUM(N264:AB264)</f>
        <v>1143584</v>
      </c>
      <c r="AE264" s="21" t="str">
        <f>C264</f>
        <v>—</v>
      </c>
      <c r="AF264" s="21" t="str">
        <f>D264</f>
        <v>—</v>
      </c>
      <c r="AH264" s="15">
        <f>AD264-B264</f>
        <v>0</v>
      </c>
      <c r="AI264" s="15"/>
      <c r="AJ264" s="15"/>
      <c r="AL264" s="17"/>
      <c r="AM264" s="17"/>
      <c r="AO264" s="17"/>
      <c r="AP264" s="17"/>
    </row>
    <row r="265" spans="1:42" x14ac:dyDescent="0.55000000000000004">
      <c r="A265" s="2" t="s">
        <v>268</v>
      </c>
      <c r="B265" s="3"/>
      <c r="C265" s="3"/>
      <c r="D265" s="3"/>
      <c r="E265" s="3"/>
      <c r="F265" s="3"/>
      <c r="G265" s="3"/>
      <c r="H265" s="3"/>
      <c r="I265" s="3"/>
      <c r="J265" s="3"/>
      <c r="K265" s="1"/>
      <c r="L265" s="1"/>
      <c r="N265" s="6" t="s">
        <v>14</v>
      </c>
      <c r="O265" s="6" t="s">
        <v>14</v>
      </c>
      <c r="P265" s="6" t="s">
        <v>14</v>
      </c>
      <c r="Q265" s="6" t="s">
        <v>14</v>
      </c>
      <c r="R265" s="6" t="s">
        <v>14</v>
      </c>
      <c r="S265" s="6" t="s">
        <v>14</v>
      </c>
      <c r="T265" s="3"/>
      <c r="U265" s="3"/>
      <c r="V265" s="3"/>
      <c r="W265" s="3"/>
      <c r="X265" s="3"/>
      <c r="Y265" s="3"/>
      <c r="Z265" s="3"/>
      <c r="AA265" s="3"/>
      <c r="AB265" s="3"/>
    </row>
    <row r="266" spans="1:42" x14ac:dyDescent="0.55000000000000004">
      <c r="A266" s="2" t="s">
        <v>269</v>
      </c>
      <c r="B266" s="3"/>
      <c r="C266" s="3"/>
      <c r="D266" s="3"/>
      <c r="E266" s="3"/>
      <c r="F266" s="3"/>
      <c r="G266" s="3"/>
      <c r="H266" s="3"/>
      <c r="I266" s="3"/>
      <c r="J266" s="3"/>
      <c r="K266" s="1"/>
      <c r="L266" s="1"/>
      <c r="N266" s="6" t="s">
        <v>14</v>
      </c>
      <c r="O266" s="6" t="s">
        <v>14</v>
      </c>
      <c r="P266" s="6" t="s">
        <v>14</v>
      </c>
      <c r="Q266" s="6" t="s">
        <v>14</v>
      </c>
      <c r="R266" s="6" t="s">
        <v>14</v>
      </c>
      <c r="S266" s="6" t="s">
        <v>14</v>
      </c>
      <c r="T266" s="3"/>
      <c r="U266" s="3"/>
      <c r="V266" s="3"/>
      <c r="W266" s="3"/>
      <c r="X266" s="3"/>
      <c r="Y266" s="3"/>
      <c r="Z266" s="3"/>
      <c r="AA266" s="3"/>
      <c r="AB266" s="3"/>
    </row>
    <row r="267" spans="1:42" x14ac:dyDescent="0.55000000000000004">
      <c r="A267" s="4" t="s">
        <v>270</v>
      </c>
      <c r="B267" s="5">
        <v>370651</v>
      </c>
      <c r="C267" s="5">
        <v>7756</v>
      </c>
      <c r="D267" s="5">
        <v>5144</v>
      </c>
      <c r="E267" s="9" t="s">
        <v>14</v>
      </c>
      <c r="F267" s="9" t="s">
        <v>14</v>
      </c>
      <c r="G267" s="9" t="s">
        <v>14</v>
      </c>
      <c r="H267" s="5">
        <v>347121</v>
      </c>
      <c r="I267" s="5">
        <v>1334</v>
      </c>
      <c r="J267" s="5">
        <v>831</v>
      </c>
      <c r="K267" s="14" t="s">
        <v>14</v>
      </c>
      <c r="L267" s="14" t="s">
        <v>14</v>
      </c>
      <c r="N267" s="5">
        <v>69325</v>
      </c>
      <c r="O267" s="5">
        <v>91120</v>
      </c>
      <c r="P267" s="5">
        <v>80184</v>
      </c>
      <c r="Q267" s="5">
        <v>129722</v>
      </c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D267" s="15">
        <f>SUM(N267:AB267)</f>
        <v>370351</v>
      </c>
      <c r="AE267" s="15">
        <f>SUM(N268:AB268)</f>
        <v>7756</v>
      </c>
      <c r="AF267" s="15">
        <f>SUM(N269:AB269)</f>
        <v>5144</v>
      </c>
      <c r="AH267" s="15">
        <f>AD267-B267</f>
        <v>-300</v>
      </c>
      <c r="AI267" s="15">
        <f>AE267-C267</f>
        <v>0</v>
      </c>
      <c r="AJ267" s="15">
        <f>AF267-D267</f>
        <v>0</v>
      </c>
      <c r="AL267" s="17">
        <f>C267/B267*1000</f>
        <v>20.925344866194884</v>
      </c>
      <c r="AM267" s="17">
        <f>D267/B267*1000</f>
        <v>13.878284423892016</v>
      </c>
      <c r="AO267" s="17"/>
      <c r="AP267" s="17"/>
    </row>
    <row r="268" spans="1:42" x14ac:dyDescent="0.55000000000000004">
      <c r="A268" s="2" t="s">
        <v>271</v>
      </c>
      <c r="B268" s="3"/>
      <c r="C268" s="3"/>
      <c r="D268" s="3"/>
      <c r="E268" s="3"/>
      <c r="F268" s="3"/>
      <c r="G268" s="3"/>
      <c r="H268" s="3"/>
      <c r="I268" s="3"/>
      <c r="J268" s="3"/>
      <c r="K268" s="1"/>
      <c r="L268" s="1"/>
      <c r="N268" s="3">
        <v>1470</v>
      </c>
      <c r="O268" s="3">
        <v>172</v>
      </c>
      <c r="P268" s="3">
        <v>1658</v>
      </c>
      <c r="Q268" s="3">
        <v>4456</v>
      </c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42" x14ac:dyDescent="0.55000000000000004">
      <c r="A269" s="2" t="s">
        <v>272</v>
      </c>
      <c r="B269" s="3"/>
      <c r="C269" s="3"/>
      <c r="D269" s="3"/>
      <c r="E269" s="3"/>
      <c r="F269" s="3"/>
      <c r="G269" s="3"/>
      <c r="H269" s="3"/>
      <c r="I269" s="3"/>
      <c r="J269" s="3"/>
      <c r="K269" s="1"/>
      <c r="L269" s="1"/>
      <c r="N269" s="3">
        <v>1419</v>
      </c>
      <c r="O269" s="3">
        <v>64</v>
      </c>
      <c r="P269" s="3">
        <v>997</v>
      </c>
      <c r="Q269" s="3">
        <v>2664</v>
      </c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42" x14ac:dyDescent="0.55000000000000004">
      <c r="A270" s="4" t="s">
        <v>273</v>
      </c>
      <c r="B270" s="5">
        <v>559552</v>
      </c>
      <c r="C270" s="5">
        <v>8009</v>
      </c>
      <c r="D270" s="5">
        <v>5576</v>
      </c>
      <c r="E270" s="5"/>
      <c r="F270" s="5"/>
      <c r="G270" s="5"/>
      <c r="H270" s="5">
        <v>547081</v>
      </c>
      <c r="I270" s="5">
        <v>5570</v>
      </c>
      <c r="J270" s="5">
        <v>3782</v>
      </c>
      <c r="K270" s="14" t="s">
        <v>14</v>
      </c>
      <c r="L270" s="14" t="s">
        <v>14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D270" s="22">
        <f>B270</f>
        <v>559552</v>
      </c>
      <c r="AE270" s="22">
        <f>C270</f>
        <v>8009</v>
      </c>
      <c r="AF270" s="22">
        <f>D270</f>
        <v>5576</v>
      </c>
      <c r="AG270" s="18"/>
      <c r="AH270" s="18"/>
      <c r="AI270" s="18"/>
      <c r="AJ270" s="18"/>
      <c r="AL270" s="17">
        <f>C270/B270*1000</f>
        <v>14.313236303328376</v>
      </c>
      <c r="AM270" s="17">
        <f>D270/B270*1000</f>
        <v>9.9651149491021389</v>
      </c>
      <c r="AO270" s="17"/>
      <c r="AP270" s="17"/>
    </row>
    <row r="271" spans="1:42" x14ac:dyDescent="0.55000000000000004">
      <c r="A271" s="4" t="s">
        <v>274</v>
      </c>
      <c r="B271" s="5">
        <v>815934</v>
      </c>
      <c r="C271" s="5">
        <v>14229</v>
      </c>
      <c r="D271" s="5">
        <v>9779</v>
      </c>
      <c r="E271" s="9" t="s">
        <v>14</v>
      </c>
      <c r="F271" s="9" t="s">
        <v>14</v>
      </c>
      <c r="G271" s="9" t="s">
        <v>14</v>
      </c>
      <c r="H271" s="5">
        <v>765967</v>
      </c>
      <c r="I271" s="9" t="s">
        <v>14</v>
      </c>
      <c r="J271" s="9" t="s">
        <v>14</v>
      </c>
      <c r="K271" s="14" t="s">
        <v>14</v>
      </c>
      <c r="L271" s="14" t="s">
        <v>14</v>
      </c>
      <c r="N271" s="5">
        <v>183175</v>
      </c>
      <c r="O271" s="5">
        <v>125686</v>
      </c>
      <c r="P271" s="5">
        <v>254000</v>
      </c>
      <c r="Q271" s="9" t="s">
        <v>14</v>
      </c>
      <c r="R271" s="5">
        <v>60462</v>
      </c>
      <c r="S271" s="5"/>
      <c r="T271" s="5"/>
      <c r="U271" s="5"/>
      <c r="V271" s="5"/>
      <c r="W271" s="5"/>
      <c r="X271" s="5"/>
      <c r="Y271" s="5"/>
      <c r="Z271" s="5"/>
      <c r="AA271" s="5"/>
      <c r="AB271" s="5"/>
      <c r="AD271" s="15">
        <f>SUM(N271:AB271)</f>
        <v>623323</v>
      </c>
      <c r="AE271" s="15">
        <f>SUM(N272:AB272)</f>
        <v>14229</v>
      </c>
      <c r="AF271" s="15">
        <f>SUM(N273:AB273)</f>
        <v>9779</v>
      </c>
      <c r="AH271" s="15">
        <f>AD271-B271</f>
        <v>-192611</v>
      </c>
      <c r="AI271" s="15">
        <f>AE271-C271</f>
        <v>0</v>
      </c>
      <c r="AJ271" s="15">
        <f>AF271-D271</f>
        <v>0</v>
      </c>
      <c r="AL271" s="17">
        <f>C271/B271*1000</f>
        <v>17.43891050011398</v>
      </c>
      <c r="AM271" s="17">
        <f>D271/B271*1000</f>
        <v>11.985038005524958</v>
      </c>
      <c r="AO271" s="17"/>
      <c r="AP271" s="17"/>
    </row>
    <row r="272" spans="1:42" x14ac:dyDescent="0.55000000000000004">
      <c r="A272" s="2" t="s">
        <v>275</v>
      </c>
      <c r="B272" s="3"/>
      <c r="C272" s="3"/>
      <c r="D272" s="3"/>
      <c r="E272" s="3"/>
      <c r="F272" s="3"/>
      <c r="G272" s="3"/>
      <c r="H272" s="3"/>
      <c r="I272" s="3"/>
      <c r="J272" s="3"/>
      <c r="K272" s="1"/>
      <c r="L272" s="1"/>
      <c r="N272" s="6" t="s">
        <v>14</v>
      </c>
      <c r="O272" s="3">
        <v>10234</v>
      </c>
      <c r="P272" s="6" t="s">
        <v>14</v>
      </c>
      <c r="Q272" s="6" t="s">
        <v>14</v>
      </c>
      <c r="R272" s="3">
        <v>3995</v>
      </c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42" x14ac:dyDescent="0.55000000000000004">
      <c r="A273" s="2" t="s">
        <v>276</v>
      </c>
      <c r="B273" s="3"/>
      <c r="C273" s="3"/>
      <c r="D273" s="3"/>
      <c r="E273" s="3"/>
      <c r="F273" s="3"/>
      <c r="G273" s="3"/>
      <c r="H273" s="3"/>
      <c r="I273" s="3"/>
      <c r="J273" s="3"/>
      <c r="K273" s="1"/>
      <c r="L273" s="1"/>
      <c r="N273" s="6" t="s">
        <v>14</v>
      </c>
      <c r="O273" s="3">
        <v>6422</v>
      </c>
      <c r="P273" s="6" t="s">
        <v>14</v>
      </c>
      <c r="Q273" s="6" t="s">
        <v>14</v>
      </c>
      <c r="R273" s="3">
        <v>3357</v>
      </c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42" x14ac:dyDescent="0.55000000000000004">
      <c r="A274" s="7" t="s">
        <v>277</v>
      </c>
      <c r="B274" s="8">
        <v>6061936</v>
      </c>
      <c r="C274" s="8">
        <v>62151</v>
      </c>
      <c r="D274" s="8">
        <v>43920</v>
      </c>
      <c r="E274" s="8"/>
      <c r="F274" s="8"/>
      <c r="G274" s="8"/>
      <c r="H274" s="8">
        <v>5820876</v>
      </c>
      <c r="I274" s="8">
        <v>62999</v>
      </c>
      <c r="J274" s="8">
        <v>44387</v>
      </c>
      <c r="K274" s="10">
        <v>27.4</v>
      </c>
      <c r="L274" s="10">
        <v>20</v>
      </c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D274" s="23">
        <f>SUM(AD251:AD273)</f>
        <v>5869025</v>
      </c>
      <c r="AE274" s="23">
        <f>SUM(AE251:AE273)</f>
        <v>62151</v>
      </c>
      <c r="AF274" s="23">
        <f>SUM(AF251:AF273)</f>
        <v>43920</v>
      </c>
      <c r="AH274" s="23">
        <f t="shared" ref="AH274:AJ275" si="8">AD274-B274</f>
        <v>-192911</v>
      </c>
      <c r="AI274" s="23">
        <f t="shared" si="8"/>
        <v>0</v>
      </c>
      <c r="AJ274" s="23">
        <f t="shared" si="8"/>
        <v>0</v>
      </c>
      <c r="AL274" s="24">
        <f>C274/B274*1000</f>
        <v>10.252665155158352</v>
      </c>
      <c r="AM274" s="24">
        <f>D274/B274*1000</f>
        <v>7.2452101110932219</v>
      </c>
      <c r="AO274" s="24">
        <f>AL274-K274</f>
        <v>-17.147334844841644</v>
      </c>
      <c r="AP274" s="24">
        <f>AM274-L274</f>
        <v>-12.754789888906778</v>
      </c>
    </row>
    <row r="275" spans="1:42" x14ac:dyDescent="0.55000000000000004">
      <c r="A275" s="7" t="s">
        <v>278</v>
      </c>
      <c r="B275" s="8">
        <v>114376520</v>
      </c>
      <c r="C275" s="8">
        <v>5125841</v>
      </c>
      <c r="D275" s="8">
        <v>3594541</v>
      </c>
      <c r="E275" s="8"/>
      <c r="F275" s="8"/>
      <c r="G275" s="8"/>
      <c r="H275" s="8">
        <v>111412690</v>
      </c>
      <c r="I275" s="8">
        <v>5000721</v>
      </c>
      <c r="J275" s="8">
        <v>3321278</v>
      </c>
      <c r="K275" s="10">
        <v>46.7</v>
      </c>
      <c r="L275" s="10">
        <v>32.700000000000003</v>
      </c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D275" s="23">
        <f>AD274+AD250+AD224+AD195</f>
        <v>114147750</v>
      </c>
      <c r="AE275" s="23">
        <f>AE274+AE250+AE224+AE195</f>
        <v>5120646</v>
      </c>
      <c r="AF275" s="23">
        <f>AF274+AF250+AF224+AF195</f>
        <v>3594287</v>
      </c>
      <c r="AH275" s="23">
        <f t="shared" si="8"/>
        <v>-228770</v>
      </c>
      <c r="AI275" s="23">
        <f t="shared" si="8"/>
        <v>-5195</v>
      </c>
      <c r="AJ275" s="23">
        <f t="shared" si="8"/>
        <v>-254</v>
      </c>
      <c r="AL275" s="24">
        <f>C275/B275*1000</f>
        <v>44.815500594003034</v>
      </c>
      <c r="AM275" s="24">
        <f>D275/B275*1000</f>
        <v>31.427263218010129</v>
      </c>
      <c r="AO275" s="24">
        <f>AL275-K275</f>
        <v>-1.8844994059969693</v>
      </c>
      <c r="AP275" s="24">
        <f>AM275-L275</f>
        <v>-1.2727367819898738</v>
      </c>
    </row>
  </sheetData>
  <mergeCells count="1">
    <mergeCell ref="N1:AB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2026-07-13T09:20:01Z</dcterms:modified>
</cp:coreProperties>
</file>