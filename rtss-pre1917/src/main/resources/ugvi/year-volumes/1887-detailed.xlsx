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84DDE8F1-A675-450A-A888-6618655ACBFD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8" i="1" l="1"/>
  <c r="W198" i="1"/>
  <c r="V198" i="1"/>
  <c r="X187" i="1"/>
  <c r="W187" i="1"/>
  <c r="V187" i="1"/>
  <c r="X183" i="1"/>
  <c r="W183" i="1"/>
  <c r="V183" i="1"/>
  <c r="X239" i="1"/>
  <c r="W239" i="1"/>
  <c r="V239" i="1"/>
  <c r="X238" i="1"/>
  <c r="W238" i="1"/>
  <c r="V238" i="1"/>
  <c r="X237" i="1"/>
  <c r="W237" i="1"/>
  <c r="V237" i="1"/>
  <c r="X236" i="1"/>
  <c r="W236" i="1"/>
  <c r="V236" i="1"/>
  <c r="X235" i="1"/>
  <c r="W235" i="1"/>
  <c r="V235" i="1"/>
  <c r="X234" i="1"/>
  <c r="W234" i="1"/>
  <c r="V234" i="1"/>
  <c r="X233" i="1"/>
  <c r="W233" i="1"/>
  <c r="V233" i="1"/>
  <c r="X232" i="1"/>
  <c r="W232" i="1"/>
  <c r="V232" i="1"/>
  <c r="X231" i="1"/>
  <c r="X240" i="1" s="1"/>
  <c r="AB240" i="1" s="1"/>
  <c r="W231" i="1"/>
  <c r="W240" i="1" s="1"/>
  <c r="AA240" i="1" s="1"/>
  <c r="V231" i="1"/>
  <c r="V240" i="1" s="1"/>
  <c r="Z240" i="1" s="1"/>
  <c r="X229" i="1"/>
  <c r="W229" i="1"/>
  <c r="V229" i="1"/>
  <c r="X228" i="1"/>
  <c r="W228" i="1"/>
  <c r="V228" i="1"/>
  <c r="X221" i="1"/>
  <c r="W221" i="1"/>
  <c r="V221" i="1"/>
  <c r="X217" i="1"/>
  <c r="W217" i="1"/>
  <c r="V217" i="1"/>
  <c r="X213" i="1"/>
  <c r="X230" i="1" s="1"/>
  <c r="AB230" i="1" s="1"/>
  <c r="W213" i="1"/>
  <c r="W230" i="1" s="1"/>
  <c r="AA230" i="1" s="1"/>
  <c r="V213" i="1"/>
  <c r="X205" i="1"/>
  <c r="W205" i="1"/>
  <c r="V205" i="1"/>
  <c r="X197" i="1"/>
  <c r="W197" i="1"/>
  <c r="V197" i="1"/>
  <c r="X196" i="1"/>
  <c r="W196" i="1"/>
  <c r="V196" i="1"/>
  <c r="X192" i="1"/>
  <c r="W192" i="1"/>
  <c r="V192" i="1"/>
  <c r="X179" i="1"/>
  <c r="W179" i="1"/>
  <c r="V179" i="1"/>
  <c r="X178" i="1"/>
  <c r="W178" i="1"/>
  <c r="V178" i="1"/>
  <c r="X144" i="1"/>
  <c r="W144" i="1"/>
  <c r="V144" i="1"/>
  <c r="X110" i="1"/>
  <c r="W110" i="1"/>
  <c r="V110" i="1"/>
  <c r="X39" i="1"/>
  <c r="X79" i="1" s="1"/>
  <c r="AB79" i="1" s="1"/>
  <c r="W39" i="1"/>
  <c r="W79" i="1" s="1"/>
  <c r="AA79" i="1" s="1"/>
  <c r="V39" i="1"/>
  <c r="V79" i="1" s="1"/>
  <c r="Z79" i="1" s="1"/>
  <c r="X123" i="1"/>
  <c r="W123" i="1"/>
  <c r="V123" i="1"/>
  <c r="X225" i="1"/>
  <c r="AB225" i="1" s="1"/>
  <c r="W225" i="1"/>
  <c r="AA225" i="1" s="1"/>
  <c r="V225" i="1"/>
  <c r="Z225" i="1" s="1"/>
  <c r="AB222" i="1"/>
  <c r="X222" i="1"/>
  <c r="W222" i="1"/>
  <c r="AA222" i="1" s="1"/>
  <c r="V222" i="1"/>
  <c r="Z222" i="1" s="1"/>
  <c r="X218" i="1"/>
  <c r="AB218" i="1" s="1"/>
  <c r="W218" i="1"/>
  <c r="AA218" i="1" s="1"/>
  <c r="V218" i="1"/>
  <c r="Z218" i="1" s="1"/>
  <c r="X214" i="1"/>
  <c r="AB214" i="1" s="1"/>
  <c r="W214" i="1"/>
  <c r="AA214" i="1" s="1"/>
  <c r="V214" i="1"/>
  <c r="Z214" i="1" s="1"/>
  <c r="X209" i="1"/>
  <c r="AB209" i="1" s="1"/>
  <c r="W209" i="1"/>
  <c r="AA209" i="1" s="1"/>
  <c r="V209" i="1"/>
  <c r="Z209" i="1" s="1"/>
  <c r="AB206" i="1"/>
  <c r="X206" i="1"/>
  <c r="W206" i="1"/>
  <c r="AA206" i="1" s="1"/>
  <c r="V206" i="1"/>
  <c r="Z206" i="1" s="1"/>
  <c r="X202" i="1"/>
  <c r="AB202" i="1" s="1"/>
  <c r="W202" i="1"/>
  <c r="AA202" i="1" s="1"/>
  <c r="V202" i="1"/>
  <c r="Z202" i="1" s="1"/>
  <c r="AA199" i="1"/>
  <c r="X199" i="1"/>
  <c r="AB199" i="1" s="1"/>
  <c r="W199" i="1"/>
  <c r="V199" i="1"/>
  <c r="Z199" i="1" s="1"/>
  <c r="AB193" i="1"/>
  <c r="X193" i="1"/>
  <c r="W193" i="1"/>
  <c r="AA193" i="1" s="1"/>
  <c r="V193" i="1"/>
  <c r="Z193" i="1" s="1"/>
  <c r="X189" i="1"/>
  <c r="AB189" i="1" s="1"/>
  <c r="W189" i="1"/>
  <c r="AA189" i="1" s="1"/>
  <c r="V189" i="1"/>
  <c r="Z189" i="1" s="1"/>
  <c r="X180" i="1"/>
  <c r="AB180" i="1" s="1"/>
  <c r="W180" i="1"/>
  <c r="AA180" i="1" s="1"/>
  <c r="V180" i="1"/>
  <c r="Z180" i="1" s="1"/>
  <c r="AB175" i="1"/>
  <c r="AA175" i="1"/>
  <c r="Z175" i="1"/>
  <c r="X175" i="1"/>
  <c r="W175" i="1"/>
  <c r="V175" i="1"/>
  <c r="X172" i="1"/>
  <c r="AB172" i="1" s="1"/>
  <c r="W172" i="1"/>
  <c r="AA172" i="1" s="1"/>
  <c r="V172" i="1"/>
  <c r="Z172" i="1" s="1"/>
  <c r="X169" i="1"/>
  <c r="AB169" i="1" s="1"/>
  <c r="W169" i="1"/>
  <c r="AA169" i="1" s="1"/>
  <c r="V169" i="1"/>
  <c r="Z169" i="1" s="1"/>
  <c r="X166" i="1"/>
  <c r="AB166" i="1" s="1"/>
  <c r="W166" i="1"/>
  <c r="AA166" i="1" s="1"/>
  <c r="V166" i="1"/>
  <c r="Z166" i="1" s="1"/>
  <c r="X163" i="1"/>
  <c r="AB163" i="1" s="1"/>
  <c r="W163" i="1"/>
  <c r="AA163" i="1" s="1"/>
  <c r="V163" i="1"/>
  <c r="Z163" i="1" s="1"/>
  <c r="Z160" i="1"/>
  <c r="X160" i="1"/>
  <c r="AB160" i="1" s="1"/>
  <c r="W160" i="1"/>
  <c r="AA160" i="1" s="1"/>
  <c r="V160" i="1"/>
  <c r="AA157" i="1"/>
  <c r="X157" i="1"/>
  <c r="AB157" i="1" s="1"/>
  <c r="W157" i="1"/>
  <c r="V157" i="1"/>
  <c r="Z157" i="1" s="1"/>
  <c r="X154" i="1"/>
  <c r="AB154" i="1" s="1"/>
  <c r="W154" i="1"/>
  <c r="AA154" i="1" s="1"/>
  <c r="V154" i="1"/>
  <c r="Z154" i="1" s="1"/>
  <c r="AA151" i="1"/>
  <c r="Z151" i="1"/>
  <c r="X151" i="1"/>
  <c r="AB151" i="1" s="1"/>
  <c r="W151" i="1"/>
  <c r="V151" i="1"/>
  <c r="X148" i="1"/>
  <c r="AB148" i="1" s="1"/>
  <c r="W148" i="1"/>
  <c r="AA148" i="1" s="1"/>
  <c r="V148" i="1"/>
  <c r="Z148" i="1" s="1"/>
  <c r="X145" i="1"/>
  <c r="AB145" i="1" s="1"/>
  <c r="W145" i="1"/>
  <c r="AA145" i="1" s="1"/>
  <c r="V145" i="1"/>
  <c r="Z145" i="1" s="1"/>
  <c r="X141" i="1"/>
  <c r="AB141" i="1" s="1"/>
  <c r="W141" i="1"/>
  <c r="AA141" i="1" s="1"/>
  <c r="V141" i="1"/>
  <c r="Z141" i="1" s="1"/>
  <c r="X138" i="1"/>
  <c r="AB138" i="1" s="1"/>
  <c r="W138" i="1"/>
  <c r="AA138" i="1" s="1"/>
  <c r="V138" i="1"/>
  <c r="Z138" i="1" s="1"/>
  <c r="Z135" i="1"/>
  <c r="X135" i="1"/>
  <c r="AB135" i="1" s="1"/>
  <c r="W135" i="1"/>
  <c r="AA135" i="1" s="1"/>
  <c r="V135" i="1"/>
  <c r="X132" i="1"/>
  <c r="AB132" i="1" s="1"/>
  <c r="W132" i="1"/>
  <c r="AA132" i="1" s="1"/>
  <c r="V132" i="1"/>
  <c r="Z132" i="1" s="1"/>
  <c r="X129" i="1"/>
  <c r="AB129" i="1" s="1"/>
  <c r="W129" i="1"/>
  <c r="AA129" i="1" s="1"/>
  <c r="V129" i="1"/>
  <c r="Z129" i="1" s="1"/>
  <c r="X126" i="1"/>
  <c r="AB126" i="1" s="1"/>
  <c r="W126" i="1"/>
  <c r="AA126" i="1" s="1"/>
  <c r="V126" i="1"/>
  <c r="Z126" i="1" s="1"/>
  <c r="X120" i="1"/>
  <c r="AB120" i="1" s="1"/>
  <c r="W120" i="1"/>
  <c r="AA120" i="1" s="1"/>
  <c r="V120" i="1"/>
  <c r="Z120" i="1" s="1"/>
  <c r="X117" i="1"/>
  <c r="AB117" i="1" s="1"/>
  <c r="W117" i="1"/>
  <c r="AA117" i="1" s="1"/>
  <c r="V117" i="1"/>
  <c r="Z117" i="1" s="1"/>
  <c r="AA114" i="1"/>
  <c r="X114" i="1"/>
  <c r="AB114" i="1" s="1"/>
  <c r="W114" i="1"/>
  <c r="V114" i="1"/>
  <c r="Z114" i="1" s="1"/>
  <c r="X111" i="1"/>
  <c r="AB111" i="1" s="1"/>
  <c r="W111" i="1"/>
  <c r="AA111" i="1" s="1"/>
  <c r="V111" i="1"/>
  <c r="Z111" i="1" s="1"/>
  <c r="Z107" i="1"/>
  <c r="X107" i="1"/>
  <c r="AB107" i="1" s="1"/>
  <c r="W107" i="1"/>
  <c r="AA107" i="1" s="1"/>
  <c r="V107" i="1"/>
  <c r="X104" i="1"/>
  <c r="AB104" i="1" s="1"/>
  <c r="W104" i="1"/>
  <c r="AA104" i="1" s="1"/>
  <c r="V104" i="1"/>
  <c r="Z104" i="1" s="1"/>
  <c r="AA101" i="1"/>
  <c r="X101" i="1"/>
  <c r="AB101" i="1" s="1"/>
  <c r="W101" i="1"/>
  <c r="V101" i="1"/>
  <c r="Z101" i="1" s="1"/>
  <c r="X98" i="1"/>
  <c r="AB98" i="1" s="1"/>
  <c r="W98" i="1"/>
  <c r="AA98" i="1" s="1"/>
  <c r="V98" i="1"/>
  <c r="Z98" i="1" s="1"/>
  <c r="X95" i="1"/>
  <c r="AB95" i="1" s="1"/>
  <c r="W95" i="1"/>
  <c r="AA95" i="1" s="1"/>
  <c r="V95" i="1"/>
  <c r="Z95" i="1" s="1"/>
  <c r="AA92" i="1"/>
  <c r="X92" i="1"/>
  <c r="AB92" i="1" s="1"/>
  <c r="W92" i="1"/>
  <c r="V92" i="1"/>
  <c r="Z92" i="1" s="1"/>
  <c r="X89" i="1"/>
  <c r="AB89" i="1" s="1"/>
  <c r="W89" i="1"/>
  <c r="AA89" i="1" s="1"/>
  <c r="V89" i="1"/>
  <c r="Z89" i="1" s="1"/>
  <c r="X86" i="1"/>
  <c r="AB86" i="1" s="1"/>
  <c r="W86" i="1"/>
  <c r="AA86" i="1" s="1"/>
  <c r="V86" i="1"/>
  <c r="Z86" i="1" s="1"/>
  <c r="X83" i="1"/>
  <c r="AB83" i="1" s="1"/>
  <c r="W83" i="1"/>
  <c r="AA83" i="1" s="1"/>
  <c r="V83" i="1"/>
  <c r="Z83" i="1" s="1"/>
  <c r="X80" i="1"/>
  <c r="AB80" i="1" s="1"/>
  <c r="W80" i="1"/>
  <c r="AA80" i="1" s="1"/>
  <c r="V80" i="1"/>
  <c r="Z80" i="1" s="1"/>
  <c r="X76" i="1"/>
  <c r="AB76" i="1" s="1"/>
  <c r="W76" i="1"/>
  <c r="AA76" i="1" s="1"/>
  <c r="V76" i="1"/>
  <c r="Z76" i="1" s="1"/>
  <c r="X73" i="1"/>
  <c r="AB73" i="1" s="1"/>
  <c r="W73" i="1"/>
  <c r="AA73" i="1" s="1"/>
  <c r="V73" i="1"/>
  <c r="Z73" i="1" s="1"/>
  <c r="X70" i="1"/>
  <c r="AB70" i="1" s="1"/>
  <c r="W70" i="1"/>
  <c r="AA70" i="1" s="1"/>
  <c r="V70" i="1"/>
  <c r="Z70" i="1" s="1"/>
  <c r="X67" i="1"/>
  <c r="AB67" i="1" s="1"/>
  <c r="W67" i="1"/>
  <c r="AA67" i="1" s="1"/>
  <c r="V67" i="1"/>
  <c r="Z67" i="1" s="1"/>
  <c r="X64" i="1"/>
  <c r="AB64" i="1" s="1"/>
  <c r="W64" i="1"/>
  <c r="AA64" i="1" s="1"/>
  <c r="V64" i="1"/>
  <c r="Z64" i="1" s="1"/>
  <c r="AB61" i="1"/>
  <c r="AA61" i="1"/>
  <c r="X61" i="1"/>
  <c r="W61" i="1"/>
  <c r="V61" i="1"/>
  <c r="Z61" i="1" s="1"/>
  <c r="X58" i="1"/>
  <c r="AB58" i="1" s="1"/>
  <c r="W58" i="1"/>
  <c r="AA58" i="1" s="1"/>
  <c r="V58" i="1"/>
  <c r="Z58" i="1" s="1"/>
  <c r="X55" i="1"/>
  <c r="AB55" i="1" s="1"/>
  <c r="W55" i="1"/>
  <c r="AA55" i="1" s="1"/>
  <c r="V55" i="1"/>
  <c r="Z55" i="1" s="1"/>
  <c r="X52" i="1"/>
  <c r="AB52" i="1" s="1"/>
  <c r="W52" i="1"/>
  <c r="AA52" i="1" s="1"/>
  <c r="V52" i="1"/>
  <c r="Z52" i="1" s="1"/>
  <c r="X49" i="1"/>
  <c r="AB49" i="1" s="1"/>
  <c r="W49" i="1"/>
  <c r="AA49" i="1" s="1"/>
  <c r="V49" i="1"/>
  <c r="Z49" i="1" s="1"/>
  <c r="AA46" i="1"/>
  <c r="X46" i="1"/>
  <c r="AB46" i="1" s="1"/>
  <c r="W46" i="1"/>
  <c r="V46" i="1"/>
  <c r="Z46" i="1" s="1"/>
  <c r="X43" i="1"/>
  <c r="AB43" i="1" s="1"/>
  <c r="W43" i="1"/>
  <c r="AA43" i="1" s="1"/>
  <c r="V43" i="1"/>
  <c r="Z43" i="1" s="1"/>
  <c r="X40" i="1"/>
  <c r="AB40" i="1" s="1"/>
  <c r="W40" i="1"/>
  <c r="AA40" i="1" s="1"/>
  <c r="V40" i="1"/>
  <c r="Z40" i="1" s="1"/>
  <c r="AA35" i="1"/>
  <c r="X35" i="1"/>
  <c r="AB35" i="1" s="1"/>
  <c r="W35" i="1"/>
  <c r="V35" i="1"/>
  <c r="Z35" i="1" s="1"/>
  <c r="Z32" i="1"/>
  <c r="X32" i="1"/>
  <c r="AB32" i="1" s="1"/>
  <c r="W32" i="1"/>
  <c r="AA32" i="1" s="1"/>
  <c r="V32" i="1"/>
  <c r="X29" i="1"/>
  <c r="AB29" i="1" s="1"/>
  <c r="W29" i="1"/>
  <c r="AA29" i="1" s="1"/>
  <c r="V29" i="1"/>
  <c r="Z29" i="1" s="1"/>
  <c r="X26" i="1"/>
  <c r="AB26" i="1" s="1"/>
  <c r="W26" i="1"/>
  <c r="AA26" i="1" s="1"/>
  <c r="V26" i="1"/>
  <c r="Z26" i="1" s="1"/>
  <c r="X23" i="1"/>
  <c r="AB23" i="1" s="1"/>
  <c r="W23" i="1"/>
  <c r="AA23" i="1" s="1"/>
  <c r="V23" i="1"/>
  <c r="Z23" i="1" s="1"/>
  <c r="X20" i="1"/>
  <c r="AB20" i="1" s="1"/>
  <c r="W20" i="1"/>
  <c r="AA20" i="1" s="1"/>
  <c r="V20" i="1"/>
  <c r="Z20" i="1" s="1"/>
  <c r="X17" i="1"/>
  <c r="AB17" i="1" s="1"/>
  <c r="W17" i="1"/>
  <c r="AA17" i="1" s="1"/>
  <c r="V17" i="1"/>
  <c r="Z17" i="1" s="1"/>
  <c r="X14" i="1"/>
  <c r="AB14" i="1" s="1"/>
  <c r="W14" i="1"/>
  <c r="AA14" i="1" s="1"/>
  <c r="V14" i="1"/>
  <c r="Z14" i="1" s="1"/>
  <c r="X11" i="1"/>
  <c r="AB11" i="1" s="1"/>
  <c r="W11" i="1"/>
  <c r="AA11" i="1" s="1"/>
  <c r="V11" i="1"/>
  <c r="Z11" i="1" s="1"/>
  <c r="AB8" i="1"/>
  <c r="X8" i="1"/>
  <c r="W8" i="1"/>
  <c r="AA8" i="1" s="1"/>
  <c r="V8" i="1"/>
  <c r="Z8" i="1" s="1"/>
  <c r="X5" i="1"/>
  <c r="AB5" i="1" s="1"/>
  <c r="W5" i="1"/>
  <c r="AA5" i="1" s="1"/>
  <c r="V5" i="1"/>
  <c r="Z5" i="1" s="1"/>
  <c r="AB2" i="1"/>
  <c r="X2" i="1"/>
  <c r="X38" i="1" s="1"/>
  <c r="AB38" i="1" s="1"/>
  <c r="W2" i="1"/>
  <c r="W38" i="1" s="1"/>
  <c r="V2" i="1"/>
  <c r="V38" i="1" s="1"/>
  <c r="W188" i="1" l="1"/>
  <c r="AA38" i="1"/>
  <c r="Z38" i="1"/>
  <c r="W212" i="1"/>
  <c r="AA212" i="1" s="1"/>
  <c r="X212" i="1"/>
  <c r="AB212" i="1" s="1"/>
  <c r="V230" i="1"/>
  <c r="Z230" i="1" s="1"/>
  <c r="V186" i="1"/>
  <c r="Z186" i="1" s="1"/>
  <c r="W186" i="1"/>
  <c r="AA186" i="1" s="1"/>
  <c r="X186" i="1"/>
  <c r="AB186" i="1" s="1"/>
  <c r="Z2" i="1"/>
  <c r="X188" i="1"/>
  <c r="AA2" i="1"/>
  <c r="V212" i="1"/>
  <c r="Z212" i="1" s="1"/>
  <c r="X241" i="1"/>
  <c r="AB241" i="1" s="1"/>
  <c r="AB188" i="1"/>
  <c r="W241" i="1" l="1"/>
  <c r="AA241" i="1" s="1"/>
  <c r="AA188" i="1"/>
  <c r="V188" i="1"/>
  <c r="V241" i="1" l="1"/>
  <c r="Z241" i="1" s="1"/>
  <c r="Z188" i="1"/>
</calcChain>
</file>

<file path=xl/sharedStrings.xml><?xml version="1.0" encoding="utf-8"?>
<sst xmlns="http://schemas.openxmlformats.org/spreadsheetml/2006/main" count="339" uniqueCount="253">
  <si>
    <t>губ</t>
  </si>
  <si>
    <t>чж</t>
  </si>
  <si>
    <t>чр</t>
  </si>
  <si>
    <t>чу</t>
  </si>
  <si>
    <t>уезды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</si>
  <si>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</si>
  <si>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</si>
  <si>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</si>
  <si>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</si>
  <si>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</si>
  <si>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</si>
  <si>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</si>
  <si>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</si>
  <si>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</si>
  <si>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</si>
  <si>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</si>
  <si>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</si>
  <si>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</si>
  <si>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</si>
  <si>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</si>
  <si>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</si>
  <si>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</si>
  <si>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</si>
  <si>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</si>
  <si>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</si>
  <si>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</si>
  <si>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</si>
  <si>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</si>
  <si>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</si>
  <si>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</si>
  <si>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</si>
  <si>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</si>
  <si>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</si>
  <si>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</si>
  <si>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</si>
  <si>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</si>
  <si>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Итого въ неземскихъ губерніяхъ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</si>
  <si>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</si>
  <si>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</si>
  <si>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</si>
  <si>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</si>
  <si>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</si>
  <si>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</si>
  <si>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</si>
  <si>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</si>
  <si>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</si>
  <si>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</si>
  <si>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</si>
  <si>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</si>
  <si>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</si>
  <si>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</si>
  <si>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</si>
  <si>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</si>
  <si>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</si>
  <si>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</si>
  <si>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</si>
  <si>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</si>
  <si>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</si>
  <si>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</si>
  <si>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</si>
  <si>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</si>
  <si>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</si>
  <si>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</si>
  <si>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</si>
  <si>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</si>
  <si>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</si>
  <si>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</si>
  <si>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</si>
  <si>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</si>
  <si>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</si>
  <si>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</si>
  <si>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</si>
  <si>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</si>
  <si>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</si>
  <si>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</si>
  <si>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</si>
  <si>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</si>
  <si>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</si>
  <si>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</si>
  <si>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</si>
  <si>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</si>
  <si>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</si>
  <si>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</si>
  <si>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</si>
  <si>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</si>
  <si>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</si>
  <si>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</si>
  <si>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</si>
  <si>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</si>
  <si>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</si>
  <si>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</si>
  <si>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</si>
  <si>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</si>
  <si>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</si>
  <si>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</si>
  <si>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</si>
  <si>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</si>
  <si>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</si>
  <si>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</si>
  <si>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</si>
  <si>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</si>
  <si>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</si>
  <si>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</si>
  <si>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</si>
  <si>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</si>
  <si>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</si>
  <si>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</si>
  <si>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</si>
  <si>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</si>
  <si>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</si>
  <si>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</si>
  <si>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</si>
  <si>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</si>
  <si>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</si>
  <si>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</si>
  <si>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</si>
  <si>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</si>
  <si>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</si>
  <si>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</si>
  <si>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</si>
  <si>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</si>
  <si>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</si>
  <si>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</si>
  <si>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</si>
  <si>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</si>
  <si>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</si>
  <si>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</si>
  <si>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</si>
  <si>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</si>
  <si>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</si>
  <si>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</si>
  <si>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</si>
  <si>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</si>
  <si>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</si>
  <si>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</si>
  <si>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</si>
  <si>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</si>
  <si>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</si>
  <si>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</si>
  <si>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</si>
  <si>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</si>
  <si>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</si>
  <si>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</si>
  <si>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</si>
  <si>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</si>
  <si>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</si>
  <si>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</si>
  <si>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</si>
  <si>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</si>
  <si>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</si>
  <si>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</si>
  <si>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</si>
  <si>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</si>
  <si>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</si>
  <si>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</si>
  <si>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</si>
  <si>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</si>
  <si>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</si>
  <si>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</si>
  <si>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</si>
  <si>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</si>
  <si>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</si>
  <si>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</si>
  <si>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</si>
  <si>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</si>
  <si>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</si>
  <si>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</si>
  <si>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</si>
  <si>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</si>
  <si>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</si>
  <si>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</si>
  <si>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</si>
  <si>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</si>
  <si>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</si>
  <si>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</si>
  <si>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</si>
  <si>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</si>
  <si>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</si>
  <si>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</si>
  <si>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</si>
  <si>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</si>
  <si>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</si>
  <si>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</si>
  <si>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въ земскихъ губерніяхъ</t>
  </si>
  <si>
    <t>Обл. Войска Донского</t>
  </si>
  <si>
    <t>Итого въ Европейской Россіи</t>
  </si>
  <si>
    <t>Бакинская</t>
  </si>
  <si>
    <t>[Бакинская род.]</t>
  </si>
  <si>
    <t>[Бакинская ум.]</t>
  </si>
  <si>
    <t>Дагестанская обл.</t>
  </si>
  <si>
    <t>Елисаветпольская</t>
  </si>
  <si>
    <t>[Елисаветпольская род.]</t>
  </si>
  <si>
    <t>[Елисаветпольская ум.]</t>
  </si>
  <si>
    <t>Карсская обл.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</si>
  <si>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</si>
  <si>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</si>
  <si>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</si>
  <si>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</si>
  <si>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</si>
  <si>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</si>
  <si>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обл.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</si>
  <si>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</si>
  <si>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</si>
  <si>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</si>
  <si>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</si>
  <si>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</si>
  <si>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</si>
  <si>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Кавказѣ</t>
  </si>
  <si>
    <t>Амурская обл.</t>
  </si>
  <si>
    <t>Енисейская</t>
  </si>
  <si>
    <t>[Енисейская род.]</t>
  </si>
  <si>
    <t>[Енисейская ум.]</t>
  </si>
  <si>
    <t>Забайкальская обл.</t>
  </si>
  <si>
    <t>Иркутская</t>
  </si>
  <si>
    <t>[Иркутская род.]</t>
  </si>
  <si>
    <t>[Иркутская ум.]</t>
  </si>
  <si>
    <t>Приморская обл.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</si>
  <si>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</si>
  <si>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</si>
  <si>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</si>
  <si>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</si>
  <si>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</si>
  <si>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</si>
  <si>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обл.</t>
  </si>
  <si>
    <t>Остр. Сахалинъ</t>
  </si>
  <si>
    <t>Итого въ Сибири</t>
  </si>
  <si>
    <t>Акмолинская обл.</t>
  </si>
  <si>
    <t>Закаспийская обл.</t>
  </si>
  <si>
    <t>Семипалатинская обл.</t>
  </si>
  <si>
    <t>Семиреченская обл.</t>
  </si>
  <si>
    <t>Сыр-Дарьинская обл.</t>
  </si>
  <si>
    <t>Самаркандская обл.</t>
  </si>
  <si>
    <t>Уральская обл.</t>
  </si>
  <si>
    <t>Ферганская обл.</t>
  </si>
  <si>
    <t>Итого въ Средне-Азіатскихъ обл.</t>
  </si>
  <si>
    <t>Итого по всей Имперіи</t>
  </si>
  <si>
    <t>Таблица из ежегодника УГВИ стр. 56-127</t>
  </si>
  <si>
    <t>Оренбургская</t>
  </si>
  <si>
    <t>Подольская</t>
  </si>
  <si>
    <t>[Подольская ум.]</t>
  </si>
  <si>
    <t>[Подольская род.]</t>
  </si>
  <si>
    <t>[Оренбургская ум.]</t>
  </si>
  <si>
    <t>[Оренбургская род.]</t>
  </si>
  <si>
    <t>v-чж</t>
  </si>
  <si>
    <t>v-чр</t>
  </si>
  <si>
    <t>v-чу</t>
  </si>
  <si>
    <t>vd-чж</t>
  </si>
  <si>
    <t>vd-чр</t>
  </si>
  <si>
    <t>vd-чу</t>
  </si>
  <si>
    <t>Итого въ Привислянскихъ
и Остзейскихъ губерніяхъ</t>
  </si>
  <si>
    <t>Черноморский окр.</t>
  </si>
  <si>
    <t>Кубанская обл. без Черном.</t>
  </si>
  <si>
    <t>Тургайская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</si>
</sst>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1"/>
  </cellStyleXfs>
  <cellXfs count="94">
    <xf numFmtId="0" fontId="0" fillId="0" borderId="0" xfId="0" applyBorder="1"/>
    <xf numFmtId="0" fontId="0" fillId="0" borderId="1" xfId="0"/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0" applyFon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right" vertical="center"/>
    </xf>
    <xf numFmtId="3" fontId="1" fillId="4" borderId="2" xfId="0" applyNumberFormat="1" applyFont="1" applyFill="1" applyBorder="1" applyAlignment="1">
      <alignment vertical="center"/>
    </xf>
    <xf numFmtId="3" fontId="0" fillId="2" borderId="2" xfId="0" applyNumberFormat="1" applyFill="1" applyBorder="1" applyAlignment="1">
      <alignment vertical="center"/>
    </xf>
    <xf numFmtId="0" fontId="4" fillId="6" borderId="2" xfId="0" applyFont="1" applyFill="1" applyBorder="1" applyAlignment="1">
      <alignment horizontal="left" vertical="center"/>
    </xf>
    <xf numFmtId="3" fontId="5" fillId="6" borderId="2" xfId="0" applyNumberFormat="1" applyFont="1" applyFill="1" applyBorder="1" applyAlignment="1">
      <alignment horizontal="right" vertical="center"/>
    </xf>
    <xf numFmtId="3" fontId="0" fillId="6" borderId="2" xfId="0" applyNumberFormat="1" applyFill="1" applyBorder="1" applyAlignment="1">
      <alignment vertical="center"/>
    </xf>
    <xf numFmtId="3" fontId="0" fillId="6" borderId="2" xfId="0" applyNumberFormat="1" applyFill="1" applyBorder="1" applyAlignment="1">
      <alignment horizontal="right" vertical="center"/>
    </xf>
    <xf numFmtId="3" fontId="0" fillId="0" borderId="2" xfId="0" applyNumberFormat="1" applyBorder="1" applyAlignment="1">
      <alignment vertical="center"/>
    </xf>
    <xf numFmtId="3" fontId="0" fillId="6" borderId="2" xfId="0" applyNumberForma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left" vertical="center"/>
    </xf>
    <xf numFmtId="3" fontId="4" fillId="18" borderId="2" xfId="0" applyNumberFormat="1" applyFont="1" applyFill="1" applyBorder="1" applyAlignment="1">
      <alignment horizontal="right" vertical="center"/>
    </xf>
    <xf numFmtId="3" fontId="1" fillId="18" borderId="2" xfId="0" applyNumberFormat="1" applyFont="1" applyFill="1" applyBorder="1" applyAlignment="1">
      <alignment vertical="center"/>
    </xf>
    <xf numFmtId="3" fontId="0" fillId="18" borderId="2" xfId="0" applyNumberFormat="1" applyFill="1" applyBorder="1" applyAlignment="1">
      <alignment horizontal="right" vertical="center"/>
    </xf>
    <xf numFmtId="3" fontId="0" fillId="18" borderId="2" xfId="0" applyNumberForma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3" fontId="1" fillId="6" borderId="2" xfId="0" applyNumberFormat="1" applyFont="1" applyFill="1" applyBorder="1" applyAlignment="1">
      <alignment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7" fillId="18" borderId="2" xfId="0" applyFont="1" applyFill="1" applyBorder="1" applyAlignment="1">
      <alignment horizontal="left" vertical="center"/>
    </xf>
    <xf numFmtId="3" fontId="0" fillId="18" borderId="2" xfId="0" applyNumberFormat="1" applyFill="1" applyBorder="1"/>
    <xf numFmtId="0" fontId="0" fillId="18" borderId="2" xfId="0" applyFill="1" applyBorder="1" applyAlignment="1">
      <alignment vertical="center"/>
    </xf>
    <xf numFmtId="0" fontId="0" fillId="18" borderId="2" xfId="0" applyFill="1" applyBorder="1"/>
    <xf numFmtId="0" fontId="7" fillId="6" borderId="2" xfId="0" applyFont="1" applyFill="1" applyBorder="1" applyAlignment="1">
      <alignment horizontal="left" vertical="center"/>
    </xf>
    <xf numFmtId="3" fontId="0" fillId="0" borderId="2" xfId="0" applyNumberFormat="1" applyBorder="1"/>
    <xf numFmtId="0" fontId="0" fillId="5" borderId="2" xfId="0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vertic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0" fontId="0" fillId="7" borderId="2" xfId="0" applyFill="1" applyBorder="1" applyAlignment="1">
      <alignment horizontal="left"/>
    </xf>
    <xf numFmtId="3" fontId="0" fillId="7" borderId="2" xfId="0" applyNumberFormat="1" applyFill="1" applyBorder="1" applyAlignment="1">
      <alignment horizontal="right"/>
    </xf>
    <xf numFmtId="0" fontId="0" fillId="7" borderId="2" xfId="0" applyFill="1" applyBorder="1"/>
    <xf numFmtId="0" fontId="0" fillId="9" borderId="2" xfId="0" applyFill="1" applyBorder="1" applyAlignment="1">
      <alignment horizontal="left"/>
    </xf>
    <xf numFmtId="3" fontId="0" fillId="9" borderId="2" xfId="0" applyNumberFormat="1" applyFill="1" applyBorder="1" applyAlignment="1">
      <alignment horizontal="right"/>
    </xf>
    <xf numFmtId="0" fontId="0" fillId="9" borderId="2" xfId="0" applyFill="1" applyBorder="1"/>
    <xf numFmtId="0" fontId="6" fillId="10" borderId="2" xfId="0" applyFont="1" applyFill="1" applyBorder="1" applyAlignment="1">
      <alignment horizontal="left"/>
    </xf>
    <xf numFmtId="3" fontId="6" fillId="10" borderId="2" xfId="0" applyNumberFormat="1" applyFont="1" applyFill="1" applyBorder="1" applyAlignment="1">
      <alignment horizontal="right"/>
    </xf>
    <xf numFmtId="0" fontId="6" fillId="10" borderId="2" xfId="0" applyFont="1" applyFill="1" applyBorder="1"/>
    <xf numFmtId="0" fontId="6" fillId="11" borderId="2" xfId="0" applyFont="1" applyFill="1" applyBorder="1" applyAlignment="1">
      <alignment horizontal="left"/>
    </xf>
    <xf numFmtId="3" fontId="6" fillId="11" borderId="2" xfId="0" applyNumberFormat="1" applyFont="1" applyFill="1" applyBorder="1" applyAlignment="1">
      <alignment horizontal="right"/>
    </xf>
    <xf numFmtId="0" fontId="6" fillId="11" borderId="2" xfId="0" applyFont="1" applyFill="1" applyBorder="1"/>
    <xf numFmtId="3" fontId="6" fillId="10" borderId="2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/>
    </xf>
    <xf numFmtId="0" fontId="0" fillId="12" borderId="2" xfId="0" applyFill="1" applyBorder="1" applyAlignment="1">
      <alignment horizontal="left"/>
    </xf>
    <xf numFmtId="3" fontId="0" fillId="12" borderId="2" xfId="0" applyNumberFormat="1" applyFill="1" applyBorder="1" applyAlignment="1">
      <alignment horizontal="right"/>
    </xf>
    <xf numFmtId="0" fontId="0" fillId="13" borderId="2" xfId="0" applyFill="1" applyBorder="1" applyAlignment="1">
      <alignment horizontal="left"/>
    </xf>
    <xf numFmtId="3" fontId="0" fillId="13" borderId="2" xfId="0" applyNumberFormat="1" applyFill="1" applyBorder="1" applyAlignment="1">
      <alignment horizontal="right"/>
    </xf>
    <xf numFmtId="3" fontId="0" fillId="12" borderId="2" xfId="0" applyNumberFormat="1" applyFill="1" applyBorder="1" applyAlignment="1">
      <alignment horizontal="right" vertical="center"/>
    </xf>
    <xf numFmtId="3" fontId="0" fillId="13" borderId="2" xfId="0" applyNumberFormat="1" applyFill="1" applyBorder="1" applyAlignment="1">
      <alignment horizontal="right" vertical="center"/>
    </xf>
    <xf numFmtId="3" fontId="0" fillId="12" borderId="2" xfId="0" applyNumberFormat="1" applyFill="1" applyBorder="1" applyAlignment="1">
      <alignment horizontal="center" vertical="center"/>
    </xf>
    <xf numFmtId="3" fontId="0" fillId="13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3" fontId="0" fillId="8" borderId="2" xfId="0" applyNumberFormat="1" applyFill="1" applyBorder="1" applyAlignment="1">
      <alignment horizontal="right" vertical="center"/>
    </xf>
    <xf numFmtId="0" fontId="0" fillId="8" borderId="2" xfId="0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3" fontId="0" fillId="14" borderId="2" xfId="0" applyNumberFormat="1" applyFill="1" applyBorder="1" applyAlignment="1">
      <alignment horizontal="right" vertical="center"/>
    </xf>
    <xf numFmtId="3" fontId="0" fillId="14" borderId="2" xfId="0" applyNumberFormat="1" applyFill="1" applyBorder="1" applyAlignment="1">
      <alignment horizontal="right"/>
    </xf>
    <xf numFmtId="0" fontId="0" fillId="6" borderId="2" xfId="0" applyFill="1" applyBorder="1" applyAlignment="1">
      <alignment horizontal="left"/>
    </xf>
    <xf numFmtId="3" fontId="0" fillId="6" borderId="2" xfId="0" applyNumberFormat="1" applyFill="1" applyBorder="1" applyAlignment="1">
      <alignment horizontal="right"/>
    </xf>
    <xf numFmtId="0" fontId="0" fillId="14" borderId="2" xfId="0" applyFill="1" applyBorder="1"/>
    <xf numFmtId="0" fontId="0" fillId="15" borderId="2" xfId="0" applyFill="1" applyBorder="1" applyAlignment="1">
      <alignment horizontal="left"/>
    </xf>
    <xf numFmtId="3" fontId="0" fillId="15" borderId="2" xfId="0" applyNumberFormat="1" applyFill="1" applyBorder="1" applyAlignment="1">
      <alignment horizontal="right"/>
    </xf>
    <xf numFmtId="0" fontId="0" fillId="15" borderId="2" xfId="0" applyFill="1" applyBorder="1"/>
    <xf numFmtId="3" fontId="0" fillId="14" borderId="2" xfId="0" applyNumberFormat="1" applyFill="1" applyBorder="1" applyAlignment="1">
      <alignment horizontal="center"/>
    </xf>
    <xf numFmtId="0" fontId="0" fillId="16" borderId="2" xfId="0" applyFill="1" applyBorder="1"/>
    <xf numFmtId="3" fontId="0" fillId="16" borderId="2" xfId="0" applyNumberFormat="1" applyFill="1" applyBorder="1" applyAlignment="1">
      <alignment horizontal="right"/>
    </xf>
    <xf numFmtId="3" fontId="0" fillId="16" borderId="2" xfId="0" applyNumberFormat="1" applyFill="1" applyBorder="1" applyAlignment="1">
      <alignment horizontal="center"/>
    </xf>
    <xf numFmtId="0" fontId="0" fillId="17" borderId="2" xfId="0" applyFill="1" applyBorder="1"/>
    <xf numFmtId="3" fontId="0" fillId="17" borderId="2" xfId="0" applyNumberFormat="1" applyFill="1" applyBorder="1" applyAlignment="1">
      <alignment horizontal="right"/>
    </xf>
    <xf numFmtId="0" fontId="0" fillId="18" borderId="2" xfId="0" applyFill="1" applyBorder="1" applyAlignment="1">
      <alignment horizontal="left" vertical="center"/>
    </xf>
    <xf numFmtId="0" fontId="0" fillId="19" borderId="2" xfId="0" applyFill="1" applyBorder="1"/>
    <xf numFmtId="0" fontId="0" fillId="18" borderId="2" xfId="0" applyFill="1" applyBorder="1" applyAlignment="1">
      <alignment horizontal="left"/>
    </xf>
    <xf numFmtId="3" fontId="0" fillId="18" borderId="2" xfId="0" applyNumberFormat="1" applyFill="1" applyBorder="1" applyAlignment="1">
      <alignment horizontal="right"/>
    </xf>
    <xf numFmtId="0" fontId="8" fillId="0" borderId="0" xfId="0" applyFont="1" applyBorder="1" applyAlignment="1">
      <alignment horizontal="center"/>
    </xf>
    <xf numFmtId="3" fontId="0" fillId="0" borderId="0" xfId="0" applyNumberFormat="1" applyBorder="1"/>
    <xf numFmtId="3" fontId="0" fillId="0" borderId="0" xfId="0" applyNumberFormat="1" applyBorder="1" applyAlignment="1">
      <alignment horizontal="center"/>
    </xf>
    <xf numFmtId="0" fontId="0" fillId="19" borderId="0" xfId="0" applyFill="1" applyBorder="1"/>
    <xf numFmtId="3" fontId="0" fillId="19" borderId="0" xfId="0" applyNumberFormat="1" applyFill="1" applyBorder="1"/>
    <xf numFmtId="0" fontId="7" fillId="8" borderId="2" xfId="0" applyFont="1" applyFill="1" applyBorder="1" applyAlignment="1">
      <alignment horizontal="left" vertical="center" wrapText="1"/>
    </xf>
    <xf numFmtId="0" fontId="0" fillId="19" borderId="2" xfId="0" applyFill="1" applyBorder="1" applyAlignment="1">
      <alignment vertical="center"/>
    </xf>
    <xf numFmtId="0" fontId="0" fillId="19" borderId="0" xfId="0" applyFill="1" applyBorder="1" applyAlignment="1">
      <alignment vertical="center"/>
    </xf>
    <xf numFmtId="3" fontId="0" fillId="19" borderId="0" xfId="0" applyNumberFormat="1" applyFill="1" applyBorder="1" applyAlignment="1">
      <alignment vertical="center"/>
    </xf>
    <xf numFmtId="3" fontId="6" fillId="20" borderId="2" xfId="0" applyNumberFormat="1" applyFont="1" applyFill="1" applyBorder="1" applyAlignment="1">
      <alignment horizontal="right"/>
    </xf>
    <xf numFmtId="3" fontId="0" fillId="0" borderId="1" xfId="0" applyNumberFormat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1E7D-C1B6-4A57-90D4-C0A6137BD8DE}">
  <dimension ref="A1"/>
  <sheetViews>
    <sheetView workbookViewId="0">
      <selection activeCell="A2" sqref="A2"/>
    </sheetView>
  </sheetViews>
  <sheetFormatPr defaultRowHeight="12.3" x14ac:dyDescent="0.4"/>
  <sheetData>
    <row r="1" spans="1:1" x14ac:dyDescent="0.4">
      <c r="A1" s="1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1"/>
  <sheetViews>
    <sheetView tabSelected="1" workbookViewId="0">
      <pane xSplit="1" ySplit="1" topLeftCell="B204" activePane="bottomRight" state="frozen"/>
      <selection pane="topRight" activeCell="B1" sqref="B1"/>
      <selection pane="bottomLeft" activeCell="A2" sqref="A2"/>
      <selection pane="bottomRight" activeCell="J251" sqref="J251"/>
    </sheetView>
  </sheetViews>
  <sheetFormatPr defaultColWidth="12.609375" defaultRowHeight="12.3" x14ac:dyDescent="0.4"/>
  <cols>
    <col min="1" max="1" width="29.21875" bestFit="1" customWidth="1"/>
    <col min="2" max="2" width="7.27734375" bestFit="1" customWidth="1"/>
    <col min="3" max="4" width="8.83203125" bestFit="1" customWidth="1"/>
    <col min="5" max="5" width="3" customWidth="1"/>
    <col min="6" max="17" width="6.33203125" bestFit="1" customWidth="1"/>
    <col min="18" max="20" width="5.33203125" bestFit="1" customWidth="1"/>
    <col min="21" max="21" width="3.1640625" customWidth="1"/>
    <col min="22" max="22" width="7.27734375" bestFit="1" customWidth="1"/>
    <col min="23" max="24" width="8.83203125" bestFit="1" customWidth="1"/>
    <col min="25" max="25" width="2.609375" customWidth="1"/>
    <col min="26" max="26" width="6.0546875" bestFit="1" customWidth="1"/>
    <col min="27" max="27" width="7.83203125" bestFit="1" customWidth="1"/>
    <col min="28" max="28" width="5.88671875" bestFit="1" customWidth="1"/>
  </cols>
  <sheetData>
    <row r="1" spans="1:28" ht="14.4" x14ac:dyDescent="0.4">
      <c r="A1" s="2" t="s">
        <v>0</v>
      </c>
      <c r="B1" s="2" t="s">
        <v>1</v>
      </c>
      <c r="C1" s="2" t="s">
        <v>2</v>
      </c>
      <c r="D1" s="2" t="s">
        <v>3</v>
      </c>
      <c r="E1" s="3"/>
      <c r="F1" s="92" t="s">
        <v>4</v>
      </c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V1" s="81" t="s">
        <v>243</v>
      </c>
      <c r="W1" s="81" t="s">
        <v>244</v>
      </c>
      <c r="X1" s="81" t="s">
        <v>245</v>
      </c>
      <c r="Y1" s="81"/>
      <c r="Z1" s="81" t="s">
        <v>246</v>
      </c>
      <c r="AA1" s="81" t="s">
        <v>247</v>
      </c>
      <c r="AB1" s="81" t="s">
        <v>248</v>
      </c>
    </row>
    <row r="2" spans="1:28" ht="14.4" x14ac:dyDescent="0.4">
      <c r="A2" s="5" t="s">
        <v>5</v>
      </c>
      <c r="B2" s="6">
        <v>340</v>
      </c>
      <c r="C2" s="6">
        <v>13598</v>
      </c>
      <c r="D2" s="6">
        <v>7763</v>
      </c>
      <c r="E2" s="7"/>
      <c r="F2" s="6">
        <v>55</v>
      </c>
      <c r="G2" s="6">
        <v>36</v>
      </c>
      <c r="H2" s="6">
        <v>9</v>
      </c>
      <c r="I2" s="6">
        <v>51</v>
      </c>
      <c r="J2" s="6">
        <v>40</v>
      </c>
      <c r="K2" s="6">
        <v>29</v>
      </c>
      <c r="L2" s="6">
        <v>40</v>
      </c>
      <c r="M2" s="6">
        <v>80</v>
      </c>
      <c r="N2" s="6"/>
      <c r="O2" s="6"/>
      <c r="P2" s="6"/>
      <c r="Q2" s="6"/>
      <c r="R2" s="8"/>
      <c r="S2" s="8"/>
      <c r="T2" s="8"/>
      <c r="V2" s="82">
        <f>SUM(F2:T2)</f>
        <v>340</v>
      </c>
      <c r="W2" s="82">
        <f>SUM(F3:T3)</f>
        <v>13598</v>
      </c>
      <c r="X2" s="82">
        <f>SUM(F4:T4)</f>
        <v>7763</v>
      </c>
      <c r="Z2" s="82">
        <f>B2-V2</f>
        <v>0</v>
      </c>
      <c r="AA2" s="82">
        <f>C2-W2</f>
        <v>0</v>
      </c>
      <c r="AB2" s="82">
        <f>D2-X2</f>
        <v>0</v>
      </c>
    </row>
    <row r="3" spans="1:28" ht="14.4" x14ac:dyDescent="0.4">
      <c r="A3" s="9" t="s">
        <v>6</v>
      </c>
      <c r="B3" s="10"/>
      <c r="C3" s="10"/>
      <c r="D3" s="10"/>
      <c r="E3" s="11"/>
      <c r="F3" s="12">
        <v>1872</v>
      </c>
      <c r="G3" s="12">
        <v>1213</v>
      </c>
      <c r="H3" s="12">
        <v>295</v>
      </c>
      <c r="I3" s="12">
        <v>2197</v>
      </c>
      <c r="J3" s="12">
        <v>1914</v>
      </c>
      <c r="K3" s="12">
        <v>1223</v>
      </c>
      <c r="L3" s="12">
        <v>1412</v>
      </c>
      <c r="M3" s="12">
        <v>3472</v>
      </c>
      <c r="N3" s="12"/>
      <c r="O3" s="12"/>
      <c r="P3" s="12"/>
      <c r="Q3" s="12"/>
      <c r="R3" s="13"/>
      <c r="S3" s="13"/>
      <c r="T3" s="13"/>
    </row>
    <row r="4" spans="1:28" ht="14.4" x14ac:dyDescent="0.4">
      <c r="A4" s="9" t="s">
        <v>7</v>
      </c>
      <c r="B4" s="10"/>
      <c r="C4" s="10"/>
      <c r="D4" s="10"/>
      <c r="E4" s="11"/>
      <c r="F4" s="12">
        <v>1185</v>
      </c>
      <c r="G4" s="12">
        <v>684</v>
      </c>
      <c r="H4" s="12">
        <v>186</v>
      </c>
      <c r="I4" s="12">
        <v>1297</v>
      </c>
      <c r="J4" s="12">
        <v>963</v>
      </c>
      <c r="K4" s="12">
        <v>681</v>
      </c>
      <c r="L4" s="12">
        <v>755</v>
      </c>
      <c r="M4" s="12">
        <v>2012</v>
      </c>
      <c r="N4" s="12"/>
      <c r="O4" s="12"/>
      <c r="P4" s="12"/>
      <c r="Q4" s="12"/>
      <c r="R4" s="13"/>
      <c r="S4" s="13"/>
      <c r="T4" s="13"/>
    </row>
    <row r="5" spans="1:28" ht="14.4" x14ac:dyDescent="0.4">
      <c r="A5" s="5" t="s">
        <v>8</v>
      </c>
      <c r="B5" s="6">
        <v>933</v>
      </c>
      <c r="C5" s="6">
        <v>27026</v>
      </c>
      <c r="D5" s="6">
        <v>17471</v>
      </c>
      <c r="E5" s="7"/>
      <c r="F5" s="6">
        <v>127</v>
      </c>
      <c r="G5" s="6">
        <v>39</v>
      </c>
      <c r="H5" s="6">
        <v>63</v>
      </c>
      <c r="I5" s="6">
        <v>81</v>
      </c>
      <c r="J5" s="6">
        <v>264</v>
      </c>
      <c r="K5" s="6">
        <v>224</v>
      </c>
      <c r="L5" s="6">
        <v>135</v>
      </c>
      <c r="M5" s="6"/>
      <c r="N5" s="6"/>
      <c r="O5" s="6"/>
      <c r="P5" s="6"/>
      <c r="Q5" s="6"/>
      <c r="R5" s="8"/>
      <c r="S5" s="8"/>
      <c r="T5" s="8"/>
      <c r="V5" s="82">
        <f>SUM(F5:T5)</f>
        <v>933</v>
      </c>
      <c r="W5" s="82">
        <f>SUM(F6:T6)</f>
        <v>27026</v>
      </c>
      <c r="X5" s="82">
        <f>SUM(F7:T7)</f>
        <v>17471</v>
      </c>
      <c r="Z5" s="82">
        <f>B5-V5</f>
        <v>0</v>
      </c>
      <c r="AA5" s="82">
        <f>C5-W5</f>
        <v>0</v>
      </c>
      <c r="AB5" s="82">
        <f>D5-X5</f>
        <v>0</v>
      </c>
    </row>
    <row r="6" spans="1:28" ht="14.4" x14ac:dyDescent="0.4">
      <c r="A6" s="9" t="s">
        <v>9</v>
      </c>
      <c r="B6" s="10"/>
      <c r="C6" s="10"/>
      <c r="D6" s="10"/>
      <c r="E6" s="11"/>
      <c r="F6" s="12">
        <v>7629</v>
      </c>
      <c r="G6" s="12">
        <v>1702</v>
      </c>
      <c r="H6" s="12">
        <v>3579</v>
      </c>
      <c r="I6" s="12">
        <v>5356</v>
      </c>
      <c r="J6" s="12">
        <v>8760</v>
      </c>
      <c r="K6" s="14" t="s">
        <v>10</v>
      </c>
      <c r="L6" s="14" t="s">
        <v>10</v>
      </c>
      <c r="M6" s="12"/>
      <c r="N6" s="12"/>
      <c r="O6" s="12"/>
      <c r="P6" s="12"/>
      <c r="Q6" s="12"/>
      <c r="R6" s="13"/>
      <c r="S6" s="13"/>
      <c r="T6" s="13"/>
    </row>
    <row r="7" spans="1:28" ht="14.4" x14ac:dyDescent="0.4">
      <c r="A7" s="9" t="s">
        <v>11</v>
      </c>
      <c r="B7" s="10"/>
      <c r="C7" s="10"/>
      <c r="D7" s="10"/>
      <c r="E7" s="11"/>
      <c r="F7" s="12">
        <v>5578</v>
      </c>
      <c r="G7" s="12">
        <v>817</v>
      </c>
      <c r="H7" s="12">
        <v>2278</v>
      </c>
      <c r="I7" s="12">
        <v>3240</v>
      </c>
      <c r="J7" s="12">
        <v>5558</v>
      </c>
      <c r="K7" s="14" t="s">
        <v>10</v>
      </c>
      <c r="L7" s="14" t="s">
        <v>10</v>
      </c>
      <c r="M7" s="12"/>
      <c r="N7" s="12"/>
      <c r="O7" s="12"/>
      <c r="P7" s="12"/>
      <c r="Q7" s="12"/>
      <c r="R7" s="13"/>
      <c r="S7" s="13"/>
      <c r="T7" s="13"/>
    </row>
    <row r="8" spans="1:28" ht="14.4" x14ac:dyDescent="0.4">
      <c r="A8" s="15" t="s">
        <v>12</v>
      </c>
      <c r="B8" s="16">
        <v>1305</v>
      </c>
      <c r="C8" s="16">
        <v>53172</v>
      </c>
      <c r="D8" s="16">
        <v>36156</v>
      </c>
      <c r="E8" s="17"/>
      <c r="F8" s="18">
        <v>298</v>
      </c>
      <c r="G8" s="18">
        <v>150</v>
      </c>
      <c r="H8" s="18">
        <v>167</v>
      </c>
      <c r="I8" s="18">
        <v>184</v>
      </c>
      <c r="J8" s="18">
        <v>190</v>
      </c>
      <c r="K8" s="18">
        <v>170</v>
      </c>
      <c r="L8" s="18">
        <v>146</v>
      </c>
      <c r="M8" s="18"/>
      <c r="N8" s="18"/>
      <c r="O8" s="18"/>
      <c r="P8" s="18"/>
      <c r="Q8" s="18"/>
      <c r="R8" s="19"/>
      <c r="S8" s="19"/>
      <c r="T8" s="19"/>
      <c r="V8" s="82">
        <f>SUM(F8:T8)</f>
        <v>1305</v>
      </c>
      <c r="W8" s="82">
        <f>SUM(F9:T9)</f>
        <v>53172</v>
      </c>
      <c r="X8" s="82">
        <f>SUM(F10:T10)</f>
        <v>36156</v>
      </c>
      <c r="Z8" s="82">
        <f>B8-V8</f>
        <v>0</v>
      </c>
      <c r="AA8" s="82">
        <f>C8-W8</f>
        <v>0</v>
      </c>
      <c r="AB8" s="82">
        <f>D8-X8</f>
        <v>0</v>
      </c>
    </row>
    <row r="9" spans="1:28" ht="14.4" x14ac:dyDescent="0.4">
      <c r="A9" s="9" t="s">
        <v>13</v>
      </c>
      <c r="B9" s="20"/>
      <c r="C9" s="20"/>
      <c r="D9" s="20"/>
      <c r="E9" s="21"/>
      <c r="F9" s="12">
        <v>10236</v>
      </c>
      <c r="G9" s="12">
        <v>7660</v>
      </c>
      <c r="H9" s="12">
        <v>7166</v>
      </c>
      <c r="I9" s="12">
        <v>6948</v>
      </c>
      <c r="J9" s="12">
        <v>7730</v>
      </c>
      <c r="K9" s="12">
        <v>7104</v>
      </c>
      <c r="L9" s="12">
        <v>6328</v>
      </c>
      <c r="M9" s="12"/>
      <c r="N9" s="12"/>
      <c r="O9" s="12"/>
      <c r="P9" s="12"/>
      <c r="Q9" s="12"/>
      <c r="R9" s="13"/>
      <c r="S9" s="13"/>
      <c r="T9" s="13"/>
    </row>
    <row r="10" spans="1:28" x14ac:dyDescent="0.4">
      <c r="A10" s="22" t="s">
        <v>14</v>
      </c>
      <c r="B10" s="12"/>
      <c r="C10" s="12"/>
      <c r="D10" s="12"/>
      <c r="E10" s="23"/>
      <c r="F10" s="12">
        <v>7380</v>
      </c>
      <c r="G10" s="12">
        <v>5686</v>
      </c>
      <c r="H10" s="12">
        <v>4599</v>
      </c>
      <c r="I10" s="12">
        <v>4774</v>
      </c>
      <c r="J10" s="12">
        <v>4982</v>
      </c>
      <c r="K10" s="12">
        <v>4272</v>
      </c>
      <c r="L10" s="12">
        <v>4463</v>
      </c>
      <c r="M10" s="12"/>
      <c r="N10" s="12"/>
      <c r="O10" s="12"/>
      <c r="P10" s="12"/>
      <c r="Q10" s="12"/>
      <c r="R10" s="4"/>
      <c r="S10" s="4"/>
      <c r="T10" s="4"/>
    </row>
    <row r="11" spans="1:28" x14ac:dyDescent="0.4">
      <c r="A11" s="77" t="s">
        <v>15</v>
      </c>
      <c r="B11" s="18">
        <v>1276</v>
      </c>
      <c r="C11" s="18">
        <v>50185</v>
      </c>
      <c r="D11" s="18">
        <v>30650</v>
      </c>
      <c r="E11" s="28"/>
      <c r="F11" s="18">
        <v>138</v>
      </c>
      <c r="G11" s="18">
        <v>84</v>
      </c>
      <c r="H11" s="18">
        <v>92</v>
      </c>
      <c r="I11" s="18">
        <v>215</v>
      </c>
      <c r="J11" s="18">
        <v>90</v>
      </c>
      <c r="K11" s="18">
        <v>132</v>
      </c>
      <c r="L11" s="18">
        <v>104</v>
      </c>
      <c r="M11" s="18">
        <v>95</v>
      </c>
      <c r="N11" s="18">
        <v>108</v>
      </c>
      <c r="O11" s="18">
        <v>131</v>
      </c>
      <c r="P11" s="18">
        <v>87</v>
      </c>
      <c r="Q11" s="18"/>
      <c r="R11" s="29"/>
      <c r="S11" s="29"/>
      <c r="T11" s="29"/>
      <c r="V11" s="82">
        <f>SUM(F11:T11)</f>
        <v>1276</v>
      </c>
      <c r="W11" s="82">
        <f>SUM(F12:T12)</f>
        <v>50185</v>
      </c>
      <c r="X11" s="82">
        <f>SUM(F13:T13)</f>
        <v>30650</v>
      </c>
      <c r="Z11" s="82">
        <f>B11-V11</f>
        <v>0</v>
      </c>
      <c r="AA11" s="82">
        <f>C11-W11</f>
        <v>0</v>
      </c>
      <c r="AB11" s="82">
        <f>D11-X11</f>
        <v>0</v>
      </c>
    </row>
    <row r="12" spans="1:28" x14ac:dyDescent="0.4">
      <c r="A12" s="22" t="s">
        <v>16</v>
      </c>
      <c r="B12" s="12"/>
      <c r="C12" s="12"/>
      <c r="D12" s="12"/>
      <c r="E12" s="23"/>
      <c r="F12" s="12">
        <v>5779</v>
      </c>
      <c r="G12" s="12">
        <v>3901</v>
      </c>
      <c r="H12" s="12">
        <v>4320</v>
      </c>
      <c r="I12" s="12">
        <v>5679</v>
      </c>
      <c r="J12" s="12">
        <v>4707</v>
      </c>
      <c r="K12" s="12">
        <v>5305</v>
      </c>
      <c r="L12" s="12">
        <v>4101</v>
      </c>
      <c r="M12" s="12">
        <v>4081</v>
      </c>
      <c r="N12" s="12">
        <v>4939</v>
      </c>
      <c r="O12" s="12">
        <v>3737</v>
      </c>
      <c r="P12" s="12">
        <v>3636</v>
      </c>
      <c r="Q12" s="12"/>
      <c r="R12" s="4"/>
      <c r="S12" s="4"/>
      <c r="T12" s="4"/>
    </row>
    <row r="13" spans="1:28" x14ac:dyDescent="0.4">
      <c r="A13" s="22" t="s">
        <v>17</v>
      </c>
      <c r="B13" s="12"/>
      <c r="C13" s="12"/>
      <c r="D13" s="12"/>
      <c r="E13" s="23"/>
      <c r="F13" s="12">
        <v>3484</v>
      </c>
      <c r="G13" s="12">
        <v>2171</v>
      </c>
      <c r="H13" s="12">
        <v>2543</v>
      </c>
      <c r="I13" s="12">
        <v>3216</v>
      </c>
      <c r="J13" s="12">
        <v>3204</v>
      </c>
      <c r="K13" s="12">
        <v>3260</v>
      </c>
      <c r="L13" s="12">
        <v>2446</v>
      </c>
      <c r="M13" s="12">
        <v>2477</v>
      </c>
      <c r="N13" s="12">
        <v>2956</v>
      </c>
      <c r="O13" s="12">
        <v>2369</v>
      </c>
      <c r="P13" s="12">
        <v>2524</v>
      </c>
      <c r="Q13" s="12"/>
      <c r="R13" s="4"/>
      <c r="S13" s="4"/>
      <c r="T13" s="4"/>
    </row>
    <row r="14" spans="1:28" x14ac:dyDescent="0.4">
      <c r="A14" s="24" t="s">
        <v>18</v>
      </c>
      <c r="B14" s="6">
        <v>2265</v>
      </c>
      <c r="C14" s="6">
        <v>117636</v>
      </c>
      <c r="D14" s="6">
        <v>73964</v>
      </c>
      <c r="E14" s="25"/>
      <c r="F14" s="6">
        <v>310</v>
      </c>
      <c r="G14" s="6">
        <v>199</v>
      </c>
      <c r="H14" s="6">
        <v>153</v>
      </c>
      <c r="I14" s="6">
        <v>165</v>
      </c>
      <c r="J14" s="6">
        <v>176</v>
      </c>
      <c r="K14" s="6">
        <v>173</v>
      </c>
      <c r="L14" s="6">
        <v>174</v>
      </c>
      <c r="M14" s="6">
        <v>243</v>
      </c>
      <c r="N14" s="6">
        <v>164</v>
      </c>
      <c r="O14" s="6">
        <v>146</v>
      </c>
      <c r="P14" s="6">
        <v>199</v>
      </c>
      <c r="Q14" s="6">
        <v>163</v>
      </c>
      <c r="R14" s="29"/>
      <c r="S14" s="29"/>
      <c r="T14" s="29"/>
      <c r="V14" s="82">
        <f>SUM(F14:T14)</f>
        <v>2265</v>
      </c>
      <c r="W14" s="82">
        <f>SUM(F15:T15)</f>
        <v>117636</v>
      </c>
      <c r="X14" s="82">
        <f>SUM(F16:T16)</f>
        <v>73964</v>
      </c>
      <c r="Z14" s="82">
        <f>B14-V14</f>
        <v>0</v>
      </c>
      <c r="AA14" s="82">
        <f>C14-W14</f>
        <v>0</v>
      </c>
      <c r="AB14" s="82">
        <f>D14-X14</f>
        <v>0</v>
      </c>
    </row>
    <row r="15" spans="1:28" x14ac:dyDescent="0.4">
      <c r="A15" s="22" t="s">
        <v>19</v>
      </c>
      <c r="B15" s="12"/>
      <c r="C15" s="12"/>
      <c r="D15" s="12"/>
      <c r="E15" s="23"/>
      <c r="F15" s="12">
        <v>16229</v>
      </c>
      <c r="G15" s="12">
        <v>10975</v>
      </c>
      <c r="H15" s="12">
        <v>7335</v>
      </c>
      <c r="I15" s="12">
        <v>9227</v>
      </c>
      <c r="J15" s="12">
        <v>8056</v>
      </c>
      <c r="K15" s="12">
        <v>8946</v>
      </c>
      <c r="L15" s="12">
        <v>9459</v>
      </c>
      <c r="M15" s="12">
        <v>12917</v>
      </c>
      <c r="N15" s="12">
        <v>8278</v>
      </c>
      <c r="O15" s="12">
        <v>6950</v>
      </c>
      <c r="P15" s="12">
        <v>10787</v>
      </c>
      <c r="Q15" s="12">
        <v>8477</v>
      </c>
      <c r="R15" s="4"/>
      <c r="S15" s="4"/>
      <c r="T15" s="4"/>
    </row>
    <row r="16" spans="1:28" x14ac:dyDescent="0.4">
      <c r="A16" s="22" t="s">
        <v>20</v>
      </c>
      <c r="B16" s="12"/>
      <c r="C16" s="12"/>
      <c r="D16" s="12"/>
      <c r="E16" s="23"/>
      <c r="F16" s="12">
        <v>8931</v>
      </c>
      <c r="G16" s="12">
        <v>7617</v>
      </c>
      <c r="H16" s="12">
        <v>4961</v>
      </c>
      <c r="I16" s="12">
        <v>5994</v>
      </c>
      <c r="J16" s="12">
        <v>5461</v>
      </c>
      <c r="K16" s="12">
        <v>5994</v>
      </c>
      <c r="L16" s="12">
        <v>6341</v>
      </c>
      <c r="M16" s="12">
        <v>6565</v>
      </c>
      <c r="N16" s="12">
        <v>5420</v>
      </c>
      <c r="O16" s="12">
        <v>4850</v>
      </c>
      <c r="P16" s="12">
        <v>6566</v>
      </c>
      <c r="Q16" s="12">
        <v>5264</v>
      </c>
      <c r="R16" s="4"/>
      <c r="S16" s="4"/>
      <c r="T16" s="4"/>
    </row>
    <row r="17" spans="1:28" x14ac:dyDescent="0.4">
      <c r="A17" s="24" t="s">
        <v>21</v>
      </c>
      <c r="B17" s="6">
        <v>1354</v>
      </c>
      <c r="C17" s="6">
        <v>55680</v>
      </c>
      <c r="D17" s="6">
        <v>34546</v>
      </c>
      <c r="E17" s="25"/>
      <c r="F17" s="6">
        <v>175</v>
      </c>
      <c r="G17" s="6">
        <v>182</v>
      </c>
      <c r="H17" s="6">
        <v>161</v>
      </c>
      <c r="I17" s="6">
        <v>142</v>
      </c>
      <c r="J17" s="6">
        <v>136</v>
      </c>
      <c r="K17" s="6">
        <v>145</v>
      </c>
      <c r="L17" s="6">
        <v>115</v>
      </c>
      <c r="M17" s="6">
        <v>188</v>
      </c>
      <c r="N17" s="6">
        <v>109</v>
      </c>
      <c r="O17" s="6"/>
      <c r="P17" s="6"/>
      <c r="Q17" s="6"/>
      <c r="R17" s="29"/>
      <c r="S17" s="29"/>
      <c r="T17" s="29"/>
      <c r="V17" s="82">
        <f>SUM(F17:T17)</f>
        <v>1353</v>
      </c>
      <c r="W17" s="82">
        <f>SUM(F18:T18)</f>
        <v>55680</v>
      </c>
      <c r="X17" s="82">
        <f>SUM(F19:T19)</f>
        <v>34546</v>
      </c>
      <c r="Z17" s="82">
        <f>B17-V17</f>
        <v>1</v>
      </c>
      <c r="AA17" s="82">
        <f>C17-W17</f>
        <v>0</v>
      </c>
      <c r="AB17" s="82">
        <f>D17-X17</f>
        <v>0</v>
      </c>
    </row>
    <row r="18" spans="1:28" x14ac:dyDescent="0.4">
      <c r="A18" s="22" t="s">
        <v>22</v>
      </c>
      <c r="B18" s="12"/>
      <c r="C18" s="12"/>
      <c r="D18" s="12"/>
      <c r="E18" s="23"/>
      <c r="F18" s="12">
        <v>6708</v>
      </c>
      <c r="G18" s="12">
        <v>7855</v>
      </c>
      <c r="H18" s="12">
        <v>5537</v>
      </c>
      <c r="I18" s="12">
        <v>5623</v>
      </c>
      <c r="J18" s="12">
        <v>5494</v>
      </c>
      <c r="K18" s="12">
        <v>7062</v>
      </c>
      <c r="L18" s="12">
        <v>5478</v>
      </c>
      <c r="M18" s="12">
        <v>8470</v>
      </c>
      <c r="N18" s="12">
        <v>3453</v>
      </c>
      <c r="O18" s="12"/>
      <c r="P18" s="12"/>
      <c r="Q18" s="12"/>
      <c r="R18" s="4"/>
      <c r="S18" s="4"/>
      <c r="T18" s="4"/>
    </row>
    <row r="19" spans="1:28" x14ac:dyDescent="0.4">
      <c r="A19" s="22" t="s">
        <v>23</v>
      </c>
      <c r="B19" s="12"/>
      <c r="C19" s="12"/>
      <c r="D19" s="12"/>
      <c r="E19" s="23"/>
      <c r="F19" s="12">
        <v>4389</v>
      </c>
      <c r="G19" s="12">
        <v>4625</v>
      </c>
      <c r="H19" s="12">
        <v>3449</v>
      </c>
      <c r="I19" s="12">
        <v>4126</v>
      </c>
      <c r="J19" s="12">
        <v>3829</v>
      </c>
      <c r="K19" s="12">
        <v>3866</v>
      </c>
      <c r="L19" s="12">
        <v>2876</v>
      </c>
      <c r="M19" s="12">
        <v>4759</v>
      </c>
      <c r="N19" s="12">
        <v>2627</v>
      </c>
      <c r="O19" s="12"/>
      <c r="P19" s="12"/>
      <c r="Q19" s="12"/>
      <c r="R19" s="4"/>
      <c r="S19" s="4"/>
      <c r="T19" s="4"/>
    </row>
    <row r="20" spans="1:28" x14ac:dyDescent="0.4">
      <c r="A20" s="24" t="s">
        <v>24</v>
      </c>
      <c r="B20" s="6">
        <v>2918</v>
      </c>
      <c r="C20" s="6">
        <v>151236</v>
      </c>
      <c r="D20" s="6">
        <v>88550</v>
      </c>
      <c r="E20" s="25"/>
      <c r="F20" s="6">
        <v>394</v>
      </c>
      <c r="G20" s="6">
        <v>248</v>
      </c>
      <c r="H20" s="6">
        <v>268</v>
      </c>
      <c r="I20" s="6">
        <v>232</v>
      </c>
      <c r="J20" s="6">
        <v>243</v>
      </c>
      <c r="K20" s="6">
        <v>192</v>
      </c>
      <c r="L20" s="6">
        <v>229</v>
      </c>
      <c r="M20" s="6">
        <v>204</v>
      </c>
      <c r="N20" s="6">
        <v>203</v>
      </c>
      <c r="O20" s="6">
        <v>265</v>
      </c>
      <c r="P20" s="6">
        <v>244</v>
      </c>
      <c r="Q20" s="6">
        <v>197</v>
      </c>
      <c r="R20" s="29"/>
      <c r="S20" s="29"/>
      <c r="T20" s="29"/>
      <c r="V20" s="82">
        <f>SUM(F20:T20)</f>
        <v>2919</v>
      </c>
      <c r="W20" s="82">
        <f>SUM(F21:T21)</f>
        <v>151236</v>
      </c>
      <c r="X20" s="82">
        <f>SUM(F22:T22)</f>
        <v>88550</v>
      </c>
      <c r="Z20" s="82">
        <f>B20-V20</f>
        <v>-1</v>
      </c>
      <c r="AA20" s="82">
        <f>C20-W20</f>
        <v>0</v>
      </c>
      <c r="AB20" s="82">
        <f>D20-X20</f>
        <v>0</v>
      </c>
    </row>
    <row r="21" spans="1:28" x14ac:dyDescent="0.4">
      <c r="A21" s="22" t="s">
        <v>25</v>
      </c>
      <c r="B21" s="12"/>
      <c r="C21" s="12"/>
      <c r="D21" s="12"/>
      <c r="E21" s="23"/>
      <c r="F21" s="12">
        <v>19293</v>
      </c>
      <c r="G21" s="12">
        <v>12136</v>
      </c>
      <c r="H21" s="12">
        <v>14047</v>
      </c>
      <c r="I21" s="12">
        <v>11757</v>
      </c>
      <c r="J21" s="12">
        <v>12493</v>
      </c>
      <c r="K21" s="12">
        <v>9404</v>
      </c>
      <c r="L21" s="12">
        <v>12425</v>
      </c>
      <c r="M21" s="12">
        <v>11040</v>
      </c>
      <c r="N21" s="12">
        <v>11050</v>
      </c>
      <c r="O21" s="12">
        <v>12976</v>
      </c>
      <c r="P21" s="12">
        <v>14364</v>
      </c>
      <c r="Q21" s="12">
        <v>10251</v>
      </c>
      <c r="R21" s="4"/>
      <c r="S21" s="4"/>
      <c r="T21" s="4"/>
    </row>
    <row r="22" spans="1:28" x14ac:dyDescent="0.4">
      <c r="A22" s="22" t="s">
        <v>26</v>
      </c>
      <c r="B22" s="12"/>
      <c r="C22" s="12"/>
      <c r="D22" s="12"/>
      <c r="E22" s="23"/>
      <c r="F22" s="12">
        <v>13469</v>
      </c>
      <c r="G22" s="12">
        <v>6945</v>
      </c>
      <c r="H22" s="12">
        <v>8972</v>
      </c>
      <c r="I22" s="12">
        <v>6918</v>
      </c>
      <c r="J22" s="12">
        <v>7526</v>
      </c>
      <c r="K22" s="12">
        <v>5549</v>
      </c>
      <c r="L22" s="12">
        <v>7075</v>
      </c>
      <c r="M22" s="12">
        <v>6141</v>
      </c>
      <c r="N22" s="12">
        <v>5658</v>
      </c>
      <c r="O22" s="12">
        <v>7908</v>
      </c>
      <c r="P22" s="12">
        <v>6899</v>
      </c>
      <c r="Q22" s="12">
        <v>5490</v>
      </c>
      <c r="R22" s="4"/>
      <c r="S22" s="4"/>
      <c r="T22" s="4"/>
    </row>
    <row r="23" spans="1:28" x14ac:dyDescent="0.4">
      <c r="A23" s="24" t="s">
        <v>27</v>
      </c>
      <c r="B23" s="6">
        <v>1533</v>
      </c>
      <c r="C23" s="6">
        <v>54426</v>
      </c>
      <c r="D23" s="6">
        <v>38991</v>
      </c>
      <c r="E23" s="25"/>
      <c r="F23" s="6">
        <v>214</v>
      </c>
      <c r="G23" s="6">
        <v>234</v>
      </c>
      <c r="H23" s="6">
        <v>205</v>
      </c>
      <c r="I23" s="6">
        <v>210</v>
      </c>
      <c r="J23" s="6">
        <v>240</v>
      </c>
      <c r="K23" s="6">
        <v>188</v>
      </c>
      <c r="L23" s="6">
        <v>242</v>
      </c>
      <c r="M23" s="6"/>
      <c r="N23" s="6"/>
      <c r="O23" s="6"/>
      <c r="P23" s="6"/>
      <c r="Q23" s="6"/>
      <c r="R23" s="29"/>
      <c r="S23" s="29"/>
      <c r="T23" s="29"/>
      <c r="V23" s="82">
        <f>SUM(F23:T23)</f>
        <v>1533</v>
      </c>
      <c r="W23" s="82">
        <f>SUM(F24:T24)</f>
        <v>54426</v>
      </c>
      <c r="X23" s="82">
        <f>SUM(F25:T25)</f>
        <v>38991</v>
      </c>
      <c r="Z23" s="82">
        <f>B23-V23</f>
        <v>0</v>
      </c>
      <c r="AA23" s="82">
        <f>C23-W23</f>
        <v>0</v>
      </c>
      <c r="AB23" s="82">
        <f>D23-X23</f>
        <v>0</v>
      </c>
    </row>
    <row r="24" spans="1:28" x14ac:dyDescent="0.4">
      <c r="A24" s="22" t="s">
        <v>28</v>
      </c>
      <c r="B24" s="12"/>
      <c r="C24" s="12"/>
      <c r="D24" s="12"/>
      <c r="E24" s="23"/>
      <c r="F24" s="12">
        <v>7021</v>
      </c>
      <c r="G24" s="12">
        <v>8037</v>
      </c>
      <c r="H24" s="12">
        <v>6791</v>
      </c>
      <c r="I24" s="12">
        <v>7487</v>
      </c>
      <c r="J24" s="12">
        <v>9035</v>
      </c>
      <c r="K24" s="12">
        <v>7762</v>
      </c>
      <c r="L24" s="12">
        <v>8293</v>
      </c>
      <c r="M24" s="12"/>
      <c r="N24" s="12"/>
      <c r="O24" s="12"/>
      <c r="P24" s="12"/>
      <c r="Q24" s="12"/>
      <c r="R24" s="4"/>
      <c r="S24" s="4"/>
      <c r="T24" s="4"/>
    </row>
    <row r="25" spans="1:28" x14ac:dyDescent="0.4">
      <c r="A25" s="22" t="s">
        <v>29</v>
      </c>
      <c r="B25" s="12"/>
      <c r="C25" s="12"/>
      <c r="D25" s="12"/>
      <c r="E25" s="23"/>
      <c r="F25" s="12">
        <v>4951</v>
      </c>
      <c r="G25" s="12">
        <v>4959</v>
      </c>
      <c r="H25" s="12">
        <v>4758</v>
      </c>
      <c r="I25" s="12">
        <v>5523</v>
      </c>
      <c r="J25" s="12">
        <v>6758</v>
      </c>
      <c r="K25" s="12">
        <v>5876</v>
      </c>
      <c r="L25" s="12">
        <v>6166</v>
      </c>
      <c r="M25" s="12"/>
      <c r="N25" s="12"/>
      <c r="O25" s="12"/>
      <c r="P25" s="12"/>
      <c r="Q25" s="12"/>
      <c r="R25" s="4"/>
      <c r="S25" s="4"/>
      <c r="T25" s="4"/>
    </row>
    <row r="26" spans="1:28" x14ac:dyDescent="0.4">
      <c r="A26" s="24" t="s">
        <v>30</v>
      </c>
      <c r="B26" s="6">
        <v>1681</v>
      </c>
      <c r="C26" s="6">
        <v>74054</v>
      </c>
      <c r="D26" s="6">
        <v>39136</v>
      </c>
      <c r="E26" s="25"/>
      <c r="F26" s="6">
        <v>210</v>
      </c>
      <c r="G26" s="6">
        <v>208</v>
      </c>
      <c r="H26" s="6">
        <v>180</v>
      </c>
      <c r="I26" s="6">
        <v>177</v>
      </c>
      <c r="J26" s="6">
        <v>125</v>
      </c>
      <c r="K26" s="6">
        <v>223</v>
      </c>
      <c r="L26" s="6">
        <v>180</v>
      </c>
      <c r="M26" s="6">
        <v>146</v>
      </c>
      <c r="N26" s="6">
        <v>233</v>
      </c>
      <c r="O26" s="6"/>
      <c r="P26" s="6"/>
      <c r="Q26" s="6"/>
      <c r="R26" s="29"/>
      <c r="S26" s="29"/>
      <c r="T26" s="29"/>
      <c r="V26" s="82">
        <f>SUM(F26:T26)</f>
        <v>1682</v>
      </c>
      <c r="W26" s="82">
        <f>SUM(F27:T27)</f>
        <v>74054</v>
      </c>
      <c r="X26" s="82">
        <f>SUM(F28:T28)</f>
        <v>39136</v>
      </c>
      <c r="Z26" s="82">
        <f>B26-V26</f>
        <v>-1</v>
      </c>
      <c r="AA26" s="82">
        <f>C26-W26</f>
        <v>0</v>
      </c>
      <c r="AB26" s="82">
        <f>D26-X26</f>
        <v>0</v>
      </c>
    </row>
    <row r="27" spans="1:28" x14ac:dyDescent="0.4">
      <c r="A27" s="22" t="s">
        <v>31</v>
      </c>
      <c r="B27" s="12"/>
      <c r="C27" s="12"/>
      <c r="D27" s="12"/>
      <c r="E27" s="23"/>
      <c r="F27" s="12">
        <v>8451</v>
      </c>
      <c r="G27" s="12">
        <v>8622</v>
      </c>
      <c r="H27" s="12">
        <v>8442</v>
      </c>
      <c r="I27" s="12">
        <v>8333</v>
      </c>
      <c r="J27" s="12">
        <v>6517</v>
      </c>
      <c r="K27" s="12">
        <v>8426</v>
      </c>
      <c r="L27" s="12">
        <v>8047</v>
      </c>
      <c r="M27" s="12">
        <v>8106</v>
      </c>
      <c r="N27" s="12">
        <v>9110</v>
      </c>
      <c r="O27" s="12"/>
      <c r="P27" s="12"/>
      <c r="Q27" s="12"/>
      <c r="R27" s="4"/>
      <c r="S27" s="4"/>
      <c r="T27" s="4"/>
    </row>
    <row r="28" spans="1:28" x14ac:dyDescent="0.4">
      <c r="A28" s="22" t="s">
        <v>32</v>
      </c>
      <c r="B28" s="12"/>
      <c r="C28" s="12"/>
      <c r="D28" s="12"/>
      <c r="E28" s="23"/>
      <c r="F28" s="12">
        <v>5050</v>
      </c>
      <c r="G28" s="12">
        <v>3823</v>
      </c>
      <c r="H28" s="12">
        <v>4094</v>
      </c>
      <c r="I28" s="12">
        <v>3765</v>
      </c>
      <c r="J28" s="12">
        <v>3195</v>
      </c>
      <c r="K28" s="12">
        <v>4422</v>
      </c>
      <c r="L28" s="12">
        <v>4713</v>
      </c>
      <c r="M28" s="12">
        <v>5072</v>
      </c>
      <c r="N28" s="12">
        <v>5002</v>
      </c>
      <c r="O28" s="12"/>
      <c r="P28" s="12"/>
      <c r="Q28" s="12"/>
      <c r="R28" s="4"/>
      <c r="S28" s="4"/>
      <c r="T28" s="4"/>
    </row>
    <row r="29" spans="1:28" x14ac:dyDescent="0.4">
      <c r="A29" s="24" t="s">
        <v>33</v>
      </c>
      <c r="B29" s="6">
        <v>1294</v>
      </c>
      <c r="C29" s="6">
        <v>63399</v>
      </c>
      <c r="D29" s="6">
        <v>35770</v>
      </c>
      <c r="E29" s="25"/>
      <c r="F29" s="6">
        <v>139</v>
      </c>
      <c r="G29" s="6">
        <v>91</v>
      </c>
      <c r="H29" s="6">
        <v>183</v>
      </c>
      <c r="I29" s="6">
        <v>95</v>
      </c>
      <c r="J29" s="6">
        <v>118</v>
      </c>
      <c r="K29" s="6">
        <v>76</v>
      </c>
      <c r="L29" s="6">
        <v>123</v>
      </c>
      <c r="M29" s="6">
        <v>160</v>
      </c>
      <c r="N29" s="6">
        <v>123</v>
      </c>
      <c r="O29" s="6">
        <v>68</v>
      </c>
      <c r="P29" s="6">
        <v>118</v>
      </c>
      <c r="Q29" s="6"/>
      <c r="R29" s="29"/>
      <c r="S29" s="29"/>
      <c r="T29" s="29"/>
      <c r="V29" s="82">
        <f>SUM(F29:T29)</f>
        <v>1294</v>
      </c>
      <c r="W29" s="82">
        <f>SUM(F30:T30)</f>
        <v>63399</v>
      </c>
      <c r="X29" s="82">
        <f>SUM(F31:T31)</f>
        <v>35770</v>
      </c>
      <c r="Z29" s="82">
        <f>B29-V29</f>
        <v>0</v>
      </c>
      <c r="AA29" s="82">
        <f>C29-W29</f>
        <v>0</v>
      </c>
      <c r="AB29" s="82">
        <f>D29-X29</f>
        <v>0</v>
      </c>
    </row>
    <row r="30" spans="1:28" x14ac:dyDescent="0.4">
      <c r="A30" s="22" t="s">
        <v>34</v>
      </c>
      <c r="B30" s="12"/>
      <c r="C30" s="12"/>
      <c r="D30" s="12"/>
      <c r="E30" s="23"/>
      <c r="F30" s="12">
        <v>5175</v>
      </c>
      <c r="G30" s="12">
        <v>4959</v>
      </c>
      <c r="H30" s="12">
        <v>8874</v>
      </c>
      <c r="I30" s="12">
        <v>4626</v>
      </c>
      <c r="J30" s="12">
        <v>5665</v>
      </c>
      <c r="K30" s="12">
        <v>3922</v>
      </c>
      <c r="L30" s="12">
        <v>6771</v>
      </c>
      <c r="M30" s="12">
        <v>8571</v>
      </c>
      <c r="N30" s="12">
        <v>5821</v>
      </c>
      <c r="O30" s="12">
        <v>3235</v>
      </c>
      <c r="P30" s="12">
        <v>5780</v>
      </c>
      <c r="Q30" s="12"/>
      <c r="R30" s="4"/>
      <c r="S30" s="4"/>
      <c r="T30" s="4"/>
    </row>
    <row r="31" spans="1:28" x14ac:dyDescent="0.4">
      <c r="A31" s="22" t="s">
        <v>35</v>
      </c>
      <c r="B31" s="12"/>
      <c r="C31" s="12"/>
      <c r="D31" s="12"/>
      <c r="E31" s="23"/>
      <c r="F31" s="12">
        <v>3015</v>
      </c>
      <c r="G31" s="12">
        <v>2549</v>
      </c>
      <c r="H31" s="12">
        <v>5924</v>
      </c>
      <c r="I31" s="12">
        <v>2480</v>
      </c>
      <c r="J31" s="12">
        <v>3129</v>
      </c>
      <c r="K31" s="12">
        <v>2293</v>
      </c>
      <c r="L31" s="12">
        <v>3805</v>
      </c>
      <c r="M31" s="12">
        <v>4367</v>
      </c>
      <c r="N31" s="12">
        <v>3130</v>
      </c>
      <c r="O31" s="12">
        <v>1616</v>
      </c>
      <c r="P31" s="12">
        <v>3462</v>
      </c>
      <c r="Q31" s="12"/>
      <c r="R31" s="4"/>
      <c r="S31" s="4"/>
      <c r="T31" s="4"/>
    </row>
    <row r="32" spans="1:28" s="1" customFormat="1" x14ac:dyDescent="0.4">
      <c r="A32" s="26" t="s">
        <v>237</v>
      </c>
      <c r="B32" s="27">
        <v>1307</v>
      </c>
      <c r="C32" s="27">
        <v>77848</v>
      </c>
      <c r="D32" s="27">
        <v>57037</v>
      </c>
      <c r="E32" s="28"/>
      <c r="F32" s="27">
        <v>449</v>
      </c>
      <c r="G32" s="27">
        <v>175</v>
      </c>
      <c r="H32" s="27">
        <v>169</v>
      </c>
      <c r="I32" s="27">
        <v>149</v>
      </c>
      <c r="J32" s="27">
        <v>365</v>
      </c>
      <c r="K32" s="18"/>
      <c r="L32" s="18"/>
      <c r="M32" s="18"/>
      <c r="N32" s="18"/>
      <c r="O32" s="18"/>
      <c r="P32" s="18"/>
      <c r="Q32" s="18"/>
      <c r="R32" s="29"/>
      <c r="S32" s="29"/>
      <c r="T32" s="29"/>
      <c r="V32" s="82">
        <f>SUM(F32:T32)</f>
        <v>1307</v>
      </c>
      <c r="W32" s="82">
        <f>SUM(F33:T33)</f>
        <v>77848</v>
      </c>
      <c r="X32" s="82">
        <f>SUM(F34:T34)</f>
        <v>57037</v>
      </c>
      <c r="Y32"/>
      <c r="Z32" s="82">
        <f>B32-V32</f>
        <v>0</v>
      </c>
      <c r="AA32" s="82">
        <f>C32-W32</f>
        <v>0</v>
      </c>
      <c r="AB32" s="82">
        <f>D32-X32</f>
        <v>0</v>
      </c>
    </row>
    <row r="33" spans="1:33" s="1" customFormat="1" x14ac:dyDescent="0.4">
      <c r="A33" s="30" t="s">
        <v>242</v>
      </c>
      <c r="B33" s="12"/>
      <c r="C33" s="12"/>
      <c r="D33" s="12"/>
      <c r="E33" s="23"/>
      <c r="F33" s="31">
        <v>25286</v>
      </c>
      <c r="G33" s="31">
        <v>10532</v>
      </c>
      <c r="H33" s="31">
        <v>8180</v>
      </c>
      <c r="I33" s="31">
        <v>9569</v>
      </c>
      <c r="J33" s="31">
        <v>24281</v>
      </c>
      <c r="K33" s="12"/>
      <c r="L33" s="12"/>
      <c r="M33" s="12"/>
      <c r="N33" s="12"/>
      <c r="O33" s="12"/>
      <c r="P33" s="12"/>
      <c r="Q33" s="12"/>
      <c r="R33" s="4"/>
      <c r="S33" s="4"/>
      <c r="T33" s="4"/>
      <c r="V33"/>
      <c r="W33"/>
      <c r="X33"/>
      <c r="Y33"/>
      <c r="Z33"/>
      <c r="AA33"/>
      <c r="AB33"/>
    </row>
    <row r="34" spans="1:33" s="1" customFormat="1" x14ac:dyDescent="0.4">
      <c r="A34" s="30" t="s">
        <v>241</v>
      </c>
      <c r="B34" s="12"/>
      <c r="C34" s="12"/>
      <c r="D34" s="12"/>
      <c r="E34" s="23"/>
      <c r="F34" s="31">
        <v>18744</v>
      </c>
      <c r="G34" s="31">
        <v>7004</v>
      </c>
      <c r="H34" s="31">
        <v>6840</v>
      </c>
      <c r="I34" s="31">
        <v>5707</v>
      </c>
      <c r="J34" s="31">
        <v>18742</v>
      </c>
      <c r="K34" s="12"/>
      <c r="L34" s="12"/>
      <c r="M34" s="12"/>
      <c r="N34" s="12"/>
      <c r="O34" s="12"/>
      <c r="P34" s="12"/>
      <c r="Q34" s="12"/>
      <c r="R34" s="4"/>
      <c r="S34" s="4"/>
      <c r="T34" s="4"/>
      <c r="V34"/>
      <c r="W34"/>
      <c r="X34"/>
      <c r="Y34"/>
      <c r="Z34"/>
      <c r="AA34"/>
      <c r="AB34"/>
    </row>
    <row r="35" spans="1:33" s="1" customFormat="1" x14ac:dyDescent="0.4">
      <c r="A35" s="26" t="s">
        <v>238</v>
      </c>
      <c r="B35" s="27">
        <v>2424</v>
      </c>
      <c r="C35" s="27">
        <v>119752</v>
      </c>
      <c r="D35" s="27">
        <v>67887</v>
      </c>
      <c r="E35" s="28"/>
      <c r="F35" s="27">
        <v>217</v>
      </c>
      <c r="G35" s="27">
        <v>308</v>
      </c>
      <c r="H35" s="27">
        <v>199</v>
      </c>
      <c r="I35" s="27">
        <v>184</v>
      </c>
      <c r="J35" s="27">
        <v>197</v>
      </c>
      <c r="K35" s="27">
        <v>128</v>
      </c>
      <c r="L35" s="27">
        <v>172</v>
      </c>
      <c r="M35" s="27">
        <v>181</v>
      </c>
      <c r="N35" s="27">
        <v>208</v>
      </c>
      <c r="O35" s="27">
        <v>237</v>
      </c>
      <c r="P35" s="27">
        <v>182</v>
      </c>
      <c r="Q35" s="27">
        <v>209</v>
      </c>
      <c r="R35" s="29"/>
      <c r="S35" s="29"/>
      <c r="T35" s="29"/>
      <c r="V35" s="82">
        <f>SUM(F35:T35)</f>
        <v>2422</v>
      </c>
      <c r="W35" s="82">
        <f>SUM(F36:T36)</f>
        <v>119752</v>
      </c>
      <c r="X35" s="82">
        <f>SUM(F37:T37)</f>
        <v>67887</v>
      </c>
      <c r="Y35"/>
      <c r="Z35" s="82">
        <f>B35-V35</f>
        <v>2</v>
      </c>
      <c r="AA35" s="82">
        <f>C35-W35</f>
        <v>0</v>
      </c>
      <c r="AB35" s="82">
        <f>D35-X35</f>
        <v>0</v>
      </c>
    </row>
    <row r="36" spans="1:33" s="1" customFormat="1" x14ac:dyDescent="0.4">
      <c r="A36" s="30" t="s">
        <v>240</v>
      </c>
      <c r="B36" s="12"/>
      <c r="C36" s="12"/>
      <c r="D36" s="12"/>
      <c r="E36" s="23"/>
      <c r="F36" s="31">
        <v>9934</v>
      </c>
      <c r="G36" s="31">
        <v>15600</v>
      </c>
      <c r="H36" s="31">
        <v>10048</v>
      </c>
      <c r="I36" s="31">
        <v>9465</v>
      </c>
      <c r="J36" s="31">
        <v>9680</v>
      </c>
      <c r="K36" s="31">
        <v>6666</v>
      </c>
      <c r="L36" s="31">
        <v>8394</v>
      </c>
      <c r="M36" s="31">
        <v>8903</v>
      </c>
      <c r="N36" s="31">
        <v>8728</v>
      </c>
      <c r="O36" s="31">
        <v>11599</v>
      </c>
      <c r="P36" s="31">
        <v>9983</v>
      </c>
      <c r="Q36" s="31">
        <v>10752</v>
      </c>
      <c r="R36" s="4"/>
      <c r="S36" s="4"/>
      <c r="T36" s="4"/>
      <c r="V36"/>
      <c r="W36"/>
      <c r="X36"/>
      <c r="Y36"/>
      <c r="Z36"/>
      <c r="AA36"/>
      <c r="AB36"/>
    </row>
    <row r="37" spans="1:33" s="1" customFormat="1" x14ac:dyDescent="0.4">
      <c r="A37" s="30" t="s">
        <v>239</v>
      </c>
      <c r="B37" s="12"/>
      <c r="C37" s="12"/>
      <c r="D37" s="12"/>
      <c r="E37" s="23"/>
      <c r="F37" s="31">
        <v>6170</v>
      </c>
      <c r="G37" s="31">
        <v>9081</v>
      </c>
      <c r="H37" s="31">
        <v>5061</v>
      </c>
      <c r="I37" s="31">
        <v>5047</v>
      </c>
      <c r="J37" s="31">
        <v>5199</v>
      </c>
      <c r="K37" s="31">
        <v>4191</v>
      </c>
      <c r="L37" s="31">
        <v>4946</v>
      </c>
      <c r="M37" s="31">
        <v>5101</v>
      </c>
      <c r="N37" s="31">
        <v>5487</v>
      </c>
      <c r="O37" s="31">
        <v>6619</v>
      </c>
      <c r="P37" s="31">
        <v>5269</v>
      </c>
      <c r="Q37" s="31">
        <v>5716</v>
      </c>
      <c r="R37" s="4"/>
      <c r="S37" s="4"/>
      <c r="T37" s="4"/>
      <c r="V37"/>
      <c r="W37"/>
      <c r="X37"/>
      <c r="Y37"/>
      <c r="Z37"/>
      <c r="AA37"/>
      <c r="AB37"/>
    </row>
    <row r="38" spans="1:33" x14ac:dyDescent="0.4">
      <c r="A38" s="32" t="s">
        <v>36</v>
      </c>
      <c r="B38" s="33">
        <v>18629</v>
      </c>
      <c r="C38" s="33">
        <v>858012</v>
      </c>
      <c r="D38" s="33">
        <v>527921</v>
      </c>
      <c r="E38" s="34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78"/>
      <c r="S38" s="78"/>
      <c r="T38" s="78"/>
      <c r="U38" s="84"/>
      <c r="V38" s="85">
        <f>SUM(V2:V37)</f>
        <v>18629</v>
      </c>
      <c r="W38" s="85">
        <f>SUM(W2:W37)</f>
        <v>858012</v>
      </c>
      <c r="X38" s="85">
        <f>SUM(X2:X37)</f>
        <v>527921</v>
      </c>
      <c r="Y38" s="84"/>
      <c r="Z38" s="85">
        <f>V38-B38</f>
        <v>0</v>
      </c>
      <c r="AA38" s="85">
        <f>W38-C38</f>
        <v>0</v>
      </c>
      <c r="AB38" s="85">
        <f>X38-D38</f>
        <v>0</v>
      </c>
      <c r="AC38" s="84"/>
      <c r="AD38" s="84"/>
      <c r="AE38" s="84"/>
      <c r="AF38" s="84"/>
      <c r="AG38" s="84"/>
    </row>
    <row r="39" spans="1:33" x14ac:dyDescent="0.4">
      <c r="A39" s="24" t="s">
        <v>37</v>
      </c>
      <c r="B39" s="6">
        <v>439</v>
      </c>
      <c r="C39" s="6">
        <v>17523</v>
      </c>
      <c r="D39" s="6">
        <v>10951</v>
      </c>
      <c r="E39" s="2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29"/>
      <c r="S39" s="29"/>
      <c r="T39" s="29"/>
      <c r="V39" s="82">
        <f>B39</f>
        <v>439</v>
      </c>
      <c r="W39" s="82">
        <f>C39</f>
        <v>17523</v>
      </c>
      <c r="X39" s="82">
        <f>D39</f>
        <v>10951</v>
      </c>
    </row>
    <row r="40" spans="1:33" x14ac:dyDescent="0.4">
      <c r="A40" s="24" t="s">
        <v>38</v>
      </c>
      <c r="B40" s="6">
        <v>1016</v>
      </c>
      <c r="C40" s="6">
        <v>42824</v>
      </c>
      <c r="D40" s="6">
        <v>23052</v>
      </c>
      <c r="E40" s="25"/>
      <c r="F40" s="6">
        <v>127</v>
      </c>
      <c r="G40" s="6">
        <v>98</v>
      </c>
      <c r="H40" s="6">
        <v>86</v>
      </c>
      <c r="I40" s="6">
        <v>89</v>
      </c>
      <c r="J40" s="6">
        <v>83</v>
      </c>
      <c r="K40" s="6">
        <v>79</v>
      </c>
      <c r="L40" s="6">
        <v>86</v>
      </c>
      <c r="M40" s="6">
        <v>76</v>
      </c>
      <c r="N40" s="6">
        <v>93</v>
      </c>
      <c r="O40" s="6">
        <v>57</v>
      </c>
      <c r="P40" s="6">
        <v>46</v>
      </c>
      <c r="Q40" s="6">
        <v>97</v>
      </c>
      <c r="R40" s="29"/>
      <c r="S40" s="29"/>
      <c r="T40" s="29"/>
      <c r="V40" s="82">
        <f t="shared" ref="V40" si="0">SUM(F40:T40)</f>
        <v>1017</v>
      </c>
      <c r="W40" s="82">
        <f t="shared" ref="W40" si="1">SUM(F41:T41)</f>
        <v>42824</v>
      </c>
      <c r="X40" s="82">
        <f t="shared" ref="X40" si="2">SUM(F42:T42)</f>
        <v>23052</v>
      </c>
      <c r="Z40" s="82">
        <f t="shared" ref="Z40" si="3">B40-V40</f>
        <v>-1</v>
      </c>
      <c r="AA40" s="82">
        <f t="shared" ref="AA40" si="4">C40-W40</f>
        <v>0</v>
      </c>
      <c r="AB40" s="82">
        <f t="shared" ref="AB40" si="5">D40-X40</f>
        <v>0</v>
      </c>
    </row>
    <row r="41" spans="1:33" x14ac:dyDescent="0.4">
      <c r="A41" s="22" t="s">
        <v>39</v>
      </c>
      <c r="B41" s="12"/>
      <c r="C41" s="12"/>
      <c r="D41" s="12"/>
      <c r="E41" s="23"/>
      <c r="F41" s="12">
        <v>6829</v>
      </c>
      <c r="G41" s="12">
        <v>4268</v>
      </c>
      <c r="H41" s="12">
        <v>3841</v>
      </c>
      <c r="I41" s="12">
        <v>3428</v>
      </c>
      <c r="J41" s="12">
        <v>3690</v>
      </c>
      <c r="K41" s="12">
        <v>3522</v>
      </c>
      <c r="L41" s="12">
        <v>3551</v>
      </c>
      <c r="M41" s="12">
        <v>3718</v>
      </c>
      <c r="N41" s="12">
        <v>2840</v>
      </c>
      <c r="O41" s="12">
        <v>2057</v>
      </c>
      <c r="P41" s="12">
        <v>1571</v>
      </c>
      <c r="Q41" s="12">
        <v>3509</v>
      </c>
      <c r="R41" s="4"/>
      <c r="S41" s="4"/>
      <c r="T41" s="4"/>
    </row>
    <row r="42" spans="1:33" x14ac:dyDescent="0.4">
      <c r="A42" s="22" t="s">
        <v>40</v>
      </c>
      <c r="B42" s="12"/>
      <c r="C42" s="12"/>
      <c r="D42" s="12"/>
      <c r="E42" s="23"/>
      <c r="F42" s="12">
        <v>4267</v>
      </c>
      <c r="G42" s="12">
        <v>2132</v>
      </c>
      <c r="H42" s="12">
        <v>2528</v>
      </c>
      <c r="I42" s="12">
        <v>1354</v>
      </c>
      <c r="J42" s="12">
        <v>1783</v>
      </c>
      <c r="K42" s="12">
        <v>1817</v>
      </c>
      <c r="L42" s="12">
        <v>1958</v>
      </c>
      <c r="M42" s="12">
        <v>1986</v>
      </c>
      <c r="N42" s="12">
        <v>1480</v>
      </c>
      <c r="O42" s="12">
        <v>1216</v>
      </c>
      <c r="P42" s="12">
        <v>859</v>
      </c>
      <c r="Q42" s="12">
        <v>1672</v>
      </c>
      <c r="R42" s="4"/>
      <c r="S42" s="4"/>
      <c r="T42" s="4"/>
    </row>
    <row r="43" spans="1:33" x14ac:dyDescent="0.4">
      <c r="A43" s="24" t="s">
        <v>41</v>
      </c>
      <c r="B43" s="6">
        <v>837</v>
      </c>
      <c r="C43" s="6">
        <v>33077</v>
      </c>
      <c r="D43" s="6">
        <v>19342</v>
      </c>
      <c r="E43" s="25"/>
      <c r="F43" s="6">
        <v>117</v>
      </c>
      <c r="G43" s="6">
        <v>125</v>
      </c>
      <c r="H43" s="6">
        <v>98</v>
      </c>
      <c r="I43" s="6">
        <v>85</v>
      </c>
      <c r="J43" s="6">
        <v>109</v>
      </c>
      <c r="K43" s="6">
        <v>82</v>
      </c>
      <c r="L43" s="6">
        <v>115</v>
      </c>
      <c r="M43" s="6">
        <v>107</v>
      </c>
      <c r="N43" s="6"/>
      <c r="O43" s="6"/>
      <c r="P43" s="6"/>
      <c r="Q43" s="6"/>
      <c r="R43" s="29"/>
      <c r="S43" s="29"/>
      <c r="T43" s="29"/>
      <c r="V43" s="82">
        <f t="shared" ref="V43" si="6">SUM(F43:T43)</f>
        <v>838</v>
      </c>
      <c r="W43" s="82">
        <f t="shared" ref="W43" si="7">SUM(F44:T44)</f>
        <v>33077</v>
      </c>
      <c r="X43" s="82">
        <f t="shared" ref="X43" si="8">SUM(F45:T45)</f>
        <v>19342</v>
      </c>
      <c r="Z43" s="82">
        <f t="shared" ref="Z43" si="9">B43-V43</f>
        <v>-1</v>
      </c>
      <c r="AA43" s="82">
        <f t="shared" ref="AA43" si="10">C43-W43</f>
        <v>0</v>
      </c>
      <c r="AB43" s="82">
        <f t="shared" ref="AB43" si="11">D43-X43</f>
        <v>0</v>
      </c>
    </row>
    <row r="44" spans="1:33" x14ac:dyDescent="0.4">
      <c r="A44" s="22" t="s">
        <v>42</v>
      </c>
      <c r="B44" s="12"/>
      <c r="C44" s="12"/>
      <c r="D44" s="12"/>
      <c r="E44" s="23"/>
      <c r="F44" s="12">
        <v>4491</v>
      </c>
      <c r="G44" s="12">
        <v>3140</v>
      </c>
      <c r="H44" s="12">
        <v>4789</v>
      </c>
      <c r="I44" s="12">
        <v>4055</v>
      </c>
      <c r="J44" s="12">
        <v>4113</v>
      </c>
      <c r="K44" s="12">
        <v>4120</v>
      </c>
      <c r="L44" s="12">
        <v>4407</v>
      </c>
      <c r="M44" s="12">
        <v>3962</v>
      </c>
      <c r="N44" s="12"/>
      <c r="O44" s="12"/>
      <c r="P44" s="12"/>
      <c r="Q44" s="12"/>
      <c r="R44" s="4"/>
      <c r="S44" s="4"/>
      <c r="T44" s="4"/>
    </row>
    <row r="45" spans="1:33" x14ac:dyDescent="0.4">
      <c r="A45" s="22" t="s">
        <v>43</v>
      </c>
      <c r="B45" s="12"/>
      <c r="C45" s="12"/>
      <c r="D45" s="12"/>
      <c r="E45" s="23"/>
      <c r="F45" s="12">
        <v>2444</v>
      </c>
      <c r="G45" s="12">
        <v>2592</v>
      </c>
      <c r="H45" s="12">
        <v>2745</v>
      </c>
      <c r="I45" s="12">
        <v>1870</v>
      </c>
      <c r="J45" s="12">
        <v>2785</v>
      </c>
      <c r="K45" s="12">
        <v>2161</v>
      </c>
      <c r="L45" s="12">
        <v>2635</v>
      </c>
      <c r="M45" s="12">
        <v>2110</v>
      </c>
      <c r="N45" s="12"/>
      <c r="O45" s="12"/>
      <c r="P45" s="12"/>
      <c r="Q45" s="12"/>
      <c r="R45" s="4"/>
      <c r="S45" s="4"/>
      <c r="T45" s="4"/>
    </row>
    <row r="46" spans="1:33" x14ac:dyDescent="0.4">
      <c r="A46" s="79" t="s">
        <v>44</v>
      </c>
      <c r="B46" s="80">
        <v>692</v>
      </c>
      <c r="C46" s="80">
        <v>27758</v>
      </c>
      <c r="D46" s="80">
        <v>15062</v>
      </c>
      <c r="E46" s="29"/>
      <c r="F46" s="80">
        <v>121</v>
      </c>
      <c r="G46" s="80">
        <v>69</v>
      </c>
      <c r="H46" s="80">
        <v>70</v>
      </c>
      <c r="I46" s="80">
        <v>100</v>
      </c>
      <c r="J46" s="80">
        <v>106</v>
      </c>
      <c r="K46" s="80">
        <v>105</v>
      </c>
      <c r="L46" s="80">
        <v>121</v>
      </c>
      <c r="M46" s="80"/>
      <c r="N46" s="80"/>
      <c r="O46" s="80"/>
      <c r="P46" s="80"/>
      <c r="Q46" s="80"/>
      <c r="R46" s="29"/>
      <c r="S46" s="29"/>
      <c r="T46" s="29"/>
      <c r="V46" s="82">
        <f t="shared" ref="V46" si="12">SUM(F46:T46)</f>
        <v>692</v>
      </c>
      <c r="W46" s="82">
        <f t="shared" ref="W46" si="13">SUM(F47:T47)</f>
        <v>27758</v>
      </c>
      <c r="X46" s="82">
        <f t="shared" ref="X46" si="14">SUM(F48:T48)</f>
        <v>15062</v>
      </c>
      <c r="Z46" s="82">
        <f t="shared" ref="Z46" si="15">B46-V46</f>
        <v>0</v>
      </c>
      <c r="AA46" s="82">
        <f t="shared" ref="AA46" si="16">C46-W46</f>
        <v>0</v>
      </c>
      <c r="AB46" s="82">
        <f t="shared" ref="AB46" si="17">D46-X46</f>
        <v>0</v>
      </c>
    </row>
    <row r="47" spans="1:33" x14ac:dyDescent="0.4">
      <c r="A47" s="35" t="s">
        <v>45</v>
      </c>
      <c r="B47" s="36"/>
      <c r="C47" s="36"/>
      <c r="D47" s="36"/>
      <c r="E47" s="4"/>
      <c r="F47" s="36">
        <v>3800</v>
      </c>
      <c r="G47" s="36">
        <v>2886</v>
      </c>
      <c r="H47" s="36">
        <v>3029</v>
      </c>
      <c r="I47" s="36">
        <v>4306</v>
      </c>
      <c r="J47" s="36">
        <v>4889</v>
      </c>
      <c r="K47" s="36">
        <v>4131</v>
      </c>
      <c r="L47" s="36">
        <v>4717</v>
      </c>
      <c r="M47" s="36"/>
      <c r="N47" s="36"/>
      <c r="O47" s="36"/>
      <c r="P47" s="36"/>
      <c r="Q47" s="36"/>
      <c r="R47" s="4"/>
      <c r="S47" s="4"/>
      <c r="T47" s="4"/>
    </row>
    <row r="48" spans="1:33" x14ac:dyDescent="0.4">
      <c r="A48" s="35" t="s">
        <v>46</v>
      </c>
      <c r="B48" s="36"/>
      <c r="C48" s="36"/>
      <c r="D48" s="36"/>
      <c r="E48" s="4"/>
      <c r="F48" s="36">
        <v>2308</v>
      </c>
      <c r="G48" s="36">
        <v>1457</v>
      </c>
      <c r="H48" s="36">
        <v>1746</v>
      </c>
      <c r="I48" s="36">
        <v>1943</v>
      </c>
      <c r="J48" s="36">
        <v>2646</v>
      </c>
      <c r="K48" s="36">
        <v>2163</v>
      </c>
      <c r="L48" s="36">
        <v>2799</v>
      </c>
      <c r="M48" s="36"/>
      <c r="N48" s="36"/>
      <c r="O48" s="36"/>
      <c r="P48" s="36"/>
      <c r="Q48" s="36"/>
      <c r="R48" s="4"/>
      <c r="S48" s="4"/>
      <c r="T48" s="4"/>
    </row>
    <row r="49" spans="1:28" x14ac:dyDescent="0.4">
      <c r="A49" s="79" t="s">
        <v>47</v>
      </c>
      <c r="B49" s="80">
        <v>609</v>
      </c>
      <c r="C49" s="80">
        <v>24023</v>
      </c>
      <c r="D49" s="80">
        <v>16653</v>
      </c>
      <c r="E49" s="29"/>
      <c r="F49" s="80">
        <v>110</v>
      </c>
      <c r="G49" s="80">
        <v>73</v>
      </c>
      <c r="H49" s="80">
        <v>72</v>
      </c>
      <c r="I49" s="80">
        <v>57</v>
      </c>
      <c r="J49" s="80">
        <v>80</v>
      </c>
      <c r="K49" s="80">
        <v>71</v>
      </c>
      <c r="L49" s="80">
        <v>86</v>
      </c>
      <c r="M49" s="80">
        <v>60</v>
      </c>
      <c r="N49" s="80"/>
      <c r="O49" s="80"/>
      <c r="P49" s="80"/>
      <c r="Q49" s="80"/>
      <c r="R49" s="29"/>
      <c r="S49" s="29"/>
      <c r="T49" s="29"/>
      <c r="V49" s="82">
        <f t="shared" ref="V49" si="18">SUM(F49:T49)</f>
        <v>609</v>
      </c>
      <c r="W49" s="82">
        <f t="shared" ref="W49" si="19">SUM(F50:T50)</f>
        <v>24023</v>
      </c>
      <c r="X49" s="82">
        <f t="shared" ref="X49" si="20">SUM(F51:T51)</f>
        <v>16653</v>
      </c>
      <c r="Z49" s="82">
        <f t="shared" ref="Z49" si="21">B49-V49</f>
        <v>0</v>
      </c>
      <c r="AA49" s="82">
        <f t="shared" ref="AA49" si="22">C49-W49</f>
        <v>0</v>
      </c>
      <c r="AB49" s="82">
        <f t="shared" ref="AB49" si="23">D49-X49</f>
        <v>0</v>
      </c>
    </row>
    <row r="50" spans="1:28" x14ac:dyDescent="0.4">
      <c r="A50" s="35" t="s">
        <v>48</v>
      </c>
      <c r="B50" s="36"/>
      <c r="C50" s="36"/>
      <c r="D50" s="36"/>
      <c r="E50" s="4"/>
      <c r="F50" s="36">
        <v>4105</v>
      </c>
      <c r="G50" s="36">
        <v>3718</v>
      </c>
      <c r="H50" s="36">
        <v>2561</v>
      </c>
      <c r="I50" s="36">
        <v>2291</v>
      </c>
      <c r="J50" s="36">
        <v>2240</v>
      </c>
      <c r="K50" s="36">
        <v>3313</v>
      </c>
      <c r="L50" s="36">
        <v>3418</v>
      </c>
      <c r="M50" s="36">
        <v>2377</v>
      </c>
      <c r="N50" s="36"/>
      <c r="O50" s="36"/>
      <c r="P50" s="36"/>
      <c r="Q50" s="36"/>
      <c r="R50" s="4"/>
      <c r="S50" s="4"/>
      <c r="T50" s="4"/>
    </row>
    <row r="51" spans="1:28" x14ac:dyDescent="0.4">
      <c r="A51" s="35" t="s">
        <v>49</v>
      </c>
      <c r="B51" s="36"/>
      <c r="C51" s="36"/>
      <c r="D51" s="36"/>
      <c r="E51" s="4"/>
      <c r="F51" s="36">
        <v>2633</v>
      </c>
      <c r="G51" s="36">
        <v>2759</v>
      </c>
      <c r="H51" s="36">
        <v>1636</v>
      </c>
      <c r="I51" s="36">
        <v>1514</v>
      </c>
      <c r="J51" s="36">
        <v>1428</v>
      </c>
      <c r="K51" s="36">
        <v>2598</v>
      </c>
      <c r="L51" s="36">
        <v>2338</v>
      </c>
      <c r="M51" s="36">
        <v>1747</v>
      </c>
      <c r="N51" s="36"/>
      <c r="O51" s="36"/>
      <c r="P51" s="36"/>
      <c r="Q51" s="36"/>
      <c r="R51" s="4"/>
      <c r="S51" s="4"/>
      <c r="T51" s="4"/>
    </row>
    <row r="52" spans="1:28" x14ac:dyDescent="0.4">
      <c r="A52" s="79" t="s">
        <v>50</v>
      </c>
      <c r="B52" s="80">
        <v>980</v>
      </c>
      <c r="C52" s="80">
        <v>40847</v>
      </c>
      <c r="D52" s="80">
        <v>24406</v>
      </c>
      <c r="E52" s="29"/>
      <c r="F52" s="80">
        <v>132</v>
      </c>
      <c r="G52" s="80">
        <v>90</v>
      </c>
      <c r="H52" s="80">
        <v>91</v>
      </c>
      <c r="I52" s="80">
        <v>99</v>
      </c>
      <c r="J52" s="80">
        <v>86</v>
      </c>
      <c r="K52" s="80">
        <v>86</v>
      </c>
      <c r="L52" s="80">
        <v>110</v>
      </c>
      <c r="M52" s="80">
        <v>81</v>
      </c>
      <c r="N52" s="80">
        <v>111</v>
      </c>
      <c r="O52" s="80">
        <v>94</v>
      </c>
      <c r="P52" s="80"/>
      <c r="Q52" s="80"/>
      <c r="R52" s="29"/>
      <c r="S52" s="29"/>
      <c r="T52" s="29"/>
      <c r="V52" s="82">
        <f t="shared" ref="V52" si="24">SUM(F52:T52)</f>
        <v>980</v>
      </c>
      <c r="W52" s="82">
        <f t="shared" ref="W52" si="25">SUM(F53:T53)</f>
        <v>40847</v>
      </c>
      <c r="X52" s="82">
        <f t="shared" ref="X52" si="26">SUM(F54:T54)</f>
        <v>24406</v>
      </c>
      <c r="Z52" s="82">
        <f t="shared" ref="Z52" si="27">B52-V52</f>
        <v>0</v>
      </c>
      <c r="AA52" s="82">
        <f t="shared" ref="AA52" si="28">C52-W52</f>
        <v>0</v>
      </c>
      <c r="AB52" s="82">
        <f t="shared" ref="AB52" si="29">D52-X52</f>
        <v>0</v>
      </c>
    </row>
    <row r="53" spans="1:28" x14ac:dyDescent="0.4">
      <c r="A53" s="35" t="s">
        <v>51</v>
      </c>
      <c r="B53" s="36"/>
      <c r="C53" s="36"/>
      <c r="D53" s="36"/>
      <c r="E53" s="4"/>
      <c r="F53" s="36">
        <v>5302</v>
      </c>
      <c r="G53" s="36">
        <v>3582</v>
      </c>
      <c r="H53" s="36">
        <v>3188</v>
      </c>
      <c r="I53" s="36">
        <v>4617</v>
      </c>
      <c r="J53" s="36">
        <v>3757</v>
      </c>
      <c r="K53" s="36">
        <v>3421</v>
      </c>
      <c r="L53" s="36">
        <v>4541</v>
      </c>
      <c r="M53" s="36">
        <v>3666</v>
      </c>
      <c r="N53" s="36">
        <v>4855</v>
      </c>
      <c r="O53" s="36">
        <v>3918</v>
      </c>
      <c r="P53" s="36"/>
      <c r="Q53" s="36"/>
      <c r="R53" s="4"/>
      <c r="S53" s="4"/>
      <c r="T53" s="4"/>
    </row>
    <row r="54" spans="1:28" x14ac:dyDescent="0.4">
      <c r="A54" s="35" t="s">
        <v>52</v>
      </c>
      <c r="B54" s="36"/>
      <c r="C54" s="36"/>
      <c r="D54" s="36"/>
      <c r="E54" s="4"/>
      <c r="F54" s="36">
        <v>3317</v>
      </c>
      <c r="G54" s="36">
        <v>2034</v>
      </c>
      <c r="H54" s="36">
        <v>2028</v>
      </c>
      <c r="I54" s="36">
        <v>1918</v>
      </c>
      <c r="J54" s="36">
        <v>1974</v>
      </c>
      <c r="K54" s="36">
        <v>2628</v>
      </c>
      <c r="L54" s="36">
        <v>2856</v>
      </c>
      <c r="M54" s="36">
        <v>2404</v>
      </c>
      <c r="N54" s="36">
        <v>2832</v>
      </c>
      <c r="O54" s="36">
        <v>2415</v>
      </c>
      <c r="P54" s="36"/>
      <c r="Q54" s="36"/>
      <c r="R54" s="4"/>
      <c r="S54" s="4"/>
      <c r="T54" s="4"/>
    </row>
    <row r="55" spans="1:28" x14ac:dyDescent="0.4">
      <c r="A55" s="79" t="s">
        <v>53</v>
      </c>
      <c r="B55" s="80">
        <v>1091</v>
      </c>
      <c r="C55" s="80">
        <v>42403</v>
      </c>
      <c r="D55" s="80">
        <v>23780</v>
      </c>
      <c r="E55" s="29"/>
      <c r="F55" s="80">
        <v>159</v>
      </c>
      <c r="G55" s="80">
        <v>162</v>
      </c>
      <c r="H55" s="80">
        <v>100</v>
      </c>
      <c r="I55" s="80">
        <v>107</v>
      </c>
      <c r="J55" s="80">
        <v>240</v>
      </c>
      <c r="K55" s="80">
        <v>127</v>
      </c>
      <c r="L55" s="80">
        <v>68</v>
      </c>
      <c r="M55" s="80">
        <v>127</v>
      </c>
      <c r="N55" s="80"/>
      <c r="O55" s="80"/>
      <c r="P55" s="80"/>
      <c r="Q55" s="80"/>
      <c r="R55" s="29"/>
      <c r="S55" s="29"/>
      <c r="T55" s="29"/>
      <c r="V55" s="82">
        <f t="shared" ref="V55" si="30">SUM(F55:T55)</f>
        <v>1090</v>
      </c>
      <c r="W55" s="82">
        <f t="shared" ref="W55" si="31">SUM(F56:T56)</f>
        <v>42403</v>
      </c>
      <c r="X55" s="82">
        <f t="shared" ref="X55" si="32">SUM(F57:T57)</f>
        <v>23780</v>
      </c>
      <c r="Z55" s="82">
        <f t="shared" ref="Z55" si="33">B55-V55</f>
        <v>1</v>
      </c>
      <c r="AA55" s="82">
        <f t="shared" ref="AA55" si="34">C55-W55</f>
        <v>0</v>
      </c>
      <c r="AB55" s="82">
        <f t="shared" ref="AB55" si="35">D55-X55</f>
        <v>0</v>
      </c>
    </row>
    <row r="56" spans="1:28" x14ac:dyDescent="0.4">
      <c r="A56" s="35" t="s">
        <v>54</v>
      </c>
      <c r="B56" s="36"/>
      <c r="C56" s="36"/>
      <c r="D56" s="36"/>
      <c r="E56" s="4"/>
      <c r="F56" s="36">
        <v>5652</v>
      </c>
      <c r="G56" s="36">
        <v>5554</v>
      </c>
      <c r="H56" s="36">
        <v>3800</v>
      </c>
      <c r="I56" s="36">
        <v>4390</v>
      </c>
      <c r="J56" s="36">
        <v>9177</v>
      </c>
      <c r="K56" s="36">
        <v>5202</v>
      </c>
      <c r="L56" s="36">
        <v>2745</v>
      </c>
      <c r="M56" s="36">
        <v>5883</v>
      </c>
      <c r="N56" s="36"/>
      <c r="O56" s="36"/>
      <c r="P56" s="36"/>
      <c r="Q56" s="36"/>
      <c r="R56" s="4"/>
      <c r="S56" s="4"/>
      <c r="T56" s="4"/>
    </row>
    <row r="57" spans="1:28" x14ac:dyDescent="0.4">
      <c r="A57" s="35" t="s">
        <v>55</v>
      </c>
      <c r="B57" s="36"/>
      <c r="C57" s="36"/>
      <c r="D57" s="36"/>
      <c r="E57" s="4"/>
      <c r="F57" s="36">
        <v>2729</v>
      </c>
      <c r="G57" s="36">
        <v>3231</v>
      </c>
      <c r="H57" s="36">
        <v>1955</v>
      </c>
      <c r="I57" s="36">
        <v>2707</v>
      </c>
      <c r="J57" s="36">
        <v>5673</v>
      </c>
      <c r="K57" s="36">
        <v>2661</v>
      </c>
      <c r="L57" s="36">
        <v>1735</v>
      </c>
      <c r="M57" s="36">
        <v>3089</v>
      </c>
      <c r="N57" s="36"/>
      <c r="O57" s="36"/>
      <c r="P57" s="36"/>
      <c r="Q57" s="36"/>
      <c r="R57" s="4"/>
      <c r="S57" s="4"/>
      <c r="T57" s="4"/>
    </row>
    <row r="58" spans="1:28" x14ac:dyDescent="0.4">
      <c r="A58" s="79" t="s">
        <v>56</v>
      </c>
      <c r="B58" s="80">
        <v>601</v>
      </c>
      <c r="C58" s="80">
        <v>25519</v>
      </c>
      <c r="D58" s="80">
        <v>15923</v>
      </c>
      <c r="E58" s="29"/>
      <c r="F58" s="80">
        <v>99</v>
      </c>
      <c r="G58" s="80">
        <v>83</v>
      </c>
      <c r="H58" s="80">
        <v>72</v>
      </c>
      <c r="I58" s="80">
        <v>77</v>
      </c>
      <c r="J58" s="80">
        <v>64</v>
      </c>
      <c r="K58" s="80">
        <v>69</v>
      </c>
      <c r="L58" s="80">
        <v>68</v>
      </c>
      <c r="M58" s="80">
        <v>69</v>
      </c>
      <c r="N58" s="80"/>
      <c r="O58" s="80"/>
      <c r="P58" s="80"/>
      <c r="Q58" s="80"/>
      <c r="R58" s="29"/>
      <c r="S58" s="29"/>
      <c r="T58" s="29"/>
      <c r="V58" s="82">
        <f t="shared" ref="V58" si="36">SUM(F58:T58)</f>
        <v>601</v>
      </c>
      <c r="W58" s="82">
        <f t="shared" ref="W58" si="37">SUM(F59:T59)</f>
        <v>25519</v>
      </c>
      <c r="X58" s="82">
        <f t="shared" ref="X58" si="38">SUM(F60:T60)</f>
        <v>15923</v>
      </c>
      <c r="Z58" s="82">
        <f t="shared" ref="Z58" si="39">B58-V58</f>
        <v>0</v>
      </c>
      <c r="AA58" s="82">
        <f t="shared" ref="AA58" si="40">C58-W58</f>
        <v>0</v>
      </c>
      <c r="AB58" s="82">
        <f t="shared" ref="AB58" si="41">D58-X58</f>
        <v>0</v>
      </c>
    </row>
    <row r="59" spans="1:28" x14ac:dyDescent="0.4">
      <c r="A59" s="35" t="s">
        <v>57</v>
      </c>
      <c r="B59" s="36"/>
      <c r="C59" s="36"/>
      <c r="D59" s="36"/>
      <c r="E59" s="4"/>
      <c r="F59" s="36">
        <v>3892</v>
      </c>
      <c r="G59" s="36">
        <v>2825</v>
      </c>
      <c r="H59" s="36">
        <v>3831</v>
      </c>
      <c r="I59" s="36">
        <v>3366</v>
      </c>
      <c r="J59" s="36">
        <v>2873</v>
      </c>
      <c r="K59" s="36">
        <v>3073</v>
      </c>
      <c r="L59" s="36">
        <v>2836</v>
      </c>
      <c r="M59" s="36">
        <v>2823</v>
      </c>
      <c r="N59" s="36"/>
      <c r="O59" s="36"/>
      <c r="P59" s="36"/>
      <c r="Q59" s="36"/>
      <c r="R59" s="4"/>
      <c r="S59" s="4"/>
      <c r="T59" s="4"/>
    </row>
    <row r="60" spans="1:28" x14ac:dyDescent="0.4">
      <c r="A60" s="35" t="s">
        <v>58</v>
      </c>
      <c r="B60" s="36"/>
      <c r="C60" s="36"/>
      <c r="D60" s="36"/>
      <c r="E60" s="4"/>
      <c r="F60" s="36">
        <v>2219</v>
      </c>
      <c r="G60" s="36">
        <v>1905</v>
      </c>
      <c r="H60" s="36">
        <v>2380</v>
      </c>
      <c r="I60" s="36">
        <v>1954</v>
      </c>
      <c r="J60" s="36">
        <v>1842</v>
      </c>
      <c r="K60" s="36">
        <v>1674</v>
      </c>
      <c r="L60" s="36">
        <v>1841</v>
      </c>
      <c r="M60" s="36">
        <v>2108</v>
      </c>
      <c r="N60" s="36"/>
      <c r="O60" s="36"/>
      <c r="P60" s="36"/>
      <c r="Q60" s="36"/>
      <c r="R60" s="4"/>
      <c r="S60" s="4"/>
      <c r="T60" s="4"/>
    </row>
    <row r="61" spans="1:28" x14ac:dyDescent="0.4">
      <c r="A61" s="79" t="s">
        <v>59</v>
      </c>
      <c r="B61" s="80">
        <v>716</v>
      </c>
      <c r="C61" s="80">
        <v>28928</v>
      </c>
      <c r="D61" s="80">
        <v>17689</v>
      </c>
      <c r="E61" s="29"/>
      <c r="F61" s="80">
        <v>127</v>
      </c>
      <c r="G61" s="80">
        <v>92</v>
      </c>
      <c r="H61" s="80">
        <v>103</v>
      </c>
      <c r="I61" s="80">
        <v>105</v>
      </c>
      <c r="J61" s="80">
        <v>103</v>
      </c>
      <c r="K61" s="80">
        <v>97</v>
      </c>
      <c r="L61" s="80">
        <v>90</v>
      </c>
      <c r="M61" s="80"/>
      <c r="N61" s="80"/>
      <c r="O61" s="80"/>
      <c r="P61" s="80"/>
      <c r="Q61" s="80"/>
      <c r="R61" s="29"/>
      <c r="S61" s="29"/>
      <c r="T61" s="29"/>
      <c r="V61" s="82">
        <f t="shared" ref="V61" si="42">SUM(F61:T61)</f>
        <v>717</v>
      </c>
      <c r="W61" s="82">
        <f t="shared" ref="W61" si="43">SUM(F62:T62)</f>
        <v>28928</v>
      </c>
      <c r="X61" s="82">
        <f t="shared" ref="X61" si="44">SUM(F63:T63)</f>
        <v>17689</v>
      </c>
      <c r="Z61" s="82">
        <f t="shared" ref="Z61" si="45">B61-V61</f>
        <v>-1</v>
      </c>
      <c r="AA61" s="82">
        <f t="shared" ref="AA61" si="46">C61-W61</f>
        <v>0</v>
      </c>
      <c r="AB61" s="82">
        <f t="shared" ref="AB61" si="47">D61-X61</f>
        <v>0</v>
      </c>
    </row>
    <row r="62" spans="1:28" x14ac:dyDescent="0.4">
      <c r="A62" s="35" t="s">
        <v>60</v>
      </c>
      <c r="B62" s="36"/>
      <c r="C62" s="36"/>
      <c r="D62" s="36"/>
      <c r="E62" s="4"/>
      <c r="F62" s="36">
        <v>4363</v>
      </c>
      <c r="G62" s="36">
        <v>4180</v>
      </c>
      <c r="H62" s="36">
        <v>4198</v>
      </c>
      <c r="I62" s="36">
        <v>4137</v>
      </c>
      <c r="J62" s="36">
        <v>4481</v>
      </c>
      <c r="K62" s="36">
        <v>4144</v>
      </c>
      <c r="L62" s="36">
        <v>3425</v>
      </c>
      <c r="M62" s="36"/>
      <c r="N62" s="36"/>
      <c r="O62" s="36"/>
      <c r="P62" s="36"/>
      <c r="Q62" s="36"/>
      <c r="R62" s="4"/>
      <c r="S62" s="4"/>
      <c r="T62" s="4"/>
    </row>
    <row r="63" spans="1:28" x14ac:dyDescent="0.4">
      <c r="A63" s="35" t="s">
        <v>61</v>
      </c>
      <c r="B63" s="36"/>
      <c r="C63" s="36"/>
      <c r="D63" s="36"/>
      <c r="E63" s="4"/>
      <c r="F63" s="36">
        <v>2385</v>
      </c>
      <c r="G63" s="36">
        <v>2519</v>
      </c>
      <c r="H63" s="36">
        <v>2250</v>
      </c>
      <c r="I63" s="36">
        <v>2631</v>
      </c>
      <c r="J63" s="36">
        <v>3357</v>
      </c>
      <c r="K63" s="36">
        <v>2520</v>
      </c>
      <c r="L63" s="36">
        <v>2027</v>
      </c>
      <c r="M63" s="36"/>
      <c r="N63" s="36"/>
      <c r="O63" s="36"/>
      <c r="P63" s="36"/>
      <c r="Q63" s="36"/>
      <c r="R63" s="4"/>
      <c r="S63" s="4"/>
      <c r="T63" s="4"/>
    </row>
    <row r="64" spans="1:28" x14ac:dyDescent="0.4">
      <c r="A64" s="79" t="s">
        <v>62</v>
      </c>
      <c r="B64" s="80">
        <v>657</v>
      </c>
      <c r="C64" s="80">
        <v>20886</v>
      </c>
      <c r="D64" s="80">
        <v>15444</v>
      </c>
      <c r="E64" s="29"/>
      <c r="F64" s="80">
        <v>111</v>
      </c>
      <c r="G64" s="80">
        <v>78</v>
      </c>
      <c r="H64" s="80">
        <v>79</v>
      </c>
      <c r="I64" s="80">
        <v>87</v>
      </c>
      <c r="J64" s="80">
        <v>82</v>
      </c>
      <c r="K64" s="80">
        <v>125</v>
      </c>
      <c r="L64" s="80">
        <v>95</v>
      </c>
      <c r="M64" s="80"/>
      <c r="N64" s="80"/>
      <c r="O64" s="80"/>
      <c r="P64" s="80"/>
      <c r="Q64" s="80"/>
      <c r="R64" s="29"/>
      <c r="S64" s="29"/>
      <c r="T64" s="29"/>
      <c r="V64" s="82">
        <f t="shared" ref="V64" si="48">SUM(F64:T64)</f>
        <v>657</v>
      </c>
      <c r="W64" s="82">
        <f t="shared" ref="W64" si="49">SUM(F65:T65)</f>
        <v>20886</v>
      </c>
      <c r="X64" s="82">
        <f t="shared" ref="X64" si="50">SUM(F66:T66)</f>
        <v>15444</v>
      </c>
      <c r="Z64" s="82">
        <f t="shared" ref="Z64" si="51">B64-V64</f>
        <v>0</v>
      </c>
      <c r="AA64" s="82">
        <f t="shared" ref="AA64" si="52">C64-W64</f>
        <v>0</v>
      </c>
      <c r="AB64" s="82">
        <f t="shared" ref="AB64" si="53">D64-X64</f>
        <v>0</v>
      </c>
    </row>
    <row r="65" spans="1:33" x14ac:dyDescent="0.4">
      <c r="A65" s="35" t="s">
        <v>63</v>
      </c>
      <c r="B65" s="36"/>
      <c r="C65" s="36"/>
      <c r="D65" s="36"/>
      <c r="E65" s="4"/>
      <c r="F65" s="36">
        <v>3393</v>
      </c>
      <c r="G65" s="36">
        <v>2534</v>
      </c>
      <c r="H65" s="36">
        <v>3281</v>
      </c>
      <c r="I65" s="36">
        <v>2334</v>
      </c>
      <c r="J65" s="36">
        <v>2933</v>
      </c>
      <c r="K65" s="36">
        <v>3515</v>
      </c>
      <c r="L65" s="36">
        <v>2896</v>
      </c>
      <c r="M65" s="36"/>
      <c r="N65" s="36"/>
      <c r="O65" s="36"/>
      <c r="P65" s="36"/>
      <c r="Q65" s="36"/>
      <c r="R65" s="4"/>
      <c r="S65" s="4"/>
      <c r="T65" s="4"/>
    </row>
    <row r="66" spans="1:33" x14ac:dyDescent="0.4">
      <c r="A66" s="35" t="s">
        <v>64</v>
      </c>
      <c r="B66" s="36"/>
      <c r="C66" s="36"/>
      <c r="D66" s="36"/>
      <c r="E66" s="4"/>
      <c r="F66" s="36">
        <v>2623</v>
      </c>
      <c r="G66" s="36">
        <v>1588</v>
      </c>
      <c r="H66" s="36">
        <v>1565</v>
      </c>
      <c r="I66" s="36">
        <v>1600</v>
      </c>
      <c r="J66" s="36">
        <v>2117</v>
      </c>
      <c r="K66" s="36">
        <v>2798</v>
      </c>
      <c r="L66" s="36">
        <v>3153</v>
      </c>
      <c r="M66" s="36"/>
      <c r="N66" s="36"/>
      <c r="O66" s="36"/>
      <c r="P66" s="36"/>
      <c r="Q66" s="36"/>
      <c r="R66" s="4"/>
      <c r="S66" s="4"/>
      <c r="T66" s="4"/>
    </row>
    <row r="67" spans="1:33" x14ac:dyDescent="0.4">
      <c r="A67" s="79" t="s">
        <v>65</v>
      </c>
      <c r="B67" s="80">
        <v>672</v>
      </c>
      <c r="C67" s="80">
        <v>24933</v>
      </c>
      <c r="D67" s="80">
        <v>17703</v>
      </c>
      <c r="E67" s="29"/>
      <c r="F67" s="80">
        <v>79</v>
      </c>
      <c r="G67" s="80">
        <v>66</v>
      </c>
      <c r="H67" s="80">
        <v>70</v>
      </c>
      <c r="I67" s="80">
        <v>75</v>
      </c>
      <c r="J67" s="80">
        <v>104</v>
      </c>
      <c r="K67" s="80">
        <v>56</v>
      </c>
      <c r="L67" s="80">
        <v>87</v>
      </c>
      <c r="M67" s="80">
        <v>72</v>
      </c>
      <c r="N67" s="80">
        <v>63</v>
      </c>
      <c r="O67" s="80"/>
      <c r="P67" s="80"/>
      <c r="Q67" s="80"/>
      <c r="R67" s="29"/>
      <c r="S67" s="29"/>
      <c r="T67" s="29"/>
      <c r="V67" s="82">
        <f t="shared" ref="V67" si="54">SUM(F67:T67)</f>
        <v>672</v>
      </c>
      <c r="W67" s="82">
        <f t="shared" ref="W67" si="55">SUM(F68:T68)</f>
        <v>24933</v>
      </c>
      <c r="X67" s="82">
        <f t="shared" ref="X67" si="56">SUM(F69:T69)</f>
        <v>17703</v>
      </c>
      <c r="Z67" s="82">
        <f t="shared" ref="Z67" si="57">B67-V67</f>
        <v>0</v>
      </c>
      <c r="AA67" s="82">
        <f t="shared" ref="AA67" si="58">C67-W67</f>
        <v>0</v>
      </c>
      <c r="AB67" s="82">
        <f t="shared" ref="AB67" si="59">D67-X67</f>
        <v>0</v>
      </c>
    </row>
    <row r="68" spans="1:33" x14ac:dyDescent="0.4">
      <c r="A68" s="35" t="s">
        <v>66</v>
      </c>
      <c r="B68" s="36"/>
      <c r="C68" s="36"/>
      <c r="D68" s="36"/>
      <c r="E68" s="4"/>
      <c r="F68" s="36">
        <v>3032</v>
      </c>
      <c r="G68" s="36">
        <v>2533</v>
      </c>
      <c r="H68" s="36">
        <v>2264</v>
      </c>
      <c r="I68" s="36">
        <v>3219</v>
      </c>
      <c r="J68" s="36">
        <v>3727</v>
      </c>
      <c r="K68" s="36">
        <v>1839</v>
      </c>
      <c r="L68" s="36">
        <v>3481</v>
      </c>
      <c r="M68" s="36">
        <v>2541</v>
      </c>
      <c r="N68" s="36">
        <v>2297</v>
      </c>
      <c r="O68" s="36"/>
      <c r="P68" s="36"/>
      <c r="Q68" s="36"/>
      <c r="R68" s="4"/>
      <c r="S68" s="4"/>
      <c r="T68" s="4"/>
    </row>
    <row r="69" spans="1:33" x14ac:dyDescent="0.4">
      <c r="A69" s="35" t="s">
        <v>67</v>
      </c>
      <c r="B69" s="36"/>
      <c r="C69" s="36"/>
      <c r="D69" s="36"/>
      <c r="E69" s="4"/>
      <c r="F69" s="36">
        <v>1952</v>
      </c>
      <c r="G69" s="36">
        <v>1510</v>
      </c>
      <c r="H69" s="36">
        <v>1270</v>
      </c>
      <c r="I69" s="36">
        <v>2256</v>
      </c>
      <c r="J69" s="36">
        <v>3288</v>
      </c>
      <c r="K69" s="36">
        <v>1631</v>
      </c>
      <c r="L69" s="36">
        <v>2580</v>
      </c>
      <c r="M69" s="36">
        <v>1822</v>
      </c>
      <c r="N69" s="36">
        <v>1394</v>
      </c>
      <c r="O69" s="36"/>
      <c r="P69" s="36"/>
      <c r="Q69" s="36"/>
      <c r="R69" s="4"/>
      <c r="S69" s="4"/>
      <c r="T69" s="4"/>
    </row>
    <row r="70" spans="1:33" x14ac:dyDescent="0.4">
      <c r="A70" s="79" t="s">
        <v>68</v>
      </c>
      <c r="B70" s="80">
        <v>676</v>
      </c>
      <c r="C70" s="80">
        <v>19365</v>
      </c>
      <c r="D70" s="80">
        <v>11973</v>
      </c>
      <c r="E70" s="29"/>
      <c r="F70" s="80">
        <v>105</v>
      </c>
      <c r="G70" s="80">
        <v>58</v>
      </c>
      <c r="H70" s="80">
        <v>50</v>
      </c>
      <c r="I70" s="80">
        <v>58</v>
      </c>
      <c r="J70" s="80">
        <v>69</v>
      </c>
      <c r="K70" s="80">
        <v>81</v>
      </c>
      <c r="L70" s="80">
        <v>68</v>
      </c>
      <c r="M70" s="80">
        <v>68</v>
      </c>
      <c r="N70" s="80">
        <v>52</v>
      </c>
      <c r="O70" s="80">
        <v>68</v>
      </c>
      <c r="P70" s="80"/>
      <c r="Q70" s="80"/>
      <c r="R70" s="29"/>
      <c r="S70" s="29"/>
      <c r="T70" s="29"/>
      <c r="V70" s="82">
        <f t="shared" ref="V70" si="60">SUM(F70:T70)</f>
        <v>677</v>
      </c>
      <c r="W70" s="82">
        <f t="shared" ref="W70" si="61">SUM(F71:T71)</f>
        <v>19365</v>
      </c>
      <c r="X70" s="82">
        <f t="shared" ref="X70" si="62">SUM(F72:T72)</f>
        <v>11973</v>
      </c>
      <c r="Z70" s="82">
        <f t="shared" ref="Z70" si="63">B70-V70</f>
        <v>-1</v>
      </c>
      <c r="AA70" s="82">
        <f t="shared" ref="AA70" si="64">C70-W70</f>
        <v>0</v>
      </c>
      <c r="AB70" s="82">
        <f t="shared" ref="AB70" si="65">D70-X70</f>
        <v>0</v>
      </c>
    </row>
    <row r="71" spans="1:33" x14ac:dyDescent="0.4">
      <c r="A71" s="35" t="s">
        <v>69</v>
      </c>
      <c r="B71" s="36"/>
      <c r="C71" s="36"/>
      <c r="D71" s="36"/>
      <c r="E71" s="4"/>
      <c r="F71" s="36">
        <v>2871</v>
      </c>
      <c r="G71" s="36">
        <v>1493</v>
      </c>
      <c r="H71" s="36">
        <v>1280</v>
      </c>
      <c r="I71" s="36">
        <v>1671</v>
      </c>
      <c r="J71" s="36">
        <v>1983</v>
      </c>
      <c r="K71" s="36">
        <v>2858</v>
      </c>
      <c r="L71" s="36">
        <v>2068</v>
      </c>
      <c r="M71" s="36">
        <v>1915</v>
      </c>
      <c r="N71" s="36">
        <v>1449</v>
      </c>
      <c r="O71" s="36">
        <v>1777</v>
      </c>
      <c r="P71" s="36"/>
      <c r="Q71" s="36"/>
      <c r="R71" s="4"/>
      <c r="S71" s="4"/>
      <c r="T71" s="4"/>
    </row>
    <row r="72" spans="1:33" x14ac:dyDescent="0.4">
      <c r="A72" s="35" t="s">
        <v>70</v>
      </c>
      <c r="B72" s="36"/>
      <c r="C72" s="36"/>
      <c r="D72" s="36"/>
      <c r="E72" s="4"/>
      <c r="F72" s="36">
        <v>2191</v>
      </c>
      <c r="G72" s="36">
        <v>1004</v>
      </c>
      <c r="H72" s="36">
        <v>862</v>
      </c>
      <c r="I72" s="36">
        <v>884</v>
      </c>
      <c r="J72" s="36">
        <v>1154</v>
      </c>
      <c r="K72" s="36">
        <v>1358</v>
      </c>
      <c r="L72" s="36">
        <v>1078</v>
      </c>
      <c r="M72" s="36">
        <v>1194</v>
      </c>
      <c r="N72" s="36">
        <v>1199</v>
      </c>
      <c r="O72" s="36">
        <v>1049</v>
      </c>
      <c r="P72" s="36"/>
      <c r="Q72" s="36"/>
      <c r="R72" s="4"/>
      <c r="S72" s="4"/>
      <c r="T72" s="4"/>
    </row>
    <row r="73" spans="1:33" x14ac:dyDescent="0.4">
      <c r="A73" s="79" t="s">
        <v>71</v>
      </c>
      <c r="B73" s="80">
        <v>1229</v>
      </c>
      <c r="C73" s="80">
        <v>36315</v>
      </c>
      <c r="D73" s="80">
        <v>25477</v>
      </c>
      <c r="E73" s="29"/>
      <c r="F73" s="80">
        <v>316</v>
      </c>
      <c r="G73" s="80">
        <v>118</v>
      </c>
      <c r="H73" s="80">
        <v>133</v>
      </c>
      <c r="I73" s="80">
        <v>97</v>
      </c>
      <c r="J73" s="80">
        <v>119</v>
      </c>
      <c r="K73" s="80">
        <v>188</v>
      </c>
      <c r="L73" s="80">
        <v>100</v>
      </c>
      <c r="M73" s="80">
        <v>100</v>
      </c>
      <c r="N73" s="80">
        <v>59</v>
      </c>
      <c r="O73" s="80"/>
      <c r="P73" s="80"/>
      <c r="Q73" s="80"/>
      <c r="R73" s="29"/>
      <c r="S73" s="29"/>
      <c r="T73" s="29"/>
      <c r="V73" s="82">
        <f t="shared" ref="V73" si="66">SUM(F73:T73)</f>
        <v>1230</v>
      </c>
      <c r="W73" s="82">
        <f t="shared" ref="W73" si="67">SUM(F74:T74)</f>
        <v>36315</v>
      </c>
      <c r="X73" s="82">
        <f t="shared" ref="X73" si="68">SUM(F75:T75)</f>
        <v>25477</v>
      </c>
      <c r="Z73" s="82">
        <f t="shared" ref="Z73" si="69">B73-V73</f>
        <v>-1</v>
      </c>
      <c r="AA73" s="82">
        <f t="shared" ref="AA73" si="70">C73-W73</f>
        <v>0</v>
      </c>
      <c r="AB73" s="82">
        <f t="shared" ref="AB73" si="71">D73-X73</f>
        <v>0</v>
      </c>
    </row>
    <row r="74" spans="1:33" x14ac:dyDescent="0.4">
      <c r="A74" s="35" t="s">
        <v>72</v>
      </c>
      <c r="B74" s="36"/>
      <c r="C74" s="36"/>
      <c r="D74" s="36"/>
      <c r="E74" s="4"/>
      <c r="F74" s="36">
        <v>9446</v>
      </c>
      <c r="G74" s="36">
        <v>3677</v>
      </c>
      <c r="H74" s="36">
        <v>3188</v>
      </c>
      <c r="I74" s="36">
        <v>3337</v>
      </c>
      <c r="J74" s="36">
        <v>3525</v>
      </c>
      <c r="K74" s="36">
        <v>5650</v>
      </c>
      <c r="L74" s="36">
        <v>2874</v>
      </c>
      <c r="M74" s="36">
        <v>2653</v>
      </c>
      <c r="N74" s="36">
        <v>1965</v>
      </c>
      <c r="O74" s="36"/>
      <c r="P74" s="36"/>
      <c r="Q74" s="36"/>
      <c r="R74" s="4"/>
      <c r="S74" s="4"/>
      <c r="T74" s="4"/>
    </row>
    <row r="75" spans="1:33" x14ac:dyDescent="0.4">
      <c r="A75" s="35" t="s">
        <v>73</v>
      </c>
      <c r="B75" s="36"/>
      <c r="C75" s="36"/>
      <c r="D75" s="36"/>
      <c r="E75" s="4"/>
      <c r="F75" s="36">
        <v>7670</v>
      </c>
      <c r="G75" s="36">
        <v>2230</v>
      </c>
      <c r="H75" s="36">
        <v>2296</v>
      </c>
      <c r="I75" s="36">
        <v>2150</v>
      </c>
      <c r="J75" s="36">
        <v>2158</v>
      </c>
      <c r="K75" s="36">
        <v>3829</v>
      </c>
      <c r="L75" s="36">
        <v>1715</v>
      </c>
      <c r="M75" s="36">
        <v>2012</v>
      </c>
      <c r="N75" s="36">
        <v>1417</v>
      </c>
      <c r="O75" s="36"/>
      <c r="P75" s="36"/>
      <c r="Q75" s="36"/>
      <c r="R75" s="4"/>
      <c r="S75" s="4"/>
      <c r="T75" s="4"/>
    </row>
    <row r="76" spans="1:33" x14ac:dyDescent="0.4">
      <c r="A76" s="37" t="s">
        <v>74</v>
      </c>
      <c r="B76" s="38">
        <v>393</v>
      </c>
      <c r="C76" s="38">
        <v>11838</v>
      </c>
      <c r="D76" s="38">
        <v>8161</v>
      </c>
      <c r="E76" s="39"/>
      <c r="F76" s="38">
        <v>147</v>
      </c>
      <c r="G76" s="38">
        <v>116</v>
      </c>
      <c r="H76" s="38">
        <v>49</v>
      </c>
      <c r="I76" s="38">
        <v>81</v>
      </c>
      <c r="J76" s="38"/>
      <c r="K76" s="38"/>
      <c r="L76" s="38"/>
      <c r="M76" s="38"/>
      <c r="N76" s="38"/>
      <c r="O76" s="38"/>
      <c r="P76" s="38"/>
      <c r="Q76" s="38"/>
      <c r="R76" s="38"/>
      <c r="S76" s="29"/>
      <c r="T76" s="29"/>
      <c r="V76" s="82">
        <f t="shared" ref="V76" si="72">SUM(F76:T76)</f>
        <v>393</v>
      </c>
      <c r="W76" s="82">
        <f t="shared" ref="W76" si="73">SUM(F77:T77)</f>
        <v>11836</v>
      </c>
      <c r="X76" s="82">
        <f t="shared" ref="X76" si="74">SUM(F78:T78)</f>
        <v>8161</v>
      </c>
      <c r="Z76" s="82">
        <f t="shared" ref="Z76" si="75">B76-V76</f>
        <v>0</v>
      </c>
      <c r="AA76" s="82">
        <f t="shared" ref="AA76" si="76">C76-W76</f>
        <v>2</v>
      </c>
      <c r="AB76" s="82">
        <f t="shared" ref="AB76" si="77">D76-X76</f>
        <v>0</v>
      </c>
    </row>
    <row r="77" spans="1:33" x14ac:dyDescent="0.4">
      <c r="A77" s="40" t="s">
        <v>75</v>
      </c>
      <c r="B77" s="41"/>
      <c r="C77" s="41"/>
      <c r="D77" s="41"/>
      <c r="E77" s="42"/>
      <c r="F77" s="41">
        <v>4171</v>
      </c>
      <c r="G77" s="41">
        <v>3629</v>
      </c>
      <c r="H77" s="41">
        <v>1657</v>
      </c>
      <c r="I77" s="41">
        <v>2379</v>
      </c>
      <c r="J77" s="41"/>
      <c r="K77" s="41"/>
      <c r="L77" s="41"/>
      <c r="M77" s="41"/>
      <c r="N77" s="41"/>
      <c r="O77" s="41"/>
      <c r="P77" s="41"/>
      <c r="Q77" s="41"/>
      <c r="R77" s="41"/>
      <c r="S77" s="4"/>
      <c r="T77" s="4"/>
    </row>
    <row r="78" spans="1:33" x14ac:dyDescent="0.4">
      <c r="A78" s="40" t="s">
        <v>76</v>
      </c>
      <c r="B78" s="41"/>
      <c r="C78" s="41"/>
      <c r="D78" s="41"/>
      <c r="E78" s="42"/>
      <c r="F78" s="41">
        <v>2885</v>
      </c>
      <c r="G78" s="41">
        <v>2496</v>
      </c>
      <c r="H78" s="41">
        <v>1103</v>
      </c>
      <c r="I78" s="41">
        <v>1677</v>
      </c>
      <c r="J78" s="41"/>
      <c r="K78" s="41"/>
      <c r="L78" s="41"/>
      <c r="M78" s="41"/>
      <c r="N78" s="41"/>
      <c r="O78" s="41"/>
      <c r="P78" s="41"/>
      <c r="Q78" s="41"/>
      <c r="R78" s="41"/>
      <c r="S78" s="4"/>
      <c r="T78" s="4"/>
    </row>
    <row r="79" spans="1:33" ht="24.6" x14ac:dyDescent="0.4">
      <c r="A79" s="86" t="s">
        <v>249</v>
      </c>
      <c r="B79" s="60">
        <v>10619</v>
      </c>
      <c r="C79" s="60">
        <v>396239</v>
      </c>
      <c r="D79" s="60">
        <v>247395</v>
      </c>
      <c r="E79" s="61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87"/>
      <c r="T79" s="87"/>
      <c r="U79" s="88"/>
      <c r="V79" s="89">
        <f>SUM(V39:V78)</f>
        <v>10612</v>
      </c>
      <c r="W79" s="89">
        <f>SUM(W39:W78)</f>
        <v>396237</v>
      </c>
      <c r="X79" s="89">
        <f>SUM(X39:X78)</f>
        <v>245616</v>
      </c>
      <c r="Y79" s="88"/>
      <c r="Z79" s="89">
        <f>V79-B79</f>
        <v>-7</v>
      </c>
      <c r="AA79" s="89">
        <f>W79-C79</f>
        <v>-2</v>
      </c>
      <c r="AB79" s="89">
        <f>X79-D79</f>
        <v>-1779</v>
      </c>
      <c r="AC79" s="84"/>
      <c r="AD79" s="84"/>
      <c r="AE79" s="84"/>
      <c r="AF79" s="84"/>
      <c r="AG79" s="84"/>
    </row>
    <row r="80" spans="1:33" x14ac:dyDescent="0.4">
      <c r="A80" s="37" t="s">
        <v>77</v>
      </c>
      <c r="B80" s="38">
        <v>1588</v>
      </c>
      <c r="C80" s="38">
        <v>75610</v>
      </c>
      <c r="D80" s="38">
        <v>42333</v>
      </c>
      <c r="E80" s="39"/>
      <c r="F80" s="38">
        <v>258</v>
      </c>
      <c r="G80" s="38">
        <v>226</v>
      </c>
      <c r="H80" s="38">
        <v>172</v>
      </c>
      <c r="I80" s="38">
        <v>195</v>
      </c>
      <c r="J80" s="38">
        <v>168</v>
      </c>
      <c r="K80" s="38">
        <v>177</v>
      </c>
      <c r="L80" s="38">
        <v>246</v>
      </c>
      <c r="M80" s="38">
        <v>148</v>
      </c>
      <c r="N80" s="38"/>
      <c r="O80" s="38"/>
      <c r="P80" s="38"/>
      <c r="Q80" s="38"/>
      <c r="R80" s="38"/>
      <c r="S80" s="29"/>
      <c r="T80" s="29"/>
      <c r="V80" s="82">
        <f t="shared" ref="V80" si="78">SUM(F80:T80)</f>
        <v>1590</v>
      </c>
      <c r="W80" s="82">
        <f t="shared" ref="W80" si="79">SUM(F81:T81)</f>
        <v>75610</v>
      </c>
      <c r="X80" s="82">
        <f t="shared" ref="X80" si="80">SUM(F82:T82)</f>
        <v>42333</v>
      </c>
      <c r="Z80" s="82">
        <f t="shared" ref="Z80" si="81">B80-V80</f>
        <v>-2</v>
      </c>
      <c r="AA80" s="82">
        <f t="shared" ref="AA80" si="82">C80-W80</f>
        <v>0</v>
      </c>
      <c r="AB80" s="82">
        <f t="shared" ref="AB80" si="83">D80-X80</f>
        <v>0</v>
      </c>
    </row>
    <row r="81" spans="1:28" x14ac:dyDescent="0.4">
      <c r="A81" s="40" t="s">
        <v>78</v>
      </c>
      <c r="B81" s="41"/>
      <c r="C81" s="41"/>
      <c r="D81" s="41"/>
      <c r="E81" s="42"/>
      <c r="F81" s="41">
        <v>10936</v>
      </c>
      <c r="G81" s="41">
        <v>10215</v>
      </c>
      <c r="H81" s="41">
        <v>7973</v>
      </c>
      <c r="I81" s="41">
        <v>10254</v>
      </c>
      <c r="J81" s="41">
        <v>7898</v>
      </c>
      <c r="K81" s="41">
        <v>8888</v>
      </c>
      <c r="L81" s="41">
        <v>11756</v>
      </c>
      <c r="M81" s="41">
        <v>7690</v>
      </c>
      <c r="N81" s="41"/>
      <c r="O81" s="41"/>
      <c r="P81" s="41"/>
      <c r="Q81" s="41"/>
      <c r="R81" s="41"/>
      <c r="S81" s="4"/>
      <c r="T81" s="4"/>
    </row>
    <row r="82" spans="1:28" x14ac:dyDescent="0.4">
      <c r="A82" s="40" t="s">
        <v>79</v>
      </c>
      <c r="B82" s="41"/>
      <c r="C82" s="41"/>
      <c r="D82" s="41"/>
      <c r="E82" s="42"/>
      <c r="F82" s="41">
        <v>5512</v>
      </c>
      <c r="G82" s="41">
        <v>6122</v>
      </c>
      <c r="H82" s="41">
        <v>4921</v>
      </c>
      <c r="I82" s="41">
        <v>5642</v>
      </c>
      <c r="J82" s="41">
        <v>4007</v>
      </c>
      <c r="K82" s="41">
        <v>5627</v>
      </c>
      <c r="L82" s="41">
        <v>6114</v>
      </c>
      <c r="M82" s="41">
        <v>4388</v>
      </c>
      <c r="N82" s="41"/>
      <c r="O82" s="41"/>
      <c r="P82" s="41"/>
      <c r="Q82" s="41"/>
      <c r="R82" s="41"/>
      <c r="S82" s="4"/>
      <c r="T82" s="4"/>
    </row>
    <row r="83" spans="1:28" x14ac:dyDescent="0.4">
      <c r="A83" s="37" t="s">
        <v>80</v>
      </c>
      <c r="B83" s="38">
        <v>1403</v>
      </c>
      <c r="C83" s="38">
        <v>73911</v>
      </c>
      <c r="D83" s="38">
        <v>58157</v>
      </c>
      <c r="E83" s="39"/>
      <c r="F83" s="38">
        <v>162</v>
      </c>
      <c r="G83" s="38">
        <v>95</v>
      </c>
      <c r="H83" s="38">
        <v>85</v>
      </c>
      <c r="I83" s="38">
        <v>100</v>
      </c>
      <c r="J83" s="38">
        <v>110</v>
      </c>
      <c r="K83" s="38">
        <v>122</v>
      </c>
      <c r="L83" s="38">
        <v>115</v>
      </c>
      <c r="M83" s="38">
        <v>89</v>
      </c>
      <c r="N83" s="38">
        <v>112</v>
      </c>
      <c r="O83" s="38">
        <v>85</v>
      </c>
      <c r="P83" s="38">
        <v>103</v>
      </c>
      <c r="Q83" s="38">
        <v>126</v>
      </c>
      <c r="R83" s="38">
        <v>98</v>
      </c>
      <c r="S83" s="29"/>
      <c r="T83" s="29"/>
      <c r="V83" s="82">
        <f t="shared" ref="V83" si="84">SUM(F83:T83)</f>
        <v>1402</v>
      </c>
      <c r="W83" s="82">
        <f t="shared" ref="W83" si="85">SUM(F84:T84)</f>
        <v>73911</v>
      </c>
      <c r="X83" s="82">
        <f t="shared" ref="X83" si="86">SUM(F85:T85)</f>
        <v>58157</v>
      </c>
      <c r="Z83" s="82">
        <f t="shared" ref="Z83" si="87">B83-V83</f>
        <v>1</v>
      </c>
      <c r="AA83" s="82">
        <f t="shared" ref="AA83" si="88">C83-W83</f>
        <v>0</v>
      </c>
      <c r="AB83" s="82">
        <f t="shared" ref="AB83" si="89">D83-X83</f>
        <v>0</v>
      </c>
    </row>
    <row r="84" spans="1:28" x14ac:dyDescent="0.4">
      <c r="A84" s="40" t="s">
        <v>81</v>
      </c>
      <c r="B84" s="41"/>
      <c r="C84" s="41"/>
      <c r="D84" s="41"/>
      <c r="E84" s="42"/>
      <c r="F84" s="41">
        <v>7405</v>
      </c>
      <c r="G84" s="41">
        <v>5076</v>
      </c>
      <c r="H84" s="41">
        <v>4136</v>
      </c>
      <c r="I84" s="41">
        <v>4559</v>
      </c>
      <c r="J84" s="41">
        <v>5663</v>
      </c>
      <c r="K84" s="41">
        <v>6833</v>
      </c>
      <c r="L84" s="41">
        <v>6236</v>
      </c>
      <c r="M84" s="41">
        <v>4346</v>
      </c>
      <c r="N84" s="41">
        <v>7301</v>
      </c>
      <c r="O84" s="41">
        <v>4502</v>
      </c>
      <c r="P84" s="41">
        <v>5719</v>
      </c>
      <c r="Q84" s="41">
        <v>6826</v>
      </c>
      <c r="R84" s="41">
        <v>5309</v>
      </c>
      <c r="S84" s="4"/>
      <c r="T84" s="4"/>
    </row>
    <row r="85" spans="1:28" x14ac:dyDescent="0.4">
      <c r="A85" s="40" t="s">
        <v>82</v>
      </c>
      <c r="B85" s="41"/>
      <c r="C85" s="41"/>
      <c r="D85" s="41"/>
      <c r="E85" s="42"/>
      <c r="F85" s="41">
        <v>5993</v>
      </c>
      <c r="G85" s="41">
        <v>4321</v>
      </c>
      <c r="H85" s="41">
        <v>2953</v>
      </c>
      <c r="I85" s="41">
        <v>3122</v>
      </c>
      <c r="J85" s="41">
        <v>4036</v>
      </c>
      <c r="K85" s="41">
        <v>4421</v>
      </c>
      <c r="L85" s="41">
        <v>4379</v>
      </c>
      <c r="M85" s="41">
        <v>4231</v>
      </c>
      <c r="N85" s="41">
        <v>6165</v>
      </c>
      <c r="O85" s="41">
        <v>3458</v>
      </c>
      <c r="P85" s="41">
        <v>4662</v>
      </c>
      <c r="Q85" s="41">
        <v>5195</v>
      </c>
      <c r="R85" s="41">
        <v>5221</v>
      </c>
      <c r="S85" s="4"/>
      <c r="T85" s="4"/>
    </row>
    <row r="86" spans="1:28" x14ac:dyDescent="0.4">
      <c r="A86" s="37" t="s">
        <v>83</v>
      </c>
      <c r="B86" s="38">
        <v>1240</v>
      </c>
      <c r="C86" s="38">
        <v>57753</v>
      </c>
      <c r="D86" s="38">
        <v>38611</v>
      </c>
      <c r="E86" s="39"/>
      <c r="F86" s="38">
        <v>159</v>
      </c>
      <c r="G86" s="38">
        <v>99</v>
      </c>
      <c r="H86" s="38">
        <v>102</v>
      </c>
      <c r="I86" s="38">
        <v>177</v>
      </c>
      <c r="J86" s="38">
        <v>173</v>
      </c>
      <c r="K86" s="38">
        <v>115</v>
      </c>
      <c r="L86" s="38">
        <v>143</v>
      </c>
      <c r="M86" s="38">
        <v>96</v>
      </c>
      <c r="N86" s="38">
        <v>130</v>
      </c>
      <c r="O86" s="38">
        <v>46</v>
      </c>
      <c r="P86" s="38"/>
      <c r="Q86" s="38"/>
      <c r="R86" s="38"/>
      <c r="S86" s="29"/>
      <c r="T86" s="29"/>
      <c r="V86" s="82">
        <f t="shared" ref="V86" si="90">SUM(F86:T86)</f>
        <v>1240</v>
      </c>
      <c r="W86" s="82">
        <f t="shared" ref="W86" si="91">SUM(F87:T87)</f>
        <v>57753</v>
      </c>
      <c r="X86" s="82">
        <f t="shared" ref="X86" si="92">SUM(F88:T88)</f>
        <v>38611</v>
      </c>
      <c r="Z86" s="82">
        <f t="shared" ref="Z86" si="93">B86-V86</f>
        <v>0</v>
      </c>
      <c r="AA86" s="82">
        <f t="shared" ref="AA86" si="94">C86-W86</f>
        <v>0</v>
      </c>
      <c r="AB86" s="82">
        <f t="shared" ref="AB86" si="95">D86-X86</f>
        <v>0</v>
      </c>
    </row>
    <row r="87" spans="1:28" x14ac:dyDescent="0.4">
      <c r="A87" s="40" t="s">
        <v>84</v>
      </c>
      <c r="B87" s="41"/>
      <c r="C87" s="41"/>
      <c r="D87" s="41"/>
      <c r="E87" s="42"/>
      <c r="F87" s="41">
        <v>6677</v>
      </c>
      <c r="G87" s="41">
        <v>4451</v>
      </c>
      <c r="H87" s="41">
        <v>4735</v>
      </c>
      <c r="I87" s="41">
        <v>8254</v>
      </c>
      <c r="J87" s="41">
        <v>9191</v>
      </c>
      <c r="K87" s="41">
        <v>5368</v>
      </c>
      <c r="L87" s="41">
        <v>6923</v>
      </c>
      <c r="M87" s="41">
        <v>3714</v>
      </c>
      <c r="N87" s="41">
        <v>6496</v>
      </c>
      <c r="O87" s="41">
        <v>1944</v>
      </c>
      <c r="P87" s="41"/>
      <c r="Q87" s="41"/>
      <c r="R87" s="41"/>
      <c r="S87" s="4"/>
      <c r="T87" s="4"/>
    </row>
    <row r="88" spans="1:28" x14ac:dyDescent="0.4">
      <c r="A88" s="40" t="s">
        <v>85</v>
      </c>
      <c r="B88" s="41"/>
      <c r="C88" s="41"/>
      <c r="D88" s="41"/>
      <c r="E88" s="42"/>
      <c r="F88" s="41">
        <v>4123</v>
      </c>
      <c r="G88" s="41">
        <v>2794</v>
      </c>
      <c r="H88" s="41">
        <v>3162</v>
      </c>
      <c r="I88" s="41">
        <v>5215</v>
      </c>
      <c r="J88" s="41">
        <v>5258</v>
      </c>
      <c r="K88" s="41">
        <v>4507</v>
      </c>
      <c r="L88" s="41">
        <v>4991</v>
      </c>
      <c r="M88" s="41">
        <v>2559</v>
      </c>
      <c r="N88" s="41">
        <v>4725</v>
      </c>
      <c r="O88" s="41">
        <v>1277</v>
      </c>
      <c r="P88" s="41"/>
      <c r="Q88" s="41"/>
      <c r="R88" s="41"/>
      <c r="S88" s="4"/>
      <c r="T88" s="4"/>
    </row>
    <row r="89" spans="1:28" x14ac:dyDescent="0.4">
      <c r="A89" s="37" t="s">
        <v>86</v>
      </c>
      <c r="B89" s="38">
        <v>2589</v>
      </c>
      <c r="C89" s="38">
        <v>130763</v>
      </c>
      <c r="D89" s="38">
        <v>91682</v>
      </c>
      <c r="E89" s="39"/>
      <c r="F89" s="38">
        <v>242</v>
      </c>
      <c r="G89" s="38">
        <v>254</v>
      </c>
      <c r="H89" s="38">
        <v>325</v>
      </c>
      <c r="I89" s="38">
        <v>267</v>
      </c>
      <c r="J89" s="38">
        <v>198</v>
      </c>
      <c r="K89" s="38">
        <v>124</v>
      </c>
      <c r="L89" s="38">
        <v>202</v>
      </c>
      <c r="M89" s="38">
        <v>166</v>
      </c>
      <c r="N89" s="38">
        <v>179</v>
      </c>
      <c r="O89" s="38">
        <v>177</v>
      </c>
      <c r="P89" s="38">
        <v>276</v>
      </c>
      <c r="Q89" s="38">
        <v>180</v>
      </c>
      <c r="R89" s="38"/>
      <c r="S89" s="29"/>
      <c r="T89" s="29"/>
      <c r="V89" s="82">
        <f t="shared" ref="V89" si="96">SUM(F89:T89)</f>
        <v>2590</v>
      </c>
      <c r="W89" s="82">
        <f t="shared" ref="W89" si="97">SUM(F90:T90)</f>
        <v>129763</v>
      </c>
      <c r="X89" s="82">
        <f t="shared" ref="X89" si="98">SUM(F91:T91)</f>
        <v>91682</v>
      </c>
      <c r="Z89" s="82">
        <f t="shared" ref="Z89" si="99">B89-V89</f>
        <v>-1</v>
      </c>
      <c r="AA89" s="82">
        <f t="shared" ref="AA89" si="100">C89-W89</f>
        <v>1000</v>
      </c>
      <c r="AB89" s="82">
        <f t="shared" ref="AB89" si="101">D89-X89</f>
        <v>0</v>
      </c>
    </row>
    <row r="90" spans="1:28" x14ac:dyDescent="0.4">
      <c r="A90" s="40" t="s">
        <v>87</v>
      </c>
      <c r="B90" s="41"/>
      <c r="C90" s="41"/>
      <c r="D90" s="41"/>
      <c r="E90" s="42"/>
      <c r="F90" s="41">
        <v>13175</v>
      </c>
      <c r="G90" s="41">
        <v>11391</v>
      </c>
      <c r="H90" s="41">
        <v>15004</v>
      </c>
      <c r="I90" s="41">
        <v>14933</v>
      </c>
      <c r="J90" s="41">
        <v>8301</v>
      </c>
      <c r="K90" s="41">
        <v>6605</v>
      </c>
      <c r="L90" s="41">
        <v>11238</v>
      </c>
      <c r="M90" s="41">
        <v>7389</v>
      </c>
      <c r="N90" s="41">
        <v>9314</v>
      </c>
      <c r="O90" s="41">
        <v>9942</v>
      </c>
      <c r="P90" s="41">
        <v>14017</v>
      </c>
      <c r="Q90" s="41">
        <v>8454</v>
      </c>
      <c r="R90" s="41"/>
      <c r="S90" s="4"/>
      <c r="T90" s="4"/>
    </row>
    <row r="91" spans="1:28" x14ac:dyDescent="0.4">
      <c r="A91" s="40" t="s">
        <v>88</v>
      </c>
      <c r="B91" s="41"/>
      <c r="C91" s="41"/>
      <c r="D91" s="41"/>
      <c r="E91" s="42"/>
      <c r="F91" s="41">
        <v>8645</v>
      </c>
      <c r="G91" s="41">
        <v>10640</v>
      </c>
      <c r="H91" s="41">
        <v>12131</v>
      </c>
      <c r="I91" s="41">
        <v>9764</v>
      </c>
      <c r="J91" s="41">
        <v>7898</v>
      </c>
      <c r="K91" s="41">
        <v>4761</v>
      </c>
      <c r="L91" s="41">
        <v>8385</v>
      </c>
      <c r="M91" s="41">
        <v>2557</v>
      </c>
      <c r="N91" s="41">
        <v>5440</v>
      </c>
      <c r="O91" s="41">
        <v>5337</v>
      </c>
      <c r="P91" s="41">
        <v>10064</v>
      </c>
      <c r="Q91" s="41">
        <v>6060</v>
      </c>
      <c r="R91" s="41"/>
      <c r="S91" s="4"/>
      <c r="T91" s="4"/>
    </row>
    <row r="92" spans="1:28" x14ac:dyDescent="0.4">
      <c r="A92" s="37" t="s">
        <v>89</v>
      </c>
      <c r="B92" s="38">
        <v>2914</v>
      </c>
      <c r="C92" s="38">
        <v>147146</v>
      </c>
      <c r="D92" s="38">
        <v>114267</v>
      </c>
      <c r="E92" s="39"/>
      <c r="F92" s="38">
        <v>211</v>
      </c>
      <c r="G92" s="38">
        <v>350</v>
      </c>
      <c r="H92" s="38">
        <v>208</v>
      </c>
      <c r="I92" s="38">
        <v>272</v>
      </c>
      <c r="J92" s="38">
        <v>262</v>
      </c>
      <c r="K92" s="38">
        <v>217</v>
      </c>
      <c r="L92" s="38">
        <v>223</v>
      </c>
      <c r="M92" s="38">
        <v>344</v>
      </c>
      <c r="N92" s="38">
        <v>201</v>
      </c>
      <c r="O92" s="38">
        <v>275</v>
      </c>
      <c r="P92" s="38">
        <v>351</v>
      </c>
      <c r="Q92" s="38"/>
      <c r="R92" s="38"/>
      <c r="S92" s="29"/>
      <c r="T92" s="29"/>
      <c r="V92" s="82">
        <f t="shared" ref="V92" si="102">SUM(F92:T92)</f>
        <v>2914</v>
      </c>
      <c r="W92" s="82">
        <f t="shared" ref="W92" si="103">SUM(F93:T93)</f>
        <v>147146</v>
      </c>
      <c r="X92" s="82">
        <f t="shared" ref="X92" si="104">SUM(F94:T94)</f>
        <v>114267</v>
      </c>
      <c r="Z92" s="82">
        <f t="shared" ref="Z92" si="105">B92-V92</f>
        <v>0</v>
      </c>
      <c r="AA92" s="82">
        <f t="shared" ref="AA92" si="106">C92-W92</f>
        <v>0</v>
      </c>
      <c r="AB92" s="82">
        <f t="shared" ref="AB92" si="107">D92-X92</f>
        <v>0</v>
      </c>
    </row>
    <row r="93" spans="1:28" x14ac:dyDescent="0.4">
      <c r="A93" s="40" t="s">
        <v>90</v>
      </c>
      <c r="B93" s="41"/>
      <c r="C93" s="41"/>
      <c r="D93" s="41"/>
      <c r="E93" s="42"/>
      <c r="F93" s="41">
        <v>8815</v>
      </c>
      <c r="G93" s="41">
        <v>17960</v>
      </c>
      <c r="H93" s="41">
        <v>11334</v>
      </c>
      <c r="I93" s="41">
        <v>12377</v>
      </c>
      <c r="J93" s="41">
        <v>13432</v>
      </c>
      <c r="K93" s="41">
        <v>10559</v>
      </c>
      <c r="L93" s="41">
        <v>9608</v>
      </c>
      <c r="M93" s="41">
        <v>18664</v>
      </c>
      <c r="N93" s="41">
        <v>10280</v>
      </c>
      <c r="O93" s="41">
        <v>14986</v>
      </c>
      <c r="P93" s="41">
        <v>19131</v>
      </c>
      <c r="Q93" s="41"/>
      <c r="R93" s="41"/>
      <c r="S93" s="4"/>
      <c r="T93" s="4"/>
    </row>
    <row r="94" spans="1:28" x14ac:dyDescent="0.4">
      <c r="A94" s="40" t="s">
        <v>91</v>
      </c>
      <c r="B94" s="41"/>
      <c r="C94" s="41"/>
      <c r="D94" s="41"/>
      <c r="E94" s="42"/>
      <c r="F94" s="41">
        <v>8064</v>
      </c>
      <c r="G94" s="41">
        <v>15556</v>
      </c>
      <c r="H94" s="41">
        <v>8303</v>
      </c>
      <c r="I94" s="41">
        <v>8146</v>
      </c>
      <c r="J94" s="41">
        <v>10829</v>
      </c>
      <c r="K94" s="41">
        <v>9346</v>
      </c>
      <c r="L94" s="41">
        <v>7427</v>
      </c>
      <c r="M94" s="41">
        <v>14678</v>
      </c>
      <c r="N94" s="41">
        <v>7848</v>
      </c>
      <c r="O94" s="41">
        <v>10612</v>
      </c>
      <c r="P94" s="41">
        <v>13458</v>
      </c>
      <c r="Q94" s="41"/>
      <c r="R94" s="41"/>
      <c r="S94" s="4"/>
      <c r="T94" s="4"/>
    </row>
    <row r="95" spans="1:28" x14ac:dyDescent="0.4">
      <c r="A95" s="37" t="s">
        <v>92</v>
      </c>
      <c r="B95" s="38">
        <v>1874</v>
      </c>
      <c r="C95" s="38">
        <v>97006</v>
      </c>
      <c r="D95" s="38">
        <v>60248</v>
      </c>
      <c r="E95" s="39"/>
      <c r="F95" s="38">
        <v>218</v>
      </c>
      <c r="G95" s="38">
        <v>212</v>
      </c>
      <c r="H95" s="38">
        <v>221</v>
      </c>
      <c r="I95" s="38">
        <v>154</v>
      </c>
      <c r="J95" s="38">
        <v>200</v>
      </c>
      <c r="K95" s="38">
        <v>207</v>
      </c>
      <c r="L95" s="38">
        <v>188</v>
      </c>
      <c r="M95" s="38">
        <v>329</v>
      </c>
      <c r="N95" s="38">
        <v>144</v>
      </c>
      <c r="O95" s="38"/>
      <c r="P95" s="38"/>
      <c r="Q95" s="38"/>
      <c r="R95" s="38"/>
      <c r="S95" s="29"/>
      <c r="T95" s="29"/>
      <c r="V95" s="82">
        <f t="shared" ref="V95" si="108">SUM(F95:T95)</f>
        <v>1873</v>
      </c>
      <c r="W95" s="82">
        <f t="shared" ref="W95" si="109">SUM(F96:T96)</f>
        <v>97006</v>
      </c>
      <c r="X95" s="82">
        <f t="shared" ref="X95" si="110">SUM(F97:T97)</f>
        <v>60248</v>
      </c>
      <c r="Z95" s="82">
        <f t="shared" ref="Z95" si="111">B95-V95</f>
        <v>1</v>
      </c>
      <c r="AA95" s="82">
        <f t="shared" ref="AA95" si="112">C95-W95</f>
        <v>0</v>
      </c>
      <c r="AB95" s="82">
        <f t="shared" ref="AB95" si="113">D95-X95</f>
        <v>0</v>
      </c>
    </row>
    <row r="96" spans="1:28" x14ac:dyDescent="0.4">
      <c r="A96" s="40" t="s">
        <v>93</v>
      </c>
      <c r="B96" s="41"/>
      <c r="C96" s="41"/>
      <c r="D96" s="41"/>
      <c r="E96" s="42"/>
      <c r="F96" s="41">
        <v>13518</v>
      </c>
      <c r="G96" s="41">
        <v>9882</v>
      </c>
      <c r="H96" s="41">
        <v>10397</v>
      </c>
      <c r="I96" s="41">
        <v>7958</v>
      </c>
      <c r="J96" s="41">
        <v>12957</v>
      </c>
      <c r="K96" s="41">
        <v>9945</v>
      </c>
      <c r="L96" s="41">
        <v>9802</v>
      </c>
      <c r="M96" s="41">
        <v>15928</v>
      </c>
      <c r="N96" s="41">
        <v>6619</v>
      </c>
      <c r="O96" s="41"/>
      <c r="P96" s="41"/>
      <c r="Q96" s="41"/>
      <c r="R96" s="41"/>
      <c r="S96" s="4"/>
      <c r="T96" s="4"/>
    </row>
    <row r="97" spans="1:28" x14ac:dyDescent="0.4">
      <c r="A97" s="40" t="s">
        <v>94</v>
      </c>
      <c r="B97" s="41"/>
      <c r="C97" s="41"/>
      <c r="D97" s="41"/>
      <c r="E97" s="42"/>
      <c r="F97" s="41">
        <v>6493</v>
      </c>
      <c r="G97" s="41">
        <v>5245</v>
      </c>
      <c r="H97" s="41">
        <v>8441</v>
      </c>
      <c r="I97" s="41">
        <v>4218</v>
      </c>
      <c r="J97" s="41">
        <v>8245</v>
      </c>
      <c r="K97" s="41">
        <v>4074</v>
      </c>
      <c r="L97" s="41">
        <v>6217</v>
      </c>
      <c r="M97" s="41">
        <v>11237</v>
      </c>
      <c r="N97" s="41">
        <v>6078</v>
      </c>
      <c r="O97" s="41"/>
      <c r="P97" s="41"/>
      <c r="Q97" s="41"/>
      <c r="R97" s="41"/>
      <c r="S97" s="4"/>
      <c r="T97" s="4"/>
    </row>
    <row r="98" spans="1:28" x14ac:dyDescent="0.4">
      <c r="A98" s="37" t="s">
        <v>95</v>
      </c>
      <c r="B98" s="38">
        <v>2114</v>
      </c>
      <c r="C98" s="38">
        <v>100888</v>
      </c>
      <c r="D98" s="38">
        <v>65920</v>
      </c>
      <c r="E98" s="39"/>
      <c r="F98" s="38">
        <v>362</v>
      </c>
      <c r="G98" s="38">
        <v>99</v>
      </c>
      <c r="H98" s="38">
        <v>189</v>
      </c>
      <c r="I98" s="38">
        <v>187</v>
      </c>
      <c r="J98" s="38">
        <v>120</v>
      </c>
      <c r="K98" s="38">
        <v>171</v>
      </c>
      <c r="L98" s="38">
        <v>178</v>
      </c>
      <c r="M98" s="38">
        <v>104</v>
      </c>
      <c r="N98" s="38">
        <v>157</v>
      </c>
      <c r="O98" s="38">
        <v>114</v>
      </c>
      <c r="P98" s="38">
        <v>292</v>
      </c>
      <c r="Q98" s="38">
        <v>142</v>
      </c>
      <c r="R98" s="38"/>
      <c r="S98" s="29"/>
      <c r="T98" s="29"/>
      <c r="V98" s="82">
        <f t="shared" ref="V98" si="114">SUM(F98:T98)</f>
        <v>2115</v>
      </c>
      <c r="W98" s="82">
        <f t="shared" ref="W98" si="115">SUM(F99:T99)</f>
        <v>100888</v>
      </c>
      <c r="X98" s="82">
        <f t="shared" ref="X98" si="116">SUM(F100:T100)</f>
        <v>65920</v>
      </c>
      <c r="Z98" s="82">
        <f t="shared" ref="Z98" si="117">B98-V98</f>
        <v>-1</v>
      </c>
      <c r="AA98" s="82">
        <f t="shared" ref="AA98" si="118">C98-W98</f>
        <v>0</v>
      </c>
      <c r="AB98" s="82">
        <f t="shared" ref="AB98" si="119">D98-X98</f>
        <v>0</v>
      </c>
    </row>
    <row r="99" spans="1:28" x14ac:dyDescent="0.4">
      <c r="A99" s="40" t="s">
        <v>96</v>
      </c>
      <c r="B99" s="41"/>
      <c r="C99" s="41"/>
      <c r="D99" s="41"/>
      <c r="E99" s="42"/>
      <c r="F99" s="41">
        <v>14490</v>
      </c>
      <c r="G99" s="41">
        <v>4377</v>
      </c>
      <c r="H99" s="41">
        <v>9033</v>
      </c>
      <c r="I99" s="41">
        <v>8687</v>
      </c>
      <c r="J99" s="41">
        <v>6701</v>
      </c>
      <c r="K99" s="41">
        <v>9108</v>
      </c>
      <c r="L99" s="41">
        <v>9209</v>
      </c>
      <c r="M99" s="41">
        <v>5083</v>
      </c>
      <c r="N99" s="41">
        <v>7167</v>
      </c>
      <c r="O99" s="41">
        <v>5624</v>
      </c>
      <c r="P99" s="41">
        <v>14809</v>
      </c>
      <c r="Q99" s="41">
        <v>6600</v>
      </c>
      <c r="R99" s="41"/>
      <c r="S99" s="4"/>
      <c r="T99" s="4"/>
    </row>
    <row r="100" spans="1:28" x14ac:dyDescent="0.4">
      <c r="A100" s="40" t="s">
        <v>97</v>
      </c>
      <c r="B100" s="41"/>
      <c r="C100" s="41"/>
      <c r="D100" s="41"/>
      <c r="E100" s="42"/>
      <c r="F100" s="41">
        <v>10542</v>
      </c>
      <c r="G100" s="41">
        <v>3000</v>
      </c>
      <c r="H100" s="41">
        <v>5347</v>
      </c>
      <c r="I100" s="41">
        <v>5873</v>
      </c>
      <c r="J100" s="41">
        <v>4152</v>
      </c>
      <c r="K100" s="41">
        <v>4910</v>
      </c>
      <c r="L100" s="41">
        <v>4768</v>
      </c>
      <c r="M100" s="41">
        <v>4576</v>
      </c>
      <c r="N100" s="41">
        <v>5233</v>
      </c>
      <c r="O100" s="41">
        <v>3645</v>
      </c>
      <c r="P100" s="41">
        <v>8201</v>
      </c>
      <c r="Q100" s="41">
        <v>5673</v>
      </c>
      <c r="R100" s="41"/>
      <c r="S100" s="4"/>
      <c r="T100" s="4"/>
    </row>
    <row r="101" spans="1:28" x14ac:dyDescent="0.4">
      <c r="A101" s="37" t="s">
        <v>98</v>
      </c>
      <c r="B101" s="38">
        <v>1200</v>
      </c>
      <c r="C101" s="38">
        <v>54478</v>
      </c>
      <c r="D101" s="38">
        <v>42026</v>
      </c>
      <c r="E101" s="39"/>
      <c r="F101" s="38">
        <v>110</v>
      </c>
      <c r="G101" s="38">
        <v>78</v>
      </c>
      <c r="H101" s="38">
        <v>216</v>
      </c>
      <c r="I101" s="38">
        <v>125</v>
      </c>
      <c r="J101" s="38">
        <v>88</v>
      </c>
      <c r="K101" s="38">
        <v>53</v>
      </c>
      <c r="L101" s="38">
        <v>122</v>
      </c>
      <c r="M101" s="38">
        <v>115</v>
      </c>
      <c r="N101" s="38">
        <v>153</v>
      </c>
      <c r="O101" s="38">
        <v>69</v>
      </c>
      <c r="P101" s="38">
        <v>69</v>
      </c>
      <c r="Q101" s="38"/>
      <c r="R101" s="38"/>
      <c r="S101" s="29"/>
      <c r="T101" s="29"/>
      <c r="V101" s="82">
        <f t="shared" ref="V101" si="120">SUM(F101:T101)</f>
        <v>1198</v>
      </c>
      <c r="W101" s="82">
        <f t="shared" ref="W101" si="121">SUM(F102:T102)</f>
        <v>54478</v>
      </c>
      <c r="X101" s="82">
        <f t="shared" ref="X101" si="122">SUM(F103:T103)</f>
        <v>42026</v>
      </c>
      <c r="Z101" s="82">
        <f t="shared" ref="Z101" si="123">B101-V101</f>
        <v>2</v>
      </c>
      <c r="AA101" s="82">
        <f t="shared" ref="AA101" si="124">C101-W101</f>
        <v>0</v>
      </c>
      <c r="AB101" s="82">
        <f t="shared" ref="AB101" si="125">D101-X101</f>
        <v>0</v>
      </c>
    </row>
    <row r="102" spans="1:28" x14ac:dyDescent="0.4">
      <c r="A102" s="40" t="s">
        <v>99</v>
      </c>
      <c r="B102" s="41"/>
      <c r="C102" s="41"/>
      <c r="D102" s="41"/>
      <c r="E102" s="42"/>
      <c r="F102" s="41">
        <v>4408</v>
      </c>
      <c r="G102" s="41">
        <v>2760</v>
      </c>
      <c r="H102" s="41">
        <v>11742</v>
      </c>
      <c r="I102" s="41">
        <v>5498</v>
      </c>
      <c r="J102" s="41">
        <v>4330</v>
      </c>
      <c r="K102" s="41">
        <v>2066</v>
      </c>
      <c r="L102" s="41">
        <v>5929</v>
      </c>
      <c r="M102" s="41">
        <v>4489</v>
      </c>
      <c r="N102" s="41">
        <v>7392</v>
      </c>
      <c r="O102" s="41">
        <v>3033</v>
      </c>
      <c r="P102" s="41">
        <v>2831</v>
      </c>
      <c r="Q102" s="41"/>
      <c r="R102" s="41"/>
      <c r="S102" s="4"/>
      <c r="T102" s="4"/>
    </row>
    <row r="103" spans="1:28" x14ac:dyDescent="0.4">
      <c r="A103" s="40" t="s">
        <v>100</v>
      </c>
      <c r="B103" s="41"/>
      <c r="C103" s="41"/>
      <c r="D103" s="41"/>
      <c r="E103" s="42"/>
      <c r="F103" s="41">
        <v>3894</v>
      </c>
      <c r="G103" s="41">
        <v>3031</v>
      </c>
      <c r="H103" s="41">
        <v>7626</v>
      </c>
      <c r="I103" s="41">
        <v>4471</v>
      </c>
      <c r="J103" s="41">
        <v>3175</v>
      </c>
      <c r="K103" s="41">
        <v>2282</v>
      </c>
      <c r="L103" s="41">
        <v>4764</v>
      </c>
      <c r="M103" s="41">
        <v>3144</v>
      </c>
      <c r="N103" s="41">
        <v>4971</v>
      </c>
      <c r="O103" s="41">
        <v>2239</v>
      </c>
      <c r="P103" s="41">
        <v>2429</v>
      </c>
      <c r="Q103" s="41"/>
      <c r="R103" s="41"/>
      <c r="S103" s="4"/>
      <c r="T103" s="4"/>
    </row>
    <row r="104" spans="1:28" x14ac:dyDescent="0.4">
      <c r="A104" s="37" t="s">
        <v>101</v>
      </c>
      <c r="B104" s="38">
        <v>1354</v>
      </c>
      <c r="C104" s="38">
        <v>62604</v>
      </c>
      <c r="D104" s="38">
        <v>44305</v>
      </c>
      <c r="E104" s="39"/>
      <c r="F104" s="38">
        <v>167</v>
      </c>
      <c r="G104" s="38">
        <v>74</v>
      </c>
      <c r="H104" s="38">
        <v>112</v>
      </c>
      <c r="I104" s="38">
        <v>104</v>
      </c>
      <c r="J104" s="38">
        <v>111</v>
      </c>
      <c r="K104" s="38">
        <v>132</v>
      </c>
      <c r="L104" s="38">
        <v>104</v>
      </c>
      <c r="M104" s="38">
        <v>137</v>
      </c>
      <c r="N104" s="38">
        <v>163</v>
      </c>
      <c r="O104" s="38">
        <v>63</v>
      </c>
      <c r="P104" s="38">
        <v>57</v>
      </c>
      <c r="Q104" s="38">
        <v>130</v>
      </c>
      <c r="R104" s="38"/>
      <c r="S104" s="29"/>
      <c r="T104" s="29"/>
      <c r="V104" s="82">
        <f t="shared" ref="V104" si="126">SUM(F104:T104)</f>
        <v>1354</v>
      </c>
      <c r="W104" s="82">
        <f t="shared" ref="W104" si="127">SUM(F105:T105)</f>
        <v>62604</v>
      </c>
      <c r="X104" s="82">
        <f t="shared" ref="X104" si="128">SUM(F106:T106)</f>
        <v>44305</v>
      </c>
      <c r="Z104" s="82">
        <f t="shared" ref="Z104" si="129">B104-V104</f>
        <v>0</v>
      </c>
      <c r="AA104" s="82">
        <f t="shared" ref="AA104" si="130">C104-W104</f>
        <v>0</v>
      </c>
      <c r="AB104" s="82">
        <f t="shared" ref="AB104" si="131">D104-X104</f>
        <v>0</v>
      </c>
    </row>
    <row r="105" spans="1:28" x14ac:dyDescent="0.4">
      <c r="A105" s="40" t="s">
        <v>102</v>
      </c>
      <c r="B105" s="41"/>
      <c r="C105" s="41"/>
      <c r="D105" s="41"/>
      <c r="E105" s="42"/>
      <c r="F105" s="41">
        <v>7334</v>
      </c>
      <c r="G105" s="41">
        <v>3260</v>
      </c>
      <c r="H105" s="41">
        <v>4480</v>
      </c>
      <c r="I105" s="41">
        <v>6090</v>
      </c>
      <c r="J105" s="41">
        <v>4678</v>
      </c>
      <c r="K105" s="41">
        <v>6181</v>
      </c>
      <c r="L105" s="41">
        <v>5066</v>
      </c>
      <c r="M105" s="41">
        <v>6812</v>
      </c>
      <c r="N105" s="41">
        <v>7618</v>
      </c>
      <c r="O105" s="41">
        <v>2473</v>
      </c>
      <c r="P105" s="41">
        <v>2383</v>
      </c>
      <c r="Q105" s="41">
        <v>6229</v>
      </c>
      <c r="R105" s="41"/>
      <c r="S105" s="4"/>
      <c r="T105" s="4"/>
    </row>
    <row r="106" spans="1:28" x14ac:dyDescent="0.4">
      <c r="A106" s="40" t="s">
        <v>103</v>
      </c>
      <c r="B106" s="41"/>
      <c r="C106" s="41"/>
      <c r="D106" s="41"/>
      <c r="E106" s="42"/>
      <c r="F106" s="41">
        <v>4862</v>
      </c>
      <c r="G106" s="41">
        <v>2482</v>
      </c>
      <c r="H106" s="41">
        <v>2975</v>
      </c>
      <c r="I106" s="41">
        <v>3822</v>
      </c>
      <c r="J106" s="41">
        <v>3241</v>
      </c>
      <c r="K106" s="41">
        <v>4364</v>
      </c>
      <c r="L106" s="41">
        <v>3670</v>
      </c>
      <c r="M106" s="41">
        <v>4781</v>
      </c>
      <c r="N106" s="41">
        <v>6042</v>
      </c>
      <c r="O106" s="41">
        <v>1630</v>
      </c>
      <c r="P106" s="41">
        <v>1526</v>
      </c>
      <c r="Q106" s="41">
        <v>4910</v>
      </c>
      <c r="R106" s="41"/>
      <c r="S106" s="4"/>
      <c r="T106" s="4"/>
    </row>
    <row r="107" spans="1:28" x14ac:dyDescent="0.4">
      <c r="A107" s="43" t="s">
        <v>104</v>
      </c>
      <c r="B107" s="44">
        <v>2433</v>
      </c>
      <c r="C107" s="44">
        <v>117522</v>
      </c>
      <c r="D107" s="44">
        <v>72432</v>
      </c>
      <c r="E107" s="45"/>
      <c r="F107" s="44">
        <v>210</v>
      </c>
      <c r="G107" s="44">
        <v>179</v>
      </c>
      <c r="H107" s="44">
        <v>183</v>
      </c>
      <c r="I107" s="44">
        <v>115</v>
      </c>
      <c r="J107" s="44">
        <v>172</v>
      </c>
      <c r="K107" s="44">
        <v>127</v>
      </c>
      <c r="L107" s="44">
        <v>178</v>
      </c>
      <c r="M107" s="44">
        <v>186</v>
      </c>
      <c r="N107" s="44">
        <v>163</v>
      </c>
      <c r="O107" s="44">
        <v>153</v>
      </c>
      <c r="P107" s="44">
        <v>162</v>
      </c>
      <c r="Q107" s="44">
        <v>154</v>
      </c>
      <c r="R107" s="44">
        <v>166</v>
      </c>
      <c r="S107" s="44">
        <v>135</v>
      </c>
      <c r="T107" s="44">
        <v>151</v>
      </c>
      <c r="V107" s="82">
        <f t="shared" ref="V107" si="132">SUM(F107:T107)</f>
        <v>2434</v>
      </c>
      <c r="W107" s="82">
        <f t="shared" ref="W107" si="133">SUM(F108:T108)</f>
        <v>117523</v>
      </c>
      <c r="X107" s="82">
        <f t="shared" ref="X107" si="134">SUM(F109:T109)</f>
        <v>72432</v>
      </c>
      <c r="Z107" s="82">
        <f t="shared" ref="Z107" si="135">B107-V107</f>
        <v>-1</v>
      </c>
      <c r="AA107" s="82">
        <f t="shared" ref="AA107" si="136">C107-W107</f>
        <v>-1</v>
      </c>
      <c r="AB107" s="82">
        <f t="shared" ref="AB107" si="137">D107-X107</f>
        <v>0</v>
      </c>
    </row>
    <row r="108" spans="1:28" x14ac:dyDescent="0.4">
      <c r="A108" s="46" t="s">
        <v>105</v>
      </c>
      <c r="B108" s="47"/>
      <c r="C108" s="47"/>
      <c r="D108" s="47"/>
      <c r="E108" s="48"/>
      <c r="F108" s="47">
        <v>10796</v>
      </c>
      <c r="G108" s="47">
        <v>8206</v>
      </c>
      <c r="H108" s="47">
        <v>8507</v>
      </c>
      <c r="I108" s="47">
        <v>6184</v>
      </c>
      <c r="J108" s="47">
        <v>8307</v>
      </c>
      <c r="K108" s="47">
        <v>6506</v>
      </c>
      <c r="L108" s="47">
        <v>8057</v>
      </c>
      <c r="M108" s="47">
        <v>9642</v>
      </c>
      <c r="N108" s="47">
        <v>8063</v>
      </c>
      <c r="O108" s="47">
        <v>8035</v>
      </c>
      <c r="P108" s="47">
        <v>7548</v>
      </c>
      <c r="Q108" s="47">
        <v>7489</v>
      </c>
      <c r="R108" s="47">
        <v>6966</v>
      </c>
      <c r="S108" s="47">
        <v>5925</v>
      </c>
      <c r="T108" s="47">
        <v>7292</v>
      </c>
    </row>
    <row r="109" spans="1:28" x14ac:dyDescent="0.4">
      <c r="A109" s="46" t="s">
        <v>106</v>
      </c>
      <c r="B109" s="47"/>
      <c r="C109" s="47"/>
      <c r="D109" s="47"/>
      <c r="E109" s="48"/>
      <c r="F109" s="47">
        <v>6770</v>
      </c>
      <c r="G109" s="47">
        <v>6034</v>
      </c>
      <c r="H109" s="47">
        <v>4984</v>
      </c>
      <c r="I109" s="47">
        <v>3639</v>
      </c>
      <c r="J109" s="47">
        <v>4799</v>
      </c>
      <c r="K109" s="47">
        <v>3567</v>
      </c>
      <c r="L109" s="47">
        <v>4854</v>
      </c>
      <c r="M109" s="47">
        <v>6170</v>
      </c>
      <c r="N109" s="47">
        <v>4637</v>
      </c>
      <c r="O109" s="47">
        <v>5118</v>
      </c>
      <c r="P109" s="47">
        <v>4893</v>
      </c>
      <c r="Q109" s="47">
        <v>4648</v>
      </c>
      <c r="R109" s="47">
        <v>4274</v>
      </c>
      <c r="S109" s="47">
        <v>3418</v>
      </c>
      <c r="T109" s="47">
        <v>4627</v>
      </c>
    </row>
    <row r="110" spans="1:28" x14ac:dyDescent="0.4">
      <c r="A110" s="43" t="s">
        <v>107</v>
      </c>
      <c r="B110" s="44">
        <v>753</v>
      </c>
      <c r="C110" s="44">
        <v>32330</v>
      </c>
      <c r="D110" s="44">
        <v>25650</v>
      </c>
      <c r="E110" s="45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V110" s="82">
        <f>B110</f>
        <v>753</v>
      </c>
      <c r="W110" s="82">
        <f>C110</f>
        <v>32330</v>
      </c>
      <c r="X110" s="82">
        <f>D110</f>
        <v>25650</v>
      </c>
    </row>
    <row r="111" spans="1:28" x14ac:dyDescent="0.4">
      <c r="A111" s="43" t="s">
        <v>108</v>
      </c>
      <c r="B111" s="44">
        <v>1457</v>
      </c>
      <c r="C111" s="44">
        <v>65824</v>
      </c>
      <c r="D111" s="44">
        <v>57756</v>
      </c>
      <c r="E111" s="45"/>
      <c r="F111" s="44">
        <v>168</v>
      </c>
      <c r="G111" s="44">
        <v>169</v>
      </c>
      <c r="H111" s="44">
        <v>145</v>
      </c>
      <c r="I111" s="44">
        <v>59</v>
      </c>
      <c r="J111" s="44">
        <v>93</v>
      </c>
      <c r="K111" s="44">
        <v>118</v>
      </c>
      <c r="L111" s="44">
        <v>90</v>
      </c>
      <c r="M111" s="44">
        <v>121</v>
      </c>
      <c r="N111" s="44">
        <v>131</v>
      </c>
      <c r="O111" s="44">
        <v>69</v>
      </c>
      <c r="P111" s="44">
        <v>97</v>
      </c>
      <c r="Q111" s="44">
        <v>67</v>
      </c>
      <c r="R111" s="44">
        <v>131</v>
      </c>
      <c r="S111" s="44"/>
      <c r="T111" s="44"/>
      <c r="V111" s="82">
        <f t="shared" ref="V111" si="138">SUM(F111:T111)</f>
        <v>1458</v>
      </c>
      <c r="W111" s="82">
        <f t="shared" ref="W111" si="139">SUM(F112:T112)</f>
        <v>65824</v>
      </c>
      <c r="X111" s="82">
        <f t="shared" ref="X111" si="140">SUM(F113:T113)</f>
        <v>57756</v>
      </c>
      <c r="Z111" s="82">
        <f t="shared" ref="Z111" si="141">B111-V111</f>
        <v>-1</v>
      </c>
      <c r="AA111" s="82">
        <f t="shared" ref="AA111" si="142">C111-W111</f>
        <v>0</v>
      </c>
      <c r="AB111" s="82">
        <f t="shared" ref="AB111" si="143">D111-X111</f>
        <v>0</v>
      </c>
    </row>
    <row r="112" spans="1:28" x14ac:dyDescent="0.4">
      <c r="A112" s="46" t="s">
        <v>109</v>
      </c>
      <c r="B112" s="47"/>
      <c r="C112" s="47"/>
      <c r="D112" s="47"/>
      <c r="E112" s="48"/>
      <c r="F112" s="47">
        <v>9214</v>
      </c>
      <c r="G112" s="47">
        <v>8682</v>
      </c>
      <c r="H112" s="47">
        <v>6236</v>
      </c>
      <c r="I112" s="47">
        <v>2822</v>
      </c>
      <c r="J112" s="47">
        <v>3948</v>
      </c>
      <c r="K112" s="47">
        <v>5311</v>
      </c>
      <c r="L112" s="47">
        <v>4092</v>
      </c>
      <c r="M112" s="47">
        <v>5492</v>
      </c>
      <c r="N112" s="47">
        <v>4884</v>
      </c>
      <c r="O112" s="47">
        <v>2932</v>
      </c>
      <c r="P112" s="47">
        <v>4003</v>
      </c>
      <c r="Q112" s="47">
        <v>3127</v>
      </c>
      <c r="R112" s="47">
        <v>5081</v>
      </c>
      <c r="S112" s="47"/>
      <c r="T112" s="47"/>
    </row>
    <row r="113" spans="1:28" x14ac:dyDescent="0.4">
      <c r="A113" s="46" t="s">
        <v>110</v>
      </c>
      <c r="B113" s="47"/>
      <c r="C113" s="47"/>
      <c r="D113" s="47"/>
      <c r="E113" s="48"/>
      <c r="F113" s="47">
        <v>6960</v>
      </c>
      <c r="G113" s="47">
        <v>6610</v>
      </c>
      <c r="H113" s="47">
        <v>4817</v>
      </c>
      <c r="I113" s="47">
        <v>3108</v>
      </c>
      <c r="J113" s="47">
        <v>3422</v>
      </c>
      <c r="K113" s="47">
        <v>4795</v>
      </c>
      <c r="L113" s="47">
        <v>3954</v>
      </c>
      <c r="M113" s="47">
        <v>4710</v>
      </c>
      <c r="N113" s="47">
        <v>3945</v>
      </c>
      <c r="O113" s="47">
        <v>3548</v>
      </c>
      <c r="P113" s="47">
        <v>3500</v>
      </c>
      <c r="Q113" s="47">
        <v>3933</v>
      </c>
      <c r="R113" s="47">
        <v>4454</v>
      </c>
      <c r="S113" s="47"/>
      <c r="T113" s="47"/>
    </row>
    <row r="114" spans="1:28" x14ac:dyDescent="0.4">
      <c r="A114" s="43" t="s">
        <v>111</v>
      </c>
      <c r="B114" s="44">
        <v>1513</v>
      </c>
      <c r="C114" s="44">
        <v>82440</v>
      </c>
      <c r="D114" s="44">
        <v>64252</v>
      </c>
      <c r="E114" s="45"/>
      <c r="F114" s="44">
        <v>197</v>
      </c>
      <c r="G114" s="44">
        <v>142</v>
      </c>
      <c r="H114" s="44">
        <v>143</v>
      </c>
      <c r="I114" s="44">
        <v>109</v>
      </c>
      <c r="J114" s="44">
        <v>125</v>
      </c>
      <c r="K114" s="44">
        <v>124</v>
      </c>
      <c r="L114" s="44">
        <v>116</v>
      </c>
      <c r="M114" s="44">
        <v>193</v>
      </c>
      <c r="N114" s="44">
        <v>102</v>
      </c>
      <c r="O114" s="44">
        <v>103</v>
      </c>
      <c r="P114" s="44">
        <v>160</v>
      </c>
      <c r="Q114" s="44"/>
      <c r="R114" s="44"/>
      <c r="S114" s="44"/>
      <c r="T114" s="44"/>
      <c r="V114" s="82">
        <f t="shared" ref="V114" si="144">SUM(F114:T114)</f>
        <v>1514</v>
      </c>
      <c r="W114" s="82">
        <f t="shared" ref="W114" si="145">SUM(F115:T115)</f>
        <v>82440</v>
      </c>
      <c r="X114" s="82">
        <f t="shared" ref="X114" si="146">SUM(F116:T116)</f>
        <v>64252</v>
      </c>
      <c r="Z114" s="82">
        <f t="shared" ref="Z114" si="147">B114-V114</f>
        <v>-1</v>
      </c>
      <c r="AA114" s="82">
        <f t="shared" ref="AA114" si="148">C114-W114</f>
        <v>0</v>
      </c>
      <c r="AB114" s="82">
        <f t="shared" ref="AB114" si="149">D114-X114</f>
        <v>0</v>
      </c>
    </row>
    <row r="115" spans="1:28" x14ac:dyDescent="0.4">
      <c r="A115" s="46" t="s">
        <v>112</v>
      </c>
      <c r="B115" s="47"/>
      <c r="C115" s="47"/>
      <c r="D115" s="47"/>
      <c r="E115" s="48"/>
      <c r="F115" s="47">
        <v>10659</v>
      </c>
      <c r="G115" s="47">
        <v>7887</v>
      </c>
      <c r="H115" s="47">
        <v>8379</v>
      </c>
      <c r="I115" s="47">
        <v>5879</v>
      </c>
      <c r="J115" s="47">
        <v>6604</v>
      </c>
      <c r="K115" s="47">
        <v>6546</v>
      </c>
      <c r="L115" s="47">
        <v>6355</v>
      </c>
      <c r="M115" s="47">
        <v>10976</v>
      </c>
      <c r="N115" s="47">
        <v>5721</v>
      </c>
      <c r="O115" s="47">
        <v>4948</v>
      </c>
      <c r="P115" s="47">
        <v>8486</v>
      </c>
      <c r="Q115" s="47"/>
      <c r="R115" s="47"/>
      <c r="S115" s="47"/>
      <c r="T115" s="47"/>
    </row>
    <row r="116" spans="1:28" x14ac:dyDescent="0.4">
      <c r="A116" s="46" t="s">
        <v>113</v>
      </c>
      <c r="B116" s="47"/>
      <c r="C116" s="47"/>
      <c r="D116" s="47"/>
      <c r="E116" s="48"/>
      <c r="F116" s="47">
        <v>7846</v>
      </c>
      <c r="G116" s="47">
        <v>5632</v>
      </c>
      <c r="H116" s="47">
        <v>6797</v>
      </c>
      <c r="I116" s="47">
        <v>4982</v>
      </c>
      <c r="J116" s="47">
        <v>4626</v>
      </c>
      <c r="K116" s="47">
        <v>4430</v>
      </c>
      <c r="L116" s="47">
        <v>5772</v>
      </c>
      <c r="M116" s="47">
        <v>8910</v>
      </c>
      <c r="N116" s="47">
        <v>4244</v>
      </c>
      <c r="O116" s="47">
        <v>3601</v>
      </c>
      <c r="P116" s="47">
        <v>7412</v>
      </c>
      <c r="Q116" s="47"/>
      <c r="R116" s="47"/>
      <c r="S116" s="47"/>
      <c r="T116" s="47"/>
    </row>
    <row r="117" spans="1:28" x14ac:dyDescent="0.4">
      <c r="A117" s="43" t="s">
        <v>114</v>
      </c>
      <c r="B117" s="44">
        <v>1213</v>
      </c>
      <c r="C117" s="44">
        <v>55116</v>
      </c>
      <c r="D117" s="44">
        <v>36728</v>
      </c>
      <c r="E117" s="45"/>
      <c r="F117" s="44">
        <v>160</v>
      </c>
      <c r="G117" s="44">
        <v>133</v>
      </c>
      <c r="H117" s="44">
        <v>74</v>
      </c>
      <c r="I117" s="44">
        <v>85</v>
      </c>
      <c r="J117" s="44">
        <v>68</v>
      </c>
      <c r="K117" s="44">
        <v>108</v>
      </c>
      <c r="L117" s="44">
        <v>91</v>
      </c>
      <c r="M117" s="44">
        <v>183</v>
      </c>
      <c r="N117" s="44">
        <v>87</v>
      </c>
      <c r="O117" s="44">
        <v>87</v>
      </c>
      <c r="P117" s="44">
        <v>138</v>
      </c>
      <c r="Q117" s="44"/>
      <c r="R117" s="44"/>
      <c r="S117" s="44"/>
      <c r="T117" s="44"/>
      <c r="V117" s="82">
        <f t="shared" ref="V117" si="150">SUM(F117:T117)</f>
        <v>1214</v>
      </c>
      <c r="W117" s="82">
        <f t="shared" ref="W117" si="151">SUM(F118:T118)</f>
        <v>55118</v>
      </c>
      <c r="X117" s="82">
        <f t="shared" ref="X117" si="152">SUM(F119:T119)</f>
        <v>36728</v>
      </c>
      <c r="Z117" s="82">
        <f t="shared" ref="Z117" si="153">B117-V117</f>
        <v>-1</v>
      </c>
      <c r="AA117" s="82">
        <f t="shared" ref="AA117" si="154">C117-W117</f>
        <v>-2</v>
      </c>
      <c r="AB117" s="82">
        <f t="shared" ref="AB117" si="155">D117-X117</f>
        <v>0</v>
      </c>
    </row>
    <row r="118" spans="1:28" x14ac:dyDescent="0.4">
      <c r="A118" s="46" t="s">
        <v>115</v>
      </c>
      <c r="B118" s="47"/>
      <c r="C118" s="47"/>
      <c r="D118" s="47"/>
      <c r="E118" s="48"/>
      <c r="F118" s="47">
        <v>6075</v>
      </c>
      <c r="G118" s="47">
        <v>5910</v>
      </c>
      <c r="H118" s="47">
        <v>3547</v>
      </c>
      <c r="I118" s="47">
        <v>3679</v>
      </c>
      <c r="J118" s="47">
        <v>3844</v>
      </c>
      <c r="K118" s="47">
        <v>5801</v>
      </c>
      <c r="L118" s="47">
        <v>3673</v>
      </c>
      <c r="M118" s="47">
        <v>6980</v>
      </c>
      <c r="N118" s="47">
        <v>4324</v>
      </c>
      <c r="O118" s="47">
        <v>4281</v>
      </c>
      <c r="P118" s="47">
        <v>7004</v>
      </c>
      <c r="Q118" s="47"/>
      <c r="R118" s="47"/>
      <c r="S118" s="47"/>
      <c r="T118" s="47"/>
    </row>
    <row r="119" spans="1:28" x14ac:dyDescent="0.4">
      <c r="A119" s="46" t="s">
        <v>116</v>
      </c>
      <c r="B119" s="47"/>
      <c r="C119" s="47"/>
      <c r="D119" s="47"/>
      <c r="E119" s="48"/>
      <c r="F119" s="47">
        <v>4130</v>
      </c>
      <c r="G119" s="47">
        <v>4473</v>
      </c>
      <c r="H119" s="47">
        <v>1797</v>
      </c>
      <c r="I119" s="47">
        <v>3234</v>
      </c>
      <c r="J119" s="47">
        <v>2721</v>
      </c>
      <c r="K119" s="47">
        <v>3356</v>
      </c>
      <c r="L119" s="47">
        <v>3478</v>
      </c>
      <c r="M119" s="47">
        <v>5086</v>
      </c>
      <c r="N119" s="47">
        <v>2520</v>
      </c>
      <c r="O119" s="47">
        <v>2361</v>
      </c>
      <c r="P119" s="47">
        <v>3572</v>
      </c>
      <c r="Q119" s="47"/>
      <c r="R119" s="47"/>
      <c r="S119" s="47"/>
      <c r="T119" s="47"/>
    </row>
    <row r="120" spans="1:28" x14ac:dyDescent="0.4">
      <c r="A120" s="43" t="s">
        <v>117</v>
      </c>
      <c r="B120" s="44">
        <v>342</v>
      </c>
      <c r="C120" s="44">
        <v>17170</v>
      </c>
      <c r="D120" s="44">
        <v>10502</v>
      </c>
      <c r="E120" s="45"/>
      <c r="F120" s="44">
        <v>80</v>
      </c>
      <c r="G120" s="44">
        <v>48</v>
      </c>
      <c r="H120" s="44">
        <v>75</v>
      </c>
      <c r="I120" s="44">
        <v>42</v>
      </c>
      <c r="J120" s="44">
        <v>27</v>
      </c>
      <c r="K120" s="44">
        <v>37</v>
      </c>
      <c r="L120" s="44">
        <v>32</v>
      </c>
      <c r="M120" s="44"/>
      <c r="N120" s="44"/>
      <c r="O120" s="44"/>
      <c r="P120" s="44"/>
      <c r="Q120" s="44"/>
      <c r="R120" s="44"/>
      <c r="S120" s="44"/>
      <c r="T120" s="44"/>
      <c r="V120" s="82">
        <f t="shared" ref="V120" si="156">SUM(F120:T120)</f>
        <v>341</v>
      </c>
      <c r="W120" s="82">
        <f t="shared" ref="W120" si="157">SUM(F121:T121)</f>
        <v>17170</v>
      </c>
      <c r="X120" s="82">
        <f t="shared" ref="X120" si="158">SUM(F122:T122)</f>
        <v>10502</v>
      </c>
      <c r="Z120" s="82">
        <f t="shared" ref="Z120" si="159">B120-V120</f>
        <v>1</v>
      </c>
      <c r="AA120" s="82">
        <f t="shared" ref="AA120" si="160">C120-W120</f>
        <v>0</v>
      </c>
      <c r="AB120" s="82">
        <f t="shared" ref="AB120" si="161">D120-X120</f>
        <v>0</v>
      </c>
    </row>
    <row r="121" spans="1:28" x14ac:dyDescent="0.4">
      <c r="A121" s="46" t="s">
        <v>118</v>
      </c>
      <c r="B121" s="47"/>
      <c r="C121" s="47"/>
      <c r="D121" s="47"/>
      <c r="E121" s="48"/>
      <c r="F121" s="47">
        <v>3902</v>
      </c>
      <c r="G121" s="47">
        <v>2438</v>
      </c>
      <c r="H121" s="47">
        <v>3699</v>
      </c>
      <c r="I121" s="47">
        <v>2220</v>
      </c>
      <c r="J121" s="47">
        <v>1157</v>
      </c>
      <c r="K121" s="47">
        <v>2003</v>
      </c>
      <c r="L121" s="47">
        <v>1751</v>
      </c>
      <c r="M121" s="47"/>
      <c r="N121" s="47"/>
      <c r="O121" s="47"/>
      <c r="P121" s="47"/>
      <c r="Q121" s="47"/>
      <c r="R121" s="47"/>
      <c r="S121" s="47"/>
      <c r="T121" s="47"/>
    </row>
    <row r="122" spans="1:28" x14ac:dyDescent="0.4">
      <c r="A122" s="46" t="s">
        <v>119</v>
      </c>
      <c r="B122" s="47"/>
      <c r="C122" s="47"/>
      <c r="D122" s="47"/>
      <c r="E122" s="48"/>
      <c r="F122" s="47">
        <v>2305</v>
      </c>
      <c r="G122" s="47">
        <v>1560</v>
      </c>
      <c r="H122" s="47">
        <v>2330</v>
      </c>
      <c r="I122" s="47">
        <v>1395</v>
      </c>
      <c r="J122" s="47">
        <v>697</v>
      </c>
      <c r="K122" s="47">
        <v>1146</v>
      </c>
      <c r="L122" s="47">
        <v>1069</v>
      </c>
      <c r="M122" s="47"/>
      <c r="N122" s="47"/>
      <c r="O122" s="47"/>
      <c r="P122" s="47"/>
      <c r="Q122" s="47"/>
      <c r="R122" s="47"/>
      <c r="S122" s="47"/>
      <c r="T122" s="47"/>
    </row>
    <row r="123" spans="1:28" x14ac:dyDescent="0.4">
      <c r="A123" s="43" t="s">
        <v>120</v>
      </c>
      <c r="B123" s="44">
        <v>2021</v>
      </c>
      <c r="C123" s="44">
        <v>102700</v>
      </c>
      <c r="D123" s="44">
        <v>68255</v>
      </c>
      <c r="E123" s="45"/>
      <c r="F123" s="49" t="s">
        <v>10</v>
      </c>
      <c r="G123" s="49" t="s">
        <v>10</v>
      </c>
      <c r="H123" s="49" t="s">
        <v>10</v>
      </c>
      <c r="I123" s="49" t="s">
        <v>10</v>
      </c>
      <c r="J123" s="49" t="s">
        <v>10</v>
      </c>
      <c r="K123" s="49" t="s">
        <v>10</v>
      </c>
      <c r="L123" s="49" t="s">
        <v>10</v>
      </c>
      <c r="M123" s="49" t="s">
        <v>10</v>
      </c>
      <c r="N123" s="49" t="s">
        <v>10</v>
      </c>
      <c r="O123" s="49" t="s">
        <v>10</v>
      </c>
      <c r="P123" s="49" t="s">
        <v>10</v>
      </c>
      <c r="Q123" s="49" t="s">
        <v>10</v>
      </c>
      <c r="R123" s="44"/>
      <c r="S123" s="44"/>
      <c r="T123" s="44"/>
      <c r="V123" s="82">
        <f>B123</f>
        <v>2021</v>
      </c>
      <c r="W123" s="82">
        <f>C123</f>
        <v>102700</v>
      </c>
      <c r="X123" s="82">
        <f>D123</f>
        <v>68255</v>
      </c>
      <c r="Z123" s="82"/>
      <c r="AA123" s="82"/>
      <c r="AB123" s="82"/>
    </row>
    <row r="124" spans="1:28" x14ac:dyDescent="0.4">
      <c r="A124" s="46" t="s">
        <v>121</v>
      </c>
      <c r="B124" s="47"/>
      <c r="C124" s="47"/>
      <c r="D124" s="47"/>
      <c r="E124" s="48"/>
      <c r="F124" s="50" t="s">
        <v>10</v>
      </c>
      <c r="G124" s="50" t="s">
        <v>10</v>
      </c>
      <c r="H124" s="50" t="s">
        <v>10</v>
      </c>
      <c r="I124" s="50" t="s">
        <v>10</v>
      </c>
      <c r="J124" s="50" t="s">
        <v>10</v>
      </c>
      <c r="K124" s="50" t="s">
        <v>10</v>
      </c>
      <c r="L124" s="50" t="s">
        <v>10</v>
      </c>
      <c r="M124" s="50" t="s">
        <v>10</v>
      </c>
      <c r="N124" s="50" t="s">
        <v>10</v>
      </c>
      <c r="O124" s="50" t="s">
        <v>10</v>
      </c>
      <c r="P124" s="50" t="s">
        <v>10</v>
      </c>
      <c r="Q124" s="50" t="s">
        <v>10</v>
      </c>
      <c r="R124" s="47"/>
      <c r="S124" s="47"/>
      <c r="T124" s="47"/>
    </row>
    <row r="125" spans="1:28" x14ac:dyDescent="0.4">
      <c r="A125" s="46" t="s">
        <v>122</v>
      </c>
      <c r="B125" s="47"/>
      <c r="C125" s="47"/>
      <c r="D125" s="47"/>
      <c r="E125" s="48"/>
      <c r="F125" s="50" t="s">
        <v>10</v>
      </c>
      <c r="G125" s="50" t="s">
        <v>10</v>
      </c>
      <c r="H125" s="50" t="s">
        <v>10</v>
      </c>
      <c r="I125" s="50" t="s">
        <v>10</v>
      </c>
      <c r="J125" s="50" t="s">
        <v>10</v>
      </c>
      <c r="K125" s="50" t="s">
        <v>10</v>
      </c>
      <c r="L125" s="50" t="s">
        <v>10</v>
      </c>
      <c r="M125" s="50" t="s">
        <v>10</v>
      </c>
      <c r="N125" s="50" t="s">
        <v>10</v>
      </c>
      <c r="O125" s="50" t="s">
        <v>10</v>
      </c>
      <c r="P125" s="50" t="s">
        <v>10</v>
      </c>
      <c r="Q125" s="50" t="s">
        <v>10</v>
      </c>
      <c r="R125" s="47"/>
      <c r="S125" s="47"/>
      <c r="T125" s="47"/>
    </row>
    <row r="126" spans="1:28" x14ac:dyDescent="0.4">
      <c r="A126" s="43" t="s">
        <v>123</v>
      </c>
      <c r="B126" s="44">
        <v>1523</v>
      </c>
      <c r="C126" s="90">
        <v>78061</v>
      </c>
      <c r="D126" s="44">
        <v>55549</v>
      </c>
      <c r="E126" s="45"/>
      <c r="F126" s="44">
        <v>153</v>
      </c>
      <c r="G126" s="44">
        <v>166</v>
      </c>
      <c r="H126" s="44">
        <v>187</v>
      </c>
      <c r="I126" s="44">
        <v>129</v>
      </c>
      <c r="J126" s="44">
        <v>172</v>
      </c>
      <c r="K126" s="44">
        <v>108</v>
      </c>
      <c r="L126" s="44">
        <v>129</v>
      </c>
      <c r="M126" s="44">
        <v>172</v>
      </c>
      <c r="N126" s="44">
        <v>150</v>
      </c>
      <c r="O126" s="44">
        <v>157</v>
      </c>
      <c r="P126" s="44"/>
      <c r="Q126" s="44"/>
      <c r="R126" s="44"/>
      <c r="S126" s="44"/>
      <c r="T126" s="44"/>
      <c r="V126" s="82">
        <f t="shared" ref="V126" si="162">SUM(F126:T126)</f>
        <v>1523</v>
      </c>
      <c r="W126" s="82">
        <f t="shared" ref="W126" si="163">SUM(F127:T127)</f>
        <v>78061</v>
      </c>
      <c r="X126" s="82">
        <f t="shared" ref="X126" si="164">SUM(F128:T128)</f>
        <v>55549</v>
      </c>
      <c r="Z126" s="82">
        <f t="shared" ref="Z126" si="165">B126-V126</f>
        <v>0</v>
      </c>
      <c r="AA126" s="82">
        <f t="shared" ref="AA126" si="166">C126-W126</f>
        <v>0</v>
      </c>
      <c r="AB126" s="82">
        <f t="shared" ref="AB126" si="167">D126-X126</f>
        <v>0</v>
      </c>
    </row>
    <row r="127" spans="1:28" x14ac:dyDescent="0.4">
      <c r="A127" s="46" t="s">
        <v>124</v>
      </c>
      <c r="B127" s="47"/>
      <c r="C127" s="47"/>
      <c r="D127" s="47"/>
      <c r="E127" s="48"/>
      <c r="F127" s="47">
        <v>8428</v>
      </c>
      <c r="G127" s="47">
        <v>8557</v>
      </c>
      <c r="H127" s="47">
        <v>9382</v>
      </c>
      <c r="I127" s="47">
        <v>5507</v>
      </c>
      <c r="J127" s="47">
        <v>7373</v>
      </c>
      <c r="K127" s="47">
        <v>6730</v>
      </c>
      <c r="L127" s="47">
        <v>8759</v>
      </c>
      <c r="M127" s="47">
        <v>7618</v>
      </c>
      <c r="N127" s="47">
        <v>7752</v>
      </c>
      <c r="O127" s="47">
        <v>7955</v>
      </c>
      <c r="P127" s="47"/>
      <c r="Q127" s="47"/>
      <c r="R127" s="47"/>
      <c r="S127" s="47"/>
      <c r="T127" s="47"/>
    </row>
    <row r="128" spans="1:28" x14ac:dyDescent="0.4">
      <c r="A128" s="46" t="s">
        <v>125</v>
      </c>
      <c r="B128" s="47"/>
      <c r="C128" s="47"/>
      <c r="D128" s="47"/>
      <c r="E128" s="48"/>
      <c r="F128" s="47">
        <v>5553</v>
      </c>
      <c r="G128" s="47">
        <v>5416</v>
      </c>
      <c r="H128" s="47">
        <v>7669</v>
      </c>
      <c r="I128" s="47">
        <v>4299</v>
      </c>
      <c r="J128" s="47">
        <v>5881</v>
      </c>
      <c r="K128" s="47">
        <v>4439</v>
      </c>
      <c r="L128" s="47">
        <v>4560</v>
      </c>
      <c r="M128" s="47">
        <v>5492</v>
      </c>
      <c r="N128" s="47">
        <v>5414</v>
      </c>
      <c r="O128" s="47">
        <v>6826</v>
      </c>
      <c r="P128" s="47"/>
      <c r="Q128" s="47"/>
      <c r="R128" s="47"/>
      <c r="S128" s="47"/>
      <c r="T128" s="47"/>
    </row>
    <row r="129" spans="1:28" x14ac:dyDescent="0.4">
      <c r="A129" s="43" t="s">
        <v>126</v>
      </c>
      <c r="B129" s="44">
        <v>2714</v>
      </c>
      <c r="C129" s="44">
        <v>151241</v>
      </c>
      <c r="D129" s="44">
        <v>121426</v>
      </c>
      <c r="E129" s="45"/>
      <c r="F129" s="44">
        <v>222</v>
      </c>
      <c r="G129" s="44">
        <v>208</v>
      </c>
      <c r="H129" s="44">
        <v>379</v>
      </c>
      <c r="I129" s="44">
        <v>140</v>
      </c>
      <c r="J129" s="44">
        <v>249</v>
      </c>
      <c r="K129" s="44">
        <v>236</v>
      </c>
      <c r="L129" s="44">
        <v>124</v>
      </c>
      <c r="M129" s="44">
        <v>257</v>
      </c>
      <c r="N129" s="44">
        <v>263</v>
      </c>
      <c r="O129" s="44">
        <v>216</v>
      </c>
      <c r="P129" s="44">
        <v>89</v>
      </c>
      <c r="Q129" s="44">
        <v>331</v>
      </c>
      <c r="R129" s="44"/>
      <c r="S129" s="44"/>
      <c r="T129" s="44"/>
      <c r="V129" s="82">
        <f t="shared" ref="V129" si="168">SUM(F129:T129)</f>
        <v>2714</v>
      </c>
      <c r="W129" s="82">
        <f t="shared" ref="W129" si="169">SUM(F130:T130)</f>
        <v>151241</v>
      </c>
      <c r="X129" s="82">
        <f t="shared" ref="X129" si="170">SUM(F131:T131)</f>
        <v>121426</v>
      </c>
      <c r="Z129" s="82">
        <f t="shared" ref="Z129" si="171">B129-V129</f>
        <v>0</v>
      </c>
      <c r="AA129" s="82">
        <f t="shared" ref="AA129" si="172">C129-W129</f>
        <v>0</v>
      </c>
      <c r="AB129" s="82">
        <f t="shared" ref="AB129" si="173">D129-X129</f>
        <v>0</v>
      </c>
    </row>
    <row r="130" spans="1:28" x14ac:dyDescent="0.4">
      <c r="A130" s="46" t="s">
        <v>127</v>
      </c>
      <c r="B130" s="47"/>
      <c r="C130" s="47"/>
      <c r="D130" s="47"/>
      <c r="E130" s="48"/>
      <c r="F130" s="47">
        <v>11985</v>
      </c>
      <c r="G130" s="47">
        <v>10841</v>
      </c>
      <c r="H130" s="47">
        <v>21573</v>
      </c>
      <c r="I130" s="47">
        <v>8280</v>
      </c>
      <c r="J130" s="47">
        <v>14751</v>
      </c>
      <c r="K130" s="47">
        <v>12674</v>
      </c>
      <c r="L130" s="47">
        <v>7893</v>
      </c>
      <c r="M130" s="47">
        <v>12013</v>
      </c>
      <c r="N130" s="47">
        <v>15306</v>
      </c>
      <c r="O130" s="47">
        <v>11889</v>
      </c>
      <c r="P130" s="47">
        <v>4682</v>
      </c>
      <c r="Q130" s="47">
        <v>19354</v>
      </c>
      <c r="R130" s="47"/>
      <c r="S130" s="47"/>
      <c r="T130" s="47"/>
    </row>
    <row r="131" spans="1:28" x14ac:dyDescent="0.4">
      <c r="A131" s="46" t="s">
        <v>128</v>
      </c>
      <c r="B131" s="47"/>
      <c r="C131" s="47"/>
      <c r="D131" s="47"/>
      <c r="E131" s="48"/>
      <c r="F131" s="47">
        <v>11155</v>
      </c>
      <c r="G131" s="47">
        <v>9017</v>
      </c>
      <c r="H131" s="47">
        <v>16325</v>
      </c>
      <c r="I131" s="47">
        <v>6973</v>
      </c>
      <c r="J131" s="47">
        <v>11185</v>
      </c>
      <c r="K131" s="47">
        <v>10701</v>
      </c>
      <c r="L131" s="47">
        <v>4604</v>
      </c>
      <c r="M131" s="47">
        <v>10222</v>
      </c>
      <c r="N131" s="47">
        <v>12703</v>
      </c>
      <c r="O131" s="47">
        <v>10584</v>
      </c>
      <c r="P131" s="47">
        <v>3426</v>
      </c>
      <c r="Q131" s="47">
        <v>14531</v>
      </c>
      <c r="R131" s="47"/>
      <c r="S131" s="47"/>
      <c r="T131" s="47"/>
    </row>
    <row r="132" spans="1:28" x14ac:dyDescent="0.4">
      <c r="A132" s="43" t="s">
        <v>129</v>
      </c>
      <c r="B132" s="44">
        <v>2795</v>
      </c>
      <c r="C132" s="44">
        <v>121389</v>
      </c>
      <c r="D132" s="44">
        <v>75794</v>
      </c>
      <c r="E132" s="45"/>
      <c r="F132" s="44">
        <v>224</v>
      </c>
      <c r="G132" s="44">
        <v>171</v>
      </c>
      <c r="H132" s="44">
        <v>220</v>
      </c>
      <c r="I132" s="44">
        <v>145</v>
      </c>
      <c r="J132" s="44">
        <v>246</v>
      </c>
      <c r="K132" s="44">
        <v>197</v>
      </c>
      <c r="L132" s="44">
        <v>229</v>
      </c>
      <c r="M132" s="44">
        <v>151</v>
      </c>
      <c r="N132" s="44">
        <v>126</v>
      </c>
      <c r="O132" s="44">
        <v>153</v>
      </c>
      <c r="P132" s="44">
        <v>192</v>
      </c>
      <c r="Q132" s="44">
        <v>168</v>
      </c>
      <c r="R132" s="44">
        <v>203</v>
      </c>
      <c r="S132" s="44">
        <v>208</v>
      </c>
      <c r="T132" s="44">
        <v>160</v>
      </c>
      <c r="V132" s="82">
        <f t="shared" ref="V132" si="174">SUM(F132:T132)</f>
        <v>2793</v>
      </c>
      <c r="W132" s="82">
        <f t="shared" ref="W132" si="175">SUM(F133:T133)</f>
        <v>121389</v>
      </c>
      <c r="X132" s="82">
        <f t="shared" ref="X132" si="176">SUM(F134:T134)</f>
        <v>75794</v>
      </c>
      <c r="Z132" s="82">
        <f t="shared" ref="Z132" si="177">B132-V132</f>
        <v>2</v>
      </c>
      <c r="AA132" s="82">
        <f t="shared" ref="AA132" si="178">C132-W132</f>
        <v>0</v>
      </c>
      <c r="AB132" s="82">
        <f t="shared" ref="AB132" si="179">D132-X132</f>
        <v>0</v>
      </c>
    </row>
    <row r="133" spans="1:28" x14ac:dyDescent="0.4">
      <c r="A133" s="46" t="s">
        <v>130</v>
      </c>
      <c r="B133" s="47"/>
      <c r="C133" s="47"/>
      <c r="D133" s="47"/>
      <c r="E133" s="48"/>
      <c r="F133" s="47">
        <v>8911</v>
      </c>
      <c r="G133" s="47">
        <v>7545</v>
      </c>
      <c r="H133" s="47">
        <v>10587</v>
      </c>
      <c r="I133" s="47">
        <v>6474</v>
      </c>
      <c r="J133" s="47">
        <v>8958</v>
      </c>
      <c r="K133" s="47">
        <v>9630</v>
      </c>
      <c r="L133" s="47">
        <v>9062</v>
      </c>
      <c r="M133" s="47">
        <v>6818</v>
      </c>
      <c r="N133" s="47">
        <v>6400</v>
      </c>
      <c r="O133" s="47">
        <v>7180</v>
      </c>
      <c r="P133" s="47">
        <v>8578</v>
      </c>
      <c r="Q133" s="47">
        <v>7733</v>
      </c>
      <c r="R133" s="47">
        <v>7601</v>
      </c>
      <c r="S133" s="47">
        <v>8064</v>
      </c>
      <c r="T133" s="47">
        <v>7848</v>
      </c>
    </row>
    <row r="134" spans="1:28" x14ac:dyDescent="0.4">
      <c r="A134" s="46" t="s">
        <v>131</v>
      </c>
      <c r="B134" s="47"/>
      <c r="C134" s="47"/>
      <c r="D134" s="47"/>
      <c r="E134" s="48"/>
      <c r="F134" s="47">
        <v>5431</v>
      </c>
      <c r="G134" s="47">
        <v>4852</v>
      </c>
      <c r="H134" s="47">
        <v>6741</v>
      </c>
      <c r="I134" s="47">
        <v>4625</v>
      </c>
      <c r="J134" s="47">
        <v>4708</v>
      </c>
      <c r="K134" s="47">
        <v>5514</v>
      </c>
      <c r="L134" s="47">
        <v>5257</v>
      </c>
      <c r="M134" s="47">
        <v>4584</v>
      </c>
      <c r="N134" s="47">
        <v>4918</v>
      </c>
      <c r="O134" s="47">
        <v>4668</v>
      </c>
      <c r="P134" s="47">
        <v>5190</v>
      </c>
      <c r="Q134" s="47">
        <v>5216</v>
      </c>
      <c r="R134" s="47">
        <v>4283</v>
      </c>
      <c r="S134" s="47">
        <v>5091</v>
      </c>
      <c r="T134" s="47">
        <v>4716</v>
      </c>
    </row>
    <row r="135" spans="1:28" x14ac:dyDescent="0.4">
      <c r="A135" s="43" t="s">
        <v>132</v>
      </c>
      <c r="B135" s="44">
        <v>965</v>
      </c>
      <c r="C135" s="44">
        <v>46610</v>
      </c>
      <c r="D135" s="44">
        <v>35491</v>
      </c>
      <c r="E135" s="45"/>
      <c r="F135" s="44">
        <v>206</v>
      </c>
      <c r="G135" s="44">
        <v>103</v>
      </c>
      <c r="H135" s="44">
        <v>96</v>
      </c>
      <c r="I135" s="44">
        <v>117</v>
      </c>
      <c r="J135" s="44">
        <v>147</v>
      </c>
      <c r="K135" s="44">
        <v>157</v>
      </c>
      <c r="L135" s="44">
        <v>70</v>
      </c>
      <c r="M135" s="44">
        <v>69</v>
      </c>
      <c r="N135" s="44"/>
      <c r="O135" s="44"/>
      <c r="P135" s="44"/>
      <c r="Q135" s="44"/>
      <c r="R135" s="44"/>
      <c r="S135" s="44"/>
      <c r="T135" s="44"/>
      <c r="V135" s="82">
        <f t="shared" ref="V135" si="180">SUM(F135:T135)</f>
        <v>965</v>
      </c>
      <c r="W135" s="82">
        <f t="shared" ref="W135" si="181">SUM(F136:T136)</f>
        <v>46610</v>
      </c>
      <c r="X135" s="82">
        <f t="shared" ref="X135" si="182">SUM(F137:T137)</f>
        <v>35491</v>
      </c>
      <c r="Z135" s="82">
        <f t="shared" ref="Z135" si="183">B135-V135</f>
        <v>0</v>
      </c>
      <c r="AA135" s="82">
        <f t="shared" ref="AA135" si="184">C135-W135</f>
        <v>0</v>
      </c>
      <c r="AB135" s="82">
        <f t="shared" ref="AB135" si="185">D135-X135</f>
        <v>0</v>
      </c>
    </row>
    <row r="136" spans="1:28" x14ac:dyDescent="0.4">
      <c r="A136" s="46" t="s">
        <v>133</v>
      </c>
      <c r="B136" s="47"/>
      <c r="C136" s="47"/>
      <c r="D136" s="47"/>
      <c r="E136" s="48"/>
      <c r="F136" s="47">
        <v>9107</v>
      </c>
      <c r="G136" s="47">
        <v>5312</v>
      </c>
      <c r="H136" s="47">
        <v>4711</v>
      </c>
      <c r="I136" s="47">
        <v>5619</v>
      </c>
      <c r="J136" s="47">
        <v>6846</v>
      </c>
      <c r="K136" s="47">
        <v>7020</v>
      </c>
      <c r="L136" s="47">
        <v>4010</v>
      </c>
      <c r="M136" s="47">
        <v>3985</v>
      </c>
      <c r="N136" s="47"/>
      <c r="O136" s="47"/>
      <c r="P136" s="47"/>
      <c r="Q136" s="47"/>
      <c r="R136" s="47"/>
      <c r="S136" s="47"/>
      <c r="T136" s="47"/>
    </row>
    <row r="137" spans="1:28" x14ac:dyDescent="0.4">
      <c r="A137" s="46" t="s">
        <v>134</v>
      </c>
      <c r="B137" s="47"/>
      <c r="C137" s="47"/>
      <c r="D137" s="47"/>
      <c r="E137" s="48"/>
      <c r="F137" s="47">
        <v>7952</v>
      </c>
      <c r="G137" s="47">
        <v>4030</v>
      </c>
      <c r="H137" s="47">
        <v>3374</v>
      </c>
      <c r="I137" s="47">
        <v>3908</v>
      </c>
      <c r="J137" s="47">
        <v>4391</v>
      </c>
      <c r="K137" s="47">
        <v>5269</v>
      </c>
      <c r="L137" s="47">
        <v>3146</v>
      </c>
      <c r="M137" s="47">
        <v>3421</v>
      </c>
      <c r="N137" s="47"/>
      <c r="O137" s="47"/>
      <c r="P137" s="47"/>
      <c r="Q137" s="47"/>
      <c r="R137" s="47"/>
      <c r="S137" s="47"/>
      <c r="T137" s="47"/>
    </row>
    <row r="138" spans="1:28" x14ac:dyDescent="0.4">
      <c r="A138" s="51" t="s">
        <v>135</v>
      </c>
      <c r="B138" s="52">
        <v>1843</v>
      </c>
      <c r="C138" s="52">
        <v>90106</v>
      </c>
      <c r="D138" s="52">
        <v>57575</v>
      </c>
      <c r="E138" s="52"/>
      <c r="F138" s="52">
        <v>210</v>
      </c>
      <c r="G138" s="52">
        <v>117</v>
      </c>
      <c r="H138" s="52">
        <v>141</v>
      </c>
      <c r="I138" s="52">
        <v>131</v>
      </c>
      <c r="J138" s="52">
        <v>176</v>
      </c>
      <c r="K138" s="52">
        <v>158</v>
      </c>
      <c r="L138" s="52">
        <v>118</v>
      </c>
      <c r="M138" s="52">
        <v>151</v>
      </c>
      <c r="N138" s="52">
        <v>140</v>
      </c>
      <c r="O138" s="52">
        <v>164</v>
      </c>
      <c r="P138" s="52">
        <v>177</v>
      </c>
      <c r="Q138" s="52">
        <v>161</v>
      </c>
      <c r="R138" s="52"/>
      <c r="S138" s="52"/>
      <c r="T138" s="52"/>
      <c r="V138" s="82">
        <f t="shared" ref="V138" si="186">SUM(F138:T138)</f>
        <v>1844</v>
      </c>
      <c r="W138" s="82">
        <f t="shared" ref="W138" si="187">SUM(F139:T139)</f>
        <v>90106</v>
      </c>
      <c r="X138" s="82">
        <f t="shared" ref="X138" si="188">SUM(F140:T140)</f>
        <v>57575</v>
      </c>
      <c r="Z138" s="82">
        <f t="shared" ref="Z138" si="189">B138-V138</f>
        <v>-1</v>
      </c>
      <c r="AA138" s="82">
        <f t="shared" ref="AA138" si="190">C138-W138</f>
        <v>0</v>
      </c>
      <c r="AB138" s="82">
        <f t="shared" ref="AB138" si="191">D138-X138</f>
        <v>0</v>
      </c>
    </row>
    <row r="139" spans="1:28" x14ac:dyDescent="0.4">
      <c r="A139" s="53" t="s">
        <v>136</v>
      </c>
      <c r="B139" s="54"/>
      <c r="C139" s="54"/>
      <c r="D139" s="54"/>
      <c r="E139" s="54"/>
      <c r="F139" s="54">
        <v>9093</v>
      </c>
      <c r="G139" s="54">
        <v>5497</v>
      </c>
      <c r="H139" s="54">
        <v>6711</v>
      </c>
      <c r="I139" s="54">
        <v>5473</v>
      </c>
      <c r="J139" s="54">
        <v>8093</v>
      </c>
      <c r="K139" s="54">
        <v>8082</v>
      </c>
      <c r="L139" s="54">
        <v>5326</v>
      </c>
      <c r="M139" s="54">
        <v>8985</v>
      </c>
      <c r="N139" s="54">
        <v>7656</v>
      </c>
      <c r="O139" s="54">
        <v>8581</v>
      </c>
      <c r="P139" s="54">
        <v>8974</v>
      </c>
      <c r="Q139" s="54">
        <v>7635</v>
      </c>
      <c r="R139" s="54"/>
      <c r="S139" s="54"/>
      <c r="T139" s="54"/>
    </row>
    <row r="140" spans="1:28" x14ac:dyDescent="0.4">
      <c r="A140" s="53" t="s">
        <v>137</v>
      </c>
      <c r="B140" s="54"/>
      <c r="C140" s="54"/>
      <c r="D140" s="54"/>
      <c r="E140" s="54"/>
      <c r="F140" s="54">
        <v>6030</v>
      </c>
      <c r="G140" s="54">
        <v>3245</v>
      </c>
      <c r="H140" s="54">
        <v>5074</v>
      </c>
      <c r="I140" s="54">
        <v>3711</v>
      </c>
      <c r="J140" s="54">
        <v>5134</v>
      </c>
      <c r="K140" s="54">
        <v>4327</v>
      </c>
      <c r="L140" s="54">
        <v>3331</v>
      </c>
      <c r="M140" s="54">
        <v>5794</v>
      </c>
      <c r="N140" s="54">
        <v>5603</v>
      </c>
      <c r="O140" s="54">
        <v>5600</v>
      </c>
      <c r="P140" s="54">
        <v>4761</v>
      </c>
      <c r="Q140" s="54">
        <v>4965</v>
      </c>
      <c r="R140" s="54"/>
      <c r="S140" s="54"/>
      <c r="T140" s="54"/>
    </row>
    <row r="141" spans="1:28" x14ac:dyDescent="0.4">
      <c r="A141" s="51" t="s">
        <v>138</v>
      </c>
      <c r="B141" s="52">
        <v>2518</v>
      </c>
      <c r="C141" s="52">
        <v>149330</v>
      </c>
      <c r="D141" s="52">
        <v>95374</v>
      </c>
      <c r="E141" s="52"/>
      <c r="F141" s="52">
        <v>333</v>
      </c>
      <c r="G141" s="52">
        <v>272</v>
      </c>
      <c r="H141" s="52">
        <v>470</v>
      </c>
      <c r="I141" s="52">
        <v>343</v>
      </c>
      <c r="J141" s="52">
        <v>452</v>
      </c>
      <c r="K141" s="52">
        <v>380</v>
      </c>
      <c r="L141" s="52">
        <v>268</v>
      </c>
      <c r="M141" s="52"/>
      <c r="N141" s="52"/>
      <c r="O141" s="52"/>
      <c r="P141" s="52"/>
      <c r="Q141" s="52"/>
      <c r="R141" s="52"/>
      <c r="S141" s="52"/>
      <c r="T141" s="52"/>
      <c r="V141" s="82">
        <f t="shared" ref="V141" si="192">SUM(F141:T141)</f>
        <v>2518</v>
      </c>
      <c r="W141" s="82">
        <f t="shared" ref="W141" si="193">SUM(F142:T142)</f>
        <v>149330</v>
      </c>
      <c r="X141" s="82">
        <f t="shared" ref="X141" si="194">SUM(F143:T143)</f>
        <v>95374</v>
      </c>
      <c r="Z141" s="82">
        <f t="shared" ref="Z141" si="195">B141-V141</f>
        <v>0</v>
      </c>
      <c r="AA141" s="82">
        <f t="shared" ref="AA141" si="196">C141-W141</f>
        <v>0</v>
      </c>
      <c r="AB141" s="82">
        <f t="shared" ref="AB141" si="197">D141-X141</f>
        <v>0</v>
      </c>
    </row>
    <row r="142" spans="1:28" x14ac:dyDescent="0.4">
      <c r="A142" s="53" t="s">
        <v>139</v>
      </c>
      <c r="B142" s="54"/>
      <c r="C142" s="54"/>
      <c r="D142" s="54"/>
      <c r="E142" s="54"/>
      <c r="F142" s="54">
        <v>18640</v>
      </c>
      <c r="G142" s="54">
        <v>13520</v>
      </c>
      <c r="H142" s="54">
        <v>30281</v>
      </c>
      <c r="I142" s="54">
        <v>19067</v>
      </c>
      <c r="J142" s="54">
        <v>29265</v>
      </c>
      <c r="K142" s="54">
        <v>23229</v>
      </c>
      <c r="L142" s="54">
        <v>15328</v>
      </c>
      <c r="M142" s="54"/>
      <c r="N142" s="54"/>
      <c r="O142" s="54"/>
      <c r="P142" s="54"/>
      <c r="Q142" s="54"/>
      <c r="R142" s="54"/>
      <c r="S142" s="54"/>
      <c r="T142" s="54"/>
    </row>
    <row r="143" spans="1:28" x14ac:dyDescent="0.4">
      <c r="A143" s="53" t="s">
        <v>140</v>
      </c>
      <c r="B143" s="54"/>
      <c r="C143" s="54"/>
      <c r="D143" s="54"/>
      <c r="E143" s="54"/>
      <c r="F143" s="54">
        <v>13050</v>
      </c>
      <c r="G143" s="54">
        <v>7915</v>
      </c>
      <c r="H143" s="54">
        <v>19656</v>
      </c>
      <c r="I143" s="54">
        <v>11070</v>
      </c>
      <c r="J143" s="54">
        <v>20411</v>
      </c>
      <c r="K143" s="54">
        <v>13566</v>
      </c>
      <c r="L143" s="54">
        <v>9706</v>
      </c>
      <c r="M143" s="54"/>
      <c r="N143" s="54"/>
      <c r="O143" s="54"/>
      <c r="P143" s="54"/>
      <c r="Q143" s="54"/>
      <c r="R143" s="54"/>
      <c r="S143" s="54"/>
      <c r="T143" s="54"/>
    </row>
    <row r="144" spans="1:28" x14ac:dyDescent="0.4">
      <c r="A144" s="51" t="s">
        <v>141</v>
      </c>
      <c r="B144" s="52">
        <v>861</v>
      </c>
      <c r="C144" s="52">
        <v>28237</v>
      </c>
      <c r="D144" s="52">
        <v>23613</v>
      </c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V144" s="82">
        <f>B144</f>
        <v>861</v>
      </c>
      <c r="W144" s="82">
        <f>C144</f>
        <v>28237</v>
      </c>
      <c r="X144" s="82">
        <f>D144</f>
        <v>23613</v>
      </c>
    </row>
    <row r="145" spans="1:28" x14ac:dyDescent="0.4">
      <c r="A145" s="51" t="s">
        <v>142</v>
      </c>
      <c r="B145" s="52">
        <v>819</v>
      </c>
      <c r="C145" s="52">
        <v>32196</v>
      </c>
      <c r="D145" s="52">
        <v>27037</v>
      </c>
      <c r="E145" s="52"/>
      <c r="F145" s="52">
        <v>131</v>
      </c>
      <c r="G145" s="52">
        <v>123</v>
      </c>
      <c r="H145" s="52">
        <v>101</v>
      </c>
      <c r="I145" s="52">
        <v>88</v>
      </c>
      <c r="J145" s="52">
        <v>69</v>
      </c>
      <c r="K145" s="52">
        <v>117</v>
      </c>
      <c r="L145" s="52">
        <v>44</v>
      </c>
      <c r="M145" s="52">
        <v>98</v>
      </c>
      <c r="N145" s="52">
        <v>48</v>
      </c>
      <c r="O145" s="52"/>
      <c r="P145" s="52"/>
      <c r="Q145" s="52"/>
      <c r="R145" s="52"/>
      <c r="S145" s="52"/>
      <c r="T145" s="52"/>
      <c r="V145" s="82">
        <f t="shared" ref="V145" si="198">SUM(F145:T145)</f>
        <v>819</v>
      </c>
      <c r="W145" s="82">
        <f t="shared" ref="W145" si="199">SUM(F146:T146)</f>
        <v>32196</v>
      </c>
      <c r="X145" s="82">
        <f t="shared" ref="X145" si="200">SUM(F147:T147)</f>
        <v>27037</v>
      </c>
      <c r="Z145" s="82">
        <f t="shared" ref="Z145" si="201">B145-V145</f>
        <v>0</v>
      </c>
      <c r="AA145" s="82">
        <f t="shared" ref="AA145" si="202">C145-W145</f>
        <v>0</v>
      </c>
      <c r="AB145" s="82">
        <f t="shared" ref="AB145" si="203">D145-X145</f>
        <v>0</v>
      </c>
    </row>
    <row r="146" spans="1:28" x14ac:dyDescent="0.4">
      <c r="A146" s="53" t="s">
        <v>143</v>
      </c>
      <c r="B146" s="54"/>
      <c r="C146" s="54"/>
      <c r="D146" s="54"/>
      <c r="E146" s="54"/>
      <c r="F146" s="54">
        <v>4298</v>
      </c>
      <c r="G146" s="54">
        <v>5276</v>
      </c>
      <c r="H146" s="54">
        <v>4457</v>
      </c>
      <c r="I146" s="54">
        <v>3708</v>
      </c>
      <c r="J146" s="54">
        <v>2890</v>
      </c>
      <c r="K146" s="54">
        <v>5288</v>
      </c>
      <c r="L146" s="54">
        <v>1998</v>
      </c>
      <c r="M146" s="54">
        <v>3040</v>
      </c>
      <c r="N146" s="54">
        <v>1241</v>
      </c>
      <c r="O146" s="54"/>
      <c r="P146" s="54"/>
      <c r="Q146" s="54"/>
      <c r="R146" s="54"/>
      <c r="S146" s="54"/>
      <c r="T146" s="54"/>
    </row>
    <row r="147" spans="1:28" x14ac:dyDescent="0.4">
      <c r="A147" s="53" t="s">
        <v>144</v>
      </c>
      <c r="B147" s="54"/>
      <c r="C147" s="54"/>
      <c r="D147" s="54"/>
      <c r="E147" s="54"/>
      <c r="F147" s="54">
        <v>3519</v>
      </c>
      <c r="G147" s="54">
        <v>3986</v>
      </c>
      <c r="H147" s="54">
        <v>4326</v>
      </c>
      <c r="I147" s="54">
        <v>2477</v>
      </c>
      <c r="J147" s="54">
        <v>2566</v>
      </c>
      <c r="K147" s="54">
        <v>4091</v>
      </c>
      <c r="L147" s="54">
        <v>1769</v>
      </c>
      <c r="M147" s="54">
        <v>3001</v>
      </c>
      <c r="N147" s="54">
        <v>1302</v>
      </c>
      <c r="O147" s="54"/>
      <c r="P147" s="54"/>
      <c r="Q147" s="54"/>
      <c r="R147" s="54"/>
      <c r="S147" s="54"/>
      <c r="T147" s="54"/>
    </row>
    <row r="148" spans="1:28" x14ac:dyDescent="0.4">
      <c r="A148" s="51" t="s">
        <v>145</v>
      </c>
      <c r="B148" s="52">
        <v>2311</v>
      </c>
      <c r="C148" s="52">
        <v>122225</v>
      </c>
      <c r="D148" s="52">
        <v>77587</v>
      </c>
      <c r="E148" s="52"/>
      <c r="F148" s="52">
        <v>298</v>
      </c>
      <c r="G148" s="52">
        <v>275</v>
      </c>
      <c r="H148" s="52">
        <v>281</v>
      </c>
      <c r="I148" s="52">
        <v>195</v>
      </c>
      <c r="J148" s="52">
        <v>317</v>
      </c>
      <c r="K148" s="52">
        <v>161</v>
      </c>
      <c r="L148" s="52">
        <v>257</v>
      </c>
      <c r="M148" s="52">
        <v>196</v>
      </c>
      <c r="N148" s="52">
        <v>203</v>
      </c>
      <c r="O148" s="52">
        <v>128</v>
      </c>
      <c r="P148" s="52"/>
      <c r="Q148" s="52"/>
      <c r="R148" s="52"/>
      <c r="S148" s="52"/>
      <c r="T148" s="52"/>
      <c r="V148" s="82">
        <f t="shared" ref="V148" si="204">SUM(F148:T148)</f>
        <v>2311</v>
      </c>
      <c r="W148" s="82">
        <f t="shared" ref="W148" si="205">SUM(F149:T149)</f>
        <v>122225</v>
      </c>
      <c r="X148" s="82">
        <f t="shared" ref="X148" si="206">SUM(F150:T150)</f>
        <v>77587</v>
      </c>
      <c r="Z148" s="82">
        <f t="shared" ref="Z148" si="207">B148-V148</f>
        <v>0</v>
      </c>
      <c r="AA148" s="82">
        <f t="shared" ref="AA148" si="208">C148-W148</f>
        <v>0</v>
      </c>
      <c r="AB148" s="82">
        <f t="shared" ref="AB148" si="209">D148-X148</f>
        <v>0</v>
      </c>
    </row>
    <row r="149" spans="1:28" x14ac:dyDescent="0.4">
      <c r="A149" s="53" t="s">
        <v>146</v>
      </c>
      <c r="B149" s="54"/>
      <c r="C149" s="54"/>
      <c r="D149" s="54"/>
      <c r="E149" s="54"/>
      <c r="F149" s="54">
        <v>15325</v>
      </c>
      <c r="G149" s="54">
        <v>15815</v>
      </c>
      <c r="H149" s="54">
        <v>15726</v>
      </c>
      <c r="I149" s="54">
        <v>8906</v>
      </c>
      <c r="J149" s="54">
        <v>18133</v>
      </c>
      <c r="K149" s="54">
        <v>8901</v>
      </c>
      <c r="L149" s="54">
        <v>11314</v>
      </c>
      <c r="M149" s="54">
        <v>11844</v>
      </c>
      <c r="N149" s="54">
        <v>9649</v>
      </c>
      <c r="O149" s="54">
        <v>6612</v>
      </c>
      <c r="P149" s="54"/>
      <c r="Q149" s="54"/>
      <c r="R149" s="54"/>
      <c r="S149" s="54"/>
      <c r="T149" s="54"/>
    </row>
    <row r="150" spans="1:28" x14ac:dyDescent="0.4">
      <c r="A150" s="53" t="s">
        <v>147</v>
      </c>
      <c r="B150" s="54"/>
      <c r="C150" s="54"/>
      <c r="D150" s="54"/>
      <c r="E150" s="54"/>
      <c r="F150" s="54">
        <v>10692</v>
      </c>
      <c r="G150" s="54">
        <v>9343</v>
      </c>
      <c r="H150" s="54">
        <v>9645</v>
      </c>
      <c r="I150" s="54">
        <v>6404</v>
      </c>
      <c r="J150" s="54">
        <v>9847</v>
      </c>
      <c r="K150" s="54">
        <v>5408</v>
      </c>
      <c r="L150" s="54">
        <v>6662</v>
      </c>
      <c r="M150" s="54">
        <v>9006</v>
      </c>
      <c r="N150" s="54">
        <v>5597</v>
      </c>
      <c r="O150" s="54">
        <v>4983</v>
      </c>
      <c r="P150" s="54"/>
      <c r="Q150" s="54"/>
      <c r="R150" s="54"/>
      <c r="S150" s="54"/>
      <c r="T150" s="54"/>
    </row>
    <row r="151" spans="1:28" x14ac:dyDescent="0.4">
      <c r="A151" s="51" t="s">
        <v>148</v>
      </c>
      <c r="B151" s="52">
        <v>1580</v>
      </c>
      <c r="C151" s="52">
        <v>78238</v>
      </c>
      <c r="D151" s="52">
        <v>49530</v>
      </c>
      <c r="E151" s="52"/>
      <c r="F151" s="52">
        <v>218</v>
      </c>
      <c r="G151" s="52">
        <v>166</v>
      </c>
      <c r="H151" s="52">
        <v>209</v>
      </c>
      <c r="I151" s="52">
        <v>183</v>
      </c>
      <c r="J151" s="52">
        <v>235</v>
      </c>
      <c r="K151" s="52">
        <v>160</v>
      </c>
      <c r="L151" s="52">
        <v>157</v>
      </c>
      <c r="M151" s="52">
        <v>253</v>
      </c>
      <c r="N151" s="52"/>
      <c r="O151" s="52"/>
      <c r="P151" s="52"/>
      <c r="Q151" s="52"/>
      <c r="R151" s="52"/>
      <c r="S151" s="52"/>
      <c r="T151" s="52"/>
      <c r="V151" s="82">
        <f t="shared" ref="V151" si="210">SUM(F151:T151)</f>
        <v>1581</v>
      </c>
      <c r="W151" s="82">
        <f t="shared" ref="W151" si="211">SUM(F152:T152)</f>
        <v>78238</v>
      </c>
      <c r="X151" s="82">
        <f t="shared" ref="X151" si="212">SUM(F153:T153)</f>
        <v>49530</v>
      </c>
      <c r="Z151" s="82">
        <f t="shared" ref="Z151" si="213">B151-V151</f>
        <v>-1</v>
      </c>
      <c r="AA151" s="82">
        <f t="shared" ref="AA151" si="214">C151-W151</f>
        <v>0</v>
      </c>
      <c r="AB151" s="82">
        <f t="shared" ref="AB151" si="215">D151-X151</f>
        <v>0</v>
      </c>
    </row>
    <row r="152" spans="1:28" x14ac:dyDescent="0.4">
      <c r="A152" s="53" t="s">
        <v>149</v>
      </c>
      <c r="B152" s="54"/>
      <c r="C152" s="54"/>
      <c r="D152" s="54"/>
      <c r="E152" s="54"/>
      <c r="F152" s="54">
        <v>11580</v>
      </c>
      <c r="G152" s="54">
        <v>7928</v>
      </c>
      <c r="H152" s="54">
        <v>9951</v>
      </c>
      <c r="I152" s="54">
        <v>8917</v>
      </c>
      <c r="J152" s="54">
        <v>11611</v>
      </c>
      <c r="K152" s="54">
        <v>7696</v>
      </c>
      <c r="L152" s="54">
        <v>8238</v>
      </c>
      <c r="M152" s="54">
        <v>12317</v>
      </c>
      <c r="N152" s="54"/>
      <c r="O152" s="54"/>
      <c r="P152" s="54"/>
      <c r="Q152" s="54"/>
      <c r="R152" s="54"/>
      <c r="S152" s="54"/>
      <c r="T152" s="54"/>
    </row>
    <row r="153" spans="1:28" x14ac:dyDescent="0.4">
      <c r="A153" s="53" t="s">
        <v>150</v>
      </c>
      <c r="B153" s="54"/>
      <c r="C153" s="54"/>
      <c r="D153" s="54"/>
      <c r="E153" s="54"/>
      <c r="F153" s="54">
        <v>7996</v>
      </c>
      <c r="G153" s="54">
        <v>5082</v>
      </c>
      <c r="H153" s="54">
        <v>6543</v>
      </c>
      <c r="I153" s="54">
        <v>4288</v>
      </c>
      <c r="J153" s="54">
        <v>7092</v>
      </c>
      <c r="K153" s="54">
        <v>5008</v>
      </c>
      <c r="L153" s="54">
        <v>5418</v>
      </c>
      <c r="M153" s="54">
        <v>8103</v>
      </c>
      <c r="N153" s="54"/>
      <c r="O153" s="54"/>
      <c r="P153" s="54"/>
      <c r="Q153" s="54"/>
      <c r="R153" s="54"/>
      <c r="S153" s="54"/>
      <c r="T153" s="54"/>
    </row>
    <row r="154" spans="1:28" x14ac:dyDescent="0.4">
      <c r="A154" s="51" t="s">
        <v>151</v>
      </c>
      <c r="B154" s="52">
        <v>1339</v>
      </c>
      <c r="C154" s="52">
        <v>69624</v>
      </c>
      <c r="D154" s="52">
        <v>52114</v>
      </c>
      <c r="E154" s="52"/>
      <c r="F154" s="52">
        <v>118</v>
      </c>
      <c r="G154" s="52">
        <v>129</v>
      </c>
      <c r="H154" s="52">
        <v>83</v>
      </c>
      <c r="I154" s="52">
        <v>125</v>
      </c>
      <c r="J154" s="52">
        <v>86</v>
      </c>
      <c r="K154" s="52">
        <v>97</v>
      </c>
      <c r="L154" s="52">
        <v>118</v>
      </c>
      <c r="M154" s="52">
        <v>90</v>
      </c>
      <c r="N154" s="52">
        <v>104</v>
      </c>
      <c r="O154" s="52">
        <v>152</v>
      </c>
      <c r="P154" s="52">
        <v>116</v>
      </c>
      <c r="Q154" s="52">
        <v>120</v>
      </c>
      <c r="R154" s="52"/>
      <c r="S154" s="52"/>
      <c r="T154" s="52"/>
      <c r="V154" s="82">
        <f t="shared" ref="V154" si="216">SUM(F154:T154)</f>
        <v>1338</v>
      </c>
      <c r="W154" s="82">
        <f t="shared" ref="W154" si="217">SUM(F155:T155)</f>
        <v>69624</v>
      </c>
      <c r="X154" s="82">
        <f t="shared" ref="X154" si="218">SUM(F156:T156)</f>
        <v>52114</v>
      </c>
      <c r="Z154" s="82">
        <f t="shared" ref="Z154" si="219">B154-V154</f>
        <v>1</v>
      </c>
      <c r="AA154" s="82">
        <f t="shared" ref="AA154" si="220">C154-W154</f>
        <v>0</v>
      </c>
      <c r="AB154" s="82">
        <f t="shared" ref="AB154" si="221">D154-X154</f>
        <v>0</v>
      </c>
    </row>
    <row r="155" spans="1:28" x14ac:dyDescent="0.4">
      <c r="A155" s="53" t="s">
        <v>152</v>
      </c>
      <c r="B155" s="54"/>
      <c r="C155" s="54"/>
      <c r="D155" s="54"/>
      <c r="E155" s="54"/>
      <c r="F155" s="54">
        <v>5722</v>
      </c>
      <c r="G155" s="54">
        <v>7731</v>
      </c>
      <c r="H155" s="54">
        <v>4684</v>
      </c>
      <c r="I155" s="54">
        <v>4812</v>
      </c>
      <c r="J155" s="54">
        <v>5034</v>
      </c>
      <c r="K155" s="54">
        <v>6204</v>
      </c>
      <c r="L155" s="54">
        <v>6567</v>
      </c>
      <c r="M155" s="54">
        <v>4527</v>
      </c>
      <c r="N155" s="54">
        <v>5798</v>
      </c>
      <c r="O155" s="54">
        <v>8297</v>
      </c>
      <c r="P155" s="54">
        <v>4623</v>
      </c>
      <c r="Q155" s="54">
        <v>5625</v>
      </c>
      <c r="R155" s="54"/>
      <c r="S155" s="54"/>
      <c r="T155" s="54"/>
    </row>
    <row r="156" spans="1:28" x14ac:dyDescent="0.4">
      <c r="A156" s="53" t="s">
        <v>153</v>
      </c>
      <c r="B156" s="54"/>
      <c r="C156" s="54"/>
      <c r="D156" s="54"/>
      <c r="E156" s="54"/>
      <c r="F156" s="54">
        <v>4281</v>
      </c>
      <c r="G156" s="54">
        <v>5889</v>
      </c>
      <c r="H156" s="54">
        <v>4073</v>
      </c>
      <c r="I156" s="54">
        <v>5321</v>
      </c>
      <c r="J156" s="54">
        <v>3934</v>
      </c>
      <c r="K156" s="54">
        <v>4616</v>
      </c>
      <c r="L156" s="54">
        <v>4109</v>
      </c>
      <c r="M156" s="54">
        <v>2943</v>
      </c>
      <c r="N156" s="54">
        <v>4282</v>
      </c>
      <c r="O156" s="54">
        <v>4933</v>
      </c>
      <c r="P156" s="54">
        <v>3777</v>
      </c>
      <c r="Q156" s="54">
        <v>3956</v>
      </c>
      <c r="R156" s="54"/>
      <c r="S156" s="54"/>
      <c r="T156" s="54"/>
    </row>
    <row r="157" spans="1:28" x14ac:dyDescent="0.4">
      <c r="A157" s="51" t="s">
        <v>154</v>
      </c>
      <c r="B157" s="52">
        <v>1097</v>
      </c>
      <c r="C157" s="52">
        <v>53187</v>
      </c>
      <c r="D157" s="52">
        <v>33825</v>
      </c>
      <c r="E157" s="52"/>
      <c r="F157" s="52">
        <v>156</v>
      </c>
      <c r="G157" s="52">
        <v>269</v>
      </c>
      <c r="H157" s="52">
        <v>160</v>
      </c>
      <c r="I157" s="52">
        <v>46</v>
      </c>
      <c r="J157" s="52">
        <v>306</v>
      </c>
      <c r="K157" s="52">
        <v>29</v>
      </c>
      <c r="L157" s="52">
        <v>88</v>
      </c>
      <c r="M157" s="52">
        <v>43</v>
      </c>
      <c r="N157" s="52"/>
      <c r="O157" s="52"/>
      <c r="P157" s="52"/>
      <c r="Q157" s="52"/>
      <c r="R157" s="52"/>
      <c r="S157" s="52"/>
      <c r="T157" s="52"/>
      <c r="V157" s="82">
        <f t="shared" ref="V157" si="222">SUM(F157:T157)</f>
        <v>1097</v>
      </c>
      <c r="W157" s="82">
        <f t="shared" ref="W157" si="223">SUM(F158:T158)</f>
        <v>53187</v>
      </c>
      <c r="X157" s="82">
        <f t="shared" ref="X157" si="224">SUM(F159:T159)</f>
        <v>33825</v>
      </c>
      <c r="Z157" s="82">
        <f t="shared" ref="Z157" si="225">B157-V157</f>
        <v>0</v>
      </c>
      <c r="AA157" s="82">
        <f t="shared" ref="AA157" si="226">C157-W157</f>
        <v>0</v>
      </c>
      <c r="AB157" s="82">
        <f t="shared" ref="AB157" si="227">D157-X157</f>
        <v>0</v>
      </c>
    </row>
    <row r="158" spans="1:28" x14ac:dyDescent="0.4">
      <c r="A158" s="53" t="s">
        <v>155</v>
      </c>
      <c r="B158" s="54"/>
      <c r="C158" s="54"/>
      <c r="D158" s="54"/>
      <c r="E158" s="54"/>
      <c r="F158" s="54">
        <v>5415</v>
      </c>
      <c r="G158" s="54">
        <v>14000</v>
      </c>
      <c r="H158" s="54">
        <v>8734</v>
      </c>
      <c r="I158" s="54">
        <v>1740</v>
      </c>
      <c r="J158" s="54">
        <v>17190</v>
      </c>
      <c r="K158" s="54">
        <v>1407</v>
      </c>
      <c r="L158" s="54">
        <v>3170</v>
      </c>
      <c r="M158" s="54">
        <v>1531</v>
      </c>
      <c r="N158" s="54"/>
      <c r="O158" s="54"/>
      <c r="P158" s="54"/>
      <c r="Q158" s="54"/>
      <c r="R158" s="54"/>
      <c r="S158" s="54"/>
      <c r="T158" s="54"/>
    </row>
    <row r="159" spans="1:28" x14ac:dyDescent="0.4">
      <c r="A159" s="53" t="s">
        <v>156</v>
      </c>
      <c r="B159" s="54"/>
      <c r="C159" s="54"/>
      <c r="D159" s="54"/>
      <c r="E159" s="54"/>
      <c r="F159" s="54">
        <v>3755</v>
      </c>
      <c r="G159" s="54">
        <v>9156</v>
      </c>
      <c r="H159" s="54">
        <v>5230</v>
      </c>
      <c r="I159" s="54">
        <v>808</v>
      </c>
      <c r="J159" s="54">
        <v>11209</v>
      </c>
      <c r="K159" s="54">
        <v>657</v>
      </c>
      <c r="L159" s="54">
        <v>2139</v>
      </c>
      <c r="M159" s="54">
        <v>871</v>
      </c>
      <c r="N159" s="54"/>
      <c r="O159" s="54"/>
      <c r="P159" s="54"/>
      <c r="Q159" s="54"/>
      <c r="R159" s="54"/>
      <c r="S159" s="54"/>
      <c r="T159" s="54"/>
    </row>
    <row r="160" spans="1:28" x14ac:dyDescent="0.4">
      <c r="A160" s="51" t="s">
        <v>157</v>
      </c>
      <c r="B160" s="52">
        <v>2730</v>
      </c>
      <c r="C160" s="52">
        <v>137464</v>
      </c>
      <c r="D160" s="52">
        <v>81472</v>
      </c>
      <c r="E160" s="52"/>
      <c r="F160" s="52">
        <v>382</v>
      </c>
      <c r="G160" s="52">
        <v>293</v>
      </c>
      <c r="H160" s="52">
        <v>181</v>
      </c>
      <c r="I160" s="52">
        <v>264</v>
      </c>
      <c r="J160" s="52">
        <v>372</v>
      </c>
      <c r="K160" s="52">
        <v>151</v>
      </c>
      <c r="L160" s="52">
        <v>178</v>
      </c>
      <c r="M160" s="52">
        <v>265</v>
      </c>
      <c r="N160" s="52">
        <v>132</v>
      </c>
      <c r="O160" s="52">
        <v>150</v>
      </c>
      <c r="P160" s="52">
        <v>202</v>
      </c>
      <c r="Q160" s="52">
        <v>160</v>
      </c>
      <c r="R160" s="52"/>
      <c r="S160" s="52"/>
      <c r="T160" s="52"/>
      <c r="V160" s="82">
        <f t="shared" ref="V160" si="228">SUM(F160:T160)</f>
        <v>2730</v>
      </c>
      <c r="W160" s="82">
        <f t="shared" ref="W160" si="229">SUM(F161:T161)</f>
        <v>137464</v>
      </c>
      <c r="X160" s="82">
        <f t="shared" ref="X160" si="230">SUM(F162:T162)</f>
        <v>81472</v>
      </c>
      <c r="Z160" s="82">
        <f t="shared" ref="Z160" si="231">B160-V160</f>
        <v>0</v>
      </c>
      <c r="AA160" s="82">
        <f t="shared" ref="AA160" si="232">C160-W160</f>
        <v>0</v>
      </c>
      <c r="AB160" s="82">
        <f t="shared" ref="AB160" si="233">D160-X160</f>
        <v>0</v>
      </c>
    </row>
    <row r="161" spans="1:28" x14ac:dyDescent="0.4">
      <c r="A161" s="53" t="s">
        <v>158</v>
      </c>
      <c r="B161" s="54"/>
      <c r="C161" s="54"/>
      <c r="D161" s="54"/>
      <c r="E161" s="54"/>
      <c r="F161" s="54">
        <v>20811</v>
      </c>
      <c r="G161" s="54">
        <v>13756</v>
      </c>
      <c r="H161" s="54">
        <v>6914</v>
      </c>
      <c r="I161" s="54">
        <v>14969</v>
      </c>
      <c r="J161" s="54">
        <v>17420</v>
      </c>
      <c r="K161" s="54">
        <v>7619</v>
      </c>
      <c r="L161" s="54">
        <v>8237</v>
      </c>
      <c r="M161" s="54">
        <v>13475</v>
      </c>
      <c r="N161" s="54">
        <v>6325</v>
      </c>
      <c r="O161" s="54">
        <v>9150</v>
      </c>
      <c r="P161" s="54">
        <v>10578</v>
      </c>
      <c r="Q161" s="54">
        <v>8210</v>
      </c>
      <c r="R161" s="54"/>
      <c r="S161" s="54"/>
      <c r="T161" s="54"/>
    </row>
    <row r="162" spans="1:28" x14ac:dyDescent="0.4">
      <c r="A162" s="53" t="s">
        <v>159</v>
      </c>
      <c r="B162" s="54"/>
      <c r="C162" s="54"/>
      <c r="D162" s="54"/>
      <c r="E162" s="54"/>
      <c r="F162" s="54">
        <v>11799</v>
      </c>
      <c r="G162" s="54">
        <v>8650</v>
      </c>
      <c r="H162" s="54">
        <v>4298</v>
      </c>
      <c r="I162" s="54">
        <v>8751</v>
      </c>
      <c r="J162" s="54">
        <v>9881</v>
      </c>
      <c r="K162" s="54">
        <v>4915</v>
      </c>
      <c r="L162" s="54">
        <v>5474</v>
      </c>
      <c r="M162" s="54">
        <v>8080</v>
      </c>
      <c r="N162" s="54">
        <v>4505</v>
      </c>
      <c r="O162" s="54">
        <v>4442</v>
      </c>
      <c r="P162" s="54">
        <v>5422</v>
      </c>
      <c r="Q162" s="54">
        <v>5255</v>
      </c>
      <c r="R162" s="54"/>
      <c r="S162" s="54"/>
      <c r="T162" s="54"/>
    </row>
    <row r="163" spans="1:28" x14ac:dyDescent="0.4">
      <c r="A163" s="51" t="s">
        <v>160</v>
      </c>
      <c r="B163" s="52">
        <v>1782</v>
      </c>
      <c r="C163" s="52">
        <v>81758</v>
      </c>
      <c r="D163" s="52">
        <v>56822</v>
      </c>
      <c r="E163" s="52"/>
      <c r="F163" s="52">
        <v>160</v>
      </c>
      <c r="G163" s="52">
        <v>234</v>
      </c>
      <c r="H163" s="52">
        <v>148</v>
      </c>
      <c r="I163" s="52">
        <v>167</v>
      </c>
      <c r="J163" s="52">
        <v>112</v>
      </c>
      <c r="K163" s="52">
        <v>133</v>
      </c>
      <c r="L163" s="52">
        <v>137</v>
      </c>
      <c r="M163" s="52">
        <v>125</v>
      </c>
      <c r="N163" s="52">
        <v>118</v>
      </c>
      <c r="O163" s="52">
        <v>135</v>
      </c>
      <c r="P163" s="52">
        <v>153</v>
      </c>
      <c r="Q163" s="52">
        <v>161</v>
      </c>
      <c r="R163" s="52"/>
      <c r="S163" s="52"/>
      <c r="T163" s="52"/>
      <c r="V163" s="82">
        <f t="shared" ref="V163" si="234">SUM(F163:T163)</f>
        <v>1783</v>
      </c>
      <c r="W163" s="82">
        <f t="shared" ref="W163" si="235">SUM(F164:T164)</f>
        <v>81758</v>
      </c>
      <c r="X163" s="82">
        <f t="shared" ref="X163" si="236">SUM(F165:T165)</f>
        <v>56822</v>
      </c>
      <c r="Z163" s="82">
        <f t="shared" ref="Z163" si="237">B163-V163</f>
        <v>-1</v>
      </c>
      <c r="AA163" s="82">
        <f t="shared" ref="AA163" si="238">C163-W163</f>
        <v>0</v>
      </c>
      <c r="AB163" s="82">
        <f t="shared" ref="AB163" si="239">D163-X163</f>
        <v>0</v>
      </c>
    </row>
    <row r="164" spans="1:28" x14ac:dyDescent="0.4">
      <c r="A164" s="53" t="s">
        <v>161</v>
      </c>
      <c r="B164" s="54"/>
      <c r="C164" s="54"/>
      <c r="D164" s="54"/>
      <c r="E164" s="54"/>
      <c r="F164" s="54">
        <v>7355</v>
      </c>
      <c r="G164" s="54">
        <v>12175</v>
      </c>
      <c r="H164" s="54">
        <v>6367</v>
      </c>
      <c r="I164" s="54">
        <v>7439</v>
      </c>
      <c r="J164" s="54">
        <v>4705</v>
      </c>
      <c r="K164" s="54">
        <v>5535</v>
      </c>
      <c r="L164" s="54">
        <v>5691</v>
      </c>
      <c r="M164" s="54">
        <v>5797</v>
      </c>
      <c r="N164" s="54">
        <v>6169</v>
      </c>
      <c r="O164" s="54">
        <v>6997</v>
      </c>
      <c r="P164" s="54">
        <v>6917</v>
      </c>
      <c r="Q164" s="54">
        <v>6611</v>
      </c>
      <c r="R164" s="54"/>
      <c r="S164" s="54"/>
      <c r="T164" s="54"/>
    </row>
    <row r="165" spans="1:28" x14ac:dyDescent="0.4">
      <c r="A165" s="53" t="s">
        <v>162</v>
      </c>
      <c r="B165" s="54"/>
      <c r="C165" s="54"/>
      <c r="D165" s="54"/>
      <c r="E165" s="54"/>
      <c r="F165" s="54">
        <v>5262</v>
      </c>
      <c r="G165" s="54">
        <v>7857</v>
      </c>
      <c r="H165" s="54">
        <v>4476</v>
      </c>
      <c r="I165" s="54">
        <v>4669</v>
      </c>
      <c r="J165" s="54">
        <v>3529</v>
      </c>
      <c r="K165" s="54">
        <v>4033</v>
      </c>
      <c r="L165" s="54">
        <v>3995</v>
      </c>
      <c r="M165" s="54">
        <v>4176</v>
      </c>
      <c r="N165" s="54">
        <v>4665</v>
      </c>
      <c r="O165" s="54">
        <v>5111</v>
      </c>
      <c r="P165" s="54">
        <v>4602</v>
      </c>
      <c r="Q165" s="54">
        <v>4447</v>
      </c>
      <c r="R165" s="54"/>
      <c r="S165" s="54"/>
      <c r="T165" s="54"/>
    </row>
    <row r="166" spans="1:28" x14ac:dyDescent="0.4">
      <c r="A166" s="51" t="s">
        <v>163</v>
      </c>
      <c r="B166" s="52">
        <v>1446</v>
      </c>
      <c r="C166" s="52">
        <v>73483</v>
      </c>
      <c r="D166" s="52">
        <v>50229</v>
      </c>
      <c r="E166" s="52"/>
      <c r="F166" s="52">
        <v>163</v>
      </c>
      <c r="G166" s="52">
        <v>90</v>
      </c>
      <c r="H166" s="52">
        <v>165</v>
      </c>
      <c r="I166" s="52">
        <v>84</v>
      </c>
      <c r="J166" s="52">
        <v>121</v>
      </c>
      <c r="K166" s="52">
        <v>123</v>
      </c>
      <c r="L166" s="52">
        <v>164</v>
      </c>
      <c r="M166" s="52">
        <v>80</v>
      </c>
      <c r="N166" s="52">
        <v>102</v>
      </c>
      <c r="O166" s="52">
        <v>142</v>
      </c>
      <c r="P166" s="52">
        <v>103</v>
      </c>
      <c r="Q166" s="52">
        <v>110</v>
      </c>
      <c r="R166" s="52"/>
      <c r="S166" s="52"/>
      <c r="T166" s="52"/>
      <c r="V166" s="82">
        <f t="shared" ref="V166" si="240">SUM(F166:T166)</f>
        <v>1447</v>
      </c>
      <c r="W166" s="82">
        <f t="shared" ref="W166" si="241">SUM(F167:T167)</f>
        <v>73483</v>
      </c>
      <c r="X166" s="82">
        <f t="shared" ref="X166" si="242">SUM(F168:T168)</f>
        <v>50229</v>
      </c>
      <c r="Z166" s="82">
        <f t="shared" ref="Z166" si="243">B166-V166</f>
        <v>-1</v>
      </c>
      <c r="AA166" s="82">
        <f t="shared" ref="AA166" si="244">C166-W166</f>
        <v>0</v>
      </c>
      <c r="AB166" s="82">
        <f t="shared" ref="AB166" si="245">D166-X166</f>
        <v>0</v>
      </c>
    </row>
    <row r="167" spans="1:28" x14ac:dyDescent="0.4">
      <c r="A167" s="53" t="s">
        <v>164</v>
      </c>
      <c r="B167" s="54"/>
      <c r="C167" s="54"/>
      <c r="D167" s="54"/>
      <c r="E167" s="54"/>
      <c r="F167" s="54">
        <v>8028</v>
      </c>
      <c r="G167" s="54">
        <v>3946</v>
      </c>
      <c r="H167" s="54">
        <v>9125</v>
      </c>
      <c r="I167" s="54">
        <v>3612</v>
      </c>
      <c r="J167" s="54">
        <v>5800</v>
      </c>
      <c r="K167" s="54">
        <v>6478</v>
      </c>
      <c r="L167" s="54">
        <v>9020</v>
      </c>
      <c r="M167" s="54">
        <v>3702</v>
      </c>
      <c r="N167" s="54">
        <v>5527</v>
      </c>
      <c r="O167" s="54">
        <v>7751</v>
      </c>
      <c r="P167" s="54">
        <v>4652</v>
      </c>
      <c r="Q167" s="54">
        <v>5842</v>
      </c>
      <c r="R167" s="54"/>
      <c r="S167" s="54"/>
      <c r="T167" s="54"/>
    </row>
    <row r="168" spans="1:28" x14ac:dyDescent="0.4">
      <c r="A168" s="53" t="s">
        <v>165</v>
      </c>
      <c r="B168" s="54"/>
      <c r="C168" s="54"/>
      <c r="D168" s="54"/>
      <c r="E168" s="54"/>
      <c r="F168" s="54">
        <v>5363</v>
      </c>
      <c r="G168" s="54">
        <v>2640</v>
      </c>
      <c r="H168" s="54">
        <v>6177</v>
      </c>
      <c r="I168" s="54">
        <v>2494</v>
      </c>
      <c r="J168" s="54">
        <v>3681</v>
      </c>
      <c r="K168" s="54">
        <v>4079</v>
      </c>
      <c r="L168" s="54">
        <v>6859</v>
      </c>
      <c r="M168" s="54">
        <v>3057</v>
      </c>
      <c r="N168" s="54">
        <v>3638</v>
      </c>
      <c r="O168" s="54">
        <v>4968</v>
      </c>
      <c r="P168" s="54">
        <v>2892</v>
      </c>
      <c r="Q168" s="54">
        <v>4381</v>
      </c>
      <c r="R168" s="54"/>
      <c r="S168" s="54"/>
      <c r="T168" s="54"/>
    </row>
    <row r="169" spans="1:28" x14ac:dyDescent="0.4">
      <c r="A169" s="51" t="s">
        <v>166</v>
      </c>
      <c r="B169" s="55">
        <v>1942</v>
      </c>
      <c r="C169" s="55">
        <v>88719</v>
      </c>
      <c r="D169" s="55">
        <v>64553</v>
      </c>
      <c r="E169" s="52"/>
      <c r="F169" s="55">
        <v>313</v>
      </c>
      <c r="G169" s="55">
        <v>373</v>
      </c>
      <c r="H169" s="55">
        <v>438</v>
      </c>
      <c r="I169" s="55">
        <v>163</v>
      </c>
      <c r="J169" s="55">
        <v>357</v>
      </c>
      <c r="K169" s="55">
        <v>300</v>
      </c>
      <c r="L169" s="52"/>
      <c r="M169" s="52"/>
      <c r="N169" s="52"/>
      <c r="O169" s="52"/>
      <c r="P169" s="52"/>
      <c r="Q169" s="52"/>
      <c r="R169" s="52"/>
      <c r="S169" s="52"/>
      <c r="T169" s="52"/>
      <c r="V169" s="82">
        <f t="shared" ref="V169" si="246">SUM(F169:T169)</f>
        <v>1944</v>
      </c>
      <c r="W169" s="82">
        <f t="shared" ref="W169" si="247">SUM(F170:T170)</f>
        <v>88719</v>
      </c>
      <c r="X169" s="82">
        <f t="shared" ref="X169" si="248">SUM(F171:T171)</f>
        <v>64553</v>
      </c>
      <c r="Z169" s="82">
        <f t="shared" ref="Z169" si="249">B169-V169</f>
        <v>-2</v>
      </c>
      <c r="AA169" s="82">
        <f t="shared" ref="AA169" si="250">C169-W169</f>
        <v>0</v>
      </c>
      <c r="AB169" s="82">
        <f t="shared" ref="AB169" si="251">D169-X169</f>
        <v>0</v>
      </c>
    </row>
    <row r="170" spans="1:28" x14ac:dyDescent="0.4">
      <c r="A170" s="53" t="s">
        <v>167</v>
      </c>
      <c r="B170" s="54"/>
      <c r="C170" s="54"/>
      <c r="D170" s="54"/>
      <c r="E170" s="54"/>
      <c r="F170" s="56">
        <v>15321</v>
      </c>
      <c r="G170" s="56">
        <v>15045</v>
      </c>
      <c r="H170" s="56">
        <v>20715</v>
      </c>
      <c r="I170" s="56">
        <v>8676</v>
      </c>
      <c r="J170" s="56">
        <v>16242</v>
      </c>
      <c r="K170" s="56">
        <v>12720</v>
      </c>
      <c r="L170" s="54"/>
      <c r="M170" s="54"/>
      <c r="N170" s="54"/>
      <c r="O170" s="54"/>
      <c r="P170" s="54"/>
      <c r="Q170" s="54"/>
      <c r="R170" s="54"/>
      <c r="S170" s="54"/>
      <c r="T170" s="54"/>
    </row>
    <row r="171" spans="1:28" x14ac:dyDescent="0.4">
      <c r="A171" s="53" t="s">
        <v>168</v>
      </c>
      <c r="B171" s="54"/>
      <c r="C171" s="54"/>
      <c r="D171" s="54"/>
      <c r="E171" s="54"/>
      <c r="F171" s="56">
        <v>10539</v>
      </c>
      <c r="G171" s="56">
        <v>11575</v>
      </c>
      <c r="H171" s="56">
        <v>16863</v>
      </c>
      <c r="I171" s="56">
        <v>6593</v>
      </c>
      <c r="J171" s="56">
        <v>10850</v>
      </c>
      <c r="K171" s="56">
        <v>8133</v>
      </c>
      <c r="L171" s="54"/>
      <c r="M171" s="54"/>
      <c r="N171" s="54"/>
      <c r="O171" s="54"/>
      <c r="P171" s="54"/>
      <c r="Q171" s="54"/>
      <c r="R171" s="54"/>
      <c r="S171" s="54"/>
      <c r="T171" s="54"/>
    </row>
    <row r="172" spans="1:28" x14ac:dyDescent="0.4">
      <c r="A172" s="51" t="s">
        <v>169</v>
      </c>
      <c r="B172" s="55">
        <v>2322</v>
      </c>
      <c r="C172" s="55">
        <v>106998</v>
      </c>
      <c r="D172" s="55">
        <v>84861</v>
      </c>
      <c r="E172" s="52"/>
      <c r="F172" s="55">
        <v>347</v>
      </c>
      <c r="G172" s="55">
        <v>133</v>
      </c>
      <c r="H172" s="55">
        <v>149</v>
      </c>
      <c r="I172" s="55">
        <v>127</v>
      </c>
      <c r="J172" s="55">
        <v>156</v>
      </c>
      <c r="K172" s="55">
        <v>214</v>
      </c>
      <c r="L172" s="55">
        <v>263</v>
      </c>
      <c r="M172" s="55">
        <v>217</v>
      </c>
      <c r="N172" s="55">
        <v>156</v>
      </c>
      <c r="O172" s="55">
        <v>358</v>
      </c>
      <c r="P172" s="55">
        <v>203</v>
      </c>
      <c r="Q172" s="52"/>
      <c r="R172" s="52"/>
      <c r="S172" s="52"/>
      <c r="T172" s="52"/>
      <c r="V172" s="82">
        <f t="shared" ref="V172" si="252">SUM(F172:T172)</f>
        <v>2323</v>
      </c>
      <c r="W172" s="82">
        <f t="shared" ref="W172" si="253">SUM(F173:T173)</f>
        <v>106998</v>
      </c>
      <c r="X172" s="82">
        <f t="shared" ref="X172" si="254">SUM(F174:T174)</f>
        <v>84861</v>
      </c>
      <c r="Z172" s="82">
        <f t="shared" ref="Z172" si="255">B172-V172</f>
        <v>-1</v>
      </c>
      <c r="AA172" s="82">
        <f t="shared" ref="AA172" si="256">C172-W172</f>
        <v>0</v>
      </c>
      <c r="AB172" s="82">
        <f t="shared" ref="AB172" si="257">D172-X172</f>
        <v>0</v>
      </c>
    </row>
    <row r="173" spans="1:28" x14ac:dyDescent="0.4">
      <c r="A173" s="53" t="s">
        <v>170</v>
      </c>
      <c r="B173" s="54"/>
      <c r="C173" s="54"/>
      <c r="D173" s="54"/>
      <c r="E173" s="54"/>
      <c r="F173" s="56">
        <v>13065</v>
      </c>
      <c r="G173" s="56">
        <v>6877</v>
      </c>
      <c r="H173" s="56">
        <v>7690</v>
      </c>
      <c r="I173" s="56">
        <v>6279</v>
      </c>
      <c r="J173" s="56">
        <v>8091</v>
      </c>
      <c r="K173" s="56">
        <v>9328</v>
      </c>
      <c r="L173" s="56">
        <v>11030</v>
      </c>
      <c r="M173" s="56">
        <v>8519</v>
      </c>
      <c r="N173" s="56">
        <v>9014</v>
      </c>
      <c r="O173" s="56">
        <v>16458</v>
      </c>
      <c r="P173" s="56">
        <v>10647</v>
      </c>
      <c r="Q173" s="54"/>
      <c r="R173" s="54"/>
      <c r="S173" s="54"/>
      <c r="T173" s="54"/>
    </row>
    <row r="174" spans="1:28" x14ac:dyDescent="0.4">
      <c r="A174" s="53" t="s">
        <v>171</v>
      </c>
      <c r="B174" s="54"/>
      <c r="C174" s="54"/>
      <c r="D174" s="54"/>
      <c r="E174" s="54"/>
      <c r="F174" s="56">
        <v>8783</v>
      </c>
      <c r="G174" s="56">
        <v>4878</v>
      </c>
      <c r="H174" s="56">
        <v>3994</v>
      </c>
      <c r="I174" s="56">
        <v>3270</v>
      </c>
      <c r="J174" s="56">
        <v>5848</v>
      </c>
      <c r="K174" s="56">
        <v>7032</v>
      </c>
      <c r="L174" s="56">
        <v>8742</v>
      </c>
      <c r="M174" s="56">
        <v>10510</v>
      </c>
      <c r="N174" s="56">
        <v>6154</v>
      </c>
      <c r="O174" s="56">
        <v>19174</v>
      </c>
      <c r="P174" s="56">
        <v>6476</v>
      </c>
      <c r="Q174" s="54"/>
      <c r="R174" s="54"/>
      <c r="S174" s="54"/>
      <c r="T174" s="54"/>
    </row>
    <row r="175" spans="1:28" x14ac:dyDescent="0.4">
      <c r="A175" s="51" t="s">
        <v>172</v>
      </c>
      <c r="B175" s="55">
        <v>1763</v>
      </c>
      <c r="C175" s="55">
        <v>90146</v>
      </c>
      <c r="D175" s="55">
        <v>55372</v>
      </c>
      <c r="E175" s="52"/>
      <c r="F175" s="55">
        <v>370</v>
      </c>
      <c r="G175" s="55">
        <v>334</v>
      </c>
      <c r="H175" s="55">
        <v>197</v>
      </c>
      <c r="I175" s="55">
        <v>482</v>
      </c>
      <c r="J175" s="55">
        <v>175</v>
      </c>
      <c r="K175" s="55">
        <v>204</v>
      </c>
      <c r="L175" s="52"/>
      <c r="M175" s="52"/>
      <c r="N175" s="52"/>
      <c r="O175" s="52"/>
      <c r="P175" s="52"/>
      <c r="Q175" s="52"/>
      <c r="R175" s="52"/>
      <c r="S175" s="52"/>
      <c r="T175" s="52"/>
      <c r="V175" s="82">
        <f t="shared" ref="V175" si="258">SUM(F175:T175)</f>
        <v>1762</v>
      </c>
      <c r="W175" s="82">
        <f t="shared" ref="W175" si="259">SUM(F176:T176)</f>
        <v>90146</v>
      </c>
      <c r="X175" s="82">
        <f t="shared" ref="X175" si="260">SUM(F177:T177)</f>
        <v>55372</v>
      </c>
      <c r="Z175" s="82">
        <f t="shared" ref="Z175" si="261">B175-V175</f>
        <v>1</v>
      </c>
      <c r="AA175" s="82">
        <f t="shared" ref="AA175" si="262">C175-W175</f>
        <v>0</v>
      </c>
      <c r="AB175" s="82">
        <f t="shared" ref="AB175" si="263">D175-X175</f>
        <v>0</v>
      </c>
    </row>
    <row r="176" spans="1:28" x14ac:dyDescent="0.4">
      <c r="A176" s="53" t="s">
        <v>173</v>
      </c>
      <c r="B176" s="54"/>
      <c r="C176" s="54"/>
      <c r="D176" s="54"/>
      <c r="E176" s="54"/>
      <c r="F176" s="56">
        <v>20852</v>
      </c>
      <c r="G176" s="56">
        <v>16740</v>
      </c>
      <c r="H176" s="56">
        <v>10794</v>
      </c>
      <c r="I176" s="56">
        <v>21576</v>
      </c>
      <c r="J176" s="56">
        <v>10136</v>
      </c>
      <c r="K176" s="56">
        <v>10048</v>
      </c>
      <c r="L176" s="54"/>
      <c r="M176" s="54"/>
      <c r="N176" s="54"/>
      <c r="O176" s="54"/>
      <c r="P176" s="54"/>
      <c r="Q176" s="54"/>
      <c r="R176" s="54"/>
      <c r="S176" s="54"/>
      <c r="T176" s="54"/>
    </row>
    <row r="177" spans="1:33" x14ac:dyDescent="0.4">
      <c r="A177" s="53" t="s">
        <v>174</v>
      </c>
      <c r="B177" s="54"/>
      <c r="C177" s="54"/>
      <c r="D177" s="54"/>
      <c r="E177" s="54"/>
      <c r="F177" s="56">
        <v>13384</v>
      </c>
      <c r="G177" s="56">
        <v>9848</v>
      </c>
      <c r="H177" s="56">
        <v>5971</v>
      </c>
      <c r="I177" s="56">
        <v>14165</v>
      </c>
      <c r="J177" s="56">
        <v>5878</v>
      </c>
      <c r="K177" s="56">
        <v>6126</v>
      </c>
      <c r="L177" s="54"/>
      <c r="M177" s="54"/>
      <c r="N177" s="54"/>
      <c r="O177" s="54"/>
      <c r="P177" s="54"/>
      <c r="Q177" s="54"/>
      <c r="R177" s="54"/>
      <c r="S177" s="54"/>
      <c r="T177" s="54"/>
    </row>
    <row r="178" spans="1:33" x14ac:dyDescent="0.4">
      <c r="A178" s="51" t="s">
        <v>175</v>
      </c>
      <c r="B178" s="55">
        <v>80</v>
      </c>
      <c r="C178" s="55">
        <v>3261</v>
      </c>
      <c r="D178" s="55">
        <v>2780</v>
      </c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V178" s="82">
        <f t="shared" ref="V178:X179" si="264">B178</f>
        <v>80</v>
      </c>
      <c r="W178" s="82">
        <f t="shared" si="264"/>
        <v>3261</v>
      </c>
      <c r="X178" s="82">
        <f t="shared" si="264"/>
        <v>2780</v>
      </c>
    </row>
    <row r="179" spans="1:33" x14ac:dyDescent="0.4">
      <c r="A179" s="51" t="s">
        <v>176</v>
      </c>
      <c r="B179" s="55">
        <v>284</v>
      </c>
      <c r="C179" s="55">
        <v>10331</v>
      </c>
      <c r="D179" s="55">
        <v>7270</v>
      </c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V179" s="82">
        <f t="shared" si="264"/>
        <v>284</v>
      </c>
      <c r="W179" s="82">
        <f t="shared" si="264"/>
        <v>10331</v>
      </c>
      <c r="X179" s="82">
        <f t="shared" si="264"/>
        <v>7270</v>
      </c>
    </row>
    <row r="180" spans="1:33" x14ac:dyDescent="0.4">
      <c r="A180" s="51" t="s">
        <v>177</v>
      </c>
      <c r="B180" s="55">
        <v>2110</v>
      </c>
      <c r="C180" s="55">
        <v>103038</v>
      </c>
      <c r="D180" s="55">
        <v>68107</v>
      </c>
      <c r="E180" s="52"/>
      <c r="F180" s="55">
        <v>154</v>
      </c>
      <c r="G180" s="55">
        <v>133</v>
      </c>
      <c r="H180" s="55">
        <v>129</v>
      </c>
      <c r="I180" s="55">
        <v>131</v>
      </c>
      <c r="J180" s="55">
        <v>124</v>
      </c>
      <c r="K180" s="55">
        <v>144</v>
      </c>
      <c r="L180" s="55">
        <v>117</v>
      </c>
      <c r="M180" s="55">
        <v>127</v>
      </c>
      <c r="N180" s="55">
        <v>126</v>
      </c>
      <c r="O180" s="55">
        <v>164</v>
      </c>
      <c r="P180" s="55">
        <v>163</v>
      </c>
      <c r="Q180" s="55">
        <v>123</v>
      </c>
      <c r="R180" s="55">
        <v>146</v>
      </c>
      <c r="S180" s="55">
        <v>163</v>
      </c>
      <c r="T180" s="55">
        <v>166</v>
      </c>
      <c r="V180" s="82">
        <f t="shared" ref="V180" si="265">SUM(F180:T180)</f>
        <v>2110</v>
      </c>
      <c r="W180" s="82">
        <f t="shared" ref="W180" si="266">SUM(F181:T181)</f>
        <v>103038</v>
      </c>
      <c r="X180" s="82">
        <f t="shared" ref="X180" si="267">SUM(F182:T182)</f>
        <v>68107</v>
      </c>
      <c r="Z180" s="82">
        <f t="shared" ref="Z180" si="268">B180-V180</f>
        <v>0</v>
      </c>
      <c r="AA180" s="82">
        <f t="shared" ref="AA180" si="269">C180-W180</f>
        <v>0</v>
      </c>
      <c r="AB180" s="82">
        <f t="shared" ref="AB180" si="270">D180-X180</f>
        <v>0</v>
      </c>
    </row>
    <row r="181" spans="1:33" x14ac:dyDescent="0.4">
      <c r="A181" s="53" t="s">
        <v>178</v>
      </c>
      <c r="B181" s="54"/>
      <c r="C181" s="54"/>
      <c r="D181" s="54"/>
      <c r="E181" s="54"/>
      <c r="F181" s="56">
        <v>6960</v>
      </c>
      <c r="G181" s="56">
        <v>7275</v>
      </c>
      <c r="H181" s="56">
        <v>6026</v>
      </c>
      <c r="I181" s="56">
        <v>6672</v>
      </c>
      <c r="J181" s="56">
        <v>6405</v>
      </c>
      <c r="K181" s="56">
        <v>6991</v>
      </c>
      <c r="L181" s="56">
        <v>6079</v>
      </c>
      <c r="M181" s="56">
        <v>5818</v>
      </c>
      <c r="N181" s="56">
        <v>6491</v>
      </c>
      <c r="O181" s="56">
        <v>7536</v>
      </c>
      <c r="P181" s="56">
        <v>7853</v>
      </c>
      <c r="Q181" s="56">
        <v>6889</v>
      </c>
      <c r="R181" s="56">
        <v>7294</v>
      </c>
      <c r="S181" s="56">
        <v>6420</v>
      </c>
      <c r="T181" s="56">
        <v>8329</v>
      </c>
    </row>
    <row r="182" spans="1:33" x14ac:dyDescent="0.4">
      <c r="A182" s="53" t="s">
        <v>179</v>
      </c>
      <c r="B182" s="54"/>
      <c r="C182" s="54"/>
      <c r="D182" s="54"/>
      <c r="E182" s="54"/>
      <c r="F182" s="56">
        <v>4776</v>
      </c>
      <c r="G182" s="56">
        <v>4436</v>
      </c>
      <c r="H182" s="56">
        <v>3834</v>
      </c>
      <c r="I182" s="56">
        <v>4802</v>
      </c>
      <c r="J182" s="56">
        <v>4134</v>
      </c>
      <c r="K182" s="56">
        <v>4052</v>
      </c>
      <c r="L182" s="56">
        <v>3483</v>
      </c>
      <c r="M182" s="56">
        <v>4625</v>
      </c>
      <c r="N182" s="56">
        <v>4076</v>
      </c>
      <c r="O182" s="56">
        <v>5061</v>
      </c>
      <c r="P182" s="56">
        <v>5064</v>
      </c>
      <c r="Q182" s="56">
        <v>4526</v>
      </c>
      <c r="R182" s="56">
        <v>4573</v>
      </c>
      <c r="S182" s="56">
        <v>5028</v>
      </c>
      <c r="T182" s="56">
        <v>5637</v>
      </c>
    </row>
    <row r="183" spans="1:33" x14ac:dyDescent="0.4">
      <c r="A183" s="51" t="s">
        <v>180</v>
      </c>
      <c r="B183" s="55">
        <v>1127</v>
      </c>
      <c r="C183" s="55">
        <v>44760</v>
      </c>
      <c r="D183" s="55">
        <v>32972</v>
      </c>
      <c r="E183" s="52"/>
      <c r="F183" s="57" t="s">
        <v>10</v>
      </c>
      <c r="G183" s="57" t="s">
        <v>10</v>
      </c>
      <c r="H183" s="57" t="s">
        <v>10</v>
      </c>
      <c r="I183" s="57" t="s">
        <v>10</v>
      </c>
      <c r="J183" s="57" t="s">
        <v>10</v>
      </c>
      <c r="K183" s="57" t="s">
        <v>10</v>
      </c>
      <c r="L183" s="57" t="s">
        <v>10</v>
      </c>
      <c r="M183" s="57" t="s">
        <v>10</v>
      </c>
      <c r="N183" s="57" t="s">
        <v>10</v>
      </c>
      <c r="O183" s="57" t="s">
        <v>10</v>
      </c>
      <c r="P183" s="52"/>
      <c r="Q183" s="52"/>
      <c r="R183" s="52"/>
      <c r="S183" s="52"/>
      <c r="T183" s="52"/>
      <c r="V183" s="82">
        <f>B183</f>
        <v>1127</v>
      </c>
      <c r="W183" s="82">
        <f>C183</f>
        <v>44760</v>
      </c>
      <c r="X183" s="82">
        <f>D183</f>
        <v>32972</v>
      </c>
    </row>
    <row r="184" spans="1:33" x14ac:dyDescent="0.4">
      <c r="A184" s="53" t="s">
        <v>181</v>
      </c>
      <c r="B184" s="54"/>
      <c r="C184" s="54"/>
      <c r="D184" s="54"/>
      <c r="E184" s="54"/>
      <c r="F184" s="58" t="s">
        <v>10</v>
      </c>
      <c r="G184" s="58" t="s">
        <v>10</v>
      </c>
      <c r="H184" s="58" t="s">
        <v>10</v>
      </c>
      <c r="I184" s="58" t="s">
        <v>10</v>
      </c>
      <c r="J184" s="58" t="s">
        <v>10</v>
      </c>
      <c r="K184" s="58" t="s">
        <v>10</v>
      </c>
      <c r="L184" s="58" t="s">
        <v>10</v>
      </c>
      <c r="M184" s="58" t="s">
        <v>10</v>
      </c>
      <c r="N184" s="58" t="s">
        <v>10</v>
      </c>
      <c r="O184" s="58" t="s">
        <v>10</v>
      </c>
      <c r="P184" s="54"/>
      <c r="Q184" s="54"/>
      <c r="R184" s="54"/>
      <c r="S184" s="54"/>
      <c r="T184" s="54"/>
    </row>
    <row r="185" spans="1:33" x14ac:dyDescent="0.4">
      <c r="A185" s="53" t="s">
        <v>182</v>
      </c>
      <c r="B185" s="54"/>
      <c r="C185" s="54"/>
      <c r="D185" s="54"/>
      <c r="E185" s="54"/>
      <c r="F185" s="58" t="s">
        <v>10</v>
      </c>
      <c r="G185" s="58" t="s">
        <v>10</v>
      </c>
      <c r="H185" s="58" t="s">
        <v>10</v>
      </c>
      <c r="I185" s="58" t="s">
        <v>10</v>
      </c>
      <c r="J185" s="58" t="s">
        <v>10</v>
      </c>
      <c r="K185" s="58" t="s">
        <v>10</v>
      </c>
      <c r="L185" s="58" t="s">
        <v>10</v>
      </c>
      <c r="M185" s="58" t="s">
        <v>10</v>
      </c>
      <c r="N185" s="58" t="s">
        <v>10</v>
      </c>
      <c r="O185" s="58" t="s">
        <v>10</v>
      </c>
      <c r="P185" s="54"/>
      <c r="Q185" s="54"/>
      <c r="R185" s="54"/>
      <c r="S185" s="54"/>
      <c r="T185" s="54"/>
    </row>
    <row r="186" spans="1:33" x14ac:dyDescent="0.4">
      <c r="A186" s="59" t="s">
        <v>183</v>
      </c>
      <c r="B186" s="60">
        <v>61992</v>
      </c>
      <c r="C186" s="60">
        <v>3034463</v>
      </c>
      <c r="D186" s="60">
        <v>2102507</v>
      </c>
      <c r="E186" s="61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78"/>
      <c r="S186" s="78"/>
      <c r="T186" s="78"/>
      <c r="U186" s="84"/>
      <c r="V186" s="85">
        <f>SUM(V80:V185)</f>
        <v>61965</v>
      </c>
      <c r="W186" s="85">
        <f>SUM(W80:W185)</f>
        <v>3032666</v>
      </c>
      <c r="X186" s="85">
        <f>SUM(X80:X185)</f>
        <v>2102477</v>
      </c>
      <c r="Y186" s="84"/>
      <c r="Z186" s="85">
        <f>V186-B186</f>
        <v>-27</v>
      </c>
      <c r="AA186" s="85">
        <f>W186-C186</f>
        <v>-1797</v>
      </c>
      <c r="AB186" s="85">
        <f>X186-D186</f>
        <v>-30</v>
      </c>
      <c r="AC186" s="84"/>
      <c r="AD186" s="84"/>
      <c r="AE186" s="84"/>
      <c r="AF186" s="84"/>
      <c r="AG186" s="84"/>
    </row>
    <row r="187" spans="1:33" x14ac:dyDescent="0.4">
      <c r="A187" s="51" t="s">
        <v>184</v>
      </c>
      <c r="B187" s="55">
        <v>1613</v>
      </c>
      <c r="C187" s="55">
        <v>82284</v>
      </c>
      <c r="D187" s="55">
        <v>65311</v>
      </c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V187" s="82">
        <f>B187</f>
        <v>1613</v>
      </c>
      <c r="W187" s="82">
        <f>C187</f>
        <v>82284</v>
      </c>
      <c r="X187" s="82">
        <f>D187</f>
        <v>65311</v>
      </c>
    </row>
    <row r="188" spans="1:33" x14ac:dyDescent="0.4">
      <c r="A188" s="59" t="s">
        <v>185</v>
      </c>
      <c r="B188" s="60">
        <v>92822</v>
      </c>
      <c r="C188" s="60">
        <v>4570998</v>
      </c>
      <c r="D188" s="60">
        <v>2943131</v>
      </c>
      <c r="E188" s="61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78"/>
      <c r="S188" s="78"/>
      <c r="T188" s="78"/>
      <c r="U188" s="84"/>
      <c r="V188" s="85">
        <f>V38 + V79 + V186 + V187</f>
        <v>92819</v>
      </c>
      <c r="W188" s="85">
        <f>W38 + W79 + W186 + W187</f>
        <v>4369199</v>
      </c>
      <c r="X188" s="85">
        <f>X38 + X79 + X186 + X187</f>
        <v>2941325</v>
      </c>
      <c r="Y188" s="84"/>
      <c r="Z188" s="85">
        <f>V188-B188</f>
        <v>-3</v>
      </c>
      <c r="AA188" s="85">
        <f>W188-C188</f>
        <v>-201799</v>
      </c>
      <c r="AB188" s="85">
        <f>X188-D188</f>
        <v>-1806</v>
      </c>
      <c r="AC188" s="84"/>
      <c r="AD188" s="84"/>
      <c r="AE188" s="84"/>
      <c r="AF188" s="84"/>
      <c r="AG188" s="84"/>
    </row>
    <row r="189" spans="1:33" x14ac:dyDescent="0.4">
      <c r="A189" s="51" t="s">
        <v>186</v>
      </c>
      <c r="B189" s="55">
        <v>745</v>
      </c>
      <c r="C189" s="55">
        <v>17399</v>
      </c>
      <c r="D189" s="55">
        <v>11940</v>
      </c>
      <c r="E189" s="52"/>
      <c r="F189" s="55">
        <v>131</v>
      </c>
      <c r="G189" s="55">
        <v>98</v>
      </c>
      <c r="H189" s="55">
        <v>92</v>
      </c>
      <c r="I189" s="55">
        <v>173</v>
      </c>
      <c r="J189" s="55">
        <v>101</v>
      </c>
      <c r="K189" s="55">
        <v>148</v>
      </c>
      <c r="L189" s="52"/>
      <c r="M189" s="52"/>
      <c r="N189" s="52"/>
      <c r="O189" s="52"/>
      <c r="P189" s="52"/>
      <c r="Q189" s="52"/>
      <c r="R189" s="52"/>
      <c r="S189" s="52"/>
      <c r="T189" s="52"/>
      <c r="V189" s="82">
        <f t="shared" ref="V189" si="271">SUM(F189:T189)</f>
        <v>743</v>
      </c>
      <c r="W189" s="82">
        <f t="shared" ref="W189" si="272">SUM(F190:T190)</f>
        <v>17399</v>
      </c>
      <c r="X189" s="82">
        <f t="shared" ref="X189" si="273">SUM(F191:T191)</f>
        <v>11940</v>
      </c>
      <c r="Z189" s="82">
        <f t="shared" ref="Z189" si="274">B189-V189</f>
        <v>2</v>
      </c>
      <c r="AA189" s="82">
        <f t="shared" ref="AA189" si="275">C189-W189</f>
        <v>0</v>
      </c>
      <c r="AB189" s="82">
        <f t="shared" ref="AB189" si="276">D189-X189</f>
        <v>0</v>
      </c>
    </row>
    <row r="190" spans="1:33" x14ac:dyDescent="0.4">
      <c r="A190" s="53" t="s">
        <v>187</v>
      </c>
      <c r="B190" s="54"/>
      <c r="C190" s="54"/>
      <c r="D190" s="54"/>
      <c r="E190" s="54"/>
      <c r="F190" s="56">
        <v>1768</v>
      </c>
      <c r="G190" s="56">
        <v>2165</v>
      </c>
      <c r="H190" s="56">
        <v>2438</v>
      </c>
      <c r="I190" s="56">
        <v>4036</v>
      </c>
      <c r="J190" s="56">
        <v>3643</v>
      </c>
      <c r="K190" s="56">
        <v>3349</v>
      </c>
      <c r="L190" s="54"/>
      <c r="M190" s="54"/>
      <c r="N190" s="54"/>
      <c r="O190" s="54"/>
      <c r="P190" s="54"/>
      <c r="Q190" s="54"/>
      <c r="R190" s="54"/>
      <c r="S190" s="54"/>
      <c r="T190" s="54"/>
    </row>
    <row r="191" spans="1:33" x14ac:dyDescent="0.4">
      <c r="A191" s="53" t="s">
        <v>188</v>
      </c>
      <c r="B191" s="54"/>
      <c r="C191" s="54"/>
      <c r="D191" s="54"/>
      <c r="E191" s="54"/>
      <c r="F191" s="56">
        <v>1474</v>
      </c>
      <c r="G191" s="56">
        <v>1477</v>
      </c>
      <c r="H191" s="56">
        <v>1808</v>
      </c>
      <c r="I191" s="56">
        <v>3267</v>
      </c>
      <c r="J191" s="56">
        <v>2387</v>
      </c>
      <c r="K191" s="56">
        <v>1527</v>
      </c>
      <c r="L191" s="54"/>
      <c r="M191" s="54"/>
      <c r="N191" s="54"/>
      <c r="O191" s="54"/>
      <c r="P191" s="54"/>
      <c r="Q191" s="54"/>
      <c r="R191" s="54"/>
      <c r="S191" s="54"/>
      <c r="T191" s="54"/>
    </row>
    <row r="192" spans="1:33" x14ac:dyDescent="0.4">
      <c r="A192" s="51" t="s">
        <v>189</v>
      </c>
      <c r="B192" s="55">
        <v>597</v>
      </c>
      <c r="C192" s="55">
        <v>13270</v>
      </c>
      <c r="D192" s="55">
        <v>10799</v>
      </c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V192" s="82">
        <f>B192</f>
        <v>597</v>
      </c>
      <c r="W192" s="82">
        <f>C192</f>
        <v>13270</v>
      </c>
      <c r="X192" s="82">
        <f>D192</f>
        <v>10799</v>
      </c>
    </row>
    <row r="193" spans="1:28" x14ac:dyDescent="0.4">
      <c r="A193" s="51" t="s">
        <v>190</v>
      </c>
      <c r="B193" s="55">
        <v>753</v>
      </c>
      <c r="C193" s="55">
        <v>19453</v>
      </c>
      <c r="D193" s="55">
        <v>11949</v>
      </c>
      <c r="E193" s="52"/>
      <c r="F193" s="55">
        <v>154</v>
      </c>
      <c r="G193" s="55">
        <v>54</v>
      </c>
      <c r="H193" s="55">
        <v>49</v>
      </c>
      <c r="I193" s="55">
        <v>56</v>
      </c>
      <c r="J193" s="55">
        <v>127</v>
      </c>
      <c r="K193" s="55">
        <v>88</v>
      </c>
      <c r="L193" s="55">
        <v>91</v>
      </c>
      <c r="M193" s="55">
        <v>134</v>
      </c>
      <c r="N193" s="52"/>
      <c r="O193" s="52"/>
      <c r="P193" s="52"/>
      <c r="Q193" s="52"/>
      <c r="R193" s="52"/>
      <c r="S193" s="52"/>
      <c r="T193" s="52"/>
      <c r="V193" s="82">
        <f t="shared" ref="V193" si="277">SUM(F193:T193)</f>
        <v>753</v>
      </c>
      <c r="W193" s="82">
        <f t="shared" ref="W193" si="278">SUM(F194:T194)</f>
        <v>19453</v>
      </c>
      <c r="X193" s="82">
        <f t="shared" ref="X193" si="279">SUM(F195:T195)</f>
        <v>11949</v>
      </c>
      <c r="Z193" s="82">
        <f t="shared" ref="Z193" si="280">B193-V193</f>
        <v>0</v>
      </c>
      <c r="AA193" s="82">
        <f t="shared" ref="AA193" si="281">C193-W193</f>
        <v>0</v>
      </c>
      <c r="AB193" s="82">
        <f t="shared" ref="AB193" si="282">D193-X193</f>
        <v>0</v>
      </c>
    </row>
    <row r="194" spans="1:28" x14ac:dyDescent="0.4">
      <c r="A194" s="53" t="s">
        <v>191</v>
      </c>
      <c r="B194" s="54"/>
      <c r="C194" s="54"/>
      <c r="D194" s="54"/>
      <c r="E194" s="54"/>
      <c r="F194" s="56">
        <v>3580</v>
      </c>
      <c r="G194" s="56">
        <v>1457</v>
      </c>
      <c r="H194" s="56">
        <v>1772</v>
      </c>
      <c r="I194" s="56">
        <v>1100</v>
      </c>
      <c r="J194" s="56">
        <v>2681</v>
      </c>
      <c r="K194" s="56">
        <v>2946</v>
      </c>
      <c r="L194" s="56">
        <v>2899</v>
      </c>
      <c r="M194" s="56">
        <v>3018</v>
      </c>
      <c r="N194" s="54"/>
      <c r="O194" s="54"/>
      <c r="P194" s="54"/>
      <c r="Q194" s="54"/>
      <c r="R194" s="54"/>
      <c r="S194" s="54"/>
      <c r="T194" s="54"/>
    </row>
    <row r="195" spans="1:28" x14ac:dyDescent="0.4">
      <c r="A195" s="53" t="s">
        <v>192</v>
      </c>
      <c r="B195" s="54"/>
      <c r="C195" s="54"/>
      <c r="D195" s="54"/>
      <c r="E195" s="54"/>
      <c r="F195" s="56">
        <v>2983</v>
      </c>
      <c r="G195" s="56">
        <v>516</v>
      </c>
      <c r="H195" s="56">
        <v>664</v>
      </c>
      <c r="I195" s="56">
        <v>560</v>
      </c>
      <c r="J195" s="56">
        <v>1009</v>
      </c>
      <c r="K195" s="56">
        <v>1670</v>
      </c>
      <c r="L195" s="56">
        <v>2621</v>
      </c>
      <c r="M195" s="56">
        <v>1926</v>
      </c>
      <c r="N195" s="54"/>
      <c r="O195" s="54"/>
      <c r="P195" s="54"/>
      <c r="Q195" s="54"/>
      <c r="R195" s="54"/>
      <c r="S195" s="54"/>
      <c r="T195" s="54"/>
    </row>
    <row r="196" spans="1:28" x14ac:dyDescent="0.4">
      <c r="A196" s="51" t="s">
        <v>193</v>
      </c>
      <c r="B196" s="57" t="s">
        <v>10</v>
      </c>
      <c r="C196" s="57" t="s">
        <v>10</v>
      </c>
      <c r="D196" s="57" t="s">
        <v>10</v>
      </c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V196" s="83" t="str">
        <f t="shared" ref="V196:X197" si="283">B196</f>
        <v>—</v>
      </c>
      <c r="W196" s="83" t="str">
        <f t="shared" si="283"/>
        <v>—</v>
      </c>
      <c r="X196" s="83" t="str">
        <f t="shared" si="283"/>
        <v>—</v>
      </c>
    </row>
    <row r="197" spans="1:28" x14ac:dyDescent="0.4">
      <c r="A197" s="51" t="s">
        <v>251</v>
      </c>
      <c r="B197" s="55">
        <v>1269</v>
      </c>
      <c r="C197" s="55">
        <v>80520</v>
      </c>
      <c r="D197" s="55">
        <v>54888</v>
      </c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V197" s="82">
        <f t="shared" si="283"/>
        <v>1269</v>
      </c>
      <c r="W197" s="82">
        <f t="shared" si="283"/>
        <v>80520</v>
      </c>
      <c r="X197" s="82">
        <f t="shared" si="283"/>
        <v>54888</v>
      </c>
    </row>
    <row r="198" spans="1:28" s="1" customFormat="1" x14ac:dyDescent="0.4">
      <c r="A198" s="51" t="s">
        <v>250</v>
      </c>
      <c r="B198" s="55">
        <v>18</v>
      </c>
      <c r="C198" s="55">
        <v>706</v>
      </c>
      <c r="D198" s="55">
        <v>468</v>
      </c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V198" s="91">
        <f>B198</f>
        <v>18</v>
      </c>
      <c r="W198" s="91">
        <f>C198</f>
        <v>706</v>
      </c>
      <c r="X198" s="91">
        <f>D198</f>
        <v>468</v>
      </c>
    </row>
    <row r="199" spans="1:28" x14ac:dyDescent="0.4">
      <c r="A199" s="62" t="s">
        <v>194</v>
      </c>
      <c r="B199" s="63">
        <v>955</v>
      </c>
      <c r="C199" s="63">
        <v>24147</v>
      </c>
      <c r="D199" s="63">
        <v>9673</v>
      </c>
      <c r="E199" s="64"/>
      <c r="F199" s="63">
        <v>191</v>
      </c>
      <c r="G199" s="63">
        <v>189</v>
      </c>
      <c r="H199" s="63">
        <v>105</v>
      </c>
      <c r="I199" s="63">
        <v>57</v>
      </c>
      <c r="J199" s="64">
        <v>82</v>
      </c>
      <c r="K199" s="64">
        <v>76</v>
      </c>
      <c r="L199" s="64">
        <v>108</v>
      </c>
      <c r="M199" s="64">
        <v>147</v>
      </c>
      <c r="N199" s="64"/>
      <c r="O199" s="64"/>
      <c r="P199" s="64"/>
      <c r="Q199" s="64"/>
      <c r="R199" s="64"/>
      <c r="S199" s="64"/>
      <c r="T199" s="64"/>
      <c r="V199" s="82">
        <f t="shared" ref="V199" si="284">SUM(F199:T199)</f>
        <v>955</v>
      </c>
      <c r="W199" s="82">
        <f t="shared" ref="W199" si="285">SUM(F200:T200)</f>
        <v>23902</v>
      </c>
      <c r="X199" s="82">
        <f t="shared" ref="X199" si="286">SUM(F201:T201)</f>
        <v>9525</v>
      </c>
      <c r="Z199" s="82">
        <f t="shared" ref="Z199" si="287">B199-V199</f>
        <v>0</v>
      </c>
      <c r="AA199" s="82">
        <f t="shared" ref="AA199" si="288">C199-W199</f>
        <v>245</v>
      </c>
      <c r="AB199" s="82">
        <f t="shared" ref="AB199" si="289">D199-X199</f>
        <v>148</v>
      </c>
    </row>
    <row r="200" spans="1:28" x14ac:dyDescent="0.4">
      <c r="A200" s="65" t="s">
        <v>195</v>
      </c>
      <c r="B200" s="66"/>
      <c r="C200" s="66"/>
      <c r="D200" s="66"/>
      <c r="E200" s="54"/>
      <c r="F200" s="12">
        <v>6664</v>
      </c>
      <c r="G200" s="14" t="s">
        <v>10</v>
      </c>
      <c r="H200" s="12">
        <v>2970</v>
      </c>
      <c r="I200" s="12">
        <v>1034</v>
      </c>
      <c r="J200" s="66">
        <v>2733</v>
      </c>
      <c r="K200" s="66">
        <v>2327</v>
      </c>
      <c r="L200" s="66">
        <v>3458</v>
      </c>
      <c r="M200" s="66">
        <v>4716</v>
      </c>
      <c r="N200" s="66"/>
      <c r="O200" s="66"/>
      <c r="P200" s="66"/>
      <c r="Q200" s="66"/>
      <c r="R200" s="66"/>
      <c r="S200" s="66"/>
      <c r="T200" s="66"/>
    </row>
    <row r="201" spans="1:28" x14ac:dyDescent="0.4">
      <c r="A201" s="65" t="s">
        <v>196</v>
      </c>
      <c r="B201" s="66"/>
      <c r="C201" s="66"/>
      <c r="D201" s="66"/>
      <c r="E201" s="54"/>
      <c r="F201" s="12">
        <v>2674</v>
      </c>
      <c r="G201" s="14" t="s">
        <v>10</v>
      </c>
      <c r="H201" s="12">
        <v>1251</v>
      </c>
      <c r="I201" s="12">
        <v>566</v>
      </c>
      <c r="J201" s="66">
        <v>948</v>
      </c>
      <c r="K201" s="66">
        <v>867</v>
      </c>
      <c r="L201" s="66">
        <v>1446</v>
      </c>
      <c r="M201" s="66">
        <v>1773</v>
      </c>
      <c r="N201" s="66"/>
      <c r="O201" s="66"/>
      <c r="P201" s="66"/>
      <c r="Q201" s="66"/>
      <c r="R201" s="66"/>
      <c r="S201" s="66"/>
      <c r="T201" s="66"/>
    </row>
    <row r="202" spans="1:28" x14ac:dyDescent="0.4">
      <c r="A202" s="62" t="s">
        <v>197</v>
      </c>
      <c r="B202" s="64">
        <v>668</v>
      </c>
      <c r="C202" s="64">
        <v>38137</v>
      </c>
      <c r="D202" s="64">
        <v>28726</v>
      </c>
      <c r="E202" s="67"/>
      <c r="F202" s="64">
        <v>124</v>
      </c>
      <c r="G202" s="64">
        <v>132</v>
      </c>
      <c r="H202" s="64">
        <v>231</v>
      </c>
      <c r="I202" s="64">
        <v>181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V202" s="82">
        <f t="shared" ref="V202" si="290">SUM(F202:T202)</f>
        <v>668</v>
      </c>
      <c r="W202" s="82">
        <f t="shared" ref="W202" si="291">SUM(F203:T203)</f>
        <v>38137</v>
      </c>
      <c r="X202" s="82">
        <f t="shared" ref="X202" si="292">SUM(F204:T204)</f>
        <v>28726</v>
      </c>
      <c r="Z202" s="82">
        <f t="shared" ref="Z202" si="293">B202-V202</f>
        <v>0</v>
      </c>
      <c r="AA202" s="82">
        <f t="shared" ref="AA202" si="294">C202-W202</f>
        <v>0</v>
      </c>
      <c r="AB202" s="82">
        <f t="shared" ref="AB202" si="295">D202-X202</f>
        <v>0</v>
      </c>
    </row>
    <row r="203" spans="1:28" x14ac:dyDescent="0.4">
      <c r="A203" s="35" t="s">
        <v>198</v>
      </c>
      <c r="B203" s="36"/>
      <c r="C203" s="36"/>
      <c r="D203" s="36"/>
      <c r="E203" s="4"/>
      <c r="F203" s="36">
        <v>7128</v>
      </c>
      <c r="G203" s="36">
        <v>7858</v>
      </c>
      <c r="H203" s="36">
        <v>12008</v>
      </c>
      <c r="I203" s="36">
        <v>11143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</row>
    <row r="204" spans="1:28" x14ac:dyDescent="0.4">
      <c r="A204" s="35" t="s">
        <v>199</v>
      </c>
      <c r="B204" s="36"/>
      <c r="C204" s="36"/>
      <c r="D204" s="36"/>
      <c r="E204" s="4"/>
      <c r="F204" s="36">
        <v>5202</v>
      </c>
      <c r="G204" s="36">
        <v>5871</v>
      </c>
      <c r="H204" s="36">
        <v>10173</v>
      </c>
      <c r="I204" s="36">
        <v>7480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</row>
    <row r="205" spans="1:28" x14ac:dyDescent="0.4">
      <c r="A205" s="62" t="s">
        <v>200</v>
      </c>
      <c r="B205" s="64">
        <v>700</v>
      </c>
      <c r="C205" s="64">
        <v>23781</v>
      </c>
      <c r="D205" s="64">
        <v>16400</v>
      </c>
      <c r="E205" s="67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V205" s="82">
        <f>B205</f>
        <v>700</v>
      </c>
      <c r="W205" s="82">
        <f>C205</f>
        <v>23781</v>
      </c>
      <c r="X205" s="82">
        <f>D205</f>
        <v>16400</v>
      </c>
    </row>
    <row r="206" spans="1:28" x14ac:dyDescent="0.4">
      <c r="A206" s="62" t="s">
        <v>201</v>
      </c>
      <c r="B206" s="64">
        <v>819</v>
      </c>
      <c r="C206" s="64">
        <v>29829</v>
      </c>
      <c r="D206" s="80">
        <v>15884</v>
      </c>
      <c r="E206" s="67"/>
      <c r="F206" s="64">
        <v>163</v>
      </c>
      <c r="G206" s="64">
        <v>64</v>
      </c>
      <c r="H206" s="64">
        <v>93</v>
      </c>
      <c r="I206" s="64">
        <v>104</v>
      </c>
      <c r="J206" s="64">
        <v>141</v>
      </c>
      <c r="K206" s="64">
        <v>64</v>
      </c>
      <c r="L206" s="64">
        <v>96</v>
      </c>
      <c r="M206" s="64">
        <v>62</v>
      </c>
      <c r="N206" s="64">
        <v>34</v>
      </c>
      <c r="O206" s="64"/>
      <c r="P206" s="64"/>
      <c r="Q206" s="64"/>
      <c r="R206" s="64"/>
      <c r="S206" s="64"/>
      <c r="T206" s="64"/>
      <c r="V206" s="82">
        <f t="shared" ref="V206" si="296">SUM(F206:T206)</f>
        <v>821</v>
      </c>
      <c r="W206" s="82">
        <f t="shared" ref="W206" si="297">SUM(F207:T207)</f>
        <v>29829</v>
      </c>
      <c r="X206" s="82">
        <f t="shared" ref="X206" si="298">SUM(F208:T208)</f>
        <v>15884</v>
      </c>
      <c r="Z206" s="82">
        <f t="shared" ref="Z206" si="299">B206-V206</f>
        <v>-2</v>
      </c>
      <c r="AA206" s="82">
        <f t="shared" ref="AA206" si="300">C206-W206</f>
        <v>0</v>
      </c>
      <c r="AB206" s="82">
        <f t="shared" ref="AB206" si="301">D206-X206</f>
        <v>0</v>
      </c>
    </row>
    <row r="207" spans="1:28" x14ac:dyDescent="0.4">
      <c r="A207" s="35" t="s">
        <v>202</v>
      </c>
      <c r="B207" s="36"/>
      <c r="C207" s="36"/>
      <c r="D207" s="36"/>
      <c r="E207" s="4"/>
      <c r="F207" s="36">
        <v>6071</v>
      </c>
      <c r="G207" s="36">
        <v>3481</v>
      </c>
      <c r="H207" s="36">
        <v>2191</v>
      </c>
      <c r="I207" s="36">
        <v>3928</v>
      </c>
      <c r="J207" s="36">
        <v>4382</v>
      </c>
      <c r="K207" s="36">
        <v>2186</v>
      </c>
      <c r="L207" s="36">
        <v>3652</v>
      </c>
      <c r="M207" s="36">
        <v>2764</v>
      </c>
      <c r="N207" s="36">
        <v>1174</v>
      </c>
      <c r="O207" s="36"/>
      <c r="P207" s="36"/>
      <c r="Q207" s="36"/>
      <c r="R207" s="36"/>
      <c r="S207" s="36"/>
      <c r="T207" s="36"/>
    </row>
    <row r="208" spans="1:28" x14ac:dyDescent="0.4">
      <c r="A208" s="35" t="s">
        <v>203</v>
      </c>
      <c r="B208" s="36"/>
      <c r="C208" s="36"/>
      <c r="D208" s="36"/>
      <c r="E208" s="4"/>
      <c r="F208" s="36">
        <v>3858</v>
      </c>
      <c r="G208" s="36">
        <v>1641</v>
      </c>
      <c r="H208" s="36">
        <v>1252</v>
      </c>
      <c r="I208" s="36">
        <v>2235</v>
      </c>
      <c r="J208" s="36">
        <v>1626</v>
      </c>
      <c r="K208" s="36">
        <v>1169</v>
      </c>
      <c r="L208" s="36">
        <v>1818</v>
      </c>
      <c r="M208" s="36">
        <v>1655</v>
      </c>
      <c r="N208" s="36">
        <v>630</v>
      </c>
      <c r="O208" s="36"/>
      <c r="P208" s="36"/>
      <c r="Q208" s="36"/>
      <c r="R208" s="36"/>
      <c r="S208" s="36"/>
      <c r="T208" s="36"/>
    </row>
    <row r="209" spans="1:33" x14ac:dyDescent="0.4">
      <c r="A209" s="62" t="s">
        <v>204</v>
      </c>
      <c r="B209" s="64">
        <v>677</v>
      </c>
      <c r="C209" s="64">
        <v>21008</v>
      </c>
      <c r="D209" s="64">
        <v>10981</v>
      </c>
      <c r="E209" s="67"/>
      <c r="F209" s="64">
        <v>113</v>
      </c>
      <c r="G209" s="64">
        <v>135</v>
      </c>
      <c r="H209" s="64">
        <v>87</v>
      </c>
      <c r="I209" s="64">
        <v>100</v>
      </c>
      <c r="J209" s="64">
        <v>80</v>
      </c>
      <c r="K209" s="64">
        <v>62</v>
      </c>
      <c r="L209" s="64">
        <v>100</v>
      </c>
      <c r="M209" s="64"/>
      <c r="N209" s="64"/>
      <c r="O209" s="64"/>
      <c r="P209" s="64"/>
      <c r="Q209" s="64"/>
      <c r="R209" s="64"/>
      <c r="S209" s="64"/>
      <c r="T209" s="64"/>
      <c r="V209" s="82">
        <f t="shared" ref="V209" si="302">SUM(F209:T209)</f>
        <v>677</v>
      </c>
      <c r="W209" s="82">
        <f t="shared" ref="W209" si="303">SUM(F210:T210)</f>
        <v>21008</v>
      </c>
      <c r="X209" s="82">
        <f t="shared" ref="X209" si="304">SUM(F211:T211)</f>
        <v>10981</v>
      </c>
      <c r="Z209" s="82">
        <f t="shared" ref="Z209" si="305">B209-V209</f>
        <v>0</v>
      </c>
      <c r="AA209" s="82">
        <f t="shared" ref="AA209" si="306">C209-W209</f>
        <v>0</v>
      </c>
      <c r="AB209" s="82">
        <f t="shared" ref="AB209" si="307">D209-X209</f>
        <v>0</v>
      </c>
    </row>
    <row r="210" spans="1:33" x14ac:dyDescent="0.4">
      <c r="A210" s="35" t="s">
        <v>205</v>
      </c>
      <c r="B210" s="36"/>
      <c r="C210" s="36"/>
      <c r="D210" s="36"/>
      <c r="E210" s="4"/>
      <c r="F210" s="36">
        <v>1963</v>
      </c>
      <c r="G210" s="36">
        <v>6404</v>
      </c>
      <c r="H210" s="36">
        <v>2162</v>
      </c>
      <c r="I210" s="36">
        <v>4117</v>
      </c>
      <c r="J210" s="36">
        <v>2162</v>
      </c>
      <c r="K210" s="36">
        <v>1395</v>
      </c>
      <c r="L210" s="36">
        <v>2805</v>
      </c>
      <c r="M210" s="36"/>
      <c r="N210" s="36"/>
      <c r="O210" s="36"/>
      <c r="P210" s="36"/>
      <c r="Q210" s="36"/>
      <c r="R210" s="36"/>
      <c r="S210" s="36"/>
      <c r="T210" s="36"/>
    </row>
    <row r="211" spans="1:33" x14ac:dyDescent="0.4">
      <c r="A211" s="35" t="s">
        <v>206</v>
      </c>
      <c r="B211" s="36"/>
      <c r="C211" s="36"/>
      <c r="D211" s="36"/>
      <c r="E211" s="4"/>
      <c r="F211" s="36">
        <v>1270</v>
      </c>
      <c r="G211" s="36">
        <v>3339</v>
      </c>
      <c r="H211" s="36">
        <v>1100</v>
      </c>
      <c r="I211" s="36">
        <v>1656</v>
      </c>
      <c r="J211" s="36">
        <v>1370</v>
      </c>
      <c r="K211" s="36">
        <v>898</v>
      </c>
      <c r="L211" s="36">
        <v>1348</v>
      </c>
      <c r="M211" s="36"/>
      <c r="N211" s="36"/>
      <c r="O211" s="36"/>
      <c r="P211" s="36"/>
      <c r="Q211" s="36"/>
      <c r="R211" s="36"/>
      <c r="S211" s="36"/>
      <c r="T211" s="36"/>
    </row>
    <row r="212" spans="1:33" x14ac:dyDescent="0.4">
      <c r="A212" s="68" t="s">
        <v>207</v>
      </c>
      <c r="B212" s="69">
        <v>7439</v>
      </c>
      <c r="C212" s="69">
        <v>268250</v>
      </c>
      <c r="D212" s="69">
        <v>171708</v>
      </c>
      <c r="E212" s="70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84"/>
      <c r="V212" s="85">
        <f>SUM(V189:V211)</f>
        <v>7201</v>
      </c>
      <c r="W212" s="85">
        <f>SUM(W189:W211)</f>
        <v>268005</v>
      </c>
      <c r="X212" s="85">
        <f>SUM(X189:X211)</f>
        <v>171560</v>
      </c>
      <c r="Y212" s="84"/>
      <c r="Z212" s="85">
        <f>V212-B212</f>
        <v>-238</v>
      </c>
      <c r="AA212" s="85">
        <f>W212-C212</f>
        <v>-245</v>
      </c>
      <c r="AB212" s="85">
        <f>X212-D212</f>
        <v>-148</v>
      </c>
      <c r="AC212" s="84"/>
      <c r="AD212" s="84"/>
      <c r="AE212" s="84"/>
      <c r="AF212" s="84"/>
      <c r="AG212" s="84"/>
    </row>
    <row r="213" spans="1:33" x14ac:dyDescent="0.4">
      <c r="A213" s="62" t="s">
        <v>208</v>
      </c>
      <c r="B213" s="71" t="s">
        <v>10</v>
      </c>
      <c r="C213" s="71" t="s">
        <v>10</v>
      </c>
      <c r="D213" s="71" t="s">
        <v>10</v>
      </c>
      <c r="E213" s="67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V213" s="83" t="str">
        <f>B213</f>
        <v>—</v>
      </c>
      <c r="W213" s="83" t="str">
        <f>C213</f>
        <v>—</v>
      </c>
      <c r="X213" s="83" t="str">
        <f>D213</f>
        <v>—</v>
      </c>
    </row>
    <row r="214" spans="1:33" x14ac:dyDescent="0.4">
      <c r="A214" s="62" t="s">
        <v>209</v>
      </c>
      <c r="B214" s="64">
        <v>459</v>
      </c>
      <c r="C214" s="64">
        <v>22968</v>
      </c>
      <c r="D214" s="64">
        <v>19052</v>
      </c>
      <c r="E214" s="67"/>
      <c r="F214" s="64">
        <v>110</v>
      </c>
      <c r="G214" s="64">
        <v>78</v>
      </c>
      <c r="H214" s="64">
        <v>65</v>
      </c>
      <c r="I214" s="64">
        <v>72</v>
      </c>
      <c r="J214" s="64">
        <v>132</v>
      </c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V214" s="82">
        <f t="shared" ref="V214" si="308">SUM(F214:T214)</f>
        <v>457</v>
      </c>
      <c r="W214" s="82">
        <f t="shared" ref="W214" si="309">SUM(F215:T215)</f>
        <v>22968</v>
      </c>
      <c r="X214" s="82">
        <f t="shared" ref="X214" si="310">SUM(F216:T216)</f>
        <v>19052</v>
      </c>
      <c r="Z214" s="82">
        <f t="shared" ref="Z214" si="311">B214-V214</f>
        <v>2</v>
      </c>
      <c r="AA214" s="82">
        <f t="shared" ref="AA214" si="312">C214-W214</f>
        <v>0</v>
      </c>
      <c r="AB214" s="82">
        <f t="shared" ref="AB214" si="313">D214-X214</f>
        <v>0</v>
      </c>
    </row>
    <row r="215" spans="1:33" x14ac:dyDescent="0.4">
      <c r="A215" s="35" t="s">
        <v>210</v>
      </c>
      <c r="B215" s="36"/>
      <c r="C215" s="36"/>
      <c r="D215" s="36"/>
      <c r="E215" s="4"/>
      <c r="F215" s="36">
        <v>3902</v>
      </c>
      <c r="G215" s="36">
        <v>4615</v>
      </c>
      <c r="H215" s="36">
        <v>2927</v>
      </c>
      <c r="I215" s="36">
        <v>3842</v>
      </c>
      <c r="J215" s="36">
        <v>7682</v>
      </c>
      <c r="K215" s="36"/>
      <c r="L215" s="36"/>
      <c r="M215" s="36"/>
      <c r="N215" s="36"/>
      <c r="O215" s="36"/>
      <c r="P215" s="36"/>
      <c r="Q215" s="36"/>
      <c r="R215" s="36"/>
      <c r="S215" s="36"/>
      <c r="T215" s="36"/>
    </row>
    <row r="216" spans="1:33" x14ac:dyDescent="0.4">
      <c r="A216" s="35" t="s">
        <v>211</v>
      </c>
      <c r="B216" s="36"/>
      <c r="C216" s="36"/>
      <c r="D216" s="36"/>
      <c r="E216" s="4"/>
      <c r="F216" s="36">
        <v>4625</v>
      </c>
      <c r="G216" s="36">
        <v>3585</v>
      </c>
      <c r="H216" s="36">
        <v>2776</v>
      </c>
      <c r="I216" s="36">
        <v>3280</v>
      </c>
      <c r="J216" s="36">
        <v>4786</v>
      </c>
      <c r="K216" s="36"/>
      <c r="L216" s="36"/>
      <c r="M216" s="36"/>
      <c r="N216" s="36"/>
      <c r="O216" s="36"/>
      <c r="P216" s="36"/>
      <c r="Q216" s="36"/>
      <c r="R216" s="36"/>
      <c r="S216" s="36"/>
      <c r="T216" s="36"/>
    </row>
    <row r="217" spans="1:33" x14ac:dyDescent="0.4">
      <c r="A217" s="62" t="s">
        <v>212</v>
      </c>
      <c r="B217" s="64">
        <v>545</v>
      </c>
      <c r="C217" s="64">
        <v>21930</v>
      </c>
      <c r="D217" s="64">
        <v>15055</v>
      </c>
      <c r="E217" s="67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V217" s="82">
        <f>B217</f>
        <v>545</v>
      </c>
      <c r="W217" s="82">
        <f>C217</f>
        <v>21930</v>
      </c>
      <c r="X217" s="82">
        <f>D217</f>
        <v>15055</v>
      </c>
    </row>
    <row r="218" spans="1:33" x14ac:dyDescent="0.4">
      <c r="A218" s="62" t="s">
        <v>213</v>
      </c>
      <c r="B218" s="64">
        <v>421</v>
      </c>
      <c r="C218" s="64">
        <v>19988</v>
      </c>
      <c r="D218" s="64">
        <v>17666</v>
      </c>
      <c r="E218" s="67"/>
      <c r="F218" s="64">
        <v>141</v>
      </c>
      <c r="G218" s="64">
        <v>125</v>
      </c>
      <c r="H218" s="64">
        <v>60</v>
      </c>
      <c r="I218" s="64">
        <v>44</v>
      </c>
      <c r="J218" s="64">
        <v>52</v>
      </c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V218" s="82">
        <f t="shared" ref="V218" si="314">SUM(F218:T218)</f>
        <v>422</v>
      </c>
      <c r="W218" s="82">
        <f t="shared" ref="W218" si="315">SUM(F219:T219)</f>
        <v>19988</v>
      </c>
      <c r="X218" s="82">
        <f t="shared" ref="X218" si="316">SUM(F220:T220)</f>
        <v>17686</v>
      </c>
      <c r="Z218" s="82">
        <f t="shared" ref="Z218" si="317">B218-V218</f>
        <v>-1</v>
      </c>
      <c r="AA218" s="82">
        <f t="shared" ref="AA218" si="318">C218-W218</f>
        <v>0</v>
      </c>
      <c r="AB218" s="82">
        <f t="shared" ref="AB218" si="319">D218-X218</f>
        <v>-20</v>
      </c>
    </row>
    <row r="219" spans="1:33" x14ac:dyDescent="0.4">
      <c r="A219" s="35" t="s">
        <v>214</v>
      </c>
      <c r="B219" s="36"/>
      <c r="C219" s="36"/>
      <c r="D219" s="36"/>
      <c r="E219" s="4"/>
      <c r="F219" s="36">
        <v>6230</v>
      </c>
      <c r="G219" s="36">
        <v>5405</v>
      </c>
      <c r="H219" s="36">
        <v>2770</v>
      </c>
      <c r="I219" s="36">
        <v>2222</v>
      </c>
      <c r="J219" s="36">
        <v>3361</v>
      </c>
      <c r="K219" s="36"/>
      <c r="L219" s="36"/>
      <c r="M219" s="36"/>
      <c r="N219" s="36"/>
      <c r="O219" s="36"/>
      <c r="P219" s="36"/>
      <c r="Q219" s="36"/>
      <c r="R219" s="36"/>
      <c r="S219" s="36"/>
      <c r="T219" s="36"/>
    </row>
    <row r="220" spans="1:33" x14ac:dyDescent="0.4">
      <c r="A220" s="35" t="s">
        <v>215</v>
      </c>
      <c r="B220" s="36"/>
      <c r="C220" s="36"/>
      <c r="D220" s="36"/>
      <c r="E220" s="4"/>
      <c r="F220" s="36">
        <v>5433</v>
      </c>
      <c r="G220" s="36">
        <v>4573</v>
      </c>
      <c r="H220" s="36">
        <v>2602</v>
      </c>
      <c r="I220" s="36">
        <v>2147</v>
      </c>
      <c r="J220" s="36">
        <v>2931</v>
      </c>
      <c r="K220" s="36"/>
      <c r="L220" s="36"/>
      <c r="M220" s="36"/>
      <c r="N220" s="36"/>
      <c r="O220" s="36"/>
      <c r="P220" s="36"/>
      <c r="Q220" s="36"/>
      <c r="R220" s="36"/>
      <c r="S220" s="36"/>
      <c r="T220" s="36"/>
    </row>
    <row r="221" spans="1:33" x14ac:dyDescent="0.4">
      <c r="A221" s="62" t="s">
        <v>216</v>
      </c>
      <c r="B221" s="64">
        <v>103</v>
      </c>
      <c r="C221" s="64">
        <v>2406</v>
      </c>
      <c r="D221" s="64">
        <v>1431</v>
      </c>
      <c r="E221" s="67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V221" s="82">
        <f>B221</f>
        <v>103</v>
      </c>
      <c r="W221" s="82">
        <f>C221</f>
        <v>2406</v>
      </c>
      <c r="X221" s="82">
        <f>D221</f>
        <v>1431</v>
      </c>
    </row>
    <row r="222" spans="1:33" x14ac:dyDescent="0.4">
      <c r="A222" s="62" t="s">
        <v>217</v>
      </c>
      <c r="B222" s="64">
        <v>1375</v>
      </c>
      <c r="C222" s="64">
        <v>73916</v>
      </c>
      <c r="D222" s="64">
        <v>60160</v>
      </c>
      <c r="E222" s="67"/>
      <c r="F222" s="64">
        <v>130</v>
      </c>
      <c r="G222" s="64">
        <v>38</v>
      </c>
      <c r="H222" s="64">
        <v>264</v>
      </c>
      <c r="I222" s="64">
        <v>256</v>
      </c>
      <c r="J222" s="64">
        <v>151</v>
      </c>
      <c r="K222" s="64">
        <v>2</v>
      </c>
      <c r="L222" s="64">
        <v>70</v>
      </c>
      <c r="M222" s="64">
        <v>154</v>
      </c>
      <c r="N222" s="64">
        <v>113</v>
      </c>
      <c r="O222" s="64">
        <v>197</v>
      </c>
      <c r="P222" s="64"/>
      <c r="Q222" s="64"/>
      <c r="R222" s="64"/>
      <c r="S222" s="64"/>
      <c r="T222" s="64"/>
      <c r="V222" s="82">
        <f t="shared" ref="V222" si="320">SUM(F222:T222)</f>
        <v>1375</v>
      </c>
      <c r="W222" s="82">
        <f t="shared" ref="W222" si="321">SUM(F223:T223)</f>
        <v>73916</v>
      </c>
      <c r="X222" s="82">
        <f t="shared" ref="X222" si="322">SUM(F224:T224)</f>
        <v>60160</v>
      </c>
      <c r="Z222" s="82">
        <f t="shared" ref="Z222" si="323">B222-V222</f>
        <v>0</v>
      </c>
      <c r="AA222" s="82">
        <f t="shared" ref="AA222" si="324">C222-W222</f>
        <v>0</v>
      </c>
      <c r="AB222" s="82">
        <f t="shared" ref="AB222" si="325">D222-X222</f>
        <v>0</v>
      </c>
    </row>
    <row r="223" spans="1:33" x14ac:dyDescent="0.4">
      <c r="A223" s="35" t="s">
        <v>218</v>
      </c>
      <c r="B223" s="36"/>
      <c r="C223" s="36"/>
      <c r="D223" s="36"/>
      <c r="E223" s="4"/>
      <c r="F223" s="36">
        <v>5817</v>
      </c>
      <c r="G223" s="36">
        <v>1157</v>
      </c>
      <c r="H223" s="36">
        <v>16162</v>
      </c>
      <c r="I223" s="36">
        <v>16280</v>
      </c>
      <c r="J223" s="36">
        <v>7204</v>
      </c>
      <c r="K223" s="36">
        <v>363</v>
      </c>
      <c r="L223" s="36">
        <v>3617</v>
      </c>
      <c r="M223" s="36">
        <v>8681</v>
      </c>
      <c r="N223" s="36">
        <v>4694</v>
      </c>
      <c r="O223" s="36">
        <v>9941</v>
      </c>
      <c r="P223" s="36"/>
      <c r="Q223" s="36"/>
      <c r="R223" s="36"/>
      <c r="S223" s="36"/>
      <c r="T223" s="36"/>
    </row>
    <row r="224" spans="1:33" x14ac:dyDescent="0.4">
      <c r="A224" s="35" t="s">
        <v>219</v>
      </c>
      <c r="B224" s="36"/>
      <c r="C224" s="36"/>
      <c r="D224" s="36"/>
      <c r="E224" s="4"/>
      <c r="F224" s="36">
        <v>4618</v>
      </c>
      <c r="G224" s="36">
        <v>1021</v>
      </c>
      <c r="H224" s="36">
        <v>12379</v>
      </c>
      <c r="I224" s="36">
        <v>12928</v>
      </c>
      <c r="J224" s="36">
        <v>4985</v>
      </c>
      <c r="K224" s="36">
        <v>248</v>
      </c>
      <c r="L224" s="36">
        <v>3991</v>
      </c>
      <c r="M224" s="36">
        <v>6565</v>
      </c>
      <c r="N224" s="36">
        <v>4453</v>
      </c>
      <c r="O224" s="36">
        <v>8972</v>
      </c>
      <c r="P224" s="36"/>
      <c r="Q224" s="36"/>
      <c r="R224" s="36"/>
      <c r="S224" s="36"/>
      <c r="T224" s="36"/>
    </row>
    <row r="225" spans="1:33" x14ac:dyDescent="0.4">
      <c r="A225" s="62" t="s">
        <v>220</v>
      </c>
      <c r="B225" s="64">
        <v>1257</v>
      </c>
      <c r="C225" s="64">
        <v>63934</v>
      </c>
      <c r="D225" s="64">
        <v>31465</v>
      </c>
      <c r="E225" s="67"/>
      <c r="F225" s="64">
        <v>204</v>
      </c>
      <c r="G225" s="64">
        <v>280</v>
      </c>
      <c r="H225" s="64">
        <v>346</v>
      </c>
      <c r="I225" s="64">
        <v>150</v>
      </c>
      <c r="J225" s="64">
        <v>163</v>
      </c>
      <c r="K225" s="64">
        <v>115</v>
      </c>
      <c r="L225" s="64"/>
      <c r="M225" s="64"/>
      <c r="N225" s="64"/>
      <c r="O225" s="64"/>
      <c r="P225" s="64"/>
      <c r="Q225" s="64"/>
      <c r="R225" s="64"/>
      <c r="S225" s="64"/>
      <c r="T225" s="64"/>
      <c r="V225" s="82">
        <f t="shared" ref="V225" si="326">SUM(F225:T225)</f>
        <v>1258</v>
      </c>
      <c r="W225" s="82">
        <f t="shared" ref="W225" si="327">SUM(F226:T226)</f>
        <v>63934</v>
      </c>
      <c r="X225" s="82">
        <f t="shared" ref="X225" si="328">SUM(F227:T227)</f>
        <v>31465</v>
      </c>
      <c r="Z225" s="82">
        <f t="shared" ref="Z225" si="329">B225-V225</f>
        <v>-1</v>
      </c>
      <c r="AA225" s="82">
        <f t="shared" ref="AA225" si="330">C225-W225</f>
        <v>0</v>
      </c>
      <c r="AB225" s="82">
        <f t="shared" ref="AB225" si="331">D225-X225</f>
        <v>0</v>
      </c>
    </row>
    <row r="226" spans="1:33" x14ac:dyDescent="0.4">
      <c r="A226" s="35" t="s">
        <v>221</v>
      </c>
      <c r="B226" s="36"/>
      <c r="C226" s="36"/>
      <c r="D226" s="36"/>
      <c r="E226" s="4"/>
      <c r="F226" s="36">
        <v>10058</v>
      </c>
      <c r="G226" s="36">
        <v>14905</v>
      </c>
      <c r="H226" s="36">
        <v>19486</v>
      </c>
      <c r="I226" s="36">
        <v>7253</v>
      </c>
      <c r="J226" s="36">
        <v>6754</v>
      </c>
      <c r="K226" s="36">
        <v>5478</v>
      </c>
      <c r="L226" s="36"/>
      <c r="M226" s="36"/>
      <c r="N226" s="36"/>
      <c r="O226" s="36"/>
      <c r="P226" s="36"/>
      <c r="Q226" s="36"/>
      <c r="R226" s="36"/>
      <c r="S226" s="36"/>
      <c r="T226" s="36"/>
    </row>
    <row r="227" spans="1:33" x14ac:dyDescent="0.4">
      <c r="A227" s="35" t="s">
        <v>222</v>
      </c>
      <c r="B227" s="36"/>
      <c r="C227" s="36"/>
      <c r="D227" s="36"/>
      <c r="E227" s="4"/>
      <c r="F227" s="36">
        <v>5868</v>
      </c>
      <c r="G227" s="36">
        <v>6181</v>
      </c>
      <c r="H227" s="36">
        <v>9715</v>
      </c>
      <c r="I227" s="36">
        <v>3597</v>
      </c>
      <c r="J227" s="36">
        <v>3213</v>
      </c>
      <c r="K227" s="36">
        <v>2891</v>
      </c>
      <c r="L227" s="36"/>
      <c r="M227" s="36"/>
      <c r="N227" s="36"/>
      <c r="O227" s="36"/>
      <c r="P227" s="36"/>
      <c r="Q227" s="36"/>
      <c r="R227" s="36"/>
      <c r="S227" s="36"/>
      <c r="T227" s="36"/>
    </row>
    <row r="228" spans="1:33" x14ac:dyDescent="0.4">
      <c r="A228" s="62" t="s">
        <v>223</v>
      </c>
      <c r="B228" s="64">
        <v>256</v>
      </c>
      <c r="C228" s="64">
        <v>6711</v>
      </c>
      <c r="D228" s="64">
        <v>5109</v>
      </c>
      <c r="E228" s="67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V228" s="82">
        <f t="shared" ref="V228:X229" si="332">B228</f>
        <v>256</v>
      </c>
      <c r="W228" s="82">
        <f t="shared" si="332"/>
        <v>6711</v>
      </c>
      <c r="X228" s="82">
        <f t="shared" si="332"/>
        <v>5109</v>
      </c>
    </row>
    <row r="229" spans="1:33" x14ac:dyDescent="0.4">
      <c r="A229" s="62" t="s">
        <v>224</v>
      </c>
      <c r="B229" s="64">
        <v>15</v>
      </c>
      <c r="C229" s="64">
        <v>295</v>
      </c>
      <c r="D229" s="64">
        <v>239</v>
      </c>
      <c r="E229" s="67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V229" s="82">
        <f t="shared" si="332"/>
        <v>15</v>
      </c>
      <c r="W229" s="82">
        <f t="shared" si="332"/>
        <v>295</v>
      </c>
      <c r="X229" s="82">
        <f t="shared" si="332"/>
        <v>239</v>
      </c>
    </row>
    <row r="230" spans="1:33" x14ac:dyDescent="0.4">
      <c r="A230" s="68" t="s">
        <v>225</v>
      </c>
      <c r="B230" s="69">
        <v>4494</v>
      </c>
      <c r="C230" s="69">
        <v>212148</v>
      </c>
      <c r="D230" s="69">
        <v>150197</v>
      </c>
      <c r="E230" s="70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84"/>
      <c r="V230" s="85">
        <f>SUM(V213:V229)</f>
        <v>4431</v>
      </c>
      <c r="W230" s="85">
        <f>SUM(W213:W229)</f>
        <v>212148</v>
      </c>
      <c r="X230" s="85">
        <f>SUM(X213:X229)</f>
        <v>150197</v>
      </c>
      <c r="Y230" s="84"/>
      <c r="Z230" s="85">
        <f>V230-B230</f>
        <v>-63</v>
      </c>
      <c r="AA230" s="85">
        <f>W230-C230</f>
        <v>0</v>
      </c>
      <c r="AB230" s="85">
        <f>X230-D230</f>
        <v>0</v>
      </c>
      <c r="AC230" s="84"/>
      <c r="AD230" s="84"/>
      <c r="AE230" s="84"/>
      <c r="AF230" s="84"/>
      <c r="AG230" s="84"/>
    </row>
    <row r="231" spans="1:33" x14ac:dyDescent="0.4">
      <c r="A231" s="72" t="s">
        <v>226</v>
      </c>
      <c r="B231" s="73">
        <v>481</v>
      </c>
      <c r="C231" s="73">
        <v>13837</v>
      </c>
      <c r="D231" s="73">
        <v>9023</v>
      </c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V231" s="82">
        <f t="shared" ref="V231:V239" si="333">B231</f>
        <v>481</v>
      </c>
      <c r="W231" s="82">
        <f t="shared" ref="W231:W239" si="334">C231</f>
        <v>13837</v>
      </c>
      <c r="X231" s="82">
        <f t="shared" ref="X231:X239" si="335">D231</f>
        <v>9023</v>
      </c>
    </row>
    <row r="232" spans="1:33" x14ac:dyDescent="0.4">
      <c r="A232" s="72" t="s">
        <v>227</v>
      </c>
      <c r="B232" s="74" t="s">
        <v>10</v>
      </c>
      <c r="C232" s="74" t="s">
        <v>10</v>
      </c>
      <c r="D232" s="74" t="s">
        <v>10</v>
      </c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V232" s="83" t="str">
        <f t="shared" si="333"/>
        <v>—</v>
      </c>
      <c r="W232" s="83" t="str">
        <f t="shared" si="334"/>
        <v>—</v>
      </c>
      <c r="X232" s="83" t="str">
        <f t="shared" si="335"/>
        <v>—</v>
      </c>
    </row>
    <row r="233" spans="1:33" x14ac:dyDescent="0.4">
      <c r="A233" s="72" t="s">
        <v>228</v>
      </c>
      <c r="B233" s="73">
        <v>577</v>
      </c>
      <c r="C233" s="73">
        <v>9462</v>
      </c>
      <c r="D233" s="73">
        <v>8337</v>
      </c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V233" s="82">
        <f t="shared" si="333"/>
        <v>577</v>
      </c>
      <c r="W233" s="82">
        <f t="shared" si="334"/>
        <v>9462</v>
      </c>
      <c r="X233" s="82">
        <f t="shared" si="335"/>
        <v>8337</v>
      </c>
    </row>
    <row r="234" spans="1:33" x14ac:dyDescent="0.4">
      <c r="A234" s="72" t="s">
        <v>229</v>
      </c>
      <c r="B234" s="73">
        <v>672</v>
      </c>
      <c r="C234" s="73">
        <v>4387</v>
      </c>
      <c r="D234" s="73">
        <v>2566</v>
      </c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V234" s="82">
        <f t="shared" si="333"/>
        <v>672</v>
      </c>
      <c r="W234" s="82">
        <f t="shared" si="334"/>
        <v>4387</v>
      </c>
      <c r="X234" s="82">
        <f t="shared" si="335"/>
        <v>2566</v>
      </c>
    </row>
    <row r="235" spans="1:33" x14ac:dyDescent="0.4">
      <c r="A235" s="72" t="s">
        <v>230</v>
      </c>
      <c r="B235" s="73">
        <v>1016</v>
      </c>
      <c r="C235" s="74" t="s">
        <v>10</v>
      </c>
      <c r="D235" s="74" t="s">
        <v>10</v>
      </c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V235" s="82">
        <f t="shared" si="333"/>
        <v>1016</v>
      </c>
      <c r="W235" s="83" t="str">
        <f t="shared" si="334"/>
        <v>—</v>
      </c>
      <c r="X235" s="83" t="str">
        <f t="shared" si="335"/>
        <v>—</v>
      </c>
    </row>
    <row r="236" spans="1:33" x14ac:dyDescent="0.4">
      <c r="A236" s="72" t="s">
        <v>231</v>
      </c>
      <c r="B236" s="73">
        <v>680</v>
      </c>
      <c r="C236" s="74" t="s">
        <v>10</v>
      </c>
      <c r="D236" s="74" t="s">
        <v>10</v>
      </c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V236" s="82">
        <f t="shared" si="333"/>
        <v>680</v>
      </c>
      <c r="W236" s="83" t="str">
        <f t="shared" si="334"/>
        <v>—</v>
      </c>
      <c r="X236" s="83" t="str">
        <f t="shared" si="335"/>
        <v>—</v>
      </c>
    </row>
    <row r="237" spans="1:33" x14ac:dyDescent="0.4">
      <c r="A237" s="72" t="s">
        <v>252</v>
      </c>
      <c r="B237" s="73">
        <v>343</v>
      </c>
      <c r="C237" s="73">
        <v>1145</v>
      </c>
      <c r="D237" s="73">
        <v>820</v>
      </c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V237" s="82">
        <f t="shared" si="333"/>
        <v>343</v>
      </c>
      <c r="W237" s="82">
        <f t="shared" si="334"/>
        <v>1145</v>
      </c>
      <c r="X237" s="82">
        <f t="shared" si="335"/>
        <v>820</v>
      </c>
    </row>
    <row r="238" spans="1:33" x14ac:dyDescent="0.4">
      <c r="A238" s="72" t="s">
        <v>232</v>
      </c>
      <c r="B238" s="73">
        <v>547</v>
      </c>
      <c r="C238" s="73">
        <v>4219</v>
      </c>
      <c r="D238" s="73">
        <v>3053</v>
      </c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V238" s="82">
        <f t="shared" si="333"/>
        <v>547</v>
      </c>
      <c r="W238" s="82">
        <f t="shared" si="334"/>
        <v>4219</v>
      </c>
      <c r="X238" s="82">
        <f t="shared" si="335"/>
        <v>3053</v>
      </c>
    </row>
    <row r="239" spans="1:33" x14ac:dyDescent="0.4">
      <c r="A239" s="72" t="s">
        <v>233</v>
      </c>
      <c r="B239" s="73">
        <v>716</v>
      </c>
      <c r="C239" s="74" t="s">
        <v>10</v>
      </c>
      <c r="D239" s="74" t="s">
        <v>10</v>
      </c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V239" s="82">
        <f t="shared" si="333"/>
        <v>716</v>
      </c>
      <c r="W239" s="83" t="str">
        <f t="shared" si="334"/>
        <v>—</v>
      </c>
      <c r="X239" s="83" t="str">
        <f t="shared" si="335"/>
        <v>—</v>
      </c>
    </row>
    <row r="240" spans="1:33" x14ac:dyDescent="0.4">
      <c r="A240" s="75" t="s">
        <v>234</v>
      </c>
      <c r="B240" s="76">
        <v>5728</v>
      </c>
      <c r="C240" s="76">
        <v>33050</v>
      </c>
      <c r="D240" s="76">
        <v>23799</v>
      </c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84"/>
      <c r="V240" s="85">
        <f>SUM(V231:V239)</f>
        <v>5032</v>
      </c>
      <c r="W240" s="85">
        <f>SUM(W231:W239)</f>
        <v>33050</v>
      </c>
      <c r="X240" s="85">
        <f>SUM(X231:X239)</f>
        <v>23799</v>
      </c>
      <c r="Y240" s="84"/>
      <c r="Z240" s="85">
        <f t="shared" ref="Z240:AB241" si="336">V240-B240</f>
        <v>-696</v>
      </c>
      <c r="AA240" s="85">
        <f t="shared" si="336"/>
        <v>0</v>
      </c>
      <c r="AB240" s="85">
        <f t="shared" si="336"/>
        <v>0</v>
      </c>
      <c r="AC240" s="84"/>
      <c r="AD240" s="84"/>
      <c r="AE240" s="84"/>
      <c r="AF240" s="84"/>
      <c r="AG240" s="84"/>
    </row>
    <row r="241" spans="1:33" x14ac:dyDescent="0.4">
      <c r="A241" s="75" t="s">
        <v>235</v>
      </c>
      <c r="B241" s="76">
        <v>110483</v>
      </c>
      <c r="C241" s="76">
        <v>4858116</v>
      </c>
      <c r="D241" s="76">
        <v>3288838</v>
      </c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84"/>
      <c r="V241" s="85">
        <f>V188 + V212 + V230 + V240</f>
        <v>109483</v>
      </c>
      <c r="W241" s="85">
        <f>W188 + W212 + W230 + W240</f>
        <v>4882402</v>
      </c>
      <c r="X241" s="85">
        <f>X188 + X212 + X230 + X240</f>
        <v>3286881</v>
      </c>
      <c r="Y241" s="84"/>
      <c r="Z241" s="85">
        <f t="shared" si="336"/>
        <v>-1000</v>
      </c>
      <c r="AA241" s="85">
        <f t="shared" si="336"/>
        <v>24286</v>
      </c>
      <c r="AB241" s="85">
        <f t="shared" si="336"/>
        <v>-1957</v>
      </c>
      <c r="AC241" s="84"/>
      <c r="AD241" s="84"/>
      <c r="AE241" s="84"/>
      <c r="AF241" s="84"/>
      <c r="AG241" s="84"/>
    </row>
  </sheetData>
  <mergeCells count="1">
    <mergeCell ref="F1:T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2026-07-18T22:51:39Z</dcterms:modified>
</cp:coreProperties>
</file>