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DF4C4545-BB97-4D9A-A491-BA794A61C5F2}" xr6:coauthVersionLast="47" xr6:coauthVersionMax="47" xr10:uidLastSave="{00000000-0000-0000-0000-000000000000}"/>
  <bookViews>
    <workbookView xWindow="57480" yWindow="-120" windowWidth="51840" windowHeight="21120" activeTab="1" xr2:uid="{F25E5E36-370C-458A-B7E5-EACA75785EEB}"/>
  </bookViews>
  <sheets>
    <sheet name="Notes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2" i="1" l="1"/>
  <c r="J92" i="1"/>
  <c r="I69" i="1"/>
  <c r="B90" i="1"/>
  <c r="S84" i="1"/>
  <c r="R84" i="1"/>
  <c r="S70" i="1"/>
  <c r="R70" i="1"/>
  <c r="S65" i="1"/>
  <c r="R64" i="1"/>
  <c r="S58" i="1"/>
  <c r="R58" i="1"/>
  <c r="S57" i="1"/>
  <c r="S33" i="1"/>
  <c r="R26" i="1"/>
  <c r="S10" i="1"/>
  <c r="D89" i="1"/>
  <c r="C89" i="1"/>
  <c r="B89" i="1"/>
  <c r="M88" i="1"/>
  <c r="S88" i="1" s="1"/>
  <c r="L88" i="1"/>
  <c r="R88" i="1" s="1"/>
  <c r="M87" i="1"/>
  <c r="S87" i="1" s="1"/>
  <c r="L87" i="1"/>
  <c r="R87" i="1" s="1"/>
  <c r="M83" i="1"/>
  <c r="L83" i="1"/>
  <c r="M81" i="1"/>
  <c r="S81" i="1" s="1"/>
  <c r="L81" i="1"/>
  <c r="R81" i="1" s="1"/>
  <c r="M80" i="1"/>
  <c r="L80" i="1"/>
  <c r="M77" i="1"/>
  <c r="S77" i="1" s="1"/>
  <c r="L77" i="1"/>
  <c r="R77" i="1" s="1"/>
  <c r="M76" i="1"/>
  <c r="L76" i="1"/>
  <c r="M74" i="1"/>
  <c r="S74" i="1" s="1"/>
  <c r="L74" i="1"/>
  <c r="R74" i="1" s="1"/>
  <c r="M73" i="1"/>
  <c r="S73" i="1" s="1"/>
  <c r="L73" i="1"/>
  <c r="R73" i="1" s="1"/>
  <c r="M71" i="1"/>
  <c r="S71" i="1" s="1"/>
  <c r="L71" i="1"/>
  <c r="R71" i="1" s="1"/>
  <c r="M69" i="1"/>
  <c r="S69" i="1" s="1"/>
  <c r="L69" i="1"/>
  <c r="R69" i="1" s="1"/>
  <c r="M68" i="1"/>
  <c r="S68" i="1" s="1"/>
  <c r="L68" i="1"/>
  <c r="R68" i="1" s="1"/>
  <c r="M67" i="1"/>
  <c r="S67" i="1" s="1"/>
  <c r="L67" i="1"/>
  <c r="R67" i="1" s="1"/>
  <c r="M66" i="1"/>
  <c r="S66" i="1" s="1"/>
  <c r="L66" i="1"/>
  <c r="R66" i="1" s="1"/>
  <c r="M65" i="1"/>
  <c r="L65" i="1"/>
  <c r="R65" i="1" s="1"/>
  <c r="M64" i="1"/>
  <c r="S64" i="1" s="1"/>
  <c r="L64" i="1"/>
  <c r="M63" i="1"/>
  <c r="S63" i="1" s="1"/>
  <c r="L63" i="1"/>
  <c r="R63" i="1" s="1"/>
  <c r="M62" i="1"/>
  <c r="S62" i="1" s="1"/>
  <c r="L62" i="1"/>
  <c r="R62" i="1" s="1"/>
  <c r="M61" i="1"/>
  <c r="S61" i="1" s="1"/>
  <c r="L61" i="1"/>
  <c r="R61" i="1" s="1"/>
  <c r="M60" i="1"/>
  <c r="S60" i="1" s="1"/>
  <c r="L60" i="1"/>
  <c r="R60" i="1" s="1"/>
  <c r="M59" i="1"/>
  <c r="S59" i="1" s="1"/>
  <c r="L59" i="1"/>
  <c r="R59" i="1" s="1"/>
  <c r="M58" i="1"/>
  <c r="L58" i="1"/>
  <c r="M57" i="1"/>
  <c r="L57" i="1"/>
  <c r="R57" i="1" s="1"/>
  <c r="M56" i="1"/>
  <c r="S56" i="1" s="1"/>
  <c r="L56" i="1"/>
  <c r="R56" i="1" s="1"/>
  <c r="M55" i="1"/>
  <c r="S55" i="1" s="1"/>
  <c r="L55" i="1"/>
  <c r="R55" i="1" s="1"/>
  <c r="M54" i="1"/>
  <c r="S54" i="1" s="1"/>
  <c r="L54" i="1"/>
  <c r="R54" i="1" s="1"/>
  <c r="M53" i="1"/>
  <c r="S53" i="1" s="1"/>
  <c r="L53" i="1"/>
  <c r="R53" i="1" s="1"/>
  <c r="M52" i="1"/>
  <c r="S52" i="1" s="1"/>
  <c r="L52" i="1"/>
  <c r="R52" i="1" s="1"/>
  <c r="M51" i="1"/>
  <c r="S51" i="1" s="1"/>
  <c r="L51" i="1"/>
  <c r="R51" i="1" s="1"/>
  <c r="M50" i="1"/>
  <c r="S50" i="1" s="1"/>
  <c r="L50" i="1"/>
  <c r="R50" i="1" s="1"/>
  <c r="M49" i="1"/>
  <c r="S49" i="1" s="1"/>
  <c r="L49" i="1"/>
  <c r="R49" i="1" s="1"/>
  <c r="M48" i="1"/>
  <c r="S48" i="1" s="1"/>
  <c r="L48" i="1"/>
  <c r="R48" i="1" s="1"/>
  <c r="M47" i="1"/>
  <c r="S47" i="1" s="1"/>
  <c r="L47" i="1"/>
  <c r="R47" i="1" s="1"/>
  <c r="M46" i="1"/>
  <c r="S46" i="1" s="1"/>
  <c r="L46" i="1"/>
  <c r="R46" i="1" s="1"/>
  <c r="M45" i="1"/>
  <c r="S45" i="1" s="1"/>
  <c r="L45" i="1"/>
  <c r="R45" i="1" s="1"/>
  <c r="M44" i="1"/>
  <c r="S44" i="1" s="1"/>
  <c r="L44" i="1"/>
  <c r="R44" i="1" s="1"/>
  <c r="M43" i="1"/>
  <c r="S43" i="1" s="1"/>
  <c r="L43" i="1"/>
  <c r="R43" i="1" s="1"/>
  <c r="M42" i="1"/>
  <c r="S42" i="1" s="1"/>
  <c r="L42" i="1"/>
  <c r="R42" i="1" s="1"/>
  <c r="M41" i="1"/>
  <c r="S41" i="1" s="1"/>
  <c r="L41" i="1"/>
  <c r="R41" i="1" s="1"/>
  <c r="M40" i="1"/>
  <c r="S40" i="1" s="1"/>
  <c r="L40" i="1"/>
  <c r="R40" i="1" s="1"/>
  <c r="M39" i="1"/>
  <c r="S39" i="1" s="1"/>
  <c r="L39" i="1"/>
  <c r="R39" i="1" s="1"/>
  <c r="M38" i="1"/>
  <c r="S38" i="1" s="1"/>
  <c r="L38" i="1"/>
  <c r="R38" i="1" s="1"/>
  <c r="M37" i="1"/>
  <c r="S37" i="1" s="1"/>
  <c r="L37" i="1"/>
  <c r="R37" i="1" s="1"/>
  <c r="M36" i="1"/>
  <c r="S36" i="1" s="1"/>
  <c r="L36" i="1"/>
  <c r="R36" i="1" s="1"/>
  <c r="M35" i="1"/>
  <c r="S35" i="1" s="1"/>
  <c r="L35" i="1"/>
  <c r="R35" i="1" s="1"/>
  <c r="M34" i="1"/>
  <c r="S34" i="1" s="1"/>
  <c r="L34" i="1"/>
  <c r="R34" i="1" s="1"/>
  <c r="M33" i="1"/>
  <c r="L33" i="1"/>
  <c r="R33" i="1" s="1"/>
  <c r="M32" i="1"/>
  <c r="S32" i="1" s="1"/>
  <c r="L32" i="1"/>
  <c r="R32" i="1" s="1"/>
  <c r="M31" i="1"/>
  <c r="S31" i="1" s="1"/>
  <c r="L31" i="1"/>
  <c r="R31" i="1" s="1"/>
  <c r="M30" i="1"/>
  <c r="S30" i="1" s="1"/>
  <c r="L30" i="1"/>
  <c r="R30" i="1" s="1"/>
  <c r="M29" i="1"/>
  <c r="S29" i="1" s="1"/>
  <c r="L29" i="1"/>
  <c r="R29" i="1" s="1"/>
  <c r="M28" i="1"/>
  <c r="S28" i="1" s="1"/>
  <c r="L28" i="1"/>
  <c r="R28" i="1" s="1"/>
  <c r="M27" i="1"/>
  <c r="S27" i="1" s="1"/>
  <c r="L27" i="1"/>
  <c r="R27" i="1" s="1"/>
  <c r="M26" i="1"/>
  <c r="S26" i="1" s="1"/>
  <c r="L26" i="1"/>
  <c r="M25" i="1"/>
  <c r="S25" i="1" s="1"/>
  <c r="L25" i="1"/>
  <c r="R25" i="1" s="1"/>
  <c r="M24" i="1"/>
  <c r="S24" i="1" s="1"/>
  <c r="L24" i="1"/>
  <c r="R24" i="1" s="1"/>
  <c r="M23" i="1"/>
  <c r="S23" i="1" s="1"/>
  <c r="L23" i="1"/>
  <c r="R23" i="1" s="1"/>
  <c r="M22" i="1"/>
  <c r="S22" i="1" s="1"/>
  <c r="L22" i="1"/>
  <c r="R22" i="1" s="1"/>
  <c r="M21" i="1"/>
  <c r="S21" i="1" s="1"/>
  <c r="L21" i="1"/>
  <c r="R21" i="1" s="1"/>
  <c r="M20" i="1"/>
  <c r="S20" i="1" s="1"/>
  <c r="L20" i="1"/>
  <c r="R20" i="1" s="1"/>
  <c r="M19" i="1"/>
  <c r="S19" i="1" s="1"/>
  <c r="L19" i="1"/>
  <c r="R19" i="1" s="1"/>
  <c r="M18" i="1"/>
  <c r="S18" i="1" s="1"/>
  <c r="L18" i="1"/>
  <c r="R18" i="1" s="1"/>
  <c r="M17" i="1"/>
  <c r="S17" i="1" s="1"/>
  <c r="L17" i="1"/>
  <c r="R17" i="1" s="1"/>
  <c r="M16" i="1"/>
  <c r="S16" i="1" s="1"/>
  <c r="L16" i="1"/>
  <c r="R16" i="1" s="1"/>
  <c r="M15" i="1"/>
  <c r="S15" i="1" s="1"/>
  <c r="L15" i="1"/>
  <c r="R15" i="1" s="1"/>
  <c r="M14" i="1"/>
  <c r="S14" i="1" s="1"/>
  <c r="L14" i="1"/>
  <c r="R14" i="1" s="1"/>
  <c r="M13" i="1"/>
  <c r="S13" i="1" s="1"/>
  <c r="L13" i="1"/>
  <c r="R13" i="1" s="1"/>
  <c r="M12" i="1"/>
  <c r="S12" i="1" s="1"/>
  <c r="L12" i="1"/>
  <c r="R12" i="1" s="1"/>
  <c r="M11" i="1"/>
  <c r="S11" i="1" s="1"/>
  <c r="L11" i="1"/>
  <c r="R11" i="1" s="1"/>
  <c r="M10" i="1"/>
  <c r="L10" i="1"/>
  <c r="R10" i="1" s="1"/>
  <c r="M9" i="1"/>
  <c r="S9" i="1" s="1"/>
  <c r="L9" i="1"/>
  <c r="R9" i="1" s="1"/>
  <c r="M8" i="1"/>
  <c r="S8" i="1" s="1"/>
  <c r="L8" i="1"/>
  <c r="R8" i="1" s="1"/>
  <c r="M7" i="1"/>
  <c r="S7" i="1" s="1"/>
  <c r="L7" i="1"/>
  <c r="R7" i="1" s="1"/>
  <c r="M6" i="1"/>
  <c r="S6" i="1" s="1"/>
  <c r="L6" i="1"/>
  <c r="R6" i="1" s="1"/>
  <c r="M5" i="1"/>
  <c r="S5" i="1" s="1"/>
  <c r="L5" i="1"/>
  <c r="R5" i="1" s="1"/>
  <c r="M4" i="1"/>
  <c r="S4" i="1" s="1"/>
  <c r="L4" i="1"/>
  <c r="R4" i="1" s="1"/>
  <c r="M3" i="1"/>
  <c r="S3" i="1" s="1"/>
  <c r="L3" i="1"/>
  <c r="R3" i="1" s="1"/>
  <c r="K83" i="1"/>
  <c r="Q83" i="1" s="1"/>
  <c r="J83" i="1"/>
  <c r="P83" i="1" s="1"/>
  <c r="I83" i="1"/>
  <c r="O83" i="1" s="1"/>
  <c r="K69" i="1"/>
  <c r="J69" i="1"/>
  <c r="P69" i="1" s="1"/>
  <c r="O69" i="1" l="1"/>
  <c r="I89" i="1"/>
  <c r="O89" i="1" s="1"/>
  <c r="J89" i="1"/>
  <c r="P92" i="1" s="1"/>
  <c r="K89" i="1"/>
  <c r="Q92" i="1" s="1"/>
  <c r="Q69" i="1"/>
  <c r="I92" i="1" l="1"/>
  <c r="O92" i="1"/>
  <c r="Q89" i="1"/>
  <c r="P89" i="1"/>
</calcChain>
</file>

<file path=xl/sharedStrings.xml><?xml version="1.0" encoding="utf-8"?>
<sst xmlns="http://schemas.openxmlformats.org/spreadsheetml/2006/main" count="167" uniqueCount="121">
  <si>
    <t>Архангельская</t>
  </si>
  <si>
    <t>Астраханская</t>
  </si>
  <si>
    <t>Бессарабская</t>
  </si>
  <si>
    <t xml:space="preserve">Варшавская </t>
  </si>
  <si>
    <t xml:space="preserve">Виленская </t>
  </si>
  <si>
    <t>Витебская</t>
  </si>
  <si>
    <t xml:space="preserve">Владимірская </t>
  </si>
  <si>
    <t xml:space="preserve">Вологодская </t>
  </si>
  <si>
    <t>Волынская</t>
  </si>
  <si>
    <t>Воронежская</t>
  </si>
  <si>
    <t xml:space="preserve">Вятская </t>
  </si>
  <si>
    <t xml:space="preserve">Гродненская </t>
  </si>
  <si>
    <t>Екатеринославская</t>
  </si>
  <si>
    <t>Енисейская</t>
  </si>
  <si>
    <t>Иркутская</t>
  </si>
  <si>
    <t>Казанская</t>
  </si>
  <si>
    <t>Калишская</t>
  </si>
  <si>
    <t>Калужская</t>
  </si>
  <si>
    <t xml:space="preserve">Кіевская </t>
  </si>
  <si>
    <t>Ковенская</t>
  </si>
  <si>
    <t>Костромская</t>
  </si>
  <si>
    <t>Курляндская</t>
  </si>
  <si>
    <t>Курская</t>
  </si>
  <si>
    <t>Кѣлецкая</t>
  </si>
  <si>
    <t>Ломжинская</t>
  </si>
  <si>
    <t>Люблинская</t>
  </si>
  <si>
    <t>Минская</t>
  </si>
  <si>
    <t xml:space="preserve">Могилевская </t>
  </si>
  <si>
    <t>Московская</t>
  </si>
  <si>
    <t>Нижегородская</t>
  </si>
  <si>
    <t xml:space="preserve">Новгородская </t>
  </si>
  <si>
    <t xml:space="preserve">Олонецкая </t>
  </si>
  <si>
    <t>Оренбургская</t>
  </si>
  <si>
    <t xml:space="preserve">Орловская </t>
  </si>
  <si>
    <t>Пензенская</t>
  </si>
  <si>
    <t>Пермская</t>
  </si>
  <si>
    <t>ГІетроковская</t>
  </si>
  <si>
    <t xml:space="preserve">Плоцкая </t>
  </si>
  <si>
    <t xml:space="preserve">Подольская </t>
  </si>
  <si>
    <t>губ</t>
  </si>
  <si>
    <t>чж NYY</t>
  </si>
  <si>
    <t>чр YY</t>
  </si>
  <si>
    <t>чс YY</t>
  </si>
  <si>
    <t>р YY</t>
  </si>
  <si>
    <t>с YY</t>
  </si>
  <si>
    <t>Лифляндская</t>
  </si>
  <si>
    <t>Полтавская</t>
  </si>
  <si>
    <t>Псковская</t>
  </si>
  <si>
    <t xml:space="preserve">Радомская </t>
  </si>
  <si>
    <t xml:space="preserve">Рязанская </t>
  </si>
  <si>
    <t xml:space="preserve">Самарская </t>
  </si>
  <si>
    <t xml:space="preserve">С-Петербургская </t>
  </si>
  <si>
    <t xml:space="preserve">Саратовская </t>
  </si>
  <si>
    <t xml:space="preserve">Симбирская </t>
  </si>
  <si>
    <t xml:space="preserve">Смоленская </t>
  </si>
  <si>
    <t>Сувалкская</t>
  </si>
  <si>
    <t xml:space="preserve">Сѣдлецкая </t>
  </si>
  <si>
    <t>Таврическая</t>
  </si>
  <si>
    <t>Тамбовская</t>
  </si>
  <si>
    <t xml:space="preserve">Тверская </t>
  </si>
  <si>
    <t xml:space="preserve">Тобольская </t>
  </si>
  <si>
    <t xml:space="preserve">Томская </t>
  </si>
  <si>
    <t>Тульская</t>
  </si>
  <si>
    <t xml:space="preserve">Уфимская </t>
  </si>
  <si>
    <t xml:space="preserve">Харьковская  </t>
  </si>
  <si>
    <t>Херсонская</t>
  </si>
  <si>
    <t>Черниговская</t>
  </si>
  <si>
    <t>Ярославская</t>
  </si>
  <si>
    <t xml:space="preserve">Итого </t>
  </si>
  <si>
    <t>Акмолинская</t>
  </si>
  <si>
    <t>Амурская</t>
  </si>
  <si>
    <t xml:space="preserve">Забайкальская </t>
  </si>
  <si>
    <t xml:space="preserve">Войска Донскаго </t>
  </si>
  <si>
    <t xml:space="preserve">Семипалатинская </t>
  </si>
  <si>
    <t xml:space="preserve">Семирѣченская </t>
  </si>
  <si>
    <t xml:space="preserve">Тургайская </t>
  </si>
  <si>
    <t>Уральская</t>
  </si>
  <si>
    <t>Якутская</t>
  </si>
  <si>
    <t xml:space="preserve">Ферганская </t>
  </si>
  <si>
    <t xml:space="preserve">Эстляндская  </t>
  </si>
  <si>
    <t xml:space="preserve">Приморская </t>
  </si>
  <si>
    <t>Сыръ-Дарьинская</t>
  </si>
  <si>
    <t xml:space="preserve">Севастопольское  </t>
  </si>
  <si>
    <t>Всего въ Имперіи</t>
  </si>
  <si>
    <t>—</t>
  </si>
  <si>
    <t>v-чр</t>
  </si>
  <si>
    <t>v-чс</t>
  </si>
  <si>
    <t>v-р</t>
  </si>
  <si>
    <t>v-с</t>
  </si>
  <si>
    <t>v-diff-чр</t>
  </si>
  <si>
    <t>v-diff-чс</t>
  </si>
  <si>
    <t>v-diff-р</t>
  </si>
  <si>
    <t>v-diff-с</t>
  </si>
  <si>
    <t>v-чж</t>
  </si>
  <si>
    <t>v-diff-чж</t>
  </si>
  <si>
    <t>в т.ч. Г Москва</t>
  </si>
  <si>
    <t>Итого градоначалия</t>
  </si>
  <si>
    <t>Итого области</t>
  </si>
  <si>
    <t>Население (но не число рождений и смертей) Керчи, Одессы и Кронштадта входит в губернии</t>
  </si>
  <si>
    <t>В Семипалатниской, Уральской и Якутской областях известно число родившихся только православных</t>
  </si>
  <si>
    <t>Число жителей</t>
  </si>
  <si>
    <t>Приморской</t>
  </si>
  <si>
    <t>Сыр-Дарьинской обл</t>
  </si>
  <si>
    <t>взято за 1882 год</t>
  </si>
  <si>
    <t xml:space="preserve">[уже] Керчь-Еникольское </t>
  </si>
  <si>
    <t xml:space="preserve">[уже] Одесское  </t>
  </si>
  <si>
    <t xml:space="preserve">[уже] Кронштадтское </t>
  </si>
  <si>
    <t>[уже учтённые]</t>
  </si>
  <si>
    <t>Из суммы жителей скорее всего вычтены пригородные участки Петербурга (64916)</t>
  </si>
  <si>
    <t>в т.ч. Г С-Петербург</t>
  </si>
  <si>
    <t>Необходимо прибавить число рождений и смертей (но не население)</t>
  </si>
  <si>
    <t>из</t>
  </si>
  <si>
    <t>к</t>
  </si>
  <si>
    <t>В губернские цифры включено только население этих трёх административных единиц. Числа рождений и смертей в губернские итоги не включены.</t>
  </si>
  <si>
    <t>добавить к</t>
  </si>
  <si>
    <t>[правка+] Керчь-Еникольское 1882</t>
  </si>
  <si>
    <t>[правка+] Севастополь 1882</t>
  </si>
  <si>
    <t>[правка+] Кронштадтское 1883</t>
  </si>
  <si>
    <t>[правка+] Одесское  1883</t>
  </si>
  <si>
    <t>Г Варшава</t>
  </si>
  <si>
    <t>Варшава неверно указана "в т.ч.", убрано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</si>
</sst>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164" fontId="0" fillId="0" borderId="0" xfId="0" applyNumberFormat="1"/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3" fontId="0" fillId="2" borderId="0" xfId="0" applyNumberFormat="1" applyFill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8FD2-6D4B-44C4-AE7F-118FADC183BA}">
  <dimension ref="A3:E25"/>
  <sheetViews>
    <sheetView workbookViewId="0">
      <selection activeCell="A26" sqref="A26"/>
    </sheetView>
  </sheetViews>
  <sheetFormatPr defaultRowHeight="14.4" x14ac:dyDescent="0.55000000000000004"/>
  <sheetData>
    <row r="3" spans="1:2" x14ac:dyDescent="0.55000000000000004">
      <c r="A3" t="s">
        <v>98</v>
      </c>
    </row>
    <row r="4" spans="1:2" x14ac:dyDescent="0.55000000000000004">
      <c r="A4" t="s">
        <v>113</v>
      </c>
    </row>
    <row r="6" spans="1:2" x14ac:dyDescent="0.55000000000000004">
      <c r="A6" t="s">
        <v>99</v>
      </c>
    </row>
    <row r="9" spans="1:2" x14ac:dyDescent="0.55000000000000004">
      <c r="A9" t="s">
        <v>100</v>
      </c>
    </row>
    <row r="10" spans="1:2" x14ac:dyDescent="0.55000000000000004">
      <c r="B10" t="s">
        <v>101</v>
      </c>
    </row>
    <row r="11" spans="1:2" x14ac:dyDescent="0.55000000000000004">
      <c r="B11" t="s">
        <v>102</v>
      </c>
    </row>
    <row r="12" spans="1:2" x14ac:dyDescent="0.55000000000000004">
      <c r="A12" t="s">
        <v>103</v>
      </c>
    </row>
    <row r="14" spans="1:2" x14ac:dyDescent="0.55000000000000004">
      <c r="A14" t="s">
        <v>108</v>
      </c>
    </row>
    <row r="17" spans="1:5" x14ac:dyDescent="0.55000000000000004">
      <c r="A17" t="s">
        <v>110</v>
      </c>
    </row>
    <row r="19" spans="1:5" x14ac:dyDescent="0.55000000000000004">
      <c r="B19" s="10" t="s">
        <v>111</v>
      </c>
      <c r="E19" s="10" t="s">
        <v>112</v>
      </c>
    </row>
    <row r="20" spans="1:5" x14ac:dyDescent="0.55000000000000004">
      <c r="B20" t="s">
        <v>106</v>
      </c>
      <c r="E20" t="s">
        <v>51</v>
      </c>
    </row>
    <row r="21" spans="1:5" x14ac:dyDescent="0.55000000000000004">
      <c r="B21" t="s">
        <v>104</v>
      </c>
      <c r="E21" t="s">
        <v>57</v>
      </c>
    </row>
    <row r="22" spans="1:5" x14ac:dyDescent="0.55000000000000004">
      <c r="B22" t="s">
        <v>105</v>
      </c>
      <c r="E22" t="s">
        <v>65</v>
      </c>
    </row>
    <row r="25" spans="1:5" x14ac:dyDescent="0.55000000000000004">
      <c r="A25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2F2E-1F4D-4B0A-A4DE-D4804FA0BCCC}">
  <dimension ref="A1:S97"/>
  <sheetViews>
    <sheetView tabSelected="1" zoomScaleNormal="100" workbookViewId="0">
      <pane ySplit="1" topLeftCell="A2" activePane="bottomLeft" state="frozen"/>
      <selection pane="bottomLeft" activeCell="A7" sqref="A7"/>
    </sheetView>
  </sheetViews>
  <sheetFormatPr defaultRowHeight="14.4" x14ac:dyDescent="0.55000000000000004"/>
  <cols>
    <col min="1" max="1" width="30.5234375" customWidth="1"/>
    <col min="2" max="2" width="11" style="1" customWidth="1"/>
    <col min="3" max="3" width="10.3671875" style="1" customWidth="1"/>
    <col min="4" max="4" width="12.05078125" style="1" customWidth="1"/>
    <col min="5" max="5" width="5.26171875" style="2" customWidth="1"/>
    <col min="6" max="6" width="7.68359375" style="2" bestFit="1" customWidth="1"/>
    <col min="7" max="7" width="12.41796875" style="2" customWidth="1"/>
    <col min="9" max="9" width="9.9453125" bestFit="1" customWidth="1"/>
    <col min="12" max="13" width="8.83984375" style="2"/>
  </cols>
  <sheetData>
    <row r="1" spans="1:19" x14ac:dyDescent="0.55000000000000004">
      <c r="A1" s="4" t="s">
        <v>39</v>
      </c>
      <c r="B1" s="5" t="s">
        <v>40</v>
      </c>
      <c r="C1" s="5" t="s">
        <v>41</v>
      </c>
      <c r="D1" s="5" t="s">
        <v>42</v>
      </c>
      <c r="E1" s="6" t="s">
        <v>43</v>
      </c>
      <c r="F1" s="6" t="s">
        <v>44</v>
      </c>
      <c r="G1" s="6" t="s">
        <v>114</v>
      </c>
      <c r="I1" s="4" t="s">
        <v>93</v>
      </c>
      <c r="J1" s="5" t="s">
        <v>85</v>
      </c>
      <c r="K1" s="5" t="s">
        <v>86</v>
      </c>
      <c r="L1" s="6" t="s">
        <v>87</v>
      </c>
      <c r="M1" s="6" t="s">
        <v>88</v>
      </c>
      <c r="N1" s="7"/>
      <c r="O1" s="4" t="s">
        <v>94</v>
      </c>
      <c r="P1" s="5" t="s">
        <v>89</v>
      </c>
      <c r="Q1" s="5" t="s">
        <v>90</v>
      </c>
      <c r="R1" s="6" t="s">
        <v>91</v>
      </c>
      <c r="S1" s="6" t="s">
        <v>92</v>
      </c>
    </row>
    <row r="3" spans="1:19" x14ac:dyDescent="0.55000000000000004">
      <c r="A3" t="s">
        <v>0</v>
      </c>
      <c r="B3" s="1">
        <v>318429</v>
      </c>
      <c r="C3" s="1">
        <v>12822</v>
      </c>
      <c r="D3" s="1">
        <v>8720</v>
      </c>
      <c r="E3" s="2">
        <v>4</v>
      </c>
      <c r="F3" s="2">
        <v>2.7</v>
      </c>
      <c r="L3" s="2">
        <f>C3/B3*100</f>
        <v>4.0266433019605623</v>
      </c>
      <c r="M3" s="2">
        <f>D3/B3*100</f>
        <v>2.7384440487518411</v>
      </c>
      <c r="R3" s="2">
        <f>E3-L3</f>
        <v>-2.6643301960562304E-2</v>
      </c>
      <c r="S3" s="2">
        <f>F3-M3</f>
        <v>-3.8444048751840931E-2</v>
      </c>
    </row>
    <row r="4" spans="1:19" x14ac:dyDescent="0.55000000000000004">
      <c r="A4" t="s">
        <v>1</v>
      </c>
      <c r="B4" s="1">
        <v>790880</v>
      </c>
      <c r="C4" s="1">
        <v>24929</v>
      </c>
      <c r="D4" s="1">
        <v>22757</v>
      </c>
      <c r="E4" s="2">
        <v>3.1</v>
      </c>
      <c r="F4" s="2">
        <v>2.9</v>
      </c>
      <c r="L4" s="2">
        <f t="shared" ref="L4:L67" si="0">C4/B4*100</f>
        <v>3.1520584665183087</v>
      </c>
      <c r="M4" s="2">
        <f t="shared" ref="M4:M67" si="1">D4/B4*100</f>
        <v>2.8774276755007078</v>
      </c>
      <c r="R4" s="2">
        <f t="shared" ref="R4:R67" si="2">E4-L4</f>
        <v>-5.2058466518308588E-2</v>
      </c>
      <c r="S4" s="2">
        <f t="shared" ref="S4:S67" si="3">F4-M4</f>
        <v>2.257232449929214E-2</v>
      </c>
    </row>
    <row r="5" spans="1:19" x14ac:dyDescent="0.55000000000000004">
      <c r="A5" t="s">
        <v>2</v>
      </c>
      <c r="B5" s="1">
        <v>1369075</v>
      </c>
      <c r="C5" s="1">
        <v>66550</v>
      </c>
      <c r="D5" s="1">
        <v>40626</v>
      </c>
      <c r="E5" s="2">
        <v>4.8</v>
      </c>
      <c r="F5" s="2">
        <v>2.9</v>
      </c>
      <c r="L5" s="2">
        <f t="shared" si="0"/>
        <v>4.8609462593356829</v>
      </c>
      <c r="M5" s="2">
        <f t="shared" si="1"/>
        <v>2.9674049997260923</v>
      </c>
      <c r="R5" s="2">
        <f t="shared" si="2"/>
        <v>-6.0946259335683095E-2</v>
      </c>
      <c r="S5" s="2">
        <f t="shared" si="3"/>
        <v>-6.7404999726092374E-2</v>
      </c>
    </row>
    <row r="6" spans="1:19" x14ac:dyDescent="0.55000000000000004">
      <c r="A6" t="s">
        <v>3</v>
      </c>
      <c r="B6" s="1">
        <v>940998</v>
      </c>
      <c r="C6" s="1">
        <v>37879</v>
      </c>
      <c r="D6" s="1">
        <v>23967</v>
      </c>
      <c r="E6" s="2">
        <v>4</v>
      </c>
      <c r="F6" s="2">
        <v>2.5</v>
      </c>
      <c r="L6" s="2">
        <f t="shared" si="0"/>
        <v>4.0254070678152338</v>
      </c>
      <c r="M6" s="2">
        <f t="shared" si="1"/>
        <v>2.5469767204606173</v>
      </c>
      <c r="R6" s="2">
        <f t="shared" si="2"/>
        <v>-2.540706781523383E-2</v>
      </c>
      <c r="S6" s="2">
        <f t="shared" si="3"/>
        <v>-4.6976720460617294E-2</v>
      </c>
    </row>
    <row r="7" spans="1:19" x14ac:dyDescent="0.55000000000000004">
      <c r="A7" s="11" t="s">
        <v>119</v>
      </c>
      <c r="B7" s="1">
        <v>391491</v>
      </c>
      <c r="C7" s="1">
        <v>14695</v>
      </c>
      <c r="D7" s="1">
        <v>11409</v>
      </c>
      <c r="E7" s="2">
        <v>3.7</v>
      </c>
      <c r="F7" s="2">
        <v>2.9</v>
      </c>
      <c r="L7" s="2">
        <f t="shared" si="0"/>
        <v>3.7535984224413843</v>
      </c>
      <c r="M7" s="2">
        <f t="shared" si="1"/>
        <v>2.9142432393081834</v>
      </c>
      <c r="R7" s="2">
        <f t="shared" si="2"/>
        <v>-5.359842244138413E-2</v>
      </c>
      <c r="S7" s="2">
        <f t="shared" si="3"/>
        <v>-1.4243239308183497E-2</v>
      </c>
    </row>
    <row r="8" spans="1:19" x14ac:dyDescent="0.55000000000000004">
      <c r="A8" t="s">
        <v>4</v>
      </c>
      <c r="B8" s="1">
        <v>1223262</v>
      </c>
      <c r="C8" s="1">
        <v>50105</v>
      </c>
      <c r="D8" s="1">
        <v>28151</v>
      </c>
      <c r="E8" s="2">
        <v>4</v>
      </c>
      <c r="F8" s="2">
        <v>2.2999999999999998</v>
      </c>
      <c r="L8" s="2">
        <f t="shared" si="0"/>
        <v>4.0960154079829181</v>
      </c>
      <c r="M8" s="2">
        <f t="shared" si="1"/>
        <v>2.3013058527118475</v>
      </c>
      <c r="R8" s="2">
        <f t="shared" si="2"/>
        <v>-9.6015407982918077E-2</v>
      </c>
      <c r="S8" s="2">
        <f t="shared" si="3"/>
        <v>-1.3058527118476881E-3</v>
      </c>
    </row>
    <row r="9" spans="1:19" x14ac:dyDescent="0.55000000000000004">
      <c r="A9" t="s">
        <v>5</v>
      </c>
      <c r="B9" s="1">
        <v>1201224</v>
      </c>
      <c r="C9" s="1">
        <v>52048</v>
      </c>
      <c r="D9" s="1">
        <v>29983</v>
      </c>
      <c r="E9" s="2">
        <v>4.3</v>
      </c>
      <c r="F9" s="2">
        <v>2.4</v>
      </c>
      <c r="L9" s="2">
        <f t="shared" si="0"/>
        <v>4.3329137612968101</v>
      </c>
      <c r="M9" s="2">
        <f t="shared" si="1"/>
        <v>2.4960373752106184</v>
      </c>
      <c r="R9" s="2">
        <f t="shared" si="2"/>
        <v>-3.2913761296810229E-2</v>
      </c>
      <c r="S9" s="2">
        <f t="shared" si="3"/>
        <v>-9.6037375210618503E-2</v>
      </c>
    </row>
    <row r="10" spans="1:19" x14ac:dyDescent="0.55000000000000004">
      <c r="A10" t="s">
        <v>6</v>
      </c>
      <c r="B10" s="1">
        <v>1359327</v>
      </c>
      <c r="C10" s="1">
        <v>71839</v>
      </c>
      <c r="D10" s="1">
        <v>59184</v>
      </c>
      <c r="E10" s="2">
        <v>5.2</v>
      </c>
      <c r="F10" s="2">
        <v>4.3</v>
      </c>
      <c r="L10" s="2">
        <f t="shared" si="0"/>
        <v>5.2848946574297431</v>
      </c>
      <c r="M10" s="2">
        <f t="shared" si="1"/>
        <v>4.3539192556316468</v>
      </c>
      <c r="R10" s="2">
        <f t="shared" si="2"/>
        <v>-8.4894657429742892E-2</v>
      </c>
      <c r="S10" s="2">
        <f t="shared" si="3"/>
        <v>-5.3919255631647012E-2</v>
      </c>
    </row>
    <row r="11" spans="1:19" x14ac:dyDescent="0.55000000000000004">
      <c r="A11" t="s">
        <v>7</v>
      </c>
      <c r="B11" s="1">
        <v>1172253</v>
      </c>
      <c r="C11" s="1">
        <v>52398</v>
      </c>
      <c r="D11" s="1">
        <v>41596</v>
      </c>
      <c r="E11" s="2">
        <v>4.4000000000000004</v>
      </c>
      <c r="F11" s="2">
        <v>3.5</v>
      </c>
      <c r="L11" s="2">
        <f t="shared" si="0"/>
        <v>4.4698542038280129</v>
      </c>
      <c r="M11" s="2">
        <f t="shared" si="1"/>
        <v>3.5483807676329255</v>
      </c>
      <c r="R11" s="2">
        <f t="shared" si="2"/>
        <v>-6.9854203828012551E-2</v>
      </c>
      <c r="S11" s="2">
        <f t="shared" si="3"/>
        <v>-4.8380767632925537E-2</v>
      </c>
    </row>
    <row r="12" spans="1:19" x14ac:dyDescent="0.55000000000000004">
      <c r="A12" t="s">
        <v>8</v>
      </c>
      <c r="B12" s="1">
        <v>2096475</v>
      </c>
      <c r="C12" s="1">
        <v>104135</v>
      </c>
      <c r="D12" s="1">
        <v>70070</v>
      </c>
      <c r="E12" s="2">
        <v>4.9000000000000004</v>
      </c>
      <c r="F12" s="2">
        <v>3.3</v>
      </c>
      <c r="L12" s="2">
        <f t="shared" si="0"/>
        <v>4.9671472352401054</v>
      </c>
      <c r="M12" s="2">
        <f t="shared" si="1"/>
        <v>3.3422769172062625</v>
      </c>
      <c r="R12" s="2">
        <f t="shared" si="2"/>
        <v>-6.7147235240105019E-2</v>
      </c>
      <c r="S12" s="2">
        <f t="shared" si="3"/>
        <v>-4.2276917206262699E-2</v>
      </c>
    </row>
    <row r="13" spans="1:19" x14ac:dyDescent="0.55000000000000004">
      <c r="A13" t="s">
        <v>9</v>
      </c>
      <c r="B13" s="1">
        <v>2465966</v>
      </c>
      <c r="C13" s="1">
        <v>127465</v>
      </c>
      <c r="D13" s="1">
        <v>95156</v>
      </c>
      <c r="E13" s="2">
        <v>5.0999999999999996</v>
      </c>
      <c r="F13" s="2">
        <v>3.8</v>
      </c>
      <c r="L13" s="2">
        <f t="shared" si="0"/>
        <v>5.168968266391345</v>
      </c>
      <c r="M13" s="2">
        <f t="shared" si="1"/>
        <v>3.8587717754421593</v>
      </c>
      <c r="R13" s="2">
        <f t="shared" si="2"/>
        <v>-6.8968266391345345E-2</v>
      </c>
      <c r="S13" s="2">
        <f t="shared" si="3"/>
        <v>-5.8771775442159502E-2</v>
      </c>
    </row>
    <row r="14" spans="1:19" x14ac:dyDescent="0.55000000000000004">
      <c r="A14" t="s">
        <v>10</v>
      </c>
      <c r="B14" s="1">
        <v>2774138</v>
      </c>
      <c r="C14" s="1">
        <v>150297</v>
      </c>
      <c r="D14" s="1">
        <v>112205</v>
      </c>
      <c r="E14" s="2">
        <v>5.4</v>
      </c>
      <c r="F14" s="2">
        <v>4</v>
      </c>
      <c r="L14" s="2">
        <f t="shared" si="0"/>
        <v>5.4177910399554747</v>
      </c>
      <c r="M14" s="2">
        <f t="shared" si="1"/>
        <v>4.0446798248681217</v>
      </c>
      <c r="R14" s="2">
        <f t="shared" si="2"/>
        <v>-1.7791039955474375E-2</v>
      </c>
      <c r="S14" s="2">
        <f t="shared" si="3"/>
        <v>-4.467982486812172E-2</v>
      </c>
    </row>
    <row r="15" spans="1:19" x14ac:dyDescent="0.55000000000000004">
      <c r="A15" t="s">
        <v>11</v>
      </c>
      <c r="B15" s="1">
        <v>1256883</v>
      </c>
      <c r="C15" s="1">
        <v>54331</v>
      </c>
      <c r="D15" s="1">
        <v>33959</v>
      </c>
      <c r="E15" s="2">
        <v>4.3</v>
      </c>
      <c r="F15" s="2">
        <v>2.7</v>
      </c>
      <c r="L15" s="2">
        <f t="shared" si="0"/>
        <v>4.3226776080192026</v>
      </c>
      <c r="M15" s="2">
        <f t="shared" si="1"/>
        <v>2.7018425740502496</v>
      </c>
      <c r="R15" s="2">
        <f t="shared" si="2"/>
        <v>-2.2677608019202822E-2</v>
      </c>
      <c r="S15" s="2">
        <f t="shared" si="3"/>
        <v>-1.842574050249457E-3</v>
      </c>
    </row>
    <row r="16" spans="1:19" x14ac:dyDescent="0.55000000000000004">
      <c r="A16" t="s">
        <v>12</v>
      </c>
      <c r="B16" s="1">
        <v>1696387</v>
      </c>
      <c r="C16" s="1">
        <v>97805</v>
      </c>
      <c r="D16" s="1">
        <v>57969</v>
      </c>
      <c r="E16" s="2">
        <v>5.7</v>
      </c>
      <c r="F16" s="2">
        <v>3.4</v>
      </c>
      <c r="L16" s="2">
        <f t="shared" si="0"/>
        <v>5.7654886532377336</v>
      </c>
      <c r="M16" s="2">
        <f t="shared" si="1"/>
        <v>3.4172037394768999</v>
      </c>
      <c r="R16" s="2">
        <f t="shared" si="2"/>
        <v>-6.5488653237733452E-2</v>
      </c>
      <c r="S16" s="2">
        <f t="shared" si="3"/>
        <v>-1.7203739476900015E-2</v>
      </c>
    </row>
    <row r="17" spans="1:19" x14ac:dyDescent="0.55000000000000004">
      <c r="A17" t="s">
        <v>13</v>
      </c>
      <c r="B17" s="1">
        <v>429592</v>
      </c>
      <c r="C17" s="1">
        <v>22139</v>
      </c>
      <c r="D17" s="1">
        <v>14708</v>
      </c>
      <c r="E17" s="2">
        <v>5.0999999999999996</v>
      </c>
      <c r="F17" s="2">
        <v>3.4</v>
      </c>
      <c r="L17" s="2">
        <f t="shared" si="0"/>
        <v>5.1534944784819086</v>
      </c>
      <c r="M17" s="2">
        <f t="shared" si="1"/>
        <v>3.4237136631967076</v>
      </c>
      <c r="R17" s="2">
        <f t="shared" si="2"/>
        <v>-5.3494478481908914E-2</v>
      </c>
      <c r="S17" s="2">
        <f t="shared" si="3"/>
        <v>-2.3713663196707646E-2</v>
      </c>
    </row>
    <row r="18" spans="1:19" x14ac:dyDescent="0.55000000000000004">
      <c r="A18" t="s">
        <v>14</v>
      </c>
      <c r="B18" s="1">
        <v>398873</v>
      </c>
      <c r="C18" s="1">
        <v>17661</v>
      </c>
      <c r="D18" s="1">
        <v>12000</v>
      </c>
      <c r="E18" s="2">
        <v>4.4000000000000004</v>
      </c>
      <c r="F18" s="2">
        <v>3</v>
      </c>
      <c r="L18" s="2">
        <f t="shared" si="0"/>
        <v>4.427725115512958</v>
      </c>
      <c r="M18" s="2">
        <f t="shared" si="1"/>
        <v>3.0084763822068679</v>
      </c>
      <c r="R18" s="2">
        <f t="shared" si="2"/>
        <v>-2.7725115512957643E-2</v>
      </c>
      <c r="S18" s="2">
        <f t="shared" si="3"/>
        <v>-8.4763822068678607E-3</v>
      </c>
    </row>
    <row r="19" spans="1:19" x14ac:dyDescent="0.55000000000000004">
      <c r="A19" t="s">
        <v>15</v>
      </c>
      <c r="B19" s="1">
        <v>1992985</v>
      </c>
      <c r="C19" s="1">
        <v>92010</v>
      </c>
      <c r="D19" s="1">
        <v>70860</v>
      </c>
      <c r="E19" s="2">
        <v>4.5999999999999996</v>
      </c>
      <c r="F19" s="2">
        <v>3.5</v>
      </c>
      <c r="L19" s="2">
        <f t="shared" si="0"/>
        <v>4.6166930508759476</v>
      </c>
      <c r="M19" s="2">
        <f t="shared" si="1"/>
        <v>3.5554708138796833</v>
      </c>
      <c r="R19" s="2">
        <f t="shared" si="2"/>
        <v>-1.6693050875947968E-2</v>
      </c>
      <c r="S19" s="2">
        <f t="shared" si="3"/>
        <v>-5.5470813879683334E-2</v>
      </c>
    </row>
    <row r="20" spans="1:19" x14ac:dyDescent="0.55000000000000004">
      <c r="A20" t="s">
        <v>16</v>
      </c>
      <c r="B20" s="1">
        <v>784939</v>
      </c>
      <c r="C20" s="1">
        <v>27987</v>
      </c>
      <c r="D20" s="1">
        <v>17807</v>
      </c>
      <c r="E20" s="2">
        <v>3.5</v>
      </c>
      <c r="F20" s="2">
        <v>2.2000000000000002</v>
      </c>
      <c r="L20" s="2">
        <f t="shared" si="0"/>
        <v>3.5654999942670704</v>
      </c>
      <c r="M20" s="2">
        <f t="shared" si="1"/>
        <v>2.2685839281778581</v>
      </c>
      <c r="R20" s="2">
        <f t="shared" si="2"/>
        <v>-6.5499994267070427E-2</v>
      </c>
      <c r="S20" s="2">
        <f t="shared" si="3"/>
        <v>-6.8583928177857967E-2</v>
      </c>
    </row>
    <row r="21" spans="1:19" x14ac:dyDescent="0.55000000000000004">
      <c r="A21" t="s">
        <v>17</v>
      </c>
      <c r="B21" s="1">
        <v>1156617</v>
      </c>
      <c r="C21" s="1">
        <v>54868</v>
      </c>
      <c r="D21" s="1">
        <v>38588</v>
      </c>
      <c r="E21" s="2">
        <v>4.5999999999999996</v>
      </c>
      <c r="F21" s="2">
        <v>3.3</v>
      </c>
      <c r="L21" s="2">
        <f t="shared" si="0"/>
        <v>4.7438348217257742</v>
      </c>
      <c r="M21" s="2">
        <f t="shared" si="1"/>
        <v>3.3362815867309576</v>
      </c>
      <c r="R21" s="2">
        <f t="shared" si="2"/>
        <v>-0.14383482172577455</v>
      </c>
      <c r="S21" s="2">
        <f t="shared" si="3"/>
        <v>-3.6281586730957827E-2</v>
      </c>
    </row>
    <row r="22" spans="1:19" x14ac:dyDescent="0.55000000000000004">
      <c r="A22" t="s">
        <v>18</v>
      </c>
      <c r="B22" s="1">
        <v>2492112</v>
      </c>
      <c r="C22" s="1">
        <v>144414</v>
      </c>
      <c r="D22" s="1">
        <v>100804</v>
      </c>
      <c r="E22" s="2">
        <v>5.7</v>
      </c>
      <c r="F22" s="2">
        <v>4</v>
      </c>
      <c r="L22" s="2">
        <f t="shared" si="0"/>
        <v>5.7948438914462912</v>
      </c>
      <c r="M22" s="2">
        <f t="shared" si="1"/>
        <v>4.0449225395969357</v>
      </c>
      <c r="R22" s="2">
        <f t="shared" si="2"/>
        <v>-9.4843891446291018E-2</v>
      </c>
      <c r="S22" s="2">
        <f t="shared" si="3"/>
        <v>-4.4922539596935707E-2</v>
      </c>
    </row>
    <row r="23" spans="1:19" x14ac:dyDescent="0.55000000000000004">
      <c r="A23" t="s">
        <v>19</v>
      </c>
      <c r="B23" s="1">
        <v>1461461</v>
      </c>
      <c r="C23" s="1">
        <v>49705</v>
      </c>
      <c r="D23" s="1">
        <v>31915</v>
      </c>
      <c r="E23" s="2">
        <v>3.4</v>
      </c>
      <c r="F23" s="2">
        <v>2.1</v>
      </c>
      <c r="L23" s="2">
        <f t="shared" si="0"/>
        <v>3.4010486766324934</v>
      </c>
      <c r="M23" s="2">
        <f t="shared" si="1"/>
        <v>2.1837736347394832</v>
      </c>
      <c r="R23" s="2">
        <f t="shared" si="2"/>
        <v>-1.0486766324935282E-3</v>
      </c>
      <c r="S23" s="2">
        <f t="shared" si="3"/>
        <v>-8.3773634739483072E-2</v>
      </c>
    </row>
    <row r="24" spans="1:19" x14ac:dyDescent="0.55000000000000004">
      <c r="A24" t="s">
        <v>20</v>
      </c>
      <c r="B24" s="1">
        <v>1290399</v>
      </c>
      <c r="C24" s="1">
        <v>59887</v>
      </c>
      <c r="D24" s="1">
        <v>48059</v>
      </c>
      <c r="E24" s="2">
        <v>4.5999999999999996</v>
      </c>
      <c r="F24" s="2">
        <v>3.7</v>
      </c>
      <c r="L24" s="2">
        <f t="shared" si="0"/>
        <v>4.6409676386915981</v>
      </c>
      <c r="M24" s="2">
        <f t="shared" si="1"/>
        <v>3.7243519252572264</v>
      </c>
      <c r="R24" s="2">
        <f t="shared" si="2"/>
        <v>-4.0967638691598474E-2</v>
      </c>
      <c r="S24" s="2">
        <f t="shared" si="3"/>
        <v>-2.4351925257226181E-2</v>
      </c>
    </row>
    <row r="25" spans="1:19" x14ac:dyDescent="0.55000000000000004">
      <c r="A25" t="s">
        <v>21</v>
      </c>
      <c r="B25" s="1">
        <v>637028</v>
      </c>
      <c r="C25" s="1">
        <v>19373</v>
      </c>
      <c r="D25" s="1">
        <v>12585</v>
      </c>
      <c r="E25" s="2">
        <v>3</v>
      </c>
      <c r="F25" s="2">
        <v>1.9</v>
      </c>
      <c r="L25" s="2">
        <f t="shared" si="0"/>
        <v>3.0411536070627978</v>
      </c>
      <c r="M25" s="2">
        <f t="shared" si="1"/>
        <v>1.9755803512561458</v>
      </c>
      <c r="R25" s="2">
        <f t="shared" si="2"/>
        <v>-4.1153607062797803E-2</v>
      </c>
      <c r="S25" s="2">
        <f t="shared" si="3"/>
        <v>-7.5580351256145928E-2</v>
      </c>
    </row>
    <row r="26" spans="1:19" x14ac:dyDescent="0.55000000000000004">
      <c r="A26" t="s">
        <v>22</v>
      </c>
      <c r="B26" s="1">
        <v>2120250</v>
      </c>
      <c r="C26" s="1">
        <v>115184</v>
      </c>
      <c r="D26" s="1">
        <v>87741</v>
      </c>
      <c r="E26" s="2">
        <v>5.4</v>
      </c>
      <c r="F26" s="2">
        <v>4.0999999999999996</v>
      </c>
      <c r="L26" s="2">
        <f t="shared" si="0"/>
        <v>5.4325669142789765</v>
      </c>
      <c r="M26" s="2">
        <f t="shared" si="1"/>
        <v>4.1382384152812168</v>
      </c>
      <c r="R26" s="2">
        <f t="shared" si="2"/>
        <v>-3.2566914278976178E-2</v>
      </c>
      <c r="S26" s="2">
        <f t="shared" si="3"/>
        <v>-3.8238415281217186E-2</v>
      </c>
    </row>
    <row r="27" spans="1:19" x14ac:dyDescent="0.55000000000000004">
      <c r="A27" t="s">
        <v>23</v>
      </c>
      <c r="B27" s="1">
        <v>643629</v>
      </c>
      <c r="C27" s="1">
        <v>26712</v>
      </c>
      <c r="D27" s="1">
        <v>16602</v>
      </c>
      <c r="E27" s="2">
        <v>4.0999999999999996</v>
      </c>
      <c r="F27" s="2">
        <v>2.5</v>
      </c>
      <c r="L27" s="2">
        <f t="shared" si="0"/>
        <v>4.1502169728212994</v>
      </c>
      <c r="M27" s="2">
        <f t="shared" si="1"/>
        <v>2.5794362901609471</v>
      </c>
      <c r="R27" s="2">
        <f t="shared" si="2"/>
        <v>-5.0216972821299777E-2</v>
      </c>
      <c r="S27" s="2">
        <f t="shared" si="3"/>
        <v>-7.9436290160947109E-2</v>
      </c>
    </row>
    <row r="28" spans="1:19" x14ac:dyDescent="0.55000000000000004">
      <c r="A28" t="s">
        <v>45</v>
      </c>
      <c r="B28" s="1">
        <v>1186607</v>
      </c>
      <c r="C28" s="1">
        <v>38363</v>
      </c>
      <c r="D28" s="1">
        <v>25725</v>
      </c>
      <c r="E28" s="2">
        <v>3.2</v>
      </c>
      <c r="F28" s="2">
        <v>2.1</v>
      </c>
      <c r="L28" s="2">
        <f t="shared" si="0"/>
        <v>3.23299963677949</v>
      </c>
      <c r="M28" s="2">
        <f t="shared" si="1"/>
        <v>2.1679460849295515</v>
      </c>
      <c r="R28" s="2">
        <f t="shared" si="2"/>
        <v>-3.2999636779489805E-2</v>
      </c>
      <c r="S28" s="2">
        <f t="shared" si="3"/>
        <v>-6.7946084929551454E-2</v>
      </c>
    </row>
    <row r="29" spans="1:19" x14ac:dyDescent="0.55000000000000004">
      <c r="A29" t="s">
        <v>24</v>
      </c>
      <c r="B29" s="1">
        <v>563586</v>
      </c>
      <c r="C29" s="1">
        <v>20622</v>
      </c>
      <c r="D29" s="1">
        <v>13485</v>
      </c>
      <c r="E29" s="2">
        <v>3.6</v>
      </c>
      <c r="F29" s="2">
        <v>2.4</v>
      </c>
      <c r="L29" s="2">
        <f t="shared" si="0"/>
        <v>3.6590688909944533</v>
      </c>
      <c r="M29" s="2">
        <f t="shared" si="1"/>
        <v>2.3927138005557271</v>
      </c>
      <c r="R29" s="2">
        <f t="shared" si="2"/>
        <v>-5.9068890994453227E-2</v>
      </c>
      <c r="S29" s="2">
        <f t="shared" si="3"/>
        <v>7.2861994442727784E-3</v>
      </c>
    </row>
    <row r="30" spans="1:19" x14ac:dyDescent="0.55000000000000004">
      <c r="A30" t="s">
        <v>25</v>
      </c>
      <c r="B30" s="1">
        <v>882616</v>
      </c>
      <c r="C30" s="1">
        <v>34841</v>
      </c>
      <c r="D30" s="1">
        <v>21886</v>
      </c>
      <c r="E30" s="2">
        <v>3.9</v>
      </c>
      <c r="F30" s="2">
        <v>2.5</v>
      </c>
      <c r="L30" s="2">
        <f t="shared" si="0"/>
        <v>3.9474697943386476</v>
      </c>
      <c r="M30" s="2">
        <f t="shared" si="1"/>
        <v>2.4796740598402929</v>
      </c>
      <c r="R30" s="2">
        <f t="shared" si="2"/>
        <v>-4.7469794338647731E-2</v>
      </c>
      <c r="S30" s="2">
        <f t="shared" si="3"/>
        <v>2.0325940159707123E-2</v>
      </c>
    </row>
    <row r="31" spans="1:19" x14ac:dyDescent="0.55000000000000004">
      <c r="A31" t="s">
        <v>26</v>
      </c>
      <c r="B31" s="1">
        <v>1591767</v>
      </c>
      <c r="C31" s="1">
        <v>69714</v>
      </c>
      <c r="D31" s="1">
        <v>40325</v>
      </c>
      <c r="E31" s="2">
        <v>4.3</v>
      </c>
      <c r="F31" s="2">
        <v>2.5</v>
      </c>
      <c r="L31" s="2">
        <f t="shared" si="0"/>
        <v>4.3796610936148319</v>
      </c>
      <c r="M31" s="2">
        <f t="shared" si="1"/>
        <v>2.5333481596238645</v>
      </c>
      <c r="R31" s="2">
        <f t="shared" si="2"/>
        <v>-7.966109361483209E-2</v>
      </c>
      <c r="S31" s="2">
        <f t="shared" si="3"/>
        <v>-3.3348159623864504E-2</v>
      </c>
    </row>
    <row r="32" spans="1:19" x14ac:dyDescent="0.55000000000000004">
      <c r="A32" t="s">
        <v>27</v>
      </c>
      <c r="B32" s="1">
        <v>1170495</v>
      </c>
      <c r="C32" s="1">
        <v>59531</v>
      </c>
      <c r="D32" s="1">
        <v>31728</v>
      </c>
      <c r="E32" s="8">
        <v>5.08</v>
      </c>
      <c r="F32" s="2">
        <v>2.7</v>
      </c>
      <c r="L32" s="2">
        <f t="shared" si="0"/>
        <v>5.0859679024686137</v>
      </c>
      <c r="M32" s="2">
        <f t="shared" si="1"/>
        <v>2.7106480591544604</v>
      </c>
      <c r="R32" s="2">
        <f t="shared" si="2"/>
        <v>-5.9679024686136728E-3</v>
      </c>
      <c r="S32" s="2">
        <f t="shared" si="3"/>
        <v>-1.064805915446021E-2</v>
      </c>
    </row>
    <row r="33" spans="1:19" x14ac:dyDescent="0.55000000000000004">
      <c r="A33" t="s">
        <v>28</v>
      </c>
      <c r="B33" s="1">
        <v>2161854</v>
      </c>
      <c r="C33" s="1">
        <v>94882</v>
      </c>
      <c r="D33" s="1">
        <v>80830</v>
      </c>
      <c r="E33" s="2">
        <v>4.3</v>
      </c>
      <c r="F33" s="2">
        <v>3.7</v>
      </c>
      <c r="L33" s="2">
        <f t="shared" si="0"/>
        <v>4.3889180305423023</v>
      </c>
      <c r="M33" s="2">
        <f t="shared" si="1"/>
        <v>3.7389203896285319</v>
      </c>
      <c r="R33" s="2">
        <f t="shared" si="2"/>
        <v>-8.8918030542302517E-2</v>
      </c>
      <c r="S33" s="2">
        <f t="shared" si="3"/>
        <v>-3.8920389628531726E-2</v>
      </c>
    </row>
    <row r="34" spans="1:19" x14ac:dyDescent="0.55000000000000004">
      <c r="A34" t="s">
        <v>95</v>
      </c>
      <c r="B34" s="1">
        <v>753469</v>
      </c>
      <c r="C34" s="1">
        <v>28459</v>
      </c>
      <c r="D34" s="1">
        <v>24817</v>
      </c>
      <c r="E34" s="2">
        <v>3.7</v>
      </c>
      <c r="F34" s="2">
        <v>3.2</v>
      </c>
      <c r="L34" s="2">
        <f t="shared" si="0"/>
        <v>3.7770631572101836</v>
      </c>
      <c r="M34" s="2">
        <f t="shared" si="1"/>
        <v>3.2936988781223913</v>
      </c>
      <c r="R34" s="2">
        <f t="shared" si="2"/>
        <v>-7.7063157210183419E-2</v>
      </c>
      <c r="S34" s="2">
        <f t="shared" si="3"/>
        <v>-9.3698878122391083E-2</v>
      </c>
    </row>
    <row r="35" spans="1:19" x14ac:dyDescent="0.55000000000000004">
      <c r="A35" t="s">
        <v>29</v>
      </c>
      <c r="B35" s="1">
        <v>1434331</v>
      </c>
      <c r="C35" s="1">
        <v>77004</v>
      </c>
      <c r="D35" s="1">
        <v>65890</v>
      </c>
      <c r="E35" s="2">
        <v>5.3</v>
      </c>
      <c r="F35" s="2">
        <v>4.5999999999999996</v>
      </c>
      <c r="L35" s="2">
        <f t="shared" si="0"/>
        <v>5.368635273169164</v>
      </c>
      <c r="M35" s="2">
        <f t="shared" si="1"/>
        <v>4.5937792601568255</v>
      </c>
      <c r="R35" s="2">
        <f t="shared" si="2"/>
        <v>-6.8635273169164179E-2</v>
      </c>
      <c r="S35" s="2">
        <f t="shared" si="3"/>
        <v>6.2207398431741723E-3</v>
      </c>
    </row>
    <row r="36" spans="1:19" x14ac:dyDescent="0.55000000000000004">
      <c r="A36" t="s">
        <v>30</v>
      </c>
      <c r="B36" s="1">
        <v>1144852</v>
      </c>
      <c r="C36" s="1">
        <v>51925</v>
      </c>
      <c r="D36" s="1">
        <v>42325</v>
      </c>
      <c r="E36" s="2">
        <v>4.5</v>
      </c>
      <c r="F36" s="2">
        <v>3.8</v>
      </c>
      <c r="L36" s="2">
        <f t="shared" si="0"/>
        <v>4.5355207485334352</v>
      </c>
      <c r="M36" s="2">
        <f t="shared" si="1"/>
        <v>3.6969844137058763</v>
      </c>
      <c r="R36" s="2">
        <f t="shared" si="2"/>
        <v>-3.5520748533435231E-2</v>
      </c>
      <c r="S36" s="2">
        <f t="shared" si="3"/>
        <v>0.10301558629412355</v>
      </c>
    </row>
    <row r="37" spans="1:19" x14ac:dyDescent="0.55000000000000004">
      <c r="A37" t="s">
        <v>31</v>
      </c>
      <c r="B37" s="1">
        <v>327043</v>
      </c>
      <c r="C37" s="1">
        <v>17077</v>
      </c>
      <c r="D37" s="1">
        <v>11554</v>
      </c>
      <c r="E37" s="2">
        <v>5.2</v>
      </c>
      <c r="F37" s="2">
        <v>3.5</v>
      </c>
      <c r="L37" s="2">
        <f t="shared" si="0"/>
        <v>5.2216375216714619</v>
      </c>
      <c r="M37" s="2">
        <f t="shared" si="1"/>
        <v>3.5328687664924794</v>
      </c>
      <c r="R37" s="2">
        <f t="shared" si="2"/>
        <v>-2.1637521671461712E-2</v>
      </c>
      <c r="S37" s="2">
        <f t="shared" si="3"/>
        <v>-3.2868766492479384E-2</v>
      </c>
    </row>
    <row r="38" spans="1:19" x14ac:dyDescent="0.55000000000000004">
      <c r="A38" t="s">
        <v>32</v>
      </c>
      <c r="B38" s="1">
        <v>1198360</v>
      </c>
      <c r="C38" s="1">
        <v>75525</v>
      </c>
      <c r="D38" s="1">
        <v>57999</v>
      </c>
      <c r="E38" s="2">
        <v>6.3</v>
      </c>
      <c r="F38" s="2">
        <v>4.8</v>
      </c>
      <c r="L38" s="2">
        <f t="shared" si="0"/>
        <v>6.3023632297473213</v>
      </c>
      <c r="M38" s="2">
        <f t="shared" si="1"/>
        <v>4.839864481457993</v>
      </c>
      <c r="R38" s="2">
        <f t="shared" si="2"/>
        <v>-2.3632297473215047E-3</v>
      </c>
      <c r="S38" s="2">
        <f t="shared" si="3"/>
        <v>-3.9864481457993151E-2</v>
      </c>
    </row>
    <row r="39" spans="1:19" x14ac:dyDescent="0.55000000000000004">
      <c r="A39" t="s">
        <v>33</v>
      </c>
      <c r="B39" s="1">
        <v>1918342</v>
      </c>
      <c r="C39" s="1">
        <v>100274</v>
      </c>
      <c r="D39" s="1">
        <v>78650</v>
      </c>
      <c r="E39" s="2">
        <v>5.2</v>
      </c>
      <c r="F39" s="2">
        <v>4.0999999999999996</v>
      </c>
      <c r="L39" s="2">
        <f t="shared" si="0"/>
        <v>5.22711800085699</v>
      </c>
      <c r="M39" s="2">
        <f t="shared" si="1"/>
        <v>4.0998945964796683</v>
      </c>
      <c r="R39" s="2">
        <f t="shared" si="2"/>
        <v>-2.7118000856989788E-2</v>
      </c>
      <c r="S39" s="2">
        <f t="shared" si="3"/>
        <v>1.05403520331393E-4</v>
      </c>
    </row>
    <row r="40" spans="1:19" x14ac:dyDescent="0.55000000000000004">
      <c r="A40" t="s">
        <v>34</v>
      </c>
      <c r="B40" s="1">
        <v>1402867</v>
      </c>
      <c r="C40" s="1">
        <v>74158</v>
      </c>
      <c r="D40" s="1">
        <v>67334</v>
      </c>
      <c r="E40" s="2">
        <v>5.2</v>
      </c>
      <c r="F40" s="2">
        <v>4.8</v>
      </c>
      <c r="L40" s="2">
        <f t="shared" si="0"/>
        <v>5.2861746694447866</v>
      </c>
      <c r="M40" s="2">
        <f t="shared" si="1"/>
        <v>4.7997422421369951</v>
      </c>
      <c r="R40" s="2">
        <f t="shared" si="2"/>
        <v>-8.6174669444786467E-2</v>
      </c>
      <c r="S40" s="2">
        <f t="shared" si="3"/>
        <v>2.5775786300474834E-4</v>
      </c>
    </row>
    <row r="41" spans="1:19" x14ac:dyDescent="0.55000000000000004">
      <c r="A41" t="s">
        <v>35</v>
      </c>
      <c r="B41" s="1">
        <v>2593420</v>
      </c>
      <c r="C41" s="1">
        <v>151533</v>
      </c>
      <c r="D41" s="1">
        <v>127344</v>
      </c>
      <c r="E41" s="2">
        <v>5.8</v>
      </c>
      <c r="F41" s="2">
        <v>4.9000000000000004</v>
      </c>
      <c r="L41" s="2">
        <f t="shared" si="0"/>
        <v>5.8429795405294938</v>
      </c>
      <c r="M41" s="2">
        <f t="shared" si="1"/>
        <v>4.9102729214704901</v>
      </c>
      <c r="R41" s="2">
        <f t="shared" si="2"/>
        <v>-4.2979540529493931E-2</v>
      </c>
      <c r="S41" s="2">
        <f t="shared" si="3"/>
        <v>-1.0272921470489749E-2</v>
      </c>
    </row>
    <row r="42" spans="1:19" x14ac:dyDescent="0.55000000000000004">
      <c r="A42" t="s">
        <v>36</v>
      </c>
      <c r="B42" s="1">
        <v>865777</v>
      </c>
      <c r="C42" s="1">
        <v>34423</v>
      </c>
      <c r="D42" s="1">
        <v>20601</v>
      </c>
      <c r="E42" s="2">
        <v>3.9</v>
      </c>
      <c r="F42" s="2">
        <v>2.2999999999999998</v>
      </c>
      <c r="L42" s="2">
        <f t="shared" si="0"/>
        <v>3.9759660975054776</v>
      </c>
      <c r="M42" s="2">
        <f t="shared" si="1"/>
        <v>2.3794810903962569</v>
      </c>
      <c r="R42" s="2">
        <f t="shared" si="2"/>
        <v>-7.596609750547767E-2</v>
      </c>
      <c r="S42" s="2">
        <f t="shared" si="3"/>
        <v>-7.9481090396257059E-2</v>
      </c>
    </row>
    <row r="43" spans="1:19" x14ac:dyDescent="0.55000000000000004">
      <c r="A43" t="s">
        <v>37</v>
      </c>
      <c r="B43" s="1">
        <v>556979</v>
      </c>
      <c r="C43" s="1">
        <v>23447</v>
      </c>
      <c r="D43" s="1">
        <v>14650</v>
      </c>
      <c r="E43" s="2">
        <v>4.2</v>
      </c>
      <c r="F43" s="2">
        <v>2.6</v>
      </c>
      <c r="L43" s="2">
        <f t="shared" si="0"/>
        <v>4.2096739733454944</v>
      </c>
      <c r="M43" s="2">
        <f t="shared" si="1"/>
        <v>2.6302607459168117</v>
      </c>
      <c r="R43" s="2">
        <f t="shared" si="2"/>
        <v>-9.6739733454942467E-3</v>
      </c>
      <c r="S43" s="2">
        <f t="shared" si="3"/>
        <v>-3.0260745916811604E-2</v>
      </c>
    </row>
    <row r="44" spans="1:19" x14ac:dyDescent="0.55000000000000004">
      <c r="A44" t="s">
        <v>38</v>
      </c>
      <c r="B44" s="1">
        <v>2302489</v>
      </c>
      <c r="C44" s="1">
        <v>111590</v>
      </c>
      <c r="D44" s="1">
        <v>77104</v>
      </c>
      <c r="E44" s="2">
        <v>4.8</v>
      </c>
      <c r="F44" s="2">
        <v>3.3</v>
      </c>
      <c r="L44" s="2">
        <f t="shared" si="0"/>
        <v>4.8464943806463348</v>
      </c>
      <c r="M44" s="2">
        <f t="shared" si="1"/>
        <v>3.3487239244139708</v>
      </c>
      <c r="R44" s="2">
        <f t="shared" si="2"/>
        <v>-4.6494380646334932E-2</v>
      </c>
      <c r="S44" s="2">
        <f t="shared" si="3"/>
        <v>-4.8723924413970998E-2</v>
      </c>
    </row>
    <row r="45" spans="1:19" x14ac:dyDescent="0.55000000000000004">
      <c r="A45" t="s">
        <v>46</v>
      </c>
      <c r="B45" s="1">
        <v>2520887</v>
      </c>
      <c r="C45" s="1">
        <v>122129</v>
      </c>
      <c r="D45" s="1">
        <v>79055</v>
      </c>
      <c r="E45" s="2">
        <v>4.8</v>
      </c>
      <c r="F45" s="2">
        <v>3.1</v>
      </c>
      <c r="L45" s="2">
        <f t="shared" si="0"/>
        <v>4.8446836371483535</v>
      </c>
      <c r="M45" s="2">
        <f t="shared" si="1"/>
        <v>3.1359993526088239</v>
      </c>
      <c r="R45" s="2">
        <f t="shared" si="2"/>
        <v>-4.4683637148353661E-2</v>
      </c>
      <c r="S45" s="2">
        <f t="shared" si="3"/>
        <v>-3.5999352608823809E-2</v>
      </c>
    </row>
    <row r="46" spans="1:19" x14ac:dyDescent="0.55000000000000004">
      <c r="A46" t="s">
        <v>47</v>
      </c>
      <c r="B46" s="1">
        <v>917321</v>
      </c>
      <c r="C46" s="1">
        <v>43118</v>
      </c>
      <c r="D46" s="1">
        <v>33831</v>
      </c>
      <c r="E46" s="2">
        <v>4.7</v>
      </c>
      <c r="F46" s="2">
        <v>3.7</v>
      </c>
      <c r="L46" s="2">
        <f t="shared" si="0"/>
        <v>4.7004265682351107</v>
      </c>
      <c r="M46" s="2">
        <f t="shared" si="1"/>
        <v>3.6880219683186146</v>
      </c>
      <c r="R46" s="2">
        <f t="shared" si="2"/>
        <v>-4.2656823511055819E-4</v>
      </c>
      <c r="S46" s="2">
        <f t="shared" si="3"/>
        <v>1.1978031681385559E-2</v>
      </c>
    </row>
    <row r="47" spans="1:19" x14ac:dyDescent="0.55000000000000004">
      <c r="A47" t="s">
        <v>48</v>
      </c>
      <c r="B47" s="1">
        <v>657888</v>
      </c>
      <c r="C47" s="1">
        <v>28002</v>
      </c>
      <c r="D47" s="1">
        <v>16309</v>
      </c>
      <c r="E47" s="2">
        <v>4.2</v>
      </c>
      <c r="F47" s="2">
        <v>2.4</v>
      </c>
      <c r="L47" s="2">
        <f t="shared" si="0"/>
        <v>4.2563475849992702</v>
      </c>
      <c r="M47" s="2">
        <f t="shared" si="1"/>
        <v>2.4789933848922612</v>
      </c>
      <c r="R47" s="2">
        <f t="shared" si="2"/>
        <v>-5.6347584999270062E-2</v>
      </c>
      <c r="S47" s="2">
        <f t="shared" si="3"/>
        <v>-7.8993384892261265E-2</v>
      </c>
    </row>
    <row r="48" spans="1:19" x14ac:dyDescent="0.55000000000000004">
      <c r="A48" t="s">
        <v>49</v>
      </c>
      <c r="B48" s="1">
        <v>1737459</v>
      </c>
      <c r="C48" s="1">
        <v>85236</v>
      </c>
      <c r="D48" s="1">
        <v>61358</v>
      </c>
      <c r="E48" s="2">
        <v>4.9000000000000004</v>
      </c>
      <c r="F48" s="2">
        <v>3.5</v>
      </c>
      <c r="L48" s="2">
        <f t="shared" si="0"/>
        <v>4.9057848271527558</v>
      </c>
      <c r="M48" s="2">
        <f t="shared" si="1"/>
        <v>3.5314790161954899</v>
      </c>
      <c r="R48" s="2">
        <f t="shared" si="2"/>
        <v>-5.7848271527554118E-3</v>
      </c>
      <c r="S48" s="2">
        <f t="shared" si="3"/>
        <v>-3.1479016195489873E-2</v>
      </c>
    </row>
    <row r="49" spans="1:19" x14ac:dyDescent="0.55000000000000004">
      <c r="A49" t="s">
        <v>50</v>
      </c>
      <c r="B49" s="1">
        <v>2305461</v>
      </c>
      <c r="C49" s="1">
        <v>136109</v>
      </c>
      <c r="D49" s="1">
        <v>115993</v>
      </c>
      <c r="E49" s="8">
        <v>5.89</v>
      </c>
      <c r="F49" s="2">
        <v>5</v>
      </c>
      <c r="L49" s="2">
        <f t="shared" si="0"/>
        <v>5.903765017061664</v>
      </c>
      <c r="M49" s="2">
        <f t="shared" si="1"/>
        <v>5.0312280277133299</v>
      </c>
      <c r="R49" s="2">
        <f t="shared" si="2"/>
        <v>-1.3765017061664331E-2</v>
      </c>
      <c r="S49" s="2">
        <f t="shared" si="3"/>
        <v>-3.1228027713329887E-2</v>
      </c>
    </row>
    <row r="50" spans="1:19" x14ac:dyDescent="0.55000000000000004">
      <c r="A50" t="s">
        <v>51</v>
      </c>
      <c r="B50" s="1">
        <v>1618614</v>
      </c>
      <c r="C50" s="1">
        <v>56480</v>
      </c>
      <c r="D50" s="1">
        <v>55405</v>
      </c>
      <c r="E50" s="8">
        <v>3.49</v>
      </c>
      <c r="F50" s="8">
        <v>3.42</v>
      </c>
      <c r="G50" s="8"/>
      <c r="L50" s="2">
        <f t="shared" si="0"/>
        <v>3.4894051330335705</v>
      </c>
      <c r="M50" s="2">
        <f t="shared" si="1"/>
        <v>3.4229902867515047</v>
      </c>
      <c r="R50" s="2">
        <f t="shared" si="2"/>
        <v>5.9486696642974124E-4</v>
      </c>
      <c r="S50" s="2">
        <f t="shared" si="3"/>
        <v>-2.9902867515048115E-3</v>
      </c>
    </row>
    <row r="51" spans="1:19" x14ac:dyDescent="0.55000000000000004">
      <c r="A51" t="s">
        <v>109</v>
      </c>
      <c r="B51" s="1">
        <v>861303</v>
      </c>
      <c r="C51" s="1">
        <v>27508</v>
      </c>
      <c r="D51" s="1">
        <v>30150</v>
      </c>
      <c r="E51" s="2">
        <v>3.1</v>
      </c>
      <c r="F51" s="2">
        <v>3.5</v>
      </c>
      <c r="L51" s="2">
        <f t="shared" si="0"/>
        <v>3.1937657247217297</v>
      </c>
      <c r="M51" s="2">
        <f t="shared" si="1"/>
        <v>3.5005102733881106</v>
      </c>
      <c r="R51" s="2">
        <f t="shared" si="2"/>
        <v>-9.3765724721729615E-2</v>
      </c>
      <c r="S51" s="2">
        <f t="shared" si="3"/>
        <v>-5.1027338811060474E-4</v>
      </c>
    </row>
    <row r="52" spans="1:19" x14ac:dyDescent="0.55000000000000004">
      <c r="A52" t="s">
        <v>52</v>
      </c>
      <c r="B52" s="1">
        <v>2134872</v>
      </c>
      <c r="C52" s="1">
        <v>110245</v>
      </c>
      <c r="D52" s="1">
        <v>100941</v>
      </c>
      <c r="E52" s="2">
        <v>5.0999999999999996</v>
      </c>
      <c r="F52" s="2">
        <v>4.7</v>
      </c>
      <c r="L52" s="2">
        <f t="shared" si="0"/>
        <v>5.1640098329080155</v>
      </c>
      <c r="M52" s="2">
        <f t="shared" si="1"/>
        <v>4.7281991613548726</v>
      </c>
      <c r="R52" s="2">
        <f t="shared" si="2"/>
        <v>-6.4009832908015873E-2</v>
      </c>
      <c r="S52" s="2">
        <f t="shared" si="3"/>
        <v>-2.8199161354872437E-2</v>
      </c>
    </row>
    <row r="53" spans="1:19" x14ac:dyDescent="0.55000000000000004">
      <c r="A53" t="s">
        <v>53</v>
      </c>
      <c r="B53" s="1">
        <v>1481811</v>
      </c>
      <c r="C53" s="1">
        <v>70950</v>
      </c>
      <c r="D53" s="1">
        <v>62754</v>
      </c>
      <c r="E53" s="2">
        <v>4.7</v>
      </c>
      <c r="F53" s="2">
        <v>4.2</v>
      </c>
      <c r="L53" s="2">
        <f t="shared" si="0"/>
        <v>4.7880600157509967</v>
      </c>
      <c r="M53" s="2">
        <f t="shared" si="1"/>
        <v>4.2349530405699509</v>
      </c>
      <c r="R53" s="2">
        <f t="shared" si="2"/>
        <v>-8.8060015750996534E-2</v>
      </c>
      <c r="S53" s="2">
        <f t="shared" si="3"/>
        <v>-3.4953040569950744E-2</v>
      </c>
    </row>
    <row r="54" spans="1:19" x14ac:dyDescent="0.55000000000000004">
      <c r="A54" t="s">
        <v>54</v>
      </c>
      <c r="B54" s="1">
        <v>1218101</v>
      </c>
      <c r="C54" s="1">
        <v>72989</v>
      </c>
      <c r="D54" s="1">
        <v>49502</v>
      </c>
      <c r="E54" s="2">
        <v>5.9</v>
      </c>
      <c r="F54" s="2">
        <v>4</v>
      </c>
      <c r="L54" s="2">
        <f t="shared" si="0"/>
        <v>5.992031859427092</v>
      </c>
      <c r="M54" s="2">
        <f t="shared" si="1"/>
        <v>4.0638666251813271</v>
      </c>
      <c r="R54" s="2">
        <f t="shared" si="2"/>
        <v>-9.2031859427091689E-2</v>
      </c>
      <c r="S54" s="2">
        <f t="shared" si="3"/>
        <v>-6.386662518132713E-2</v>
      </c>
    </row>
    <row r="55" spans="1:19" x14ac:dyDescent="0.55000000000000004">
      <c r="A55" t="s">
        <v>55</v>
      </c>
      <c r="B55" s="1">
        <v>606573</v>
      </c>
      <c r="C55" s="1">
        <v>20685</v>
      </c>
      <c r="D55" s="1">
        <v>13655</v>
      </c>
      <c r="E55" s="2">
        <v>3.4</v>
      </c>
      <c r="F55" s="2">
        <v>2.2000000000000002</v>
      </c>
      <c r="L55" s="2">
        <f t="shared" si="0"/>
        <v>3.4101418955344203</v>
      </c>
      <c r="M55" s="2">
        <f t="shared" si="1"/>
        <v>2.2511717468466284</v>
      </c>
      <c r="R55" s="2">
        <f t="shared" si="2"/>
        <v>-1.0141895534420353E-2</v>
      </c>
      <c r="S55" s="2">
        <f t="shared" si="3"/>
        <v>-5.1171746846628174E-2</v>
      </c>
    </row>
    <row r="56" spans="1:19" x14ac:dyDescent="0.55000000000000004">
      <c r="A56" t="s">
        <v>56</v>
      </c>
      <c r="B56" s="1">
        <v>630238</v>
      </c>
      <c r="C56" s="1">
        <v>22004</v>
      </c>
      <c r="D56" s="1">
        <v>15790</v>
      </c>
      <c r="E56" s="2">
        <v>3.4</v>
      </c>
      <c r="F56" s="2">
        <v>2.5</v>
      </c>
      <c r="L56" s="2">
        <f t="shared" si="0"/>
        <v>3.4913794471294972</v>
      </c>
      <c r="M56" s="2">
        <f t="shared" si="1"/>
        <v>2.5054027208768752</v>
      </c>
      <c r="R56" s="2">
        <f t="shared" si="2"/>
        <v>-9.1379447129497304E-2</v>
      </c>
      <c r="S56" s="2">
        <f t="shared" si="3"/>
        <v>-5.4027208768752111E-3</v>
      </c>
    </row>
    <row r="57" spans="1:19" x14ac:dyDescent="0.55000000000000004">
      <c r="A57" t="s">
        <v>57</v>
      </c>
      <c r="B57" s="1">
        <v>940527</v>
      </c>
      <c r="C57" s="1">
        <v>48208</v>
      </c>
      <c r="D57" s="1">
        <v>28162</v>
      </c>
      <c r="E57" s="2">
        <v>5.0999999999999996</v>
      </c>
      <c r="F57" s="2">
        <v>3</v>
      </c>
      <c r="L57" s="2">
        <f t="shared" si="0"/>
        <v>5.125637009889136</v>
      </c>
      <c r="M57" s="2">
        <f t="shared" si="1"/>
        <v>2.9942787394726573</v>
      </c>
      <c r="R57" s="2">
        <f t="shared" si="2"/>
        <v>-2.5637009889136309E-2</v>
      </c>
      <c r="S57" s="2">
        <f t="shared" si="3"/>
        <v>5.7212605273426753E-3</v>
      </c>
    </row>
    <row r="58" spans="1:19" x14ac:dyDescent="0.55000000000000004">
      <c r="A58" t="s">
        <v>58</v>
      </c>
      <c r="B58" s="1">
        <v>2519656</v>
      </c>
      <c r="C58" s="1">
        <v>123308</v>
      </c>
      <c r="D58" s="1">
        <v>92663</v>
      </c>
      <c r="E58" s="2">
        <v>4.9000000000000004</v>
      </c>
      <c r="F58" s="2">
        <v>3.7</v>
      </c>
      <c r="L58" s="2">
        <f t="shared" si="0"/>
        <v>4.8938426515365592</v>
      </c>
      <c r="M58" s="2">
        <f t="shared" si="1"/>
        <v>3.677605196899894</v>
      </c>
      <c r="R58" s="2">
        <f t="shared" si="2"/>
        <v>6.1573484634411813E-3</v>
      </c>
      <c r="S58" s="2">
        <f t="shared" si="3"/>
        <v>2.239480310010622E-2</v>
      </c>
    </row>
    <row r="59" spans="1:19" x14ac:dyDescent="0.55000000000000004">
      <c r="A59" t="s">
        <v>59</v>
      </c>
      <c r="B59" s="1">
        <v>1646683</v>
      </c>
      <c r="C59" s="1">
        <v>81212</v>
      </c>
      <c r="D59" s="1">
        <v>54674</v>
      </c>
      <c r="E59" s="2">
        <v>4.9000000000000004</v>
      </c>
      <c r="F59" s="2">
        <v>3.2</v>
      </c>
      <c r="L59" s="2">
        <f t="shared" si="0"/>
        <v>4.9318539148093468</v>
      </c>
      <c r="M59" s="2">
        <f t="shared" si="1"/>
        <v>3.3202504671512365</v>
      </c>
      <c r="R59" s="2">
        <f t="shared" si="2"/>
        <v>-3.1853914809346406E-2</v>
      </c>
      <c r="S59" s="2">
        <f t="shared" si="3"/>
        <v>-0.12025046715123633</v>
      </c>
    </row>
    <row r="60" spans="1:19" x14ac:dyDescent="0.55000000000000004">
      <c r="A60" t="s">
        <v>60</v>
      </c>
      <c r="B60" s="1">
        <v>1207560</v>
      </c>
      <c r="C60" s="1">
        <v>74423</v>
      </c>
      <c r="D60" s="1">
        <v>65251</v>
      </c>
      <c r="E60" s="2">
        <v>6.1</v>
      </c>
      <c r="F60" s="2">
        <v>5.4</v>
      </c>
      <c r="L60" s="2">
        <f t="shared" si="0"/>
        <v>6.1630892046771999</v>
      </c>
      <c r="M60" s="2">
        <f t="shared" si="1"/>
        <v>5.4035410248766107</v>
      </c>
      <c r="R60" s="2">
        <f t="shared" si="2"/>
        <v>-6.308920467720025E-2</v>
      </c>
      <c r="S60" s="2">
        <f t="shared" si="3"/>
        <v>-3.5410248766103436E-3</v>
      </c>
    </row>
    <row r="61" spans="1:19" x14ac:dyDescent="0.55000000000000004">
      <c r="A61" t="s">
        <v>61</v>
      </c>
      <c r="B61" s="1">
        <v>1078605</v>
      </c>
      <c r="C61" s="1">
        <v>57466</v>
      </c>
      <c r="D61" s="1">
        <v>35470</v>
      </c>
      <c r="E61" s="2">
        <v>5.3</v>
      </c>
      <c r="F61" s="2">
        <v>3.3</v>
      </c>
      <c r="L61" s="2">
        <f t="shared" si="0"/>
        <v>5.3278076775093757</v>
      </c>
      <c r="M61" s="2">
        <f t="shared" si="1"/>
        <v>3.2885069140232059</v>
      </c>
      <c r="R61" s="2">
        <f t="shared" si="2"/>
        <v>-2.780767750937585E-2</v>
      </c>
      <c r="S61" s="2">
        <f t="shared" si="3"/>
        <v>1.1493085976793882E-2</v>
      </c>
    </row>
    <row r="62" spans="1:19" x14ac:dyDescent="0.55000000000000004">
      <c r="A62" t="s">
        <v>62</v>
      </c>
      <c r="B62" s="1">
        <v>1360000</v>
      </c>
      <c r="C62" s="1">
        <v>74137</v>
      </c>
      <c r="D62" s="1">
        <v>56051</v>
      </c>
      <c r="E62" s="2">
        <v>5.4</v>
      </c>
      <c r="F62" s="2">
        <v>4.0999999999999996</v>
      </c>
      <c r="L62" s="2">
        <f t="shared" si="0"/>
        <v>5.4512499999999999</v>
      </c>
      <c r="M62" s="2">
        <f t="shared" si="1"/>
        <v>4.12139705882353</v>
      </c>
      <c r="R62" s="2">
        <f t="shared" si="2"/>
        <v>-5.1249999999999574E-2</v>
      </c>
      <c r="S62" s="2">
        <f t="shared" si="3"/>
        <v>-2.1397058823530379E-2</v>
      </c>
    </row>
    <row r="63" spans="1:19" x14ac:dyDescent="0.55000000000000004">
      <c r="A63" t="s">
        <v>63</v>
      </c>
      <c r="B63" s="1">
        <v>1793256</v>
      </c>
      <c r="C63" s="1">
        <v>88954</v>
      </c>
      <c r="D63" s="1">
        <v>71979</v>
      </c>
      <c r="E63" s="2">
        <v>4.9000000000000004</v>
      </c>
      <c r="F63" s="2">
        <v>4</v>
      </c>
      <c r="L63" s="2">
        <f t="shared" si="0"/>
        <v>4.9604741319700034</v>
      </c>
      <c r="M63" s="2">
        <f t="shared" si="1"/>
        <v>4.0138719736613178</v>
      </c>
      <c r="R63" s="2">
        <f t="shared" si="2"/>
        <v>-6.0474131970003064E-2</v>
      </c>
      <c r="S63" s="2">
        <f t="shared" si="3"/>
        <v>-1.387197366131776E-2</v>
      </c>
    </row>
    <row r="64" spans="1:19" x14ac:dyDescent="0.55000000000000004">
      <c r="A64" t="s">
        <v>64</v>
      </c>
      <c r="B64" s="1">
        <v>2224700</v>
      </c>
      <c r="C64" s="1">
        <v>111022</v>
      </c>
      <c r="D64" s="1">
        <v>79643</v>
      </c>
      <c r="E64" s="2">
        <v>5</v>
      </c>
      <c r="F64" s="2">
        <v>3.6</v>
      </c>
      <c r="L64" s="2">
        <f t="shared" si="0"/>
        <v>4.9904256753719602</v>
      </c>
      <c r="M64" s="2">
        <f t="shared" si="1"/>
        <v>3.5799433631500879</v>
      </c>
      <c r="R64" s="2">
        <f t="shared" si="2"/>
        <v>9.5743246280397543E-3</v>
      </c>
      <c r="S64" s="2">
        <f t="shared" si="3"/>
        <v>2.0056636849912213E-2</v>
      </c>
    </row>
    <row r="65" spans="1:19" x14ac:dyDescent="0.55000000000000004">
      <c r="A65" t="s">
        <v>65</v>
      </c>
      <c r="B65" s="1">
        <v>1902169</v>
      </c>
      <c r="C65" s="1">
        <v>94365</v>
      </c>
      <c r="D65" s="1">
        <v>68083</v>
      </c>
      <c r="E65" s="2">
        <v>4.9000000000000004</v>
      </c>
      <c r="F65" s="2">
        <v>3.5</v>
      </c>
      <c r="L65" s="2">
        <f t="shared" si="0"/>
        <v>4.9609156704793316</v>
      </c>
      <c r="M65" s="2">
        <f t="shared" si="1"/>
        <v>3.5792298160678677</v>
      </c>
      <c r="R65" s="2">
        <f t="shared" si="2"/>
        <v>-6.0915670479331219E-2</v>
      </c>
      <c r="S65" s="2">
        <f t="shared" si="3"/>
        <v>-7.922981606786772E-2</v>
      </c>
    </row>
    <row r="66" spans="1:19" x14ac:dyDescent="0.55000000000000004">
      <c r="A66" t="s">
        <v>66</v>
      </c>
      <c r="B66" s="1">
        <v>1996248</v>
      </c>
      <c r="C66" s="1">
        <v>96811</v>
      </c>
      <c r="D66" s="1">
        <v>68347</v>
      </c>
      <c r="E66" s="2">
        <v>4.8</v>
      </c>
      <c r="F66" s="2">
        <v>3.4</v>
      </c>
      <c r="L66" s="2">
        <f t="shared" si="0"/>
        <v>4.8496479395345666</v>
      </c>
      <c r="M66" s="2">
        <f t="shared" si="1"/>
        <v>3.4237729981445191</v>
      </c>
      <c r="R66" s="2">
        <f t="shared" si="2"/>
        <v>-4.964793953456681E-2</v>
      </c>
      <c r="S66" s="2">
        <f t="shared" si="3"/>
        <v>-2.3772998144519164E-2</v>
      </c>
    </row>
    <row r="67" spans="1:19" x14ac:dyDescent="0.55000000000000004">
      <c r="A67" t="s">
        <v>79</v>
      </c>
      <c r="B67" s="1">
        <v>376337</v>
      </c>
      <c r="C67" s="1">
        <v>11535</v>
      </c>
      <c r="D67" s="1">
        <v>8717</v>
      </c>
      <c r="E67" s="2">
        <v>3</v>
      </c>
      <c r="F67" s="2">
        <v>2.2999999999999998</v>
      </c>
      <c r="L67" s="2">
        <f t="shared" si="0"/>
        <v>3.0650719966413082</v>
      </c>
      <c r="M67" s="2">
        <f t="shared" si="1"/>
        <v>2.3162750407214809</v>
      </c>
      <c r="R67" s="2">
        <f t="shared" si="2"/>
        <v>-6.507199664130825E-2</v>
      </c>
      <c r="S67" s="2">
        <f t="shared" si="3"/>
        <v>-1.6275040721481115E-2</v>
      </c>
    </row>
    <row r="68" spans="1:19" x14ac:dyDescent="0.55000000000000004">
      <c r="A68" t="s">
        <v>67</v>
      </c>
      <c r="B68" s="1">
        <v>1095636</v>
      </c>
      <c r="C68" s="1">
        <v>43862</v>
      </c>
      <c r="D68" s="1">
        <v>33154</v>
      </c>
      <c r="E68" s="2">
        <v>4</v>
      </c>
      <c r="F68" s="2">
        <v>3</v>
      </c>
      <c r="L68" s="2">
        <f t="shared" ref="L68:L69" si="4">C68/B68*100</f>
        <v>4.0033368746554512</v>
      </c>
      <c r="M68" s="2">
        <f t="shared" ref="M68:M69" si="5">D68/B68*100</f>
        <v>3.0260049870577452</v>
      </c>
      <c r="R68" s="2">
        <f t="shared" ref="R68:R88" si="6">E68-L68</f>
        <v>-3.336874655451183E-3</v>
      </c>
      <c r="S68" s="2">
        <f t="shared" ref="S68:S88" si="7">F68-M68</f>
        <v>-2.6004987057745232E-2</v>
      </c>
    </row>
    <row r="69" spans="1:19" x14ac:dyDescent="0.55000000000000004">
      <c r="A69" t="s">
        <v>68</v>
      </c>
      <c r="B69" s="1">
        <v>87280253</v>
      </c>
      <c r="C69" s="1">
        <v>4240946</v>
      </c>
      <c r="D69" s="1">
        <v>3120229</v>
      </c>
      <c r="E69" s="8">
        <v>4.8499999999999996</v>
      </c>
      <c r="F69" s="8">
        <v>3.57</v>
      </c>
      <c r="G69" s="8"/>
      <c r="I69" s="9">
        <f>SUM(B3:B68)-B51-B34-B7</f>
        <v>87345169</v>
      </c>
      <c r="J69" s="9">
        <f>SUM(C3:C68)-C51-C34-C7</f>
        <v>4240702</v>
      </c>
      <c r="K69" s="9">
        <f>SUM(D3:D68)-D51-D34-D7</f>
        <v>3120229</v>
      </c>
      <c r="L69" s="2">
        <f t="shared" si="4"/>
        <v>4.8589982891089925</v>
      </c>
      <c r="M69" s="2">
        <f t="shared" si="5"/>
        <v>3.5749541193470189</v>
      </c>
      <c r="O69" s="9">
        <f>B69-I69</f>
        <v>-64916</v>
      </c>
      <c r="P69" s="9">
        <f>C69-J69</f>
        <v>244</v>
      </c>
      <c r="Q69" s="9">
        <f>D69-K69</f>
        <v>0</v>
      </c>
      <c r="R69" s="2">
        <f t="shared" si="6"/>
        <v>-8.9982891089928074E-3</v>
      </c>
      <c r="S69" s="2">
        <f t="shared" si="7"/>
        <v>-4.9541193470190592E-3</v>
      </c>
    </row>
    <row r="70" spans="1:19" x14ac:dyDescent="0.55000000000000004">
      <c r="R70" s="2">
        <f t="shared" si="6"/>
        <v>0</v>
      </c>
      <c r="S70" s="2">
        <f t="shared" si="7"/>
        <v>0</v>
      </c>
    </row>
    <row r="71" spans="1:19" x14ac:dyDescent="0.55000000000000004">
      <c r="A71" t="s">
        <v>69</v>
      </c>
      <c r="B71" s="1">
        <v>466424</v>
      </c>
      <c r="C71" s="1">
        <v>13288</v>
      </c>
      <c r="D71" s="1">
        <v>14297</v>
      </c>
      <c r="E71" s="2">
        <v>2.8</v>
      </c>
      <c r="F71" s="2">
        <v>3</v>
      </c>
      <c r="L71" s="2">
        <f t="shared" ref="L71:L83" si="8">C71/B71*100</f>
        <v>2.8489100046309797</v>
      </c>
      <c r="M71" s="2">
        <f t="shared" ref="M71:M83" si="9">D71/B71*100</f>
        <v>3.0652367802685969</v>
      </c>
      <c r="R71" s="2">
        <f t="shared" si="6"/>
        <v>-4.8910004630979831E-2</v>
      </c>
      <c r="S71" s="2">
        <f t="shared" si="7"/>
        <v>-6.5236780268596917E-2</v>
      </c>
    </row>
    <row r="72" spans="1:19" x14ac:dyDescent="0.55000000000000004">
      <c r="A72" t="s">
        <v>70</v>
      </c>
      <c r="B72" s="1">
        <v>43965</v>
      </c>
      <c r="C72" s="3" t="s">
        <v>84</v>
      </c>
      <c r="D72" s="3" t="s">
        <v>84</v>
      </c>
      <c r="E72" s="3" t="s">
        <v>84</v>
      </c>
      <c r="F72" s="3" t="s">
        <v>84</v>
      </c>
      <c r="G72" s="3"/>
      <c r="R72" s="2"/>
      <c r="S72" s="2"/>
    </row>
    <row r="73" spans="1:19" x14ac:dyDescent="0.55000000000000004">
      <c r="A73" t="s">
        <v>71</v>
      </c>
      <c r="B73" s="1">
        <v>509633</v>
      </c>
      <c r="C73" s="1">
        <v>19744</v>
      </c>
      <c r="D73" s="1">
        <v>11601</v>
      </c>
      <c r="E73" s="2">
        <v>3.9</v>
      </c>
      <c r="F73" s="2">
        <v>2.2999999999999998</v>
      </c>
      <c r="L73" s="2">
        <f t="shared" si="8"/>
        <v>3.8741604252471875</v>
      </c>
      <c r="M73" s="2">
        <f t="shared" si="9"/>
        <v>2.2763439573183057</v>
      </c>
      <c r="R73" s="2">
        <f t="shared" si="6"/>
        <v>2.58395747528124E-2</v>
      </c>
      <c r="S73" s="2">
        <f t="shared" si="7"/>
        <v>2.3656042681694078E-2</v>
      </c>
    </row>
    <row r="74" spans="1:19" x14ac:dyDescent="0.55000000000000004">
      <c r="A74" t="s">
        <v>72</v>
      </c>
      <c r="B74" s="1">
        <v>1493078</v>
      </c>
      <c r="C74" s="1">
        <v>88642</v>
      </c>
      <c r="D74" s="1">
        <v>61146</v>
      </c>
      <c r="E74" s="2">
        <v>5.9</v>
      </c>
      <c r="F74" s="2">
        <v>4.0999999999999996</v>
      </c>
      <c r="L74" s="2">
        <f t="shared" si="8"/>
        <v>5.9368633118966319</v>
      </c>
      <c r="M74" s="2">
        <f t="shared" si="9"/>
        <v>4.095298437188144</v>
      </c>
      <c r="R74" s="2">
        <f t="shared" si="6"/>
        <v>-3.6863311896631501E-2</v>
      </c>
      <c r="S74" s="2">
        <f t="shared" si="7"/>
        <v>4.7015628118556307E-3</v>
      </c>
    </row>
    <row r="75" spans="1:19" x14ac:dyDescent="0.55000000000000004">
      <c r="A75" t="s">
        <v>80</v>
      </c>
      <c r="B75" s="1">
        <v>74000</v>
      </c>
      <c r="C75" s="3" t="s">
        <v>84</v>
      </c>
      <c r="D75" s="3" t="s">
        <v>84</v>
      </c>
      <c r="E75" s="3" t="s">
        <v>84</v>
      </c>
      <c r="F75" s="3" t="s">
        <v>84</v>
      </c>
      <c r="G75" s="3"/>
      <c r="R75" s="2"/>
      <c r="S75" s="2"/>
    </row>
    <row r="76" spans="1:19" x14ac:dyDescent="0.55000000000000004">
      <c r="A76" t="s">
        <v>73</v>
      </c>
      <c r="B76" s="1">
        <v>546539</v>
      </c>
      <c r="C76" s="1">
        <v>9208</v>
      </c>
      <c r="D76" s="1">
        <v>8344</v>
      </c>
      <c r="E76" s="3" t="s">
        <v>84</v>
      </c>
      <c r="F76" s="3" t="s">
        <v>84</v>
      </c>
      <c r="G76" s="3"/>
      <c r="L76" s="2">
        <f t="shared" si="8"/>
        <v>1.6847837025354091</v>
      </c>
      <c r="M76" s="2">
        <f t="shared" si="9"/>
        <v>1.5266980032531987</v>
      </c>
      <c r="R76" s="2"/>
      <c r="S76" s="2"/>
    </row>
    <row r="77" spans="1:19" x14ac:dyDescent="0.55000000000000004">
      <c r="A77" t="s">
        <v>74</v>
      </c>
      <c r="B77" s="1">
        <v>684840</v>
      </c>
      <c r="C77" s="1">
        <v>26907</v>
      </c>
      <c r="D77" s="1">
        <v>15192</v>
      </c>
      <c r="E77" s="2">
        <v>3.9</v>
      </c>
      <c r="F77" s="2">
        <v>2.2000000000000002</v>
      </c>
      <c r="L77" s="2">
        <f t="shared" si="8"/>
        <v>3.9289469073068162</v>
      </c>
      <c r="M77" s="2">
        <f t="shared" si="9"/>
        <v>2.2183283686700541</v>
      </c>
      <c r="R77" s="2">
        <f t="shared" si="6"/>
        <v>-2.8946907306816261E-2</v>
      </c>
      <c r="S77" s="2">
        <f t="shared" si="7"/>
        <v>-1.8328368670053941E-2</v>
      </c>
    </row>
    <row r="78" spans="1:19" x14ac:dyDescent="0.55000000000000004">
      <c r="A78" t="s">
        <v>81</v>
      </c>
      <c r="B78" s="1">
        <v>1109542</v>
      </c>
      <c r="C78" s="3" t="s">
        <v>84</v>
      </c>
      <c r="D78" s="3" t="s">
        <v>84</v>
      </c>
      <c r="E78" s="3" t="s">
        <v>84</v>
      </c>
      <c r="F78" s="3" t="s">
        <v>84</v>
      </c>
      <c r="G78" s="3"/>
      <c r="R78" s="2"/>
      <c r="S78" s="2"/>
    </row>
    <row r="79" spans="1:19" x14ac:dyDescent="0.55000000000000004">
      <c r="A79" t="s">
        <v>75</v>
      </c>
      <c r="B79" s="1">
        <v>333190</v>
      </c>
      <c r="C79" s="3" t="s">
        <v>84</v>
      </c>
      <c r="D79" s="3" t="s">
        <v>84</v>
      </c>
      <c r="E79" s="3" t="s">
        <v>84</v>
      </c>
      <c r="F79" s="3" t="s">
        <v>84</v>
      </c>
      <c r="G79" s="3"/>
      <c r="R79" s="2"/>
      <c r="S79" s="2"/>
    </row>
    <row r="80" spans="1:19" x14ac:dyDescent="0.55000000000000004">
      <c r="A80" t="s">
        <v>76</v>
      </c>
      <c r="B80" s="1">
        <v>506347</v>
      </c>
      <c r="C80" s="1">
        <v>4004</v>
      </c>
      <c r="D80" s="1">
        <v>2756</v>
      </c>
      <c r="E80" s="3" t="s">
        <v>84</v>
      </c>
      <c r="F80" s="3" t="s">
        <v>84</v>
      </c>
      <c r="G80" s="3"/>
      <c r="L80" s="2">
        <f t="shared" si="8"/>
        <v>0.79076206633000679</v>
      </c>
      <c r="M80" s="2">
        <f t="shared" si="9"/>
        <v>0.5442907729284463</v>
      </c>
      <c r="R80" s="2"/>
      <c r="S80" s="2"/>
    </row>
    <row r="81" spans="1:19" x14ac:dyDescent="0.55000000000000004">
      <c r="A81" t="s">
        <v>77</v>
      </c>
      <c r="B81" s="1">
        <v>250471</v>
      </c>
      <c r="C81" s="1">
        <v>6065</v>
      </c>
      <c r="D81" s="1">
        <v>5139</v>
      </c>
      <c r="E81" s="2">
        <v>2.4</v>
      </c>
      <c r="F81" s="2">
        <v>2</v>
      </c>
      <c r="L81" s="2">
        <f t="shared" si="8"/>
        <v>2.4214380107876758</v>
      </c>
      <c r="M81" s="2">
        <f t="shared" si="9"/>
        <v>2.0517345321414457</v>
      </c>
      <c r="R81" s="2">
        <f t="shared" si="6"/>
        <v>-2.1438010787675932E-2</v>
      </c>
      <c r="S81" s="2">
        <f t="shared" si="7"/>
        <v>-5.1734532141445744E-2</v>
      </c>
    </row>
    <row r="82" spans="1:19" x14ac:dyDescent="0.55000000000000004">
      <c r="A82" t="s">
        <v>78</v>
      </c>
      <c r="B82" s="1">
        <v>659636</v>
      </c>
      <c r="C82" s="3" t="s">
        <v>84</v>
      </c>
      <c r="D82" s="3" t="s">
        <v>84</v>
      </c>
      <c r="E82" s="3" t="s">
        <v>84</v>
      </c>
      <c r="F82" s="3" t="s">
        <v>84</v>
      </c>
      <c r="G82" s="3"/>
      <c r="R82" s="2"/>
      <c r="S82" s="2"/>
    </row>
    <row r="83" spans="1:19" x14ac:dyDescent="0.55000000000000004">
      <c r="A83" t="s">
        <v>97</v>
      </c>
      <c r="B83" s="1">
        <v>6677665</v>
      </c>
      <c r="C83" s="1">
        <v>167858</v>
      </c>
      <c r="D83" s="1">
        <v>118475</v>
      </c>
      <c r="I83" s="9">
        <f>SUM(B71:B82)</f>
        <v>6677665</v>
      </c>
      <c r="J83" s="9">
        <f>SUM(C71:C82)</f>
        <v>167858</v>
      </c>
      <c r="K83" s="9">
        <f>SUM(D71:D82)</f>
        <v>118475</v>
      </c>
      <c r="L83" s="2">
        <f t="shared" si="8"/>
        <v>2.5137229855046637</v>
      </c>
      <c r="M83" s="2">
        <f t="shared" si="9"/>
        <v>1.7741980168217482</v>
      </c>
      <c r="O83" s="9">
        <f>B83-I83</f>
        <v>0</v>
      </c>
      <c r="P83" s="9">
        <f>C83-J83</f>
        <v>0</v>
      </c>
      <c r="Q83" s="9">
        <f>D83-K83</f>
        <v>0</v>
      </c>
      <c r="R83" s="2"/>
      <c r="S83" s="2"/>
    </row>
    <row r="84" spans="1:19" x14ac:dyDescent="0.55000000000000004">
      <c r="R84" s="2">
        <f t="shared" si="6"/>
        <v>0</v>
      </c>
      <c r="S84" s="2">
        <f t="shared" si="7"/>
        <v>0</v>
      </c>
    </row>
    <row r="85" spans="1:19" x14ac:dyDescent="0.55000000000000004">
      <c r="A85" t="s">
        <v>104</v>
      </c>
      <c r="B85" s="1">
        <v>28622</v>
      </c>
      <c r="C85" s="3" t="s">
        <v>84</v>
      </c>
      <c r="D85" s="3" t="s">
        <v>84</v>
      </c>
      <c r="E85" s="3" t="s">
        <v>84</v>
      </c>
      <c r="F85" s="3" t="s">
        <v>84</v>
      </c>
      <c r="G85" s="3"/>
      <c r="R85" s="2"/>
      <c r="S85" s="2"/>
    </row>
    <row r="86" spans="1:19" x14ac:dyDescent="0.55000000000000004">
      <c r="A86" t="s">
        <v>82</v>
      </c>
      <c r="B86" s="1">
        <v>28078</v>
      </c>
      <c r="C86" s="3" t="s">
        <v>84</v>
      </c>
      <c r="D86" s="3" t="s">
        <v>84</v>
      </c>
      <c r="E86" s="3" t="s">
        <v>84</v>
      </c>
      <c r="F86" s="3" t="s">
        <v>84</v>
      </c>
      <c r="G86" t="s">
        <v>57</v>
      </c>
      <c r="R86" s="2"/>
      <c r="S86" s="2"/>
    </row>
    <row r="87" spans="1:19" x14ac:dyDescent="0.55000000000000004">
      <c r="A87" t="s">
        <v>105</v>
      </c>
      <c r="B87" s="1">
        <v>228066</v>
      </c>
      <c r="C87" s="1">
        <v>8734</v>
      </c>
      <c r="D87" s="1">
        <v>7713</v>
      </c>
      <c r="E87" s="2">
        <v>3.8</v>
      </c>
      <c r="F87" s="2">
        <v>3.3</v>
      </c>
      <c r="L87" s="2">
        <f t="shared" ref="L87:L88" si="10">C87/B87*100</f>
        <v>3.8295931879368252</v>
      </c>
      <c r="M87" s="2">
        <f t="shared" ref="M87:M88" si="11">D87/B87*100</f>
        <v>3.3819157612270132</v>
      </c>
      <c r="R87" s="2">
        <f t="shared" si="6"/>
        <v>-2.9593187936825416E-2</v>
      </c>
      <c r="S87" s="2">
        <f t="shared" si="7"/>
        <v>-8.1915761227013384E-2</v>
      </c>
    </row>
    <row r="88" spans="1:19" x14ac:dyDescent="0.55000000000000004">
      <c r="A88" t="s">
        <v>106</v>
      </c>
      <c r="B88" s="1">
        <v>41000</v>
      </c>
      <c r="C88" s="1">
        <v>1370</v>
      </c>
      <c r="D88" s="1">
        <v>1430</v>
      </c>
      <c r="E88" s="2">
        <v>3</v>
      </c>
      <c r="F88" s="2">
        <v>3.4</v>
      </c>
      <c r="L88" s="2">
        <f t="shared" si="10"/>
        <v>3.3414634146341466</v>
      </c>
      <c r="M88" s="2">
        <f t="shared" si="11"/>
        <v>3.4878048780487809</v>
      </c>
      <c r="R88" s="2">
        <f t="shared" si="6"/>
        <v>-0.34146341463414664</v>
      </c>
      <c r="S88" s="2">
        <f t="shared" si="7"/>
        <v>-8.780487804878101E-2</v>
      </c>
    </row>
    <row r="89" spans="1:19" x14ac:dyDescent="0.55000000000000004">
      <c r="A89" t="s">
        <v>96</v>
      </c>
      <c r="B89" s="1">
        <f>SUM(B85:B88)</f>
        <v>325766</v>
      </c>
      <c r="C89" s="1">
        <f>SUM(C85:C88)</f>
        <v>10104</v>
      </c>
      <c r="D89" s="1">
        <f>SUM(D85:D88)</f>
        <v>9143</v>
      </c>
      <c r="I89" s="9">
        <f>B89</f>
        <v>325766</v>
      </c>
      <c r="J89" s="9">
        <f>C89</f>
        <v>10104</v>
      </c>
      <c r="K89" s="9">
        <f>D89</f>
        <v>9143</v>
      </c>
      <c r="O89" s="9">
        <f>B89-I89</f>
        <v>0</v>
      </c>
      <c r="P89" s="9">
        <f>C89-J89</f>
        <v>0</v>
      </c>
      <c r="Q89" s="9">
        <f>D89-K89</f>
        <v>0</v>
      </c>
    </row>
    <row r="90" spans="1:19" x14ac:dyDescent="0.55000000000000004">
      <c r="A90" t="s">
        <v>107</v>
      </c>
      <c r="B90" s="1">
        <f>B85+B87+B88</f>
        <v>297688</v>
      </c>
      <c r="I90" s="1"/>
      <c r="J90" s="1"/>
      <c r="K90" s="1"/>
      <c r="O90" s="1"/>
      <c r="P90" s="1"/>
      <c r="Q90" s="1"/>
    </row>
    <row r="92" spans="1:19" x14ac:dyDescent="0.55000000000000004">
      <c r="A92" t="s">
        <v>83</v>
      </c>
      <c r="B92" s="1">
        <v>93985996</v>
      </c>
      <c r="C92" s="1">
        <v>4418908</v>
      </c>
      <c r="D92" s="1">
        <v>3247847</v>
      </c>
      <c r="I92" s="9">
        <f>SUM(I69:I89)-B90</f>
        <v>94050912</v>
      </c>
      <c r="J92" s="9">
        <f>J83+J69+J89</f>
        <v>4418664</v>
      </c>
      <c r="K92" s="9">
        <f>K83+K69+K89</f>
        <v>3247847</v>
      </c>
      <c r="O92" s="9">
        <f>B92-I92</f>
        <v>-64916</v>
      </c>
      <c r="P92" s="9">
        <f>C92-J92</f>
        <v>244</v>
      </c>
      <c r="Q92" s="9">
        <f>D92-K92</f>
        <v>0</v>
      </c>
    </row>
    <row r="94" spans="1:19" x14ac:dyDescent="0.55000000000000004">
      <c r="A94" t="s">
        <v>115</v>
      </c>
      <c r="B94" s="3" t="s">
        <v>84</v>
      </c>
      <c r="C94" s="1">
        <v>1332</v>
      </c>
      <c r="D94" s="1">
        <v>939</v>
      </c>
      <c r="G94" t="s">
        <v>57</v>
      </c>
    </row>
    <row r="95" spans="1:19" x14ac:dyDescent="0.55000000000000004">
      <c r="A95" t="s">
        <v>116</v>
      </c>
      <c r="B95" s="3" t="s">
        <v>84</v>
      </c>
      <c r="C95" s="1">
        <v>1007</v>
      </c>
      <c r="D95" s="1">
        <v>846</v>
      </c>
      <c r="G95" t="s">
        <v>57</v>
      </c>
    </row>
    <row r="96" spans="1:19" x14ac:dyDescent="0.55000000000000004">
      <c r="A96" t="s">
        <v>117</v>
      </c>
      <c r="B96" s="3" t="s">
        <v>84</v>
      </c>
      <c r="C96" s="1">
        <v>1370</v>
      </c>
      <c r="D96" s="1">
        <v>1430</v>
      </c>
      <c r="G96" t="s">
        <v>51</v>
      </c>
    </row>
    <row r="97" spans="1:7" x14ac:dyDescent="0.55000000000000004">
      <c r="A97" t="s">
        <v>118</v>
      </c>
      <c r="B97" s="3" t="s">
        <v>84</v>
      </c>
      <c r="C97" s="1">
        <v>8734</v>
      </c>
      <c r="D97" s="1">
        <v>7713</v>
      </c>
      <c r="G97" t="s">
        <v>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2026-05-07T03:17:05Z</dcterms:created>
  <dcterms:modified xsi:type="dcterms:W3CDTF">2026-07-13T02:11:37Z</dcterms:modified>
</cp:coreProperties>
</file>