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7480" yWindow="-120" windowWidth="51840" windowHeight="21120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sz val="11"/>
    </font>
    <font>
      <name val="Calibri"/>
      <b val="1"/>
      <sz val="11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FFD9EAD3"/>
      </patternFill>
    </fill>
    <fill>
      <patternFill patternType="solid">
        <fgColor theme="0" tint="-0.1499984740745262"/>
        <bgColor indexed="65"/>
      </patternFill>
    </fill>
    <fill>
      <patternFill patternType="solid">
        <fgColor theme="8" tint="0.7999511703848384"/>
        <bgColor indexed="65"/>
      </patternFill>
    </fill>
    <fill>
      <patternFill patternType="solid">
        <fgColor theme="9" tint="0.7999511703848384"/>
        <bgColor indexed="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3" fillId="0" borderId="0" applyAlignment="1" pivotButton="0" quotePrefix="0" xfId="0">
      <alignment horizontal="left"/>
    </xf>
    <xf numFmtId="0" fontId="3" fillId="0" borderId="0" pivotButton="0" quotePrefix="0" xfId="0"/>
    <xf numFmtId="3" fontId="3" fillId="0" borderId="0" applyAlignment="1" pivotButton="0" quotePrefix="0" xfId="0">
      <alignment horizontal="right"/>
    </xf>
    <xf numFmtId="3" fontId="3" fillId="0" borderId="0" applyAlignment="1" pivotButton="0" quotePrefix="0" xfId="0">
      <alignment horizontal="center"/>
    </xf>
    <xf numFmtId="3" fontId="3" fillId="0" borderId="0" pivotButton="0" quotePrefix="0" xfId="0"/>
    <xf numFmtId="0" fontId="3" fillId="3" borderId="0" applyAlignment="1" pivotButton="0" quotePrefix="0" xfId="0">
      <alignment horizontal="left"/>
    </xf>
    <xf numFmtId="3" fontId="3" fillId="3" borderId="0" applyAlignment="1" pivotButton="0" quotePrefix="0" xfId="0">
      <alignment horizontal="right"/>
    </xf>
    <xf numFmtId="0" fontId="3" fillId="3" borderId="0" pivotButton="0" quotePrefix="0" xfId="0"/>
    <xf numFmtId="3" fontId="3" fillId="3" borderId="0" pivotButton="0" quotePrefix="0" xfId="0"/>
    <xf numFmtId="3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3" fontId="3" fillId="4" borderId="0" applyAlignment="1" pivotButton="0" quotePrefix="0" xfId="0">
      <alignment horizontal="right"/>
    </xf>
    <xf numFmtId="0" fontId="3" fillId="4" borderId="0" pivotButton="0" quotePrefix="0" xfId="0"/>
    <xf numFmtId="3" fontId="3" fillId="4" borderId="0" pivotButton="0" quotePrefix="0" xfId="0"/>
    <xf numFmtId="3" fontId="3" fillId="4" borderId="0" applyAlignment="1" pivotButton="0" quotePrefix="0" xfId="0">
      <alignment horizontal="center"/>
    </xf>
    <xf numFmtId="0" fontId="1" fillId="5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69"/>
  <sheetViews>
    <sheetView tabSelected="1" workbookViewId="0">
      <selection activeCell="Y4" sqref="Y4"/>
    </sheetView>
  </sheetViews>
  <sheetFormatPr baseColWidth="8" defaultRowHeight="14.4"/>
  <cols>
    <col width="29.26171875" customWidth="1" style="22" min="1" max="1"/>
    <col width="9.734375" customWidth="1" style="22" min="2" max="2"/>
    <col width="8" customWidth="1" style="22" min="3" max="4"/>
    <col width="10" customWidth="1" style="22" min="5" max="5"/>
    <col width="8.3671875" customWidth="1" style="22" min="6" max="6"/>
    <col width="8.26171875" customWidth="1" style="22" min="7" max="7"/>
    <col width="13.62890625" customWidth="1" style="22" min="8" max="8"/>
    <col width="13.26171875" customWidth="1" style="22" min="9" max="9"/>
    <col width="13.1015625" customWidth="1" style="22" min="10" max="10"/>
    <col width="5.3671875" customWidth="1" style="22" min="11" max="11"/>
    <col width="6.62890625" customWidth="1" style="22" min="12" max="13"/>
    <col width="8" customWidth="1" style="22" min="14" max="14"/>
    <col width="6.62890625" customWidth="1" style="22" min="15" max="15"/>
    <col width="8" customWidth="1" style="22" min="16" max="16"/>
    <col width="6.62890625" customWidth="1" style="22" min="17" max="21"/>
    <col width="8" customWidth="1" style="22" min="22" max="22"/>
    <col width="6.62890625" customWidth="1" style="22" min="23" max="25"/>
    <col width="13.26171875" customWidth="1" style="22" min="27" max="27"/>
    <col width="12.26171875" customWidth="1" style="22" min="28" max="28"/>
    <col width="9.89453125" customWidth="1" style="22" min="30" max="30"/>
    <col width="8.26171875" customWidth="1" style="22" min="31" max="31"/>
    <col width="8.1015625" customWidth="1" style="22" min="32" max="32"/>
    <col width="13.26171875" customWidth="1" style="22" min="33" max="33"/>
    <col width="11.47265625" customWidth="1" style="22" min="34" max="34"/>
    <col width="11.3671875" customWidth="1" style="22" min="35" max="35"/>
    <col width="16.734375" customWidth="1" style="22" min="36" max="36"/>
    <col width="16.3671875" customWidth="1" style="22" min="37" max="37"/>
    <col width="16.26171875" customWidth="1" style="22" min="38" max="38"/>
    <col width="11.62890625" customWidth="1" style="22" min="40" max="40"/>
    <col width="15.1015625" customWidth="1" style="22" min="43" max="43"/>
    <col width="15.3671875" customWidth="1" style="22" min="44" max="44"/>
    <col width="13.3671875" customWidth="1" style="22" min="45" max="45"/>
    <col width="18.734375" customWidth="1" style="22" min="46" max="46"/>
    <col width="21.3671875" customWidth="1" style="22" min="47" max="47"/>
    <col width="17.47265625" customWidth="1" style="22" min="48" max="48"/>
  </cols>
  <sheetData>
    <row r="1" ht="28.8" customHeight="1" s="22">
      <c r="A1" s="21" t="inlineStr">
        <is>
          <t>губ</t>
        </is>
      </c>
      <c r="B1" s="21" t="inlineStr">
        <is>
          <t>чж NYY</t>
        </is>
      </c>
      <c r="C1" s="21" t="inlineStr">
        <is>
          <t>чр YY</t>
        </is>
      </c>
      <c r="D1" s="21" t="inlineStr">
        <is>
          <t>чу YY</t>
        </is>
      </c>
      <c r="E1" s="21" t="inlineStr">
        <is>
          <t>чж-гор NYY</t>
        </is>
      </c>
      <c r="F1" s="21" t="inlineStr">
        <is>
          <t>чр-гор YY</t>
        </is>
      </c>
      <c r="G1" s="21" t="inlineStr">
        <is>
          <t>чу-гор YY</t>
        </is>
      </c>
      <c r="H1" s="21" t="inlineStr">
        <is>
          <t>ср-чж 1887-1889</t>
        </is>
      </c>
      <c r="I1" s="21" t="inlineStr">
        <is>
          <t>ср-чр 1887-1889</t>
        </is>
      </c>
      <c r="J1" s="21" t="inlineStr">
        <is>
          <t>ср-чу 1887-1889</t>
        </is>
      </c>
      <c r="K1" s="20" t="n"/>
      <c r="L1" s="21" t="inlineStr">
        <is>
          <t>уезды</t>
        </is>
      </c>
      <c r="Z1" s="19" t="n"/>
      <c r="AA1" s="16" t="inlineStr">
        <is>
          <t>v-sum-уезды</t>
        </is>
      </c>
      <c r="AB1" s="17" t="inlineStr">
        <is>
          <t>v-diff-уезды</t>
        </is>
      </c>
      <c r="AD1" s="21" t="inlineStr">
        <is>
          <t>v-чж NYY</t>
        </is>
      </c>
      <c r="AE1" s="21" t="inlineStr">
        <is>
          <t>v-чр YY</t>
        </is>
      </c>
      <c r="AF1" s="21" t="inlineStr">
        <is>
          <t>v-чу YY</t>
        </is>
      </c>
      <c r="AG1" s="21" t="inlineStr">
        <is>
          <t>v-чж-гор NYY</t>
        </is>
      </c>
      <c r="AH1" s="21" t="inlineStr">
        <is>
          <t>v-чр-гор YY</t>
        </is>
      </c>
      <c r="AI1" s="21" t="inlineStr">
        <is>
          <t>v-чу-гор YY</t>
        </is>
      </c>
      <c r="AJ1" s="21" t="inlineStr">
        <is>
          <t>v-ср-чж 1887-1889</t>
        </is>
      </c>
      <c r="AK1" s="21" t="inlineStr">
        <is>
          <t>v-ср-чр 1887-1889</t>
        </is>
      </c>
      <c r="AL1" s="21" t="inlineStr">
        <is>
          <t>v-ср-чу 1887-1889</t>
        </is>
      </c>
      <c r="AN1" s="21" t="inlineStr">
        <is>
          <t>v-d-чж NYY</t>
        </is>
      </c>
      <c r="AO1" s="21" t="inlineStr">
        <is>
          <t>v-d-чр YY</t>
        </is>
      </c>
      <c r="AP1" s="21" t="inlineStr">
        <is>
          <t>v-d-чу YY</t>
        </is>
      </c>
      <c r="AQ1" s="21" t="inlineStr">
        <is>
          <t>v-d-чж-гор NYY</t>
        </is>
      </c>
      <c r="AR1" s="21" t="inlineStr">
        <is>
          <t>v-d-чр-гор YY</t>
        </is>
      </c>
      <c r="AS1" s="21" t="inlineStr">
        <is>
          <t>v-d-чу-гор YY</t>
        </is>
      </c>
      <c r="AT1" s="21" t="inlineStr">
        <is>
          <t>v-d-ср-чж 1887-1889</t>
        </is>
      </c>
      <c r="AU1" s="21" t="inlineStr">
        <is>
          <t>v-d-ср-чр 1887-1889</t>
        </is>
      </c>
      <c r="AV1" s="21" t="inlineStr">
        <is>
          <t>v-d-ср-чу 1887-1889</t>
        </is>
      </c>
    </row>
    <row r="2" customFormat="1" s="8">
      <c r="A2" s="6" t="inlineStr">
        <is>
          <t>Архангельская</t>
        </is>
      </c>
      <c r="B2" s="7" t="n">
        <v>354411</v>
      </c>
      <c r="C2" s="7" t="n">
        <v>13729</v>
      </c>
      <c r="D2" s="7" t="n">
        <v>10318</v>
      </c>
      <c r="E2" s="7" t="n">
        <v>28715</v>
      </c>
      <c r="F2" s="7" t="n">
        <v>947</v>
      </c>
      <c r="G2" s="7" t="n">
        <v>922</v>
      </c>
      <c r="H2" s="7" t="n">
        <v>345874</v>
      </c>
      <c r="I2" s="7" t="n">
        <v>13342</v>
      </c>
      <c r="J2" s="7" t="n">
        <v>8283</v>
      </c>
      <c r="K2" s="3" t="n"/>
      <c r="L2" s="7" t="n">
        <v>53432</v>
      </c>
      <c r="M2" s="7" t="n">
        <v>44162</v>
      </c>
      <c r="N2" s="7" t="n">
        <v>15542</v>
      </c>
      <c r="O2" s="7" t="n">
        <v>51652</v>
      </c>
      <c r="P2" s="7" t="n">
        <v>39775</v>
      </c>
      <c r="Q2" s="7" t="n">
        <v>28823</v>
      </c>
      <c r="R2" s="7" t="n">
        <v>39380</v>
      </c>
      <c r="S2" s="7" t="n">
        <v>81645</v>
      </c>
      <c r="T2" s="7" t="n"/>
      <c r="U2" s="7" t="n"/>
      <c r="V2" s="7" t="n"/>
      <c r="W2" s="7" t="n"/>
      <c r="X2" s="7" t="n"/>
      <c r="Y2" s="7" t="n"/>
      <c r="AA2" s="9">
        <f>SUM(L2:Y2)</f>
        <v/>
      </c>
      <c r="AB2" s="9">
        <f>AA2-B2</f>
        <v/>
      </c>
    </row>
    <row r="3" customFormat="1" s="2">
      <c r="A3" s="1" t="inlineStr">
        <is>
          <t>[Архангельская род.]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>
        <v>1946</v>
      </c>
      <c r="M3" s="3" t="n">
        <v>1262</v>
      </c>
      <c r="N3" s="3" t="n">
        <v>371</v>
      </c>
      <c r="O3" s="3" t="n">
        <v>2378</v>
      </c>
      <c r="P3" s="3" t="n">
        <v>1564</v>
      </c>
      <c r="Q3" s="3" t="n">
        <v>1284</v>
      </c>
      <c r="R3" s="3" t="n">
        <v>1660</v>
      </c>
      <c r="S3" s="3" t="n">
        <v>3264</v>
      </c>
      <c r="T3" s="3" t="n"/>
      <c r="U3" s="3" t="n"/>
      <c r="V3" s="3" t="n"/>
      <c r="W3" s="3" t="n"/>
      <c r="X3" s="3" t="n"/>
      <c r="Y3" s="3" t="n"/>
      <c r="AA3" s="5">
        <f>SUM(L3:Y3)</f>
        <v/>
      </c>
      <c r="AB3" s="5">
        <f>C2-AA3</f>
        <v/>
      </c>
    </row>
    <row r="4" customFormat="1" s="2">
      <c r="A4" s="1" t="inlineStr">
        <is>
          <t>[Архангельская ум.]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>
        <v>1691</v>
      </c>
      <c r="M4" s="3" t="n">
        <v>614</v>
      </c>
      <c r="N4" s="3" t="n">
        <v>258</v>
      </c>
      <c r="O4" s="3" t="n">
        <v>1879</v>
      </c>
      <c r="P4" s="3" t="n">
        <v>1221</v>
      </c>
      <c r="Q4" s="3" t="n">
        <v>875</v>
      </c>
      <c r="R4" s="3" t="n">
        <v>1228</v>
      </c>
      <c r="S4" s="3" t="n">
        <v>2552</v>
      </c>
      <c r="T4" s="3" t="n"/>
      <c r="U4" s="3" t="n"/>
      <c r="V4" s="3" t="n"/>
      <c r="W4" s="3" t="n"/>
      <c r="X4" s="3" t="n"/>
      <c r="Y4" s="3" t="n"/>
      <c r="AA4" s="5">
        <f>SUM(L4:Y4)</f>
        <v/>
      </c>
      <c r="AB4" s="5">
        <f>AA4-D2</f>
        <v/>
      </c>
    </row>
    <row r="5" customFormat="1" s="8">
      <c r="A5" s="6" t="inlineStr">
        <is>
          <t>Астраханская</t>
        </is>
      </c>
      <c r="B5" s="7" t="n">
        <v>878991</v>
      </c>
      <c r="C5" s="7" t="n">
        <v>29427</v>
      </c>
      <c r="D5" s="7" t="n">
        <v>21582</v>
      </c>
      <c r="E5" s="7" t="n">
        <v>111080</v>
      </c>
      <c r="F5" s="7" t="n">
        <v>5106</v>
      </c>
      <c r="G5" s="7" t="n">
        <v>5038</v>
      </c>
      <c r="H5" s="7" t="n">
        <v>867265</v>
      </c>
      <c r="I5" s="7" t="n">
        <v>27797</v>
      </c>
      <c r="J5" s="7" t="n">
        <v>19234</v>
      </c>
      <c r="K5" s="3" t="n"/>
      <c r="L5" s="7" t="n">
        <v>151523</v>
      </c>
      <c r="M5" s="7" t="n">
        <v>68801</v>
      </c>
      <c r="N5" s="7" t="n">
        <v>32856</v>
      </c>
      <c r="O5" s="7" t="n">
        <v>87135</v>
      </c>
      <c r="P5" s="7" t="n">
        <v>177177</v>
      </c>
      <c r="Q5" s="7" t="n">
        <v>141647</v>
      </c>
      <c r="R5" s="7" t="n">
        <v>219852</v>
      </c>
      <c r="S5" s="7" t="n"/>
      <c r="T5" s="7" t="n"/>
      <c r="U5" s="7" t="n"/>
      <c r="V5" s="7" t="n"/>
      <c r="W5" s="7" t="n"/>
      <c r="X5" s="7" t="n"/>
      <c r="Y5" s="7" t="n"/>
      <c r="AA5" s="9">
        <f>SUM(L5:Y5)</f>
        <v/>
      </c>
      <c r="AB5" s="9">
        <f>AA5-B5</f>
        <v/>
      </c>
    </row>
    <row r="6" customFormat="1" s="2">
      <c r="A6" s="1" t="inlineStr">
        <is>
          <t>[Астраханская род.]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>
        <v>7987</v>
      </c>
      <c r="M6" s="3" t="n">
        <v>3987</v>
      </c>
      <c r="N6" s="3" t="n">
        <v>1695</v>
      </c>
      <c r="O6" s="3" t="n">
        <v>5435</v>
      </c>
      <c r="P6" s="3" t="n">
        <v>10323</v>
      </c>
      <c r="Q6" s="4" t="inlineStr">
        <is>
          <t>—</t>
        </is>
      </c>
      <c r="R6" s="4" t="inlineStr">
        <is>
          <t>—</t>
        </is>
      </c>
      <c r="S6" s="3" t="n"/>
      <c r="T6" s="3" t="n"/>
      <c r="U6" s="3" t="n"/>
      <c r="V6" s="3" t="n"/>
      <c r="W6" s="3" t="n"/>
      <c r="X6" s="3" t="n"/>
      <c r="Y6" s="3" t="n"/>
      <c r="AA6" s="5">
        <f>SUM(L6:Y6)</f>
        <v/>
      </c>
      <c r="AB6" s="5">
        <f>C5-AA6</f>
        <v/>
      </c>
    </row>
    <row r="7" customFormat="1" s="2">
      <c r="A7" s="1" t="inlineStr">
        <is>
          <t>[Астраханская ум.]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>
        <v>7564</v>
      </c>
      <c r="M7" s="3" t="n">
        <v>2376</v>
      </c>
      <c r="N7" s="3" t="n">
        <v>1475</v>
      </c>
      <c r="O7" s="3" t="n">
        <v>2808</v>
      </c>
      <c r="P7" s="3" t="n">
        <v>7359</v>
      </c>
      <c r="Q7" s="4" t="inlineStr">
        <is>
          <t>—</t>
        </is>
      </c>
      <c r="R7" s="4" t="inlineStr">
        <is>
          <t>—</t>
        </is>
      </c>
      <c r="S7" s="3" t="n"/>
      <c r="T7" s="3" t="n"/>
      <c r="U7" s="3" t="n"/>
      <c r="V7" s="3" t="n"/>
      <c r="W7" s="3" t="n"/>
      <c r="X7" s="3" t="n"/>
      <c r="Y7" s="3" t="n"/>
      <c r="AA7" s="5">
        <f>SUM(L7:Y7)</f>
        <v/>
      </c>
      <c r="AB7" s="5">
        <f>AA7-D5</f>
        <v/>
      </c>
    </row>
    <row r="8" customFormat="1" s="8">
      <c r="A8" s="6" t="inlineStr">
        <is>
          <t>Виленская</t>
        </is>
      </c>
      <c r="B8" s="7" t="n">
        <v>1361850</v>
      </c>
      <c r="C8" s="7" t="n">
        <v>58709</v>
      </c>
      <c r="D8" s="7" t="n">
        <v>32542</v>
      </c>
      <c r="E8" s="7" t="n">
        <v>144729</v>
      </c>
      <c r="F8" s="7" t="n">
        <v>4606</v>
      </c>
      <c r="G8" s="7" t="n">
        <v>3588</v>
      </c>
      <c r="H8" s="7" t="n">
        <v>1316572</v>
      </c>
      <c r="I8" s="7" t="n">
        <v>54452</v>
      </c>
      <c r="J8" s="7" t="n">
        <v>34603</v>
      </c>
      <c r="K8" s="3" t="n"/>
      <c r="L8" s="7" t="n">
        <v>302873</v>
      </c>
      <c r="M8" s="7" t="n">
        <v>197222</v>
      </c>
      <c r="N8" s="7" t="n">
        <v>181111</v>
      </c>
      <c r="O8" s="7" t="n">
        <v>175164</v>
      </c>
      <c r="P8" s="7" t="n">
        <v>209109</v>
      </c>
      <c r="Q8" s="7" t="n">
        <v>158077</v>
      </c>
      <c r="R8" s="7" t="n">
        <v>138264</v>
      </c>
      <c r="S8" s="7" t="n"/>
      <c r="T8" s="7" t="n"/>
      <c r="U8" s="7" t="n"/>
      <c r="V8" s="7" t="n"/>
      <c r="W8" s="7" t="n"/>
      <c r="X8" s="7" t="n"/>
      <c r="Y8" s="7" t="n"/>
      <c r="AA8" s="9">
        <f>SUM(L8:Y8)</f>
        <v/>
      </c>
      <c r="AB8" s="9">
        <f>AA8-B8</f>
        <v/>
      </c>
    </row>
    <row r="9" customFormat="1" s="2">
      <c r="A9" s="1" t="inlineStr">
        <is>
          <t>[Виленская род.]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>
        <v>10862</v>
      </c>
      <c r="M9" s="3" t="n">
        <v>8321</v>
      </c>
      <c r="N9" s="3" t="n">
        <v>7520</v>
      </c>
      <c r="O9" s="3" t="n">
        <v>8122</v>
      </c>
      <c r="P9" s="3" t="n">
        <v>8704</v>
      </c>
      <c r="Q9" s="3" t="n">
        <v>6926</v>
      </c>
      <c r="R9" s="3" t="n">
        <v>8254</v>
      </c>
      <c r="S9" s="3" t="n"/>
      <c r="T9" s="3" t="n"/>
      <c r="U9" s="3" t="n"/>
      <c r="V9" s="3" t="n"/>
      <c r="W9" s="3" t="n"/>
      <c r="X9" s="3" t="n"/>
      <c r="Y9" s="3" t="n"/>
      <c r="AA9" s="5">
        <f>SUM(L9:Y9)</f>
        <v/>
      </c>
      <c r="AB9" s="5">
        <f>C8-AA9</f>
        <v/>
      </c>
    </row>
    <row r="10" customFormat="1" s="2">
      <c r="A10" s="1" t="inlineStr">
        <is>
          <t>[Виленская ум.]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>
        <v>6926</v>
      </c>
      <c r="M10" s="3" t="n">
        <v>4555</v>
      </c>
      <c r="N10" s="3" t="n">
        <v>3984</v>
      </c>
      <c r="O10" s="3" t="n">
        <v>4815</v>
      </c>
      <c r="P10" s="3" t="n">
        <v>4210</v>
      </c>
      <c r="Q10" s="3" t="n">
        <v>3659</v>
      </c>
      <c r="R10" s="3" t="n">
        <v>4393</v>
      </c>
      <c r="S10" s="3" t="n"/>
      <c r="T10" s="3" t="n"/>
      <c r="U10" s="3" t="n"/>
      <c r="V10" s="3" t="n"/>
      <c r="W10" s="3" t="n"/>
      <c r="X10" s="3" t="n"/>
      <c r="Y10" s="3" t="n"/>
      <c r="AA10" s="5">
        <f>SUM(L10:Y10)</f>
        <v/>
      </c>
      <c r="AB10" s="5">
        <f>AA10-D8</f>
        <v/>
      </c>
    </row>
    <row r="11" customFormat="1" s="8">
      <c r="A11" s="6" t="inlineStr">
        <is>
          <t>Витебская</t>
        </is>
      </c>
      <c r="B11" s="7" t="n">
        <v>1369473</v>
      </c>
      <c r="C11" s="7" t="n">
        <v>58044</v>
      </c>
      <c r="D11" s="7" t="n">
        <v>34462</v>
      </c>
      <c r="E11" s="7" t="n">
        <v>215135</v>
      </c>
      <c r="F11" s="7" t="n">
        <v>5897</v>
      </c>
      <c r="G11" s="7" t="n">
        <v>3964</v>
      </c>
      <c r="H11" s="7" t="n">
        <v>1308736</v>
      </c>
      <c r="I11" s="7" t="n">
        <v>57001</v>
      </c>
      <c r="J11" s="7" t="n">
        <v>32735</v>
      </c>
      <c r="K11" s="3" t="n"/>
      <c r="L11" s="7" t="n">
        <v>149724</v>
      </c>
      <c r="M11" s="7" t="n">
        <v>89229</v>
      </c>
      <c r="N11" s="7" t="n">
        <v>97936</v>
      </c>
      <c r="O11" s="7" t="n">
        <v>227946</v>
      </c>
      <c r="P11" s="7" t="n">
        <v>82030</v>
      </c>
      <c r="Q11" s="7" t="n">
        <v>138165</v>
      </c>
      <c r="R11" s="7" t="n">
        <v>119112</v>
      </c>
      <c r="S11" s="7" t="n">
        <v>112849</v>
      </c>
      <c r="T11" s="7" t="n">
        <v>118867</v>
      </c>
      <c r="U11" s="7" t="n">
        <v>136061</v>
      </c>
      <c r="V11" s="7" t="n">
        <v>92554</v>
      </c>
      <c r="W11" s="7" t="n"/>
      <c r="X11" s="7" t="n"/>
      <c r="Y11" s="7" t="n"/>
      <c r="AA11" s="9">
        <f>SUM(L11:Y11)</f>
        <v/>
      </c>
      <c r="AB11" s="9">
        <f>AA11-B11</f>
        <v/>
      </c>
    </row>
    <row r="12" customFormat="1" s="2">
      <c r="A12" s="1" t="inlineStr">
        <is>
          <t>[Витебская род.]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>
        <v>7114</v>
      </c>
      <c r="M12" s="3" t="n">
        <v>4769</v>
      </c>
      <c r="N12" s="3" t="n">
        <v>4834</v>
      </c>
      <c r="O12" s="3" t="n">
        <v>7057</v>
      </c>
      <c r="P12" s="3" t="n">
        <v>4130</v>
      </c>
      <c r="Q12" s="3" t="n">
        <v>6359</v>
      </c>
      <c r="R12" s="3" t="n">
        <v>4630</v>
      </c>
      <c r="S12" s="3" t="n">
        <v>4767</v>
      </c>
      <c r="T12" s="3" t="n">
        <v>5813</v>
      </c>
      <c r="U12" s="3" t="n">
        <v>4368</v>
      </c>
      <c r="V12" s="3" t="n">
        <v>4203</v>
      </c>
      <c r="W12" s="3" t="n"/>
      <c r="X12" s="3" t="n"/>
      <c r="Y12" s="3" t="n"/>
      <c r="AA12" s="5">
        <f>SUM(L12:Y12)</f>
        <v/>
      </c>
      <c r="AB12" s="5">
        <f>C11-AA12</f>
        <v/>
      </c>
    </row>
    <row r="13" customFormat="1" s="2">
      <c r="A13" s="1" t="inlineStr">
        <is>
          <t>[Витебская ум.]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>
        <v>3893</v>
      </c>
      <c r="M13" s="3" t="n">
        <v>3326</v>
      </c>
      <c r="N13" s="3" t="n">
        <v>2652</v>
      </c>
      <c r="O13" s="3" t="n">
        <v>4633</v>
      </c>
      <c r="P13" s="3" t="n">
        <v>2509</v>
      </c>
      <c r="Q13" s="3" t="n">
        <v>4123</v>
      </c>
      <c r="R13" s="3" t="n">
        <v>2701</v>
      </c>
      <c r="S13" s="3" t="n">
        <v>2880</v>
      </c>
      <c r="T13" s="3" t="n">
        <v>3011</v>
      </c>
      <c r="U13" s="3" t="n">
        <v>2490</v>
      </c>
      <c r="V13" s="3" t="n">
        <v>2247</v>
      </c>
      <c r="W13" s="3" t="n"/>
      <c r="X13" s="3" t="n"/>
      <c r="Y13" s="3" t="n"/>
      <c r="AA13" s="5">
        <f>SUM(L13:Y13)</f>
        <v/>
      </c>
      <c r="AB13" s="5">
        <f>AA13-D11</f>
        <v/>
      </c>
    </row>
    <row r="14" customFormat="1" s="8">
      <c r="A14" s="6" t="inlineStr">
        <is>
          <t>Волынская</t>
        </is>
      </c>
      <c r="B14" s="7" t="n">
        <v>2395608</v>
      </c>
      <c r="C14" s="7" t="n">
        <v>121128</v>
      </c>
      <c r="D14" s="7" t="n">
        <v>76050</v>
      </c>
      <c r="E14" s="7" t="n">
        <v>190692</v>
      </c>
      <c r="F14" s="7" t="n">
        <v>6686</v>
      </c>
      <c r="G14" s="7" t="n">
        <v>4585</v>
      </c>
      <c r="H14" s="7" t="n">
        <v>2306507</v>
      </c>
      <c r="I14" s="7" t="n">
        <v>120181</v>
      </c>
      <c r="J14" s="7" t="n">
        <v>76895</v>
      </c>
      <c r="K14" s="3" t="n"/>
      <c r="L14" s="7" t="n">
        <v>330423</v>
      </c>
      <c r="M14" s="7" t="n">
        <v>212093</v>
      </c>
      <c r="N14" s="7" t="n">
        <v>161914</v>
      </c>
      <c r="O14" s="7" t="n">
        <v>173159</v>
      </c>
      <c r="P14" s="7" t="n">
        <v>184468</v>
      </c>
      <c r="Q14" s="7" t="n">
        <v>181984</v>
      </c>
      <c r="R14" s="7" t="n">
        <v>184778</v>
      </c>
      <c r="S14" s="7" t="n">
        <v>256441</v>
      </c>
      <c r="T14" s="7" t="n">
        <v>175529</v>
      </c>
      <c r="U14" s="7" t="n">
        <v>152938</v>
      </c>
      <c r="V14" s="7" t="n">
        <v>210842</v>
      </c>
      <c r="W14" s="7" t="n">
        <v>171039</v>
      </c>
      <c r="X14" s="7" t="n"/>
      <c r="Y14" s="7" t="n"/>
      <c r="AA14" s="9">
        <f>SUM(L14:Y14)</f>
        <v/>
      </c>
      <c r="AB14" s="9">
        <f>AA14-B14</f>
        <v/>
      </c>
    </row>
    <row r="15" customFormat="1" s="2">
      <c r="A15" s="1" t="inlineStr">
        <is>
          <t>[Волынская род.]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>
        <v>16897</v>
      </c>
      <c r="M15" s="3" t="n">
        <v>11405</v>
      </c>
      <c r="N15" s="3" t="n">
        <v>7623</v>
      </c>
      <c r="O15" s="3" t="n">
        <v>8564</v>
      </c>
      <c r="P15" s="3" t="n">
        <v>8411</v>
      </c>
      <c r="Q15" s="3" t="n">
        <v>8701</v>
      </c>
      <c r="R15" s="3" t="n">
        <v>9681</v>
      </c>
      <c r="S15" s="3" t="n">
        <v>14435</v>
      </c>
      <c r="T15" s="3" t="n">
        <v>8984</v>
      </c>
      <c r="U15" s="3" t="n">
        <v>7094</v>
      </c>
      <c r="V15" s="3" t="n">
        <v>11109</v>
      </c>
      <c r="W15" s="3" t="n">
        <v>8220</v>
      </c>
      <c r="X15" s="3" t="n"/>
      <c r="Y15" s="3" t="n"/>
      <c r="AA15" s="5">
        <f>SUM(L15:Y15)</f>
        <v/>
      </c>
      <c r="AB15" s="5">
        <f>C14-AA15</f>
        <v/>
      </c>
    </row>
    <row r="16" customFormat="1" s="2">
      <c r="A16" s="1" t="inlineStr">
        <is>
          <t>[Волынская ум.]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>
        <v>9945</v>
      </c>
      <c r="M16" s="3" t="n">
        <v>7071</v>
      </c>
      <c r="N16" s="3" t="n">
        <v>5131</v>
      </c>
      <c r="O16" s="3" t="n">
        <v>6171</v>
      </c>
      <c r="P16" s="3" t="n">
        <v>5413</v>
      </c>
      <c r="Q16" s="3" t="n">
        <v>6242</v>
      </c>
      <c r="R16" s="3" t="n">
        <v>5242</v>
      </c>
      <c r="S16" s="3" t="n">
        <v>9539</v>
      </c>
      <c r="T16" s="3" t="n">
        <v>5172</v>
      </c>
      <c r="U16" s="3" t="n">
        <v>4699</v>
      </c>
      <c r="V16" s="3" t="n">
        <v>6046</v>
      </c>
      <c r="W16" s="3" t="n">
        <v>5379</v>
      </c>
      <c r="X16" s="3" t="n"/>
      <c r="Y16" s="3" t="n"/>
      <c r="AA16" s="5">
        <f>SUM(L16:Y16)</f>
        <v/>
      </c>
      <c r="AB16" s="5">
        <f>AA16-D14</f>
        <v/>
      </c>
    </row>
    <row r="17" customFormat="1" s="8">
      <c r="A17" s="6" t="inlineStr">
        <is>
          <t>Гродненская</t>
        </is>
      </c>
      <c r="B17" s="7" t="n">
        <v>1483518</v>
      </c>
      <c r="C17" s="7" t="n">
        <v>60982</v>
      </c>
      <c r="D17" s="7" t="n">
        <v>42063</v>
      </c>
      <c r="E17" s="7" t="n">
        <v>216259</v>
      </c>
      <c r="F17" s="7" t="n">
        <v>6064</v>
      </c>
      <c r="G17" s="7" t="n">
        <v>3977</v>
      </c>
      <c r="H17" s="7" t="n">
        <v>1357065</v>
      </c>
      <c r="I17" s="7" t="n">
        <v>56683</v>
      </c>
      <c r="J17" s="7" t="n">
        <v>37073</v>
      </c>
      <c r="K17" s="3" t="n"/>
      <c r="L17" s="7" t="n">
        <v>185925</v>
      </c>
      <c r="M17" s="7" t="n">
        <v>196326</v>
      </c>
      <c r="N17" s="7" t="n">
        <v>182703</v>
      </c>
      <c r="O17" s="7" t="n">
        <v>181801</v>
      </c>
      <c r="P17" s="7" t="n">
        <v>136022</v>
      </c>
      <c r="Q17" s="7" t="n">
        <v>154393</v>
      </c>
      <c r="R17" s="7" t="n">
        <v>132990</v>
      </c>
      <c r="S17" s="7" t="n">
        <v>207307</v>
      </c>
      <c r="T17" s="7" t="n">
        <v>106051</v>
      </c>
      <c r="U17" s="7" t="n"/>
      <c r="V17" s="7" t="n"/>
      <c r="W17" s="7" t="n"/>
      <c r="X17" s="7" t="n"/>
      <c r="Y17" s="7" t="n"/>
      <c r="AA17" s="9">
        <f>SUM(L17:Y17)</f>
        <v/>
      </c>
      <c r="AB17" s="9">
        <f>AA17-B17</f>
        <v/>
      </c>
    </row>
    <row r="18" customFormat="1" s="2">
      <c r="A18" s="1" t="inlineStr">
        <is>
          <t>[Гродненская род.]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>
        <v>6634</v>
      </c>
      <c r="M18" s="3" t="n">
        <v>8637</v>
      </c>
      <c r="N18" s="3" t="n">
        <v>6525</v>
      </c>
      <c r="O18" s="3" t="n">
        <v>6396</v>
      </c>
      <c r="P18" s="3" t="n">
        <v>6551</v>
      </c>
      <c r="Q18" s="3" t="n">
        <v>7183</v>
      </c>
      <c r="R18" s="3" t="n">
        <v>5946</v>
      </c>
      <c r="S18" s="3" t="n">
        <v>9332</v>
      </c>
      <c r="T18" s="3" t="n">
        <v>3778</v>
      </c>
      <c r="U18" s="3" t="n"/>
      <c r="V18" s="3" t="n"/>
      <c r="W18" s="3" t="n"/>
      <c r="X18" s="3" t="n"/>
      <c r="Y18" s="3" t="n"/>
      <c r="AA18" s="5">
        <f>SUM(L18:Y18)</f>
        <v/>
      </c>
      <c r="AB18" s="5">
        <f>C17-AA18</f>
        <v/>
      </c>
    </row>
    <row r="19" customFormat="1" s="2">
      <c r="A19" s="1" t="inlineStr">
        <is>
          <t>[Гродненская ум.]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>
        <v>4159</v>
      </c>
      <c r="M19" s="3" t="n">
        <v>5922</v>
      </c>
      <c r="N19" s="3" t="n">
        <v>4240</v>
      </c>
      <c r="O19" s="3" t="n">
        <v>3986</v>
      </c>
      <c r="P19" s="3" t="n">
        <v>3953</v>
      </c>
      <c r="Q19" s="3" t="n">
        <v>7226</v>
      </c>
      <c r="R19" s="3" t="n">
        <v>3986</v>
      </c>
      <c r="S19" s="3" t="n">
        <v>6144</v>
      </c>
      <c r="T19" s="3" t="n">
        <v>2447</v>
      </c>
      <c r="U19" s="3" t="n"/>
      <c r="V19" s="3" t="n"/>
      <c r="W19" s="3" t="n"/>
      <c r="X19" s="3" t="n"/>
      <c r="Y19" s="3" t="n"/>
      <c r="AA19" s="5">
        <f>SUM(L19:Y19)</f>
        <v/>
      </c>
      <c r="AB19" s="5">
        <f>AA19-D17</f>
        <v/>
      </c>
    </row>
    <row r="20" customFormat="1" s="8">
      <c r="A20" s="6" t="inlineStr">
        <is>
          <t>Киевская</t>
        </is>
      </c>
      <c r="B20" s="7" t="n">
        <v>3139937</v>
      </c>
      <c r="C20" s="7" t="n">
        <v>157126</v>
      </c>
      <c r="D20" s="7" t="n">
        <v>105987</v>
      </c>
      <c r="E20" s="7" t="n">
        <v>427840</v>
      </c>
      <c r="F20" s="7" t="n">
        <v>15053</v>
      </c>
      <c r="G20" s="7" t="n">
        <v>10465</v>
      </c>
      <c r="H20" s="7" t="n">
        <v>2973616</v>
      </c>
      <c r="I20" s="7" t="n">
        <v>156408</v>
      </c>
      <c r="J20" s="7" t="n">
        <v>97869</v>
      </c>
      <c r="K20" s="3" t="n"/>
      <c r="L20" s="7" t="n">
        <v>441182</v>
      </c>
      <c r="M20" s="7" t="n">
        <v>283286</v>
      </c>
      <c r="N20" s="7" t="n">
        <v>279895</v>
      </c>
      <c r="O20" s="7" t="n">
        <v>250465</v>
      </c>
      <c r="P20" s="7" t="n">
        <v>250503</v>
      </c>
      <c r="Q20" s="7" t="n">
        <v>206823</v>
      </c>
      <c r="R20" s="7" t="n">
        <v>235785</v>
      </c>
      <c r="S20" s="7" t="n">
        <v>215927</v>
      </c>
      <c r="T20" s="7" t="n">
        <v>212872</v>
      </c>
      <c r="U20" s="7" t="n">
        <v>285045</v>
      </c>
      <c r="V20" s="7" t="n">
        <v>269129</v>
      </c>
      <c r="W20" s="7" t="n">
        <v>209025</v>
      </c>
      <c r="X20" s="7" t="n"/>
      <c r="Y20" s="7" t="n"/>
      <c r="AA20" s="9">
        <f>SUM(L20:Y20)</f>
        <v/>
      </c>
      <c r="AB20" s="9">
        <f>AA20-B20</f>
        <v/>
      </c>
    </row>
    <row r="21" customFormat="1" s="2">
      <c r="A21" s="1" t="inlineStr">
        <is>
          <t>[Киевская род.]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>
        <v>20211</v>
      </c>
      <c r="M21" s="3" t="n">
        <v>12502</v>
      </c>
      <c r="N21" s="3" t="n">
        <v>14101</v>
      </c>
      <c r="O21" s="3" t="n">
        <v>12264</v>
      </c>
      <c r="P21" s="3" t="n">
        <v>12725</v>
      </c>
      <c r="Q21" s="3" t="n">
        <v>9891</v>
      </c>
      <c r="R21" s="3" t="n">
        <v>12950</v>
      </c>
      <c r="S21" s="3" t="n">
        <v>11020</v>
      </c>
      <c r="T21" s="3" t="n">
        <v>11151</v>
      </c>
      <c r="U21" s="3" t="n">
        <v>14603</v>
      </c>
      <c r="V21" s="3" t="n">
        <v>14774</v>
      </c>
      <c r="W21" s="3" t="n">
        <v>10934</v>
      </c>
      <c r="X21" s="3" t="n"/>
      <c r="Y21" s="3" t="n"/>
      <c r="AA21" s="5">
        <f>SUM(L21:Y21)</f>
        <v/>
      </c>
      <c r="AB21" s="5">
        <f>C20-AA21</f>
        <v/>
      </c>
    </row>
    <row r="22" customFormat="1" s="2">
      <c r="A22" s="1" t="inlineStr">
        <is>
          <t>[Киевская ум.]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>
        <v>15082</v>
      </c>
      <c r="M22" s="3" t="n">
        <v>7459</v>
      </c>
      <c r="N22" s="3" t="n">
        <v>10274</v>
      </c>
      <c r="O22" s="3" t="n">
        <v>8614</v>
      </c>
      <c r="P22" s="3" t="n">
        <v>8855</v>
      </c>
      <c r="Q22" s="3" t="n">
        <v>5922</v>
      </c>
      <c r="R22" s="3" t="n">
        <v>8089</v>
      </c>
      <c r="S22" s="3" t="n">
        <v>6565</v>
      </c>
      <c r="T22" s="3" t="n">
        <v>7584</v>
      </c>
      <c r="U22" s="3" t="n">
        <v>9070</v>
      </c>
      <c r="V22" s="3" t="n">
        <v>10697</v>
      </c>
      <c r="W22" s="3" t="n">
        <v>7776</v>
      </c>
      <c r="X22" s="3" t="n"/>
      <c r="Y22" s="3" t="n"/>
      <c r="AA22" s="5">
        <f>SUM(L22:Y22)</f>
        <v/>
      </c>
      <c r="AB22" s="5">
        <f>AA22-D20</f>
        <v/>
      </c>
    </row>
    <row r="23" customFormat="1" s="8">
      <c r="A23" s="6" t="inlineStr">
        <is>
          <t>Ковенская</t>
        </is>
      </c>
      <c r="B23" s="7" t="n">
        <v>1587582</v>
      </c>
      <c r="C23" s="7" t="n">
        <v>55872</v>
      </c>
      <c r="D23" s="7" t="n">
        <v>35912</v>
      </c>
      <c r="E23" s="7" t="n">
        <v>145717</v>
      </c>
      <c r="F23" s="7" t="n">
        <v>3868</v>
      </c>
      <c r="G23" s="7" t="n">
        <v>2659</v>
      </c>
      <c r="H23" s="7" t="n">
        <v>1551707</v>
      </c>
      <c r="I23" s="7" t="n">
        <v>54150</v>
      </c>
      <c r="J23" s="7" t="n">
        <v>37143</v>
      </c>
      <c r="K23" s="3" t="n"/>
      <c r="L23" s="7" t="n">
        <v>222383</v>
      </c>
      <c r="M23" s="7" t="n">
        <v>242173</v>
      </c>
      <c r="N23" s="7" t="n">
        <v>210790</v>
      </c>
      <c r="O23" s="7" t="n">
        <v>221661</v>
      </c>
      <c r="P23" s="7" t="n">
        <v>245171</v>
      </c>
      <c r="Q23" s="7" t="n">
        <v>195013</v>
      </c>
      <c r="R23" s="7" t="n">
        <v>250391</v>
      </c>
      <c r="S23" s="7" t="n"/>
      <c r="T23" s="7" t="n"/>
      <c r="U23" s="7" t="n"/>
      <c r="V23" s="7" t="n"/>
      <c r="W23" s="7" t="n"/>
      <c r="X23" s="7" t="n"/>
      <c r="Y23" s="7" t="n"/>
      <c r="AA23" s="9">
        <f>SUM(L23:Y23)</f>
        <v/>
      </c>
      <c r="AB23" s="9">
        <f>AA23-B23</f>
        <v/>
      </c>
    </row>
    <row r="24" customFormat="1" s="2">
      <c r="A24" s="1" t="inlineStr">
        <is>
          <t>[Ковенская род.]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>
        <v>7915</v>
      </c>
      <c r="M24" s="3" t="n">
        <v>8489</v>
      </c>
      <c r="N24" s="3" t="n">
        <v>7009</v>
      </c>
      <c r="O24" s="3" t="n">
        <v>7716</v>
      </c>
      <c r="P24" s="3" t="n">
        <v>9238</v>
      </c>
      <c r="Q24" s="3" t="n">
        <v>7453</v>
      </c>
      <c r="R24" s="3" t="n">
        <v>8052</v>
      </c>
      <c r="S24" s="3" t="n"/>
      <c r="T24" s="3" t="n"/>
      <c r="U24" s="3" t="n"/>
      <c r="V24" s="3" t="n"/>
      <c r="W24" s="3" t="n"/>
      <c r="X24" s="3" t="n"/>
      <c r="Y24" s="3" t="n"/>
      <c r="AA24" s="5">
        <f>SUM(L24:Y24)</f>
        <v/>
      </c>
      <c r="AB24" s="5">
        <f>C23-AA24</f>
        <v/>
      </c>
    </row>
    <row r="25" customFormat="1" s="2">
      <c r="A25" s="1" t="inlineStr">
        <is>
          <t>[Ковенская ум.]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>
        <v>4797</v>
      </c>
      <c r="M25" s="3" t="n">
        <v>5571</v>
      </c>
      <c r="N25" s="3" t="n">
        <v>4711</v>
      </c>
      <c r="O25" s="3" t="n">
        <v>4956</v>
      </c>
      <c r="P25" s="3" t="n">
        <v>5552</v>
      </c>
      <c r="Q25" s="3" t="n">
        <v>5195</v>
      </c>
      <c r="R25" s="3" t="n">
        <v>5130</v>
      </c>
      <c r="S25" s="3" t="n"/>
      <c r="T25" s="3" t="n"/>
      <c r="U25" s="3" t="n"/>
      <c r="V25" s="3" t="n"/>
      <c r="W25" s="3" t="n"/>
      <c r="X25" s="3" t="n"/>
      <c r="Y25" s="3" t="n"/>
      <c r="AA25" s="5">
        <f>SUM(L25:Y25)</f>
        <v/>
      </c>
      <c r="AB25" s="5">
        <f>AA25-D23</f>
        <v/>
      </c>
    </row>
    <row r="26" customFormat="1" s="8">
      <c r="A26" s="6" t="inlineStr">
        <is>
          <t>Минская</t>
        </is>
      </c>
      <c r="B26" s="7" t="n">
        <v>1794560</v>
      </c>
      <c r="C26" s="7" t="n">
        <v>84804</v>
      </c>
      <c r="D26" s="7" t="n">
        <v>49170</v>
      </c>
      <c r="E26" s="7" t="n">
        <v>238232</v>
      </c>
      <c r="F26" s="7" t="n">
        <v>6131</v>
      </c>
      <c r="G26" s="7" t="n">
        <v>4186</v>
      </c>
      <c r="H26" s="7" t="n">
        <v>1714790</v>
      </c>
      <c r="I26" s="7" t="n">
        <v>77950</v>
      </c>
      <c r="J26" s="7" t="n">
        <v>43383</v>
      </c>
      <c r="K26" s="3" t="n"/>
      <c r="L26" s="7" t="n">
        <v>221289</v>
      </c>
      <c r="M26" s="7" t="n">
        <v>224994</v>
      </c>
      <c r="N26" s="7" t="n">
        <v>186329</v>
      </c>
      <c r="O26" s="7" t="n">
        <v>191281</v>
      </c>
      <c r="P26" s="7" t="n">
        <v>136486</v>
      </c>
      <c r="Q26" s="7" t="n">
        <v>235525</v>
      </c>
      <c r="R26" s="7" t="n">
        <v>209242</v>
      </c>
      <c r="S26" s="7" t="n">
        <v>171761</v>
      </c>
      <c r="T26" s="7" t="n">
        <v>217653</v>
      </c>
      <c r="U26" s="7" t="n"/>
      <c r="V26" s="7" t="n"/>
      <c r="W26" s="7" t="n"/>
      <c r="X26" s="7" t="n"/>
      <c r="Y26" s="7" t="n"/>
      <c r="AA26" s="9">
        <f>SUM(L26:Y26)</f>
        <v/>
      </c>
      <c r="AB26" s="9">
        <f>AA26-B26</f>
        <v/>
      </c>
    </row>
    <row r="27" customFormat="1" s="2">
      <c r="A27" s="1" t="inlineStr">
        <is>
          <t>[Минская род.]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>
        <v>9708</v>
      </c>
      <c r="M27" s="3" t="n">
        <v>10262</v>
      </c>
      <c r="N27" s="3" t="n">
        <v>9920</v>
      </c>
      <c r="O27" s="3" t="n">
        <v>9365</v>
      </c>
      <c r="P27" s="3" t="n">
        <v>7161</v>
      </c>
      <c r="Q27" s="3" t="n">
        <v>9852</v>
      </c>
      <c r="R27" s="3" t="n">
        <v>9453</v>
      </c>
      <c r="S27" s="3" t="n">
        <v>9135</v>
      </c>
      <c r="T27" s="3" t="n">
        <v>9948</v>
      </c>
      <c r="U27" s="3" t="n"/>
      <c r="V27" s="3" t="n"/>
      <c r="W27" s="3" t="n"/>
      <c r="X27" s="3" t="n"/>
      <c r="Y27" s="3" t="n"/>
      <c r="AA27" s="5">
        <f>SUM(L27:Y27)</f>
        <v/>
      </c>
      <c r="AB27" s="5">
        <f>C26-AA27</f>
        <v/>
      </c>
    </row>
    <row r="28" customFormat="1" s="2">
      <c r="A28" s="1" t="inlineStr">
        <is>
          <t>[Минская ум.]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>
        <v>5300</v>
      </c>
      <c r="M28" s="3" t="n">
        <v>5850</v>
      </c>
      <c r="N28" s="3" t="n">
        <v>6026</v>
      </c>
      <c r="O28" s="3" t="n">
        <v>4707</v>
      </c>
      <c r="P28" s="3" t="n">
        <v>4146</v>
      </c>
      <c r="Q28" s="3" t="n">
        <v>5714</v>
      </c>
      <c r="R28" s="3" t="n">
        <v>5959</v>
      </c>
      <c r="S28" s="3" t="n">
        <v>5045</v>
      </c>
      <c r="T28" s="3" t="n">
        <v>6423</v>
      </c>
      <c r="U28" s="3" t="n"/>
      <c r="V28" s="3" t="n"/>
      <c r="W28" s="3" t="n"/>
      <c r="X28" s="3" t="n"/>
      <c r="Y28" s="3" t="n"/>
      <c r="AA28" s="5">
        <f>SUM(L28:Y28)</f>
        <v/>
      </c>
      <c r="AB28" s="5">
        <f>AA28-D26</f>
        <v/>
      </c>
    </row>
    <row r="29" customFormat="1" s="8">
      <c r="A29" s="6" t="inlineStr">
        <is>
          <t>Могилевская</t>
        </is>
      </c>
      <c r="B29" s="7" t="n">
        <v>1415258</v>
      </c>
      <c r="C29" s="7" t="n">
        <v>69583</v>
      </c>
      <c r="D29" s="7" t="n">
        <v>40393</v>
      </c>
      <c r="E29" s="7" t="n">
        <v>125913</v>
      </c>
      <c r="F29" s="7" t="n">
        <v>4236</v>
      </c>
      <c r="G29" s="7" t="n">
        <v>2634</v>
      </c>
      <c r="H29" s="7" t="n">
        <v>1325567</v>
      </c>
      <c r="I29" s="7" t="n">
        <v>66796</v>
      </c>
      <c r="J29" s="7" t="n">
        <v>35242</v>
      </c>
      <c r="K29" s="3" t="n"/>
      <c r="L29" s="7" t="n">
        <v>149871</v>
      </c>
      <c r="M29" s="7" t="n">
        <v>99888</v>
      </c>
      <c r="N29" s="7" t="n">
        <v>199188</v>
      </c>
      <c r="O29" s="7" t="n">
        <v>101586</v>
      </c>
      <c r="P29" s="7" t="n">
        <v>124797</v>
      </c>
      <c r="Q29" s="7" t="n">
        <v>94984</v>
      </c>
      <c r="R29" s="7" t="n">
        <v>130436</v>
      </c>
      <c r="S29" s="7" t="n">
        <v>179179</v>
      </c>
      <c r="T29" s="7" t="n">
        <v>134882</v>
      </c>
      <c r="U29" s="7" t="n">
        <v>77647</v>
      </c>
      <c r="V29" s="7" t="n">
        <v>132800</v>
      </c>
      <c r="W29" s="7" t="n"/>
      <c r="X29" s="7" t="n"/>
      <c r="Y29" s="7" t="n"/>
      <c r="AA29" s="9">
        <f>SUM(L29:Y29)</f>
        <v/>
      </c>
      <c r="AB29" s="9">
        <f>AA29-B29</f>
        <v/>
      </c>
    </row>
    <row r="30" customFormat="1" s="2">
      <c r="A30" s="1" t="inlineStr">
        <is>
          <t>[Могилевская род.]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>
        <v>5739</v>
      </c>
      <c r="M30" s="3" t="n">
        <v>5278</v>
      </c>
      <c r="N30" s="3" t="n">
        <v>9544</v>
      </c>
      <c r="O30" s="3" t="n">
        <v>5104</v>
      </c>
      <c r="P30" s="3" t="n">
        <v>5959</v>
      </c>
      <c r="Q30" s="3" t="n">
        <v>4426</v>
      </c>
      <c r="R30" s="3" t="n">
        <v>7439</v>
      </c>
      <c r="S30" s="3" t="n">
        <v>9824</v>
      </c>
      <c r="T30" s="3" t="n">
        <v>6587</v>
      </c>
      <c r="U30" s="3" t="n">
        <v>3504</v>
      </c>
      <c r="V30" s="3" t="n">
        <v>6179</v>
      </c>
      <c r="W30" s="3" t="n"/>
      <c r="X30" s="3" t="n"/>
      <c r="Y30" s="3" t="n"/>
      <c r="AA30" s="5">
        <f>SUM(L30:Y30)</f>
        <v/>
      </c>
      <c r="AB30" s="5">
        <f>C29-AA30</f>
        <v/>
      </c>
    </row>
    <row r="31" customFormat="1" s="2">
      <c r="A31" s="1" t="inlineStr">
        <is>
          <t>[Могилевская ум.]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>
        <v>3383</v>
      </c>
      <c r="M31" s="3" t="n">
        <v>3080</v>
      </c>
      <c r="N31" s="3" t="n">
        <v>5891</v>
      </c>
      <c r="O31" s="3" t="n">
        <v>2638</v>
      </c>
      <c r="P31" s="3" t="n">
        <v>3315</v>
      </c>
      <c r="Q31" s="3" t="n">
        <v>2382</v>
      </c>
      <c r="R31" s="3" t="n">
        <v>4007</v>
      </c>
      <c r="S31" s="3" t="n">
        <v>6446</v>
      </c>
      <c r="T31" s="3" t="n">
        <v>3821</v>
      </c>
      <c r="U31" s="3" t="n">
        <v>1938</v>
      </c>
      <c r="V31" s="3" t="n">
        <v>3492</v>
      </c>
      <c r="W31" s="3" t="n"/>
      <c r="X31" s="3" t="n"/>
      <c r="Y31" s="3" t="n"/>
      <c r="AA31" s="5">
        <f>SUM(L31:Y31)</f>
        <v/>
      </c>
      <c r="AB31" s="5">
        <f>AA31-D29</f>
        <v/>
      </c>
    </row>
    <row r="32" customFormat="1" s="8">
      <c r="A32" s="6" t="inlineStr">
        <is>
          <t>Оренбургская</t>
        </is>
      </c>
      <c r="B32" s="7" t="n">
        <v>1380944</v>
      </c>
      <c r="C32" s="7" t="n">
        <v>81294</v>
      </c>
      <c r="D32" s="7" t="n">
        <v>60350</v>
      </c>
      <c r="E32" s="7" t="n">
        <v>110000</v>
      </c>
      <c r="F32" s="7" t="n">
        <v>6381</v>
      </c>
      <c r="G32" s="7" t="n">
        <v>5958</v>
      </c>
      <c r="H32" s="7" t="n">
        <v>1337913</v>
      </c>
      <c r="I32" s="7" t="n">
        <v>80457</v>
      </c>
      <c r="J32" s="7" t="n">
        <v>53449</v>
      </c>
      <c r="K32" s="3" t="n"/>
      <c r="L32" s="7" t="n">
        <v>403969</v>
      </c>
      <c r="M32" s="7" t="n">
        <v>204216</v>
      </c>
      <c r="N32" s="7" t="n">
        <v>199301</v>
      </c>
      <c r="O32" s="7" t="n">
        <v>179824</v>
      </c>
      <c r="P32" s="7" t="n">
        <v>390634</v>
      </c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AA32" s="9">
        <f>SUM(L32:Y32)</f>
        <v/>
      </c>
      <c r="AB32" s="9">
        <f>AA32-B32</f>
        <v/>
      </c>
    </row>
    <row r="33" customFormat="1" s="2">
      <c r="A33" s="1" t="inlineStr">
        <is>
          <t>[Оренбургская род.]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>
        <v>27756</v>
      </c>
      <c r="M33" s="3" t="n">
        <v>10602</v>
      </c>
      <c r="N33" s="3" t="n">
        <v>9093</v>
      </c>
      <c r="O33" s="3" t="n">
        <v>10163</v>
      </c>
      <c r="P33" s="3" t="n">
        <v>23680</v>
      </c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AA33" s="5">
        <f>SUM(L33:Y33)</f>
        <v/>
      </c>
      <c r="AB33" s="5">
        <f>C32-AA33</f>
        <v/>
      </c>
    </row>
    <row r="34" customFormat="1" s="2">
      <c r="A34" s="1" t="inlineStr">
        <is>
          <t>[Оренбургская ум.]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>
        <v>20965</v>
      </c>
      <c r="M34" s="3" t="n">
        <v>6164</v>
      </c>
      <c r="N34" s="3" t="n">
        <v>7622</v>
      </c>
      <c r="O34" s="3" t="n">
        <v>7441</v>
      </c>
      <c r="P34" s="3" t="n">
        <v>18158</v>
      </c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AA34" s="5">
        <f>SUM(L34:Y34)</f>
        <v/>
      </c>
      <c r="AB34" s="5">
        <f>AA34-D32</f>
        <v/>
      </c>
    </row>
    <row r="35" customFormat="1" s="8">
      <c r="A35" s="6" t="inlineStr">
        <is>
          <t>Подольская</t>
        </is>
      </c>
      <c r="B35" s="7" t="n">
        <v>2617253</v>
      </c>
      <c r="C35" s="7" t="n">
        <v>120433</v>
      </c>
      <c r="D35" s="7" t="n">
        <v>79121</v>
      </c>
      <c r="E35" s="7" t="n">
        <v>200341</v>
      </c>
      <c r="F35" s="7" t="n">
        <v>6133</v>
      </c>
      <c r="G35" s="7" t="n">
        <v>4723</v>
      </c>
      <c r="H35" s="7" t="n">
        <v>2494034</v>
      </c>
      <c r="I35" s="7" t="n">
        <v>124031</v>
      </c>
      <c r="J35" s="7" t="n">
        <v>77269</v>
      </c>
      <c r="K35" s="3" t="n"/>
      <c r="L35" s="7" t="n">
        <v>225462</v>
      </c>
      <c r="M35" s="7" t="n">
        <v>315118</v>
      </c>
      <c r="N35" s="7" t="n">
        <v>214576</v>
      </c>
      <c r="O35" s="7" t="n">
        <v>208717</v>
      </c>
      <c r="P35" s="7" t="n">
        <v>216571</v>
      </c>
      <c r="Q35" s="7" t="n">
        <v>139229</v>
      </c>
      <c r="R35" s="7" t="n">
        <v>183336</v>
      </c>
      <c r="S35" s="7" t="n">
        <v>198263</v>
      </c>
      <c r="T35" s="7" t="n">
        <v>267822</v>
      </c>
      <c r="U35" s="7" t="n">
        <v>246334</v>
      </c>
      <c r="V35" s="7" t="n">
        <v>181842</v>
      </c>
      <c r="W35" s="7" t="n">
        <v>219983</v>
      </c>
      <c r="X35" s="7" t="n"/>
      <c r="Y35" s="7" t="n"/>
      <c r="AA35" s="9">
        <f>SUM(L35:Y35)</f>
        <v/>
      </c>
      <c r="AB35" s="9">
        <f>AA35-B35</f>
        <v/>
      </c>
    </row>
    <row r="36" customFormat="1" s="2">
      <c r="A36" s="1" t="inlineStr">
        <is>
          <t>[Подольская род.]</t>
        </is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>
        <v>9392</v>
      </c>
      <c r="M36" s="3" t="n">
        <v>16657</v>
      </c>
      <c r="N36" s="3" t="n">
        <v>9755</v>
      </c>
      <c r="O36" s="3" t="n">
        <v>9488</v>
      </c>
      <c r="P36" s="3" t="n">
        <v>10264</v>
      </c>
      <c r="Q36" s="3" t="n">
        <v>7218</v>
      </c>
      <c r="R36" s="3" t="n">
        <v>8551</v>
      </c>
      <c r="S36" s="3" t="n">
        <v>8807</v>
      </c>
      <c r="T36" s="3" t="n">
        <v>9186</v>
      </c>
      <c r="U36" s="3" t="n">
        <v>11947</v>
      </c>
      <c r="V36" s="3" t="n">
        <v>8897</v>
      </c>
      <c r="W36" s="3" t="n">
        <v>10271</v>
      </c>
      <c r="X36" s="3" t="n"/>
      <c r="Y36" s="3" t="n"/>
      <c r="AA36" s="5">
        <f>SUM(L36:Y36)</f>
        <v/>
      </c>
      <c r="AB36" s="5">
        <f>C35-AA36</f>
        <v/>
      </c>
    </row>
    <row r="37" customFormat="1" s="2">
      <c r="A37" s="1" t="inlineStr">
        <is>
          <t>[Подольская ум.]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>
        <v>7648</v>
      </c>
      <c r="M37" s="3" t="n">
        <v>10808</v>
      </c>
      <c r="N37" s="3" t="n">
        <v>5459</v>
      </c>
      <c r="O37" s="3" t="n">
        <v>5585</v>
      </c>
      <c r="P37" s="3" t="n">
        <v>6912</v>
      </c>
      <c r="Q37" s="3" t="n">
        <v>4349</v>
      </c>
      <c r="R37" s="3" t="n">
        <v>5542</v>
      </c>
      <c r="S37" s="3" t="n">
        <v>6891</v>
      </c>
      <c r="T37" s="3" t="n">
        <v>5448</v>
      </c>
      <c r="U37" s="3" t="n">
        <v>7867</v>
      </c>
      <c r="V37" s="3" t="n">
        <v>5764</v>
      </c>
      <c r="W37" s="3" t="n">
        <v>6848</v>
      </c>
      <c r="X37" s="3" t="n"/>
      <c r="Y37" s="3" t="n"/>
      <c r="AA37" s="5">
        <f>SUM(L37:Y37)</f>
        <v/>
      </c>
      <c r="AB37" s="5">
        <f>AA37-D35</f>
        <v/>
      </c>
    </row>
    <row r="38" customFormat="1" s="13">
      <c r="A38" s="11" t="inlineStr">
        <is>
          <t>Итого в неземских губерниях</t>
        </is>
      </c>
      <c r="B38" s="12" t="n">
        <v>19774385</v>
      </c>
      <c r="C38" s="12" t="n">
        <v>911131</v>
      </c>
      <c r="D38" s="12" t="n">
        <v>587950</v>
      </c>
      <c r="E38" s="12" t="n">
        <v>2125938</v>
      </c>
      <c r="F38" s="12" t="n">
        <v>70161</v>
      </c>
      <c r="G38" s="12" t="n">
        <v>51777</v>
      </c>
      <c r="H38" s="12" t="n">
        <v>18920612</v>
      </c>
      <c r="I38" s="12" t="n">
        <v>889247</v>
      </c>
      <c r="J38" s="12" t="n">
        <v>553178</v>
      </c>
      <c r="K38" s="3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AA38" s="14" t="n"/>
      <c r="AB38" s="14" t="n"/>
      <c r="AD38" s="14">
        <f>SUM(B2:B37)</f>
        <v/>
      </c>
      <c r="AE38" s="14">
        <f>SUM(C2:C37)</f>
        <v/>
      </c>
      <c r="AF38" s="14">
        <f>SUM(D2:D37)</f>
        <v/>
      </c>
      <c r="AG38" s="14">
        <f>SUM(E2:E37)</f>
        <v/>
      </c>
      <c r="AH38" s="14">
        <f>SUM(F2:F37)</f>
        <v/>
      </c>
      <c r="AI38" s="14">
        <f>SUM(G2:G37)</f>
        <v/>
      </c>
      <c r="AJ38" s="14">
        <f>SUM(H2:H37)</f>
        <v/>
      </c>
      <c r="AK38" s="14">
        <f>SUM(I2:I37)</f>
        <v/>
      </c>
      <c r="AL38" s="14">
        <f>SUM(J2:J37)</f>
        <v/>
      </c>
      <c r="AN38" s="14">
        <f>AD38-B38</f>
        <v/>
      </c>
      <c r="AO38" s="14">
        <f>AE38-C38</f>
        <v/>
      </c>
      <c r="AP38" s="14">
        <f>AF38-D38</f>
        <v/>
      </c>
      <c r="AQ38" s="14">
        <f>AG38-E38</f>
        <v/>
      </c>
      <c r="AR38" s="14">
        <f>AH38-F38</f>
        <v/>
      </c>
      <c r="AS38" s="14">
        <f>AI38-G38</f>
        <v/>
      </c>
      <c r="AT38" s="14">
        <f>AJ38-H38</f>
        <v/>
      </c>
    </row>
    <row r="39" customFormat="1" s="8">
      <c r="A39" s="6" t="inlineStr">
        <is>
          <t>Г. Варшава</t>
        </is>
      </c>
      <c r="B39" s="7" t="n">
        <v>455852</v>
      </c>
      <c r="C39" s="7" t="n">
        <v>20777</v>
      </c>
      <c r="D39" s="7" t="n">
        <v>13302</v>
      </c>
      <c r="E39" s="10" t="inlineStr">
        <is>
          <t>—</t>
        </is>
      </c>
      <c r="F39" s="10" t="inlineStr">
        <is>
          <t>—</t>
        </is>
      </c>
      <c r="G39" s="10" t="inlineStr">
        <is>
          <t>—</t>
        </is>
      </c>
      <c r="H39" s="7" t="n">
        <v>449919</v>
      </c>
      <c r="I39" s="7" t="n">
        <v>19106</v>
      </c>
      <c r="J39" s="7" t="n">
        <v>12274</v>
      </c>
      <c r="K39" s="3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AA39" s="9" t="n"/>
      <c r="AB39" s="9" t="n"/>
    </row>
    <row r="40" customFormat="1" s="8">
      <c r="A40" s="6" t="inlineStr">
        <is>
          <t>Варшавская</t>
        </is>
      </c>
      <c r="B40" s="7" t="n">
        <v>1043412</v>
      </c>
      <c r="C40" s="7" t="n">
        <v>41044</v>
      </c>
      <c r="D40" s="7" t="n">
        <v>26410</v>
      </c>
      <c r="E40" s="7" t="n">
        <v>63476</v>
      </c>
      <c r="F40" s="7" t="n">
        <v>2425</v>
      </c>
      <c r="G40" s="7" t="n">
        <v>1797</v>
      </c>
      <c r="H40" s="7" t="n">
        <v>1010031</v>
      </c>
      <c r="I40" s="7" t="n">
        <v>42909</v>
      </c>
      <c r="J40" s="7" t="n">
        <v>25196</v>
      </c>
      <c r="K40" s="3" t="n"/>
      <c r="L40" s="7" t="n">
        <v>128408</v>
      </c>
      <c r="M40" s="7" t="n">
        <v>85816</v>
      </c>
      <c r="N40" s="7" t="n">
        <v>86450</v>
      </c>
      <c r="O40" s="7" t="n">
        <v>109232</v>
      </c>
      <c r="P40" s="7" t="n">
        <v>87073</v>
      </c>
      <c r="Q40" s="7" t="n">
        <v>88095</v>
      </c>
      <c r="R40" s="7" t="n">
        <v>84188</v>
      </c>
      <c r="S40" s="7" t="n">
        <v>92913</v>
      </c>
      <c r="T40" s="7" t="n">
        <v>86994</v>
      </c>
      <c r="U40" s="7" t="n">
        <v>64946</v>
      </c>
      <c r="V40" s="7" t="n">
        <v>49744</v>
      </c>
      <c r="W40" s="7" t="n">
        <v>79553</v>
      </c>
      <c r="X40" s="7" t="n"/>
      <c r="Y40" s="7" t="n"/>
      <c r="AA40" s="9">
        <f>SUM(L40:Y40)</f>
        <v/>
      </c>
      <c r="AB40" s="9">
        <f>AA40-B40</f>
        <v/>
      </c>
    </row>
    <row r="41" customFormat="1" s="2">
      <c r="A41" s="1" t="inlineStr">
        <is>
          <t>[Варшавская род.]</t>
        </is>
      </c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>
        <v>4479</v>
      </c>
      <c r="M41" s="3" t="n">
        <v>4189</v>
      </c>
      <c r="N41" s="3" t="n">
        <v>4373</v>
      </c>
      <c r="O41" s="3" t="n">
        <v>4396</v>
      </c>
      <c r="P41" s="3" t="n">
        <v>2879</v>
      </c>
      <c r="Q41" s="3" t="n">
        <v>3733</v>
      </c>
      <c r="R41" s="3" t="n">
        <v>2871</v>
      </c>
      <c r="S41" s="3" t="n">
        <v>3566</v>
      </c>
      <c r="T41" s="3" t="n">
        <v>2964</v>
      </c>
      <c r="U41" s="3" t="n">
        <v>2981</v>
      </c>
      <c r="V41" s="3" t="n">
        <v>1700</v>
      </c>
      <c r="W41" s="3" t="n">
        <v>2913</v>
      </c>
      <c r="X41" s="3" t="n"/>
      <c r="Y41" s="3" t="n"/>
      <c r="AA41" s="5">
        <f>SUM(L41:Y41)</f>
        <v/>
      </c>
      <c r="AB41" s="5">
        <f>C40-AA41</f>
        <v/>
      </c>
    </row>
    <row r="42" customFormat="1" s="2">
      <c r="A42" s="1" t="inlineStr">
        <is>
          <t>[Варшавская ум.]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>
        <v>2221</v>
      </c>
      <c r="M42" s="3" t="n">
        <v>2897</v>
      </c>
      <c r="N42" s="3" t="n">
        <v>3115</v>
      </c>
      <c r="O42" s="3" t="n">
        <v>2624</v>
      </c>
      <c r="P42" s="3" t="n">
        <v>2014</v>
      </c>
      <c r="Q42" s="3" t="n">
        <v>2470</v>
      </c>
      <c r="R42" s="3" t="n">
        <v>1877</v>
      </c>
      <c r="S42" s="3" t="n">
        <v>2338</v>
      </c>
      <c r="T42" s="3" t="n">
        <v>2235</v>
      </c>
      <c r="U42" s="3" t="n">
        <v>1936</v>
      </c>
      <c r="V42" s="3" t="n">
        <v>1054</v>
      </c>
      <c r="W42" s="3" t="n">
        <v>1629</v>
      </c>
      <c r="X42" s="3" t="n"/>
      <c r="Y42" s="3" t="n"/>
      <c r="AA42" s="5">
        <f>SUM(L42:Y42)</f>
        <v/>
      </c>
      <c r="AB42" s="5">
        <f>AA42-D40</f>
        <v/>
      </c>
    </row>
    <row r="43" customFormat="1" s="8">
      <c r="A43" s="6" t="inlineStr">
        <is>
          <t>Калишская</t>
        </is>
      </c>
      <c r="B43" s="7" t="n">
        <v>881798</v>
      </c>
      <c r="C43" s="7" t="n">
        <v>35951</v>
      </c>
      <c r="D43" s="7" t="n">
        <v>20553</v>
      </c>
      <c r="E43" s="7" t="n">
        <v>65454</v>
      </c>
      <c r="F43" s="7" t="n">
        <v>1832</v>
      </c>
      <c r="G43" s="7" t="n">
        <v>1198</v>
      </c>
      <c r="H43" s="7" t="n">
        <v>848501</v>
      </c>
      <c r="I43" s="7" t="n">
        <v>33773</v>
      </c>
      <c r="J43" s="7" t="n">
        <v>20458</v>
      </c>
      <c r="K43" s="3" t="n"/>
      <c r="L43" s="7" t="n">
        <v>118511</v>
      </c>
      <c r="M43" s="7" t="n">
        <v>134550</v>
      </c>
      <c r="N43" s="7" t="n">
        <v>105448</v>
      </c>
      <c r="O43" s="7" t="n">
        <v>89210</v>
      </c>
      <c r="P43" s="7" t="n">
        <v>117341</v>
      </c>
      <c r="Q43" s="7" t="n">
        <v>86814</v>
      </c>
      <c r="R43" s="7" t="n">
        <v>129360</v>
      </c>
      <c r="S43" s="7" t="n">
        <v>100564</v>
      </c>
      <c r="T43" s="7" t="n"/>
      <c r="U43" s="7" t="n"/>
      <c r="V43" s="7" t="n"/>
      <c r="W43" s="7" t="n"/>
      <c r="X43" s="7" t="n"/>
      <c r="Y43" s="7" t="n"/>
      <c r="AA43" s="9">
        <f>SUM(L43:Y43)</f>
        <v/>
      </c>
      <c r="AB43" s="9">
        <f>AA43-B43</f>
        <v/>
      </c>
    </row>
    <row r="44" customFormat="1" s="2">
      <c r="A44" s="1" t="inlineStr">
        <is>
          <t>[Калишская род.]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>
        <v>3774</v>
      </c>
      <c r="M44" s="3" t="n">
        <v>5168</v>
      </c>
      <c r="N44" s="3" t="n">
        <v>4141</v>
      </c>
      <c r="O44" s="3" t="n">
        <v>3477</v>
      </c>
      <c r="P44" s="3" t="n">
        <v>4088</v>
      </c>
      <c r="Q44" s="3" t="n">
        <v>3670</v>
      </c>
      <c r="R44" s="3" t="n">
        <v>4139</v>
      </c>
      <c r="S44" s="3" t="n">
        <v>7494</v>
      </c>
      <c r="T44" s="3" t="n"/>
      <c r="U44" s="3" t="n"/>
      <c r="V44" s="3" t="n"/>
      <c r="W44" s="3" t="n"/>
      <c r="X44" s="3" t="n"/>
      <c r="Y44" s="3" t="n"/>
      <c r="AA44" s="5">
        <f>SUM(L44:Y44)</f>
        <v/>
      </c>
      <c r="AB44" s="5">
        <f>C43-AA44</f>
        <v/>
      </c>
    </row>
    <row r="45" customFormat="1" s="2">
      <c r="A45" s="1" t="inlineStr">
        <is>
          <t>[Калишская ум.]</t>
        </is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>
        <v>2066</v>
      </c>
      <c r="M45" s="3" t="n">
        <v>3041</v>
      </c>
      <c r="N45" s="3" t="n">
        <v>2110</v>
      </c>
      <c r="O45" s="3" t="n">
        <v>1969</v>
      </c>
      <c r="P45" s="3" t="n">
        <v>2197</v>
      </c>
      <c r="Q45" s="3" t="n">
        <v>2110</v>
      </c>
      <c r="R45" s="3" t="n">
        <v>2624</v>
      </c>
      <c r="S45" s="3" t="n">
        <v>4436</v>
      </c>
      <c r="T45" s="3" t="n"/>
      <c r="U45" s="3" t="n"/>
      <c r="V45" s="3" t="n"/>
      <c r="W45" s="3" t="n"/>
      <c r="X45" s="3" t="n"/>
      <c r="Y45" s="3" t="n"/>
      <c r="AA45" s="5">
        <f>SUM(L45:Y45)</f>
        <v/>
      </c>
      <c r="AB45" s="5">
        <f>AA45-D43</f>
        <v/>
      </c>
    </row>
    <row r="46" customFormat="1" s="8">
      <c r="A46" s="6" t="inlineStr">
        <is>
          <t>Келецкая</t>
        </is>
      </c>
      <c r="B46" s="7" t="n">
        <v>737663</v>
      </c>
      <c r="C46" s="7" t="n">
        <v>27849</v>
      </c>
      <c r="D46" s="7" t="n">
        <v>17978</v>
      </c>
      <c r="E46" s="7" t="n">
        <v>46973</v>
      </c>
      <c r="F46" s="7" t="n">
        <v>1574</v>
      </c>
      <c r="G46" s="7" t="n">
        <v>951</v>
      </c>
      <c r="H46" s="7" t="n">
        <v>706451</v>
      </c>
      <c r="I46" s="7" t="n">
        <v>28394</v>
      </c>
      <c r="J46" s="7" t="n">
        <v>14742</v>
      </c>
      <c r="K46" s="3" t="n"/>
      <c r="L46" s="7" t="n">
        <v>120792</v>
      </c>
      <c r="M46" s="7" t="n">
        <v>78226</v>
      </c>
      <c r="N46" s="7" t="n">
        <v>92159</v>
      </c>
      <c r="O46" s="7" t="n">
        <v>104839</v>
      </c>
      <c r="P46" s="7" t="n">
        <v>113785</v>
      </c>
      <c r="Q46" s="7" t="n">
        <v>103350</v>
      </c>
      <c r="R46" s="7" t="n">
        <v>124512</v>
      </c>
      <c r="S46" s="7" t="n"/>
      <c r="T46" s="7" t="n"/>
      <c r="U46" s="7" t="n"/>
      <c r="V46" s="7" t="n"/>
      <c r="W46" s="7" t="n"/>
      <c r="X46" s="7" t="n"/>
      <c r="Y46" s="7" t="n"/>
      <c r="AA46" s="9">
        <f>SUM(L46:Y46)</f>
        <v/>
      </c>
      <c r="AB46" s="9">
        <f>AA46-B46</f>
        <v/>
      </c>
    </row>
    <row r="47" customFormat="1" s="2">
      <c r="A47" s="1" t="inlineStr">
        <is>
          <t>[Келецкая род.]</t>
        </is>
      </c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>
        <v>3409</v>
      </c>
      <c r="M47" s="3" t="n">
        <v>3450</v>
      </c>
      <c r="N47" s="3" t="n">
        <v>3438</v>
      </c>
      <c r="O47" s="3" t="n">
        <v>4234</v>
      </c>
      <c r="P47" s="3" t="n">
        <v>4308</v>
      </c>
      <c r="Q47" s="3" t="n">
        <v>4069</v>
      </c>
      <c r="R47" s="3" t="n">
        <v>4939</v>
      </c>
      <c r="S47" s="3" t="n"/>
      <c r="T47" s="3" t="n"/>
      <c r="U47" s="3" t="n"/>
      <c r="V47" s="3" t="n"/>
      <c r="W47" s="3" t="n"/>
      <c r="X47" s="3" t="n"/>
      <c r="Y47" s="3" t="n"/>
      <c r="AA47" s="5">
        <f>SUM(L47:Y47)</f>
        <v/>
      </c>
      <c r="AB47" s="5">
        <f>C46-AA47</f>
        <v/>
      </c>
    </row>
    <row r="48" customFormat="1" s="2">
      <c r="A48" s="1" t="inlineStr">
        <is>
          <t>[Келецкая ум.]</t>
        </is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>
        <v>2131</v>
      </c>
      <c r="M48" s="3" t="n">
        <v>1799</v>
      </c>
      <c r="N48" s="3" t="n">
        <v>2158</v>
      </c>
      <c r="O48" s="3" t="n">
        <v>2777</v>
      </c>
      <c r="P48" s="3" t="n">
        <v>2634</v>
      </c>
      <c r="Q48" s="3" t="n">
        <v>3016</v>
      </c>
      <c r="R48" s="3" t="n">
        <v>3463</v>
      </c>
      <c r="S48" s="3" t="n"/>
      <c r="T48" s="3" t="n"/>
      <c r="U48" s="3" t="n"/>
      <c r="V48" s="3" t="n"/>
      <c r="W48" s="3" t="n"/>
      <c r="X48" s="3" t="n"/>
      <c r="Y48" s="3" t="n"/>
      <c r="AA48" s="5">
        <f>SUM(L48:Y48)</f>
        <v/>
      </c>
      <c r="AB48" s="5">
        <f>AA48-D46</f>
        <v/>
      </c>
    </row>
    <row r="49" customFormat="1" s="8">
      <c r="A49" s="6" t="inlineStr">
        <is>
          <t>Ломжинская</t>
        </is>
      </c>
      <c r="B49" s="7" t="n">
        <v>643795</v>
      </c>
      <c r="C49" s="7" t="n">
        <v>25903</v>
      </c>
      <c r="D49" s="7" t="n">
        <v>18319</v>
      </c>
      <c r="E49" s="7" t="n">
        <v>62399</v>
      </c>
      <c r="F49" s="7" t="n">
        <v>2594</v>
      </c>
      <c r="G49" s="7" t="n">
        <v>2034</v>
      </c>
      <c r="H49" s="7" t="n">
        <v>619509</v>
      </c>
      <c r="I49" s="7" t="n">
        <v>24982</v>
      </c>
      <c r="J49" s="7" t="n">
        <v>17571</v>
      </c>
      <c r="K49" s="3" t="n"/>
      <c r="L49" s="7" t="n">
        <v>101779</v>
      </c>
      <c r="M49" s="7" t="n">
        <v>76830</v>
      </c>
      <c r="N49" s="7" t="n">
        <v>76882</v>
      </c>
      <c r="O49" s="7" t="n">
        <v>59396</v>
      </c>
      <c r="P49" s="7" t="n">
        <v>92420</v>
      </c>
      <c r="Q49" s="7" t="n">
        <v>76071</v>
      </c>
      <c r="R49" s="7" t="n">
        <v>96962</v>
      </c>
      <c r="S49" s="7" t="n">
        <v>63455</v>
      </c>
      <c r="T49" s="7" t="n"/>
      <c r="U49" s="7" t="n"/>
      <c r="V49" s="7" t="n"/>
      <c r="W49" s="7" t="n"/>
      <c r="X49" s="7" t="n"/>
      <c r="Y49" s="7" t="n"/>
      <c r="AA49" s="9">
        <f>SUM(L49:Y49)</f>
        <v/>
      </c>
      <c r="AB49" s="9">
        <f>AA49-B49</f>
        <v/>
      </c>
    </row>
    <row r="50" customFormat="1" s="2">
      <c r="A50" s="1" t="inlineStr">
        <is>
          <t>[Ломжинская род.]</t>
        </is>
      </c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>
        <v>4392</v>
      </c>
      <c r="M50" s="3" t="n">
        <v>3296</v>
      </c>
      <c r="N50" s="3" t="n">
        <v>2370</v>
      </c>
      <c r="O50" s="3" t="n">
        <v>2594</v>
      </c>
      <c r="P50" s="3" t="n">
        <v>3606</v>
      </c>
      <c r="Q50" s="3" t="n">
        <v>3441</v>
      </c>
      <c r="R50" s="3" t="n">
        <v>3259</v>
      </c>
      <c r="S50" s="3" t="n">
        <v>2945</v>
      </c>
      <c r="T50" s="3" t="n"/>
      <c r="U50" s="3" t="n"/>
      <c r="V50" s="3" t="n"/>
      <c r="W50" s="3" t="n"/>
      <c r="X50" s="3" t="n"/>
      <c r="Y50" s="3" t="n"/>
      <c r="AA50" s="5">
        <f>SUM(L50:Y50)</f>
        <v/>
      </c>
      <c r="AB50" s="5">
        <f>C49-AA50</f>
        <v/>
      </c>
    </row>
    <row r="51" customFormat="1" s="2">
      <c r="A51" s="1" t="inlineStr">
        <is>
          <t>[Ломжинская ум.]</t>
        </is>
      </c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>
        <v>3257</v>
      </c>
      <c r="M51" s="3" t="n">
        <v>3083</v>
      </c>
      <c r="N51" s="3" t="n">
        <v>1734</v>
      </c>
      <c r="O51" s="3" t="n">
        <v>1619</v>
      </c>
      <c r="P51" s="3" t="n">
        <v>2254</v>
      </c>
      <c r="Q51" s="3" t="n">
        <v>2031</v>
      </c>
      <c r="R51" s="3" t="n">
        <v>2214</v>
      </c>
      <c r="S51" s="3" t="n">
        <v>2127</v>
      </c>
      <c r="T51" s="3" t="n"/>
      <c r="U51" s="3" t="n"/>
      <c r="V51" s="3" t="n"/>
      <c r="W51" s="3" t="n"/>
      <c r="X51" s="3" t="n"/>
      <c r="Y51" s="3" t="n"/>
      <c r="AA51" s="5">
        <f>SUM(L51:Y51)</f>
        <v/>
      </c>
      <c r="AB51" s="5">
        <f>AA51-D49</f>
        <v/>
      </c>
    </row>
    <row r="52" customFormat="1" s="8">
      <c r="A52" s="6" t="inlineStr">
        <is>
          <t>Люблинская</t>
        </is>
      </c>
      <c r="B52" s="7" t="n">
        <v>1059959</v>
      </c>
      <c r="C52" s="7" t="n">
        <v>43814</v>
      </c>
      <c r="D52" s="7" t="n">
        <v>26245</v>
      </c>
      <c r="E52" s="7" t="n">
        <v>123761</v>
      </c>
      <c r="F52" s="7" t="n">
        <v>3829</v>
      </c>
      <c r="G52" s="7" t="n">
        <v>2465</v>
      </c>
      <c r="H52" s="7" t="n">
        <v>1048621</v>
      </c>
      <c r="I52" s="7" t="n">
        <v>41454</v>
      </c>
      <c r="J52" s="7" t="n">
        <v>25161</v>
      </c>
      <c r="K52" s="3" t="n"/>
      <c r="L52" s="7" t="n">
        <v>148788</v>
      </c>
      <c r="M52" s="7" t="n">
        <v>106738</v>
      </c>
      <c r="N52" s="7" t="n">
        <v>102166</v>
      </c>
      <c r="O52" s="7" t="n">
        <v>105451</v>
      </c>
      <c r="P52" s="7" t="n">
        <v>89754</v>
      </c>
      <c r="Q52" s="7" t="n">
        <v>87898</v>
      </c>
      <c r="R52" s="7" t="n">
        <v>113390</v>
      </c>
      <c r="S52" s="7" t="n">
        <v>85401</v>
      </c>
      <c r="T52" s="7" t="n">
        <v>118232</v>
      </c>
      <c r="U52" s="7" t="n">
        <v>102141</v>
      </c>
      <c r="V52" s="7" t="n"/>
      <c r="W52" s="7" t="n"/>
      <c r="X52" s="7" t="n"/>
      <c r="Y52" s="7" t="n"/>
      <c r="AA52" s="9">
        <f>SUM(L52:Y52)</f>
        <v/>
      </c>
      <c r="AB52" s="9">
        <f>AA52-B52</f>
        <v/>
      </c>
    </row>
    <row r="53" customFormat="1" s="2">
      <c r="A53" s="1" t="inlineStr">
        <is>
          <t>[Люблинская род.]</t>
        </is>
      </c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>
        <v>5754</v>
      </c>
      <c r="M53" s="3" t="n">
        <v>3962</v>
      </c>
      <c r="N53" s="3" t="n">
        <v>4313</v>
      </c>
      <c r="O53" s="3" t="n">
        <v>4245</v>
      </c>
      <c r="P53" s="3" t="n">
        <v>3865</v>
      </c>
      <c r="Q53" s="3" t="n">
        <v>3476</v>
      </c>
      <c r="R53" s="3" t="n">
        <v>4639</v>
      </c>
      <c r="S53" s="3" t="n">
        <v>4249</v>
      </c>
      <c r="T53" s="3" t="n">
        <v>5012</v>
      </c>
      <c r="U53" s="3" t="n">
        <v>4299</v>
      </c>
      <c r="V53" s="3" t="n"/>
      <c r="W53" s="3" t="n"/>
      <c r="X53" s="3" t="n"/>
      <c r="Y53" s="3" t="n"/>
      <c r="AA53" s="5">
        <f>SUM(L53:Y53)</f>
        <v/>
      </c>
      <c r="AB53" s="5">
        <f>C52-AA53</f>
        <v/>
      </c>
    </row>
    <row r="54" customFormat="1" s="2">
      <c r="A54" s="1" t="inlineStr">
        <is>
          <t>[Люблинская ум.]</t>
        </is>
      </c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>
        <v>3455</v>
      </c>
      <c r="M54" s="3" t="n">
        <v>2694</v>
      </c>
      <c r="N54" s="3" t="n">
        <v>2197</v>
      </c>
      <c r="O54" s="3" t="n">
        <v>2261</v>
      </c>
      <c r="P54" s="3" t="n">
        <v>2104</v>
      </c>
      <c r="Q54" s="3" t="n">
        <v>2009</v>
      </c>
      <c r="R54" s="3" t="n">
        <v>2882</v>
      </c>
      <c r="S54" s="3" t="n">
        <v>2651</v>
      </c>
      <c r="T54" s="3" t="n">
        <v>3066</v>
      </c>
      <c r="U54" s="3" t="n">
        <v>2926</v>
      </c>
      <c r="V54" s="3" t="n"/>
      <c r="W54" s="3" t="n"/>
      <c r="X54" s="3" t="n"/>
      <c r="Y54" s="3" t="n"/>
      <c r="AA54" s="5">
        <f>SUM(L54:Y54)</f>
        <v/>
      </c>
      <c r="AB54" s="5">
        <f>AA54-D52</f>
        <v/>
      </c>
    </row>
    <row r="55" customFormat="1" s="8">
      <c r="A55" s="6" t="inlineStr">
        <is>
          <t>Петроковская</t>
        </is>
      </c>
      <c r="B55" s="7" t="n">
        <v>1200197</v>
      </c>
      <c r="C55" s="7" t="n">
        <v>47337</v>
      </c>
      <c r="D55" s="7" t="n">
        <v>27567</v>
      </c>
      <c r="E55" s="7" t="n">
        <v>230156</v>
      </c>
      <c r="F55" s="7" t="n">
        <v>9947</v>
      </c>
      <c r="G55" s="7" t="n">
        <v>6608</v>
      </c>
      <c r="H55" s="7" t="n">
        <v>1140208</v>
      </c>
      <c r="I55" s="7" t="n">
        <v>40843</v>
      </c>
      <c r="J55" s="7" t="n">
        <v>23343</v>
      </c>
      <c r="K55" s="3" t="n"/>
      <c r="L55" s="7" t="n">
        <v>166622</v>
      </c>
      <c r="M55" s="7" t="n">
        <v>178675</v>
      </c>
      <c r="N55" s="7" t="n">
        <v>108231</v>
      </c>
      <c r="O55" s="7" t="n">
        <v>119835</v>
      </c>
      <c r="P55" s="7" t="n">
        <v>263248</v>
      </c>
      <c r="Q55" s="7" t="n">
        <v>138245</v>
      </c>
      <c r="R55" s="7" t="n">
        <v>78072</v>
      </c>
      <c r="S55" s="7" t="n">
        <v>147269</v>
      </c>
      <c r="T55" s="7" t="n"/>
      <c r="U55" s="7" t="n"/>
      <c r="V55" s="7" t="n"/>
      <c r="W55" s="7" t="n"/>
      <c r="X55" s="7" t="n"/>
      <c r="Y55" s="7" t="n"/>
      <c r="AA55" s="9">
        <f>SUM(L55:Y55)</f>
        <v/>
      </c>
      <c r="AB55" s="9">
        <f>AA55-B55</f>
        <v/>
      </c>
    </row>
    <row r="56" customFormat="1" s="2">
      <c r="A56" s="1" t="inlineStr">
        <is>
          <t>[Петроковская род.]</t>
        </is>
      </c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>
        <v>6034</v>
      </c>
      <c r="M56" s="3" t="n">
        <v>6910</v>
      </c>
      <c r="N56" s="3" t="n">
        <v>4483</v>
      </c>
      <c r="O56" s="3" t="n">
        <v>5149</v>
      </c>
      <c r="P56" s="4" t="n">
        <v>10605</v>
      </c>
      <c r="Q56" s="3" t="n">
        <v>5256</v>
      </c>
      <c r="R56" s="3" t="n">
        <v>2966</v>
      </c>
      <c r="S56" s="3" t="n">
        <v>5934</v>
      </c>
      <c r="T56" s="3" t="n"/>
      <c r="U56" s="3" t="n"/>
      <c r="V56" s="3" t="n"/>
      <c r="W56" s="3" t="n"/>
      <c r="X56" s="3" t="n"/>
      <c r="Y56" s="3" t="n"/>
      <c r="AA56" s="5">
        <f>SUM(L56:Y56)</f>
        <v/>
      </c>
      <c r="AB56" s="5">
        <f>C55-AA56</f>
        <v/>
      </c>
    </row>
    <row r="57" customFormat="1" s="2">
      <c r="A57" s="1" t="inlineStr">
        <is>
          <t>[Петроковская ум.]</t>
        </is>
      </c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>
        <v>3220</v>
      </c>
      <c r="M57" s="3" t="n">
        <v>4052</v>
      </c>
      <c r="N57" s="3" t="n">
        <v>2114</v>
      </c>
      <c r="O57" s="3" t="n">
        <v>2920</v>
      </c>
      <c r="P57" s="3" t="n">
        <v>6860</v>
      </c>
      <c r="Q57" s="3" t="n">
        <v>3056</v>
      </c>
      <c r="R57" s="3" t="n">
        <v>1569</v>
      </c>
      <c r="S57" s="3" t="n">
        <v>3776</v>
      </c>
      <c r="T57" s="3" t="n"/>
      <c r="U57" s="3" t="n"/>
      <c r="V57" s="3" t="n"/>
      <c r="W57" s="3" t="n"/>
      <c r="X57" s="3" t="n"/>
      <c r="Y57" s="3" t="n"/>
      <c r="AA57" s="5">
        <f>SUM(L57:Y57)</f>
        <v/>
      </c>
      <c r="AB57" s="5">
        <f>AA57-D55</f>
        <v/>
      </c>
    </row>
    <row r="58" customFormat="1" s="8">
      <c r="A58" s="6" t="inlineStr">
        <is>
          <t>Плоцкая</t>
        </is>
      </c>
      <c r="B58" s="7" t="n">
        <v>660457</v>
      </c>
      <c r="C58" s="7" t="n">
        <v>26392</v>
      </c>
      <c r="D58" s="7" t="n">
        <v>17902</v>
      </c>
      <c r="E58" s="10" t="inlineStr">
        <is>
          <t>—</t>
        </is>
      </c>
      <c r="F58" s="10" t="inlineStr">
        <is>
          <t>—</t>
        </is>
      </c>
      <c r="G58" s="10" t="inlineStr">
        <is>
          <t>—</t>
        </is>
      </c>
      <c r="H58" s="7" t="n">
        <v>621650</v>
      </c>
      <c r="I58" s="7" t="n">
        <v>24788</v>
      </c>
      <c r="J58" s="7" t="n">
        <v>15042</v>
      </c>
      <c r="K58" s="3" t="n"/>
      <c r="L58" s="7" t="n">
        <v>98757</v>
      </c>
      <c r="M58" s="7" t="n">
        <v>99353</v>
      </c>
      <c r="N58" s="7" t="n">
        <v>87568</v>
      </c>
      <c r="O58" s="7" t="n">
        <v>107538</v>
      </c>
      <c r="P58" s="7" t="n">
        <v>61440</v>
      </c>
      <c r="Q58" s="7" t="n">
        <v>67310</v>
      </c>
      <c r="R58" s="7" t="n">
        <v>68001</v>
      </c>
      <c r="S58" s="7" t="n">
        <v>70490</v>
      </c>
      <c r="T58" s="7" t="n"/>
      <c r="U58" s="7" t="n"/>
      <c r="V58" s="7" t="n"/>
      <c r="W58" s="7" t="n"/>
      <c r="X58" s="7" t="n"/>
      <c r="Y58" s="7" t="n"/>
      <c r="AA58" s="9">
        <f>SUM(L58:Y58)</f>
        <v/>
      </c>
      <c r="AB58" s="9">
        <f>AA58-B58</f>
        <v/>
      </c>
    </row>
    <row r="59" customFormat="1" s="2">
      <c r="A59" s="1" t="inlineStr">
        <is>
          <t>[Плоцкая род.]</t>
        </is>
      </c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>
        <v>4342</v>
      </c>
      <c r="M59" s="3" t="n">
        <v>3485</v>
      </c>
      <c r="N59" s="3" t="n">
        <v>4008</v>
      </c>
      <c r="O59" s="3" t="n">
        <v>3872</v>
      </c>
      <c r="P59" s="3" t="n">
        <v>2791</v>
      </c>
      <c r="Q59" s="3" t="n">
        <v>2422</v>
      </c>
      <c r="R59" s="3" t="n">
        <v>2786</v>
      </c>
      <c r="S59" s="3" t="n">
        <v>2686</v>
      </c>
      <c r="T59" s="3" t="n"/>
      <c r="U59" s="3" t="n"/>
      <c r="V59" s="3" t="n"/>
      <c r="W59" s="3" t="n"/>
      <c r="X59" s="3" t="n"/>
      <c r="Y59" s="3" t="n"/>
      <c r="AA59" s="5">
        <f>SUM(L59:Y59)</f>
        <v/>
      </c>
      <c r="AB59" s="5">
        <f>C58-AA59</f>
        <v/>
      </c>
    </row>
    <row r="60" customFormat="1" s="2">
      <c r="A60" s="1" t="inlineStr">
        <is>
          <t>[Плоцкая ум.]</t>
        </is>
      </c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>
        <v>3326</v>
      </c>
      <c r="M60" s="3" t="n">
        <v>1845</v>
      </c>
      <c r="N60" s="3" t="n">
        <v>2706</v>
      </c>
      <c r="O60" s="3" t="n">
        <v>2075</v>
      </c>
      <c r="P60" s="3" t="n">
        <v>2590</v>
      </c>
      <c r="Q60" s="3" t="n">
        <v>1265</v>
      </c>
      <c r="R60" s="3" t="n">
        <v>2080</v>
      </c>
      <c r="S60" s="3" t="n">
        <v>2015</v>
      </c>
      <c r="T60" s="3" t="n"/>
      <c r="U60" s="3" t="n"/>
      <c r="V60" s="3" t="n"/>
      <c r="W60" s="3" t="n"/>
      <c r="X60" s="3" t="n"/>
      <c r="Y60" s="3" t="n"/>
      <c r="AA60" s="5">
        <f>SUM(L60:Y60)</f>
        <v/>
      </c>
      <c r="AB60" s="5">
        <f>AA60-D58</f>
        <v/>
      </c>
    </row>
    <row r="61" customFormat="1" s="8">
      <c r="A61" s="6" t="inlineStr">
        <is>
          <t>Радомская</t>
        </is>
      </c>
      <c r="B61" s="7" t="n">
        <v>769229</v>
      </c>
      <c r="C61" s="7" t="n">
        <v>29099</v>
      </c>
      <c r="D61" s="7" t="n">
        <v>18240</v>
      </c>
      <c r="E61" s="7" t="n">
        <v>48559</v>
      </c>
      <c r="F61" s="7" t="n">
        <v>1421</v>
      </c>
      <c r="G61" s="7" t="n">
        <v>888</v>
      </c>
      <c r="H61" s="7" t="n">
        <v>736979</v>
      </c>
      <c r="I61" s="7" t="n">
        <v>30648</v>
      </c>
      <c r="J61" s="7" t="n">
        <v>16916</v>
      </c>
      <c r="K61" s="3" t="n"/>
      <c r="L61" s="7" t="n">
        <v>129953</v>
      </c>
      <c r="M61" s="7" t="n">
        <v>101925</v>
      </c>
      <c r="N61" s="7" t="n">
        <v>108805</v>
      </c>
      <c r="O61" s="7" t="n">
        <v>110724</v>
      </c>
      <c r="P61" s="7" t="n">
        <v>114754</v>
      </c>
      <c r="Q61" s="7" t="n">
        <v>100033</v>
      </c>
      <c r="R61" s="7" t="n">
        <v>103035</v>
      </c>
      <c r="S61" s="7" t="n"/>
      <c r="T61" s="7" t="n"/>
      <c r="U61" s="7" t="n"/>
      <c r="V61" s="7" t="n"/>
      <c r="W61" s="7" t="n"/>
      <c r="X61" s="7" t="n"/>
      <c r="Y61" s="7" t="n"/>
      <c r="AA61" s="9">
        <f>SUM(L61:Y61)</f>
        <v/>
      </c>
      <c r="AB61" s="9">
        <f>AA61-B61</f>
        <v/>
      </c>
    </row>
    <row r="62" customFormat="1" s="2">
      <c r="A62" s="1" t="inlineStr">
        <is>
          <t>[Радомская род.]</t>
        </is>
      </c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>
        <v>5021</v>
      </c>
      <c r="M62" s="3" t="n">
        <v>4403</v>
      </c>
      <c r="N62" s="3" t="n">
        <v>3693</v>
      </c>
      <c r="O62" s="3" t="n">
        <v>3855</v>
      </c>
      <c r="P62" s="3" t="n">
        <v>4850</v>
      </c>
      <c r="Q62" s="3" t="n">
        <v>3778</v>
      </c>
      <c r="R62" s="3" t="n">
        <v>3499</v>
      </c>
      <c r="S62" s="3" t="n"/>
      <c r="T62" s="3" t="n"/>
      <c r="U62" s="3" t="n"/>
      <c r="V62" s="3" t="n"/>
      <c r="W62" s="3" t="n"/>
      <c r="X62" s="3" t="n"/>
      <c r="Y62" s="3" t="n"/>
      <c r="AA62" s="5">
        <f>SUM(L62:Y62)</f>
        <v/>
      </c>
      <c r="AB62" s="5">
        <f>C61-AA62</f>
        <v/>
      </c>
    </row>
    <row r="63" customFormat="1" s="2">
      <c r="A63" s="1" t="inlineStr">
        <is>
          <t>[Радомская ум.]</t>
        </is>
      </c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>
        <v>2919</v>
      </c>
      <c r="M63" s="3" t="n">
        <v>2044</v>
      </c>
      <c r="N63" s="3" t="n">
        <v>2458</v>
      </c>
      <c r="O63" s="3" t="n">
        <v>2183</v>
      </c>
      <c r="P63" s="3" t="n">
        <v>3223</v>
      </c>
      <c r="Q63" s="3" t="n">
        <v>2181</v>
      </c>
      <c r="R63" s="3" t="n">
        <v>3232</v>
      </c>
      <c r="S63" s="3" t="n"/>
      <c r="T63" s="3" t="n"/>
      <c r="U63" s="3" t="n"/>
      <c r="V63" s="3" t="n"/>
      <c r="W63" s="3" t="n"/>
      <c r="X63" s="3" t="n"/>
      <c r="Y63" s="3" t="n"/>
      <c r="AA63" s="5">
        <f>SUM(L63:Y63)</f>
        <v/>
      </c>
      <c r="AB63" s="5">
        <f>AA63-D61</f>
        <v/>
      </c>
    </row>
    <row r="64" customFormat="1" s="8">
      <c r="A64" s="6" t="inlineStr">
        <is>
          <t>Сувалкская</t>
        </is>
      </c>
      <c r="B64" s="7" t="n">
        <v>693904</v>
      </c>
      <c r="C64" s="7" t="n">
        <v>20045</v>
      </c>
      <c r="D64" s="7" t="n">
        <v>13906</v>
      </c>
      <c r="E64" s="7" t="n">
        <v>73140</v>
      </c>
      <c r="F64" s="7" t="n">
        <v>1280</v>
      </c>
      <c r="G64" s="7" t="n">
        <v>909</v>
      </c>
      <c r="H64" s="7" t="n">
        <v>678338</v>
      </c>
      <c r="I64" s="7" t="n">
        <v>21146</v>
      </c>
      <c r="J64" s="7" t="n">
        <v>15985</v>
      </c>
      <c r="K64" s="3" t="n"/>
      <c r="L64" s="7" t="n">
        <v>108696</v>
      </c>
      <c r="M64" s="7" t="n">
        <v>93153</v>
      </c>
      <c r="N64" s="7" t="n">
        <v>91571</v>
      </c>
      <c r="O64" s="7" t="n">
        <v>92810</v>
      </c>
      <c r="P64" s="7" t="n">
        <v>82969</v>
      </c>
      <c r="Q64" s="7" t="n">
        <v>123756</v>
      </c>
      <c r="R64" s="7" t="n">
        <v>102949</v>
      </c>
      <c r="S64" s="7" t="n"/>
      <c r="T64" s="7" t="n"/>
      <c r="U64" s="7" t="n"/>
      <c r="V64" s="7" t="n"/>
      <c r="W64" s="7" t="n"/>
      <c r="X64" s="7" t="n"/>
      <c r="Y64" s="7" t="n"/>
      <c r="AA64" s="9">
        <f>SUM(L64:Y64)</f>
        <v/>
      </c>
      <c r="AB64" s="9">
        <f>AA64-B64</f>
        <v/>
      </c>
    </row>
    <row r="65" customFormat="1" s="2">
      <c r="A65" s="1" t="inlineStr">
        <is>
          <t>[Сувалкская род.]</t>
        </is>
      </c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>
        <v>3201</v>
      </c>
      <c r="M65" s="3" t="n">
        <v>2439</v>
      </c>
      <c r="N65" s="3" t="n">
        <v>2322</v>
      </c>
      <c r="O65" s="3" t="n">
        <v>2612</v>
      </c>
      <c r="P65" s="3" t="n">
        <v>2281</v>
      </c>
      <c r="Q65" s="3" t="n">
        <v>3917</v>
      </c>
      <c r="R65" s="3" t="n">
        <v>3273</v>
      </c>
      <c r="S65" s="3" t="n"/>
      <c r="T65" s="3" t="n"/>
      <c r="U65" s="3" t="n"/>
      <c r="V65" s="3" t="n"/>
      <c r="W65" s="3" t="n"/>
      <c r="X65" s="3" t="n"/>
      <c r="Y65" s="3" t="n"/>
      <c r="AA65" s="5">
        <f>SUM(L65:Y65)</f>
        <v/>
      </c>
      <c r="AB65" s="5">
        <f>C64-AA65</f>
        <v/>
      </c>
    </row>
    <row r="66" customFormat="1" s="2">
      <c r="A66" s="1" t="inlineStr">
        <is>
          <t>[Сувалкская ум.]</t>
        </is>
      </c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>
        <v>2184</v>
      </c>
      <c r="M66" s="3" t="n">
        <v>1556</v>
      </c>
      <c r="N66" s="3" t="n">
        <v>1709</v>
      </c>
      <c r="O66" s="3" t="n">
        <v>1684</v>
      </c>
      <c r="P66" s="3" t="n">
        <v>1690</v>
      </c>
      <c r="Q66" s="3" t="n">
        <v>2763</v>
      </c>
      <c r="R66" s="3" t="n">
        <v>2320</v>
      </c>
      <c r="S66" s="3" t="n"/>
      <c r="T66" s="3" t="n"/>
      <c r="U66" s="3" t="n"/>
      <c r="V66" s="3" t="n"/>
      <c r="W66" s="3" t="n"/>
      <c r="X66" s="3" t="n"/>
      <c r="Y66" s="3" t="n"/>
      <c r="AA66" s="5">
        <f>SUM(L66:Y66)</f>
        <v/>
      </c>
      <c r="AB66" s="5">
        <f>AA66-D64</f>
        <v/>
      </c>
    </row>
    <row r="67" customFormat="1" s="8">
      <c r="A67" s="6" t="inlineStr">
        <is>
          <t>Седлецкая</t>
        </is>
      </c>
      <c r="B67" s="7" t="n">
        <v>752152</v>
      </c>
      <c r="C67" s="7" t="n">
        <v>30906</v>
      </c>
      <c r="D67" s="7" t="n">
        <v>16039</v>
      </c>
      <c r="E67" s="7" t="n">
        <v>66094</v>
      </c>
      <c r="F67" s="7" t="n">
        <v>2710</v>
      </c>
      <c r="G67" s="7" t="n">
        <v>1435</v>
      </c>
      <c r="H67" s="7" t="n">
        <v>696527</v>
      </c>
      <c r="I67" s="7" t="n">
        <v>26091</v>
      </c>
      <c r="J67" s="7" t="n">
        <v>17334</v>
      </c>
      <c r="K67" s="3" t="n"/>
      <c r="L67" s="7" t="n">
        <v>74932</v>
      </c>
      <c r="M67" s="7" t="n">
        <v>73623</v>
      </c>
      <c r="N67" s="7" t="n">
        <v>74109</v>
      </c>
      <c r="O67" s="7" t="n">
        <v>98186</v>
      </c>
      <c r="P67" s="7" t="n">
        <v>118678</v>
      </c>
      <c r="Q67" s="7" t="n">
        <v>60523</v>
      </c>
      <c r="R67" s="7" t="n">
        <v>98788</v>
      </c>
      <c r="S67" s="7" t="n">
        <v>78104</v>
      </c>
      <c r="T67" s="7" t="n">
        <v>75209</v>
      </c>
      <c r="U67" s="7" t="n"/>
      <c r="V67" s="7" t="n"/>
      <c r="W67" s="7" t="n"/>
      <c r="X67" s="7" t="n"/>
      <c r="Y67" s="7" t="n"/>
      <c r="AA67" s="9">
        <f>SUM(L67:Y67)</f>
        <v/>
      </c>
      <c r="AB67" s="9">
        <f>AA67-B67</f>
        <v/>
      </c>
    </row>
    <row r="68" customFormat="1" s="2">
      <c r="A68" s="1" t="inlineStr">
        <is>
          <t>[Седлецкая род.]</t>
        </is>
      </c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>
        <v>3341</v>
      </c>
      <c r="M68" s="3" t="n">
        <v>3060</v>
      </c>
      <c r="N68" s="3" t="n">
        <v>2473</v>
      </c>
      <c r="O68" s="3" t="n">
        <v>3693</v>
      </c>
      <c r="P68" s="3" t="n">
        <v>6603</v>
      </c>
      <c r="Q68" s="3" t="n">
        <v>2928</v>
      </c>
      <c r="R68" s="3" t="n">
        <v>3678</v>
      </c>
      <c r="S68" s="3" t="n">
        <v>2698</v>
      </c>
      <c r="T68" s="3" t="n">
        <v>2432</v>
      </c>
      <c r="U68" s="3" t="n"/>
      <c r="V68" s="3" t="n"/>
      <c r="W68" s="3" t="n"/>
      <c r="X68" s="3" t="n"/>
      <c r="Y68" s="3" t="n"/>
      <c r="AA68" s="5">
        <f>SUM(L68:Y68)</f>
        <v/>
      </c>
      <c r="AB68" s="5">
        <f>C67-AA68</f>
        <v/>
      </c>
    </row>
    <row r="69" customFormat="1" s="2">
      <c r="A69" s="1" t="inlineStr">
        <is>
          <t>[Седлецкая ум.]</t>
        </is>
      </c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>
        <v>1859</v>
      </c>
      <c r="M69" s="3" t="n">
        <v>1498</v>
      </c>
      <c r="N69" s="3" t="n">
        <v>1548</v>
      </c>
      <c r="O69" s="3" t="n">
        <v>2210</v>
      </c>
      <c r="P69" s="3" t="n">
        <v>2542</v>
      </c>
      <c r="Q69" s="3" t="n">
        <v>1588</v>
      </c>
      <c r="R69" s="3" t="n">
        <v>2484</v>
      </c>
      <c r="S69" s="3" t="n">
        <v>810</v>
      </c>
      <c r="T69" s="3" t="n">
        <v>1500</v>
      </c>
      <c r="U69" s="3" t="n"/>
      <c r="V69" s="3" t="n"/>
      <c r="W69" s="3" t="n"/>
      <c r="X69" s="3" t="n"/>
      <c r="Y69" s="3" t="n"/>
      <c r="AA69" s="5">
        <f>SUM(L69:Y69)</f>
        <v/>
      </c>
      <c r="AB69" s="5">
        <f>AA69-D67</f>
        <v/>
      </c>
    </row>
    <row r="70" customFormat="1" s="13">
      <c r="A70" s="11" t="inlineStr">
        <is>
          <t>Итого в привислинских губерниях</t>
        </is>
      </c>
      <c r="B70" s="15" t="n">
        <v>8906418</v>
      </c>
      <c r="C70" s="15" t="n">
        <v>349115</v>
      </c>
      <c r="D70" s="15" t="n">
        <v>216461</v>
      </c>
      <c r="E70" s="12" t="n">
        <v>1125415</v>
      </c>
      <c r="F70" s="12" t="n">
        <v>44390</v>
      </c>
      <c r="G70" s="12" t="n">
        <v>28829</v>
      </c>
      <c r="H70" s="12" t="n">
        <v>8515839</v>
      </c>
      <c r="I70" s="12" t="n">
        <v>333517</v>
      </c>
      <c r="J70" s="12" t="n">
        <v>204566</v>
      </c>
      <c r="K70" s="3" t="n"/>
      <c r="L70" s="12" t="n"/>
      <c r="M70" s="12" t="n"/>
      <c r="N70" s="12" t="n"/>
      <c r="O70" s="12" t="n"/>
      <c r="P70" s="12" t="n"/>
      <c r="Q70" s="12" t="n"/>
      <c r="R70" s="12" t="n"/>
      <c r="S70" s="12" t="n"/>
      <c r="T70" s="12" t="n"/>
      <c r="U70" s="12" t="n"/>
      <c r="V70" s="12" t="n"/>
      <c r="W70" s="12" t="n"/>
      <c r="X70" s="12" t="n"/>
      <c r="Y70" s="12" t="n"/>
      <c r="AA70" s="14" t="n"/>
      <c r="AB70" s="14" t="n"/>
      <c r="AD70" s="14">
        <f>SUM(B39:B68)</f>
        <v/>
      </c>
      <c r="AE70" s="14">
        <f>SUM(C39:C68)</f>
        <v/>
      </c>
      <c r="AF70" s="14">
        <f>SUM(D39:D68)</f>
        <v/>
      </c>
      <c r="AG70" s="14">
        <f>SUM(E39:E68)</f>
        <v/>
      </c>
      <c r="AH70" s="14">
        <f>SUM(F39:F68)</f>
        <v/>
      </c>
      <c r="AI70" s="14">
        <f>SUM(G39:G68)</f>
        <v/>
      </c>
      <c r="AJ70" s="14">
        <f>SUM(H39:H68)</f>
        <v/>
      </c>
      <c r="AK70" s="14">
        <f>SUM(I39:I68)</f>
        <v/>
      </c>
      <c r="AL70" s="14">
        <f>SUM(J39:J68)</f>
        <v/>
      </c>
      <c r="AN70" s="14">
        <f>AD70-B70</f>
        <v/>
      </c>
      <c r="AO70" s="14">
        <f>AE70-C70</f>
        <v/>
      </c>
      <c r="AP70" s="14">
        <f>AF70-D70</f>
        <v/>
      </c>
      <c r="AQ70" s="14">
        <f>AG70-E70</f>
        <v/>
      </c>
      <c r="AR70" s="14">
        <f>AH70-F70</f>
        <v/>
      </c>
      <c r="AS70" s="14">
        <f>AI70-G70</f>
        <v/>
      </c>
      <c r="AT70" s="14">
        <f>AJ70-H70</f>
        <v/>
      </c>
    </row>
    <row r="71" customFormat="1" s="8">
      <c r="A71" s="6" t="inlineStr">
        <is>
          <t>Курляндская</t>
        </is>
      </c>
      <c r="B71" s="7" t="n">
        <v>712700</v>
      </c>
      <c r="C71" s="7" t="n">
        <v>19825</v>
      </c>
      <c r="D71" s="7" t="n">
        <v>12125</v>
      </c>
      <c r="E71" s="7" t="n">
        <v>110990</v>
      </c>
      <c r="F71" s="7" t="n">
        <v>4175</v>
      </c>
      <c r="G71" s="7" t="n">
        <v>2685</v>
      </c>
      <c r="H71" s="7" t="n">
        <v>690151</v>
      </c>
      <c r="I71" s="7" t="n">
        <v>18974</v>
      </c>
      <c r="J71" s="7" t="n">
        <v>12202</v>
      </c>
      <c r="K71" s="3" t="n"/>
      <c r="L71" s="7" t="n">
        <v>105560</v>
      </c>
      <c r="M71" s="7" t="n">
        <v>59960</v>
      </c>
      <c r="N71" s="7" t="n">
        <v>49320</v>
      </c>
      <c r="O71" s="7" t="n">
        <v>93140</v>
      </c>
      <c r="P71" s="7" t="n">
        <v>72190</v>
      </c>
      <c r="Q71" s="7" t="n">
        <v>51740</v>
      </c>
      <c r="R71" s="7" t="n">
        <v>81500</v>
      </c>
      <c r="S71" s="7" t="n">
        <v>70600</v>
      </c>
      <c r="T71" s="7" t="n">
        <v>57990</v>
      </c>
      <c r="U71" s="7" t="n">
        <v>70730</v>
      </c>
      <c r="V71" s="7" t="n"/>
      <c r="W71" s="7" t="n"/>
      <c r="X71" s="7" t="n"/>
      <c r="Y71" s="7" t="n"/>
      <c r="AA71" s="9">
        <f>SUM(L71:Y71)</f>
        <v/>
      </c>
      <c r="AB71" s="9">
        <f>AA71-B71</f>
        <v/>
      </c>
    </row>
    <row r="72" customFormat="1" s="2">
      <c r="A72" s="1" t="inlineStr">
        <is>
          <t>[Курляндская род.]</t>
        </is>
      </c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>
        <v>2980</v>
      </c>
      <c r="M72" s="3" t="n">
        <v>1510</v>
      </c>
      <c r="N72" s="3" t="n">
        <v>1210</v>
      </c>
      <c r="O72" s="3" t="n">
        <v>3120</v>
      </c>
      <c r="P72" s="3" t="n">
        <v>2000</v>
      </c>
      <c r="Q72" s="3" t="n">
        <v>1525</v>
      </c>
      <c r="R72" s="3" t="n">
        <v>2080</v>
      </c>
      <c r="S72" s="3" t="n">
        <v>2020</v>
      </c>
      <c r="T72" s="3" t="n">
        <v>1560</v>
      </c>
      <c r="U72" s="3" t="n">
        <v>1820</v>
      </c>
      <c r="V72" s="3" t="n"/>
      <c r="W72" s="3" t="n"/>
      <c r="X72" s="3" t="n"/>
      <c r="Y72" s="3" t="n"/>
      <c r="AA72" s="5">
        <f>SUM(L72:Y72)</f>
        <v/>
      </c>
      <c r="AB72" s="5">
        <f>C71-AA72</f>
        <v/>
      </c>
    </row>
    <row r="73" customFormat="1" s="2">
      <c r="A73" s="1" t="inlineStr">
        <is>
          <t>[Курляндская ум.]</t>
        </is>
      </c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>
        <v>2200</v>
      </c>
      <c r="M73" s="3" t="n">
        <v>1030</v>
      </c>
      <c r="N73" s="3" t="n">
        <v>810</v>
      </c>
      <c r="O73" s="3" t="n">
        <v>1800</v>
      </c>
      <c r="P73" s="3" t="n">
        <v>1155</v>
      </c>
      <c r="Q73" s="3" t="n">
        <v>920</v>
      </c>
      <c r="R73" s="3" t="n">
        <v>1080</v>
      </c>
      <c r="S73" s="3" t="n">
        <v>1200</v>
      </c>
      <c r="T73" s="3" t="n">
        <v>875</v>
      </c>
      <c r="U73" s="3" t="n">
        <v>1055</v>
      </c>
      <c r="V73" s="3" t="n"/>
      <c r="W73" s="3" t="n"/>
      <c r="X73" s="3" t="n"/>
      <c r="Y73" s="3" t="n"/>
      <c r="AA73" s="5">
        <f>SUM(L73:Y73)</f>
        <v/>
      </c>
      <c r="AB73" s="5">
        <f>AA73-D71</f>
        <v/>
      </c>
    </row>
    <row r="74" customFormat="1" s="8">
      <c r="A74" s="6" t="inlineStr">
        <is>
          <t>Лифляндская</t>
        </is>
      </c>
      <c r="B74" s="7" t="n">
        <v>1260653</v>
      </c>
      <c r="C74" s="7" t="n">
        <v>36361</v>
      </c>
      <c r="D74" s="7" t="n">
        <v>25016</v>
      </c>
      <c r="E74" s="7" t="n">
        <v>248574</v>
      </c>
      <c r="F74" s="7" t="n">
        <v>7737</v>
      </c>
      <c r="G74" s="7" t="n">
        <v>6502</v>
      </c>
      <c r="H74" s="7" t="n">
        <v>1239268</v>
      </c>
      <c r="I74" s="7" t="n">
        <v>36781</v>
      </c>
      <c r="J74" s="7" t="n">
        <v>26740</v>
      </c>
      <c r="K74" s="3" t="n"/>
      <c r="L74" s="7" t="n">
        <v>322941</v>
      </c>
      <c r="M74" s="7" t="n">
        <v>121393</v>
      </c>
      <c r="N74" s="7" t="n">
        <v>134812</v>
      </c>
      <c r="O74" s="7" t="n">
        <v>100655</v>
      </c>
      <c r="P74" s="7" t="n">
        <v>122398</v>
      </c>
      <c r="Q74" s="7" t="n">
        <v>192893</v>
      </c>
      <c r="R74" s="7" t="n">
        <v>102650</v>
      </c>
      <c r="S74" s="7" t="n">
        <v>102205</v>
      </c>
      <c r="T74" s="7" t="n">
        <v>60706</v>
      </c>
      <c r="U74" s="7" t="n"/>
      <c r="V74" s="7" t="n"/>
      <c r="W74" s="7" t="n"/>
      <c r="X74" s="7" t="n"/>
      <c r="Y74" s="7" t="n"/>
      <c r="AA74" s="9">
        <f>SUM(L74:Y74)</f>
        <v/>
      </c>
      <c r="AB74" s="9">
        <f>AA74-B74</f>
        <v/>
      </c>
    </row>
    <row r="75" customFormat="1" s="2">
      <c r="A75" s="1" t="inlineStr">
        <is>
          <t>[Лифляндская род.]</t>
        </is>
      </c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>
        <v>9384</v>
      </c>
      <c r="M75" s="3" t="n">
        <v>3627</v>
      </c>
      <c r="N75" s="3" t="n">
        <v>3080</v>
      </c>
      <c r="O75" s="3" t="n">
        <v>3319</v>
      </c>
      <c r="P75" s="3" t="n">
        <v>3859</v>
      </c>
      <c r="Q75" s="3" t="n">
        <v>5580</v>
      </c>
      <c r="R75" s="3" t="n">
        <v>2929</v>
      </c>
      <c r="S75" s="3" t="n">
        <v>2794</v>
      </c>
      <c r="T75" s="3" t="n">
        <v>1789</v>
      </c>
      <c r="U75" s="3" t="n"/>
      <c r="V75" s="3" t="n"/>
      <c r="W75" s="3" t="n"/>
      <c r="X75" s="3" t="n"/>
      <c r="Y75" s="3" t="n"/>
      <c r="AA75" s="5">
        <f>SUM(L75:Y75)</f>
        <v/>
      </c>
      <c r="AB75" s="5">
        <f>C74-AA75</f>
        <v/>
      </c>
    </row>
    <row r="76" customFormat="1" s="2">
      <c r="A76" s="1" t="inlineStr">
        <is>
          <t>[Лифляндская ум.]</t>
        </is>
      </c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>
        <v>7035</v>
      </c>
      <c r="M76" s="3" t="n">
        <v>2390</v>
      </c>
      <c r="N76" s="3" t="n">
        <v>2064</v>
      </c>
      <c r="O76" s="3" t="n">
        <v>1779</v>
      </c>
      <c r="P76" s="3" t="n">
        <v>2656</v>
      </c>
      <c r="Q76" s="3" t="n">
        <v>3769</v>
      </c>
      <c r="R76" s="3" t="n">
        <v>2051</v>
      </c>
      <c r="S76" s="3" t="n">
        <v>1795</v>
      </c>
      <c r="T76" s="3" t="n">
        <v>1477</v>
      </c>
      <c r="U76" s="3" t="n"/>
      <c r="V76" s="3" t="n"/>
      <c r="W76" s="3" t="n"/>
      <c r="X76" s="3" t="n"/>
      <c r="Y76" s="3" t="n"/>
      <c r="AA76" s="5">
        <f>SUM(L76:Y76)</f>
        <v/>
      </c>
      <c r="AB76" s="5">
        <f>AA76-D74</f>
        <v/>
      </c>
    </row>
    <row r="77" customFormat="1" s="8">
      <c r="A77" s="6" t="inlineStr">
        <is>
          <t>Эстляндская</t>
        </is>
      </c>
      <c r="B77" s="7" t="n">
        <v>404709</v>
      </c>
      <c r="C77" s="7" t="n">
        <v>11872</v>
      </c>
      <c r="D77" s="7" t="n">
        <v>7255</v>
      </c>
      <c r="E77" s="7" t="n">
        <v>61687</v>
      </c>
      <c r="F77" s="7" t="n">
        <v>1778</v>
      </c>
      <c r="G77" s="7" t="n">
        <v>1422</v>
      </c>
      <c r="H77" s="7" t="n">
        <v>396539</v>
      </c>
      <c r="I77" s="7" t="n">
        <v>11852</v>
      </c>
      <c r="J77" s="7" t="n">
        <v>8592</v>
      </c>
      <c r="K77" s="3" t="n"/>
      <c r="L77" s="7" t="n">
        <v>146946</v>
      </c>
      <c r="M77" s="7" t="n">
        <v>120167</v>
      </c>
      <c r="N77" s="7" t="n">
        <v>53655</v>
      </c>
      <c r="O77" s="7" t="n">
        <v>83941</v>
      </c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AA77" s="9">
        <f>SUM(L77:Y77)</f>
        <v/>
      </c>
      <c r="AB77" s="9">
        <f>AA77-B77</f>
        <v/>
      </c>
    </row>
    <row r="78" customFormat="1" s="2">
      <c r="A78" s="1" t="inlineStr">
        <is>
          <t>[Эстляндская род.]</t>
        </is>
      </c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>
        <v>4301</v>
      </c>
      <c r="M78" s="3" t="n">
        <v>3749</v>
      </c>
      <c r="N78" s="3" t="n">
        <v>1509</v>
      </c>
      <c r="O78" s="3" t="n">
        <v>2313</v>
      </c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AA78" s="5">
        <f>SUM(L78:Y78)</f>
        <v/>
      </c>
      <c r="AB78" s="5">
        <f>C77-AA78</f>
        <v/>
      </c>
    </row>
    <row r="79" customFormat="1" s="2">
      <c r="A79" s="1" t="inlineStr">
        <is>
          <t>[Эстляндская ум.]</t>
        </is>
      </c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>
        <v>2742</v>
      </c>
      <c r="M79" s="3" t="n">
        <v>2222</v>
      </c>
      <c r="N79" s="3" t="n">
        <v>925</v>
      </c>
      <c r="O79" s="3" t="n">
        <v>1366</v>
      </c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AA79" s="5">
        <f>SUM(L79:Y79)</f>
        <v/>
      </c>
      <c r="AB79" s="5">
        <f>AA79-D77</f>
        <v/>
      </c>
    </row>
    <row r="80" customFormat="1" s="13">
      <c r="A80" s="11" t="inlineStr">
        <is>
          <t>Итого в остзейских губерниях</t>
        </is>
      </c>
      <c r="B80" s="12" t="n">
        <v>2378062</v>
      </c>
      <c r="C80" s="12" t="n">
        <v>68058</v>
      </c>
      <c r="D80" s="12" t="n">
        <v>44396</v>
      </c>
      <c r="E80" s="12" t="n">
        <v>420651</v>
      </c>
      <c r="F80" s="12" t="n">
        <v>13690</v>
      </c>
      <c r="G80" s="12" t="n">
        <v>10609</v>
      </c>
      <c r="H80" s="12" t="n">
        <v>2325955</v>
      </c>
      <c r="I80" s="12" t="n">
        <v>67607</v>
      </c>
      <c r="J80" s="12" t="n">
        <v>47537</v>
      </c>
      <c r="K80" s="3" t="n"/>
      <c r="L80" s="12" t="n"/>
      <c r="M80" s="12" t="n"/>
      <c r="N80" s="12" t="n"/>
      <c r="O80" s="12" t="n"/>
      <c r="P80" s="12" t="n"/>
      <c r="Q80" s="12" t="n"/>
      <c r="R80" s="12" t="n"/>
      <c r="S80" s="12" t="n"/>
      <c r="T80" s="12" t="n"/>
      <c r="U80" s="12" t="n"/>
      <c r="V80" s="12" t="n"/>
      <c r="W80" s="12" t="n"/>
      <c r="X80" s="12" t="n"/>
      <c r="Y80" s="12" t="n"/>
      <c r="AA80" s="14" t="n"/>
      <c r="AB80" s="14" t="n"/>
      <c r="AD80" s="14">
        <f>SUM(B71:B79)</f>
        <v/>
      </c>
      <c r="AE80" s="14">
        <f>SUM(C71:C79)</f>
        <v/>
      </c>
      <c r="AF80" s="14">
        <f>SUM(D71:D79)</f>
        <v/>
      </c>
      <c r="AG80" s="14">
        <f>SUM(E71:E79)</f>
        <v/>
      </c>
      <c r="AH80" s="14">
        <f>SUM(F71:F79)</f>
        <v/>
      </c>
      <c r="AI80" s="14">
        <f>SUM(G71:G79)</f>
        <v/>
      </c>
      <c r="AJ80" s="14">
        <f>SUM(H71:H79)</f>
        <v/>
      </c>
      <c r="AK80" s="14">
        <f>SUM(I71:I79)</f>
        <v/>
      </c>
      <c r="AL80" s="14">
        <f>SUM(J71:J79)</f>
        <v/>
      </c>
      <c r="AN80" s="14">
        <f>AD80-B80</f>
        <v/>
      </c>
      <c r="AO80" s="14">
        <f>AE80-C80</f>
        <v/>
      </c>
      <c r="AP80" s="14">
        <f>AF80-D80</f>
        <v/>
      </c>
      <c r="AQ80" s="14">
        <f>AG80-E80</f>
        <v/>
      </c>
      <c r="AR80" s="14">
        <f>AH80-F80</f>
        <v/>
      </c>
      <c r="AS80" s="14">
        <f>AI80-G80</f>
        <v/>
      </c>
      <c r="AT80" s="14">
        <f>AJ80-H80</f>
        <v/>
      </c>
    </row>
    <row r="81" customFormat="1" s="8">
      <c r="A81" s="6" t="inlineStr">
        <is>
          <t>Бессарабская</t>
        </is>
      </c>
      <c r="B81" s="7" t="n">
        <v>1579766</v>
      </c>
      <c r="C81" s="7" t="n">
        <v>74644</v>
      </c>
      <c r="D81" s="7" t="n">
        <v>50841</v>
      </c>
      <c r="E81" s="7" t="n">
        <v>276917</v>
      </c>
      <c r="F81" s="7" t="n">
        <v>8897</v>
      </c>
      <c r="G81" s="7" t="n">
        <v>6349</v>
      </c>
      <c r="H81" s="7" t="n">
        <v>1556699</v>
      </c>
      <c r="I81" s="7" t="n">
        <v>73585</v>
      </c>
      <c r="J81" s="7" t="n">
        <v>49630</v>
      </c>
      <c r="K81" s="3" t="n"/>
      <c r="L81" s="7" t="n">
        <v>258185</v>
      </c>
      <c r="M81" s="7" t="n">
        <v>276569</v>
      </c>
      <c r="N81" s="7" t="n">
        <v>163711</v>
      </c>
      <c r="O81" s="7" t="n">
        <v>185350</v>
      </c>
      <c r="P81" s="7" t="n">
        <v>165527</v>
      </c>
      <c r="Q81" s="7" t="n">
        <v>174979</v>
      </c>
      <c r="R81" s="7" t="n">
        <v>202354</v>
      </c>
      <c r="S81" s="7" t="n">
        <v>153091</v>
      </c>
      <c r="T81" s="7" t="n"/>
      <c r="U81" s="7" t="n"/>
      <c r="V81" s="7" t="n"/>
      <c r="W81" s="7" t="n"/>
      <c r="X81" s="7" t="n"/>
      <c r="Y81" s="7" t="n"/>
      <c r="AA81" s="9">
        <f>SUM(L81:Y81)</f>
        <v/>
      </c>
      <c r="AB81" s="9">
        <f>AA81-B81</f>
        <v/>
      </c>
    </row>
    <row r="82" customFormat="1" s="2">
      <c r="A82" s="1" t="inlineStr">
        <is>
          <t>[Бессарабская род.]</t>
        </is>
      </c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>
        <v>10389</v>
      </c>
      <c r="M82" s="3" t="n">
        <v>11741</v>
      </c>
      <c r="N82" s="3" t="n">
        <v>8429</v>
      </c>
      <c r="O82" s="3" t="n">
        <v>9595</v>
      </c>
      <c r="P82" s="3" t="n">
        <v>7791</v>
      </c>
      <c r="Q82" s="3" t="n">
        <v>7534</v>
      </c>
      <c r="R82" s="3" t="n">
        <v>11144</v>
      </c>
      <c r="S82" s="3" t="n">
        <v>8024</v>
      </c>
      <c r="T82" s="3" t="n"/>
      <c r="U82" s="3" t="n"/>
      <c r="V82" s="3" t="n"/>
      <c r="W82" s="3" t="n"/>
      <c r="X82" s="3" t="n"/>
      <c r="Y82" s="3" t="n"/>
      <c r="AA82" s="5">
        <f>SUM(L82:Y82)</f>
        <v/>
      </c>
      <c r="AB82" s="5">
        <f>C81-AA82</f>
        <v/>
      </c>
    </row>
    <row r="83" customFormat="1" s="2">
      <c r="A83" s="1" t="inlineStr">
        <is>
          <t>[Бессарабская ум.]</t>
        </is>
      </c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>
        <v>6983</v>
      </c>
      <c r="M83" s="3" t="n">
        <v>6745</v>
      </c>
      <c r="N83" s="3" t="n">
        <v>5954</v>
      </c>
      <c r="O83" s="3" t="n">
        <v>5630</v>
      </c>
      <c r="P83" s="3" t="n">
        <v>5495</v>
      </c>
      <c r="Q83" s="3" t="n">
        <v>5689</v>
      </c>
      <c r="R83" s="3" t="n">
        <v>8265</v>
      </c>
      <c r="S83" s="3" t="n">
        <v>6080</v>
      </c>
      <c r="T83" s="3" t="n"/>
      <c r="U83" s="3" t="n"/>
      <c r="V83" s="3" t="n"/>
      <c r="W83" s="3" t="n"/>
      <c r="X83" s="3" t="n"/>
      <c r="Y83" s="3" t="n"/>
      <c r="AA83" s="5">
        <f>SUM(L83:Y83)</f>
        <v/>
      </c>
      <c r="AB83" s="5">
        <f>AA83-D81</f>
        <v/>
      </c>
    </row>
    <row r="84" customFormat="1" s="8">
      <c r="A84" s="6" t="inlineStr">
        <is>
          <t>Владимирская</t>
        </is>
      </c>
      <c r="B84" s="7" t="n">
        <v>1511926</v>
      </c>
      <c r="C84" s="7" t="n">
        <v>78774</v>
      </c>
      <c r="D84" s="7" t="n">
        <v>65493</v>
      </c>
      <c r="E84" s="7" t="n">
        <v>108816</v>
      </c>
      <c r="F84" s="7" t="n">
        <v>7110</v>
      </c>
      <c r="G84" s="7" t="n">
        <v>4932</v>
      </c>
      <c r="H84" s="7" t="n">
        <v>1441398</v>
      </c>
      <c r="I84" s="7" t="n">
        <v>75901</v>
      </c>
      <c r="J84" s="7" t="n">
        <v>58278</v>
      </c>
      <c r="K84" s="3" t="n"/>
      <c r="L84" s="7" t="n">
        <v>164831</v>
      </c>
      <c r="M84" s="7" t="n">
        <v>103255</v>
      </c>
      <c r="N84" s="7" t="n">
        <v>90937</v>
      </c>
      <c r="O84" s="7" t="n">
        <v>106235</v>
      </c>
      <c r="P84" s="7" t="n">
        <v>120456</v>
      </c>
      <c r="Q84" s="7" t="n">
        <v>134355</v>
      </c>
      <c r="R84" s="7" t="n">
        <v>119250</v>
      </c>
      <c r="S84" s="7" t="n">
        <v>93700</v>
      </c>
      <c r="T84" s="7" t="n">
        <v>120236</v>
      </c>
      <c r="U84" s="7" t="n">
        <v>87766</v>
      </c>
      <c r="V84" s="7" t="n">
        <v>115721</v>
      </c>
      <c r="W84" s="7" t="n">
        <v>148341</v>
      </c>
      <c r="X84" s="7" t="n">
        <v>106843</v>
      </c>
      <c r="Y84" s="7" t="n"/>
      <c r="AA84" s="9">
        <f>SUM(L84:Y84)</f>
        <v/>
      </c>
      <c r="AB84" s="9">
        <f>AA84-B84</f>
        <v/>
      </c>
    </row>
    <row r="85" customFormat="1" s="2">
      <c r="A85" s="1" t="inlineStr">
        <is>
          <t>[Владимирская род.]</t>
        </is>
      </c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>
        <v>7765</v>
      </c>
      <c r="M85" s="3" t="n">
        <v>4014</v>
      </c>
      <c r="N85" s="3" t="n">
        <v>4684</v>
      </c>
      <c r="O85" s="3" t="n">
        <v>5079</v>
      </c>
      <c r="P85" s="3" t="n">
        <v>6098</v>
      </c>
      <c r="Q85" s="3" t="n">
        <v>9580</v>
      </c>
      <c r="R85" s="3" t="n">
        <v>6933</v>
      </c>
      <c r="S85" s="3" t="n">
        <v>4704</v>
      </c>
      <c r="T85" s="3" t="n">
        <v>7972</v>
      </c>
      <c r="U85" s="3" t="n">
        <v>4824</v>
      </c>
      <c r="V85" s="3" t="n">
        <v>6449</v>
      </c>
      <c r="W85" s="3" t="n">
        <v>7158</v>
      </c>
      <c r="X85" s="3" t="n">
        <v>5517</v>
      </c>
      <c r="Y85" s="3" t="n"/>
      <c r="AA85" s="5">
        <f>SUM(L85:Y85)</f>
        <v/>
      </c>
      <c r="AB85" s="5">
        <f>C84-AA85</f>
        <v/>
      </c>
    </row>
    <row r="86" customFormat="1" s="2">
      <c r="A86" s="1" t="inlineStr">
        <is>
          <t>[Владимирская ум.]</t>
        </is>
      </c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>
        <v>6854</v>
      </c>
      <c r="M86" s="3" t="n">
        <v>3675</v>
      </c>
      <c r="N86" s="3" t="n">
        <v>3879</v>
      </c>
      <c r="O86" s="3" t="n">
        <v>3504</v>
      </c>
      <c r="P86" s="3" t="n">
        <v>4951</v>
      </c>
      <c r="Q86" s="3" t="n">
        <v>6173</v>
      </c>
      <c r="R86" s="3" t="n">
        <v>5635</v>
      </c>
      <c r="S86" s="3" t="n">
        <v>4148</v>
      </c>
      <c r="T86" s="3" t="n">
        <v>6678</v>
      </c>
      <c r="U86" s="3" t="n">
        <v>3925</v>
      </c>
      <c r="V86" s="3" t="n">
        <v>5334</v>
      </c>
      <c r="W86" s="3" t="n">
        <v>6060</v>
      </c>
      <c r="X86" s="3" t="n">
        <v>4677</v>
      </c>
      <c r="Y86" s="3" t="n"/>
      <c r="AA86" s="5">
        <f>SUM(L86:Y86)</f>
        <v/>
      </c>
      <c r="AB86" s="5">
        <f>AA86-D84</f>
        <v/>
      </c>
    </row>
    <row r="87" customFormat="1" s="8">
      <c r="A87" s="6" t="inlineStr">
        <is>
          <t>Вологодская</t>
        </is>
      </c>
      <c r="B87" s="7" t="n">
        <v>1282886</v>
      </c>
      <c r="C87" s="7" t="n">
        <v>56538</v>
      </c>
      <c r="D87" s="7" t="n">
        <v>43009</v>
      </c>
      <c r="E87" s="7" t="n">
        <v>43968</v>
      </c>
      <c r="F87" s="7" t="n">
        <v>1738</v>
      </c>
      <c r="G87" s="7" t="n">
        <v>1586</v>
      </c>
      <c r="H87" s="7" t="n">
        <v>1255613</v>
      </c>
      <c r="I87" s="7" t="n">
        <v>55161</v>
      </c>
      <c r="J87" s="7" t="n">
        <v>39459</v>
      </c>
      <c r="K87" s="3" t="n"/>
      <c r="L87" s="7" t="n">
        <v>163549</v>
      </c>
      <c r="M87" s="7" t="n">
        <v>102418</v>
      </c>
      <c r="N87" s="7" t="n">
        <v>103969</v>
      </c>
      <c r="O87" s="7" t="n">
        <v>181689</v>
      </c>
      <c r="P87" s="7" t="n">
        <v>181918</v>
      </c>
      <c r="Q87" s="7" t="n">
        <v>119151</v>
      </c>
      <c r="R87" s="7" t="n">
        <v>147062</v>
      </c>
      <c r="S87" s="7" t="n">
        <v>100154</v>
      </c>
      <c r="T87" s="7" t="n">
        <v>134993</v>
      </c>
      <c r="U87" s="7" t="n">
        <v>47983</v>
      </c>
      <c r="V87" s="7" t="n"/>
      <c r="W87" s="7" t="n"/>
      <c r="X87" s="7" t="n"/>
      <c r="Y87" s="7" t="n"/>
      <c r="AA87" s="9">
        <f>SUM(L87:Y87)</f>
        <v/>
      </c>
      <c r="AB87" s="9">
        <f>AA87-B87</f>
        <v/>
      </c>
    </row>
    <row r="88" customFormat="1" s="2">
      <c r="A88" s="1" t="inlineStr">
        <is>
          <t>[Вологодская род.]</t>
        </is>
      </c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>
        <v>6233</v>
      </c>
      <c r="M88" s="3" t="n">
        <v>4207</v>
      </c>
      <c r="N88" s="3" t="n">
        <v>4417</v>
      </c>
      <c r="O88" s="3" t="n">
        <v>8052</v>
      </c>
      <c r="P88" s="3" t="n">
        <v>9285</v>
      </c>
      <c r="Q88" s="3" t="n">
        <v>5362</v>
      </c>
      <c r="R88" s="3" t="n">
        <v>6471</v>
      </c>
      <c r="S88" s="3" t="n">
        <v>4103</v>
      </c>
      <c r="T88" s="3" t="n">
        <v>6414</v>
      </c>
      <c r="U88" s="3" t="n">
        <v>1994</v>
      </c>
      <c r="V88" s="3" t="n"/>
      <c r="W88" s="3" t="n"/>
      <c r="X88" s="3" t="n"/>
      <c r="Y88" s="3" t="n"/>
      <c r="AA88" s="5">
        <f>SUM(L88:Y88)</f>
        <v/>
      </c>
      <c r="AB88" s="5">
        <f>C87-AA88</f>
        <v/>
      </c>
    </row>
    <row r="89" customFormat="1" s="2">
      <c r="A89" s="1" t="inlineStr">
        <is>
          <t>[Вологодская ум.]</t>
        </is>
      </c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>
        <v>4684</v>
      </c>
      <c r="M89" s="3" t="n">
        <v>3445</v>
      </c>
      <c r="N89" s="3" t="n">
        <v>3552</v>
      </c>
      <c r="O89" s="3" t="n">
        <v>7279</v>
      </c>
      <c r="P89" s="3" t="n">
        <v>7044</v>
      </c>
      <c r="Q89" s="3" t="n">
        <v>3399</v>
      </c>
      <c r="R89" s="3" t="n">
        <v>5305</v>
      </c>
      <c r="S89" s="3" t="n">
        <v>2712</v>
      </c>
      <c r="T89" s="3" t="n">
        <v>4193</v>
      </c>
      <c r="U89" s="3" t="n">
        <v>1396</v>
      </c>
      <c r="V89" s="3" t="n"/>
      <c r="W89" s="3" t="n"/>
      <c r="X89" s="3" t="n"/>
      <c r="Y89" s="3" t="n"/>
      <c r="AA89" s="5">
        <f>SUM(L89:Y89)</f>
        <v/>
      </c>
      <c r="AB89" s="5">
        <f>AA89-D87</f>
        <v/>
      </c>
    </row>
    <row r="90" customFormat="1" s="8">
      <c r="A90" s="6" t="inlineStr">
        <is>
          <t>Воронежская</t>
        </is>
      </c>
      <c r="B90" s="7" t="n">
        <v>2689790</v>
      </c>
      <c r="C90" s="7" t="n">
        <v>134898</v>
      </c>
      <c r="D90" s="7" t="n">
        <v>107953</v>
      </c>
      <c r="E90" s="7" t="n">
        <v>107786</v>
      </c>
      <c r="F90" s="7" t="n">
        <v>4289</v>
      </c>
      <c r="G90" s="7" t="n">
        <v>4049</v>
      </c>
      <c r="H90" s="7" t="n">
        <v>2652608</v>
      </c>
      <c r="I90" s="7" t="n">
        <v>138837</v>
      </c>
      <c r="J90" s="7" t="n">
        <v>95929</v>
      </c>
      <c r="K90" s="3" t="n"/>
      <c r="L90" s="7" t="n">
        <v>250180</v>
      </c>
      <c r="M90" s="7" t="n">
        <v>261546</v>
      </c>
      <c r="N90" s="7" t="n">
        <v>278490</v>
      </c>
      <c r="O90" s="7" t="n">
        <v>351951</v>
      </c>
      <c r="P90" s="7" t="n">
        <v>206149</v>
      </c>
      <c r="Q90" s="7" t="n">
        <v>130730</v>
      </c>
      <c r="R90" s="7" t="n">
        <v>210280</v>
      </c>
      <c r="S90" s="7" t="n">
        <v>171505</v>
      </c>
      <c r="T90" s="7" t="n">
        <v>187620</v>
      </c>
      <c r="U90" s="7" t="n">
        <v>186923</v>
      </c>
      <c r="V90" s="7" t="n">
        <v>269334</v>
      </c>
      <c r="W90" s="7" t="n">
        <v>185082</v>
      </c>
      <c r="X90" s="7" t="n"/>
      <c r="Y90" s="7" t="n"/>
      <c r="AA90" s="9">
        <f>SUM(L90:Y90)</f>
        <v/>
      </c>
      <c r="AB90" s="9">
        <f>AA90-B90</f>
        <v/>
      </c>
    </row>
    <row r="91" customFormat="1" s="2">
      <c r="A91" s="1" t="inlineStr">
        <is>
          <t>[Воронежская род.]</t>
        </is>
      </c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>
        <v>13487</v>
      </c>
      <c r="M91" s="3" t="n">
        <v>11489</v>
      </c>
      <c r="N91" s="3" t="n">
        <v>15350</v>
      </c>
      <c r="O91" s="3" t="n">
        <v>16045</v>
      </c>
      <c r="P91" s="3" t="n">
        <v>9276</v>
      </c>
      <c r="Q91" s="3" t="n">
        <v>5716</v>
      </c>
      <c r="R91" s="3" t="n">
        <v>11678</v>
      </c>
      <c r="S91" s="3" t="n">
        <v>9004</v>
      </c>
      <c r="T91" s="3" t="n">
        <v>9795</v>
      </c>
      <c r="U91" s="3" t="n">
        <v>9991</v>
      </c>
      <c r="V91" s="3" t="n">
        <v>14680</v>
      </c>
      <c r="W91" s="3" t="n">
        <v>8387</v>
      </c>
      <c r="X91" s="3" t="n"/>
      <c r="Y91" s="3" t="n"/>
      <c r="AA91" s="5">
        <f>SUM(L91:Y91)</f>
        <v/>
      </c>
      <c r="AB91" s="5">
        <f>C90-AA91</f>
        <v/>
      </c>
    </row>
    <row r="92" customFormat="1" s="2">
      <c r="A92" s="1" t="inlineStr">
        <is>
          <t>[Воронежская ум.]</t>
        </is>
      </c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>
        <v>11078</v>
      </c>
      <c r="M92" s="3" t="n">
        <v>9410</v>
      </c>
      <c r="N92" s="3" t="n">
        <v>13362</v>
      </c>
      <c r="O92" s="3" t="n">
        <v>12157</v>
      </c>
      <c r="P92" s="3" t="n">
        <v>8327</v>
      </c>
      <c r="Q92" s="3" t="n">
        <v>5728</v>
      </c>
      <c r="R92" s="3" t="n">
        <v>7899</v>
      </c>
      <c r="S92" s="3" t="n">
        <v>6294</v>
      </c>
      <c r="T92" s="3" t="n">
        <v>7864</v>
      </c>
      <c r="U92" s="3" t="n">
        <v>7405</v>
      </c>
      <c r="V92" s="3" t="n">
        <v>12391</v>
      </c>
      <c r="W92" s="3" t="n">
        <v>6038</v>
      </c>
      <c r="X92" s="3" t="n"/>
      <c r="Y92" s="3" t="n"/>
      <c r="AA92" s="5">
        <f>SUM(L92:Y92)</f>
        <v/>
      </c>
      <c r="AB92" s="5">
        <f>AA92-D90</f>
        <v/>
      </c>
    </row>
    <row r="93" customFormat="1" s="8">
      <c r="A93" s="6" t="inlineStr">
        <is>
          <t>Вятская</t>
        </is>
      </c>
      <c r="B93" s="7" t="n">
        <v>3005795</v>
      </c>
      <c r="C93" s="7" t="n">
        <v>158150</v>
      </c>
      <c r="D93" s="7" t="n">
        <v>140937</v>
      </c>
      <c r="E93" s="7" t="n">
        <v>87643</v>
      </c>
      <c r="F93" s="7" t="n">
        <v>2610</v>
      </c>
      <c r="G93" s="7" t="n">
        <v>2443</v>
      </c>
      <c r="H93" s="7" t="n">
        <v>2943281</v>
      </c>
      <c r="I93" s="7" t="n">
        <v>152115</v>
      </c>
      <c r="J93" s="7" t="n">
        <v>113200</v>
      </c>
      <c r="K93" s="3" t="n"/>
      <c r="L93" s="7" t="n">
        <v>205506</v>
      </c>
      <c r="M93" s="7" t="n">
        <v>366874</v>
      </c>
      <c r="N93" s="7" t="n">
        <v>217185</v>
      </c>
      <c r="O93" s="7" t="n">
        <v>277979</v>
      </c>
      <c r="P93" s="7" t="n">
        <v>268666</v>
      </c>
      <c r="Q93" s="7" t="n">
        <v>217497</v>
      </c>
      <c r="R93" s="7" t="n">
        <v>224102</v>
      </c>
      <c r="S93" s="7" t="n">
        <v>368611</v>
      </c>
      <c r="T93" s="7" t="n">
        <v>209682</v>
      </c>
      <c r="U93" s="7" t="n">
        <v>287241</v>
      </c>
      <c r="V93" s="7" t="n">
        <v>365452</v>
      </c>
      <c r="W93" s="7" t="n"/>
      <c r="X93" s="7" t="n"/>
      <c r="Y93" s="7" t="n"/>
      <c r="AA93" s="9">
        <f>SUM(L93:Y93)</f>
        <v/>
      </c>
      <c r="AB93" s="9">
        <f>AA93-B93</f>
        <v/>
      </c>
    </row>
    <row r="94" customFormat="1" s="2">
      <c r="A94" s="1" t="inlineStr">
        <is>
          <t>[Вятская род.]</t>
        </is>
      </c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>
        <v>10430</v>
      </c>
      <c r="M94" s="3" t="n">
        <v>19141</v>
      </c>
      <c r="N94" s="3" t="n">
        <v>11338</v>
      </c>
      <c r="O94" s="3" t="n">
        <v>13648</v>
      </c>
      <c r="P94" s="3" t="n">
        <v>13566</v>
      </c>
      <c r="Q94" s="3" t="n">
        <v>11702</v>
      </c>
      <c r="R94" s="3" t="n">
        <v>10878</v>
      </c>
      <c r="S94" s="3" t="n">
        <v>19275</v>
      </c>
      <c r="T94" s="3" t="n">
        <v>10943</v>
      </c>
      <c r="U94" s="3" t="n">
        <v>16179</v>
      </c>
      <c r="V94" s="3" t="n">
        <v>21050</v>
      </c>
      <c r="W94" s="3" t="n"/>
      <c r="X94" s="3" t="n"/>
      <c r="Y94" s="3" t="n"/>
      <c r="AA94" s="5">
        <f>SUM(L94:Y94)</f>
        <v/>
      </c>
      <c r="AB94" s="5">
        <f>C93-AA94</f>
        <v/>
      </c>
    </row>
    <row r="95" customFormat="1" s="2">
      <c r="A95" s="1" t="inlineStr">
        <is>
          <t>[Вятская ум.]</t>
        </is>
      </c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>
        <v>10405</v>
      </c>
      <c r="M95" s="3" t="n">
        <v>18040</v>
      </c>
      <c r="N95" s="3" t="n">
        <v>8997</v>
      </c>
      <c r="O95" s="3" t="n">
        <v>11923</v>
      </c>
      <c r="P95" s="3" t="n">
        <v>12599</v>
      </c>
      <c r="Q95" s="3" t="n">
        <v>11999</v>
      </c>
      <c r="R95" s="3" t="n">
        <v>10333</v>
      </c>
      <c r="S95" s="3" t="n">
        <v>15982</v>
      </c>
      <c r="T95" s="3" t="n">
        <v>9455</v>
      </c>
      <c r="U95" s="3" t="n">
        <v>13035</v>
      </c>
      <c r="V95" s="3" t="n">
        <v>18169</v>
      </c>
      <c r="W95" s="3" t="n"/>
      <c r="X95" s="3" t="n"/>
      <c r="Y95" s="3" t="n"/>
      <c r="AA95" s="5">
        <f>SUM(L95:Y95)</f>
        <v/>
      </c>
      <c r="AB95" s="5">
        <f>AA95-D93</f>
        <v/>
      </c>
    </row>
    <row r="96" customFormat="1" s="8">
      <c r="A96" s="6" t="inlineStr">
        <is>
          <t>Екатеринославская</t>
        </is>
      </c>
      <c r="B96" s="7" t="n">
        <v>1653543</v>
      </c>
      <c r="C96" s="7" t="n">
        <v>90972</v>
      </c>
      <c r="D96" s="7" t="n">
        <v>64854</v>
      </c>
      <c r="E96" s="7" t="n">
        <v>159246</v>
      </c>
      <c r="F96" s="7" t="n">
        <v>8280</v>
      </c>
      <c r="G96" s="7" t="n">
        <v>6933</v>
      </c>
      <c r="H96" s="7" t="n">
        <v>1696196</v>
      </c>
      <c r="I96" s="7" t="n">
        <v>94627</v>
      </c>
      <c r="J96" s="7" t="n">
        <v>57147</v>
      </c>
      <c r="K96" s="3" t="n"/>
      <c r="L96" s="7" t="n">
        <v>234104</v>
      </c>
      <c r="M96" s="7" t="n">
        <v>231956</v>
      </c>
      <c r="N96" s="7" t="n">
        <v>231913</v>
      </c>
      <c r="O96" s="7" t="n">
        <v>168262</v>
      </c>
      <c r="P96" s="7" t="n">
        <v>213252</v>
      </c>
      <c r="Q96" s="7" t="n">
        <v>220736</v>
      </c>
      <c r="R96" s="7" t="n">
        <v>199395</v>
      </c>
      <c r="S96" s="7" t="n">
        <v>153925</v>
      </c>
      <c r="T96" s="7" t="n"/>
      <c r="U96" s="7" t="n"/>
      <c r="V96" s="7" t="n"/>
      <c r="W96" s="7" t="n"/>
      <c r="X96" s="7" t="n"/>
      <c r="Y96" s="7" t="n"/>
      <c r="AA96" s="9">
        <f>SUM(L96:Y96)</f>
        <v/>
      </c>
      <c r="AB96" s="9">
        <f>AA96-B96</f>
        <v/>
      </c>
    </row>
    <row r="97" customFormat="1" s="2">
      <c r="A97" s="1" t="inlineStr">
        <is>
          <t>[Екатеринославская род.]</t>
        </is>
      </c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>
        <v>12964</v>
      </c>
      <c r="M97" s="3" t="n">
        <v>12478</v>
      </c>
      <c r="N97" s="3" t="n">
        <v>12818</v>
      </c>
      <c r="O97" s="3" t="n">
        <v>9427</v>
      </c>
      <c r="P97" s="3" t="n">
        <v>11720</v>
      </c>
      <c r="Q97" s="3" t="n">
        <v>12418</v>
      </c>
      <c r="R97" s="3" t="n">
        <v>11719</v>
      </c>
      <c r="S97" s="3" t="n">
        <v>9729</v>
      </c>
      <c r="T97" s="3" t="n"/>
      <c r="U97" s="3" t="n"/>
      <c r="V97" s="3" t="n"/>
      <c r="W97" s="3" t="n"/>
      <c r="X97" s="3" t="n"/>
      <c r="Y97" s="3" t="n"/>
      <c r="AA97" s="5">
        <f>SUM(L97:Y97)</f>
        <v/>
      </c>
      <c r="AB97" s="5">
        <f>C96-AA97</f>
        <v/>
      </c>
    </row>
    <row r="98" customFormat="1" s="2">
      <c r="A98" s="1" t="inlineStr">
        <is>
          <t>[Екатеринославская ум.]</t>
        </is>
      </c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>
        <v>8807</v>
      </c>
      <c r="M98" s="3" t="n">
        <v>9000</v>
      </c>
      <c r="N98" s="3" t="n">
        <v>9570</v>
      </c>
      <c r="O98" s="3" t="n">
        <v>5474</v>
      </c>
      <c r="P98" s="3" t="n">
        <v>8178</v>
      </c>
      <c r="Q98" s="3" t="n">
        <v>10222</v>
      </c>
      <c r="R98" s="3" t="n">
        <v>8986</v>
      </c>
      <c r="S98" s="3" t="n">
        <v>4617</v>
      </c>
      <c r="T98" s="3" t="n"/>
      <c r="U98" s="3" t="n"/>
      <c r="V98" s="3" t="n"/>
      <c r="W98" s="3" t="n"/>
      <c r="X98" s="3" t="n"/>
      <c r="Y98" s="3" t="n"/>
      <c r="AA98" s="5">
        <f>SUM(L98:Y98)</f>
        <v/>
      </c>
      <c r="AB98" s="5">
        <f>AA98-D96</f>
        <v/>
      </c>
    </row>
    <row r="99" customFormat="1" s="8">
      <c r="A99" s="6" t="inlineStr">
        <is>
          <t>Казанская</t>
        </is>
      </c>
      <c r="B99" s="7" t="n">
        <v>2195414</v>
      </c>
      <c r="C99" s="7" t="n">
        <v>102519</v>
      </c>
      <c r="D99" s="7" t="n">
        <v>76454</v>
      </c>
      <c r="E99" s="7" t="n">
        <v>196441</v>
      </c>
      <c r="F99" s="7" t="n">
        <v>6349</v>
      </c>
      <c r="G99" s="7" t="n">
        <v>6576</v>
      </c>
      <c r="H99" s="7" t="n">
        <v>2175965</v>
      </c>
      <c r="I99" s="7" t="n">
        <v>106063</v>
      </c>
      <c r="J99" s="7" t="n">
        <v>70766</v>
      </c>
      <c r="K99" s="3" t="n"/>
      <c r="L99" s="7" t="n">
        <v>371782</v>
      </c>
      <c r="M99" s="7" t="n">
        <v>97400</v>
      </c>
      <c r="N99" s="7" t="n">
        <v>196437</v>
      </c>
      <c r="O99" s="7" t="n">
        <v>197585</v>
      </c>
      <c r="P99" s="7" t="n">
        <v>127714</v>
      </c>
      <c r="Q99" s="7" t="n">
        <v>176024</v>
      </c>
      <c r="R99" s="7" t="n">
        <v>195424</v>
      </c>
      <c r="S99" s="7" t="n">
        <v>109475</v>
      </c>
      <c r="T99" s="7" t="n">
        <v>160256</v>
      </c>
      <c r="U99" s="7" t="n">
        <v>117481</v>
      </c>
      <c r="V99" s="7" t="n">
        <v>308513</v>
      </c>
      <c r="W99" s="7" t="n">
        <v>137323</v>
      </c>
      <c r="X99" s="7" t="n"/>
      <c r="Y99" s="7" t="n"/>
      <c r="AA99" s="9">
        <f>SUM(L99:Y99)</f>
        <v/>
      </c>
      <c r="AB99" s="9">
        <f>AA99-B99</f>
        <v/>
      </c>
    </row>
    <row r="100" customFormat="1" s="2">
      <c r="A100" s="1" t="inlineStr">
        <is>
          <t>[Казанская род.]</t>
        </is>
      </c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>
        <v>14755</v>
      </c>
      <c r="M100" s="3" t="n">
        <v>4463</v>
      </c>
      <c r="N100" s="3" t="n">
        <v>8653</v>
      </c>
      <c r="O100" s="3" t="n">
        <v>8191</v>
      </c>
      <c r="P100" s="3" t="n">
        <v>6256</v>
      </c>
      <c r="Q100" s="3" t="n">
        <v>9375</v>
      </c>
      <c r="R100" s="3" t="n">
        <v>9025</v>
      </c>
      <c r="S100" s="3" t="n">
        <v>5590</v>
      </c>
      <c r="T100" s="3" t="n">
        <v>7817</v>
      </c>
      <c r="U100" s="3" t="n">
        <v>5877</v>
      </c>
      <c r="V100" s="3" t="n">
        <v>15439</v>
      </c>
      <c r="W100" s="3" t="n">
        <v>7078</v>
      </c>
      <c r="X100" s="3" t="n"/>
      <c r="Y100" s="3" t="n"/>
      <c r="AA100" s="5">
        <f>SUM(L100:Y100)</f>
        <v/>
      </c>
      <c r="AB100" s="5">
        <f>C99-AA100</f>
        <v/>
      </c>
    </row>
    <row r="101" customFormat="1" s="2">
      <c r="A101" s="1" t="inlineStr">
        <is>
          <t>[Казанская ум.]</t>
        </is>
      </c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>
        <v>12582</v>
      </c>
      <c r="M101" s="3" t="n">
        <v>3251</v>
      </c>
      <c r="N101" s="3" t="n">
        <v>7047</v>
      </c>
      <c r="O101" s="3" t="n">
        <v>6720</v>
      </c>
      <c r="P101" s="3" t="n">
        <v>5154</v>
      </c>
      <c r="Q101" s="3" t="n">
        <v>6429</v>
      </c>
      <c r="R101" s="3" t="n">
        <v>6898</v>
      </c>
      <c r="S101" s="3" t="n">
        <v>3962</v>
      </c>
      <c r="T101" s="3" t="n">
        <v>5073</v>
      </c>
      <c r="U101" s="3" t="n">
        <v>3675</v>
      </c>
      <c r="V101" s="3" t="n">
        <v>10901</v>
      </c>
      <c r="W101" s="3" t="n">
        <v>4762</v>
      </c>
      <c r="X101" s="3" t="n"/>
      <c r="Y101" s="3" t="n"/>
      <c r="AA101" s="5">
        <f>SUM(L101:Y101)</f>
        <v/>
      </c>
      <c r="AB101" s="5">
        <f>AA101-D99</f>
        <v/>
      </c>
    </row>
    <row r="102" customFormat="1" s="8">
      <c r="A102" s="6" t="inlineStr">
        <is>
          <t>Калужская</t>
        </is>
      </c>
      <c r="B102" s="7" t="n">
        <v>1244018</v>
      </c>
      <c r="C102" s="7" t="n">
        <v>61106</v>
      </c>
      <c r="D102" s="7" t="n">
        <v>50620</v>
      </c>
      <c r="E102" s="7" t="n">
        <v>96995</v>
      </c>
      <c r="F102" s="7" t="n">
        <v>2854</v>
      </c>
      <c r="G102" s="7" t="n">
        <v>2807</v>
      </c>
      <c r="H102" s="7" t="n">
        <v>1218260</v>
      </c>
      <c r="I102" s="7" t="n">
        <v>57593</v>
      </c>
      <c r="J102" s="7" t="n">
        <v>42228</v>
      </c>
      <c r="K102" s="3" t="n"/>
      <c r="L102" s="7" t="n">
        <v>111510</v>
      </c>
      <c r="M102" s="7" t="n">
        <v>77226</v>
      </c>
      <c r="N102" s="7" t="n">
        <v>233713</v>
      </c>
      <c r="O102" s="7" t="n">
        <v>130844</v>
      </c>
      <c r="P102" s="7" t="n">
        <v>91558</v>
      </c>
      <c r="Q102" s="7" t="n">
        <v>50845</v>
      </c>
      <c r="R102" s="7" t="n">
        <v>125314</v>
      </c>
      <c r="S102" s="7" t="n">
        <v>119734</v>
      </c>
      <c r="T102" s="7" t="n">
        <v>162042</v>
      </c>
      <c r="U102" s="7" t="n">
        <v>70325</v>
      </c>
      <c r="V102" s="7" t="n">
        <v>70907</v>
      </c>
      <c r="W102" s="7" t="n"/>
      <c r="X102" s="7" t="n"/>
      <c r="Y102" s="7" t="n"/>
      <c r="AA102" s="9">
        <f>SUM(L102:Y102)</f>
        <v/>
      </c>
      <c r="AB102" s="9">
        <f>AA102-B102</f>
        <v/>
      </c>
    </row>
    <row r="103" customFormat="1" s="2">
      <c r="A103" s="1" t="inlineStr">
        <is>
          <t>[Калужская род.]</t>
        </is>
      </c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>
        <v>4794</v>
      </c>
      <c r="M103" s="3" t="n">
        <v>3064</v>
      </c>
      <c r="N103" s="3" t="n">
        <v>14152</v>
      </c>
      <c r="O103" s="3" t="n">
        <v>6156</v>
      </c>
      <c r="P103" s="3" t="n">
        <v>4666</v>
      </c>
      <c r="Q103" s="3" t="n">
        <v>2214</v>
      </c>
      <c r="R103" s="3" t="n">
        <v>6443</v>
      </c>
      <c r="S103" s="3" t="n">
        <v>4820</v>
      </c>
      <c r="T103" s="3" t="n">
        <v>8539</v>
      </c>
      <c r="U103" s="3" t="n">
        <v>3239</v>
      </c>
      <c r="V103" s="3" t="n">
        <v>3019</v>
      </c>
      <c r="W103" s="3" t="n"/>
      <c r="X103" s="3" t="n"/>
      <c r="Y103" s="3" t="n"/>
      <c r="AA103" s="5">
        <f>SUM(L103:Y103)</f>
        <v/>
      </c>
      <c r="AB103" s="5">
        <f>C102-AA103</f>
        <v/>
      </c>
    </row>
    <row r="104" customFormat="1" s="2">
      <c r="A104" s="1" t="inlineStr">
        <is>
          <t>[Калужская ум.]</t>
        </is>
      </c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>
        <v>4011</v>
      </c>
      <c r="M104" s="3" t="n">
        <v>2679</v>
      </c>
      <c r="N104" s="3" t="n">
        <v>10783</v>
      </c>
      <c r="O104" s="3" t="n">
        <v>5706</v>
      </c>
      <c r="P104" s="3" t="n">
        <v>4228</v>
      </c>
      <c r="Q104" s="3" t="n">
        <v>2145</v>
      </c>
      <c r="R104" s="3" t="n">
        <v>5479</v>
      </c>
      <c r="S104" s="3" t="n">
        <v>3913</v>
      </c>
      <c r="T104" s="3" t="n">
        <v>6552</v>
      </c>
      <c r="U104" s="3" t="n">
        <v>2623</v>
      </c>
      <c r="V104" s="3" t="n">
        <v>2501</v>
      </c>
      <c r="W104" s="3" t="n"/>
      <c r="X104" s="3" t="n"/>
      <c r="Y104" s="3" t="n"/>
      <c r="AA104" s="5">
        <f>SUM(L104:Y104)</f>
        <v/>
      </c>
      <c r="AB104" s="5">
        <f>AA104-D102</f>
        <v/>
      </c>
    </row>
    <row r="105" customFormat="1" s="8">
      <c r="A105" s="6" t="inlineStr">
        <is>
          <t>Костромская</t>
        </is>
      </c>
      <c r="B105" s="7" t="n">
        <v>1394572</v>
      </c>
      <c r="C105" s="7" t="n">
        <v>66118</v>
      </c>
      <c r="D105" s="7" t="n">
        <v>53333</v>
      </c>
      <c r="E105" s="7" t="n">
        <v>69772</v>
      </c>
      <c r="F105" s="7" t="n">
        <v>3042</v>
      </c>
      <c r="G105" s="7" t="n">
        <v>2950</v>
      </c>
      <c r="H105" s="7" t="n">
        <v>1367953</v>
      </c>
      <c r="I105" s="7" t="n">
        <v>63149</v>
      </c>
      <c r="J105" s="7" t="n">
        <v>50274</v>
      </c>
      <c r="K105" s="3" t="n"/>
      <c r="L105" s="7" t="n">
        <v>172699</v>
      </c>
      <c r="M105" s="7" t="n">
        <v>73078</v>
      </c>
      <c r="N105" s="7" t="n">
        <v>114696</v>
      </c>
      <c r="O105" s="7" t="n">
        <v>107562</v>
      </c>
      <c r="P105" s="7" t="n">
        <v>112905</v>
      </c>
      <c r="Q105" s="7" t="n">
        <v>134388</v>
      </c>
      <c r="R105" s="7" t="n">
        <v>106793</v>
      </c>
      <c r="S105" s="7" t="n">
        <v>141955</v>
      </c>
      <c r="T105" s="7" t="n">
        <v>175516</v>
      </c>
      <c r="U105" s="7" t="n">
        <v>63792</v>
      </c>
      <c r="V105" s="7" t="n">
        <v>56938</v>
      </c>
      <c r="W105" s="7" t="n">
        <v>134250</v>
      </c>
      <c r="X105" s="7" t="n"/>
      <c r="Y105" s="7" t="n"/>
      <c r="AA105" s="9">
        <f>SUM(L105:Y105)</f>
        <v/>
      </c>
      <c r="AB105" s="9">
        <f>AA105-B105</f>
        <v/>
      </c>
    </row>
    <row r="106" customFormat="1" s="2">
      <c r="A106" s="1" t="inlineStr">
        <is>
          <t>[Костромская род.]</t>
        </is>
      </c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>
        <v>7589</v>
      </c>
      <c r="M106" s="3" t="n">
        <v>3313</v>
      </c>
      <c r="N106" s="3" t="n">
        <v>5118</v>
      </c>
      <c r="O106" s="3" t="n">
        <v>6818</v>
      </c>
      <c r="P106" s="3" t="n">
        <v>4585</v>
      </c>
      <c r="Q106" s="3" t="n">
        <v>6713</v>
      </c>
      <c r="R106" s="3" t="n">
        <v>5614</v>
      </c>
      <c r="S106" s="3" t="n">
        <v>6932</v>
      </c>
      <c r="T106" s="3" t="n">
        <v>8144</v>
      </c>
      <c r="U106" s="3" t="n">
        <v>2336</v>
      </c>
      <c r="V106" s="3" t="n">
        <v>2271</v>
      </c>
      <c r="W106" s="3" t="n">
        <v>6685</v>
      </c>
      <c r="X106" s="3" t="n"/>
      <c r="Y106" s="3" t="n"/>
      <c r="AA106" s="5">
        <f>SUM(L106:Y106)</f>
        <v/>
      </c>
      <c r="AB106" s="5">
        <f>C105-AA106</f>
        <v/>
      </c>
    </row>
    <row r="107" customFormat="1" s="2">
      <c r="A107" s="1" t="inlineStr">
        <is>
          <t>[Костромская ум.]</t>
        </is>
      </c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>
        <v>7032</v>
      </c>
      <c r="M107" s="3" t="n">
        <v>2581</v>
      </c>
      <c r="N107" s="3" t="n">
        <v>3550</v>
      </c>
      <c r="O107" s="3" t="n">
        <v>5868</v>
      </c>
      <c r="P107" s="3" t="n">
        <v>3696</v>
      </c>
      <c r="Q107" s="3" t="n">
        <v>5280</v>
      </c>
      <c r="R107" s="3" t="n">
        <v>3444</v>
      </c>
      <c r="S107" s="3" t="n">
        <v>5714</v>
      </c>
      <c r="T107" s="3" t="n">
        <v>7119</v>
      </c>
      <c r="U107" s="3" t="n">
        <v>1682</v>
      </c>
      <c r="V107" s="3" t="n">
        <v>1883</v>
      </c>
      <c r="W107" s="3" t="n">
        <v>5484</v>
      </c>
      <c r="X107" s="3" t="n"/>
      <c r="Y107" s="3" t="n"/>
      <c r="AA107" s="5">
        <f>SUM(L107:Y107)</f>
        <v/>
      </c>
      <c r="AB107" s="5">
        <f>AA107-D105</f>
        <v/>
      </c>
    </row>
    <row r="108" customFormat="1" s="8">
      <c r="A108" s="6" t="inlineStr">
        <is>
          <t>Курская</t>
        </is>
      </c>
      <c r="B108" s="7" t="n">
        <v>2561031</v>
      </c>
      <c r="C108" s="7" t="n">
        <v>113684</v>
      </c>
      <c r="D108" s="7" t="n">
        <v>89245</v>
      </c>
      <c r="E108" s="7" t="n">
        <v>172091</v>
      </c>
      <c r="F108" s="7" t="n">
        <v>8918</v>
      </c>
      <c r="G108" s="7" t="n">
        <v>7692</v>
      </c>
      <c r="H108" s="7" t="n">
        <v>2497973</v>
      </c>
      <c r="I108" s="7" t="n">
        <v>119789</v>
      </c>
      <c r="J108" s="7" t="n">
        <v>75295</v>
      </c>
      <c r="K108" s="3" t="n"/>
      <c r="L108" s="7" t="n">
        <v>238253</v>
      </c>
      <c r="M108" s="7" t="n">
        <v>185798</v>
      </c>
      <c r="N108" s="7" t="n">
        <v>201653</v>
      </c>
      <c r="O108" s="7" t="n">
        <v>121245</v>
      </c>
      <c r="P108" s="7" t="n">
        <v>186569</v>
      </c>
      <c r="Q108" s="7" t="n">
        <v>132173</v>
      </c>
      <c r="R108" s="7" t="n">
        <v>182865</v>
      </c>
      <c r="S108" s="7" t="n">
        <v>192526</v>
      </c>
      <c r="T108" s="7" t="n">
        <v>168565</v>
      </c>
      <c r="U108" s="7" t="n">
        <v>160407</v>
      </c>
      <c r="V108" s="7" t="n">
        <v>167923</v>
      </c>
      <c r="W108" s="7" t="n">
        <v>157588</v>
      </c>
      <c r="X108" s="7" t="n">
        <v>172109</v>
      </c>
      <c r="Y108" s="7" t="n">
        <v>139143</v>
      </c>
      <c r="Z108" s="23" t="n">
        <v>154214</v>
      </c>
      <c r="AA108" s="9">
        <f>SUM(L108:Y108)</f>
        <v/>
      </c>
      <c r="AB108" s="9">
        <f>AA108-B108</f>
        <v/>
      </c>
    </row>
    <row r="109" customFormat="1" s="2">
      <c r="A109" s="1" t="inlineStr">
        <is>
          <t>[Курская род.]</t>
        </is>
      </c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>
        <v>10699</v>
      </c>
      <c r="M109" s="3" t="n">
        <v>8252</v>
      </c>
      <c r="N109" s="3" t="n">
        <v>8009</v>
      </c>
      <c r="O109" s="3" t="n">
        <v>5874</v>
      </c>
      <c r="P109" s="3" t="n">
        <v>7971</v>
      </c>
      <c r="Q109" s="3" t="n">
        <v>6247</v>
      </c>
      <c r="R109" s="3" t="n">
        <v>7688</v>
      </c>
      <c r="S109" s="3" t="n">
        <v>9100</v>
      </c>
      <c r="T109" s="3" t="n">
        <v>7585</v>
      </c>
      <c r="U109" s="3" t="n">
        <v>7568</v>
      </c>
      <c r="V109" s="3" t="n">
        <v>7478</v>
      </c>
      <c r="W109" s="3" t="n">
        <v>6981</v>
      </c>
      <c r="X109" s="3" t="n">
        <v>7089</v>
      </c>
      <c r="Y109" s="3" t="n">
        <v>5740</v>
      </c>
      <c r="Z109" s="23" t="n">
        <v>7403</v>
      </c>
      <c r="AA109" s="5">
        <f>SUM(L109:Y109)</f>
        <v/>
      </c>
      <c r="AB109" s="5">
        <f>C108-AA109</f>
        <v/>
      </c>
    </row>
    <row r="110" customFormat="1" s="2">
      <c r="A110" s="1" t="inlineStr">
        <is>
          <t>[Курская ум.]</t>
        </is>
      </c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>
        <v>8859</v>
      </c>
      <c r="M110" s="3" t="n">
        <v>6761</v>
      </c>
      <c r="N110" s="3" t="n">
        <v>5840</v>
      </c>
      <c r="O110" s="3" t="n">
        <v>4675</v>
      </c>
      <c r="P110" s="3" t="n">
        <v>6857</v>
      </c>
      <c r="Q110" s="3" t="n">
        <v>4569</v>
      </c>
      <c r="R110" s="3" t="n">
        <v>7319</v>
      </c>
      <c r="S110" s="3" t="n">
        <v>7909</v>
      </c>
      <c r="T110" s="3" t="n">
        <v>5138</v>
      </c>
      <c r="U110" s="3" t="n">
        <v>4871</v>
      </c>
      <c r="V110" s="3" t="n">
        <v>5487</v>
      </c>
      <c r="W110" s="3" t="n">
        <v>4953</v>
      </c>
      <c r="X110" s="3" t="n">
        <v>4917</v>
      </c>
      <c r="Y110" s="3" t="n">
        <v>4521</v>
      </c>
      <c r="Z110" s="23" t="n">
        <v>6569</v>
      </c>
      <c r="AA110" s="5">
        <f>SUM(L110:Y110)</f>
        <v/>
      </c>
      <c r="AB110" s="5">
        <f>AA110-D108</f>
        <v/>
      </c>
    </row>
    <row r="111" customFormat="1" s="8">
      <c r="A111" s="6" t="inlineStr">
        <is>
          <t>Московская</t>
        </is>
      </c>
      <c r="B111" s="7" t="n">
        <v>1513792</v>
      </c>
      <c r="C111" s="7" t="n">
        <v>69504</v>
      </c>
      <c r="D111" s="7" t="n">
        <v>63336</v>
      </c>
      <c r="E111" s="10" t="inlineStr">
        <is>
          <t>—</t>
        </is>
      </c>
      <c r="F111" s="10" t="inlineStr">
        <is>
          <t>—</t>
        </is>
      </c>
      <c r="G111" s="10" t="inlineStr">
        <is>
          <t>—</t>
        </is>
      </c>
      <c r="H111" s="7" t="n">
        <v>1476540</v>
      </c>
      <c r="I111" s="7" t="n">
        <v>67468</v>
      </c>
      <c r="J111" s="7" t="n">
        <v>56273</v>
      </c>
      <c r="K111" s="3" t="n"/>
      <c r="L111" s="7" t="n">
        <v>142263</v>
      </c>
      <c r="M111" s="7" t="n">
        <v>178766</v>
      </c>
      <c r="N111" s="7" t="n">
        <v>148772</v>
      </c>
      <c r="O111" s="7" t="n">
        <v>58684</v>
      </c>
      <c r="P111" s="7" t="n">
        <v>95136</v>
      </c>
      <c r="Q111" s="7" t="n">
        <v>152614</v>
      </c>
      <c r="R111" s="7" t="n">
        <v>93183</v>
      </c>
      <c r="S111" s="7" t="n">
        <v>123713</v>
      </c>
      <c r="T111" s="7" t="n">
        <v>134717</v>
      </c>
      <c r="U111" s="7" t="n">
        <v>69861</v>
      </c>
      <c r="V111" s="7" t="n">
        <v>100487</v>
      </c>
      <c r="W111" s="7" t="n">
        <v>72693</v>
      </c>
      <c r="X111" s="7" t="n">
        <v>136785</v>
      </c>
      <c r="Y111" s="7" t="n"/>
      <c r="AA111" s="9">
        <f>SUM(L111:Y111)</f>
        <v/>
      </c>
      <c r="AB111" s="9">
        <f>AA111-B111</f>
        <v/>
      </c>
    </row>
    <row r="112" customFormat="1" s="2">
      <c r="A112" s="1" t="inlineStr">
        <is>
          <t>[Московская род.]</t>
        </is>
      </c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>
        <v>8714</v>
      </c>
      <c r="M112" s="3" t="n">
        <v>9283</v>
      </c>
      <c r="N112" s="3" t="n">
        <v>6351</v>
      </c>
      <c r="O112" s="3" t="n">
        <v>3076</v>
      </c>
      <c r="P112" s="3" t="n">
        <v>4193</v>
      </c>
      <c r="Q112" s="3" t="n">
        <v>6051</v>
      </c>
      <c r="R112" s="3" t="n">
        <v>4454</v>
      </c>
      <c r="S112" s="3" t="n">
        <v>6087</v>
      </c>
      <c r="T112" s="3" t="n">
        <v>5096</v>
      </c>
      <c r="U112" s="3" t="n">
        <v>3354</v>
      </c>
      <c r="V112" s="3" t="n">
        <v>4330</v>
      </c>
      <c r="W112" s="3" t="n">
        <v>3487</v>
      </c>
      <c r="X112" s="3" t="n">
        <v>5028</v>
      </c>
      <c r="Y112" s="3" t="n"/>
      <c r="AA112" s="5">
        <f>SUM(L112:Y112)</f>
        <v/>
      </c>
      <c r="AB112" s="5">
        <f>C111-AA112</f>
        <v/>
      </c>
    </row>
    <row r="113" customFormat="1" s="2">
      <c r="A113" s="1" t="inlineStr">
        <is>
          <t>[Московская ум.]</t>
        </is>
      </c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>
        <v>7909</v>
      </c>
      <c r="M113" s="3" t="n">
        <v>8396</v>
      </c>
      <c r="N113" s="3" t="n">
        <v>6274</v>
      </c>
      <c r="O113" s="3" t="n">
        <v>2781</v>
      </c>
      <c r="P113" s="3" t="n">
        <v>3436</v>
      </c>
      <c r="Q113" s="3" t="n">
        <v>5816</v>
      </c>
      <c r="R113" s="3" t="n">
        <v>3994</v>
      </c>
      <c r="S113" s="3" t="n">
        <v>5070</v>
      </c>
      <c r="T113" s="3" t="n">
        <v>4384</v>
      </c>
      <c r="U113" s="3" t="n">
        <v>3436</v>
      </c>
      <c r="V113" s="3" t="n">
        <v>3664</v>
      </c>
      <c r="W113" s="3" t="n">
        <v>3437</v>
      </c>
      <c r="X113" s="3" t="n">
        <v>4589</v>
      </c>
      <c r="Y113" s="3" t="n"/>
      <c r="AA113" s="5">
        <f>SUM(L113:Y113)</f>
        <v/>
      </c>
      <c r="AB113" s="5">
        <f>AA113-D111</f>
        <v/>
      </c>
    </row>
    <row r="114" customFormat="1" s="8">
      <c r="A114" s="6" t="inlineStr">
        <is>
          <t>Нижегородская</t>
        </is>
      </c>
      <c r="B114" s="7" t="n">
        <v>1551458</v>
      </c>
      <c r="C114" s="7" t="n">
        <v>82265</v>
      </c>
      <c r="D114" s="7" t="n">
        <v>69179</v>
      </c>
      <c r="E114" s="7" t="n">
        <v>106247</v>
      </c>
      <c r="F114" s="7" t="n">
        <v>4198</v>
      </c>
      <c r="G114" s="7" t="n">
        <v>4192</v>
      </c>
      <c r="H114" s="7" t="n">
        <v>1529359</v>
      </c>
      <c r="I114" s="7" t="n">
        <v>83191</v>
      </c>
      <c r="J114" s="7" t="n">
        <v>64621</v>
      </c>
      <c r="K114" s="3" t="n"/>
      <c r="L114" s="7" t="n">
        <v>205752</v>
      </c>
      <c r="M114" s="7" t="n">
        <v>139041</v>
      </c>
      <c r="N114" s="7" t="n">
        <v>146843</v>
      </c>
      <c r="O114" s="7" t="n">
        <v>112125</v>
      </c>
      <c r="P114" s="7" t="n">
        <v>127628</v>
      </c>
      <c r="Q114" s="7" t="n">
        <v>130170</v>
      </c>
      <c r="R114" s="7" t="n">
        <v>118317</v>
      </c>
      <c r="S114" s="7" t="n">
        <v>192722</v>
      </c>
      <c r="T114" s="7" t="n">
        <v>104350</v>
      </c>
      <c r="U114" s="7" t="n">
        <v>108201</v>
      </c>
      <c r="V114" s="7" t="n">
        <v>166301</v>
      </c>
      <c r="W114" s="7" t="n"/>
      <c r="X114" s="7" t="n"/>
      <c r="Y114" s="7" t="n"/>
      <c r="AA114" s="9">
        <f>SUM(L114:Y114)</f>
        <v/>
      </c>
      <c r="AB114" s="9">
        <f>AA114-B114</f>
        <v/>
      </c>
    </row>
    <row r="115" customFormat="1" s="2">
      <c r="A115" s="1" t="inlineStr">
        <is>
          <t>[Нижегородская род.]</t>
        </is>
      </c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>
        <v>10357</v>
      </c>
      <c r="M115" s="3" t="n">
        <v>8049</v>
      </c>
      <c r="N115" s="3" t="n">
        <v>8421</v>
      </c>
      <c r="O115" s="3" t="n">
        <v>5885</v>
      </c>
      <c r="P115" s="3" t="n">
        <v>6857</v>
      </c>
      <c r="Q115" s="3" t="n">
        <v>6588</v>
      </c>
      <c r="R115" s="3" t="n">
        <v>6396</v>
      </c>
      <c r="S115" s="3" t="n">
        <v>10506</v>
      </c>
      <c r="T115" s="3" t="n">
        <v>5768</v>
      </c>
      <c r="U115" s="3" t="n">
        <v>5102</v>
      </c>
      <c r="V115" s="3" t="n">
        <v>8336</v>
      </c>
      <c r="W115" s="3" t="n"/>
      <c r="X115" s="3" t="n"/>
      <c r="Y115" s="3" t="n"/>
      <c r="AA115" s="5">
        <f>SUM(L115:Y115)</f>
        <v/>
      </c>
      <c r="AB115" s="5">
        <f>C114-AA115</f>
        <v/>
      </c>
    </row>
    <row r="116" customFormat="1" s="2">
      <c r="A116" s="1" t="inlineStr">
        <is>
          <t>[Нижегородская ум.]</t>
        </is>
      </c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>
        <v>8708</v>
      </c>
      <c r="M116" s="3" t="n">
        <v>6911</v>
      </c>
      <c r="N116" s="3" t="n">
        <v>7758</v>
      </c>
      <c r="O116" s="3" t="n">
        <v>4724</v>
      </c>
      <c r="P116" s="3" t="n">
        <v>5223</v>
      </c>
      <c r="Q116" s="3" t="n">
        <v>4800</v>
      </c>
      <c r="R116" s="3" t="n">
        <v>5185</v>
      </c>
      <c r="S116" s="3" t="n">
        <v>10418</v>
      </c>
      <c r="T116" s="3" t="n">
        <v>4423</v>
      </c>
      <c r="U116" s="3" t="n">
        <v>3915</v>
      </c>
      <c r="V116" s="3" t="n">
        <v>7114</v>
      </c>
      <c r="W116" s="3" t="n"/>
      <c r="X116" s="3" t="n"/>
      <c r="Y116" s="3" t="n"/>
      <c r="AA116" s="5">
        <f>SUM(L116:Y116)</f>
        <v/>
      </c>
      <c r="AB116" s="5">
        <f>AA116-D114</f>
        <v/>
      </c>
    </row>
    <row r="117" customFormat="1" s="8">
      <c r="A117" s="6" t="inlineStr">
        <is>
          <t>Новгородская</t>
        </is>
      </c>
      <c r="B117" s="7" t="n">
        <v>1290507</v>
      </c>
      <c r="C117" s="7" t="n">
        <v>55572</v>
      </c>
      <c r="D117" s="7" t="n">
        <v>41175</v>
      </c>
      <c r="E117" s="7" t="n">
        <v>88761</v>
      </c>
      <c r="F117" s="7" t="n">
        <v>2446</v>
      </c>
      <c r="G117" s="7" t="n">
        <v>2291</v>
      </c>
      <c r="H117" s="7" t="n">
        <v>1237464</v>
      </c>
      <c r="I117" s="7" t="n">
        <v>53773</v>
      </c>
      <c r="J117" s="7" t="n">
        <v>39346</v>
      </c>
      <c r="K117" s="3" t="n"/>
      <c r="L117" s="7" t="n">
        <v>172689</v>
      </c>
      <c r="M117" s="7" t="n">
        <v>142564</v>
      </c>
      <c r="N117" s="7" t="n">
        <v>78225</v>
      </c>
      <c r="O117" s="7" t="n">
        <v>90708</v>
      </c>
      <c r="P117" s="7" t="n">
        <v>71809</v>
      </c>
      <c r="Q117" s="7" t="n">
        <v>113128</v>
      </c>
      <c r="R117" s="7" t="n">
        <v>87569</v>
      </c>
      <c r="S117" s="7" t="n">
        <v>187612</v>
      </c>
      <c r="T117" s="7" t="n">
        <v>94609</v>
      </c>
      <c r="U117" s="7" t="n">
        <v>92627</v>
      </c>
      <c r="V117" s="7" t="n">
        <v>144570</v>
      </c>
      <c r="W117" s="7" t="n"/>
      <c r="X117" s="7" t="n"/>
      <c r="Y117" s="7" t="n"/>
      <c r="AA117" s="9">
        <f>SUM(L117:Y117)</f>
        <v/>
      </c>
      <c r="AB117" s="9">
        <f>AA117-B117</f>
        <v/>
      </c>
    </row>
    <row r="118" customFormat="1" s="2">
      <c r="A118" s="1" t="inlineStr">
        <is>
          <t>[Новгородская род.]</t>
        </is>
      </c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>
        <v>6817</v>
      </c>
      <c r="M118" s="3" t="n">
        <v>5973</v>
      </c>
      <c r="N118" s="3" t="n">
        <v>3676</v>
      </c>
      <c r="O118" s="3" t="n">
        <v>3834</v>
      </c>
      <c r="P118" s="3" t="n">
        <v>3880</v>
      </c>
      <c r="Q118" s="3" t="n">
        <v>5347</v>
      </c>
      <c r="R118" s="3" t="n">
        <v>3445</v>
      </c>
      <c r="S118" s="3" t="n">
        <v>7410</v>
      </c>
      <c r="T118" s="3" t="n">
        <v>4207</v>
      </c>
      <c r="U118" s="3" t="n">
        <v>4374</v>
      </c>
      <c r="V118" s="3" t="n">
        <v>6609</v>
      </c>
      <c r="W118" s="3" t="n"/>
      <c r="X118" s="3" t="n"/>
      <c r="Y118" s="3" t="n"/>
      <c r="AA118" s="5">
        <f>SUM(L118:Y118)</f>
        <v/>
      </c>
      <c r="AB118" s="5">
        <f>C117-AA118</f>
        <v/>
      </c>
    </row>
    <row r="119" customFormat="1" s="2">
      <c r="A119" s="1" t="inlineStr">
        <is>
          <t>[Новгородская ум.]</t>
        </is>
      </c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>
        <v>4774</v>
      </c>
      <c r="M119" s="3" t="n">
        <v>4564</v>
      </c>
      <c r="N119" s="3" t="n">
        <v>2363</v>
      </c>
      <c r="O119" s="3" t="n">
        <v>3004</v>
      </c>
      <c r="P119" s="3" t="n">
        <v>2899</v>
      </c>
      <c r="Q119" s="3" t="n">
        <v>4325</v>
      </c>
      <c r="R119" s="3" t="n">
        <v>3164</v>
      </c>
      <c r="S119" s="3" t="n">
        <v>5320</v>
      </c>
      <c r="T119" s="3" t="n">
        <v>2667</v>
      </c>
      <c r="U119" s="3" t="n">
        <v>2997</v>
      </c>
      <c r="V119" s="3" t="n">
        <v>5098</v>
      </c>
      <c r="W119" s="3" t="n"/>
      <c r="X119" s="3" t="n"/>
      <c r="Y119" s="3" t="n"/>
      <c r="AA119" s="5">
        <f>SUM(L119:Y119)</f>
        <v/>
      </c>
      <c r="AB119" s="5">
        <f>AA119-D117</f>
        <v/>
      </c>
    </row>
    <row r="120" customFormat="1" s="8">
      <c r="A120" s="6" t="inlineStr">
        <is>
          <t>Олонецкая</t>
        </is>
      </c>
      <c r="B120" s="7" t="n">
        <v>362131</v>
      </c>
      <c r="C120" s="7" t="n">
        <v>17367</v>
      </c>
      <c r="D120" s="7" t="n">
        <v>12258</v>
      </c>
      <c r="E120" s="7" t="n">
        <v>23405</v>
      </c>
      <c r="F120" s="7" t="n">
        <v>914</v>
      </c>
      <c r="G120" s="7" t="n">
        <v>852</v>
      </c>
      <c r="H120" s="7" t="n">
        <v>346141</v>
      </c>
      <c r="I120" s="7" t="n">
        <v>16784</v>
      </c>
      <c r="J120" s="7" t="n">
        <v>12076</v>
      </c>
      <c r="K120" s="3" t="n"/>
      <c r="L120" s="7" t="n">
        <v>83467</v>
      </c>
      <c r="M120" s="7" t="n">
        <v>51987</v>
      </c>
      <c r="N120" s="7" t="n">
        <v>78502</v>
      </c>
      <c r="O120" s="7" t="n">
        <v>45705</v>
      </c>
      <c r="P120" s="7" t="n">
        <v>28315</v>
      </c>
      <c r="Q120" s="7" t="n">
        <v>40075</v>
      </c>
      <c r="R120" s="7" t="n">
        <v>34080</v>
      </c>
      <c r="S120" s="7" t="n"/>
      <c r="T120" s="7" t="n"/>
      <c r="U120" s="7" t="n"/>
      <c r="V120" s="7" t="n"/>
      <c r="W120" s="7" t="n"/>
      <c r="X120" s="7" t="n"/>
      <c r="Y120" s="7" t="n"/>
      <c r="AA120" s="9">
        <f>SUM(L120:Y120)</f>
        <v/>
      </c>
      <c r="AB120" s="9">
        <f>AA120-B120</f>
        <v/>
      </c>
    </row>
    <row r="121" customFormat="1" s="2">
      <c r="A121" s="1" t="inlineStr">
        <is>
          <t>[Олонецкая род.]</t>
        </is>
      </c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>
        <v>3786</v>
      </c>
      <c r="M121" s="3" t="n">
        <v>2567</v>
      </c>
      <c r="N121" s="3" t="n">
        <v>4010</v>
      </c>
      <c r="O121" s="3" t="n">
        <v>2222</v>
      </c>
      <c r="P121" s="3" t="n">
        <v>1140</v>
      </c>
      <c r="Q121" s="3" t="n">
        <v>1868</v>
      </c>
      <c r="R121" s="3" t="n">
        <v>1774</v>
      </c>
      <c r="S121" s="3" t="n"/>
      <c r="T121" s="3" t="n"/>
      <c r="U121" s="3" t="n"/>
      <c r="V121" s="3" t="n"/>
      <c r="W121" s="3" t="n"/>
      <c r="X121" s="3" t="n"/>
      <c r="Y121" s="3" t="n"/>
      <c r="AA121" s="5">
        <f>SUM(L121:Y121)</f>
        <v/>
      </c>
      <c r="AB121" s="5">
        <f>C120-AA121</f>
        <v/>
      </c>
    </row>
    <row r="122" customFormat="1" s="2">
      <c r="A122" s="1" t="inlineStr">
        <is>
          <t>[Олонецкая ум.]</t>
        </is>
      </c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>
        <v>2676</v>
      </c>
      <c r="M122" s="3" t="n">
        <v>1868</v>
      </c>
      <c r="N122" s="3" t="n">
        <v>2816</v>
      </c>
      <c r="O122" s="3" t="n">
        <v>1365</v>
      </c>
      <c r="P122" s="3" t="n">
        <v>739</v>
      </c>
      <c r="Q122" s="3" t="n">
        <v>1259</v>
      </c>
      <c r="R122" s="3" t="n">
        <v>1535</v>
      </c>
      <c r="S122" s="3" t="n"/>
      <c r="T122" s="3" t="n"/>
      <c r="U122" s="3" t="n"/>
      <c r="V122" s="3" t="n"/>
      <c r="W122" s="3" t="n"/>
      <c r="X122" s="3" t="n"/>
      <c r="Y122" s="3" t="n"/>
      <c r="AA122" s="5">
        <f>SUM(L122:Y122)</f>
        <v/>
      </c>
      <c r="AB122" s="5">
        <f>AA122-D120</f>
        <v/>
      </c>
    </row>
    <row r="123" customFormat="1" s="8">
      <c r="A123" s="6" t="inlineStr">
        <is>
          <t>Орловская</t>
        </is>
      </c>
      <c r="B123" s="7" t="n">
        <v>2107442</v>
      </c>
      <c r="C123" s="7" t="n">
        <v>106674</v>
      </c>
      <c r="D123" s="7" t="n">
        <v>85609</v>
      </c>
      <c r="E123" s="10" t="inlineStr">
        <is>
          <t>—</t>
        </is>
      </c>
      <c r="F123" s="10" t="inlineStr">
        <is>
          <t>—</t>
        </is>
      </c>
      <c r="G123" s="10" t="inlineStr">
        <is>
          <t>—</t>
        </is>
      </c>
      <c r="H123" s="7" t="n">
        <v>2029477</v>
      </c>
      <c r="I123" s="7" t="n">
        <v>105529</v>
      </c>
      <c r="J123" s="7" t="n">
        <v>71707</v>
      </c>
      <c r="K123" s="3" t="n"/>
      <c r="L123" s="7" t="n">
        <v>224635</v>
      </c>
      <c r="M123" s="7" t="n">
        <v>151832</v>
      </c>
      <c r="N123" s="7" t="n">
        <v>163163</v>
      </c>
      <c r="O123" s="7" t="n">
        <v>104561</v>
      </c>
      <c r="P123" s="7" t="n">
        <v>291845</v>
      </c>
      <c r="Q123" s="7" t="n">
        <v>131389</v>
      </c>
      <c r="R123" s="7" t="n">
        <v>116193</v>
      </c>
      <c r="S123" s="7" t="n">
        <v>352235</v>
      </c>
      <c r="T123" s="7" t="n">
        <v>189690</v>
      </c>
      <c r="U123" s="7" t="n">
        <v>108213</v>
      </c>
      <c r="V123" s="7" t="n">
        <v>143480</v>
      </c>
      <c r="W123" s="7" t="n">
        <v>130206</v>
      </c>
      <c r="X123" s="7" t="n"/>
      <c r="Y123" s="7" t="n"/>
      <c r="AA123" s="9">
        <f>SUM(L123:Y123)</f>
        <v/>
      </c>
      <c r="AB123" s="9">
        <f>AA123-B123</f>
        <v/>
      </c>
    </row>
    <row r="124" customFormat="1" s="2">
      <c r="A124" s="1" t="inlineStr">
        <is>
          <t>[Орловская род.]</t>
        </is>
      </c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>
        <v>10289</v>
      </c>
      <c r="M124" s="3" t="n">
        <v>7171</v>
      </c>
      <c r="N124" s="3" t="n">
        <v>9475</v>
      </c>
      <c r="O124" s="3" t="n">
        <v>5117</v>
      </c>
      <c r="P124" s="3" t="n">
        <v>15703</v>
      </c>
      <c r="Q124" s="3" t="n">
        <v>6954</v>
      </c>
      <c r="R124" s="3" t="n">
        <v>5654</v>
      </c>
      <c r="S124" s="3" t="n">
        <v>16746</v>
      </c>
      <c r="T124" s="3" t="n">
        <v>9833</v>
      </c>
      <c r="U124" s="3" t="n">
        <v>5546</v>
      </c>
      <c r="V124" s="3" t="n">
        <v>7511</v>
      </c>
      <c r="W124" s="3" t="n">
        <v>6675</v>
      </c>
      <c r="X124" s="3" t="n"/>
      <c r="Y124" s="3" t="n"/>
      <c r="AA124" s="5">
        <f>SUM(L124:Y124)</f>
        <v/>
      </c>
      <c r="AB124" s="5">
        <f>C123-AA124</f>
        <v/>
      </c>
    </row>
    <row r="125" customFormat="1" s="2">
      <c r="A125" s="1" t="inlineStr">
        <is>
          <t>[Орловская ум.]</t>
        </is>
      </c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>
        <v>8863</v>
      </c>
      <c r="M125" s="3" t="n">
        <v>6597</v>
      </c>
      <c r="N125" s="3" t="n">
        <v>6199</v>
      </c>
      <c r="O125" s="3" t="n">
        <v>4049</v>
      </c>
      <c r="P125" s="3" t="n">
        <v>12270</v>
      </c>
      <c r="Q125" s="3" t="n">
        <v>5614</v>
      </c>
      <c r="R125" s="3" t="n">
        <v>4784</v>
      </c>
      <c r="S125" s="3" t="n">
        <v>14103</v>
      </c>
      <c r="T125" s="3" t="n">
        <v>8567</v>
      </c>
      <c r="U125" s="3" t="n">
        <v>5198</v>
      </c>
      <c r="V125" s="3" t="n">
        <v>4509</v>
      </c>
      <c r="W125" s="3" t="n">
        <v>3956</v>
      </c>
      <c r="X125" s="3" t="n"/>
      <c r="Y125" s="3" t="n"/>
      <c r="AA125" s="5">
        <f>SUM(L125:Y125)</f>
        <v/>
      </c>
      <c r="AB125" s="5">
        <f>AA125-D123</f>
        <v/>
      </c>
    </row>
    <row r="126" customFormat="1" s="8">
      <c r="A126" s="6" t="inlineStr">
        <is>
          <t>Пензенская</t>
        </is>
      </c>
      <c r="B126" s="7" t="n">
        <v>1601458</v>
      </c>
      <c r="C126" s="7" t="n">
        <v>80120</v>
      </c>
      <c r="D126" s="7" t="n">
        <v>64064</v>
      </c>
      <c r="E126" s="10" t="inlineStr">
        <is>
          <t>—</t>
        </is>
      </c>
      <c r="F126" s="10" t="inlineStr">
        <is>
          <t>—</t>
        </is>
      </c>
      <c r="G126" s="10" t="inlineStr">
        <is>
          <t>—</t>
        </is>
      </c>
      <c r="H126" s="7" t="n">
        <v>1550070</v>
      </c>
      <c r="I126" s="7" t="n">
        <v>81995</v>
      </c>
      <c r="J126" s="7" t="n">
        <v>59319</v>
      </c>
      <c r="K126" s="3" t="n"/>
      <c r="L126" s="7" t="n">
        <v>163872</v>
      </c>
      <c r="M126" s="7" t="n">
        <v>173509</v>
      </c>
      <c r="N126" s="7" t="n">
        <v>203181</v>
      </c>
      <c r="O126" s="7" t="n">
        <v>134573</v>
      </c>
      <c r="P126" s="7" t="n">
        <v>182123</v>
      </c>
      <c r="Q126" s="7" t="n">
        <v>114370</v>
      </c>
      <c r="R126" s="7" t="n">
        <v>137430</v>
      </c>
      <c r="S126" s="7" t="n">
        <v>174539</v>
      </c>
      <c r="T126" s="7" t="n">
        <v>158960</v>
      </c>
      <c r="U126" s="7" t="n">
        <v>158900</v>
      </c>
      <c r="V126" s="7" t="n"/>
      <c r="W126" s="7" t="n"/>
      <c r="X126" s="7" t="n"/>
      <c r="Y126" s="7" t="n"/>
      <c r="AA126" s="9">
        <f>SUM(L126:Y126)</f>
        <v/>
      </c>
      <c r="AB126" s="9">
        <f>AA126-B126</f>
        <v/>
      </c>
    </row>
    <row r="127" customFormat="1" s="2">
      <c r="A127" s="1" t="inlineStr">
        <is>
          <t>[Пензенская род.]</t>
        </is>
      </c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>
        <v>8959</v>
      </c>
      <c r="M127" s="3" t="n">
        <v>9189</v>
      </c>
      <c r="N127" s="3" t="n">
        <v>9953</v>
      </c>
      <c r="O127" s="3" t="n">
        <v>5737</v>
      </c>
      <c r="P127" s="3" t="n">
        <v>8835</v>
      </c>
      <c r="Q127" s="3" t="n">
        <v>6900</v>
      </c>
      <c r="R127" s="3" t="n">
        <v>6613</v>
      </c>
      <c r="S127" s="3" t="n">
        <v>7889</v>
      </c>
      <c r="T127" s="3" t="n">
        <v>7816</v>
      </c>
      <c r="U127" s="3" t="n">
        <v>8229</v>
      </c>
      <c r="V127" s="3" t="n"/>
      <c r="W127" s="3" t="n"/>
      <c r="X127" s="3" t="n"/>
      <c r="Y127" s="3" t="n"/>
      <c r="AA127" s="5">
        <f>SUM(L127:Y127)</f>
        <v/>
      </c>
      <c r="AB127" s="5">
        <f>C126-AA127</f>
        <v/>
      </c>
    </row>
    <row r="128" customFormat="1" s="2">
      <c r="A128" s="1" t="inlineStr">
        <is>
          <t>[Пензенская ум.]</t>
        </is>
      </c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>
        <v>7231</v>
      </c>
      <c r="M128" s="3" t="n">
        <v>6391</v>
      </c>
      <c r="N128" s="3" t="n">
        <v>8308</v>
      </c>
      <c r="O128" s="3" t="n">
        <v>4607</v>
      </c>
      <c r="P128" s="3" t="n">
        <v>7011</v>
      </c>
      <c r="Q128" s="3" t="n">
        <v>6063</v>
      </c>
      <c r="R128" s="3" t="n">
        <v>5354</v>
      </c>
      <c r="S128" s="3" t="n">
        <v>6423</v>
      </c>
      <c r="T128" s="3" t="n">
        <v>6502</v>
      </c>
      <c r="U128" s="3" t="n">
        <v>6174</v>
      </c>
      <c r="V128" s="3" t="n"/>
      <c r="W128" s="3" t="n"/>
      <c r="X128" s="3" t="n"/>
      <c r="Y128" s="3" t="n"/>
      <c r="AA128" s="5">
        <f>SUM(L128:Y128)</f>
        <v/>
      </c>
      <c r="AB128" s="5">
        <f>AA128-D126</f>
        <v/>
      </c>
    </row>
    <row r="129" customFormat="1" s="8">
      <c r="A129" s="6" t="inlineStr">
        <is>
          <t>Пермская</t>
        </is>
      </c>
      <c r="B129" s="7" t="n">
        <v>2794922</v>
      </c>
      <c r="C129" s="7" t="n">
        <v>152416</v>
      </c>
      <c r="D129" s="7" t="n">
        <v>136331</v>
      </c>
      <c r="E129" s="7" t="n">
        <v>132950</v>
      </c>
      <c r="F129" s="7" t="n">
        <v>5672</v>
      </c>
      <c r="G129" s="7" t="n">
        <v>5798</v>
      </c>
      <c r="H129" s="7" t="n">
        <v>2741779</v>
      </c>
      <c r="I129" s="7" t="n">
        <v>152342</v>
      </c>
      <c r="J129" s="7" t="n">
        <v>116549</v>
      </c>
      <c r="K129" s="3" t="n"/>
      <c r="L129" s="7" t="n">
        <v>228221</v>
      </c>
      <c r="M129" s="7" t="n">
        <v>223418</v>
      </c>
      <c r="N129" s="7" t="n">
        <v>383883</v>
      </c>
      <c r="O129" s="7" t="n">
        <v>140922</v>
      </c>
      <c r="P129" s="7" t="n">
        <v>259487</v>
      </c>
      <c r="Q129" s="7" t="n">
        <v>232448</v>
      </c>
      <c r="R129" s="7" t="n">
        <v>123741</v>
      </c>
      <c r="S129" s="7" t="n">
        <v>258003</v>
      </c>
      <c r="T129" s="7" t="n">
        <v>211877</v>
      </c>
      <c r="U129" s="7" t="n">
        <v>92880</v>
      </c>
      <c r="V129" s="7" t="n">
        <v>341263</v>
      </c>
      <c r="W129" s="7" t="n"/>
      <c r="X129" s="7" t="n"/>
      <c r="Y129" s="7" t="n"/>
      <c r="AA129" s="9">
        <f>SUM(L129:Y129)</f>
        <v/>
      </c>
      <c r="AB129" s="9">
        <f>AA129-B129</f>
        <v/>
      </c>
    </row>
    <row r="130" customFormat="1" s="2">
      <c r="A130" s="1" t="inlineStr">
        <is>
          <t>[Пермская род.]</t>
        </is>
      </c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>
        <v>12335</v>
      </c>
      <c r="M130" s="3" t="n">
        <v>12370</v>
      </c>
      <c r="N130" s="3" t="n">
        <v>21397</v>
      </c>
      <c r="O130" s="3" t="n">
        <v>7961</v>
      </c>
      <c r="P130" s="3" t="n">
        <v>14195</v>
      </c>
      <c r="Q130" s="3" t="n">
        <v>12620</v>
      </c>
      <c r="R130" s="3" t="n">
        <v>7674</v>
      </c>
      <c r="S130" s="3" t="n">
        <v>12826</v>
      </c>
      <c r="T130" s="3" t="n">
        <v>14544</v>
      </c>
      <c r="U130" s="3" t="n">
        <v>5356</v>
      </c>
      <c r="V130" s="3" t="n">
        <v>18799</v>
      </c>
      <c r="W130" s="3" t="n"/>
      <c r="X130" s="3" t="n"/>
      <c r="Y130" s="3" t="n"/>
      <c r="AA130" s="5">
        <f>SUM(L130:Y130)</f>
        <v/>
      </c>
      <c r="AB130" s="5">
        <f>C129-AA130</f>
        <v/>
      </c>
    </row>
    <row r="131" customFormat="1" s="2">
      <c r="A131" s="1" t="inlineStr">
        <is>
          <t>[Пермская ум.]</t>
        </is>
      </c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>
        <v>12989</v>
      </c>
      <c r="M131" s="3" t="n">
        <v>9773</v>
      </c>
      <c r="N131" s="3" t="n">
        <v>17307</v>
      </c>
      <c r="O131" s="3" t="n">
        <v>7943</v>
      </c>
      <c r="P131" s="3" t="n">
        <v>13091</v>
      </c>
      <c r="Q131" s="3" t="n">
        <v>10017</v>
      </c>
      <c r="R131" s="3" t="n">
        <v>7843</v>
      </c>
      <c r="S131" s="3" t="n">
        <v>12021</v>
      </c>
      <c r="T131" s="3" t="n">
        <v>11174</v>
      </c>
      <c r="U131" s="3" t="n">
        <v>2818</v>
      </c>
      <c r="V131" s="3" t="n">
        <v>18168</v>
      </c>
      <c r="W131" s="3" t="n"/>
      <c r="X131" s="3" t="n"/>
      <c r="Y131" s="3" t="n"/>
      <c r="AA131" s="5">
        <f>SUM(L131:Y131)</f>
        <v/>
      </c>
      <c r="AB131" s="5">
        <f>AA131-D129</f>
        <v/>
      </c>
    </row>
    <row r="132" customFormat="1" s="8">
      <c r="A132" s="6" t="inlineStr">
        <is>
          <t>Полтавская</t>
        </is>
      </c>
      <c r="B132" s="7" t="n">
        <v>2894095</v>
      </c>
      <c r="C132" s="7" t="n">
        <v>127556</v>
      </c>
      <c r="D132" s="7" t="n">
        <v>93984</v>
      </c>
      <c r="E132" s="7" t="n">
        <v>253244</v>
      </c>
      <c r="F132" s="7" t="n">
        <v>10589</v>
      </c>
      <c r="G132" s="7" t="n">
        <v>8021</v>
      </c>
      <c r="H132" s="7" t="n">
        <v>2834523</v>
      </c>
      <c r="I132" s="7" t="n">
        <v>131207</v>
      </c>
      <c r="J132" s="7" t="n">
        <v>78200</v>
      </c>
      <c r="K132" s="3" t="n"/>
      <c r="L132" s="7" t="n">
        <v>232195</v>
      </c>
      <c r="M132" s="7" t="n">
        <v>170624</v>
      </c>
      <c r="N132" s="7" t="n">
        <v>233783</v>
      </c>
      <c r="O132" s="7" t="n">
        <v>149398</v>
      </c>
      <c r="P132" s="7" t="n">
        <v>248171</v>
      </c>
      <c r="Q132" s="7" t="n">
        <v>203579</v>
      </c>
      <c r="R132" s="7" t="n">
        <v>242774</v>
      </c>
      <c r="S132" s="7" t="n">
        <v>150617</v>
      </c>
      <c r="T132" s="7" t="n">
        <v>134478</v>
      </c>
      <c r="U132" s="7" t="n">
        <v>163543</v>
      </c>
      <c r="V132" s="7" t="n">
        <v>2005141</v>
      </c>
      <c r="W132" s="7" t="n">
        <v>169027</v>
      </c>
      <c r="X132" s="7" t="n">
        <v>208986</v>
      </c>
      <c r="Y132" s="7" t="n">
        <v>171568</v>
      </c>
      <c r="AA132" s="9">
        <f>SUM(L132:Y132)</f>
        <v/>
      </c>
      <c r="AB132" s="9">
        <f>AA132-B132</f>
        <v/>
      </c>
    </row>
    <row r="133" customFormat="1" s="2">
      <c r="A133" s="1" t="inlineStr">
        <is>
          <t>[Полтавская род.]</t>
        </is>
      </c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>
        <v>10187</v>
      </c>
      <c r="M133" s="3" t="n">
        <v>7225</v>
      </c>
      <c r="N133" s="3" t="n">
        <v>10345</v>
      </c>
      <c r="O133" s="3" t="n">
        <v>6280</v>
      </c>
      <c r="P133" s="3" t="n">
        <v>9619</v>
      </c>
      <c r="Q133" s="3" t="n">
        <v>10872</v>
      </c>
      <c r="R133" s="3" t="n">
        <v>10877</v>
      </c>
      <c r="S133" s="3" t="n">
        <v>6798</v>
      </c>
      <c r="T133" s="3" t="n">
        <v>6532</v>
      </c>
      <c r="U133" s="3" t="n">
        <v>7255</v>
      </c>
      <c r="V133" s="3" t="n">
        <v>8923</v>
      </c>
      <c r="W133" s="3" t="n">
        <v>1401</v>
      </c>
      <c r="X133" s="3" t="n">
        <v>8109</v>
      </c>
      <c r="Y133" s="3" t="n">
        <v>8337</v>
      </c>
      <c r="AA133" s="5">
        <f>SUM(L133:Y133)</f>
        <v/>
      </c>
      <c r="AB133" s="5">
        <f>C132-AA133</f>
        <v/>
      </c>
    </row>
    <row r="134" customFormat="1" s="2">
      <c r="A134" s="1" t="inlineStr">
        <is>
          <t>[Полтавская ум.]</t>
        </is>
      </c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>
        <v>8492</v>
      </c>
      <c r="M134" s="3" t="n">
        <v>4988</v>
      </c>
      <c r="N134" s="3" t="n">
        <v>6583</v>
      </c>
      <c r="O134" s="3" t="n">
        <v>5841</v>
      </c>
      <c r="P134" s="3" t="n">
        <v>6027</v>
      </c>
      <c r="Q134" s="3" t="n">
        <v>10512</v>
      </c>
      <c r="R134" s="3" t="n">
        <v>7314</v>
      </c>
      <c r="S134" s="3" t="n">
        <v>4970</v>
      </c>
      <c r="T134" s="3" t="n">
        <v>4007</v>
      </c>
      <c r="U134" s="3" t="n">
        <v>4868</v>
      </c>
      <c r="V134" s="3" t="n">
        <v>7359</v>
      </c>
      <c r="W134" s="3" t="n">
        <v>5463</v>
      </c>
      <c r="X134" s="3" t="n">
        <v>5395</v>
      </c>
      <c r="Y134" s="3" t="n">
        <v>5842</v>
      </c>
      <c r="AA134" s="5">
        <f>SUM(L134:Y134)</f>
        <v/>
      </c>
      <c r="AB134" s="5">
        <f>AA134-D132</f>
        <v/>
      </c>
    </row>
    <row r="135" customFormat="1" s="8">
      <c r="A135" s="6" t="inlineStr">
        <is>
          <t>Псковская</t>
        </is>
      </c>
      <c r="B135" s="7" t="n">
        <v>1029053</v>
      </c>
      <c r="C135" s="7" t="n">
        <v>50312</v>
      </c>
      <c r="D135" s="7" t="n">
        <v>32442</v>
      </c>
      <c r="E135" s="7" t="n">
        <v>60405</v>
      </c>
      <c r="F135" s="7" t="n">
        <v>1769</v>
      </c>
      <c r="G135" s="7" t="n">
        <v>1570</v>
      </c>
      <c r="H135" s="7" t="n">
        <v>989039</v>
      </c>
      <c r="I135" s="7" t="n">
        <v>48774</v>
      </c>
      <c r="J135" s="7" t="n">
        <v>34608</v>
      </c>
      <c r="K135" s="3" t="n"/>
      <c r="L135" s="7" t="n">
        <v>110602</v>
      </c>
      <c r="M135" s="7" t="n">
        <v>102649</v>
      </c>
      <c r="N135" s="7" t="n">
        <v>126769</v>
      </c>
      <c r="O135" s="7" t="n">
        <v>157179</v>
      </c>
      <c r="P135" s="7" t="n">
        <v>164744</v>
      </c>
      <c r="Q135" s="7" t="n">
        <v>75896</v>
      </c>
      <c r="R135" s="7" t="n">
        <v>73603</v>
      </c>
      <c r="S135" s="7" t="n"/>
      <c r="T135" s="7" t="n"/>
      <c r="U135" s="7" t="n"/>
      <c r="V135" s="7" t="n"/>
      <c r="W135" s="7" t="n"/>
      <c r="X135" s="7" t="n"/>
      <c r="Y135" s="7" t="n"/>
      <c r="AA135" s="9">
        <f>SUM(L135:Y135)</f>
        <v/>
      </c>
      <c r="AB135" s="9">
        <f>AA135-B135</f>
        <v/>
      </c>
    </row>
    <row r="136" customFormat="1" s="2">
      <c r="A136" s="1" t="inlineStr">
        <is>
          <t>[Псковская род.]</t>
        </is>
      </c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>
        <v>5984</v>
      </c>
      <c r="M136" s="3" t="n">
        <v>5063</v>
      </c>
      <c r="N136" s="3" t="n">
        <v>6179</v>
      </c>
      <c r="O136" s="3" t="n">
        <v>97255</v>
      </c>
      <c r="P136" s="3" t="n">
        <v>1526</v>
      </c>
      <c r="Q136" s="3" t="n">
        <v>4435</v>
      </c>
      <c r="R136" s="3" t="n">
        <v>4430</v>
      </c>
      <c r="S136" s="3" t="n"/>
      <c r="T136" s="3" t="n"/>
      <c r="U136" s="3" t="n"/>
      <c r="V136" s="3" t="n"/>
      <c r="W136" s="3" t="n"/>
      <c r="X136" s="3" t="n"/>
      <c r="Y136" s="3" t="n"/>
      <c r="AA136" s="5">
        <f>SUM(L136:Y136)</f>
        <v/>
      </c>
      <c r="AB136" s="5">
        <f>C135-AA136</f>
        <v/>
      </c>
    </row>
    <row r="137" customFormat="1" s="2">
      <c r="A137" s="1" t="inlineStr">
        <is>
          <t>[Псковская ум.]</t>
        </is>
      </c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>
        <v>4047</v>
      </c>
      <c r="M137" s="3" t="n">
        <v>3043</v>
      </c>
      <c r="N137" s="3" t="n">
        <v>3392</v>
      </c>
      <c r="O137" s="3" t="n">
        <v>4744</v>
      </c>
      <c r="P137" s="3" t="n">
        <v>4970</v>
      </c>
      <c r="Q137" s="3" t="n">
        <v>3053</v>
      </c>
      <c r="R137" s="3" t="n">
        <v>2793</v>
      </c>
      <c r="S137" s="3" t="n"/>
      <c r="T137" s="3" t="n"/>
      <c r="U137" s="3" t="n"/>
      <c r="V137" s="3" t="n"/>
      <c r="W137" s="3" t="n"/>
      <c r="X137" s="3" t="n"/>
      <c r="Y137" s="3" t="n"/>
      <c r="AA137" s="5">
        <f>SUM(L137:Y137)</f>
        <v/>
      </c>
      <c r="AB137" s="5">
        <f>AA137-D135</f>
        <v/>
      </c>
    </row>
    <row r="138" customFormat="1" s="8">
      <c r="A138" s="6" t="inlineStr">
        <is>
          <t>Рязанская</t>
        </is>
      </c>
      <c r="B138" s="7" t="n">
        <v>1928786</v>
      </c>
      <c r="C138" s="7" t="n">
        <v>94449</v>
      </c>
      <c r="D138" s="7" t="n">
        <v>10492</v>
      </c>
      <c r="E138" s="7" t="n">
        <v>961391</v>
      </c>
      <c r="F138" s="7" t="n">
        <v>5405</v>
      </c>
      <c r="G138" s="7" t="n">
        <v>4860</v>
      </c>
      <c r="H138" s="7" t="n">
        <v>1874939</v>
      </c>
      <c r="I138" s="7" t="n">
        <v>91397</v>
      </c>
      <c r="J138" s="7" t="n">
        <v>59971</v>
      </c>
      <c r="K138" s="3" t="n"/>
      <c r="L138" s="7" t="n">
        <v>218091</v>
      </c>
      <c r="M138" s="7" t="n">
        <v>124604</v>
      </c>
      <c r="N138" s="7" t="n">
        <v>147857</v>
      </c>
      <c r="O138" s="7" t="n">
        <v>136548</v>
      </c>
      <c r="P138" s="7" t="n">
        <v>180794</v>
      </c>
      <c r="Q138" s="7" t="n">
        <v>166445</v>
      </c>
      <c r="R138" s="7" t="n">
        <v>124077</v>
      </c>
      <c r="S138" s="7" t="n">
        <v>158534</v>
      </c>
      <c r="T138" s="7" t="n">
        <v>147681</v>
      </c>
      <c r="U138" s="7" t="n">
        <v>172393</v>
      </c>
      <c r="V138" s="7" t="n">
        <v>186624</v>
      </c>
      <c r="W138" s="7" t="n">
        <v>168488</v>
      </c>
      <c r="X138" s="7" t="n"/>
      <c r="Y138" s="7" t="n"/>
      <c r="AA138" s="9">
        <f>SUM(L138:Y138)</f>
        <v/>
      </c>
      <c r="AB138" s="9">
        <f>AA138-B138</f>
        <v/>
      </c>
    </row>
    <row r="139" customFormat="1" s="2">
      <c r="A139" s="1" t="inlineStr">
        <is>
          <t>[Рязанская род.]</t>
        </is>
      </c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>
        <v>9848</v>
      </c>
      <c r="M139" s="3" t="n">
        <v>5679</v>
      </c>
      <c r="N139" s="3" t="n">
        <v>1884</v>
      </c>
      <c r="O139" s="3" t="n">
        <v>5869</v>
      </c>
      <c r="P139" s="3" t="n">
        <v>8182</v>
      </c>
      <c r="Q139" s="3" t="n">
        <v>8439</v>
      </c>
      <c r="R139" s="3" t="n">
        <v>5910</v>
      </c>
      <c r="S139" s="3" t="n">
        <v>8788</v>
      </c>
      <c r="T139" s="3" t="n">
        <v>9861</v>
      </c>
      <c r="U139" s="3" t="n">
        <v>8733</v>
      </c>
      <c r="V139" s="3" t="n">
        <v>9530</v>
      </c>
      <c r="W139" s="3" t="n">
        <v>1726</v>
      </c>
      <c r="X139" s="3" t="n"/>
      <c r="Y139" s="3" t="n"/>
      <c r="AA139" s="5">
        <f>SUM(L139:Y139)</f>
        <v/>
      </c>
      <c r="AB139" s="5">
        <f>C138-AA139</f>
        <v/>
      </c>
    </row>
    <row r="140" customFormat="1" s="2">
      <c r="A140" s="1" t="inlineStr">
        <is>
          <t>[Рязанская ум.]</t>
        </is>
      </c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>
        <v>7462</v>
      </c>
      <c r="M140" s="3" t="n">
        <v>4312</v>
      </c>
      <c r="N140" s="3" t="n">
        <v>7003</v>
      </c>
      <c r="O140" s="3" t="n">
        <v>4180</v>
      </c>
      <c r="P140" s="3" t="n">
        <v>6673</v>
      </c>
      <c r="Q140" s="3" t="n">
        <v>5386</v>
      </c>
      <c r="R140" s="3" t="n">
        <v>4114</v>
      </c>
      <c r="S140" s="3" t="n">
        <v>6967</v>
      </c>
      <c r="T140" s="3" t="n">
        <v>5816</v>
      </c>
      <c r="U140" s="3" t="n">
        <v>6065</v>
      </c>
      <c r="V140" s="3" t="n">
        <v>6597</v>
      </c>
      <c r="W140" s="3" t="n">
        <v>5913</v>
      </c>
      <c r="X140" s="3" t="n"/>
      <c r="Y140" s="3" t="n"/>
      <c r="AA140" s="5">
        <f>SUM(L140:Y140)</f>
        <v/>
      </c>
      <c r="AB140" s="5">
        <f>AA140-D138</f>
        <v/>
      </c>
    </row>
    <row r="141" customFormat="1" s="8">
      <c r="A141" s="6" t="inlineStr">
        <is>
          <t>Самарская</t>
        </is>
      </c>
      <c r="B141" s="7" t="n">
        <v>2657611</v>
      </c>
      <c r="C141" s="7" t="n">
        <v>149972</v>
      </c>
      <c r="D141" s="7" t="n">
        <v>106766</v>
      </c>
      <c r="E141" s="7" t="n">
        <v>163596</v>
      </c>
      <c r="F141" s="7" t="n">
        <v>7035</v>
      </c>
      <c r="G141" s="7" t="n">
        <v>6560</v>
      </c>
      <c r="H141" s="7" t="n">
        <v>2567671</v>
      </c>
      <c r="I141" s="7" t="n">
        <v>150960</v>
      </c>
      <c r="J141" s="7" t="n">
        <v>101186</v>
      </c>
      <c r="K141" s="3" t="n"/>
      <c r="L141" s="7" t="n">
        <v>335144</v>
      </c>
      <c r="M141" s="7" t="n">
        <v>279943</v>
      </c>
      <c r="N141" s="7" t="n">
        <v>3</v>
      </c>
      <c r="O141" s="7" t="n">
        <v>493630</v>
      </c>
      <c r="P141" s="7" t="n">
        <v>395148</v>
      </c>
      <c r="Q141" s="7" t="n">
        <v>281417</v>
      </c>
      <c r="R141" s="7" t="n"/>
      <c r="S141" s="7" t="n"/>
      <c r="T141" s="7" t="n"/>
      <c r="U141" s="7" t="n"/>
      <c r="V141" s="7" t="n"/>
      <c r="W141" s="7" t="n"/>
      <c r="X141" s="7" t="n"/>
      <c r="Y141" s="7" t="n"/>
      <c r="AA141" s="9">
        <f>SUM(L141:Y141)</f>
        <v/>
      </c>
      <c r="AB141" s="9">
        <f>AA141-B141</f>
        <v/>
      </c>
    </row>
    <row r="142" customFormat="1" s="2">
      <c r="A142" s="1" t="inlineStr">
        <is>
          <t>[Самарская род.]</t>
        </is>
      </c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>
        <v>18396</v>
      </c>
      <c r="M142" s="3" t="n">
        <v>14837</v>
      </c>
      <c r="N142" s="3" t="n">
        <v>372524</v>
      </c>
      <c r="O142" s="3" t="n">
        <v>274621</v>
      </c>
      <c r="P142" s="3" t="n">
        <v>23375</v>
      </c>
      <c r="Q142" s="3" t="n">
        <v>15951</v>
      </c>
      <c r="R142" s="3" t="n"/>
      <c r="S142" s="3" t="n"/>
      <c r="T142" s="3" t="n"/>
      <c r="U142" s="3" t="n"/>
      <c r="V142" s="3" t="n"/>
      <c r="W142" s="3" t="n"/>
      <c r="X142" s="3" t="n"/>
      <c r="Y142" s="3" t="n"/>
      <c r="AA142" s="5">
        <f>SUM(L142:Y142)</f>
        <v/>
      </c>
      <c r="AB142" s="5">
        <f>C141-AA142</f>
        <v/>
      </c>
    </row>
    <row r="143" customFormat="1" s="2">
      <c r="A143" s="1" t="inlineStr">
        <is>
          <t>[Самарская ум.]</t>
        </is>
      </c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>
        <v>13802</v>
      </c>
      <c r="M143" s="3" t="n">
        <v>10456</v>
      </c>
      <c r="N143" s="3" t="n">
        <v>22791</v>
      </c>
      <c r="O143" s="3" t="n">
        <v>18912</v>
      </c>
      <c r="P143" s="3" t="n">
        <v>13358</v>
      </c>
      <c r="Q143" s="3" t="n">
        <v>12090</v>
      </c>
      <c r="R143" s="3" t="n"/>
      <c r="S143" s="3" t="n"/>
      <c r="T143" s="3" t="n"/>
      <c r="U143" s="3" t="n"/>
      <c r="V143" s="3" t="n"/>
      <c r="W143" s="3" t="n"/>
      <c r="X143" s="3" t="n"/>
      <c r="Y143" s="3" t="n"/>
      <c r="AA143" s="5">
        <f>SUM(L143:Y143)</f>
        <v/>
      </c>
      <c r="AB143" s="5">
        <f>AA143-D141</f>
        <v/>
      </c>
    </row>
    <row r="144" customFormat="1" s="8">
      <c r="A144" s="6" t="inlineStr">
        <is>
          <t>Г. Москва</t>
        </is>
      </c>
      <c r="B144" s="7" t="n">
        <v>822397</v>
      </c>
      <c r="C144" s="7" t="n">
        <v>33362</v>
      </c>
      <c r="D144" s="7" t="n">
        <v>30393</v>
      </c>
      <c r="E144" s="10" t="inlineStr">
        <is>
          <t>—</t>
        </is>
      </c>
      <c r="F144" s="10" t="inlineStr">
        <is>
          <t>—</t>
        </is>
      </c>
      <c r="G144" s="10" t="inlineStr">
        <is>
          <t>—</t>
        </is>
      </c>
      <c r="H144" s="7" t="n">
        <v>777207</v>
      </c>
      <c r="I144" s="7" t="n">
        <v>32979</v>
      </c>
      <c r="J144" s="7" t="n">
        <v>27737</v>
      </c>
      <c r="K144" s="3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AA144" s="9" t="n"/>
      <c r="AB144" s="9" t="n"/>
    </row>
    <row r="145" customFormat="1" s="8">
      <c r="A145" s="6" t="inlineStr">
        <is>
          <t>Г. С.-Петербург</t>
        </is>
      </c>
      <c r="B145" s="7" t="n">
        <v>1035439</v>
      </c>
      <c r="C145" s="7" t="n">
        <v>30970</v>
      </c>
      <c r="D145" s="7" t="n">
        <v>26499</v>
      </c>
      <c r="E145" s="10" t="inlineStr">
        <is>
          <t>—</t>
        </is>
      </c>
      <c r="F145" s="10" t="inlineStr">
        <is>
          <t>—</t>
        </is>
      </c>
      <c r="G145" s="10" t="inlineStr">
        <is>
          <t>—</t>
        </is>
      </c>
      <c r="H145" s="7" t="n">
        <v>930863</v>
      </c>
      <c r="I145" s="7" t="n">
        <v>28025</v>
      </c>
      <c r="J145" s="7" t="n">
        <v>25811</v>
      </c>
      <c r="K145" s="3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AA145" s="9" t="n"/>
      <c r="AB145" s="9" t="n"/>
    </row>
    <row r="146" customFormat="1" s="8">
      <c r="A146" s="6" t="inlineStr">
        <is>
          <t>С.-Петербургская</t>
        </is>
      </c>
      <c r="B146" s="7" t="n">
        <v>679176</v>
      </c>
      <c r="C146" s="7" t="n">
        <v>30505</v>
      </c>
      <c r="D146" s="7" t="n">
        <v>25031</v>
      </c>
      <c r="E146" s="10" t="inlineStr">
        <is>
          <t>—</t>
        </is>
      </c>
      <c r="F146" s="10" t="inlineStr">
        <is>
          <t>—</t>
        </is>
      </c>
      <c r="G146" s="10" t="inlineStr">
        <is>
          <t>—</t>
        </is>
      </c>
      <c r="H146" s="7" t="n">
        <v>724107</v>
      </c>
      <c r="I146" s="7" t="n">
        <v>30873</v>
      </c>
      <c r="J146" s="7" t="n">
        <v>25723</v>
      </c>
      <c r="K146" s="3" t="n"/>
      <c r="L146" s="7" t="n">
        <v>130732</v>
      </c>
      <c r="M146" s="7" t="n">
        <v>134072</v>
      </c>
      <c r="N146" s="7" t="n">
        <v>112656</v>
      </c>
      <c r="O146" s="7" t="n">
        <v>87673</v>
      </c>
      <c r="P146" s="7" t="n">
        <v>59243</v>
      </c>
      <c r="Q146" s="7" t="n">
        <v>83964</v>
      </c>
      <c r="R146" s="7" t="n">
        <v>47191</v>
      </c>
      <c r="S146" s="7" t="n">
        <v>23645</v>
      </c>
      <c r="T146" s="7" t="n"/>
      <c r="U146" s="7" t="n"/>
      <c r="V146" s="7" t="n"/>
      <c r="W146" s="7" t="n"/>
      <c r="X146" s="7" t="n"/>
      <c r="Y146" s="7" t="n"/>
      <c r="AA146" s="9">
        <f>SUM(L146:Y146)</f>
        <v/>
      </c>
      <c r="AB146" s="9">
        <f>AA146-B146</f>
        <v/>
      </c>
    </row>
    <row r="147" customFormat="1" s="2">
      <c r="A147" s="1" t="inlineStr">
        <is>
          <t>[С.-Петербургская род.]</t>
        </is>
      </c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>
        <v>4290</v>
      </c>
      <c r="M147" s="3" t="n">
        <v>5648</v>
      </c>
      <c r="N147" s="3" t="n">
        <v>5209</v>
      </c>
      <c r="O147" s="3" t="n">
        <v>3637</v>
      </c>
      <c r="P147" s="3" t="n">
        <v>2709</v>
      </c>
      <c r="Q147" s="3" t="n">
        <v>3964</v>
      </c>
      <c r="R147" s="3" t="n">
        <v>2013</v>
      </c>
      <c r="S147" s="3" t="n">
        <v>3035</v>
      </c>
      <c r="T147" s="3" t="n"/>
      <c r="U147" s="3" t="n"/>
      <c r="V147" s="3" t="n"/>
      <c r="W147" s="3" t="n"/>
      <c r="X147" s="3" t="n"/>
      <c r="Y147" s="3" t="n"/>
      <c r="AA147" s="5">
        <f>SUM(L147:Y147)</f>
        <v/>
      </c>
      <c r="AB147" s="5">
        <f>C146-AA147</f>
        <v/>
      </c>
    </row>
    <row r="148" customFormat="1" s="2">
      <c r="A148" s="1" t="inlineStr">
        <is>
          <t>[С.-Петербургская ум.]</t>
        </is>
      </c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>
        <v>3405</v>
      </c>
      <c r="M148" s="3" t="n">
        <v>4373</v>
      </c>
      <c r="N148" s="3" t="n">
        <v>4259</v>
      </c>
      <c r="O148" s="3" t="n">
        <v>2737</v>
      </c>
      <c r="P148" s="3" t="n">
        <v>2348</v>
      </c>
      <c r="Q148" s="3" t="n">
        <v>3343</v>
      </c>
      <c r="R148" s="3" t="n">
        <v>1916</v>
      </c>
      <c r="S148" s="3" t="n">
        <v>2650</v>
      </c>
      <c r="T148" s="3" t="n"/>
      <c r="U148" s="3" t="n"/>
      <c r="V148" s="3" t="n"/>
      <c r="W148" s="3" t="n"/>
      <c r="X148" s="3" t="n"/>
      <c r="Y148" s="3" t="n"/>
      <c r="AA148" s="5">
        <f>SUM(L148:Y148)</f>
        <v/>
      </c>
      <c r="AB148" s="5">
        <f>AA148-D146</f>
        <v/>
      </c>
    </row>
    <row r="149" customFormat="1" s="8">
      <c r="A149" s="6" t="inlineStr">
        <is>
          <t>Саратовская</t>
        </is>
      </c>
      <c r="B149" s="7" t="n">
        <v>2433445</v>
      </c>
      <c r="C149" s="7" t="n">
        <v>125198</v>
      </c>
      <c r="D149" s="7" t="n">
        <v>95643</v>
      </c>
      <c r="E149" s="10" t="inlineStr">
        <is>
          <t>—</t>
        </is>
      </c>
      <c r="F149" s="10" t="inlineStr">
        <is>
          <t>—</t>
        </is>
      </c>
      <c r="G149" s="10" t="inlineStr">
        <is>
          <t>—</t>
        </is>
      </c>
      <c r="H149" s="7" t="n">
        <v>2354123</v>
      </c>
      <c r="I149" s="7" t="n">
        <v>124763</v>
      </c>
      <c r="J149" s="7" t="n">
        <v>84066</v>
      </c>
      <c r="K149" s="3" t="n"/>
      <c r="L149" s="7" t="n">
        <v>310783</v>
      </c>
      <c r="M149" s="7" t="n">
        <v>286878</v>
      </c>
      <c r="N149" s="7" t="n">
        <v>292791</v>
      </c>
      <c r="O149" s="7" t="n">
        <v>194683</v>
      </c>
      <c r="P149" s="7" t="n">
        <v>340792</v>
      </c>
      <c r="Q149" s="7" t="n">
        <v>182729</v>
      </c>
      <c r="R149" s="7" t="n">
        <v>251362</v>
      </c>
      <c r="S149" s="7" t="n">
        <v>2226</v>
      </c>
      <c r="T149" s="7" t="n">
        <v>203669</v>
      </c>
      <c r="U149" s="7" t="n">
        <v>142147</v>
      </c>
      <c r="V149" s="7" t="n"/>
      <c r="W149" s="7" t="n"/>
      <c r="X149" s="7" t="n"/>
      <c r="Y149" s="7" t="n"/>
      <c r="AA149" s="9">
        <f>SUM(L149:Y149)</f>
        <v/>
      </c>
      <c r="AB149" s="9">
        <f>AA149-B149</f>
        <v/>
      </c>
    </row>
    <row r="150" customFormat="1" s="2">
      <c r="A150" s="1" t="inlineStr">
        <is>
          <t>[Саратовская род.]</t>
        </is>
      </c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>
        <v>15232</v>
      </c>
      <c r="M150" s="3" t="n">
        <v>16264</v>
      </c>
      <c r="N150" s="3" t="n">
        <v>15816</v>
      </c>
      <c r="O150" s="3" t="n">
        <v>9428</v>
      </c>
      <c r="P150" s="3" t="n">
        <v>17729</v>
      </c>
      <c r="Q150" s="3" t="n">
        <v>9566</v>
      </c>
      <c r="R150" s="3" t="n">
        <v>11934</v>
      </c>
      <c r="S150" s="3" t="n">
        <v>12028</v>
      </c>
      <c r="T150" s="3" t="n">
        <v>9534</v>
      </c>
      <c r="U150" s="3" t="n">
        <v>7667</v>
      </c>
      <c r="V150" s="3" t="n"/>
      <c r="W150" s="3" t="n"/>
      <c r="X150" s="3" t="n"/>
      <c r="Y150" s="3" t="n"/>
      <c r="AA150" s="5">
        <f>SUM(L150:Y150)</f>
        <v/>
      </c>
      <c r="AB150" s="5">
        <f>C149-AA150</f>
        <v/>
      </c>
    </row>
    <row r="151" customFormat="1" s="2">
      <c r="A151" s="1" t="inlineStr">
        <is>
          <t>[Саратовская ум.]</t>
        </is>
      </c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>
        <v>12268</v>
      </c>
      <c r="M151" s="3" t="n">
        <v>14289</v>
      </c>
      <c r="N151" s="3" t="n">
        <v>11982</v>
      </c>
      <c r="O151" s="3" t="n">
        <v>5673</v>
      </c>
      <c r="P151" s="3" t="n">
        <v>12681</v>
      </c>
      <c r="Q151" s="3" t="n">
        <v>6855</v>
      </c>
      <c r="R151" s="3" t="n">
        <v>960</v>
      </c>
      <c r="S151" s="3" t="n">
        <v>10494</v>
      </c>
      <c r="T151" s="3" t="n">
        <v>6404</v>
      </c>
      <c r="U151" s="3" t="n">
        <v>5396</v>
      </c>
      <c r="V151" s="3" t="n"/>
      <c r="W151" s="3" t="n"/>
      <c r="X151" s="3" t="n"/>
      <c r="Y151" s="3" t="n"/>
      <c r="AA151" s="5">
        <f>SUM(L151:Y151)</f>
        <v/>
      </c>
      <c r="AB151" s="5">
        <f>AA151-D149</f>
        <v/>
      </c>
    </row>
    <row r="152" customFormat="1" s="8">
      <c r="A152" s="6" t="inlineStr">
        <is>
          <t>Симбирская</t>
        </is>
      </c>
      <c r="B152" s="7" t="n">
        <v>1688211</v>
      </c>
      <c r="C152" s="7" t="n">
        <v>76638</v>
      </c>
      <c r="D152" s="7" t="n">
        <v>64533</v>
      </c>
      <c r="E152" s="10" t="inlineStr">
        <is>
          <t>—</t>
        </is>
      </c>
      <c r="F152" s="10" t="inlineStr">
        <is>
          <t>—</t>
        </is>
      </c>
      <c r="G152" s="10" t="inlineStr">
        <is>
          <t>—</t>
        </is>
      </c>
      <c r="H152" s="7" t="n">
        <v>1603768</v>
      </c>
      <c r="I152" s="7" t="n">
        <v>79881</v>
      </c>
      <c r="J152" s="7" t="n">
        <v>53513</v>
      </c>
      <c r="K152" s="3" t="n"/>
      <c r="L152" s="7" t="n">
        <v>221522</v>
      </c>
      <c r="M152" s="7" t="n">
        <v>164241</v>
      </c>
      <c r="N152" s="7" t="n">
        <v>199650</v>
      </c>
      <c r="O152" s="7" t="n">
        <v>183651</v>
      </c>
      <c r="P152" s="7" t="n">
        <v>223613</v>
      </c>
      <c r="Q152" s="7" t="n">
        <v>154610</v>
      </c>
      <c r="R152" s="7" t="n"/>
      <c r="S152" s="7" t="n"/>
      <c r="T152" s="7" t="n"/>
      <c r="U152" s="7" t="n"/>
      <c r="V152" s="7" t="n"/>
      <c r="W152" s="7" t="n"/>
      <c r="X152" s="7" t="n"/>
      <c r="Y152" s="7" t="n"/>
      <c r="AA152" s="9">
        <f>SUM(L152:Y152)</f>
        <v/>
      </c>
      <c r="AB152" s="9">
        <f>AA152-B152</f>
        <v/>
      </c>
    </row>
    <row r="153" customFormat="1" s="2">
      <c r="A153" s="1" t="inlineStr">
        <is>
          <t>[Симбирская род.]</t>
        </is>
      </c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>
        <v>11146</v>
      </c>
      <c r="M153" s="3" t="n">
        <v>7754</v>
      </c>
      <c r="N153" s="3" t="n">
        <v>9593</v>
      </c>
      <c r="O153" s="3" t="n">
        <v>8399</v>
      </c>
      <c r="P153" s="3" t="n">
        <v>11469</v>
      </c>
      <c r="Q153" s="3" t="n">
        <v>7879</v>
      </c>
      <c r="R153" s="3" t="n"/>
      <c r="S153" s="3" t="n"/>
      <c r="T153" s="3" t="n"/>
      <c r="U153" s="3" t="n"/>
      <c r="V153" s="3" t="n"/>
      <c r="W153" s="3" t="n"/>
      <c r="X153" s="3" t="n"/>
      <c r="Y153" s="3" t="n"/>
      <c r="AA153" s="5">
        <f>SUM(L153:Y153)</f>
        <v/>
      </c>
      <c r="AB153" s="5">
        <f>C152-AA153</f>
        <v/>
      </c>
    </row>
    <row r="154" customFormat="1" s="2">
      <c r="A154" s="1" t="inlineStr">
        <is>
          <t>[Симбирская ум.]</t>
        </is>
      </c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>
        <v>9829</v>
      </c>
      <c r="M154" s="3" t="n">
        <v>6592</v>
      </c>
      <c r="N154" s="3" t="n">
        <v>8913</v>
      </c>
      <c r="O154" s="3" t="n">
        <v>659</v>
      </c>
      <c r="P154" s="3" t="n">
        <v>9515</v>
      </c>
      <c r="Q154" s="3" t="n">
        <v>6589</v>
      </c>
      <c r="R154" s="3" t="n"/>
      <c r="S154" s="3" t="n"/>
      <c r="T154" s="3" t="n"/>
      <c r="U154" s="3" t="n"/>
      <c r="V154" s="3" t="n"/>
      <c r="W154" s="3" t="n"/>
      <c r="X154" s="3" t="n"/>
      <c r="Y154" s="3" t="n"/>
      <c r="AA154" s="5">
        <f>SUM(L154:Y154)</f>
        <v/>
      </c>
      <c r="AB154" s="5">
        <f>AA154-D152</f>
        <v/>
      </c>
    </row>
    <row r="155" customFormat="1" s="8">
      <c r="A155" s="6" t="inlineStr">
        <is>
          <t>Смоленская</t>
        </is>
      </c>
      <c r="B155" s="7" t="n">
        <v>1432371</v>
      </c>
      <c r="C155" s="7" t="n">
        <v>77397</v>
      </c>
      <c r="D155" s="7" t="n">
        <v>57188</v>
      </c>
      <c r="E155" s="7" t="n">
        <v>119553</v>
      </c>
      <c r="F155" s="7" t="n">
        <v>3180</v>
      </c>
      <c r="G155" s="7" t="n">
        <v>2837</v>
      </c>
      <c r="H155" s="7" t="n">
        <v>1365943</v>
      </c>
      <c r="I155" s="7" t="n">
        <v>73982</v>
      </c>
      <c r="J155" s="7" t="n">
        <v>52395</v>
      </c>
      <c r="K155" s="3" t="n"/>
      <c r="L155" s="7" t="n">
        <v>144643</v>
      </c>
      <c r="M155" s="7" t="n">
        <v>100787</v>
      </c>
      <c r="N155" s="7" t="n">
        <v>129523</v>
      </c>
      <c r="O155" s="7" t="n">
        <v>101217</v>
      </c>
      <c r="P155" s="7" t="n">
        <v>100298</v>
      </c>
      <c r="Q155" s="7" t="n">
        <v>95896</v>
      </c>
      <c r="R155" s="7" t="n">
        <v>111095</v>
      </c>
      <c r="S155" s="7" t="n">
        <v>166718</v>
      </c>
      <c r="T155" s="7" t="n">
        <v>113174</v>
      </c>
      <c r="U155" s="7" t="n">
        <v>115885</v>
      </c>
      <c r="V155" s="7" t="n"/>
      <c r="W155" s="7" t="n"/>
      <c r="X155" s="7" t="n"/>
      <c r="Y155" s="7" t="n"/>
      <c r="AA155" s="9">
        <f>SUM(L155:Y155)</f>
        <v/>
      </c>
      <c r="AB155" s="9">
        <f>AA155-B155</f>
        <v/>
      </c>
    </row>
    <row r="156" customFormat="1" s="2">
      <c r="A156" s="1" t="inlineStr">
        <is>
          <t>[Смоленская род.]</t>
        </is>
      </c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>
        <v>6318</v>
      </c>
      <c r="M156" s="3" t="n">
        <v>4975</v>
      </c>
      <c r="N156" s="3" t="n">
        <v>5268</v>
      </c>
      <c r="O156" s="3" t="n">
        <v>5654</v>
      </c>
      <c r="P156" s="3" t="n">
        <v>7109</v>
      </c>
      <c r="Q156" s="3" t="n">
        <v>5137</v>
      </c>
      <c r="R156" s="3" t="n">
        <v>6515</v>
      </c>
      <c r="S156" s="3" t="n">
        <v>9294</v>
      </c>
      <c r="T156" s="3" t="n">
        <v>4734</v>
      </c>
      <c r="U156" s="3" t="n">
        <v>6567</v>
      </c>
      <c r="V156" s="3" t="n"/>
      <c r="W156" s="3" t="n"/>
      <c r="X156" s="3" t="n"/>
      <c r="Y156" s="3" t="n"/>
      <c r="AA156" s="5">
        <f>SUM(L156:Y156)</f>
        <v/>
      </c>
      <c r="AB156" s="5">
        <f>C155-AA156</f>
        <v/>
      </c>
    </row>
    <row r="157" customFormat="1" s="2">
      <c r="A157" s="1" t="inlineStr">
        <is>
          <t>[Смоленская ум.]</t>
        </is>
      </c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>
        <v>4516</v>
      </c>
      <c r="M157" s="3" t="n">
        <v>3986</v>
      </c>
      <c r="N157" s="3" t="n">
        <v>4892</v>
      </c>
      <c r="O157" s="3" t="n">
        <v>4420</v>
      </c>
      <c r="P157" s="3" t="n">
        <v>4749</v>
      </c>
      <c r="Q157" s="3" t="n">
        <v>3274</v>
      </c>
      <c r="R157" s="3" t="n">
        <v>4557</v>
      </c>
      <c r="S157" s="3" t="n">
        <v>6175</v>
      </c>
      <c r="T157" s="3" t="n">
        <v>4058</v>
      </c>
      <c r="U157" s="3" t="n">
        <v>4462</v>
      </c>
      <c r="V157" s="3" t="n"/>
      <c r="W157" s="3" t="n"/>
      <c r="X157" s="3" t="n"/>
      <c r="Y157" s="3" t="n"/>
      <c r="AA157" s="5">
        <f>SUM(L157:Y157)</f>
        <v/>
      </c>
      <c r="AB157" s="5">
        <f>AA157-D155</f>
        <v/>
      </c>
    </row>
    <row r="158" customFormat="1" s="8">
      <c r="A158" s="6" t="inlineStr">
        <is>
          <t>Таврическая</t>
        </is>
      </c>
      <c r="B158" s="7" t="n">
        <v>1141751</v>
      </c>
      <c r="C158" s="7" t="n">
        <v>59522</v>
      </c>
      <c r="D158" s="7" t="n">
        <v>34915</v>
      </c>
      <c r="E158" s="7" t="n">
        <v>199523</v>
      </c>
      <c r="F158" s="7" t="n">
        <v>9011</v>
      </c>
      <c r="G158" s="7" t="n">
        <v>6002</v>
      </c>
      <c r="H158" s="7" t="n">
        <v>1093620</v>
      </c>
      <c r="I158" s="7" t="n">
        <v>54952</v>
      </c>
      <c r="J158" s="7" t="n">
        <v>33882</v>
      </c>
      <c r="K158" s="3" t="n"/>
      <c r="L158" s="7" t="n">
        <v>117038</v>
      </c>
      <c r="M158" s="7" t="n">
        <v>286181</v>
      </c>
      <c r="N158" s="7" t="n">
        <v>183985</v>
      </c>
      <c r="O158" s="7" t="n">
        <v>47052</v>
      </c>
      <c r="P158" s="7" t="n">
        <v>3198351</v>
      </c>
      <c r="Q158" s="7" t="n">
        <v>31174</v>
      </c>
      <c r="R158" s="7" t="n">
        <v>81833</v>
      </c>
      <c r="S158" s="7" t="n">
        <v>47514</v>
      </c>
      <c r="T158" s="7" t="n"/>
      <c r="U158" s="7" t="n"/>
      <c r="V158" s="7" t="n"/>
      <c r="W158" s="7" t="n"/>
      <c r="X158" s="7" t="n"/>
      <c r="Y158" s="7" t="n"/>
      <c r="AA158" s="9">
        <f>SUM(L158:Y158)</f>
        <v/>
      </c>
      <c r="AB158" s="9">
        <f>AA158-B158</f>
        <v/>
      </c>
    </row>
    <row r="159" customFormat="1" s="2">
      <c r="A159" s="1" t="inlineStr">
        <is>
          <t>[Таврическая род.]</t>
        </is>
      </c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>
        <v>4680</v>
      </c>
      <c r="M159" s="3" t="n">
        <v>15436</v>
      </c>
      <c r="N159" s="3" t="n">
        <v>10361</v>
      </c>
      <c r="O159" s="3" t="n">
        <v>1541</v>
      </c>
      <c r="P159" s="3" t="n">
        <v>17335</v>
      </c>
      <c r="Q159" s="3" t="n">
        <v>2019</v>
      </c>
      <c r="R159" s="3" t="n">
        <v>4120</v>
      </c>
      <c r="S159" s="3" t="n">
        <v>2110</v>
      </c>
      <c r="T159" s="3" t="n"/>
      <c r="U159" s="3" t="n"/>
      <c r="V159" s="3" t="n"/>
      <c r="W159" s="3" t="n"/>
      <c r="X159" s="3" t="n"/>
      <c r="Y159" s="3" t="n"/>
      <c r="AA159" s="5">
        <f>SUM(L159:Y159)</f>
        <v/>
      </c>
      <c r="AB159" s="5">
        <f>C158-AA159</f>
        <v/>
      </c>
    </row>
    <row r="160" customFormat="1" s="2">
      <c r="A160" s="1" t="inlineStr">
        <is>
          <t>[Таврическая ум.]</t>
        </is>
      </c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>
        <v>2990</v>
      </c>
      <c r="M160" s="3" t="n">
        <v>10267</v>
      </c>
      <c r="N160" s="3" t="n">
        <v>4632</v>
      </c>
      <c r="O160" s="3" t="n">
        <v>648</v>
      </c>
      <c r="P160" s="3" t="n">
        <v>10746</v>
      </c>
      <c r="Q160" s="3" t="n">
        <v>898</v>
      </c>
      <c r="R160" s="3" t="n">
        <v>2521</v>
      </c>
      <c r="S160" s="3" t="n">
        <v>1071</v>
      </c>
      <c r="T160" s="3" t="n"/>
      <c r="U160" s="3" t="n"/>
      <c r="V160" s="3" t="n"/>
      <c r="W160" s="3" t="n"/>
      <c r="X160" s="3" t="n"/>
      <c r="Y160" s="3" t="n"/>
      <c r="AA160" s="5">
        <f>SUM(L160:Y160)</f>
        <v/>
      </c>
      <c r="AB160" s="5">
        <f>AA160-D158</f>
        <v/>
      </c>
    </row>
    <row r="161" customFormat="1" s="8">
      <c r="A161" s="6" t="inlineStr">
        <is>
          <t>Тамбовская</t>
        </is>
      </c>
      <c r="B161" s="7" t="n">
        <v>2900646</v>
      </c>
      <c r="C161" s="7" t="n">
        <v>133938</v>
      </c>
      <c r="D161" s="7" t="n">
        <v>105519</v>
      </c>
      <c r="E161" s="10" t="inlineStr">
        <is>
          <t>—</t>
        </is>
      </c>
      <c r="F161" s="10" t="inlineStr">
        <is>
          <t>—</t>
        </is>
      </c>
      <c r="G161" s="10" t="inlineStr">
        <is>
          <t>—</t>
        </is>
      </c>
      <c r="H161" s="7" t="n">
        <v>2780130</v>
      </c>
      <c r="I161" s="7" t="n">
        <v>139738</v>
      </c>
      <c r="J161" s="7" t="n">
        <v>90522</v>
      </c>
      <c r="K161" s="3" t="n"/>
      <c r="L161" s="7" t="n">
        <v>404590</v>
      </c>
      <c r="M161" s="7" t="n">
        <v>309244</v>
      </c>
      <c r="N161" s="7" t="n">
        <v>1862431</v>
      </c>
      <c r="O161" s="7" t="n">
        <v>286077</v>
      </c>
      <c r="P161" s="7" t="n">
        <v>389122</v>
      </c>
      <c r="Q161" s="7" t="n">
        <v>158289</v>
      </c>
      <c r="R161" s="7" t="n">
        <v>185309</v>
      </c>
      <c r="S161" s="7" t="n">
        <v>277436</v>
      </c>
      <c r="T161" s="7" t="n">
        <v>137804</v>
      </c>
      <c r="U161" s="7" t="n">
        <v>155691</v>
      </c>
      <c r="V161" s="7" t="n">
        <v>169547</v>
      </c>
      <c r="W161" s="7" t="n"/>
      <c r="X161" s="7" t="n"/>
      <c r="Y161" s="7" t="n"/>
      <c r="AA161" s="9">
        <f>SUM(L161:Y161)</f>
        <v/>
      </c>
      <c r="AB161" s="9">
        <f>AA161-B161</f>
        <v/>
      </c>
    </row>
    <row r="162" customFormat="1" s="2">
      <c r="A162" s="1" t="inlineStr">
        <is>
          <t>[Тамбовская род.]</t>
        </is>
      </c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>
        <v>19780</v>
      </c>
      <c r="M162" s="3" t="n">
        <v>15055</v>
      </c>
      <c r="N162" s="3" t="n">
        <v>9031</v>
      </c>
      <c r="O162" s="3" t="n">
        <v>14122</v>
      </c>
      <c r="P162" s="3" t="n">
        <v>17417</v>
      </c>
      <c r="Q162" s="3" t="n">
        <v>7807</v>
      </c>
      <c r="R162" s="3" t="n">
        <v>8414</v>
      </c>
      <c r="S162" s="3" t="n">
        <v>13290</v>
      </c>
      <c r="T162" s="3" t="n">
        <v>6725</v>
      </c>
      <c r="U162" s="3" t="n">
        <v>6801</v>
      </c>
      <c r="V162" s="3" t="n">
        <v>8031</v>
      </c>
      <c r="W162" s="3" t="n"/>
      <c r="X162" s="3" t="n"/>
      <c r="Y162" s="3" t="n"/>
      <c r="AA162" s="5">
        <f>SUM(L162:Y162)</f>
        <v/>
      </c>
      <c r="AB162" s="5">
        <f>C161-AA162</f>
        <v/>
      </c>
    </row>
    <row r="163" customFormat="1" s="2">
      <c r="A163" s="1" t="inlineStr">
        <is>
          <t>[Тамбовская ум.]</t>
        </is>
      </c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>
        <v>15434</v>
      </c>
      <c r="M163" s="3" t="n">
        <v>10139</v>
      </c>
      <c r="N163" s="3" t="n">
        <v>6074</v>
      </c>
      <c r="O163" s="3" t="n">
        <v>13115</v>
      </c>
      <c r="P163" s="3" t="n">
        <v>13362</v>
      </c>
      <c r="Q163" s="3" t="n">
        <v>6260</v>
      </c>
      <c r="R163" s="3" t="n">
        <v>6408</v>
      </c>
      <c r="S163" s="3" t="n">
        <v>10131</v>
      </c>
      <c r="T163" s="3" t="n">
        <v>5048</v>
      </c>
      <c r="U163" s="3" t="n">
        <v>5458</v>
      </c>
      <c r="V163" s="3" t="n">
        <v>5788</v>
      </c>
      <c r="W163" s="3" t="n"/>
      <c r="X163" s="3" t="n"/>
      <c r="Y163" s="3" t="n"/>
      <c r="AA163" s="5">
        <f>SUM(L163:Y163)</f>
        <v/>
      </c>
      <c r="AB163" s="5">
        <f>AA163-D161</f>
        <v/>
      </c>
    </row>
    <row r="164" customFormat="1" s="8">
      <c r="A164" s="6" t="inlineStr">
        <is>
          <t>Тверская</t>
        </is>
      </c>
      <c r="B164" s="7" t="n">
        <v>1851150</v>
      </c>
      <c r="C164" s="7" t="n">
        <v>85187</v>
      </c>
      <c r="D164" s="7" t="n">
        <v>62036</v>
      </c>
      <c r="E164" s="7" t="n">
        <v>151156</v>
      </c>
      <c r="F164" s="7" t="n">
        <v>4900</v>
      </c>
      <c r="G164" s="7" t="n">
        <v>4313</v>
      </c>
      <c r="H164" s="7" t="n">
        <v>1807497</v>
      </c>
      <c r="I164" s="7" t="n">
        <v>82938</v>
      </c>
      <c r="J164" s="7" t="n">
        <v>59246</v>
      </c>
      <c r="K164" s="3" t="n"/>
      <c r="L164" s="7" t="n">
        <v>165985</v>
      </c>
      <c r="M164" s="7" t="n">
        <v>244799</v>
      </c>
      <c r="N164" s="7" t="n">
        <v>174729</v>
      </c>
      <c r="O164" s="7" t="n">
        <v>116524</v>
      </c>
      <c r="P164" s="7" t="n">
        <v>136814</v>
      </c>
      <c r="Q164" s="7" t="n">
        <v>139951</v>
      </c>
      <c r="R164" s="7" t="n">
        <v>129805</v>
      </c>
      <c r="S164" s="7" t="n">
        <v>123917</v>
      </c>
      <c r="T164" s="7" t="n">
        <v>140821</v>
      </c>
      <c r="U164" s="7" t="n">
        <v>166565</v>
      </c>
      <c r="V164" s="7" t="n"/>
      <c r="W164" s="7" t="n"/>
      <c r="X164" s="7" t="n"/>
      <c r="Y164" s="7" t="n"/>
      <c r="AA164" s="9">
        <f>SUM(L164:Y164)</f>
        <v/>
      </c>
      <c r="AB164" s="9">
        <f>AA164-B164</f>
        <v/>
      </c>
    </row>
    <row r="165" customFormat="1" s="2">
      <c r="A165" s="1" t="inlineStr">
        <is>
          <t>[Тверская род.]</t>
        </is>
      </c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>
        <v>7567</v>
      </c>
      <c r="M165" s="3" t="n">
        <v>12365</v>
      </c>
      <c r="N165" s="3" t="n">
        <v>9823</v>
      </c>
      <c r="O165" s="3" t="n">
        <v>5014</v>
      </c>
      <c r="P165" s="3" t="n">
        <v>6035</v>
      </c>
      <c r="Q165" s="3" t="n">
        <v>5896</v>
      </c>
      <c r="R165" s="3" t="n">
        <v>6020</v>
      </c>
      <c r="S165" s="3" t="n">
        <v>6192</v>
      </c>
      <c r="T165" s="3" t="n">
        <v>7330</v>
      </c>
      <c r="U165" s="3" t="n">
        <v>6909</v>
      </c>
      <c r="V165" s="3" t="n"/>
      <c r="W165" s="3" t="n"/>
      <c r="X165" s="3" t="n"/>
      <c r="Y165" s="3" t="n"/>
      <c r="AA165" s="5">
        <f>SUM(L165:Y165)</f>
        <v/>
      </c>
      <c r="AB165" s="5">
        <f>C164-AA165</f>
        <v/>
      </c>
    </row>
    <row r="166" customFormat="1" s="2">
      <c r="A166" s="1" t="inlineStr">
        <is>
          <t>[Тверская ум.]</t>
        </is>
      </c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>
        <v>5619</v>
      </c>
      <c r="M166" s="3" t="n">
        <v>8455</v>
      </c>
      <c r="N166" s="3" t="n">
        <v>5085</v>
      </c>
      <c r="O166" s="3" t="n">
        <v>3704</v>
      </c>
      <c r="P166" s="3" t="n">
        <v>4696</v>
      </c>
      <c r="Q166" s="3" t="n">
        <v>4887</v>
      </c>
      <c r="R166" s="3" t="n">
        <v>4451</v>
      </c>
      <c r="S166" s="3" t="n">
        <v>4477</v>
      </c>
      <c r="T166" s="3" t="n">
        <v>5312</v>
      </c>
      <c r="U166" s="3" t="n">
        <v>4787</v>
      </c>
      <c r="V166" s="3" t="n"/>
      <c r="W166" s="3" t="n"/>
      <c r="X166" s="3" t="n"/>
      <c r="Y166" s="3" t="n"/>
      <c r="AA166" s="5">
        <f>SUM(L166:Y166)</f>
        <v/>
      </c>
      <c r="AB166" s="5">
        <f>AA166-D164</f>
        <v/>
      </c>
    </row>
    <row r="167" customFormat="1" s="8">
      <c r="A167" s="6" t="inlineStr">
        <is>
          <t>Тульская</t>
        </is>
      </c>
      <c r="B167" s="7" t="n">
        <v>1515581</v>
      </c>
      <c r="C167" s="7" t="n">
        <v>79257</v>
      </c>
      <c r="D167" s="7" t="n">
        <v>6035</v>
      </c>
      <c r="E167" s="7" t="n">
        <v>128298</v>
      </c>
      <c r="F167" s="7" t="n">
        <v>5091</v>
      </c>
      <c r="G167" s="7" t="n">
        <v>4815</v>
      </c>
      <c r="H167" s="7" t="n">
        <v>1465993</v>
      </c>
      <c r="I167" s="7" t="n">
        <v>74533</v>
      </c>
      <c r="J167" s="7" t="n">
        <v>55740</v>
      </c>
      <c r="K167" s="3" t="n"/>
      <c r="L167" s="7" t="n">
        <v>164814</v>
      </c>
      <c r="M167" s="7" t="n">
        <v>91556</v>
      </c>
      <c r="N167" s="7" t="n">
        <v>173412</v>
      </c>
      <c r="O167" s="7" t="n">
        <v>87370</v>
      </c>
      <c r="P167" s="7" t="n">
        <v>126248</v>
      </c>
      <c r="Q167" s="7" t="n">
        <v>138791</v>
      </c>
      <c r="R167" s="7" t="n">
        <v>174518</v>
      </c>
      <c r="S167" s="7" t="n">
        <v>82219</v>
      </c>
      <c r="T167" s="7" t="n">
        <v>107751</v>
      </c>
      <c r="U167" s="7" t="n">
        <v>152079</v>
      </c>
      <c r="V167" s="7" t="n">
        <v>102478</v>
      </c>
      <c r="W167" s="7" t="n">
        <v>114545</v>
      </c>
      <c r="X167" s="7" t="n"/>
      <c r="Y167" s="7" t="n"/>
      <c r="AA167" s="9">
        <f>SUM(L167:Y167)</f>
        <v/>
      </c>
      <c r="AB167" s="9">
        <f>AA167-B167</f>
        <v/>
      </c>
    </row>
    <row r="168" customFormat="1" s="2">
      <c r="A168" s="1" t="inlineStr">
        <is>
          <t>[Тульская род.]</t>
        </is>
      </c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>
        <v>8712</v>
      </c>
      <c r="M168" s="3" t="n">
        <v>4222</v>
      </c>
      <c r="N168" s="3" t="n">
        <v>9858</v>
      </c>
      <c r="O168" s="3" t="n">
        <v>3753</v>
      </c>
      <c r="P168" s="3" t="n">
        <v>5998</v>
      </c>
      <c r="Q168" s="3" t="n">
        <v>6953</v>
      </c>
      <c r="R168" s="3" t="n">
        <v>9521</v>
      </c>
      <c r="S168" s="3" t="n">
        <v>4086</v>
      </c>
      <c r="T168" s="3" t="n">
        <v>6051</v>
      </c>
      <c r="U168" s="3" t="n">
        <v>8469</v>
      </c>
      <c r="V168" s="3" t="n">
        <v>5299</v>
      </c>
      <c r="W168" s="3" t="n">
        <v>6335</v>
      </c>
      <c r="X168" s="3" t="n"/>
      <c r="Y168" s="3" t="n"/>
      <c r="AA168" s="5">
        <f>SUM(L168:Y168)</f>
        <v/>
      </c>
      <c r="AB168" s="5">
        <f>C167-AA168</f>
        <v/>
      </c>
    </row>
    <row r="169" customFormat="1" s="2">
      <c r="A169" s="1" t="inlineStr">
        <is>
          <t>[Тульская ум.]</t>
        </is>
      </c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>
        <v>8383</v>
      </c>
      <c r="M169" s="3" t="n">
        <v>2865</v>
      </c>
      <c r="N169" s="3" t="n">
        <v>7410</v>
      </c>
      <c r="O169" s="3" t="n">
        <v>286</v>
      </c>
      <c r="P169" s="3" t="n">
        <v>4066</v>
      </c>
      <c r="Q169" s="3" t="n">
        <v>4982</v>
      </c>
      <c r="R169" s="3" t="n">
        <v>7504</v>
      </c>
      <c r="S169" s="3" t="n">
        <v>3715</v>
      </c>
      <c r="T169" s="3" t="n">
        <v>461</v>
      </c>
      <c r="U169" s="3" t="n">
        <v>5712</v>
      </c>
      <c r="V169" s="3" t="n">
        <v>4243</v>
      </c>
      <c r="W169" s="3" t="n">
        <v>4003</v>
      </c>
      <c r="X169" s="3" t="n"/>
      <c r="Y169" s="3" t="n"/>
      <c r="AA169" s="5">
        <f>SUM(L169:Y169)</f>
        <v/>
      </c>
      <c r="AB169" s="5">
        <f>AA169-D167</f>
        <v/>
      </c>
    </row>
    <row r="170" customFormat="1" s="8">
      <c r="A170" s="6" t="inlineStr">
        <is>
          <t>Уфимская</t>
        </is>
      </c>
      <c r="B170" s="7" t="n">
        <v>205787</v>
      </c>
      <c r="C170" s="7" t="n">
        <v>95722</v>
      </c>
      <c r="D170" s="7" t="n">
        <v>6300</v>
      </c>
      <c r="E170" s="7" t="n">
        <v>82923</v>
      </c>
      <c r="F170" s="7" t="n">
        <v>4095</v>
      </c>
      <c r="G170" s="7" t="n">
        <v>3189</v>
      </c>
      <c r="H170" s="7" t="n">
        <v>1980113</v>
      </c>
      <c r="I170" s="7" t="n">
        <v>93603</v>
      </c>
      <c r="J170" s="7" t="n">
        <v>62562</v>
      </c>
      <c r="K170" s="3" t="n"/>
      <c r="L170" s="7" t="n">
        <v>330397</v>
      </c>
      <c r="M170" s="7" t="n">
        <v>392742</v>
      </c>
      <c r="N170" s="7" t="n">
        <v>463249</v>
      </c>
      <c r="O170" s="7" t="n">
        <v>173047</v>
      </c>
      <c r="P170" s="7" t="n">
        <v>375068</v>
      </c>
      <c r="Q170" s="7" t="n">
        <v>316590</v>
      </c>
      <c r="R170" s="7" t="n"/>
      <c r="S170" s="7" t="n"/>
      <c r="T170" s="7" t="n"/>
      <c r="U170" s="7" t="n"/>
      <c r="V170" s="7" t="n"/>
      <c r="W170" s="7" t="n"/>
      <c r="X170" s="7" t="n"/>
      <c r="Y170" s="7" t="n"/>
      <c r="AA170" s="9">
        <f>SUM(L170:Y170)</f>
        <v/>
      </c>
      <c r="AB170" s="9">
        <f>AA170-B170</f>
        <v/>
      </c>
    </row>
    <row r="171" customFormat="1" s="2">
      <c r="A171" s="1" t="inlineStr">
        <is>
          <t>[Уфимская род.]</t>
        </is>
      </c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>
        <v>17022</v>
      </c>
      <c r="M171" s="3" t="n">
        <v>15579</v>
      </c>
      <c r="N171" s="3" t="n">
        <v>21386</v>
      </c>
      <c r="O171" s="3" t="n">
        <v>9967</v>
      </c>
      <c r="P171" s="3" t="n">
        <v>17275</v>
      </c>
      <c r="Q171" s="3" t="n">
        <v>15394</v>
      </c>
      <c r="R171" s="3" t="n"/>
      <c r="S171" s="3" t="n"/>
      <c r="T171" s="3" t="n"/>
      <c r="U171" s="3" t="n"/>
      <c r="V171" s="3" t="n"/>
      <c r="W171" s="3" t="n"/>
      <c r="X171" s="3" t="n"/>
      <c r="Y171" s="3" t="n"/>
      <c r="AA171" s="5">
        <f>SUM(L171:Y171)</f>
        <v/>
      </c>
      <c r="AB171" s="5">
        <f>C170-AA171</f>
        <v/>
      </c>
    </row>
    <row r="172" customFormat="1" s="2">
      <c r="A172" s="1" t="inlineStr">
        <is>
          <t>[Уфимская ум.]</t>
        </is>
      </c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>
        <v>1186</v>
      </c>
      <c r="M172" s="3" t="n">
        <v>12393</v>
      </c>
      <c r="N172" s="3" t="n">
        <v>13799</v>
      </c>
      <c r="O172" s="3" t="n">
        <v>7669</v>
      </c>
      <c r="P172" s="3" t="n">
        <v>12159</v>
      </c>
      <c r="Q172" s="3" t="n">
        <v>10123</v>
      </c>
      <c r="R172" s="3" t="n"/>
      <c r="S172" s="3" t="n"/>
      <c r="T172" s="3" t="n"/>
      <c r="U172" s="3" t="n"/>
      <c r="V172" s="3" t="n"/>
      <c r="W172" s="3" t="n"/>
      <c r="X172" s="3" t="n"/>
      <c r="Y172" s="3" t="n"/>
      <c r="AA172" s="5">
        <f>SUM(L172:Y172)</f>
        <v/>
      </c>
      <c r="AB172" s="5">
        <f>AA172-D170</f>
        <v/>
      </c>
    </row>
    <row r="173" customFormat="1" s="8">
      <c r="A173" s="6" t="inlineStr">
        <is>
          <t>Харьковская</t>
        </is>
      </c>
      <c r="B173" s="7" t="n">
        <v>2465565</v>
      </c>
      <c r="C173" s="7" t="n">
        <v>115718</v>
      </c>
      <c r="D173" s="7" t="n">
        <v>93117</v>
      </c>
      <c r="E173" s="10" t="inlineStr">
        <is>
          <t>—</t>
        </is>
      </c>
      <c r="F173" s="10" t="inlineStr">
        <is>
          <t>—</t>
        </is>
      </c>
      <c r="G173" s="10" t="inlineStr">
        <is>
          <t>—</t>
        </is>
      </c>
      <c r="H173" s="7" t="n">
        <v>2366337</v>
      </c>
      <c r="I173" s="7" t="n">
        <v>118072</v>
      </c>
      <c r="J173" s="7" t="n">
        <v>83433</v>
      </c>
      <c r="K173" s="3" t="n"/>
      <c r="L173" s="7" t="n">
        <v>363328</v>
      </c>
      <c r="M173" s="7" t="n">
        <v>143178</v>
      </c>
      <c r="N173" s="7" t="n">
        <v>154827</v>
      </c>
      <c r="O173" s="7" t="n">
        <v>125548</v>
      </c>
      <c r="P173" s="7" t="n">
        <v>161645</v>
      </c>
      <c r="Q173" s="7" t="n">
        <v>307783</v>
      </c>
      <c r="R173" s="7" t="n">
        <v>167719</v>
      </c>
      <c r="S173" s="7" t="n">
        <v>35286</v>
      </c>
      <c r="T173" s="7" t="n">
        <v>205779</v>
      </c>
      <c r="U173" s="7" t="n"/>
      <c r="V173" s="7" t="n"/>
      <c r="W173" s="7" t="n"/>
      <c r="X173" s="7" t="n"/>
      <c r="Y173" s="7" t="n"/>
      <c r="AA173" s="9">
        <f>SUM(L173:Y173)</f>
        <v/>
      </c>
      <c r="AB173" s="9">
        <f>AA173-B173</f>
        <v/>
      </c>
    </row>
    <row r="174" customFormat="1" s="2">
      <c r="A174" s="1" t="inlineStr">
        <is>
          <t>[Харьковская род.]</t>
        </is>
      </c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>
        <v>13556</v>
      </c>
      <c r="M174" s="3" t="n">
        <v>7113</v>
      </c>
      <c r="N174" s="3" t="n">
        <v>7253</v>
      </c>
      <c r="O174" s="3" t="n">
        <v>6498</v>
      </c>
      <c r="P174" s="3" t="n">
        <v>8974</v>
      </c>
      <c r="Q174" s="3" t="n">
        <v>14454</v>
      </c>
      <c r="R174" s="3" t="n">
        <v>8563</v>
      </c>
      <c r="S174" s="3" t="n">
        <v>19978</v>
      </c>
      <c r="T174" s="3" t="n">
        <v>10272</v>
      </c>
      <c r="U174" s="3" t="n"/>
      <c r="V174" s="3" t="n"/>
      <c r="W174" s="3" t="n"/>
      <c r="X174" s="3" t="n"/>
      <c r="Y174" s="3" t="n"/>
      <c r="AA174" s="5">
        <f>SUM(L174:Y174)</f>
        <v/>
      </c>
      <c r="AB174" s="5">
        <f>C173-AA174</f>
        <v/>
      </c>
    </row>
    <row r="175" customFormat="1" s="2">
      <c r="A175" s="1" t="inlineStr">
        <is>
          <t>[Харьковская ум.]</t>
        </is>
      </c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>
        <v>9629</v>
      </c>
      <c r="M175" s="3" t="n">
        <v>4714</v>
      </c>
      <c r="N175" s="3" t="n">
        <v>5330</v>
      </c>
      <c r="O175" s="3" t="n">
        <v>4797</v>
      </c>
      <c r="P175" s="3" t="n">
        <v>7199</v>
      </c>
      <c r="Q175" s="3" t="n">
        <v>10792</v>
      </c>
      <c r="R175" s="3" t="n">
        <v>6361</v>
      </c>
      <c r="S175" s="3" t="n">
        <v>16822</v>
      </c>
      <c r="T175" s="3" t="n">
        <v>8603</v>
      </c>
      <c r="U175" s="3" t="n"/>
      <c r="V175" s="3" t="n"/>
      <c r="W175" s="3" t="n"/>
      <c r="X175" s="3" t="n"/>
      <c r="Y175" s="3" t="n"/>
      <c r="AA175" s="5">
        <f>SUM(L175:Y175)</f>
        <v/>
      </c>
      <c r="AB175" s="5">
        <f>AA175-D173</f>
        <v/>
      </c>
    </row>
    <row r="176" customFormat="1" s="8">
      <c r="A176" s="6" t="inlineStr">
        <is>
          <t>Херсонская</t>
        </is>
      </c>
      <c r="B176" s="7" t="n">
        <v>1849664</v>
      </c>
      <c r="C176" s="7" t="n">
        <v>9749</v>
      </c>
      <c r="D176" s="7" t="n">
        <v>602</v>
      </c>
      <c r="E176" s="7" t="n">
        <v>290205</v>
      </c>
      <c r="F176" s="7" t="n">
        <v>14825</v>
      </c>
      <c r="G176" s="7" t="n">
        <v>9717</v>
      </c>
      <c r="H176" s="7" t="n">
        <v>1788319</v>
      </c>
      <c r="I176" s="7" t="n">
        <v>98970</v>
      </c>
      <c r="J176" s="7" t="n">
        <v>56301</v>
      </c>
      <c r="K176" s="3" t="n"/>
      <c r="L176" s="7" t="n">
        <v>424667</v>
      </c>
      <c r="M176" s="7" t="n">
        <v>499934</v>
      </c>
      <c r="N176" s="7" t="n">
        <v>165567</v>
      </c>
      <c r="O176" s="7" t="n">
        <v>205896</v>
      </c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AA176" s="9">
        <f>SUM(L176:Y176)</f>
        <v/>
      </c>
      <c r="AB176" s="9">
        <f>AA176-B176</f>
        <v/>
      </c>
    </row>
    <row r="177" customFormat="1" s="2">
      <c r="A177" s="1" t="inlineStr">
        <is>
          <t>[Херсонская род.]</t>
        </is>
      </c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>
        <v>21717</v>
      </c>
      <c r="M177" s="3" t="n">
        <v>26115</v>
      </c>
      <c r="N177" s="3" t="n">
        <v>10054</v>
      </c>
      <c r="O177" s="3" t="n">
        <v>9752</v>
      </c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AA177" s="5">
        <f>SUM(L177:Y177)</f>
        <v/>
      </c>
      <c r="AB177" s="5">
        <f>C176-AA177</f>
        <v/>
      </c>
    </row>
    <row r="178" customFormat="1" s="2">
      <c r="A178" s="1" t="inlineStr">
        <is>
          <t>[Херсонская ум.]</t>
        </is>
      </c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>
        <v>14164</v>
      </c>
      <c r="M178" s="3" t="n">
        <v>15760</v>
      </c>
      <c r="N178" s="3" t="n">
        <v>5159</v>
      </c>
      <c r="O178" s="3" t="n">
        <v>5475</v>
      </c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AA178" s="5">
        <f>SUM(L178:Y178)</f>
        <v/>
      </c>
      <c r="AB178" s="5">
        <f>AA178-D176</f>
        <v/>
      </c>
    </row>
    <row r="179" customFormat="1" s="8">
      <c r="A179" s="6" t="inlineStr">
        <is>
          <t>Черниговская</t>
        </is>
      </c>
      <c r="B179" s="7" t="n">
        <v>2002804</v>
      </c>
      <c r="C179" s="7" t="n">
        <v>175593</v>
      </c>
      <c r="D179" s="7" t="n">
        <v>67149</v>
      </c>
      <c r="E179" s="7" t="n">
        <v>212547</v>
      </c>
      <c r="F179" s="7" t="n">
        <v>6874</v>
      </c>
      <c r="G179" s="7" t="n">
        <v>5169</v>
      </c>
      <c r="H179" s="7" t="n">
        <v>2162199</v>
      </c>
      <c r="I179" s="7" t="n">
        <v>106631</v>
      </c>
      <c r="J179" s="7" t="n">
        <v>67074</v>
      </c>
      <c r="K179" s="3" t="n"/>
      <c r="L179" s="7" t="n">
        <v>161199</v>
      </c>
      <c r="M179" s="7" t="n">
        <v>153923</v>
      </c>
      <c r="N179" s="7" t="n">
        <v>137594</v>
      </c>
      <c r="O179" s="7" t="n">
        <v>170182</v>
      </c>
      <c r="P179" s="7" t="n">
        <v>124246</v>
      </c>
      <c r="Q179" s="7" t="n">
        <v>135456</v>
      </c>
      <c r="R179" s="7" t="n">
        <v>138090</v>
      </c>
      <c r="S179" s="7" t="n">
        <v>177089</v>
      </c>
      <c r="T179" s="7" t="n">
        <v>173173</v>
      </c>
      <c r="U179" s="7" t="n">
        <v>136310</v>
      </c>
      <c r="V179" s="7" t="n">
        <v>149793</v>
      </c>
      <c r="W179" s="7" t="n">
        <v>166979</v>
      </c>
      <c r="X179" s="7" t="n">
        <v>178770</v>
      </c>
      <c r="Y179" s="7" t="n"/>
      <c r="AA179" s="9">
        <f>SUM(L179:Y179)</f>
        <v/>
      </c>
      <c r="AB179" s="9">
        <f>AA179-B179</f>
        <v/>
      </c>
    </row>
    <row r="180" customFormat="1" s="2">
      <c r="A180" s="1" t="inlineStr">
        <is>
          <t>[Черниговская род.]</t>
        </is>
      </c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>
        <v>7137</v>
      </c>
      <c r="M180" s="3" t="n">
        <v>6706</v>
      </c>
      <c r="N180" s="3" t="n">
        <v>6099</v>
      </c>
      <c r="O180" s="3" t="n">
        <v>6232</v>
      </c>
      <c r="P180" s="3" t="n">
        <v>5827</v>
      </c>
      <c r="Q180" s="3" t="n">
        <v>6447</v>
      </c>
      <c r="R180" s="3" t="n">
        <v>7186</v>
      </c>
      <c r="S180" s="3" t="n">
        <v>8182</v>
      </c>
      <c r="T180" s="3" t="n">
        <v>1525</v>
      </c>
      <c r="U180" s="3" t="n">
        <v>6788</v>
      </c>
      <c r="V180" s="3" t="n">
        <v>97384</v>
      </c>
      <c r="W180" s="3" t="n">
        <v>6973</v>
      </c>
      <c r="X180" s="3" t="n">
        <v>9107</v>
      </c>
      <c r="Y180" s="3" t="n"/>
      <c r="AA180" s="5">
        <f>SUM(L180:Y180)</f>
        <v/>
      </c>
      <c r="AB180" s="5">
        <f>C179-AA180</f>
        <v/>
      </c>
    </row>
    <row r="181" customFormat="1" s="2">
      <c r="A181" s="1" t="inlineStr">
        <is>
          <t>[Черниговская ум.]</t>
        </is>
      </c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>
        <v>5758</v>
      </c>
      <c r="M181" s="3" t="n">
        <v>6068</v>
      </c>
      <c r="N181" s="3" t="n">
        <v>4151</v>
      </c>
      <c r="O181" s="3" t="n">
        <v>5397</v>
      </c>
      <c r="P181" s="3" t="n">
        <v>3925</v>
      </c>
      <c r="Q181" s="3" t="n">
        <v>4772</v>
      </c>
      <c r="R181" s="3" t="n">
        <v>4473</v>
      </c>
      <c r="S181" s="3" t="n">
        <v>5250</v>
      </c>
      <c r="T181" s="3" t="n">
        <v>6557</v>
      </c>
      <c r="U181" s="3" t="n">
        <v>5114</v>
      </c>
      <c r="V181" s="3" t="n">
        <v>5821</v>
      </c>
      <c r="W181" s="3" t="n">
        <v>4525</v>
      </c>
      <c r="X181" s="3" t="n">
        <v>5338</v>
      </c>
      <c r="Y181" s="3" t="n"/>
      <c r="AA181" s="5">
        <f>SUM(L181:Y181)</f>
        <v/>
      </c>
      <c r="AB181" s="5">
        <f>AA181-D179</f>
        <v/>
      </c>
    </row>
    <row r="182" customFormat="1" s="8">
      <c r="A182" s="6" t="inlineStr">
        <is>
          <t>Ярославская</t>
        </is>
      </c>
      <c r="B182" s="7" t="n">
        <v>1198269</v>
      </c>
      <c r="C182" s="7" t="n">
        <v>44232</v>
      </c>
      <c r="D182" s="7" t="n">
        <v>39021</v>
      </c>
      <c r="E182" s="7" t="n">
        <v>170309</v>
      </c>
      <c r="F182" s="7" t="n">
        <v>4708</v>
      </c>
      <c r="G182" s="7" t="n">
        <v>5046</v>
      </c>
      <c r="H182" s="7" t="n">
        <v>1156469</v>
      </c>
      <c r="I182" s="7" t="n">
        <v>44190</v>
      </c>
      <c r="J182" s="7" t="n">
        <v>35264</v>
      </c>
      <c r="K182" s="3" t="n"/>
      <c r="L182" s="7" t="n">
        <v>220266</v>
      </c>
      <c r="M182" s="7" t="n">
        <v>76957</v>
      </c>
      <c r="N182" s="7" t="n">
        <v>700</v>
      </c>
      <c r="O182" s="7" t="n">
        <v>123921</v>
      </c>
      <c r="P182" s="7" t="n">
        <v>86093</v>
      </c>
      <c r="Q182" s="7" t="n">
        <v>111120</v>
      </c>
      <c r="R182" s="7" t="n">
        <v>82088</v>
      </c>
      <c r="S182" s="7" t="n">
        <v>167893</v>
      </c>
      <c r="T182" s="7" t="n">
        <v>119382</v>
      </c>
      <c r="U182" s="7" t="n">
        <v>0</v>
      </c>
      <c r="V182" s="7" t="n"/>
      <c r="W182" s="7" t="n"/>
      <c r="X182" s="7" t="n"/>
      <c r="Y182" s="7" t="n"/>
      <c r="AA182" s="9">
        <f>SUM(L182:Y182)</f>
        <v/>
      </c>
      <c r="AB182" s="9">
        <f>AA182-B182</f>
        <v/>
      </c>
    </row>
    <row r="183" customFormat="1" s="2">
      <c r="A183" s="1" t="inlineStr">
        <is>
          <t>[Ярославская род.]</t>
        </is>
      </c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>
        <v>8712</v>
      </c>
      <c r="M183" s="3" t="n">
        <v>2586</v>
      </c>
      <c r="N183" s="3" t="n">
        <v>2</v>
      </c>
      <c r="O183" s="3" t="n">
        <v>5402</v>
      </c>
      <c r="P183" s="3" t="n">
        <v>3774</v>
      </c>
      <c r="Q183" s="3" t="n">
        <v>4260</v>
      </c>
      <c r="R183" s="3" t="n">
        <v>3111</v>
      </c>
      <c r="S183" s="3" t="n">
        <v>6625</v>
      </c>
      <c r="T183" s="3" t="n">
        <v>3323</v>
      </c>
      <c r="U183" s="3" t="n">
        <v>9</v>
      </c>
      <c r="V183" s="3" t="n"/>
      <c r="W183" s="3" t="n"/>
      <c r="X183" s="3" t="n"/>
      <c r="Y183" s="3" t="n"/>
      <c r="AA183" s="5">
        <f>SUM(L183:Y183)</f>
        <v/>
      </c>
      <c r="AB183" s="5">
        <f>C182-AA183</f>
        <v/>
      </c>
    </row>
    <row r="184" customFormat="1" s="2">
      <c r="A184" s="1" t="inlineStr">
        <is>
          <t>[Ярославская ум.]</t>
        </is>
      </c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>
        <v>84714</v>
      </c>
      <c r="M184" s="3" t="n">
        <v>2393</v>
      </c>
      <c r="N184" s="3" t="n">
        <v>2367</v>
      </c>
      <c r="O184" s="3" t="n">
        <v>4582</v>
      </c>
      <c r="P184" s="3" t="n">
        <v>2905</v>
      </c>
      <c r="Q184" s="3" t="n">
        <v>3731</v>
      </c>
      <c r="R184" s="3" t="n">
        <v>2584</v>
      </c>
      <c r="S184" s="3" t="n">
        <v>5964</v>
      </c>
      <c r="T184" s="3" t="n">
        <v>3029</v>
      </c>
      <c r="U184" s="3" t="n">
        <v>110470</v>
      </c>
      <c r="V184" s="3" t="n"/>
      <c r="W184" s="3" t="n"/>
      <c r="X184" s="3" t="n"/>
      <c r="Y184" s="3" t="n"/>
      <c r="AA184" s="5">
        <f>SUM(L184:Y184)</f>
        <v/>
      </c>
      <c r="AB184" s="5">
        <f>AA184-D182</f>
        <v/>
      </c>
    </row>
    <row r="185" customFormat="1" s="13">
      <c r="A185" s="11" t="inlineStr">
        <is>
          <t>Итого в земских губерниях</t>
        </is>
      </c>
      <c r="B185" s="12" t="n">
        <v>64669596</v>
      </c>
      <c r="C185" s="12" t="n">
        <v>3135222</v>
      </c>
      <c r="D185" s="12" t="n">
        <v>2429404</v>
      </c>
      <c r="E185" s="12" t="n">
        <v>6473046</v>
      </c>
      <c r="F185" s="12" t="n">
        <v>237662</v>
      </c>
      <c r="G185" s="12" t="n">
        <v>200792</v>
      </c>
      <c r="H185" s="12" t="n">
        <v>62750615</v>
      </c>
      <c r="I185" s="12" t="n">
        <v>3114518</v>
      </c>
      <c r="J185" s="12" t="n">
        <v>2162627</v>
      </c>
      <c r="K185" s="3" t="n"/>
      <c r="L185" s="12" t="n"/>
      <c r="M185" s="12" t="n"/>
      <c r="N185" s="12" t="n"/>
      <c r="O185" s="12" t="n"/>
      <c r="P185" s="12" t="n"/>
      <c r="Q185" s="12" t="n"/>
      <c r="R185" s="12" t="n"/>
      <c r="S185" s="12" t="n"/>
      <c r="T185" s="12" t="n"/>
      <c r="U185" s="12" t="n"/>
      <c r="V185" s="12" t="n"/>
      <c r="W185" s="12" t="n"/>
      <c r="X185" s="12" t="n"/>
      <c r="Y185" s="12" t="n"/>
      <c r="AA185" s="14" t="n"/>
      <c r="AB185" s="14" t="n"/>
      <c r="AD185" s="14">
        <f>SUM(B81:B184)</f>
        <v/>
      </c>
      <c r="AE185" s="14">
        <f>SUM(C81:C184)</f>
        <v/>
      </c>
      <c r="AF185" s="14">
        <f>SUM(D81:D184)</f>
        <v/>
      </c>
      <c r="AG185" s="14">
        <f>SUM(E81:E184)</f>
        <v/>
      </c>
      <c r="AH185" s="14">
        <f>SUM(F81:F184)</f>
        <v/>
      </c>
      <c r="AI185" s="14">
        <f>SUM(G81:G184)</f>
        <v/>
      </c>
      <c r="AJ185" s="14">
        <f>SUM(H81:H184)</f>
        <v/>
      </c>
      <c r="AK185" s="14">
        <f>SUM(I81:I184)</f>
        <v/>
      </c>
      <c r="AL185" s="14">
        <f>SUM(J81:J184)</f>
        <v/>
      </c>
      <c r="AN185" s="14">
        <f>AD185-B185</f>
        <v/>
      </c>
      <c r="AO185" s="14">
        <f>AE185-C185</f>
        <v/>
      </c>
      <c r="AP185" s="14">
        <f>AF185-D185</f>
        <v/>
      </c>
      <c r="AQ185" s="14">
        <f>AG185-E185</f>
        <v/>
      </c>
      <c r="AR185" s="14">
        <f>AH185-F185</f>
        <v/>
      </c>
      <c r="AS185" s="14">
        <f>AI185-G185</f>
        <v/>
      </c>
      <c r="AT185" s="14">
        <f>AJ185-H185</f>
        <v/>
      </c>
      <c r="AU185" s="14">
        <f>AK185-I185</f>
        <v/>
      </c>
      <c r="AV185" s="14">
        <f>AL185-J185</f>
        <v/>
      </c>
    </row>
    <row r="186" customFormat="1" s="2">
      <c r="A186" s="1" t="inlineStr">
        <is>
          <t>Область Войска Донского</t>
        </is>
      </c>
      <c r="B186" s="3" t="n">
        <v>2075878</v>
      </c>
      <c r="C186" s="3" t="n">
        <v>116779</v>
      </c>
      <c r="D186" s="3" t="n">
        <v>69145</v>
      </c>
      <c r="E186" s="4" t="inlineStr">
        <is>
          <t>—</t>
        </is>
      </c>
      <c r="F186" s="4" t="inlineStr">
        <is>
          <t>—</t>
        </is>
      </c>
      <c r="G186" s="4" t="inlineStr">
        <is>
          <t>—</t>
        </is>
      </c>
      <c r="H186" s="3" t="n">
        <v>1860630</v>
      </c>
      <c r="I186" s="3" t="n">
        <v>115632</v>
      </c>
      <c r="J186" s="3" t="n">
        <v>68804</v>
      </c>
      <c r="K186" s="3" t="n"/>
      <c r="L186" s="3" t="n">
        <v>138476</v>
      </c>
      <c r="M186" s="3" t="n">
        <v>215617</v>
      </c>
      <c r="N186" s="3" t="n">
        <v>193743</v>
      </c>
      <c r="O186" s="3" t="n">
        <v>401782</v>
      </c>
      <c r="P186" s="3" t="n">
        <v>296391</v>
      </c>
      <c r="Q186" s="3" t="n">
        <v>60515</v>
      </c>
      <c r="R186" s="3" t="n">
        <v>363563</v>
      </c>
      <c r="S186" s="3" t="n">
        <v>201459</v>
      </c>
      <c r="T186" s="3" t="n">
        <v>207232</v>
      </c>
      <c r="U186" s="3" t="n"/>
      <c r="V186" s="3" t="n"/>
      <c r="W186" s="3" t="n"/>
      <c r="X186" s="3" t="n"/>
      <c r="Y186" s="3" t="n"/>
      <c r="AA186" s="5">
        <f>SUM(L186:Y186)</f>
        <v/>
      </c>
      <c r="AB186" s="5">
        <f>AA186-B186</f>
        <v/>
      </c>
    </row>
    <row r="187" customFormat="1" s="2">
      <c r="A187" s="1" t="inlineStr">
        <is>
          <t>[Область Войска Донского род.]</t>
        </is>
      </c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>
        <v>11303</v>
      </c>
      <c r="M187" s="3" t="n">
        <v>13581</v>
      </c>
      <c r="N187" s="3" t="n">
        <v>9250</v>
      </c>
      <c r="O187" s="3" t="n">
        <v>22634</v>
      </c>
      <c r="P187" s="3" t="n">
        <v>16776</v>
      </c>
      <c r="Q187" s="3" t="n">
        <v>2732</v>
      </c>
      <c r="R187" s="3" t="n">
        <v>18195</v>
      </c>
      <c r="S187" s="3" t="n">
        <v>10601</v>
      </c>
      <c r="T187" s="3" t="n">
        <v>11820</v>
      </c>
      <c r="U187" s="3" t="n"/>
      <c r="V187" s="3" t="n"/>
      <c r="W187" s="3" t="n"/>
      <c r="X187" s="3" t="n"/>
      <c r="Y187" s="3" t="n"/>
      <c r="AA187" s="5">
        <f>SUM(L187:Y187)</f>
        <v/>
      </c>
      <c r="AB187" s="5">
        <f>C186-AA187</f>
        <v/>
      </c>
    </row>
    <row r="188" customFormat="1" s="2">
      <c r="A188" s="1" t="inlineStr">
        <is>
          <t>[Область Войска Донского ум.]</t>
        </is>
      </c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>
        <v>6741</v>
      </c>
      <c r="M188" s="3" t="n">
        <v>6337</v>
      </c>
      <c r="N188" s="3" t="n">
        <v>4276</v>
      </c>
      <c r="O188" s="3" t="n">
        <v>12499</v>
      </c>
      <c r="P188" s="3" t="n">
        <v>10755</v>
      </c>
      <c r="Q188" s="3" t="n">
        <v>1696</v>
      </c>
      <c r="R188" s="3" t="n">
        <v>13139</v>
      </c>
      <c r="S188" s="3" t="n">
        <v>5671</v>
      </c>
      <c r="T188" s="3" t="n">
        <v>8031</v>
      </c>
      <c r="U188" s="3" t="n"/>
      <c r="V188" s="3" t="n"/>
      <c r="W188" s="3" t="n"/>
      <c r="X188" s="3" t="n"/>
      <c r="Y188" s="3" t="n"/>
      <c r="AA188" s="5">
        <f>SUM(L188:Y188)</f>
        <v/>
      </c>
      <c r="AB188" s="5">
        <f>AA188-D186</f>
        <v/>
      </c>
    </row>
    <row r="189" customFormat="1" s="13">
      <c r="A189" s="11" t="inlineStr">
        <is>
          <t>Итого в Европейской России</t>
        </is>
      </c>
      <c r="B189" s="12" t="n">
        <v>97807339</v>
      </c>
      <c r="C189" s="12" t="n">
        <v>4580305</v>
      </c>
      <c r="D189" s="12" t="n">
        <v>3347356</v>
      </c>
      <c r="E189" s="12" t="n">
        <v>10145059</v>
      </c>
      <c r="F189" s="12" t="n">
        <v>365903</v>
      </c>
      <c r="G189" s="12" t="n">
        <v>292007</v>
      </c>
      <c r="H189" s="12" t="n">
        <v>94373651</v>
      </c>
      <c r="I189" s="12" t="n">
        <v>4510521</v>
      </c>
      <c r="J189" s="12" t="n">
        <v>2703375</v>
      </c>
      <c r="K189" s="3" t="n"/>
      <c r="L189" s="12" t="n"/>
      <c r="M189" s="12" t="n"/>
      <c r="N189" s="12" t="n"/>
      <c r="O189" s="12" t="n"/>
      <c r="P189" s="12" t="n"/>
      <c r="Q189" s="12" t="n"/>
      <c r="R189" s="12" t="n"/>
      <c r="S189" s="12" t="n"/>
      <c r="T189" s="12" t="n"/>
      <c r="U189" s="12" t="n"/>
      <c r="V189" s="12" t="n"/>
      <c r="W189" s="12" t="n"/>
      <c r="X189" s="12" t="n"/>
      <c r="Y189" s="12" t="n"/>
      <c r="AA189" s="14" t="n"/>
      <c r="AB189" s="14" t="n"/>
      <c r="AD189" s="14">
        <f>SUM(AD38:AD185)</f>
        <v/>
      </c>
      <c r="AE189" s="14">
        <f>SUM(AE38:AE185)</f>
        <v/>
      </c>
      <c r="AF189" s="14">
        <f>SUM(AF38:AF185)</f>
        <v/>
      </c>
      <c r="AG189" s="14">
        <f>SUM(AG38:AG185)</f>
        <v/>
      </c>
      <c r="AH189" s="14">
        <f>SUM(AH38:AH185)</f>
        <v/>
      </c>
      <c r="AI189" s="14">
        <f>SUM(AI38:AI185)</f>
        <v/>
      </c>
      <c r="AJ189" s="14">
        <f>SUM(AJ38:AJ185)</f>
        <v/>
      </c>
      <c r="AK189" s="14">
        <f>SUM(AK38:AK185)</f>
        <v/>
      </c>
      <c r="AL189" s="14">
        <f>SUM(AL38:AL185)</f>
        <v/>
      </c>
      <c r="AN189" s="14">
        <f>AD189-B189</f>
        <v/>
      </c>
      <c r="AO189" s="14">
        <f>AE189-C189</f>
        <v/>
      </c>
      <c r="AP189" s="14">
        <f>AF189-D189</f>
        <v/>
      </c>
      <c r="AQ189" s="14">
        <f>AG189-E189</f>
        <v/>
      </c>
      <c r="AR189" s="14">
        <f>AH189-F189</f>
        <v/>
      </c>
      <c r="AS189" s="14">
        <f>AI189-G189</f>
        <v/>
      </c>
      <c r="AT189" s="14">
        <f>AJ189-H189</f>
        <v/>
      </c>
      <c r="AU189" s="14">
        <f>AK189-I189</f>
        <v/>
      </c>
      <c r="AV189" s="14">
        <f>AL189-J189</f>
        <v/>
      </c>
    </row>
    <row r="190" customFormat="1" s="8">
      <c r="A190" s="6" t="inlineStr">
        <is>
          <t>Бакинская</t>
        </is>
      </c>
      <c r="B190" s="7" t="n">
        <v>820308</v>
      </c>
      <c r="C190" s="7" t="n">
        <v>22979</v>
      </c>
      <c r="D190" s="7" t="n">
        <v>19460</v>
      </c>
      <c r="E190" s="7" t="n">
        <v>151005</v>
      </c>
      <c r="F190" s="7" t="n">
        <v>4447</v>
      </c>
      <c r="G190" s="7" t="n">
        <v>4469</v>
      </c>
      <c r="H190" s="7" t="n">
        <v>763805</v>
      </c>
      <c r="I190" s="7" t="n">
        <v>17766</v>
      </c>
      <c r="J190" s="7" t="n">
        <v>14471</v>
      </c>
      <c r="K190" s="3" t="n"/>
      <c r="L190" s="7" t="n">
        <v>156729</v>
      </c>
      <c r="M190" s="7" t="n">
        <v>78223</v>
      </c>
      <c r="N190" s="7" t="n">
        <v>98437</v>
      </c>
      <c r="O190" s="7" t="n">
        <v>160338</v>
      </c>
      <c r="P190" s="7" t="n">
        <v>107310</v>
      </c>
      <c r="Q190" s="7" t="n">
        <v>120553</v>
      </c>
      <c r="R190" s="7" t="n">
        <v>14036</v>
      </c>
      <c r="S190" s="7" t="n"/>
      <c r="T190" s="7" t="n"/>
      <c r="U190" s="7" t="n"/>
      <c r="V190" s="7" t="n"/>
      <c r="W190" s="7" t="n"/>
      <c r="X190" s="7" t="n"/>
      <c r="Y190" s="7" t="n"/>
      <c r="AA190" s="9">
        <f>SUM(L190:Y190)</f>
        <v/>
      </c>
      <c r="AB190" s="9">
        <f>AA190-B190</f>
        <v/>
      </c>
    </row>
    <row r="191" customFormat="1" s="2">
      <c r="A191" s="1" t="inlineStr">
        <is>
          <t>[Бакинская род.]</t>
        </is>
      </c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>
        <v>4009</v>
      </c>
      <c r="M191" s="3" t="n">
        <v>2491</v>
      </c>
      <c r="N191" s="3" t="n">
        <v>1912</v>
      </c>
      <c r="O191" s="3" t="n">
        <v>5591</v>
      </c>
      <c r="P191" s="3" t="n">
        <v>3990</v>
      </c>
      <c r="Q191" s="3" t="n">
        <v>4605</v>
      </c>
      <c r="R191" s="3" t="n">
        <v>380</v>
      </c>
      <c r="S191" s="3" t="n"/>
      <c r="T191" s="3" t="n"/>
      <c r="U191" s="3" t="n"/>
      <c r="V191" s="3" t="n"/>
      <c r="W191" s="3" t="n"/>
      <c r="X191" s="3" t="n"/>
      <c r="Y191" s="3" t="n"/>
      <c r="AA191" s="5">
        <f>SUM(L191:Y191)</f>
        <v/>
      </c>
      <c r="AB191" s="5">
        <f>C190-AA191</f>
        <v/>
      </c>
    </row>
    <row r="192" customFormat="1" s="2">
      <c r="A192" s="1" t="inlineStr">
        <is>
          <t>[Бакинская ум.]</t>
        </is>
      </c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>
        <v>3822</v>
      </c>
      <c r="M192" s="3" t="n">
        <v>2259</v>
      </c>
      <c r="N192" s="3" t="n">
        <v>1823</v>
      </c>
      <c r="O192" s="3" t="n">
        <v>4496</v>
      </c>
      <c r="P192" s="3" t="n">
        <v>3538</v>
      </c>
      <c r="Q192" s="3" t="n">
        <v>3163</v>
      </c>
      <c r="R192" s="3" t="n">
        <v>359</v>
      </c>
      <c r="S192" s="3" t="n"/>
      <c r="T192" s="3" t="n"/>
      <c r="U192" s="3" t="n"/>
      <c r="V192" s="3" t="n"/>
      <c r="W192" s="3" t="n"/>
      <c r="X192" s="3" t="n"/>
      <c r="Y192" s="3" t="n"/>
      <c r="AA192" s="5">
        <f>SUM(L192:Y192)</f>
        <v/>
      </c>
      <c r="AB192" s="5">
        <f>AA192-D190</f>
        <v/>
      </c>
    </row>
    <row r="193" customFormat="1" s="8">
      <c r="A193" s="6" t="inlineStr">
        <is>
          <t>Дагестанская</t>
        </is>
      </c>
      <c r="B193" s="7" t="n">
        <v>661444</v>
      </c>
      <c r="C193" s="7" t="n">
        <v>16183</v>
      </c>
      <c r="D193" s="7" t="n">
        <v>14459</v>
      </c>
      <c r="E193" s="10" t="inlineStr">
        <is>
          <t>—</t>
        </is>
      </c>
      <c r="F193" s="10" t="inlineStr">
        <is>
          <t>—</t>
        </is>
      </c>
      <c r="G193" s="10" t="inlineStr">
        <is>
          <t>—</t>
        </is>
      </c>
      <c r="H193" s="7" t="n">
        <v>615493</v>
      </c>
      <c r="I193" s="7" t="n">
        <v>13149</v>
      </c>
      <c r="J193" s="7" t="n">
        <v>11596</v>
      </c>
      <c r="K193" s="3" t="n"/>
      <c r="L193" s="7" t="n">
        <v>35362</v>
      </c>
      <c r="M193" s="7" t="n">
        <v>49508</v>
      </c>
      <c r="N193" s="7" t="n">
        <v>60541</v>
      </c>
      <c r="O193" s="7" t="n">
        <v>87667</v>
      </c>
      <c r="P193" s="7" t="n">
        <v>73218</v>
      </c>
      <c r="Q193" s="7" t="n">
        <v>79597</v>
      </c>
      <c r="R193" s="7" t="n">
        <v>52168</v>
      </c>
      <c r="S193" s="7" t="n">
        <v>79298</v>
      </c>
      <c r="T193" s="7" t="n">
        <v>7060</v>
      </c>
      <c r="U193" s="7" t="n">
        <v>80225</v>
      </c>
      <c r="V193" s="7" t="n"/>
      <c r="W193" s="7" t="n"/>
      <c r="X193" s="7" t="n"/>
      <c r="Y193" s="7" t="n"/>
      <c r="AA193" s="9">
        <f>SUM(L193:Y193)</f>
        <v/>
      </c>
      <c r="AB193" s="9">
        <f>AA193-B193</f>
        <v/>
      </c>
    </row>
    <row r="194" customFormat="1" s="2">
      <c r="A194" s="1" t="inlineStr">
        <is>
          <t>[Дагестанская род.]</t>
        </is>
      </c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>
        <v>694</v>
      </c>
      <c r="M194" s="3" t="n">
        <v>1172</v>
      </c>
      <c r="N194" s="3" t="n">
        <v>1400</v>
      </c>
      <c r="O194" s="3" t="n">
        <v>1333</v>
      </c>
      <c r="P194" s="3" t="n">
        <v>1327</v>
      </c>
      <c r="Q194" s="3" t="n">
        <v>2290</v>
      </c>
      <c r="R194" s="3" t="n">
        <v>1324</v>
      </c>
      <c r="S194" s="3" t="n">
        <v>2281</v>
      </c>
      <c r="T194" s="3" t="n">
        <v>2727</v>
      </c>
      <c r="U194" s="3" t="n">
        <v>1638</v>
      </c>
      <c r="V194" s="3" t="n"/>
      <c r="W194" s="3" t="n"/>
      <c r="X194" s="3" t="n"/>
      <c r="Y194" s="3" t="n"/>
      <c r="AA194" s="5">
        <f>SUM(L194:Y194)</f>
        <v/>
      </c>
      <c r="AB194" s="5">
        <f>C193-AA194</f>
        <v/>
      </c>
    </row>
    <row r="195" customFormat="1" s="2">
      <c r="A195" s="1" t="inlineStr">
        <is>
          <t>[Дагестанская ум.]</t>
        </is>
      </c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>
        <v>519</v>
      </c>
      <c r="M195" s="3" t="n">
        <v>958</v>
      </c>
      <c r="N195" s="3" t="n">
        <v>1120</v>
      </c>
      <c r="O195" s="3" t="n">
        <v>1274</v>
      </c>
      <c r="P195" s="3" t="n">
        <v>1943</v>
      </c>
      <c r="Q195" s="3" t="n">
        <v>1911</v>
      </c>
      <c r="R195" s="3" t="n">
        <v>1177</v>
      </c>
      <c r="S195" s="3" t="n">
        <v>2590</v>
      </c>
      <c r="T195" s="3" t="n">
        <v>1233</v>
      </c>
      <c r="U195" s="3" t="n">
        <v>1704</v>
      </c>
      <c r="V195" s="3" t="n"/>
      <c r="W195" s="3" t="n"/>
      <c r="X195" s="3" t="n"/>
      <c r="Y195" s="3" t="n"/>
      <c r="AA195" s="5">
        <f>SUM(L195:Y195)</f>
        <v/>
      </c>
      <c r="AB195" s="5">
        <f>AA195-D193</f>
        <v/>
      </c>
    </row>
    <row r="196" customFormat="1" s="8">
      <c r="A196" s="6" t="inlineStr">
        <is>
          <t>Елисаветпольская</t>
        </is>
      </c>
      <c r="B196" s="7" t="n">
        <v>820623</v>
      </c>
      <c r="C196" s="7" t="n">
        <v>21326</v>
      </c>
      <c r="D196" s="7" t="n">
        <v>15726</v>
      </c>
      <c r="E196" s="7" t="n">
        <v>83497</v>
      </c>
      <c r="F196" s="7" t="n">
        <v>2157</v>
      </c>
      <c r="G196" s="7" t="n">
        <v>1635</v>
      </c>
      <c r="H196" s="7" t="n">
        <v>757553</v>
      </c>
      <c r="I196" s="7" t="n">
        <v>19984</v>
      </c>
      <c r="J196" s="7" t="n">
        <v>13238</v>
      </c>
      <c r="K196" s="3" t="n"/>
      <c r="L196" s="7" t="n">
        <v>131165</v>
      </c>
      <c r="M196" s="7" t="n">
        <v>54437</v>
      </c>
      <c r="N196" s="7" t="n">
        <v>54994</v>
      </c>
      <c r="O196" s="7" t="n">
        <v>55705</v>
      </c>
      <c r="P196" s="7" t="n">
        <v>126219</v>
      </c>
      <c r="Q196" s="7" t="n">
        <v>90017</v>
      </c>
      <c r="R196" s="7" t="n">
        <v>117203</v>
      </c>
      <c r="S196" s="7" t="n">
        <v>137386</v>
      </c>
      <c r="T196" s="7" t="n"/>
      <c r="U196" s="7" t="n"/>
      <c r="V196" s="7" t="n"/>
      <c r="W196" s="7" t="n"/>
      <c r="X196" s="7" t="n"/>
      <c r="Y196" s="7" t="n"/>
      <c r="AA196" s="9">
        <f>SUM(L196:Y196)</f>
        <v/>
      </c>
      <c r="AB196" s="9">
        <f>AA196-B196</f>
        <v/>
      </c>
    </row>
    <row r="197" customFormat="1" s="2">
      <c r="A197" s="1" t="inlineStr">
        <is>
          <t>[Елисаветпольская род.]</t>
        </is>
      </c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>
        <v>2925</v>
      </c>
      <c r="M197" s="3" t="n">
        <v>2829</v>
      </c>
      <c r="N197" s="3" t="n">
        <v>1408</v>
      </c>
      <c r="O197" s="3" t="n">
        <v>2370</v>
      </c>
      <c r="P197" s="3" t="n">
        <v>2098</v>
      </c>
      <c r="Q197" s="3" t="n">
        <v>2895</v>
      </c>
      <c r="R197" s="3" t="n">
        <v>3470</v>
      </c>
      <c r="S197" s="3" t="n">
        <v>3331</v>
      </c>
      <c r="T197" s="3" t="n"/>
      <c r="U197" s="3" t="n"/>
      <c r="V197" s="3" t="n"/>
      <c r="W197" s="3" t="n"/>
      <c r="X197" s="3" t="n"/>
      <c r="Y197" s="3" t="n"/>
      <c r="AA197" s="5">
        <f>SUM(L197:Y197)</f>
        <v/>
      </c>
      <c r="AB197" s="5">
        <f>C196-AA197</f>
        <v/>
      </c>
    </row>
    <row r="198" customFormat="1" s="2">
      <c r="A198" s="1" t="inlineStr">
        <is>
          <t>[Елисаветпольская ум.]</t>
        </is>
      </c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>
        <v>1790</v>
      </c>
      <c r="M198" s="3" t="n">
        <v>1867</v>
      </c>
      <c r="N198" s="3" t="n">
        <v>908</v>
      </c>
      <c r="O198" s="3" t="n">
        <v>1520</v>
      </c>
      <c r="P198" s="3" t="n">
        <v>1456</v>
      </c>
      <c r="Q198" s="3" t="n">
        <v>2335</v>
      </c>
      <c r="R198" s="3" t="n">
        <v>3175</v>
      </c>
      <c r="S198" s="3" t="n">
        <v>2675</v>
      </c>
      <c r="T198" s="3" t="n"/>
      <c r="U198" s="3" t="n"/>
      <c r="V198" s="3" t="n"/>
      <c r="W198" s="3" t="n"/>
      <c r="X198" s="3" t="n"/>
      <c r="Y198" s="3" t="n"/>
      <c r="AA198" s="5">
        <f>SUM(L198:Y198)</f>
        <v/>
      </c>
      <c r="AB198" s="5">
        <f>AA198-D196</f>
        <v/>
      </c>
    </row>
    <row r="199" customFormat="1" s="8">
      <c r="A199" s="6" t="inlineStr">
        <is>
          <t>Карсская область</t>
        </is>
      </c>
      <c r="B199" s="7" t="n">
        <v>237114</v>
      </c>
      <c r="C199" s="7" t="n">
        <v>3804</v>
      </c>
      <c r="D199" s="7" t="n">
        <v>1383</v>
      </c>
      <c r="E199" s="10" t="inlineStr">
        <is>
          <t>—</t>
        </is>
      </c>
      <c r="F199" s="10" t="inlineStr">
        <is>
          <t>—</t>
        </is>
      </c>
      <c r="G199" s="10" t="inlineStr">
        <is>
          <t>—</t>
        </is>
      </c>
      <c r="H199" s="10" t="inlineStr">
        <is>
          <t>—</t>
        </is>
      </c>
      <c r="I199" s="10" t="inlineStr">
        <is>
          <t>—</t>
        </is>
      </c>
      <c r="J199" s="10" t="inlineStr">
        <is>
          <t>—</t>
        </is>
      </c>
      <c r="K199" s="4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AA199" s="9" t="n"/>
      <c r="AB199" s="9" t="n"/>
    </row>
    <row r="200" customFormat="1" s="8">
      <c r="A200" s="6" t="inlineStr">
        <is>
          <t>Кубанская</t>
        </is>
      </c>
      <c r="B200" s="7" t="n">
        <v>1483889</v>
      </c>
      <c r="C200" s="7" t="n">
        <v>90231</v>
      </c>
      <c r="D200" s="7" t="n">
        <v>63243</v>
      </c>
      <c r="E200" s="7" t="n">
        <v>176256</v>
      </c>
      <c r="F200" s="7" t="n">
        <v>8136</v>
      </c>
      <c r="G200" s="7" t="n">
        <v>4710</v>
      </c>
      <c r="H200" s="7" t="n">
        <v>1353036</v>
      </c>
      <c r="I200" s="7" t="n">
        <v>83468</v>
      </c>
      <c r="J200" s="7" t="n">
        <v>55101</v>
      </c>
      <c r="K200" s="3" t="n"/>
      <c r="L200" s="7" t="n">
        <v>186693</v>
      </c>
      <c r="M200" s="7" t="n">
        <v>174347</v>
      </c>
      <c r="N200" s="7" t="n">
        <v>204850</v>
      </c>
      <c r="O200" s="7" t="n">
        <v>250433</v>
      </c>
      <c r="P200" s="7" t="n">
        <v>231569</v>
      </c>
      <c r="Q200" s="7" t="n">
        <v>159218</v>
      </c>
      <c r="R200" s="7" t="n">
        <v>228402</v>
      </c>
      <c r="S200" s="7" t="n">
        <v>47377</v>
      </c>
      <c r="T200" s="7" t="n"/>
      <c r="U200" s="7" t="n"/>
      <c r="V200" s="7" t="n"/>
      <c r="W200" s="7" t="n"/>
      <c r="X200" s="7" t="n"/>
      <c r="Y200" s="7" t="n"/>
      <c r="AA200" s="9">
        <f>SUM(L200:Y200)</f>
        <v/>
      </c>
      <c r="AB200" s="9">
        <f>AA200-B200</f>
        <v/>
      </c>
    </row>
    <row r="201" customFormat="1" s="2">
      <c r="A201" s="1" t="inlineStr">
        <is>
          <t>[Кубанская род.]</t>
        </is>
      </c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>
        <v>9567</v>
      </c>
      <c r="M201" s="3" t="n">
        <v>13418</v>
      </c>
      <c r="N201" s="3" t="n">
        <v>14044</v>
      </c>
      <c r="O201" s="3" t="n">
        <v>16311</v>
      </c>
      <c r="P201" s="3" t="n">
        <v>14141</v>
      </c>
      <c r="Q201" s="3" t="n">
        <v>9096</v>
      </c>
      <c r="R201" s="3" t="n">
        <v>12122</v>
      </c>
      <c r="S201" s="3" t="n">
        <v>1532</v>
      </c>
      <c r="T201" s="3" t="n"/>
      <c r="U201" s="3" t="n"/>
      <c r="V201" s="3" t="n"/>
      <c r="W201" s="3" t="n"/>
      <c r="X201" s="3" t="n"/>
      <c r="Y201" s="3" t="n"/>
      <c r="AA201" s="5">
        <f>SUM(L201:Y201)</f>
        <v/>
      </c>
      <c r="AB201" s="5">
        <f>C200-AA201</f>
        <v/>
      </c>
    </row>
    <row r="202" customFormat="1" s="2">
      <c r="A202" s="1" t="inlineStr">
        <is>
          <t>[Кубанская ум.]</t>
        </is>
      </c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>
        <v>7548</v>
      </c>
      <c r="M202" s="3" t="n">
        <v>7551</v>
      </c>
      <c r="N202" s="3" t="n">
        <v>9359</v>
      </c>
      <c r="O202" s="3" t="n">
        <v>12549</v>
      </c>
      <c r="P202" s="3" t="n">
        <v>10901</v>
      </c>
      <c r="Q202" s="3" t="n">
        <v>6717</v>
      </c>
      <c r="R202" s="3" t="n">
        <v>7704</v>
      </c>
      <c r="S202" s="3" t="n">
        <v>914</v>
      </c>
      <c r="T202" s="3" t="n"/>
      <c r="U202" s="3" t="n"/>
      <c r="V202" s="3" t="n"/>
      <c r="W202" s="3" t="n"/>
      <c r="X202" s="3" t="n"/>
      <c r="Y202" s="3" t="n"/>
      <c r="AA202" s="5">
        <f>SUM(L202:Y202)</f>
        <v/>
      </c>
      <c r="AB202" s="5">
        <f>AA202-D200</f>
        <v/>
      </c>
    </row>
    <row r="203" customFormat="1" s="8">
      <c r="A203" s="6" t="inlineStr">
        <is>
          <t>Кутаисская</t>
        </is>
      </c>
      <c r="B203" s="7" t="n">
        <v>953870</v>
      </c>
      <c r="C203" s="7" t="n">
        <v>39108</v>
      </c>
      <c r="D203" s="7" t="n">
        <v>18909</v>
      </c>
      <c r="E203" s="10" t="inlineStr">
        <is>
          <t>—</t>
        </is>
      </c>
      <c r="F203" s="10" t="inlineStr">
        <is>
          <t>—</t>
        </is>
      </c>
      <c r="G203" s="10" t="inlineStr">
        <is>
          <t>—</t>
        </is>
      </c>
      <c r="H203" s="7" t="n">
        <v>954253</v>
      </c>
      <c r="I203" s="7" t="n">
        <v>26463</v>
      </c>
      <c r="J203" s="7" t="n">
        <v>13135</v>
      </c>
      <c r="K203" s="3" t="n"/>
      <c r="L203" s="7" t="n">
        <v>194413</v>
      </c>
      <c r="M203" s="7" t="n">
        <v>53504</v>
      </c>
      <c r="N203" s="7" t="n">
        <v>70361</v>
      </c>
      <c r="O203" s="7" t="n">
        <v>103454</v>
      </c>
      <c r="P203" s="7" t="n">
        <v>46421</v>
      </c>
      <c r="Q203" s="7" t="n">
        <v>77331</v>
      </c>
      <c r="R203" s="7" t="n">
        <v>69372</v>
      </c>
      <c r="S203" s="7" t="n">
        <v>104014</v>
      </c>
      <c r="T203" s="7" t="n">
        <v>84356</v>
      </c>
      <c r="U203" s="7" t="n">
        <v>150647</v>
      </c>
      <c r="V203" s="7" t="n"/>
      <c r="W203" s="7" t="n"/>
      <c r="X203" s="7" t="n"/>
      <c r="Y203" s="7" t="n"/>
      <c r="AA203" s="9">
        <f>SUM(L203:Y203)</f>
        <v/>
      </c>
      <c r="AB203" s="9">
        <f>AA203-B203</f>
        <v/>
      </c>
    </row>
    <row r="204" customFormat="1" s="2">
      <c r="A204" s="1" t="inlineStr">
        <is>
          <t>[Кутаисская род.]</t>
        </is>
      </c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>
        <v>6226</v>
      </c>
      <c r="M204" s="3" t="n">
        <v>1595</v>
      </c>
      <c r="N204" s="3" t="n">
        <v>1732</v>
      </c>
      <c r="O204" s="3" t="n">
        <v>3401</v>
      </c>
      <c r="P204" s="3" t="n">
        <v>1498</v>
      </c>
      <c r="Q204" s="3" t="n">
        <v>3128</v>
      </c>
      <c r="R204" s="3" t="n">
        <v>2479</v>
      </c>
      <c r="S204" s="3" t="n">
        <v>3584</v>
      </c>
      <c r="T204" s="3" t="n">
        <v>2030</v>
      </c>
      <c r="U204" s="3" t="n">
        <v>4435</v>
      </c>
      <c r="V204" s="3" t="n"/>
      <c r="W204" s="3" t="n"/>
      <c r="X204" s="3" t="n"/>
      <c r="Y204" s="3" t="n"/>
      <c r="AA204" s="5">
        <f>SUM(L204:Y204)</f>
        <v/>
      </c>
      <c r="AB204" s="5">
        <f>C203-AA204</f>
        <v/>
      </c>
    </row>
    <row r="205" customFormat="1" s="2">
      <c r="A205" s="1" t="inlineStr">
        <is>
          <t>[Кутаисская ум.]</t>
        </is>
      </c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>
        <v>4003</v>
      </c>
      <c r="M205" s="3" t="n">
        <v>1257</v>
      </c>
      <c r="N205" s="3" t="n">
        <v>838</v>
      </c>
      <c r="O205" s="3" t="n">
        <v>2071</v>
      </c>
      <c r="P205" s="3" t="n">
        <v>899</v>
      </c>
      <c r="Q205" s="3" t="n">
        <v>1610</v>
      </c>
      <c r="R205" s="3" t="n">
        <v>1314</v>
      </c>
      <c r="S205" s="3" t="n">
        <v>1882</v>
      </c>
      <c r="T205" s="3" t="n">
        <v>1772</v>
      </c>
      <c r="U205" s="3" t="n">
        <v>3263</v>
      </c>
      <c r="V205" s="3" t="n"/>
      <c r="W205" s="3" t="n"/>
      <c r="X205" s="3" t="n"/>
      <c r="Y205" s="3" t="n"/>
      <c r="AA205" s="5">
        <f>SUM(L205:Y205)</f>
        <v/>
      </c>
      <c r="AB205" s="5">
        <f>AA205-D203</f>
        <v/>
      </c>
    </row>
    <row r="206" customFormat="1" s="8">
      <c r="A206" s="6" t="inlineStr">
        <is>
          <t>Ставропольская</t>
        </is>
      </c>
      <c r="B206" s="7" t="n">
        <v>635943</v>
      </c>
      <c r="C206" s="7" t="n">
        <v>45449</v>
      </c>
      <c r="D206" s="7" t="n">
        <v>31455</v>
      </c>
      <c r="E206" s="10" t="inlineStr">
        <is>
          <t>—</t>
        </is>
      </c>
      <c r="F206" s="10" t="inlineStr">
        <is>
          <t>—</t>
        </is>
      </c>
      <c r="G206" s="10" t="inlineStr">
        <is>
          <t>—</t>
        </is>
      </c>
      <c r="H206" s="10" t="inlineStr">
        <is>
          <t>—</t>
        </is>
      </c>
      <c r="I206" s="10" t="inlineStr">
        <is>
          <t>—</t>
        </is>
      </c>
      <c r="J206" s="10" t="inlineStr">
        <is>
          <t>—</t>
        </is>
      </c>
      <c r="K206" s="4" t="n"/>
      <c r="L206" s="7" t="n">
        <v>135969</v>
      </c>
      <c r="M206" s="7" t="n">
        <v>140360</v>
      </c>
      <c r="N206" s="7" t="n">
        <v>170151</v>
      </c>
      <c r="O206" s="7" t="n">
        <v>193226</v>
      </c>
      <c r="P206" s="7" t="n">
        <v>46237</v>
      </c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AA206" s="9">
        <f>SUM(L206:Y206)</f>
        <v/>
      </c>
      <c r="AB206" s="9">
        <f>AA206-B206</f>
        <v/>
      </c>
    </row>
    <row r="207" customFormat="1" s="2">
      <c r="A207" s="1" t="inlineStr">
        <is>
          <t>[Ставропольская род.]</t>
        </is>
      </c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>
        <v>9024</v>
      </c>
      <c r="M207" s="3" t="n">
        <v>9396</v>
      </c>
      <c r="N207" s="3" t="n">
        <v>12816</v>
      </c>
      <c r="O207" s="3" t="n">
        <v>12924</v>
      </c>
      <c r="P207" s="3" t="n">
        <v>1292</v>
      </c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AA207" s="5">
        <f>SUM(L207:Y207)</f>
        <v/>
      </c>
      <c r="AB207" s="5">
        <f>C206-AA207</f>
        <v/>
      </c>
    </row>
    <row r="208" customFormat="1" s="2">
      <c r="A208" s="1" t="inlineStr">
        <is>
          <t>[Ставропольская ум.]</t>
        </is>
      </c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>
        <v>6210</v>
      </c>
      <c r="M208" s="3" t="n">
        <v>5715</v>
      </c>
      <c r="N208" s="3" t="n">
        <v>8607</v>
      </c>
      <c r="O208" s="3" t="n">
        <v>9582</v>
      </c>
      <c r="P208" s="3" t="n">
        <v>1323</v>
      </c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AA208" s="5">
        <f>SUM(L208:Y208)</f>
        <v/>
      </c>
      <c r="AB208" s="5">
        <f>AA208-D206</f>
        <v/>
      </c>
    </row>
    <row r="209" customFormat="1" s="8">
      <c r="A209" s="6" t="inlineStr">
        <is>
          <t>Терская</t>
        </is>
      </c>
      <c r="B209" s="7" t="n">
        <v>775978</v>
      </c>
      <c r="C209" s="7" t="n">
        <v>26995</v>
      </c>
      <c r="D209" s="7" t="n">
        <v>18098</v>
      </c>
      <c r="E209" s="7" t="n">
        <v>93792</v>
      </c>
      <c r="F209" s="7" t="n">
        <v>3572</v>
      </c>
      <c r="G209" s="7" t="n">
        <v>2415</v>
      </c>
      <c r="H209" s="7" t="n">
        <v>714391</v>
      </c>
      <c r="I209" s="7" t="n">
        <v>22670</v>
      </c>
      <c r="J209" s="7" t="n">
        <v>16135</v>
      </c>
      <c r="K209" s="3" t="n"/>
      <c r="L209" s="7" t="n">
        <v>133855</v>
      </c>
      <c r="M209" s="7" t="n">
        <v>184618</v>
      </c>
      <c r="N209" s="7" t="n">
        <v>71769</v>
      </c>
      <c r="O209" s="7" t="n">
        <v>96619</v>
      </c>
      <c r="P209" s="7" t="n">
        <v>125003</v>
      </c>
      <c r="Q209" s="7" t="n">
        <v>104818</v>
      </c>
      <c r="R209" s="7" t="n">
        <v>59296</v>
      </c>
      <c r="S209" s="7" t="n"/>
      <c r="T209" s="7" t="n"/>
      <c r="U209" s="7" t="n"/>
      <c r="V209" s="7" t="n"/>
      <c r="W209" s="7" t="n"/>
      <c r="X209" s="7" t="n"/>
      <c r="Y209" s="7" t="n"/>
      <c r="AA209" s="9">
        <f>SUM(L209:Y209)</f>
        <v/>
      </c>
      <c r="AB209" s="9">
        <f>AA209-B209</f>
        <v/>
      </c>
    </row>
    <row r="210" customFormat="1" s="2">
      <c r="A210" s="1" t="inlineStr">
        <is>
          <t>[Терская род.]</t>
        </is>
      </c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>
        <v>4756</v>
      </c>
      <c r="M210" s="3" t="n">
        <v>3958</v>
      </c>
      <c r="N210" s="3" t="n">
        <v>2871</v>
      </c>
      <c r="O210" s="3" t="n">
        <v>2791</v>
      </c>
      <c r="P210" s="3" t="n">
        <v>7621</v>
      </c>
      <c r="Q210" s="3" t="n">
        <v>3530</v>
      </c>
      <c r="R210" s="3" t="n">
        <v>1468</v>
      </c>
      <c r="S210" s="3" t="n"/>
      <c r="T210" s="3" t="n"/>
      <c r="U210" s="3" t="n"/>
      <c r="V210" s="3" t="n"/>
      <c r="W210" s="3" t="n"/>
      <c r="X210" s="3" t="n"/>
      <c r="Y210" s="3" t="n"/>
      <c r="AA210" s="5">
        <f>SUM(L210:Y210)</f>
        <v/>
      </c>
      <c r="AB210" s="5">
        <f>C209-AA210</f>
        <v/>
      </c>
    </row>
    <row r="211" customFormat="1" s="2">
      <c r="A211" s="1" t="inlineStr">
        <is>
          <t>[Терская ум.]</t>
        </is>
      </c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>
        <v>1870</v>
      </c>
      <c r="M211" s="3" t="n">
        <v>3037</v>
      </c>
      <c r="N211" s="3" t="n">
        <v>2075</v>
      </c>
      <c r="O211" s="3" t="n">
        <v>1789</v>
      </c>
      <c r="P211" s="3" t="n">
        <v>5409</v>
      </c>
      <c r="Q211" s="3" t="n">
        <v>2416</v>
      </c>
      <c r="R211" s="3" t="n">
        <v>1502</v>
      </c>
      <c r="S211" s="3" t="n"/>
      <c r="T211" s="3" t="n"/>
      <c r="U211" s="3" t="n"/>
      <c r="V211" s="3" t="n"/>
      <c r="W211" s="3" t="n"/>
      <c r="X211" s="3" t="n"/>
      <c r="Y211" s="3" t="n"/>
      <c r="AA211" s="5">
        <f>SUM(L211:Y211)</f>
        <v/>
      </c>
      <c r="AB211" s="5">
        <f>AA211-D209</f>
        <v/>
      </c>
    </row>
    <row r="212" customFormat="1" s="8">
      <c r="A212" s="6" t="inlineStr">
        <is>
          <t>Тифлисская</t>
        </is>
      </c>
      <c r="B212" s="7" t="n">
        <v>800875</v>
      </c>
      <c r="C212" s="7" t="n">
        <v>26999</v>
      </c>
      <c r="D212" s="7" t="n">
        <v>19113</v>
      </c>
      <c r="E212" s="7" t="n">
        <v>148102</v>
      </c>
      <c r="F212" s="7" t="n">
        <v>5012</v>
      </c>
      <c r="G212" s="7" t="n">
        <v>4482</v>
      </c>
      <c r="H212" s="7" t="n">
        <v>823974</v>
      </c>
      <c r="I212" s="7" t="n">
        <v>29389</v>
      </c>
      <c r="J212" s="7" t="n">
        <v>16861</v>
      </c>
      <c r="K212" s="3" t="n"/>
      <c r="L212" s="7" t="n">
        <v>163172</v>
      </c>
      <c r="M212" s="7" t="n">
        <v>63799</v>
      </c>
      <c r="N212" s="7" t="n">
        <v>54548</v>
      </c>
      <c r="O212" s="7" t="n">
        <v>106534</v>
      </c>
      <c r="P212" s="7" t="n">
        <v>153499</v>
      </c>
      <c r="Q212" s="7" t="n">
        <v>65619</v>
      </c>
      <c r="R212" s="7" t="n">
        <v>91583</v>
      </c>
      <c r="S212" s="7" t="n">
        <v>67117</v>
      </c>
      <c r="T212" s="7" t="n">
        <v>35004</v>
      </c>
      <c r="U212" s="7" t="n"/>
      <c r="V212" s="7" t="n"/>
      <c r="W212" s="7" t="n"/>
      <c r="X212" s="7" t="n"/>
      <c r="Y212" s="7" t="n"/>
      <c r="AA212" s="9">
        <f>SUM(L212:Y212)</f>
        <v/>
      </c>
      <c r="AB212" s="9">
        <f>AA212-B212</f>
        <v/>
      </c>
    </row>
    <row r="213" customFormat="1" s="2">
      <c r="A213" s="1" t="inlineStr">
        <is>
          <t>[Тифлисская род.]</t>
        </is>
      </c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>
        <v>5713</v>
      </c>
      <c r="M213" s="3" t="n">
        <v>3291</v>
      </c>
      <c r="N213" s="3" t="n">
        <v>2136</v>
      </c>
      <c r="O213" s="3" t="n">
        <v>1806</v>
      </c>
      <c r="P213" s="3" t="n">
        <v>5739</v>
      </c>
      <c r="Q213" s="3" t="n">
        <v>2343</v>
      </c>
      <c r="R213" s="3" t="n">
        <v>3040</v>
      </c>
      <c r="S213" s="3" t="n">
        <v>2112</v>
      </c>
      <c r="T213" s="3" t="n">
        <v>819</v>
      </c>
      <c r="U213" s="3" t="n"/>
      <c r="V213" s="3" t="n"/>
      <c r="W213" s="3" t="n"/>
      <c r="X213" s="3" t="n"/>
      <c r="Y213" s="3" t="n"/>
      <c r="AA213" s="5">
        <f>SUM(L213:Y213)</f>
        <v/>
      </c>
      <c r="AB213" s="5">
        <f>C212-AA213</f>
        <v/>
      </c>
    </row>
    <row r="214" customFormat="1" s="2">
      <c r="A214" s="1" t="inlineStr">
        <is>
          <t>[Тифлисская ум.]</t>
        </is>
      </c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>
        <v>4395</v>
      </c>
      <c r="M214" s="3" t="n">
        <v>1719</v>
      </c>
      <c r="N214" s="3" t="n">
        <v>1105</v>
      </c>
      <c r="O214" s="3" t="n">
        <v>1196</v>
      </c>
      <c r="P214" s="3" t="n">
        <v>3538</v>
      </c>
      <c r="Q214" s="3" t="n">
        <v>1515</v>
      </c>
      <c r="R214" s="3" t="n">
        <v>2864</v>
      </c>
      <c r="S214" s="3" t="n">
        <v>2045</v>
      </c>
      <c r="T214" s="3" t="n">
        <v>736</v>
      </c>
      <c r="U214" s="3" t="n"/>
      <c r="V214" s="3" t="n"/>
      <c r="W214" s="3" t="n"/>
      <c r="X214" s="3" t="n"/>
      <c r="Y214" s="3" t="n"/>
      <c r="AA214" s="5">
        <f>SUM(L214:Y214)</f>
        <v/>
      </c>
      <c r="AB214" s="5">
        <f>AA214-D212</f>
        <v/>
      </c>
    </row>
    <row r="215" customFormat="1" s="8">
      <c r="A215" s="6" t="inlineStr">
        <is>
          <t>Эриванская</t>
        </is>
      </c>
      <c r="B215" s="7" t="n">
        <v>686671</v>
      </c>
      <c r="C215" s="7" t="n">
        <v>22717</v>
      </c>
      <c r="D215" s="7" t="n">
        <v>13537</v>
      </c>
      <c r="E215" s="10" t="inlineStr">
        <is>
          <t>—</t>
        </is>
      </c>
      <c r="F215" s="7" t="n">
        <v>2027</v>
      </c>
      <c r="G215" s="7" t="n">
        <v>1583</v>
      </c>
      <c r="H215" s="7" t="n">
        <v>677327</v>
      </c>
      <c r="I215" s="7" t="n">
        <v>22173</v>
      </c>
      <c r="J215" s="10" t="inlineStr">
        <is>
          <t>—</t>
        </is>
      </c>
      <c r="K215" s="4" t="n"/>
      <c r="L215" s="10" t="inlineStr">
        <is>
          <t>—</t>
        </is>
      </c>
      <c r="M215" s="10" t="inlineStr">
        <is>
          <t>—</t>
        </is>
      </c>
      <c r="N215" s="10" t="inlineStr">
        <is>
          <t>—</t>
        </is>
      </c>
      <c r="O215" s="10" t="inlineStr">
        <is>
          <t>—</t>
        </is>
      </c>
      <c r="P215" s="10" t="inlineStr">
        <is>
          <t>—</t>
        </is>
      </c>
      <c r="Q215" s="10" t="inlineStr">
        <is>
          <t>—</t>
        </is>
      </c>
      <c r="R215" s="10" t="inlineStr">
        <is>
          <t>—</t>
        </is>
      </c>
      <c r="S215" s="7" t="n"/>
      <c r="T215" s="7" t="n"/>
      <c r="U215" s="7" t="n"/>
      <c r="V215" s="7" t="n"/>
      <c r="W215" s="7" t="n"/>
      <c r="X215" s="7" t="n"/>
      <c r="Y215" s="7" t="n"/>
      <c r="AA215" s="9" t="n"/>
      <c r="AB215" s="9" t="n"/>
    </row>
    <row r="216" customFormat="1" s="2">
      <c r="A216" s="1" t="inlineStr">
        <is>
          <t>[Эриванская род.]</t>
        </is>
      </c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>
        <v>3371</v>
      </c>
      <c r="M216" s="3" t="n">
        <v>6498</v>
      </c>
      <c r="N216" s="3" t="n">
        <v>2006</v>
      </c>
      <c r="O216" s="3" t="n">
        <v>3699</v>
      </c>
      <c r="P216" s="3" t="n">
        <v>2475</v>
      </c>
      <c r="Q216" s="3" t="n">
        <v>2004</v>
      </c>
      <c r="R216" s="3" t="n">
        <v>2664</v>
      </c>
      <c r="S216" s="3" t="n"/>
      <c r="T216" s="3" t="n"/>
      <c r="U216" s="3" t="n"/>
      <c r="V216" s="3" t="n"/>
      <c r="W216" s="3" t="n"/>
      <c r="X216" s="3" t="n"/>
      <c r="Y216" s="3" t="n"/>
      <c r="AA216" s="5">
        <f>SUM(L216:Y216)</f>
        <v/>
      </c>
      <c r="AB216" s="5">
        <f>C215-AA216</f>
        <v/>
      </c>
    </row>
    <row r="217" customFormat="1" s="2">
      <c r="A217" s="1" t="inlineStr">
        <is>
          <t>[Эриванская ум.]</t>
        </is>
      </c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>
        <v>2303</v>
      </c>
      <c r="M217" s="3" t="n">
        <v>3005</v>
      </c>
      <c r="N217" s="3" t="n">
        <v>1464</v>
      </c>
      <c r="O217" s="3" t="n">
        <v>2185</v>
      </c>
      <c r="P217" s="3" t="n">
        <v>1538</v>
      </c>
      <c r="Q217" s="3" t="n">
        <v>921</v>
      </c>
      <c r="R217" s="3" t="n">
        <v>2121</v>
      </c>
      <c r="S217" s="3" t="n"/>
      <c r="T217" s="3" t="n"/>
      <c r="U217" s="3" t="n"/>
      <c r="V217" s="3" t="n"/>
      <c r="W217" s="3" t="n"/>
      <c r="X217" s="3" t="n"/>
      <c r="Y217" s="3" t="n"/>
      <c r="AA217" s="5">
        <f>SUM(L217:Y217)</f>
        <v/>
      </c>
      <c r="AB217" s="5">
        <f>AA217-D215</f>
        <v/>
      </c>
    </row>
    <row r="218" customFormat="1" s="13">
      <c r="A218" s="11" t="inlineStr">
        <is>
          <t>Итого на Кавказе</t>
        </is>
      </c>
      <c r="B218" s="12" t="n">
        <v>7955725</v>
      </c>
      <c r="C218" s="12" t="n">
        <v>306791</v>
      </c>
      <c r="D218" s="12" t="n">
        <v>215408</v>
      </c>
      <c r="E218" s="12" t="n">
        <v>653152</v>
      </c>
      <c r="F218" s="12" t="n">
        <v>25351</v>
      </c>
      <c r="G218" s="12" t="n">
        <v>19294</v>
      </c>
      <c r="H218" s="12" t="n">
        <v>7560264</v>
      </c>
      <c r="I218" s="12" t="n">
        <v>368202</v>
      </c>
      <c r="J218" s="12" t="n">
        <v>177337</v>
      </c>
      <c r="K218" s="3" t="n"/>
      <c r="L218" s="12" t="n"/>
      <c r="M218" s="12" t="n"/>
      <c r="N218" s="12" t="n"/>
      <c r="O218" s="12" t="n"/>
      <c r="P218" s="12" t="n"/>
      <c r="Q218" s="12" t="n"/>
      <c r="R218" s="12" t="n"/>
      <c r="S218" s="12" t="n"/>
      <c r="T218" s="12" t="n"/>
      <c r="U218" s="12" t="n"/>
      <c r="V218" s="12" t="n"/>
      <c r="W218" s="12" t="n"/>
      <c r="X218" s="12" t="n"/>
      <c r="Y218" s="12" t="n"/>
      <c r="AA218" s="14" t="n"/>
      <c r="AB218" s="14" t="n"/>
      <c r="AD218" s="14">
        <f>SUM(B190:B217)</f>
        <v/>
      </c>
      <c r="AE218" s="14">
        <f>SUM(C190:C217)</f>
        <v/>
      </c>
      <c r="AF218" s="14">
        <f>SUM(D190:D217)</f>
        <v/>
      </c>
      <c r="AG218" s="14">
        <f>SUM(E190:E217)</f>
        <v/>
      </c>
      <c r="AH218" s="14">
        <f>SUM(F190:F217)</f>
        <v/>
      </c>
      <c r="AI218" s="14">
        <f>SUM(G190:G217)</f>
        <v/>
      </c>
      <c r="AJ218" s="14">
        <f>SUM(H190:H217)</f>
        <v/>
      </c>
      <c r="AK218" s="14">
        <f>SUM(I190:I217)</f>
        <v/>
      </c>
      <c r="AL218" s="14">
        <f>SUM(J190:J217)</f>
        <v/>
      </c>
      <c r="AN218" s="14">
        <f>AD218-B218</f>
        <v/>
      </c>
      <c r="AO218" s="14">
        <f>AE218-C218</f>
        <v/>
      </c>
      <c r="AP218" s="14">
        <f>AF218-D218</f>
        <v/>
      </c>
      <c r="AQ218" s="14">
        <f>AG218-E218</f>
        <v/>
      </c>
      <c r="AR218" s="14">
        <f>AH218-F218</f>
        <v/>
      </c>
      <c r="AS218" s="14">
        <f>AI218-G218</f>
        <v/>
      </c>
      <c r="AT218" s="14">
        <f>AJ218-H218</f>
        <v/>
      </c>
      <c r="AU218" s="14">
        <f>AK218-I218</f>
        <v/>
      </c>
      <c r="AV218" s="14">
        <f>AL218-J218</f>
        <v/>
      </c>
    </row>
    <row r="219" customFormat="1" s="8">
      <c r="A219" s="6" t="inlineStr">
        <is>
          <t>Амурская область</t>
        </is>
      </c>
      <c r="B219" s="7" t="n">
        <v>63221</v>
      </c>
      <c r="C219" s="10" t="inlineStr">
        <is>
          <t>—</t>
        </is>
      </c>
      <c r="D219" s="10" t="inlineStr">
        <is>
          <t>—</t>
        </is>
      </c>
      <c r="E219" s="10" t="inlineStr">
        <is>
          <t>—</t>
        </is>
      </c>
      <c r="F219" s="10" t="inlineStr">
        <is>
          <t>—</t>
        </is>
      </c>
      <c r="G219" s="10" t="inlineStr">
        <is>
          <t>—</t>
        </is>
      </c>
      <c r="H219" s="10" t="inlineStr">
        <is>
          <t>—</t>
        </is>
      </c>
      <c r="I219" s="10" t="inlineStr">
        <is>
          <t>—</t>
        </is>
      </c>
      <c r="J219" s="10" t="inlineStr">
        <is>
          <t>—</t>
        </is>
      </c>
      <c r="K219" s="4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AA219" s="9" t="n"/>
      <c r="AB219" s="9" t="n"/>
    </row>
    <row r="220" customFormat="1" s="8">
      <c r="A220" s="6" t="inlineStr">
        <is>
          <t>Енисейская</t>
        </is>
      </c>
      <c r="B220" s="7" t="n">
        <v>480546</v>
      </c>
      <c r="C220" s="7" t="n">
        <v>22847</v>
      </c>
      <c r="D220" s="7" t="n">
        <v>17185</v>
      </c>
      <c r="E220" s="7" t="n">
        <v>39822</v>
      </c>
      <c r="F220" s="7" t="n">
        <v>1923</v>
      </c>
      <c r="G220" s="7" t="n">
        <v>1960</v>
      </c>
      <c r="H220" s="7" t="n">
        <v>468898</v>
      </c>
      <c r="I220" s="7" t="n">
        <v>23300</v>
      </c>
      <c r="J220" s="7" t="n">
        <v>17587</v>
      </c>
      <c r="K220" s="3" t="n"/>
      <c r="L220" s="7" t="n">
        <v>86548</v>
      </c>
      <c r="M220" s="7" t="n">
        <v>85989</v>
      </c>
      <c r="N220" s="7" t="n">
        <v>67534</v>
      </c>
      <c r="O220" s="7" t="n">
        <v>79027</v>
      </c>
      <c r="P220" s="7" t="n">
        <v>132358</v>
      </c>
      <c r="Q220" s="7" t="n">
        <v>9223</v>
      </c>
      <c r="R220" s="7" t="n"/>
      <c r="S220" s="7" t="n"/>
      <c r="T220" s="7" t="n"/>
      <c r="U220" s="7" t="n"/>
      <c r="V220" s="7" t="n"/>
      <c r="W220" s="7" t="n"/>
      <c r="X220" s="7" t="n"/>
      <c r="Y220" s="7" t="n"/>
      <c r="AA220" s="9">
        <f>SUM(L220:Y220)</f>
        <v/>
      </c>
      <c r="AB220" s="9">
        <f>AA220-B220</f>
        <v/>
      </c>
    </row>
    <row r="221" customFormat="1" s="2">
      <c r="A221" s="1" t="inlineStr">
        <is>
          <t>[Енисейская род.]</t>
        </is>
      </c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>
        <v>3747</v>
      </c>
      <c r="M221" s="3" t="n">
        <v>4660</v>
      </c>
      <c r="N221" s="3" t="n">
        <v>2939</v>
      </c>
      <c r="O221" s="3" t="n">
        <v>3539</v>
      </c>
      <c r="P221" s="3" t="n">
        <v>9772</v>
      </c>
      <c r="Q221" s="3" t="n">
        <v>241</v>
      </c>
      <c r="R221" s="3" t="n"/>
      <c r="S221" s="3" t="n"/>
      <c r="T221" s="3" t="n"/>
      <c r="U221" s="3" t="n"/>
      <c r="V221" s="3" t="n"/>
      <c r="W221" s="3" t="n"/>
      <c r="X221" s="3" t="n"/>
      <c r="Y221" s="3" t="n"/>
      <c r="AA221" s="5">
        <f>SUM(L221:Y221)</f>
        <v/>
      </c>
      <c r="AB221" s="5">
        <f>C220-AA221</f>
        <v/>
      </c>
    </row>
    <row r="222" customFormat="1" s="2">
      <c r="A222" s="1" t="inlineStr">
        <is>
          <t>[Енисейская ум.]</t>
        </is>
      </c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>
        <v>3263</v>
      </c>
      <c r="M222" s="3" t="n">
        <v>3497</v>
      </c>
      <c r="N222" s="3" t="n">
        <v>2431</v>
      </c>
      <c r="O222" s="3" t="n">
        <v>2366</v>
      </c>
      <c r="P222" s="3" t="n">
        <v>5615</v>
      </c>
      <c r="Q222" s="3" t="n">
        <v>213</v>
      </c>
      <c r="R222" s="3" t="n"/>
      <c r="S222" s="3" t="n"/>
      <c r="T222" s="3" t="n"/>
      <c r="U222" s="3" t="n"/>
      <c r="V222" s="3" t="n"/>
      <c r="W222" s="3" t="n"/>
      <c r="X222" s="3" t="n"/>
      <c r="Y222" s="3" t="n"/>
      <c r="AA222" s="5">
        <f>SUM(L222:Y222)</f>
        <v/>
      </c>
      <c r="AB222" s="5">
        <f>AA222-D220</f>
        <v/>
      </c>
    </row>
    <row r="223" customFormat="1" s="8">
      <c r="A223" s="6" t="inlineStr">
        <is>
          <t>Забайкальская</t>
        </is>
      </c>
      <c r="B223" s="7" t="n">
        <v>565477</v>
      </c>
      <c r="C223" s="7" t="n">
        <v>16844</v>
      </c>
      <c r="D223" s="7" t="n">
        <v>14410</v>
      </c>
      <c r="E223" s="10" t="inlineStr">
        <is>
          <t>—</t>
        </is>
      </c>
      <c r="F223" s="10" t="inlineStr">
        <is>
          <t>—</t>
        </is>
      </c>
      <c r="G223" s="10" t="inlineStr">
        <is>
          <t>—</t>
        </is>
      </c>
      <c r="H223" s="7" t="n">
        <v>512727</v>
      </c>
      <c r="I223" s="7" t="n">
        <v>19157</v>
      </c>
      <c r="J223" s="7" t="n">
        <v>13832</v>
      </c>
      <c r="K223" s="3" t="n"/>
      <c r="L223" s="7" t="n">
        <v>114632</v>
      </c>
      <c r="M223" s="7" t="n">
        <v>28179</v>
      </c>
      <c r="N223" s="7" t="n">
        <v>19994</v>
      </c>
      <c r="O223" s="7" t="n">
        <v>145476</v>
      </c>
      <c r="P223" s="7" t="n">
        <v>72438</v>
      </c>
      <c r="Q223" s="7" t="n">
        <v>61112</v>
      </c>
      <c r="R223" s="7" t="n">
        <v>94124</v>
      </c>
      <c r="S223" s="7" t="n">
        <v>29522</v>
      </c>
      <c r="T223" s="7" t="n"/>
      <c r="U223" s="7" t="n"/>
      <c r="V223" s="7" t="n"/>
      <c r="W223" s="7" t="n"/>
      <c r="X223" s="7" t="n"/>
      <c r="Y223" s="7" t="n"/>
      <c r="AA223" s="9">
        <f>SUM(L223:Y223)</f>
        <v/>
      </c>
      <c r="AB223" s="9">
        <f>AA223-B223</f>
        <v/>
      </c>
    </row>
    <row r="224" customFormat="1" s="2">
      <c r="A224" s="1" t="inlineStr">
        <is>
          <t>[Забайкальская род.]</t>
        </is>
      </c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>
        <v>4078</v>
      </c>
      <c r="M224" s="3" t="n">
        <v>1021</v>
      </c>
      <c r="N224" s="3" t="n">
        <v>569</v>
      </c>
      <c r="O224" s="4" t="inlineStr">
        <is>
          <t>—</t>
        </is>
      </c>
      <c r="P224" s="3" t="n">
        <v>3654</v>
      </c>
      <c r="Q224" s="3" t="n">
        <v>2870</v>
      </c>
      <c r="R224" s="3" t="n">
        <v>4183</v>
      </c>
      <c r="S224" s="3" t="n">
        <v>969</v>
      </c>
      <c r="T224" s="3" t="n"/>
      <c r="U224" s="3" t="n"/>
      <c r="V224" s="3" t="n"/>
      <c r="W224" s="3" t="n"/>
      <c r="X224" s="3" t="n"/>
      <c r="Y224" s="3" t="n"/>
      <c r="AA224" s="5">
        <f>SUM(L224:Y224)</f>
        <v/>
      </c>
      <c r="AB224" s="5">
        <f>C223-AA224</f>
        <v/>
      </c>
    </row>
    <row r="225" customFormat="1" s="2">
      <c r="A225" s="1" t="inlineStr">
        <is>
          <t>[Забайкальская ум.]</t>
        </is>
      </c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>
        <v>1167</v>
      </c>
      <c r="M225" s="3" t="n">
        <v>320</v>
      </c>
      <c r="N225" s="3" t="n">
        <v>860</v>
      </c>
      <c r="O225" s="3" t="n">
        <v>2041</v>
      </c>
      <c r="P225" s="3" t="n">
        <v>8150</v>
      </c>
      <c r="Q225" s="3" t="n">
        <v>6724</v>
      </c>
      <c r="R225" s="3" t="n">
        <v>360</v>
      </c>
      <c r="S225" s="3" t="n">
        <v>870</v>
      </c>
      <c r="T225" s="3" t="n"/>
      <c r="U225" s="3" t="n"/>
      <c r="V225" s="3" t="n"/>
      <c r="W225" s="3" t="n"/>
      <c r="X225" s="3" t="n"/>
      <c r="Y225" s="3" t="n"/>
      <c r="AA225" s="5">
        <f>SUM(L225:Y225)</f>
        <v/>
      </c>
      <c r="AB225" s="5">
        <f>AA225-D223</f>
        <v/>
      </c>
    </row>
    <row r="226" customFormat="1" s="8">
      <c r="A226" s="6" t="inlineStr">
        <is>
          <t>Иркутская</t>
        </is>
      </c>
      <c r="B226" s="7" t="n">
        <v>444704</v>
      </c>
      <c r="C226" s="7" t="n">
        <v>20131</v>
      </c>
      <c r="D226" s="7" t="n">
        <v>14979</v>
      </c>
      <c r="E226" s="7" t="n">
        <v>58190</v>
      </c>
      <c r="F226" s="7" t="n">
        <v>2112</v>
      </c>
      <c r="G226" s="7" t="n">
        <v>1976</v>
      </c>
      <c r="H226" s="7" t="n">
        <v>427579</v>
      </c>
      <c r="I226" s="7" t="n">
        <v>20377</v>
      </c>
      <c r="J226" s="7" t="n">
        <v>17073</v>
      </c>
      <c r="K226" s="3" t="n"/>
      <c r="L226" s="7" t="n">
        <v>146915</v>
      </c>
      <c r="M226" s="7" t="n">
        <v>128600</v>
      </c>
      <c r="N226" s="7" t="n">
        <v>64470</v>
      </c>
      <c r="O226" s="7" t="n">
        <v>49026</v>
      </c>
      <c r="P226" s="7" t="n">
        <v>55693</v>
      </c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AA226" s="9">
        <f>SUM(L226:Y226)</f>
        <v/>
      </c>
      <c r="AB226" s="9">
        <f>AA226-B226</f>
        <v/>
      </c>
    </row>
    <row r="227" customFormat="1" s="2">
      <c r="A227" s="1" t="inlineStr">
        <is>
          <t>[Иркутская род.]</t>
        </is>
      </c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>
        <v>5971</v>
      </c>
      <c r="M227" s="3" t="n">
        <v>5459</v>
      </c>
      <c r="N227" s="3" t="n">
        <v>3096</v>
      </c>
      <c r="O227" s="3" t="n">
        <v>2340</v>
      </c>
      <c r="P227" s="3" t="n">
        <v>3265</v>
      </c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AA227" s="5">
        <f>SUM(L227:Y227)</f>
        <v/>
      </c>
      <c r="AB227" s="5">
        <f>C226-AA227</f>
        <v/>
      </c>
    </row>
    <row r="228" customFormat="1" s="2">
      <c r="A228" s="1" t="inlineStr">
        <is>
          <t>[Иркутская ум.]</t>
        </is>
      </c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>
        <v>4375</v>
      </c>
      <c r="M228" s="3" t="n">
        <v>3994</v>
      </c>
      <c r="N228" s="3" t="n">
        <v>1879</v>
      </c>
      <c r="O228" s="3" t="n">
        <v>1366</v>
      </c>
      <c r="P228" s="3" t="n">
        <v>2463</v>
      </c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AA228" s="5">
        <f>SUM(L228:Y228)</f>
        <v/>
      </c>
      <c r="AB228" s="5">
        <f>AA228-D226</f>
        <v/>
      </c>
    </row>
    <row r="229" customFormat="1" s="8">
      <c r="A229" s="6" t="inlineStr">
        <is>
          <t>Приморская</t>
        </is>
      </c>
      <c r="B229" s="7" t="n">
        <v>119744</v>
      </c>
      <c r="C229" s="7" t="n">
        <v>3311</v>
      </c>
      <c r="D229" s="7" t="n">
        <v>1769</v>
      </c>
      <c r="E229" s="10" t="inlineStr">
        <is>
          <t>—</t>
        </is>
      </c>
      <c r="F229" s="10" t="inlineStr">
        <is>
          <t>—</t>
        </is>
      </c>
      <c r="G229" s="10" t="inlineStr">
        <is>
          <t>—</t>
        </is>
      </c>
      <c r="H229" s="7" t="n">
        <v>102857</v>
      </c>
      <c r="I229" s="7" t="n">
        <v>2962</v>
      </c>
      <c r="J229" s="7" t="n">
        <v>1840</v>
      </c>
      <c r="K229" s="3" t="n"/>
      <c r="L229" s="7" t="n">
        <v>14606</v>
      </c>
      <c r="M229" s="7" t="n">
        <v>10350</v>
      </c>
      <c r="N229" s="7" t="n">
        <v>5399</v>
      </c>
      <c r="O229" s="7" t="n">
        <v>675</v>
      </c>
      <c r="P229" s="7" t="n">
        <v>9561</v>
      </c>
      <c r="Q229" s="7" t="n">
        <v>4040</v>
      </c>
      <c r="R229" s="7" t="n">
        <v>6644</v>
      </c>
      <c r="S229" s="7" t="n">
        <v>6460</v>
      </c>
      <c r="T229" s="7" t="n">
        <v>62009</v>
      </c>
      <c r="U229" s="7" t="n"/>
      <c r="V229" s="7" t="n"/>
      <c r="W229" s="7" t="n"/>
      <c r="X229" s="7" t="n"/>
      <c r="Y229" s="7" t="n"/>
      <c r="AA229" s="9">
        <f>SUM(L229:Y229)</f>
        <v/>
      </c>
      <c r="AB229" s="9">
        <f>AA229-B229</f>
        <v/>
      </c>
    </row>
    <row r="230" customFormat="1" s="2">
      <c r="A230" s="1" t="inlineStr">
        <is>
          <t>[Приморская род.]</t>
        </is>
      </c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>
        <v>538</v>
      </c>
      <c r="M230" s="4" t="inlineStr">
        <is>
          <t>—</t>
        </is>
      </c>
      <c r="N230" s="3" t="n">
        <v>24</v>
      </c>
      <c r="O230" s="3" t="n">
        <v>26</v>
      </c>
      <c r="P230" s="3" t="n">
        <v>192</v>
      </c>
      <c r="Q230" s="3" t="n">
        <v>122</v>
      </c>
      <c r="R230" s="3" t="n">
        <v>197</v>
      </c>
      <c r="S230" s="3" t="n">
        <v>284</v>
      </c>
      <c r="T230" s="3" t="n">
        <v>4928</v>
      </c>
      <c r="U230" s="3" t="n"/>
      <c r="V230" s="3" t="n"/>
      <c r="W230" s="3" t="n"/>
      <c r="X230" s="3" t="n"/>
      <c r="Y230" s="3" t="n"/>
      <c r="AA230" s="5">
        <f>SUM(L230:Y230)</f>
        <v/>
      </c>
      <c r="AB230" s="5">
        <f>C229-AA230</f>
        <v/>
      </c>
    </row>
    <row r="231" customFormat="1" s="2">
      <c r="A231" s="1" t="inlineStr">
        <is>
          <t>[Приморская ум.]</t>
        </is>
      </c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>
        <v>222</v>
      </c>
      <c r="M231" s="4" t="inlineStr">
        <is>
          <t>—</t>
        </is>
      </c>
      <c r="N231" s="3" t="n">
        <v>26</v>
      </c>
      <c r="O231" s="3" t="n">
        <v>14</v>
      </c>
      <c r="P231" s="3" t="n">
        <v>179</v>
      </c>
      <c r="Q231" s="3" t="n">
        <v>164</v>
      </c>
      <c r="R231" s="3" t="n">
        <v>86</v>
      </c>
      <c r="S231" s="3" t="n">
        <v>128</v>
      </c>
      <c r="T231" s="3" t="n">
        <v>950</v>
      </c>
      <c r="U231" s="3" t="n"/>
      <c r="V231" s="3" t="n"/>
      <c r="W231" s="3" t="n"/>
      <c r="X231" s="3" t="n"/>
      <c r="Y231" s="3" t="n"/>
      <c r="AA231" s="5">
        <f>SUM(L231:Y231)</f>
        <v/>
      </c>
      <c r="AB231" s="5">
        <f>AA231-D229</f>
        <v/>
      </c>
    </row>
    <row r="232" customFormat="1" s="8">
      <c r="A232" s="6" t="inlineStr">
        <is>
          <t>Тобольская</t>
        </is>
      </c>
      <c r="B232" s="7" t="n">
        <v>1411475</v>
      </c>
      <c r="C232" s="7" t="n">
        <v>73772</v>
      </c>
      <c r="D232" s="7" t="n">
        <v>58271</v>
      </c>
      <c r="E232" s="7" t="n">
        <v>99804</v>
      </c>
      <c r="F232" s="7" t="n">
        <v>2262</v>
      </c>
      <c r="G232" s="7" t="n">
        <v>2550</v>
      </c>
      <c r="H232" s="7" t="n">
        <v>1398432</v>
      </c>
      <c r="I232" s="7" t="n">
        <v>76165</v>
      </c>
      <c r="J232" s="7" t="n">
        <v>61052</v>
      </c>
      <c r="K232" s="3" t="n"/>
      <c r="L232" s="7" t="n">
        <v>126707</v>
      </c>
      <c r="M232" s="7" t="n">
        <v>31452</v>
      </c>
      <c r="N232" s="7" t="n">
        <v>274400</v>
      </c>
      <c r="O232" s="7" t="n">
        <v>266295</v>
      </c>
      <c r="P232" s="7" t="n">
        <v>8544</v>
      </c>
      <c r="Q232" s="7" t="n">
        <v>148902</v>
      </c>
      <c r="R232" s="7" t="n">
        <v>71444</v>
      </c>
      <c r="S232" s="7" t="n">
        <v>158241</v>
      </c>
      <c r="T232" s="7" t="n">
        <v>124624</v>
      </c>
      <c r="U232" s="7" t="n">
        <v>200886</v>
      </c>
      <c r="V232" s="7" t="n"/>
      <c r="W232" s="7" t="n"/>
      <c r="X232" s="7" t="n"/>
      <c r="Y232" s="7" t="n"/>
      <c r="AA232" s="9">
        <f>SUM(L232:Y232)</f>
        <v/>
      </c>
      <c r="AB232" s="9">
        <f>AA232-B232</f>
        <v/>
      </c>
    </row>
    <row r="233" customFormat="1" s="2">
      <c r="A233" s="1" t="inlineStr">
        <is>
          <t>[Тобольская род.]</t>
        </is>
      </c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>
        <v>5642</v>
      </c>
      <c r="M233" s="4" t="inlineStr">
        <is>
          <t>—</t>
        </is>
      </c>
      <c r="N233" s="3" t="n">
        <v>16521</v>
      </c>
      <c r="O233" s="3" t="n">
        <v>16788</v>
      </c>
      <c r="P233" s="3" t="n">
        <v>334</v>
      </c>
      <c r="Q233" s="3" t="n">
        <v>7099</v>
      </c>
      <c r="R233" s="3" t="n">
        <v>3483</v>
      </c>
      <c r="S233" s="3" t="n">
        <v>7973</v>
      </c>
      <c r="T233" s="3" t="n">
        <v>4673</v>
      </c>
      <c r="U233" s="3" t="n">
        <v>9954</v>
      </c>
      <c r="V233" s="3" t="n"/>
      <c r="W233" s="3" t="n"/>
      <c r="X233" s="3" t="n"/>
      <c r="Y233" s="3" t="n"/>
      <c r="AA233" s="5">
        <f>SUM(L233:Y233)</f>
        <v/>
      </c>
      <c r="AB233" s="5">
        <f>C232-AA233</f>
        <v/>
      </c>
    </row>
    <row r="234" customFormat="1" s="2">
      <c r="A234" s="1" t="inlineStr">
        <is>
          <t>[Тобольская ум.]</t>
        </is>
      </c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>
        <v>4568</v>
      </c>
      <c r="M234" s="3" t="n">
        <v>1200</v>
      </c>
      <c r="N234" s="3" t="n">
        <v>12987</v>
      </c>
      <c r="O234" s="3" t="n">
        <v>12737</v>
      </c>
      <c r="P234" s="3" t="n">
        <v>336</v>
      </c>
      <c r="Q234" s="3" t="n">
        <v>4727</v>
      </c>
      <c r="R234" s="3" t="n">
        <v>3333</v>
      </c>
      <c r="S234" s="3" t="n">
        <v>5279</v>
      </c>
      <c r="T234" s="3" t="n">
        <v>4518</v>
      </c>
      <c r="U234" s="3" t="n">
        <v>8586</v>
      </c>
      <c r="V234" s="3" t="n"/>
      <c r="W234" s="3" t="n"/>
      <c r="X234" s="3" t="n"/>
      <c r="Y234" s="3" t="n"/>
      <c r="AA234" s="5">
        <f>SUM(L234:Y234)</f>
        <v/>
      </c>
      <c r="AB234" s="5">
        <f>AA234-D232</f>
        <v/>
      </c>
    </row>
    <row r="235" customFormat="1" s="8">
      <c r="A235" s="6" t="inlineStr">
        <is>
          <t>Томская</t>
        </is>
      </c>
      <c r="B235" s="7" t="n">
        <v>1422681</v>
      </c>
      <c r="C235" s="7" t="n">
        <v>67604</v>
      </c>
      <c r="D235" s="7" t="n">
        <v>33492</v>
      </c>
      <c r="E235" s="10" t="inlineStr">
        <is>
          <t>—</t>
        </is>
      </c>
      <c r="F235" s="10" t="inlineStr">
        <is>
          <t>—</t>
        </is>
      </c>
      <c r="G235" s="10" t="inlineStr">
        <is>
          <t>—</t>
        </is>
      </c>
      <c r="H235" s="7" t="n">
        <v>1326265</v>
      </c>
      <c r="I235" s="7" t="n">
        <v>63453</v>
      </c>
      <c r="J235" s="7" t="n">
        <v>35157</v>
      </c>
      <c r="K235" s="3" t="n"/>
      <c r="L235" s="7" t="n">
        <v>214609</v>
      </c>
      <c r="M235" s="7" t="n">
        <v>318785</v>
      </c>
      <c r="N235" s="7" t="n">
        <v>366358</v>
      </c>
      <c r="O235" s="7" t="n">
        <v>167569</v>
      </c>
      <c r="P235" s="7" t="n">
        <v>174104</v>
      </c>
      <c r="Q235" s="7" t="n">
        <v>121338</v>
      </c>
      <c r="R235" s="7" t="n"/>
      <c r="S235" s="7" t="n"/>
      <c r="T235" s="7" t="n"/>
      <c r="U235" s="7" t="n"/>
      <c r="V235" s="7" t="n"/>
      <c r="W235" s="7" t="n"/>
      <c r="X235" s="7" t="n"/>
      <c r="Y235" s="7" t="n"/>
      <c r="AA235" s="9">
        <f>SUM(L235:Y235)</f>
        <v/>
      </c>
      <c r="AB235" s="9">
        <f>AA235-B235</f>
        <v/>
      </c>
    </row>
    <row r="236" customFormat="1" s="2">
      <c r="A236" s="1" t="inlineStr">
        <is>
          <t>[Томская род.]</t>
        </is>
      </c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>
        <v>14309</v>
      </c>
      <c r="M236" s="3" t="n">
        <v>17664</v>
      </c>
      <c r="N236" s="3" t="n">
        <v>18927</v>
      </c>
      <c r="O236" s="3" t="n">
        <v>7219</v>
      </c>
      <c r="P236" s="3" t="n">
        <v>6594</v>
      </c>
      <c r="Q236" s="3" t="n">
        <v>5891</v>
      </c>
      <c r="R236" s="3" t="n"/>
      <c r="S236" s="3" t="n"/>
      <c r="T236" s="3" t="n"/>
      <c r="U236" s="3" t="n"/>
      <c r="V236" s="3" t="n"/>
      <c r="W236" s="3" t="n"/>
      <c r="X236" s="3" t="n"/>
      <c r="Y236" s="3" t="n"/>
      <c r="AA236" s="5">
        <f>SUM(L236:Y236)</f>
        <v/>
      </c>
      <c r="AB236" s="5">
        <f>C235-AA236</f>
        <v/>
      </c>
    </row>
    <row r="237" customFormat="1" s="2">
      <c r="A237" s="1" t="inlineStr">
        <is>
          <t>[Томская ум.]</t>
        </is>
      </c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>
        <v>8440</v>
      </c>
      <c r="M237" s="3" t="n">
        <v>8247</v>
      </c>
      <c r="N237" s="3" t="n">
        <v>9690</v>
      </c>
      <c r="O237" s="3" t="n">
        <v>4559</v>
      </c>
      <c r="P237" s="3" t="n">
        <v>3095</v>
      </c>
      <c r="Q237" s="3" t="n">
        <v>4461</v>
      </c>
      <c r="R237" s="3" t="n"/>
      <c r="S237" s="3" t="n"/>
      <c r="T237" s="3" t="n"/>
      <c r="U237" s="3" t="n"/>
      <c r="V237" s="3" t="n"/>
      <c r="W237" s="3" t="n"/>
      <c r="X237" s="3" t="n"/>
      <c r="Y237" s="3" t="n"/>
      <c r="AA237" s="5">
        <f>SUM(L237:Y237)</f>
        <v/>
      </c>
      <c r="AB237" s="5">
        <f>AA237-D235</f>
        <v/>
      </c>
    </row>
    <row r="238" customFormat="1" s="8">
      <c r="A238" s="6" t="inlineStr">
        <is>
          <t>Якутская</t>
        </is>
      </c>
      <c r="B238" s="7" t="n">
        <v>251753</v>
      </c>
      <c r="C238" s="7" t="n">
        <v>8242</v>
      </c>
      <c r="D238" s="7" t="n">
        <v>5111</v>
      </c>
      <c r="E238" s="10" t="inlineStr">
        <is>
          <t>—</t>
        </is>
      </c>
      <c r="F238" s="10" t="inlineStr">
        <is>
          <t>—</t>
        </is>
      </c>
      <c r="G238" s="10" t="inlineStr">
        <is>
          <t>—</t>
        </is>
      </c>
      <c r="H238" s="7" t="n">
        <v>255661</v>
      </c>
      <c r="I238" s="7" t="n">
        <v>6924</v>
      </c>
      <c r="J238" s="7" t="n">
        <v>6467</v>
      </c>
      <c r="K238" s="3" t="n"/>
      <c r="L238" s="7" t="n">
        <v>150924</v>
      </c>
      <c r="M238" s="7" t="n">
        <v>12985</v>
      </c>
      <c r="N238" s="7" t="n">
        <v>72855</v>
      </c>
      <c r="O238" s="7" t="n">
        <v>6102</v>
      </c>
      <c r="P238" s="7" t="n">
        <v>14887</v>
      </c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AA238" s="9">
        <f>SUM(L238:Y238)</f>
        <v/>
      </c>
      <c r="AB238" s="9">
        <f>AA238-B238</f>
        <v/>
      </c>
    </row>
    <row r="239" customFormat="1" s="2">
      <c r="A239" s="1" t="inlineStr">
        <is>
          <t>[Якутская род.]</t>
        </is>
      </c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>
        <v>4963</v>
      </c>
      <c r="M239" s="3" t="n">
        <v>319</v>
      </c>
      <c r="N239" s="3" t="n">
        <v>2142</v>
      </c>
      <c r="O239" s="3" t="n">
        <v>135</v>
      </c>
      <c r="P239" s="3" t="n">
        <v>643</v>
      </c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AA239" s="5">
        <f>SUM(L239:Y239)</f>
        <v/>
      </c>
      <c r="AB239" s="5">
        <f>C238-AA239</f>
        <v/>
      </c>
    </row>
    <row r="240" customFormat="1" s="2">
      <c r="A240" s="1" t="inlineStr">
        <is>
          <t>[Якутская ум.]</t>
        </is>
      </c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>
        <v>3105</v>
      </c>
      <c r="M240" s="3" t="n">
        <v>265</v>
      </c>
      <c r="N240" s="3" t="n">
        <v>1217</v>
      </c>
      <c r="O240" s="3" t="n">
        <v>83</v>
      </c>
      <c r="P240" s="3" t="n">
        <v>441</v>
      </c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AA240" s="5">
        <f>SUM(L240:Y240)</f>
        <v/>
      </c>
      <c r="AB240" s="5">
        <f>AA240-D238</f>
        <v/>
      </c>
    </row>
    <row r="241" customFormat="1" s="8">
      <c r="A241" s="6" t="inlineStr">
        <is>
          <t>Сахалинская</t>
        </is>
      </c>
      <c r="B241" s="7" t="n">
        <v>17051</v>
      </c>
      <c r="C241" s="7" t="n">
        <v>342</v>
      </c>
      <c r="D241" s="7" t="n">
        <v>335</v>
      </c>
      <c r="E241" s="10" t="inlineStr">
        <is>
          <t>—</t>
        </is>
      </c>
      <c r="F241" s="10" t="inlineStr">
        <is>
          <t>—</t>
        </is>
      </c>
      <c r="G241" s="10" t="inlineStr">
        <is>
          <t>—</t>
        </is>
      </c>
      <c r="H241" s="7" t="n">
        <v>15244</v>
      </c>
      <c r="I241" s="7" t="n">
        <v>356</v>
      </c>
      <c r="J241" s="7" t="n">
        <v>241</v>
      </c>
      <c r="K241" s="3" t="n"/>
      <c r="L241" s="7" t="n">
        <v>7546</v>
      </c>
      <c r="M241" s="7" t="n">
        <v>4156</v>
      </c>
      <c r="N241" s="7" t="n">
        <v>5349</v>
      </c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AA241" s="9">
        <f>SUM(L241:Y241)</f>
        <v/>
      </c>
      <c r="AB241" s="9">
        <f>AA241-B241</f>
        <v/>
      </c>
    </row>
    <row r="242" customFormat="1" s="2">
      <c r="A242" s="1" t="inlineStr">
        <is>
          <t>[Сахалинская род.]</t>
        </is>
      </c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>
        <v>2163</v>
      </c>
      <c r="M242" s="3" t="n">
        <v>67</v>
      </c>
      <c r="N242" s="3" t="n">
        <v>112</v>
      </c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AA242" s="5">
        <f>SUM(L242:Y242)</f>
        <v/>
      </c>
      <c r="AB242" s="5">
        <f>C241-AA242</f>
        <v/>
      </c>
    </row>
    <row r="243" customFormat="1" s="2">
      <c r="A243" s="1" t="inlineStr">
        <is>
          <t>[Сахалинская ум.]</t>
        </is>
      </c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>
        <v>98</v>
      </c>
      <c r="M243" s="3" t="n">
        <v>16</v>
      </c>
      <c r="N243" s="3" t="n">
        <v>70</v>
      </c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AA243" s="5">
        <f>SUM(L243:Y243)</f>
        <v/>
      </c>
      <c r="AB243" s="5">
        <f>AA243-D241</f>
        <v/>
      </c>
    </row>
    <row r="244" customFormat="1" s="13">
      <c r="A244" s="11" t="inlineStr">
        <is>
          <t>Итого в Сибири</t>
        </is>
      </c>
      <c r="B244" s="15" t="n">
        <v>4782652</v>
      </c>
      <c r="C244" s="15" t="n">
        <v>209242</v>
      </c>
      <c r="D244" s="15" t="n">
        <v>142871</v>
      </c>
      <c r="E244" s="12" t="n">
        <v>197816</v>
      </c>
      <c r="F244" s="12" t="n">
        <v>6297</v>
      </c>
      <c r="G244" s="12" t="n">
        <v>6486</v>
      </c>
      <c r="H244" s="15" t="n">
        <v>4545114</v>
      </c>
      <c r="I244" s="15" t="n">
        <v>201988</v>
      </c>
      <c r="J244" s="15" t="n">
        <v>148026</v>
      </c>
      <c r="K244" s="4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  <c r="Y244" s="12" t="n"/>
      <c r="AA244" s="14" t="n"/>
      <c r="AB244" s="14" t="n"/>
      <c r="AD244" s="14">
        <f>SUM(B219:B243)</f>
        <v/>
      </c>
      <c r="AE244" s="14">
        <f>SUM(C219:C243)</f>
        <v/>
      </c>
      <c r="AF244" s="14">
        <f>SUM(D219:D243)</f>
        <v/>
      </c>
      <c r="AG244" s="14">
        <f>SUM(E219:E243)</f>
        <v/>
      </c>
      <c r="AH244" s="14">
        <f>SUM(F219:F243)</f>
        <v/>
      </c>
      <c r="AI244" s="14">
        <f>SUM(G219:G243)</f>
        <v/>
      </c>
      <c r="AJ244" s="14">
        <f>SUM(H219:H243)</f>
        <v/>
      </c>
      <c r="AK244" s="14">
        <f>SUM(I219:I243)</f>
        <v/>
      </c>
      <c r="AL244" s="14">
        <f>SUM(J219:J243)</f>
        <v/>
      </c>
      <c r="AN244" s="14">
        <f>AD244-B244</f>
        <v/>
      </c>
      <c r="AO244" s="14">
        <f>AE244-C244</f>
        <v/>
      </c>
      <c r="AP244" s="14">
        <f>AF244-D244</f>
        <v/>
      </c>
      <c r="AQ244" s="14">
        <f>AG244-E244</f>
        <v/>
      </c>
      <c r="AR244" s="14">
        <f>AH244-F244</f>
        <v/>
      </c>
      <c r="AS244" s="14">
        <f>AI244-G244</f>
        <v/>
      </c>
      <c r="AT244" s="14">
        <f>AJ244-H244</f>
        <v/>
      </c>
      <c r="AU244" s="14">
        <f>AK244-I244</f>
        <v/>
      </c>
      <c r="AV244" s="14">
        <f>AL244-J244</f>
        <v/>
      </c>
    </row>
    <row r="245" customFormat="1" s="8">
      <c r="A245" s="6" t="inlineStr">
        <is>
          <t>Акмолинская</t>
        </is>
      </c>
      <c r="B245" s="7" t="n">
        <v>519784</v>
      </c>
      <c r="C245" s="7" t="n">
        <v>15344</v>
      </c>
      <c r="D245" s="7" t="n">
        <v>10343</v>
      </c>
      <c r="E245" s="10" t="inlineStr">
        <is>
          <t>—</t>
        </is>
      </c>
      <c r="F245" s="10" t="inlineStr">
        <is>
          <t>—</t>
        </is>
      </c>
      <c r="G245" s="10" t="inlineStr">
        <is>
          <t>—</t>
        </is>
      </c>
      <c r="H245" s="7" t="n">
        <v>488958</v>
      </c>
      <c r="I245" s="7" t="n">
        <v>14765</v>
      </c>
      <c r="J245" s="7" t="n">
        <v>10204</v>
      </c>
      <c r="K245" s="3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AA245" s="9" t="n"/>
      <c r="AB245" s="9" t="n"/>
    </row>
    <row r="246" customFormat="1" s="8">
      <c r="A246" s="6" t="inlineStr">
        <is>
          <t>Закаспийская область</t>
        </is>
      </c>
      <c r="B246" s="7" t="n">
        <v>700000</v>
      </c>
      <c r="C246" s="7" t="n">
        <v>2377</v>
      </c>
      <c r="D246" s="7" t="n">
        <v>1433</v>
      </c>
      <c r="E246" s="10" t="inlineStr">
        <is>
          <t>—</t>
        </is>
      </c>
      <c r="F246" s="10" t="inlineStr">
        <is>
          <t>—</t>
        </is>
      </c>
      <c r="G246" s="10" t="inlineStr">
        <is>
          <t>—</t>
        </is>
      </c>
      <c r="H246" s="10" t="inlineStr">
        <is>
          <t>—</t>
        </is>
      </c>
      <c r="I246" s="10" t="inlineStr">
        <is>
          <t>—</t>
        </is>
      </c>
      <c r="J246" s="10" t="inlineStr">
        <is>
          <t>—</t>
        </is>
      </c>
      <c r="K246" s="4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AA246" s="9" t="n"/>
      <c r="AB246" s="9" t="n"/>
    </row>
    <row r="247" customFormat="1" s="8">
      <c r="A247" s="6" t="inlineStr">
        <is>
          <t>Самаркандская</t>
        </is>
      </c>
      <c r="B247" s="7" t="n">
        <v>712420</v>
      </c>
      <c r="C247" s="7" t="n">
        <v>8140</v>
      </c>
      <c r="D247" s="7" t="n">
        <v>2663</v>
      </c>
      <c r="E247" s="7" t="n">
        <v>94235</v>
      </c>
      <c r="F247" s="10" t="inlineStr">
        <is>
          <t>—</t>
        </is>
      </c>
      <c r="G247" s="10" t="inlineStr">
        <is>
          <t>—</t>
        </is>
      </c>
      <c r="H247" s="7" t="n">
        <v>702696</v>
      </c>
      <c r="I247" s="10" t="inlineStr">
        <is>
          <t>—</t>
        </is>
      </c>
      <c r="J247" s="10" t="inlineStr">
        <is>
          <t>—</t>
        </is>
      </c>
      <c r="K247" s="4" t="n"/>
      <c r="L247" s="7" t="n">
        <v>290686</v>
      </c>
      <c r="M247" s="7" t="n">
        <v>146339</v>
      </c>
      <c r="N247" s="7" t="n">
        <v>168684</v>
      </c>
      <c r="O247" s="7" t="n">
        <v>106711</v>
      </c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AA247" s="9">
        <f>SUM(L247:Y247)</f>
        <v/>
      </c>
      <c r="AB247" s="9">
        <f>AA247-B247</f>
        <v/>
      </c>
    </row>
    <row r="248" customFormat="1" s="2">
      <c r="A248" s="1" t="inlineStr">
        <is>
          <t>[Самаркандская род.]</t>
        </is>
      </c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>
        <v>1249</v>
      </c>
      <c r="M248" s="4" t="inlineStr">
        <is>
          <t>—</t>
        </is>
      </c>
      <c r="N248" s="4" t="inlineStr">
        <is>
          <t>—</t>
        </is>
      </c>
      <c r="O248" s="3" t="n">
        <v>1924</v>
      </c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AA248" s="5">
        <f>SUM(L248:Y248)</f>
        <v/>
      </c>
      <c r="AB248" s="5">
        <f>C247-AA248</f>
        <v/>
      </c>
    </row>
    <row r="249" customFormat="1" s="2">
      <c r="A249" s="1" t="inlineStr">
        <is>
          <t>[Самаркандская ум.]</t>
        </is>
      </c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>
        <v>1182</v>
      </c>
      <c r="M249" s="4" t="inlineStr">
        <is>
          <t>—</t>
        </is>
      </c>
      <c r="N249" s="4" t="inlineStr">
        <is>
          <t>—</t>
        </is>
      </c>
      <c r="O249" s="3" t="n">
        <v>1481</v>
      </c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AA249" s="5">
        <f>SUM(L249:Y249)</f>
        <v/>
      </c>
      <c r="AB249" s="5">
        <f>AA249-D247</f>
        <v/>
      </c>
    </row>
    <row r="250" customFormat="1" s="8">
      <c r="A250" s="6" t="inlineStr">
        <is>
          <t>Семипалатинская</t>
        </is>
      </c>
      <c r="B250" s="7" t="n">
        <v>585903</v>
      </c>
      <c r="C250" s="7" t="n">
        <v>8966</v>
      </c>
      <c r="D250" s="7" t="n">
        <v>7638</v>
      </c>
      <c r="E250" s="7" t="n">
        <v>36194</v>
      </c>
      <c r="F250" s="7" t="n">
        <v>1451</v>
      </c>
      <c r="G250" s="7" t="n">
        <v>1117</v>
      </c>
      <c r="H250" s="7" t="n">
        <v>576719</v>
      </c>
      <c r="I250" s="10" t="inlineStr">
        <is>
          <t>—</t>
        </is>
      </c>
      <c r="J250" s="10" t="inlineStr">
        <is>
          <t>—</t>
        </is>
      </c>
      <c r="K250" s="4" t="n"/>
      <c r="L250" s="7" t="n">
        <v>158662</v>
      </c>
      <c r="M250" s="7" t="n">
        <v>73529</v>
      </c>
      <c r="N250" s="7" t="n">
        <v>132805</v>
      </c>
      <c r="O250" s="7" t="n">
        <v>115139</v>
      </c>
      <c r="P250" s="7" t="n">
        <v>94084</v>
      </c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AA250" s="9">
        <f>SUM(L250:Y250)</f>
        <v/>
      </c>
      <c r="AB250" s="9">
        <f>AA250-B250</f>
        <v/>
      </c>
    </row>
    <row r="251" customFormat="1" s="2">
      <c r="A251" s="1" t="inlineStr">
        <is>
          <t>[Семипалатинская род.]</t>
        </is>
      </c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>
        <v>2865</v>
      </c>
      <c r="M251" s="3" t="n">
        <v>1081</v>
      </c>
      <c r="N251" s="3" t="n">
        <v>1453</v>
      </c>
      <c r="O251" s="3" t="n">
        <v>1768</v>
      </c>
      <c r="P251" s="3" t="n">
        <v>1797</v>
      </c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AA251" s="5">
        <f>SUM(L251:Y251)</f>
        <v/>
      </c>
      <c r="AB251" s="5">
        <f>C250-AA251</f>
        <v/>
      </c>
    </row>
    <row r="252" customFormat="1" s="2">
      <c r="A252" s="1" t="inlineStr">
        <is>
          <t>[Семипалатинская ум.]</t>
        </is>
      </c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>
        <v>2501</v>
      </c>
      <c r="M252" s="3" t="n">
        <v>980</v>
      </c>
      <c r="N252" s="3" t="n">
        <v>1046</v>
      </c>
      <c r="O252" s="3" t="n">
        <v>1254</v>
      </c>
      <c r="P252" s="3" t="n">
        <v>1877</v>
      </c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AA252" s="5">
        <f>SUM(L252:Y252)</f>
        <v/>
      </c>
      <c r="AB252" s="5">
        <f>AA252-D250</f>
        <v/>
      </c>
    </row>
    <row r="253" customFormat="1" s="8">
      <c r="A253" s="6" t="inlineStr">
        <is>
          <t>Семиреченская</t>
        </is>
      </c>
      <c r="B253" s="7" t="n">
        <v>679810</v>
      </c>
      <c r="C253" s="7" t="n">
        <v>15346</v>
      </c>
      <c r="D253" s="7" t="n">
        <v>10650</v>
      </c>
      <c r="E253" s="7" t="n">
        <v>27547</v>
      </c>
      <c r="F253" s="7" t="n">
        <v>990</v>
      </c>
      <c r="G253" s="7" t="n">
        <v>1742</v>
      </c>
      <c r="H253" s="7" t="n">
        <v>632406</v>
      </c>
      <c r="I253" s="7" t="n">
        <v>12353</v>
      </c>
      <c r="J253" s="7" t="n">
        <v>8897</v>
      </c>
      <c r="K253" s="3" t="n"/>
      <c r="L253" s="7" t="n">
        <v>201770</v>
      </c>
      <c r="M253" s="7" t="n">
        <v>80932</v>
      </c>
      <c r="N253" s="7" t="n">
        <v>60000</v>
      </c>
      <c r="O253" s="7" t="n">
        <v>114961</v>
      </c>
      <c r="P253" s="7" t="n">
        <v>100167</v>
      </c>
      <c r="Q253" s="7" t="n">
        <v>100444</v>
      </c>
      <c r="R253" s="7" t="n"/>
      <c r="S253" s="7" t="n"/>
      <c r="T253" s="7" t="n"/>
      <c r="U253" s="7" t="n"/>
      <c r="V253" s="7" t="n"/>
      <c r="W253" s="7" t="n"/>
      <c r="X253" s="7" t="n"/>
      <c r="Y253" s="7" t="n"/>
      <c r="AA253" s="9">
        <f>SUM(L253:Y253)</f>
        <v/>
      </c>
      <c r="AB253" s="9">
        <f>AA253-B253</f>
        <v/>
      </c>
    </row>
    <row r="254" customFormat="1" s="2">
      <c r="A254" s="1" t="inlineStr">
        <is>
          <t>[Семиреченская род.]</t>
        </is>
      </c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>
        <v>15983</v>
      </c>
      <c r="M254" s="3" t="n">
        <v>281</v>
      </c>
      <c r="N254" s="3" t="n">
        <v>1468</v>
      </c>
      <c r="O254" s="3" t="n">
        <v>2774</v>
      </c>
      <c r="P254" s="3" t="n">
        <v>2642</v>
      </c>
      <c r="Q254" s="3" t="n">
        <v>3137</v>
      </c>
      <c r="R254" s="3" t="n"/>
      <c r="S254" s="3" t="n"/>
      <c r="T254" s="3" t="n"/>
      <c r="U254" s="3" t="n"/>
      <c r="V254" s="3" t="n"/>
      <c r="W254" s="3" t="n"/>
      <c r="X254" s="3" t="n"/>
      <c r="Y254" s="3" t="n"/>
      <c r="AA254" s="5">
        <f>SUM(L254:Y254)</f>
        <v/>
      </c>
      <c r="AB254" s="5">
        <f>C253-AA254</f>
        <v/>
      </c>
    </row>
    <row r="255" customFormat="1" s="2">
      <c r="A255" s="1" t="inlineStr">
        <is>
          <t>[Семиреченская ум.]</t>
        </is>
      </c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>
        <v>4319</v>
      </c>
      <c r="M255" s="3" t="n">
        <v>143</v>
      </c>
      <c r="N255" s="3" t="n">
        <v>85</v>
      </c>
      <c r="O255" s="3" t="n">
        <v>2870</v>
      </c>
      <c r="P255" s="3" t="n">
        <v>2022</v>
      </c>
      <c r="Q255" s="3" t="n">
        <v>179</v>
      </c>
      <c r="R255" s="3" t="n"/>
      <c r="S255" s="3" t="n"/>
      <c r="T255" s="3" t="n"/>
      <c r="U255" s="3" t="n"/>
      <c r="V255" s="3" t="n"/>
      <c r="W255" s="3" t="n"/>
      <c r="X255" s="3" t="n"/>
      <c r="Y255" s="3" t="n"/>
      <c r="AA255" s="5">
        <f>SUM(L255:Y255)</f>
        <v/>
      </c>
      <c r="AB255" s="5">
        <f>AA255-D253</f>
        <v/>
      </c>
    </row>
    <row r="256" customFormat="1" s="8">
      <c r="A256" s="6" t="inlineStr">
        <is>
          <t>Сыр-Дарьинская</t>
        </is>
      </c>
      <c r="B256" s="7" t="n">
        <v>1143584</v>
      </c>
      <c r="C256" s="7" t="n">
        <v>7525</v>
      </c>
      <c r="D256" s="7" t="n">
        <v>4334</v>
      </c>
      <c r="E256" s="7" t="n">
        <v>133108</v>
      </c>
      <c r="F256" s="10" t="inlineStr">
        <is>
          <t>—</t>
        </is>
      </c>
      <c r="G256" s="10" t="inlineStr">
        <is>
          <t>—</t>
        </is>
      </c>
      <c r="H256" s="7" t="n">
        <v>1114309</v>
      </c>
      <c r="I256" s="10" t="inlineStr">
        <is>
          <t>—</t>
        </is>
      </c>
      <c r="J256" s="10" t="inlineStr">
        <is>
          <t>—</t>
        </is>
      </c>
      <c r="K256" s="4" t="n"/>
      <c r="L256" s="7" t="n">
        <v>370275</v>
      </c>
      <c r="M256" s="7" t="n">
        <v>186509</v>
      </c>
      <c r="N256" s="7" t="n">
        <v>128375</v>
      </c>
      <c r="O256" s="7" t="n">
        <v>105253</v>
      </c>
      <c r="P256" s="7" t="n">
        <v>199340</v>
      </c>
      <c r="Q256" s="7" t="n">
        <v>149510</v>
      </c>
      <c r="R256" s="7" t="n"/>
      <c r="S256" s="7" t="n"/>
      <c r="T256" s="7" t="n"/>
      <c r="U256" s="7" t="n"/>
      <c r="V256" s="7" t="n"/>
      <c r="W256" s="7" t="n"/>
      <c r="X256" s="7" t="n"/>
      <c r="Y256" s="7" t="n"/>
      <c r="AA256" s="9">
        <f>SUM(L256:Y256)</f>
        <v/>
      </c>
      <c r="AB256" s="9">
        <f>AA256-B256</f>
        <v/>
      </c>
    </row>
    <row r="257" customFormat="1" s="2">
      <c r="A257" s="1" t="inlineStr">
        <is>
          <t>[Сыр-Дарьинская род.]</t>
        </is>
      </c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>
        <v>262</v>
      </c>
      <c r="M257" s="3" t="n">
        <v>7263</v>
      </c>
      <c r="N257" s="4" t="inlineStr">
        <is>
          <t>—</t>
        </is>
      </c>
      <c r="O257" s="4" t="inlineStr">
        <is>
          <t>—</t>
        </is>
      </c>
      <c r="P257" s="4" t="inlineStr">
        <is>
          <t>—</t>
        </is>
      </c>
      <c r="Q257" s="4" t="inlineStr">
        <is>
          <t>—</t>
        </is>
      </c>
      <c r="R257" s="3" t="n"/>
      <c r="S257" s="3" t="n"/>
      <c r="T257" s="3" t="n"/>
      <c r="U257" s="3" t="n"/>
      <c r="V257" s="3" t="n"/>
      <c r="W257" s="3" t="n"/>
      <c r="X257" s="3" t="n"/>
      <c r="Y257" s="3" t="n"/>
      <c r="AA257" s="5">
        <f>SUM(L257:Y257)</f>
        <v/>
      </c>
      <c r="AB257" s="5">
        <f>C256-AA257</f>
        <v/>
      </c>
    </row>
    <row r="258" customFormat="1" s="2">
      <c r="A258" s="1" t="inlineStr">
        <is>
          <t>[Сыр-Дарьинская ум.]</t>
        </is>
      </c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>
        <v>1206</v>
      </c>
      <c r="M258" s="3" t="n">
        <v>4128</v>
      </c>
      <c r="N258" s="4" t="inlineStr">
        <is>
          <t>—</t>
        </is>
      </c>
      <c r="O258" s="4" t="inlineStr">
        <is>
          <t>—</t>
        </is>
      </c>
      <c r="P258" s="4" t="inlineStr">
        <is>
          <t>—</t>
        </is>
      </c>
      <c r="Q258" s="4" t="inlineStr">
        <is>
          <t>—</t>
        </is>
      </c>
      <c r="R258" s="3" t="n"/>
      <c r="S258" s="3" t="n"/>
      <c r="T258" s="3" t="n"/>
      <c r="U258" s="3" t="n"/>
      <c r="V258" s="3" t="n"/>
      <c r="W258" s="3" t="n"/>
      <c r="X258" s="3" t="n"/>
      <c r="Y258" s="3" t="n"/>
      <c r="AA258" s="5">
        <f>SUM(L258:Y258)</f>
        <v/>
      </c>
      <c r="AB258" s="5">
        <f>AA258-D256</f>
        <v/>
      </c>
    </row>
    <row r="259" customFormat="1" s="8">
      <c r="A259" s="6" t="inlineStr">
        <is>
          <t>Тургайская</t>
        </is>
      </c>
      <c r="B259" s="7" t="n">
        <v>397959</v>
      </c>
      <c r="C259" s="7" t="n">
        <v>11648</v>
      </c>
      <c r="D259" s="7" t="n">
        <v>7437</v>
      </c>
      <c r="E259" s="10" t="inlineStr">
        <is>
          <t>—</t>
        </is>
      </c>
      <c r="F259" s="10" t="inlineStr">
        <is>
          <t>—</t>
        </is>
      </c>
      <c r="G259" s="10" t="inlineStr">
        <is>
          <t>—</t>
        </is>
      </c>
      <c r="H259" s="7" t="n">
        <v>354965</v>
      </c>
      <c r="I259" s="7" t="n">
        <v>3475</v>
      </c>
      <c r="J259" s="7" t="n">
        <v>2269</v>
      </c>
      <c r="K259" s="3" t="n"/>
      <c r="L259" s="7" t="n">
        <v>70611</v>
      </c>
      <c r="M259" s="7" t="n">
        <v>88208</v>
      </c>
      <c r="N259" s="7" t="n">
        <v>84320</v>
      </c>
      <c r="O259" s="7" t="n">
        <v>154520</v>
      </c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AA259" s="9">
        <f>SUM(L259:Y259)</f>
        <v/>
      </c>
      <c r="AB259" s="9">
        <f>AA259-B259</f>
        <v/>
      </c>
    </row>
    <row r="260" customFormat="1" s="2">
      <c r="A260" s="1" t="inlineStr">
        <is>
          <t>[Тургайская род.]</t>
        </is>
      </c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>
        <v>2069</v>
      </c>
      <c r="M260" s="3" t="n">
        <v>152</v>
      </c>
      <c r="N260" s="3" t="n">
        <v>1970</v>
      </c>
      <c r="O260" s="3" t="n">
        <v>7457</v>
      </c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AA260" s="5">
        <f>SUM(L260:Y260)</f>
        <v/>
      </c>
      <c r="AB260" s="5">
        <f>C259-AA260</f>
        <v/>
      </c>
    </row>
    <row r="261" customFormat="1" s="2">
      <c r="A261" s="1" t="inlineStr">
        <is>
          <t>[Тургайская ум.]</t>
        </is>
      </c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>
        <v>1538</v>
      </c>
      <c r="M261" s="3" t="n">
        <v>66</v>
      </c>
      <c r="N261" s="3" t="n">
        <v>1546</v>
      </c>
      <c r="O261" s="3" t="n">
        <v>4287</v>
      </c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AA261" s="5">
        <f>SUM(L261:Y261)</f>
        <v/>
      </c>
      <c r="AB261" s="5">
        <f>AA261-D259</f>
        <v/>
      </c>
    </row>
    <row r="262" customFormat="1" s="8">
      <c r="A262" s="6" t="inlineStr">
        <is>
          <t>Уральская</t>
        </is>
      </c>
      <c r="B262" s="7" t="n">
        <v>562485</v>
      </c>
      <c r="C262" s="7" t="n">
        <v>7889</v>
      </c>
      <c r="D262" s="7" t="n">
        <v>4448</v>
      </c>
      <c r="E262" s="10" t="inlineStr">
        <is>
          <t>—</t>
        </is>
      </c>
      <c r="F262" s="10" t="inlineStr">
        <is>
          <t>—</t>
        </is>
      </c>
      <c r="G262" s="10" t="inlineStr">
        <is>
          <t>—</t>
        </is>
      </c>
      <c r="H262" s="7" t="n">
        <v>551235</v>
      </c>
      <c r="I262" s="7" t="n">
        <v>6383</v>
      </c>
      <c r="J262" s="7" t="n">
        <v>4380</v>
      </c>
      <c r="K262" s="3" t="n"/>
      <c r="L262" s="7" t="n">
        <v>226868</v>
      </c>
      <c r="M262" s="7" t="n">
        <v>102678</v>
      </c>
      <c r="N262" s="7" t="n">
        <v>136603</v>
      </c>
      <c r="O262" s="7" t="n">
        <v>96336</v>
      </c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AA262" s="9">
        <f>SUM(L262:Y262)</f>
        <v/>
      </c>
      <c r="AB262" s="9">
        <f>AA262-B262</f>
        <v/>
      </c>
    </row>
    <row r="263" customFormat="1" s="2">
      <c r="A263" s="1" t="inlineStr">
        <is>
          <t>[Уральская род.]</t>
        </is>
      </c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>
        <v>5849</v>
      </c>
      <c r="M263" s="3" t="n">
        <v>655</v>
      </c>
      <c r="N263" s="3" t="n">
        <v>1361</v>
      </c>
      <c r="O263" s="3" t="n">
        <v>24</v>
      </c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AA263" s="5">
        <f>SUM(L263:Y263)</f>
        <v/>
      </c>
      <c r="AB263" s="5">
        <f>C262-AA263</f>
        <v/>
      </c>
    </row>
    <row r="264" customFormat="1" s="2">
      <c r="A264" s="1" t="inlineStr">
        <is>
          <t>[Уральская ум.]</t>
        </is>
      </c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>
        <v>3566</v>
      </c>
      <c r="M264" s="3" t="n">
        <v>296</v>
      </c>
      <c r="N264" s="3" t="n">
        <v>579</v>
      </c>
      <c r="O264" s="3" t="n">
        <v>7</v>
      </c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AA264" s="5">
        <f>SUM(L264:Y264)</f>
        <v/>
      </c>
      <c r="AB264" s="5">
        <f>AA264-D262</f>
        <v/>
      </c>
    </row>
    <row r="265" customFormat="1" s="8">
      <c r="A265" s="6" t="inlineStr">
        <is>
          <t>Ферганская</t>
        </is>
      </c>
      <c r="B265" s="7" t="n">
        <v>804949</v>
      </c>
      <c r="C265" s="7" t="n">
        <v>43145</v>
      </c>
      <c r="D265" s="7" t="n">
        <v>36045</v>
      </c>
      <c r="E265" s="7" t="n">
        <v>142459</v>
      </c>
      <c r="F265" s="10" t="inlineStr">
        <is>
          <t>—</t>
        </is>
      </c>
      <c r="G265" s="10" t="inlineStr">
        <is>
          <t>—</t>
        </is>
      </c>
      <c r="H265" s="7" t="n">
        <v>782623</v>
      </c>
      <c r="I265" s="7" t="n">
        <v>18921</v>
      </c>
      <c r="J265" s="7" t="n">
        <v>12445</v>
      </c>
      <c r="K265" s="3" t="n"/>
      <c r="L265" s="7" t="n">
        <v>178692</v>
      </c>
      <c r="M265" s="7" t="n">
        <v>134096</v>
      </c>
      <c r="N265" s="7" t="n">
        <v>254000</v>
      </c>
      <c r="O265" s="7" t="n">
        <v>197209</v>
      </c>
      <c r="P265" s="7" t="n">
        <v>40952</v>
      </c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AA265" s="9">
        <f>SUM(L265:Y265)</f>
        <v/>
      </c>
      <c r="AB265" s="9">
        <f>AA265-B265</f>
        <v/>
      </c>
    </row>
    <row r="266" customFormat="1" s="2">
      <c r="A266" s="1" t="inlineStr">
        <is>
          <t>[Ферганская род.]</t>
        </is>
      </c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>
        <v>21817</v>
      </c>
      <c r="M266" s="3" t="n">
        <v>10760</v>
      </c>
      <c r="N266" s="3" t="n">
        <v>5757</v>
      </c>
      <c r="O266" s="3" t="n">
        <v>7168</v>
      </c>
      <c r="P266" s="3" t="n">
        <v>2643</v>
      </c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AA266" s="5">
        <f>SUM(L266:Y266)</f>
        <v/>
      </c>
      <c r="AB266" s="5">
        <f>C265-AA266</f>
        <v/>
      </c>
    </row>
    <row r="267" customFormat="1" s="2">
      <c r="A267" s="1" t="inlineStr">
        <is>
          <t>[Ферганская ум.]</t>
        </is>
      </c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>
        <v>19392</v>
      </c>
      <c r="M267" s="3" t="n">
        <v>6721</v>
      </c>
      <c r="N267" s="3" t="n">
        <v>3902</v>
      </c>
      <c r="O267" s="3" t="n">
        <v>5241</v>
      </c>
      <c r="P267" s="3" t="n">
        <v>789</v>
      </c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AA267" s="5">
        <f>SUM(L267:Y267)</f>
        <v/>
      </c>
      <c r="AB267" s="5">
        <f>AA267-D265</f>
        <v/>
      </c>
      <c r="AD267" s="5" t="n"/>
    </row>
    <row r="268" customFormat="1" s="13">
      <c r="A268" s="11" t="inlineStr">
        <is>
          <t>Итого в средне-азиатских областях</t>
        </is>
      </c>
      <c r="B268" s="12" t="n">
        <v>6106894</v>
      </c>
      <c r="C268" s="12" t="n">
        <v>130780</v>
      </c>
      <c r="D268" s="12" t="n">
        <v>85046</v>
      </c>
      <c r="E268" s="12" t="n">
        <v>433543</v>
      </c>
      <c r="F268" s="12" t="inlineStr">
        <is>
          <t>—</t>
        </is>
      </c>
      <c r="G268" s="12" t="inlineStr">
        <is>
          <t>—</t>
        </is>
      </c>
      <c r="H268" s="12" t="n">
        <v>5901196</v>
      </c>
      <c r="I268" s="12" t="n">
        <v>62717</v>
      </c>
      <c r="J268" s="12" t="n">
        <v>44227</v>
      </c>
      <c r="K268" s="3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  <c r="Y268" s="12" t="n"/>
      <c r="AA268" s="14" t="n"/>
      <c r="AB268" s="14" t="n"/>
      <c r="AD268" s="14">
        <f>SUM(B245:B267)</f>
        <v/>
      </c>
      <c r="AE268" s="14">
        <f>SUM(C245:C267)</f>
        <v/>
      </c>
      <c r="AF268" s="14">
        <f>SUM(D245:D267)</f>
        <v/>
      </c>
      <c r="AG268" s="14">
        <f>SUM(E245:E267)</f>
        <v/>
      </c>
      <c r="AH268" s="14">
        <f>SUM(F245:F267)</f>
        <v/>
      </c>
      <c r="AI268" s="14">
        <f>SUM(G245:G267)</f>
        <v/>
      </c>
      <c r="AJ268" s="14">
        <f>SUM(H245:H267)</f>
        <v/>
      </c>
      <c r="AK268" s="14">
        <f>SUM(I245:I267)</f>
        <v/>
      </c>
      <c r="AL268" s="14">
        <f>SUM(J245:J267)</f>
        <v/>
      </c>
      <c r="AN268" s="14">
        <f>AD268-B268</f>
        <v/>
      </c>
      <c r="AO268" s="14">
        <f>AE268-C268</f>
        <v/>
      </c>
      <c r="AP268" s="14">
        <f>AF268-D268</f>
        <v/>
      </c>
      <c r="AQ268" s="14">
        <f>AG268-E268</f>
        <v/>
      </c>
      <c r="AR268" s="14">
        <f>AH268-F268</f>
        <v/>
      </c>
      <c r="AS268" s="14">
        <f>AI268-G268</f>
        <v/>
      </c>
      <c r="AT268" s="14">
        <f>AJ268-H268</f>
        <v/>
      </c>
      <c r="AU268" s="14">
        <f>AK268-I268</f>
        <v/>
      </c>
      <c r="AV268" s="14">
        <f>AL268-J268</f>
        <v/>
      </c>
    </row>
    <row r="269" customFormat="1" s="13">
      <c r="A269" s="11" t="inlineStr">
        <is>
          <t>Итого во всей Империи</t>
        </is>
      </c>
      <c r="B269" s="12" t="n">
        <v>116652610</v>
      </c>
      <c r="C269" s="12" t="n">
        <v>5227118</v>
      </c>
      <c r="D269" s="12" t="n">
        <v>3790861</v>
      </c>
      <c r="E269" s="12" t="n">
        <v>11429561</v>
      </c>
      <c r="F269" s="12" t="n">
        <v>397551</v>
      </c>
      <c r="G269" s="12" t="n">
        <v>3790681</v>
      </c>
      <c r="H269" s="12" t="n">
        <v>11429561</v>
      </c>
      <c r="I269" s="12" t="n">
        <v>397551</v>
      </c>
      <c r="J269" s="12" t="n">
        <v>317787</v>
      </c>
      <c r="K269" s="3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  <c r="Y269" s="12" t="n"/>
      <c r="AA269" s="14" t="n"/>
      <c r="AB269" s="14" t="n"/>
      <c r="AD269" s="14">
        <f>SUM(AD189:AD268)</f>
        <v/>
      </c>
      <c r="AE269" s="14">
        <f>SUM(AE189:AE268)</f>
        <v/>
      </c>
      <c r="AF269" s="14">
        <f>SUM(AF189:AF268)</f>
        <v/>
      </c>
      <c r="AG269" s="14">
        <f>SUM(AG189:AG268)</f>
        <v/>
      </c>
      <c r="AH269" s="14">
        <f>SUM(AH189:AH268)</f>
        <v/>
      </c>
      <c r="AI269" s="14">
        <f>SUM(AI189:AI268)</f>
        <v/>
      </c>
      <c r="AJ269" s="14">
        <f>SUM(AJ189:AJ268)</f>
        <v/>
      </c>
      <c r="AK269" s="14">
        <f>SUM(AK189:AK268)</f>
        <v/>
      </c>
      <c r="AL269" s="14">
        <f>SUM(AL189:AL268)</f>
        <v/>
      </c>
      <c r="AN269" s="14">
        <f>AD269-B269</f>
        <v/>
      </c>
      <c r="AO269" s="14">
        <f>AE269-C269</f>
        <v/>
      </c>
      <c r="AP269" s="14">
        <f>AF269-D269</f>
        <v/>
      </c>
      <c r="AQ269" s="14">
        <f>AG269-E269</f>
        <v/>
      </c>
      <c r="AR269" s="14">
        <f>AH269-F269</f>
        <v/>
      </c>
      <c r="AS269" s="14">
        <f>AI269-G269</f>
        <v/>
      </c>
      <c r="AT269" s="14">
        <f>AJ269-H269</f>
        <v/>
      </c>
      <c r="AU269" s="14">
        <f>AK269-I269</f>
        <v/>
      </c>
      <c r="AV269" s="14">
        <f>AL269-J269</f>
        <v/>
      </c>
    </row>
  </sheetData>
  <mergeCells count="1">
    <mergeCell ref="L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2026-06-17T22:41:57Z</dcterms:created>
  <dcterms:modified xmlns:dcterms="http://purl.org/dc/terms/" xmlns:xsi="http://www.w3.org/2001/XMLSchema-instance" xsi:type="dcterms:W3CDTF">2026-06-17T22:41:57Z</dcterms:modified>
  <cp:lastModifiedBy>Oboguev, Sergey</cp:lastModifiedBy>
</cp:coreProperties>
</file>