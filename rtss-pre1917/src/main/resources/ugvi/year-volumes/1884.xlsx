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D8F50556-4982-4E79-90C0-CA209C1EE74B}" xr6:coauthVersionLast="47" xr6:coauthVersionMax="47" xr10:uidLastSave="{00000000-0000-0000-0000-000000000000}"/>
  <bookViews>
    <workbookView xWindow="57480" yWindow="-120" windowWidth="51840" windowHeight="21120" activeTab="1" xr2:uid="{E49FF23B-5D0B-4DAE-84F9-7D6D171212C5}"/>
  </bookViews>
  <sheets>
    <sheet name="Notes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2" i="1" l="1"/>
  <c r="R25" i="1"/>
  <c r="M94" i="1"/>
  <c r="L94" i="1"/>
  <c r="M92" i="1"/>
  <c r="S92" i="1" s="1"/>
  <c r="L92" i="1"/>
  <c r="M91" i="1"/>
  <c r="S91" i="1" s="1"/>
  <c r="L91" i="1"/>
  <c r="R91" i="1" s="1"/>
  <c r="M89" i="1"/>
  <c r="S89" i="1" s="1"/>
  <c r="L89" i="1"/>
  <c r="R89" i="1" s="1"/>
  <c r="M88" i="1"/>
  <c r="S88" i="1" s="1"/>
  <c r="L88" i="1"/>
  <c r="R88" i="1" s="1"/>
  <c r="M87" i="1"/>
  <c r="S87" i="1" s="1"/>
  <c r="L87" i="1"/>
  <c r="R87" i="1" s="1"/>
  <c r="M83" i="1"/>
  <c r="L83" i="1"/>
  <c r="M82" i="1"/>
  <c r="S82" i="1" s="1"/>
  <c r="L82" i="1"/>
  <c r="R82" i="1" s="1"/>
  <c r="M80" i="1"/>
  <c r="L80" i="1"/>
  <c r="M77" i="1"/>
  <c r="S77" i="1" s="1"/>
  <c r="L77" i="1"/>
  <c r="R77" i="1" s="1"/>
  <c r="M76" i="1"/>
  <c r="S76" i="1" s="1"/>
  <c r="L76" i="1"/>
  <c r="R76" i="1" s="1"/>
  <c r="M71" i="1"/>
  <c r="S71" i="1" s="1"/>
  <c r="L71" i="1"/>
  <c r="R71" i="1" s="1"/>
  <c r="M69" i="1"/>
  <c r="S69" i="1" s="1"/>
  <c r="L69" i="1"/>
  <c r="R69" i="1" s="1"/>
  <c r="M68" i="1"/>
  <c r="S68" i="1" s="1"/>
  <c r="L68" i="1"/>
  <c r="R68" i="1" s="1"/>
  <c r="M67" i="1"/>
  <c r="S67" i="1" s="1"/>
  <c r="L67" i="1"/>
  <c r="R67" i="1" s="1"/>
  <c r="M66" i="1"/>
  <c r="S66" i="1" s="1"/>
  <c r="L66" i="1"/>
  <c r="R66" i="1" s="1"/>
  <c r="M65" i="1"/>
  <c r="S65" i="1" s="1"/>
  <c r="L65" i="1"/>
  <c r="R65" i="1" s="1"/>
  <c r="M64" i="1"/>
  <c r="S64" i="1" s="1"/>
  <c r="L64" i="1"/>
  <c r="R64" i="1" s="1"/>
  <c r="M63" i="1"/>
  <c r="S63" i="1" s="1"/>
  <c r="L63" i="1"/>
  <c r="R63" i="1" s="1"/>
  <c r="M62" i="1"/>
  <c r="S62" i="1" s="1"/>
  <c r="L62" i="1"/>
  <c r="R62" i="1" s="1"/>
  <c r="M61" i="1"/>
  <c r="S61" i="1" s="1"/>
  <c r="L61" i="1"/>
  <c r="R61" i="1" s="1"/>
  <c r="M60" i="1"/>
  <c r="S60" i="1" s="1"/>
  <c r="L60" i="1"/>
  <c r="R60" i="1" s="1"/>
  <c r="M59" i="1"/>
  <c r="S59" i="1" s="1"/>
  <c r="L59" i="1"/>
  <c r="R59" i="1" s="1"/>
  <c r="M58" i="1"/>
  <c r="S58" i="1" s="1"/>
  <c r="L58" i="1"/>
  <c r="R58" i="1" s="1"/>
  <c r="M57" i="1"/>
  <c r="S57" i="1" s="1"/>
  <c r="L57" i="1"/>
  <c r="R57" i="1" s="1"/>
  <c r="M56" i="1"/>
  <c r="S56" i="1" s="1"/>
  <c r="L56" i="1"/>
  <c r="R56" i="1" s="1"/>
  <c r="M55" i="1"/>
  <c r="S55" i="1" s="1"/>
  <c r="L55" i="1"/>
  <c r="R55" i="1" s="1"/>
  <c r="M54" i="1"/>
  <c r="S54" i="1" s="1"/>
  <c r="L54" i="1"/>
  <c r="R54" i="1" s="1"/>
  <c r="M53" i="1"/>
  <c r="S53" i="1" s="1"/>
  <c r="L53" i="1"/>
  <c r="R53" i="1" s="1"/>
  <c r="M52" i="1"/>
  <c r="S52" i="1" s="1"/>
  <c r="L52" i="1"/>
  <c r="R52" i="1" s="1"/>
  <c r="M51" i="1"/>
  <c r="S51" i="1" s="1"/>
  <c r="L51" i="1"/>
  <c r="R51" i="1" s="1"/>
  <c r="M50" i="1"/>
  <c r="S50" i="1" s="1"/>
  <c r="L50" i="1"/>
  <c r="R50" i="1" s="1"/>
  <c r="M49" i="1"/>
  <c r="S49" i="1" s="1"/>
  <c r="L49" i="1"/>
  <c r="R49" i="1" s="1"/>
  <c r="M48" i="1"/>
  <c r="S48" i="1" s="1"/>
  <c r="L48" i="1"/>
  <c r="R48" i="1" s="1"/>
  <c r="M47" i="1"/>
  <c r="S47" i="1" s="1"/>
  <c r="L47" i="1"/>
  <c r="R47" i="1" s="1"/>
  <c r="M46" i="1"/>
  <c r="S46" i="1" s="1"/>
  <c r="L46" i="1"/>
  <c r="R46" i="1" s="1"/>
  <c r="M45" i="1"/>
  <c r="S45" i="1" s="1"/>
  <c r="L45" i="1"/>
  <c r="R45" i="1" s="1"/>
  <c r="M44" i="1"/>
  <c r="S44" i="1" s="1"/>
  <c r="L44" i="1"/>
  <c r="R44" i="1" s="1"/>
  <c r="M43" i="1"/>
  <c r="S43" i="1" s="1"/>
  <c r="L43" i="1"/>
  <c r="R43" i="1" s="1"/>
  <c r="M42" i="1"/>
  <c r="S42" i="1" s="1"/>
  <c r="L42" i="1"/>
  <c r="R42" i="1" s="1"/>
  <c r="M41" i="1"/>
  <c r="S41" i="1" s="1"/>
  <c r="L41" i="1"/>
  <c r="R41" i="1" s="1"/>
  <c r="M40" i="1"/>
  <c r="S40" i="1" s="1"/>
  <c r="L40" i="1"/>
  <c r="R40" i="1" s="1"/>
  <c r="M39" i="1"/>
  <c r="S39" i="1" s="1"/>
  <c r="L39" i="1"/>
  <c r="R39" i="1" s="1"/>
  <c r="M38" i="1"/>
  <c r="S38" i="1" s="1"/>
  <c r="L38" i="1"/>
  <c r="R38" i="1" s="1"/>
  <c r="M37" i="1"/>
  <c r="S37" i="1" s="1"/>
  <c r="L37" i="1"/>
  <c r="R37" i="1" s="1"/>
  <c r="M36" i="1"/>
  <c r="S36" i="1" s="1"/>
  <c r="L36" i="1"/>
  <c r="R36" i="1" s="1"/>
  <c r="M35" i="1"/>
  <c r="S35" i="1" s="1"/>
  <c r="L35" i="1"/>
  <c r="R35" i="1" s="1"/>
  <c r="M34" i="1"/>
  <c r="S34" i="1" s="1"/>
  <c r="L34" i="1"/>
  <c r="R34" i="1" s="1"/>
  <c r="M33" i="1"/>
  <c r="S33" i="1" s="1"/>
  <c r="L33" i="1"/>
  <c r="R33" i="1" s="1"/>
  <c r="M32" i="1"/>
  <c r="S32" i="1" s="1"/>
  <c r="L32" i="1"/>
  <c r="R32" i="1" s="1"/>
  <c r="M31" i="1"/>
  <c r="S31" i="1" s="1"/>
  <c r="L31" i="1"/>
  <c r="R31" i="1" s="1"/>
  <c r="M30" i="1"/>
  <c r="S30" i="1" s="1"/>
  <c r="L30" i="1"/>
  <c r="R30" i="1" s="1"/>
  <c r="M29" i="1"/>
  <c r="S29" i="1" s="1"/>
  <c r="L29" i="1"/>
  <c r="R29" i="1" s="1"/>
  <c r="M28" i="1"/>
  <c r="S28" i="1" s="1"/>
  <c r="L28" i="1"/>
  <c r="R28" i="1" s="1"/>
  <c r="M27" i="1"/>
  <c r="S27" i="1" s="1"/>
  <c r="L27" i="1"/>
  <c r="R27" i="1" s="1"/>
  <c r="M26" i="1"/>
  <c r="S26" i="1" s="1"/>
  <c r="L26" i="1"/>
  <c r="R26" i="1" s="1"/>
  <c r="M25" i="1"/>
  <c r="S25" i="1" s="1"/>
  <c r="L25" i="1"/>
  <c r="M24" i="1"/>
  <c r="S24" i="1" s="1"/>
  <c r="L24" i="1"/>
  <c r="R24" i="1" s="1"/>
  <c r="M23" i="1"/>
  <c r="S23" i="1" s="1"/>
  <c r="L23" i="1"/>
  <c r="R23" i="1" s="1"/>
  <c r="M22" i="1"/>
  <c r="S22" i="1" s="1"/>
  <c r="L22" i="1"/>
  <c r="R22" i="1" s="1"/>
  <c r="M21" i="1"/>
  <c r="S21" i="1" s="1"/>
  <c r="L21" i="1"/>
  <c r="R21" i="1" s="1"/>
  <c r="M20" i="1"/>
  <c r="S20" i="1" s="1"/>
  <c r="L20" i="1"/>
  <c r="R20" i="1" s="1"/>
  <c r="M19" i="1"/>
  <c r="S19" i="1" s="1"/>
  <c r="L19" i="1"/>
  <c r="R19" i="1" s="1"/>
  <c r="M18" i="1"/>
  <c r="S18" i="1" s="1"/>
  <c r="L18" i="1"/>
  <c r="R18" i="1" s="1"/>
  <c r="M17" i="1"/>
  <c r="S17" i="1" s="1"/>
  <c r="L17" i="1"/>
  <c r="R17" i="1" s="1"/>
  <c r="M16" i="1"/>
  <c r="S16" i="1" s="1"/>
  <c r="L16" i="1"/>
  <c r="R16" i="1" s="1"/>
  <c r="M15" i="1"/>
  <c r="S15" i="1" s="1"/>
  <c r="L15" i="1"/>
  <c r="R15" i="1" s="1"/>
  <c r="M14" i="1"/>
  <c r="S14" i="1" s="1"/>
  <c r="L14" i="1"/>
  <c r="R14" i="1" s="1"/>
  <c r="M13" i="1"/>
  <c r="S13" i="1" s="1"/>
  <c r="L13" i="1"/>
  <c r="R13" i="1" s="1"/>
  <c r="M12" i="1"/>
  <c r="S12" i="1" s="1"/>
  <c r="L12" i="1"/>
  <c r="R12" i="1" s="1"/>
  <c r="M11" i="1"/>
  <c r="S11" i="1" s="1"/>
  <c r="L11" i="1"/>
  <c r="R11" i="1" s="1"/>
  <c r="M10" i="1"/>
  <c r="S10" i="1" s="1"/>
  <c r="L10" i="1"/>
  <c r="R10" i="1" s="1"/>
  <c r="M9" i="1"/>
  <c r="S9" i="1" s="1"/>
  <c r="L9" i="1"/>
  <c r="R9" i="1" s="1"/>
  <c r="M8" i="1"/>
  <c r="S8" i="1" s="1"/>
  <c r="L8" i="1"/>
  <c r="R8" i="1" s="1"/>
  <c r="M7" i="1"/>
  <c r="S7" i="1" s="1"/>
  <c r="L7" i="1"/>
  <c r="R7" i="1" s="1"/>
  <c r="M6" i="1"/>
  <c r="S6" i="1" s="1"/>
  <c r="L6" i="1"/>
  <c r="R6" i="1" s="1"/>
  <c r="M5" i="1"/>
  <c r="S5" i="1" s="1"/>
  <c r="L5" i="1"/>
  <c r="R5" i="1" s="1"/>
  <c r="M4" i="1"/>
  <c r="S4" i="1" s="1"/>
  <c r="L4" i="1"/>
  <c r="R4" i="1" s="1"/>
  <c r="M3" i="1"/>
  <c r="S3" i="1" s="1"/>
  <c r="L3" i="1"/>
  <c r="R3" i="1" s="1"/>
  <c r="J94" i="1"/>
  <c r="P94" i="1" s="1"/>
  <c r="K83" i="1"/>
  <c r="Q83" i="1" s="1"/>
  <c r="J83" i="1"/>
  <c r="P83" i="1" s="1"/>
  <c r="I83" i="1"/>
  <c r="O83" i="1" s="1"/>
  <c r="K69" i="1"/>
  <c r="Q69" i="1" s="1"/>
  <c r="J69" i="1"/>
  <c r="P69" i="1" s="1"/>
  <c r="I69" i="1"/>
  <c r="O69" i="1" s="1"/>
  <c r="K94" i="1" l="1"/>
  <c r="Q94" i="1" s="1"/>
  <c r="I94" i="1"/>
  <c r="O94" i="1" s="1"/>
</calcChain>
</file>

<file path=xl/sharedStrings.xml><?xml version="1.0" encoding="utf-8"?>
<sst xmlns="http://schemas.openxmlformats.org/spreadsheetml/2006/main" count="162" uniqueCount="127">
  <si>
    <t>губ</t>
  </si>
  <si>
    <t>чж NYY</t>
  </si>
  <si>
    <t>чр YY</t>
  </si>
  <si>
    <t>р YY</t>
  </si>
  <si>
    <t>с YY</t>
  </si>
  <si>
    <t>v-чж</t>
  </si>
  <si>
    <t>v-чр</t>
  </si>
  <si>
    <t>v-чс</t>
  </si>
  <si>
    <t>v-р</t>
  </si>
  <si>
    <t>v-с</t>
  </si>
  <si>
    <t>v-diff-чж</t>
  </si>
  <si>
    <t>v-diff-чр</t>
  </si>
  <si>
    <t>v-diff-чс</t>
  </si>
  <si>
    <t>v-diff-р</t>
  </si>
  <si>
    <t>v-diff-с</t>
  </si>
  <si>
    <t>Архангельская</t>
  </si>
  <si>
    <t xml:space="preserve">Астраханская </t>
  </si>
  <si>
    <t xml:space="preserve">Бессарабская </t>
  </si>
  <si>
    <t>Варшавская</t>
  </si>
  <si>
    <t xml:space="preserve">Виленская </t>
  </si>
  <si>
    <t>Витебская</t>
  </si>
  <si>
    <t>Владимірская</t>
  </si>
  <si>
    <t xml:space="preserve">Вологодская </t>
  </si>
  <si>
    <t>Волынская</t>
  </si>
  <si>
    <t>Воронежская</t>
  </si>
  <si>
    <t>Вятская</t>
  </si>
  <si>
    <t xml:space="preserve">Гродненская </t>
  </si>
  <si>
    <t>Екатеринославская</t>
  </si>
  <si>
    <t>Иркутская</t>
  </si>
  <si>
    <t>Казанская</t>
  </si>
  <si>
    <t>Калишская</t>
  </si>
  <si>
    <t>Калужская</t>
  </si>
  <si>
    <t>Кіевская</t>
  </si>
  <si>
    <t>Ковенская</t>
  </si>
  <si>
    <t>Костромская</t>
  </si>
  <si>
    <t>Курляндская</t>
  </si>
  <si>
    <t>Курская</t>
  </si>
  <si>
    <t>Кѣлецкая</t>
  </si>
  <si>
    <t xml:space="preserve">ЛиФляндская </t>
  </si>
  <si>
    <t>Ломжинская</t>
  </si>
  <si>
    <t>Люблинская</t>
  </si>
  <si>
    <t xml:space="preserve">Могилевская </t>
  </si>
  <si>
    <t>Московская</t>
  </si>
  <si>
    <t>Нижегородская</t>
  </si>
  <si>
    <t xml:space="preserve">Новгородская </t>
  </si>
  <si>
    <t xml:space="preserve">Олонецкая </t>
  </si>
  <si>
    <t>Оренбургская</t>
  </si>
  <si>
    <t>Орловская</t>
  </si>
  <si>
    <t>Пензенская</t>
  </si>
  <si>
    <t>Енисейская</t>
  </si>
  <si>
    <t xml:space="preserve">Минская   </t>
  </si>
  <si>
    <t xml:space="preserve">Пермская </t>
  </si>
  <si>
    <t>Петроковская</t>
  </si>
  <si>
    <t>Плоцная</t>
  </si>
  <si>
    <t>Подольская</t>
  </si>
  <si>
    <t>Полтавская</t>
  </si>
  <si>
    <t xml:space="preserve">Псковская </t>
  </si>
  <si>
    <t xml:space="preserve">Радомская </t>
  </si>
  <si>
    <t>Рязанская</t>
  </si>
  <si>
    <t xml:space="preserve">Самарская </t>
  </si>
  <si>
    <t xml:space="preserve">С-Петербургская </t>
  </si>
  <si>
    <t>в т.ч. С-Петербург</t>
  </si>
  <si>
    <t xml:space="preserve">Саратовская </t>
  </si>
  <si>
    <t>Симбирская</t>
  </si>
  <si>
    <t xml:space="preserve">Смоленская </t>
  </si>
  <si>
    <t xml:space="preserve">Сувалкская </t>
  </si>
  <si>
    <t xml:space="preserve">Сѣдлецкая </t>
  </si>
  <si>
    <t>Таврическая</t>
  </si>
  <si>
    <t xml:space="preserve">Тамбовская </t>
  </si>
  <si>
    <t>Тверская</t>
  </si>
  <si>
    <t xml:space="preserve">Тобольская   </t>
  </si>
  <si>
    <t>Томская</t>
  </si>
  <si>
    <t>Тульская</t>
  </si>
  <si>
    <t xml:space="preserve">Уфимская   </t>
  </si>
  <si>
    <t>Харьковская</t>
  </si>
  <si>
    <t xml:space="preserve">Херсонская   </t>
  </si>
  <si>
    <t xml:space="preserve">Черниговская   </t>
  </si>
  <si>
    <t xml:space="preserve">Эстляндская  </t>
  </si>
  <si>
    <t>Ярославская</t>
  </si>
  <si>
    <t>Акмолинская</t>
  </si>
  <si>
    <t>Амурская</t>
  </si>
  <si>
    <t xml:space="preserve">Забайкальская </t>
  </si>
  <si>
    <t xml:space="preserve">Семипалатинская </t>
  </si>
  <si>
    <t xml:space="preserve">Войска Донскаго </t>
  </si>
  <si>
    <t>Семирѣчинская</t>
  </si>
  <si>
    <t xml:space="preserve">Сыръ-Дарьинская </t>
  </si>
  <si>
    <t>Тургайская</t>
  </si>
  <si>
    <t>Итого губернии</t>
  </si>
  <si>
    <t>Прим Вост Сиб</t>
  </si>
  <si>
    <t xml:space="preserve">Уральская </t>
  </si>
  <si>
    <t>Ферганская</t>
  </si>
  <si>
    <t>Якутская</t>
  </si>
  <si>
    <t xml:space="preserve">Севастопольское </t>
  </si>
  <si>
    <t>Керчь-Еникольское</t>
  </si>
  <si>
    <t>Одесское</t>
  </si>
  <si>
    <t>Таганрогское</t>
  </si>
  <si>
    <t xml:space="preserve">Владивостокское </t>
  </si>
  <si>
    <t>Кронштадтское</t>
  </si>
  <si>
    <t>Итого области</t>
  </si>
  <si>
    <t>—</t>
  </si>
  <si>
    <t>Херсонская не включает Одессу и Николаев</t>
  </si>
  <si>
    <t>Число жителей</t>
  </si>
  <si>
    <t>Амурской</t>
  </si>
  <si>
    <t>Забайкальской</t>
  </si>
  <si>
    <t>Семипалатинской</t>
  </si>
  <si>
    <t>Тургайской областей</t>
  </si>
  <si>
    <t>по сведениям 1883 года</t>
  </si>
  <si>
    <t>В Ферганской обл. число рождений и смертей только русских</t>
  </si>
  <si>
    <t>Численность населения, рождений и смертей Кронштадта вошла в "итого губерний"</t>
  </si>
  <si>
    <t>Расхождение на 27 тыс. вероятно связано с Николаевым, для которого имелись только сведения о численности, но не рождениях и смертях</t>
  </si>
  <si>
    <t>[градоначальства:]</t>
  </si>
  <si>
    <t>в т.ч. Москва</t>
  </si>
  <si>
    <t>Варшава</t>
  </si>
  <si>
    <t>Варшава неверно указана "в т.ч.", убрано</t>
  </si>
  <si>
    <t>добавить к</t>
  </si>
  <si>
    <t>[правка+] Николаев</t>
  </si>
  <si>
    <t>[правка+] Севастополь</t>
  </si>
  <si>
    <t>[правка+] пригороды Петербурга</t>
  </si>
  <si>
    <t>Бессарабская</t>
  </si>
  <si>
    <t>[правка=] Бессарабская по ЦСК</t>
  </si>
  <si>
    <t>[правка=] Томская по ЦСК</t>
  </si>
  <si>
    <t xml:space="preserve">Сравнение с соседними годами показывает, что величины УГВИ для </t>
  </si>
  <si>
    <t>ошибочны и следует использовать величины ЦСК</t>
  </si>
  <si>
    <t>чу YY</t>
  </si>
  <si>
    <t>Всего Империя</t>
  </si>
  <si>
    <t>note</t>
  </si>
  <si>
    <t>Ферганская (одни русские)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</si>
</sst>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3" fontId="0" fillId="2" borderId="0" xfId="0" applyNumberFormat="1" applyFill="1"/>
    <xf numFmtId="164" fontId="0" fillId="0" borderId="0" xfId="0" applyNumberFormat="1"/>
    <xf numFmtId="2" fontId="0" fillId="0" borderId="0" xfId="0" applyNumberFormat="1"/>
    <xf numFmtId="0" fontId="0" fillId="3" borderId="0" xfId="0" applyFill="1"/>
    <xf numFmtId="3" fontId="0" fillId="3" borderId="0" xfId="0" applyNumberFormat="1" applyFill="1"/>
    <xf numFmtId="2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3" fontId="0" fillId="0" borderId="0" xfId="0" applyNumberFormat="1" applyAlignment="1">
      <alignment horizontal="center"/>
    </xf>
    <xf numFmtId="49" fontId="0" fillId="5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4397-82A1-43AA-A839-C83F74A94BE9}">
  <dimension ref="A3:B23"/>
  <sheetViews>
    <sheetView workbookViewId="0">
      <selection activeCell="A24" sqref="A24"/>
    </sheetView>
  </sheetViews>
  <sheetFormatPr defaultRowHeight="14.4" x14ac:dyDescent="0.55000000000000004"/>
  <sheetData>
    <row r="3" spans="1:2" x14ac:dyDescent="0.55000000000000004">
      <c r="A3" t="s">
        <v>100</v>
      </c>
    </row>
    <row r="4" spans="1:2" x14ac:dyDescent="0.55000000000000004">
      <c r="A4" t="s">
        <v>109</v>
      </c>
    </row>
    <row r="6" spans="1:2" x14ac:dyDescent="0.55000000000000004">
      <c r="A6" t="s">
        <v>101</v>
      </c>
    </row>
    <row r="7" spans="1:2" x14ac:dyDescent="0.55000000000000004">
      <c r="B7" t="s">
        <v>102</v>
      </c>
    </row>
    <row r="8" spans="1:2" x14ac:dyDescent="0.55000000000000004">
      <c r="B8" t="s">
        <v>103</v>
      </c>
    </row>
    <row r="9" spans="1:2" x14ac:dyDescent="0.55000000000000004">
      <c r="B9" t="s">
        <v>88</v>
      </c>
    </row>
    <row r="10" spans="1:2" x14ac:dyDescent="0.55000000000000004">
      <c r="B10" t="s">
        <v>104</v>
      </c>
    </row>
    <row r="11" spans="1:2" x14ac:dyDescent="0.55000000000000004">
      <c r="B11" t="s">
        <v>105</v>
      </c>
    </row>
    <row r="12" spans="1:2" x14ac:dyDescent="0.55000000000000004">
      <c r="A12" t="s">
        <v>106</v>
      </c>
    </row>
    <row r="14" spans="1:2" x14ac:dyDescent="0.55000000000000004">
      <c r="A14" t="s">
        <v>107</v>
      </c>
    </row>
    <row r="16" spans="1:2" x14ac:dyDescent="0.55000000000000004">
      <c r="A16" t="s">
        <v>108</v>
      </c>
    </row>
    <row r="18" spans="1:2" x14ac:dyDescent="0.55000000000000004">
      <c r="A18" t="s">
        <v>113</v>
      </c>
    </row>
    <row r="20" spans="1:2" x14ac:dyDescent="0.55000000000000004">
      <c r="A20" t="s">
        <v>121</v>
      </c>
    </row>
    <row r="21" spans="1:2" x14ac:dyDescent="0.55000000000000004">
      <c r="B21" t="s">
        <v>118</v>
      </c>
    </row>
    <row r="22" spans="1:2" x14ac:dyDescent="0.55000000000000004">
      <c r="B22" t="s">
        <v>71</v>
      </c>
    </row>
    <row r="23" spans="1:2" x14ac:dyDescent="0.55000000000000004">
      <c r="A23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1D34-8D50-4752-AD94-484EE1B49B45}">
  <dimension ref="A1:S108"/>
  <sheetViews>
    <sheetView tabSelected="1" zoomScaleNormal="100" workbookViewId="0">
      <pane ySplit="1" topLeftCell="A56" activePane="bottomLeft" state="frozen"/>
      <selection pane="bottomLeft" activeCell="R81" sqref="R81:S81"/>
    </sheetView>
  </sheetViews>
  <sheetFormatPr defaultRowHeight="14.4" x14ac:dyDescent="0.55000000000000004"/>
  <cols>
    <col min="1" max="1" width="30.578125" customWidth="1"/>
    <col min="2" max="2" width="9.9453125" style="5" bestFit="1" customWidth="1"/>
    <col min="3" max="4" width="9" style="5" bestFit="1" customWidth="1"/>
    <col min="5" max="6" width="8.83984375" style="7"/>
    <col min="7" max="7" width="13.20703125" style="7" customWidth="1"/>
    <col min="9" max="9" width="9.734375" bestFit="1" customWidth="1"/>
    <col min="12" max="13" width="8.83984375" style="7"/>
  </cols>
  <sheetData>
    <row r="1" spans="1:19" x14ac:dyDescent="0.55000000000000004">
      <c r="A1" s="1" t="s">
        <v>0</v>
      </c>
      <c r="B1" s="2" t="s">
        <v>1</v>
      </c>
      <c r="C1" s="2" t="s">
        <v>2</v>
      </c>
      <c r="D1" s="2" t="s">
        <v>123</v>
      </c>
      <c r="E1" s="3" t="s">
        <v>3</v>
      </c>
      <c r="F1" s="3" t="s">
        <v>4</v>
      </c>
      <c r="G1" s="3" t="s">
        <v>114</v>
      </c>
      <c r="I1" s="1" t="s">
        <v>5</v>
      </c>
      <c r="J1" s="2" t="s">
        <v>6</v>
      </c>
      <c r="K1" s="2" t="s">
        <v>7</v>
      </c>
      <c r="L1" s="3" t="s">
        <v>8</v>
      </c>
      <c r="M1" s="3" t="s">
        <v>9</v>
      </c>
      <c r="N1" s="4"/>
      <c r="O1" s="1" t="s">
        <v>10</v>
      </c>
      <c r="P1" s="2" t="s">
        <v>11</v>
      </c>
      <c r="Q1" s="2" t="s">
        <v>12</v>
      </c>
      <c r="R1" s="3" t="s">
        <v>13</v>
      </c>
      <c r="S1" s="3" t="s">
        <v>14</v>
      </c>
    </row>
    <row r="3" spans="1:19" x14ac:dyDescent="0.55000000000000004">
      <c r="A3" t="s">
        <v>15</v>
      </c>
      <c r="B3" s="5">
        <v>327442</v>
      </c>
      <c r="C3" s="5">
        <v>12833</v>
      </c>
      <c r="D3" s="5">
        <v>8313</v>
      </c>
      <c r="E3" s="7">
        <v>3.9</v>
      </c>
      <c r="F3" s="7">
        <v>2.5</v>
      </c>
      <c r="L3" s="7">
        <f>C3/B3*100</f>
        <v>3.9191673639911802</v>
      </c>
      <c r="M3" s="7">
        <f>D3/B3*100</f>
        <v>2.5387702249558703</v>
      </c>
      <c r="R3" s="7">
        <f>L3-E3</f>
        <v>1.9167363991180242E-2</v>
      </c>
      <c r="S3" s="7">
        <f>M3-F3</f>
        <v>3.8770224955870347E-2</v>
      </c>
    </row>
    <row r="4" spans="1:19" x14ac:dyDescent="0.55000000000000004">
      <c r="A4" t="s">
        <v>16</v>
      </c>
      <c r="B4" s="5">
        <v>793052</v>
      </c>
      <c r="C4" s="5">
        <v>29595</v>
      </c>
      <c r="D4" s="5">
        <v>20152</v>
      </c>
      <c r="E4" s="7">
        <v>3.7</v>
      </c>
      <c r="F4" s="7">
        <v>2.5</v>
      </c>
      <c r="L4" s="7">
        <f t="shared" ref="L4:L67" si="0">C4/B4*100</f>
        <v>3.7317855575674734</v>
      </c>
      <c r="M4" s="7">
        <f t="shared" ref="M4:M67" si="1">D4/B4*100</f>
        <v>2.5410691858793624</v>
      </c>
      <c r="R4" s="7">
        <f t="shared" ref="R4:R67" si="2">L4-E4</f>
        <v>3.1785557567473255E-2</v>
      </c>
      <c r="S4" s="7">
        <f t="shared" ref="S4:S67" si="3">M4-F4</f>
        <v>4.1069185879362369E-2</v>
      </c>
    </row>
    <row r="5" spans="1:19" x14ac:dyDescent="0.55000000000000004">
      <c r="A5" t="s">
        <v>17</v>
      </c>
      <c r="B5" s="5">
        <v>1424115</v>
      </c>
      <c r="C5" s="5">
        <v>54300</v>
      </c>
      <c r="D5" s="5">
        <v>41342</v>
      </c>
      <c r="E5" s="7">
        <v>3.8</v>
      </c>
      <c r="F5" s="7">
        <v>2.9</v>
      </c>
      <c r="L5" s="7">
        <f t="shared" si="0"/>
        <v>3.8128943238432287</v>
      </c>
      <c r="M5" s="7">
        <f t="shared" si="1"/>
        <v>2.902995895696626</v>
      </c>
      <c r="R5" s="7">
        <f t="shared" si="2"/>
        <v>1.2894323843228861E-2</v>
      </c>
      <c r="S5" s="7">
        <f t="shared" si="3"/>
        <v>2.9958956966260608E-3</v>
      </c>
    </row>
    <row r="6" spans="1:19" x14ac:dyDescent="0.55000000000000004">
      <c r="A6" t="s">
        <v>18</v>
      </c>
      <c r="B6" s="5">
        <v>956137</v>
      </c>
      <c r="C6" s="5">
        <v>37449</v>
      </c>
      <c r="D6" s="5">
        <v>22310</v>
      </c>
      <c r="E6" s="7">
        <v>3.9</v>
      </c>
      <c r="F6" s="7">
        <v>2.2999999999999998</v>
      </c>
      <c r="L6" s="7">
        <f t="shared" si="0"/>
        <v>3.916698130079685</v>
      </c>
      <c r="M6" s="7">
        <f t="shared" si="1"/>
        <v>2.3333476269614084</v>
      </c>
      <c r="R6" s="7">
        <f t="shared" si="2"/>
        <v>1.6698130079685125E-2</v>
      </c>
      <c r="S6" s="7">
        <f t="shared" si="3"/>
        <v>3.3347626961408583E-2</v>
      </c>
    </row>
    <row r="7" spans="1:19" x14ac:dyDescent="0.55000000000000004">
      <c r="A7" s="13" t="s">
        <v>112</v>
      </c>
      <c r="B7" s="5">
        <v>406365</v>
      </c>
      <c r="C7" s="5">
        <v>14399</v>
      </c>
      <c r="D7" s="5">
        <v>11277</v>
      </c>
      <c r="E7" s="7">
        <v>3.5</v>
      </c>
      <c r="F7" s="7">
        <v>2.7</v>
      </c>
      <c r="L7" s="7">
        <f t="shared" si="0"/>
        <v>3.5433661855720842</v>
      </c>
      <c r="M7" s="7">
        <f t="shared" si="1"/>
        <v>2.77509135875383</v>
      </c>
      <c r="R7" s="7">
        <f t="shared" si="2"/>
        <v>4.3366185572084159E-2</v>
      </c>
      <c r="S7" s="7">
        <f t="shared" si="3"/>
        <v>7.5091358753829773E-2</v>
      </c>
    </row>
    <row r="8" spans="1:19" x14ac:dyDescent="0.55000000000000004">
      <c r="A8" t="s">
        <v>19</v>
      </c>
      <c r="B8" s="5">
        <v>1238041</v>
      </c>
      <c r="C8" s="5">
        <v>47506</v>
      </c>
      <c r="D8" s="5">
        <v>29154</v>
      </c>
      <c r="E8" s="7">
        <v>3.8</v>
      </c>
      <c r="F8" s="7">
        <v>2.2999999999999998</v>
      </c>
      <c r="L8" s="7">
        <f t="shared" si="0"/>
        <v>3.8371911754134151</v>
      </c>
      <c r="M8" s="7">
        <f t="shared" si="1"/>
        <v>2.3548493143603482</v>
      </c>
      <c r="R8" s="7">
        <f t="shared" si="2"/>
        <v>3.7191175413415323E-2</v>
      </c>
      <c r="S8" s="7">
        <f t="shared" si="3"/>
        <v>5.4849314360348345E-2</v>
      </c>
    </row>
    <row r="9" spans="1:19" x14ac:dyDescent="0.55000000000000004">
      <c r="A9" t="s">
        <v>20</v>
      </c>
      <c r="B9" s="5">
        <v>1204951</v>
      </c>
      <c r="C9" s="5">
        <v>48984</v>
      </c>
      <c r="D9" s="5">
        <v>29417</v>
      </c>
      <c r="E9" s="7">
        <v>4</v>
      </c>
      <c r="F9" s="7">
        <v>2.4</v>
      </c>
      <c r="L9" s="7">
        <f t="shared" si="0"/>
        <v>4.0652275486721043</v>
      </c>
      <c r="M9" s="7">
        <f t="shared" si="1"/>
        <v>2.4413440878508754</v>
      </c>
      <c r="R9" s="7">
        <f t="shared" si="2"/>
        <v>6.5227548672104341E-2</v>
      </c>
      <c r="S9" s="7">
        <f t="shared" si="3"/>
        <v>4.1344087850875511E-2</v>
      </c>
    </row>
    <row r="10" spans="1:19" x14ac:dyDescent="0.55000000000000004">
      <c r="A10" t="s">
        <v>21</v>
      </c>
      <c r="B10" s="5">
        <v>1358785</v>
      </c>
      <c r="C10" s="5">
        <v>75653</v>
      </c>
      <c r="D10" s="5">
        <v>55756</v>
      </c>
      <c r="E10" s="7">
        <v>5.6</v>
      </c>
      <c r="F10" s="7">
        <v>4.0999999999999996</v>
      </c>
      <c r="L10" s="7">
        <f t="shared" si="0"/>
        <v>5.5676946683986062</v>
      </c>
      <c r="M10" s="7">
        <f t="shared" si="1"/>
        <v>4.1033717622729133</v>
      </c>
      <c r="R10" s="7">
        <f t="shared" si="2"/>
        <v>-3.2305331601393483E-2</v>
      </c>
      <c r="S10" s="7">
        <f t="shared" si="3"/>
        <v>3.371762272913692E-3</v>
      </c>
    </row>
    <row r="11" spans="1:19" x14ac:dyDescent="0.55000000000000004">
      <c r="A11" t="s">
        <v>22</v>
      </c>
      <c r="B11" s="5">
        <v>1199577</v>
      </c>
      <c r="C11" s="5">
        <v>59948</v>
      </c>
      <c r="D11" s="5">
        <v>38077</v>
      </c>
      <c r="E11" s="7">
        <v>4.9000000000000004</v>
      </c>
      <c r="F11" s="7">
        <v>3.1</v>
      </c>
      <c r="L11" s="7">
        <f t="shared" si="0"/>
        <v>4.9974282601283626</v>
      </c>
      <c r="M11" s="7">
        <f t="shared" si="1"/>
        <v>3.1742022396228005</v>
      </c>
      <c r="R11" s="7">
        <f t="shared" si="2"/>
        <v>9.7428260128362254E-2</v>
      </c>
      <c r="S11" s="7">
        <f t="shared" si="3"/>
        <v>7.420223962280037E-2</v>
      </c>
    </row>
    <row r="12" spans="1:19" x14ac:dyDescent="0.55000000000000004">
      <c r="A12" t="s">
        <v>23</v>
      </c>
      <c r="B12" s="5">
        <v>2140490</v>
      </c>
      <c r="C12" s="5">
        <v>105466</v>
      </c>
      <c r="D12" s="5">
        <v>60397</v>
      </c>
      <c r="E12" s="7">
        <v>4.9000000000000004</v>
      </c>
      <c r="F12" s="7">
        <v>2.8</v>
      </c>
      <c r="L12" s="7">
        <f t="shared" si="0"/>
        <v>4.9271895687436054</v>
      </c>
      <c r="M12" s="7">
        <f t="shared" si="1"/>
        <v>2.8216436423435756</v>
      </c>
      <c r="R12" s="7">
        <f t="shared" si="2"/>
        <v>2.7189568743605008E-2</v>
      </c>
      <c r="S12" s="7">
        <f t="shared" si="3"/>
        <v>2.1643642343575742E-2</v>
      </c>
    </row>
    <row r="13" spans="1:19" x14ac:dyDescent="0.55000000000000004">
      <c r="A13" t="s">
        <v>24</v>
      </c>
      <c r="B13" s="5">
        <v>2486195</v>
      </c>
      <c r="C13" s="5">
        <v>130682</v>
      </c>
      <c r="D13" s="5">
        <v>76983</v>
      </c>
      <c r="E13" s="7">
        <v>5.2</v>
      </c>
      <c r="F13" s="7">
        <v>3</v>
      </c>
      <c r="L13" s="7">
        <f t="shared" si="0"/>
        <v>5.2563053179658068</v>
      </c>
      <c r="M13" s="7">
        <f t="shared" si="1"/>
        <v>3.0964184225292062</v>
      </c>
      <c r="R13" s="7">
        <f t="shared" si="2"/>
        <v>5.6305317965806623E-2</v>
      </c>
      <c r="S13" s="7">
        <f t="shared" si="3"/>
        <v>9.6418422529206183E-2</v>
      </c>
    </row>
    <row r="14" spans="1:19" x14ac:dyDescent="0.55000000000000004">
      <c r="A14" t="s">
        <v>25</v>
      </c>
      <c r="B14" s="5">
        <v>2839206</v>
      </c>
      <c r="C14" s="5">
        <v>155471</v>
      </c>
      <c r="D14" s="5">
        <v>100248</v>
      </c>
      <c r="E14" s="7">
        <v>5.5</v>
      </c>
      <c r="F14" s="7">
        <v>3.5</v>
      </c>
      <c r="L14" s="7">
        <f t="shared" si="0"/>
        <v>5.4758619135068045</v>
      </c>
      <c r="M14" s="7">
        <f t="shared" si="1"/>
        <v>3.5308462999866861</v>
      </c>
      <c r="R14" s="7">
        <f t="shared" si="2"/>
        <v>-2.4138086493195487E-2</v>
      </c>
      <c r="S14" s="7">
        <f t="shared" si="3"/>
        <v>3.0846299986686088E-2</v>
      </c>
    </row>
    <row r="15" spans="1:19" x14ac:dyDescent="0.55000000000000004">
      <c r="A15" t="s">
        <v>26</v>
      </c>
      <c r="B15" s="5">
        <v>1243414</v>
      </c>
      <c r="C15" s="5">
        <v>51544</v>
      </c>
      <c r="D15" s="5">
        <v>36525</v>
      </c>
      <c r="E15" s="7">
        <v>4.0999999999999996</v>
      </c>
      <c r="F15" s="7">
        <v>2.9</v>
      </c>
      <c r="L15" s="7">
        <f t="shared" si="0"/>
        <v>4.1453610784501382</v>
      </c>
      <c r="M15" s="7">
        <f t="shared" si="1"/>
        <v>2.9374769787054031</v>
      </c>
      <c r="R15" s="7">
        <f t="shared" si="2"/>
        <v>4.5361078450138592E-2</v>
      </c>
      <c r="S15" s="7">
        <f t="shared" si="3"/>
        <v>3.747697870540323E-2</v>
      </c>
    </row>
    <row r="16" spans="1:19" x14ac:dyDescent="0.55000000000000004">
      <c r="A16" t="s">
        <v>27</v>
      </c>
      <c r="B16" s="5">
        <v>1664715</v>
      </c>
      <c r="C16" s="5">
        <v>90702</v>
      </c>
      <c r="D16" s="5">
        <v>54140</v>
      </c>
      <c r="E16" s="7">
        <v>5.4</v>
      </c>
      <c r="F16" s="7">
        <v>3.2</v>
      </c>
      <c r="L16" s="7">
        <f t="shared" si="0"/>
        <v>5.4485001937268542</v>
      </c>
      <c r="M16" s="7">
        <f t="shared" si="1"/>
        <v>3.2522083359614111</v>
      </c>
      <c r="R16" s="7">
        <f t="shared" si="2"/>
        <v>4.850019372685388E-2</v>
      </c>
      <c r="S16" s="7">
        <f t="shared" si="3"/>
        <v>5.2208335961410945E-2</v>
      </c>
    </row>
    <row r="17" spans="1:19" x14ac:dyDescent="0.55000000000000004">
      <c r="A17" t="s">
        <v>49</v>
      </c>
      <c r="B17" s="5">
        <v>439149</v>
      </c>
      <c r="C17" s="5">
        <v>21195</v>
      </c>
      <c r="D17" s="5">
        <v>17943</v>
      </c>
      <c r="E17" s="7">
        <v>4.8</v>
      </c>
      <c r="F17" s="7">
        <v>4</v>
      </c>
      <c r="L17" s="7">
        <f t="shared" si="0"/>
        <v>4.8263801124447507</v>
      </c>
      <c r="M17" s="7">
        <f t="shared" si="1"/>
        <v>4.085856964264976</v>
      </c>
      <c r="R17" s="7">
        <f t="shared" si="2"/>
        <v>2.6380112444750914E-2</v>
      </c>
      <c r="S17" s="7">
        <f t="shared" si="3"/>
        <v>8.5856964264976021E-2</v>
      </c>
    </row>
    <row r="18" spans="1:19" x14ac:dyDescent="0.55000000000000004">
      <c r="A18" t="s">
        <v>28</v>
      </c>
      <c r="B18" s="5">
        <v>404700</v>
      </c>
      <c r="C18" s="5">
        <v>19364</v>
      </c>
      <c r="D18" s="5">
        <v>14714</v>
      </c>
      <c r="E18" s="7">
        <v>4.7</v>
      </c>
      <c r="F18" s="7">
        <v>3.6</v>
      </c>
      <c r="L18" s="7">
        <f t="shared" si="0"/>
        <v>4.7847788485297746</v>
      </c>
      <c r="M18" s="7">
        <f t="shared" si="1"/>
        <v>3.6357795898196197</v>
      </c>
      <c r="R18" s="7">
        <f t="shared" si="2"/>
        <v>8.4778848529774464E-2</v>
      </c>
      <c r="S18" s="7">
        <f t="shared" si="3"/>
        <v>3.5779589819619595E-2</v>
      </c>
    </row>
    <row r="19" spans="1:19" x14ac:dyDescent="0.55000000000000004">
      <c r="A19" t="s">
        <v>29</v>
      </c>
      <c r="B19" s="5">
        <v>2040448</v>
      </c>
      <c r="C19" s="5">
        <v>100169</v>
      </c>
      <c r="D19" s="5">
        <v>68419</v>
      </c>
      <c r="E19" s="7">
        <v>4.9000000000000004</v>
      </c>
      <c r="F19" s="7">
        <v>3.3</v>
      </c>
      <c r="L19" s="7">
        <f t="shared" si="0"/>
        <v>4.9091670064613266</v>
      </c>
      <c r="M19" s="7">
        <f t="shared" si="1"/>
        <v>3.353136174016687</v>
      </c>
      <c r="R19" s="7">
        <f t="shared" si="2"/>
        <v>9.167006461326288E-3</v>
      </c>
      <c r="S19" s="7">
        <f t="shared" si="3"/>
        <v>5.3136174016687132E-2</v>
      </c>
    </row>
    <row r="20" spans="1:19" x14ac:dyDescent="0.55000000000000004">
      <c r="A20" t="s">
        <v>30</v>
      </c>
      <c r="B20" s="5">
        <v>794414</v>
      </c>
      <c r="C20" s="5">
        <v>27771</v>
      </c>
      <c r="D20" s="5">
        <v>17697</v>
      </c>
      <c r="E20" s="7">
        <v>3.4</v>
      </c>
      <c r="F20" s="7">
        <v>2.2000000000000002</v>
      </c>
      <c r="L20" s="7">
        <f t="shared" si="0"/>
        <v>3.4957843139723117</v>
      </c>
      <c r="M20" s="7">
        <f t="shared" si="1"/>
        <v>2.2276797740221093</v>
      </c>
      <c r="R20" s="7">
        <f t="shared" si="2"/>
        <v>9.5784313972311796E-2</v>
      </c>
      <c r="S20" s="7">
        <f t="shared" si="3"/>
        <v>2.7679774022109083E-2</v>
      </c>
    </row>
    <row r="21" spans="1:19" x14ac:dyDescent="0.55000000000000004">
      <c r="A21" t="s">
        <v>31</v>
      </c>
      <c r="B21" s="5">
        <v>1156617</v>
      </c>
      <c r="C21" s="5">
        <v>54539</v>
      </c>
      <c r="D21" s="5">
        <v>46632</v>
      </c>
      <c r="E21" s="7">
        <v>4.7</v>
      </c>
      <c r="F21" s="7">
        <v>4</v>
      </c>
      <c r="L21" s="7">
        <f t="shared" si="0"/>
        <v>4.715389796276555</v>
      </c>
      <c r="M21" s="7">
        <f t="shared" si="1"/>
        <v>4.0317581360121801</v>
      </c>
      <c r="R21" s="7">
        <f t="shared" si="2"/>
        <v>1.538979627655479E-2</v>
      </c>
      <c r="S21" s="7">
        <f t="shared" si="3"/>
        <v>3.1758136012180138E-2</v>
      </c>
    </row>
    <row r="22" spans="1:19" x14ac:dyDescent="0.55000000000000004">
      <c r="A22" t="s">
        <v>32</v>
      </c>
      <c r="B22" s="5">
        <v>2554826</v>
      </c>
      <c r="C22" s="5">
        <v>147401</v>
      </c>
      <c r="D22" s="5">
        <v>84687</v>
      </c>
      <c r="E22" s="7">
        <v>5.7</v>
      </c>
      <c r="F22" s="7">
        <v>3.3</v>
      </c>
      <c r="L22" s="7">
        <f t="shared" si="0"/>
        <v>5.7695122877252691</v>
      </c>
      <c r="M22" s="7">
        <f t="shared" si="1"/>
        <v>3.314785429614385</v>
      </c>
      <c r="R22" s="7">
        <f t="shared" si="2"/>
        <v>6.9512287725268962E-2</v>
      </c>
      <c r="S22" s="7">
        <f t="shared" si="3"/>
        <v>1.4785429614385226E-2</v>
      </c>
    </row>
    <row r="23" spans="1:19" x14ac:dyDescent="0.55000000000000004">
      <c r="A23" t="s">
        <v>33</v>
      </c>
      <c r="B23" s="5">
        <v>1482858</v>
      </c>
      <c r="C23" s="5">
        <v>50212</v>
      </c>
      <c r="D23" s="5">
        <v>28815</v>
      </c>
      <c r="E23" s="7">
        <v>3.3</v>
      </c>
      <c r="F23" s="7">
        <v>2</v>
      </c>
      <c r="L23" s="7">
        <f t="shared" si="0"/>
        <v>3.3861637459554457</v>
      </c>
      <c r="M23" s="7">
        <f t="shared" si="1"/>
        <v>1.9432069692445264</v>
      </c>
      <c r="R23" s="7">
        <f t="shared" si="2"/>
        <v>8.6163745955445847E-2</v>
      </c>
      <c r="S23" s="7">
        <f t="shared" si="3"/>
        <v>-5.6793030755473595E-2</v>
      </c>
    </row>
    <row r="24" spans="1:19" x14ac:dyDescent="0.55000000000000004">
      <c r="A24" t="s">
        <v>34</v>
      </c>
      <c r="B24" s="5">
        <v>1308417</v>
      </c>
      <c r="C24" s="5">
        <v>65285</v>
      </c>
      <c r="D24" s="5">
        <v>47548</v>
      </c>
      <c r="E24" s="7">
        <v>4.9000000000000004</v>
      </c>
      <c r="F24" s="7">
        <v>3.6</v>
      </c>
      <c r="L24" s="7">
        <f t="shared" si="0"/>
        <v>4.9896172244781285</v>
      </c>
      <c r="M24" s="7">
        <f t="shared" si="1"/>
        <v>3.6340096467716334</v>
      </c>
      <c r="R24" s="7">
        <f t="shared" si="2"/>
        <v>8.9617224478128144E-2</v>
      </c>
      <c r="S24" s="7">
        <f t="shared" si="3"/>
        <v>3.4009646771633317E-2</v>
      </c>
    </row>
    <row r="25" spans="1:19" x14ac:dyDescent="0.55000000000000004">
      <c r="A25" t="s">
        <v>35</v>
      </c>
      <c r="B25" s="5">
        <v>656496</v>
      </c>
      <c r="C25" s="5">
        <v>19291</v>
      </c>
      <c r="D25" s="5">
        <v>11641</v>
      </c>
      <c r="E25" s="7">
        <v>2.9</v>
      </c>
      <c r="F25" s="7">
        <v>1.7</v>
      </c>
      <c r="L25" s="7">
        <f t="shared" si="0"/>
        <v>2.9384794423728402</v>
      </c>
      <c r="M25" s="7">
        <f t="shared" si="1"/>
        <v>1.7732019692427676</v>
      </c>
      <c r="R25" s="7">
        <f t="shared" si="2"/>
        <v>3.8479442372840289E-2</v>
      </c>
      <c r="S25" s="7">
        <f t="shared" si="3"/>
        <v>7.3201969242767673E-2</v>
      </c>
    </row>
    <row r="26" spans="1:19" x14ac:dyDescent="0.55000000000000004">
      <c r="A26" t="s">
        <v>36</v>
      </c>
      <c r="B26" s="5">
        <v>2362988</v>
      </c>
      <c r="C26" s="5">
        <v>119271</v>
      </c>
      <c r="D26" s="5">
        <v>98026</v>
      </c>
      <c r="E26" s="7">
        <v>6</v>
      </c>
      <c r="F26" s="7">
        <v>4.0999999999999996</v>
      </c>
      <c r="L26" s="7">
        <f t="shared" si="0"/>
        <v>5.0474653277968402</v>
      </c>
      <c r="M26" s="7">
        <f t="shared" si="1"/>
        <v>4.1483917819303358</v>
      </c>
      <c r="R26" s="7">
        <f t="shared" si="2"/>
        <v>-0.95253467220315979</v>
      </c>
      <c r="S26" s="7">
        <f t="shared" si="3"/>
        <v>4.8391781930336109E-2</v>
      </c>
    </row>
    <row r="27" spans="1:19" x14ac:dyDescent="0.55000000000000004">
      <c r="A27" t="s">
        <v>37</v>
      </c>
      <c r="B27" s="5">
        <v>654377</v>
      </c>
      <c r="C27" s="5">
        <v>26301</v>
      </c>
      <c r="D27" s="5">
        <v>15553</v>
      </c>
      <c r="E27" s="7">
        <v>4</v>
      </c>
      <c r="F27" s="7">
        <v>2.2999999999999998</v>
      </c>
      <c r="L27" s="7">
        <f t="shared" si="0"/>
        <v>4.0192427301081795</v>
      </c>
      <c r="M27" s="7">
        <f t="shared" si="1"/>
        <v>2.3767644645212163</v>
      </c>
      <c r="R27" s="7">
        <f t="shared" si="2"/>
        <v>1.9242730108179451E-2</v>
      </c>
      <c r="S27" s="7">
        <f t="shared" si="3"/>
        <v>7.6764464521216436E-2</v>
      </c>
    </row>
    <row r="28" spans="1:19" x14ac:dyDescent="0.55000000000000004">
      <c r="A28" t="s">
        <v>38</v>
      </c>
      <c r="B28" s="5">
        <v>1198058</v>
      </c>
      <c r="C28" s="5">
        <v>36929</v>
      </c>
      <c r="D28" s="5">
        <v>25469</v>
      </c>
      <c r="E28" s="7">
        <v>3</v>
      </c>
      <c r="F28" s="7">
        <v>2.1</v>
      </c>
      <c r="L28" s="7">
        <f t="shared" si="0"/>
        <v>3.0824050254662128</v>
      </c>
      <c r="M28" s="7">
        <f t="shared" si="1"/>
        <v>2.1258570119309752</v>
      </c>
      <c r="R28" s="7">
        <f t="shared" si="2"/>
        <v>8.2405025466212756E-2</v>
      </c>
      <c r="S28" s="7">
        <f t="shared" si="3"/>
        <v>2.5857011930975116E-2</v>
      </c>
    </row>
    <row r="29" spans="1:19" x14ac:dyDescent="0.55000000000000004">
      <c r="A29" t="s">
        <v>39</v>
      </c>
      <c r="B29" s="5">
        <v>575004</v>
      </c>
      <c r="C29" s="5">
        <v>21661</v>
      </c>
      <c r="D29" s="5">
        <v>14575</v>
      </c>
      <c r="E29" s="7">
        <v>3.7</v>
      </c>
      <c r="F29" s="7">
        <v>2.5</v>
      </c>
      <c r="L29" s="7">
        <f t="shared" si="0"/>
        <v>3.7671042288401471</v>
      </c>
      <c r="M29" s="7">
        <f t="shared" si="1"/>
        <v>2.5347649755479962</v>
      </c>
      <c r="R29" s="7">
        <f t="shared" si="2"/>
        <v>6.7104228840146884E-2</v>
      </c>
      <c r="S29" s="7">
        <f t="shared" si="3"/>
        <v>3.476497554799618E-2</v>
      </c>
    </row>
    <row r="30" spans="1:19" x14ac:dyDescent="0.55000000000000004">
      <c r="A30" t="s">
        <v>40</v>
      </c>
      <c r="B30" s="5">
        <v>903662</v>
      </c>
      <c r="C30" s="5">
        <v>36707</v>
      </c>
      <c r="D30" s="5">
        <v>21909</v>
      </c>
      <c r="E30" s="7">
        <v>4</v>
      </c>
      <c r="F30" s="7">
        <v>2.4</v>
      </c>
      <c r="L30" s="7">
        <f t="shared" si="0"/>
        <v>4.0620276165203357</v>
      </c>
      <c r="M30" s="7">
        <f t="shared" si="1"/>
        <v>2.4244684406337766</v>
      </c>
      <c r="R30" s="7">
        <f t="shared" si="2"/>
        <v>6.2027616520335727E-2</v>
      </c>
      <c r="S30" s="7">
        <f t="shared" si="3"/>
        <v>2.4468440633776734E-2</v>
      </c>
    </row>
    <row r="31" spans="1:19" x14ac:dyDescent="0.55000000000000004">
      <c r="A31" t="s">
        <v>50</v>
      </c>
      <c r="B31" s="5">
        <v>1625329</v>
      </c>
      <c r="C31" s="5">
        <v>67939</v>
      </c>
      <c r="D31" s="5">
        <v>40733</v>
      </c>
      <c r="E31" s="7">
        <v>4.0999999999999996</v>
      </c>
      <c r="F31" s="7">
        <v>2.5</v>
      </c>
      <c r="L31" s="7">
        <f t="shared" si="0"/>
        <v>4.1800152461440119</v>
      </c>
      <c r="M31" s="7">
        <f t="shared" si="1"/>
        <v>2.5061387571377858</v>
      </c>
      <c r="R31" s="7">
        <f t="shared" si="2"/>
        <v>8.0015246144012231E-2</v>
      </c>
      <c r="S31" s="7">
        <f t="shared" si="3"/>
        <v>6.1387571377857775E-3</v>
      </c>
    </row>
    <row r="32" spans="1:19" x14ac:dyDescent="0.55000000000000004">
      <c r="A32" t="s">
        <v>41</v>
      </c>
      <c r="B32" s="5">
        <v>1206311</v>
      </c>
      <c r="C32" s="5">
        <v>57794</v>
      </c>
      <c r="D32" s="5">
        <v>36477</v>
      </c>
      <c r="E32" s="7">
        <v>4.7</v>
      </c>
      <c r="F32" s="7">
        <v>3</v>
      </c>
      <c r="L32" s="7">
        <f t="shared" si="0"/>
        <v>4.7909701561206024</v>
      </c>
      <c r="M32" s="7">
        <f t="shared" si="1"/>
        <v>3.0238470842096277</v>
      </c>
      <c r="R32" s="7">
        <f t="shared" si="2"/>
        <v>9.0970156120602219E-2</v>
      </c>
      <c r="S32" s="7">
        <f t="shared" si="3"/>
        <v>2.3847084209627667E-2</v>
      </c>
    </row>
    <row r="33" spans="1:19" x14ac:dyDescent="0.55000000000000004">
      <c r="A33" t="s">
        <v>42</v>
      </c>
      <c r="B33" s="5">
        <v>2175906</v>
      </c>
      <c r="C33" s="5">
        <v>96507</v>
      </c>
      <c r="D33" s="6">
        <v>76756</v>
      </c>
      <c r="E33" s="7">
        <v>4.4000000000000004</v>
      </c>
      <c r="F33" s="7">
        <v>3.5</v>
      </c>
      <c r="L33" s="7">
        <f t="shared" si="0"/>
        <v>4.4352559347692413</v>
      </c>
      <c r="M33" s="7">
        <f t="shared" si="1"/>
        <v>3.5275420905131014</v>
      </c>
      <c r="R33" s="7">
        <f t="shared" si="2"/>
        <v>3.5255934769240937E-2</v>
      </c>
      <c r="S33" s="7">
        <f t="shared" si="3"/>
        <v>2.7542090513101414E-2</v>
      </c>
    </row>
    <row r="34" spans="1:19" x14ac:dyDescent="0.55000000000000004">
      <c r="A34" t="s">
        <v>111</v>
      </c>
      <c r="B34" s="5">
        <v>757111</v>
      </c>
      <c r="C34" s="5">
        <v>29784</v>
      </c>
      <c r="D34" s="5">
        <v>23065</v>
      </c>
      <c r="E34" s="7">
        <v>3.9</v>
      </c>
      <c r="F34" s="7">
        <v>3</v>
      </c>
      <c r="L34" s="7">
        <f t="shared" si="0"/>
        <v>3.9339013698123524</v>
      </c>
      <c r="M34" s="7">
        <f t="shared" si="1"/>
        <v>3.046448935492946</v>
      </c>
      <c r="R34" s="7">
        <f t="shared" si="2"/>
        <v>3.3901369812352478E-2</v>
      </c>
      <c r="S34" s="7">
        <f t="shared" si="3"/>
        <v>4.6448935492946042E-2</v>
      </c>
    </row>
    <row r="35" spans="1:19" x14ac:dyDescent="0.55000000000000004">
      <c r="A35" t="s">
        <v>43</v>
      </c>
      <c r="B35" s="5">
        <v>1454790</v>
      </c>
      <c r="C35" s="5">
        <v>81344</v>
      </c>
      <c r="D35" s="5">
        <v>60744</v>
      </c>
      <c r="E35" s="7">
        <v>5.9</v>
      </c>
      <c r="F35" s="7">
        <v>4.8</v>
      </c>
      <c r="L35" s="7">
        <f t="shared" si="0"/>
        <v>5.5914599357982935</v>
      </c>
      <c r="M35" s="7">
        <f t="shared" si="1"/>
        <v>4.1754480028045284</v>
      </c>
      <c r="R35" s="7">
        <f t="shared" si="2"/>
        <v>-0.30854006420170688</v>
      </c>
      <c r="S35" s="7">
        <f t="shared" si="3"/>
        <v>-0.62455199719547139</v>
      </c>
    </row>
    <row r="36" spans="1:19" x14ac:dyDescent="0.55000000000000004">
      <c r="A36" t="s">
        <v>44</v>
      </c>
      <c r="B36" s="5">
        <v>1158995</v>
      </c>
      <c r="C36" s="5">
        <v>53783</v>
      </c>
      <c r="D36" s="5">
        <v>37972</v>
      </c>
      <c r="E36" s="7">
        <v>4.5999999999999996</v>
      </c>
      <c r="F36" s="7">
        <v>2.4</v>
      </c>
      <c r="L36" s="7">
        <f t="shared" si="0"/>
        <v>4.640485938248224</v>
      </c>
      <c r="M36" s="7">
        <f t="shared" si="1"/>
        <v>3.2762867829455691</v>
      </c>
      <c r="R36" s="7">
        <f t="shared" si="2"/>
        <v>4.0485938248224329E-2</v>
      </c>
      <c r="S36" s="7">
        <f t="shared" si="3"/>
        <v>0.87628678294556916</v>
      </c>
    </row>
    <row r="37" spans="1:19" x14ac:dyDescent="0.55000000000000004">
      <c r="A37" t="s">
        <v>45</v>
      </c>
      <c r="B37" s="5">
        <v>330748</v>
      </c>
      <c r="C37" s="5">
        <v>16738</v>
      </c>
      <c r="D37" s="5">
        <v>13589</v>
      </c>
      <c r="E37" s="7">
        <v>5</v>
      </c>
      <c r="F37" s="7">
        <v>4.0999999999999996</v>
      </c>
      <c r="L37" s="7">
        <f t="shared" si="0"/>
        <v>5.0606504045375935</v>
      </c>
      <c r="M37" s="7">
        <f t="shared" si="1"/>
        <v>4.1085660381922189</v>
      </c>
      <c r="R37" s="7">
        <f t="shared" si="2"/>
        <v>6.0650404537593516E-2</v>
      </c>
      <c r="S37" s="7">
        <f t="shared" si="3"/>
        <v>8.5660381922192386E-3</v>
      </c>
    </row>
    <row r="38" spans="1:19" x14ac:dyDescent="0.55000000000000004">
      <c r="A38" t="s">
        <v>46</v>
      </c>
      <c r="B38" s="5">
        <v>1215886</v>
      </c>
      <c r="C38" s="5">
        <v>74878</v>
      </c>
      <c r="D38" s="5">
        <v>54108</v>
      </c>
      <c r="E38" s="7">
        <v>6.1</v>
      </c>
      <c r="F38" s="7">
        <v>4.4000000000000004</v>
      </c>
      <c r="L38" s="7">
        <f t="shared" si="0"/>
        <v>6.1583076044958158</v>
      </c>
      <c r="M38" s="7">
        <f t="shared" si="1"/>
        <v>4.4500882484048665</v>
      </c>
      <c r="R38" s="7">
        <f t="shared" si="2"/>
        <v>5.8307604495816179E-2</v>
      </c>
      <c r="S38" s="7">
        <f t="shared" si="3"/>
        <v>5.0088248404866142E-2</v>
      </c>
    </row>
    <row r="39" spans="1:19" x14ac:dyDescent="0.55000000000000004">
      <c r="A39" t="s">
        <v>47</v>
      </c>
      <c r="B39" s="5">
        <v>1934876</v>
      </c>
      <c r="C39" s="5">
        <v>101265</v>
      </c>
      <c r="D39" s="5">
        <v>77206</v>
      </c>
      <c r="E39" s="7">
        <v>5.2</v>
      </c>
      <c r="F39" s="7">
        <v>3.9</v>
      </c>
      <c r="L39" s="7">
        <f t="shared" si="0"/>
        <v>5.2336687208896073</v>
      </c>
      <c r="M39" s="7">
        <f t="shared" si="1"/>
        <v>3.9902298648595567</v>
      </c>
      <c r="R39" s="7">
        <f t="shared" si="2"/>
        <v>3.3668720889607151E-2</v>
      </c>
      <c r="S39" s="7">
        <f t="shared" si="3"/>
        <v>9.0229864859556752E-2</v>
      </c>
    </row>
    <row r="40" spans="1:19" x14ac:dyDescent="0.55000000000000004">
      <c r="A40" t="s">
        <v>48</v>
      </c>
      <c r="B40" s="5">
        <v>1434707</v>
      </c>
      <c r="C40" s="5">
        <v>79838</v>
      </c>
      <c r="D40" s="5">
        <v>56865</v>
      </c>
      <c r="E40" s="7">
        <v>5.5</v>
      </c>
      <c r="F40" s="7">
        <v>3.9</v>
      </c>
      <c r="L40" s="7">
        <f t="shared" si="0"/>
        <v>5.5647599126511542</v>
      </c>
      <c r="M40" s="7">
        <f t="shared" si="1"/>
        <v>3.963527047682907</v>
      </c>
      <c r="R40" s="7">
        <f t="shared" si="2"/>
        <v>6.4759912651154217E-2</v>
      </c>
      <c r="S40" s="7">
        <f t="shared" si="3"/>
        <v>6.3527047682907067E-2</v>
      </c>
    </row>
    <row r="41" spans="1:19" x14ac:dyDescent="0.55000000000000004">
      <c r="A41" t="s">
        <v>51</v>
      </c>
      <c r="B41" s="5">
        <v>2612530</v>
      </c>
      <c r="C41" s="5">
        <v>148498</v>
      </c>
      <c r="D41" s="5">
        <v>115752</v>
      </c>
      <c r="E41" s="7">
        <v>5.6</v>
      </c>
      <c r="F41" s="7">
        <v>4.4000000000000004</v>
      </c>
      <c r="L41" s="7">
        <f t="shared" si="0"/>
        <v>5.6840686996895728</v>
      </c>
      <c r="M41" s="7">
        <f t="shared" si="1"/>
        <v>4.4306476863423576</v>
      </c>
      <c r="R41" s="7">
        <f t="shared" si="2"/>
        <v>8.4068699689573201E-2</v>
      </c>
      <c r="S41" s="7">
        <f t="shared" si="3"/>
        <v>3.0647686342357261E-2</v>
      </c>
    </row>
    <row r="42" spans="1:19" x14ac:dyDescent="0.55000000000000004">
      <c r="A42" t="s">
        <v>52</v>
      </c>
      <c r="B42" s="5">
        <v>906914</v>
      </c>
      <c r="C42" s="5">
        <v>34014</v>
      </c>
      <c r="D42" s="5">
        <v>20248</v>
      </c>
      <c r="E42" s="7">
        <v>3.7</v>
      </c>
      <c r="F42" s="7">
        <v>2.2000000000000002</v>
      </c>
      <c r="L42" s="7">
        <f t="shared" si="0"/>
        <v>3.7505209975808071</v>
      </c>
      <c r="M42" s="7">
        <f t="shared" si="1"/>
        <v>2.2326262468106126</v>
      </c>
      <c r="R42" s="7">
        <f t="shared" si="2"/>
        <v>5.052099758080697E-2</v>
      </c>
      <c r="S42" s="7">
        <f t="shared" si="3"/>
        <v>3.2626246810612436E-2</v>
      </c>
    </row>
    <row r="43" spans="1:19" x14ac:dyDescent="0.55000000000000004">
      <c r="A43" t="s">
        <v>53</v>
      </c>
      <c r="B43" s="5">
        <v>565326</v>
      </c>
      <c r="C43" s="5">
        <v>23318</v>
      </c>
      <c r="D43" s="5">
        <v>15066</v>
      </c>
      <c r="E43" s="7">
        <v>4.0999999999999996</v>
      </c>
      <c r="F43" s="7">
        <v>2.6</v>
      </c>
      <c r="L43" s="7">
        <f t="shared" si="0"/>
        <v>4.1246997307748101</v>
      </c>
      <c r="M43" s="7">
        <f t="shared" si="1"/>
        <v>2.6650109848123029</v>
      </c>
      <c r="R43" s="7">
        <f t="shared" si="2"/>
        <v>2.4699730774810469E-2</v>
      </c>
      <c r="S43" s="7">
        <f t="shared" si="3"/>
        <v>6.501098481230283E-2</v>
      </c>
    </row>
    <row r="44" spans="1:19" x14ac:dyDescent="0.55000000000000004">
      <c r="A44" t="s">
        <v>54</v>
      </c>
      <c r="B44" s="5">
        <v>2360024</v>
      </c>
      <c r="C44" s="5">
        <v>117136</v>
      </c>
      <c r="D44" s="5">
        <v>68421</v>
      </c>
      <c r="E44" s="7">
        <v>4.9000000000000004</v>
      </c>
      <c r="F44" s="7">
        <v>2.8</v>
      </c>
      <c r="L44" s="7">
        <f t="shared" si="0"/>
        <v>4.9633393558709571</v>
      </c>
      <c r="M44" s="7">
        <f t="shared" si="1"/>
        <v>2.8991654322159435</v>
      </c>
      <c r="R44" s="7">
        <f t="shared" si="2"/>
        <v>6.3339355870956737E-2</v>
      </c>
      <c r="S44" s="7">
        <f t="shared" si="3"/>
        <v>9.916543221594365E-2</v>
      </c>
    </row>
    <row r="45" spans="1:19" x14ac:dyDescent="0.55000000000000004">
      <c r="A45" t="s">
        <v>55</v>
      </c>
      <c r="B45" s="5">
        <v>2617758</v>
      </c>
      <c r="C45" s="5">
        <v>119938</v>
      </c>
      <c r="D45" s="5">
        <v>66441</v>
      </c>
      <c r="E45" s="7">
        <v>4.5</v>
      </c>
      <c r="F45" s="7">
        <v>2.5</v>
      </c>
      <c r="L45" s="7">
        <f t="shared" si="0"/>
        <v>4.5817069415889478</v>
      </c>
      <c r="M45" s="7">
        <f t="shared" si="1"/>
        <v>2.5380879363180249</v>
      </c>
      <c r="R45" s="7">
        <f t="shared" si="2"/>
        <v>8.1706941588947757E-2</v>
      </c>
      <c r="S45" s="7">
        <f t="shared" si="3"/>
        <v>3.8087936318024873E-2</v>
      </c>
    </row>
    <row r="46" spans="1:19" x14ac:dyDescent="0.55000000000000004">
      <c r="A46" t="s">
        <v>56</v>
      </c>
      <c r="B46" s="5">
        <v>929931</v>
      </c>
      <c r="C46" s="5">
        <v>43963</v>
      </c>
      <c r="D46" s="5">
        <v>30267</v>
      </c>
      <c r="E46" s="7">
        <v>4.7</v>
      </c>
      <c r="F46" s="7">
        <v>3.2</v>
      </c>
      <c r="L46" s="7">
        <f t="shared" si="0"/>
        <v>4.7275550551600061</v>
      </c>
      <c r="M46" s="7">
        <f t="shared" si="1"/>
        <v>3.2547576110485616</v>
      </c>
      <c r="R46" s="7">
        <f t="shared" si="2"/>
        <v>2.7555055160005892E-2</v>
      </c>
      <c r="S46" s="7">
        <f t="shared" si="3"/>
        <v>5.4757611048561472E-2</v>
      </c>
    </row>
    <row r="47" spans="1:19" x14ac:dyDescent="0.55000000000000004">
      <c r="A47" t="s">
        <v>57</v>
      </c>
      <c r="B47" s="5">
        <v>668758</v>
      </c>
      <c r="C47" s="5">
        <v>27432</v>
      </c>
      <c r="D47" s="5">
        <v>16479</v>
      </c>
      <c r="E47" s="7">
        <v>4.0999999999999996</v>
      </c>
      <c r="F47" s="7">
        <v>2.4</v>
      </c>
      <c r="L47" s="7">
        <f t="shared" si="0"/>
        <v>4.1019322385676134</v>
      </c>
      <c r="M47" s="7">
        <f t="shared" si="1"/>
        <v>2.4641200553862532</v>
      </c>
      <c r="R47" s="7">
        <f t="shared" si="2"/>
        <v>1.9322385676137088E-3</v>
      </c>
      <c r="S47" s="7">
        <f t="shared" si="3"/>
        <v>6.4120055386253316E-2</v>
      </c>
    </row>
    <row r="48" spans="1:19" x14ac:dyDescent="0.55000000000000004">
      <c r="A48" t="s">
        <v>58</v>
      </c>
      <c r="B48" s="5">
        <v>1760353</v>
      </c>
      <c r="C48" s="5">
        <v>87915</v>
      </c>
      <c r="D48" s="5">
        <v>65021</v>
      </c>
      <c r="E48" s="7">
        <v>4.9000000000000004</v>
      </c>
      <c r="F48" s="7">
        <v>3.6</v>
      </c>
      <c r="L48" s="7">
        <f t="shared" si="0"/>
        <v>4.994168783192916</v>
      </c>
      <c r="M48" s="7">
        <f t="shared" si="1"/>
        <v>3.6936341745093171</v>
      </c>
      <c r="R48" s="7">
        <f t="shared" si="2"/>
        <v>9.4168783192915662E-2</v>
      </c>
      <c r="S48" s="7">
        <f t="shared" si="3"/>
        <v>9.3634174509316992E-2</v>
      </c>
    </row>
    <row r="49" spans="1:19" x14ac:dyDescent="0.55000000000000004">
      <c r="A49" t="s">
        <v>59</v>
      </c>
      <c r="B49" s="5">
        <v>2359428</v>
      </c>
      <c r="C49" s="5">
        <v>153793</v>
      </c>
      <c r="D49" s="5">
        <v>99826</v>
      </c>
      <c r="E49" s="7">
        <v>6.5</v>
      </c>
      <c r="F49" s="7">
        <v>4.2</v>
      </c>
      <c r="L49" s="7">
        <f t="shared" si="0"/>
        <v>6.5182323851374155</v>
      </c>
      <c r="M49" s="7">
        <f t="shared" si="1"/>
        <v>4.2309407195303264</v>
      </c>
      <c r="R49" s="7">
        <f t="shared" si="2"/>
        <v>1.8232385137415541E-2</v>
      </c>
      <c r="S49" s="7">
        <f t="shared" si="3"/>
        <v>3.0940719530326177E-2</v>
      </c>
    </row>
    <row r="50" spans="1:19" x14ac:dyDescent="0.55000000000000004">
      <c r="A50" t="s">
        <v>60</v>
      </c>
      <c r="B50" s="5">
        <v>1619689</v>
      </c>
      <c r="C50" s="5">
        <v>54710</v>
      </c>
      <c r="D50" s="5">
        <v>51905</v>
      </c>
      <c r="E50" s="7">
        <v>3.3</v>
      </c>
      <c r="F50" s="7">
        <v>3.2</v>
      </c>
      <c r="L50" s="7">
        <f t="shared" si="0"/>
        <v>3.3778089497428208</v>
      </c>
      <c r="M50" s="7">
        <f t="shared" si="1"/>
        <v>3.2046275550429741</v>
      </c>
      <c r="R50" s="7">
        <f t="shared" si="2"/>
        <v>7.7808949742820932E-2</v>
      </c>
      <c r="S50" s="7">
        <f t="shared" si="3"/>
        <v>4.6275550429739631E-3</v>
      </c>
    </row>
    <row r="51" spans="1:19" x14ac:dyDescent="0.55000000000000004">
      <c r="A51" t="s">
        <v>61</v>
      </c>
      <c r="B51" s="5">
        <v>861303</v>
      </c>
      <c r="C51" s="5">
        <v>26942</v>
      </c>
      <c r="D51" s="5">
        <v>27398</v>
      </c>
      <c r="E51" s="8">
        <v>3.12</v>
      </c>
      <c r="F51" s="8">
        <v>3.18</v>
      </c>
      <c r="G51" s="8"/>
      <c r="L51" s="7">
        <f t="shared" si="0"/>
        <v>3.128051336173217</v>
      </c>
      <c r="M51" s="7">
        <f t="shared" si="1"/>
        <v>3.1809943771239619</v>
      </c>
      <c r="R51" s="7">
        <f t="shared" si="2"/>
        <v>8.0513361732168498E-3</v>
      </c>
      <c r="S51" s="7">
        <f t="shared" si="3"/>
        <v>9.9437712396177602E-4</v>
      </c>
    </row>
    <row r="52" spans="1:19" x14ac:dyDescent="0.55000000000000004">
      <c r="A52" t="s">
        <v>62</v>
      </c>
      <c r="B52" s="5">
        <v>2121336</v>
      </c>
      <c r="C52" s="5">
        <v>128258</v>
      </c>
      <c r="D52" s="5">
        <v>81017</v>
      </c>
      <c r="E52" s="7">
        <v>6</v>
      </c>
      <c r="F52" s="7">
        <v>3.8</v>
      </c>
      <c r="L52" s="7">
        <f t="shared" si="0"/>
        <v>6.0460954794525712</v>
      </c>
      <c r="M52" s="7">
        <f t="shared" si="1"/>
        <v>3.8191498187934396</v>
      </c>
      <c r="R52" s="7">
        <f t="shared" si="2"/>
        <v>4.6095479452571197E-2</v>
      </c>
      <c r="S52" s="7">
        <f t="shared" si="3"/>
        <v>1.9149818793439799E-2</v>
      </c>
    </row>
    <row r="53" spans="1:19" x14ac:dyDescent="0.55000000000000004">
      <c r="A53" t="s">
        <v>63</v>
      </c>
      <c r="B53" s="5">
        <v>1503428</v>
      </c>
      <c r="C53" s="5">
        <v>76182</v>
      </c>
      <c r="D53" s="5">
        <v>54781</v>
      </c>
      <c r="E53" s="7">
        <v>5</v>
      </c>
      <c r="F53" s="7">
        <v>3.6</v>
      </c>
      <c r="L53" s="7">
        <f t="shared" si="0"/>
        <v>5.0672197138805446</v>
      </c>
      <c r="M53" s="7">
        <f t="shared" si="1"/>
        <v>3.6437395073126218</v>
      </c>
      <c r="R53" s="7">
        <f t="shared" si="2"/>
        <v>6.7219713880544596E-2</v>
      </c>
      <c r="S53" s="7">
        <f t="shared" si="3"/>
        <v>4.3739507312621662E-2</v>
      </c>
    </row>
    <row r="54" spans="1:19" x14ac:dyDescent="0.55000000000000004">
      <c r="A54" t="s">
        <v>64</v>
      </c>
      <c r="B54" s="5">
        <v>1256881</v>
      </c>
      <c r="C54" s="5">
        <v>66995</v>
      </c>
      <c r="D54" s="5">
        <v>51721</v>
      </c>
      <c r="E54" s="7">
        <v>5.3</v>
      </c>
      <c r="F54" s="7">
        <v>4.0999999999999996</v>
      </c>
      <c r="L54" s="7">
        <f t="shared" si="0"/>
        <v>5.3302579957848035</v>
      </c>
      <c r="M54" s="7">
        <f t="shared" si="1"/>
        <v>4.1150275960890497</v>
      </c>
      <c r="R54" s="7">
        <f t="shared" si="2"/>
        <v>3.0257995784803704E-2</v>
      </c>
      <c r="S54" s="7">
        <f t="shared" si="3"/>
        <v>1.5027596089050022E-2</v>
      </c>
    </row>
    <row r="55" spans="1:19" x14ac:dyDescent="0.55000000000000004">
      <c r="A55" t="s">
        <v>65</v>
      </c>
      <c r="B55" s="5">
        <v>620043</v>
      </c>
      <c r="C55" s="5">
        <v>19054</v>
      </c>
      <c r="D55" s="5">
        <v>12614</v>
      </c>
      <c r="E55" s="7">
        <v>3</v>
      </c>
      <c r="F55" s="7">
        <v>2</v>
      </c>
      <c r="L55" s="7">
        <f t="shared" si="0"/>
        <v>3.0730126781529665</v>
      </c>
      <c r="M55" s="7">
        <f t="shared" si="1"/>
        <v>2.0343750352798109</v>
      </c>
      <c r="R55" s="7">
        <f t="shared" si="2"/>
        <v>7.3012678152966526E-2</v>
      </c>
      <c r="S55" s="7">
        <f t="shared" si="3"/>
        <v>3.4375035279810895E-2</v>
      </c>
    </row>
    <row r="56" spans="1:19" x14ac:dyDescent="0.55000000000000004">
      <c r="A56" t="s">
        <v>66</v>
      </c>
      <c r="B56" s="5">
        <v>641698</v>
      </c>
      <c r="C56" s="5">
        <v>24291</v>
      </c>
      <c r="D56" s="5">
        <v>16187</v>
      </c>
      <c r="E56" s="7">
        <v>3.7</v>
      </c>
      <c r="F56" s="7">
        <v>2.5</v>
      </c>
      <c r="L56" s="7">
        <f t="shared" si="0"/>
        <v>3.785425542856609</v>
      </c>
      <c r="M56" s="7">
        <f t="shared" si="1"/>
        <v>2.522526172747928</v>
      </c>
      <c r="R56" s="7">
        <f t="shared" si="2"/>
        <v>8.542554285660886E-2</v>
      </c>
      <c r="S56" s="7">
        <f t="shared" si="3"/>
        <v>2.2526172747928008E-2</v>
      </c>
    </row>
    <row r="57" spans="1:19" x14ac:dyDescent="0.55000000000000004">
      <c r="A57" t="s">
        <v>67</v>
      </c>
      <c r="B57" s="5">
        <v>967146</v>
      </c>
      <c r="C57" s="5">
        <v>46967</v>
      </c>
      <c r="D57" s="5">
        <v>25273</v>
      </c>
      <c r="E57" s="7">
        <v>4.8</v>
      </c>
      <c r="F57" s="7">
        <v>2.6</v>
      </c>
      <c r="L57" s="7">
        <f t="shared" si="0"/>
        <v>4.8562471436577308</v>
      </c>
      <c r="M57" s="7">
        <f t="shared" si="1"/>
        <v>2.6131525126506236</v>
      </c>
      <c r="R57" s="7">
        <f t="shared" si="2"/>
        <v>5.624714365773098E-2</v>
      </c>
      <c r="S57" s="7">
        <f t="shared" si="3"/>
        <v>1.315251265062356E-2</v>
      </c>
    </row>
    <row r="58" spans="1:19" x14ac:dyDescent="0.55000000000000004">
      <c r="A58" t="s">
        <v>68</v>
      </c>
      <c r="B58" s="5">
        <v>2566447</v>
      </c>
      <c r="C58" s="5">
        <v>133057</v>
      </c>
      <c r="D58" s="5">
        <v>84923</v>
      </c>
      <c r="E58" s="7">
        <v>5.0999999999999996</v>
      </c>
      <c r="F58" s="7">
        <v>3.3</v>
      </c>
      <c r="L58" s="7">
        <f t="shared" si="0"/>
        <v>5.1844826719585475</v>
      </c>
      <c r="M58" s="7">
        <f t="shared" si="1"/>
        <v>3.3089715080810165</v>
      </c>
      <c r="R58" s="7">
        <f t="shared" si="2"/>
        <v>8.4482671958547861E-2</v>
      </c>
      <c r="S58" s="7">
        <f t="shared" si="3"/>
        <v>8.9715080810166548E-3</v>
      </c>
    </row>
    <row r="59" spans="1:19" x14ac:dyDescent="0.55000000000000004">
      <c r="A59" t="s">
        <v>69</v>
      </c>
      <c r="B59" s="5">
        <v>1725100</v>
      </c>
      <c r="C59" s="5">
        <v>83074</v>
      </c>
      <c r="D59" s="5">
        <v>57926</v>
      </c>
      <c r="E59" s="7">
        <v>4.8</v>
      </c>
      <c r="F59" s="7">
        <v>3.3</v>
      </c>
      <c r="L59" s="7">
        <f t="shared" si="0"/>
        <v>4.8156048924700015</v>
      </c>
      <c r="M59" s="7">
        <f t="shared" si="1"/>
        <v>3.3578343284447283</v>
      </c>
      <c r="R59" s="7">
        <f t="shared" si="2"/>
        <v>1.560489247000163E-2</v>
      </c>
      <c r="S59" s="7">
        <f t="shared" si="3"/>
        <v>5.7834328444728467E-2</v>
      </c>
    </row>
    <row r="60" spans="1:19" x14ac:dyDescent="0.55000000000000004">
      <c r="A60" t="s">
        <v>70</v>
      </c>
      <c r="B60" s="5">
        <v>1318872</v>
      </c>
      <c r="C60" s="5">
        <v>72053</v>
      </c>
      <c r="D60" s="5">
        <v>62028</v>
      </c>
      <c r="E60" s="7">
        <v>5.4</v>
      </c>
      <c r="F60" s="7">
        <v>4.7</v>
      </c>
      <c r="L60" s="7">
        <f t="shared" si="0"/>
        <v>5.4632291837266997</v>
      </c>
      <c r="M60" s="7">
        <f t="shared" si="1"/>
        <v>4.7031099303040778</v>
      </c>
      <c r="R60" s="7">
        <f t="shared" si="2"/>
        <v>6.3229183726699389E-2</v>
      </c>
      <c r="S60" s="7">
        <f t="shared" si="3"/>
        <v>3.1099303040775794E-3</v>
      </c>
    </row>
    <row r="61" spans="1:19" x14ac:dyDescent="0.55000000000000004">
      <c r="A61" t="s">
        <v>71</v>
      </c>
      <c r="B61" s="5">
        <v>1163857</v>
      </c>
      <c r="C61" s="5">
        <v>60417</v>
      </c>
      <c r="D61" s="5">
        <v>24746</v>
      </c>
      <c r="E61" s="7">
        <v>5.4</v>
      </c>
      <c r="F61" s="7">
        <v>2.1</v>
      </c>
      <c r="L61" s="7">
        <f t="shared" si="0"/>
        <v>5.1911016559594518</v>
      </c>
      <c r="M61" s="7">
        <f t="shared" si="1"/>
        <v>2.1262062263662975</v>
      </c>
      <c r="R61" s="7">
        <f t="shared" si="2"/>
        <v>-0.20889834404054852</v>
      </c>
      <c r="S61" s="7">
        <f t="shared" si="3"/>
        <v>2.6206226366297436E-2</v>
      </c>
    </row>
    <row r="62" spans="1:19" x14ac:dyDescent="0.55000000000000004">
      <c r="A62" t="s">
        <v>72</v>
      </c>
      <c r="B62" s="5">
        <v>1392385</v>
      </c>
      <c r="C62" s="5">
        <v>73583</v>
      </c>
      <c r="D62" s="5">
        <v>56996</v>
      </c>
      <c r="E62" s="7">
        <v>5.2</v>
      </c>
      <c r="F62" s="7">
        <v>4</v>
      </c>
      <c r="L62" s="7">
        <f t="shared" si="0"/>
        <v>5.2846734200670067</v>
      </c>
      <c r="M62" s="7">
        <f t="shared" si="1"/>
        <v>4.0934080731981464</v>
      </c>
      <c r="R62" s="7">
        <f t="shared" si="2"/>
        <v>8.4673420067006511E-2</v>
      </c>
      <c r="S62" s="7">
        <f t="shared" si="3"/>
        <v>9.3408073198146369E-2</v>
      </c>
    </row>
    <row r="63" spans="1:19" x14ac:dyDescent="0.55000000000000004">
      <c r="A63" t="s">
        <v>73</v>
      </c>
      <c r="B63" s="5">
        <v>1835630</v>
      </c>
      <c r="C63" s="5">
        <v>95916</v>
      </c>
      <c r="D63" s="5">
        <v>55115</v>
      </c>
      <c r="E63" s="7">
        <v>5.2</v>
      </c>
      <c r="F63" s="7">
        <v>3</v>
      </c>
      <c r="L63" s="7">
        <f t="shared" si="0"/>
        <v>5.225236022509983</v>
      </c>
      <c r="M63" s="7">
        <f t="shared" si="1"/>
        <v>3.0025113993560795</v>
      </c>
      <c r="R63" s="7">
        <f t="shared" si="2"/>
        <v>2.5236022509982803E-2</v>
      </c>
      <c r="S63" s="7">
        <f t="shared" si="3"/>
        <v>2.511399356079469E-3</v>
      </c>
    </row>
    <row r="64" spans="1:19" x14ac:dyDescent="0.55000000000000004">
      <c r="A64" t="s">
        <v>74</v>
      </c>
      <c r="B64" s="5">
        <v>2199154</v>
      </c>
      <c r="C64" s="5">
        <v>110001</v>
      </c>
      <c r="D64" s="5">
        <v>62092</v>
      </c>
      <c r="E64" s="7">
        <v>5</v>
      </c>
      <c r="F64" s="7">
        <v>2.8</v>
      </c>
      <c r="L64" s="7">
        <f t="shared" si="0"/>
        <v>5.0019689389647111</v>
      </c>
      <c r="M64" s="7">
        <f t="shared" si="1"/>
        <v>2.8234493809892349</v>
      </c>
      <c r="R64" s="7">
        <f t="shared" si="2"/>
        <v>1.9689389647110644E-3</v>
      </c>
      <c r="S64" s="7">
        <f t="shared" si="3"/>
        <v>2.3449380989235102E-2</v>
      </c>
    </row>
    <row r="65" spans="1:19" x14ac:dyDescent="0.55000000000000004">
      <c r="A65" t="s">
        <v>75</v>
      </c>
      <c r="B65" s="5">
        <v>1641892</v>
      </c>
      <c r="C65" s="5">
        <v>92068</v>
      </c>
      <c r="D65" s="5">
        <v>54288</v>
      </c>
      <c r="E65" s="7">
        <v>5.6</v>
      </c>
      <c r="F65" s="7">
        <v>3.3</v>
      </c>
      <c r="L65" s="7">
        <f t="shared" si="0"/>
        <v>5.6074333756422474</v>
      </c>
      <c r="M65" s="7">
        <f t="shared" si="1"/>
        <v>3.306429411922343</v>
      </c>
      <c r="R65" s="7">
        <f t="shared" si="2"/>
        <v>7.4333756422477748E-3</v>
      </c>
      <c r="S65" s="7">
        <f t="shared" si="3"/>
        <v>6.4294119223431423E-3</v>
      </c>
    </row>
    <row r="66" spans="1:19" x14ac:dyDescent="0.55000000000000004">
      <c r="A66" t="s">
        <v>76</v>
      </c>
      <c r="B66" s="5">
        <v>2030126</v>
      </c>
      <c r="C66" s="5">
        <v>97921</v>
      </c>
      <c r="D66" s="5">
        <v>66353</v>
      </c>
      <c r="E66" s="7">
        <v>4.8</v>
      </c>
      <c r="F66" s="7">
        <v>3.2</v>
      </c>
      <c r="L66" s="7">
        <f t="shared" si="0"/>
        <v>4.8233951981305596</v>
      </c>
      <c r="M66" s="7">
        <f t="shared" si="1"/>
        <v>3.2684178223420615</v>
      </c>
      <c r="R66" s="7">
        <f t="shared" si="2"/>
        <v>2.3395198130559791E-2</v>
      </c>
      <c r="S66" s="7">
        <f t="shared" si="3"/>
        <v>6.8417822342061285E-2</v>
      </c>
    </row>
    <row r="67" spans="1:19" x14ac:dyDescent="0.55000000000000004">
      <c r="A67" t="s">
        <v>77</v>
      </c>
      <c r="B67" s="5">
        <v>381858</v>
      </c>
      <c r="C67" s="5">
        <v>11704</v>
      </c>
      <c r="D67" s="5">
        <v>8453</v>
      </c>
      <c r="E67" s="7">
        <v>3</v>
      </c>
      <c r="F67" s="7">
        <v>2.2000000000000002</v>
      </c>
      <c r="L67" s="7">
        <f t="shared" si="0"/>
        <v>3.0650136961907304</v>
      </c>
      <c r="M67" s="7">
        <f t="shared" si="1"/>
        <v>2.2136501002990641</v>
      </c>
      <c r="R67" s="7">
        <f t="shared" si="2"/>
        <v>6.5013696190730386E-2</v>
      </c>
      <c r="S67" s="7">
        <f t="shared" si="3"/>
        <v>1.3650100299063883E-2</v>
      </c>
    </row>
    <row r="68" spans="1:19" x14ac:dyDescent="0.55000000000000004">
      <c r="A68" t="s">
        <v>78</v>
      </c>
      <c r="B68" s="5">
        <v>1086372</v>
      </c>
      <c r="C68" s="5">
        <v>45643</v>
      </c>
      <c r="D68" s="5">
        <v>35727</v>
      </c>
      <c r="E68" s="7">
        <v>4.2</v>
      </c>
      <c r="F68" s="7">
        <v>3.2</v>
      </c>
      <c r="L68" s="7">
        <f t="shared" ref="L68:L94" si="4">C68/B68*100</f>
        <v>4.2014153531202938</v>
      </c>
      <c r="M68" s="7">
        <f t="shared" ref="M68:M94" si="5">D68/B68*100</f>
        <v>3.2886525057715033</v>
      </c>
      <c r="R68" s="7">
        <f t="shared" ref="R68:R92" si="6">L68-E68</f>
        <v>1.4153531202936165E-3</v>
      </c>
      <c r="S68" s="7">
        <f t="shared" ref="S68:S92" si="7">M68-F68</f>
        <v>8.8652505771503076E-2</v>
      </c>
    </row>
    <row r="69" spans="1:19" x14ac:dyDescent="0.55000000000000004">
      <c r="A69" s="9" t="s">
        <v>87</v>
      </c>
      <c r="B69" s="10">
        <v>88825618</v>
      </c>
      <c r="C69" s="10">
        <v>4324216</v>
      </c>
      <c r="D69" s="10">
        <v>2900558</v>
      </c>
      <c r="E69" s="11">
        <v>4.88</v>
      </c>
      <c r="F69" s="11">
        <v>3.26</v>
      </c>
      <c r="G69" s="11"/>
      <c r="H69" s="9"/>
      <c r="I69" s="10">
        <f>SUM(B3:B68)-B51-B34-B7</f>
        <v>88798618</v>
      </c>
      <c r="J69" s="10">
        <f>SUM(C3:C68)-C51-C34-C7</f>
        <v>4324216</v>
      </c>
      <c r="K69" s="10">
        <f>SUM(D3:D68)-D51-D34-D7</f>
        <v>2900558</v>
      </c>
      <c r="L69" s="12">
        <f t="shared" si="4"/>
        <v>4.8682081784108728</v>
      </c>
      <c r="M69" s="12">
        <f t="shared" si="5"/>
        <v>3.2654520906344833</v>
      </c>
      <c r="N69" s="9"/>
      <c r="O69" s="10">
        <f>B69-I69</f>
        <v>27000</v>
      </c>
      <c r="P69" s="10">
        <f>C69-J69</f>
        <v>0</v>
      </c>
      <c r="Q69" s="10">
        <f>D69-K69</f>
        <v>0</v>
      </c>
      <c r="R69" s="12">
        <f t="shared" si="6"/>
        <v>-1.1791821589127061E-2</v>
      </c>
      <c r="S69" s="12">
        <f t="shared" si="7"/>
        <v>5.4520906344834863E-3</v>
      </c>
    </row>
    <row r="70" spans="1:19" x14ac:dyDescent="0.55000000000000004">
      <c r="R70" s="7"/>
      <c r="S70" s="7"/>
    </row>
    <row r="71" spans="1:19" x14ac:dyDescent="0.55000000000000004">
      <c r="A71" t="s">
        <v>79</v>
      </c>
      <c r="B71" s="5">
        <v>463052</v>
      </c>
      <c r="C71" s="5">
        <v>12598</v>
      </c>
      <c r="D71" s="5">
        <v>11592</v>
      </c>
      <c r="E71" s="7">
        <v>2.7</v>
      </c>
      <c r="F71" s="7">
        <v>2.5</v>
      </c>
      <c r="L71" s="7">
        <f t="shared" si="4"/>
        <v>2.7206447655986801</v>
      </c>
      <c r="M71" s="7">
        <f t="shared" si="5"/>
        <v>2.503390547929822</v>
      </c>
      <c r="R71" s="7">
        <f t="shared" si="6"/>
        <v>2.0644765598679893E-2</v>
      </c>
      <c r="S71" s="7">
        <f t="shared" si="7"/>
        <v>3.3905479298219632E-3</v>
      </c>
    </row>
    <row r="72" spans="1:19" x14ac:dyDescent="0.55000000000000004">
      <c r="A72" t="s">
        <v>80</v>
      </c>
      <c r="B72" s="5">
        <v>43965</v>
      </c>
      <c r="C72" s="14" t="s">
        <v>99</v>
      </c>
      <c r="D72" s="14" t="s">
        <v>99</v>
      </c>
      <c r="R72" s="7"/>
      <c r="S72" s="7"/>
    </row>
    <row r="73" spans="1:19" x14ac:dyDescent="0.55000000000000004">
      <c r="A73" t="s">
        <v>81</v>
      </c>
      <c r="B73" s="5">
        <v>509633</v>
      </c>
      <c r="C73" s="14" t="s">
        <v>99</v>
      </c>
      <c r="D73" s="14" t="s">
        <v>99</v>
      </c>
      <c r="R73" s="7"/>
      <c r="S73" s="7"/>
    </row>
    <row r="74" spans="1:19" x14ac:dyDescent="0.55000000000000004">
      <c r="A74" t="s">
        <v>88</v>
      </c>
      <c r="B74" s="5">
        <v>74000</v>
      </c>
      <c r="C74" s="14" t="s">
        <v>99</v>
      </c>
      <c r="D74" s="14" t="s">
        <v>99</v>
      </c>
      <c r="R74" s="7"/>
      <c r="S74" s="7"/>
    </row>
    <row r="75" spans="1:19" x14ac:dyDescent="0.55000000000000004">
      <c r="A75" t="s">
        <v>82</v>
      </c>
      <c r="B75" s="5">
        <v>546539</v>
      </c>
      <c r="C75" s="14" t="s">
        <v>99</v>
      </c>
      <c r="D75" s="14" t="s">
        <v>99</v>
      </c>
      <c r="R75" s="7"/>
      <c r="S75" s="7"/>
    </row>
    <row r="76" spans="1:19" x14ac:dyDescent="0.55000000000000004">
      <c r="A76" t="s">
        <v>83</v>
      </c>
      <c r="B76" s="5">
        <v>1528857</v>
      </c>
      <c r="C76" s="5">
        <v>94416</v>
      </c>
      <c r="D76" s="5">
        <v>52334</v>
      </c>
      <c r="E76" s="7">
        <v>6.1</v>
      </c>
      <c r="F76" s="7">
        <v>3.4</v>
      </c>
      <c r="L76" s="7">
        <f t="shared" si="4"/>
        <v>6.1755939240883881</v>
      </c>
      <c r="M76" s="7">
        <f t="shared" si="5"/>
        <v>3.4230801180228108</v>
      </c>
      <c r="R76" s="7">
        <f t="shared" si="6"/>
        <v>7.5593924088388498E-2</v>
      </c>
      <c r="S76" s="7">
        <f t="shared" si="7"/>
        <v>2.3080118022810847E-2</v>
      </c>
    </row>
    <row r="77" spans="1:19" x14ac:dyDescent="0.55000000000000004">
      <c r="A77" t="s">
        <v>84</v>
      </c>
      <c r="B77" s="5">
        <v>665634</v>
      </c>
      <c r="C77" s="5">
        <v>25849</v>
      </c>
      <c r="D77" s="5">
        <v>19302</v>
      </c>
      <c r="E77" s="7">
        <v>3.8</v>
      </c>
      <c r="F77" s="7">
        <v>2.8</v>
      </c>
      <c r="L77" s="7">
        <f t="shared" si="4"/>
        <v>3.883365332900663</v>
      </c>
      <c r="M77" s="7">
        <f t="shared" si="5"/>
        <v>2.8997917774632906</v>
      </c>
      <c r="R77" s="7">
        <f t="shared" si="6"/>
        <v>8.3365332900663169E-2</v>
      </c>
      <c r="S77" s="7">
        <f t="shared" si="7"/>
        <v>9.9791777463290821E-2</v>
      </c>
    </row>
    <row r="78" spans="1:19" x14ac:dyDescent="0.55000000000000004">
      <c r="A78" t="s">
        <v>85</v>
      </c>
      <c r="B78" s="5">
        <v>1203000</v>
      </c>
      <c r="C78" s="14" t="s">
        <v>99</v>
      </c>
      <c r="D78" s="14" t="s">
        <v>99</v>
      </c>
      <c r="R78" s="7"/>
      <c r="S78" s="7"/>
    </row>
    <row r="79" spans="1:19" x14ac:dyDescent="0.55000000000000004">
      <c r="A79" t="s">
        <v>86</v>
      </c>
      <c r="B79" s="5">
        <v>333190</v>
      </c>
      <c r="C79" s="14" t="s">
        <v>99</v>
      </c>
      <c r="D79" s="14" t="s">
        <v>99</v>
      </c>
      <c r="R79" s="7"/>
      <c r="S79" s="7"/>
    </row>
    <row r="80" spans="1:19" x14ac:dyDescent="0.55000000000000004">
      <c r="A80" t="s">
        <v>89</v>
      </c>
      <c r="B80" s="5">
        <v>509212</v>
      </c>
      <c r="C80" s="5">
        <v>4473</v>
      </c>
      <c r="D80" s="5">
        <v>2758</v>
      </c>
      <c r="L80" s="7">
        <f t="shared" si="4"/>
        <v>0.87841606246514214</v>
      </c>
      <c r="M80" s="7">
        <f t="shared" si="5"/>
        <v>0.54162117153562761</v>
      </c>
      <c r="R80" s="7"/>
      <c r="S80" s="7"/>
    </row>
    <row r="81" spans="1:19" x14ac:dyDescent="0.55000000000000004">
      <c r="A81" t="s">
        <v>90</v>
      </c>
      <c r="B81" s="5">
        <v>716124</v>
      </c>
      <c r="C81" s="14" t="s">
        <v>99</v>
      </c>
      <c r="D81" s="14" t="s">
        <v>99</v>
      </c>
      <c r="R81" s="7"/>
      <c r="S81" s="7"/>
    </row>
    <row r="82" spans="1:19" x14ac:dyDescent="0.55000000000000004">
      <c r="A82" t="s">
        <v>91</v>
      </c>
      <c r="B82" s="5">
        <v>250243</v>
      </c>
      <c r="C82" s="5">
        <v>6218</v>
      </c>
      <c r="D82" s="5">
        <v>4572</v>
      </c>
      <c r="E82" s="7">
        <v>2.4</v>
      </c>
      <c r="F82" s="7">
        <v>1.8</v>
      </c>
      <c r="L82" s="7">
        <f t="shared" si="4"/>
        <v>2.484784789184912</v>
      </c>
      <c r="M82" s="7">
        <f t="shared" si="5"/>
        <v>1.8270241325431682</v>
      </c>
      <c r="R82" s="7">
        <f t="shared" si="6"/>
        <v>8.4784789184912057E-2</v>
      </c>
      <c r="S82" s="7">
        <f t="shared" si="7"/>
        <v>2.7024132543168156E-2</v>
      </c>
    </row>
    <row r="83" spans="1:19" x14ac:dyDescent="0.55000000000000004">
      <c r="A83" s="9" t="s">
        <v>98</v>
      </c>
      <c r="B83" s="10">
        <v>6843449</v>
      </c>
      <c r="C83" s="10">
        <v>143777</v>
      </c>
      <c r="D83" s="10">
        <v>90695</v>
      </c>
      <c r="E83" s="12"/>
      <c r="F83" s="12"/>
      <c r="G83" s="12"/>
      <c r="H83" s="9"/>
      <c r="I83" s="10">
        <f>SUM(B71:B82)</f>
        <v>6843449</v>
      </c>
      <c r="J83" s="10">
        <f>SUM(C71:C82)</f>
        <v>143554</v>
      </c>
      <c r="K83" s="10">
        <f>SUM(D71:D82)</f>
        <v>90558</v>
      </c>
      <c r="L83" s="12">
        <f t="shared" si="4"/>
        <v>2.1009435446950797</v>
      </c>
      <c r="M83" s="12">
        <f t="shared" si="5"/>
        <v>1.3252820324956027</v>
      </c>
      <c r="N83" s="9"/>
      <c r="O83" s="10">
        <f>B83-I83</f>
        <v>0</v>
      </c>
      <c r="P83" s="10">
        <f>C83-J83</f>
        <v>223</v>
      </c>
      <c r="Q83" s="10">
        <f>D83-K83</f>
        <v>137</v>
      </c>
      <c r="R83" s="12"/>
      <c r="S83" s="12"/>
    </row>
    <row r="84" spans="1:19" x14ac:dyDescent="0.55000000000000004">
      <c r="I84" s="5"/>
      <c r="J84" s="5"/>
      <c r="K84" s="5"/>
      <c r="O84" s="5"/>
      <c r="P84" s="5"/>
      <c r="Q84" s="5"/>
      <c r="R84" s="7"/>
      <c r="S84" s="7"/>
    </row>
    <row r="85" spans="1:19" x14ac:dyDescent="0.55000000000000004">
      <c r="A85" s="15" t="s">
        <v>110</v>
      </c>
      <c r="R85" s="7"/>
      <c r="S85" s="7"/>
    </row>
    <row r="86" spans="1:19" x14ac:dyDescent="0.55000000000000004">
      <c r="A86" t="s">
        <v>92</v>
      </c>
      <c r="B86" s="5">
        <v>28078</v>
      </c>
      <c r="C86" s="14" t="s">
        <v>99</v>
      </c>
      <c r="D86" s="14" t="s">
        <v>99</v>
      </c>
      <c r="G86" t="s">
        <v>67</v>
      </c>
      <c r="R86" s="7"/>
      <c r="S86" s="7"/>
    </row>
    <row r="87" spans="1:19" x14ac:dyDescent="0.55000000000000004">
      <c r="A87" t="s">
        <v>93</v>
      </c>
      <c r="B87" s="5">
        <v>28712</v>
      </c>
      <c r="C87" s="5">
        <v>1352</v>
      </c>
      <c r="D87" s="5">
        <v>905</v>
      </c>
      <c r="E87" s="7">
        <v>4.7</v>
      </c>
      <c r="F87" s="7">
        <v>3.1</v>
      </c>
      <c r="G87" t="s">
        <v>67</v>
      </c>
      <c r="L87" s="7">
        <f t="shared" si="4"/>
        <v>4.7088325438840899</v>
      </c>
      <c r="M87" s="7">
        <f t="shared" si="5"/>
        <v>3.1519921983839509</v>
      </c>
      <c r="R87" s="7">
        <f t="shared" si="6"/>
        <v>8.8325438840897164E-3</v>
      </c>
      <c r="S87" s="7">
        <f t="shared" si="7"/>
        <v>5.1992198383950861E-2</v>
      </c>
    </row>
    <row r="88" spans="1:19" x14ac:dyDescent="0.55000000000000004">
      <c r="A88" t="s">
        <v>94</v>
      </c>
      <c r="B88" s="5">
        <v>238689</v>
      </c>
      <c r="C88" s="5">
        <v>9167</v>
      </c>
      <c r="D88" s="5">
        <v>6918</v>
      </c>
      <c r="E88" s="7">
        <v>3.8</v>
      </c>
      <c r="F88" s="7">
        <v>2.8</v>
      </c>
      <c r="G88" t="s">
        <v>75</v>
      </c>
      <c r="L88" s="7">
        <f t="shared" si="4"/>
        <v>3.8405624054732308</v>
      </c>
      <c r="M88" s="7">
        <f t="shared" si="5"/>
        <v>2.8983321393109862</v>
      </c>
      <c r="R88" s="7">
        <f t="shared" si="6"/>
        <v>4.0562405473230978E-2</v>
      </c>
      <c r="S88" s="7">
        <f t="shared" si="7"/>
        <v>9.8332139310986388E-2</v>
      </c>
    </row>
    <row r="89" spans="1:19" x14ac:dyDescent="0.55000000000000004">
      <c r="A89" t="s">
        <v>95</v>
      </c>
      <c r="B89" s="5">
        <v>75325</v>
      </c>
      <c r="C89" s="5">
        <v>3455</v>
      </c>
      <c r="D89" s="5">
        <v>1872</v>
      </c>
      <c r="E89" s="7">
        <v>4.5</v>
      </c>
      <c r="F89" s="7">
        <v>2.4</v>
      </c>
      <c r="G89" t="s">
        <v>27</v>
      </c>
      <c r="L89" s="7">
        <f t="shared" si="4"/>
        <v>4.5867905741785595</v>
      </c>
      <c r="M89" s="7">
        <f t="shared" si="5"/>
        <v>2.4852306671091937</v>
      </c>
      <c r="R89" s="7">
        <f t="shared" si="6"/>
        <v>8.679057417855951E-2</v>
      </c>
      <c r="S89" s="7">
        <f t="shared" si="7"/>
        <v>8.5230667109193803E-2</v>
      </c>
    </row>
    <row r="90" spans="1:19" x14ac:dyDescent="0.55000000000000004">
      <c r="R90" s="7"/>
      <c r="S90" s="7"/>
    </row>
    <row r="91" spans="1:19" x14ac:dyDescent="0.55000000000000004">
      <c r="A91" t="s">
        <v>96</v>
      </c>
      <c r="B91" s="5">
        <v>12200</v>
      </c>
      <c r="E91" s="8"/>
      <c r="F91" s="8"/>
      <c r="G91" t="s">
        <v>88</v>
      </c>
      <c r="L91" s="7">
        <f t="shared" si="4"/>
        <v>0</v>
      </c>
      <c r="M91" s="7">
        <f t="shared" si="5"/>
        <v>0</v>
      </c>
      <c r="R91" s="7">
        <f t="shared" si="6"/>
        <v>0</v>
      </c>
      <c r="S91" s="7">
        <f t="shared" si="7"/>
        <v>0</v>
      </c>
    </row>
    <row r="92" spans="1:19" x14ac:dyDescent="0.55000000000000004">
      <c r="A92" t="s">
        <v>97</v>
      </c>
      <c r="B92" s="5">
        <v>74000</v>
      </c>
      <c r="C92" s="5">
        <v>1295</v>
      </c>
      <c r="D92" s="5">
        <v>1546</v>
      </c>
      <c r="E92" s="7">
        <v>1.7</v>
      </c>
      <c r="F92" s="7">
        <v>2</v>
      </c>
      <c r="G92" t="s">
        <v>60</v>
      </c>
      <c r="I92" s="5"/>
      <c r="L92" s="7">
        <f t="shared" si="4"/>
        <v>1.7500000000000002</v>
      </c>
      <c r="M92" s="7">
        <f t="shared" si="5"/>
        <v>2.0891891891891894</v>
      </c>
      <c r="R92" s="7">
        <f t="shared" si="6"/>
        <v>5.0000000000000266E-2</v>
      </c>
      <c r="S92" s="7">
        <f t="shared" si="7"/>
        <v>8.9189189189189388E-2</v>
      </c>
    </row>
    <row r="93" spans="1:19" x14ac:dyDescent="0.55000000000000004">
      <c r="R93" s="7"/>
      <c r="S93" s="7"/>
    </row>
    <row r="94" spans="1:19" x14ac:dyDescent="0.55000000000000004">
      <c r="A94" s="9" t="s">
        <v>124</v>
      </c>
      <c r="B94" s="10">
        <v>96052071</v>
      </c>
      <c r="C94" s="10">
        <v>4482287</v>
      </c>
      <c r="D94" s="10">
        <v>3001267</v>
      </c>
      <c r="E94" s="12"/>
      <c r="F94" s="12"/>
      <c r="G94" s="12"/>
      <c r="H94" s="9"/>
      <c r="I94" s="10">
        <f>I83+I69+SUM(B86:B92)-B92</f>
        <v>96025071</v>
      </c>
      <c r="J94" s="10">
        <f>J83+J69+SUM(C86:C92)-C92</f>
        <v>4481744</v>
      </c>
      <c r="K94" s="10">
        <f>K83+K69+SUM(D86:D92)-D92</f>
        <v>3000811</v>
      </c>
      <c r="L94" s="12">
        <f t="shared" si="4"/>
        <v>4.6665178099075035</v>
      </c>
      <c r="M94" s="12">
        <f t="shared" si="5"/>
        <v>3.1246249755510216</v>
      </c>
      <c r="N94" s="9"/>
      <c r="O94" s="10">
        <f>B94-I94</f>
        <v>27000</v>
      </c>
      <c r="P94" s="10">
        <f>C94-J94</f>
        <v>543</v>
      </c>
      <c r="Q94" s="10">
        <f>D94-K94</f>
        <v>456</v>
      </c>
      <c r="R94" s="12"/>
      <c r="S94" s="12"/>
    </row>
    <row r="97" spans="1:7" x14ac:dyDescent="0.55000000000000004">
      <c r="A97" t="s">
        <v>115</v>
      </c>
      <c r="B97" s="14" t="s">
        <v>99</v>
      </c>
      <c r="C97" s="5">
        <v>2879</v>
      </c>
      <c r="D97" s="5">
        <v>2506</v>
      </c>
      <c r="G97" t="s">
        <v>75</v>
      </c>
    </row>
    <row r="98" spans="1:7" x14ac:dyDescent="0.55000000000000004">
      <c r="A98" t="s">
        <v>116</v>
      </c>
      <c r="B98" s="14" t="s">
        <v>99</v>
      </c>
      <c r="C98" s="5">
        <v>1015</v>
      </c>
      <c r="D98" s="5">
        <v>725</v>
      </c>
      <c r="G98" t="s">
        <v>67</v>
      </c>
    </row>
    <row r="99" spans="1:7" x14ac:dyDescent="0.55000000000000004">
      <c r="A99" t="s">
        <v>117</v>
      </c>
      <c r="B99" s="14" t="s">
        <v>99</v>
      </c>
      <c r="C99" s="5">
        <v>1172</v>
      </c>
      <c r="D99" s="5">
        <v>2069</v>
      </c>
      <c r="G99" t="s">
        <v>60</v>
      </c>
    </row>
    <row r="101" spans="1:7" x14ac:dyDescent="0.55000000000000004">
      <c r="A101" t="s">
        <v>119</v>
      </c>
      <c r="B101" s="14" t="s">
        <v>99</v>
      </c>
      <c r="C101" s="5">
        <v>69484</v>
      </c>
      <c r="D101" s="5">
        <v>39620</v>
      </c>
      <c r="G101" s="7" t="s">
        <v>118</v>
      </c>
    </row>
    <row r="102" spans="1:7" x14ac:dyDescent="0.55000000000000004">
      <c r="A102" t="s">
        <v>120</v>
      </c>
      <c r="B102" s="14" t="s">
        <v>99</v>
      </c>
      <c r="C102" s="14" t="s">
        <v>99</v>
      </c>
      <c r="D102" s="5">
        <v>35671</v>
      </c>
      <c r="G102" s="7" t="s">
        <v>71</v>
      </c>
    </row>
    <row r="105" spans="1:7" x14ac:dyDescent="0.55000000000000004">
      <c r="A105" s="16" t="s">
        <v>125</v>
      </c>
    </row>
    <row r="107" spans="1:7" x14ac:dyDescent="0.55000000000000004">
      <c r="A107" t="s">
        <v>96</v>
      </c>
      <c r="B107" s="5">
        <v>12200</v>
      </c>
      <c r="C107" s="5">
        <v>320</v>
      </c>
      <c r="D107" s="5">
        <v>319</v>
      </c>
      <c r="E107" s="8">
        <v>2.62</v>
      </c>
      <c r="F107" s="8">
        <v>2.61</v>
      </c>
    </row>
    <row r="108" spans="1:7" x14ac:dyDescent="0.55000000000000004">
      <c r="A108" t="s">
        <v>126</v>
      </c>
      <c r="C108" s="5">
        <v>223</v>
      </c>
      <c r="D108" s="5">
        <v>137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2026-05-07T05:12:10Z</dcterms:created>
  <dcterms:modified xsi:type="dcterms:W3CDTF">2026-07-26T22:44:35Z</dcterms:modified>
</cp:coreProperties>
</file>