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6CDEB947-221A-40C0-9878-3EA511C9DEC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definedNames>
    <definedName name="_xlnm.Print_Area" localSheetId="0">Data!$A$1:$Z$276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8" i="1"/>
  <c r="AB8" i="1" s="1"/>
  <c r="AK149" i="1"/>
  <c r="AN149" i="1" s="1"/>
  <c r="AJ149" i="1"/>
  <c r="AM149" i="1" s="1"/>
  <c r="AK118" i="1"/>
  <c r="AN118" i="1" s="1"/>
  <c r="AJ118" i="1"/>
  <c r="AM118" i="1" s="1"/>
  <c r="AD118" i="1"/>
  <c r="AC118" i="1"/>
  <c r="AB118" i="1"/>
  <c r="AK276" i="1"/>
  <c r="AN276" i="1" s="1"/>
  <c r="AJ276" i="1"/>
  <c r="AM276" i="1" s="1"/>
  <c r="AK275" i="1"/>
  <c r="AN275" i="1" s="1"/>
  <c r="AJ275" i="1"/>
  <c r="AM275" i="1" s="1"/>
  <c r="AK251" i="1"/>
  <c r="AN251" i="1" s="1"/>
  <c r="AJ251" i="1"/>
  <c r="AM251" i="1" s="1"/>
  <c r="AK225" i="1"/>
  <c r="AN225" i="1" s="1"/>
  <c r="AJ225" i="1"/>
  <c r="AM225" i="1" s="1"/>
  <c r="AK195" i="1"/>
  <c r="AN195" i="1" s="1"/>
  <c r="AJ195" i="1"/>
  <c r="AM195" i="1" s="1"/>
  <c r="AK191" i="1"/>
  <c r="AN191" i="1" s="1"/>
  <c r="AJ191" i="1"/>
  <c r="AM191" i="1" s="1"/>
  <c r="AK84" i="1"/>
  <c r="AN84" i="1" s="1"/>
  <c r="AJ84" i="1"/>
  <c r="AM84" i="1" s="1"/>
  <c r="AK74" i="1"/>
  <c r="AN74" i="1" s="1"/>
  <c r="AJ74" i="1"/>
  <c r="AM74" i="1" s="1"/>
  <c r="AK42" i="1"/>
  <c r="AN42" i="1" s="1"/>
  <c r="AJ42" i="1"/>
  <c r="AM42" i="1" s="1"/>
  <c r="AK262" i="1"/>
  <c r="AN262" i="1" s="1"/>
  <c r="AJ262" i="1"/>
  <c r="AM262" i="1" s="1"/>
  <c r="AK255" i="1"/>
  <c r="AJ255" i="1"/>
  <c r="AD262" i="1"/>
  <c r="AC262" i="1"/>
  <c r="AB262" i="1"/>
  <c r="AD255" i="1"/>
  <c r="AC255" i="1"/>
  <c r="AB255" i="1"/>
  <c r="AK226" i="1"/>
  <c r="AN226" i="1" s="1"/>
  <c r="AJ226" i="1"/>
  <c r="AM226" i="1" s="1"/>
  <c r="AK224" i="1"/>
  <c r="AJ224" i="1"/>
  <c r="AD226" i="1"/>
  <c r="AC226" i="1"/>
  <c r="AB226" i="1"/>
  <c r="AD224" i="1"/>
  <c r="AC224" i="1"/>
  <c r="AB224" i="1"/>
  <c r="AK205" i="1"/>
  <c r="AJ205" i="1"/>
  <c r="AD205" i="1"/>
  <c r="AC205" i="1"/>
  <c r="AB205" i="1"/>
  <c r="AK184" i="1"/>
  <c r="AN184" i="1" s="1"/>
  <c r="AJ184" i="1"/>
  <c r="AM184" i="1" s="1"/>
  <c r="AK183" i="1"/>
  <c r="AJ183" i="1"/>
  <c r="AD184" i="1"/>
  <c r="AC184" i="1"/>
  <c r="AB184" i="1"/>
  <c r="AD183" i="1"/>
  <c r="AC183" i="1"/>
  <c r="AB183" i="1"/>
  <c r="AD149" i="1"/>
  <c r="AC149" i="1"/>
  <c r="AB149" i="1"/>
  <c r="AD43" i="1"/>
  <c r="AC43" i="1"/>
  <c r="AB43" i="1"/>
  <c r="AK71" i="1"/>
  <c r="AN71" i="1" s="1"/>
  <c r="AJ71" i="1"/>
  <c r="AM71" i="1" s="1"/>
  <c r="AD71" i="1"/>
  <c r="AH71" i="1" s="1"/>
  <c r="AC71" i="1"/>
  <c r="AG71" i="1" s="1"/>
  <c r="AB71" i="1"/>
  <c r="AF71" i="1" s="1"/>
  <c r="AK43" i="1"/>
  <c r="AN43" i="1" s="1"/>
  <c r="AJ43" i="1"/>
  <c r="AM43" i="1" s="1"/>
  <c r="AK272" i="1"/>
  <c r="AJ272" i="1"/>
  <c r="AD272" i="1"/>
  <c r="AH272" i="1" s="1"/>
  <c r="AC272" i="1"/>
  <c r="AG272" i="1" s="1"/>
  <c r="AB272" i="1"/>
  <c r="AF272" i="1" s="1"/>
  <c r="AK269" i="1"/>
  <c r="AN269" i="1" s="1"/>
  <c r="AJ269" i="1"/>
  <c r="AM269" i="1" s="1"/>
  <c r="AD269" i="1"/>
  <c r="AH269" i="1" s="1"/>
  <c r="AC269" i="1"/>
  <c r="AG269" i="1" s="1"/>
  <c r="AB269" i="1"/>
  <c r="AF269" i="1" s="1"/>
  <c r="AK266" i="1"/>
  <c r="AJ266" i="1"/>
  <c r="AD266" i="1"/>
  <c r="AH266" i="1" s="1"/>
  <c r="AC266" i="1"/>
  <c r="AG266" i="1" s="1"/>
  <c r="AB266" i="1"/>
  <c r="AF266" i="1" s="1"/>
  <c r="AK263" i="1"/>
  <c r="AJ263" i="1"/>
  <c r="AD263" i="1"/>
  <c r="AH263" i="1" s="1"/>
  <c r="AC263" i="1"/>
  <c r="AG263" i="1" s="1"/>
  <c r="AB263" i="1"/>
  <c r="AF263" i="1" s="1"/>
  <c r="AK259" i="1"/>
  <c r="AJ259" i="1"/>
  <c r="AD259" i="1"/>
  <c r="AH259" i="1" s="1"/>
  <c r="AC259" i="1"/>
  <c r="AG259" i="1" s="1"/>
  <c r="AB259" i="1"/>
  <c r="AF259" i="1" s="1"/>
  <c r="AD256" i="1"/>
  <c r="AC256" i="1"/>
  <c r="AB256" i="1"/>
  <c r="AF256" i="1" s="1"/>
  <c r="AK252" i="1"/>
  <c r="AJ252" i="1"/>
  <c r="AD252" i="1"/>
  <c r="AH252" i="1" s="1"/>
  <c r="AC252" i="1"/>
  <c r="AG252" i="1" s="1"/>
  <c r="AB252" i="1"/>
  <c r="AF252" i="1" s="1"/>
  <c r="AK248" i="1"/>
  <c r="AJ248" i="1"/>
  <c r="AD248" i="1"/>
  <c r="AH248" i="1" s="1"/>
  <c r="AC248" i="1"/>
  <c r="AG248" i="1" s="1"/>
  <c r="AB248" i="1"/>
  <c r="AF248" i="1" s="1"/>
  <c r="AK245" i="1"/>
  <c r="AN245" i="1" s="1"/>
  <c r="AJ245" i="1"/>
  <c r="AM245" i="1" s="1"/>
  <c r="AD245" i="1"/>
  <c r="AH245" i="1" s="1"/>
  <c r="AC245" i="1"/>
  <c r="AG245" i="1" s="1"/>
  <c r="AB245" i="1"/>
  <c r="AF245" i="1" s="1"/>
  <c r="AK242" i="1"/>
  <c r="AN242" i="1" s="1"/>
  <c r="AJ242" i="1"/>
  <c r="AM242" i="1" s="1"/>
  <c r="AD242" i="1"/>
  <c r="AH242" i="1" s="1"/>
  <c r="AC242" i="1"/>
  <c r="AG242" i="1" s="1"/>
  <c r="AB242" i="1"/>
  <c r="AF242" i="1" s="1"/>
  <c r="AK239" i="1"/>
  <c r="AN239" i="1" s="1"/>
  <c r="AJ239" i="1"/>
  <c r="AM239" i="1" s="1"/>
  <c r="AD239" i="1"/>
  <c r="AH239" i="1" s="1"/>
  <c r="AC239" i="1"/>
  <c r="AG239" i="1" s="1"/>
  <c r="AB239" i="1"/>
  <c r="AF239" i="1" s="1"/>
  <c r="AK236" i="1"/>
  <c r="AJ236" i="1"/>
  <c r="AD236" i="1"/>
  <c r="AH236" i="1" s="1"/>
  <c r="AC236" i="1"/>
  <c r="AG236" i="1" s="1"/>
  <c r="AB236" i="1"/>
  <c r="AF236" i="1" s="1"/>
  <c r="AK233" i="1"/>
  <c r="AN233" i="1" s="1"/>
  <c r="AJ233" i="1"/>
  <c r="AM233" i="1" s="1"/>
  <c r="AD233" i="1"/>
  <c r="AH233" i="1" s="1"/>
  <c r="AC233" i="1"/>
  <c r="AG233" i="1" s="1"/>
  <c r="AB233" i="1"/>
  <c r="AF233" i="1" s="1"/>
  <c r="AK230" i="1"/>
  <c r="AN230" i="1" s="1"/>
  <c r="AJ230" i="1"/>
  <c r="AM230" i="1" s="1"/>
  <c r="AD230" i="1"/>
  <c r="AH230" i="1" s="1"/>
  <c r="AC230" i="1"/>
  <c r="AG230" i="1" s="1"/>
  <c r="AB230" i="1"/>
  <c r="AF230" i="1" s="1"/>
  <c r="AK227" i="1"/>
  <c r="AN227" i="1" s="1"/>
  <c r="AJ227" i="1"/>
  <c r="AM227" i="1" s="1"/>
  <c r="AD227" i="1"/>
  <c r="AH227" i="1" s="1"/>
  <c r="AC227" i="1"/>
  <c r="AG227" i="1" s="1"/>
  <c r="AB227" i="1"/>
  <c r="AF227" i="1" s="1"/>
  <c r="AK221" i="1"/>
  <c r="AN221" i="1" s="1"/>
  <c r="AJ221" i="1"/>
  <c r="AM221" i="1" s="1"/>
  <c r="AD221" i="1"/>
  <c r="AH221" i="1" s="1"/>
  <c r="AC221" i="1"/>
  <c r="AG221" i="1" s="1"/>
  <c r="AB221" i="1"/>
  <c r="AF221" i="1" s="1"/>
  <c r="AK218" i="1"/>
  <c r="AN218" i="1" s="1"/>
  <c r="AJ218" i="1"/>
  <c r="AM218" i="1" s="1"/>
  <c r="AD218" i="1"/>
  <c r="AH218" i="1" s="1"/>
  <c r="AC218" i="1"/>
  <c r="AG218" i="1" s="1"/>
  <c r="AB218" i="1"/>
  <c r="AF218" i="1" s="1"/>
  <c r="AK215" i="1"/>
  <c r="AN215" i="1" s="1"/>
  <c r="AJ215" i="1"/>
  <c r="AM215" i="1" s="1"/>
  <c r="AD215" i="1"/>
  <c r="AH215" i="1" s="1"/>
  <c r="AC215" i="1"/>
  <c r="AG215" i="1" s="1"/>
  <c r="AB215" i="1"/>
  <c r="AF215" i="1" s="1"/>
  <c r="AK212" i="1"/>
  <c r="AN212" i="1" s="1"/>
  <c r="AJ212" i="1"/>
  <c r="AM212" i="1" s="1"/>
  <c r="AD212" i="1"/>
  <c r="AH212" i="1" s="1"/>
  <c r="AC212" i="1"/>
  <c r="AG212" i="1" s="1"/>
  <c r="AB212" i="1"/>
  <c r="AF212" i="1" s="1"/>
  <c r="AK209" i="1"/>
  <c r="AN209" i="1" s="1"/>
  <c r="AJ209" i="1"/>
  <c r="AM209" i="1" s="1"/>
  <c r="AD209" i="1"/>
  <c r="AH209" i="1" s="1"/>
  <c r="AC209" i="1"/>
  <c r="AG209" i="1" s="1"/>
  <c r="AB209" i="1"/>
  <c r="AF209" i="1" s="1"/>
  <c r="AK206" i="1"/>
  <c r="AN206" i="1" s="1"/>
  <c r="AJ206" i="1"/>
  <c r="AM206" i="1" s="1"/>
  <c r="AD206" i="1"/>
  <c r="AH206" i="1" s="1"/>
  <c r="AC206" i="1"/>
  <c r="AG206" i="1" s="1"/>
  <c r="AB206" i="1"/>
  <c r="AF206" i="1" s="1"/>
  <c r="AK202" i="1"/>
  <c r="AN202" i="1" s="1"/>
  <c r="AJ202" i="1"/>
  <c r="AM202" i="1" s="1"/>
  <c r="AD202" i="1"/>
  <c r="AH202" i="1" s="1"/>
  <c r="AC202" i="1"/>
  <c r="AG202" i="1" s="1"/>
  <c r="AB202" i="1"/>
  <c r="AF202" i="1" s="1"/>
  <c r="AK199" i="1"/>
  <c r="AJ199" i="1"/>
  <c r="AD199" i="1"/>
  <c r="AH199" i="1" s="1"/>
  <c r="AC199" i="1"/>
  <c r="AG199" i="1" s="1"/>
  <c r="AB199" i="1"/>
  <c r="AF199" i="1" s="1"/>
  <c r="AK196" i="1"/>
  <c r="AN196" i="1" s="1"/>
  <c r="AJ196" i="1"/>
  <c r="AM196" i="1" s="1"/>
  <c r="AD196" i="1"/>
  <c r="AH196" i="1" s="1"/>
  <c r="AC196" i="1"/>
  <c r="AG196" i="1" s="1"/>
  <c r="AB196" i="1"/>
  <c r="AF196" i="1" s="1"/>
  <c r="AK192" i="1"/>
  <c r="AN192" i="1" s="1"/>
  <c r="AJ192" i="1"/>
  <c r="AM192" i="1" s="1"/>
  <c r="AD192" i="1"/>
  <c r="AH192" i="1" s="1"/>
  <c r="AC192" i="1"/>
  <c r="AG192" i="1" s="1"/>
  <c r="AB192" i="1"/>
  <c r="AF192" i="1" s="1"/>
  <c r="AK188" i="1"/>
  <c r="AN188" i="1" s="1"/>
  <c r="AJ188" i="1"/>
  <c r="AM188" i="1" s="1"/>
  <c r="AD188" i="1"/>
  <c r="AH188" i="1" s="1"/>
  <c r="AC188" i="1"/>
  <c r="AG188" i="1" s="1"/>
  <c r="AB188" i="1"/>
  <c r="AF188" i="1" s="1"/>
  <c r="AK185" i="1"/>
  <c r="AN185" i="1" s="1"/>
  <c r="AJ185" i="1"/>
  <c r="AM185" i="1" s="1"/>
  <c r="AD185" i="1"/>
  <c r="AH185" i="1" s="1"/>
  <c r="AC185" i="1"/>
  <c r="AG185" i="1" s="1"/>
  <c r="AB185" i="1"/>
  <c r="AF185" i="1" s="1"/>
  <c r="AK180" i="1"/>
  <c r="AN180" i="1" s="1"/>
  <c r="AJ180" i="1"/>
  <c r="AM180" i="1" s="1"/>
  <c r="AD180" i="1"/>
  <c r="AH180" i="1" s="1"/>
  <c r="AC180" i="1"/>
  <c r="AG180" i="1" s="1"/>
  <c r="AB180" i="1"/>
  <c r="AF180" i="1" s="1"/>
  <c r="AK177" i="1"/>
  <c r="AN177" i="1" s="1"/>
  <c r="AJ177" i="1"/>
  <c r="AM177" i="1" s="1"/>
  <c r="AD177" i="1"/>
  <c r="AH177" i="1" s="1"/>
  <c r="AC177" i="1"/>
  <c r="AG177" i="1" s="1"/>
  <c r="AB177" i="1"/>
  <c r="AF177" i="1" s="1"/>
  <c r="AK174" i="1"/>
  <c r="AN174" i="1" s="1"/>
  <c r="AJ174" i="1"/>
  <c r="AM174" i="1" s="1"/>
  <c r="AD174" i="1"/>
  <c r="AH174" i="1" s="1"/>
  <c r="AC174" i="1"/>
  <c r="AG174" i="1" s="1"/>
  <c r="AB174" i="1"/>
  <c r="AF174" i="1" s="1"/>
  <c r="AK171" i="1"/>
  <c r="AN171" i="1" s="1"/>
  <c r="AJ171" i="1"/>
  <c r="AM171" i="1" s="1"/>
  <c r="AD171" i="1"/>
  <c r="AH171" i="1" s="1"/>
  <c r="AC171" i="1"/>
  <c r="AG171" i="1" s="1"/>
  <c r="AB171" i="1"/>
  <c r="AF171" i="1" s="1"/>
  <c r="AK168" i="1"/>
  <c r="AN168" i="1" s="1"/>
  <c r="AJ168" i="1"/>
  <c r="AM168" i="1" s="1"/>
  <c r="AD168" i="1"/>
  <c r="AH168" i="1" s="1"/>
  <c r="AC168" i="1"/>
  <c r="AG168" i="1" s="1"/>
  <c r="AB168" i="1"/>
  <c r="AF168" i="1" s="1"/>
  <c r="AK165" i="1"/>
  <c r="AN165" i="1" s="1"/>
  <c r="AJ165" i="1"/>
  <c r="AM165" i="1" s="1"/>
  <c r="AD165" i="1"/>
  <c r="AH165" i="1" s="1"/>
  <c r="AC165" i="1"/>
  <c r="AG165" i="1" s="1"/>
  <c r="AB165" i="1"/>
  <c r="AF165" i="1" s="1"/>
  <c r="AK162" i="1"/>
  <c r="AN162" i="1" s="1"/>
  <c r="AJ162" i="1"/>
  <c r="AM162" i="1" s="1"/>
  <c r="AD162" i="1"/>
  <c r="AH162" i="1" s="1"/>
  <c r="AC162" i="1"/>
  <c r="AG162" i="1" s="1"/>
  <c r="AB162" i="1"/>
  <c r="AF162" i="1" s="1"/>
  <c r="AK159" i="1"/>
  <c r="AN159" i="1" s="1"/>
  <c r="AJ159" i="1"/>
  <c r="AM159" i="1" s="1"/>
  <c r="AD159" i="1"/>
  <c r="AH159" i="1" s="1"/>
  <c r="AC159" i="1"/>
  <c r="AG159" i="1" s="1"/>
  <c r="AB159" i="1"/>
  <c r="AF159" i="1" s="1"/>
  <c r="AK156" i="1"/>
  <c r="AN156" i="1" s="1"/>
  <c r="AJ156" i="1"/>
  <c r="AM156" i="1" s="1"/>
  <c r="AD156" i="1"/>
  <c r="AH156" i="1" s="1"/>
  <c r="AC156" i="1"/>
  <c r="AG156" i="1" s="1"/>
  <c r="AB156" i="1"/>
  <c r="AF156" i="1" s="1"/>
  <c r="AK153" i="1"/>
  <c r="AN153" i="1" s="1"/>
  <c r="AJ153" i="1"/>
  <c r="AM153" i="1" s="1"/>
  <c r="AD153" i="1"/>
  <c r="AH153" i="1" s="1"/>
  <c r="AC153" i="1"/>
  <c r="AG153" i="1" s="1"/>
  <c r="AB153" i="1"/>
  <c r="AF153" i="1" s="1"/>
  <c r="AK150" i="1"/>
  <c r="AN150" i="1" s="1"/>
  <c r="AJ150" i="1"/>
  <c r="AM150" i="1" s="1"/>
  <c r="AD150" i="1"/>
  <c r="AH150" i="1" s="1"/>
  <c r="AC150" i="1"/>
  <c r="AG150" i="1" s="1"/>
  <c r="AB150" i="1"/>
  <c r="AF150" i="1" s="1"/>
  <c r="AK146" i="1"/>
  <c r="AN146" i="1" s="1"/>
  <c r="AJ146" i="1"/>
  <c r="AM146" i="1" s="1"/>
  <c r="AD146" i="1"/>
  <c r="AH146" i="1" s="1"/>
  <c r="AC146" i="1"/>
  <c r="AG146" i="1" s="1"/>
  <c r="AB146" i="1"/>
  <c r="AF146" i="1" s="1"/>
  <c r="AK143" i="1"/>
  <c r="AN143" i="1" s="1"/>
  <c r="AJ143" i="1"/>
  <c r="AM143" i="1" s="1"/>
  <c r="AD143" i="1"/>
  <c r="AH143" i="1" s="1"/>
  <c r="AC143" i="1"/>
  <c r="AG143" i="1" s="1"/>
  <c r="AB143" i="1"/>
  <c r="AF143" i="1" s="1"/>
  <c r="AK140" i="1"/>
  <c r="AN140" i="1" s="1"/>
  <c r="AJ140" i="1"/>
  <c r="AM140" i="1" s="1"/>
  <c r="AD140" i="1"/>
  <c r="AH140" i="1" s="1"/>
  <c r="AC140" i="1"/>
  <c r="AG140" i="1" s="1"/>
  <c r="AB140" i="1"/>
  <c r="AF140" i="1" s="1"/>
  <c r="AK137" i="1"/>
  <c r="AN137" i="1" s="1"/>
  <c r="AJ137" i="1"/>
  <c r="AM137" i="1" s="1"/>
  <c r="AD137" i="1"/>
  <c r="AH137" i="1" s="1"/>
  <c r="AC137" i="1"/>
  <c r="AG137" i="1" s="1"/>
  <c r="AB137" i="1"/>
  <c r="AF137" i="1" s="1"/>
  <c r="AK134" i="1"/>
  <c r="AN134" i="1" s="1"/>
  <c r="AJ134" i="1"/>
  <c r="AM134" i="1" s="1"/>
  <c r="AD134" i="1"/>
  <c r="AH134" i="1" s="1"/>
  <c r="AC134" i="1"/>
  <c r="AG134" i="1" s="1"/>
  <c r="AB134" i="1"/>
  <c r="AF134" i="1" s="1"/>
  <c r="AK131" i="1"/>
  <c r="AN131" i="1" s="1"/>
  <c r="AJ131" i="1"/>
  <c r="AM131" i="1" s="1"/>
  <c r="AD131" i="1"/>
  <c r="AH131" i="1" s="1"/>
  <c r="AC131" i="1"/>
  <c r="AG131" i="1" s="1"/>
  <c r="AB131" i="1"/>
  <c r="AF131" i="1" s="1"/>
  <c r="AK128" i="1"/>
  <c r="AN128" i="1" s="1"/>
  <c r="AJ128" i="1"/>
  <c r="AM128" i="1" s="1"/>
  <c r="AD128" i="1"/>
  <c r="AH128" i="1" s="1"/>
  <c r="AC128" i="1"/>
  <c r="AG128" i="1" s="1"/>
  <c r="AB128" i="1"/>
  <c r="AF128" i="1" s="1"/>
  <c r="AK125" i="1"/>
  <c r="AN125" i="1" s="1"/>
  <c r="AJ125" i="1"/>
  <c r="AM125" i="1" s="1"/>
  <c r="AD125" i="1"/>
  <c r="AH125" i="1" s="1"/>
  <c r="AC125" i="1"/>
  <c r="AG125" i="1" s="1"/>
  <c r="AB125" i="1"/>
  <c r="AF125" i="1" s="1"/>
  <c r="AK122" i="1"/>
  <c r="AN122" i="1" s="1"/>
  <c r="AJ122" i="1"/>
  <c r="AM122" i="1" s="1"/>
  <c r="AD122" i="1"/>
  <c r="AH122" i="1" s="1"/>
  <c r="AC122" i="1"/>
  <c r="AG122" i="1" s="1"/>
  <c r="AB122" i="1"/>
  <c r="AF122" i="1" s="1"/>
  <c r="AK119" i="1"/>
  <c r="AN119" i="1" s="1"/>
  <c r="AJ119" i="1"/>
  <c r="AM119" i="1" s="1"/>
  <c r="AD119" i="1"/>
  <c r="AH119" i="1" s="1"/>
  <c r="AC119" i="1"/>
  <c r="AG119" i="1" s="1"/>
  <c r="AB119" i="1"/>
  <c r="AF119" i="1" s="1"/>
  <c r="AK115" i="1"/>
  <c r="AN115" i="1" s="1"/>
  <c r="AJ115" i="1"/>
  <c r="AM115" i="1" s="1"/>
  <c r="AD115" i="1"/>
  <c r="AH115" i="1" s="1"/>
  <c r="AC115" i="1"/>
  <c r="AG115" i="1" s="1"/>
  <c r="AB115" i="1"/>
  <c r="AF115" i="1" s="1"/>
  <c r="AK112" i="1"/>
  <c r="AN112" i="1" s="1"/>
  <c r="AJ112" i="1"/>
  <c r="AM112" i="1" s="1"/>
  <c r="AD112" i="1"/>
  <c r="AH112" i="1" s="1"/>
  <c r="AC112" i="1"/>
  <c r="AG112" i="1" s="1"/>
  <c r="AB112" i="1"/>
  <c r="AF112" i="1" s="1"/>
  <c r="AK109" i="1"/>
  <c r="AN109" i="1" s="1"/>
  <c r="AJ109" i="1"/>
  <c r="AM109" i="1" s="1"/>
  <c r="AD109" i="1"/>
  <c r="AH109" i="1" s="1"/>
  <c r="AC109" i="1"/>
  <c r="AG109" i="1" s="1"/>
  <c r="AB109" i="1"/>
  <c r="AF109" i="1" s="1"/>
  <c r="AN106" i="1"/>
  <c r="AK106" i="1"/>
  <c r="AJ106" i="1"/>
  <c r="AM106" i="1" s="1"/>
  <c r="AD106" i="1"/>
  <c r="AH106" i="1" s="1"/>
  <c r="AC106" i="1"/>
  <c r="AG106" i="1" s="1"/>
  <c r="AB106" i="1"/>
  <c r="AF106" i="1" s="1"/>
  <c r="AK103" i="1"/>
  <c r="AN103" i="1" s="1"/>
  <c r="AJ103" i="1"/>
  <c r="AM103" i="1" s="1"/>
  <c r="AB103" i="1"/>
  <c r="AF103" i="1" s="1"/>
  <c r="AK100" i="1"/>
  <c r="AN100" i="1" s="1"/>
  <c r="AJ100" i="1"/>
  <c r="AM100" i="1" s="1"/>
  <c r="AD100" i="1"/>
  <c r="AH100" i="1" s="1"/>
  <c r="AC100" i="1"/>
  <c r="AG100" i="1" s="1"/>
  <c r="AB100" i="1"/>
  <c r="AF100" i="1" s="1"/>
  <c r="AK97" i="1"/>
  <c r="AN97" i="1" s="1"/>
  <c r="AJ97" i="1"/>
  <c r="AM97" i="1" s="1"/>
  <c r="AD97" i="1"/>
  <c r="AH97" i="1" s="1"/>
  <c r="AC97" i="1"/>
  <c r="AG97" i="1" s="1"/>
  <c r="AB97" i="1"/>
  <c r="AF97" i="1" s="1"/>
  <c r="AK94" i="1"/>
  <c r="AN94" i="1" s="1"/>
  <c r="AJ94" i="1"/>
  <c r="AM94" i="1" s="1"/>
  <c r="AD94" i="1"/>
  <c r="AH94" i="1" s="1"/>
  <c r="AC94" i="1"/>
  <c r="AG94" i="1" s="1"/>
  <c r="AB94" i="1"/>
  <c r="AF94" i="1" s="1"/>
  <c r="AK91" i="1"/>
  <c r="AN91" i="1" s="1"/>
  <c r="AJ91" i="1"/>
  <c r="AM91" i="1" s="1"/>
  <c r="AD91" i="1"/>
  <c r="AH91" i="1" s="1"/>
  <c r="AC91" i="1"/>
  <c r="AG91" i="1" s="1"/>
  <c r="AB91" i="1"/>
  <c r="AF91" i="1" s="1"/>
  <c r="AK88" i="1"/>
  <c r="AN88" i="1" s="1"/>
  <c r="AJ88" i="1"/>
  <c r="AM88" i="1" s="1"/>
  <c r="AD88" i="1"/>
  <c r="AH88" i="1" s="1"/>
  <c r="AC88" i="1"/>
  <c r="AG88" i="1" s="1"/>
  <c r="AB88" i="1"/>
  <c r="AF88" i="1" s="1"/>
  <c r="AK85" i="1"/>
  <c r="AN85" i="1" s="1"/>
  <c r="AJ85" i="1"/>
  <c r="AM85" i="1" s="1"/>
  <c r="AD85" i="1"/>
  <c r="AH85" i="1" s="1"/>
  <c r="AC85" i="1"/>
  <c r="AG85" i="1" s="1"/>
  <c r="AB85" i="1"/>
  <c r="AF85" i="1" s="1"/>
  <c r="AK81" i="1"/>
  <c r="AN81" i="1" s="1"/>
  <c r="AJ81" i="1"/>
  <c r="AM81" i="1" s="1"/>
  <c r="AD81" i="1"/>
  <c r="AH81" i="1" s="1"/>
  <c r="AC81" i="1"/>
  <c r="AG81" i="1" s="1"/>
  <c r="AB81" i="1"/>
  <c r="AF81" i="1" s="1"/>
  <c r="AK78" i="1"/>
  <c r="AN78" i="1" s="1"/>
  <c r="AJ78" i="1"/>
  <c r="AM78" i="1" s="1"/>
  <c r="AD78" i="1"/>
  <c r="AH78" i="1" s="1"/>
  <c r="AC78" i="1"/>
  <c r="AG78" i="1" s="1"/>
  <c r="AB78" i="1"/>
  <c r="AF78" i="1" s="1"/>
  <c r="AK75" i="1"/>
  <c r="AN75" i="1" s="1"/>
  <c r="AJ75" i="1"/>
  <c r="AM75" i="1" s="1"/>
  <c r="AD75" i="1"/>
  <c r="AH75" i="1" s="1"/>
  <c r="AC75" i="1"/>
  <c r="AG75" i="1" s="1"/>
  <c r="AB75" i="1"/>
  <c r="AF75" i="1" s="1"/>
  <c r="AK68" i="1"/>
  <c r="AN68" i="1" s="1"/>
  <c r="AJ68" i="1"/>
  <c r="AM68" i="1" s="1"/>
  <c r="AD68" i="1"/>
  <c r="AH68" i="1" s="1"/>
  <c r="AC68" i="1"/>
  <c r="AG68" i="1" s="1"/>
  <c r="AB68" i="1"/>
  <c r="AF68" i="1" s="1"/>
  <c r="AK65" i="1"/>
  <c r="AN65" i="1" s="1"/>
  <c r="AJ65" i="1"/>
  <c r="AM65" i="1" s="1"/>
  <c r="AD65" i="1"/>
  <c r="AH65" i="1" s="1"/>
  <c r="AC65" i="1"/>
  <c r="AG65" i="1" s="1"/>
  <c r="AB65" i="1"/>
  <c r="AF65" i="1" s="1"/>
  <c r="AK62" i="1"/>
  <c r="AN62" i="1" s="1"/>
  <c r="AJ62" i="1"/>
  <c r="AM62" i="1" s="1"/>
  <c r="AD62" i="1"/>
  <c r="AH62" i="1" s="1"/>
  <c r="AC62" i="1"/>
  <c r="AG62" i="1" s="1"/>
  <c r="AB62" i="1"/>
  <c r="AF62" i="1" s="1"/>
  <c r="AK59" i="1"/>
  <c r="AN59" i="1" s="1"/>
  <c r="AJ59" i="1"/>
  <c r="AM59" i="1" s="1"/>
  <c r="AD59" i="1"/>
  <c r="AH59" i="1" s="1"/>
  <c r="AC59" i="1"/>
  <c r="AG59" i="1" s="1"/>
  <c r="AB59" i="1"/>
  <c r="AF59" i="1" s="1"/>
  <c r="AK56" i="1"/>
  <c r="AN56" i="1" s="1"/>
  <c r="AJ56" i="1"/>
  <c r="AM56" i="1" s="1"/>
  <c r="AD56" i="1"/>
  <c r="AH56" i="1" s="1"/>
  <c r="AC56" i="1"/>
  <c r="AG56" i="1" s="1"/>
  <c r="AB56" i="1"/>
  <c r="AF56" i="1" s="1"/>
  <c r="AK53" i="1"/>
  <c r="AN53" i="1" s="1"/>
  <c r="AJ53" i="1"/>
  <c r="AM53" i="1" s="1"/>
  <c r="AD53" i="1"/>
  <c r="AH53" i="1" s="1"/>
  <c r="AC53" i="1"/>
  <c r="AG53" i="1" s="1"/>
  <c r="AB53" i="1"/>
  <c r="AF53" i="1" s="1"/>
  <c r="AK50" i="1"/>
  <c r="AN50" i="1" s="1"/>
  <c r="AJ50" i="1"/>
  <c r="AM50" i="1" s="1"/>
  <c r="AD50" i="1"/>
  <c r="AH50" i="1" s="1"/>
  <c r="AC50" i="1"/>
  <c r="AG50" i="1" s="1"/>
  <c r="AB50" i="1"/>
  <c r="AF50" i="1" s="1"/>
  <c r="AK47" i="1"/>
  <c r="AN47" i="1" s="1"/>
  <c r="AJ47" i="1"/>
  <c r="AM47" i="1" s="1"/>
  <c r="AD47" i="1"/>
  <c r="AH47" i="1" s="1"/>
  <c r="AC47" i="1"/>
  <c r="AG47" i="1" s="1"/>
  <c r="AB47" i="1"/>
  <c r="AF47" i="1" s="1"/>
  <c r="AK44" i="1"/>
  <c r="AN44" i="1" s="1"/>
  <c r="AJ44" i="1"/>
  <c r="AM44" i="1" s="1"/>
  <c r="AD44" i="1"/>
  <c r="AH44" i="1" s="1"/>
  <c r="AC44" i="1"/>
  <c r="AG44" i="1" s="1"/>
  <c r="AB44" i="1"/>
  <c r="AF44" i="1" s="1"/>
  <c r="AK39" i="1"/>
  <c r="AN39" i="1" s="1"/>
  <c r="AJ39" i="1"/>
  <c r="AM39" i="1" s="1"/>
  <c r="AD39" i="1"/>
  <c r="AH39" i="1" s="1"/>
  <c r="AC39" i="1"/>
  <c r="AG39" i="1" s="1"/>
  <c r="AB39" i="1"/>
  <c r="AF39" i="1" s="1"/>
  <c r="AK36" i="1"/>
  <c r="AN36" i="1" s="1"/>
  <c r="AJ36" i="1"/>
  <c r="AM36" i="1" s="1"/>
  <c r="AD36" i="1"/>
  <c r="AH36" i="1" s="1"/>
  <c r="AC36" i="1"/>
  <c r="AG36" i="1" s="1"/>
  <c r="AB36" i="1"/>
  <c r="AF36" i="1" s="1"/>
  <c r="AK33" i="1"/>
  <c r="AN33" i="1" s="1"/>
  <c r="AJ33" i="1"/>
  <c r="AM33" i="1" s="1"/>
  <c r="AD33" i="1"/>
  <c r="AH33" i="1" s="1"/>
  <c r="AC33" i="1"/>
  <c r="AG33" i="1" s="1"/>
  <c r="AB33" i="1"/>
  <c r="AF33" i="1" s="1"/>
  <c r="AK30" i="1"/>
  <c r="AN30" i="1" s="1"/>
  <c r="AJ30" i="1"/>
  <c r="AM30" i="1" s="1"/>
  <c r="AD30" i="1"/>
  <c r="AH30" i="1" s="1"/>
  <c r="AC30" i="1"/>
  <c r="AG30" i="1" s="1"/>
  <c r="AB30" i="1"/>
  <c r="AF30" i="1" s="1"/>
  <c r="AK27" i="1"/>
  <c r="AN27" i="1" s="1"/>
  <c r="AJ27" i="1"/>
  <c r="AM27" i="1" s="1"/>
  <c r="AD27" i="1"/>
  <c r="AH27" i="1" s="1"/>
  <c r="AC27" i="1"/>
  <c r="AG27" i="1" s="1"/>
  <c r="AB27" i="1"/>
  <c r="AF27" i="1" s="1"/>
  <c r="AK24" i="1"/>
  <c r="AN24" i="1" s="1"/>
  <c r="AJ24" i="1"/>
  <c r="AM24" i="1" s="1"/>
  <c r="AD24" i="1"/>
  <c r="AH24" i="1" s="1"/>
  <c r="AC24" i="1"/>
  <c r="AG24" i="1" s="1"/>
  <c r="AB24" i="1"/>
  <c r="AF24" i="1" s="1"/>
  <c r="AK21" i="1"/>
  <c r="AN21" i="1" s="1"/>
  <c r="AJ21" i="1"/>
  <c r="AM21" i="1" s="1"/>
  <c r="AD21" i="1"/>
  <c r="AH21" i="1" s="1"/>
  <c r="AC21" i="1"/>
  <c r="AG21" i="1" s="1"/>
  <c r="AB21" i="1"/>
  <c r="AF21" i="1" s="1"/>
  <c r="AK18" i="1"/>
  <c r="AN18" i="1" s="1"/>
  <c r="AJ18" i="1"/>
  <c r="AM18" i="1" s="1"/>
  <c r="AD18" i="1"/>
  <c r="AH18" i="1" s="1"/>
  <c r="AC18" i="1"/>
  <c r="AG18" i="1" s="1"/>
  <c r="AB18" i="1"/>
  <c r="AF18" i="1" s="1"/>
  <c r="AK15" i="1"/>
  <c r="AN15" i="1" s="1"/>
  <c r="AJ15" i="1"/>
  <c r="AM15" i="1" s="1"/>
  <c r="AD15" i="1"/>
  <c r="AH15" i="1" s="1"/>
  <c r="AC15" i="1"/>
  <c r="AG15" i="1" s="1"/>
  <c r="AB15" i="1"/>
  <c r="AF15" i="1" s="1"/>
  <c r="AK12" i="1"/>
  <c r="AN12" i="1" s="1"/>
  <c r="AJ12" i="1"/>
  <c r="AM12" i="1" s="1"/>
  <c r="AD12" i="1"/>
  <c r="AH12" i="1" s="1"/>
  <c r="AC12" i="1"/>
  <c r="AG12" i="1" s="1"/>
  <c r="AB12" i="1"/>
  <c r="AF12" i="1" s="1"/>
  <c r="AD5" i="1"/>
  <c r="AH5" i="1" s="1"/>
  <c r="AC5" i="1"/>
  <c r="AG5" i="1" s="1"/>
  <c r="AB5" i="1"/>
  <c r="AD2" i="1"/>
  <c r="AC2" i="1"/>
  <c r="AG2" i="1" s="1"/>
  <c r="AB2" i="1"/>
  <c r="AF2" i="1" s="1"/>
  <c r="AK2" i="1"/>
  <c r="AN2" i="1" s="1"/>
  <c r="AJ2" i="1"/>
  <c r="AM2" i="1" s="1"/>
  <c r="B5" i="1" l="1"/>
  <c r="B11" i="1" s="1"/>
  <c r="AD84" i="1"/>
  <c r="AH84" i="1" s="1"/>
  <c r="AD42" i="1"/>
  <c r="AH42" i="1" s="1"/>
  <c r="AD225" i="1"/>
  <c r="AH225" i="1" s="1"/>
  <c r="AD251" i="1"/>
  <c r="AH251" i="1" s="1"/>
  <c r="AD74" i="1"/>
  <c r="AH74" i="1" s="1"/>
  <c r="AB74" i="1"/>
  <c r="AF74" i="1" s="1"/>
  <c r="AC74" i="1"/>
  <c r="AG74" i="1" s="1"/>
  <c r="AC225" i="1"/>
  <c r="AG225" i="1" s="1"/>
  <c r="AB42" i="1"/>
  <c r="AF42" i="1" s="1"/>
  <c r="AD191" i="1"/>
  <c r="AH191" i="1" s="1"/>
  <c r="AC84" i="1"/>
  <c r="AG84" i="1" s="1"/>
  <c r="AC251" i="1"/>
  <c r="AG251" i="1" s="1"/>
  <c r="AB251" i="1"/>
  <c r="AF251" i="1" s="1"/>
  <c r="AH2" i="1"/>
  <c r="AB84" i="1"/>
  <c r="AF84" i="1" s="1"/>
  <c r="AC42" i="1"/>
  <c r="AC191" i="1"/>
  <c r="AG191" i="1" s="1"/>
  <c r="AB275" i="1"/>
  <c r="AF275" i="1" s="1"/>
  <c r="AC275" i="1"/>
  <c r="AG275" i="1" s="1"/>
  <c r="AD275" i="1"/>
  <c r="AH275" i="1" s="1"/>
  <c r="AB225" i="1"/>
  <c r="AF225" i="1" s="1"/>
  <c r="AB191" i="1"/>
  <c r="AF191" i="1" s="1"/>
  <c r="AK5" i="1" l="1"/>
  <c r="AN5" i="1" s="1"/>
  <c r="AJ5" i="1"/>
  <c r="AM5" i="1" s="1"/>
  <c r="AF5" i="1"/>
  <c r="AD195" i="1"/>
  <c r="AH195" i="1" s="1"/>
  <c r="AG42" i="1"/>
  <c r="AC195" i="1"/>
  <c r="AG195" i="1" s="1"/>
  <c r="AB195" i="1"/>
  <c r="AF195" i="1" s="1"/>
</calcChain>
</file>

<file path=xl/sharedStrings.xml><?xml version="1.0" encoding="utf-8"?>
<sst xmlns="http://schemas.openxmlformats.org/spreadsheetml/2006/main" count="428" uniqueCount="297">
  <si>
    <t>губ</t>
  </si>
  <si>
    <t>чж NYY</t>
  </si>
  <si>
    <t>чр YY</t>
  </si>
  <si>
    <t>чу YY</t>
  </si>
  <si>
    <t>чж-гор NYY</t>
  </si>
  <si>
    <t>чр-гор YY</t>
  </si>
  <si>
    <t>чу-гор YY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</si>
  <si>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</si>
  <si>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</si>
  <si>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</si>
  <si>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</si>
  <si>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</si>
  <si>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</si>
  <si>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</si>
  <si>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</si>
  <si>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</si>
  <si>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</si>
  <si>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</si>
  <si>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</si>
  <si>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</si>
  <si>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</si>
  <si>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</si>
  <si>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</si>
  <si>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</si>
  <si>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</si>
  <si>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</si>
  <si>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</si>
  <si>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</si>
  <si>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</si>
  <si>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</si>
  <si>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</si>
  <si>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</si>
  <si>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</si>
  <si>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</si>
  <si>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</si>
  <si>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</si>
  <si>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</si>
  <si>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</si>
  <si>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</si>
  <si>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</si>
  <si>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</si>
  <si>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</si>
  <si>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</si>
  <si>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</si>
  <si>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</si>
  <si>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</si>
  <si>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</si>
  <si>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</si>
  <si>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</si>
  <si>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</si>
  <si>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</si>
  <si>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</si>
  <si>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</si>
  <si>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</si>
  <si>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</si>
  <si>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</si>
  <si>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</si>
  <si>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</si>
  <si>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</si>
  <si>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</si>
  <si>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</si>
  <si>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</si>
  <si>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</si>
  <si>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</si>
  <si>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</si>
  <si>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</si>
  <si>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</si>
  <si>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</si>
  <si>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</si>
  <si>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</si>
  <si>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</si>
  <si>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</si>
  <si>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</si>
  <si>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</si>
  <si>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</si>
  <si>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</si>
  <si>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</si>
  <si>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</si>
  <si>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</si>
  <si>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</si>
  <si>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</si>
  <si>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</si>
  <si>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</si>
  <si>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</si>
  <si>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</si>
  <si>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</si>
  <si>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</si>
  <si>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</si>
  <si>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</si>
  <si>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</si>
  <si>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</si>
  <si>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</si>
  <si>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</si>
  <si>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</si>
  <si>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</si>
  <si>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</si>
  <si>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</si>
  <si>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</si>
  <si>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</si>
  <si>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</si>
  <si>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</si>
  <si>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</si>
  <si>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</si>
  <si>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</si>
  <si>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</si>
  <si>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</si>
  <si>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</si>
  <si>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</si>
  <si>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</si>
  <si>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</si>
  <si>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</si>
  <si>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</si>
  <si>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</si>
  <si>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</si>
  <si>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</si>
  <si>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</si>
  <si>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</si>
  <si>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</si>
  <si>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Г. Москва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</si>
  <si>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</si>
  <si>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</si>
  <si>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</si>
  <si>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</si>
  <si>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</si>
  <si>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</si>
  <si>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</si>
  <si>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</si>
  <si>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</si>
  <si>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</si>
  <si>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</si>
  <si>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</si>
  <si>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</si>
  <si>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</si>
  <si>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</si>
  <si>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</si>
  <si>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</si>
  <si>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</si>
  <si>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</si>
  <si>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</si>
  <si>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</si>
  <si>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</si>
  <si>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</si>
  <si>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</si>
  <si>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</si>
  <si>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</si>
  <si>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</si>
  <si>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</si>
  <si>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</si>
  <si>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</si>
  <si>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</si>
  <si>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</si>
  <si>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</si>
  <si>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</si>
  <si>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</si>
  <si>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</si>
  <si>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</si>
  <si>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</si>
  <si>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</si>
  <si>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</si>
  <si>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</si>
  <si>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</si>
  <si>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</si>
  <si>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</si>
  <si>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</si>
  <si>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</si>
  <si>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</si>
  <si>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</si>
  <si>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</si>
  <si>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</si>
  <si>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</si>
  <si>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</si>
  <si>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</si>
  <si>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</si>
  <si>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</si>
  <si>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</si>
  <si>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</si>
  <si>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</si>
  <si>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</si>
  <si>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</si>
  <si>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</si>
  <si>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</si>
  <si>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</si>
  <si>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</si>
  <si>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</si>
  <si>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</si>
  <si>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</si>
  <si>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</si>
  <si>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</si>
  <si>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</si>
  <si>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</si>
  <si>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</si>
  <si>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</si>
  <si>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</si>
  <si>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</si>
  <si>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</si>
  <si>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</si>
  <si>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</si>
  <si>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</si>
  <si>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</si>
  <si>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</si>
  <si>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</si>
  <si>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</si>
  <si>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</si>
  <si>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</si>
  <si>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</si>
  <si>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</si>
  <si>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</si>
  <si>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</si>
  <si>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</si>
  <si>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</si>
  <si>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</si>
  <si>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</si>
  <si>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</si>
  <si>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</si>
  <si>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</si>
  <si>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</si>
  <si>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</si>
  <si>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</si>
  <si>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</si>
  <si>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</si>
  <si>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</si>
  <si>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</si>
  <si>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</si>
  <si>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</si>
  <si>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Закатальский округ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</si>
  <si>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</si>
  <si>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</si>
  <si>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</si>
  <si>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</si>
  <si>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</si>
  <si>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</si>
  <si>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</si>
  <si>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</si>
  <si>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</si>
  <si>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</si>
  <si>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</si>
  <si>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</si>
  <si>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</si>
  <si>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</si>
  <si>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</si>
  <si>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</si>
  <si>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</si>
  <si>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</si>
  <si>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</si>
  <si>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</si>
  <si>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</si>
  <si>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</si>
  <si>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</si>
  <si>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</si>
  <si>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</si>
  <si>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</si>
  <si>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</si>
  <si>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</si>
  <si>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</si>
  <si>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</si>
  <si>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</si>
  <si>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</si>
  <si>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</si>
  <si>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</si>
  <si>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</si>
  <si>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</si>
  <si>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</si>
  <si>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</si>
  <si>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</si>
  <si>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</si>
  <si>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</si>
  <si>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</si>
  <si>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</si>
  <si>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</si>
  <si>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</si>
  <si>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</si>
  <si>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</si>
  <si>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</si>
  <si>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</si>
  <si>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</si>
  <si>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</si>
  <si>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</si>
  <si>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</si>
  <si>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</si>
  <si>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v-р</t>
  </si>
  <si>
    <t>v-с</t>
  </si>
  <si>
    <t>vd-р</t>
  </si>
  <si>
    <t>vd-с</t>
  </si>
  <si>
    <t>v-чж</t>
  </si>
  <si>
    <t>v-чр</t>
  </si>
  <si>
    <t>v-чу</t>
  </si>
  <si>
    <t>vd-чж</t>
  </si>
  <si>
    <t>vd-чр</t>
  </si>
  <si>
    <t>vd-чу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</si>
  <si>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</si>
  <si>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</si>
  <si>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</si>
  <si>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</si>
  <si>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</si>
  <si>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</si>
  <si>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</si>
  <si>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добавить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</si>
</sst>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rlito"/>
      <family val="2"/>
    </font>
    <font>
      <sz val="10"/>
      <color rgb="FF000000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8"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/>
    <xf numFmtId="0" fontId="1" fillId="12" borderId="0" xfId="0" applyFont="1" applyFill="1" applyBorder="1" applyAlignment="1">
      <alignment horizontal="center" vertical="center"/>
    </xf>
    <xf numFmtId="3" fontId="1" fillId="12" borderId="0" xfId="0" applyNumberFormat="1" applyFont="1" applyFill="1" applyBorder="1" applyAlignment="1">
      <alignment horizontal="center" vertical="center"/>
    </xf>
    <xf numFmtId="0" fontId="1" fillId="12" borderId="1" xfId="0" applyFont="1" applyFill="1" applyAlignment="1">
      <alignment horizontal="center" vertical="center"/>
    </xf>
    <xf numFmtId="3" fontId="1" fillId="0" borderId="1" xfId="0" applyNumberFormat="1" applyFont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Alignment="1">
      <alignment horizontal="right" vertical="center"/>
    </xf>
    <xf numFmtId="3" fontId="2" fillId="0" borderId="1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1" xfId="0" applyNumberFormat="1" applyFont="1" applyAlignment="1">
      <alignment horizontal="right" vertical="center"/>
    </xf>
    <xf numFmtId="3" fontId="2" fillId="0" borderId="0" xfId="0" applyNumberFormat="1" applyFont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3" fontId="2" fillId="4" borderId="0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3" fontId="2" fillId="3" borderId="0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Alignment="1">
      <alignment horizontal="right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Alignment="1">
      <alignment horizontal="center" vertical="center"/>
    </xf>
    <xf numFmtId="0" fontId="2" fillId="10" borderId="0" xfId="0" applyFont="1" applyFill="1" applyBorder="1" applyAlignment="1">
      <alignment horizontal="left" vertical="center"/>
    </xf>
    <xf numFmtId="3" fontId="2" fillId="10" borderId="0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Alignment="1">
      <alignment horizontal="right" vertical="center"/>
    </xf>
    <xf numFmtId="3" fontId="2" fillId="10" borderId="0" xfId="0" applyNumberFormat="1" applyFont="1" applyFill="1" applyBorder="1" applyAlignment="1">
      <alignment horizontal="center" vertical="center"/>
    </xf>
    <xf numFmtId="3" fontId="2" fillId="10" borderId="1" xfId="0" applyNumberFormat="1" applyFont="1" applyFill="1" applyAlignment="1">
      <alignment horizontal="right" vertical="center"/>
    </xf>
    <xf numFmtId="0" fontId="2" fillId="11" borderId="0" xfId="0" applyFont="1" applyFill="1" applyBorder="1" applyAlignment="1">
      <alignment horizontal="left" vertical="center"/>
    </xf>
    <xf numFmtId="3" fontId="2" fillId="11" borderId="0" xfId="0" applyNumberFormat="1" applyFont="1" applyFill="1" applyBorder="1" applyAlignment="1">
      <alignment horizontal="right" vertical="center"/>
    </xf>
    <xf numFmtId="164" fontId="2" fillId="11" borderId="1" xfId="0" applyNumberFormat="1" applyFont="1" applyFill="1" applyAlignment="1">
      <alignment horizontal="right" vertical="center"/>
    </xf>
    <xf numFmtId="0" fontId="2" fillId="10" borderId="1" xfId="0" applyFont="1" applyFill="1" applyAlignment="1">
      <alignment horizontal="left" vertical="center"/>
    </xf>
    <xf numFmtId="3" fontId="2" fillId="10" borderId="1" xfId="0" applyNumberFormat="1" applyFont="1" applyFill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2" fillId="11" borderId="1" xfId="0" applyFont="1" applyFill="1" applyAlignment="1">
      <alignment horizontal="left" vertical="center"/>
    </xf>
    <xf numFmtId="3" fontId="2" fillId="11" borderId="1" xfId="0" applyNumberFormat="1" applyFont="1" applyFill="1" applyAlignment="1">
      <alignment horizontal="right" vertical="center"/>
    </xf>
    <xf numFmtId="3" fontId="2" fillId="5" borderId="0" xfId="0" applyNumberFormat="1" applyFont="1" applyFill="1" applyBorder="1" applyAlignment="1">
      <alignment horizontal="left" vertical="center"/>
    </xf>
    <xf numFmtId="3" fontId="2" fillId="5" borderId="0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Alignment="1">
      <alignment horizontal="right" vertical="center"/>
    </xf>
    <xf numFmtId="3" fontId="2" fillId="0" borderId="0" xfId="0" applyNumberFormat="1" applyFont="1" applyBorder="1" applyAlignment="1">
      <alignment horizontal="left" vertical="center"/>
    </xf>
    <xf numFmtId="0" fontId="0" fillId="0" borderId="1" xfId="0" applyAlignment="1">
      <alignment horizontal="right"/>
    </xf>
    <xf numFmtId="0" fontId="3" fillId="0" borderId="0" xfId="0" applyFont="1" applyBorder="1" applyAlignment="1">
      <alignment horizontal="center"/>
    </xf>
    <xf numFmtId="0" fontId="3" fillId="12" borderId="0" xfId="0" applyFont="1" applyFill="1" applyBorder="1" applyAlignment="1">
      <alignment horizontal="center"/>
    </xf>
    <xf numFmtId="0" fontId="3" fillId="12" borderId="1" xfId="0" applyFont="1" applyFill="1" applyAlignment="1">
      <alignment horizontal="center"/>
    </xf>
    <xf numFmtId="0" fontId="2" fillId="13" borderId="0" xfId="0" applyFont="1" applyFill="1" applyBorder="1" applyAlignment="1">
      <alignment vertical="center"/>
    </xf>
    <xf numFmtId="3" fontId="0" fillId="13" borderId="0" xfId="0" applyNumberFormat="1" applyFill="1" applyBorder="1" applyAlignment="1">
      <alignment vertical="center"/>
    </xf>
    <xf numFmtId="164" fontId="0" fillId="13" borderId="0" xfId="0" applyNumberForma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14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3" fontId="2" fillId="6" borderId="0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Alignment="1">
      <alignment horizontal="right" vertical="center"/>
    </xf>
    <xf numFmtId="3" fontId="2" fillId="6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3" fontId="2" fillId="7" borderId="0" xfId="0" applyNumberFormat="1" applyFont="1" applyFill="1" applyBorder="1" applyAlignment="1">
      <alignment horizontal="right" vertical="center"/>
    </xf>
    <xf numFmtId="164" fontId="2" fillId="7" borderId="1" xfId="0" applyNumberFormat="1" applyFont="1" applyFill="1" applyAlignment="1">
      <alignment horizontal="right" vertical="center"/>
    </xf>
    <xf numFmtId="3" fontId="2" fillId="7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left" vertical="center"/>
    </xf>
    <xf numFmtId="3" fontId="2" fillId="8" borderId="0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Alignment="1">
      <alignment horizontal="right" vertical="center"/>
    </xf>
    <xf numFmtId="3" fontId="2" fillId="8" borderId="1" xfId="0" applyNumberFormat="1" applyFont="1" applyFill="1" applyAlignment="1">
      <alignment horizontal="right" vertical="center"/>
    </xf>
    <xf numFmtId="0" fontId="2" fillId="9" borderId="0" xfId="0" applyFont="1" applyFill="1" applyBorder="1" applyAlignment="1">
      <alignment horizontal="left" vertical="center"/>
    </xf>
    <xf numFmtId="3" fontId="2" fillId="9" borderId="0" xfId="0" applyNumberFormat="1" applyFont="1" applyFill="1" applyBorder="1" applyAlignment="1">
      <alignment horizontal="right" vertical="center"/>
    </xf>
    <xf numFmtId="164" fontId="2" fillId="9" borderId="1" xfId="0" applyNumberFormat="1" applyFont="1" applyFill="1" applyAlignment="1">
      <alignment horizontal="right" vertical="center"/>
    </xf>
    <xf numFmtId="49" fontId="2" fillId="8" borderId="0" xfId="0" applyNumberFormat="1" applyFont="1" applyFill="1" applyBorder="1" applyAlignment="1">
      <alignment horizontal="center" vertical="center"/>
    </xf>
    <xf numFmtId="3" fontId="0" fillId="0" borderId="0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13" borderId="0" xfId="0" applyFill="1" applyBorder="1" applyAlignment="1">
      <alignment vertical="center"/>
    </xf>
    <xf numFmtId="0" fontId="0" fillId="14" borderId="0" xfId="0" applyFill="1" applyBorder="1" applyAlignment="1">
      <alignment vertical="center"/>
    </xf>
    <xf numFmtId="3" fontId="0" fillId="14" borderId="0" xfId="0" applyNumberFormat="1" applyFill="1" applyBorder="1" applyAlignment="1">
      <alignment vertical="center"/>
    </xf>
    <xf numFmtId="164" fontId="0" fillId="14" borderId="0" xfId="0" applyNumberFormat="1" applyFill="1" applyBorder="1" applyAlignment="1">
      <alignment vertical="center"/>
    </xf>
    <xf numFmtId="0" fontId="2" fillId="13" borderId="0" xfId="0" applyFont="1" applyFill="1" applyBorder="1" applyAlignment="1">
      <alignment horizontal="left" vertical="center"/>
    </xf>
    <xf numFmtId="3" fontId="2" fillId="13" borderId="0" xfId="0" applyNumberFormat="1" applyFont="1" applyFill="1" applyBorder="1" applyAlignment="1">
      <alignment horizontal="right" vertical="center"/>
    </xf>
    <xf numFmtId="164" fontId="2" fillId="13" borderId="1" xfId="0" applyNumberFormat="1" applyFont="1" applyFill="1" applyAlignment="1">
      <alignment horizontal="right" vertical="center"/>
    </xf>
    <xf numFmtId="3" fontId="4" fillId="14" borderId="0" xfId="0" applyNumberFormat="1" applyFont="1" applyFill="1" applyBorder="1" applyAlignment="1">
      <alignment vertical="center"/>
    </xf>
    <xf numFmtId="0" fontId="2" fillId="0" borderId="1" xfId="0" applyFont="1" applyAlignment="1">
      <alignment vertical="center"/>
    </xf>
    <xf numFmtId="0" fontId="0" fillId="0" borderId="1" xfId="0" applyAlignment="1">
      <alignment vertical="center"/>
    </xf>
    <xf numFmtId="0" fontId="2" fillId="13" borderId="1" xfId="0" applyFont="1" applyFill="1" applyAlignment="1">
      <alignment horizontal="left" vertical="center"/>
    </xf>
    <xf numFmtId="3" fontId="2" fillId="13" borderId="1" xfId="0" applyNumberFormat="1" applyFont="1" applyFill="1" applyAlignment="1">
      <alignment horizontal="right" vertical="center"/>
    </xf>
    <xf numFmtId="3" fontId="2" fillId="13" borderId="1" xfId="0" applyNumberFormat="1" applyFont="1" applyFill="1" applyAlignment="1">
      <alignment horizontal="center" vertical="center"/>
    </xf>
    <xf numFmtId="0" fontId="2" fillId="13" borderId="1" xfId="0" applyFont="1" applyFill="1" applyAlignment="1">
      <alignment vertical="center"/>
    </xf>
    <xf numFmtId="0" fontId="0" fillId="13" borderId="1" xfId="0" applyFill="1" applyAlignment="1">
      <alignment vertical="center"/>
    </xf>
    <xf numFmtId="3" fontId="0" fillId="13" borderId="1" xfId="0" applyNumberFormat="1" applyFill="1" applyAlignment="1">
      <alignment vertical="center"/>
    </xf>
    <xf numFmtId="3" fontId="2" fillId="15" borderId="0" xfId="0" applyNumberFormat="1" applyFont="1" applyFill="1" applyBorder="1" applyAlignment="1">
      <alignment horizontal="right" vertical="center"/>
    </xf>
    <xf numFmtId="3" fontId="2" fillId="15" borderId="1" xfId="0" applyNumberFormat="1" applyFont="1" applyFill="1" applyAlignment="1">
      <alignment horizontal="right" vertical="center"/>
    </xf>
    <xf numFmtId="3" fontId="1" fillId="12" borderId="0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6"/>
  <sheetViews>
    <sheetView tabSelected="1" workbookViewId="0">
      <pane xSplit="1" ySplit="1" topLeftCell="B194" activePane="bottomRight" state="frozen"/>
      <selection pane="topRight" activeCell="B1" sqref="B1"/>
      <selection pane="bottomLeft" activeCell="A2" sqref="A2"/>
      <selection pane="bottomRight" activeCell="J224" sqref="J224"/>
    </sheetView>
  </sheetViews>
  <sheetFormatPr defaultRowHeight="15"/>
  <cols>
    <col min="1" max="1" width="31.375" bestFit="1" customWidth="1"/>
    <col min="2" max="2" width="9.75" bestFit="1" customWidth="1"/>
    <col min="3" max="4" width="8" bestFit="1" customWidth="1"/>
    <col min="5" max="5" width="6.625" bestFit="1" customWidth="1"/>
    <col min="6" max="7" width="5.75" bestFit="1" customWidth="1"/>
    <col min="8" max="9" width="4" style="41" bestFit="1" customWidth="1"/>
    <col min="10" max="10" width="10" style="41" bestFit="1" customWidth="1"/>
    <col min="11" max="11" width="4" style="2" customWidth="1"/>
    <col min="12" max="26" width="6.625" bestFit="1" customWidth="1"/>
    <col min="27" max="27" width="4.125" customWidth="1"/>
    <col min="28" max="28" width="9.875" bestFit="1" customWidth="1"/>
    <col min="29" max="30" width="8.875" bestFit="1" customWidth="1"/>
    <col min="31" max="31" width="4.75" customWidth="1"/>
    <col min="32" max="32" width="7.375" bestFit="1" customWidth="1"/>
    <col min="33" max="34" width="7" bestFit="1" customWidth="1"/>
    <col min="35" max="35" width="4.375" customWidth="1"/>
    <col min="36" max="37" width="4.375" bestFit="1" customWidth="1"/>
    <col min="38" max="38" width="3.375" customWidth="1"/>
    <col min="39" max="39" width="5" bestFit="1" customWidth="1"/>
    <col min="40" max="40" width="4" bestFit="1" customWidth="1"/>
  </cols>
  <sheetData>
    <row r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277</v>
      </c>
      <c r="I1" s="5" t="s">
        <v>278</v>
      </c>
      <c r="J1" s="5" t="s">
        <v>296</v>
      </c>
      <c r="K1" s="6"/>
      <c r="L1" s="86" t="s">
        <v>7</v>
      </c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B1" s="43" t="s">
        <v>283</v>
      </c>
      <c r="AC1" s="43" t="s">
        <v>284</v>
      </c>
      <c r="AD1" s="43" t="s">
        <v>285</v>
      </c>
      <c r="AE1" s="42"/>
      <c r="AF1" s="43" t="s">
        <v>286</v>
      </c>
      <c r="AG1" s="43" t="s">
        <v>287</v>
      </c>
      <c r="AH1" s="43" t="s">
        <v>288</v>
      </c>
      <c r="AI1" s="42"/>
      <c r="AJ1" s="43" t="s">
        <v>279</v>
      </c>
      <c r="AK1" s="43" t="s">
        <v>280</v>
      </c>
      <c r="AL1" s="42"/>
      <c r="AM1" s="43" t="s">
        <v>281</v>
      </c>
      <c r="AN1" s="44" t="s">
        <v>282</v>
      </c>
    </row>
    <row r="2" spans="1:40">
      <c r="A2" s="7" t="s">
        <v>8</v>
      </c>
      <c r="B2" s="8">
        <v>353603</v>
      </c>
      <c r="C2" s="8">
        <v>13377</v>
      </c>
      <c r="D2" s="8">
        <v>10439</v>
      </c>
      <c r="E2" s="9" t="s">
        <v>9</v>
      </c>
      <c r="F2" s="9" t="s">
        <v>9</v>
      </c>
      <c r="G2" s="9" t="s">
        <v>9</v>
      </c>
      <c r="H2" s="10">
        <v>37.9</v>
      </c>
      <c r="I2" s="10">
        <v>29.6</v>
      </c>
      <c r="J2" s="10"/>
      <c r="K2" s="11"/>
      <c r="L2" s="8">
        <v>53914</v>
      </c>
      <c r="M2" s="8">
        <v>39929</v>
      </c>
      <c r="N2" s="8">
        <v>8678</v>
      </c>
      <c r="O2" s="8">
        <v>25468</v>
      </c>
      <c r="P2" s="8">
        <v>41024</v>
      </c>
      <c r="Q2" s="8">
        <v>30300</v>
      </c>
      <c r="R2" s="8">
        <v>30441</v>
      </c>
      <c r="S2" s="8">
        <v>41227</v>
      </c>
      <c r="T2" s="8">
        <v>85623</v>
      </c>
      <c r="U2" s="8"/>
      <c r="V2" s="8"/>
      <c r="W2" s="8"/>
      <c r="X2" s="45"/>
      <c r="Y2" s="45"/>
      <c r="Z2" s="45"/>
      <c r="AA2" s="1"/>
      <c r="AB2" s="46">
        <f>SUM(L2:Z2)</f>
        <v>356604</v>
      </c>
      <c r="AC2" s="46">
        <f>SUM(L3:Z3)</f>
        <v>13377</v>
      </c>
      <c r="AD2" s="46">
        <f>SUM(L4:Z4)</f>
        <v>10439</v>
      </c>
      <c r="AE2" s="1"/>
      <c r="AF2" s="46">
        <f>AB2-B2</f>
        <v>3001</v>
      </c>
      <c r="AG2" s="46">
        <f>AC2-C2</f>
        <v>0</v>
      </c>
      <c r="AH2" s="46">
        <f>AD2-D2</f>
        <v>0</v>
      </c>
      <c r="AI2" s="1"/>
      <c r="AJ2" s="47">
        <f>C2/B2*1000</f>
        <v>37.830561392295884</v>
      </c>
      <c r="AK2" s="47">
        <f>D2/B2*1000</f>
        <v>29.52180835569834</v>
      </c>
      <c r="AL2" s="1"/>
      <c r="AM2" s="47">
        <f>AJ2-H2</f>
        <v>-6.9438607704114474E-2</v>
      </c>
      <c r="AN2" s="47">
        <f>AK2-I2</f>
        <v>-7.8191644301661256E-2</v>
      </c>
    </row>
    <row r="3" spans="1:40">
      <c r="A3" s="12" t="s">
        <v>10</v>
      </c>
      <c r="B3" s="13"/>
      <c r="C3" s="13"/>
      <c r="D3" s="13"/>
      <c r="E3" s="13"/>
      <c r="F3" s="13"/>
      <c r="G3" s="13"/>
      <c r="H3" s="14"/>
      <c r="I3" s="14"/>
      <c r="J3" s="14"/>
      <c r="K3" s="14"/>
      <c r="L3" s="13">
        <v>1973</v>
      </c>
      <c r="M3" s="13">
        <v>1194</v>
      </c>
      <c r="N3" s="13">
        <v>365</v>
      </c>
      <c r="O3" s="13">
        <v>1105</v>
      </c>
      <c r="P3" s="13">
        <v>1590</v>
      </c>
      <c r="Q3" s="13">
        <v>1385</v>
      </c>
      <c r="R3" s="13">
        <v>1218</v>
      </c>
      <c r="S3" s="13">
        <v>1425</v>
      </c>
      <c r="T3" s="13">
        <v>3122</v>
      </c>
      <c r="U3" s="13"/>
      <c r="V3" s="13"/>
      <c r="W3" s="13"/>
      <c r="X3" s="48"/>
      <c r="Y3" s="48"/>
      <c r="Z3" s="4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2" t="s">
        <v>11</v>
      </c>
      <c r="B4" s="13"/>
      <c r="C4" s="13"/>
      <c r="D4" s="13"/>
      <c r="E4" s="13"/>
      <c r="F4" s="13"/>
      <c r="G4" s="13"/>
      <c r="H4" s="14"/>
      <c r="I4" s="14"/>
      <c r="J4" s="14"/>
      <c r="K4" s="14"/>
      <c r="L4" s="13">
        <v>1929</v>
      </c>
      <c r="M4" s="13">
        <v>855</v>
      </c>
      <c r="N4" s="13">
        <v>311</v>
      </c>
      <c r="O4" s="13">
        <v>629</v>
      </c>
      <c r="P4" s="13">
        <v>1169</v>
      </c>
      <c r="Q4" s="13">
        <v>775</v>
      </c>
      <c r="R4" s="13">
        <v>889</v>
      </c>
      <c r="S4" s="13">
        <v>1328</v>
      </c>
      <c r="T4" s="13">
        <v>2554</v>
      </c>
      <c r="U4" s="13"/>
      <c r="V4" s="13"/>
      <c r="W4" s="13"/>
      <c r="X4" s="48"/>
      <c r="Y4" s="48"/>
      <c r="Z4" s="4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7" t="s">
        <v>289</v>
      </c>
      <c r="B5" s="8">
        <f>972812-B8</f>
        <v>565877</v>
      </c>
      <c r="C5" s="8">
        <v>30358</v>
      </c>
      <c r="D5" s="8">
        <v>21731</v>
      </c>
      <c r="E5" s="8">
        <v>127143</v>
      </c>
      <c r="F5" s="8">
        <v>5970</v>
      </c>
      <c r="G5" s="8">
        <v>5127</v>
      </c>
      <c r="H5" s="10">
        <v>53.3</v>
      </c>
      <c r="I5" s="10">
        <v>38.4</v>
      </c>
      <c r="J5" s="10"/>
      <c r="K5" s="14"/>
      <c r="L5" s="8">
        <v>176149</v>
      </c>
      <c r="M5" s="8">
        <v>68218</v>
      </c>
      <c r="N5" s="8">
        <v>37145</v>
      </c>
      <c r="O5" s="8">
        <v>92637</v>
      </c>
      <c r="P5" s="8">
        <v>191728</v>
      </c>
      <c r="Q5" s="8"/>
      <c r="R5" s="8"/>
      <c r="S5" s="8"/>
      <c r="T5" s="8"/>
      <c r="U5" s="8"/>
      <c r="V5" s="8"/>
      <c r="W5" s="8"/>
      <c r="X5" s="45"/>
      <c r="Y5" s="45"/>
      <c r="Z5" s="45"/>
      <c r="AA5" s="1"/>
      <c r="AB5" s="46">
        <f>SUM(L5:Z5)</f>
        <v>565877</v>
      </c>
      <c r="AC5" s="46">
        <f>SUM(L6:Z6)</f>
        <v>30358</v>
      </c>
      <c r="AD5" s="46">
        <f>SUM(L7:Z7)</f>
        <v>21731</v>
      </c>
      <c r="AE5" s="1"/>
      <c r="AF5" s="46">
        <f>AB5-B5</f>
        <v>0</v>
      </c>
      <c r="AG5" s="46">
        <f>AC5-C5</f>
        <v>0</v>
      </c>
      <c r="AH5" s="46">
        <f>AD5-D5</f>
        <v>0</v>
      </c>
      <c r="AI5" s="1"/>
      <c r="AJ5" s="47">
        <f>C5/B5*1000</f>
        <v>53.647700825444403</v>
      </c>
      <c r="AK5" s="47">
        <f>D5/B5*1000</f>
        <v>38.402338317337509</v>
      </c>
      <c r="AL5" s="1"/>
      <c r="AM5" s="47">
        <f>AJ5-H5</f>
        <v>0.34770082544440584</v>
      </c>
      <c r="AN5" s="47">
        <f>AK5-I5</f>
        <v>2.3383173375108868E-3</v>
      </c>
    </row>
    <row r="6" spans="1:40">
      <c r="A6" s="12" t="s">
        <v>290</v>
      </c>
      <c r="B6" s="13"/>
      <c r="C6" s="13"/>
      <c r="D6" s="13"/>
      <c r="E6" s="13"/>
      <c r="F6" s="13"/>
      <c r="G6" s="13"/>
      <c r="H6" s="14"/>
      <c r="I6" s="14"/>
      <c r="J6" s="14"/>
      <c r="K6" s="14"/>
      <c r="L6" s="13">
        <v>9493</v>
      </c>
      <c r="M6" s="13">
        <v>3537</v>
      </c>
      <c r="N6" s="13">
        <v>2125</v>
      </c>
      <c r="O6" s="13">
        <v>5353</v>
      </c>
      <c r="P6" s="13">
        <v>9850</v>
      </c>
      <c r="Q6" s="15"/>
      <c r="R6" s="15"/>
      <c r="S6" s="13"/>
      <c r="T6" s="13"/>
      <c r="U6" s="13"/>
      <c r="V6" s="13"/>
      <c r="W6" s="13"/>
      <c r="X6" s="48"/>
      <c r="Y6" s="48"/>
      <c r="Z6" s="48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 t="s">
        <v>291</v>
      </c>
      <c r="B7" s="13"/>
      <c r="C7" s="13"/>
      <c r="D7" s="13"/>
      <c r="E7" s="13"/>
      <c r="F7" s="13"/>
      <c r="G7" s="13"/>
      <c r="H7" s="14"/>
      <c r="I7" s="14"/>
      <c r="J7" s="14"/>
      <c r="K7" s="14"/>
      <c r="L7" s="13">
        <v>7085</v>
      </c>
      <c r="M7" s="13">
        <v>1965</v>
      </c>
      <c r="N7" s="13">
        <v>1323</v>
      </c>
      <c r="O7" s="13">
        <v>4068</v>
      </c>
      <c r="P7" s="13">
        <v>7290</v>
      </c>
      <c r="Q7" s="15"/>
      <c r="R7" s="15"/>
      <c r="S7" s="13"/>
      <c r="T7" s="13"/>
      <c r="U7" s="13"/>
      <c r="V7" s="13"/>
      <c r="W7" s="13"/>
      <c r="X7" s="48"/>
      <c r="Y7" s="48"/>
      <c r="Z7" s="48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s="2" customFormat="1">
      <c r="A8" s="78" t="s">
        <v>292</v>
      </c>
      <c r="B8" s="79">
        <f>SUM(L8:M8)</f>
        <v>406935</v>
      </c>
      <c r="C8" s="9" t="s">
        <v>9</v>
      </c>
      <c r="D8" s="9" t="s">
        <v>9</v>
      </c>
      <c r="E8" s="79"/>
      <c r="F8" s="79"/>
      <c r="G8" s="79"/>
      <c r="H8" s="9" t="s">
        <v>9</v>
      </c>
      <c r="I8" s="9" t="s">
        <v>9</v>
      </c>
      <c r="J8" s="87"/>
      <c r="K8" s="14"/>
      <c r="L8" s="8">
        <v>139273</v>
      </c>
      <c r="M8" s="8">
        <v>267662</v>
      </c>
      <c r="N8" s="79"/>
      <c r="O8" s="79"/>
      <c r="P8" s="79"/>
      <c r="Q8" s="80"/>
      <c r="R8" s="80"/>
      <c r="S8" s="79"/>
      <c r="T8" s="79"/>
      <c r="U8" s="79"/>
      <c r="V8" s="79"/>
      <c r="W8" s="79"/>
      <c r="X8" s="81"/>
      <c r="Y8" s="81"/>
      <c r="Z8" s="81"/>
      <c r="AA8" s="77"/>
      <c r="AB8" s="83">
        <f>B8</f>
        <v>406935</v>
      </c>
      <c r="AC8" s="9" t="s">
        <v>9</v>
      </c>
      <c r="AD8" s="9" t="s">
        <v>9</v>
      </c>
      <c r="AE8" s="77"/>
      <c r="AF8" s="82"/>
      <c r="AG8" s="82"/>
      <c r="AH8" s="82"/>
      <c r="AI8" s="77"/>
      <c r="AJ8" s="82"/>
      <c r="AK8" s="82"/>
      <c r="AL8" s="77"/>
      <c r="AM8" s="82"/>
      <c r="AN8" s="82"/>
    </row>
    <row r="9" spans="1:40" s="2" customFormat="1">
      <c r="A9" s="34" t="s">
        <v>293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 t="s">
        <v>9</v>
      </c>
      <c r="M9" s="15" t="s">
        <v>9</v>
      </c>
      <c r="N9" s="14"/>
      <c r="O9" s="14"/>
      <c r="P9" s="14"/>
      <c r="Q9" s="11"/>
      <c r="R9" s="11"/>
      <c r="S9" s="14"/>
      <c r="T9" s="14"/>
      <c r="U9" s="14"/>
      <c r="V9" s="14"/>
      <c r="W9" s="14"/>
      <c r="X9" s="76"/>
      <c r="Y9" s="76"/>
      <c r="Z9" s="76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</row>
    <row r="10" spans="1:40" s="2" customFormat="1">
      <c r="A10" s="34" t="s">
        <v>294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 t="s">
        <v>9</v>
      </c>
      <c r="M10" s="15" t="s">
        <v>9</v>
      </c>
      <c r="N10" s="14"/>
      <c r="O10" s="14"/>
      <c r="P10" s="14"/>
      <c r="Q10" s="11"/>
      <c r="R10" s="11"/>
      <c r="S10" s="14"/>
      <c r="T10" s="14"/>
      <c r="U10" s="14"/>
      <c r="V10" s="14"/>
      <c r="W10" s="14"/>
      <c r="X10" s="76"/>
      <c r="Y10" s="76"/>
      <c r="Z10" s="76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</row>
    <row r="11" spans="1:40" s="2" customFormat="1">
      <c r="A11" s="34" t="s">
        <v>295</v>
      </c>
      <c r="B11" s="14">
        <f>SUM(B5:B10)</f>
        <v>972812</v>
      </c>
      <c r="C11" s="14">
        <f>SUM(C5:C10)</f>
        <v>30358</v>
      </c>
      <c r="D11" s="14">
        <f>SUM(D5:D10)</f>
        <v>21731</v>
      </c>
      <c r="E11" s="14"/>
      <c r="F11" s="14"/>
      <c r="G11" s="14"/>
      <c r="H11" s="14"/>
      <c r="I11" s="14"/>
      <c r="J11" s="14"/>
      <c r="K11" s="14"/>
      <c r="L11" s="11"/>
      <c r="M11" s="11"/>
      <c r="N11" s="14"/>
      <c r="O11" s="14"/>
      <c r="P11" s="14"/>
      <c r="Q11" s="11"/>
      <c r="R11" s="11"/>
      <c r="S11" s="14"/>
      <c r="T11" s="14"/>
      <c r="U11" s="14"/>
      <c r="V11" s="14"/>
      <c r="W11" s="14"/>
      <c r="X11" s="76"/>
      <c r="Y11" s="76"/>
      <c r="Z11" s="76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</row>
    <row r="12" spans="1:40">
      <c r="A12" s="7" t="s">
        <v>12</v>
      </c>
      <c r="B12" s="8">
        <v>1420666</v>
      </c>
      <c r="C12" s="8">
        <v>66759</v>
      </c>
      <c r="D12" s="8">
        <v>43413</v>
      </c>
      <c r="E12" s="8">
        <v>148077</v>
      </c>
      <c r="F12" s="8">
        <v>5803</v>
      </c>
      <c r="G12" s="8">
        <v>4479</v>
      </c>
      <c r="H12" s="10">
        <v>47</v>
      </c>
      <c r="I12" s="10">
        <v>30.5</v>
      </c>
      <c r="J12" s="10"/>
      <c r="K12" s="14"/>
      <c r="L12" s="8">
        <v>312090</v>
      </c>
      <c r="M12" s="8">
        <v>207675</v>
      </c>
      <c r="N12" s="8">
        <v>189035</v>
      </c>
      <c r="O12" s="8">
        <v>183878</v>
      </c>
      <c r="P12" s="8">
        <v>217459</v>
      </c>
      <c r="Q12" s="8">
        <v>164392</v>
      </c>
      <c r="R12" s="8">
        <v>146137</v>
      </c>
      <c r="S12" s="8"/>
      <c r="T12" s="8"/>
      <c r="U12" s="8"/>
      <c r="V12" s="8"/>
      <c r="W12" s="8"/>
      <c r="X12" s="45"/>
      <c r="Y12" s="45"/>
      <c r="Z12" s="45"/>
      <c r="AA12" s="1"/>
      <c r="AB12" s="46">
        <f>SUM(L12:Z12)</f>
        <v>1420666</v>
      </c>
      <c r="AC12" s="46">
        <f>SUM(L13:Z13)</f>
        <v>66759</v>
      </c>
      <c r="AD12" s="46">
        <f>SUM(L14:Z14)</f>
        <v>43413</v>
      </c>
      <c r="AE12" s="1"/>
      <c r="AF12" s="46">
        <f>AB12-B12</f>
        <v>0</v>
      </c>
      <c r="AG12" s="46">
        <f>AC12-C12</f>
        <v>0</v>
      </c>
      <c r="AH12" s="46">
        <f>AD12-D12</f>
        <v>0</v>
      </c>
      <c r="AI12" s="1"/>
      <c r="AJ12" s="47">
        <f>C12/B12*1000</f>
        <v>46.991340681060855</v>
      </c>
      <c r="AK12" s="47">
        <f>D12/B12*1000</f>
        <v>30.558202983671041</v>
      </c>
      <c r="AL12" s="1"/>
      <c r="AM12" s="47">
        <f>AJ12-H12</f>
        <v>-8.6593189391450665E-3</v>
      </c>
      <c r="AN12" s="47">
        <f>AK12-I12</f>
        <v>5.8202983671041153E-2</v>
      </c>
    </row>
    <row r="13" spans="1:40">
      <c r="A13" s="12" t="s">
        <v>13</v>
      </c>
      <c r="B13" s="13"/>
      <c r="C13" s="13"/>
      <c r="D13" s="13"/>
      <c r="E13" s="13"/>
      <c r="F13" s="13"/>
      <c r="G13" s="13"/>
      <c r="H13" s="14"/>
      <c r="I13" s="14"/>
      <c r="J13" s="14"/>
      <c r="K13" s="14"/>
      <c r="L13" s="13">
        <v>12829</v>
      </c>
      <c r="M13" s="13">
        <v>9187</v>
      </c>
      <c r="N13" s="13">
        <v>9327</v>
      </c>
      <c r="O13" s="13">
        <v>8576</v>
      </c>
      <c r="P13" s="13">
        <v>10113</v>
      </c>
      <c r="Q13" s="13">
        <v>7537</v>
      </c>
      <c r="R13" s="13">
        <v>9190</v>
      </c>
      <c r="S13" s="13"/>
      <c r="T13" s="13"/>
      <c r="U13" s="13"/>
      <c r="V13" s="13"/>
      <c r="W13" s="13"/>
      <c r="X13" s="48"/>
      <c r="Y13" s="48"/>
      <c r="Z13" s="48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2" t="s">
        <v>14</v>
      </c>
      <c r="B14" s="13"/>
      <c r="C14" s="13"/>
      <c r="D14" s="13"/>
      <c r="E14" s="13"/>
      <c r="F14" s="13"/>
      <c r="G14" s="13"/>
      <c r="H14" s="14"/>
      <c r="I14" s="14"/>
      <c r="J14" s="14"/>
      <c r="K14" s="14"/>
      <c r="L14" s="13">
        <v>8668</v>
      </c>
      <c r="M14" s="13">
        <v>5886</v>
      </c>
      <c r="N14" s="13">
        <v>6094</v>
      </c>
      <c r="O14" s="13">
        <v>5523</v>
      </c>
      <c r="P14" s="13">
        <v>6564</v>
      </c>
      <c r="Q14" s="13">
        <v>5178</v>
      </c>
      <c r="R14" s="13">
        <v>5500</v>
      </c>
      <c r="S14" s="13"/>
      <c r="T14" s="13"/>
      <c r="U14" s="13"/>
      <c r="V14" s="13"/>
      <c r="W14" s="13"/>
      <c r="X14" s="48"/>
      <c r="Y14" s="48"/>
      <c r="Z14" s="48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7" t="s">
        <v>15</v>
      </c>
      <c r="B15" s="8">
        <v>1446496</v>
      </c>
      <c r="C15" s="8">
        <v>59881</v>
      </c>
      <c r="D15" s="8">
        <v>35250</v>
      </c>
      <c r="E15" s="8">
        <v>233590</v>
      </c>
      <c r="F15" s="8">
        <v>6408</v>
      </c>
      <c r="G15" s="8">
        <v>4210</v>
      </c>
      <c r="H15" s="10">
        <v>42.4</v>
      </c>
      <c r="I15" s="10">
        <v>25</v>
      </c>
      <c r="J15" s="10"/>
      <c r="K15" s="14"/>
      <c r="L15" s="8">
        <v>162506</v>
      </c>
      <c r="M15" s="8">
        <v>96352</v>
      </c>
      <c r="N15" s="8">
        <v>108449</v>
      </c>
      <c r="O15" s="8">
        <v>235085</v>
      </c>
      <c r="P15" s="8">
        <v>90139</v>
      </c>
      <c r="Q15" s="8">
        <v>153553</v>
      </c>
      <c r="R15" s="8">
        <v>122434</v>
      </c>
      <c r="S15" s="8">
        <v>105431</v>
      </c>
      <c r="T15" s="8">
        <v>133041</v>
      </c>
      <c r="U15" s="8">
        <v>150989</v>
      </c>
      <c r="V15" s="8">
        <v>88517</v>
      </c>
      <c r="W15" s="8"/>
      <c r="X15" s="45"/>
      <c r="Y15" s="45"/>
      <c r="Z15" s="45"/>
      <c r="AA15" s="1"/>
      <c r="AB15" s="46">
        <f>SUM(L15:Z15)</f>
        <v>1446496</v>
      </c>
      <c r="AC15" s="46">
        <f>SUM(L16:Z16)</f>
        <v>59881</v>
      </c>
      <c r="AD15" s="46">
        <f>SUM(L17:Z17)</f>
        <v>35250</v>
      </c>
      <c r="AE15" s="1"/>
      <c r="AF15" s="46">
        <f>AB15-B15</f>
        <v>0</v>
      </c>
      <c r="AG15" s="46">
        <f>AC15-C15</f>
        <v>0</v>
      </c>
      <c r="AH15" s="46">
        <f>AD15-D15</f>
        <v>0</v>
      </c>
      <c r="AI15" s="1"/>
      <c r="AJ15" s="47">
        <f>C15/B15*1000</f>
        <v>41.397280047784434</v>
      </c>
      <c r="AK15" s="47">
        <f>D15/B15*1000</f>
        <v>24.36923434285335</v>
      </c>
      <c r="AL15" s="1"/>
      <c r="AM15" s="47">
        <f>AJ15-H15</f>
        <v>-1.0027199522155641</v>
      </c>
      <c r="AN15" s="47">
        <f>AK15-I15</f>
        <v>-0.63076565714665023</v>
      </c>
    </row>
    <row r="16" spans="1:40">
      <c r="A16" s="12" t="s">
        <v>16</v>
      </c>
      <c r="B16" s="13"/>
      <c r="C16" s="13"/>
      <c r="D16" s="13"/>
      <c r="E16" s="13"/>
      <c r="F16" s="13"/>
      <c r="G16" s="13"/>
      <c r="H16" s="14"/>
      <c r="I16" s="14"/>
      <c r="J16" s="14"/>
      <c r="K16" s="14"/>
      <c r="L16" s="13">
        <v>6616</v>
      </c>
      <c r="M16" s="13">
        <v>5204</v>
      </c>
      <c r="N16" s="13">
        <v>4806</v>
      </c>
      <c r="O16" s="13">
        <v>6868</v>
      </c>
      <c r="P16" s="13">
        <v>4472</v>
      </c>
      <c r="Q16" s="13">
        <v>6842</v>
      </c>
      <c r="R16" s="13">
        <v>5317</v>
      </c>
      <c r="S16" s="13">
        <v>4997</v>
      </c>
      <c r="T16" s="13">
        <v>6043</v>
      </c>
      <c r="U16" s="13">
        <v>4418</v>
      </c>
      <c r="V16" s="13">
        <v>4298</v>
      </c>
      <c r="W16" s="13"/>
      <c r="X16" s="48"/>
      <c r="Y16" s="48"/>
      <c r="Z16" s="48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 t="s">
        <v>17</v>
      </c>
      <c r="B17" s="13"/>
      <c r="C17" s="13"/>
      <c r="D17" s="13"/>
      <c r="E17" s="13"/>
      <c r="F17" s="13"/>
      <c r="G17" s="13"/>
      <c r="H17" s="14"/>
      <c r="I17" s="14"/>
      <c r="J17" s="14"/>
      <c r="K17" s="14"/>
      <c r="L17" s="13">
        <v>3951</v>
      </c>
      <c r="M17" s="13">
        <v>2948</v>
      </c>
      <c r="N17" s="13">
        <v>3012</v>
      </c>
      <c r="O17" s="13">
        <v>4462</v>
      </c>
      <c r="P17" s="13">
        <v>2133</v>
      </c>
      <c r="Q17" s="13">
        <v>3551</v>
      </c>
      <c r="R17" s="13">
        <v>3018</v>
      </c>
      <c r="S17" s="13">
        <v>3028</v>
      </c>
      <c r="T17" s="13">
        <v>3704</v>
      </c>
      <c r="U17" s="13">
        <v>2645</v>
      </c>
      <c r="V17" s="13">
        <v>2798</v>
      </c>
      <c r="W17" s="13"/>
      <c r="X17" s="48"/>
      <c r="Y17" s="48"/>
      <c r="Z17" s="48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7" t="s">
        <v>18</v>
      </c>
      <c r="B18" s="8">
        <v>2589931</v>
      </c>
      <c r="C18" s="8">
        <v>126822</v>
      </c>
      <c r="D18" s="8">
        <v>88603</v>
      </c>
      <c r="E18" s="8">
        <v>197777</v>
      </c>
      <c r="F18" s="8">
        <v>7235</v>
      </c>
      <c r="G18" s="8">
        <v>5748</v>
      </c>
      <c r="H18" s="10">
        <v>49</v>
      </c>
      <c r="I18" s="10">
        <v>34.200000000000003</v>
      </c>
      <c r="J18" s="10"/>
      <c r="K18" s="14"/>
      <c r="L18" s="8">
        <v>356715</v>
      </c>
      <c r="M18" s="8">
        <v>227683</v>
      </c>
      <c r="N18" s="8">
        <v>176266</v>
      </c>
      <c r="O18" s="8">
        <v>183738</v>
      </c>
      <c r="P18" s="8">
        <v>196764</v>
      </c>
      <c r="Q18" s="8">
        <v>195752</v>
      </c>
      <c r="R18" s="8">
        <v>205307</v>
      </c>
      <c r="S18" s="8">
        <v>281275</v>
      </c>
      <c r="T18" s="8">
        <v>192210</v>
      </c>
      <c r="U18" s="8">
        <v>163222</v>
      </c>
      <c r="V18" s="8">
        <v>229538</v>
      </c>
      <c r="W18" s="8">
        <v>181461</v>
      </c>
      <c r="X18" s="45"/>
      <c r="Y18" s="45"/>
      <c r="Z18" s="45"/>
      <c r="AA18" s="1"/>
      <c r="AB18" s="46">
        <f>SUM(L18:Z18)</f>
        <v>2589931</v>
      </c>
      <c r="AC18" s="46">
        <f>SUM(L19:Z19)</f>
        <v>126822</v>
      </c>
      <c r="AD18" s="46">
        <f>SUM(L20:Z20)</f>
        <v>88603</v>
      </c>
      <c r="AE18" s="1"/>
      <c r="AF18" s="46">
        <f>AB18-B18</f>
        <v>0</v>
      </c>
      <c r="AG18" s="46">
        <f>AC18-C18</f>
        <v>0</v>
      </c>
      <c r="AH18" s="46">
        <f>AD18-D18</f>
        <v>0</v>
      </c>
      <c r="AI18" s="1"/>
      <c r="AJ18" s="47">
        <f>C18/B18*1000</f>
        <v>48.967327701008251</v>
      </c>
      <c r="AK18" s="47">
        <f>D18/B18*1000</f>
        <v>34.210563910776003</v>
      </c>
      <c r="AL18" s="1"/>
      <c r="AM18" s="47">
        <f>AJ18-H18</f>
        <v>-3.2672298991748505E-2</v>
      </c>
      <c r="AN18" s="47">
        <f>AK18-I18</f>
        <v>1.056391077599983E-2</v>
      </c>
    </row>
    <row r="19" spans="1:40">
      <c r="A19" s="12" t="s">
        <v>19</v>
      </c>
      <c r="B19" s="13"/>
      <c r="C19" s="13"/>
      <c r="D19" s="13"/>
      <c r="E19" s="13"/>
      <c r="F19" s="13"/>
      <c r="G19" s="13"/>
      <c r="H19" s="14"/>
      <c r="I19" s="14"/>
      <c r="J19" s="14"/>
      <c r="K19" s="14"/>
      <c r="L19" s="13">
        <v>17713</v>
      </c>
      <c r="M19" s="13">
        <v>11442</v>
      </c>
      <c r="N19" s="13">
        <v>8452</v>
      </c>
      <c r="O19" s="13">
        <v>8978</v>
      </c>
      <c r="P19" s="13">
        <v>8894</v>
      </c>
      <c r="Q19" s="13">
        <v>8832</v>
      </c>
      <c r="R19" s="13">
        <v>10951</v>
      </c>
      <c r="S19" s="13">
        <v>15081</v>
      </c>
      <c r="T19" s="13">
        <v>9229</v>
      </c>
      <c r="U19" s="13">
        <v>7337</v>
      </c>
      <c r="V19" s="13">
        <v>11826</v>
      </c>
      <c r="W19" s="13">
        <v>8087</v>
      </c>
      <c r="X19" s="48"/>
      <c r="Y19" s="48"/>
      <c r="Z19" s="48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2" t="s">
        <v>20</v>
      </c>
      <c r="B20" s="13"/>
      <c r="C20" s="13"/>
      <c r="D20" s="13"/>
      <c r="E20" s="13"/>
      <c r="F20" s="13"/>
      <c r="G20" s="13"/>
      <c r="H20" s="14"/>
      <c r="I20" s="14"/>
      <c r="J20" s="14"/>
      <c r="K20" s="14"/>
      <c r="L20" s="13">
        <v>12876</v>
      </c>
      <c r="M20" s="13">
        <v>7799</v>
      </c>
      <c r="N20" s="13">
        <v>5514</v>
      </c>
      <c r="O20" s="13">
        <v>6952</v>
      </c>
      <c r="P20" s="13">
        <v>5798</v>
      </c>
      <c r="Q20" s="13">
        <v>6974</v>
      </c>
      <c r="R20" s="13">
        <v>5774</v>
      </c>
      <c r="S20" s="13">
        <v>10384</v>
      </c>
      <c r="T20" s="13">
        <v>6570</v>
      </c>
      <c r="U20" s="13">
        <v>5437</v>
      </c>
      <c r="V20" s="13">
        <v>8430</v>
      </c>
      <c r="W20" s="13">
        <v>6095</v>
      </c>
      <c r="X20" s="48"/>
      <c r="Y20" s="48"/>
      <c r="Z20" s="48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7" t="s">
        <v>21</v>
      </c>
      <c r="B21" s="8">
        <v>1600052</v>
      </c>
      <c r="C21" s="8">
        <v>65164</v>
      </c>
      <c r="D21" s="8">
        <v>46398</v>
      </c>
      <c r="E21" s="8">
        <v>239134</v>
      </c>
      <c r="F21" s="8">
        <v>6085</v>
      </c>
      <c r="G21" s="8">
        <v>4575</v>
      </c>
      <c r="H21" s="10">
        <v>40.700000000000003</v>
      </c>
      <c r="I21" s="10">
        <v>29</v>
      </c>
      <c r="J21" s="10"/>
      <c r="K21" s="14"/>
      <c r="L21" s="8">
        <v>202414</v>
      </c>
      <c r="M21" s="8">
        <v>205809</v>
      </c>
      <c r="N21" s="8">
        <v>198693</v>
      </c>
      <c r="O21" s="8">
        <v>196694</v>
      </c>
      <c r="P21" s="8">
        <v>146900</v>
      </c>
      <c r="Q21" s="8">
        <v>170141</v>
      </c>
      <c r="R21" s="8">
        <v>140712</v>
      </c>
      <c r="S21" s="8">
        <v>219356</v>
      </c>
      <c r="T21" s="8">
        <v>119333</v>
      </c>
      <c r="U21" s="8"/>
      <c r="V21" s="8"/>
      <c r="W21" s="8"/>
      <c r="X21" s="45"/>
      <c r="Y21" s="45"/>
      <c r="Z21" s="45"/>
      <c r="AA21" s="1"/>
      <c r="AB21" s="46">
        <f>SUM(L21:Z21)</f>
        <v>1600052</v>
      </c>
      <c r="AC21" s="46">
        <f>SUM(L22:Z22)</f>
        <v>65164</v>
      </c>
      <c r="AD21" s="46">
        <f>SUM(L23:Z23)</f>
        <v>46398</v>
      </c>
      <c r="AE21" s="1"/>
      <c r="AF21" s="46">
        <f>AB21-B21</f>
        <v>0</v>
      </c>
      <c r="AG21" s="46">
        <f>AC21-C21</f>
        <v>0</v>
      </c>
      <c r="AH21" s="46">
        <f>AD21-D21</f>
        <v>0</v>
      </c>
      <c r="AI21" s="1"/>
      <c r="AJ21" s="47">
        <f>C21/B21*1000</f>
        <v>40.726176399267025</v>
      </c>
      <c r="AK21" s="47">
        <f>D21/B21*1000</f>
        <v>28.997807571253933</v>
      </c>
      <c r="AL21" s="1"/>
      <c r="AM21" s="47">
        <f>AJ21-H21</f>
        <v>2.6176399267022532E-2</v>
      </c>
      <c r="AN21" s="47">
        <f>AK21-I21</f>
        <v>-2.1924287460670655E-3</v>
      </c>
    </row>
    <row r="22" spans="1:40">
      <c r="A22" s="12" t="s">
        <v>22</v>
      </c>
      <c r="B22" s="13"/>
      <c r="C22" s="13"/>
      <c r="D22" s="13"/>
      <c r="E22" s="13"/>
      <c r="F22" s="13"/>
      <c r="G22" s="13"/>
      <c r="H22" s="14"/>
      <c r="I22" s="14"/>
      <c r="J22" s="14"/>
      <c r="K22" s="14"/>
      <c r="L22" s="84">
        <v>6744</v>
      </c>
      <c r="M22" s="13">
        <v>9153</v>
      </c>
      <c r="N22" s="13">
        <v>7096</v>
      </c>
      <c r="O22" s="13">
        <v>6876</v>
      </c>
      <c r="P22" s="13">
        <v>7319</v>
      </c>
      <c r="Q22" s="13">
        <v>7750</v>
      </c>
      <c r="R22" s="13">
        <v>6095</v>
      </c>
      <c r="S22" s="13">
        <v>10037</v>
      </c>
      <c r="T22" s="13">
        <v>4094</v>
      </c>
      <c r="U22" s="13"/>
      <c r="V22" s="13"/>
      <c r="W22" s="13"/>
      <c r="X22" s="48"/>
      <c r="Y22" s="48"/>
      <c r="Z22" s="48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 t="s">
        <v>23</v>
      </c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3">
        <v>4501</v>
      </c>
      <c r="M23" s="13">
        <v>7025</v>
      </c>
      <c r="N23" s="13">
        <v>4496</v>
      </c>
      <c r="O23" s="13">
        <v>4611</v>
      </c>
      <c r="P23" s="13">
        <v>5116</v>
      </c>
      <c r="Q23" s="13">
        <v>6710</v>
      </c>
      <c r="R23" s="13">
        <v>4788</v>
      </c>
      <c r="S23" s="13">
        <v>6479</v>
      </c>
      <c r="T23" s="13">
        <v>2672</v>
      </c>
      <c r="U23" s="13"/>
      <c r="V23" s="13"/>
      <c r="W23" s="13"/>
      <c r="X23" s="48"/>
      <c r="Y23" s="48"/>
      <c r="Z23" s="48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7" t="s">
        <v>24</v>
      </c>
      <c r="B24" s="8">
        <v>3450587</v>
      </c>
      <c r="C24" s="8">
        <v>163020</v>
      </c>
      <c r="D24" s="8">
        <v>108783</v>
      </c>
      <c r="E24" s="8">
        <v>459892</v>
      </c>
      <c r="F24" s="8">
        <v>16962</v>
      </c>
      <c r="G24" s="8">
        <v>11427</v>
      </c>
      <c r="H24" s="10">
        <v>47.2</v>
      </c>
      <c r="I24" s="10">
        <v>31.5</v>
      </c>
      <c r="J24" s="10"/>
      <c r="K24" s="14"/>
      <c r="L24" s="8">
        <v>490933</v>
      </c>
      <c r="M24" s="8">
        <v>265967</v>
      </c>
      <c r="N24" s="8">
        <v>346701</v>
      </c>
      <c r="O24" s="8">
        <v>276790</v>
      </c>
      <c r="P24" s="8">
        <v>271324</v>
      </c>
      <c r="Q24" s="8">
        <v>221229</v>
      </c>
      <c r="R24" s="8">
        <v>277064</v>
      </c>
      <c r="S24" s="8">
        <v>241241</v>
      </c>
      <c r="T24" s="8">
        <v>234163</v>
      </c>
      <c r="U24" s="8">
        <v>299535</v>
      </c>
      <c r="V24" s="8">
        <v>281432</v>
      </c>
      <c r="W24" s="8">
        <v>244208</v>
      </c>
      <c r="X24" s="45"/>
      <c r="Y24" s="45"/>
      <c r="Z24" s="45"/>
      <c r="AA24" s="1"/>
      <c r="AB24" s="46">
        <f>SUM(L24:Z24)</f>
        <v>3450587</v>
      </c>
      <c r="AC24" s="46">
        <f>SUM(L25:Z25)</f>
        <v>163020</v>
      </c>
      <c r="AD24" s="46">
        <f>SUM(L26:Z26)</f>
        <v>108783</v>
      </c>
      <c r="AE24" s="1"/>
      <c r="AF24" s="46">
        <f>AB24-B24</f>
        <v>0</v>
      </c>
      <c r="AG24" s="46">
        <f>AC24-C24</f>
        <v>0</v>
      </c>
      <c r="AH24" s="46">
        <f>AD24-D24</f>
        <v>0</v>
      </c>
      <c r="AI24" s="1"/>
      <c r="AJ24" s="47">
        <f>C24/B24*1000</f>
        <v>47.244135563021594</v>
      </c>
      <c r="AK24" s="47">
        <f>D24/B24*1000</f>
        <v>31.525940368986497</v>
      </c>
      <c r="AL24" s="1"/>
      <c r="AM24" s="47">
        <f>AJ24-H24</f>
        <v>4.413556302159094E-2</v>
      </c>
      <c r="AN24" s="47">
        <f>AK24-I24</f>
        <v>2.5940368986496765E-2</v>
      </c>
    </row>
    <row r="25" spans="1:40">
      <c r="A25" s="12" t="s">
        <v>25</v>
      </c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3">
        <v>22119</v>
      </c>
      <c r="M25" s="13">
        <v>12589</v>
      </c>
      <c r="N25" s="13">
        <v>14942</v>
      </c>
      <c r="O25" s="13">
        <v>12989</v>
      </c>
      <c r="P25" s="13">
        <v>12749</v>
      </c>
      <c r="Q25" s="13">
        <v>9677</v>
      </c>
      <c r="R25" s="13">
        <v>14045</v>
      </c>
      <c r="S25" s="13">
        <v>11134</v>
      </c>
      <c r="T25" s="13">
        <v>11153</v>
      </c>
      <c r="U25" s="13">
        <v>15545</v>
      </c>
      <c r="V25" s="13">
        <v>14923</v>
      </c>
      <c r="W25" s="13">
        <v>11155</v>
      </c>
      <c r="X25" s="48"/>
      <c r="Y25" s="48"/>
      <c r="Z25" s="48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2" t="s">
        <v>26</v>
      </c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3">
        <v>15522</v>
      </c>
      <c r="M26" s="13">
        <v>8763</v>
      </c>
      <c r="N26" s="13">
        <v>10092</v>
      </c>
      <c r="O26" s="13">
        <v>7387</v>
      </c>
      <c r="P26" s="13">
        <v>8296</v>
      </c>
      <c r="Q26" s="13">
        <v>7882</v>
      </c>
      <c r="R26" s="13">
        <v>9915</v>
      </c>
      <c r="S26" s="13">
        <v>6730</v>
      </c>
      <c r="T26" s="13">
        <v>6595</v>
      </c>
      <c r="U26" s="13">
        <v>10245</v>
      </c>
      <c r="V26" s="13">
        <v>10071</v>
      </c>
      <c r="W26" s="13">
        <v>7285</v>
      </c>
      <c r="X26" s="48"/>
      <c r="Y26" s="48"/>
      <c r="Z26" s="48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7" t="s">
        <v>27</v>
      </c>
      <c r="B27" s="8">
        <v>1656814</v>
      </c>
      <c r="C27" s="8">
        <v>55439</v>
      </c>
      <c r="D27" s="8">
        <v>39921</v>
      </c>
      <c r="E27" s="8">
        <v>151796</v>
      </c>
      <c r="F27" s="8">
        <v>3771</v>
      </c>
      <c r="G27" s="8">
        <v>2786</v>
      </c>
      <c r="H27" s="10">
        <v>33.4</v>
      </c>
      <c r="I27" s="10">
        <v>24.1</v>
      </c>
      <c r="J27" s="10"/>
      <c r="K27" s="14"/>
      <c r="L27" s="8">
        <v>240841</v>
      </c>
      <c r="M27" s="8">
        <v>247582</v>
      </c>
      <c r="N27" s="8">
        <v>219324</v>
      </c>
      <c r="O27" s="8">
        <v>232442</v>
      </c>
      <c r="P27" s="8">
        <v>253595</v>
      </c>
      <c r="Q27" s="8">
        <v>201060</v>
      </c>
      <c r="R27" s="8">
        <v>261970</v>
      </c>
      <c r="S27" s="8"/>
      <c r="T27" s="8"/>
      <c r="U27" s="8"/>
      <c r="V27" s="8"/>
      <c r="W27" s="8"/>
      <c r="X27" s="45"/>
      <c r="Y27" s="45"/>
      <c r="Z27" s="45"/>
      <c r="AA27" s="1"/>
      <c r="AB27" s="46">
        <f>SUM(L27:Z27)</f>
        <v>1656814</v>
      </c>
      <c r="AC27" s="46">
        <f>SUM(L28:Z28)</f>
        <v>55439</v>
      </c>
      <c r="AD27" s="46">
        <f>SUM(L29:Z29)</f>
        <v>39921</v>
      </c>
      <c r="AE27" s="1"/>
      <c r="AF27" s="46">
        <f>AB27-B27</f>
        <v>0</v>
      </c>
      <c r="AG27" s="46">
        <f>AC27-C27</f>
        <v>0</v>
      </c>
      <c r="AH27" s="46">
        <f>AD27-D27</f>
        <v>0</v>
      </c>
      <c r="AI27" s="1"/>
      <c r="AJ27" s="47">
        <f>C27/B27*1000</f>
        <v>33.461209284808071</v>
      </c>
      <c r="AK27" s="47">
        <f>D27/B27*1000</f>
        <v>24.095040239882088</v>
      </c>
      <c r="AL27" s="1"/>
      <c r="AM27" s="47">
        <f>AJ27-H27</f>
        <v>6.1209284808072084E-2</v>
      </c>
      <c r="AN27" s="47">
        <f>AK27-I27</f>
        <v>-4.9597601179129924E-3</v>
      </c>
    </row>
    <row r="28" spans="1:40">
      <c r="A28" s="12" t="s">
        <v>28</v>
      </c>
      <c r="B28" s="13"/>
      <c r="C28" s="13"/>
      <c r="D28" s="13"/>
      <c r="E28" s="13"/>
      <c r="F28" s="13"/>
      <c r="G28" s="13"/>
      <c r="H28" s="14"/>
      <c r="I28" s="14"/>
      <c r="J28" s="14"/>
      <c r="K28" s="14"/>
      <c r="L28" s="13">
        <v>7706</v>
      </c>
      <c r="M28" s="13">
        <v>8404</v>
      </c>
      <c r="N28" s="13">
        <v>7367</v>
      </c>
      <c r="O28" s="13">
        <v>7744</v>
      </c>
      <c r="P28" s="13">
        <v>8680</v>
      </c>
      <c r="Q28" s="13">
        <v>7075</v>
      </c>
      <c r="R28" s="13">
        <v>8463</v>
      </c>
      <c r="S28" s="13"/>
      <c r="T28" s="13"/>
      <c r="U28" s="13"/>
      <c r="V28" s="13"/>
      <c r="W28" s="13"/>
      <c r="X28" s="48"/>
      <c r="Y28" s="48"/>
      <c r="Z28" s="48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2" t="s">
        <v>29</v>
      </c>
      <c r="B29" s="13"/>
      <c r="C29" s="13"/>
      <c r="D29" s="13"/>
      <c r="E29" s="13"/>
      <c r="F29" s="13"/>
      <c r="G29" s="13"/>
      <c r="H29" s="14"/>
      <c r="I29" s="14"/>
      <c r="J29" s="14"/>
      <c r="K29" s="14"/>
      <c r="L29" s="13">
        <v>4904</v>
      </c>
      <c r="M29" s="13">
        <v>5224</v>
      </c>
      <c r="N29" s="13">
        <v>5106</v>
      </c>
      <c r="O29" s="13">
        <v>5499</v>
      </c>
      <c r="P29" s="13">
        <v>6266</v>
      </c>
      <c r="Q29" s="13">
        <v>6569</v>
      </c>
      <c r="R29" s="13">
        <v>6353</v>
      </c>
      <c r="S29" s="13"/>
      <c r="T29" s="13"/>
      <c r="U29" s="13"/>
      <c r="V29" s="13"/>
      <c r="W29" s="13"/>
      <c r="X29" s="48"/>
      <c r="Y29" s="48"/>
      <c r="Z29" s="48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7" t="s">
        <v>30</v>
      </c>
      <c r="B30" s="8">
        <v>1953535</v>
      </c>
      <c r="C30" s="8">
        <v>92320</v>
      </c>
      <c r="D30" s="8">
        <v>52380</v>
      </c>
      <c r="E30" s="8">
        <v>274682</v>
      </c>
      <c r="F30" s="8">
        <v>6983</v>
      </c>
      <c r="G30" s="8">
        <v>4244</v>
      </c>
      <c r="H30" s="10">
        <v>47.2</v>
      </c>
      <c r="I30" s="10">
        <v>26.8</v>
      </c>
      <c r="J30" s="10"/>
      <c r="K30" s="14"/>
      <c r="L30" s="8">
        <v>252171</v>
      </c>
      <c r="M30" s="8">
        <v>244888</v>
      </c>
      <c r="N30" s="8">
        <v>195782</v>
      </c>
      <c r="O30" s="8">
        <v>204010</v>
      </c>
      <c r="P30" s="8">
        <v>148765</v>
      </c>
      <c r="Q30" s="8">
        <v>246568</v>
      </c>
      <c r="R30" s="8">
        <v>242696</v>
      </c>
      <c r="S30" s="8">
        <v>183814</v>
      </c>
      <c r="T30" s="8">
        <v>234849</v>
      </c>
      <c r="U30" s="8"/>
      <c r="V30" s="8"/>
      <c r="W30" s="8"/>
      <c r="X30" s="45"/>
      <c r="Y30" s="45"/>
      <c r="Z30" s="45"/>
      <c r="AA30" s="1"/>
      <c r="AB30" s="46">
        <f>SUM(L30:Z30)</f>
        <v>1953543</v>
      </c>
      <c r="AC30" s="46">
        <f>SUM(L31:Z31)</f>
        <v>92320</v>
      </c>
      <c r="AD30" s="46">
        <f>SUM(L32:Z32)</f>
        <v>52380</v>
      </c>
      <c r="AE30" s="1"/>
      <c r="AF30" s="46">
        <f>AB30-B30</f>
        <v>8</v>
      </c>
      <c r="AG30" s="46">
        <f>AC30-C30</f>
        <v>0</v>
      </c>
      <c r="AH30" s="46">
        <f>AD30-D30</f>
        <v>0</v>
      </c>
      <c r="AI30" s="1"/>
      <c r="AJ30" s="47">
        <f>C30/B30*1000</f>
        <v>47.257919617513892</v>
      </c>
      <c r="AK30" s="47">
        <f>D30/B30*1000</f>
        <v>26.812931429434332</v>
      </c>
      <c r="AL30" s="1"/>
      <c r="AM30" s="47">
        <f>AJ30-H30</f>
        <v>5.7919617513888966E-2</v>
      </c>
      <c r="AN30" s="47">
        <f>AK30-I30</f>
        <v>1.2931429434331676E-2</v>
      </c>
    </row>
    <row r="31" spans="1:40">
      <c r="A31" s="12" t="s">
        <v>31</v>
      </c>
      <c r="B31" s="13"/>
      <c r="C31" s="13"/>
      <c r="D31" s="13"/>
      <c r="E31" s="13"/>
      <c r="F31" s="13"/>
      <c r="G31" s="13"/>
      <c r="H31" s="14"/>
      <c r="I31" s="14"/>
      <c r="J31" s="14"/>
      <c r="K31" s="14"/>
      <c r="L31" s="13">
        <v>9909</v>
      </c>
      <c r="M31" s="13">
        <v>10956</v>
      </c>
      <c r="N31" s="13">
        <v>10702</v>
      </c>
      <c r="O31" s="13">
        <v>10929</v>
      </c>
      <c r="P31" s="13">
        <v>8042</v>
      </c>
      <c r="Q31" s="13">
        <v>10501</v>
      </c>
      <c r="R31" s="13">
        <v>10703</v>
      </c>
      <c r="S31" s="13">
        <v>10170</v>
      </c>
      <c r="T31" s="13">
        <v>10408</v>
      </c>
      <c r="U31" s="13"/>
      <c r="V31" s="13"/>
      <c r="W31" s="13"/>
      <c r="X31" s="48"/>
      <c r="Y31" s="48"/>
      <c r="Z31" s="48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2" t="s">
        <v>32</v>
      </c>
      <c r="B32" s="13"/>
      <c r="C32" s="13"/>
      <c r="D32" s="13"/>
      <c r="E32" s="13"/>
      <c r="F32" s="13"/>
      <c r="G32" s="13"/>
      <c r="H32" s="14"/>
      <c r="I32" s="14"/>
      <c r="J32" s="14"/>
      <c r="K32" s="14"/>
      <c r="L32" s="13">
        <v>5610</v>
      </c>
      <c r="M32" s="13">
        <v>6002</v>
      </c>
      <c r="N32" s="13">
        <v>5029</v>
      </c>
      <c r="O32" s="13">
        <v>5664</v>
      </c>
      <c r="P32" s="13">
        <v>3942</v>
      </c>
      <c r="Q32" s="13">
        <v>7033</v>
      </c>
      <c r="R32" s="13">
        <v>6513</v>
      </c>
      <c r="S32" s="13">
        <v>5854</v>
      </c>
      <c r="T32" s="13">
        <v>6733</v>
      </c>
      <c r="U32" s="13"/>
      <c r="V32" s="13"/>
      <c r="W32" s="13"/>
      <c r="X32" s="48"/>
      <c r="Y32" s="48"/>
      <c r="Z32" s="48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7" t="s">
        <v>33</v>
      </c>
      <c r="B33" s="8">
        <v>1512144</v>
      </c>
      <c r="C33" s="8">
        <v>75888</v>
      </c>
      <c r="D33" s="8">
        <v>40998</v>
      </c>
      <c r="E33" s="8">
        <v>136380</v>
      </c>
      <c r="F33" s="8">
        <v>4751</v>
      </c>
      <c r="G33" s="8">
        <v>2776</v>
      </c>
      <c r="H33" s="10">
        <v>49</v>
      </c>
      <c r="I33" s="10">
        <v>26.5</v>
      </c>
      <c r="J33" s="10"/>
      <c r="K33" s="14"/>
      <c r="L33" s="8">
        <v>156486</v>
      </c>
      <c r="M33" s="8">
        <v>109648</v>
      </c>
      <c r="N33" s="8">
        <v>216228</v>
      </c>
      <c r="O33" s="8">
        <v>108904</v>
      </c>
      <c r="P33" s="8">
        <v>132912</v>
      </c>
      <c r="Q33" s="8">
        <v>89866</v>
      </c>
      <c r="R33" s="8">
        <v>137579</v>
      </c>
      <c r="S33" s="8">
        <v>193739</v>
      </c>
      <c r="T33" s="8">
        <v>145134</v>
      </c>
      <c r="U33" s="8">
        <v>82349</v>
      </c>
      <c r="V33" s="8">
        <v>139299</v>
      </c>
      <c r="W33" s="8"/>
      <c r="X33" s="45"/>
      <c r="Y33" s="45"/>
      <c r="Z33" s="45"/>
      <c r="AA33" s="1"/>
      <c r="AB33" s="46">
        <f>SUM(L33:Z33)</f>
        <v>1512144</v>
      </c>
      <c r="AC33" s="46">
        <f>SUM(L34:Z34)</f>
        <v>75888</v>
      </c>
      <c r="AD33" s="46">
        <f>SUM(L35:Z35)</f>
        <v>40998</v>
      </c>
      <c r="AE33" s="1"/>
      <c r="AF33" s="46">
        <f>AB33-B33</f>
        <v>0</v>
      </c>
      <c r="AG33" s="46">
        <f>AC33-C33</f>
        <v>0</v>
      </c>
      <c r="AH33" s="46">
        <f>AD33-D33</f>
        <v>0</v>
      </c>
      <c r="AI33" s="1"/>
      <c r="AJ33" s="47">
        <f>C33/B33*1000</f>
        <v>50.18569660032378</v>
      </c>
      <c r="AK33" s="47">
        <f>D33/B33*1000</f>
        <v>27.112497222486748</v>
      </c>
      <c r="AL33" s="1"/>
      <c r="AM33" s="47">
        <f>AJ33-H33</f>
        <v>1.1856966003237801</v>
      </c>
      <c r="AN33" s="47">
        <f>AK33-I33</f>
        <v>0.61249722248674843</v>
      </c>
    </row>
    <row r="34" spans="1:40">
      <c r="A34" s="12" t="s">
        <v>34</v>
      </c>
      <c r="B34" s="13"/>
      <c r="C34" s="13"/>
      <c r="D34" s="13"/>
      <c r="E34" s="13"/>
      <c r="F34" s="13"/>
      <c r="G34" s="13"/>
      <c r="H34" s="14"/>
      <c r="I34" s="14"/>
      <c r="J34" s="14"/>
      <c r="K34" s="14"/>
      <c r="L34" s="13">
        <v>6431</v>
      </c>
      <c r="M34" s="13">
        <v>5710</v>
      </c>
      <c r="N34" s="13">
        <v>10335</v>
      </c>
      <c r="O34" s="13">
        <v>5452</v>
      </c>
      <c r="P34" s="13">
        <v>6607</v>
      </c>
      <c r="Q34" s="13">
        <v>4600</v>
      </c>
      <c r="R34" s="13">
        <v>8002</v>
      </c>
      <c r="S34" s="13">
        <v>10765</v>
      </c>
      <c r="T34" s="13">
        <v>7345</v>
      </c>
      <c r="U34" s="13">
        <v>3883</v>
      </c>
      <c r="V34" s="13">
        <v>6758</v>
      </c>
      <c r="W34" s="13"/>
      <c r="X34" s="48"/>
      <c r="Y34" s="48"/>
      <c r="Z34" s="48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2" t="s">
        <v>35</v>
      </c>
      <c r="B35" s="13"/>
      <c r="C35" s="13"/>
      <c r="D35" s="13"/>
      <c r="E35" s="13"/>
      <c r="F35" s="13"/>
      <c r="G35" s="13"/>
      <c r="H35" s="14"/>
      <c r="I35" s="14"/>
      <c r="J35" s="14"/>
      <c r="K35" s="14"/>
      <c r="L35" s="13">
        <v>3863</v>
      </c>
      <c r="M35" s="13">
        <v>3485</v>
      </c>
      <c r="N35" s="13">
        <v>6514</v>
      </c>
      <c r="O35" s="13">
        <v>2803</v>
      </c>
      <c r="P35" s="13">
        <v>3174</v>
      </c>
      <c r="Q35" s="13">
        <v>2192</v>
      </c>
      <c r="R35" s="13">
        <v>3928</v>
      </c>
      <c r="S35" s="13">
        <v>6137</v>
      </c>
      <c r="T35" s="13">
        <v>3627</v>
      </c>
      <c r="U35" s="13">
        <v>2240</v>
      </c>
      <c r="V35" s="13">
        <v>3035</v>
      </c>
      <c r="W35" s="13"/>
      <c r="X35" s="48"/>
      <c r="Y35" s="48"/>
      <c r="Z35" s="48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7" t="s">
        <v>36</v>
      </c>
      <c r="B36" s="8">
        <v>1433062</v>
      </c>
      <c r="C36" s="8">
        <v>82586</v>
      </c>
      <c r="D36" s="8">
        <v>50997</v>
      </c>
      <c r="E36" s="8">
        <v>115142</v>
      </c>
      <c r="F36" s="8">
        <v>6807</v>
      </c>
      <c r="G36" s="8">
        <v>4734</v>
      </c>
      <c r="H36" s="10">
        <v>50.7</v>
      </c>
      <c r="I36" s="10">
        <v>36</v>
      </c>
      <c r="J36" s="10"/>
      <c r="K36" s="14"/>
      <c r="L36" s="8">
        <v>425825</v>
      </c>
      <c r="M36" s="8">
        <v>214493</v>
      </c>
      <c r="N36" s="8">
        <v>204565</v>
      </c>
      <c r="O36" s="8">
        <v>187042</v>
      </c>
      <c r="P36" s="8">
        <v>401137</v>
      </c>
      <c r="Q36" s="8"/>
      <c r="R36" s="8"/>
      <c r="S36" s="8"/>
      <c r="T36" s="8"/>
      <c r="U36" s="8"/>
      <c r="V36" s="8"/>
      <c r="W36" s="8"/>
      <c r="X36" s="45"/>
      <c r="Y36" s="45"/>
      <c r="Z36" s="45"/>
      <c r="AA36" s="1"/>
      <c r="AB36" s="46">
        <f>SUM(L36:Z36)</f>
        <v>1433062</v>
      </c>
      <c r="AC36" s="46">
        <f>SUM(L37:Z37)</f>
        <v>82586</v>
      </c>
      <c r="AD36" s="46">
        <f>SUM(L38:Z38)</f>
        <v>50997</v>
      </c>
      <c r="AE36" s="1"/>
      <c r="AF36" s="46">
        <f>AB36-B36</f>
        <v>0</v>
      </c>
      <c r="AG36" s="46">
        <f>AC36-C36</f>
        <v>0</v>
      </c>
      <c r="AH36" s="46">
        <f>AD36-D36</f>
        <v>0</v>
      </c>
      <c r="AI36" s="1"/>
      <c r="AJ36" s="47">
        <f>C36/B36*1000</f>
        <v>57.629048847851664</v>
      </c>
      <c r="AK36" s="47">
        <f>D36/B36*1000</f>
        <v>35.586038845493078</v>
      </c>
      <c r="AL36" s="1"/>
      <c r="AM36" s="47">
        <f>AJ36-H36</f>
        <v>6.9290488478516608</v>
      </c>
      <c r="AN36" s="47">
        <f>AK36-I36</f>
        <v>-0.4139611545069215</v>
      </c>
    </row>
    <row r="37" spans="1:40">
      <c r="A37" s="12" t="s">
        <v>37</v>
      </c>
      <c r="B37" s="13"/>
      <c r="C37" s="13"/>
      <c r="D37" s="13"/>
      <c r="E37" s="13"/>
      <c r="F37" s="13"/>
      <c r="G37" s="13"/>
      <c r="H37" s="14"/>
      <c r="I37" s="14"/>
      <c r="J37" s="14"/>
      <c r="K37" s="14"/>
      <c r="L37" s="13">
        <v>31391</v>
      </c>
      <c r="M37" s="13">
        <v>10461</v>
      </c>
      <c r="N37" s="13">
        <v>9635</v>
      </c>
      <c r="O37" s="13">
        <v>10105</v>
      </c>
      <c r="P37" s="13">
        <v>20994</v>
      </c>
      <c r="Q37" s="13"/>
      <c r="R37" s="13"/>
      <c r="S37" s="13"/>
      <c r="T37" s="13"/>
      <c r="U37" s="13"/>
      <c r="V37" s="13"/>
      <c r="W37" s="13"/>
      <c r="X37" s="48"/>
      <c r="Y37" s="48"/>
      <c r="Z37" s="48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2" t="s">
        <v>38</v>
      </c>
      <c r="B38" s="13"/>
      <c r="C38" s="13"/>
      <c r="D38" s="13"/>
      <c r="E38" s="13"/>
      <c r="F38" s="13"/>
      <c r="G38" s="13"/>
      <c r="H38" s="14"/>
      <c r="I38" s="14"/>
      <c r="J38" s="14"/>
      <c r="K38" s="14"/>
      <c r="L38" s="13">
        <v>17092</v>
      </c>
      <c r="M38" s="13">
        <v>5746</v>
      </c>
      <c r="N38" s="13">
        <v>5840</v>
      </c>
      <c r="O38" s="13">
        <v>6758</v>
      </c>
      <c r="P38" s="13">
        <v>15561</v>
      </c>
      <c r="Q38" s="13"/>
      <c r="R38" s="13"/>
      <c r="S38" s="13"/>
      <c r="T38" s="13"/>
      <c r="U38" s="13"/>
      <c r="V38" s="13"/>
      <c r="W38" s="13"/>
      <c r="X38" s="48"/>
      <c r="Y38" s="48"/>
      <c r="Z38" s="4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7" t="s">
        <v>39</v>
      </c>
      <c r="B39" s="8">
        <v>2741923</v>
      </c>
      <c r="C39" s="8">
        <v>129023</v>
      </c>
      <c r="D39" s="8">
        <v>91235</v>
      </c>
      <c r="E39" s="8">
        <v>203254</v>
      </c>
      <c r="F39" s="8">
        <v>6623</v>
      </c>
      <c r="G39" s="8">
        <v>5004</v>
      </c>
      <c r="H39" s="10">
        <v>47</v>
      </c>
      <c r="I39" s="10">
        <v>33.299999999999997</v>
      </c>
      <c r="J39" s="10"/>
      <c r="K39" s="14"/>
      <c r="L39" s="8">
        <v>239581</v>
      </c>
      <c r="M39" s="8">
        <v>355973</v>
      </c>
      <c r="N39" s="8">
        <v>213408</v>
      </c>
      <c r="O39" s="8">
        <v>226558</v>
      </c>
      <c r="P39" s="8">
        <v>243897</v>
      </c>
      <c r="Q39" s="8">
        <v>156479</v>
      </c>
      <c r="R39" s="8">
        <v>189362</v>
      </c>
      <c r="S39" s="8">
        <v>214623</v>
      </c>
      <c r="T39" s="8">
        <v>218228</v>
      </c>
      <c r="U39" s="8">
        <v>251492</v>
      </c>
      <c r="V39" s="8">
        <v>189134</v>
      </c>
      <c r="W39" s="8">
        <v>243188</v>
      </c>
      <c r="X39" s="45"/>
      <c r="Y39" s="45"/>
      <c r="Z39" s="45"/>
      <c r="AA39" s="1"/>
      <c r="AB39" s="46">
        <f>SUM(L39:Z39)</f>
        <v>2741923</v>
      </c>
      <c r="AC39" s="46">
        <f>SUM(L40:Z40)</f>
        <v>129048</v>
      </c>
      <c r="AD39" s="46">
        <f>SUM(L41:Z41)</f>
        <v>91235</v>
      </c>
      <c r="AE39" s="1"/>
      <c r="AF39" s="46">
        <f>AB39-B39</f>
        <v>0</v>
      </c>
      <c r="AG39" s="46">
        <f>AC39-C39</f>
        <v>25</v>
      </c>
      <c r="AH39" s="46">
        <f>AD39-D39</f>
        <v>0</v>
      </c>
      <c r="AI39" s="1"/>
      <c r="AJ39" s="47">
        <f>C39/B39*1000</f>
        <v>47.055661300481454</v>
      </c>
      <c r="AK39" s="47">
        <f>D39/B39*1000</f>
        <v>33.274092671457218</v>
      </c>
      <c r="AL39" s="1"/>
      <c r="AM39" s="47">
        <f>AJ39-H39</f>
        <v>5.5661300481453679E-2</v>
      </c>
      <c r="AN39" s="47">
        <f>AK39-I39</f>
        <v>-2.5907328542778885E-2</v>
      </c>
    </row>
    <row r="40" spans="1:40">
      <c r="A40" s="12" t="s">
        <v>40</v>
      </c>
      <c r="B40" s="13"/>
      <c r="C40" s="13"/>
      <c r="D40" s="13"/>
      <c r="E40" s="13"/>
      <c r="F40" s="13"/>
      <c r="G40" s="13"/>
      <c r="H40" s="14"/>
      <c r="I40" s="14"/>
      <c r="J40" s="14"/>
      <c r="K40" s="14"/>
      <c r="L40" s="13">
        <v>10439</v>
      </c>
      <c r="M40" s="13">
        <v>18074</v>
      </c>
      <c r="N40" s="13">
        <v>10427</v>
      </c>
      <c r="O40" s="13">
        <v>10175</v>
      </c>
      <c r="P40" s="13">
        <v>11240</v>
      </c>
      <c r="Q40" s="13">
        <v>7254</v>
      </c>
      <c r="R40" s="13">
        <v>8903</v>
      </c>
      <c r="S40" s="13">
        <v>9664</v>
      </c>
      <c r="T40" s="13">
        <v>9205</v>
      </c>
      <c r="U40" s="13">
        <v>13164</v>
      </c>
      <c r="V40" s="13">
        <v>9323</v>
      </c>
      <c r="W40" s="13">
        <v>11180</v>
      </c>
      <c r="X40" s="48"/>
      <c r="Y40" s="48"/>
      <c r="Z40" s="48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2" t="s">
        <v>41</v>
      </c>
      <c r="B41" s="13"/>
      <c r="C41" s="13"/>
      <c r="D41" s="13"/>
      <c r="E41" s="13"/>
      <c r="F41" s="13"/>
      <c r="G41" s="13"/>
      <c r="H41" s="14"/>
      <c r="I41" s="14"/>
      <c r="J41" s="14"/>
      <c r="K41" s="14"/>
      <c r="L41" s="13">
        <v>7597</v>
      </c>
      <c r="M41" s="13">
        <v>11616</v>
      </c>
      <c r="N41" s="13">
        <v>6832</v>
      </c>
      <c r="O41" s="13">
        <v>7221</v>
      </c>
      <c r="P41" s="13">
        <v>7143</v>
      </c>
      <c r="Q41" s="13">
        <v>4958</v>
      </c>
      <c r="R41" s="13">
        <v>6416</v>
      </c>
      <c r="S41" s="13">
        <v>7276</v>
      </c>
      <c r="T41" s="13">
        <v>6730</v>
      </c>
      <c r="U41" s="13">
        <v>10421</v>
      </c>
      <c r="V41" s="13">
        <v>6961</v>
      </c>
      <c r="W41" s="13">
        <v>8064</v>
      </c>
      <c r="X41" s="48"/>
      <c r="Y41" s="48"/>
      <c r="Z41" s="48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6" t="s">
        <v>42</v>
      </c>
      <c r="B42" s="17">
        <v>21131625</v>
      </c>
      <c r="C42" s="17">
        <v>960637</v>
      </c>
      <c r="D42" s="17">
        <v>630148</v>
      </c>
      <c r="E42" s="17"/>
      <c r="F42" s="17"/>
      <c r="G42" s="17"/>
      <c r="H42" s="18">
        <v>46.3</v>
      </c>
      <c r="I42" s="18">
        <v>30.4</v>
      </c>
      <c r="J42" s="18"/>
      <c r="K42" s="14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49"/>
      <c r="AA42" s="1"/>
      <c r="AB42" s="70">
        <f>SUM(AB2:AB41)</f>
        <v>21134634</v>
      </c>
      <c r="AC42" s="70">
        <f>SUM(AC2:AC41)</f>
        <v>960662</v>
      </c>
      <c r="AD42" s="70">
        <f>SUM(AD2:AD41)</f>
        <v>630148</v>
      </c>
      <c r="AE42" s="1"/>
      <c r="AF42" s="70">
        <f>AB42-B42</f>
        <v>3009</v>
      </c>
      <c r="AG42" s="70">
        <f>AC42-C42</f>
        <v>25</v>
      </c>
      <c r="AH42" s="70">
        <f>AD42-D42</f>
        <v>0</v>
      </c>
      <c r="AI42" s="1"/>
      <c r="AJ42" s="71">
        <f>C42/B42*1000</f>
        <v>45.45968424103684</v>
      </c>
      <c r="AK42" s="71">
        <f>D42/B42*1000</f>
        <v>29.820139246271879</v>
      </c>
      <c r="AL42" s="1"/>
      <c r="AM42" s="71">
        <f>AJ42-H42</f>
        <v>-0.84031575896315758</v>
      </c>
      <c r="AN42" s="71">
        <f>AK42-I42</f>
        <v>-0.57986075372811996</v>
      </c>
    </row>
    <row r="43" spans="1:40">
      <c r="A43" s="19" t="s">
        <v>43</v>
      </c>
      <c r="B43" s="20">
        <v>526028</v>
      </c>
      <c r="C43" s="20">
        <v>24004</v>
      </c>
      <c r="D43" s="20">
        <v>13630</v>
      </c>
      <c r="E43" s="20"/>
      <c r="F43" s="20"/>
      <c r="G43" s="20"/>
      <c r="H43" s="21">
        <v>45.6</v>
      </c>
      <c r="I43" s="21">
        <v>26</v>
      </c>
      <c r="J43" s="21"/>
      <c r="K43" s="14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45"/>
      <c r="AA43" s="1"/>
      <c r="AB43" s="46">
        <f>B43</f>
        <v>526028</v>
      </c>
      <c r="AC43" s="46">
        <f>C43</f>
        <v>24004</v>
      </c>
      <c r="AD43" s="46">
        <f>D43</f>
        <v>13630</v>
      </c>
      <c r="AE43" s="1"/>
      <c r="AF43" s="68"/>
      <c r="AG43" s="68"/>
      <c r="AH43" s="68"/>
      <c r="AI43" s="1"/>
      <c r="AJ43" s="47">
        <f>C43/B43*1000</f>
        <v>45.632551879367639</v>
      </c>
      <c r="AK43" s="47">
        <f>D43/B43*1000</f>
        <v>25.911168226786408</v>
      </c>
      <c r="AL43" s="1"/>
      <c r="AM43" s="47">
        <f>AJ43-H43</f>
        <v>3.2551879367638037E-2</v>
      </c>
      <c r="AN43" s="47">
        <f>AK43-I43</f>
        <v>-8.8831773213591703E-2</v>
      </c>
    </row>
    <row r="44" spans="1:40">
      <c r="A44" s="19" t="s">
        <v>44</v>
      </c>
      <c r="B44" s="20">
        <v>1425406</v>
      </c>
      <c r="C44" s="20">
        <v>60832</v>
      </c>
      <c r="D44" s="20">
        <v>38126</v>
      </c>
      <c r="E44" s="22" t="s">
        <v>9</v>
      </c>
      <c r="F44" s="22" t="s">
        <v>9</v>
      </c>
      <c r="G44" s="22" t="s">
        <v>9</v>
      </c>
      <c r="H44" s="21">
        <v>42.6</v>
      </c>
      <c r="I44" s="21">
        <v>25</v>
      </c>
      <c r="J44" s="21"/>
      <c r="K44" s="23"/>
      <c r="L44" s="20">
        <v>131045</v>
      </c>
      <c r="M44" s="20">
        <v>112405</v>
      </c>
      <c r="N44" s="20">
        <v>112444</v>
      </c>
      <c r="O44" s="20">
        <v>127558</v>
      </c>
      <c r="P44" s="20">
        <v>96052</v>
      </c>
      <c r="Q44" s="20">
        <v>87354</v>
      </c>
      <c r="R44" s="20">
        <v>94772</v>
      </c>
      <c r="S44" s="20">
        <v>100054</v>
      </c>
      <c r="T44" s="20">
        <v>95289</v>
      </c>
      <c r="U44" s="20">
        <v>103338</v>
      </c>
      <c r="V44" s="20">
        <v>111560</v>
      </c>
      <c r="W44" s="20">
        <v>71953</v>
      </c>
      <c r="X44" s="20">
        <v>52629</v>
      </c>
      <c r="Y44" s="20">
        <v>87079</v>
      </c>
      <c r="Z44" s="45"/>
      <c r="AA44" s="1"/>
      <c r="AB44" s="46">
        <f>SUM(L44:Z44)</f>
        <v>1383532</v>
      </c>
      <c r="AC44" s="46">
        <f>SUM(L45:Z45)</f>
        <v>59690</v>
      </c>
      <c r="AD44" s="46">
        <f>SUM(L46:Z46)</f>
        <v>36777</v>
      </c>
      <c r="AE44" s="1"/>
      <c r="AF44" s="46">
        <f>AB44-B44</f>
        <v>-41874</v>
      </c>
      <c r="AG44" s="46">
        <f>AC44-C44</f>
        <v>-1142</v>
      </c>
      <c r="AH44" s="46">
        <f>AD44-D44</f>
        <v>-1349</v>
      </c>
      <c r="AI44" s="1"/>
      <c r="AJ44" s="47">
        <f>C44/B44*1000</f>
        <v>42.676963615980284</v>
      </c>
      <c r="AK44" s="47">
        <f>D44/B44*1000</f>
        <v>26.747467037461607</v>
      </c>
      <c r="AL44" s="1"/>
      <c r="AM44" s="47">
        <f>AJ44-H44</f>
        <v>7.6963615980282896E-2</v>
      </c>
      <c r="AN44" s="47">
        <f>AK44-I44</f>
        <v>1.7474670374616075</v>
      </c>
    </row>
    <row r="45" spans="1:40">
      <c r="A45" s="12" t="s">
        <v>45</v>
      </c>
      <c r="B45" s="13"/>
      <c r="C45" s="13"/>
      <c r="D45" s="13"/>
      <c r="E45" s="13"/>
      <c r="F45" s="13"/>
      <c r="G45" s="13"/>
      <c r="H45" s="14"/>
      <c r="I45" s="14"/>
      <c r="J45" s="14"/>
      <c r="K45" s="14"/>
      <c r="L45" s="13">
        <v>8445</v>
      </c>
      <c r="M45" s="13">
        <v>5095</v>
      </c>
      <c r="N45" s="13">
        <v>5011</v>
      </c>
      <c r="O45" s="13">
        <v>4529</v>
      </c>
      <c r="P45" s="13">
        <v>3911</v>
      </c>
      <c r="Q45" s="13">
        <v>4404</v>
      </c>
      <c r="R45" s="13">
        <v>4690</v>
      </c>
      <c r="S45" s="13">
        <v>3640</v>
      </c>
      <c r="T45" s="13">
        <v>3704</v>
      </c>
      <c r="U45" s="13">
        <v>3781</v>
      </c>
      <c r="V45" s="13">
        <v>4254</v>
      </c>
      <c r="W45" s="13">
        <v>3243</v>
      </c>
      <c r="X45" s="13">
        <v>2055</v>
      </c>
      <c r="Y45" s="13">
        <v>2928</v>
      </c>
      <c r="Z45" s="48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2" t="s">
        <v>46</v>
      </c>
      <c r="B46" s="13"/>
      <c r="C46" s="13"/>
      <c r="D46" s="13"/>
      <c r="E46" s="13"/>
      <c r="F46" s="13"/>
      <c r="G46" s="13"/>
      <c r="H46" s="14"/>
      <c r="I46" s="14"/>
      <c r="J46" s="14"/>
      <c r="K46" s="14"/>
      <c r="L46" s="13">
        <v>5332</v>
      </c>
      <c r="M46" s="13">
        <v>3001</v>
      </c>
      <c r="N46" s="13">
        <v>3460</v>
      </c>
      <c r="O46" s="13">
        <v>3300</v>
      </c>
      <c r="P46" s="13">
        <v>2105</v>
      </c>
      <c r="Q46" s="13">
        <v>2718</v>
      </c>
      <c r="R46" s="13">
        <v>3010</v>
      </c>
      <c r="S46" s="13">
        <v>1810</v>
      </c>
      <c r="T46" s="13">
        <v>2026</v>
      </c>
      <c r="U46" s="13">
        <v>2379</v>
      </c>
      <c r="V46" s="13">
        <v>2780</v>
      </c>
      <c r="W46" s="13">
        <v>1712</v>
      </c>
      <c r="X46" s="13">
        <v>1541</v>
      </c>
      <c r="Y46" s="13">
        <v>1603</v>
      </c>
      <c r="Z46" s="48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9" t="s">
        <v>47</v>
      </c>
      <c r="B47" s="20">
        <v>934773</v>
      </c>
      <c r="C47" s="20">
        <v>36680</v>
      </c>
      <c r="D47" s="20">
        <v>19974</v>
      </c>
      <c r="E47" s="20">
        <v>68420</v>
      </c>
      <c r="F47" s="20">
        <v>1762</v>
      </c>
      <c r="G47" s="20">
        <v>1203</v>
      </c>
      <c r="H47" s="21">
        <v>39.200000000000003</v>
      </c>
      <c r="I47" s="21">
        <v>27.4</v>
      </c>
      <c r="J47" s="21"/>
      <c r="K47" s="14"/>
      <c r="L47" s="20">
        <v>125137</v>
      </c>
      <c r="M47" s="20">
        <v>145980</v>
      </c>
      <c r="N47" s="20">
        <v>111826</v>
      </c>
      <c r="O47" s="20">
        <v>94037</v>
      </c>
      <c r="P47" s="20">
        <v>124467</v>
      </c>
      <c r="Q47" s="20">
        <v>92257</v>
      </c>
      <c r="R47" s="20">
        <v>134673</v>
      </c>
      <c r="S47" s="20">
        <v>106396</v>
      </c>
      <c r="T47" s="20"/>
      <c r="U47" s="20"/>
      <c r="V47" s="20"/>
      <c r="W47" s="20"/>
      <c r="X47" s="20"/>
      <c r="Y47" s="20"/>
      <c r="Z47" s="45"/>
      <c r="AA47" s="1"/>
      <c r="AB47" s="46">
        <f>SUM(L47:Z47)</f>
        <v>934773</v>
      </c>
      <c r="AC47" s="46">
        <f>SUM(L48:Z48)</f>
        <v>36680</v>
      </c>
      <c r="AD47" s="46">
        <f>SUM(L49:Z49)</f>
        <v>19974</v>
      </c>
      <c r="AE47" s="1"/>
      <c r="AF47" s="46">
        <f>AB47-B47</f>
        <v>0</v>
      </c>
      <c r="AG47" s="46">
        <f>AC47-C47</f>
        <v>0</v>
      </c>
      <c r="AH47" s="46">
        <f>AD47-D47</f>
        <v>0</v>
      </c>
      <c r="AI47" s="1"/>
      <c r="AJ47" s="47">
        <f>C47/B47*1000</f>
        <v>39.239473112723623</v>
      </c>
      <c r="AK47" s="47">
        <f>D47/B47*1000</f>
        <v>21.367754524360461</v>
      </c>
      <c r="AL47" s="1"/>
      <c r="AM47" s="47">
        <f>AJ47-H47</f>
        <v>3.9473112723619863E-2</v>
      </c>
      <c r="AN47" s="47">
        <f>AK47-I47</f>
        <v>-6.0322454756395381</v>
      </c>
    </row>
    <row r="48" spans="1:40">
      <c r="A48" s="12" t="s">
        <v>48</v>
      </c>
      <c r="B48" s="13"/>
      <c r="C48" s="13"/>
      <c r="D48" s="13"/>
      <c r="E48" s="13"/>
      <c r="F48" s="13"/>
      <c r="G48" s="13"/>
      <c r="H48" s="14"/>
      <c r="I48" s="14"/>
      <c r="J48" s="14"/>
      <c r="K48" s="14"/>
      <c r="L48" s="13">
        <v>6321</v>
      </c>
      <c r="M48" s="13">
        <v>5912</v>
      </c>
      <c r="N48" s="13">
        <v>3969</v>
      </c>
      <c r="O48" s="13">
        <v>3237</v>
      </c>
      <c r="P48" s="13">
        <v>4902</v>
      </c>
      <c r="Q48" s="13">
        <v>3918</v>
      </c>
      <c r="R48" s="13">
        <v>4668</v>
      </c>
      <c r="S48" s="13">
        <v>3753</v>
      </c>
      <c r="T48" s="13"/>
      <c r="U48" s="13"/>
      <c r="V48" s="13"/>
      <c r="W48" s="13"/>
      <c r="X48" s="13"/>
      <c r="Y48" s="13"/>
      <c r="Z48" s="48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2" t="s">
        <v>49</v>
      </c>
      <c r="B49" s="13"/>
      <c r="C49" s="13"/>
      <c r="D49" s="13"/>
      <c r="E49" s="13"/>
      <c r="F49" s="13"/>
      <c r="G49" s="13"/>
      <c r="H49" s="14"/>
      <c r="I49" s="14"/>
      <c r="J49" s="14"/>
      <c r="K49" s="14"/>
      <c r="L49" s="13">
        <v>2744</v>
      </c>
      <c r="M49" s="13">
        <v>2992</v>
      </c>
      <c r="N49" s="13">
        <v>2211</v>
      </c>
      <c r="O49" s="13">
        <v>1786</v>
      </c>
      <c r="P49" s="13">
        <v>2830</v>
      </c>
      <c r="Q49" s="13">
        <v>2201</v>
      </c>
      <c r="R49" s="13">
        <v>2544</v>
      </c>
      <c r="S49" s="13">
        <v>2666</v>
      </c>
      <c r="T49" s="13"/>
      <c r="U49" s="13"/>
      <c r="V49" s="13"/>
      <c r="W49" s="13"/>
      <c r="X49" s="13"/>
      <c r="Y49" s="13"/>
      <c r="Z49" s="48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9" t="s">
        <v>50</v>
      </c>
      <c r="B50" s="20">
        <v>821964</v>
      </c>
      <c r="C50" s="20">
        <v>33002</v>
      </c>
      <c r="D50" s="20">
        <v>22516</v>
      </c>
      <c r="E50" s="20">
        <v>59412</v>
      </c>
      <c r="F50" s="20">
        <v>2019</v>
      </c>
      <c r="G50" s="20">
        <v>1915</v>
      </c>
      <c r="H50" s="21">
        <v>40.1</v>
      </c>
      <c r="I50" s="21">
        <v>22.1</v>
      </c>
      <c r="J50" s="21"/>
      <c r="K50" s="14"/>
      <c r="L50" s="20">
        <v>149731</v>
      </c>
      <c r="M50" s="20">
        <v>81284</v>
      </c>
      <c r="N50" s="20">
        <v>83161</v>
      </c>
      <c r="O50" s="20">
        <v>123533</v>
      </c>
      <c r="P50" s="20">
        <v>125229</v>
      </c>
      <c r="Q50" s="20">
        <v>119488</v>
      </c>
      <c r="R50" s="20">
        <v>139530</v>
      </c>
      <c r="S50" s="20"/>
      <c r="T50" s="20"/>
      <c r="U50" s="20"/>
      <c r="V50" s="20"/>
      <c r="W50" s="20"/>
      <c r="X50" s="20"/>
      <c r="Y50" s="20"/>
      <c r="Z50" s="45"/>
      <c r="AA50" s="1"/>
      <c r="AB50" s="46">
        <f>SUM(L50:Z50)</f>
        <v>821956</v>
      </c>
      <c r="AC50" s="46">
        <f>SUM(L51:Z51)</f>
        <v>33002</v>
      </c>
      <c r="AD50" s="46">
        <f>SUM(L52:Z52)</f>
        <v>22522</v>
      </c>
      <c r="AE50" s="1"/>
      <c r="AF50" s="46">
        <f>AB50-B50</f>
        <v>-8</v>
      </c>
      <c r="AG50" s="46">
        <f>AC50-C50</f>
        <v>0</v>
      </c>
      <c r="AH50" s="46">
        <f>AD50-D50</f>
        <v>6</v>
      </c>
      <c r="AI50" s="1"/>
      <c r="AJ50" s="47">
        <f>C50/B50*1000</f>
        <v>40.150176893391922</v>
      </c>
      <c r="AK50" s="47">
        <f>D50/B50*1000</f>
        <v>27.392927184158918</v>
      </c>
      <c r="AL50" s="1"/>
      <c r="AM50" s="47">
        <f>AJ50-H50</f>
        <v>5.0176893391920885E-2</v>
      </c>
      <c r="AN50" s="47">
        <f>AK50-I50</f>
        <v>5.2929271841589163</v>
      </c>
    </row>
    <row r="51" spans="1:40">
      <c r="A51" s="12" t="s">
        <v>51</v>
      </c>
      <c r="B51" s="13"/>
      <c r="C51" s="13"/>
      <c r="D51" s="13"/>
      <c r="E51" s="13"/>
      <c r="F51" s="13"/>
      <c r="G51" s="13"/>
      <c r="H51" s="14"/>
      <c r="I51" s="14"/>
      <c r="J51" s="14"/>
      <c r="K51" s="14"/>
      <c r="L51" s="13">
        <v>6115</v>
      </c>
      <c r="M51" s="13">
        <v>3344</v>
      </c>
      <c r="N51" s="13">
        <v>3540</v>
      </c>
      <c r="O51" s="13">
        <v>5045</v>
      </c>
      <c r="P51" s="13">
        <v>5051</v>
      </c>
      <c r="Q51" s="13">
        <v>4526</v>
      </c>
      <c r="R51" s="13">
        <v>5381</v>
      </c>
      <c r="S51" s="13"/>
      <c r="T51" s="13"/>
      <c r="U51" s="13"/>
      <c r="V51" s="13"/>
      <c r="W51" s="13"/>
      <c r="X51" s="13"/>
      <c r="Y51" s="13"/>
      <c r="Z51" s="48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2" t="s">
        <v>52</v>
      </c>
      <c r="B52" s="13"/>
      <c r="C52" s="13"/>
      <c r="D52" s="13"/>
      <c r="E52" s="13"/>
      <c r="F52" s="13"/>
      <c r="G52" s="13"/>
      <c r="H52" s="14"/>
      <c r="I52" s="14"/>
      <c r="J52" s="14"/>
      <c r="K52" s="14"/>
      <c r="L52" s="13">
        <v>3835</v>
      </c>
      <c r="M52" s="13">
        <v>1945</v>
      </c>
      <c r="N52" s="13">
        <v>1926</v>
      </c>
      <c r="O52" s="13">
        <v>3277</v>
      </c>
      <c r="P52" s="13">
        <v>2830</v>
      </c>
      <c r="Q52" s="13">
        <v>3729</v>
      </c>
      <c r="R52" s="13">
        <v>4980</v>
      </c>
      <c r="S52" s="13"/>
      <c r="T52" s="13"/>
      <c r="U52" s="13"/>
      <c r="V52" s="13"/>
      <c r="W52" s="13"/>
      <c r="X52" s="13"/>
      <c r="Y52" s="13"/>
      <c r="Z52" s="48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9" t="s">
        <v>53</v>
      </c>
      <c r="B53" s="20">
        <v>595435</v>
      </c>
      <c r="C53" s="20">
        <v>22293</v>
      </c>
      <c r="D53" s="20">
        <v>15577</v>
      </c>
      <c r="E53" s="20">
        <v>63675</v>
      </c>
      <c r="F53" s="20">
        <v>1853</v>
      </c>
      <c r="G53" s="20">
        <v>1435</v>
      </c>
      <c r="H53" s="21">
        <v>37.5</v>
      </c>
      <c r="I53" s="21">
        <v>26.2</v>
      </c>
      <c r="J53" s="21"/>
      <c r="K53" s="14"/>
      <c r="L53" s="20">
        <v>113502</v>
      </c>
      <c r="M53" s="20">
        <v>81010</v>
      </c>
      <c r="N53" s="20">
        <v>80878</v>
      </c>
      <c r="O53" s="20">
        <v>66616</v>
      </c>
      <c r="P53" s="20">
        <v>99790</v>
      </c>
      <c r="Q53" s="20">
        <v>82067</v>
      </c>
      <c r="R53" s="20">
        <v>71572</v>
      </c>
      <c r="S53" s="20"/>
      <c r="T53" s="20"/>
      <c r="U53" s="20"/>
      <c r="V53" s="20"/>
      <c r="W53" s="20"/>
      <c r="X53" s="20"/>
      <c r="Y53" s="20"/>
      <c r="Z53" s="45"/>
      <c r="AA53" s="1"/>
      <c r="AB53" s="46">
        <f>SUM(L53:Z53)</f>
        <v>595435</v>
      </c>
      <c r="AC53" s="46">
        <f>SUM(L54:Z54)</f>
        <v>22293</v>
      </c>
      <c r="AD53" s="46">
        <f>SUM(L55:Z55)</f>
        <v>15577</v>
      </c>
      <c r="AE53" s="1"/>
      <c r="AF53" s="46">
        <f>AB53-B53</f>
        <v>0</v>
      </c>
      <c r="AG53" s="46">
        <f>AC53-C53</f>
        <v>0</v>
      </c>
      <c r="AH53" s="46">
        <f>AD53-D53</f>
        <v>0</v>
      </c>
      <c r="AI53" s="1"/>
      <c r="AJ53" s="47">
        <f>C53/B53*1000</f>
        <v>37.439854896000398</v>
      </c>
      <c r="AK53" s="47">
        <f>D53/B53*1000</f>
        <v>26.160706038442484</v>
      </c>
      <c r="AL53" s="1"/>
      <c r="AM53" s="47">
        <f>AJ53-H53</f>
        <v>-6.0145103999602156E-2</v>
      </c>
      <c r="AN53" s="47">
        <f>AK53-I53</f>
        <v>-3.9293961557515189E-2</v>
      </c>
    </row>
    <row r="54" spans="1:40">
      <c r="A54" s="12" t="s">
        <v>54</v>
      </c>
      <c r="B54" s="13"/>
      <c r="C54" s="13"/>
      <c r="D54" s="13"/>
      <c r="E54" s="13"/>
      <c r="F54" s="13"/>
      <c r="G54" s="13"/>
      <c r="H54" s="14"/>
      <c r="I54" s="14"/>
      <c r="J54" s="14"/>
      <c r="K54" s="14"/>
      <c r="L54" s="13">
        <v>4133</v>
      </c>
      <c r="M54" s="13">
        <v>3306</v>
      </c>
      <c r="N54" s="13">
        <v>2394</v>
      </c>
      <c r="O54" s="13">
        <v>2676</v>
      </c>
      <c r="P54" s="13">
        <v>3693</v>
      </c>
      <c r="Q54" s="13">
        <v>3521</v>
      </c>
      <c r="R54" s="13">
        <v>2570</v>
      </c>
      <c r="S54" s="13"/>
      <c r="T54" s="13"/>
      <c r="U54" s="13"/>
      <c r="V54" s="13"/>
      <c r="W54" s="13"/>
      <c r="X54" s="13"/>
      <c r="Y54" s="13"/>
      <c r="Z54" s="48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2" t="s">
        <v>55</v>
      </c>
      <c r="B55" s="13"/>
      <c r="C55" s="13"/>
      <c r="D55" s="13"/>
      <c r="E55" s="13"/>
      <c r="F55" s="13"/>
      <c r="G55" s="13"/>
      <c r="H55" s="14"/>
      <c r="I55" s="14"/>
      <c r="J55" s="14"/>
      <c r="K55" s="14"/>
      <c r="L55" s="13">
        <v>2582</v>
      </c>
      <c r="M55" s="13">
        <v>2416</v>
      </c>
      <c r="N55" s="13">
        <v>2035</v>
      </c>
      <c r="O55" s="13">
        <v>1628</v>
      </c>
      <c r="P55" s="13">
        <v>2774</v>
      </c>
      <c r="Q55" s="13">
        <v>2291</v>
      </c>
      <c r="R55" s="13">
        <v>1851</v>
      </c>
      <c r="S55" s="13"/>
      <c r="T55" s="13"/>
      <c r="U55" s="13"/>
      <c r="V55" s="13"/>
      <c r="W55" s="13"/>
      <c r="X55" s="13"/>
      <c r="Y55" s="13"/>
      <c r="Z55" s="48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9" t="s">
        <v>56</v>
      </c>
      <c r="B56" s="20">
        <v>1153000</v>
      </c>
      <c r="C56" s="20">
        <v>45230</v>
      </c>
      <c r="D56" s="20">
        <v>27760</v>
      </c>
      <c r="E56" s="20">
        <v>130304</v>
      </c>
      <c r="F56" s="20">
        <v>3630</v>
      </c>
      <c r="G56" s="20">
        <v>2578</v>
      </c>
      <c r="H56" s="21">
        <v>39.200000000000003</v>
      </c>
      <c r="I56" s="21">
        <v>24.1</v>
      </c>
      <c r="J56" s="21"/>
      <c r="K56" s="14"/>
      <c r="L56" s="20">
        <v>162440</v>
      </c>
      <c r="M56" s="20">
        <v>102817</v>
      </c>
      <c r="N56" s="20">
        <v>107754</v>
      </c>
      <c r="O56" s="20">
        <v>112461</v>
      </c>
      <c r="P56" s="20">
        <v>100265</v>
      </c>
      <c r="Q56" s="20">
        <v>93740</v>
      </c>
      <c r="R56" s="20">
        <v>131033</v>
      </c>
      <c r="S56" s="20">
        <v>96112</v>
      </c>
      <c r="T56" s="20">
        <v>132740</v>
      </c>
      <c r="U56" s="20">
        <v>113638</v>
      </c>
      <c r="V56" s="20"/>
      <c r="W56" s="20"/>
      <c r="X56" s="20"/>
      <c r="Y56" s="20"/>
      <c r="Z56" s="45"/>
      <c r="AA56" s="1"/>
      <c r="AB56" s="46">
        <f>SUM(L56:Z56)</f>
        <v>1153000</v>
      </c>
      <c r="AC56" s="46">
        <f>SUM(L57:Z57)</f>
        <v>45230</v>
      </c>
      <c r="AD56" s="46">
        <f>SUM(L58:Z58)</f>
        <v>27760</v>
      </c>
      <c r="AE56" s="1"/>
      <c r="AF56" s="46">
        <f>AB56-B56</f>
        <v>0</v>
      </c>
      <c r="AG56" s="46">
        <f>AC56-C56</f>
        <v>0</v>
      </c>
      <c r="AH56" s="46">
        <f>AD56-D56</f>
        <v>0</v>
      </c>
      <c r="AI56" s="1"/>
      <c r="AJ56" s="47">
        <f>C56/B56*1000</f>
        <v>39.228100607111884</v>
      </c>
      <c r="AK56" s="47">
        <f>D56/B56*1000</f>
        <v>24.076322636600171</v>
      </c>
      <c r="AL56" s="1"/>
      <c r="AM56" s="47">
        <f>AJ56-H56</f>
        <v>2.8100607111881004E-2</v>
      </c>
      <c r="AN56" s="47">
        <f>AK56-I56</f>
        <v>-2.3677363399830398E-2</v>
      </c>
    </row>
    <row r="57" spans="1:40">
      <c r="A57" s="12" t="s">
        <v>57</v>
      </c>
      <c r="B57" s="13"/>
      <c r="C57" s="13"/>
      <c r="D57" s="13"/>
      <c r="E57" s="13"/>
      <c r="F57" s="13"/>
      <c r="G57" s="13"/>
      <c r="H57" s="14"/>
      <c r="I57" s="14"/>
      <c r="J57" s="14"/>
      <c r="K57" s="14"/>
      <c r="L57" s="13">
        <v>6018</v>
      </c>
      <c r="M57" s="13">
        <v>3919</v>
      </c>
      <c r="N57" s="13">
        <v>3623</v>
      </c>
      <c r="O57" s="13">
        <v>4005</v>
      </c>
      <c r="P57" s="13">
        <v>3793</v>
      </c>
      <c r="Q57" s="13">
        <v>3723</v>
      </c>
      <c r="R57" s="13">
        <v>5271</v>
      </c>
      <c r="S57" s="13">
        <v>3821</v>
      </c>
      <c r="T57" s="13">
        <v>4660</v>
      </c>
      <c r="U57" s="13">
        <v>6397</v>
      </c>
      <c r="V57" s="13"/>
      <c r="W57" s="13"/>
      <c r="X57" s="13"/>
      <c r="Y57" s="13"/>
      <c r="Z57" s="48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2" t="s">
        <v>58</v>
      </c>
      <c r="B58" s="13"/>
      <c r="C58" s="13"/>
      <c r="D58" s="13"/>
      <c r="E58" s="13"/>
      <c r="F58" s="13"/>
      <c r="G58" s="13"/>
      <c r="H58" s="14"/>
      <c r="I58" s="14"/>
      <c r="J58" s="14"/>
      <c r="K58" s="14"/>
      <c r="L58" s="13">
        <v>3658</v>
      </c>
      <c r="M58" s="13">
        <v>2648</v>
      </c>
      <c r="N58" s="13">
        <v>2374</v>
      </c>
      <c r="O58" s="13">
        <v>2478</v>
      </c>
      <c r="P58" s="13">
        <v>2260</v>
      </c>
      <c r="Q58" s="13">
        <v>2574</v>
      </c>
      <c r="R58" s="13">
        <v>2901</v>
      </c>
      <c r="S58" s="13">
        <v>2383</v>
      </c>
      <c r="T58" s="13">
        <v>2778</v>
      </c>
      <c r="U58" s="13">
        <v>3706</v>
      </c>
      <c r="V58" s="13"/>
      <c r="W58" s="13"/>
      <c r="X58" s="13"/>
      <c r="Y58" s="13"/>
      <c r="Z58" s="48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9" t="s">
        <v>59</v>
      </c>
      <c r="B59" s="20">
        <v>1383047</v>
      </c>
      <c r="C59" s="20">
        <v>55515</v>
      </c>
      <c r="D59" s="20">
        <v>32442</v>
      </c>
      <c r="E59" s="22" t="s">
        <v>9</v>
      </c>
      <c r="F59" s="22" t="s">
        <v>9</v>
      </c>
      <c r="G59" s="22" t="s">
        <v>9</v>
      </c>
      <c r="H59" s="21">
        <v>39.5</v>
      </c>
      <c r="I59" s="21">
        <v>23.1</v>
      </c>
      <c r="J59" s="21"/>
      <c r="K59" s="23"/>
      <c r="L59" s="20">
        <v>185758</v>
      </c>
      <c r="M59" s="20">
        <v>213471</v>
      </c>
      <c r="N59" s="20">
        <v>121354</v>
      </c>
      <c r="O59" s="20">
        <v>139756</v>
      </c>
      <c r="P59" s="20">
        <v>324717</v>
      </c>
      <c r="Q59" s="20">
        <v>151775</v>
      </c>
      <c r="R59" s="20">
        <v>84547</v>
      </c>
      <c r="S59" s="20">
        <v>161669</v>
      </c>
      <c r="T59" s="20"/>
      <c r="U59" s="20"/>
      <c r="V59" s="20"/>
      <c r="W59" s="20"/>
      <c r="X59" s="20"/>
      <c r="Y59" s="20"/>
      <c r="Z59" s="45"/>
      <c r="AA59" s="1"/>
      <c r="AB59" s="46">
        <f>SUM(L59:Z59)</f>
        <v>1383047</v>
      </c>
      <c r="AC59" s="46">
        <f>SUM(L60:Z60)</f>
        <v>55515</v>
      </c>
      <c r="AD59" s="46">
        <f>SUM(L61:Z61)</f>
        <v>32442</v>
      </c>
      <c r="AE59" s="1"/>
      <c r="AF59" s="46">
        <f>AB59-B59</f>
        <v>0</v>
      </c>
      <c r="AG59" s="46">
        <f>AC59-C59</f>
        <v>0</v>
      </c>
      <c r="AH59" s="46">
        <f>AD59-D59</f>
        <v>0</v>
      </c>
      <c r="AI59" s="1"/>
      <c r="AJ59" s="47">
        <f>C59/B59*1000</f>
        <v>40.139633721775184</v>
      </c>
      <c r="AK59" s="47">
        <f>D59/B59*1000</f>
        <v>23.45690348918005</v>
      </c>
      <c r="AL59" s="1"/>
      <c r="AM59" s="47">
        <f>AJ59-H59</f>
        <v>0.63963372177518352</v>
      </c>
      <c r="AN59" s="47">
        <f>AK59-I59</f>
        <v>0.35690348918004844</v>
      </c>
    </row>
    <row r="60" spans="1:40">
      <c r="A60" s="12" t="s">
        <v>60</v>
      </c>
      <c r="B60" s="13"/>
      <c r="C60" s="13"/>
      <c r="D60" s="13"/>
      <c r="E60" s="13"/>
      <c r="F60" s="13"/>
      <c r="G60" s="13"/>
      <c r="H60" s="14"/>
      <c r="I60" s="14"/>
      <c r="J60" s="14"/>
      <c r="K60" s="14"/>
      <c r="L60" s="13">
        <v>6832</v>
      </c>
      <c r="M60" s="13">
        <v>10555</v>
      </c>
      <c r="N60" s="13">
        <v>4234</v>
      </c>
      <c r="O60" s="13">
        <v>5438</v>
      </c>
      <c r="P60" s="13">
        <v>11707</v>
      </c>
      <c r="Q60" s="13">
        <v>6045</v>
      </c>
      <c r="R60" s="13">
        <v>3158</v>
      </c>
      <c r="S60" s="13">
        <v>7546</v>
      </c>
      <c r="T60" s="13"/>
      <c r="U60" s="13"/>
      <c r="V60" s="13"/>
      <c r="W60" s="13"/>
      <c r="X60" s="13"/>
      <c r="Y60" s="13"/>
      <c r="Z60" s="48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2" t="s">
        <v>61</v>
      </c>
      <c r="B61" s="13"/>
      <c r="C61" s="13"/>
      <c r="D61" s="13"/>
      <c r="E61" s="13"/>
      <c r="F61" s="13"/>
      <c r="G61" s="13"/>
      <c r="H61" s="14"/>
      <c r="I61" s="14"/>
      <c r="J61" s="14"/>
      <c r="K61" s="14"/>
      <c r="L61" s="13">
        <v>3710</v>
      </c>
      <c r="M61" s="13">
        <v>5741</v>
      </c>
      <c r="N61" s="13">
        <v>2462</v>
      </c>
      <c r="O61" s="13">
        <v>2704</v>
      </c>
      <c r="P61" s="13">
        <v>8149</v>
      </c>
      <c r="Q61" s="13">
        <v>3164</v>
      </c>
      <c r="R61" s="13">
        <v>2581</v>
      </c>
      <c r="S61" s="13">
        <v>3931</v>
      </c>
      <c r="T61" s="13"/>
      <c r="U61" s="13"/>
      <c r="V61" s="13"/>
      <c r="W61" s="13"/>
      <c r="X61" s="13"/>
      <c r="Y61" s="13"/>
      <c r="Z61" s="48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9" t="s">
        <v>62</v>
      </c>
      <c r="B62" s="20">
        <v>622390</v>
      </c>
      <c r="C62" s="20">
        <v>20971</v>
      </c>
      <c r="D62" s="20">
        <v>13726</v>
      </c>
      <c r="E62" s="22" t="s">
        <v>9</v>
      </c>
      <c r="F62" s="22" t="s">
        <v>9</v>
      </c>
      <c r="G62" s="22" t="s">
        <v>9</v>
      </c>
      <c r="H62" s="21">
        <v>34.1</v>
      </c>
      <c r="I62" s="21">
        <v>22.3</v>
      </c>
      <c r="J62" s="21"/>
      <c r="K62" s="23"/>
      <c r="L62" s="20">
        <v>112629</v>
      </c>
      <c r="M62" s="20">
        <v>103854</v>
      </c>
      <c r="N62" s="20">
        <v>94930</v>
      </c>
      <c r="O62" s="20">
        <v>75237</v>
      </c>
      <c r="P62" s="20">
        <v>61111</v>
      </c>
      <c r="Q62" s="20">
        <v>77630</v>
      </c>
      <c r="R62" s="20">
        <v>77005</v>
      </c>
      <c r="S62" s="20"/>
      <c r="T62" s="20"/>
      <c r="U62" s="20"/>
      <c r="V62" s="20"/>
      <c r="W62" s="20"/>
      <c r="X62" s="20"/>
      <c r="Y62" s="20"/>
      <c r="Z62" s="45"/>
      <c r="AA62" s="1"/>
      <c r="AB62" s="46">
        <f>SUM(L62:Z62)</f>
        <v>602396</v>
      </c>
      <c r="AC62" s="46">
        <f>SUM(L63:Z63)</f>
        <v>20971</v>
      </c>
      <c r="AD62" s="46">
        <f>SUM(L64:Z64)</f>
        <v>13726</v>
      </c>
      <c r="AE62" s="1"/>
      <c r="AF62" s="46">
        <f>AB62-B62</f>
        <v>-19994</v>
      </c>
      <c r="AG62" s="46">
        <f>AC62-C62</f>
        <v>0</v>
      </c>
      <c r="AH62" s="46">
        <f>AD62-D62</f>
        <v>0</v>
      </c>
      <c r="AI62" s="1"/>
      <c r="AJ62" s="47">
        <f>C62/B62*1000</f>
        <v>33.694307427818572</v>
      </c>
      <c r="AK62" s="47">
        <f>D62/B62*1000</f>
        <v>22.053696235479364</v>
      </c>
      <c r="AL62" s="1"/>
      <c r="AM62" s="47">
        <f>AJ62-H62</f>
        <v>-0.40569257218142951</v>
      </c>
      <c r="AN62" s="47">
        <f>AK62-I62</f>
        <v>-0.24630376452063629</v>
      </c>
    </row>
    <row r="63" spans="1:40">
      <c r="A63" s="12" t="s">
        <v>63</v>
      </c>
      <c r="B63" s="13"/>
      <c r="C63" s="13"/>
      <c r="D63" s="13"/>
      <c r="E63" s="13"/>
      <c r="F63" s="13"/>
      <c r="G63" s="13"/>
      <c r="H63" s="14"/>
      <c r="I63" s="14"/>
      <c r="J63" s="14"/>
      <c r="K63" s="14"/>
      <c r="L63" s="13">
        <v>3352</v>
      </c>
      <c r="M63" s="13">
        <v>3486</v>
      </c>
      <c r="N63" s="13">
        <v>3327</v>
      </c>
      <c r="O63" s="13">
        <v>2986</v>
      </c>
      <c r="P63" s="13">
        <v>3045</v>
      </c>
      <c r="Q63" s="13">
        <v>2748</v>
      </c>
      <c r="R63" s="13">
        <v>2027</v>
      </c>
      <c r="S63" s="13"/>
      <c r="T63" s="13"/>
      <c r="U63" s="13"/>
      <c r="V63" s="13"/>
      <c r="W63" s="13"/>
      <c r="X63" s="13"/>
      <c r="Y63" s="13"/>
      <c r="Z63" s="48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2" t="s">
        <v>64</v>
      </c>
      <c r="B64" s="13"/>
      <c r="C64" s="13"/>
      <c r="D64" s="13"/>
      <c r="E64" s="13"/>
      <c r="F64" s="13"/>
      <c r="G64" s="13"/>
      <c r="H64" s="14"/>
      <c r="I64" s="14"/>
      <c r="J64" s="14"/>
      <c r="K64" s="14"/>
      <c r="L64" s="13">
        <v>2368</v>
      </c>
      <c r="M64" s="13">
        <v>2258</v>
      </c>
      <c r="N64" s="13">
        <v>2288</v>
      </c>
      <c r="O64" s="13">
        <v>1834</v>
      </c>
      <c r="P64" s="13">
        <v>1846</v>
      </c>
      <c r="Q64" s="13">
        <v>2040</v>
      </c>
      <c r="R64" s="13">
        <v>1092</v>
      </c>
      <c r="S64" s="13"/>
      <c r="T64" s="13"/>
      <c r="U64" s="13"/>
      <c r="V64" s="13"/>
      <c r="W64" s="13"/>
      <c r="X64" s="13"/>
      <c r="Y64" s="13"/>
      <c r="Z64" s="48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9" t="s">
        <v>65</v>
      </c>
      <c r="B65" s="20">
        <v>851684</v>
      </c>
      <c r="C65" s="20">
        <v>33420</v>
      </c>
      <c r="D65" s="20">
        <v>21114</v>
      </c>
      <c r="E65" s="20">
        <v>58745</v>
      </c>
      <c r="F65" s="20">
        <v>1842</v>
      </c>
      <c r="G65" s="20">
        <v>1928</v>
      </c>
      <c r="H65" s="21">
        <v>39.299999999999997</v>
      </c>
      <c r="I65" s="21">
        <v>24.8</v>
      </c>
      <c r="J65" s="21"/>
      <c r="K65" s="14"/>
      <c r="L65" s="20">
        <v>150600</v>
      </c>
      <c r="M65" s="20">
        <v>111063</v>
      </c>
      <c r="N65" s="20">
        <v>116108</v>
      </c>
      <c r="O65" s="20">
        <v>125782</v>
      </c>
      <c r="P65" s="20">
        <v>121265</v>
      </c>
      <c r="Q65" s="20">
        <v>115610</v>
      </c>
      <c r="R65" s="20">
        <v>111256</v>
      </c>
      <c r="S65" s="20"/>
      <c r="T65" s="20"/>
      <c r="U65" s="20"/>
      <c r="V65" s="20"/>
      <c r="W65" s="20"/>
      <c r="X65" s="20"/>
      <c r="Y65" s="20"/>
      <c r="Z65" s="45"/>
      <c r="AA65" s="1"/>
      <c r="AB65" s="46">
        <f>SUM(L65:Z65)</f>
        <v>851684</v>
      </c>
      <c r="AC65" s="46">
        <f>SUM(L66:Z66)</f>
        <v>33420</v>
      </c>
      <c r="AD65" s="46">
        <f>SUM(L67:Z67)</f>
        <v>21114</v>
      </c>
      <c r="AE65" s="1"/>
      <c r="AF65" s="46">
        <f>AB65-B65</f>
        <v>0</v>
      </c>
      <c r="AG65" s="46">
        <f>AC65-C65</f>
        <v>0</v>
      </c>
      <c r="AH65" s="46">
        <f>AD65-D65</f>
        <v>0</v>
      </c>
      <c r="AI65" s="1"/>
      <c r="AJ65" s="47">
        <f>C65/B65*1000</f>
        <v>39.239905880584821</v>
      </c>
      <c r="AK65" s="47">
        <f>D65/B65*1000</f>
        <v>24.790884882186351</v>
      </c>
      <c r="AL65" s="1"/>
      <c r="AM65" s="47">
        <f>AJ65-H65</f>
        <v>-6.009411941517584E-2</v>
      </c>
      <c r="AN65" s="47">
        <f>AK65-I65</f>
        <v>-9.1151178136499311E-3</v>
      </c>
    </row>
    <row r="66" spans="1:40">
      <c r="A66" s="12" t="s">
        <v>66</v>
      </c>
      <c r="B66" s="13"/>
      <c r="C66" s="13"/>
      <c r="D66" s="13"/>
      <c r="E66" s="13"/>
      <c r="F66" s="13"/>
      <c r="G66" s="13"/>
      <c r="H66" s="14"/>
      <c r="I66" s="14"/>
      <c r="J66" s="14"/>
      <c r="K66" s="14"/>
      <c r="L66" s="13">
        <v>5763</v>
      </c>
      <c r="M66" s="13">
        <v>3978</v>
      </c>
      <c r="N66" s="13">
        <v>4360</v>
      </c>
      <c r="O66" s="13">
        <v>6499</v>
      </c>
      <c r="P66" s="13">
        <v>4308</v>
      </c>
      <c r="Q66" s="13">
        <v>4208</v>
      </c>
      <c r="R66" s="13">
        <v>4304</v>
      </c>
      <c r="S66" s="13"/>
      <c r="T66" s="13"/>
      <c r="U66" s="13"/>
      <c r="V66" s="13"/>
      <c r="W66" s="13"/>
      <c r="X66" s="13"/>
      <c r="Y66" s="13"/>
      <c r="Z66" s="48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2" t="s">
        <v>67</v>
      </c>
      <c r="B67" s="13"/>
      <c r="C67" s="13"/>
      <c r="D67" s="13"/>
      <c r="E67" s="13"/>
      <c r="F67" s="13"/>
      <c r="G67" s="13"/>
      <c r="H67" s="14"/>
      <c r="I67" s="14"/>
      <c r="J67" s="14"/>
      <c r="K67" s="14"/>
      <c r="L67" s="13">
        <v>4507</v>
      </c>
      <c r="M67" s="13">
        <v>2715</v>
      </c>
      <c r="N67" s="13">
        <v>2607</v>
      </c>
      <c r="O67" s="13">
        <v>3725</v>
      </c>
      <c r="P67" s="13">
        <v>1530</v>
      </c>
      <c r="Q67" s="13">
        <v>3145</v>
      </c>
      <c r="R67" s="13">
        <v>2885</v>
      </c>
      <c r="S67" s="13"/>
      <c r="T67" s="13"/>
      <c r="U67" s="13"/>
      <c r="V67" s="13"/>
      <c r="W67" s="13"/>
      <c r="X67" s="13"/>
      <c r="Y67" s="13"/>
      <c r="Z67" s="48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9" t="s">
        <v>68</v>
      </c>
      <c r="B68" s="20">
        <v>615968</v>
      </c>
      <c r="C68" s="20">
        <v>21767</v>
      </c>
      <c r="D68" s="20">
        <v>16281</v>
      </c>
      <c r="E68" s="20">
        <v>63619</v>
      </c>
      <c r="F68" s="20">
        <v>1106</v>
      </c>
      <c r="G68" s="20">
        <v>950</v>
      </c>
      <c r="H68" s="21">
        <v>35.299999999999997</v>
      </c>
      <c r="I68" s="21">
        <v>26.4</v>
      </c>
      <c r="J68" s="21"/>
      <c r="K68" s="14"/>
      <c r="L68" s="20">
        <v>92510</v>
      </c>
      <c r="M68" s="20">
        <v>78034</v>
      </c>
      <c r="N68" s="20">
        <v>80434</v>
      </c>
      <c r="O68" s="20">
        <v>78863</v>
      </c>
      <c r="P68" s="20">
        <v>79097</v>
      </c>
      <c r="Q68" s="20">
        <v>118594</v>
      </c>
      <c r="R68" s="20">
        <v>88436</v>
      </c>
      <c r="S68" s="20"/>
      <c r="T68" s="20"/>
      <c r="U68" s="20"/>
      <c r="V68" s="20"/>
      <c r="W68" s="20"/>
      <c r="X68" s="20"/>
      <c r="Y68" s="20"/>
      <c r="Z68" s="45"/>
      <c r="AA68" s="1"/>
      <c r="AB68" s="46">
        <f>SUM(L68:Z68)</f>
        <v>615968</v>
      </c>
      <c r="AC68" s="46">
        <f>SUM(L69:Z69)</f>
        <v>21767</v>
      </c>
      <c r="AD68" s="46">
        <f>SUM(L70:Z70)</f>
        <v>16281</v>
      </c>
      <c r="AE68" s="1"/>
      <c r="AF68" s="46">
        <f>AB68-B68</f>
        <v>0</v>
      </c>
      <c r="AG68" s="46">
        <f>AC68-C68</f>
        <v>0</v>
      </c>
      <c r="AH68" s="46">
        <f>AD68-D68</f>
        <v>0</v>
      </c>
      <c r="AI68" s="1"/>
      <c r="AJ68" s="47">
        <f>C68/B68*1000</f>
        <v>35.337874694789342</v>
      </c>
      <c r="AK68" s="47">
        <f>D68/B68*1000</f>
        <v>26.431567873655776</v>
      </c>
      <c r="AL68" s="1"/>
      <c r="AM68" s="47">
        <f>AJ68-H68</f>
        <v>3.7874694789344687E-2</v>
      </c>
      <c r="AN68" s="47">
        <f>AK68-I68</f>
        <v>3.1567873655777845E-2</v>
      </c>
    </row>
    <row r="69" spans="1:40">
      <c r="A69" s="12" t="s">
        <v>69</v>
      </c>
      <c r="B69" s="13"/>
      <c r="C69" s="13"/>
      <c r="D69" s="13"/>
      <c r="E69" s="13"/>
      <c r="F69" s="13"/>
      <c r="G69" s="13"/>
      <c r="H69" s="14"/>
      <c r="I69" s="14"/>
      <c r="J69" s="14"/>
      <c r="K69" s="14"/>
      <c r="L69" s="13">
        <v>3282</v>
      </c>
      <c r="M69" s="13">
        <v>2178</v>
      </c>
      <c r="N69" s="13">
        <v>2836</v>
      </c>
      <c r="O69" s="13">
        <v>3052</v>
      </c>
      <c r="P69" s="13">
        <v>3068</v>
      </c>
      <c r="Q69" s="84">
        <v>3822</v>
      </c>
      <c r="R69" s="13">
        <v>3529</v>
      </c>
      <c r="S69" s="13"/>
      <c r="T69" s="13"/>
      <c r="U69" s="13"/>
      <c r="V69" s="13"/>
      <c r="W69" s="13"/>
      <c r="X69" s="13"/>
      <c r="Y69" s="13"/>
      <c r="Z69" s="48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2" t="s">
        <v>70</v>
      </c>
      <c r="B70" s="13"/>
      <c r="C70" s="13"/>
      <c r="D70" s="13"/>
      <c r="E70" s="13"/>
      <c r="F70" s="13"/>
      <c r="G70" s="13"/>
      <c r="H70" s="14"/>
      <c r="I70" s="14"/>
      <c r="J70" s="14"/>
      <c r="K70" s="14"/>
      <c r="L70" s="13">
        <v>2257</v>
      </c>
      <c r="M70" s="13">
        <v>1629</v>
      </c>
      <c r="N70" s="13">
        <v>2164</v>
      </c>
      <c r="O70" s="13">
        <v>2090</v>
      </c>
      <c r="P70" s="13">
        <v>2436</v>
      </c>
      <c r="Q70" s="84">
        <v>2820</v>
      </c>
      <c r="R70" s="13">
        <v>2885</v>
      </c>
      <c r="S70" s="13"/>
      <c r="T70" s="13"/>
      <c r="U70" s="13"/>
      <c r="V70" s="13"/>
      <c r="W70" s="13"/>
      <c r="X70" s="13"/>
      <c r="Y70" s="13"/>
      <c r="Z70" s="4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9" t="s">
        <v>71</v>
      </c>
      <c r="B71" s="20">
        <v>788303</v>
      </c>
      <c r="C71" s="20">
        <v>30996</v>
      </c>
      <c r="D71" s="20">
        <v>18683</v>
      </c>
      <c r="E71" s="20">
        <v>76254</v>
      </c>
      <c r="F71" s="20">
        <v>2456</v>
      </c>
      <c r="G71" s="20">
        <v>1310</v>
      </c>
      <c r="H71" s="21">
        <v>39.9</v>
      </c>
      <c r="I71" s="21">
        <v>24.1</v>
      </c>
      <c r="J71" s="21"/>
      <c r="K71" s="14"/>
      <c r="L71" s="20">
        <v>82707</v>
      </c>
      <c r="M71" s="20">
        <v>81278</v>
      </c>
      <c r="N71" s="20">
        <v>77953</v>
      </c>
      <c r="O71" s="20">
        <v>95163</v>
      </c>
      <c r="P71" s="20">
        <v>124289</v>
      </c>
      <c r="Q71" s="20">
        <v>66080</v>
      </c>
      <c r="R71" s="20">
        <v>104498</v>
      </c>
      <c r="S71" s="20">
        <v>83608</v>
      </c>
      <c r="T71" s="20">
        <v>72727</v>
      </c>
      <c r="U71" s="20"/>
      <c r="V71" s="20"/>
      <c r="W71" s="20"/>
      <c r="X71" s="20"/>
      <c r="Y71" s="20"/>
      <c r="Z71" s="45"/>
      <c r="AA71" s="1"/>
      <c r="AB71" s="46">
        <f>SUM(L71:Z71)</f>
        <v>788303</v>
      </c>
      <c r="AC71" s="46">
        <f>SUM(L72:Z72)</f>
        <v>30996</v>
      </c>
      <c r="AD71" s="46">
        <f>SUM(L73:Z73)</f>
        <v>18783</v>
      </c>
      <c r="AE71" s="1"/>
      <c r="AF71" s="46">
        <f>AB71-B71</f>
        <v>0</v>
      </c>
      <c r="AG71" s="46">
        <f>AC71-C71</f>
        <v>0</v>
      </c>
      <c r="AH71" s="46">
        <f>AD71-D71</f>
        <v>100</v>
      </c>
      <c r="AI71" s="1"/>
      <c r="AJ71" s="47">
        <f>C71/B71*1000</f>
        <v>39.319906178208122</v>
      </c>
      <c r="AK71" s="47">
        <f>D71/B71*1000</f>
        <v>23.700277685103316</v>
      </c>
      <c r="AL71" s="1"/>
      <c r="AM71" s="47">
        <f>AJ71-H71</f>
        <v>-0.58009382179187696</v>
      </c>
      <c r="AN71" s="47">
        <f>AK71-I71</f>
        <v>-0.3997223148966853</v>
      </c>
    </row>
    <row r="72" spans="1:40">
      <c r="A72" s="12" t="s">
        <v>72</v>
      </c>
      <c r="B72" s="13"/>
      <c r="C72" s="13"/>
      <c r="D72" s="13"/>
      <c r="E72" s="13"/>
      <c r="F72" s="13"/>
      <c r="G72" s="13"/>
      <c r="H72" s="14"/>
      <c r="I72" s="14"/>
      <c r="J72" s="14"/>
      <c r="K72" s="14"/>
      <c r="L72" s="13">
        <v>2953</v>
      </c>
      <c r="M72" s="13">
        <v>3711</v>
      </c>
      <c r="N72" s="13">
        <v>2649</v>
      </c>
      <c r="O72" s="13">
        <v>4028</v>
      </c>
      <c r="P72" s="13">
        <v>5178</v>
      </c>
      <c r="Q72" s="13">
        <v>1891</v>
      </c>
      <c r="R72" s="13">
        <v>4730</v>
      </c>
      <c r="S72" s="13">
        <v>3573</v>
      </c>
      <c r="T72" s="13">
        <v>2283</v>
      </c>
      <c r="U72" s="13"/>
      <c r="V72" s="13"/>
      <c r="W72" s="13"/>
      <c r="X72" s="13"/>
      <c r="Y72" s="13"/>
      <c r="Z72" s="48"/>
      <c r="AA72" s="1"/>
      <c r="AB72" s="66"/>
      <c r="AC72" s="66"/>
      <c r="AD72" s="66"/>
      <c r="AE72" s="1"/>
      <c r="AF72" s="66"/>
      <c r="AG72" s="66"/>
      <c r="AH72" s="66"/>
      <c r="AI72" s="1"/>
      <c r="AJ72" s="67"/>
      <c r="AK72" s="67"/>
      <c r="AL72" s="1"/>
      <c r="AM72" s="67"/>
      <c r="AN72" s="67"/>
    </row>
    <row r="73" spans="1:40">
      <c r="A73" s="12" t="s">
        <v>73</v>
      </c>
      <c r="B73" s="13"/>
      <c r="C73" s="13"/>
      <c r="D73" s="13"/>
      <c r="E73" s="13"/>
      <c r="F73" s="13"/>
      <c r="G73" s="13"/>
      <c r="H73" s="14"/>
      <c r="I73" s="14"/>
      <c r="J73" s="14"/>
      <c r="K73" s="14"/>
      <c r="L73" s="13">
        <v>1669</v>
      </c>
      <c r="M73" s="13">
        <v>2156</v>
      </c>
      <c r="N73" s="13">
        <v>1403</v>
      </c>
      <c r="O73" s="13">
        <v>2866</v>
      </c>
      <c r="P73" s="13">
        <v>3137</v>
      </c>
      <c r="Q73" s="13">
        <v>1181</v>
      </c>
      <c r="R73" s="13">
        <v>2525</v>
      </c>
      <c r="S73" s="13">
        <v>2422</v>
      </c>
      <c r="T73" s="13">
        <v>1424</v>
      </c>
      <c r="U73" s="13"/>
      <c r="V73" s="13"/>
      <c r="W73" s="13"/>
      <c r="X73" s="13"/>
      <c r="Y73" s="13"/>
      <c r="Z73" s="48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6" t="s">
        <v>74</v>
      </c>
      <c r="B74" s="17">
        <v>9717998</v>
      </c>
      <c r="C74" s="17">
        <v>384710</v>
      </c>
      <c r="D74" s="17">
        <v>239809</v>
      </c>
      <c r="E74" s="17"/>
      <c r="F74" s="17"/>
      <c r="G74" s="17"/>
      <c r="H74" s="18">
        <v>37.700000000000003</v>
      </c>
      <c r="I74" s="18">
        <v>23.9</v>
      </c>
      <c r="J74" s="18"/>
      <c r="K74" s="14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49"/>
      <c r="AA74" s="1"/>
      <c r="AB74" s="70">
        <f>SUM(AB43:AB73)</f>
        <v>9656122</v>
      </c>
      <c r="AC74" s="70">
        <f>SUM(AC43:AC73)</f>
        <v>383568</v>
      </c>
      <c r="AD74" s="70">
        <f>SUM(AD43:AD73)</f>
        <v>238586</v>
      </c>
      <c r="AE74" s="1"/>
      <c r="AF74" s="70">
        <f>AB74-B74</f>
        <v>-61876</v>
      </c>
      <c r="AG74" s="70">
        <f>AC74-C74</f>
        <v>-1142</v>
      </c>
      <c r="AH74" s="70">
        <f>AD74-D74</f>
        <v>-1223</v>
      </c>
      <c r="AI74" s="1"/>
      <c r="AJ74" s="71">
        <f>C74/B74*1000</f>
        <v>39.587371802299195</v>
      </c>
      <c r="AK74" s="71">
        <f>D74/B74*1000</f>
        <v>24.67679042535304</v>
      </c>
      <c r="AL74" s="1"/>
      <c r="AM74" s="71">
        <f>AJ74-H74</f>
        <v>1.8873718022991923</v>
      </c>
      <c r="AN74" s="71">
        <f>AK74-I74</f>
        <v>0.77679042535304177</v>
      </c>
    </row>
    <row r="75" spans="1:40">
      <c r="A75" s="19" t="s">
        <v>75</v>
      </c>
      <c r="B75" s="20">
        <v>739610</v>
      </c>
      <c r="C75" s="20">
        <v>19246</v>
      </c>
      <c r="D75" s="20">
        <v>13253</v>
      </c>
      <c r="E75" s="20">
        <v>122966</v>
      </c>
      <c r="F75" s="20">
        <v>4044</v>
      </c>
      <c r="G75" s="20">
        <v>3290</v>
      </c>
      <c r="H75" s="21">
        <v>26.2</v>
      </c>
      <c r="I75" s="21">
        <v>18.100000000000001</v>
      </c>
      <c r="J75" s="21"/>
      <c r="K75" s="14"/>
      <c r="L75" s="20">
        <v>109158</v>
      </c>
      <c r="M75" s="20">
        <v>60416</v>
      </c>
      <c r="N75" s="20">
        <v>52485</v>
      </c>
      <c r="O75" s="20">
        <v>62921</v>
      </c>
      <c r="P75" s="20">
        <v>76480</v>
      </c>
      <c r="Q75" s="20">
        <v>97404</v>
      </c>
      <c r="R75" s="20">
        <v>80511</v>
      </c>
      <c r="S75" s="20">
        <v>72747</v>
      </c>
      <c r="T75" s="20">
        <v>55280</v>
      </c>
      <c r="U75" s="20">
        <v>72208</v>
      </c>
      <c r="V75" s="20"/>
      <c r="W75" s="20"/>
      <c r="X75" s="20"/>
      <c r="Y75" s="20"/>
      <c r="Z75" s="45"/>
      <c r="AA75" s="1"/>
      <c r="AB75" s="46">
        <f>SUM(L75:Z75)</f>
        <v>739610</v>
      </c>
      <c r="AC75" s="46">
        <f>SUM(L76:Z76)</f>
        <v>19246</v>
      </c>
      <c r="AD75" s="46">
        <f>SUM(L77:Z77)</f>
        <v>13253</v>
      </c>
      <c r="AE75" s="1"/>
      <c r="AF75" s="46">
        <f>AB75-B75</f>
        <v>0</v>
      </c>
      <c r="AG75" s="46">
        <f>AC75-C75</f>
        <v>0</v>
      </c>
      <c r="AH75" s="46">
        <f>AD75-D75</f>
        <v>0</v>
      </c>
      <c r="AI75" s="1"/>
      <c r="AJ75" s="47">
        <f>C75/B75*1000</f>
        <v>26.0218223117589</v>
      </c>
      <c r="AK75" s="47">
        <f>D75/B75*1000</f>
        <v>17.918903205743568</v>
      </c>
      <c r="AL75" s="1"/>
      <c r="AM75" s="47">
        <f>AJ75-H75</f>
        <v>-0.17817768824109947</v>
      </c>
      <c r="AN75" s="47">
        <f>AK75-I75</f>
        <v>-0.18109679425643321</v>
      </c>
    </row>
    <row r="76" spans="1:40">
      <c r="A76" s="12" t="s">
        <v>76</v>
      </c>
      <c r="B76" s="13"/>
      <c r="C76" s="13"/>
      <c r="D76" s="13"/>
      <c r="E76" s="13"/>
      <c r="F76" s="13"/>
      <c r="G76" s="13"/>
      <c r="H76" s="14"/>
      <c r="I76" s="14"/>
      <c r="J76" s="14"/>
      <c r="K76" s="14"/>
      <c r="L76" s="13">
        <v>2480</v>
      </c>
      <c r="M76" s="13">
        <v>1328</v>
      </c>
      <c r="N76" s="13">
        <v>1335</v>
      </c>
      <c r="O76" s="13">
        <v>1624</v>
      </c>
      <c r="P76" s="13">
        <v>2033</v>
      </c>
      <c r="Q76" s="13">
        <v>3696</v>
      </c>
      <c r="R76" s="13">
        <v>2050</v>
      </c>
      <c r="S76" s="13">
        <v>1670</v>
      </c>
      <c r="T76" s="13">
        <v>1239</v>
      </c>
      <c r="U76" s="13">
        <v>1791</v>
      </c>
      <c r="V76" s="13"/>
      <c r="W76" s="13"/>
      <c r="X76" s="13"/>
      <c r="Y76" s="13"/>
      <c r="Z76" s="48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2" t="s">
        <v>77</v>
      </c>
      <c r="B77" s="13"/>
      <c r="C77" s="13"/>
      <c r="D77" s="13"/>
      <c r="E77" s="13"/>
      <c r="F77" s="13"/>
      <c r="G77" s="13"/>
      <c r="H77" s="14"/>
      <c r="I77" s="14"/>
      <c r="J77" s="14"/>
      <c r="K77" s="14"/>
      <c r="L77" s="13">
        <v>1945</v>
      </c>
      <c r="M77" s="13">
        <v>1138</v>
      </c>
      <c r="N77" s="13">
        <v>1031</v>
      </c>
      <c r="O77" s="13">
        <v>390</v>
      </c>
      <c r="P77" s="13">
        <v>1446</v>
      </c>
      <c r="Q77" s="13">
        <v>2567</v>
      </c>
      <c r="R77" s="13">
        <v>1420</v>
      </c>
      <c r="S77" s="13">
        <v>1119</v>
      </c>
      <c r="T77" s="13">
        <v>827</v>
      </c>
      <c r="U77" s="13">
        <v>1370</v>
      </c>
      <c r="V77" s="13"/>
      <c r="W77" s="13"/>
      <c r="X77" s="13"/>
      <c r="Y77" s="13"/>
      <c r="Z77" s="48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9" t="s">
        <v>78</v>
      </c>
      <c r="B78" s="20">
        <v>1306412</v>
      </c>
      <c r="C78" s="20">
        <v>35501</v>
      </c>
      <c r="D78" s="20">
        <v>24900</v>
      </c>
      <c r="E78" s="22" t="s">
        <v>9</v>
      </c>
      <c r="F78" s="22" t="s">
        <v>9</v>
      </c>
      <c r="G78" s="22" t="s">
        <v>9</v>
      </c>
      <c r="H78" s="21">
        <v>27.2</v>
      </c>
      <c r="I78" s="21">
        <v>19.100000000000001</v>
      </c>
      <c r="J78" s="21"/>
      <c r="K78" s="23"/>
      <c r="L78" s="20">
        <v>332362</v>
      </c>
      <c r="M78" s="20">
        <v>126553</v>
      </c>
      <c r="N78" s="20">
        <v>137971</v>
      </c>
      <c r="O78" s="20">
        <v>105717</v>
      </c>
      <c r="P78" s="20">
        <v>127433</v>
      </c>
      <c r="Q78" s="20">
        <v>106372</v>
      </c>
      <c r="R78" s="20">
        <v>104813</v>
      </c>
      <c r="S78" s="20">
        <v>62918</v>
      </c>
      <c r="T78" s="20">
        <v>202273</v>
      </c>
      <c r="U78" s="20"/>
      <c r="V78" s="20"/>
      <c r="W78" s="20"/>
      <c r="X78" s="20"/>
      <c r="Y78" s="20"/>
      <c r="Z78" s="45"/>
      <c r="AA78" s="1"/>
      <c r="AB78" s="46">
        <f>SUM(L78:Z78)</f>
        <v>1306412</v>
      </c>
      <c r="AC78" s="46">
        <f>SUM(L79:Z79)</f>
        <v>35501</v>
      </c>
      <c r="AD78" s="46">
        <f>SUM(L80:Z80)</f>
        <v>24900</v>
      </c>
      <c r="AE78" s="1"/>
      <c r="AF78" s="46">
        <f>AB78-B78</f>
        <v>0</v>
      </c>
      <c r="AG78" s="46">
        <f>AC78-C78</f>
        <v>0</v>
      </c>
      <c r="AH78" s="46">
        <f>AD78-D78</f>
        <v>0</v>
      </c>
      <c r="AI78" s="1"/>
      <c r="AJ78" s="47">
        <f>C78/B78*1000</f>
        <v>27.174428893794609</v>
      </c>
      <c r="AK78" s="47">
        <f>D78/B78*1000</f>
        <v>19.059837172346857</v>
      </c>
      <c r="AL78" s="1"/>
      <c r="AM78" s="47">
        <f>AJ78-H78</f>
        <v>-2.5571106205390493E-2</v>
      </c>
      <c r="AN78" s="47">
        <f>AK78-I78</f>
        <v>-4.0162827653144717E-2</v>
      </c>
    </row>
    <row r="79" spans="1:40">
      <c r="A79" s="12" t="s">
        <v>79</v>
      </c>
      <c r="B79" s="13"/>
      <c r="C79" s="13"/>
      <c r="D79" s="13"/>
      <c r="E79" s="13"/>
      <c r="F79" s="13"/>
      <c r="G79" s="13"/>
      <c r="H79" s="14"/>
      <c r="I79" s="14"/>
      <c r="J79" s="14"/>
      <c r="K79" s="14"/>
      <c r="L79" s="13">
        <v>9986</v>
      </c>
      <c r="M79" s="13">
        <v>3575</v>
      </c>
      <c r="N79" s="13">
        <v>3025</v>
      </c>
      <c r="O79" s="13">
        <v>3172</v>
      </c>
      <c r="P79" s="13">
        <v>3392</v>
      </c>
      <c r="Q79" s="13">
        <v>2686</v>
      </c>
      <c r="R79" s="13">
        <v>2538</v>
      </c>
      <c r="S79" s="13">
        <v>1677</v>
      </c>
      <c r="T79" s="13">
        <v>5450</v>
      </c>
      <c r="U79" s="13"/>
      <c r="V79" s="13"/>
      <c r="W79" s="13"/>
      <c r="X79" s="13"/>
      <c r="Y79" s="13"/>
      <c r="Z79" s="48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2" t="s">
        <v>80</v>
      </c>
      <c r="B80" s="13"/>
      <c r="C80" s="13"/>
      <c r="D80" s="13"/>
      <c r="E80" s="13"/>
      <c r="F80" s="13"/>
      <c r="G80" s="13"/>
      <c r="H80" s="14"/>
      <c r="I80" s="14"/>
      <c r="J80" s="14"/>
      <c r="K80" s="14"/>
      <c r="L80" s="13">
        <v>7082</v>
      </c>
      <c r="M80" s="13">
        <v>2491</v>
      </c>
      <c r="N80" s="13">
        <v>2323</v>
      </c>
      <c r="O80" s="13">
        <v>2093</v>
      </c>
      <c r="P80" s="13">
        <v>2153</v>
      </c>
      <c r="Q80" s="13">
        <v>1714</v>
      </c>
      <c r="R80" s="13">
        <v>2061</v>
      </c>
      <c r="S80" s="13">
        <v>1140</v>
      </c>
      <c r="T80" s="13">
        <v>3843</v>
      </c>
      <c r="U80" s="13"/>
      <c r="V80" s="13"/>
      <c r="W80" s="13"/>
      <c r="X80" s="13"/>
      <c r="Y80" s="13"/>
      <c r="Z80" s="48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9" t="s">
        <v>81</v>
      </c>
      <c r="B81" s="20">
        <v>417975</v>
      </c>
      <c r="C81" s="20">
        <v>11336</v>
      </c>
      <c r="D81" s="20">
        <v>9022</v>
      </c>
      <c r="E81" s="22" t="s">
        <v>9</v>
      </c>
      <c r="F81" s="22" t="s">
        <v>9</v>
      </c>
      <c r="G81" s="22" t="s">
        <v>9</v>
      </c>
      <c r="H81" s="21">
        <v>27.1</v>
      </c>
      <c r="I81" s="21">
        <v>21.8</v>
      </c>
      <c r="J81" s="21"/>
      <c r="K81" s="23"/>
      <c r="L81" s="20">
        <v>151222</v>
      </c>
      <c r="M81" s="20">
        <v>124946</v>
      </c>
      <c r="N81" s="20">
        <v>55472</v>
      </c>
      <c r="O81" s="20">
        <v>86335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45"/>
      <c r="AA81" s="1"/>
      <c r="AB81" s="46">
        <f>SUM(L81:Z81)</f>
        <v>417975</v>
      </c>
      <c r="AC81" s="46">
        <f>SUM(L82:Z82)</f>
        <v>11336</v>
      </c>
      <c r="AD81" s="46">
        <f>SUM(L83:Z83)</f>
        <v>9022</v>
      </c>
      <c r="AE81" s="1"/>
      <c r="AF81" s="46">
        <f>AB81-B81</f>
        <v>0</v>
      </c>
      <c r="AG81" s="46">
        <f>AC81-C81</f>
        <v>0</v>
      </c>
      <c r="AH81" s="46">
        <f>AD81-D81</f>
        <v>0</v>
      </c>
      <c r="AI81" s="1"/>
      <c r="AJ81" s="47">
        <f>C81/B81*1000</f>
        <v>27.121239308571088</v>
      </c>
      <c r="AK81" s="47">
        <f>D81/B81*1000</f>
        <v>21.585023027693044</v>
      </c>
      <c r="AL81" s="1"/>
      <c r="AM81" s="47">
        <f>AJ81-H81</f>
        <v>2.1239308571086468E-2</v>
      </c>
      <c r="AN81" s="47">
        <f>AK81-I81</f>
        <v>-0.21497697230695678</v>
      </c>
    </row>
    <row r="82" spans="1:40">
      <c r="A82" s="12" t="s">
        <v>82</v>
      </c>
      <c r="B82" s="13"/>
      <c r="C82" s="13"/>
      <c r="D82" s="13"/>
      <c r="E82" s="13"/>
      <c r="F82" s="13"/>
      <c r="G82" s="13"/>
      <c r="H82" s="14"/>
      <c r="I82" s="14"/>
      <c r="J82" s="14"/>
      <c r="K82" s="14"/>
      <c r="L82" s="13">
        <v>4138</v>
      </c>
      <c r="M82" s="13">
        <v>3637</v>
      </c>
      <c r="N82" s="13">
        <v>1415</v>
      </c>
      <c r="O82" s="13">
        <v>2146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48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2" t="s">
        <v>83</v>
      </c>
      <c r="B83" s="13"/>
      <c r="C83" s="13"/>
      <c r="D83" s="13"/>
      <c r="E83" s="13"/>
      <c r="F83" s="13"/>
      <c r="G83" s="13"/>
      <c r="H83" s="14"/>
      <c r="I83" s="14"/>
      <c r="J83" s="14"/>
      <c r="K83" s="14"/>
      <c r="L83" s="13">
        <v>3382</v>
      </c>
      <c r="M83" s="13">
        <v>2513</v>
      </c>
      <c r="N83" s="13">
        <v>1476</v>
      </c>
      <c r="O83" s="13">
        <v>1651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48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6" t="s">
        <v>84</v>
      </c>
      <c r="B84" s="17">
        <v>2463997</v>
      </c>
      <c r="C84" s="17">
        <v>66083</v>
      </c>
      <c r="D84" s="17">
        <v>47175</v>
      </c>
      <c r="E84" s="17"/>
      <c r="F84" s="17"/>
      <c r="G84" s="17"/>
      <c r="H84" s="18">
        <v>26.9</v>
      </c>
      <c r="I84" s="18">
        <v>19.2</v>
      </c>
      <c r="J84" s="18"/>
      <c r="K84" s="14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49"/>
      <c r="AA84" s="1"/>
      <c r="AB84" s="70">
        <f>SUM(AB75:AB83)</f>
        <v>2463997</v>
      </c>
      <c r="AC84" s="70">
        <f>SUM(AC75:AC83)</f>
        <v>66083</v>
      </c>
      <c r="AD84" s="70">
        <f>SUM(AD75:AD83)</f>
        <v>47175</v>
      </c>
      <c r="AE84" s="1"/>
      <c r="AF84" s="70">
        <f>AB84-B84</f>
        <v>0</v>
      </c>
      <c r="AG84" s="70">
        <f>AC84-C84</f>
        <v>0</v>
      </c>
      <c r="AH84" s="70">
        <f>AD84-D84</f>
        <v>0</v>
      </c>
      <c r="AI84" s="1"/>
      <c r="AJ84" s="71">
        <f>C84/B84*1000</f>
        <v>26.819432004178577</v>
      </c>
      <c r="AK84" s="71">
        <f>D84/B84*1000</f>
        <v>19.145721362485425</v>
      </c>
      <c r="AL84" s="1"/>
      <c r="AM84" s="71">
        <f>AJ84-H84</f>
        <v>-8.0567995821422045E-2</v>
      </c>
      <c r="AN84" s="71">
        <f>AK84-I84</f>
        <v>-5.4278637514574513E-2</v>
      </c>
    </row>
    <row r="85" spans="1:40">
      <c r="A85" s="37" t="s">
        <v>85</v>
      </c>
      <c r="B85" s="38">
        <v>1796420</v>
      </c>
      <c r="C85" s="38">
        <v>88202</v>
      </c>
      <c r="D85" s="38">
        <v>49348</v>
      </c>
      <c r="E85" s="38">
        <v>300838</v>
      </c>
      <c r="F85" s="38">
        <v>9707</v>
      </c>
      <c r="G85" s="38">
        <v>6436</v>
      </c>
      <c r="H85" s="39">
        <v>49.1</v>
      </c>
      <c r="I85" s="39">
        <v>27.5</v>
      </c>
      <c r="J85" s="39"/>
      <c r="K85" s="14"/>
      <c r="L85" s="38">
        <v>269361</v>
      </c>
      <c r="M85" s="38">
        <v>294509</v>
      </c>
      <c r="N85" s="38">
        <v>180045</v>
      </c>
      <c r="O85" s="38">
        <v>187320</v>
      </c>
      <c r="P85" s="38">
        <v>214775</v>
      </c>
      <c r="Q85" s="38">
        <v>183227</v>
      </c>
      <c r="R85" s="38">
        <v>190792</v>
      </c>
      <c r="S85" s="38">
        <v>276391</v>
      </c>
      <c r="T85" s="38"/>
      <c r="U85" s="38"/>
      <c r="V85" s="38"/>
      <c r="W85" s="38"/>
      <c r="X85" s="38"/>
      <c r="Y85" s="38"/>
      <c r="Z85" s="38"/>
      <c r="AA85" s="1"/>
      <c r="AB85" s="46">
        <f>SUM(L85:Z85)</f>
        <v>1796420</v>
      </c>
      <c r="AC85" s="46">
        <f>SUM(L86:Z86)</f>
        <v>88202</v>
      </c>
      <c r="AD85" s="46">
        <f>SUM(L87:Z87)</f>
        <v>49348</v>
      </c>
      <c r="AE85" s="1"/>
      <c r="AF85" s="46">
        <f>AB85-B85</f>
        <v>0</v>
      </c>
      <c r="AG85" s="46">
        <f>AC85-C85</f>
        <v>0</v>
      </c>
      <c r="AH85" s="46">
        <f>AD85-D85</f>
        <v>0</v>
      </c>
      <c r="AI85" s="1"/>
      <c r="AJ85" s="47">
        <f>C85/B85*1000</f>
        <v>49.098763095489922</v>
      </c>
      <c r="AK85" s="47">
        <f>D85/B85*1000</f>
        <v>27.470190712639585</v>
      </c>
      <c r="AL85" s="1"/>
      <c r="AM85" s="47">
        <f>AJ85-H85</f>
        <v>-1.2369045100797393E-3</v>
      </c>
      <c r="AN85" s="47">
        <f>AK85-I85</f>
        <v>-2.9809287360414771E-2</v>
      </c>
    </row>
    <row r="86" spans="1:40">
      <c r="A86" s="40" t="s">
        <v>86</v>
      </c>
      <c r="B86" s="15"/>
      <c r="C86" s="15"/>
      <c r="D86" s="15"/>
      <c r="E86" s="15"/>
      <c r="F86" s="15"/>
      <c r="G86" s="15"/>
      <c r="H86" s="14"/>
      <c r="I86" s="14"/>
      <c r="J86" s="14"/>
      <c r="K86" s="11"/>
      <c r="L86" s="13">
        <v>10927</v>
      </c>
      <c r="M86" s="13">
        <v>13071</v>
      </c>
      <c r="N86" s="13">
        <v>8934</v>
      </c>
      <c r="O86" s="13">
        <v>13934</v>
      </c>
      <c r="P86" s="13">
        <v>10674</v>
      </c>
      <c r="Q86" s="13">
        <v>8990</v>
      </c>
      <c r="R86" s="13">
        <v>9729</v>
      </c>
      <c r="S86" s="13">
        <v>11943</v>
      </c>
      <c r="T86" s="13"/>
      <c r="U86" s="13"/>
      <c r="V86" s="13"/>
      <c r="W86" s="13"/>
      <c r="X86" s="13"/>
      <c r="Y86" s="13"/>
      <c r="Z86" s="13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40" t="s">
        <v>87</v>
      </c>
      <c r="B87" s="15"/>
      <c r="C87" s="15"/>
      <c r="D87" s="15"/>
      <c r="E87" s="15"/>
      <c r="F87" s="15"/>
      <c r="G87" s="15"/>
      <c r="H87" s="14"/>
      <c r="I87" s="14"/>
      <c r="J87" s="14"/>
      <c r="K87" s="11"/>
      <c r="L87" s="13">
        <v>7550</v>
      </c>
      <c r="M87" s="13">
        <v>7285</v>
      </c>
      <c r="N87" s="13">
        <v>4972</v>
      </c>
      <c r="O87" s="13">
        <v>5311</v>
      </c>
      <c r="P87" s="13">
        <v>7058</v>
      </c>
      <c r="Q87" s="13">
        <v>5034</v>
      </c>
      <c r="R87" s="13">
        <v>5809</v>
      </c>
      <c r="S87" s="13">
        <v>6329</v>
      </c>
      <c r="T87" s="13"/>
      <c r="U87" s="13"/>
      <c r="V87" s="13"/>
      <c r="W87" s="13"/>
      <c r="X87" s="13"/>
      <c r="Y87" s="13"/>
      <c r="Z87" s="13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37" t="s">
        <v>88</v>
      </c>
      <c r="B88" s="38">
        <v>1511063</v>
      </c>
      <c r="C88" s="38">
        <v>78895</v>
      </c>
      <c r="D88" s="38">
        <v>56689</v>
      </c>
      <c r="E88" s="38">
        <v>135386</v>
      </c>
      <c r="F88" s="38">
        <v>7639</v>
      </c>
      <c r="G88" s="38">
        <v>6446</v>
      </c>
      <c r="H88" s="39">
        <v>52.2</v>
      </c>
      <c r="I88" s="39">
        <v>37.5</v>
      </c>
      <c r="J88" s="39"/>
      <c r="K88" s="14"/>
      <c r="L88" s="38">
        <v>154051</v>
      </c>
      <c r="M88" s="38">
        <v>103607</v>
      </c>
      <c r="N88" s="38">
        <v>90679</v>
      </c>
      <c r="O88" s="38">
        <v>107680</v>
      </c>
      <c r="P88" s="38">
        <v>122271</v>
      </c>
      <c r="Q88" s="38">
        <v>135232</v>
      </c>
      <c r="R88" s="38">
        <v>120757</v>
      </c>
      <c r="S88" s="38">
        <v>93317</v>
      </c>
      <c r="T88" s="38">
        <v>122007</v>
      </c>
      <c r="U88" s="38">
        <v>86632</v>
      </c>
      <c r="V88" s="38">
        <v>117902</v>
      </c>
      <c r="W88" s="38">
        <v>148335</v>
      </c>
      <c r="X88" s="84">
        <v>108593</v>
      </c>
      <c r="Y88" s="38"/>
      <c r="Z88" s="38"/>
      <c r="AA88" s="1"/>
      <c r="AB88" s="46">
        <f>SUM(L88:Z88)</f>
        <v>1511063</v>
      </c>
      <c r="AC88" s="46">
        <f>SUM(L89:Z89)</f>
        <v>78895</v>
      </c>
      <c r="AD88" s="46">
        <f>SUM(L90:Z90)</f>
        <v>56689</v>
      </c>
      <c r="AE88" s="1"/>
      <c r="AF88" s="46">
        <f>AB88-B88</f>
        <v>0</v>
      </c>
      <c r="AG88" s="46">
        <f>AC88-C88</f>
        <v>0</v>
      </c>
      <c r="AH88" s="46">
        <f>AD88-D88</f>
        <v>0</v>
      </c>
      <c r="AI88" s="1"/>
      <c r="AJ88" s="47">
        <f>C88/B88*1000</f>
        <v>52.211588795437386</v>
      </c>
      <c r="AK88" s="47">
        <f>D88/B88*1000</f>
        <v>37.515973854167562</v>
      </c>
      <c r="AL88" s="1"/>
      <c r="AM88" s="47">
        <f>AJ88-H88</f>
        <v>1.1588795437383226E-2</v>
      </c>
      <c r="AN88" s="47">
        <f>AK88-I88</f>
        <v>1.5973854167562251E-2</v>
      </c>
    </row>
    <row r="89" spans="1:40">
      <c r="A89" s="40" t="s">
        <v>89</v>
      </c>
      <c r="B89" s="15"/>
      <c r="C89" s="15"/>
      <c r="D89" s="15"/>
      <c r="E89" s="15"/>
      <c r="F89" s="15"/>
      <c r="G89" s="15"/>
      <c r="H89" s="14"/>
      <c r="I89" s="14"/>
      <c r="J89" s="14"/>
      <c r="K89" s="11"/>
      <c r="L89" s="13">
        <v>7864</v>
      </c>
      <c r="M89" s="13">
        <v>5663</v>
      </c>
      <c r="N89" s="13">
        <v>4292</v>
      </c>
      <c r="O89" s="13">
        <v>4446</v>
      </c>
      <c r="P89" s="13">
        <v>5764</v>
      </c>
      <c r="Q89" s="13">
        <v>7512</v>
      </c>
      <c r="R89" s="13">
        <v>6589</v>
      </c>
      <c r="S89" s="13">
        <v>4818</v>
      </c>
      <c r="T89" s="13">
        <v>8220</v>
      </c>
      <c r="U89" s="13">
        <v>4851</v>
      </c>
      <c r="V89" s="13">
        <v>6226</v>
      </c>
      <c r="W89" s="13">
        <v>7270</v>
      </c>
      <c r="X89" s="13">
        <v>5380</v>
      </c>
      <c r="Y89" s="13"/>
      <c r="Z89" s="13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40" t="s">
        <v>90</v>
      </c>
      <c r="B90" s="15"/>
      <c r="C90" s="15"/>
      <c r="D90" s="15"/>
      <c r="E90" s="15"/>
      <c r="F90" s="15"/>
      <c r="G90" s="15"/>
      <c r="H90" s="14"/>
      <c r="I90" s="14"/>
      <c r="J90" s="14"/>
      <c r="K90" s="11"/>
      <c r="L90" s="13">
        <v>5450</v>
      </c>
      <c r="M90" s="13">
        <v>3998</v>
      </c>
      <c r="N90" s="13">
        <v>3201</v>
      </c>
      <c r="O90" s="13">
        <v>3319</v>
      </c>
      <c r="P90" s="13">
        <v>4375</v>
      </c>
      <c r="Q90" s="13">
        <v>5104</v>
      </c>
      <c r="R90" s="13">
        <v>4769</v>
      </c>
      <c r="S90" s="13">
        <v>3241</v>
      </c>
      <c r="T90" s="13">
        <v>5888</v>
      </c>
      <c r="U90" s="13">
        <v>3204</v>
      </c>
      <c r="V90" s="13">
        <v>4250</v>
      </c>
      <c r="W90" s="13">
        <v>5956</v>
      </c>
      <c r="X90" s="13">
        <v>3934</v>
      </c>
      <c r="Y90" s="13"/>
      <c r="Z90" s="13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37" t="s">
        <v>91</v>
      </c>
      <c r="B91" s="38">
        <v>1362009</v>
      </c>
      <c r="C91" s="38">
        <v>57648</v>
      </c>
      <c r="D91" s="38">
        <v>38313</v>
      </c>
      <c r="E91" s="38">
        <v>47338</v>
      </c>
      <c r="F91" s="38">
        <v>1756</v>
      </c>
      <c r="G91" s="38">
        <v>1386</v>
      </c>
      <c r="H91" s="39">
        <v>42.3</v>
      </c>
      <c r="I91" s="39">
        <v>28.1</v>
      </c>
      <c r="J91" s="39"/>
      <c r="K91" s="14"/>
      <c r="L91" s="38">
        <v>174631</v>
      </c>
      <c r="M91" s="38">
        <v>107562</v>
      </c>
      <c r="N91" s="38">
        <v>110820</v>
      </c>
      <c r="O91" s="38">
        <v>190787</v>
      </c>
      <c r="P91" s="38">
        <v>195671</v>
      </c>
      <c r="Q91" s="38">
        <v>125785</v>
      </c>
      <c r="R91" s="38">
        <v>155897</v>
      </c>
      <c r="S91" s="38">
        <v>106408</v>
      </c>
      <c r="T91" s="38">
        <v>143953</v>
      </c>
      <c r="U91" s="38">
        <v>50484</v>
      </c>
      <c r="V91" s="38"/>
      <c r="W91" s="38"/>
      <c r="X91" s="38"/>
      <c r="Y91" s="38"/>
      <c r="Z91" s="38"/>
      <c r="AA91" s="1"/>
      <c r="AB91" s="46">
        <f>SUM(L91:Z91)</f>
        <v>1361998</v>
      </c>
      <c r="AC91" s="46">
        <f>SUM(L92:Z92)</f>
        <v>57648</v>
      </c>
      <c r="AD91" s="46">
        <f>SUM(L93:Z93)</f>
        <v>38313</v>
      </c>
      <c r="AE91" s="1"/>
      <c r="AF91" s="46">
        <f>AB91-B91</f>
        <v>-11</v>
      </c>
      <c r="AG91" s="46">
        <f>AC91-C91</f>
        <v>0</v>
      </c>
      <c r="AH91" s="46">
        <f>AD91-D91</f>
        <v>0</v>
      </c>
      <c r="AI91" s="1"/>
      <c r="AJ91" s="47">
        <f>C91/B91*1000</f>
        <v>42.325711504109009</v>
      </c>
      <c r="AK91" s="47">
        <f>D91/B91*1000</f>
        <v>28.12977006759867</v>
      </c>
      <c r="AL91" s="1"/>
      <c r="AM91" s="47">
        <f>AJ91-H91</f>
        <v>2.5711504109011685E-2</v>
      </c>
      <c r="AN91" s="47">
        <f>AK91-I91</f>
        <v>2.9770067598668959E-2</v>
      </c>
    </row>
    <row r="92" spans="1:40">
      <c r="A92" s="40" t="s">
        <v>92</v>
      </c>
      <c r="B92" s="15"/>
      <c r="C92" s="15"/>
      <c r="D92" s="15"/>
      <c r="E92" s="15"/>
      <c r="F92" s="15"/>
      <c r="G92" s="15"/>
      <c r="H92" s="14"/>
      <c r="I92" s="14"/>
      <c r="J92" s="14"/>
      <c r="K92" s="11"/>
      <c r="L92" s="13">
        <v>6992</v>
      </c>
      <c r="M92" s="13">
        <v>4184</v>
      </c>
      <c r="N92" s="13">
        <v>4872</v>
      </c>
      <c r="O92" s="13">
        <v>7983</v>
      </c>
      <c r="P92" s="13">
        <v>9312</v>
      </c>
      <c r="Q92" s="13">
        <v>5236</v>
      </c>
      <c r="R92" s="13">
        <v>6778</v>
      </c>
      <c r="S92" s="13">
        <v>4023</v>
      </c>
      <c r="T92" s="13">
        <v>6348</v>
      </c>
      <c r="U92" s="13">
        <v>1920</v>
      </c>
      <c r="V92" s="13"/>
      <c r="W92" s="13"/>
      <c r="X92" s="13"/>
      <c r="Y92" s="13"/>
      <c r="Z92" s="13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40" t="s">
        <v>93</v>
      </c>
      <c r="B93" s="15"/>
      <c r="C93" s="15"/>
      <c r="D93" s="15"/>
      <c r="E93" s="15"/>
      <c r="F93" s="15"/>
      <c r="G93" s="15"/>
      <c r="H93" s="14"/>
      <c r="I93" s="14"/>
      <c r="J93" s="14"/>
      <c r="K93" s="11"/>
      <c r="L93" s="13">
        <v>4294</v>
      </c>
      <c r="M93" s="13">
        <v>3287</v>
      </c>
      <c r="N93" s="13">
        <v>2951</v>
      </c>
      <c r="O93" s="13">
        <v>5742</v>
      </c>
      <c r="P93" s="13">
        <v>6050</v>
      </c>
      <c r="Q93" s="13">
        <v>3358</v>
      </c>
      <c r="R93" s="13">
        <v>4734</v>
      </c>
      <c r="S93" s="13">
        <v>2522</v>
      </c>
      <c r="T93" s="13">
        <v>4043</v>
      </c>
      <c r="U93" s="13">
        <v>1332</v>
      </c>
      <c r="V93" s="13"/>
      <c r="W93" s="13"/>
      <c r="X93" s="13"/>
      <c r="Y93" s="13"/>
      <c r="Z93" s="13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37" t="s">
        <v>94</v>
      </c>
      <c r="B94" s="38">
        <v>2715706</v>
      </c>
      <c r="C94" s="38">
        <v>139422</v>
      </c>
      <c r="D94" s="38">
        <v>105538</v>
      </c>
      <c r="E94" s="38">
        <v>113891</v>
      </c>
      <c r="F94" s="38">
        <v>4356</v>
      </c>
      <c r="G94" s="38">
        <v>3749</v>
      </c>
      <c r="H94" s="39">
        <v>51.3</v>
      </c>
      <c r="I94" s="39">
        <v>38.1</v>
      </c>
      <c r="J94" s="39"/>
      <c r="K94" s="14"/>
      <c r="L94" s="38">
        <v>262021</v>
      </c>
      <c r="M94" s="38">
        <v>268229</v>
      </c>
      <c r="N94" s="38">
        <v>283567</v>
      </c>
      <c r="O94" s="38">
        <v>325139</v>
      </c>
      <c r="P94" s="38">
        <v>227127</v>
      </c>
      <c r="Q94" s="38">
        <v>126533</v>
      </c>
      <c r="R94" s="38">
        <v>218266</v>
      </c>
      <c r="S94" s="38">
        <v>162527</v>
      </c>
      <c r="T94" s="38">
        <v>182670</v>
      </c>
      <c r="U94" s="38">
        <v>195470</v>
      </c>
      <c r="V94" s="38">
        <v>277013</v>
      </c>
      <c r="W94" s="38">
        <v>187144</v>
      </c>
      <c r="X94" s="38"/>
      <c r="Y94" s="38"/>
      <c r="Z94" s="38"/>
      <c r="AA94" s="1"/>
      <c r="AB94" s="46">
        <f>SUM(L94:Z94)</f>
        <v>2715706</v>
      </c>
      <c r="AC94" s="46">
        <f>SUM(L95:Z95)</f>
        <v>139422</v>
      </c>
      <c r="AD94" s="46">
        <f>SUM(L96:Z96)</f>
        <v>105538</v>
      </c>
      <c r="AE94" s="1"/>
      <c r="AF94" s="46">
        <f>AB94-B94</f>
        <v>0</v>
      </c>
      <c r="AG94" s="46">
        <f>AC94-C94</f>
        <v>0</v>
      </c>
      <c r="AH94" s="46">
        <f>AD94-D94</f>
        <v>0</v>
      </c>
      <c r="AI94" s="1"/>
      <c r="AJ94" s="47">
        <f>C94/B94*1000</f>
        <v>51.339136121509469</v>
      </c>
      <c r="AK94" s="47">
        <f>D94/B94*1000</f>
        <v>38.862085954812486</v>
      </c>
      <c r="AL94" s="1"/>
      <c r="AM94" s="47">
        <f>AJ94-H94</f>
        <v>3.9136121509471877E-2</v>
      </c>
      <c r="AN94" s="47">
        <f>AK94-I94</f>
        <v>0.76208595481248409</v>
      </c>
    </row>
    <row r="95" spans="1:40">
      <c r="A95" s="40" t="s">
        <v>95</v>
      </c>
      <c r="B95" s="15"/>
      <c r="C95" s="15"/>
      <c r="D95" s="15"/>
      <c r="E95" s="15"/>
      <c r="F95" s="15"/>
      <c r="G95" s="15"/>
      <c r="H95" s="14"/>
      <c r="I95" s="14"/>
      <c r="J95" s="14"/>
      <c r="K95" s="11"/>
      <c r="L95" s="13">
        <v>13752</v>
      </c>
      <c r="M95" s="13">
        <v>11647</v>
      </c>
      <c r="N95" s="13">
        <v>15037</v>
      </c>
      <c r="O95" s="13">
        <v>17321</v>
      </c>
      <c r="P95" s="13">
        <v>10215</v>
      </c>
      <c r="Q95" s="13">
        <v>6927</v>
      </c>
      <c r="R95" s="13">
        <v>11706</v>
      </c>
      <c r="S95" s="13">
        <v>8258</v>
      </c>
      <c r="T95" s="13">
        <v>9576</v>
      </c>
      <c r="U95" s="13">
        <v>11023</v>
      </c>
      <c r="V95" s="13">
        <v>14800</v>
      </c>
      <c r="W95" s="13">
        <v>9160</v>
      </c>
      <c r="X95" s="13"/>
      <c r="Y95" s="13"/>
      <c r="Z95" s="13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40" t="s">
        <v>96</v>
      </c>
      <c r="B96" s="15"/>
      <c r="C96" s="15"/>
      <c r="D96" s="15"/>
      <c r="E96" s="15"/>
      <c r="F96" s="15"/>
      <c r="G96" s="15"/>
      <c r="H96" s="14"/>
      <c r="I96" s="14"/>
      <c r="J96" s="14"/>
      <c r="K96" s="11"/>
      <c r="L96" s="13">
        <v>10616</v>
      </c>
      <c r="M96" s="13">
        <v>7413</v>
      </c>
      <c r="N96" s="13">
        <v>12899</v>
      </c>
      <c r="O96" s="13">
        <v>16875</v>
      </c>
      <c r="P96" s="13">
        <v>4887</v>
      </c>
      <c r="Q96" s="13">
        <v>4765</v>
      </c>
      <c r="R96" s="13">
        <v>7250</v>
      </c>
      <c r="S96" s="13">
        <v>5820</v>
      </c>
      <c r="T96" s="13">
        <v>6153</v>
      </c>
      <c r="U96" s="13">
        <v>11395</v>
      </c>
      <c r="V96" s="13">
        <v>9144</v>
      </c>
      <c r="W96" s="13">
        <v>8321</v>
      </c>
      <c r="X96" s="13"/>
      <c r="Y96" s="13"/>
      <c r="Z96" s="13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37" t="s">
        <v>97</v>
      </c>
      <c r="B97" s="38">
        <v>3098643</v>
      </c>
      <c r="C97" s="38">
        <v>158483</v>
      </c>
      <c r="D97" s="38">
        <v>112380</v>
      </c>
      <c r="E97" s="38">
        <v>89872</v>
      </c>
      <c r="F97" s="38">
        <v>2707</v>
      </c>
      <c r="G97" s="38">
        <v>2303</v>
      </c>
      <c r="H97" s="39">
        <v>51.1</v>
      </c>
      <c r="I97" s="39">
        <v>36.299999999999997</v>
      </c>
      <c r="J97" s="39"/>
      <c r="K97" s="14"/>
      <c r="L97" s="38">
        <v>216001</v>
      </c>
      <c r="M97" s="38">
        <v>383652</v>
      </c>
      <c r="N97" s="38">
        <v>219833</v>
      </c>
      <c r="O97" s="38">
        <v>296459</v>
      </c>
      <c r="P97" s="38">
        <v>272181</v>
      </c>
      <c r="Q97" s="38">
        <v>220783</v>
      </c>
      <c r="R97" s="38">
        <v>221276</v>
      </c>
      <c r="S97" s="38">
        <v>384977</v>
      </c>
      <c r="T97" s="38">
        <v>215034</v>
      </c>
      <c r="U97" s="38">
        <v>289449</v>
      </c>
      <c r="V97" s="38">
        <v>378998</v>
      </c>
      <c r="W97" s="38"/>
      <c r="X97" s="38"/>
      <c r="Y97" s="38"/>
      <c r="Z97" s="38"/>
      <c r="AA97" s="1"/>
      <c r="AB97" s="46">
        <f>SUM(L97:Z97)</f>
        <v>3098643</v>
      </c>
      <c r="AC97" s="46">
        <f>SUM(L98:Z98)</f>
        <v>158483</v>
      </c>
      <c r="AD97" s="46">
        <f>SUM(L99:Z99)</f>
        <v>112380</v>
      </c>
      <c r="AE97" s="1"/>
      <c r="AF97" s="46">
        <f>AB97-B97</f>
        <v>0</v>
      </c>
      <c r="AG97" s="46">
        <f>AC97-C97</f>
        <v>0</v>
      </c>
      <c r="AH97" s="46">
        <f>AD97-D97</f>
        <v>0</v>
      </c>
      <c r="AI97" s="1"/>
      <c r="AJ97" s="47">
        <f>C97/B97*1000</f>
        <v>51.145937108598829</v>
      </c>
      <c r="AK97" s="47">
        <f>D97/B97*1000</f>
        <v>36.267488703926205</v>
      </c>
      <c r="AL97" s="1"/>
      <c r="AM97" s="47">
        <f>AJ97-H97</f>
        <v>4.5937108598828047E-2</v>
      </c>
      <c r="AN97" s="47">
        <f>AK97-I97</f>
        <v>-3.251129607379255E-2</v>
      </c>
    </row>
    <row r="98" spans="1:40">
      <c r="A98" s="40" t="s">
        <v>98</v>
      </c>
      <c r="B98" s="15"/>
      <c r="C98" s="15"/>
      <c r="D98" s="15"/>
      <c r="E98" s="15"/>
      <c r="F98" s="15"/>
      <c r="G98" s="15"/>
      <c r="H98" s="14"/>
      <c r="I98" s="14"/>
      <c r="J98" s="14"/>
      <c r="K98" s="11"/>
      <c r="L98" s="13">
        <v>9795</v>
      </c>
      <c r="M98" s="13">
        <v>18628</v>
      </c>
      <c r="N98" s="13">
        <v>12319</v>
      </c>
      <c r="O98" s="13">
        <v>14161</v>
      </c>
      <c r="P98" s="13">
        <v>14707</v>
      </c>
      <c r="Q98" s="13">
        <v>10400</v>
      </c>
      <c r="R98" s="13">
        <v>10957</v>
      </c>
      <c r="S98" s="13">
        <v>21110</v>
      </c>
      <c r="T98" s="13">
        <v>11094</v>
      </c>
      <c r="U98" s="13">
        <v>15534</v>
      </c>
      <c r="V98" s="13">
        <v>19778</v>
      </c>
      <c r="W98" s="13"/>
      <c r="X98" s="13"/>
      <c r="Y98" s="13"/>
      <c r="Z98" s="13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40" t="s">
        <v>99</v>
      </c>
      <c r="B99" s="15"/>
      <c r="C99" s="15"/>
      <c r="D99" s="15"/>
      <c r="E99" s="15"/>
      <c r="F99" s="15"/>
      <c r="G99" s="15"/>
      <c r="H99" s="14"/>
      <c r="I99" s="14"/>
      <c r="J99" s="14"/>
      <c r="K99" s="11"/>
      <c r="L99" s="13">
        <v>8024</v>
      </c>
      <c r="M99" s="13">
        <v>13123</v>
      </c>
      <c r="N99" s="13">
        <v>7489</v>
      </c>
      <c r="O99" s="13">
        <v>9339</v>
      </c>
      <c r="P99" s="13">
        <v>11198</v>
      </c>
      <c r="Q99" s="13">
        <v>8415</v>
      </c>
      <c r="R99" s="13">
        <v>7576</v>
      </c>
      <c r="S99" s="13">
        <v>14878</v>
      </c>
      <c r="T99" s="13">
        <v>7747</v>
      </c>
      <c r="U99" s="13">
        <v>10342</v>
      </c>
      <c r="V99" s="13">
        <v>14249</v>
      </c>
      <c r="W99" s="13"/>
      <c r="X99" s="13"/>
      <c r="Y99" s="13"/>
      <c r="Z99" s="13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37" t="s">
        <v>100</v>
      </c>
      <c r="B100" s="38">
        <v>1902743</v>
      </c>
      <c r="C100" s="38">
        <v>110933</v>
      </c>
      <c r="D100" s="38">
        <v>61629</v>
      </c>
      <c r="E100" s="38">
        <v>257480</v>
      </c>
      <c r="F100" s="38">
        <v>10703</v>
      </c>
      <c r="G100" s="38">
        <v>5817</v>
      </c>
      <c r="H100" s="39">
        <v>57.7</v>
      </c>
      <c r="I100" s="39">
        <v>32.1</v>
      </c>
      <c r="J100" s="39"/>
      <c r="K100" s="14"/>
      <c r="L100" s="38">
        <v>313217</v>
      </c>
      <c r="M100" s="38">
        <v>253458</v>
      </c>
      <c r="N100" s="38">
        <v>269117</v>
      </c>
      <c r="O100" s="38">
        <v>182811</v>
      </c>
      <c r="P100" s="38">
        <v>236835</v>
      </c>
      <c r="Q100" s="38">
        <v>231882</v>
      </c>
      <c r="R100" s="38">
        <v>261550</v>
      </c>
      <c r="S100" s="38">
        <v>153063</v>
      </c>
      <c r="T100" s="38"/>
      <c r="U100" s="38"/>
      <c r="V100" s="38"/>
      <c r="W100" s="38"/>
      <c r="X100" s="38"/>
      <c r="Y100" s="38"/>
      <c r="Z100" s="38"/>
      <c r="AA100" s="1"/>
      <c r="AB100" s="46">
        <f>SUM(L100:Z100)</f>
        <v>1901933</v>
      </c>
      <c r="AC100" s="46">
        <f>SUM(L101:Z101)</f>
        <v>110933</v>
      </c>
      <c r="AD100" s="46">
        <f>SUM(L102:Z102)</f>
        <v>61630</v>
      </c>
      <c r="AE100" s="1"/>
      <c r="AF100" s="46">
        <f>AB100-B100</f>
        <v>-810</v>
      </c>
      <c r="AG100" s="46">
        <f>AC100-C100</f>
        <v>0</v>
      </c>
      <c r="AH100" s="46">
        <f>AD100-D100</f>
        <v>1</v>
      </c>
      <c r="AI100" s="1"/>
      <c r="AJ100" s="47">
        <f>C100/B100*1000</f>
        <v>58.301620344944112</v>
      </c>
      <c r="AK100" s="47">
        <f>D100/B100*1000</f>
        <v>32.389555499612925</v>
      </c>
      <c r="AL100" s="1"/>
      <c r="AM100" s="47">
        <f>AJ100-H100</f>
        <v>0.60162034494410932</v>
      </c>
      <c r="AN100" s="47">
        <f>AK100-I100</f>
        <v>0.28955549961292348</v>
      </c>
    </row>
    <row r="101" spans="1:40">
      <c r="A101" s="40" t="s">
        <v>101</v>
      </c>
      <c r="B101" s="15"/>
      <c r="C101" s="15"/>
      <c r="D101" s="15"/>
      <c r="E101" s="15"/>
      <c r="F101" s="15"/>
      <c r="G101" s="15"/>
      <c r="H101" s="14"/>
      <c r="I101" s="14"/>
      <c r="J101" s="14"/>
      <c r="K101" s="11"/>
      <c r="L101" s="13">
        <v>16191</v>
      </c>
      <c r="M101" s="13">
        <v>15206</v>
      </c>
      <c r="N101" s="13">
        <v>16450</v>
      </c>
      <c r="O101" s="13">
        <v>11067</v>
      </c>
      <c r="P101" s="13">
        <v>14771</v>
      </c>
      <c r="Q101" s="13">
        <v>11671</v>
      </c>
      <c r="R101" s="13">
        <v>14293</v>
      </c>
      <c r="S101" s="13">
        <v>11284</v>
      </c>
      <c r="T101" s="13"/>
      <c r="U101" s="13"/>
      <c r="V101" s="13"/>
      <c r="W101" s="13"/>
      <c r="X101" s="13"/>
      <c r="Y101" s="13"/>
      <c r="Z101" s="13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40" t="s">
        <v>102</v>
      </c>
      <c r="B102" s="15"/>
      <c r="C102" s="15"/>
      <c r="D102" s="15"/>
      <c r="E102" s="15"/>
      <c r="F102" s="15"/>
      <c r="G102" s="15"/>
      <c r="H102" s="14"/>
      <c r="I102" s="14"/>
      <c r="J102" s="14"/>
      <c r="K102" s="11"/>
      <c r="L102" s="13">
        <v>9075</v>
      </c>
      <c r="M102" s="13">
        <v>6835</v>
      </c>
      <c r="N102" s="13">
        <v>9335</v>
      </c>
      <c r="O102" s="13">
        <v>5838</v>
      </c>
      <c r="P102" s="13">
        <v>7130</v>
      </c>
      <c r="Q102" s="13">
        <v>8894</v>
      </c>
      <c r="R102" s="13">
        <v>8750</v>
      </c>
      <c r="S102" s="13">
        <v>5773</v>
      </c>
      <c r="T102" s="13"/>
      <c r="U102" s="13"/>
      <c r="V102" s="13"/>
      <c r="W102" s="13"/>
      <c r="X102" s="13"/>
      <c r="Y102" s="13"/>
      <c r="Z102" s="13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37" t="s">
        <v>103</v>
      </c>
      <c r="B103" s="38">
        <v>2240377</v>
      </c>
      <c r="C103" s="38">
        <v>99514</v>
      </c>
      <c r="D103" s="38">
        <v>81672</v>
      </c>
      <c r="E103" s="38">
        <v>178963</v>
      </c>
      <c r="F103" s="38">
        <v>6543</v>
      </c>
      <c r="G103" s="38">
        <v>6362</v>
      </c>
      <c r="H103" s="39">
        <v>43.4</v>
      </c>
      <c r="I103" s="39">
        <v>37.1</v>
      </c>
      <c r="J103" s="39"/>
      <c r="K103" s="14"/>
      <c r="L103" s="38">
        <v>362029</v>
      </c>
      <c r="M103" s="38">
        <v>95318</v>
      </c>
      <c r="N103" s="38">
        <v>184008</v>
      </c>
      <c r="O103" s="38">
        <v>203322</v>
      </c>
      <c r="P103" s="38">
        <v>135118</v>
      </c>
      <c r="Q103" s="38">
        <v>185102</v>
      </c>
      <c r="R103" s="38">
        <v>201381</v>
      </c>
      <c r="S103" s="38">
        <v>113518</v>
      </c>
      <c r="T103" s="38">
        <v>173190</v>
      </c>
      <c r="U103" s="38">
        <v>121003</v>
      </c>
      <c r="V103" s="38">
        <v>317175</v>
      </c>
      <c r="W103" s="38">
        <v>149213</v>
      </c>
      <c r="X103" s="38"/>
      <c r="Y103" s="38"/>
      <c r="Z103" s="38"/>
      <c r="AA103" s="1"/>
      <c r="AB103" s="46">
        <f>SUM(L103:Z103)</f>
        <v>2240377</v>
      </c>
      <c r="AC103" s="46"/>
      <c r="AD103" s="46"/>
      <c r="AE103" s="1"/>
      <c r="AF103" s="46">
        <f>AB103-B103</f>
        <v>0</v>
      </c>
      <c r="AG103" s="46"/>
      <c r="AH103" s="46"/>
      <c r="AI103" s="1"/>
      <c r="AJ103" s="47">
        <f>C103/B103*1000</f>
        <v>44.418417078911276</v>
      </c>
      <c r="AK103" s="47">
        <f>D103/B103*1000</f>
        <v>36.454578849898922</v>
      </c>
      <c r="AL103" s="1"/>
      <c r="AM103" s="47">
        <f>AJ103-H103</f>
        <v>1.018417078911277</v>
      </c>
      <c r="AN103" s="47">
        <f>AK103-I103</f>
        <v>-0.64542115010107892</v>
      </c>
    </row>
    <row r="104" spans="1:40">
      <c r="A104" s="40" t="s">
        <v>104</v>
      </c>
      <c r="B104" s="15"/>
      <c r="C104" s="15"/>
      <c r="D104" s="15"/>
      <c r="E104" s="15"/>
      <c r="F104" s="15"/>
      <c r="G104" s="15"/>
      <c r="H104" s="14"/>
      <c r="I104" s="14"/>
      <c r="J104" s="14"/>
      <c r="K104" s="11"/>
      <c r="L104" s="15" t="s">
        <v>9</v>
      </c>
      <c r="M104" s="15" t="s">
        <v>9</v>
      </c>
      <c r="N104" s="15" t="s">
        <v>9</v>
      </c>
      <c r="O104" s="15" t="s">
        <v>9</v>
      </c>
      <c r="P104" s="15" t="s">
        <v>9</v>
      </c>
      <c r="Q104" s="15" t="s">
        <v>9</v>
      </c>
      <c r="R104" s="15" t="s">
        <v>9</v>
      </c>
      <c r="S104" s="15" t="s">
        <v>9</v>
      </c>
      <c r="T104" s="15" t="s">
        <v>9</v>
      </c>
      <c r="U104" s="15" t="s">
        <v>9</v>
      </c>
      <c r="V104" s="15" t="s">
        <v>9</v>
      </c>
      <c r="W104" s="15" t="s">
        <v>9</v>
      </c>
      <c r="X104" s="13"/>
      <c r="Y104" s="13"/>
      <c r="Z104" s="13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40" t="s">
        <v>105</v>
      </c>
      <c r="B105" s="15"/>
      <c r="C105" s="15"/>
      <c r="D105" s="15"/>
      <c r="E105" s="15"/>
      <c r="F105" s="15"/>
      <c r="G105" s="15"/>
      <c r="H105" s="14"/>
      <c r="I105" s="14"/>
      <c r="J105" s="14"/>
      <c r="K105" s="11"/>
      <c r="L105" s="15" t="s">
        <v>9</v>
      </c>
      <c r="M105" s="15" t="s">
        <v>9</v>
      </c>
      <c r="N105" s="15" t="s">
        <v>9</v>
      </c>
      <c r="O105" s="15" t="s">
        <v>9</v>
      </c>
      <c r="P105" s="15" t="s">
        <v>9</v>
      </c>
      <c r="Q105" s="15" t="s">
        <v>9</v>
      </c>
      <c r="R105" s="15" t="s">
        <v>9</v>
      </c>
      <c r="S105" s="15" t="s">
        <v>9</v>
      </c>
      <c r="T105" s="15" t="s">
        <v>9</v>
      </c>
      <c r="U105" s="15" t="s">
        <v>9</v>
      </c>
      <c r="V105" s="15" t="s">
        <v>9</v>
      </c>
      <c r="W105" s="15" t="s">
        <v>9</v>
      </c>
      <c r="X105" s="13"/>
      <c r="Y105" s="13"/>
      <c r="Z105" s="13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37" t="s">
        <v>106</v>
      </c>
      <c r="B106" s="38">
        <v>1312802</v>
      </c>
      <c r="C106" s="84">
        <v>61656</v>
      </c>
      <c r="D106" s="38">
        <v>47910</v>
      </c>
      <c r="E106" s="38">
        <v>114272</v>
      </c>
      <c r="F106" s="38">
        <v>2885</v>
      </c>
      <c r="G106" s="38">
        <v>2568</v>
      </c>
      <c r="H106" s="39">
        <v>45.4</v>
      </c>
      <c r="I106" s="39">
        <v>36.5</v>
      </c>
      <c r="J106" s="39"/>
      <c r="K106" s="14"/>
      <c r="L106" s="38">
        <v>132191</v>
      </c>
      <c r="M106" s="38">
        <v>78218</v>
      </c>
      <c r="N106" s="38">
        <v>245877</v>
      </c>
      <c r="O106" s="38">
        <v>138797</v>
      </c>
      <c r="P106" s="38">
        <v>96547</v>
      </c>
      <c r="Q106" s="38">
        <v>50819</v>
      </c>
      <c r="R106" s="38">
        <v>129685</v>
      </c>
      <c r="S106" s="38">
        <v>124433</v>
      </c>
      <c r="T106" s="38">
        <v>170694</v>
      </c>
      <c r="U106" s="38">
        <v>73602</v>
      </c>
      <c r="V106" s="38">
        <v>71939</v>
      </c>
      <c r="W106" s="38"/>
      <c r="X106" s="38"/>
      <c r="Y106" s="38"/>
      <c r="Z106" s="38"/>
      <c r="AA106" s="1"/>
      <c r="AB106" s="46">
        <f>SUM(L106:Z106)</f>
        <v>1312802</v>
      </c>
      <c r="AC106" s="46">
        <f>SUM(L107:Z107)</f>
        <v>61656</v>
      </c>
      <c r="AD106" s="46">
        <f>SUM(L108:Z108)</f>
        <v>47910</v>
      </c>
      <c r="AE106" s="1"/>
      <c r="AF106" s="46">
        <f>AB106-B106</f>
        <v>0</v>
      </c>
      <c r="AG106" s="46">
        <f>AC106-C106</f>
        <v>0</v>
      </c>
      <c r="AH106" s="46">
        <f>AD106-D106</f>
        <v>0</v>
      </c>
      <c r="AI106" s="1"/>
      <c r="AJ106" s="47">
        <f>C106/B106*1000</f>
        <v>46.96519353261192</v>
      </c>
      <c r="AK106" s="47">
        <f>D106/B106*1000</f>
        <v>36.494459941407762</v>
      </c>
      <c r="AL106" s="1"/>
      <c r="AM106" s="47">
        <f>AJ106-H106</f>
        <v>1.5651935326119215</v>
      </c>
      <c r="AN106" s="47">
        <f>AK106-I106</f>
        <v>-5.5400585922384948E-3</v>
      </c>
    </row>
    <row r="107" spans="1:40">
      <c r="A107" s="40" t="s">
        <v>107</v>
      </c>
      <c r="B107" s="15"/>
      <c r="C107" s="15"/>
      <c r="D107" s="15"/>
      <c r="E107" s="15"/>
      <c r="F107" s="15"/>
      <c r="G107" s="15"/>
      <c r="H107" s="14"/>
      <c r="I107" s="14"/>
      <c r="J107" s="14"/>
      <c r="K107" s="11"/>
      <c r="L107" s="13">
        <v>4739</v>
      </c>
      <c r="M107" s="13">
        <v>2914</v>
      </c>
      <c r="N107" s="13">
        <v>15189</v>
      </c>
      <c r="O107" s="13">
        <v>6542</v>
      </c>
      <c r="P107" s="13">
        <v>4723</v>
      </c>
      <c r="Q107" s="13">
        <v>2265</v>
      </c>
      <c r="R107" s="13">
        <v>6236</v>
      </c>
      <c r="S107" s="13">
        <v>4938</v>
      </c>
      <c r="T107" s="13">
        <v>7997</v>
      </c>
      <c r="U107" s="13">
        <v>3301</v>
      </c>
      <c r="V107" s="13">
        <v>2812</v>
      </c>
      <c r="W107" s="13"/>
      <c r="X107" s="13"/>
      <c r="Y107" s="13"/>
      <c r="Z107" s="13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40" t="s">
        <v>108</v>
      </c>
      <c r="B108" s="15"/>
      <c r="C108" s="15"/>
      <c r="D108" s="15"/>
      <c r="E108" s="15"/>
      <c r="F108" s="15"/>
      <c r="G108" s="15"/>
      <c r="H108" s="14"/>
      <c r="I108" s="14"/>
      <c r="J108" s="14"/>
      <c r="K108" s="11"/>
      <c r="L108" s="13">
        <v>3983</v>
      </c>
      <c r="M108" s="13">
        <v>2566</v>
      </c>
      <c r="N108" s="13">
        <v>10274</v>
      </c>
      <c r="O108" s="13">
        <v>5190</v>
      </c>
      <c r="P108" s="13">
        <v>3878</v>
      </c>
      <c r="Q108" s="13">
        <v>2073</v>
      </c>
      <c r="R108" s="13">
        <v>5084</v>
      </c>
      <c r="S108" s="13">
        <v>3628</v>
      </c>
      <c r="T108" s="13">
        <v>6053</v>
      </c>
      <c r="U108" s="13">
        <v>2474</v>
      </c>
      <c r="V108" s="13">
        <v>2707</v>
      </c>
      <c r="W108" s="13"/>
      <c r="X108" s="13"/>
      <c r="Y108" s="13"/>
      <c r="Z108" s="13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37" t="s">
        <v>109</v>
      </c>
      <c r="B109" s="38">
        <v>1467111</v>
      </c>
      <c r="C109" s="38">
        <v>65864</v>
      </c>
      <c r="D109" s="38">
        <v>48980</v>
      </c>
      <c r="E109" s="38">
        <v>70749</v>
      </c>
      <c r="F109" s="38">
        <v>3066</v>
      </c>
      <c r="G109" s="38">
        <v>2628</v>
      </c>
      <c r="H109" s="39">
        <v>44.9</v>
      </c>
      <c r="I109" s="39">
        <v>33.5</v>
      </c>
      <c r="J109" s="39"/>
      <c r="K109" s="14"/>
      <c r="L109" s="38">
        <v>183121</v>
      </c>
      <c r="M109" s="38">
        <v>78092</v>
      </c>
      <c r="N109" s="38">
        <v>122917</v>
      </c>
      <c r="O109" s="38">
        <v>116889</v>
      </c>
      <c r="P109" s="38">
        <v>119353</v>
      </c>
      <c r="Q109" s="38">
        <v>141184</v>
      </c>
      <c r="R109" s="38">
        <v>115846</v>
      </c>
      <c r="S109" s="38">
        <v>151672</v>
      </c>
      <c r="T109" s="38">
        <v>171809</v>
      </c>
      <c r="U109" s="38">
        <v>68344</v>
      </c>
      <c r="V109" s="38">
        <v>59669</v>
      </c>
      <c r="W109" s="38">
        <v>138215</v>
      </c>
      <c r="X109" s="38"/>
      <c r="Y109" s="38"/>
      <c r="Z109" s="38"/>
      <c r="AA109" s="1"/>
      <c r="AB109" s="46">
        <f>SUM(L109:Z109)</f>
        <v>1467111</v>
      </c>
      <c r="AC109" s="46">
        <f>SUM(L110:Z110)</f>
        <v>65864</v>
      </c>
      <c r="AD109" s="46">
        <f>SUM(L111:Z111)</f>
        <v>48980</v>
      </c>
      <c r="AE109" s="1"/>
      <c r="AF109" s="46">
        <f>AB109-B109</f>
        <v>0</v>
      </c>
      <c r="AG109" s="46">
        <f>AC109-C109</f>
        <v>0</v>
      </c>
      <c r="AH109" s="46">
        <f>AD109-D109</f>
        <v>0</v>
      </c>
      <c r="AI109" s="1"/>
      <c r="AJ109" s="47">
        <f>C109/B109*1000</f>
        <v>44.893671985282644</v>
      </c>
      <c r="AK109" s="47">
        <f>D109/B109*1000</f>
        <v>33.385340304857635</v>
      </c>
      <c r="AL109" s="1"/>
      <c r="AM109" s="47">
        <f>AJ109-H109</f>
        <v>-6.3280147173543355E-3</v>
      </c>
      <c r="AN109" s="47">
        <f>AK109-I109</f>
        <v>-0.11465969514236463</v>
      </c>
    </row>
    <row r="110" spans="1:40">
      <c r="A110" s="40" t="s">
        <v>110</v>
      </c>
      <c r="B110" s="15"/>
      <c r="C110" s="15"/>
      <c r="D110" s="15"/>
      <c r="E110" s="15"/>
      <c r="F110" s="15"/>
      <c r="G110" s="15"/>
      <c r="H110" s="14"/>
      <c r="I110" s="14"/>
      <c r="J110" s="14"/>
      <c r="K110" s="11"/>
      <c r="L110" s="13">
        <v>7937</v>
      </c>
      <c r="M110" s="13">
        <v>3344</v>
      </c>
      <c r="N110" s="13">
        <v>4866</v>
      </c>
      <c r="O110" s="13">
        <v>6662</v>
      </c>
      <c r="P110" s="13">
        <v>4821</v>
      </c>
      <c r="Q110" s="13">
        <v>6733</v>
      </c>
      <c r="R110" s="13">
        <v>5224</v>
      </c>
      <c r="S110" s="13">
        <v>7087</v>
      </c>
      <c r="T110" s="13">
        <v>7856</v>
      </c>
      <c r="U110" s="13">
        <v>2668</v>
      </c>
      <c r="V110" s="13">
        <v>2333</v>
      </c>
      <c r="W110" s="13">
        <v>6333</v>
      </c>
      <c r="X110" s="13"/>
      <c r="Y110" s="13"/>
      <c r="Z110" s="13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40" t="s">
        <v>111</v>
      </c>
      <c r="B111" s="15"/>
      <c r="C111" s="15"/>
      <c r="D111" s="15"/>
      <c r="E111" s="15"/>
      <c r="F111" s="15"/>
      <c r="G111" s="15"/>
      <c r="H111" s="14"/>
      <c r="I111" s="14"/>
      <c r="J111" s="14"/>
      <c r="K111" s="11"/>
      <c r="L111" s="13">
        <v>5423</v>
      </c>
      <c r="M111" s="13">
        <v>2478</v>
      </c>
      <c r="N111" s="13">
        <v>2912</v>
      </c>
      <c r="O111" s="13">
        <v>5104</v>
      </c>
      <c r="P111" s="13">
        <v>3568</v>
      </c>
      <c r="Q111" s="13">
        <v>5561</v>
      </c>
      <c r="R111" s="13">
        <v>3359</v>
      </c>
      <c r="S111" s="13">
        <v>5056</v>
      </c>
      <c r="T111" s="13">
        <v>6203</v>
      </c>
      <c r="U111" s="13">
        <v>2230</v>
      </c>
      <c r="V111" s="13">
        <v>1722</v>
      </c>
      <c r="W111" s="13">
        <v>5364</v>
      </c>
      <c r="X111" s="13"/>
      <c r="Y111" s="13"/>
      <c r="Z111" s="13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37" t="s">
        <v>112</v>
      </c>
      <c r="B112" s="38">
        <v>2617024</v>
      </c>
      <c r="C112" s="84">
        <v>112002</v>
      </c>
      <c r="D112" s="38">
        <v>94098</v>
      </c>
      <c r="E112" s="38">
        <v>173292</v>
      </c>
      <c r="F112" s="38">
        <v>9245</v>
      </c>
      <c r="G112" s="38">
        <v>8003</v>
      </c>
      <c r="H112" s="39">
        <v>42.4</v>
      </c>
      <c r="I112" s="39">
        <v>35.9</v>
      </c>
      <c r="J112" s="39"/>
      <c r="K112" s="14"/>
      <c r="L112" s="38">
        <v>244814</v>
      </c>
      <c r="M112" s="38">
        <v>200283</v>
      </c>
      <c r="N112" s="38">
        <v>195546</v>
      </c>
      <c r="O112" s="38">
        <v>125310</v>
      </c>
      <c r="P112" s="38">
        <v>181651</v>
      </c>
      <c r="Q112" s="38">
        <v>134998</v>
      </c>
      <c r="R112" s="38">
        <v>186543</v>
      </c>
      <c r="S112" s="38">
        <v>203842</v>
      </c>
      <c r="T112" s="38">
        <v>180768</v>
      </c>
      <c r="U112" s="38">
        <v>158894</v>
      </c>
      <c r="V112" s="38">
        <v>167977</v>
      </c>
      <c r="W112" s="38">
        <v>173100</v>
      </c>
      <c r="X112" s="38">
        <v>153980</v>
      </c>
      <c r="Y112" s="38">
        <v>130434</v>
      </c>
      <c r="Z112" s="38">
        <v>178884</v>
      </c>
      <c r="AA112" s="1"/>
      <c r="AB112" s="46">
        <f>SUM(L112:Z112)</f>
        <v>2617024</v>
      </c>
      <c r="AC112" s="46">
        <f>SUM(L113:Z113)</f>
        <v>112002</v>
      </c>
      <c r="AD112" s="46">
        <f>SUM(L114:Z114)</f>
        <v>94093</v>
      </c>
      <c r="AE112" s="1"/>
      <c r="AF112" s="46">
        <f>AB112-B112</f>
        <v>0</v>
      </c>
      <c r="AG112" s="46">
        <f>AC112-C112</f>
        <v>0</v>
      </c>
      <c r="AH112" s="46">
        <f>AD112-D112</f>
        <v>-5</v>
      </c>
      <c r="AI112" s="1"/>
      <c r="AJ112" s="47">
        <f>C112/B112*1000</f>
        <v>42.797467657919839</v>
      </c>
      <c r="AK112" s="47">
        <f>D112/B112*1000</f>
        <v>35.956108923724052</v>
      </c>
      <c r="AL112" s="1"/>
      <c r="AM112" s="47">
        <f>AJ112-H112</f>
        <v>0.39746765791984018</v>
      </c>
      <c r="AN112" s="47">
        <f>AK112-I112</f>
        <v>5.6108923724053739E-2</v>
      </c>
    </row>
    <row r="113" spans="1:40">
      <c r="A113" s="40" t="s">
        <v>113</v>
      </c>
      <c r="B113" s="15"/>
      <c r="C113" s="15"/>
      <c r="D113" s="15"/>
      <c r="E113" s="15"/>
      <c r="F113" s="15"/>
      <c r="G113" s="15"/>
      <c r="H113" s="14"/>
      <c r="I113" s="14"/>
      <c r="J113" s="14"/>
      <c r="K113" s="11"/>
      <c r="L113" s="13">
        <v>11154</v>
      </c>
      <c r="M113" s="13">
        <v>8086</v>
      </c>
      <c r="N113" s="13">
        <v>8161</v>
      </c>
      <c r="O113" s="13">
        <v>7537</v>
      </c>
      <c r="P113" s="13">
        <v>7054</v>
      </c>
      <c r="Q113" s="13">
        <v>6586</v>
      </c>
      <c r="R113" s="13">
        <v>6695</v>
      </c>
      <c r="S113" s="13">
        <v>8853</v>
      </c>
      <c r="T113" s="13">
        <v>7624</v>
      </c>
      <c r="U113" s="13">
        <v>7793</v>
      </c>
      <c r="V113" s="13">
        <v>6275</v>
      </c>
      <c r="W113" s="13">
        <v>7329</v>
      </c>
      <c r="X113" s="13">
        <v>6016</v>
      </c>
      <c r="Y113" s="13">
        <v>6007</v>
      </c>
      <c r="Z113" s="13">
        <v>6832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40" t="s">
        <v>114</v>
      </c>
      <c r="B114" s="15"/>
      <c r="C114" s="15"/>
      <c r="D114" s="15"/>
      <c r="E114" s="15"/>
      <c r="F114" s="15"/>
      <c r="G114" s="15"/>
      <c r="H114" s="14"/>
      <c r="I114" s="14"/>
      <c r="J114" s="14"/>
      <c r="K114" s="11"/>
      <c r="L114" s="13">
        <v>9939</v>
      </c>
      <c r="M114" s="13">
        <v>7524</v>
      </c>
      <c r="N114" s="13">
        <v>6147</v>
      </c>
      <c r="O114" s="13">
        <v>5289</v>
      </c>
      <c r="P114" s="13">
        <v>6619</v>
      </c>
      <c r="Q114" s="13">
        <v>5600</v>
      </c>
      <c r="R114" s="13">
        <v>5799</v>
      </c>
      <c r="S114" s="13">
        <v>6650</v>
      </c>
      <c r="T114" s="13">
        <v>5842</v>
      </c>
      <c r="U114" s="13">
        <v>6915</v>
      </c>
      <c r="V114" s="13">
        <v>5566</v>
      </c>
      <c r="W114" s="13">
        <v>5825</v>
      </c>
      <c r="X114" s="13">
        <v>5133</v>
      </c>
      <c r="Y114" s="13">
        <v>5062</v>
      </c>
      <c r="Z114" s="13">
        <v>6183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50" t="s">
        <v>115</v>
      </c>
      <c r="B115" s="51">
        <v>1527445</v>
      </c>
      <c r="C115" s="51">
        <v>71292</v>
      </c>
      <c r="D115" s="51">
        <v>56671</v>
      </c>
      <c r="E115" s="51">
        <v>153441</v>
      </c>
      <c r="F115" s="51">
        <v>3895</v>
      </c>
      <c r="G115" s="51">
        <v>3354</v>
      </c>
      <c r="H115" s="52">
        <v>46</v>
      </c>
      <c r="I115" s="52">
        <v>37.1</v>
      </c>
      <c r="J115" s="52"/>
      <c r="K115" s="14"/>
      <c r="L115" s="51">
        <v>152206</v>
      </c>
      <c r="M115" s="51">
        <v>191946</v>
      </c>
      <c r="N115" s="51">
        <v>155751</v>
      </c>
      <c r="O115" s="51">
        <v>64011</v>
      </c>
      <c r="P115" s="51">
        <v>98937</v>
      </c>
      <c r="Q115" s="51">
        <v>143970</v>
      </c>
      <c r="R115" s="51">
        <v>96254</v>
      </c>
      <c r="S115" s="51">
        <v>126883</v>
      </c>
      <c r="T115" s="51">
        <v>115574</v>
      </c>
      <c r="U115" s="51">
        <v>72752</v>
      </c>
      <c r="V115" s="51">
        <v>101222</v>
      </c>
      <c r="W115" s="51">
        <v>71622</v>
      </c>
      <c r="X115" s="51">
        <v>136617</v>
      </c>
      <c r="Y115" s="51"/>
      <c r="Z115" s="51"/>
      <c r="AA115" s="1"/>
      <c r="AB115" s="46">
        <f>SUM(L115:Z115)</f>
        <v>1527745</v>
      </c>
      <c r="AC115" s="46">
        <f>SUM(L116:Z116)</f>
        <v>71292</v>
      </c>
      <c r="AD115" s="46">
        <f>SUM(L117:Z117)</f>
        <v>56671</v>
      </c>
      <c r="AE115" s="1"/>
      <c r="AF115" s="46">
        <f>AB115-B115</f>
        <v>300</v>
      </c>
      <c r="AG115" s="46">
        <f>AC115-C115</f>
        <v>0</v>
      </c>
      <c r="AH115" s="46">
        <f>AD115-D115</f>
        <v>0</v>
      </c>
      <c r="AI115" s="1"/>
      <c r="AJ115" s="47">
        <f>C115/B115*1000</f>
        <v>46.674020995846007</v>
      </c>
      <c r="AK115" s="47">
        <f>D115/B115*1000</f>
        <v>37.101826907024474</v>
      </c>
      <c r="AL115" s="1"/>
      <c r="AM115" s="47">
        <f>AJ115-H115</f>
        <v>0.67402099584600705</v>
      </c>
      <c r="AN115" s="47">
        <f>AK115-I115</f>
        <v>1.8269070244727459E-3</v>
      </c>
    </row>
    <row r="116" spans="1:40">
      <c r="A116" s="12" t="s">
        <v>116</v>
      </c>
      <c r="B116" s="13"/>
      <c r="C116" s="13"/>
      <c r="D116" s="13"/>
      <c r="E116" s="13"/>
      <c r="F116" s="13"/>
      <c r="G116" s="13"/>
      <c r="H116" s="14"/>
      <c r="I116" s="14"/>
      <c r="J116" s="14"/>
      <c r="K116" s="14"/>
      <c r="L116" s="13">
        <v>9902</v>
      </c>
      <c r="M116" s="13">
        <v>10518</v>
      </c>
      <c r="N116" s="13">
        <v>6756</v>
      </c>
      <c r="O116" s="13">
        <v>2980</v>
      </c>
      <c r="P116" s="13">
        <v>4086</v>
      </c>
      <c r="Q116" s="13">
        <v>6051</v>
      </c>
      <c r="R116" s="13">
        <v>4397</v>
      </c>
      <c r="S116" s="13">
        <v>6013</v>
      </c>
      <c r="T116" s="13">
        <v>5186</v>
      </c>
      <c r="U116" s="13">
        <v>2854</v>
      </c>
      <c r="V116" s="13">
        <v>4356</v>
      </c>
      <c r="W116" s="13">
        <v>3118</v>
      </c>
      <c r="X116" s="13">
        <v>5075</v>
      </c>
      <c r="Y116" s="13"/>
      <c r="Z116" s="13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2" t="s">
        <v>117</v>
      </c>
      <c r="B117" s="13"/>
      <c r="C117" s="13"/>
      <c r="D117" s="13"/>
      <c r="E117" s="13"/>
      <c r="F117" s="13"/>
      <c r="G117" s="13"/>
      <c r="H117" s="14"/>
      <c r="I117" s="14"/>
      <c r="J117" s="14"/>
      <c r="K117" s="14"/>
      <c r="L117" s="13">
        <v>7685</v>
      </c>
      <c r="M117" s="13">
        <v>7619</v>
      </c>
      <c r="N117" s="13">
        <v>5286</v>
      </c>
      <c r="O117" s="13">
        <v>2539</v>
      </c>
      <c r="P117" s="13">
        <v>2965</v>
      </c>
      <c r="Q117" s="13">
        <v>5335</v>
      </c>
      <c r="R117" s="13">
        <v>3518</v>
      </c>
      <c r="S117" s="13">
        <v>4374</v>
      </c>
      <c r="T117" s="13">
        <v>4085</v>
      </c>
      <c r="U117" s="13">
        <v>2796</v>
      </c>
      <c r="V117" s="13">
        <v>3550</v>
      </c>
      <c r="W117" s="13">
        <v>3014</v>
      </c>
      <c r="X117" s="13">
        <v>3905</v>
      </c>
      <c r="Y117" s="13"/>
      <c r="Z117" s="13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72" t="s">
        <v>118</v>
      </c>
      <c r="B118" s="73">
        <v>979101</v>
      </c>
      <c r="C118" s="73">
        <v>29040</v>
      </c>
      <c r="D118" s="73">
        <v>25751</v>
      </c>
      <c r="E118" s="73"/>
      <c r="F118" s="73"/>
      <c r="G118" s="73"/>
      <c r="H118" s="74">
        <v>29.7</v>
      </c>
      <c r="I118" s="74">
        <v>26.3</v>
      </c>
      <c r="J118" s="74"/>
      <c r="K118" s="14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1"/>
      <c r="AB118" s="46">
        <f>B118</f>
        <v>979101</v>
      </c>
      <c r="AC118" s="46">
        <f>C118</f>
        <v>29040</v>
      </c>
      <c r="AD118" s="46">
        <f>D118</f>
        <v>25751</v>
      </c>
      <c r="AE118" s="1"/>
      <c r="AF118" s="68"/>
      <c r="AG118" s="68"/>
      <c r="AH118" s="68"/>
      <c r="AI118" s="1"/>
      <c r="AJ118" s="47">
        <f>C118/B118*1000</f>
        <v>29.659861444324946</v>
      </c>
      <c r="AK118" s="47">
        <f>D118/B118*1000</f>
        <v>26.300657439835113</v>
      </c>
      <c r="AL118" s="1"/>
      <c r="AM118" s="47">
        <f>AJ118-H118</f>
        <v>-4.0138555675053311E-2</v>
      </c>
      <c r="AN118" s="47">
        <f>AK118-I118</f>
        <v>6.5743983511268311E-4</v>
      </c>
    </row>
    <row r="119" spans="1:40">
      <c r="A119" s="50" t="s">
        <v>119</v>
      </c>
      <c r="B119" s="51">
        <v>1622122</v>
      </c>
      <c r="C119" s="51">
        <v>82166</v>
      </c>
      <c r="D119" s="51">
        <v>63591</v>
      </c>
      <c r="E119" s="51">
        <v>103312</v>
      </c>
      <c r="F119" s="51">
        <v>4453</v>
      </c>
      <c r="G119" s="51">
        <v>4350</v>
      </c>
      <c r="H119" s="52">
        <v>50.7</v>
      </c>
      <c r="I119" s="52">
        <v>39.200000000000003</v>
      </c>
      <c r="J119" s="52"/>
      <c r="K119" s="14"/>
      <c r="L119" s="51">
        <v>209358</v>
      </c>
      <c r="M119" s="51">
        <v>148548</v>
      </c>
      <c r="N119" s="51">
        <v>152356</v>
      </c>
      <c r="O119" s="51">
        <v>116623</v>
      </c>
      <c r="P119" s="51">
        <v>137248</v>
      </c>
      <c r="Q119" s="51">
        <v>139070</v>
      </c>
      <c r="R119" s="51">
        <v>121088</v>
      </c>
      <c r="S119" s="51">
        <v>200568</v>
      </c>
      <c r="T119" s="51">
        <v>112122</v>
      </c>
      <c r="U119" s="51">
        <v>113046</v>
      </c>
      <c r="V119" s="51">
        <v>172281</v>
      </c>
      <c r="W119" s="51"/>
      <c r="X119" s="51"/>
      <c r="Y119" s="51"/>
      <c r="Z119" s="51"/>
      <c r="AA119" s="1"/>
      <c r="AB119" s="46">
        <f>SUM(L119:Z119)</f>
        <v>1622308</v>
      </c>
      <c r="AC119" s="46">
        <f>SUM(L120:Z120)</f>
        <v>82166</v>
      </c>
      <c r="AD119" s="46">
        <f>SUM(L121:Z121)</f>
        <v>63591</v>
      </c>
      <c r="AE119" s="1"/>
      <c r="AF119" s="46">
        <f>AB119-B119</f>
        <v>186</v>
      </c>
      <c r="AG119" s="46">
        <f>AC119-C119</f>
        <v>0</v>
      </c>
      <c r="AH119" s="46">
        <f>AD119-D119</f>
        <v>0</v>
      </c>
      <c r="AI119" s="1"/>
      <c r="AJ119" s="47">
        <f>C119/B119*1000</f>
        <v>50.653403381496581</v>
      </c>
      <c r="AK119" s="47">
        <f>D119/B119*1000</f>
        <v>39.202353460467215</v>
      </c>
      <c r="AL119" s="1"/>
      <c r="AM119" s="47">
        <f>AJ119-H119</f>
        <v>-4.6596618503421894E-2</v>
      </c>
      <c r="AN119" s="47">
        <f>AK119-I119</f>
        <v>2.3534604672121873E-3</v>
      </c>
    </row>
    <row r="120" spans="1:40">
      <c r="A120" s="12" t="s">
        <v>120</v>
      </c>
      <c r="B120" s="13"/>
      <c r="C120" s="13"/>
      <c r="D120" s="13"/>
      <c r="E120" s="13"/>
      <c r="F120" s="13"/>
      <c r="G120" s="13"/>
      <c r="H120" s="14"/>
      <c r="I120" s="14"/>
      <c r="J120" s="14"/>
      <c r="K120" s="14"/>
      <c r="L120" s="13">
        <v>10356</v>
      </c>
      <c r="M120" s="13">
        <v>8150</v>
      </c>
      <c r="N120" s="13">
        <v>8286</v>
      </c>
      <c r="O120" s="13">
        <v>5911</v>
      </c>
      <c r="P120" s="13">
        <v>6442</v>
      </c>
      <c r="Q120" s="13">
        <v>6780</v>
      </c>
      <c r="R120" s="13">
        <v>6102</v>
      </c>
      <c r="S120" s="13">
        <v>10755</v>
      </c>
      <c r="T120" s="13">
        <v>5905</v>
      </c>
      <c r="U120" s="13">
        <v>5145</v>
      </c>
      <c r="V120" s="13">
        <v>8334</v>
      </c>
      <c r="W120" s="13"/>
      <c r="X120" s="13"/>
      <c r="Y120" s="13"/>
      <c r="Z120" s="13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2" t="s">
        <v>121</v>
      </c>
      <c r="B121" s="13"/>
      <c r="C121" s="13"/>
      <c r="D121" s="13"/>
      <c r="E121" s="13"/>
      <c r="F121" s="13"/>
      <c r="G121" s="13"/>
      <c r="H121" s="14"/>
      <c r="I121" s="14"/>
      <c r="J121" s="14"/>
      <c r="K121" s="14"/>
      <c r="L121" s="13">
        <v>9400</v>
      </c>
      <c r="M121" s="13">
        <v>6358</v>
      </c>
      <c r="N121" s="13">
        <v>6876</v>
      </c>
      <c r="O121" s="13">
        <v>5333</v>
      </c>
      <c r="P121" s="13">
        <v>4554</v>
      </c>
      <c r="Q121" s="13">
        <v>4773</v>
      </c>
      <c r="R121" s="13">
        <v>4687</v>
      </c>
      <c r="S121" s="13">
        <v>7589</v>
      </c>
      <c r="T121" s="13">
        <v>4129</v>
      </c>
      <c r="U121" s="13">
        <v>3715</v>
      </c>
      <c r="V121" s="13">
        <v>6177</v>
      </c>
      <c r="W121" s="13"/>
      <c r="X121" s="13"/>
      <c r="Y121" s="13"/>
      <c r="Z121" s="13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50" t="s">
        <v>122</v>
      </c>
      <c r="B122" s="51">
        <v>1352502</v>
      </c>
      <c r="C122" s="51">
        <v>55970</v>
      </c>
      <c r="D122" s="51">
        <v>39700</v>
      </c>
      <c r="E122" s="51">
        <v>92520</v>
      </c>
      <c r="F122" s="51">
        <v>2461</v>
      </c>
      <c r="G122" s="51">
        <v>2334</v>
      </c>
      <c r="H122" s="52">
        <v>41.4</v>
      </c>
      <c r="I122" s="52">
        <v>29.4</v>
      </c>
      <c r="J122" s="52"/>
      <c r="K122" s="14"/>
      <c r="L122" s="51">
        <v>181594</v>
      </c>
      <c r="M122" s="51">
        <v>152918</v>
      </c>
      <c r="N122" s="51">
        <v>84772</v>
      </c>
      <c r="O122" s="51">
        <v>98238</v>
      </c>
      <c r="P122" s="51">
        <v>74110</v>
      </c>
      <c r="Q122" s="51">
        <v>123827</v>
      </c>
      <c r="R122" s="51">
        <v>93648</v>
      </c>
      <c r="S122" s="51">
        <v>198693</v>
      </c>
      <c r="T122" s="51">
        <v>100984</v>
      </c>
      <c r="U122" s="51">
        <v>89743</v>
      </c>
      <c r="V122" s="51">
        <v>153975</v>
      </c>
      <c r="W122" s="51"/>
      <c r="X122" s="51"/>
      <c r="Y122" s="51"/>
      <c r="Z122" s="51"/>
      <c r="AA122" s="1"/>
      <c r="AB122" s="46">
        <f>SUM(L122:Z122)</f>
        <v>1352502</v>
      </c>
      <c r="AC122" s="46">
        <f>SUM(L123:Z123)</f>
        <v>55970</v>
      </c>
      <c r="AD122" s="46">
        <f>SUM(L124:Z124)</f>
        <v>39700</v>
      </c>
      <c r="AE122" s="1"/>
      <c r="AF122" s="46">
        <f>AB122-B122</f>
        <v>0</v>
      </c>
      <c r="AG122" s="46">
        <f>AC122-C122</f>
        <v>0</v>
      </c>
      <c r="AH122" s="46">
        <f>AD122-D122</f>
        <v>0</v>
      </c>
      <c r="AI122" s="1"/>
      <c r="AJ122" s="47">
        <f>C122/B122*1000</f>
        <v>41.382563574767353</v>
      </c>
      <c r="AK122" s="47">
        <f>D122/B122*1000</f>
        <v>29.353006502023657</v>
      </c>
      <c r="AL122" s="1"/>
      <c r="AM122" s="47">
        <f>AJ122-H122</f>
        <v>-1.7436425232645547E-2</v>
      </c>
      <c r="AN122" s="47">
        <f>AK122-I122</f>
        <v>-4.6993497976341558E-2</v>
      </c>
    </row>
    <row r="123" spans="1:40">
      <c r="A123" s="12" t="s">
        <v>123</v>
      </c>
      <c r="B123" s="13"/>
      <c r="C123" s="13"/>
      <c r="D123" s="13"/>
      <c r="E123" s="13"/>
      <c r="F123" s="13"/>
      <c r="G123" s="13"/>
      <c r="H123" s="14"/>
      <c r="I123" s="14"/>
      <c r="J123" s="14"/>
      <c r="K123" s="14"/>
      <c r="L123" s="13">
        <v>6417</v>
      </c>
      <c r="M123" s="13">
        <v>5830</v>
      </c>
      <c r="N123" s="13">
        <v>3488</v>
      </c>
      <c r="O123" s="13">
        <v>3582</v>
      </c>
      <c r="P123" s="13">
        <v>3594</v>
      </c>
      <c r="Q123" s="13">
        <v>5548</v>
      </c>
      <c r="R123" s="13">
        <v>4282</v>
      </c>
      <c r="S123" s="13">
        <v>8149</v>
      </c>
      <c r="T123" s="13">
        <v>3970</v>
      </c>
      <c r="U123" s="13">
        <v>4227</v>
      </c>
      <c r="V123" s="13">
        <v>6883</v>
      </c>
      <c r="W123" s="13"/>
      <c r="X123" s="13"/>
      <c r="Y123" s="13"/>
      <c r="Z123" s="13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2" t="s">
        <v>124</v>
      </c>
      <c r="B124" s="13"/>
      <c r="C124" s="13"/>
      <c r="D124" s="13"/>
      <c r="E124" s="13"/>
      <c r="F124" s="13"/>
      <c r="G124" s="13"/>
      <c r="H124" s="14"/>
      <c r="I124" s="14"/>
      <c r="J124" s="14"/>
      <c r="K124" s="14"/>
      <c r="L124" s="13">
        <v>5181</v>
      </c>
      <c r="M124" s="13">
        <v>4259</v>
      </c>
      <c r="N124" s="13">
        <v>2131</v>
      </c>
      <c r="O124" s="13">
        <v>3434</v>
      </c>
      <c r="P124" s="13">
        <v>2537</v>
      </c>
      <c r="Q124" s="13">
        <v>3958</v>
      </c>
      <c r="R124" s="13">
        <v>3260</v>
      </c>
      <c r="S124" s="13">
        <v>5621</v>
      </c>
      <c r="T124" s="13">
        <v>2739</v>
      </c>
      <c r="U124" s="13">
        <v>2757</v>
      </c>
      <c r="V124" s="13">
        <v>3823</v>
      </c>
      <c r="W124" s="13"/>
      <c r="X124" s="13"/>
      <c r="Y124" s="13"/>
      <c r="Z124" s="13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50" t="s">
        <v>125</v>
      </c>
      <c r="B125" s="84">
        <v>371617</v>
      </c>
      <c r="C125" s="51">
        <v>14820</v>
      </c>
      <c r="D125" s="51">
        <v>13632</v>
      </c>
      <c r="E125" s="51">
        <v>25627</v>
      </c>
      <c r="F125" s="51">
        <v>868</v>
      </c>
      <c r="G125" s="51">
        <v>960</v>
      </c>
      <c r="H125" s="52">
        <v>40</v>
      </c>
      <c r="I125" s="52">
        <v>36.6</v>
      </c>
      <c r="J125" s="52"/>
      <c r="K125" s="14"/>
      <c r="L125" s="51">
        <v>86286</v>
      </c>
      <c r="M125" s="51">
        <v>53503</v>
      </c>
      <c r="N125" s="51">
        <v>81067</v>
      </c>
      <c r="O125" s="51">
        <v>45904</v>
      </c>
      <c r="P125" s="51">
        <v>27600</v>
      </c>
      <c r="Q125" s="51">
        <v>41545</v>
      </c>
      <c r="R125" s="51">
        <v>35712</v>
      </c>
      <c r="S125" s="51"/>
      <c r="T125" s="51"/>
      <c r="U125" s="51"/>
      <c r="V125" s="51"/>
      <c r="W125" s="51"/>
      <c r="X125" s="51"/>
      <c r="Y125" s="51"/>
      <c r="Z125" s="51"/>
      <c r="AA125" s="1"/>
      <c r="AB125" s="46">
        <f>SUM(L125:Z125)</f>
        <v>371617</v>
      </c>
      <c r="AC125" s="46">
        <f>SUM(L126:Z126)</f>
        <v>14820</v>
      </c>
      <c r="AD125" s="46">
        <f>SUM(L127:Z127)</f>
        <v>13632</v>
      </c>
      <c r="AE125" s="1"/>
      <c r="AF125" s="46">
        <f>AB125-B125</f>
        <v>0</v>
      </c>
      <c r="AG125" s="46">
        <f>AC125-C125</f>
        <v>0</v>
      </c>
      <c r="AH125" s="46">
        <f>AD125-D125</f>
        <v>0</v>
      </c>
      <c r="AI125" s="1"/>
      <c r="AJ125" s="47">
        <f>C125/B125*1000</f>
        <v>39.879768686577847</v>
      </c>
      <c r="AK125" s="47">
        <f>D125/B125*1000</f>
        <v>36.682928929516144</v>
      </c>
      <c r="AL125" s="1"/>
      <c r="AM125" s="47">
        <f>AJ125-H125</f>
        <v>-0.12023131342215265</v>
      </c>
      <c r="AN125" s="47">
        <f>AK125-I125</f>
        <v>8.2928929516143057E-2</v>
      </c>
    </row>
    <row r="126" spans="1:40">
      <c r="A126" s="12" t="s">
        <v>126</v>
      </c>
      <c r="B126" s="13"/>
      <c r="C126" s="13"/>
      <c r="D126" s="13"/>
      <c r="E126" s="13"/>
      <c r="F126" s="13"/>
      <c r="G126" s="13"/>
      <c r="H126" s="14"/>
      <c r="I126" s="14"/>
      <c r="J126" s="14"/>
      <c r="K126" s="14"/>
      <c r="L126" s="13">
        <v>3357</v>
      </c>
      <c r="M126" s="13">
        <v>2291</v>
      </c>
      <c r="N126" s="13">
        <v>3202</v>
      </c>
      <c r="O126" s="13">
        <v>1979</v>
      </c>
      <c r="P126" s="13">
        <v>919</v>
      </c>
      <c r="Q126" s="13">
        <v>1588</v>
      </c>
      <c r="R126" s="13">
        <v>1484</v>
      </c>
      <c r="S126" s="13"/>
      <c r="T126" s="13"/>
      <c r="U126" s="13"/>
      <c r="V126" s="13"/>
      <c r="W126" s="13"/>
      <c r="X126" s="13"/>
      <c r="Y126" s="13"/>
      <c r="Z126" s="13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2" t="s">
        <v>127</v>
      </c>
      <c r="B127" s="13"/>
      <c r="C127" s="13"/>
      <c r="D127" s="13"/>
      <c r="E127" s="13"/>
      <c r="F127" s="13"/>
      <c r="G127" s="13"/>
      <c r="H127" s="14"/>
      <c r="I127" s="14"/>
      <c r="J127" s="14"/>
      <c r="K127" s="14"/>
      <c r="L127" s="13">
        <v>2862</v>
      </c>
      <c r="M127" s="13">
        <v>2253</v>
      </c>
      <c r="N127" s="13">
        <v>3316</v>
      </c>
      <c r="O127" s="13">
        <v>1605</v>
      </c>
      <c r="P127" s="13">
        <v>704</v>
      </c>
      <c r="Q127" s="13">
        <v>1593</v>
      </c>
      <c r="R127" s="13">
        <v>1299</v>
      </c>
      <c r="S127" s="13"/>
      <c r="T127" s="13"/>
      <c r="U127" s="13"/>
      <c r="V127" s="13"/>
      <c r="W127" s="13"/>
      <c r="X127" s="13"/>
      <c r="Y127" s="13"/>
      <c r="Z127" s="13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50" t="s">
        <v>128</v>
      </c>
      <c r="B128" s="51">
        <v>2196765</v>
      </c>
      <c r="C128" s="51">
        <v>106749</v>
      </c>
      <c r="D128" s="51">
        <v>82213</v>
      </c>
      <c r="E128" s="51">
        <v>244196</v>
      </c>
      <c r="F128" s="51">
        <v>7609</v>
      </c>
      <c r="G128" s="51">
        <v>6242</v>
      </c>
      <c r="H128" s="52">
        <v>48.6</v>
      </c>
      <c r="I128" s="52">
        <v>37.4</v>
      </c>
      <c r="J128" s="52"/>
      <c r="K128" s="14"/>
      <c r="L128" s="51">
        <v>230791</v>
      </c>
      <c r="M128" s="51">
        <v>156815</v>
      </c>
      <c r="N128" s="51">
        <v>173578</v>
      </c>
      <c r="O128" s="51">
        <v>110876</v>
      </c>
      <c r="P128" s="51">
        <v>302393</v>
      </c>
      <c r="Q128" s="51">
        <v>138130</v>
      </c>
      <c r="R128" s="51">
        <v>120413</v>
      </c>
      <c r="S128" s="51">
        <v>363587</v>
      </c>
      <c r="T128" s="51">
        <v>196021</v>
      </c>
      <c r="U128" s="51">
        <v>111285</v>
      </c>
      <c r="V128" s="51">
        <v>153299</v>
      </c>
      <c r="W128" s="51">
        <v>139377</v>
      </c>
      <c r="X128" s="51"/>
      <c r="Y128" s="51"/>
      <c r="Z128" s="51"/>
      <c r="AA128" s="1"/>
      <c r="AB128" s="46">
        <f>SUM(L128:Z128)</f>
        <v>2196565</v>
      </c>
      <c r="AC128" s="46">
        <f>SUM(L129:Z129)</f>
        <v>106749</v>
      </c>
      <c r="AD128" s="46">
        <f>SUM(L130:Z130)</f>
        <v>82213</v>
      </c>
      <c r="AE128" s="1"/>
      <c r="AF128" s="46">
        <f>AB128-B128</f>
        <v>-200</v>
      </c>
      <c r="AG128" s="46">
        <f>AC128-C128</f>
        <v>0</v>
      </c>
      <c r="AH128" s="46">
        <f>AD128-D128</f>
        <v>0</v>
      </c>
      <c r="AI128" s="1"/>
      <c r="AJ128" s="47">
        <f>C128/B128*1000</f>
        <v>48.593727594895221</v>
      </c>
      <c r="AK128" s="47">
        <f>D128/B128*1000</f>
        <v>37.424576593308799</v>
      </c>
      <c r="AL128" s="1"/>
      <c r="AM128" s="47">
        <f>AJ128-H128</f>
        <v>-6.2724051047808871E-3</v>
      </c>
      <c r="AN128" s="47">
        <f>AK128-I128</f>
        <v>2.4576593308800909E-2</v>
      </c>
    </row>
    <row r="129" spans="1:40">
      <c r="A129" s="12" t="s">
        <v>129</v>
      </c>
      <c r="B129" s="13"/>
      <c r="C129" s="13"/>
      <c r="D129" s="13"/>
      <c r="E129" s="13"/>
      <c r="F129" s="13"/>
      <c r="G129" s="13"/>
      <c r="H129" s="14"/>
      <c r="I129" s="14"/>
      <c r="J129" s="14"/>
      <c r="K129" s="14"/>
      <c r="L129" s="13">
        <v>10580</v>
      </c>
      <c r="M129" s="13">
        <v>7015</v>
      </c>
      <c r="N129" s="13">
        <v>10224</v>
      </c>
      <c r="O129" s="13">
        <v>5513</v>
      </c>
      <c r="P129" s="13">
        <v>15158</v>
      </c>
      <c r="Q129" s="13">
        <v>7268</v>
      </c>
      <c r="R129" s="13">
        <v>5625</v>
      </c>
      <c r="S129" s="13">
        <v>15711</v>
      </c>
      <c r="T129" s="13">
        <v>9197</v>
      </c>
      <c r="U129" s="13">
        <v>5254</v>
      </c>
      <c r="V129" s="13">
        <v>8041</v>
      </c>
      <c r="W129" s="13">
        <v>7163</v>
      </c>
      <c r="X129" s="13"/>
      <c r="Y129" s="13"/>
      <c r="Z129" s="13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2" t="s">
        <v>130</v>
      </c>
      <c r="B130" s="13"/>
      <c r="C130" s="13"/>
      <c r="D130" s="13"/>
      <c r="E130" s="13"/>
      <c r="F130" s="13"/>
      <c r="G130" s="13"/>
      <c r="H130" s="14"/>
      <c r="I130" s="14"/>
      <c r="J130" s="14"/>
      <c r="K130" s="14"/>
      <c r="L130" s="13">
        <v>7922</v>
      </c>
      <c r="M130" s="13">
        <v>6417</v>
      </c>
      <c r="N130" s="13">
        <v>7390</v>
      </c>
      <c r="O130" s="13">
        <v>3748</v>
      </c>
      <c r="P130" s="13">
        <v>10817</v>
      </c>
      <c r="Q130" s="13">
        <v>6280</v>
      </c>
      <c r="R130" s="13">
        <v>4486</v>
      </c>
      <c r="S130" s="13">
        <v>12164</v>
      </c>
      <c r="T130" s="13">
        <v>7676</v>
      </c>
      <c r="U130" s="13">
        <v>4614</v>
      </c>
      <c r="V130" s="13">
        <v>5614</v>
      </c>
      <c r="W130" s="13">
        <v>5085</v>
      </c>
      <c r="X130" s="13"/>
      <c r="Y130" s="13"/>
      <c r="Z130" s="13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50" t="s">
        <v>131</v>
      </c>
      <c r="B131" s="51">
        <v>1611570</v>
      </c>
      <c r="C131" s="51">
        <v>80547</v>
      </c>
      <c r="D131" s="51">
        <v>64692</v>
      </c>
      <c r="E131" s="51">
        <v>137957</v>
      </c>
      <c r="F131" s="51">
        <v>6543</v>
      </c>
      <c r="G131" s="51">
        <v>5683</v>
      </c>
      <c r="H131" s="52">
        <v>49.5</v>
      </c>
      <c r="I131" s="52">
        <v>40.700000000000003</v>
      </c>
      <c r="J131" s="52"/>
      <c r="K131" s="14"/>
      <c r="L131" s="51">
        <v>163324</v>
      </c>
      <c r="M131" s="51">
        <v>179446</v>
      </c>
      <c r="N131" s="51">
        <v>215552</v>
      </c>
      <c r="O131" s="51">
        <v>130995</v>
      </c>
      <c r="P131" s="51">
        <v>187416</v>
      </c>
      <c r="Q131" s="84">
        <v>116098</v>
      </c>
      <c r="R131" s="51">
        <v>133057</v>
      </c>
      <c r="S131" s="51">
        <v>169161</v>
      </c>
      <c r="T131" s="51">
        <v>158096</v>
      </c>
      <c r="U131" s="51">
        <v>158425</v>
      </c>
      <c r="V131" s="51"/>
      <c r="W131" s="51"/>
      <c r="X131" s="51"/>
      <c r="Y131" s="51"/>
      <c r="Z131" s="51"/>
      <c r="AA131" s="1"/>
      <c r="AB131" s="46">
        <f>SUM(L131:Z131)</f>
        <v>1611570</v>
      </c>
      <c r="AC131" s="46">
        <f>SUM(L132:Z132)</f>
        <v>80547</v>
      </c>
      <c r="AD131" s="46">
        <f>SUM(L133:Z133)</f>
        <v>64692</v>
      </c>
      <c r="AE131" s="1"/>
      <c r="AF131" s="46">
        <f>AB131-B131</f>
        <v>0</v>
      </c>
      <c r="AG131" s="46">
        <f>AC131-C131</f>
        <v>0</v>
      </c>
      <c r="AH131" s="46">
        <f>AD131-D131</f>
        <v>0</v>
      </c>
      <c r="AI131" s="1"/>
      <c r="AJ131" s="47">
        <f>C131/B131*1000</f>
        <v>49.980453843146748</v>
      </c>
      <c r="AK131" s="47">
        <f>D131/B131*1000</f>
        <v>40.142221560341781</v>
      </c>
      <c r="AL131" s="1"/>
      <c r="AM131" s="47">
        <f>AJ131-H131</f>
        <v>0.48045384314674777</v>
      </c>
      <c r="AN131" s="47">
        <f>AK131-I131</f>
        <v>-0.55777843965822171</v>
      </c>
    </row>
    <row r="132" spans="1:40">
      <c r="A132" s="12" t="s">
        <v>132</v>
      </c>
      <c r="B132" s="13"/>
      <c r="C132" s="13"/>
      <c r="D132" s="13"/>
      <c r="E132" s="13"/>
      <c r="F132" s="13"/>
      <c r="G132" s="13"/>
      <c r="H132" s="14"/>
      <c r="I132" s="14"/>
      <c r="J132" s="14"/>
      <c r="K132" s="14"/>
      <c r="L132" s="13">
        <v>8845</v>
      </c>
      <c r="M132" s="13">
        <v>9792</v>
      </c>
      <c r="N132" s="13">
        <v>10146</v>
      </c>
      <c r="O132" s="13">
        <v>5372</v>
      </c>
      <c r="P132" s="13">
        <v>9138</v>
      </c>
      <c r="Q132" s="13">
        <v>6767</v>
      </c>
      <c r="R132" s="13">
        <v>6742</v>
      </c>
      <c r="S132" s="13">
        <v>7961</v>
      </c>
      <c r="T132" s="13">
        <v>7322</v>
      </c>
      <c r="U132" s="13">
        <v>8462</v>
      </c>
      <c r="V132" s="13"/>
      <c r="W132" s="13"/>
      <c r="X132" s="13"/>
      <c r="Y132" s="13"/>
      <c r="Z132" s="13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2" t="s">
        <v>133</v>
      </c>
      <c r="B133" s="13"/>
      <c r="C133" s="13"/>
      <c r="D133" s="13"/>
      <c r="E133" s="13"/>
      <c r="F133" s="13"/>
      <c r="G133" s="13"/>
      <c r="H133" s="14"/>
      <c r="I133" s="14"/>
      <c r="J133" s="14"/>
      <c r="K133" s="14"/>
      <c r="L133" s="13">
        <v>6826</v>
      </c>
      <c r="M133" s="13">
        <v>6596</v>
      </c>
      <c r="N133" s="13">
        <v>7911</v>
      </c>
      <c r="O133" s="13">
        <v>5027</v>
      </c>
      <c r="P133" s="13">
        <v>6639</v>
      </c>
      <c r="Q133" s="13">
        <v>5895</v>
      </c>
      <c r="R133" s="13">
        <v>5134</v>
      </c>
      <c r="S133" s="13">
        <v>6296</v>
      </c>
      <c r="T133" s="13">
        <v>5815</v>
      </c>
      <c r="U133" s="13">
        <v>8553</v>
      </c>
      <c r="V133" s="13"/>
      <c r="W133" s="13"/>
      <c r="X133" s="13"/>
      <c r="Y133" s="13"/>
      <c r="Z133" s="13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50" t="s">
        <v>134</v>
      </c>
      <c r="B134" s="51">
        <v>2893332</v>
      </c>
      <c r="C134" s="51">
        <v>159427</v>
      </c>
      <c r="D134" s="51">
        <v>119801</v>
      </c>
      <c r="E134" s="51">
        <v>150072</v>
      </c>
      <c r="F134" s="51">
        <v>5516</v>
      </c>
      <c r="G134" s="51">
        <v>5054</v>
      </c>
      <c r="H134" s="52">
        <v>55.1</v>
      </c>
      <c r="I134" s="52">
        <v>41.4</v>
      </c>
      <c r="J134" s="52"/>
      <c r="K134" s="14"/>
      <c r="L134" s="51">
        <v>249207</v>
      </c>
      <c r="M134" s="51">
        <v>241148</v>
      </c>
      <c r="N134" s="51">
        <v>406090</v>
      </c>
      <c r="O134" s="51">
        <v>151286</v>
      </c>
      <c r="P134" s="51">
        <v>261851</v>
      </c>
      <c r="Q134" s="51">
        <v>250050</v>
      </c>
      <c r="R134" s="51">
        <v>131047</v>
      </c>
      <c r="S134" s="51">
        <v>288637</v>
      </c>
      <c r="T134" s="51">
        <v>266316</v>
      </c>
      <c r="U134" s="51">
        <v>218800</v>
      </c>
      <c r="V134" s="51">
        <v>100157</v>
      </c>
      <c r="W134" s="51">
        <v>328743</v>
      </c>
      <c r="X134" s="51"/>
      <c r="Y134" s="51"/>
      <c r="Z134" s="51"/>
      <c r="AA134" s="1"/>
      <c r="AB134" s="46">
        <f>SUM(L134:Z134)</f>
        <v>2893332</v>
      </c>
      <c r="AC134" s="46">
        <f>SUM(L135:Z135)</f>
        <v>159427</v>
      </c>
      <c r="AD134" s="46">
        <f>SUM(L136:Z136)</f>
        <v>119801</v>
      </c>
      <c r="AE134" s="1"/>
      <c r="AF134" s="46">
        <f>AB134-B134</f>
        <v>0</v>
      </c>
      <c r="AG134" s="46">
        <f>AC134-C134</f>
        <v>0</v>
      </c>
      <c r="AH134" s="46">
        <f>AD134-D134</f>
        <v>0</v>
      </c>
      <c r="AI134" s="1"/>
      <c r="AJ134" s="47">
        <f>C134/B134*1000</f>
        <v>55.101523088259491</v>
      </c>
      <c r="AK134" s="47">
        <f>D134/B134*1000</f>
        <v>41.405894657094315</v>
      </c>
      <c r="AL134" s="1"/>
      <c r="AM134" s="47">
        <f>AJ134-H134</f>
        <v>1.5230882594892137E-3</v>
      </c>
      <c r="AN134" s="47">
        <f>AK134-I134</f>
        <v>5.8946570943163579E-3</v>
      </c>
    </row>
    <row r="135" spans="1:40">
      <c r="A135" s="12" t="s">
        <v>135</v>
      </c>
      <c r="B135" s="13"/>
      <c r="C135" s="13"/>
      <c r="D135" s="13"/>
      <c r="E135" s="13"/>
      <c r="F135" s="13"/>
      <c r="G135" s="13"/>
      <c r="H135" s="14"/>
      <c r="I135" s="14"/>
      <c r="J135" s="14"/>
      <c r="K135" s="14"/>
      <c r="L135" s="13">
        <v>13955</v>
      </c>
      <c r="M135" s="13">
        <v>13508</v>
      </c>
      <c r="N135" s="13">
        <v>22220</v>
      </c>
      <c r="O135" s="13">
        <v>8826</v>
      </c>
      <c r="P135" s="13">
        <v>13907</v>
      </c>
      <c r="Q135" s="13">
        <v>13978</v>
      </c>
      <c r="R135" s="13">
        <v>8293</v>
      </c>
      <c r="S135" s="13">
        <v>17777</v>
      </c>
      <c r="T135" s="13">
        <v>13577</v>
      </c>
      <c r="U135" s="13">
        <v>12192</v>
      </c>
      <c r="V135" s="13">
        <v>5313</v>
      </c>
      <c r="W135" s="13">
        <v>15881</v>
      </c>
      <c r="X135" s="13"/>
      <c r="Y135" s="13"/>
      <c r="Z135" s="13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2" t="s">
        <v>136</v>
      </c>
      <c r="B136" s="13"/>
      <c r="C136" s="13"/>
      <c r="D136" s="13"/>
      <c r="E136" s="13"/>
      <c r="F136" s="13"/>
      <c r="G136" s="13"/>
      <c r="H136" s="14"/>
      <c r="I136" s="14"/>
      <c r="J136" s="14"/>
      <c r="K136" s="14"/>
      <c r="L136" s="13">
        <v>11079</v>
      </c>
      <c r="M136" s="13">
        <v>10811</v>
      </c>
      <c r="N136" s="13">
        <v>15615</v>
      </c>
      <c r="O136" s="13">
        <v>6830</v>
      </c>
      <c r="P136" s="13">
        <v>11114</v>
      </c>
      <c r="Q136" s="13">
        <v>8818</v>
      </c>
      <c r="R136" s="13">
        <v>7316</v>
      </c>
      <c r="S136" s="13">
        <v>11895</v>
      </c>
      <c r="T136" s="13">
        <v>10292</v>
      </c>
      <c r="U136" s="13">
        <v>9762</v>
      </c>
      <c r="V136" s="13">
        <v>3670</v>
      </c>
      <c r="W136" s="13">
        <v>12599</v>
      </c>
      <c r="X136" s="13"/>
      <c r="Y136" s="13"/>
      <c r="Z136" s="13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50" t="s">
        <v>137</v>
      </c>
      <c r="B137" s="51">
        <v>3102588</v>
      </c>
      <c r="C137" s="51">
        <v>131430</v>
      </c>
      <c r="D137" s="51">
        <v>74706</v>
      </c>
      <c r="E137" s="51">
        <v>260714</v>
      </c>
      <c r="F137" s="51">
        <v>10738</v>
      </c>
      <c r="G137" s="51">
        <v>6640</v>
      </c>
      <c r="H137" s="52">
        <v>42.4</v>
      </c>
      <c r="I137" s="52">
        <v>24.1</v>
      </c>
      <c r="J137" s="52"/>
      <c r="K137" s="14"/>
      <c r="L137" s="51">
        <v>246611</v>
      </c>
      <c r="M137" s="51">
        <v>182604</v>
      </c>
      <c r="N137" s="51">
        <v>251777</v>
      </c>
      <c r="O137" s="51">
        <v>159858</v>
      </c>
      <c r="P137" s="51">
        <v>264663</v>
      </c>
      <c r="Q137" s="51">
        <v>214726</v>
      </c>
      <c r="R137" s="51">
        <v>271261</v>
      </c>
      <c r="S137" s="51">
        <v>160523</v>
      </c>
      <c r="T137" s="51">
        <v>144247</v>
      </c>
      <c r="U137" s="51">
        <v>174271</v>
      </c>
      <c r="V137" s="51">
        <v>214984</v>
      </c>
      <c r="W137" s="51">
        <v>181457</v>
      </c>
      <c r="X137" s="51">
        <v>228490</v>
      </c>
      <c r="Y137" s="84">
        <v>221829</v>
      </c>
      <c r="Z137" s="51">
        <v>185287</v>
      </c>
      <c r="AA137" s="1"/>
      <c r="AB137" s="46">
        <f>SUM(L137:Z137)</f>
        <v>3102588</v>
      </c>
      <c r="AC137" s="46">
        <f>SUM(L138:Z138)</f>
        <v>131430</v>
      </c>
      <c r="AD137" s="46">
        <f>SUM(L139:Z139)</f>
        <v>74706</v>
      </c>
      <c r="AE137" s="1"/>
      <c r="AF137" s="46">
        <f>AB137-B137</f>
        <v>0</v>
      </c>
      <c r="AG137" s="46">
        <f>AC137-C137</f>
        <v>0</v>
      </c>
      <c r="AH137" s="46">
        <f>AD137-D137</f>
        <v>0</v>
      </c>
      <c r="AI137" s="1"/>
      <c r="AJ137" s="47">
        <f>C137/B137*1000</f>
        <v>42.361409249310576</v>
      </c>
      <c r="AK137" s="47">
        <f>D137/B137*1000</f>
        <v>24.078607923449713</v>
      </c>
      <c r="AL137" s="1"/>
      <c r="AM137" s="47">
        <f>AJ137-H137</f>
        <v>-3.8590750689422748E-2</v>
      </c>
      <c r="AN137" s="47">
        <f>AK137-I137</f>
        <v>-2.1392076550288408E-2</v>
      </c>
    </row>
    <row r="138" spans="1:40">
      <c r="A138" s="12" t="s">
        <v>138</v>
      </c>
      <c r="B138" s="13"/>
      <c r="C138" s="13"/>
      <c r="D138" s="13"/>
      <c r="E138" s="13"/>
      <c r="F138" s="13"/>
      <c r="G138" s="13"/>
      <c r="H138" s="14"/>
      <c r="I138" s="14"/>
      <c r="J138" s="14"/>
      <c r="K138" s="14"/>
      <c r="L138" s="13">
        <v>10096</v>
      </c>
      <c r="M138" s="13">
        <v>7383</v>
      </c>
      <c r="N138" s="13">
        <v>11390</v>
      </c>
      <c r="O138" s="13">
        <v>6348</v>
      </c>
      <c r="P138" s="13">
        <v>9866</v>
      </c>
      <c r="Q138" s="13">
        <v>12249</v>
      </c>
      <c r="R138" s="13">
        <v>10945</v>
      </c>
      <c r="S138" s="13">
        <v>6603</v>
      </c>
      <c r="T138" s="13">
        <v>6861</v>
      </c>
      <c r="U138" s="13">
        <v>7049</v>
      </c>
      <c r="V138" s="13">
        <v>8421</v>
      </c>
      <c r="W138" s="13">
        <v>8213</v>
      </c>
      <c r="X138" s="13">
        <v>9085</v>
      </c>
      <c r="Y138" s="13">
        <v>8606</v>
      </c>
      <c r="Z138" s="13">
        <v>8315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2" t="s">
        <v>139</v>
      </c>
      <c r="B139" s="13"/>
      <c r="C139" s="13"/>
      <c r="D139" s="13"/>
      <c r="E139" s="13"/>
      <c r="F139" s="13"/>
      <c r="G139" s="13"/>
      <c r="H139" s="14"/>
      <c r="I139" s="14"/>
      <c r="J139" s="14"/>
      <c r="K139" s="14"/>
      <c r="L139" s="13">
        <v>6379</v>
      </c>
      <c r="M139" s="13">
        <v>4432</v>
      </c>
      <c r="N139" s="13">
        <v>5991</v>
      </c>
      <c r="O139" s="13">
        <v>3974</v>
      </c>
      <c r="P139" s="13">
        <v>5256</v>
      </c>
      <c r="Q139" s="13">
        <v>5856</v>
      </c>
      <c r="R139" s="13">
        <v>6194</v>
      </c>
      <c r="S139" s="13">
        <v>4644</v>
      </c>
      <c r="T139" s="13">
        <v>3540</v>
      </c>
      <c r="U139" s="13">
        <v>4983</v>
      </c>
      <c r="V139" s="13">
        <v>5270</v>
      </c>
      <c r="W139" s="13">
        <v>4065</v>
      </c>
      <c r="X139" s="13">
        <v>4854</v>
      </c>
      <c r="Y139" s="13">
        <v>5217</v>
      </c>
      <c r="Z139" s="13">
        <v>4051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50" t="s">
        <v>140</v>
      </c>
      <c r="B140" s="51">
        <v>1095853</v>
      </c>
      <c r="C140" s="51">
        <v>52015</v>
      </c>
      <c r="D140" s="51">
        <v>33832</v>
      </c>
      <c r="E140" s="53" t="s">
        <v>9</v>
      </c>
      <c r="F140" s="53" t="s">
        <v>9</v>
      </c>
      <c r="G140" s="53" t="s">
        <v>9</v>
      </c>
      <c r="H140" s="52">
        <v>47.5</v>
      </c>
      <c r="I140" s="52">
        <v>30.9</v>
      </c>
      <c r="J140" s="52"/>
      <c r="K140" s="11"/>
      <c r="L140" s="51">
        <v>228909</v>
      </c>
      <c r="M140" s="51">
        <v>118289</v>
      </c>
      <c r="N140" s="51">
        <v>110484</v>
      </c>
      <c r="O140" s="51">
        <v>136255</v>
      </c>
      <c r="P140" s="51">
        <v>168524</v>
      </c>
      <c r="Q140" s="51">
        <v>173364</v>
      </c>
      <c r="R140" s="51">
        <v>81325</v>
      </c>
      <c r="S140" s="51">
        <v>78433</v>
      </c>
      <c r="T140" s="51"/>
      <c r="U140" s="51"/>
      <c r="V140" s="51"/>
      <c r="W140" s="51"/>
      <c r="X140" s="51"/>
      <c r="Y140" s="51"/>
      <c r="Z140" s="51"/>
      <c r="AA140" s="1"/>
      <c r="AB140" s="46">
        <f>SUM(L140:Z140)</f>
        <v>1095583</v>
      </c>
      <c r="AC140" s="46">
        <f>SUM(L141:Z141)</f>
        <v>52015</v>
      </c>
      <c r="AD140" s="46">
        <f>SUM(L142:Z142)</f>
        <v>33832</v>
      </c>
      <c r="AE140" s="1"/>
      <c r="AF140" s="46">
        <f>AB140-B140</f>
        <v>-270</v>
      </c>
      <c r="AG140" s="46">
        <f>AC140-C140</f>
        <v>0</v>
      </c>
      <c r="AH140" s="46">
        <f>AD140-D140</f>
        <v>0</v>
      </c>
      <c r="AI140" s="1"/>
      <c r="AJ140" s="47">
        <f>C140/B140*1000</f>
        <v>47.465307846946622</v>
      </c>
      <c r="AK140" s="47">
        <f>D140/B140*1000</f>
        <v>30.872753918636899</v>
      </c>
      <c r="AL140" s="1"/>
      <c r="AM140" s="47">
        <f>AJ140-H140</f>
        <v>-3.4692153053377695E-2</v>
      </c>
      <c r="AN140" s="47">
        <f>AK140-I140</f>
        <v>-2.724608136309925E-2</v>
      </c>
    </row>
    <row r="141" spans="1:40">
      <c r="A141" s="12" t="s">
        <v>141</v>
      </c>
      <c r="B141" s="13"/>
      <c r="C141" s="13"/>
      <c r="D141" s="13"/>
      <c r="E141" s="13"/>
      <c r="F141" s="13"/>
      <c r="G141" s="13"/>
      <c r="H141" s="14"/>
      <c r="I141" s="14"/>
      <c r="J141" s="14"/>
      <c r="K141" s="14"/>
      <c r="L141" s="13">
        <v>9897</v>
      </c>
      <c r="M141" s="13">
        <v>6324</v>
      </c>
      <c r="N141" s="13">
        <v>5259</v>
      </c>
      <c r="O141" s="13">
        <v>6605</v>
      </c>
      <c r="P141" s="13">
        <v>7796</v>
      </c>
      <c r="Q141" s="13">
        <v>7480</v>
      </c>
      <c r="R141" s="13">
        <v>4434</v>
      </c>
      <c r="S141" s="13">
        <v>4220</v>
      </c>
      <c r="T141" s="13"/>
      <c r="U141" s="13"/>
      <c r="V141" s="13"/>
      <c r="W141" s="13"/>
      <c r="X141" s="13"/>
      <c r="Y141" s="13"/>
      <c r="Z141" s="13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2" t="s">
        <v>142</v>
      </c>
      <c r="B142" s="13"/>
      <c r="C142" s="13"/>
      <c r="D142" s="13"/>
      <c r="E142" s="13"/>
      <c r="F142" s="13"/>
      <c r="G142" s="13"/>
      <c r="H142" s="14"/>
      <c r="I142" s="14"/>
      <c r="J142" s="14"/>
      <c r="K142" s="14"/>
      <c r="L142" s="13">
        <v>6901</v>
      </c>
      <c r="M142" s="13">
        <v>4382</v>
      </c>
      <c r="N142" s="13">
        <v>3458</v>
      </c>
      <c r="O142" s="13">
        <v>3882</v>
      </c>
      <c r="P142" s="13">
        <v>4358</v>
      </c>
      <c r="Q142" s="13">
        <v>4968</v>
      </c>
      <c r="R142" s="13">
        <v>2991</v>
      </c>
      <c r="S142" s="13">
        <v>2892</v>
      </c>
      <c r="T142" s="13"/>
      <c r="U142" s="13"/>
      <c r="V142" s="13"/>
      <c r="W142" s="13"/>
      <c r="X142" s="13"/>
      <c r="Y142" s="13"/>
      <c r="Z142" s="13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50" t="s">
        <v>143</v>
      </c>
      <c r="B143" s="51">
        <v>1954310</v>
      </c>
      <c r="C143" s="51">
        <v>91299</v>
      </c>
      <c r="D143" s="51">
        <v>63844</v>
      </c>
      <c r="E143" s="51">
        <v>113516</v>
      </c>
      <c r="F143" s="51">
        <v>6318</v>
      </c>
      <c r="G143" s="51">
        <v>5161</v>
      </c>
      <c r="H143" s="52">
        <v>46.7</v>
      </c>
      <c r="I143" s="52">
        <v>32.700000000000003</v>
      </c>
      <c r="J143" s="52"/>
      <c r="K143" s="14"/>
      <c r="L143" s="51">
        <v>226743</v>
      </c>
      <c r="M143" s="51">
        <v>112089</v>
      </c>
      <c r="N143" s="51">
        <v>160300</v>
      </c>
      <c r="O143" s="51">
        <v>149322</v>
      </c>
      <c r="P143" s="51">
        <v>186846</v>
      </c>
      <c r="Q143" s="51">
        <v>163715</v>
      </c>
      <c r="R143" s="51">
        <v>123520</v>
      </c>
      <c r="S143" s="51">
        <v>157692</v>
      </c>
      <c r="T143" s="51">
        <v>146875</v>
      </c>
      <c r="U143" s="51">
        <v>168242</v>
      </c>
      <c r="V143" s="51">
        <v>188555</v>
      </c>
      <c r="W143" s="51">
        <v>170411</v>
      </c>
      <c r="X143" s="51"/>
      <c r="Y143" s="51"/>
      <c r="Z143" s="51"/>
      <c r="AA143" s="1"/>
      <c r="AB143" s="46">
        <f>SUM(L143:Z143)</f>
        <v>1954310</v>
      </c>
      <c r="AC143" s="46">
        <f>SUM(L144:Z144)</f>
        <v>91299</v>
      </c>
      <c r="AD143" s="46">
        <f>SUM(L145:Z145)</f>
        <v>63844</v>
      </c>
      <c r="AE143" s="1"/>
      <c r="AF143" s="46">
        <f>AB143-B143</f>
        <v>0</v>
      </c>
      <c r="AG143" s="46">
        <f>AC143-C143</f>
        <v>0</v>
      </c>
      <c r="AH143" s="46">
        <f>AD143-D143</f>
        <v>0</v>
      </c>
      <c r="AI143" s="1"/>
      <c r="AJ143" s="47">
        <f>C143/B143*1000</f>
        <v>46.716744017069963</v>
      </c>
      <c r="AK143" s="47">
        <f>D143/B143*1000</f>
        <v>32.668307484483016</v>
      </c>
      <c r="AL143" s="1"/>
      <c r="AM143" s="47">
        <f>AJ143-H143</f>
        <v>1.6744017069960648E-2</v>
      </c>
      <c r="AN143" s="47">
        <f>AK143-I143</f>
        <v>-3.169251551698693E-2</v>
      </c>
    </row>
    <row r="144" spans="1:40">
      <c r="A144" s="12" t="s">
        <v>144</v>
      </c>
      <c r="B144" s="13"/>
      <c r="C144" s="13"/>
      <c r="D144" s="13"/>
      <c r="E144" s="13"/>
      <c r="F144" s="13"/>
      <c r="G144" s="13"/>
      <c r="H144" s="14"/>
      <c r="I144" s="14"/>
      <c r="J144" s="14"/>
      <c r="K144" s="14"/>
      <c r="L144" s="13">
        <v>9467</v>
      </c>
      <c r="M144" s="13">
        <v>5484</v>
      </c>
      <c r="N144" s="13">
        <v>9075</v>
      </c>
      <c r="O144" s="13">
        <v>5801</v>
      </c>
      <c r="P144" s="13">
        <v>8002</v>
      </c>
      <c r="Q144" s="13">
        <v>7852</v>
      </c>
      <c r="R144" s="13">
        <v>5147</v>
      </c>
      <c r="S144" s="13">
        <v>8240</v>
      </c>
      <c r="T144" s="13">
        <v>7300</v>
      </c>
      <c r="U144" s="13">
        <v>8561</v>
      </c>
      <c r="V144" s="13">
        <v>8931</v>
      </c>
      <c r="W144" s="13">
        <v>7439</v>
      </c>
      <c r="X144" s="13"/>
      <c r="Y144" s="13"/>
      <c r="Z144" s="13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2" t="s">
        <v>145</v>
      </c>
      <c r="B145" s="13"/>
      <c r="C145" s="13"/>
      <c r="D145" s="13"/>
      <c r="E145" s="13"/>
      <c r="F145" s="13"/>
      <c r="G145" s="13"/>
      <c r="H145" s="14"/>
      <c r="I145" s="14"/>
      <c r="J145" s="14"/>
      <c r="K145" s="14"/>
      <c r="L145" s="13">
        <v>6920</v>
      </c>
      <c r="M145" s="13">
        <v>3788</v>
      </c>
      <c r="N145" s="13">
        <v>5874</v>
      </c>
      <c r="O145" s="13">
        <v>4028</v>
      </c>
      <c r="P145" s="13">
        <v>5217</v>
      </c>
      <c r="Q145" s="13">
        <v>5371</v>
      </c>
      <c r="R145" s="13">
        <v>3802</v>
      </c>
      <c r="S145" s="13">
        <v>6269</v>
      </c>
      <c r="T145" s="13">
        <v>5294</v>
      </c>
      <c r="U145" s="13">
        <v>6443</v>
      </c>
      <c r="V145" s="84">
        <v>5997</v>
      </c>
      <c r="W145" s="13">
        <v>4841</v>
      </c>
      <c r="X145" s="13"/>
      <c r="Y145" s="13"/>
      <c r="Z145" s="13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54" t="s">
        <v>146</v>
      </c>
      <c r="B146" s="55">
        <v>2705016</v>
      </c>
      <c r="C146" s="55">
        <v>145453</v>
      </c>
      <c r="D146" s="55">
        <v>104043</v>
      </c>
      <c r="E146" s="55">
        <v>165903</v>
      </c>
      <c r="F146" s="55">
        <v>6897</v>
      </c>
      <c r="G146" s="55">
        <v>6557</v>
      </c>
      <c r="H146" s="56">
        <v>53.8</v>
      </c>
      <c r="I146" s="56">
        <v>38.5</v>
      </c>
      <c r="J146" s="56"/>
      <c r="K146" s="14"/>
      <c r="L146" s="55">
        <v>343879</v>
      </c>
      <c r="M146" s="55">
        <v>304419</v>
      </c>
      <c r="N146" s="55">
        <v>395768</v>
      </c>
      <c r="O146" s="55">
        <v>462383</v>
      </c>
      <c r="P146" s="55">
        <v>506105</v>
      </c>
      <c r="Q146" s="55">
        <v>415213</v>
      </c>
      <c r="R146" s="55">
        <v>277249</v>
      </c>
      <c r="S146" s="55"/>
      <c r="T146" s="55"/>
      <c r="U146" s="55"/>
      <c r="V146" s="55"/>
      <c r="W146" s="55"/>
      <c r="X146" s="55"/>
      <c r="Y146" s="55"/>
      <c r="Z146" s="55"/>
      <c r="AA146" s="1"/>
      <c r="AB146" s="46">
        <f>SUM(L146:Z146)</f>
        <v>2705016</v>
      </c>
      <c r="AC146" s="46">
        <f>SUM(L147:Z147)</f>
        <v>145453</v>
      </c>
      <c r="AD146" s="46">
        <f>SUM(L148:Z148)</f>
        <v>104034</v>
      </c>
      <c r="AE146" s="1"/>
      <c r="AF146" s="46">
        <f>AB146-B146</f>
        <v>0</v>
      </c>
      <c r="AG146" s="46">
        <f>AC146-C146</f>
        <v>0</v>
      </c>
      <c r="AH146" s="46">
        <f>AD146-D146</f>
        <v>-9</v>
      </c>
      <c r="AI146" s="1"/>
      <c r="AJ146" s="47">
        <f>C146/B146*1000</f>
        <v>53.771585824261294</v>
      </c>
      <c r="AK146" s="47">
        <f>D146/B146*1000</f>
        <v>38.462988758661687</v>
      </c>
      <c r="AL146" s="1"/>
      <c r="AM146" s="47">
        <f>AJ146-H146</f>
        <v>-2.8414175738703307E-2</v>
      </c>
      <c r="AN146" s="47">
        <f>AK146-I146</f>
        <v>-3.7011241338312573E-2</v>
      </c>
    </row>
    <row r="147" spans="1:40">
      <c r="A147" s="12" t="s">
        <v>147</v>
      </c>
      <c r="B147" s="13"/>
      <c r="C147" s="13"/>
      <c r="D147" s="13"/>
      <c r="E147" s="13"/>
      <c r="F147" s="13"/>
      <c r="G147" s="13"/>
      <c r="H147" s="14"/>
      <c r="I147" s="14"/>
      <c r="J147" s="14"/>
      <c r="K147" s="14"/>
      <c r="L147" s="13">
        <v>19148</v>
      </c>
      <c r="M147" s="13">
        <v>14685</v>
      </c>
      <c r="N147" s="13">
        <v>18486</v>
      </c>
      <c r="O147" s="13">
        <v>27039</v>
      </c>
      <c r="P147" s="13">
        <v>26598</v>
      </c>
      <c r="Q147" s="13">
        <v>23593</v>
      </c>
      <c r="R147" s="13">
        <v>15904</v>
      </c>
      <c r="S147" s="13"/>
      <c r="T147" s="13"/>
      <c r="U147" s="13"/>
      <c r="V147" s="13"/>
      <c r="W147" s="13"/>
      <c r="X147" s="13"/>
      <c r="Y147" s="13"/>
      <c r="Z147" s="13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2" t="s">
        <v>148</v>
      </c>
      <c r="B148" s="13"/>
      <c r="C148" s="13"/>
      <c r="D148" s="13"/>
      <c r="E148" s="13"/>
      <c r="F148" s="13"/>
      <c r="G148" s="13"/>
      <c r="H148" s="14"/>
      <c r="I148" s="14"/>
      <c r="J148" s="14"/>
      <c r="K148" s="14"/>
      <c r="L148" s="13">
        <v>17868</v>
      </c>
      <c r="M148" s="13">
        <v>7526</v>
      </c>
      <c r="N148" s="13">
        <v>9438</v>
      </c>
      <c r="O148" s="13">
        <v>17330</v>
      </c>
      <c r="P148" s="13">
        <v>24978</v>
      </c>
      <c r="Q148" s="13">
        <v>14230</v>
      </c>
      <c r="R148" s="13">
        <v>12664</v>
      </c>
      <c r="S148" s="13"/>
      <c r="T148" s="13"/>
      <c r="U148" s="13"/>
      <c r="V148" s="13"/>
      <c r="W148" s="13"/>
      <c r="X148" s="13"/>
      <c r="Y148" s="13"/>
      <c r="Z148" s="13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54" t="s">
        <v>149</v>
      </c>
      <c r="B149" s="55">
        <v>938113</v>
      </c>
      <c r="C149" s="55">
        <v>31826</v>
      </c>
      <c r="D149" s="55">
        <v>31081</v>
      </c>
      <c r="E149" s="55"/>
      <c r="F149" s="55"/>
      <c r="G149" s="55"/>
      <c r="H149" s="56">
        <v>30.7</v>
      </c>
      <c r="I149" s="56">
        <v>30</v>
      </c>
      <c r="J149" s="56"/>
      <c r="K149" s="14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1"/>
      <c r="AB149" s="46">
        <f>B149</f>
        <v>938113</v>
      </c>
      <c r="AC149" s="46">
        <f>C149</f>
        <v>31826</v>
      </c>
      <c r="AD149" s="46">
        <f>D149</f>
        <v>31081</v>
      </c>
      <c r="AE149" s="1"/>
      <c r="AF149" s="68"/>
      <c r="AG149" s="68"/>
      <c r="AH149" s="68"/>
      <c r="AI149" s="1"/>
      <c r="AJ149" s="47">
        <f>C149/B149*1000</f>
        <v>33.925550546682544</v>
      </c>
      <c r="AK149" s="47">
        <f>D149/B149*1000</f>
        <v>33.131403146529259</v>
      </c>
      <c r="AL149" s="1"/>
      <c r="AM149" s="47">
        <f>AJ149-H149</f>
        <v>3.2255505466825447</v>
      </c>
      <c r="AN149" s="47">
        <f>AK149-I149</f>
        <v>3.1314031465292587</v>
      </c>
    </row>
    <row r="150" spans="1:40">
      <c r="A150" s="54" t="s">
        <v>150</v>
      </c>
      <c r="B150" s="55">
        <v>831376</v>
      </c>
      <c r="C150" s="55">
        <v>27595</v>
      </c>
      <c r="D150" s="55">
        <v>23172</v>
      </c>
      <c r="E150" s="55">
        <v>89296</v>
      </c>
      <c r="F150" s="55">
        <v>1601</v>
      </c>
      <c r="G150" s="55">
        <v>1439</v>
      </c>
      <c r="H150" s="56">
        <v>33.200000000000003</v>
      </c>
      <c r="I150" s="56">
        <v>27.9</v>
      </c>
      <c r="J150" s="56"/>
      <c r="K150" s="14"/>
      <c r="L150" s="55">
        <v>131975</v>
      </c>
      <c r="M150" s="84">
        <v>148992</v>
      </c>
      <c r="N150" s="55">
        <v>115365</v>
      </c>
      <c r="O150" s="55">
        <v>91689</v>
      </c>
      <c r="P150" s="55">
        <v>77116</v>
      </c>
      <c r="Q150" s="55">
        <v>133721</v>
      </c>
      <c r="R150" s="55">
        <v>49733</v>
      </c>
      <c r="S150" s="55">
        <v>82785</v>
      </c>
      <c r="T150" s="55"/>
      <c r="U150" s="55"/>
      <c r="V150" s="55"/>
      <c r="W150" s="55"/>
      <c r="X150" s="55"/>
      <c r="Y150" s="55"/>
      <c r="Z150" s="55"/>
      <c r="AA150" s="1"/>
      <c r="AB150" s="46">
        <f>SUM(L150:Z150)</f>
        <v>831376</v>
      </c>
      <c r="AC150" s="46">
        <f>SUM(L151:Z151)</f>
        <v>27596</v>
      </c>
      <c r="AD150" s="46">
        <f>SUM(L152:Z152)</f>
        <v>23172</v>
      </c>
      <c r="AE150" s="1"/>
      <c r="AF150" s="46">
        <f>AB150-B150</f>
        <v>0</v>
      </c>
      <c r="AG150" s="46">
        <f>AC150-C150</f>
        <v>1</v>
      </c>
      <c r="AH150" s="46">
        <f>AD150-D150</f>
        <v>0</v>
      </c>
      <c r="AI150" s="1"/>
      <c r="AJ150" s="47">
        <f>C150/B150*1000</f>
        <v>33.191961278651299</v>
      </c>
      <c r="AK150" s="47">
        <f>D150/B150*1000</f>
        <v>27.871865437539693</v>
      </c>
      <c r="AL150" s="1"/>
      <c r="AM150" s="47">
        <f>AJ150-H150</f>
        <v>-8.0387213487043141E-3</v>
      </c>
      <c r="AN150" s="47">
        <f>AK150-I150</f>
        <v>-2.8134562460305546E-2</v>
      </c>
    </row>
    <row r="151" spans="1:40">
      <c r="A151" s="12" t="s">
        <v>151</v>
      </c>
      <c r="B151" s="13"/>
      <c r="C151" s="13"/>
      <c r="D151" s="13"/>
      <c r="E151" s="13"/>
      <c r="F151" s="13"/>
      <c r="G151" s="13"/>
      <c r="H151" s="14"/>
      <c r="I151" s="14"/>
      <c r="J151" s="14"/>
      <c r="K151" s="14"/>
      <c r="L151" s="13">
        <v>4628</v>
      </c>
      <c r="M151" s="13">
        <v>4550</v>
      </c>
      <c r="N151" s="13">
        <v>4325</v>
      </c>
      <c r="O151" s="13">
        <v>3347</v>
      </c>
      <c r="P151" s="13">
        <v>2543</v>
      </c>
      <c r="Q151" s="13">
        <v>3491</v>
      </c>
      <c r="R151" s="13">
        <v>2039</v>
      </c>
      <c r="S151" s="13">
        <v>2673</v>
      </c>
      <c r="T151" s="13"/>
      <c r="U151" s="13"/>
      <c r="V151" s="13"/>
      <c r="W151" s="13"/>
      <c r="X151" s="13"/>
      <c r="Y151" s="13"/>
      <c r="Z151" s="13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2" t="s">
        <v>152</v>
      </c>
      <c r="B152" s="13"/>
      <c r="C152" s="13"/>
      <c r="D152" s="13"/>
      <c r="E152" s="13"/>
      <c r="F152" s="13"/>
      <c r="G152" s="13"/>
      <c r="H152" s="14"/>
      <c r="I152" s="14"/>
      <c r="J152" s="14"/>
      <c r="K152" s="14"/>
      <c r="L152" s="13">
        <v>3812</v>
      </c>
      <c r="M152" s="13">
        <v>3765</v>
      </c>
      <c r="N152" s="13">
        <v>3510</v>
      </c>
      <c r="O152" s="13">
        <v>3091</v>
      </c>
      <c r="P152" s="13">
        <v>2145</v>
      </c>
      <c r="Q152" s="13">
        <v>2989</v>
      </c>
      <c r="R152" s="13">
        <v>1783</v>
      </c>
      <c r="S152" s="13">
        <v>2077</v>
      </c>
      <c r="T152" s="13"/>
      <c r="U152" s="13"/>
      <c r="V152" s="13"/>
      <c r="W152" s="13"/>
      <c r="X152" s="13"/>
      <c r="Y152" s="13"/>
      <c r="Z152" s="13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54" t="s">
        <v>153</v>
      </c>
      <c r="B153" s="55">
        <v>2494379</v>
      </c>
      <c r="C153" s="55">
        <v>128884</v>
      </c>
      <c r="D153" s="55">
        <v>98942</v>
      </c>
      <c r="E153" s="55">
        <v>330815</v>
      </c>
      <c r="F153" s="55">
        <v>14216</v>
      </c>
      <c r="G153" s="55">
        <v>13047</v>
      </c>
      <c r="H153" s="56">
        <v>51.7</v>
      </c>
      <c r="I153" s="56">
        <v>39.6</v>
      </c>
      <c r="J153" s="56"/>
      <c r="K153" s="14"/>
      <c r="L153" s="55">
        <v>323971</v>
      </c>
      <c r="M153" s="55">
        <v>302513</v>
      </c>
      <c r="N153" s="55">
        <v>301100</v>
      </c>
      <c r="O153" s="55">
        <v>204301</v>
      </c>
      <c r="P153" s="55">
        <v>362253</v>
      </c>
      <c r="Q153" s="55">
        <v>186268</v>
      </c>
      <c r="R153" s="55">
        <v>227679</v>
      </c>
      <c r="S153" s="55">
        <v>224264</v>
      </c>
      <c r="T153" s="55">
        <v>208447</v>
      </c>
      <c r="U153" s="55">
        <v>136721</v>
      </c>
      <c r="V153" s="55"/>
      <c r="W153" s="55"/>
      <c r="X153" s="55"/>
      <c r="Y153" s="55"/>
      <c r="Z153" s="55"/>
      <c r="AA153" s="1"/>
      <c r="AB153" s="46">
        <f>SUM(L153:Z153)</f>
        <v>2477517</v>
      </c>
      <c r="AC153" s="46">
        <f>SUM(L154:Z154)</f>
        <v>128884</v>
      </c>
      <c r="AD153" s="46">
        <f>SUM(L155:Z155)</f>
        <v>98942</v>
      </c>
      <c r="AE153" s="1"/>
      <c r="AF153" s="46">
        <f>AB153-B153</f>
        <v>-16862</v>
      </c>
      <c r="AG153" s="46">
        <f>AC153-C153</f>
        <v>0</v>
      </c>
      <c r="AH153" s="46">
        <f>AD153-D153</f>
        <v>0</v>
      </c>
      <c r="AI153" s="1"/>
      <c r="AJ153" s="47">
        <f>C153/B153*1000</f>
        <v>51.669774320582398</v>
      </c>
      <c r="AK153" s="47">
        <f>D153/B153*1000</f>
        <v>39.665985000675519</v>
      </c>
      <c r="AL153" s="1"/>
      <c r="AM153" s="47">
        <f>AJ153-H153</f>
        <v>-3.0225679417604567E-2</v>
      </c>
      <c r="AN153" s="47">
        <f>AK153-I153</f>
        <v>6.5985000675517824E-2</v>
      </c>
    </row>
    <row r="154" spans="1:40">
      <c r="A154" s="12" t="s">
        <v>154</v>
      </c>
      <c r="B154" s="13"/>
      <c r="C154" s="13"/>
      <c r="D154" s="13"/>
      <c r="E154" s="13"/>
      <c r="F154" s="13"/>
      <c r="G154" s="13"/>
      <c r="H154" s="14"/>
      <c r="I154" s="14"/>
      <c r="J154" s="14"/>
      <c r="K154" s="14"/>
      <c r="L154" s="13">
        <v>16235</v>
      </c>
      <c r="M154" s="13">
        <v>15896</v>
      </c>
      <c r="N154" s="13">
        <v>17118</v>
      </c>
      <c r="O154" s="13">
        <v>9624</v>
      </c>
      <c r="P154" s="13">
        <v>16837</v>
      </c>
      <c r="Q154" s="13">
        <v>9523</v>
      </c>
      <c r="R154" s="13">
        <v>12402</v>
      </c>
      <c r="S154" s="13">
        <v>12509</v>
      </c>
      <c r="T154" s="13">
        <v>10417</v>
      </c>
      <c r="U154" s="13">
        <v>8323</v>
      </c>
      <c r="V154" s="13"/>
      <c r="W154" s="13"/>
      <c r="X154" s="13"/>
      <c r="Y154" s="13"/>
      <c r="Z154" s="1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2" t="s">
        <v>155</v>
      </c>
      <c r="B155" s="13"/>
      <c r="C155" s="13"/>
      <c r="D155" s="13"/>
      <c r="E155" s="13"/>
      <c r="F155" s="13"/>
      <c r="G155" s="13"/>
      <c r="H155" s="14"/>
      <c r="I155" s="14"/>
      <c r="J155" s="14"/>
      <c r="K155" s="14"/>
      <c r="L155" s="13">
        <v>13498</v>
      </c>
      <c r="M155" s="13">
        <v>12115</v>
      </c>
      <c r="N155" s="13">
        <v>14799</v>
      </c>
      <c r="O155" s="13">
        <v>7184</v>
      </c>
      <c r="P155" s="13">
        <v>13406</v>
      </c>
      <c r="Q155" s="13">
        <v>6308</v>
      </c>
      <c r="R155" s="13">
        <v>7901</v>
      </c>
      <c r="S155" s="13">
        <v>9072</v>
      </c>
      <c r="T155" s="13">
        <v>7749</v>
      </c>
      <c r="U155" s="13">
        <v>6910</v>
      </c>
      <c r="V155" s="13"/>
      <c r="W155" s="13"/>
      <c r="X155" s="13"/>
      <c r="Y155" s="13"/>
      <c r="Z155" s="1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54" t="s">
        <v>156</v>
      </c>
      <c r="B156" s="55">
        <v>1562332</v>
      </c>
      <c r="C156" s="55">
        <v>81300</v>
      </c>
      <c r="D156" s="55">
        <v>62726</v>
      </c>
      <c r="E156" s="57" t="s">
        <v>9</v>
      </c>
      <c r="F156" s="57" t="s">
        <v>9</v>
      </c>
      <c r="G156" s="57" t="s">
        <v>9</v>
      </c>
      <c r="H156" s="56">
        <v>52</v>
      </c>
      <c r="I156" s="56">
        <v>40.200000000000003</v>
      </c>
      <c r="J156" s="56"/>
      <c r="K156" s="11"/>
      <c r="L156" s="55">
        <v>228143</v>
      </c>
      <c r="M156" s="55">
        <v>171990</v>
      </c>
      <c r="N156" s="55">
        <v>199351</v>
      </c>
      <c r="O156" s="55">
        <v>184733</v>
      </c>
      <c r="P156" s="55">
        <v>219364</v>
      </c>
      <c r="Q156" s="55">
        <v>166488</v>
      </c>
      <c r="R156" s="55">
        <v>155255</v>
      </c>
      <c r="S156" s="55">
        <v>237008</v>
      </c>
      <c r="T156" s="55"/>
      <c r="U156" s="55"/>
      <c r="V156" s="55"/>
      <c r="W156" s="55"/>
      <c r="X156" s="55"/>
      <c r="Y156" s="55"/>
      <c r="Z156" s="55"/>
      <c r="AA156" s="1"/>
      <c r="AB156" s="46">
        <f>SUM(L156:Z156)</f>
        <v>1562332</v>
      </c>
      <c r="AC156" s="46">
        <f>SUM(L157:Z157)</f>
        <v>81300</v>
      </c>
      <c r="AD156" s="46">
        <f>SUM(L158:Z158)</f>
        <v>62726</v>
      </c>
      <c r="AE156" s="1"/>
      <c r="AF156" s="46">
        <f>AB156-B156</f>
        <v>0</v>
      </c>
      <c r="AG156" s="46">
        <f>AC156-C156</f>
        <v>0</v>
      </c>
      <c r="AH156" s="46">
        <f>AD156-D156</f>
        <v>0</v>
      </c>
      <c r="AI156" s="1"/>
      <c r="AJ156" s="47">
        <f>C156/B156*1000</f>
        <v>52.037595082223241</v>
      </c>
      <c r="AK156" s="47">
        <f>D156/B156*1000</f>
        <v>40.14895681583684</v>
      </c>
      <c r="AL156" s="1"/>
      <c r="AM156" s="47">
        <f>AJ156-H156</f>
        <v>3.759508222324115E-2</v>
      </c>
      <c r="AN156" s="47">
        <f>AK156-I156</f>
        <v>-5.1043184163162891E-2</v>
      </c>
    </row>
    <row r="157" spans="1:40">
      <c r="A157" s="12" t="s">
        <v>157</v>
      </c>
      <c r="B157" s="13"/>
      <c r="C157" s="13"/>
      <c r="D157" s="13"/>
      <c r="E157" s="13"/>
      <c r="F157" s="13"/>
      <c r="G157" s="13"/>
      <c r="H157" s="14"/>
      <c r="I157" s="14"/>
      <c r="J157" s="14"/>
      <c r="K157" s="14"/>
      <c r="L157" s="13">
        <v>11681</v>
      </c>
      <c r="M157" s="13">
        <v>7563</v>
      </c>
      <c r="N157" s="13">
        <v>9903</v>
      </c>
      <c r="O157" s="13">
        <v>9191</v>
      </c>
      <c r="P157" s="13">
        <v>11676</v>
      </c>
      <c r="Q157" s="13">
        <v>9582</v>
      </c>
      <c r="R157" s="13">
        <v>9051</v>
      </c>
      <c r="S157" s="13">
        <v>12653</v>
      </c>
      <c r="T157" s="13"/>
      <c r="U157" s="13"/>
      <c r="V157" s="13"/>
      <c r="W157" s="13"/>
      <c r="X157" s="13"/>
      <c r="Y157" s="13"/>
      <c r="Z157" s="1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2" t="s">
        <v>158</v>
      </c>
      <c r="B158" s="13"/>
      <c r="C158" s="13"/>
      <c r="D158" s="13"/>
      <c r="E158" s="13"/>
      <c r="F158" s="13"/>
      <c r="G158" s="13"/>
      <c r="H158" s="14"/>
      <c r="I158" s="14"/>
      <c r="J158" s="14"/>
      <c r="K158" s="14"/>
      <c r="L158" s="13">
        <v>8911</v>
      </c>
      <c r="M158" s="13">
        <v>7040</v>
      </c>
      <c r="N158" s="13">
        <v>7458</v>
      </c>
      <c r="O158" s="13">
        <v>6731</v>
      </c>
      <c r="P158" s="13">
        <v>9777</v>
      </c>
      <c r="Q158" s="13">
        <v>5442</v>
      </c>
      <c r="R158" s="13">
        <v>8084</v>
      </c>
      <c r="S158" s="13">
        <v>9283</v>
      </c>
      <c r="T158" s="13"/>
      <c r="U158" s="13"/>
      <c r="V158" s="13"/>
      <c r="W158" s="13"/>
      <c r="X158" s="13"/>
      <c r="Y158" s="13"/>
      <c r="Z158" s="1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54" t="s">
        <v>159</v>
      </c>
      <c r="B159" s="84">
        <v>1563548</v>
      </c>
      <c r="C159" s="55">
        <v>79002</v>
      </c>
      <c r="D159" s="55">
        <v>57042</v>
      </c>
      <c r="E159" s="55">
        <v>136733</v>
      </c>
      <c r="F159" s="55">
        <v>3370</v>
      </c>
      <c r="G159" s="55">
        <v>3076</v>
      </c>
      <c r="H159" s="56">
        <v>53.3</v>
      </c>
      <c r="I159" s="56">
        <v>38.5</v>
      </c>
      <c r="J159" s="56"/>
      <c r="K159" s="14"/>
      <c r="L159" s="55">
        <v>142428</v>
      </c>
      <c r="M159" s="55">
        <v>122575</v>
      </c>
      <c r="N159" s="55">
        <v>113486</v>
      </c>
      <c r="O159" s="55">
        <v>137561</v>
      </c>
      <c r="P159" s="55">
        <v>109441</v>
      </c>
      <c r="Q159" s="55">
        <v>96085</v>
      </c>
      <c r="R159" s="55">
        <v>136538</v>
      </c>
      <c r="S159" s="55">
        <v>99351</v>
      </c>
      <c r="T159" s="55">
        <v>108393</v>
      </c>
      <c r="U159" s="55">
        <v>186019</v>
      </c>
      <c r="V159" s="55">
        <v>121600</v>
      </c>
      <c r="W159" s="55">
        <v>190071</v>
      </c>
      <c r="X159" s="55"/>
      <c r="Y159" s="55"/>
      <c r="Z159" s="55"/>
      <c r="AA159" s="1"/>
      <c r="AB159" s="46">
        <f>SUM(L159:Z159)</f>
        <v>1563548</v>
      </c>
      <c r="AC159" s="46">
        <f>SUM(L160:Z160)</f>
        <v>78952</v>
      </c>
      <c r="AD159" s="46">
        <f>SUM(L161:Z161)</f>
        <v>57012</v>
      </c>
      <c r="AE159" s="1"/>
      <c r="AF159" s="46">
        <f>AB159-B159</f>
        <v>0</v>
      </c>
      <c r="AG159" s="46">
        <f>AC159-C159</f>
        <v>-50</v>
      </c>
      <c r="AH159" s="46">
        <f>AD159-D159</f>
        <v>-30</v>
      </c>
      <c r="AI159" s="1"/>
      <c r="AJ159" s="47">
        <f>C159/B159*1000</f>
        <v>50.527390268798911</v>
      </c>
      <c r="AK159" s="47">
        <f>D159/B159*1000</f>
        <v>36.482410517617623</v>
      </c>
      <c r="AL159" s="1"/>
      <c r="AM159" s="47">
        <f>AJ159-H159</f>
        <v>-2.7726097312010864</v>
      </c>
      <c r="AN159" s="47">
        <f>AK159-I159</f>
        <v>-2.0175894823823768</v>
      </c>
    </row>
    <row r="160" spans="1:40">
      <c r="A160" s="12" t="s">
        <v>160</v>
      </c>
      <c r="B160" s="13"/>
      <c r="C160" s="13"/>
      <c r="D160" s="13"/>
      <c r="E160" s="13"/>
      <c r="F160" s="13"/>
      <c r="G160" s="13"/>
      <c r="H160" s="14"/>
      <c r="I160" s="14"/>
      <c r="J160" s="14"/>
      <c r="K160" s="14"/>
      <c r="L160" s="13">
        <v>6430</v>
      </c>
      <c r="M160" s="13">
        <v>8447</v>
      </c>
      <c r="N160" s="13">
        <v>5766</v>
      </c>
      <c r="O160" s="13">
        <v>5225</v>
      </c>
      <c r="P160" s="13">
        <v>5478</v>
      </c>
      <c r="Q160" s="13">
        <v>6822</v>
      </c>
      <c r="R160" s="13">
        <v>7172</v>
      </c>
      <c r="S160" s="13">
        <v>5081</v>
      </c>
      <c r="T160" s="13">
        <v>7144</v>
      </c>
      <c r="U160" s="13">
        <v>9481</v>
      </c>
      <c r="V160" s="13">
        <v>5354</v>
      </c>
      <c r="W160" s="13">
        <v>6552</v>
      </c>
      <c r="X160" s="13"/>
      <c r="Y160" s="13"/>
      <c r="Z160" s="1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2" t="s">
        <v>161</v>
      </c>
      <c r="B161" s="13"/>
      <c r="C161" s="13"/>
      <c r="D161" s="13"/>
      <c r="E161" s="13"/>
      <c r="F161" s="13"/>
      <c r="G161" s="13"/>
      <c r="H161" s="14"/>
      <c r="I161" s="14"/>
      <c r="J161" s="14"/>
      <c r="K161" s="14"/>
      <c r="L161" s="13">
        <v>4432</v>
      </c>
      <c r="M161" s="13">
        <v>6347</v>
      </c>
      <c r="N161" s="13">
        <v>4367</v>
      </c>
      <c r="O161" s="13">
        <v>4760</v>
      </c>
      <c r="P161" s="13">
        <v>4422</v>
      </c>
      <c r="Q161" s="13">
        <v>4560</v>
      </c>
      <c r="R161" s="13">
        <v>5545</v>
      </c>
      <c r="S161" s="13">
        <v>3221</v>
      </c>
      <c r="T161" s="13">
        <v>4591</v>
      </c>
      <c r="U161" s="13">
        <v>6333</v>
      </c>
      <c r="V161" s="13">
        <v>3909</v>
      </c>
      <c r="W161" s="13">
        <v>4525</v>
      </c>
      <c r="X161" s="13"/>
      <c r="Y161" s="13"/>
      <c r="Z161" s="1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54" t="s">
        <v>162</v>
      </c>
      <c r="B162" s="55">
        <v>1280834</v>
      </c>
      <c r="C162" s="55">
        <v>63178</v>
      </c>
      <c r="D162" s="55">
        <v>36827</v>
      </c>
      <c r="E162" s="55">
        <v>232473</v>
      </c>
      <c r="F162" s="55">
        <v>10472</v>
      </c>
      <c r="G162" s="55">
        <v>6623</v>
      </c>
      <c r="H162" s="56">
        <v>49.3</v>
      </c>
      <c r="I162" s="56">
        <v>28.8</v>
      </c>
      <c r="J162" s="56"/>
      <c r="K162" s="14"/>
      <c r="L162" s="55">
        <v>142971</v>
      </c>
      <c r="M162" s="55">
        <v>311569</v>
      </c>
      <c r="N162" s="55">
        <v>208172</v>
      </c>
      <c r="O162" s="55">
        <v>51247</v>
      </c>
      <c r="P162" s="55">
        <v>350143</v>
      </c>
      <c r="Q162" s="55">
        <v>38655</v>
      </c>
      <c r="R162" s="55">
        <v>94251</v>
      </c>
      <c r="S162" s="55">
        <v>50153</v>
      </c>
      <c r="T162" s="55">
        <v>33673</v>
      </c>
      <c r="U162" s="55"/>
      <c r="V162" s="55"/>
      <c r="W162" s="55"/>
      <c r="X162" s="55"/>
      <c r="Y162" s="55"/>
      <c r="Z162" s="55"/>
      <c r="AA162" s="1"/>
      <c r="AB162" s="46">
        <f>SUM(L162:Z162)</f>
        <v>1280834</v>
      </c>
      <c r="AC162" s="46">
        <f>SUM(L163:Z163)</f>
        <v>63178</v>
      </c>
      <c r="AD162" s="46">
        <f>SUM(L164:Z164)</f>
        <v>36827</v>
      </c>
      <c r="AE162" s="1"/>
      <c r="AF162" s="46">
        <f>AB162-B162</f>
        <v>0</v>
      </c>
      <c r="AG162" s="46">
        <f>AC162-C162</f>
        <v>0</v>
      </c>
      <c r="AH162" s="46">
        <f>AD162-D162</f>
        <v>0</v>
      </c>
      <c r="AI162" s="1"/>
      <c r="AJ162" s="47">
        <f>C162/B162*1000</f>
        <v>49.325673740703323</v>
      </c>
      <c r="AK162" s="47">
        <f>D162/B162*1000</f>
        <v>28.752359790573955</v>
      </c>
      <c r="AL162" s="1"/>
      <c r="AM162" s="47">
        <f>AJ162-H162</f>
        <v>2.567374070332562E-2</v>
      </c>
      <c r="AN162" s="47">
        <f>AK162-I162</f>
        <v>-4.7640209426045743E-2</v>
      </c>
    </row>
    <row r="163" spans="1:40">
      <c r="A163" s="12" t="s">
        <v>163</v>
      </c>
      <c r="B163" s="13"/>
      <c r="C163" s="13"/>
      <c r="D163" s="13"/>
      <c r="E163" s="13"/>
      <c r="F163" s="13"/>
      <c r="G163" s="13"/>
      <c r="H163" s="14"/>
      <c r="I163" s="14"/>
      <c r="J163" s="14"/>
      <c r="K163" s="14"/>
      <c r="L163" s="84">
        <v>5419</v>
      </c>
      <c r="M163" s="13">
        <v>15887</v>
      </c>
      <c r="N163" s="13">
        <v>10283</v>
      </c>
      <c r="O163" s="13">
        <v>2529</v>
      </c>
      <c r="P163" s="13">
        <v>19047</v>
      </c>
      <c r="Q163" s="13">
        <v>992</v>
      </c>
      <c r="R163" s="13">
        <v>4870</v>
      </c>
      <c r="S163" s="13">
        <v>2047</v>
      </c>
      <c r="T163" s="13">
        <v>2104</v>
      </c>
      <c r="U163" s="13"/>
      <c r="V163" s="13"/>
      <c r="W163" s="13"/>
      <c r="X163" s="13"/>
      <c r="Y163" s="13"/>
      <c r="Z163" s="1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2" t="s">
        <v>164</v>
      </c>
      <c r="B164" s="13"/>
      <c r="C164" s="13"/>
      <c r="D164" s="13"/>
      <c r="E164" s="13"/>
      <c r="F164" s="13"/>
      <c r="G164" s="13"/>
      <c r="H164" s="14"/>
      <c r="I164" s="14"/>
      <c r="J164" s="14"/>
      <c r="K164" s="14"/>
      <c r="L164" s="13">
        <v>3832</v>
      </c>
      <c r="M164" s="13">
        <v>7535</v>
      </c>
      <c r="N164" s="13">
        <v>6134</v>
      </c>
      <c r="O164" s="13">
        <v>1656</v>
      </c>
      <c r="P164" s="13">
        <v>11436</v>
      </c>
      <c r="Q164" s="13">
        <v>557</v>
      </c>
      <c r="R164" s="13">
        <v>2870</v>
      </c>
      <c r="S164" s="13">
        <v>1421</v>
      </c>
      <c r="T164" s="13">
        <v>1386</v>
      </c>
      <c r="U164" s="13"/>
      <c r="V164" s="13"/>
      <c r="W164" s="13"/>
      <c r="X164" s="13"/>
      <c r="Y164" s="13"/>
      <c r="Z164" s="1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54" t="s">
        <v>165</v>
      </c>
      <c r="B165" s="55">
        <v>2957433</v>
      </c>
      <c r="C165" s="55">
        <v>140589</v>
      </c>
      <c r="D165" s="55">
        <v>119649</v>
      </c>
      <c r="E165" s="55">
        <v>204020</v>
      </c>
      <c r="F165" s="55">
        <v>5757</v>
      </c>
      <c r="G165" s="55">
        <v>5479</v>
      </c>
      <c r="H165" s="56">
        <v>47.6</v>
      </c>
      <c r="I165" s="56">
        <v>40.5</v>
      </c>
      <c r="J165" s="56"/>
      <c r="K165" s="14"/>
      <c r="L165" s="55">
        <v>426242</v>
      </c>
      <c r="M165" s="55">
        <v>330988</v>
      </c>
      <c r="N165" s="55">
        <v>193723</v>
      </c>
      <c r="O165" s="55">
        <v>293938</v>
      </c>
      <c r="P165" s="55">
        <v>365761</v>
      </c>
      <c r="Q165" s="55">
        <v>163728</v>
      </c>
      <c r="R165" s="55">
        <v>192437</v>
      </c>
      <c r="S165" s="55">
        <v>285474</v>
      </c>
      <c r="T165" s="55">
        <v>142972</v>
      </c>
      <c r="U165" s="55">
        <v>163261</v>
      </c>
      <c r="V165" s="55">
        <v>220666</v>
      </c>
      <c r="W165" s="55">
        <v>178243</v>
      </c>
      <c r="X165" s="55"/>
      <c r="Y165" s="55"/>
      <c r="Z165" s="55"/>
      <c r="AA165" s="1"/>
      <c r="AB165" s="46">
        <f>SUM(L165:Z165)</f>
        <v>2957433</v>
      </c>
      <c r="AC165" s="46">
        <f>SUM(L166:Z166)</f>
        <v>140589</v>
      </c>
      <c r="AD165" s="46">
        <f>SUM(L167:Z167)</f>
        <v>119659</v>
      </c>
      <c r="AE165" s="1"/>
      <c r="AF165" s="46">
        <f>AB165-B165</f>
        <v>0</v>
      </c>
      <c r="AG165" s="46">
        <f>AC165-C165</f>
        <v>0</v>
      </c>
      <c r="AH165" s="46">
        <f>AD165-D165</f>
        <v>10</v>
      </c>
      <c r="AI165" s="1"/>
      <c r="AJ165" s="47">
        <f>C165/B165*1000</f>
        <v>47.537509725495049</v>
      </c>
      <c r="AK165" s="47">
        <f>D165/B165*1000</f>
        <v>40.457045011670594</v>
      </c>
      <c r="AL165" s="1"/>
      <c r="AM165" s="47">
        <f>AJ165-H165</f>
        <v>-6.2490274504952481E-2</v>
      </c>
      <c r="AN165" s="47">
        <f>AK165-I165</f>
        <v>-4.2954988329405808E-2</v>
      </c>
    </row>
    <row r="166" spans="1:40">
      <c r="A166" s="12" t="s">
        <v>166</v>
      </c>
      <c r="B166" s="13"/>
      <c r="C166" s="13"/>
      <c r="D166" s="13"/>
      <c r="E166" s="13"/>
      <c r="F166" s="13"/>
      <c r="G166" s="13"/>
      <c r="H166" s="14"/>
      <c r="I166" s="14"/>
      <c r="J166" s="14"/>
      <c r="K166" s="14"/>
      <c r="L166" s="13">
        <v>21099</v>
      </c>
      <c r="M166" s="13">
        <v>18909</v>
      </c>
      <c r="N166" s="13">
        <v>6676</v>
      </c>
      <c r="O166" s="13">
        <v>13810</v>
      </c>
      <c r="P166" s="13">
        <v>17612</v>
      </c>
      <c r="Q166" s="13">
        <v>7333</v>
      </c>
      <c r="R166" s="13">
        <v>8238</v>
      </c>
      <c r="S166" s="13">
        <v>13343</v>
      </c>
      <c r="T166" s="13">
        <v>6698</v>
      </c>
      <c r="U166" s="84">
        <v>7266</v>
      </c>
      <c r="V166" s="13">
        <v>11376</v>
      </c>
      <c r="W166" s="13">
        <v>8229</v>
      </c>
      <c r="X166" s="13"/>
      <c r="Y166" s="13"/>
      <c r="Z166" s="1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2" t="s">
        <v>167</v>
      </c>
      <c r="B167" s="13"/>
      <c r="C167" s="13"/>
      <c r="D167" s="13"/>
      <c r="E167" s="13"/>
      <c r="F167" s="13"/>
      <c r="G167" s="13"/>
      <c r="H167" s="14"/>
      <c r="I167" s="14"/>
      <c r="J167" s="14"/>
      <c r="K167" s="14"/>
      <c r="L167" s="13">
        <v>18867</v>
      </c>
      <c r="M167" s="13">
        <v>17207</v>
      </c>
      <c r="N167" s="13">
        <v>5401</v>
      </c>
      <c r="O167" s="13">
        <v>12671</v>
      </c>
      <c r="P167" s="13">
        <v>14322</v>
      </c>
      <c r="Q167" s="13">
        <v>5316</v>
      </c>
      <c r="R167" s="13">
        <v>6903</v>
      </c>
      <c r="S167" s="13">
        <v>11443</v>
      </c>
      <c r="T167" s="13">
        <v>5480</v>
      </c>
      <c r="U167" s="13">
        <v>4991</v>
      </c>
      <c r="V167" s="13">
        <v>10166</v>
      </c>
      <c r="W167" s="13">
        <v>6892</v>
      </c>
      <c r="X167" s="13"/>
      <c r="Y167" s="13"/>
      <c r="Z167" s="1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58" t="s">
        <v>168</v>
      </c>
      <c r="B168" s="59">
        <v>1954903</v>
      </c>
      <c r="C168" s="59">
        <v>85779</v>
      </c>
      <c r="D168" s="59">
        <v>60890</v>
      </c>
      <c r="E168" s="59">
        <v>155202</v>
      </c>
      <c r="F168" s="59">
        <v>5047</v>
      </c>
      <c r="G168" s="59">
        <v>4063</v>
      </c>
      <c r="H168" s="60">
        <v>43.9</v>
      </c>
      <c r="I168" s="60">
        <v>31.1</v>
      </c>
      <c r="J168" s="60"/>
      <c r="K168" s="14"/>
      <c r="L168" s="59">
        <v>175731</v>
      </c>
      <c r="M168" s="59">
        <v>261842</v>
      </c>
      <c r="N168" s="59">
        <v>162035</v>
      </c>
      <c r="O168" s="59">
        <v>183494</v>
      </c>
      <c r="P168" s="59">
        <v>122958</v>
      </c>
      <c r="Q168" s="59">
        <v>143620</v>
      </c>
      <c r="R168" s="59">
        <v>146230</v>
      </c>
      <c r="S168" s="59">
        <v>137295</v>
      </c>
      <c r="T168" s="59">
        <v>130869</v>
      </c>
      <c r="U168" s="59">
        <v>149584</v>
      </c>
      <c r="V168" s="59">
        <v>167373</v>
      </c>
      <c r="W168" s="59">
        <v>173872</v>
      </c>
      <c r="X168" s="59"/>
      <c r="Y168" s="59"/>
      <c r="Z168" s="59"/>
      <c r="AA168" s="1"/>
      <c r="AB168" s="46">
        <f>SUM(L168:Z168)</f>
        <v>1954903</v>
      </c>
      <c r="AC168" s="46">
        <f>SUM(L169:Z169)</f>
        <v>85770</v>
      </c>
      <c r="AD168" s="46">
        <f>SUM(L170:Z170)</f>
        <v>60890</v>
      </c>
      <c r="AE168" s="1"/>
      <c r="AF168" s="46">
        <f>AB168-B168</f>
        <v>0</v>
      </c>
      <c r="AG168" s="46">
        <f>AC168-C168</f>
        <v>-9</v>
      </c>
      <c r="AH168" s="46">
        <f>AD168-D168</f>
        <v>0</v>
      </c>
      <c r="AI168" s="1"/>
      <c r="AJ168" s="47">
        <f>C168/B168*1000</f>
        <v>43.878903454544805</v>
      </c>
      <c r="AK168" s="47">
        <f>D168/B168*1000</f>
        <v>31.147325468322467</v>
      </c>
      <c r="AL168" s="1"/>
      <c r="AM168" s="47">
        <f>AJ168-H168</f>
        <v>-2.1096545455193905E-2</v>
      </c>
      <c r="AN168" s="47">
        <f>AK168-I168</f>
        <v>4.732546832246598E-2</v>
      </c>
    </row>
    <row r="169" spans="1:40">
      <c r="A169" s="12" t="s">
        <v>169</v>
      </c>
      <c r="B169" s="13"/>
      <c r="C169" s="13"/>
      <c r="D169" s="13"/>
      <c r="E169" s="13"/>
      <c r="F169" s="13"/>
      <c r="G169" s="13"/>
      <c r="H169" s="14"/>
      <c r="I169" s="14"/>
      <c r="J169" s="14"/>
      <c r="K169" s="14"/>
      <c r="L169" s="13">
        <v>7700</v>
      </c>
      <c r="M169" s="13">
        <v>12621</v>
      </c>
      <c r="N169" s="13">
        <v>7137</v>
      </c>
      <c r="O169" s="13">
        <v>7546</v>
      </c>
      <c r="P169" s="13">
        <v>5492</v>
      </c>
      <c r="Q169" s="13">
        <v>5889</v>
      </c>
      <c r="R169" s="13">
        <v>6064</v>
      </c>
      <c r="S169" s="13">
        <v>5959</v>
      </c>
      <c r="T169" s="13">
        <v>5782</v>
      </c>
      <c r="U169" s="13">
        <v>7465</v>
      </c>
      <c r="V169" s="13">
        <v>7292</v>
      </c>
      <c r="W169" s="13">
        <v>6823</v>
      </c>
      <c r="X169" s="13"/>
      <c r="Y169" s="13"/>
      <c r="Z169" s="1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2" t="s">
        <v>170</v>
      </c>
      <c r="B170" s="13"/>
      <c r="C170" s="13"/>
      <c r="D170" s="13"/>
      <c r="E170" s="13"/>
      <c r="F170" s="13"/>
      <c r="G170" s="13"/>
      <c r="H170" s="14"/>
      <c r="I170" s="14"/>
      <c r="J170" s="14"/>
      <c r="K170" s="14"/>
      <c r="L170" s="13">
        <v>5175</v>
      </c>
      <c r="M170" s="13">
        <v>8392</v>
      </c>
      <c r="N170" s="13">
        <v>5034</v>
      </c>
      <c r="O170" s="13">
        <v>5935</v>
      </c>
      <c r="P170" s="13">
        <v>4163</v>
      </c>
      <c r="Q170" s="13">
        <v>4044</v>
      </c>
      <c r="R170" s="13">
        <v>4101</v>
      </c>
      <c r="S170" s="13">
        <v>4153</v>
      </c>
      <c r="T170" s="13">
        <v>4348</v>
      </c>
      <c r="U170" s="13">
        <v>5423</v>
      </c>
      <c r="V170" s="13">
        <v>5065</v>
      </c>
      <c r="W170" s="13">
        <v>5057</v>
      </c>
      <c r="X170" s="13"/>
      <c r="Y170" s="13"/>
      <c r="Z170" s="1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58" t="s">
        <v>171</v>
      </c>
      <c r="B171" s="59">
        <v>1562191</v>
      </c>
      <c r="C171" s="59">
        <v>76511</v>
      </c>
      <c r="D171" s="59">
        <v>67803</v>
      </c>
      <c r="E171" s="59">
        <v>151838</v>
      </c>
      <c r="F171" s="59">
        <v>6460</v>
      </c>
      <c r="G171" s="59">
        <v>5497</v>
      </c>
      <c r="H171" s="60">
        <v>49</v>
      </c>
      <c r="I171" s="60">
        <v>43.4</v>
      </c>
      <c r="J171" s="60"/>
      <c r="K171" s="14"/>
      <c r="L171" s="59">
        <v>187899</v>
      </c>
      <c r="M171" s="59">
        <v>92105</v>
      </c>
      <c r="N171" s="59">
        <v>176223</v>
      </c>
      <c r="O171" s="59">
        <v>88590</v>
      </c>
      <c r="P171" s="59">
        <v>126768</v>
      </c>
      <c r="Q171" s="59">
        <v>141405</v>
      </c>
      <c r="R171" s="59">
        <v>172730</v>
      </c>
      <c r="S171" s="59">
        <v>86678</v>
      </c>
      <c r="T171" s="59">
        <v>115883</v>
      </c>
      <c r="U171" s="59">
        <v>150055</v>
      </c>
      <c r="V171" s="59">
        <v>106516</v>
      </c>
      <c r="W171" s="59">
        <v>117309</v>
      </c>
      <c r="X171" s="59"/>
      <c r="Y171" s="59"/>
      <c r="Z171" s="59"/>
      <c r="AA171" s="1"/>
      <c r="AB171" s="46">
        <f>SUM(L171:Z171)</f>
        <v>1562161</v>
      </c>
      <c r="AC171" s="46">
        <f>SUM(L172:Z172)</f>
        <v>76651</v>
      </c>
      <c r="AD171" s="46">
        <f>SUM(L173:Z173)</f>
        <v>67803</v>
      </c>
      <c r="AE171" s="1"/>
      <c r="AF171" s="46">
        <f>AB171-B171</f>
        <v>-30</v>
      </c>
      <c r="AG171" s="46">
        <f>AC171-C171</f>
        <v>140</v>
      </c>
      <c r="AH171" s="46">
        <f>AD171-D171</f>
        <v>0</v>
      </c>
      <c r="AI171" s="1"/>
      <c r="AJ171" s="47">
        <f>C171/B171*1000</f>
        <v>48.976725637262028</v>
      </c>
      <c r="AK171" s="47">
        <f>D171/B171*1000</f>
        <v>43.402503279048467</v>
      </c>
      <c r="AL171" s="1"/>
      <c r="AM171" s="47">
        <f>AJ171-H171</f>
        <v>-2.3274362737971899E-2</v>
      </c>
      <c r="AN171" s="47">
        <f>AK171-I171</f>
        <v>2.5032790484686984E-3</v>
      </c>
    </row>
    <row r="172" spans="1:40">
      <c r="A172" s="12" t="s">
        <v>172</v>
      </c>
      <c r="B172" s="13"/>
      <c r="C172" s="13"/>
      <c r="D172" s="13"/>
      <c r="E172" s="13"/>
      <c r="F172" s="13"/>
      <c r="G172" s="13"/>
      <c r="H172" s="14"/>
      <c r="I172" s="14"/>
      <c r="J172" s="14"/>
      <c r="K172" s="14"/>
      <c r="L172" s="13">
        <v>10025</v>
      </c>
      <c r="M172" s="13">
        <v>3847</v>
      </c>
      <c r="N172" s="13">
        <v>9320</v>
      </c>
      <c r="O172" s="13">
        <v>3657</v>
      </c>
      <c r="P172" s="13">
        <v>5559</v>
      </c>
      <c r="Q172" s="13">
        <v>6818</v>
      </c>
      <c r="R172" s="13">
        <v>9294</v>
      </c>
      <c r="S172" s="13">
        <v>3596</v>
      </c>
      <c r="T172" s="13">
        <v>5554</v>
      </c>
      <c r="U172" s="13">
        <v>7969</v>
      </c>
      <c r="V172" s="13">
        <v>4823</v>
      </c>
      <c r="W172" s="13">
        <v>6189</v>
      </c>
      <c r="X172" s="13"/>
      <c r="Y172" s="13"/>
      <c r="Z172" s="1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2" t="s">
        <v>173</v>
      </c>
      <c r="B173" s="13"/>
      <c r="C173" s="13"/>
      <c r="D173" s="13"/>
      <c r="E173" s="13"/>
      <c r="F173" s="13"/>
      <c r="G173" s="13"/>
      <c r="H173" s="14"/>
      <c r="I173" s="14"/>
      <c r="J173" s="14"/>
      <c r="K173" s="14"/>
      <c r="L173" s="13">
        <v>9155</v>
      </c>
      <c r="M173" s="13">
        <v>3401</v>
      </c>
      <c r="N173" s="13">
        <v>7718</v>
      </c>
      <c r="O173" s="13">
        <v>3100</v>
      </c>
      <c r="P173" s="13">
        <v>4784</v>
      </c>
      <c r="Q173" s="13">
        <v>5388</v>
      </c>
      <c r="R173" s="13">
        <v>8220</v>
      </c>
      <c r="S173" s="13">
        <v>3631</v>
      </c>
      <c r="T173" s="13">
        <v>5629</v>
      </c>
      <c r="U173" s="13">
        <v>7349</v>
      </c>
      <c r="V173" s="13">
        <v>4303</v>
      </c>
      <c r="W173" s="13">
        <v>5125</v>
      </c>
      <c r="X173" s="13"/>
      <c r="Y173" s="13"/>
      <c r="Z173" s="1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58" t="s">
        <v>174</v>
      </c>
      <c r="B174" s="59">
        <v>2182587</v>
      </c>
      <c r="C174" s="59">
        <v>113509</v>
      </c>
      <c r="D174" s="59">
        <v>57858</v>
      </c>
      <c r="E174" s="59">
        <v>91547</v>
      </c>
      <c r="F174" s="59">
        <v>4579</v>
      </c>
      <c r="G174" s="59">
        <v>3331</v>
      </c>
      <c r="H174" s="60">
        <v>52</v>
      </c>
      <c r="I174" s="60">
        <v>31.1</v>
      </c>
      <c r="J174" s="60"/>
      <c r="K174" s="14"/>
      <c r="L174" s="59">
        <v>356180</v>
      </c>
      <c r="M174" s="59">
        <v>428727</v>
      </c>
      <c r="N174" s="59">
        <v>483106</v>
      </c>
      <c r="O174" s="59">
        <v>187761</v>
      </c>
      <c r="P174" s="59">
        <v>385520</v>
      </c>
      <c r="Q174" s="59">
        <v>341293</v>
      </c>
      <c r="R174" s="59"/>
      <c r="S174" s="59"/>
      <c r="T174" s="59"/>
      <c r="U174" s="59"/>
      <c r="V174" s="59"/>
      <c r="W174" s="59"/>
      <c r="X174" s="59"/>
      <c r="Y174" s="59"/>
      <c r="Z174" s="59"/>
      <c r="AA174" s="1"/>
      <c r="AB174" s="46">
        <f>SUM(L174:Z174)</f>
        <v>2182587</v>
      </c>
      <c r="AC174" s="46">
        <f>SUM(L175:Z175)</f>
        <v>113509</v>
      </c>
      <c r="AD174" s="46">
        <f>SUM(L176:Z176)</f>
        <v>57858</v>
      </c>
      <c r="AE174" s="1"/>
      <c r="AF174" s="46">
        <f>AB174-B174</f>
        <v>0</v>
      </c>
      <c r="AG174" s="46">
        <f>AC174-C174</f>
        <v>0</v>
      </c>
      <c r="AH174" s="46">
        <f>AD174-D174</f>
        <v>0</v>
      </c>
      <c r="AI174" s="1"/>
      <c r="AJ174" s="47">
        <f>C174/B174*1000</f>
        <v>52.00663249620748</v>
      </c>
      <c r="AK174" s="47">
        <f>D174/B174*1000</f>
        <v>26.508908923218179</v>
      </c>
      <c r="AL174" s="1"/>
      <c r="AM174" s="47">
        <f>AJ174-H174</f>
        <v>6.6324962074801874E-3</v>
      </c>
      <c r="AN174" s="47">
        <f>AK174-I174</f>
        <v>-4.5910910767818223</v>
      </c>
    </row>
    <row r="175" spans="1:40">
      <c r="A175" s="12" t="s">
        <v>175</v>
      </c>
      <c r="B175" s="13"/>
      <c r="C175" s="13"/>
      <c r="D175" s="13"/>
      <c r="E175" s="13"/>
      <c r="F175" s="13"/>
      <c r="G175" s="13"/>
      <c r="H175" s="14"/>
      <c r="I175" s="14"/>
      <c r="J175" s="14"/>
      <c r="K175" s="14"/>
      <c r="L175" s="13">
        <v>19812</v>
      </c>
      <c r="M175" s="13">
        <v>21322</v>
      </c>
      <c r="N175" s="13">
        <v>25653</v>
      </c>
      <c r="O175" s="13">
        <v>10321</v>
      </c>
      <c r="P175" s="13">
        <v>18785</v>
      </c>
      <c r="Q175" s="13">
        <v>17616</v>
      </c>
      <c r="R175" s="13"/>
      <c r="S175" s="13"/>
      <c r="T175" s="13"/>
      <c r="U175" s="13"/>
      <c r="V175" s="13"/>
      <c r="W175" s="13"/>
      <c r="X175" s="13"/>
      <c r="Y175" s="13"/>
      <c r="Z175" s="1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2" t="s">
        <v>176</v>
      </c>
      <c r="B176" s="13"/>
      <c r="C176" s="13"/>
      <c r="D176" s="13"/>
      <c r="E176" s="13"/>
      <c r="F176" s="13"/>
      <c r="G176" s="13"/>
      <c r="H176" s="14"/>
      <c r="I176" s="14"/>
      <c r="J176" s="14"/>
      <c r="K176" s="14"/>
      <c r="L176" s="13">
        <v>10972</v>
      </c>
      <c r="M176" s="13">
        <v>10059</v>
      </c>
      <c r="N176" s="13">
        <v>12975</v>
      </c>
      <c r="O176" s="13">
        <v>6153</v>
      </c>
      <c r="P176" s="13">
        <v>9718</v>
      </c>
      <c r="Q176" s="13">
        <v>7981</v>
      </c>
      <c r="R176" s="13"/>
      <c r="S176" s="13"/>
      <c r="T176" s="13"/>
      <c r="U176" s="13"/>
      <c r="V176" s="13"/>
      <c r="W176" s="13"/>
      <c r="X176" s="13"/>
      <c r="Y176" s="13"/>
      <c r="Z176" s="1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58" t="s">
        <v>177</v>
      </c>
      <c r="B177" s="59">
        <v>2594840</v>
      </c>
      <c r="C177" s="59">
        <v>124746</v>
      </c>
      <c r="D177" s="59">
        <v>78706</v>
      </c>
      <c r="E177" s="59">
        <v>339040</v>
      </c>
      <c r="F177" s="59">
        <v>10489</v>
      </c>
      <c r="G177" s="59">
        <v>7568</v>
      </c>
      <c r="H177" s="60">
        <v>48</v>
      </c>
      <c r="I177" s="60">
        <v>30.3</v>
      </c>
      <c r="J177" s="60"/>
      <c r="K177" s="14"/>
      <c r="L177" s="59">
        <v>385018</v>
      </c>
      <c r="M177" s="59">
        <v>146099</v>
      </c>
      <c r="N177" s="59">
        <v>160301</v>
      </c>
      <c r="O177" s="59">
        <v>140845</v>
      </c>
      <c r="P177" s="59">
        <v>163952</v>
      </c>
      <c r="Q177" s="59">
        <v>232613</v>
      </c>
      <c r="R177" s="59">
        <v>333392</v>
      </c>
      <c r="S177" s="59">
        <v>230853</v>
      </c>
      <c r="T177" s="59">
        <v>167676</v>
      </c>
      <c r="U177" s="84">
        <v>392138</v>
      </c>
      <c r="V177" s="59">
        <v>241953</v>
      </c>
      <c r="W177" s="59"/>
      <c r="X177" s="59"/>
      <c r="Y177" s="59"/>
      <c r="Z177" s="59"/>
      <c r="AA177" s="1"/>
      <c r="AB177" s="46">
        <f>SUM(L177:Z177)</f>
        <v>2594840</v>
      </c>
      <c r="AC177" s="46">
        <f>SUM(L178:Z178)</f>
        <v>124746</v>
      </c>
      <c r="AD177" s="46">
        <f>SUM(L179:Z179)</f>
        <v>78666</v>
      </c>
      <c r="AE177" s="1"/>
      <c r="AF177" s="46">
        <f>AB177-B177</f>
        <v>0</v>
      </c>
      <c r="AG177" s="46">
        <f>AC177-C177</f>
        <v>0</v>
      </c>
      <c r="AH177" s="46">
        <f>AD177-D177</f>
        <v>-40</v>
      </c>
      <c r="AI177" s="1"/>
      <c r="AJ177" s="47">
        <f>C177/B177*1000</f>
        <v>48.074640440258356</v>
      </c>
      <c r="AK177" s="47">
        <f>D177/B177*1000</f>
        <v>30.331735290037148</v>
      </c>
      <c r="AL177" s="1"/>
      <c r="AM177" s="47">
        <f>AJ177-H177</f>
        <v>7.4640440258356477E-2</v>
      </c>
      <c r="AN177" s="47">
        <f>AK177-I177</f>
        <v>3.1735290037147479E-2</v>
      </c>
    </row>
    <row r="178" spans="1:40">
      <c r="A178" s="12" t="s">
        <v>178</v>
      </c>
      <c r="B178" s="13"/>
      <c r="C178" s="13"/>
      <c r="D178" s="13"/>
      <c r="E178" s="13"/>
      <c r="F178" s="13"/>
      <c r="G178" s="13"/>
      <c r="H178" s="14"/>
      <c r="I178" s="14"/>
      <c r="J178" s="14"/>
      <c r="K178" s="14"/>
      <c r="L178" s="13">
        <v>14900</v>
      </c>
      <c r="M178" s="13">
        <v>7437</v>
      </c>
      <c r="N178" s="13">
        <v>7324</v>
      </c>
      <c r="O178" s="13">
        <v>6408</v>
      </c>
      <c r="P178" s="13">
        <v>9207</v>
      </c>
      <c r="Q178" s="13">
        <v>11728</v>
      </c>
      <c r="R178" s="13">
        <v>15883</v>
      </c>
      <c r="S178" s="13">
        <v>12469</v>
      </c>
      <c r="T178" s="13">
        <v>8646</v>
      </c>
      <c r="U178" s="13">
        <v>20300</v>
      </c>
      <c r="V178" s="13">
        <v>10444</v>
      </c>
      <c r="W178" s="13"/>
      <c r="X178" s="13"/>
      <c r="Y178" s="13"/>
      <c r="Z178" s="1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2" t="s">
        <v>179</v>
      </c>
      <c r="B179" s="13"/>
      <c r="C179" s="13"/>
      <c r="D179" s="13"/>
      <c r="E179" s="13"/>
      <c r="F179" s="13"/>
      <c r="G179" s="13"/>
      <c r="H179" s="14"/>
      <c r="I179" s="14"/>
      <c r="J179" s="14"/>
      <c r="K179" s="14"/>
      <c r="L179" s="13">
        <v>9742</v>
      </c>
      <c r="M179" s="13">
        <v>5318</v>
      </c>
      <c r="N179" s="13">
        <v>4479</v>
      </c>
      <c r="O179" s="13">
        <v>3638</v>
      </c>
      <c r="P179" s="13">
        <v>6528</v>
      </c>
      <c r="Q179" s="13">
        <v>7104</v>
      </c>
      <c r="R179" s="13">
        <v>9352</v>
      </c>
      <c r="S179" s="13">
        <v>7461</v>
      </c>
      <c r="T179" s="13">
        <v>6049</v>
      </c>
      <c r="U179" s="13">
        <v>12542</v>
      </c>
      <c r="V179" s="13">
        <v>6453</v>
      </c>
      <c r="W179" s="13"/>
      <c r="X179" s="13"/>
      <c r="Y179" s="13"/>
      <c r="Z179" s="1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58" t="s">
        <v>180</v>
      </c>
      <c r="B180" s="59">
        <v>1990603</v>
      </c>
      <c r="C180" s="59">
        <v>110930</v>
      </c>
      <c r="D180" s="59">
        <v>62694</v>
      </c>
      <c r="E180" s="59">
        <v>184025</v>
      </c>
      <c r="F180" s="59">
        <v>15635</v>
      </c>
      <c r="G180" s="59">
        <v>9170</v>
      </c>
      <c r="H180" s="60">
        <v>55.7</v>
      </c>
      <c r="I180" s="60">
        <v>31.5</v>
      </c>
      <c r="J180" s="60"/>
      <c r="K180" s="14"/>
      <c r="L180" s="59">
        <v>453546</v>
      </c>
      <c r="M180" s="59">
        <v>395097</v>
      </c>
      <c r="N180" s="59">
        <v>210395</v>
      </c>
      <c r="O180" s="59">
        <v>534869</v>
      </c>
      <c r="P180" s="59">
        <v>178244</v>
      </c>
      <c r="Q180" s="59">
        <v>218452</v>
      </c>
      <c r="R180" s="59"/>
      <c r="S180" s="59"/>
      <c r="T180" s="59"/>
      <c r="U180" s="59"/>
      <c r="V180" s="59"/>
      <c r="W180" s="59"/>
      <c r="X180" s="59"/>
      <c r="Y180" s="59"/>
      <c r="Z180" s="59"/>
      <c r="AA180" s="1"/>
      <c r="AB180" s="46">
        <f>SUM(L180:Z180)</f>
        <v>1990603</v>
      </c>
      <c r="AC180" s="46">
        <f>SUM(L181:Z181)</f>
        <v>110975</v>
      </c>
      <c r="AD180" s="46">
        <f>SUM(L182:Z182)</f>
        <v>62694</v>
      </c>
      <c r="AE180" s="1"/>
      <c r="AF180" s="46">
        <f>AB180-B180</f>
        <v>0</v>
      </c>
      <c r="AG180" s="46">
        <f>AC180-C180</f>
        <v>45</v>
      </c>
      <c r="AH180" s="46">
        <f>AD180-D180</f>
        <v>0</v>
      </c>
      <c r="AI180" s="1"/>
      <c r="AJ180" s="47">
        <f>C180/B180*1000</f>
        <v>55.726832522607467</v>
      </c>
      <c r="AK180" s="47">
        <f>D180/B180*1000</f>
        <v>31.494979159581291</v>
      </c>
      <c r="AL180" s="1"/>
      <c r="AM180" s="47">
        <f>AJ180-H180</f>
        <v>2.6832522607463716E-2</v>
      </c>
      <c r="AN180" s="47">
        <f>AK180-I180</f>
        <v>-5.0208404187088718E-3</v>
      </c>
    </row>
    <row r="181" spans="1:40">
      <c r="A181" s="12" t="s">
        <v>181</v>
      </c>
      <c r="B181" s="13"/>
      <c r="C181" s="13"/>
      <c r="D181" s="13"/>
      <c r="E181" s="13"/>
      <c r="F181" s="13"/>
      <c r="G181" s="13"/>
      <c r="H181" s="14"/>
      <c r="I181" s="14"/>
      <c r="J181" s="14"/>
      <c r="K181" s="14"/>
      <c r="L181" s="13">
        <v>25683</v>
      </c>
      <c r="M181" s="13">
        <v>21237</v>
      </c>
      <c r="N181" s="13">
        <v>11949</v>
      </c>
      <c r="O181" s="13">
        <v>29083</v>
      </c>
      <c r="P181" s="13">
        <v>11440</v>
      </c>
      <c r="Q181" s="13">
        <v>11583</v>
      </c>
      <c r="R181" s="13"/>
      <c r="S181" s="13"/>
      <c r="T181" s="13"/>
      <c r="U181" s="13"/>
      <c r="V181" s="13"/>
      <c r="W181" s="13"/>
      <c r="X181" s="13"/>
      <c r="Y181" s="13"/>
      <c r="Z181" s="1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2" t="s">
        <v>182</v>
      </c>
      <c r="B182" s="13"/>
      <c r="C182" s="13"/>
      <c r="D182" s="13"/>
      <c r="E182" s="13"/>
      <c r="F182" s="13"/>
      <c r="G182" s="13"/>
      <c r="H182" s="14"/>
      <c r="I182" s="14"/>
      <c r="J182" s="14"/>
      <c r="K182" s="14"/>
      <c r="L182" s="13">
        <v>15481</v>
      </c>
      <c r="M182" s="13">
        <v>10321</v>
      </c>
      <c r="N182" s="13">
        <v>6545</v>
      </c>
      <c r="O182" s="13">
        <v>17905</v>
      </c>
      <c r="P182" s="13">
        <v>6092</v>
      </c>
      <c r="Q182" s="13">
        <v>6350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58" t="s">
        <v>183</v>
      </c>
      <c r="B183" s="59">
        <v>78157</v>
      </c>
      <c r="C183" s="59">
        <v>3358</v>
      </c>
      <c r="D183" s="59">
        <v>2318</v>
      </c>
      <c r="E183" s="59"/>
      <c r="F183" s="59"/>
      <c r="G183" s="59"/>
      <c r="H183" s="61" t="s">
        <v>9</v>
      </c>
      <c r="I183" s="61" t="s">
        <v>9</v>
      </c>
      <c r="J183" s="61"/>
      <c r="K183" s="14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1"/>
      <c r="AB183" s="46">
        <f>B183</f>
        <v>78157</v>
      </c>
      <c r="AC183" s="46">
        <f>C183</f>
        <v>3358</v>
      </c>
      <c r="AD183" s="46">
        <f>D183</f>
        <v>2318</v>
      </c>
      <c r="AE183" s="1"/>
      <c r="AF183" s="68"/>
      <c r="AG183" s="68"/>
      <c r="AH183" s="68"/>
      <c r="AI183" s="1"/>
      <c r="AJ183" s="47">
        <f>C183/B183*1000</f>
        <v>42.964801617257571</v>
      </c>
      <c r="AK183" s="47">
        <f>D183/B183*1000</f>
        <v>29.658251979988997</v>
      </c>
      <c r="AL183" s="1"/>
      <c r="AM183" s="47"/>
      <c r="AN183" s="47"/>
    </row>
    <row r="184" spans="1:40">
      <c r="A184" s="58" t="s">
        <v>184</v>
      </c>
      <c r="B184" s="59">
        <v>329377</v>
      </c>
      <c r="C184" s="59">
        <v>11714</v>
      </c>
      <c r="D184" s="59">
        <v>7581</v>
      </c>
      <c r="E184" s="59"/>
      <c r="F184" s="59"/>
      <c r="G184" s="59"/>
      <c r="H184" s="60">
        <v>33.9</v>
      </c>
      <c r="I184" s="60">
        <v>21.9</v>
      </c>
      <c r="J184" s="60"/>
      <c r="K184" s="14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1"/>
      <c r="AB184" s="46">
        <f>B184</f>
        <v>329377</v>
      </c>
      <c r="AC184" s="46">
        <f>C184</f>
        <v>11714</v>
      </c>
      <c r="AD184" s="46">
        <f>D184</f>
        <v>7581</v>
      </c>
      <c r="AE184" s="1"/>
      <c r="AF184" s="68"/>
      <c r="AG184" s="68"/>
      <c r="AH184" s="68"/>
      <c r="AI184" s="1"/>
      <c r="AJ184" s="47">
        <f>C184/B184*1000</f>
        <v>35.564110426653961</v>
      </c>
      <c r="AK184" s="47">
        <f>D184/B184*1000</f>
        <v>23.016179028893941</v>
      </c>
      <c r="AL184" s="1"/>
      <c r="AM184" s="47">
        <f>AJ184-H184</f>
        <v>1.6641104266539628</v>
      </c>
      <c r="AN184" s="47">
        <f>AK184-I184</f>
        <v>1.1161790288939422</v>
      </c>
    </row>
    <row r="185" spans="1:40">
      <c r="A185" s="58" t="s">
        <v>185</v>
      </c>
      <c r="B185" s="59">
        <v>2354023</v>
      </c>
      <c r="C185" s="59">
        <v>107950</v>
      </c>
      <c r="D185" s="59">
        <v>68578</v>
      </c>
      <c r="E185" s="59">
        <v>226915</v>
      </c>
      <c r="F185" s="59">
        <v>6760</v>
      </c>
      <c r="G185" s="59">
        <v>4786</v>
      </c>
      <c r="H185" s="60">
        <v>45.8</v>
      </c>
      <c r="I185" s="60">
        <v>29.2</v>
      </c>
      <c r="J185" s="60"/>
      <c r="K185" s="14"/>
      <c r="L185" s="59">
        <v>170230</v>
      </c>
      <c r="M185" s="59">
        <v>147337</v>
      </c>
      <c r="N185" s="59">
        <v>141470</v>
      </c>
      <c r="O185" s="84">
        <v>143192</v>
      </c>
      <c r="P185" s="59">
        <v>134025</v>
      </c>
      <c r="Q185" s="59">
        <v>158748</v>
      </c>
      <c r="R185" s="59">
        <v>140095</v>
      </c>
      <c r="S185" s="59">
        <v>139649</v>
      </c>
      <c r="T185" s="59">
        <v>135467</v>
      </c>
      <c r="U185" s="59">
        <v>181030</v>
      </c>
      <c r="V185" s="59">
        <v>179288</v>
      </c>
      <c r="W185" s="59">
        <v>144167</v>
      </c>
      <c r="X185" s="59">
        <v>169457</v>
      </c>
      <c r="Y185" s="59">
        <v>177210</v>
      </c>
      <c r="Z185" s="59">
        <v>192658</v>
      </c>
      <c r="AA185" s="1"/>
      <c r="AB185" s="46">
        <f>SUM(L185:Z185)</f>
        <v>2354023</v>
      </c>
      <c r="AC185" s="46">
        <f>SUM(L186:Z186)</f>
        <v>107950</v>
      </c>
      <c r="AD185" s="46">
        <f>SUM(L187:Z187)</f>
        <v>68578</v>
      </c>
      <c r="AE185" s="1"/>
      <c r="AF185" s="46">
        <f>AB185-B185</f>
        <v>0</v>
      </c>
      <c r="AG185" s="46">
        <f>AC185-C185</f>
        <v>0</v>
      </c>
      <c r="AH185" s="46">
        <f>AD185-D185</f>
        <v>0</v>
      </c>
      <c r="AI185" s="1"/>
      <c r="AJ185" s="47">
        <f>C185/B185*1000</f>
        <v>45.857665791710616</v>
      </c>
      <c r="AK185" s="47">
        <f>D185/B185*1000</f>
        <v>29.132255717127659</v>
      </c>
      <c r="AL185" s="1"/>
      <c r="AM185" s="47">
        <f>AJ185-H185</f>
        <v>5.7665791710618919E-2</v>
      </c>
      <c r="AN185" s="47">
        <f>AK185-I185</f>
        <v>-6.7744282872340023E-2</v>
      </c>
    </row>
    <row r="186" spans="1:40">
      <c r="A186" s="12" t="s">
        <v>186</v>
      </c>
      <c r="B186" s="13"/>
      <c r="C186" s="13"/>
      <c r="D186" s="13"/>
      <c r="E186" s="13"/>
      <c r="F186" s="13"/>
      <c r="G186" s="13"/>
      <c r="H186" s="14"/>
      <c r="I186" s="14"/>
      <c r="J186" s="14"/>
      <c r="K186" s="14"/>
      <c r="L186" s="13">
        <v>7191</v>
      </c>
      <c r="M186" s="13">
        <v>6793</v>
      </c>
      <c r="N186" s="13">
        <v>6185</v>
      </c>
      <c r="O186" s="13">
        <v>7294</v>
      </c>
      <c r="P186" s="13">
        <v>5912</v>
      </c>
      <c r="Q186" s="13">
        <v>7049</v>
      </c>
      <c r="R186" s="13">
        <v>5829</v>
      </c>
      <c r="S186" s="13">
        <v>6809</v>
      </c>
      <c r="T186" s="13">
        <v>7177</v>
      </c>
      <c r="U186" s="13">
        <v>7859</v>
      </c>
      <c r="V186" s="13">
        <v>7946</v>
      </c>
      <c r="W186" s="13">
        <v>7587</v>
      </c>
      <c r="X186" s="13">
        <v>7663</v>
      </c>
      <c r="Y186" s="13">
        <v>7086</v>
      </c>
      <c r="Z186" s="13">
        <v>9570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2" t="s">
        <v>187</v>
      </c>
      <c r="B187" s="13"/>
      <c r="C187" s="13"/>
      <c r="D187" s="13"/>
      <c r="E187" s="13"/>
      <c r="F187" s="13"/>
      <c r="G187" s="13"/>
      <c r="H187" s="14"/>
      <c r="I187" s="14"/>
      <c r="J187" s="14"/>
      <c r="K187" s="14"/>
      <c r="L187" s="13">
        <v>5408</v>
      </c>
      <c r="M187" s="13">
        <v>5258</v>
      </c>
      <c r="N187" s="13">
        <v>4037</v>
      </c>
      <c r="O187" s="84">
        <v>3985</v>
      </c>
      <c r="P187" s="13">
        <v>3777</v>
      </c>
      <c r="Q187" s="13">
        <v>3674</v>
      </c>
      <c r="R187" s="13">
        <v>3458</v>
      </c>
      <c r="S187" s="13">
        <v>5223</v>
      </c>
      <c r="T187" s="84">
        <v>4634</v>
      </c>
      <c r="U187" s="13">
        <v>4712</v>
      </c>
      <c r="V187" s="13">
        <v>4559</v>
      </c>
      <c r="W187" s="13">
        <v>4397</v>
      </c>
      <c r="X187" s="13">
        <v>5492</v>
      </c>
      <c r="Y187" s="13">
        <v>5079</v>
      </c>
      <c r="Z187" s="13">
        <v>4885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58" t="s">
        <v>188</v>
      </c>
      <c r="B188" s="59">
        <v>1160626</v>
      </c>
      <c r="C188" s="59">
        <v>46272</v>
      </c>
      <c r="D188" s="59">
        <v>34640</v>
      </c>
      <c r="E188" s="59">
        <v>137357</v>
      </c>
      <c r="F188" s="59">
        <v>5210</v>
      </c>
      <c r="G188" s="59">
        <v>4724</v>
      </c>
      <c r="H188" s="60">
        <v>40.5</v>
      </c>
      <c r="I188" s="60">
        <v>30.3</v>
      </c>
      <c r="J188" s="60"/>
      <c r="K188" s="14"/>
      <c r="L188" s="59">
        <v>211876</v>
      </c>
      <c r="M188" s="59">
        <v>70074</v>
      </c>
      <c r="N188" s="59">
        <v>69628</v>
      </c>
      <c r="O188" s="59">
        <v>133918</v>
      </c>
      <c r="P188" s="59">
        <v>98134</v>
      </c>
      <c r="Q188" s="59">
        <v>112930</v>
      </c>
      <c r="R188" s="59">
        <v>80443</v>
      </c>
      <c r="S188" s="59">
        <v>167914</v>
      </c>
      <c r="T188" s="59">
        <v>100891</v>
      </c>
      <c r="U188" s="59">
        <v>114818</v>
      </c>
      <c r="V188" s="59"/>
      <c r="W188" s="59"/>
      <c r="X188" s="59"/>
      <c r="Y188" s="59"/>
      <c r="Z188" s="59"/>
      <c r="AA188" s="1"/>
      <c r="AB188" s="46">
        <f>SUM(L188:Z188)</f>
        <v>1160626</v>
      </c>
      <c r="AC188" s="46">
        <f>SUM(L189:Z189)</f>
        <v>46272</v>
      </c>
      <c r="AD188" s="46">
        <f>SUM(L190:Z190)</f>
        <v>34640</v>
      </c>
      <c r="AE188" s="1"/>
      <c r="AF188" s="46">
        <f>AB188-B188</f>
        <v>0</v>
      </c>
      <c r="AG188" s="46">
        <f>AC188-C188</f>
        <v>0</v>
      </c>
      <c r="AH188" s="46">
        <f>AD188-D188</f>
        <v>0</v>
      </c>
      <c r="AI188" s="1"/>
      <c r="AJ188" s="47">
        <f>C188/B188*1000</f>
        <v>39.868140124381156</v>
      </c>
      <c r="AK188" s="47">
        <f>D188/B188*1000</f>
        <v>29.845962437512171</v>
      </c>
      <c r="AL188" s="1"/>
      <c r="AM188" s="47">
        <f>AJ188-H188</f>
        <v>-0.6318598756188436</v>
      </c>
      <c r="AN188" s="47">
        <f>AK188-I188</f>
        <v>-0.45403756248783012</v>
      </c>
    </row>
    <row r="189" spans="1:40">
      <c r="A189" s="12" t="s">
        <v>189</v>
      </c>
      <c r="B189" s="13"/>
      <c r="C189" s="13"/>
      <c r="D189" s="13"/>
      <c r="E189" s="13"/>
      <c r="F189" s="13"/>
      <c r="G189" s="13"/>
      <c r="H189" s="14"/>
      <c r="I189" s="14"/>
      <c r="J189" s="14"/>
      <c r="K189" s="14"/>
      <c r="L189" s="13">
        <v>8714</v>
      </c>
      <c r="M189" s="13">
        <v>2654</v>
      </c>
      <c r="N189" s="13">
        <v>2516</v>
      </c>
      <c r="O189" s="13">
        <v>5637</v>
      </c>
      <c r="P189" s="13">
        <v>4109</v>
      </c>
      <c r="Q189" s="13">
        <v>4536</v>
      </c>
      <c r="R189" s="13">
        <v>3205</v>
      </c>
      <c r="S189" s="13">
        <v>7251</v>
      </c>
      <c r="T189" s="13">
        <v>3633</v>
      </c>
      <c r="U189" s="13">
        <v>4017</v>
      </c>
      <c r="V189" s="13"/>
      <c r="W189" s="13"/>
      <c r="X189" s="13"/>
      <c r="Y189" s="13"/>
      <c r="Z189" s="13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2" t="s">
        <v>190</v>
      </c>
      <c r="B190" s="13"/>
      <c r="C190" s="13"/>
      <c r="D190" s="13"/>
      <c r="E190" s="13"/>
      <c r="F190" s="13"/>
      <c r="G190" s="13"/>
      <c r="H190" s="14"/>
      <c r="I190" s="14"/>
      <c r="J190" s="14"/>
      <c r="K190" s="14"/>
      <c r="L190" s="13">
        <v>6189</v>
      </c>
      <c r="M190" s="13">
        <v>1874</v>
      </c>
      <c r="N190" s="13">
        <v>1860</v>
      </c>
      <c r="O190" s="13">
        <v>4844</v>
      </c>
      <c r="P190" s="13">
        <v>2908</v>
      </c>
      <c r="Q190" s="13">
        <v>3278</v>
      </c>
      <c r="R190" s="13">
        <v>2257</v>
      </c>
      <c r="S190" s="13">
        <v>5125</v>
      </c>
      <c r="T190" s="13">
        <v>2958</v>
      </c>
      <c r="U190" s="13">
        <v>3347</v>
      </c>
      <c r="V190" s="13"/>
      <c r="W190" s="13"/>
      <c r="X190" s="13"/>
      <c r="Y190" s="13"/>
      <c r="Z190" s="13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62" t="s">
        <v>191</v>
      </c>
      <c r="B191" s="63">
        <v>67128446</v>
      </c>
      <c r="C191" s="63">
        <v>3215433</v>
      </c>
      <c r="D191" s="63">
        <v>2316037</v>
      </c>
      <c r="E191" s="63"/>
      <c r="F191" s="63"/>
      <c r="G191" s="63"/>
      <c r="H191" s="64">
        <v>47.8</v>
      </c>
      <c r="I191" s="64">
        <v>34.4</v>
      </c>
      <c r="J191" s="64"/>
      <c r="K191" s="1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1"/>
      <c r="AB191" s="70">
        <f>SUM(AB85:AB190)</f>
        <v>67253744</v>
      </c>
      <c r="AC191" s="70">
        <f>SUM(AC85:AC190)</f>
        <v>3126583</v>
      </c>
      <c r="AD191" s="70">
        <f>SUM(AD85:AD190)</f>
        <v>2227795</v>
      </c>
      <c r="AE191" s="1"/>
      <c r="AF191" s="70">
        <f>AB191-B191</f>
        <v>125298</v>
      </c>
      <c r="AG191" s="70">
        <f>AC191-C191</f>
        <v>-88850</v>
      </c>
      <c r="AH191" s="70">
        <f>AD191-D191</f>
        <v>-88242</v>
      </c>
      <c r="AI191" s="1"/>
      <c r="AJ191" s="71">
        <f>C191/B191*1000</f>
        <v>47.899708567661463</v>
      </c>
      <c r="AK191" s="71">
        <f>D191/B191*1000</f>
        <v>34.501573297257622</v>
      </c>
      <c r="AL191" s="1"/>
      <c r="AM191" s="71">
        <f>AJ191-H191</f>
        <v>9.9708567661465963E-2</v>
      </c>
      <c r="AN191" s="71">
        <f>AK191-I191</f>
        <v>0.1015732972576231</v>
      </c>
    </row>
    <row r="192" spans="1:40">
      <c r="A192" s="58" t="s">
        <v>192</v>
      </c>
      <c r="B192" s="59">
        <v>2222755</v>
      </c>
      <c r="C192" s="59">
        <v>132478</v>
      </c>
      <c r="D192" s="59">
        <v>76105</v>
      </c>
      <c r="E192" s="65" t="s">
        <v>9</v>
      </c>
      <c r="F192" s="65" t="s">
        <v>9</v>
      </c>
      <c r="G192" s="65" t="s">
        <v>9</v>
      </c>
      <c r="H192" s="60">
        <v>58.1</v>
      </c>
      <c r="I192" s="60">
        <v>33.4</v>
      </c>
      <c r="J192" s="60"/>
      <c r="K192" s="23"/>
      <c r="L192" s="59">
        <v>175069</v>
      </c>
      <c r="M192" s="59">
        <v>234827</v>
      </c>
      <c r="N192" s="59">
        <v>200725</v>
      </c>
      <c r="O192" s="59">
        <v>416956</v>
      </c>
      <c r="P192" s="59">
        <v>325005</v>
      </c>
      <c r="Q192" s="59">
        <v>55579</v>
      </c>
      <c r="R192" s="59">
        <v>384295</v>
      </c>
      <c r="S192" s="59">
        <v>215885</v>
      </c>
      <c r="T192" s="59">
        <v>214414</v>
      </c>
      <c r="U192" s="59"/>
      <c r="V192" s="59"/>
      <c r="W192" s="59"/>
      <c r="X192" s="59"/>
      <c r="Y192" s="59"/>
      <c r="Z192" s="59"/>
      <c r="AA192" s="1"/>
      <c r="AB192" s="46">
        <f>SUM(L192:Z192)</f>
        <v>2222755</v>
      </c>
      <c r="AC192" s="46">
        <f>SUM(L193:Z193)</f>
        <v>132473</v>
      </c>
      <c r="AD192" s="46">
        <f>SUM(L194:Z194)</f>
        <v>76105</v>
      </c>
      <c r="AE192" s="1"/>
      <c r="AF192" s="46">
        <f>AB192-B192</f>
        <v>0</v>
      </c>
      <c r="AG192" s="46">
        <f>AC192-C192</f>
        <v>-5</v>
      </c>
      <c r="AH192" s="46">
        <f>AD192-D192</f>
        <v>0</v>
      </c>
      <c r="AI192" s="1"/>
      <c r="AJ192" s="47">
        <f>C192/B192*1000</f>
        <v>59.600810705633329</v>
      </c>
      <c r="AK192" s="47">
        <f>D192/B192*1000</f>
        <v>34.239041189874726</v>
      </c>
      <c r="AL192" s="1"/>
      <c r="AM192" s="47">
        <f>AJ192-H192</f>
        <v>1.5008107056333273</v>
      </c>
      <c r="AN192" s="47">
        <f>AK192-I192</f>
        <v>0.83904118987472742</v>
      </c>
    </row>
    <row r="193" spans="1:40">
      <c r="A193" s="12" t="s">
        <v>193</v>
      </c>
      <c r="B193" s="13"/>
      <c r="C193" s="13"/>
      <c r="D193" s="13"/>
      <c r="E193" s="13"/>
      <c r="F193" s="13"/>
      <c r="G193" s="13"/>
      <c r="H193" s="14"/>
      <c r="I193" s="14"/>
      <c r="J193" s="14"/>
      <c r="K193" s="14"/>
      <c r="L193" s="13">
        <v>13098</v>
      </c>
      <c r="M193" s="13">
        <v>15373</v>
      </c>
      <c r="N193" s="13">
        <v>10307</v>
      </c>
      <c r="O193" s="13">
        <v>27783</v>
      </c>
      <c r="P193" s="13">
        <v>18011</v>
      </c>
      <c r="Q193" s="13">
        <v>2863</v>
      </c>
      <c r="R193" s="13">
        <v>21381</v>
      </c>
      <c r="S193" s="13">
        <v>11369</v>
      </c>
      <c r="T193" s="13">
        <v>12288</v>
      </c>
      <c r="U193" s="13"/>
      <c r="V193" s="13"/>
      <c r="W193" s="13"/>
      <c r="X193" s="13"/>
      <c r="Y193" s="13"/>
      <c r="Z193" s="13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2" t="s">
        <v>194</v>
      </c>
      <c r="B194" s="13"/>
      <c r="C194" s="13"/>
      <c r="D194" s="13"/>
      <c r="E194" s="13"/>
      <c r="F194" s="13"/>
      <c r="G194" s="13"/>
      <c r="H194" s="14"/>
      <c r="I194" s="14"/>
      <c r="J194" s="14"/>
      <c r="K194" s="14"/>
      <c r="L194" s="13">
        <v>7386</v>
      </c>
      <c r="M194" s="13">
        <v>7729</v>
      </c>
      <c r="N194" s="13">
        <v>4783</v>
      </c>
      <c r="O194" s="13">
        <v>13916</v>
      </c>
      <c r="P194" s="13">
        <v>11351</v>
      </c>
      <c r="Q194" s="13">
        <v>1439</v>
      </c>
      <c r="R194" s="13">
        <v>12566</v>
      </c>
      <c r="S194" s="13">
        <v>5706</v>
      </c>
      <c r="T194" s="13">
        <v>11229</v>
      </c>
      <c r="U194" s="13"/>
      <c r="V194" s="13"/>
      <c r="W194" s="13"/>
      <c r="X194" s="13"/>
      <c r="Y194" s="13"/>
      <c r="Z194" s="13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62" t="s">
        <v>195</v>
      </c>
      <c r="B195" s="63">
        <v>102664841</v>
      </c>
      <c r="C195" s="63">
        <v>4759341</v>
      </c>
      <c r="D195" s="63">
        <v>3309274</v>
      </c>
      <c r="E195" s="63"/>
      <c r="F195" s="63"/>
      <c r="G195" s="63"/>
      <c r="H195" s="64">
        <v>46.4</v>
      </c>
      <c r="I195" s="64">
        <v>32.200000000000003</v>
      </c>
      <c r="J195" s="64"/>
      <c r="K195" s="14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1"/>
      <c r="AB195" s="75">
        <f>SUM(AB42, AB84, AB74, AB191, AB192)</f>
        <v>102731252</v>
      </c>
      <c r="AC195" s="75">
        <f>SUM(AC42, AC84, AC74, AC191, AC192)</f>
        <v>4669369</v>
      </c>
      <c r="AD195" s="75">
        <f>SUM(AD42, AD84, AD74, AD191, AD192)</f>
        <v>3219809</v>
      </c>
      <c r="AE195" s="1"/>
      <c r="AF195" s="70">
        <f>AB195-B195</f>
        <v>66411</v>
      </c>
      <c r="AG195" s="70">
        <f>AC195-C195</f>
        <v>-89972</v>
      </c>
      <c r="AH195" s="70">
        <f>AD195-D195</f>
        <v>-89465</v>
      </c>
      <c r="AI195" s="1"/>
      <c r="AJ195" s="71">
        <f>C195/B195*1000</f>
        <v>46.358041892842358</v>
      </c>
      <c r="AK195" s="71">
        <f>D195/B195*1000</f>
        <v>32.233761507505768</v>
      </c>
      <c r="AL195" s="1"/>
      <c r="AM195" s="71">
        <f>AJ195-H195</f>
        <v>-4.1958107157640256E-2</v>
      </c>
      <c r="AN195" s="71">
        <f>AK195-I195</f>
        <v>3.3761507505765564E-2</v>
      </c>
    </row>
    <row r="196" spans="1:40">
      <c r="A196" s="24" t="s">
        <v>196</v>
      </c>
      <c r="B196" s="25">
        <v>746756</v>
      </c>
      <c r="C196" s="25">
        <v>20325</v>
      </c>
      <c r="D196" s="25">
        <v>13920</v>
      </c>
      <c r="E196" s="25">
        <v>163113</v>
      </c>
      <c r="F196" s="25">
        <v>2711</v>
      </c>
      <c r="G196" s="25">
        <v>2600</v>
      </c>
      <c r="H196" s="26">
        <v>27.9</v>
      </c>
      <c r="I196" s="26">
        <v>19.100000000000001</v>
      </c>
      <c r="J196" s="26"/>
      <c r="K196" s="14"/>
      <c r="L196" s="25">
        <v>185587</v>
      </c>
      <c r="M196" s="25">
        <v>105363</v>
      </c>
      <c r="N196" s="25">
        <v>75144</v>
      </c>
      <c r="O196" s="25">
        <v>179310</v>
      </c>
      <c r="P196" s="25">
        <v>129244</v>
      </c>
      <c r="Q196" s="25">
        <v>72108</v>
      </c>
      <c r="R196" s="25"/>
      <c r="S196" s="25"/>
      <c r="T196" s="25"/>
      <c r="U196" s="25"/>
      <c r="V196" s="25"/>
      <c r="W196" s="25"/>
      <c r="X196" s="25"/>
      <c r="Y196" s="25"/>
      <c r="Z196" s="25"/>
      <c r="AA196" s="1"/>
      <c r="AB196" s="46">
        <f>SUM(L196:Z196)</f>
        <v>746756</v>
      </c>
      <c r="AC196" s="46">
        <f>SUM(L197:Z197)</f>
        <v>20325</v>
      </c>
      <c r="AD196" s="46">
        <f>SUM(L198:Z198)</f>
        <v>13920</v>
      </c>
      <c r="AE196" s="1"/>
      <c r="AF196" s="46">
        <f>AB196-B196</f>
        <v>0</v>
      </c>
      <c r="AG196" s="46">
        <f>AC196-C196</f>
        <v>0</v>
      </c>
      <c r="AH196" s="46">
        <f>AD196-D196</f>
        <v>0</v>
      </c>
      <c r="AI196" s="1"/>
      <c r="AJ196" s="47">
        <f>C196/B196*1000</f>
        <v>27.217725736385109</v>
      </c>
      <c r="AK196" s="47">
        <f>D196/B196*1000</f>
        <v>18.640626924992901</v>
      </c>
      <c r="AL196" s="1"/>
      <c r="AM196" s="47">
        <f>AJ196-H196</f>
        <v>-0.68227426361488952</v>
      </c>
      <c r="AN196" s="47">
        <f>AK196-I196</f>
        <v>-0.45937307500710034</v>
      </c>
    </row>
    <row r="197" spans="1:40">
      <c r="A197" s="12" t="s">
        <v>197</v>
      </c>
      <c r="B197" s="13"/>
      <c r="C197" s="13"/>
      <c r="D197" s="13"/>
      <c r="E197" s="13"/>
      <c r="F197" s="13"/>
      <c r="G197" s="13"/>
      <c r="H197" s="14"/>
      <c r="I197" s="14"/>
      <c r="J197" s="14"/>
      <c r="K197" s="14"/>
      <c r="L197" s="13">
        <v>2657</v>
      </c>
      <c r="M197" s="13">
        <v>2697</v>
      </c>
      <c r="N197" s="13">
        <v>990</v>
      </c>
      <c r="O197" s="13">
        <v>7983</v>
      </c>
      <c r="P197" s="84">
        <v>2102</v>
      </c>
      <c r="Q197" s="13">
        <v>3896</v>
      </c>
      <c r="R197" s="13"/>
      <c r="S197" s="13"/>
      <c r="T197" s="13"/>
      <c r="U197" s="13"/>
      <c r="V197" s="13"/>
      <c r="W197" s="13"/>
      <c r="X197" s="13"/>
      <c r="Y197" s="13"/>
      <c r="Z197" s="13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2" t="s">
        <v>198</v>
      </c>
      <c r="B198" s="13"/>
      <c r="C198" s="13"/>
      <c r="D198" s="13"/>
      <c r="E198" s="13"/>
      <c r="F198" s="13"/>
      <c r="G198" s="13"/>
      <c r="H198" s="14"/>
      <c r="I198" s="14"/>
      <c r="J198" s="14"/>
      <c r="K198" s="14"/>
      <c r="L198" s="13">
        <v>2137</v>
      </c>
      <c r="M198" s="13">
        <v>2408</v>
      </c>
      <c r="N198" s="13">
        <v>755</v>
      </c>
      <c r="O198" s="13">
        <v>4652</v>
      </c>
      <c r="P198" s="13">
        <v>2101</v>
      </c>
      <c r="Q198" s="13">
        <v>1867</v>
      </c>
      <c r="R198" s="13"/>
      <c r="S198" s="13"/>
      <c r="T198" s="13"/>
      <c r="U198" s="13"/>
      <c r="V198" s="13"/>
      <c r="W198" s="13"/>
      <c r="X198" s="13"/>
      <c r="Y198" s="13"/>
      <c r="Z198" s="13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24" t="s">
        <v>199</v>
      </c>
      <c r="B199" s="25">
        <v>571661</v>
      </c>
      <c r="C199" s="25">
        <v>12163</v>
      </c>
      <c r="D199" s="25">
        <v>11542</v>
      </c>
      <c r="E199" s="27" t="s">
        <v>9</v>
      </c>
      <c r="F199" s="27" t="s">
        <v>9</v>
      </c>
      <c r="G199" s="27" t="s">
        <v>9</v>
      </c>
      <c r="H199" s="28" t="s">
        <v>9</v>
      </c>
      <c r="I199" s="28" t="s">
        <v>9</v>
      </c>
      <c r="J199" s="28"/>
      <c r="K199" s="11"/>
      <c r="L199" s="25">
        <v>34781</v>
      </c>
      <c r="M199" s="25">
        <v>49674</v>
      </c>
      <c r="N199" s="25">
        <v>60354</v>
      </c>
      <c r="O199" s="25">
        <v>78711</v>
      </c>
      <c r="P199" s="25">
        <v>76317</v>
      </c>
      <c r="Q199" s="25">
        <v>52060</v>
      </c>
      <c r="R199" s="25">
        <v>78744</v>
      </c>
      <c r="S199" s="25">
        <v>66830</v>
      </c>
      <c r="T199" s="25">
        <v>74190</v>
      </c>
      <c r="U199" s="25"/>
      <c r="V199" s="25"/>
      <c r="W199" s="25"/>
      <c r="X199" s="25"/>
      <c r="Y199" s="25"/>
      <c r="Z199" s="25"/>
      <c r="AA199" s="1"/>
      <c r="AB199" s="46">
        <f>SUM(L199:Z199)</f>
        <v>571661</v>
      </c>
      <c r="AC199" s="46">
        <f>SUM(L200:Z200)</f>
        <v>12213</v>
      </c>
      <c r="AD199" s="46">
        <f>SUM(L201:Z201)</f>
        <v>11542</v>
      </c>
      <c r="AE199" s="1"/>
      <c r="AF199" s="46">
        <f>AB199-B199</f>
        <v>0</v>
      </c>
      <c r="AG199" s="46">
        <f>AC199-C199</f>
        <v>50</v>
      </c>
      <c r="AH199" s="46">
        <f>AD199-D199</f>
        <v>0</v>
      </c>
      <c r="AI199" s="1"/>
      <c r="AJ199" s="47">
        <f>C199/B199*1000</f>
        <v>21.276595744680851</v>
      </c>
      <c r="AK199" s="47">
        <f>D199/B199*1000</f>
        <v>20.190287600518491</v>
      </c>
      <c r="AL199" s="1"/>
      <c r="AM199" s="47"/>
      <c r="AN199" s="47"/>
    </row>
    <row r="200" spans="1:40">
      <c r="A200" s="12" t="s">
        <v>200</v>
      </c>
      <c r="B200" s="13"/>
      <c r="C200" s="13"/>
      <c r="D200" s="13"/>
      <c r="E200" s="13"/>
      <c r="F200" s="13"/>
      <c r="G200" s="13"/>
      <c r="H200" s="14"/>
      <c r="I200" s="14"/>
      <c r="J200" s="14"/>
      <c r="K200" s="14"/>
      <c r="L200" s="13">
        <v>556</v>
      </c>
      <c r="M200" s="13">
        <v>1046</v>
      </c>
      <c r="N200" s="13">
        <v>1050</v>
      </c>
      <c r="O200" s="13">
        <v>1583</v>
      </c>
      <c r="P200" s="13">
        <v>2289</v>
      </c>
      <c r="Q200" s="13">
        <v>1356</v>
      </c>
      <c r="R200" s="13">
        <v>1669</v>
      </c>
      <c r="S200" s="13">
        <v>1434</v>
      </c>
      <c r="T200" s="13">
        <v>1230</v>
      </c>
      <c r="U200" s="13"/>
      <c r="V200" s="13"/>
      <c r="W200" s="13"/>
      <c r="X200" s="13"/>
      <c r="Y200" s="13"/>
      <c r="Z200" s="13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2" t="s">
        <v>201</v>
      </c>
      <c r="B201" s="13"/>
      <c r="C201" s="13"/>
      <c r="D201" s="13"/>
      <c r="E201" s="13"/>
      <c r="F201" s="13"/>
      <c r="G201" s="13"/>
      <c r="H201" s="14"/>
      <c r="I201" s="14"/>
      <c r="J201" s="14"/>
      <c r="K201" s="14"/>
      <c r="L201" s="13">
        <v>523</v>
      </c>
      <c r="M201" s="13">
        <v>778</v>
      </c>
      <c r="N201" s="13">
        <v>1059</v>
      </c>
      <c r="O201" s="13">
        <v>1437</v>
      </c>
      <c r="P201" s="13">
        <v>1986</v>
      </c>
      <c r="Q201" s="13">
        <v>1252</v>
      </c>
      <c r="R201" s="13">
        <v>1301</v>
      </c>
      <c r="S201" s="13">
        <v>1210</v>
      </c>
      <c r="T201" s="84">
        <v>1996</v>
      </c>
      <c r="U201" s="13"/>
      <c r="V201" s="13"/>
      <c r="W201" s="13"/>
      <c r="X201" s="13"/>
      <c r="Y201" s="13"/>
      <c r="Z201" s="13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24" t="s">
        <v>202</v>
      </c>
      <c r="B202" s="25">
        <v>816323</v>
      </c>
      <c r="C202" s="25">
        <v>21633</v>
      </c>
      <c r="D202" s="25">
        <v>13801</v>
      </c>
      <c r="E202" s="25">
        <v>87326</v>
      </c>
      <c r="F202" s="25">
        <v>2508</v>
      </c>
      <c r="G202" s="25">
        <v>1755</v>
      </c>
      <c r="H202" s="26">
        <v>26.5</v>
      </c>
      <c r="I202" s="26">
        <v>16.899999999999999</v>
      </c>
      <c r="J202" s="26"/>
      <c r="K202" s="14"/>
      <c r="L202" s="25">
        <v>142681</v>
      </c>
      <c r="M202" s="25">
        <v>59569</v>
      </c>
      <c r="N202" s="25">
        <v>54211</v>
      </c>
      <c r="O202" s="25">
        <v>59784</v>
      </c>
      <c r="P202" s="25">
        <v>136536</v>
      </c>
      <c r="Q202" s="25">
        <v>97825</v>
      </c>
      <c r="R202" s="25">
        <v>119472</v>
      </c>
      <c r="S202" s="25">
        <v>146245</v>
      </c>
      <c r="T202" s="25"/>
      <c r="U202" s="25"/>
      <c r="V202" s="25"/>
      <c r="W202" s="25"/>
      <c r="X202" s="25"/>
      <c r="Y202" s="25"/>
      <c r="Z202" s="25"/>
      <c r="AA202" s="1"/>
      <c r="AB202" s="46">
        <f>SUM(L202:Z202)</f>
        <v>816323</v>
      </c>
      <c r="AC202" s="46">
        <f>SUM(L203:Z203)</f>
        <v>21633</v>
      </c>
      <c r="AD202" s="46">
        <f>SUM(L204:Z204)</f>
        <v>13801</v>
      </c>
      <c r="AE202" s="1"/>
      <c r="AF202" s="46">
        <f>AB202-B202</f>
        <v>0</v>
      </c>
      <c r="AG202" s="46">
        <f>AC202-C202</f>
        <v>0</v>
      </c>
      <c r="AH202" s="46">
        <f>AD202-D202</f>
        <v>0</v>
      </c>
      <c r="AI202" s="1"/>
      <c r="AJ202" s="47">
        <f>C202/B202*1000</f>
        <v>26.500539614833833</v>
      </c>
      <c r="AK202" s="47">
        <f>D202/B202*1000</f>
        <v>16.906298119739368</v>
      </c>
      <c r="AL202" s="1"/>
      <c r="AM202" s="47">
        <f>AJ202-H202</f>
        <v>5.3961483383346831E-4</v>
      </c>
      <c r="AN202" s="47">
        <f>AK202-I202</f>
        <v>6.2981197393696675E-3</v>
      </c>
    </row>
    <row r="203" spans="1:40">
      <c r="A203" s="12" t="s">
        <v>203</v>
      </c>
      <c r="B203" s="13"/>
      <c r="C203" s="13"/>
      <c r="D203" s="13"/>
      <c r="E203" s="13"/>
      <c r="F203" s="13"/>
      <c r="G203" s="13"/>
      <c r="H203" s="14"/>
      <c r="I203" s="14"/>
      <c r="J203" s="14"/>
      <c r="K203" s="14"/>
      <c r="L203" s="13">
        <v>3748</v>
      </c>
      <c r="M203" s="13">
        <v>2149</v>
      </c>
      <c r="N203" s="13">
        <v>1116</v>
      </c>
      <c r="O203" s="13">
        <v>1384</v>
      </c>
      <c r="P203" s="13">
        <v>2862</v>
      </c>
      <c r="Q203" s="13">
        <v>3169</v>
      </c>
      <c r="R203" s="13">
        <v>3677</v>
      </c>
      <c r="S203" s="13">
        <v>3528</v>
      </c>
      <c r="T203" s="13"/>
      <c r="U203" s="13"/>
      <c r="V203" s="13"/>
      <c r="W203" s="13"/>
      <c r="X203" s="13"/>
      <c r="Y203" s="13"/>
      <c r="Z203" s="13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2" t="s">
        <v>204</v>
      </c>
      <c r="B204" s="13"/>
      <c r="C204" s="13"/>
      <c r="D204" s="13"/>
      <c r="E204" s="13"/>
      <c r="F204" s="13"/>
      <c r="G204" s="13"/>
      <c r="H204" s="14"/>
      <c r="I204" s="14"/>
      <c r="J204" s="14"/>
      <c r="K204" s="14"/>
      <c r="L204" s="13">
        <v>1987</v>
      </c>
      <c r="M204" s="13">
        <v>1407</v>
      </c>
      <c r="N204" s="13">
        <v>866</v>
      </c>
      <c r="O204" s="13">
        <v>970</v>
      </c>
      <c r="P204" s="13">
        <v>1351</v>
      </c>
      <c r="Q204" s="13">
        <v>1878</v>
      </c>
      <c r="R204" s="13">
        <v>3449</v>
      </c>
      <c r="S204" s="13">
        <v>1893</v>
      </c>
      <c r="T204" s="13"/>
      <c r="U204" s="13"/>
      <c r="V204" s="13"/>
      <c r="W204" s="13"/>
      <c r="X204" s="13"/>
      <c r="Y204" s="13"/>
      <c r="Z204" s="13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24" t="s">
        <v>205</v>
      </c>
      <c r="B205" s="25">
        <v>207385</v>
      </c>
      <c r="C205" s="25">
        <v>7670</v>
      </c>
      <c r="D205" s="25">
        <v>3830</v>
      </c>
      <c r="E205" s="25">
        <v>4710</v>
      </c>
      <c r="F205" s="25">
        <v>268</v>
      </c>
      <c r="G205" s="25">
        <v>190</v>
      </c>
      <c r="H205" s="28" t="s">
        <v>9</v>
      </c>
      <c r="I205" s="28" t="s">
        <v>9</v>
      </c>
      <c r="J205" s="28"/>
      <c r="K205" s="14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1"/>
      <c r="AB205" s="46">
        <f>B205</f>
        <v>207385</v>
      </c>
      <c r="AC205" s="46">
        <f>C205</f>
        <v>7670</v>
      </c>
      <c r="AD205" s="46">
        <f>D205</f>
        <v>3830</v>
      </c>
      <c r="AE205" s="1"/>
      <c r="AF205" s="68"/>
      <c r="AG205" s="68"/>
      <c r="AH205" s="68"/>
      <c r="AI205" s="1"/>
      <c r="AJ205" s="47">
        <f>C205/B205*1000</f>
        <v>36.984352773826458</v>
      </c>
      <c r="AK205" s="47">
        <f>D205/B205*1000</f>
        <v>18.468066639342286</v>
      </c>
      <c r="AL205" s="1"/>
      <c r="AM205" s="47"/>
      <c r="AN205" s="47"/>
    </row>
    <row r="206" spans="1:40">
      <c r="A206" s="24" t="s">
        <v>206</v>
      </c>
      <c r="B206" s="25">
        <v>1652531</v>
      </c>
      <c r="C206" s="25">
        <v>98504</v>
      </c>
      <c r="D206" s="25">
        <v>58828</v>
      </c>
      <c r="E206" s="25">
        <v>203797</v>
      </c>
      <c r="F206" s="25">
        <v>8306</v>
      </c>
      <c r="G206" s="25">
        <v>4855</v>
      </c>
      <c r="H206" s="26">
        <v>59</v>
      </c>
      <c r="I206" s="26">
        <v>35.1</v>
      </c>
      <c r="J206" s="26"/>
      <c r="K206" s="14"/>
      <c r="L206" s="25">
        <v>230902</v>
      </c>
      <c r="M206" s="25">
        <v>175114</v>
      </c>
      <c r="N206" s="25">
        <v>241956</v>
      </c>
      <c r="O206" s="25">
        <v>195458</v>
      </c>
      <c r="P206" s="84">
        <v>229166</v>
      </c>
      <c r="Q206" s="25">
        <v>255710</v>
      </c>
      <c r="R206" s="25">
        <v>265150</v>
      </c>
      <c r="S206" s="25">
        <v>59075</v>
      </c>
      <c r="T206" s="25"/>
      <c r="U206" s="25"/>
      <c r="V206" s="25"/>
      <c r="W206" s="25"/>
      <c r="X206" s="25"/>
      <c r="Y206" s="25"/>
      <c r="Z206" s="25"/>
      <c r="AA206" s="1"/>
      <c r="AB206" s="46">
        <f>SUM(L206:Z206)</f>
        <v>1652531</v>
      </c>
      <c r="AC206" s="46">
        <f>SUM(L207:Z207)</f>
        <v>98504</v>
      </c>
      <c r="AD206" s="46">
        <f>SUM(L208:Z208)</f>
        <v>58827</v>
      </c>
      <c r="AE206" s="1"/>
      <c r="AF206" s="46">
        <f>AB206-B206</f>
        <v>0</v>
      </c>
      <c r="AG206" s="46">
        <f>AC206-C206</f>
        <v>0</v>
      </c>
      <c r="AH206" s="46">
        <f>AD206-D206</f>
        <v>-1</v>
      </c>
      <c r="AI206" s="1"/>
      <c r="AJ206" s="47">
        <f>C206/B206*1000</f>
        <v>59.607958942978982</v>
      </c>
      <c r="AK206" s="47">
        <f>D206/B206*1000</f>
        <v>35.598727043547143</v>
      </c>
      <c r="AL206" s="1"/>
      <c r="AM206" s="47">
        <f>AJ206-H206</f>
        <v>0.60795894297898201</v>
      </c>
      <c r="AN206" s="47">
        <f>AK206-I206</f>
        <v>0.49872704354714159</v>
      </c>
    </row>
    <row r="207" spans="1:40">
      <c r="A207" s="12" t="s">
        <v>207</v>
      </c>
      <c r="B207" s="13"/>
      <c r="C207" s="13"/>
      <c r="D207" s="13"/>
      <c r="E207" s="13"/>
      <c r="F207" s="13"/>
      <c r="G207" s="13"/>
      <c r="H207" s="14"/>
      <c r="I207" s="14"/>
      <c r="J207" s="14"/>
      <c r="K207" s="14"/>
      <c r="L207" s="13">
        <v>12221</v>
      </c>
      <c r="M207" s="13">
        <v>11097</v>
      </c>
      <c r="N207" s="13">
        <v>16149</v>
      </c>
      <c r="O207" s="13">
        <v>13907</v>
      </c>
      <c r="P207" s="13">
        <v>13840</v>
      </c>
      <c r="Q207" s="13">
        <v>12536</v>
      </c>
      <c r="R207" s="84">
        <v>16822</v>
      </c>
      <c r="S207" s="13">
        <v>1932</v>
      </c>
      <c r="T207" s="13"/>
      <c r="U207" s="13"/>
      <c r="V207" s="13"/>
      <c r="W207" s="13"/>
      <c r="X207" s="13"/>
      <c r="Y207" s="13"/>
      <c r="Z207" s="13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2" t="s">
        <v>208</v>
      </c>
      <c r="B208" s="13"/>
      <c r="C208" s="13"/>
      <c r="D208" s="13"/>
      <c r="E208" s="13"/>
      <c r="F208" s="13"/>
      <c r="G208" s="13"/>
      <c r="H208" s="14"/>
      <c r="I208" s="14"/>
      <c r="J208" s="14"/>
      <c r="K208" s="14"/>
      <c r="L208" s="13">
        <v>7828</v>
      </c>
      <c r="M208" s="13">
        <v>7537</v>
      </c>
      <c r="N208" s="13">
        <v>9609</v>
      </c>
      <c r="O208" s="13">
        <v>8516</v>
      </c>
      <c r="P208" s="13">
        <v>9319</v>
      </c>
      <c r="Q208" s="13">
        <v>7805</v>
      </c>
      <c r="R208" s="13">
        <v>6792</v>
      </c>
      <c r="S208" s="13">
        <v>1421</v>
      </c>
      <c r="T208" s="13"/>
      <c r="U208" s="13"/>
      <c r="V208" s="13"/>
      <c r="W208" s="13"/>
      <c r="X208" s="13"/>
      <c r="Y208" s="13"/>
      <c r="Z208" s="13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24" t="s">
        <v>209</v>
      </c>
      <c r="B209" s="25">
        <v>1073688</v>
      </c>
      <c r="C209" s="25">
        <v>29736</v>
      </c>
      <c r="D209" s="25">
        <v>17249</v>
      </c>
      <c r="E209" s="25">
        <v>48991</v>
      </c>
      <c r="F209" s="25">
        <v>1344</v>
      </c>
      <c r="G209" s="25">
        <v>967</v>
      </c>
      <c r="H209" s="26">
        <v>27.7</v>
      </c>
      <c r="I209" s="26">
        <v>15.1</v>
      </c>
      <c r="J209" s="26"/>
      <c r="K209" s="14"/>
      <c r="L209" s="25">
        <v>200694</v>
      </c>
      <c r="M209" s="25">
        <v>54532</v>
      </c>
      <c r="N209" s="25">
        <v>72660</v>
      </c>
      <c r="O209" s="25">
        <v>109624</v>
      </c>
      <c r="P209" s="25">
        <v>51245</v>
      </c>
      <c r="Q209" s="25">
        <v>85406</v>
      </c>
      <c r="R209" s="25">
        <v>73921</v>
      </c>
      <c r="S209" s="25">
        <v>108100</v>
      </c>
      <c r="T209" s="25">
        <v>133204</v>
      </c>
      <c r="U209" s="25">
        <v>184302</v>
      </c>
      <c r="V209" s="25"/>
      <c r="W209" s="25"/>
      <c r="X209" s="25"/>
      <c r="Y209" s="25"/>
      <c r="Z209" s="25"/>
      <c r="AA209" s="1"/>
      <c r="AB209" s="46">
        <f>SUM(L209:Z209)</f>
        <v>1073688</v>
      </c>
      <c r="AC209" s="46">
        <f>SUM(L210:Z210)</f>
        <v>29736</v>
      </c>
      <c r="AD209" s="46">
        <f>SUM(L211:Z211)</f>
        <v>17249</v>
      </c>
      <c r="AE209" s="1"/>
      <c r="AF209" s="46">
        <f>AB209-B209</f>
        <v>0</v>
      </c>
      <c r="AG209" s="46">
        <f>AC209-C209</f>
        <v>0</v>
      </c>
      <c r="AH209" s="46">
        <f>AD209-D209</f>
        <v>0</v>
      </c>
      <c r="AI209" s="1"/>
      <c r="AJ209" s="47">
        <f>C209/B209*1000</f>
        <v>27.695196369895164</v>
      </c>
      <c r="AK209" s="47">
        <f>D209/B209*1000</f>
        <v>16.065188397374286</v>
      </c>
      <c r="AL209" s="1"/>
      <c r="AM209" s="47">
        <f>AJ209-H209</f>
        <v>-4.8036301048348662E-3</v>
      </c>
      <c r="AN209" s="47">
        <f>AK209-I209</f>
        <v>0.96518839737428586</v>
      </c>
    </row>
    <row r="210" spans="1:40">
      <c r="A210" s="12" t="s">
        <v>210</v>
      </c>
      <c r="B210" s="13"/>
      <c r="C210" s="13"/>
      <c r="D210" s="13"/>
      <c r="E210" s="13"/>
      <c r="F210" s="13"/>
      <c r="G210" s="13"/>
      <c r="H210" s="14"/>
      <c r="I210" s="14"/>
      <c r="J210" s="14"/>
      <c r="K210" s="14"/>
      <c r="L210" s="13">
        <v>6031</v>
      </c>
      <c r="M210" s="13">
        <v>1673</v>
      </c>
      <c r="N210" s="13">
        <v>1373</v>
      </c>
      <c r="O210" s="13">
        <v>3270</v>
      </c>
      <c r="P210" s="13">
        <v>1392</v>
      </c>
      <c r="Q210" s="13">
        <v>3082</v>
      </c>
      <c r="R210" s="13">
        <v>2208</v>
      </c>
      <c r="S210" s="13">
        <v>3508</v>
      </c>
      <c r="T210" s="13">
        <v>2294</v>
      </c>
      <c r="U210" s="13">
        <v>4905</v>
      </c>
      <c r="V210" s="13"/>
      <c r="W210" s="13"/>
      <c r="X210" s="13"/>
      <c r="Y210" s="13"/>
      <c r="Z210" s="13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2" t="s">
        <v>211</v>
      </c>
      <c r="B211" s="13"/>
      <c r="C211" s="13"/>
      <c r="D211" s="13"/>
      <c r="E211" s="13"/>
      <c r="F211" s="13"/>
      <c r="G211" s="13"/>
      <c r="H211" s="14"/>
      <c r="I211" s="14"/>
      <c r="J211" s="14"/>
      <c r="K211" s="14"/>
      <c r="L211" s="13">
        <v>3180</v>
      </c>
      <c r="M211" s="13">
        <v>1399</v>
      </c>
      <c r="N211" s="13">
        <v>726</v>
      </c>
      <c r="O211" s="13">
        <v>2222</v>
      </c>
      <c r="P211" s="13">
        <v>804</v>
      </c>
      <c r="Q211" s="13">
        <v>1461</v>
      </c>
      <c r="R211" s="13">
        <v>1359</v>
      </c>
      <c r="S211" s="13">
        <v>1998</v>
      </c>
      <c r="T211" s="13">
        <v>1718</v>
      </c>
      <c r="U211" s="13">
        <v>2382</v>
      </c>
      <c r="V211" s="13"/>
      <c r="W211" s="13"/>
      <c r="X211" s="13"/>
      <c r="Y211" s="13"/>
      <c r="Z211" s="13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24" t="s">
        <v>212</v>
      </c>
      <c r="B212" s="25">
        <v>732775</v>
      </c>
      <c r="C212" s="25">
        <v>50383</v>
      </c>
      <c r="D212" s="25">
        <v>33189</v>
      </c>
      <c r="E212" s="27" t="s">
        <v>9</v>
      </c>
      <c r="F212" s="27" t="s">
        <v>9</v>
      </c>
      <c r="G212" s="27" t="s">
        <v>9</v>
      </c>
      <c r="H212" s="26">
        <v>68.7</v>
      </c>
      <c r="I212" s="26">
        <v>45.3</v>
      </c>
      <c r="J212" s="26"/>
      <c r="K212" s="11"/>
      <c r="L212" s="25">
        <v>145065</v>
      </c>
      <c r="M212" s="25">
        <v>150279</v>
      </c>
      <c r="N212" s="25">
        <v>179872</v>
      </c>
      <c r="O212" s="25">
        <v>208958</v>
      </c>
      <c r="P212" s="25">
        <v>48601</v>
      </c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1"/>
      <c r="AB212" s="46">
        <f>SUM(L212:Z212)</f>
        <v>732775</v>
      </c>
      <c r="AC212" s="46">
        <f>SUM(L213:Z213)</f>
        <v>50383</v>
      </c>
      <c r="AD212" s="46">
        <f>SUM(L214:Z214)</f>
        <v>33189</v>
      </c>
      <c r="AE212" s="1"/>
      <c r="AF212" s="46">
        <f>AB212-B212</f>
        <v>0</v>
      </c>
      <c r="AG212" s="46">
        <f>AC212-C212</f>
        <v>0</v>
      </c>
      <c r="AH212" s="46">
        <f>AD212-D212</f>
        <v>0</v>
      </c>
      <c r="AI212" s="1"/>
      <c r="AJ212" s="47">
        <f>C212/B212*1000</f>
        <v>68.756439561939203</v>
      </c>
      <c r="AK212" s="47">
        <f>D212/B212*1000</f>
        <v>45.292211115280949</v>
      </c>
      <c r="AL212" s="1"/>
      <c r="AM212" s="47">
        <f>AJ212-H212</f>
        <v>5.6439561939200189E-2</v>
      </c>
      <c r="AN212" s="47">
        <f>AK212-I212</f>
        <v>-7.7888847190479282E-3</v>
      </c>
    </row>
    <row r="213" spans="1:40">
      <c r="A213" s="12" t="s">
        <v>213</v>
      </c>
      <c r="B213" s="13"/>
      <c r="C213" s="13"/>
      <c r="D213" s="13"/>
      <c r="E213" s="13"/>
      <c r="F213" s="13"/>
      <c r="G213" s="13"/>
      <c r="H213" s="14"/>
      <c r="I213" s="14"/>
      <c r="J213" s="14"/>
      <c r="K213" s="14"/>
      <c r="L213" s="13">
        <v>10139</v>
      </c>
      <c r="M213" s="13">
        <v>10047</v>
      </c>
      <c r="N213" s="13">
        <v>14594</v>
      </c>
      <c r="O213" s="13">
        <v>14678</v>
      </c>
      <c r="P213" s="13">
        <v>925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2" t="s">
        <v>214</v>
      </c>
      <c r="B214" s="13"/>
      <c r="C214" s="13"/>
      <c r="D214" s="13"/>
      <c r="E214" s="13"/>
      <c r="F214" s="13"/>
      <c r="G214" s="13"/>
      <c r="H214" s="14"/>
      <c r="I214" s="14"/>
      <c r="J214" s="14"/>
      <c r="K214" s="14"/>
      <c r="L214" s="13">
        <v>6496</v>
      </c>
      <c r="M214" s="13">
        <v>6340</v>
      </c>
      <c r="N214" s="13">
        <v>10738</v>
      </c>
      <c r="O214" s="13">
        <v>8973</v>
      </c>
      <c r="P214" s="13">
        <v>642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24" t="s">
        <v>215</v>
      </c>
      <c r="B215" s="25">
        <v>821733</v>
      </c>
      <c r="C215" s="25">
        <v>31292</v>
      </c>
      <c r="D215" s="25">
        <v>21174</v>
      </c>
      <c r="E215" s="25">
        <v>113656</v>
      </c>
      <c r="F215" s="25">
        <v>4145</v>
      </c>
      <c r="G215" s="25">
        <v>2534</v>
      </c>
      <c r="H215" s="26">
        <v>38.1</v>
      </c>
      <c r="I215" s="26">
        <v>25.8</v>
      </c>
      <c r="J215" s="26"/>
      <c r="K215" s="14"/>
      <c r="L215" s="25">
        <v>138956</v>
      </c>
      <c r="M215" s="25">
        <v>188478</v>
      </c>
      <c r="N215" s="25">
        <v>86752</v>
      </c>
      <c r="O215" s="25">
        <v>106494</v>
      </c>
      <c r="P215" s="25">
        <v>123906</v>
      </c>
      <c r="Q215" s="25">
        <v>107776</v>
      </c>
      <c r="R215" s="25">
        <v>69371</v>
      </c>
      <c r="S215" s="25"/>
      <c r="T215" s="25"/>
      <c r="U215" s="25"/>
      <c r="V215" s="25"/>
      <c r="W215" s="25"/>
      <c r="X215" s="25"/>
      <c r="Y215" s="25"/>
      <c r="Z215" s="25"/>
      <c r="AA215" s="1"/>
      <c r="AB215" s="46">
        <f>SUM(L215:Z215)</f>
        <v>821733</v>
      </c>
      <c r="AC215" s="46">
        <f>SUM(L216:Z216)</f>
        <v>31292</v>
      </c>
      <c r="AD215" s="46">
        <f>SUM(L217:Z217)</f>
        <v>21177</v>
      </c>
      <c r="AE215" s="1"/>
      <c r="AF215" s="46">
        <f>AB215-B215</f>
        <v>0</v>
      </c>
      <c r="AG215" s="46">
        <f>AC215-C215</f>
        <v>0</v>
      </c>
      <c r="AH215" s="46">
        <f>AD215-D215</f>
        <v>3</v>
      </c>
      <c r="AI215" s="1"/>
      <c r="AJ215" s="47">
        <f>C215/B215*1000</f>
        <v>38.080495732798852</v>
      </c>
      <c r="AK215" s="47">
        <f>D215/B215*1000</f>
        <v>25.767493820985649</v>
      </c>
      <c r="AL215" s="1"/>
      <c r="AM215" s="47">
        <f>AJ215-H215</f>
        <v>-1.9504267201149617E-2</v>
      </c>
      <c r="AN215" s="47">
        <f>AK215-I215</f>
        <v>-3.2506179014351488E-2</v>
      </c>
    </row>
    <row r="216" spans="1:40">
      <c r="A216" s="12" t="s">
        <v>216</v>
      </c>
      <c r="B216" s="13"/>
      <c r="C216" s="13"/>
      <c r="D216" s="13"/>
      <c r="E216" s="13"/>
      <c r="F216" s="13"/>
      <c r="G216" s="13"/>
      <c r="H216" s="14"/>
      <c r="I216" s="14"/>
      <c r="J216" s="14"/>
      <c r="K216" s="14"/>
      <c r="L216" s="13">
        <v>4392</v>
      </c>
      <c r="M216" s="13">
        <v>3746</v>
      </c>
      <c r="N216" s="13">
        <v>3756</v>
      </c>
      <c r="O216" s="13">
        <v>3694</v>
      </c>
      <c r="P216" s="13">
        <v>8024</v>
      </c>
      <c r="Q216" s="13">
        <v>5178</v>
      </c>
      <c r="R216" s="13">
        <v>2502</v>
      </c>
      <c r="S216" s="13"/>
      <c r="T216" s="13"/>
      <c r="U216" s="13"/>
      <c r="V216" s="13"/>
      <c r="W216" s="13"/>
      <c r="X216" s="13"/>
      <c r="Y216" s="13"/>
      <c r="Z216" s="13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2" t="s">
        <v>217</v>
      </c>
      <c r="B217" s="13"/>
      <c r="C217" s="13"/>
      <c r="D217" s="13"/>
      <c r="E217" s="13"/>
      <c r="F217" s="13"/>
      <c r="G217" s="13"/>
      <c r="H217" s="14"/>
      <c r="I217" s="14"/>
      <c r="J217" s="14"/>
      <c r="K217" s="14"/>
      <c r="L217" s="13">
        <v>2731</v>
      </c>
      <c r="M217" s="13">
        <v>2679</v>
      </c>
      <c r="N217" s="13">
        <v>2309</v>
      </c>
      <c r="O217" s="13">
        <v>1986</v>
      </c>
      <c r="P217" s="13">
        <v>5632</v>
      </c>
      <c r="Q217" s="13">
        <v>4174</v>
      </c>
      <c r="R217" s="13">
        <v>1666</v>
      </c>
      <c r="S217" s="13"/>
      <c r="T217" s="13"/>
      <c r="U217" s="13"/>
      <c r="V217" s="13"/>
      <c r="W217" s="13"/>
      <c r="X217" s="13"/>
      <c r="Y217" s="13"/>
      <c r="Z217" s="13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24" t="s">
        <v>218</v>
      </c>
      <c r="B218" s="84">
        <v>998059</v>
      </c>
      <c r="C218" s="25">
        <v>30730</v>
      </c>
      <c r="D218" s="25">
        <v>20591</v>
      </c>
      <c r="E218" s="25">
        <v>157536</v>
      </c>
      <c r="F218" s="25">
        <v>3980</v>
      </c>
      <c r="G218" s="25">
        <v>3645</v>
      </c>
      <c r="H218" s="26">
        <v>35.5</v>
      </c>
      <c r="I218" s="26">
        <v>23.8</v>
      </c>
      <c r="J218" s="26"/>
      <c r="K218" s="14"/>
      <c r="L218" s="25">
        <v>235143</v>
      </c>
      <c r="M218" s="25">
        <v>73554</v>
      </c>
      <c r="N218" s="25">
        <v>64159</v>
      </c>
      <c r="O218" s="25">
        <v>140002</v>
      </c>
      <c r="P218" s="25">
        <v>206714</v>
      </c>
      <c r="Q218" s="25">
        <v>73949</v>
      </c>
      <c r="R218" s="25">
        <v>98278</v>
      </c>
      <c r="S218" s="25">
        <v>70681</v>
      </c>
      <c r="T218" s="25">
        <v>35579</v>
      </c>
      <c r="U218" s="25"/>
      <c r="V218" s="25"/>
      <c r="W218" s="25"/>
      <c r="X218" s="25"/>
      <c r="Y218" s="25"/>
      <c r="Z218" s="25"/>
      <c r="AA218" s="1"/>
      <c r="AB218" s="46">
        <f>SUM(L218:Z218)</f>
        <v>998059</v>
      </c>
      <c r="AC218" s="46">
        <f>SUM(L219:Z219)</f>
        <v>30730</v>
      </c>
      <c r="AD218" s="46">
        <f>SUM(L220:Z220)</f>
        <v>20691</v>
      </c>
      <c r="AE218" s="1"/>
      <c r="AF218" s="46">
        <f>AB218-B218</f>
        <v>0</v>
      </c>
      <c r="AG218" s="46">
        <f>AC218-C218</f>
        <v>0</v>
      </c>
      <c r="AH218" s="46">
        <f>AD218-D218</f>
        <v>100</v>
      </c>
      <c r="AI218" s="1"/>
      <c r="AJ218" s="47">
        <f>C218/B218*1000</f>
        <v>30.789762929846834</v>
      </c>
      <c r="AK218" s="47">
        <f>D218/B218*1000</f>
        <v>20.631044858069512</v>
      </c>
      <c r="AL218" s="1"/>
      <c r="AM218" s="47">
        <f>AJ218-H218</f>
        <v>-4.7102370701531662</v>
      </c>
      <c r="AN218" s="47">
        <f>AK218-I218</f>
        <v>-3.1689551419304891</v>
      </c>
    </row>
    <row r="219" spans="1:40">
      <c r="A219" s="12" t="s">
        <v>219</v>
      </c>
      <c r="B219" s="13"/>
      <c r="C219" s="13"/>
      <c r="D219" s="13"/>
      <c r="E219" s="13"/>
      <c r="F219" s="13"/>
      <c r="G219" s="13"/>
      <c r="H219" s="14"/>
      <c r="I219" s="14"/>
      <c r="J219" s="14"/>
      <c r="K219" s="14"/>
      <c r="L219" s="13">
        <v>6080</v>
      </c>
      <c r="M219" s="13">
        <v>3639</v>
      </c>
      <c r="N219" s="13">
        <v>2155</v>
      </c>
      <c r="O219" s="13">
        <v>3720</v>
      </c>
      <c r="P219" s="13">
        <v>7091</v>
      </c>
      <c r="Q219" s="13">
        <v>1983</v>
      </c>
      <c r="R219" s="13">
        <v>3363</v>
      </c>
      <c r="S219" s="13">
        <v>1795</v>
      </c>
      <c r="T219" s="13">
        <v>904</v>
      </c>
      <c r="U219" s="13"/>
      <c r="V219" s="13"/>
      <c r="W219" s="13"/>
      <c r="X219" s="13"/>
      <c r="Y219" s="13"/>
      <c r="Z219" s="13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2" t="s">
        <v>220</v>
      </c>
      <c r="B220" s="13"/>
      <c r="C220" s="13"/>
      <c r="D220" s="13"/>
      <c r="E220" s="13"/>
      <c r="F220" s="13"/>
      <c r="G220" s="13"/>
      <c r="H220" s="14"/>
      <c r="I220" s="14"/>
      <c r="J220" s="14"/>
      <c r="K220" s="14"/>
      <c r="L220" s="13">
        <v>5015</v>
      </c>
      <c r="M220" s="13">
        <v>2456</v>
      </c>
      <c r="N220" s="13">
        <v>1484</v>
      </c>
      <c r="O220" s="13">
        <v>2185</v>
      </c>
      <c r="P220" s="13">
        <v>3776</v>
      </c>
      <c r="Q220" s="13">
        <v>1617</v>
      </c>
      <c r="R220" s="13">
        <v>2182</v>
      </c>
      <c r="S220" s="13">
        <v>1151</v>
      </c>
      <c r="T220" s="13">
        <v>825</v>
      </c>
      <c r="U220" s="13"/>
      <c r="V220" s="13"/>
      <c r="W220" s="13"/>
      <c r="X220" s="13"/>
      <c r="Y220" s="13"/>
      <c r="Z220" s="13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24" t="s">
        <v>221</v>
      </c>
      <c r="B221" s="25">
        <v>728328</v>
      </c>
      <c r="C221" s="25">
        <v>29392</v>
      </c>
      <c r="D221" s="25">
        <v>17671</v>
      </c>
      <c r="E221" s="25">
        <v>14149</v>
      </c>
      <c r="F221" s="25">
        <v>590</v>
      </c>
      <c r="G221" s="25">
        <v>504</v>
      </c>
      <c r="H221" s="26">
        <v>40.4</v>
      </c>
      <c r="I221" s="26">
        <v>24.3</v>
      </c>
      <c r="J221" s="26"/>
      <c r="K221" s="14"/>
      <c r="L221" s="25">
        <v>117931</v>
      </c>
      <c r="M221" s="25">
        <v>152798</v>
      </c>
      <c r="N221" s="25">
        <v>92823</v>
      </c>
      <c r="O221" s="25">
        <v>116511</v>
      </c>
      <c r="P221" s="25">
        <v>77679</v>
      </c>
      <c r="Q221" s="25">
        <v>67512</v>
      </c>
      <c r="R221" s="25">
        <v>103074</v>
      </c>
      <c r="S221" s="25"/>
      <c r="T221" s="25"/>
      <c r="U221" s="25"/>
      <c r="V221" s="25"/>
      <c r="W221" s="25"/>
      <c r="X221" s="25"/>
      <c r="Y221" s="25"/>
      <c r="Z221" s="25"/>
      <c r="AA221" s="1"/>
      <c r="AB221" s="46">
        <f>SUM(L221:Z221)</f>
        <v>728328</v>
      </c>
      <c r="AC221" s="46">
        <f>SUM(L222:Z222)</f>
        <v>29392</v>
      </c>
      <c r="AD221" s="46">
        <f>SUM(L223:Z223)</f>
        <v>17671</v>
      </c>
      <c r="AE221" s="1"/>
      <c r="AF221" s="46">
        <f>AB221-B221</f>
        <v>0</v>
      </c>
      <c r="AG221" s="46">
        <f>AC221-C221</f>
        <v>0</v>
      </c>
      <c r="AH221" s="46">
        <f>AD221-D221</f>
        <v>0</v>
      </c>
      <c r="AI221" s="1"/>
      <c r="AJ221" s="47">
        <f>C221/B221*1000</f>
        <v>40.355444250392686</v>
      </c>
      <c r="AK221" s="47">
        <f>D221/B221*1000</f>
        <v>24.262420228248811</v>
      </c>
      <c r="AL221" s="1"/>
      <c r="AM221" s="47">
        <f>AJ221-H221</f>
        <v>-4.4555749607312123E-2</v>
      </c>
      <c r="AN221" s="47">
        <f>AK221-I221</f>
        <v>-3.7579771751190094E-2</v>
      </c>
    </row>
    <row r="222" spans="1:40">
      <c r="A222" s="12" t="s">
        <v>222</v>
      </c>
      <c r="B222" s="13"/>
      <c r="C222" s="13"/>
      <c r="D222" s="13"/>
      <c r="E222" s="13"/>
      <c r="F222" s="13"/>
      <c r="G222" s="13"/>
      <c r="H222" s="14"/>
      <c r="I222" s="14"/>
      <c r="J222" s="14"/>
      <c r="K222" s="14"/>
      <c r="L222" s="13">
        <v>4522</v>
      </c>
      <c r="M222" s="13">
        <v>6924</v>
      </c>
      <c r="N222" s="13">
        <v>4161</v>
      </c>
      <c r="O222" s="13">
        <v>4404</v>
      </c>
      <c r="P222" s="13">
        <v>3301</v>
      </c>
      <c r="Q222" s="13">
        <v>1793</v>
      </c>
      <c r="R222" s="13">
        <v>4287</v>
      </c>
      <c r="S222" s="13"/>
      <c r="T222" s="13"/>
      <c r="U222" s="13"/>
      <c r="V222" s="13"/>
      <c r="W222" s="13"/>
      <c r="X222" s="13"/>
      <c r="Y222" s="13"/>
      <c r="Z222" s="13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2" t="s">
        <v>223</v>
      </c>
      <c r="B223" s="13"/>
      <c r="C223" s="13"/>
      <c r="D223" s="13"/>
      <c r="E223" s="13"/>
      <c r="F223" s="13"/>
      <c r="G223" s="13"/>
      <c r="H223" s="14"/>
      <c r="I223" s="14"/>
      <c r="J223" s="14"/>
      <c r="K223" s="14"/>
      <c r="L223" s="13">
        <v>2752</v>
      </c>
      <c r="M223" s="13">
        <v>4794</v>
      </c>
      <c r="N223" s="13">
        <v>1594</v>
      </c>
      <c r="O223" s="13">
        <v>2252</v>
      </c>
      <c r="P223" s="13">
        <v>2761</v>
      </c>
      <c r="Q223" s="13">
        <v>732</v>
      </c>
      <c r="R223" s="13">
        <v>2786</v>
      </c>
      <c r="S223" s="13"/>
      <c r="T223" s="13"/>
      <c r="U223" s="13"/>
      <c r="V223" s="13"/>
      <c r="W223" s="13"/>
      <c r="X223" s="13"/>
      <c r="Y223" s="13"/>
      <c r="Z223" s="13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24" t="s">
        <v>224</v>
      </c>
      <c r="B224" s="25">
        <v>76488</v>
      </c>
      <c r="C224" s="25">
        <v>3034</v>
      </c>
      <c r="D224" s="25">
        <v>2013</v>
      </c>
      <c r="E224" s="27" t="s">
        <v>9</v>
      </c>
      <c r="F224" s="27" t="s">
        <v>9</v>
      </c>
      <c r="G224" s="27" t="s">
        <v>9</v>
      </c>
      <c r="H224" s="28" t="s">
        <v>9</v>
      </c>
      <c r="I224" s="28" t="s">
        <v>9</v>
      </c>
      <c r="J224" s="28" t="s">
        <v>218</v>
      </c>
      <c r="K224" s="11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1"/>
      <c r="AB224" s="46">
        <f>B224</f>
        <v>76488</v>
      </c>
      <c r="AC224" s="46">
        <f>C224</f>
        <v>3034</v>
      </c>
      <c r="AD224" s="46">
        <f>D224</f>
        <v>2013</v>
      </c>
      <c r="AE224" s="1"/>
      <c r="AF224" s="68"/>
      <c r="AG224" s="68"/>
      <c r="AH224" s="68"/>
      <c r="AI224" s="1"/>
      <c r="AJ224" s="47">
        <f>C224/B224*1000</f>
        <v>39.666352891956905</v>
      </c>
      <c r="AK224" s="47">
        <f>D224/B224*1000</f>
        <v>26.317853780985249</v>
      </c>
      <c r="AL224" s="1"/>
      <c r="AM224" s="47"/>
      <c r="AN224" s="47"/>
    </row>
    <row r="225" spans="1:40">
      <c r="A225" s="29" t="s">
        <v>225</v>
      </c>
      <c r="B225" s="30">
        <v>8326727</v>
      </c>
      <c r="C225" s="30">
        <v>334862</v>
      </c>
      <c r="D225" s="30">
        <v>213811</v>
      </c>
      <c r="E225" s="30"/>
      <c r="F225" s="30"/>
      <c r="G225" s="30"/>
      <c r="H225" s="31">
        <v>41.8</v>
      </c>
      <c r="I225" s="31">
        <v>26.2</v>
      </c>
      <c r="J225" s="31"/>
      <c r="K225" s="14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1"/>
      <c r="AB225" s="70">
        <f>SUM(AB196:AB224)</f>
        <v>8425727</v>
      </c>
      <c r="AC225" s="70">
        <f>SUM(AC196:AC224)</f>
        <v>334912</v>
      </c>
      <c r="AD225" s="70">
        <f>SUM(AD196:AD224)</f>
        <v>213910</v>
      </c>
      <c r="AE225" s="1"/>
      <c r="AF225" s="70">
        <f>AB225-B225</f>
        <v>99000</v>
      </c>
      <c r="AG225" s="70">
        <f>AC225-C225</f>
        <v>50</v>
      </c>
      <c r="AH225" s="70">
        <f>AD225-D225</f>
        <v>99</v>
      </c>
      <c r="AI225" s="1"/>
      <c r="AJ225" s="71">
        <f>C225/B225*1000</f>
        <v>40.215321097953613</v>
      </c>
      <c r="AK225" s="71">
        <f>D225/B225*1000</f>
        <v>25.677676234611749</v>
      </c>
      <c r="AL225" s="1"/>
      <c r="AM225" s="71">
        <f>AJ225-H225</f>
        <v>-1.5846789020463845</v>
      </c>
      <c r="AN225" s="71">
        <f>AK225-I225</f>
        <v>-0.52232376538825065</v>
      </c>
    </row>
    <row r="226" spans="1:40">
      <c r="A226" s="32" t="s">
        <v>226</v>
      </c>
      <c r="B226" s="28">
        <v>72467</v>
      </c>
      <c r="C226" s="28">
        <v>3147</v>
      </c>
      <c r="D226" s="28">
        <v>2180</v>
      </c>
      <c r="E226" s="33" t="s">
        <v>9</v>
      </c>
      <c r="F226" s="33" t="s">
        <v>9</v>
      </c>
      <c r="G226" s="33" t="s">
        <v>9</v>
      </c>
      <c r="H226" s="26">
        <v>43.7</v>
      </c>
      <c r="I226" s="26">
        <v>30.3</v>
      </c>
      <c r="J226" s="26"/>
      <c r="K226" s="11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1"/>
      <c r="AB226" s="46">
        <f>B226</f>
        <v>72467</v>
      </c>
      <c r="AC226" s="46">
        <f>C226</f>
        <v>3147</v>
      </c>
      <c r="AD226" s="46">
        <f>D226</f>
        <v>2180</v>
      </c>
      <c r="AE226" s="1"/>
      <c r="AF226" s="68"/>
      <c r="AG226" s="68"/>
      <c r="AH226" s="68"/>
      <c r="AI226" s="1"/>
      <c r="AJ226" s="47">
        <f>C226/B226*1000</f>
        <v>43.426663170822586</v>
      </c>
      <c r="AK226" s="47">
        <f>D226/B226*1000</f>
        <v>30.082658313439222</v>
      </c>
      <c r="AL226" s="1"/>
      <c r="AM226" s="47">
        <f>AJ226-H226</f>
        <v>-0.27333682917741697</v>
      </c>
      <c r="AN226" s="47">
        <f>AK226-I226</f>
        <v>-0.21734168656077912</v>
      </c>
    </row>
    <row r="227" spans="1:40">
      <c r="A227" s="32" t="s">
        <v>227</v>
      </c>
      <c r="B227" s="28">
        <v>504408</v>
      </c>
      <c r="C227" s="28">
        <v>27070</v>
      </c>
      <c r="D227" s="28">
        <v>19213</v>
      </c>
      <c r="E227" s="28">
        <v>48348</v>
      </c>
      <c r="F227" s="28">
        <v>2280</v>
      </c>
      <c r="G227" s="28">
        <v>2313</v>
      </c>
      <c r="H227" s="26">
        <v>53.7</v>
      </c>
      <c r="I227" s="26">
        <v>38.1</v>
      </c>
      <c r="J227" s="26"/>
      <c r="K227" s="14"/>
      <c r="L227" s="28">
        <v>93757</v>
      </c>
      <c r="M227" s="28">
        <v>94431</v>
      </c>
      <c r="N227" s="28">
        <v>70247</v>
      </c>
      <c r="O227" s="28">
        <v>79611</v>
      </c>
      <c r="P227" s="28">
        <v>157091</v>
      </c>
      <c r="Q227" s="28">
        <v>9271</v>
      </c>
      <c r="R227" s="28"/>
      <c r="S227" s="28"/>
      <c r="T227" s="28"/>
      <c r="U227" s="28"/>
      <c r="V227" s="28"/>
      <c r="W227" s="28"/>
      <c r="X227" s="28"/>
      <c r="Y227" s="28"/>
      <c r="Z227" s="28"/>
      <c r="AA227" s="1"/>
      <c r="AB227" s="46">
        <f>SUM(L227:Z227)</f>
        <v>504408</v>
      </c>
      <c r="AC227" s="46">
        <f>SUM(L228:Z228)</f>
        <v>27070</v>
      </c>
      <c r="AD227" s="46">
        <f>SUM(L229:Z229)</f>
        <v>19213</v>
      </c>
      <c r="AE227" s="1"/>
      <c r="AF227" s="46">
        <f>AB227-B227</f>
        <v>0</v>
      </c>
      <c r="AG227" s="46">
        <f>AC227-C227</f>
        <v>0</v>
      </c>
      <c r="AH227" s="46">
        <f>AD227-D227</f>
        <v>0</v>
      </c>
      <c r="AI227" s="1"/>
      <c r="AJ227" s="47">
        <f>C227/B227*1000</f>
        <v>53.666872848963536</v>
      </c>
      <c r="AK227" s="47">
        <f>D227/B227*1000</f>
        <v>38.090196824792628</v>
      </c>
      <c r="AL227" s="1"/>
      <c r="AM227" s="47">
        <f>AJ227-H227</f>
        <v>-3.3127151036467239E-2</v>
      </c>
      <c r="AN227" s="47">
        <f>AK227-I227</f>
        <v>-9.8031752073737266E-3</v>
      </c>
    </row>
    <row r="228" spans="1:40">
      <c r="A228" s="34" t="s">
        <v>228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>
        <v>4361</v>
      </c>
      <c r="M228" s="14">
        <v>5244</v>
      </c>
      <c r="N228" s="14">
        <v>3123</v>
      </c>
      <c r="O228" s="14">
        <v>4063</v>
      </c>
      <c r="P228" s="14">
        <v>10039</v>
      </c>
      <c r="Q228" s="14">
        <v>240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34" t="s">
        <v>229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>
        <v>3668</v>
      </c>
      <c r="M229" s="14">
        <v>3800</v>
      </c>
      <c r="N229" s="14">
        <v>2724</v>
      </c>
      <c r="O229" s="14">
        <v>3742</v>
      </c>
      <c r="P229" s="14">
        <v>5166</v>
      </c>
      <c r="Q229" s="14">
        <v>113</v>
      </c>
      <c r="R229" s="14"/>
      <c r="S229" s="14"/>
      <c r="T229" s="14"/>
      <c r="U229" s="14"/>
      <c r="V229" s="14"/>
      <c r="W229" s="14"/>
      <c r="X229" s="14"/>
      <c r="Y229" s="14"/>
      <c r="Z229" s="14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32" t="s">
        <v>230</v>
      </c>
      <c r="B230" s="28">
        <v>610194</v>
      </c>
      <c r="C230" s="28">
        <v>24953</v>
      </c>
      <c r="D230" s="28">
        <v>15993</v>
      </c>
      <c r="E230" s="28">
        <v>28125</v>
      </c>
      <c r="F230" s="28">
        <v>1588</v>
      </c>
      <c r="G230" s="28">
        <v>1041</v>
      </c>
      <c r="H230" s="26">
        <v>40.700000000000003</v>
      </c>
      <c r="I230" s="26">
        <v>26.2</v>
      </c>
      <c r="J230" s="26"/>
      <c r="K230" s="14"/>
      <c r="L230" s="28">
        <v>128992</v>
      </c>
      <c r="M230" s="28">
        <v>30216</v>
      </c>
      <c r="N230" s="28">
        <v>21969</v>
      </c>
      <c r="O230" s="28">
        <v>153776</v>
      </c>
      <c r="P230" s="28">
        <v>78863</v>
      </c>
      <c r="Q230" s="28">
        <v>65220</v>
      </c>
      <c r="R230" s="28">
        <v>100624</v>
      </c>
      <c r="S230" s="28">
        <v>30534</v>
      </c>
      <c r="T230" s="28"/>
      <c r="U230" s="28"/>
      <c r="V230" s="28"/>
      <c r="W230" s="28"/>
      <c r="X230" s="28"/>
      <c r="Y230" s="28"/>
      <c r="Z230" s="28"/>
      <c r="AA230" s="1"/>
      <c r="AB230" s="46">
        <f>SUM(L230:Z230)</f>
        <v>610194</v>
      </c>
      <c r="AC230" s="46">
        <f>SUM(L231:Z231)</f>
        <v>24953</v>
      </c>
      <c r="AD230" s="46">
        <f>SUM(L232:Z232)</f>
        <v>15993</v>
      </c>
      <c r="AE230" s="1"/>
      <c r="AF230" s="46">
        <f>AB230-B230</f>
        <v>0</v>
      </c>
      <c r="AG230" s="46">
        <f>AC230-C230</f>
        <v>0</v>
      </c>
      <c r="AH230" s="46">
        <f>AD230-D230</f>
        <v>0</v>
      </c>
      <c r="AI230" s="1"/>
      <c r="AJ230" s="47">
        <f>C230/B230*1000</f>
        <v>40.89355188677699</v>
      </c>
      <c r="AK230" s="47">
        <f>D230/B230*1000</f>
        <v>26.209697243827371</v>
      </c>
      <c r="AL230" s="1"/>
      <c r="AM230" s="47">
        <f>AJ230-H230</f>
        <v>0.1935518867769872</v>
      </c>
      <c r="AN230" s="47">
        <f>AK230-I230</f>
        <v>9.6972438273716932E-3</v>
      </c>
    </row>
    <row r="231" spans="1:40">
      <c r="A231" s="34" t="s">
        <v>231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>
        <v>4720</v>
      </c>
      <c r="M231" s="14">
        <v>1153</v>
      </c>
      <c r="N231" s="14">
        <v>651</v>
      </c>
      <c r="O231" s="14">
        <v>6035</v>
      </c>
      <c r="P231" s="14">
        <v>4635</v>
      </c>
      <c r="Q231" s="14">
        <v>3169</v>
      </c>
      <c r="R231" s="14">
        <v>3470</v>
      </c>
      <c r="S231" s="14">
        <v>1120</v>
      </c>
      <c r="T231" s="14"/>
      <c r="U231" s="14"/>
      <c r="V231" s="14"/>
      <c r="W231" s="14"/>
      <c r="X231" s="14"/>
      <c r="Y231" s="14"/>
      <c r="Z231" s="14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34" t="s">
        <v>232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>
        <v>2883</v>
      </c>
      <c r="M232" s="14">
        <v>676</v>
      </c>
      <c r="N232" s="14">
        <v>526</v>
      </c>
      <c r="O232" s="14">
        <v>3441</v>
      </c>
      <c r="P232" s="14">
        <v>3233</v>
      </c>
      <c r="Q232" s="14">
        <v>2074</v>
      </c>
      <c r="R232" s="14">
        <v>2427</v>
      </c>
      <c r="S232" s="14">
        <v>733</v>
      </c>
      <c r="T232" s="14"/>
      <c r="U232" s="14"/>
      <c r="V232" s="14"/>
      <c r="W232" s="14"/>
      <c r="X232" s="14"/>
      <c r="Y232" s="14"/>
      <c r="Z232" s="14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32" t="s">
        <v>233</v>
      </c>
      <c r="B233" s="28">
        <v>486229</v>
      </c>
      <c r="C233" s="28">
        <v>22826</v>
      </c>
      <c r="D233" s="28">
        <v>18780</v>
      </c>
      <c r="E233" s="28">
        <v>55519</v>
      </c>
      <c r="F233" s="28">
        <v>2632</v>
      </c>
      <c r="G233" s="28">
        <v>2215</v>
      </c>
      <c r="H233" s="26">
        <v>50</v>
      </c>
      <c r="I233" s="26">
        <v>41.2</v>
      </c>
      <c r="J233" s="26"/>
      <c r="K233" s="14"/>
      <c r="L233" s="28">
        <v>147194</v>
      </c>
      <c r="M233" s="28">
        <v>164613</v>
      </c>
      <c r="N233" s="28">
        <v>67688</v>
      </c>
      <c r="O233" s="28">
        <v>48325</v>
      </c>
      <c r="P233" s="28">
        <v>58409</v>
      </c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1"/>
      <c r="AB233" s="46">
        <f>SUM(L233:Z233)</f>
        <v>486229</v>
      </c>
      <c r="AC233" s="46">
        <f>SUM(L234:Z234)</f>
        <v>22826</v>
      </c>
      <c r="AD233" s="46">
        <f>SUM(L235:Z235)</f>
        <v>18780</v>
      </c>
      <c r="AE233" s="1"/>
      <c r="AF233" s="46">
        <f>AB233-B233</f>
        <v>0</v>
      </c>
      <c r="AG233" s="46">
        <f>AC233-C233</f>
        <v>0</v>
      </c>
      <c r="AH233" s="46">
        <f>AD233-D233</f>
        <v>0</v>
      </c>
      <c r="AI233" s="1"/>
      <c r="AJ233" s="47">
        <f>C233/B233*1000</f>
        <v>46.944958034177311</v>
      </c>
      <c r="AK233" s="47">
        <f>D233/B233*1000</f>
        <v>38.623776039685005</v>
      </c>
      <c r="AL233" s="1"/>
      <c r="AM233" s="47">
        <f>AJ233-H233</f>
        <v>-3.0550419658226886</v>
      </c>
      <c r="AN233" s="47">
        <f>AK233-I233</f>
        <v>-2.5762239603149979</v>
      </c>
    </row>
    <row r="234" spans="1:40">
      <c r="A234" s="34" t="s">
        <v>234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>
        <v>7118</v>
      </c>
      <c r="M234" s="14">
        <v>6190</v>
      </c>
      <c r="N234" s="14">
        <v>3335</v>
      </c>
      <c r="O234" s="14">
        <v>2678</v>
      </c>
      <c r="P234" s="14">
        <v>3505</v>
      </c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34" t="s">
        <v>235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>
        <v>5357</v>
      </c>
      <c r="M235" s="14">
        <v>5035</v>
      </c>
      <c r="N235" s="14">
        <v>2614</v>
      </c>
      <c r="O235" s="14">
        <v>2678</v>
      </c>
      <c r="P235" s="14">
        <v>3096</v>
      </c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32" t="s">
        <v>236</v>
      </c>
      <c r="B236" s="28">
        <v>151921</v>
      </c>
      <c r="C236" s="28">
        <v>6005</v>
      </c>
      <c r="D236" s="28">
        <v>2981</v>
      </c>
      <c r="E236" s="28">
        <v>43097</v>
      </c>
      <c r="F236" s="28">
        <v>1221</v>
      </c>
      <c r="G236" s="28">
        <v>960</v>
      </c>
      <c r="H236" s="28" t="s">
        <v>9</v>
      </c>
      <c r="I236" s="28" t="s">
        <v>9</v>
      </c>
      <c r="J236" s="28"/>
      <c r="K236" s="14"/>
      <c r="L236" s="28">
        <v>19673</v>
      </c>
      <c r="M236" s="28">
        <v>10100</v>
      </c>
      <c r="N236" s="28">
        <v>5510</v>
      </c>
      <c r="O236" s="28">
        <v>659</v>
      </c>
      <c r="P236" s="28">
        <v>11108</v>
      </c>
      <c r="Q236" s="28">
        <v>4024</v>
      </c>
      <c r="R236" s="28">
        <v>7811</v>
      </c>
      <c r="S236" s="28">
        <v>7313</v>
      </c>
      <c r="T236" s="28">
        <v>85723</v>
      </c>
      <c r="U236" s="28"/>
      <c r="V236" s="28"/>
      <c r="W236" s="28"/>
      <c r="X236" s="28"/>
      <c r="Y236" s="28"/>
      <c r="Z236" s="28"/>
      <c r="AA236" s="1"/>
      <c r="AB236" s="46">
        <f>SUM(L236:Z236)</f>
        <v>151921</v>
      </c>
      <c r="AC236" s="46">
        <f>SUM(L237:Z237)</f>
        <v>6005</v>
      </c>
      <c r="AD236" s="46">
        <f>SUM(L238:Z238)</f>
        <v>2981</v>
      </c>
      <c r="AE236" s="1"/>
      <c r="AF236" s="46">
        <f>AB236-B236</f>
        <v>0</v>
      </c>
      <c r="AG236" s="46">
        <f>AC236-C236</f>
        <v>0</v>
      </c>
      <c r="AH236" s="46">
        <f>AD236-D236</f>
        <v>0</v>
      </c>
      <c r="AI236" s="1"/>
      <c r="AJ236" s="47">
        <f>C236/B236*1000</f>
        <v>39.527122649271661</v>
      </c>
      <c r="AK236" s="47">
        <f>D236/B236*1000</f>
        <v>19.622040402577657</v>
      </c>
      <c r="AL236" s="1"/>
      <c r="AM236" s="47"/>
      <c r="AN236" s="47"/>
    </row>
    <row r="237" spans="1:40">
      <c r="A237" s="34" t="s">
        <v>237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>
        <v>749</v>
      </c>
      <c r="M237" s="11" t="s">
        <v>9</v>
      </c>
      <c r="N237" s="14">
        <v>75</v>
      </c>
      <c r="O237" s="14">
        <v>28</v>
      </c>
      <c r="P237" s="14">
        <v>257</v>
      </c>
      <c r="Q237" s="14">
        <v>125</v>
      </c>
      <c r="R237" s="14">
        <v>340</v>
      </c>
      <c r="S237" s="14">
        <v>299</v>
      </c>
      <c r="T237" s="14">
        <v>4132</v>
      </c>
      <c r="U237" s="14"/>
      <c r="V237" s="14"/>
      <c r="W237" s="14"/>
      <c r="X237" s="14"/>
      <c r="Y237" s="14"/>
      <c r="Z237" s="14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34" t="s">
        <v>238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>
        <v>390</v>
      </c>
      <c r="M238" s="11" t="s">
        <v>9</v>
      </c>
      <c r="N238" s="14">
        <v>38</v>
      </c>
      <c r="O238" s="14">
        <v>30</v>
      </c>
      <c r="P238" s="14">
        <v>202</v>
      </c>
      <c r="Q238" s="14">
        <v>66</v>
      </c>
      <c r="R238" s="14">
        <v>189</v>
      </c>
      <c r="S238" s="14">
        <v>218</v>
      </c>
      <c r="T238" s="14">
        <v>1848</v>
      </c>
      <c r="U238" s="14"/>
      <c r="V238" s="14"/>
      <c r="W238" s="14"/>
      <c r="X238" s="14"/>
      <c r="Y238" s="14"/>
      <c r="Z238" s="14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32" t="s">
        <v>239</v>
      </c>
      <c r="B239" s="28">
        <v>1467371</v>
      </c>
      <c r="C239" s="28">
        <v>69872</v>
      </c>
      <c r="D239" s="28">
        <v>53900</v>
      </c>
      <c r="E239" s="28">
        <v>105045</v>
      </c>
      <c r="F239" s="28">
        <v>4392</v>
      </c>
      <c r="G239" s="28">
        <v>5018</v>
      </c>
      <c r="H239" s="26">
        <v>47.6</v>
      </c>
      <c r="I239" s="26">
        <v>36.700000000000003</v>
      </c>
      <c r="J239" s="26"/>
      <c r="K239" s="14"/>
      <c r="L239" s="28">
        <v>135959</v>
      </c>
      <c r="M239" s="28">
        <v>30695</v>
      </c>
      <c r="N239" s="28">
        <v>278206</v>
      </c>
      <c r="O239" s="28">
        <v>261548</v>
      </c>
      <c r="P239" s="28">
        <v>7413</v>
      </c>
      <c r="Q239" s="28">
        <v>158166</v>
      </c>
      <c r="R239" s="28">
        <v>71608</v>
      </c>
      <c r="S239" s="28">
        <v>180516</v>
      </c>
      <c r="T239" s="28">
        <v>129106</v>
      </c>
      <c r="U239" s="28">
        <v>198182</v>
      </c>
      <c r="V239" s="28"/>
      <c r="W239" s="28"/>
      <c r="X239" s="28"/>
      <c r="Y239" s="28"/>
      <c r="Z239" s="28"/>
      <c r="AA239" s="1"/>
      <c r="AB239" s="46">
        <f>SUM(L239:Z239)</f>
        <v>1451399</v>
      </c>
      <c r="AC239" s="46">
        <f>SUM(L240:Z240)</f>
        <v>69872</v>
      </c>
      <c r="AD239" s="46">
        <f>SUM(L241:Z241)</f>
        <v>53900</v>
      </c>
      <c r="AE239" s="1"/>
      <c r="AF239" s="46">
        <f>AB239-B239</f>
        <v>-15972</v>
      </c>
      <c r="AG239" s="46">
        <f>AC239-C239</f>
        <v>0</v>
      </c>
      <c r="AH239" s="46">
        <f>AD239-D239</f>
        <v>0</v>
      </c>
      <c r="AI239" s="1"/>
      <c r="AJ239" s="47">
        <f>C239/B239*1000</f>
        <v>47.617132954106353</v>
      </c>
      <c r="AK239" s="47">
        <f>D239/B239*1000</f>
        <v>36.732360118879271</v>
      </c>
      <c r="AL239" s="1"/>
      <c r="AM239" s="47">
        <f>AJ239-H239</f>
        <v>1.7132954106351406E-2</v>
      </c>
      <c r="AN239" s="47">
        <f>AK239-I239</f>
        <v>3.236011887926793E-2</v>
      </c>
    </row>
    <row r="240" spans="1:40">
      <c r="A240" s="34" t="s">
        <v>240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>
        <v>6303</v>
      </c>
      <c r="M240" s="14">
        <v>1204</v>
      </c>
      <c r="N240" s="14">
        <v>13334</v>
      </c>
      <c r="O240" s="14">
        <v>12168</v>
      </c>
      <c r="P240" s="14">
        <v>323</v>
      </c>
      <c r="Q240" s="14">
        <v>8592</v>
      </c>
      <c r="R240" s="14">
        <v>3873</v>
      </c>
      <c r="S240" s="14">
        <v>9560</v>
      </c>
      <c r="T240" s="14">
        <v>5794</v>
      </c>
      <c r="U240" s="14">
        <v>8721</v>
      </c>
      <c r="V240" s="14"/>
      <c r="W240" s="14"/>
      <c r="X240" s="14"/>
      <c r="Y240" s="14"/>
      <c r="Z240" s="14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34" t="s">
        <v>241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>
        <v>4999</v>
      </c>
      <c r="M241" s="14">
        <v>589</v>
      </c>
      <c r="N241" s="14">
        <v>10289</v>
      </c>
      <c r="O241" s="14">
        <v>10025</v>
      </c>
      <c r="P241" s="14">
        <v>702</v>
      </c>
      <c r="Q241" s="14">
        <v>5657</v>
      </c>
      <c r="R241" s="14">
        <v>3065</v>
      </c>
      <c r="S241" s="14">
        <v>5926</v>
      </c>
      <c r="T241" s="14">
        <v>5442</v>
      </c>
      <c r="U241" s="14">
        <v>7206</v>
      </c>
      <c r="V241" s="14"/>
      <c r="W241" s="14"/>
      <c r="X241" s="14"/>
      <c r="Y241" s="14"/>
      <c r="Z241" s="14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32" t="s">
        <v>242</v>
      </c>
      <c r="B242" s="28">
        <v>1417414</v>
      </c>
      <c r="C242" s="28">
        <v>88440</v>
      </c>
      <c r="D242" s="28">
        <v>52953</v>
      </c>
      <c r="E242" s="28">
        <v>137081</v>
      </c>
      <c r="F242" s="28">
        <v>5914</v>
      </c>
      <c r="G242" s="28">
        <v>4952</v>
      </c>
      <c r="H242" s="26">
        <v>62.4</v>
      </c>
      <c r="I242" s="26">
        <v>37.4</v>
      </c>
      <c r="J242" s="26"/>
      <c r="K242" s="14"/>
      <c r="L242" s="28">
        <v>230722</v>
      </c>
      <c r="M242" s="28">
        <v>395251</v>
      </c>
      <c r="N242" s="28">
        <v>398309</v>
      </c>
      <c r="O242" s="28">
        <v>140013</v>
      </c>
      <c r="P242" s="28">
        <v>130170</v>
      </c>
      <c r="Q242" s="28">
        <v>115949</v>
      </c>
      <c r="R242" s="28"/>
      <c r="S242" s="28"/>
      <c r="T242" s="28"/>
      <c r="U242" s="28"/>
      <c r="V242" s="28"/>
      <c r="W242" s="28"/>
      <c r="X242" s="28"/>
      <c r="Y242" s="28"/>
      <c r="Z242" s="28"/>
      <c r="AA242" s="1"/>
      <c r="AB242" s="46">
        <f>SUM(L242:Z242)</f>
        <v>1410414</v>
      </c>
      <c r="AC242" s="46">
        <f>SUM(L243:Z243)</f>
        <v>88440</v>
      </c>
      <c r="AD242" s="46">
        <f>SUM(L244:Z244)</f>
        <v>52953</v>
      </c>
      <c r="AE242" s="1"/>
      <c r="AF242" s="46">
        <f>AB242-B242</f>
        <v>-7000</v>
      </c>
      <c r="AG242" s="46">
        <f>AC242-C242</f>
        <v>0</v>
      </c>
      <c r="AH242" s="46">
        <f>AD242-D242</f>
        <v>0</v>
      </c>
      <c r="AI242" s="1"/>
      <c r="AJ242" s="47">
        <f>C242/B242*1000</f>
        <v>62.395319927699319</v>
      </c>
      <c r="AK242" s="47">
        <f>D242/B242*1000</f>
        <v>37.358880327130962</v>
      </c>
      <c r="AL242" s="1"/>
      <c r="AM242" s="47">
        <f>AJ242-H242</f>
        <v>-4.6800723006796829E-3</v>
      </c>
      <c r="AN242" s="47">
        <f>AK242-I242</f>
        <v>-4.1119672869037061E-2</v>
      </c>
    </row>
    <row r="243" spans="1:40">
      <c r="A243" s="34" t="s">
        <v>243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>
        <v>11595</v>
      </c>
      <c r="M243" s="14">
        <v>29954</v>
      </c>
      <c r="N243" s="14">
        <v>27537</v>
      </c>
      <c r="O243" s="14">
        <v>6879</v>
      </c>
      <c r="P243" s="14">
        <v>6630</v>
      </c>
      <c r="Q243" s="14">
        <v>5845</v>
      </c>
      <c r="R243" s="14"/>
      <c r="S243" s="14"/>
      <c r="T243" s="14"/>
      <c r="U243" s="14"/>
      <c r="V243" s="14"/>
      <c r="W243" s="14"/>
      <c r="X243" s="14"/>
      <c r="Y243" s="14"/>
      <c r="Z243" s="14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34" t="s">
        <v>244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>
        <v>8260</v>
      </c>
      <c r="M244" s="14">
        <v>14531</v>
      </c>
      <c r="N244" s="14">
        <v>19600</v>
      </c>
      <c r="O244" s="14">
        <v>3502</v>
      </c>
      <c r="P244" s="14">
        <v>3400</v>
      </c>
      <c r="Q244" s="14">
        <v>3660</v>
      </c>
      <c r="R244" s="14"/>
      <c r="S244" s="14"/>
      <c r="T244" s="14"/>
      <c r="U244" s="14"/>
      <c r="V244" s="14"/>
      <c r="W244" s="14"/>
      <c r="X244" s="14"/>
      <c r="Y244" s="14"/>
      <c r="Z244" s="14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32" t="s">
        <v>245</v>
      </c>
      <c r="B245" s="28">
        <v>271980</v>
      </c>
      <c r="C245" s="28">
        <v>9053</v>
      </c>
      <c r="D245" s="28">
        <v>5070</v>
      </c>
      <c r="E245" s="28">
        <v>8012</v>
      </c>
      <c r="F245" s="28">
        <v>168</v>
      </c>
      <c r="G245" s="28">
        <v>174</v>
      </c>
      <c r="H245" s="26">
        <v>33.299999999999997</v>
      </c>
      <c r="I245" s="26">
        <v>18.7</v>
      </c>
      <c r="J245" s="26"/>
      <c r="K245" s="14"/>
      <c r="L245" s="28">
        <v>159057</v>
      </c>
      <c r="M245" s="28">
        <v>13418</v>
      </c>
      <c r="N245" s="28">
        <v>77021</v>
      </c>
      <c r="O245" s="28">
        <v>6458</v>
      </c>
      <c r="P245" s="28">
        <v>16026</v>
      </c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1"/>
      <c r="AB245" s="46">
        <f>SUM(L245:Z245)</f>
        <v>271980</v>
      </c>
      <c r="AC245" s="46">
        <f>SUM(L246:Z246)</f>
        <v>9053</v>
      </c>
      <c r="AD245" s="46">
        <f>SUM(L247:Z247)</f>
        <v>5070</v>
      </c>
      <c r="AE245" s="1"/>
      <c r="AF245" s="46">
        <f>AB245-B245</f>
        <v>0</v>
      </c>
      <c r="AG245" s="46">
        <f>AC245-C245</f>
        <v>0</v>
      </c>
      <c r="AH245" s="46">
        <f>AD245-D245</f>
        <v>0</v>
      </c>
      <c r="AI245" s="1"/>
      <c r="AJ245" s="47">
        <f>C245/B245*1000</f>
        <v>33.285535701154494</v>
      </c>
      <c r="AK245" s="47">
        <f>D245/B245*1000</f>
        <v>18.641076549746302</v>
      </c>
      <c r="AL245" s="1"/>
      <c r="AM245" s="47">
        <f>AJ245-H245</f>
        <v>-1.4464298845503265E-2</v>
      </c>
      <c r="AN245" s="47">
        <f>AK245-I245</f>
        <v>-5.8923450253697496E-2</v>
      </c>
    </row>
    <row r="246" spans="1:40">
      <c r="A246" s="34" t="s">
        <v>246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>
        <v>5609</v>
      </c>
      <c r="M246" s="14">
        <v>311</v>
      </c>
      <c r="N246" s="14">
        <v>2232</v>
      </c>
      <c r="O246" s="14">
        <v>212</v>
      </c>
      <c r="P246" s="14">
        <v>689</v>
      </c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34" t="s">
        <v>247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>
        <v>3073</v>
      </c>
      <c r="M247" s="14">
        <v>161</v>
      </c>
      <c r="N247" s="14">
        <v>1219</v>
      </c>
      <c r="O247" s="14">
        <v>120</v>
      </c>
      <c r="P247" s="14">
        <v>497</v>
      </c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32" t="s">
        <v>248</v>
      </c>
      <c r="B248" s="28">
        <v>24789</v>
      </c>
      <c r="C248" s="28">
        <v>347</v>
      </c>
      <c r="D248" s="28">
        <v>365</v>
      </c>
      <c r="E248" s="33" t="s">
        <v>9</v>
      </c>
      <c r="F248" s="33" t="s">
        <v>9</v>
      </c>
      <c r="G248" s="33" t="s">
        <v>9</v>
      </c>
      <c r="H248" s="28" t="s">
        <v>9</v>
      </c>
      <c r="I248" s="28" t="s">
        <v>9</v>
      </c>
      <c r="J248" s="28"/>
      <c r="K248" s="11"/>
      <c r="L248" s="28">
        <v>10708</v>
      </c>
      <c r="M248" s="28">
        <v>6073</v>
      </c>
      <c r="N248" s="28">
        <v>8008</v>
      </c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1"/>
      <c r="AB248" s="46">
        <f>SUM(L248:Z248)</f>
        <v>24789</v>
      </c>
      <c r="AC248" s="46">
        <f>SUM(L249:Z249)</f>
        <v>347</v>
      </c>
      <c r="AD248" s="46">
        <f>SUM(L250:Z250)</f>
        <v>365</v>
      </c>
      <c r="AE248" s="1"/>
      <c r="AF248" s="46">
        <f>AB248-B248</f>
        <v>0</v>
      </c>
      <c r="AG248" s="46">
        <f>AC248-C248</f>
        <v>0</v>
      </c>
      <c r="AH248" s="46">
        <f>AD248-D248</f>
        <v>0</v>
      </c>
      <c r="AI248" s="1"/>
      <c r="AJ248" s="47">
        <f>C248/B248*1000</f>
        <v>13.99814433821453</v>
      </c>
      <c r="AK248" s="47">
        <f>D248/B248*1000</f>
        <v>14.72427286296341</v>
      </c>
      <c r="AL248" s="1"/>
      <c r="AM248" s="47"/>
      <c r="AN248" s="47"/>
    </row>
    <row r="249" spans="1:40">
      <c r="A249" s="34" t="s">
        <v>249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>
        <v>140</v>
      </c>
      <c r="M249" s="14">
        <v>72</v>
      </c>
      <c r="N249" s="14">
        <v>135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34" t="s">
        <v>250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>
        <v>154</v>
      </c>
      <c r="M250" s="14">
        <v>71</v>
      </c>
      <c r="N250" s="14">
        <v>140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35" t="s">
        <v>251</v>
      </c>
      <c r="B251" s="36">
        <v>5006773</v>
      </c>
      <c r="C251" s="36">
        <v>251713</v>
      </c>
      <c r="D251" s="36">
        <v>171435</v>
      </c>
      <c r="E251" s="36"/>
      <c r="F251" s="36"/>
      <c r="G251" s="36"/>
      <c r="H251" s="31">
        <v>51.1</v>
      </c>
      <c r="I251" s="31">
        <v>35</v>
      </c>
      <c r="J251" s="31"/>
      <c r="K251" s="14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1"/>
      <c r="AB251" s="70">
        <f>SUM(AB226:AB250)</f>
        <v>4983801</v>
      </c>
      <c r="AC251" s="70">
        <f>SUM(AC226:AC250)</f>
        <v>251713</v>
      </c>
      <c r="AD251" s="70">
        <f>SUM(AD226:AD250)</f>
        <v>171435</v>
      </c>
      <c r="AE251" s="1"/>
      <c r="AF251" s="70">
        <f>AB251-B251</f>
        <v>-22972</v>
      </c>
      <c r="AG251" s="70">
        <f>AC251-C251</f>
        <v>0</v>
      </c>
      <c r="AH251" s="70">
        <f>AD251-D251</f>
        <v>0</v>
      </c>
      <c r="AI251" s="1"/>
      <c r="AJ251" s="71">
        <f>C251/B251*1000</f>
        <v>50.274498164785982</v>
      </c>
      <c r="AK251" s="71">
        <f>D251/B251*1000</f>
        <v>34.240617659318687</v>
      </c>
      <c r="AL251" s="1"/>
      <c r="AM251" s="71">
        <f>AJ251-H251</f>
        <v>-0.82550183521401976</v>
      </c>
      <c r="AN251" s="71">
        <f>AK251-I251</f>
        <v>-0.75938234068131294</v>
      </c>
    </row>
    <row r="252" spans="1:40">
      <c r="A252" s="32" t="s">
        <v>252</v>
      </c>
      <c r="B252" s="28">
        <v>559491</v>
      </c>
      <c r="C252" s="28">
        <v>15644</v>
      </c>
      <c r="D252" s="28">
        <v>9801</v>
      </c>
      <c r="E252" s="28">
        <v>68769</v>
      </c>
      <c r="F252" s="28">
        <v>3637</v>
      </c>
      <c r="G252" s="28">
        <v>2596</v>
      </c>
      <c r="H252" s="28" t="s">
        <v>9</v>
      </c>
      <c r="I252" s="28" t="s">
        <v>9</v>
      </c>
      <c r="J252" s="28"/>
      <c r="K252" s="14"/>
      <c r="L252" s="28">
        <v>98432</v>
      </c>
      <c r="M252" s="28">
        <v>145859</v>
      </c>
      <c r="N252" s="28">
        <v>81222</v>
      </c>
      <c r="O252" s="28">
        <v>116145</v>
      </c>
      <c r="P252" s="28">
        <v>117833</v>
      </c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1"/>
      <c r="AB252" s="46">
        <f>SUM(L252:Z252)</f>
        <v>559491</v>
      </c>
      <c r="AC252" s="46">
        <f>SUM(L253:Z253)</f>
        <v>15644</v>
      </c>
      <c r="AD252" s="46">
        <f>SUM(L254:Z254)</f>
        <v>9801</v>
      </c>
      <c r="AE252" s="1"/>
      <c r="AF252" s="46">
        <f>AB252-B252</f>
        <v>0</v>
      </c>
      <c r="AG252" s="46">
        <f>AC252-C252</f>
        <v>0</v>
      </c>
      <c r="AH252" s="46">
        <f>AD252-D252</f>
        <v>0</v>
      </c>
      <c r="AI252" s="1"/>
      <c r="AJ252" s="47">
        <f>C252/B252*1000</f>
        <v>27.96112895471062</v>
      </c>
      <c r="AK252" s="47">
        <f>D252/B252*1000</f>
        <v>17.51770805964707</v>
      </c>
      <c r="AL252" s="1"/>
      <c r="AM252" s="47"/>
      <c r="AN252" s="47"/>
    </row>
    <row r="253" spans="1:40">
      <c r="A253" s="34" t="s">
        <v>253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>
        <v>3114</v>
      </c>
      <c r="M253" s="14">
        <v>3528</v>
      </c>
      <c r="N253" s="14">
        <v>1594</v>
      </c>
      <c r="O253" s="14">
        <v>3873</v>
      </c>
      <c r="P253" s="14">
        <v>3535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34" t="s">
        <v>254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>
        <v>2202</v>
      </c>
      <c r="M254" s="14">
        <v>2152</v>
      </c>
      <c r="N254" s="14">
        <v>337</v>
      </c>
      <c r="O254" s="14">
        <v>2424</v>
      </c>
      <c r="P254" s="14">
        <v>2686</v>
      </c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32" t="s">
        <v>255</v>
      </c>
      <c r="B255" s="28">
        <v>700000</v>
      </c>
      <c r="C255" s="28">
        <v>1315</v>
      </c>
      <c r="D255" s="28">
        <v>993</v>
      </c>
      <c r="E255" s="33" t="s">
        <v>9</v>
      </c>
      <c r="F255" s="33" t="s">
        <v>9</v>
      </c>
      <c r="G255" s="33" t="s">
        <v>9</v>
      </c>
      <c r="H255" s="28" t="s">
        <v>9</v>
      </c>
      <c r="I255" s="28" t="s">
        <v>9</v>
      </c>
      <c r="J255" s="28"/>
      <c r="K255" s="11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1"/>
      <c r="AB255" s="46">
        <f>B255</f>
        <v>700000</v>
      </c>
      <c r="AC255" s="46">
        <f>C255</f>
        <v>1315</v>
      </c>
      <c r="AD255" s="46">
        <f>D255</f>
        <v>993</v>
      </c>
      <c r="AE255" s="1"/>
      <c r="AF255" s="68"/>
      <c r="AG255" s="68"/>
      <c r="AH255" s="68"/>
      <c r="AI255" s="1"/>
      <c r="AJ255" s="47">
        <f>C255/B255*1000</f>
        <v>1.8785714285714286</v>
      </c>
      <c r="AK255" s="47">
        <f>D255/B255*1000</f>
        <v>1.4185714285714286</v>
      </c>
      <c r="AL255" s="1"/>
      <c r="AM255" s="47"/>
      <c r="AN255" s="47"/>
    </row>
    <row r="256" spans="1:40">
      <c r="A256" s="32" t="s">
        <v>256</v>
      </c>
      <c r="B256" s="28">
        <v>787468</v>
      </c>
      <c r="C256" s="33" t="s">
        <v>9</v>
      </c>
      <c r="D256" s="33" t="s">
        <v>9</v>
      </c>
      <c r="E256" s="28">
        <v>99026</v>
      </c>
      <c r="F256" s="33" t="s">
        <v>9</v>
      </c>
      <c r="G256" s="33" t="s">
        <v>9</v>
      </c>
      <c r="H256" s="28" t="s">
        <v>9</v>
      </c>
      <c r="I256" s="28" t="s">
        <v>9</v>
      </c>
      <c r="J256" s="28"/>
      <c r="K256" s="11"/>
      <c r="L256" s="28">
        <v>305466</v>
      </c>
      <c r="M256" s="85">
        <v>158531</v>
      </c>
      <c r="N256" s="28">
        <v>108941</v>
      </c>
      <c r="O256" s="28">
        <v>214530</v>
      </c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1"/>
      <c r="AB256" s="46">
        <f>SUM(L256:Z256)</f>
        <v>787468</v>
      </c>
      <c r="AC256" s="46">
        <f>SUM(L257:Z257)</f>
        <v>0</v>
      </c>
      <c r="AD256" s="46">
        <f>SUM(L258:Z258)</f>
        <v>0</v>
      </c>
      <c r="AE256" s="1"/>
      <c r="AF256" s="46">
        <f>AB256-B256</f>
        <v>0</v>
      </c>
      <c r="AG256" s="46"/>
      <c r="AH256" s="46"/>
      <c r="AI256" s="1"/>
      <c r="AJ256" s="47"/>
      <c r="AK256" s="47"/>
      <c r="AL256" s="1"/>
      <c r="AM256" s="47"/>
      <c r="AN256" s="47"/>
    </row>
    <row r="257" spans="1:40">
      <c r="A257" s="34" t="s">
        <v>257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1" t="s">
        <v>9</v>
      </c>
      <c r="M257" s="11" t="s">
        <v>9</v>
      </c>
      <c r="N257" s="11" t="s">
        <v>9</v>
      </c>
      <c r="O257" s="11" t="s">
        <v>9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34" t="s">
        <v>258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1" t="s">
        <v>9</v>
      </c>
      <c r="M258" s="11" t="s">
        <v>9</v>
      </c>
      <c r="N258" s="11" t="s">
        <v>9</v>
      </c>
      <c r="O258" s="11" t="s">
        <v>9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32" t="s">
        <v>259</v>
      </c>
      <c r="B259" s="28">
        <v>608841</v>
      </c>
      <c r="C259" s="28">
        <v>9210</v>
      </c>
      <c r="D259" s="28">
        <v>7629</v>
      </c>
      <c r="E259" s="28">
        <v>48304</v>
      </c>
      <c r="F259" s="28">
        <v>1771</v>
      </c>
      <c r="G259" s="28">
        <v>1330</v>
      </c>
      <c r="H259" s="28" t="s">
        <v>9</v>
      </c>
      <c r="I259" s="28" t="s">
        <v>9</v>
      </c>
      <c r="J259" s="28"/>
      <c r="K259" s="14"/>
      <c r="L259" s="28">
        <v>186260</v>
      </c>
      <c r="M259" s="28">
        <v>75049</v>
      </c>
      <c r="N259" s="28">
        <v>143134</v>
      </c>
      <c r="O259" s="28">
        <v>121881</v>
      </c>
      <c r="P259" s="28">
        <v>82517</v>
      </c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1"/>
      <c r="AB259" s="46">
        <f>SUM(L259:Z259)</f>
        <v>608841</v>
      </c>
      <c r="AC259" s="46">
        <f>SUM(L260:Z260)</f>
        <v>9210</v>
      </c>
      <c r="AD259" s="46">
        <f>SUM(L261:Z261)</f>
        <v>7629</v>
      </c>
      <c r="AE259" s="1"/>
      <c r="AF259" s="46">
        <f>AB259-B259</f>
        <v>0</v>
      </c>
      <c r="AG259" s="46">
        <f>AC259-C259</f>
        <v>0</v>
      </c>
      <c r="AH259" s="46">
        <f>AD259-D259</f>
        <v>0</v>
      </c>
      <c r="AI259" s="1"/>
      <c r="AJ259" s="47">
        <f>C259/B259*1000</f>
        <v>15.127102149822369</v>
      </c>
      <c r="AK259" s="47">
        <f>D259/B259*1000</f>
        <v>12.530365070683478</v>
      </c>
      <c r="AL259" s="1"/>
      <c r="AM259" s="47"/>
      <c r="AN259" s="47"/>
    </row>
    <row r="260" spans="1:40">
      <c r="A260" s="34" t="s">
        <v>260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>
        <v>2996</v>
      </c>
      <c r="M260" s="14">
        <v>1421</v>
      </c>
      <c r="N260" s="14">
        <v>1320</v>
      </c>
      <c r="O260" s="14">
        <v>1784</v>
      </c>
      <c r="P260" s="14">
        <v>1689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34" t="s">
        <v>261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>
        <v>2393</v>
      </c>
      <c r="M261" s="14">
        <v>1092</v>
      </c>
      <c r="N261" s="14">
        <v>1130</v>
      </c>
      <c r="O261" s="14">
        <v>1741</v>
      </c>
      <c r="P261" s="14">
        <v>1273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32" t="s">
        <v>262</v>
      </c>
      <c r="B262" s="28">
        <v>757105</v>
      </c>
      <c r="C262" s="28">
        <v>28278</v>
      </c>
      <c r="D262" s="28">
        <v>15107</v>
      </c>
      <c r="E262" s="33" t="s">
        <v>9</v>
      </c>
      <c r="F262" s="33" t="s">
        <v>9</v>
      </c>
      <c r="G262" s="33" t="s">
        <v>9</v>
      </c>
      <c r="H262" s="26">
        <v>37.4</v>
      </c>
      <c r="I262" s="26">
        <v>20</v>
      </c>
      <c r="J262" s="26"/>
      <c r="K262" s="11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1"/>
      <c r="AB262" s="46">
        <f>B262</f>
        <v>757105</v>
      </c>
      <c r="AC262" s="46">
        <f>C262</f>
        <v>28278</v>
      </c>
      <c r="AD262" s="46">
        <f>D262</f>
        <v>15107</v>
      </c>
      <c r="AE262" s="1"/>
      <c r="AF262" s="68"/>
      <c r="AG262" s="68"/>
      <c r="AH262" s="68"/>
      <c r="AI262" s="1"/>
      <c r="AJ262" s="47">
        <f>C262/B262*1000</f>
        <v>37.350169395262213</v>
      </c>
      <c r="AK262" s="47">
        <f>D262/B262*1000</f>
        <v>19.953639191393531</v>
      </c>
      <c r="AL262" s="1"/>
      <c r="AM262" s="47">
        <f>AJ262-H262</f>
        <v>-4.9830604737785222E-2</v>
      </c>
      <c r="AN262" s="47">
        <f>AK262-I262</f>
        <v>-4.6360808606468851E-2</v>
      </c>
    </row>
    <row r="263" spans="1:40">
      <c r="A263" s="32" t="s">
        <v>263</v>
      </c>
      <c r="B263" s="28">
        <v>1267912</v>
      </c>
      <c r="C263" s="28">
        <v>21631</v>
      </c>
      <c r="D263" s="28">
        <v>14776</v>
      </c>
      <c r="E263" s="28">
        <v>134529</v>
      </c>
      <c r="F263" s="28">
        <v>4140</v>
      </c>
      <c r="G263" s="28">
        <v>2435</v>
      </c>
      <c r="H263" s="28" t="s">
        <v>9</v>
      </c>
      <c r="I263" s="28" t="s">
        <v>9</v>
      </c>
      <c r="J263" s="28"/>
      <c r="K263" s="14"/>
      <c r="L263" s="28">
        <v>434529</v>
      </c>
      <c r="M263" s="28">
        <v>121500</v>
      </c>
      <c r="N263" s="28">
        <v>113500</v>
      </c>
      <c r="O263" s="28">
        <v>192018</v>
      </c>
      <c r="P263" s="28">
        <v>251326</v>
      </c>
      <c r="Q263" s="28">
        <v>155039</v>
      </c>
      <c r="R263" s="28"/>
      <c r="S263" s="28"/>
      <c r="T263" s="28"/>
      <c r="U263" s="28"/>
      <c r="V263" s="28"/>
      <c r="W263" s="28"/>
      <c r="X263" s="28"/>
      <c r="Y263" s="28"/>
      <c r="Z263" s="28"/>
      <c r="AA263" s="1"/>
      <c r="AB263" s="46">
        <f>SUM(L263:Z263)</f>
        <v>1267912</v>
      </c>
      <c r="AC263" s="46">
        <f>SUM(L264:Z264)</f>
        <v>21631</v>
      </c>
      <c r="AD263" s="46">
        <f>SUM(L265:Z265)</f>
        <v>14776</v>
      </c>
      <c r="AE263" s="1"/>
      <c r="AF263" s="46">
        <f>AB263-B263</f>
        <v>0</v>
      </c>
      <c r="AG263" s="46">
        <f>AC263-C263</f>
        <v>0</v>
      </c>
      <c r="AH263" s="46">
        <f>AD263-D263</f>
        <v>0</v>
      </c>
      <c r="AI263" s="1"/>
      <c r="AJ263" s="47">
        <f>C263/B263*1000</f>
        <v>17.060332262806881</v>
      </c>
      <c r="AK263" s="47">
        <f>D263/B263*1000</f>
        <v>11.653805626888932</v>
      </c>
      <c r="AL263" s="1"/>
      <c r="AM263" s="47"/>
      <c r="AN263" s="47"/>
    </row>
    <row r="264" spans="1:40">
      <c r="A264" s="34" t="s">
        <v>264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>
        <v>4140</v>
      </c>
      <c r="M264" s="11" t="s">
        <v>9</v>
      </c>
      <c r="N264" s="11" t="s">
        <v>9</v>
      </c>
      <c r="O264" s="14">
        <v>2470</v>
      </c>
      <c r="P264" s="14">
        <v>14949</v>
      </c>
      <c r="Q264" s="14">
        <v>72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34" t="s">
        <v>265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>
        <v>2435</v>
      </c>
      <c r="M265" s="11" t="s">
        <v>9</v>
      </c>
      <c r="N265" s="11" t="s">
        <v>9</v>
      </c>
      <c r="O265" s="14">
        <v>1359</v>
      </c>
      <c r="P265" s="14">
        <v>10924</v>
      </c>
      <c r="Q265" s="14">
        <v>58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32" t="s">
        <v>266</v>
      </c>
      <c r="B266" s="28">
        <v>386300</v>
      </c>
      <c r="C266" s="28">
        <v>9032</v>
      </c>
      <c r="D266" s="28">
        <v>5596</v>
      </c>
      <c r="E266" s="33" t="s">
        <v>9</v>
      </c>
      <c r="F266" s="33" t="s">
        <v>9</v>
      </c>
      <c r="G266" s="33" t="s">
        <v>9</v>
      </c>
      <c r="H266" s="28" t="s">
        <v>9</v>
      </c>
      <c r="I266" s="28" t="s">
        <v>9</v>
      </c>
      <c r="J266" s="28"/>
      <c r="K266" s="11"/>
      <c r="L266" s="28">
        <v>76372</v>
      </c>
      <c r="M266" s="28">
        <v>93823</v>
      </c>
      <c r="N266" s="28">
        <v>85862</v>
      </c>
      <c r="O266" s="28">
        <v>130243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1"/>
      <c r="AB266" s="46">
        <f>SUM(L266:Z266)</f>
        <v>386300</v>
      </c>
      <c r="AC266" s="46">
        <f>SUM(L267:Z267)</f>
        <v>9032</v>
      </c>
      <c r="AD266" s="46">
        <f>SUM(L268:Z268)</f>
        <v>5596</v>
      </c>
      <c r="AE266" s="1"/>
      <c r="AF266" s="46">
        <f>AB266-B266</f>
        <v>0</v>
      </c>
      <c r="AG266" s="46">
        <f>AC266-C266</f>
        <v>0</v>
      </c>
      <c r="AH266" s="46">
        <f>AD266-D266</f>
        <v>0</v>
      </c>
      <c r="AI266" s="1"/>
      <c r="AJ266" s="47">
        <f>C266/B266*1000</f>
        <v>23.380792130468546</v>
      </c>
      <c r="AK266" s="47">
        <f>D266/B266*1000</f>
        <v>14.486150660108724</v>
      </c>
      <c r="AL266" s="1"/>
      <c r="AM266" s="47"/>
      <c r="AN266" s="47"/>
    </row>
    <row r="267" spans="1:40">
      <c r="A267" s="34" t="s">
        <v>267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>
        <v>1644</v>
      </c>
      <c r="M267" s="14">
        <v>142</v>
      </c>
      <c r="N267" s="14">
        <v>2337</v>
      </c>
      <c r="O267" s="14">
        <v>4909</v>
      </c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34" t="s">
        <v>268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>
        <v>825</v>
      </c>
      <c r="M268" s="14">
        <v>117</v>
      </c>
      <c r="N268" s="14">
        <v>1489</v>
      </c>
      <c r="O268" s="14">
        <v>3165</v>
      </c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32" t="s">
        <v>269</v>
      </c>
      <c r="B269" s="28">
        <v>549076</v>
      </c>
      <c r="C269" s="28">
        <v>16655</v>
      </c>
      <c r="D269" s="28">
        <v>11370</v>
      </c>
      <c r="E269" s="28">
        <v>41218</v>
      </c>
      <c r="F269" s="28">
        <v>1821</v>
      </c>
      <c r="G269" s="28">
        <v>1497</v>
      </c>
      <c r="H269" s="26">
        <v>30.3</v>
      </c>
      <c r="I269" s="26">
        <v>20.7</v>
      </c>
      <c r="J269" s="26"/>
      <c r="K269" s="14"/>
      <c r="L269" s="28">
        <v>221050</v>
      </c>
      <c r="M269" s="28">
        <v>99283</v>
      </c>
      <c r="N269" s="28">
        <v>140541</v>
      </c>
      <c r="O269" s="28">
        <v>88202</v>
      </c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1"/>
      <c r="AB269" s="46">
        <f>SUM(L269:Z269)</f>
        <v>549076</v>
      </c>
      <c r="AC269" s="46">
        <f>SUM(L270:Z270)</f>
        <v>16655</v>
      </c>
      <c r="AD269" s="46">
        <f>SUM(L271:Z271)</f>
        <v>11370</v>
      </c>
      <c r="AE269" s="1"/>
      <c r="AF269" s="46">
        <f>AB269-B269</f>
        <v>0</v>
      </c>
      <c r="AG269" s="46">
        <f>AC269-C269</f>
        <v>0</v>
      </c>
      <c r="AH269" s="46">
        <f>AD269-D269</f>
        <v>0</v>
      </c>
      <c r="AI269" s="1"/>
      <c r="AJ269" s="47">
        <f>C269/B269*1000</f>
        <v>30.332777247594141</v>
      </c>
      <c r="AK269" s="47">
        <f>D269/B269*1000</f>
        <v>20.707515899438327</v>
      </c>
      <c r="AL269" s="1"/>
      <c r="AM269" s="47">
        <f>AJ269-H269</f>
        <v>3.2777247594140135E-2</v>
      </c>
      <c r="AN269" s="47">
        <f>AK269-I269</f>
        <v>7.5158994383279776E-3</v>
      </c>
    </row>
    <row r="270" spans="1:40">
      <c r="A270" s="34" t="s">
        <v>270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>
        <v>8192</v>
      </c>
      <c r="M270" s="14">
        <v>2790</v>
      </c>
      <c r="N270" s="14">
        <v>3631</v>
      </c>
      <c r="O270" s="14">
        <v>2042</v>
      </c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34" t="s">
        <v>271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>
        <v>5986</v>
      </c>
      <c r="M271" s="14">
        <v>1695</v>
      </c>
      <c r="N271" s="14">
        <v>2321</v>
      </c>
      <c r="O271" s="14">
        <v>1368</v>
      </c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32" t="s">
        <v>272</v>
      </c>
      <c r="B272" s="28">
        <v>938302</v>
      </c>
      <c r="C272" s="28">
        <v>31447</v>
      </c>
      <c r="D272" s="28">
        <v>14689</v>
      </c>
      <c r="E272" s="28">
        <v>160519</v>
      </c>
      <c r="F272" s="28">
        <v>13999</v>
      </c>
      <c r="G272" s="28">
        <v>3400</v>
      </c>
      <c r="H272" s="28" t="s">
        <v>9</v>
      </c>
      <c r="I272" s="28" t="s">
        <v>9</v>
      </c>
      <c r="J272" s="28"/>
      <c r="K272" s="14"/>
      <c r="L272" s="28">
        <v>199324</v>
      </c>
      <c r="M272" s="28">
        <v>179944</v>
      </c>
      <c r="N272" s="28">
        <v>299909</v>
      </c>
      <c r="O272" s="28">
        <v>197209</v>
      </c>
      <c r="P272" s="28">
        <v>61916</v>
      </c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1"/>
      <c r="AB272" s="46">
        <f>SUM(L272:Z272)</f>
        <v>938302</v>
      </c>
      <c r="AC272" s="46">
        <f>SUM(L273:Z273)</f>
        <v>31447</v>
      </c>
      <c r="AD272" s="46">
        <f>SUM(L274:Z274)</f>
        <v>14689</v>
      </c>
      <c r="AE272" s="1"/>
      <c r="AF272" s="46">
        <f>AB272-B272</f>
        <v>0</v>
      </c>
      <c r="AG272" s="46">
        <f>AC272-C272</f>
        <v>0</v>
      </c>
      <c r="AH272" s="46">
        <f>AD272-D272</f>
        <v>0</v>
      </c>
      <c r="AI272" s="1"/>
      <c r="AJ272" s="47">
        <f>C272/B272*1000</f>
        <v>33.514795875954647</v>
      </c>
      <c r="AK272" s="47">
        <f>D272/B272*1000</f>
        <v>15.654874443409479</v>
      </c>
      <c r="AL272" s="1"/>
      <c r="AM272" s="47"/>
      <c r="AN272" s="47"/>
    </row>
    <row r="273" spans="1:40">
      <c r="A273" s="34" t="s">
        <v>273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>
        <v>70</v>
      </c>
      <c r="M273" s="14">
        <v>4727</v>
      </c>
      <c r="N273" s="14">
        <v>23051</v>
      </c>
      <c r="O273" s="11" t="s">
        <v>9</v>
      </c>
      <c r="P273" s="14">
        <v>3599</v>
      </c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34" t="s">
        <v>274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>
        <v>94</v>
      </c>
      <c r="M274" s="14">
        <v>3505</v>
      </c>
      <c r="N274" s="14">
        <v>9293</v>
      </c>
      <c r="O274" s="11" t="s">
        <v>9</v>
      </c>
      <c r="P274" s="14">
        <v>1797</v>
      </c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35" t="s">
        <v>275</v>
      </c>
      <c r="B275" s="36">
        <v>6554495</v>
      </c>
      <c r="C275" s="36">
        <v>133297</v>
      </c>
      <c r="D275" s="36">
        <v>79968</v>
      </c>
      <c r="E275" s="36"/>
      <c r="F275" s="36"/>
      <c r="G275" s="36"/>
      <c r="H275" s="31">
        <v>34.299999999999997</v>
      </c>
      <c r="I275" s="31">
        <v>20.3</v>
      </c>
      <c r="J275" s="31"/>
      <c r="K275" s="14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1"/>
      <c r="AB275" s="70">
        <f>SUM(AB252:AB274)</f>
        <v>6554495</v>
      </c>
      <c r="AC275" s="70">
        <f>SUM(AC252:AC274)</f>
        <v>133212</v>
      </c>
      <c r="AD275" s="70">
        <f>SUM(AD252:AD274)</f>
        <v>79961</v>
      </c>
      <c r="AE275" s="1"/>
      <c r="AF275" s="70">
        <f>AB275-B275</f>
        <v>0</v>
      </c>
      <c r="AG275" s="70">
        <f>AC275-C275</f>
        <v>-85</v>
      </c>
      <c r="AH275" s="70">
        <f>AD275-D275</f>
        <v>-7</v>
      </c>
      <c r="AI275" s="1"/>
      <c r="AJ275" s="71">
        <f>C275/B275*1000</f>
        <v>20.336730747372606</v>
      </c>
      <c r="AK275" s="71">
        <f>D275/B275*1000</f>
        <v>12.200482264461259</v>
      </c>
      <c r="AL275" s="1"/>
      <c r="AM275" s="71">
        <f>AJ275-H275</f>
        <v>-13.963269252627391</v>
      </c>
      <c r="AN275" s="71">
        <f>AK275-I275</f>
        <v>-8.0995177355387415</v>
      </c>
    </row>
    <row r="276" spans="1:40">
      <c r="A276" s="35" t="s">
        <v>276</v>
      </c>
      <c r="B276" s="36">
        <v>122552836</v>
      </c>
      <c r="C276" s="36">
        <v>5479213</v>
      </c>
      <c r="D276" s="36">
        <v>3774488</v>
      </c>
      <c r="E276" s="36"/>
      <c r="F276" s="36"/>
      <c r="G276" s="36"/>
      <c r="H276" s="31">
        <v>46.1</v>
      </c>
      <c r="I276" s="31">
        <v>31.8</v>
      </c>
      <c r="J276" s="31"/>
      <c r="K276" s="14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1"/>
      <c r="AB276" s="69"/>
      <c r="AC276" s="69"/>
      <c r="AD276" s="69"/>
      <c r="AE276" s="1"/>
      <c r="AF276" s="69"/>
      <c r="AG276" s="69"/>
      <c r="AH276" s="69"/>
      <c r="AI276" s="1"/>
      <c r="AJ276" s="71">
        <f>C276/B276*1000</f>
        <v>44.708985763495512</v>
      </c>
      <c r="AK276" s="71">
        <f>D276/B276*1000</f>
        <v>30.798862949201762</v>
      </c>
      <c r="AL276" s="1"/>
      <c r="AM276" s="71">
        <f>AJ276-H276</f>
        <v>-1.3910142365044891</v>
      </c>
      <c r="AN276" s="71">
        <f>AK276-I276</f>
        <v>-1.0011370507982384</v>
      </c>
    </row>
  </sheetData>
  <mergeCells count="1">
    <mergeCell ref="L1:Z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Oboguev, Sergey</cp:lastModifiedBy>
  <dcterms:created xsi:type="dcterms:W3CDTF">2026-06-24T07:16:03Z</dcterms:created>
  <dcterms:modified xsi:type="dcterms:W3CDTF">2026-07-18T07:19:40Z</dcterms:modified>
</cp:coreProperties>
</file>